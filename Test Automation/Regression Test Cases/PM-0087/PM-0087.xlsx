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0" activeTab="14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GetDailyCash" sheetId="6" r:id="rId6"/>
    <sheet name="UpdateDailyCash" sheetId="7" r:id="rId7"/>
    <sheet name="UpdateMasterFundOnTT" sheetId="8" r:id="rId8"/>
    <sheet name="CreateDoneAwayOrder" sheetId="9" r:id="rId9"/>
    <sheet name="UpdateMasterFundOnTT1" sheetId="10" r:id="rId10"/>
    <sheet name="CreateDoneAwayOrder1" sheetId="11" r:id="rId11"/>
    <sheet name="VerifyOrder" sheetId="12" r:id="rId12"/>
    <sheet name="GetDataAllocation" sheetId="13" r:id="rId13"/>
    <sheet name="CheckAllocatedGroups" sheetId="14" r:id="rId14"/>
    <sheet name="CheckPortfolioManagement" sheetId="15" r:id="rId15"/>
  </sheets>
  <calcPr calcId="145621"/>
</workbook>
</file>

<file path=xl/calcChain.xml><?xml version="1.0" encoding="utf-8"?>
<calcChain xmlns="http://schemas.openxmlformats.org/spreadsheetml/2006/main">
  <c r="C6" i="6" l="1"/>
  <c r="B6" i="6"/>
  <c r="BK5" i="15"/>
  <c r="FB5" i="1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P4" i="12"/>
  <c r="AH4" i="12"/>
  <c r="Z4" i="12"/>
  <c r="R4" i="12"/>
  <c r="J4" i="12"/>
  <c r="B4" i="12"/>
  <c r="AJ5" i="11"/>
  <c r="AB5" i="11"/>
  <c r="T5" i="11"/>
  <c r="L5" i="11"/>
  <c r="D5" i="11"/>
  <c r="X4" i="11"/>
  <c r="P4" i="11"/>
  <c r="H4" i="11"/>
  <c r="B5" i="10"/>
  <c r="V4" i="10"/>
  <c r="N4" i="10"/>
  <c r="F4" i="10"/>
  <c r="AN5" i="9"/>
  <c r="AF5" i="9"/>
  <c r="X5" i="9"/>
  <c r="P5" i="9"/>
  <c r="H5" i="9"/>
  <c r="AB4" i="9"/>
  <c r="T4" i="9"/>
  <c r="L4" i="9"/>
  <c r="D4" i="9"/>
  <c r="Z4" i="8"/>
  <c r="R4" i="8"/>
  <c r="J4" i="8"/>
  <c r="B4" i="8"/>
  <c r="AE4" i="7"/>
  <c r="W4" i="7"/>
  <c r="O4" i="7"/>
  <c r="G4" i="7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Q4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K5" i="13"/>
  <c r="C5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AW5" i="12"/>
  <c r="AO5" i="12"/>
  <c r="AG5" i="12"/>
  <c r="Y5" i="12"/>
  <c r="Q5" i="12"/>
  <c r="I5" i="12"/>
  <c r="A5" i="12"/>
  <c r="AO4" i="12"/>
  <c r="AG4" i="12"/>
  <c r="Y4" i="12"/>
  <c r="Q4" i="12"/>
  <c r="I4" i="12"/>
  <c r="AI5" i="11"/>
  <c r="AA5" i="11"/>
  <c r="S5" i="11"/>
  <c r="K5" i="11"/>
  <c r="C5" i="11"/>
  <c r="W4" i="11"/>
  <c r="O4" i="11"/>
  <c r="G4" i="11"/>
  <c r="A5" i="10"/>
  <c r="U4" i="10"/>
  <c r="M4" i="10"/>
  <c r="E4" i="10"/>
  <c r="AM5" i="9"/>
  <c r="AE5" i="9"/>
  <c r="W5" i="9"/>
  <c r="O5" i="9"/>
  <c r="G5" i="9"/>
  <c r="AA4" i="9"/>
  <c r="S4" i="9"/>
  <c r="K4" i="9"/>
  <c r="C4" i="9"/>
  <c r="Y4" i="8"/>
  <c r="Q4" i="8"/>
  <c r="I4" i="8"/>
  <c r="AD4" i="7"/>
  <c r="V4" i="7"/>
  <c r="N4" i="7"/>
  <c r="F4" i="7"/>
  <c r="C5" i="6"/>
  <c r="AB4" i="6"/>
  <c r="T4" i="6"/>
  <c r="L4" i="6"/>
  <c r="D4" i="6"/>
  <c r="DO4" i="5"/>
  <c r="DG4" i="5"/>
  <c r="CY4" i="5"/>
  <c r="CQ4" i="5"/>
  <c r="CI4" i="5"/>
  <c r="CA4" i="5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V5" i="12"/>
  <c r="AN5" i="12"/>
  <c r="AF5" i="12"/>
  <c r="X5" i="12"/>
  <c r="P5" i="12"/>
  <c r="H5" i="12"/>
  <c r="AV4" i="12"/>
  <c r="AN4" i="12"/>
  <c r="AF4" i="12"/>
  <c r="X4" i="12"/>
  <c r="P4" i="12"/>
  <c r="H4" i="12"/>
  <c r="AP5" i="11"/>
  <c r="AH5" i="11"/>
  <c r="Z5" i="11"/>
  <c r="R5" i="11"/>
  <c r="J5" i="11"/>
  <c r="B5" i="11"/>
  <c r="V4" i="11"/>
  <c r="N4" i="11"/>
  <c r="F4" i="11"/>
  <c r="AB4" i="10"/>
  <c r="T4" i="10"/>
  <c r="L4" i="10"/>
  <c r="D4" i="10"/>
  <c r="AL5" i="9"/>
  <c r="AD5" i="9"/>
  <c r="V5" i="9"/>
  <c r="N5" i="9"/>
  <c r="F5" i="9"/>
  <c r="Z4" i="9"/>
  <c r="R4" i="9"/>
  <c r="J4" i="9"/>
  <c r="B4" i="9"/>
  <c r="X4" i="8"/>
  <c r="P4" i="8"/>
  <c r="H4" i="8"/>
  <c r="D5" i="7"/>
  <c r="AC4" i="7"/>
  <c r="U4" i="7"/>
  <c r="M4" i="7"/>
  <c r="E4" i="7"/>
  <c r="B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U5" i="12"/>
  <c r="AM5" i="12"/>
  <c r="AE5" i="12"/>
  <c r="W5" i="12"/>
  <c r="O5" i="12"/>
  <c r="G5" i="12"/>
  <c r="AU4" i="12"/>
  <c r="AM4" i="12"/>
  <c r="AE4" i="12"/>
  <c r="W4" i="12"/>
  <c r="O4" i="12"/>
  <c r="G4" i="12"/>
  <c r="AO5" i="11"/>
  <c r="AG5" i="11"/>
  <c r="Y5" i="11"/>
  <c r="Q5" i="11"/>
  <c r="I5" i="11"/>
  <c r="A5" i="11"/>
  <c r="U4" i="11"/>
  <c r="M4" i="11"/>
  <c r="E4" i="11"/>
  <c r="AA4" i="10"/>
  <c r="S4" i="10"/>
  <c r="K4" i="10"/>
  <c r="C4" i="10"/>
  <c r="AK5" i="9"/>
  <c r="AC5" i="9"/>
  <c r="U5" i="9"/>
  <c r="M5" i="9"/>
  <c r="E5" i="9"/>
  <c r="Y4" i="9"/>
  <c r="Q4" i="9"/>
  <c r="I4" i="9"/>
  <c r="W4" i="8"/>
  <c r="O4" i="8"/>
  <c r="G4" i="8"/>
  <c r="C5" i="7"/>
  <c r="AB4" i="7"/>
  <c r="T4" i="7"/>
  <c r="L4" i="7"/>
  <c r="D4" i="7"/>
  <c r="A5" i="6"/>
  <c r="Z4" i="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P5" i="13"/>
  <c r="H5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AT5" i="12"/>
  <c r="AL5" i="12"/>
  <c r="AD5" i="12"/>
  <c r="V5" i="12"/>
  <c r="N5" i="12"/>
  <c r="F5" i="12"/>
  <c r="AT4" i="12"/>
  <c r="AL4" i="12"/>
  <c r="AD4" i="12"/>
  <c r="V4" i="12"/>
  <c r="N4" i="12"/>
  <c r="F4" i="12"/>
  <c r="AN5" i="11"/>
  <c r="AF5" i="11"/>
  <c r="X5" i="11"/>
  <c r="P5" i="11"/>
  <c r="H5" i="11"/>
  <c r="AB4" i="11"/>
  <c r="T4" i="11"/>
  <c r="L4" i="11"/>
  <c r="D4" i="11"/>
  <c r="Z4" i="10"/>
  <c r="R4" i="10"/>
  <c r="J4" i="10"/>
  <c r="B4" i="10"/>
  <c r="AJ5" i="9"/>
  <c r="AB5" i="9"/>
  <c r="T5" i="9"/>
  <c r="L5" i="9"/>
  <c r="D5" i="9"/>
  <c r="X4" i="9"/>
  <c r="P4" i="9"/>
  <c r="H4" i="9"/>
  <c r="B5" i="8"/>
  <c r="V4" i="8"/>
  <c r="N4" i="8"/>
  <c r="F4" i="8"/>
  <c r="B5" i="7"/>
  <c r="AA4" i="7"/>
  <c r="S4" i="7"/>
  <c r="K4" i="7"/>
  <c r="C4" i="7"/>
  <c r="AG4" i="6"/>
  <c r="Y4" i="6"/>
  <c r="Q4" i="6"/>
  <c r="I4" i="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BA5" i="12"/>
  <c r="AS5" i="12"/>
  <c r="AK5" i="12"/>
  <c r="AC5" i="12"/>
  <c r="U5" i="12"/>
  <c r="M5" i="12"/>
  <c r="E5" i="12"/>
  <c r="AS4" i="12"/>
  <c r="AK4" i="12"/>
  <c r="AC4" i="12"/>
  <c r="U4" i="12"/>
  <c r="M4" i="12"/>
  <c r="E4" i="12"/>
  <c r="AM5" i="11"/>
  <c r="AE5" i="11"/>
  <c r="W5" i="11"/>
  <c r="O5" i="11"/>
  <c r="G5" i="11"/>
  <c r="AA4" i="11"/>
  <c r="S4" i="11"/>
  <c r="K4" i="11"/>
  <c r="C4" i="11"/>
  <c r="Y4" i="10"/>
  <c r="Q4" i="10"/>
  <c r="I4" i="10"/>
  <c r="AI5" i="9"/>
  <c r="AA5" i="9"/>
  <c r="S5" i="9"/>
  <c r="K5" i="9"/>
  <c r="C5" i="9"/>
  <c r="W4" i="9"/>
  <c r="O4" i="9"/>
  <c r="G4" i="9"/>
  <c r="A5" i="8"/>
  <c r="U4" i="8"/>
  <c r="M4" i="8"/>
  <c r="E4" i="8"/>
  <c r="A5" i="7"/>
  <c r="Z4" i="7"/>
  <c r="R4" i="7"/>
  <c r="J4" i="7"/>
  <c r="B4" i="7"/>
  <c r="AF4" i="6"/>
  <c r="X4" i="6"/>
  <c r="P4" i="6"/>
  <c r="H4" i="6"/>
  <c r="B5" i="5"/>
  <c r="DK4" i="5"/>
  <c r="DC4" i="5"/>
  <c r="CU4" i="5"/>
  <c r="CM4" i="5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Z4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AZ5" i="12"/>
  <c r="AR5" i="12"/>
  <c r="AJ5" i="12"/>
  <c r="AB5" i="12"/>
  <c r="T5" i="12"/>
  <c r="L5" i="12"/>
  <c r="D5" i="12"/>
  <c r="AR4" i="12"/>
  <c r="AJ4" i="12"/>
  <c r="AB4" i="12"/>
  <c r="T4" i="12"/>
  <c r="L4" i="12"/>
  <c r="D4" i="12"/>
  <c r="AL5" i="11"/>
  <c r="AD5" i="11"/>
  <c r="V5" i="11"/>
  <c r="N5" i="11"/>
  <c r="F5" i="11"/>
  <c r="Z4" i="11"/>
  <c r="R4" i="11"/>
  <c r="J4" i="11"/>
  <c r="B4" i="11"/>
  <c r="X4" i="10"/>
  <c r="P4" i="10"/>
  <c r="H4" i="10"/>
  <c r="AP5" i="9"/>
  <c r="AH5" i="9"/>
  <c r="Z5" i="9"/>
  <c r="R5" i="9"/>
  <c r="J5" i="9"/>
  <c r="B5" i="9"/>
  <c r="V4" i="9"/>
  <c r="N4" i="9"/>
  <c r="F4" i="9"/>
  <c r="AB4" i="8"/>
  <c r="T4" i="8"/>
  <c r="L4" i="8"/>
  <c r="D4" i="8"/>
  <c r="AG4" i="7"/>
  <c r="Y4" i="7"/>
  <c r="Q4" i="7"/>
  <c r="I4" i="7"/>
  <c r="AE4" i="6"/>
  <c r="W4" i="6"/>
  <c r="O4" i="6"/>
  <c r="G4" i="6"/>
  <c r="A5" i="5"/>
  <c r="DJ4" i="5"/>
  <c r="DB4" i="5"/>
  <c r="CT4" i="5"/>
  <c r="CL4" i="5"/>
  <c r="CD4" i="5"/>
  <c r="BV4" i="5"/>
  <c r="BN4" i="5"/>
  <c r="BF4" i="5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Y4" i="15"/>
  <c r="Q4" i="15"/>
  <c r="I4" i="15"/>
  <c r="CL5" i="14"/>
  <c r="CD5" i="14"/>
  <c r="BV5" i="14"/>
  <c r="BN5" i="14"/>
  <c r="BF5" i="14"/>
  <c r="AX5" i="14"/>
  <c r="AP5" i="14"/>
  <c r="AH5" i="14"/>
  <c r="Z5" i="14"/>
  <c r="R5" i="14"/>
  <c r="J5" i="14"/>
  <c r="B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AY5" i="12"/>
  <c r="AQ5" i="12"/>
  <c r="AI5" i="12"/>
  <c r="AA5" i="12"/>
  <c r="S5" i="12"/>
  <c r="K5" i="12"/>
  <c r="C5" i="12"/>
  <c r="AQ4" i="12"/>
  <c r="AI4" i="12"/>
  <c r="AA4" i="12"/>
  <c r="S4" i="12"/>
  <c r="K4" i="12"/>
  <c r="C4" i="12"/>
  <c r="AK5" i="11"/>
  <c r="AC5" i="11"/>
  <c r="U5" i="11"/>
  <c r="M5" i="11"/>
  <c r="E5" i="11"/>
  <c r="Y4" i="11"/>
  <c r="Q4" i="11"/>
  <c r="I4" i="11"/>
  <c r="W4" i="10"/>
  <c r="O4" i="10"/>
  <c r="G4" i="10"/>
  <c r="AO5" i="9"/>
  <c r="AG5" i="9"/>
  <c r="Y5" i="9"/>
  <c r="Q5" i="9"/>
  <c r="I5" i="9"/>
  <c r="A5" i="9"/>
  <c r="U4" i="9"/>
  <c r="M4" i="9"/>
  <c r="E4" i="9"/>
  <c r="AA4" i="8"/>
  <c r="S4" i="8"/>
  <c r="K4" i="8"/>
  <c r="C4" i="8"/>
  <c r="AC4" i="6"/>
  <c r="E4" i="6"/>
  <c r="DE4" i="5"/>
  <c r="CO4" i="5"/>
  <c r="CB4" i="5"/>
  <c r="BP4" i="5"/>
  <c r="BE4" i="5"/>
  <c r="AV4" i="5"/>
  <c r="AM4" i="5"/>
  <c r="AC4" i="5"/>
  <c r="U4" i="5"/>
  <c r="M4" i="5"/>
  <c r="E4" i="5"/>
  <c r="H5" i="4"/>
  <c r="J4" i="4"/>
  <c r="B4" i="4"/>
  <c r="B19" i="3"/>
  <c r="B17" i="3"/>
  <c r="B15" i="3"/>
  <c r="B13" i="3"/>
  <c r="B11" i="3"/>
  <c r="B9" i="3"/>
  <c r="B7" i="3"/>
  <c r="B5" i="3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F4" i="7"/>
  <c r="V4" i="6"/>
  <c r="B4" i="6"/>
  <c r="DD4" i="5"/>
  <c r="CN4" i="5"/>
  <c r="BY4" i="5"/>
  <c r="BO4" i="5"/>
  <c r="BD4" i="5"/>
  <c r="AU4" i="5"/>
  <c r="AK4" i="5"/>
  <c r="AB4" i="5"/>
  <c r="T4" i="5"/>
  <c r="L4" i="5"/>
  <c r="D4" i="5"/>
  <c r="G5" i="4"/>
  <c r="I4" i="4"/>
  <c r="A19" i="3"/>
  <c r="A17" i="3"/>
  <c r="A15" i="3"/>
  <c r="A13" i="3"/>
  <c r="A11" i="3"/>
  <c r="A9" i="3"/>
  <c r="A7" i="3"/>
  <c r="A5" i="3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X4" i="7"/>
  <c r="U4" i="6"/>
  <c r="DQ4" i="5"/>
  <c r="DA4" i="5"/>
  <c r="CK4" i="5"/>
  <c r="BX4" i="5"/>
  <c r="BM4" i="5"/>
  <c r="BC4" i="5"/>
  <c r="AS4" i="5"/>
  <c r="AJ4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D6" i="3"/>
  <c r="D4" i="3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P4" i="7"/>
  <c r="R4" i="6"/>
  <c r="DP4" i="5"/>
  <c r="CZ4" i="5"/>
  <c r="CJ4" i="5"/>
  <c r="BW4" i="5"/>
  <c r="BL4" i="5"/>
  <c r="BA4" i="5"/>
  <c r="AR4" i="5"/>
  <c r="AI4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H4" i="7"/>
  <c r="N4" i="6"/>
  <c r="DM4" i="5"/>
  <c r="CW4" i="5"/>
  <c r="CG4" i="5"/>
  <c r="BU4" i="5"/>
  <c r="BK4" i="5"/>
  <c r="AZ4" i="5"/>
  <c r="AQ4" i="5"/>
  <c r="AH4" i="5"/>
  <c r="Y4" i="5"/>
  <c r="Q4" i="5"/>
  <c r="I4" i="5"/>
  <c r="D5" i="4"/>
  <c r="F4" i="4"/>
  <c r="B20" i="3"/>
  <c r="B18" i="3"/>
  <c r="B16" i="3"/>
  <c r="B14" i="3"/>
  <c r="B12" i="3"/>
  <c r="B10" i="3"/>
  <c r="B8" i="3"/>
  <c r="B6" i="3"/>
  <c r="B4" i="3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M4" i="6"/>
  <c r="DL4" i="5"/>
  <c r="CV4" i="5"/>
  <c r="CF4" i="5"/>
  <c r="BT4" i="5"/>
  <c r="BI4" i="5"/>
  <c r="AY4" i="5"/>
  <c r="AP4" i="5"/>
  <c r="AG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J4" i="6"/>
  <c r="DI4" i="5"/>
  <c r="CS4" i="5"/>
  <c r="CE4" i="5"/>
  <c r="BS4" i="5"/>
  <c r="BH4" i="5"/>
  <c r="AX4" i="5"/>
  <c r="AO4" i="5"/>
  <c r="AF4" i="5"/>
  <c r="W4" i="5"/>
  <c r="O4" i="5"/>
  <c r="G4" i="5"/>
  <c r="J5" i="4"/>
  <c r="B5" i="4"/>
  <c r="D4" i="4"/>
  <c r="D19" i="3"/>
  <c r="D17" i="3"/>
  <c r="D15" i="3"/>
  <c r="D13" i="3"/>
  <c r="D11" i="3"/>
  <c r="D9" i="3"/>
  <c r="D7" i="3"/>
  <c r="D5" i="3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AD4" i="6"/>
  <c r="F4" i="6"/>
  <c r="DH4" i="5"/>
  <c r="CR4" i="5"/>
  <c r="CC4" i="5"/>
  <c r="BQ4" i="5"/>
  <c r="BG4" i="5"/>
  <c r="AW4" i="5"/>
  <c r="AN4" i="5"/>
  <c r="AE4" i="5"/>
  <c r="V4" i="5"/>
  <c r="N4" i="5"/>
  <c r="F4" i="5"/>
  <c r="I5" i="4"/>
  <c r="A5" i="4"/>
  <c r="C4" i="4"/>
  <c r="C19" i="3"/>
  <c r="C17" i="3"/>
  <c r="C15" i="3"/>
  <c r="C13" i="3"/>
  <c r="C11" i="3"/>
  <c r="C9" i="3"/>
  <c r="C7" i="3"/>
  <c r="C5" i="3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6" i="1"/>
  <c r="A233" i="1"/>
  <c r="A230" i="1"/>
  <c r="C226" i="1"/>
  <c r="C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35" i="1"/>
  <c r="C232" i="1"/>
  <c r="B229" i="1"/>
  <c r="B226" i="1"/>
  <c r="B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38" i="1"/>
  <c r="B235" i="1"/>
  <c r="A232" i="1"/>
  <c r="A229" i="1"/>
  <c r="A226" i="1"/>
  <c r="A223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38" i="1"/>
  <c r="C234" i="1"/>
  <c r="C231" i="1"/>
  <c r="C228" i="1"/>
  <c r="C225" i="1"/>
  <c r="C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38" i="1"/>
  <c r="B234" i="1"/>
  <c r="B231" i="1"/>
  <c r="B228" i="1"/>
  <c r="B225" i="1"/>
  <c r="B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237" i="1"/>
  <c r="A234" i="1"/>
  <c r="A231" i="1"/>
  <c r="A228" i="1"/>
  <c r="A225" i="1"/>
  <c r="A222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37" i="1"/>
  <c r="C233" i="1"/>
  <c r="C230" i="1"/>
  <c r="C227" i="1"/>
  <c r="C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236" i="1"/>
  <c r="B233" i="1"/>
  <c r="B230" i="1"/>
  <c r="B227" i="1"/>
  <c r="A224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J2" i="14" l="1"/>
  <c r="J2" i="12"/>
  <c r="J2" i="8"/>
  <c r="J2" i="9"/>
  <c r="J2" i="13"/>
  <c r="J2" i="6"/>
  <c r="J2" i="10"/>
  <c r="J2" i="7"/>
  <c r="J2" i="15"/>
  <c r="J2" i="11"/>
  <c r="J2" i="4"/>
  <c r="J2" i="5"/>
</calcChain>
</file>

<file path=xl/sharedStrings.xml><?xml version="1.0" encoding="utf-8"?>
<sst xmlns="http://schemas.openxmlformats.org/spreadsheetml/2006/main" count="262" uniqueCount="47">
  <si>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</si>
  <si>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</si>
  <si>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</si>
  <si>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</si>
  <si>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</si>
  <si>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</si>
  <si>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</si>
  <si>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</si>
  <si>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</si>
  <si>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</si>
  <si>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</si>
  <si>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</si>
  <si>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</si>
  <si>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</si>
  <si>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</si>
  <si>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</si>
  <si>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</si>
  <si>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</si>
  <si>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</si>
  <si>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</si>
  <si>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</si>
  <si>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</si>
  <si>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</si>
  <si>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</si>
  <si>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</si>
  <si>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</si>
  <si>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</si>
  <si>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CreateDoneAwayOrder</t>
  </si>
  <si>
    <t>AAPL</t>
  </si>
  <si>
    <t>Sell</t>
  </si>
  <si>
    <t>MS</t>
  </si>
  <si>
    <t>NewMF1</t>
  </si>
  <si>
    <t>Blotter</t>
  </si>
  <si>
    <t>VerifyOrder</t>
  </si>
  <si>
    <t>Equity</t>
  </si>
  <si>
    <t>Filled</t>
  </si>
  <si>
    <t>Market</t>
  </si>
  <si>
    <t>GetDataAllocation</t>
  </si>
  <si>
    <t>Current</t>
  </si>
  <si>
    <t>CheckAllocatedGroups</t>
  </si>
  <si>
    <t>Open</t>
  </si>
  <si>
    <t>US</t>
  </si>
  <si>
    <t>PortfolioManagement</t>
  </si>
  <si>
    <t>CheckPortfolioManagement</t>
  </si>
  <si>
    <t>Short</t>
  </si>
  <si>
    <t>NASDAQ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</si>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</sst>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0" fontId="3" fillId="0" borderId="5" xfId="0" applyFont="1" applyBorder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30" sqref="F30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8" t="s">
        <v>0</v>
      </c>
      <c r="B1" s="49"/>
      <c r="C1" s="49"/>
      <c r="D1" s="49"/>
      <c r="E1" s="49"/>
      <c r="F1" s="50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IFERROR(__xludf.DUMMYFUNCTION("""COMPUTED_VALUE"""),"OpenBlotter")</f>
        <v>OpenBlotter</v>
      </c>
      <c r="C491" t="str">
        <f ca="1">IFERROR(__xludf.DUMMYFUNCTION("""COMPUTED_VALUE"""),"12ceIzEYIShy-_njSlPPAl07iNZK9EY7UC-GDAyLFzV4")</f>
        <v>12ceIzEYIShy-_njSlPPAl07iNZK9EY7UC-GDAyLFzV4</v>
      </c>
    </row>
    <row r="492" spans="1:3" ht="15.75" customHeight="1"/>
    <row r="493" spans="1:3" ht="15.75" customHeight="1"/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1" t="s">
        <v>2</v>
      </c>
      <c r="B1" s="49"/>
      <c r="C1" s="50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8" t="s">
        <v>7</v>
      </c>
      <c r="B1" s="49"/>
      <c r="C1" s="49"/>
      <c r="D1" s="49"/>
      <c r="E1" s="49"/>
      <c r="F1" s="50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27" t="b">
        <v>1</v>
      </c>
      <c r="E6" s="26"/>
      <c r="F6" s="26"/>
      <c r="G6" s="26"/>
      <c r="H6" s="28">
        <v>10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1">
        <f t="shared" ref="B6:C6" ca="1" si="0">TODAY()-1</f>
        <v>44411</v>
      </c>
      <c r="C6" s="32">
        <f t="shared" ca="1" si="0"/>
        <v>44411</v>
      </c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21</v>
      </c>
      <c r="C6" s="26" t="s">
        <v>22</v>
      </c>
      <c r="D6" s="33">
        <v>300000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 t="s">
        <v>23</v>
      </c>
      <c r="C7" s="29" t="s">
        <v>22</v>
      </c>
      <c r="D7" s="34">
        <v>300000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26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28</v>
      </c>
      <c r="C6" s="26" t="s">
        <v>29</v>
      </c>
      <c r="D6" s="33">
        <v>100</v>
      </c>
      <c r="E6" s="28">
        <v>100</v>
      </c>
      <c r="F6" s="26" t="s">
        <v>21</v>
      </c>
      <c r="G6" s="26" t="s">
        <v>30</v>
      </c>
      <c r="H6" s="26"/>
      <c r="I6" s="26"/>
      <c r="J6" s="28">
        <v>210</v>
      </c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6" t="s">
        <v>28</v>
      </c>
      <c r="C7" s="26" t="s">
        <v>29</v>
      </c>
      <c r="D7" s="34">
        <v>100000</v>
      </c>
      <c r="E7" s="34">
        <v>100000</v>
      </c>
      <c r="F7" s="29" t="s">
        <v>21</v>
      </c>
      <c r="G7" s="29" t="s">
        <v>30</v>
      </c>
      <c r="H7" s="29"/>
      <c r="I7" s="29"/>
      <c r="J7" s="34">
        <v>210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31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5"/>
      <c r="B6" s="25" t="s">
        <v>28</v>
      </c>
      <c r="C6" s="26" t="s">
        <v>29</v>
      </c>
      <c r="D6" s="36">
        <v>100</v>
      </c>
      <c r="E6" s="34">
        <v>100</v>
      </c>
      <c r="F6" s="29" t="s">
        <v>23</v>
      </c>
      <c r="G6" s="29" t="s">
        <v>30</v>
      </c>
      <c r="H6" s="29"/>
      <c r="I6" s="29"/>
      <c r="J6" s="34">
        <v>210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6" t="s">
        <v>28</v>
      </c>
      <c r="C7" s="26" t="s">
        <v>29</v>
      </c>
      <c r="D7" s="34">
        <v>100000</v>
      </c>
      <c r="E7" s="34">
        <v>100000</v>
      </c>
      <c r="F7" s="29" t="s">
        <v>23</v>
      </c>
      <c r="G7" s="29" t="s">
        <v>30</v>
      </c>
      <c r="H7" s="29"/>
      <c r="I7" s="29"/>
      <c r="J7" s="34">
        <v>210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33">
        <v>210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37" t="s">
        <v>26</v>
      </c>
      <c r="AB6" s="29"/>
      <c r="AC6" s="29"/>
      <c r="AD6" s="38">
        <v>1</v>
      </c>
      <c r="AE6" s="29"/>
      <c r="AF6" s="29"/>
      <c r="AG6" s="29"/>
      <c r="AH6" s="29" t="s">
        <v>34</v>
      </c>
      <c r="AI6" s="29" t="s">
        <v>28</v>
      </c>
      <c r="AJ6" s="29" t="s">
        <v>29</v>
      </c>
      <c r="AK6" s="29" t="s">
        <v>35</v>
      </c>
      <c r="AL6" s="38">
        <v>100</v>
      </c>
      <c r="AM6" s="38">
        <v>100</v>
      </c>
      <c r="AN6" s="38">
        <v>100</v>
      </c>
      <c r="AO6" s="38">
        <v>100</v>
      </c>
      <c r="AP6" s="29"/>
      <c r="AQ6" s="38">
        <v>210</v>
      </c>
      <c r="AR6" s="38">
        <v>210</v>
      </c>
      <c r="AS6" s="29" t="s">
        <v>30</v>
      </c>
      <c r="AT6" s="29" t="s">
        <v>21</v>
      </c>
      <c r="AU6" s="29" t="s">
        <v>36</v>
      </c>
      <c r="AV6" s="38">
        <v>-21000</v>
      </c>
      <c r="AW6" s="38">
        <v>-21000</v>
      </c>
      <c r="AX6" s="29"/>
      <c r="AY6" s="38">
        <v>100</v>
      </c>
      <c r="AZ6" s="37">
        <v>0</v>
      </c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/>
      <c r="C7" s="29"/>
      <c r="D7" s="34">
        <v>210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37" t="s">
        <v>26</v>
      </c>
      <c r="AB7" s="29"/>
      <c r="AC7" s="29"/>
      <c r="AD7" s="38">
        <v>1</v>
      </c>
      <c r="AE7" s="29"/>
      <c r="AF7" s="29"/>
      <c r="AG7" s="29"/>
      <c r="AH7" s="29" t="s">
        <v>34</v>
      </c>
      <c r="AI7" s="29" t="s">
        <v>28</v>
      </c>
      <c r="AJ7" s="29" t="s">
        <v>29</v>
      </c>
      <c r="AK7" s="29" t="s">
        <v>35</v>
      </c>
      <c r="AL7" s="38">
        <v>100000</v>
      </c>
      <c r="AM7" s="38">
        <v>100000</v>
      </c>
      <c r="AN7" s="38">
        <v>100</v>
      </c>
      <c r="AO7" s="38">
        <v>100000</v>
      </c>
      <c r="AP7" s="29"/>
      <c r="AQ7" s="38">
        <v>210</v>
      </c>
      <c r="AR7" s="38">
        <v>210</v>
      </c>
      <c r="AS7" s="29" t="s">
        <v>30</v>
      </c>
      <c r="AT7" s="29" t="s">
        <v>21</v>
      </c>
      <c r="AU7" s="29" t="s">
        <v>36</v>
      </c>
      <c r="AV7" s="39">
        <v>-21000000</v>
      </c>
      <c r="AW7" s="39">
        <v>-21000000</v>
      </c>
      <c r="AX7" s="29"/>
      <c r="AY7" s="38">
        <v>100000</v>
      </c>
      <c r="AZ7" s="37">
        <v>0</v>
      </c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29"/>
      <c r="C8" s="29"/>
      <c r="D8" s="34">
        <v>210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7" t="s">
        <v>31</v>
      </c>
      <c r="AB8" s="29"/>
      <c r="AC8" s="29"/>
      <c r="AD8" s="38">
        <v>1</v>
      </c>
      <c r="AE8" s="29"/>
      <c r="AF8" s="29"/>
      <c r="AG8" s="29"/>
      <c r="AH8" s="29" t="s">
        <v>34</v>
      </c>
      <c r="AI8" s="29" t="s">
        <v>28</v>
      </c>
      <c r="AJ8" s="29" t="s">
        <v>29</v>
      </c>
      <c r="AK8" s="29" t="s">
        <v>35</v>
      </c>
      <c r="AL8" s="38">
        <v>100</v>
      </c>
      <c r="AM8" s="38">
        <v>100</v>
      </c>
      <c r="AN8" s="38">
        <v>100</v>
      </c>
      <c r="AO8" s="38">
        <v>100</v>
      </c>
      <c r="AP8" s="29"/>
      <c r="AQ8" s="38">
        <v>210</v>
      </c>
      <c r="AR8" s="38">
        <v>210</v>
      </c>
      <c r="AS8" s="29" t="s">
        <v>30</v>
      </c>
      <c r="AT8" s="29" t="s">
        <v>23</v>
      </c>
      <c r="AU8" s="29" t="s">
        <v>36</v>
      </c>
      <c r="AV8" s="38">
        <v>-21000</v>
      </c>
      <c r="AW8" s="38">
        <v>-21000</v>
      </c>
      <c r="AX8" s="29"/>
      <c r="AY8" s="38">
        <v>100</v>
      </c>
      <c r="AZ8" s="37">
        <v>0</v>
      </c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29"/>
      <c r="B9" s="29"/>
      <c r="C9" s="29"/>
      <c r="D9" s="34">
        <v>210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37" t="s">
        <v>31</v>
      </c>
      <c r="AB9" s="29"/>
      <c r="AC9" s="29"/>
      <c r="AD9" s="38">
        <v>1</v>
      </c>
      <c r="AE9" s="29"/>
      <c r="AF9" s="29"/>
      <c r="AG9" s="29"/>
      <c r="AH9" s="29" t="s">
        <v>34</v>
      </c>
      <c r="AI9" s="29" t="s">
        <v>28</v>
      </c>
      <c r="AJ9" s="29" t="s">
        <v>29</v>
      </c>
      <c r="AK9" s="29" t="s">
        <v>35</v>
      </c>
      <c r="AL9" s="38">
        <v>100000</v>
      </c>
      <c r="AM9" s="38">
        <v>100000</v>
      </c>
      <c r="AN9" s="38">
        <v>100</v>
      </c>
      <c r="AO9" s="38">
        <v>100000</v>
      </c>
      <c r="AP9" s="29"/>
      <c r="AQ9" s="38">
        <v>210</v>
      </c>
      <c r="AR9" s="38">
        <v>210</v>
      </c>
      <c r="AS9" s="29" t="s">
        <v>30</v>
      </c>
      <c r="AT9" s="29" t="s">
        <v>23</v>
      </c>
      <c r="AU9" s="29" t="s">
        <v>36</v>
      </c>
      <c r="AV9" s="39">
        <v>-21000000</v>
      </c>
      <c r="AW9" s="39">
        <v>-21000000</v>
      </c>
      <c r="AX9" s="29"/>
      <c r="AY9" s="38">
        <v>100000</v>
      </c>
      <c r="AZ9" s="37">
        <v>0</v>
      </c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38</v>
      </c>
      <c r="C6" s="5"/>
      <c r="D6" s="7"/>
      <c r="E6" s="30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35"/>
      <c r="B6" s="40" t="s">
        <v>21</v>
      </c>
      <c r="C6" s="26"/>
      <c r="D6" s="41">
        <v>0</v>
      </c>
      <c r="E6" s="41">
        <v>100000</v>
      </c>
      <c r="F6" s="26"/>
      <c r="G6" s="42" t="s">
        <v>34</v>
      </c>
      <c r="H6" s="28">
        <v>4</v>
      </c>
      <c r="I6" s="28">
        <v>5</v>
      </c>
      <c r="J6" s="26"/>
      <c r="K6" s="28">
        <v>210</v>
      </c>
      <c r="L6" s="28">
        <v>210</v>
      </c>
      <c r="M6" s="26"/>
      <c r="N6" s="26"/>
      <c r="O6" s="26" t="s">
        <v>30</v>
      </c>
      <c r="P6" s="26"/>
      <c r="Q6" s="41">
        <v>3</v>
      </c>
      <c r="R6" s="43">
        <v>0</v>
      </c>
      <c r="S6" s="26" t="s">
        <v>40</v>
      </c>
      <c r="T6" s="38">
        <v>0</v>
      </c>
      <c r="U6" s="38">
        <v>0</v>
      </c>
      <c r="V6" s="29"/>
      <c r="W6" s="29"/>
      <c r="X6" s="29"/>
      <c r="Y6" s="29"/>
      <c r="Z6" s="44" t="s">
        <v>22</v>
      </c>
      <c r="AA6" s="29"/>
      <c r="AB6" s="29"/>
      <c r="AC6" s="29"/>
      <c r="AD6" s="29"/>
      <c r="AE6" s="45">
        <v>100000</v>
      </c>
      <c r="AF6" s="29"/>
      <c r="AG6" s="29"/>
      <c r="AH6" s="29"/>
      <c r="AI6" s="38">
        <v>1</v>
      </c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45">
        <v>20999974.239999998</v>
      </c>
      <c r="AU6" s="45">
        <v>20999974.239999998</v>
      </c>
      <c r="AV6" s="29"/>
      <c r="AW6" s="38">
        <v>0</v>
      </c>
      <c r="AX6" s="45">
        <v>0</v>
      </c>
      <c r="AY6" s="29" t="s">
        <v>36</v>
      </c>
      <c r="AZ6" s="38">
        <v>0</v>
      </c>
      <c r="BA6" s="29"/>
      <c r="BB6" s="29"/>
      <c r="BC6" s="38">
        <v>0</v>
      </c>
      <c r="BD6" s="29"/>
      <c r="BE6" s="45">
        <v>21000000</v>
      </c>
      <c r="BF6" s="45">
        <v>21000000</v>
      </c>
      <c r="BG6" s="29"/>
      <c r="BH6" s="29"/>
      <c r="BI6" s="29"/>
      <c r="BJ6" s="45">
        <v>100000</v>
      </c>
      <c r="BK6" s="45">
        <v>0</v>
      </c>
      <c r="BL6" s="29"/>
      <c r="BM6" s="44" t="s">
        <v>22</v>
      </c>
      <c r="BN6" s="29"/>
      <c r="BO6" s="44" t="s">
        <v>29</v>
      </c>
      <c r="BP6" s="45">
        <v>0</v>
      </c>
      <c r="BQ6" s="45">
        <v>0</v>
      </c>
      <c r="BR6" s="29"/>
      <c r="BS6" s="29"/>
      <c r="BT6" s="29" t="s">
        <v>28</v>
      </c>
      <c r="BU6" s="45">
        <v>3</v>
      </c>
      <c r="BV6" s="45">
        <v>0</v>
      </c>
      <c r="BW6" s="45">
        <v>25.76</v>
      </c>
      <c r="BX6" s="45">
        <v>0</v>
      </c>
      <c r="BY6" s="29"/>
      <c r="BZ6" s="29"/>
      <c r="CA6" s="29"/>
      <c r="CB6" s="29"/>
      <c r="CC6" s="29"/>
      <c r="CD6" s="29"/>
      <c r="CE6" s="29"/>
      <c r="CF6" s="29"/>
      <c r="CG6" s="29"/>
      <c r="CH6" s="44" t="s">
        <v>24</v>
      </c>
      <c r="CI6" s="44" t="s">
        <v>29</v>
      </c>
      <c r="CJ6" s="45">
        <v>0</v>
      </c>
      <c r="CK6" s="44" t="s">
        <v>41</v>
      </c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44" t="s">
        <v>21</v>
      </c>
      <c r="C7" s="29"/>
      <c r="D7" s="45">
        <v>0</v>
      </c>
      <c r="E7" s="45">
        <v>100</v>
      </c>
      <c r="F7" s="29"/>
      <c r="G7" s="44" t="s">
        <v>34</v>
      </c>
      <c r="H7" s="34">
        <v>4</v>
      </c>
      <c r="I7" s="34">
        <v>5</v>
      </c>
      <c r="J7" s="29"/>
      <c r="K7" s="34">
        <v>210</v>
      </c>
      <c r="L7" s="34">
        <v>210</v>
      </c>
      <c r="M7" s="29"/>
      <c r="N7" s="29"/>
      <c r="O7" s="29" t="s">
        <v>30</v>
      </c>
      <c r="P7" s="29"/>
      <c r="Q7" s="45">
        <v>3</v>
      </c>
      <c r="R7" s="38">
        <v>0</v>
      </c>
      <c r="S7" s="29" t="s">
        <v>40</v>
      </c>
      <c r="T7" s="38">
        <v>0</v>
      </c>
      <c r="U7" s="38">
        <v>0</v>
      </c>
      <c r="V7" s="29"/>
      <c r="W7" s="29"/>
      <c r="X7" s="29"/>
      <c r="Y7" s="29"/>
      <c r="Z7" s="44" t="s">
        <v>22</v>
      </c>
      <c r="AA7" s="29"/>
      <c r="AB7" s="29"/>
      <c r="AC7" s="29"/>
      <c r="AD7" s="29"/>
      <c r="AE7" s="45">
        <v>100</v>
      </c>
      <c r="AF7" s="29"/>
      <c r="AG7" s="29"/>
      <c r="AH7" s="29"/>
      <c r="AI7" s="38">
        <v>1</v>
      </c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45">
        <v>20985.9882</v>
      </c>
      <c r="AU7" s="45">
        <v>20985.9882</v>
      </c>
      <c r="AV7" s="29"/>
      <c r="AW7" s="38">
        <v>0</v>
      </c>
      <c r="AX7" s="45">
        <v>0</v>
      </c>
      <c r="AY7" s="29" t="s">
        <v>36</v>
      </c>
      <c r="AZ7" s="38">
        <v>0</v>
      </c>
      <c r="BA7" s="29"/>
      <c r="BB7" s="29"/>
      <c r="BC7" s="38">
        <v>0</v>
      </c>
      <c r="BD7" s="29"/>
      <c r="BE7" s="45">
        <v>21000</v>
      </c>
      <c r="BF7" s="45">
        <v>21000</v>
      </c>
      <c r="BG7" s="29"/>
      <c r="BH7" s="29"/>
      <c r="BI7" s="29"/>
      <c r="BJ7" s="45">
        <v>100</v>
      </c>
      <c r="BK7" s="45">
        <v>0</v>
      </c>
      <c r="BL7" s="29"/>
      <c r="BM7" s="44" t="s">
        <v>22</v>
      </c>
      <c r="BN7" s="29"/>
      <c r="BO7" s="44" t="s">
        <v>29</v>
      </c>
      <c r="BP7" s="45">
        <v>0</v>
      </c>
      <c r="BQ7" s="45">
        <v>0</v>
      </c>
      <c r="BR7" s="29"/>
      <c r="BS7" s="29"/>
      <c r="BT7" s="29" t="s">
        <v>28</v>
      </c>
      <c r="BU7" s="45">
        <v>3</v>
      </c>
      <c r="BV7" s="45">
        <v>0</v>
      </c>
      <c r="BW7" s="45">
        <v>14.011799999999999</v>
      </c>
      <c r="BX7" s="45">
        <v>0</v>
      </c>
      <c r="BY7" s="29"/>
      <c r="BZ7" s="29"/>
      <c r="CA7" s="29"/>
      <c r="CB7" s="29"/>
      <c r="CC7" s="29"/>
      <c r="CD7" s="29"/>
      <c r="CE7" s="29"/>
      <c r="CF7" s="29"/>
      <c r="CG7" s="29"/>
      <c r="CH7" s="44" t="s">
        <v>24</v>
      </c>
      <c r="CI7" s="44" t="s">
        <v>29</v>
      </c>
      <c r="CJ7" s="45">
        <v>0</v>
      </c>
      <c r="CK7" s="44" t="s">
        <v>41</v>
      </c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44" t="s">
        <v>23</v>
      </c>
      <c r="C8" s="29"/>
      <c r="D8" s="45">
        <v>0</v>
      </c>
      <c r="E8" s="45">
        <v>100</v>
      </c>
      <c r="F8" s="29"/>
      <c r="G8" s="44" t="s">
        <v>34</v>
      </c>
      <c r="H8" s="34">
        <v>4</v>
      </c>
      <c r="I8" s="34">
        <v>5</v>
      </c>
      <c r="J8" s="29"/>
      <c r="K8" s="34">
        <v>210</v>
      </c>
      <c r="L8" s="34">
        <v>210</v>
      </c>
      <c r="M8" s="29"/>
      <c r="N8" s="29"/>
      <c r="O8" s="29" t="s">
        <v>30</v>
      </c>
      <c r="P8" s="29"/>
      <c r="Q8" s="45">
        <v>3</v>
      </c>
      <c r="R8" s="38">
        <v>0</v>
      </c>
      <c r="S8" s="29" t="s">
        <v>40</v>
      </c>
      <c r="T8" s="38">
        <v>0</v>
      </c>
      <c r="U8" s="38">
        <v>0</v>
      </c>
      <c r="V8" s="29"/>
      <c r="W8" s="29"/>
      <c r="X8" s="29"/>
      <c r="Y8" s="29"/>
      <c r="Z8" s="44" t="s">
        <v>22</v>
      </c>
      <c r="AA8" s="29"/>
      <c r="AB8" s="29"/>
      <c r="AC8" s="29"/>
      <c r="AD8" s="29"/>
      <c r="AE8" s="45">
        <v>100</v>
      </c>
      <c r="AF8" s="29"/>
      <c r="AG8" s="29"/>
      <c r="AH8" s="29"/>
      <c r="AI8" s="38">
        <v>1</v>
      </c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45">
        <v>20985.9882</v>
      </c>
      <c r="AU8" s="45">
        <v>20985.9882</v>
      </c>
      <c r="AV8" s="29"/>
      <c r="AW8" s="38">
        <v>0</v>
      </c>
      <c r="AX8" s="45">
        <v>0</v>
      </c>
      <c r="AY8" s="29" t="s">
        <v>36</v>
      </c>
      <c r="AZ8" s="38">
        <v>0</v>
      </c>
      <c r="BA8" s="29"/>
      <c r="BB8" s="29"/>
      <c r="BC8" s="38">
        <v>0</v>
      </c>
      <c r="BD8" s="29"/>
      <c r="BE8" s="45">
        <v>21000</v>
      </c>
      <c r="BF8" s="45">
        <v>21000</v>
      </c>
      <c r="BG8" s="29"/>
      <c r="BH8" s="29"/>
      <c r="BI8" s="29"/>
      <c r="BJ8" s="45">
        <v>100</v>
      </c>
      <c r="BK8" s="45">
        <v>0</v>
      </c>
      <c r="BL8" s="29"/>
      <c r="BM8" s="44" t="s">
        <v>22</v>
      </c>
      <c r="BN8" s="29"/>
      <c r="BO8" s="44" t="s">
        <v>29</v>
      </c>
      <c r="BP8" s="45">
        <v>0</v>
      </c>
      <c r="BQ8" s="45">
        <v>0</v>
      </c>
      <c r="BR8" s="29"/>
      <c r="BS8" s="29"/>
      <c r="BT8" s="29" t="s">
        <v>28</v>
      </c>
      <c r="BU8" s="45">
        <v>3</v>
      </c>
      <c r="BV8" s="45">
        <v>0</v>
      </c>
      <c r="BW8" s="45">
        <v>14.011799999999999</v>
      </c>
      <c r="BX8" s="45">
        <v>0</v>
      </c>
      <c r="BY8" s="29"/>
      <c r="BZ8" s="29"/>
      <c r="CA8" s="29"/>
      <c r="CB8" s="29"/>
      <c r="CC8" s="29"/>
      <c r="CD8" s="29"/>
      <c r="CE8" s="29"/>
      <c r="CF8" s="29"/>
      <c r="CG8" s="29"/>
      <c r="CH8" s="44" t="s">
        <v>24</v>
      </c>
      <c r="CI8" s="44" t="s">
        <v>29</v>
      </c>
      <c r="CJ8" s="45">
        <v>0</v>
      </c>
      <c r="CK8" s="44" t="s">
        <v>41</v>
      </c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29"/>
      <c r="B9" s="44" t="s">
        <v>23</v>
      </c>
      <c r="C9" s="29"/>
      <c r="D9" s="45">
        <v>0</v>
      </c>
      <c r="E9" s="45">
        <v>100000</v>
      </c>
      <c r="F9" s="29"/>
      <c r="G9" s="44" t="s">
        <v>34</v>
      </c>
      <c r="H9" s="34">
        <v>4</v>
      </c>
      <c r="I9" s="34">
        <v>5</v>
      </c>
      <c r="J9" s="29"/>
      <c r="K9" s="34">
        <v>210</v>
      </c>
      <c r="L9" s="34">
        <v>210</v>
      </c>
      <c r="M9" s="29"/>
      <c r="N9" s="29"/>
      <c r="O9" s="29" t="s">
        <v>30</v>
      </c>
      <c r="P9" s="29"/>
      <c r="Q9" s="45">
        <v>3</v>
      </c>
      <c r="R9" s="38">
        <v>0</v>
      </c>
      <c r="S9" s="29" t="s">
        <v>40</v>
      </c>
      <c r="T9" s="38">
        <v>0</v>
      </c>
      <c r="U9" s="38">
        <v>0</v>
      </c>
      <c r="V9" s="29"/>
      <c r="W9" s="29"/>
      <c r="X9" s="29"/>
      <c r="Y9" s="29"/>
      <c r="Z9" s="44" t="s">
        <v>22</v>
      </c>
      <c r="AA9" s="29"/>
      <c r="AB9" s="29"/>
      <c r="AC9" s="29"/>
      <c r="AD9" s="29"/>
      <c r="AE9" s="45">
        <v>100000</v>
      </c>
      <c r="AF9" s="29"/>
      <c r="AG9" s="29"/>
      <c r="AH9" s="29"/>
      <c r="AI9" s="38">
        <v>1</v>
      </c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45">
        <v>20999974.239999998</v>
      </c>
      <c r="AU9" s="45">
        <v>20999974.239999998</v>
      </c>
      <c r="AV9" s="29"/>
      <c r="AW9" s="38">
        <v>0</v>
      </c>
      <c r="AX9" s="45">
        <v>0</v>
      </c>
      <c r="AY9" s="29" t="s">
        <v>36</v>
      </c>
      <c r="AZ9" s="38">
        <v>0</v>
      </c>
      <c r="BA9" s="29"/>
      <c r="BB9" s="29"/>
      <c r="BC9" s="38">
        <v>0</v>
      </c>
      <c r="BD9" s="29"/>
      <c r="BE9" s="45">
        <v>21000000</v>
      </c>
      <c r="BF9" s="45">
        <v>21000000</v>
      </c>
      <c r="BG9" s="29"/>
      <c r="BH9" s="29"/>
      <c r="BI9" s="29"/>
      <c r="BJ9" s="45">
        <v>100000</v>
      </c>
      <c r="BK9" s="45">
        <v>0</v>
      </c>
      <c r="BL9" s="29"/>
      <c r="BM9" s="44" t="s">
        <v>22</v>
      </c>
      <c r="BN9" s="29"/>
      <c r="BO9" s="44" t="s">
        <v>29</v>
      </c>
      <c r="BP9" s="45">
        <v>0</v>
      </c>
      <c r="BQ9" s="45">
        <v>0</v>
      </c>
      <c r="BR9" s="29"/>
      <c r="BS9" s="29"/>
      <c r="BT9" s="29" t="s">
        <v>28</v>
      </c>
      <c r="BU9" s="45">
        <v>3</v>
      </c>
      <c r="BV9" s="45">
        <v>0</v>
      </c>
      <c r="BW9" s="45">
        <v>25.76</v>
      </c>
      <c r="BX9" s="45">
        <v>0</v>
      </c>
      <c r="BY9" s="29"/>
      <c r="BZ9" s="29"/>
      <c r="CA9" s="29"/>
      <c r="CB9" s="29"/>
      <c r="CC9" s="29"/>
      <c r="CD9" s="29"/>
      <c r="CE9" s="29"/>
      <c r="CF9" s="29"/>
      <c r="CG9" s="29"/>
      <c r="CH9" s="44" t="s">
        <v>24</v>
      </c>
      <c r="CI9" s="44" t="s">
        <v>29</v>
      </c>
      <c r="CJ9" s="45">
        <v>0</v>
      </c>
      <c r="CK9" s="44" t="s">
        <v>41</v>
      </c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>
      <c r="A10" s="29"/>
      <c r="B10" s="29"/>
      <c r="C10" s="29"/>
      <c r="D10" s="29"/>
      <c r="E10" s="29"/>
      <c r="F10" s="29"/>
      <c r="G10" s="44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44"/>
      <c r="AU10" s="44"/>
      <c r="AV10" s="29"/>
      <c r="AW10" s="29"/>
      <c r="AX10" s="29"/>
      <c r="AY10" s="29"/>
      <c r="AZ10" s="29"/>
      <c r="BA10" s="29"/>
      <c r="BB10" s="29"/>
      <c r="BC10" s="29"/>
      <c r="BD10" s="29"/>
      <c r="BE10" s="44"/>
      <c r="BF10" s="44"/>
      <c r="BG10" s="29"/>
      <c r="BH10" s="29"/>
      <c r="BI10" s="29"/>
      <c r="BJ10" s="29"/>
      <c r="BK10" s="44"/>
      <c r="BL10" s="29"/>
      <c r="BM10" s="29"/>
      <c r="BN10" s="29"/>
      <c r="BO10" s="29"/>
      <c r="BP10" s="44"/>
      <c r="BQ10" s="44"/>
      <c r="BR10" s="29"/>
      <c r="BS10" s="29"/>
      <c r="BT10" s="29"/>
      <c r="BU10" s="44"/>
      <c r="BV10" s="44"/>
      <c r="BW10" s="29"/>
      <c r="BX10" s="44"/>
      <c r="BY10" s="29"/>
      <c r="BZ10" s="29"/>
      <c r="CA10" s="29"/>
      <c r="CB10" s="29"/>
      <c r="CC10" s="29"/>
      <c r="CD10" s="29"/>
      <c r="CE10" s="29"/>
      <c r="CF10" s="29"/>
      <c r="CG10" s="29"/>
      <c r="CH10" s="44"/>
      <c r="CI10" s="29"/>
      <c r="CJ10" s="44"/>
      <c r="CK10" s="44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44"/>
      <c r="BF11" s="44"/>
      <c r="BG11" s="29"/>
      <c r="BH11" s="29"/>
      <c r="BI11" s="29"/>
      <c r="BJ11" s="29"/>
      <c r="BK11" s="29"/>
      <c r="BL11" s="29"/>
      <c r="BM11" s="29"/>
      <c r="BN11" s="29"/>
      <c r="BO11" s="29"/>
      <c r="BP11" s="44"/>
      <c r="BQ11" s="44"/>
      <c r="BR11" s="29"/>
      <c r="BS11" s="29"/>
      <c r="BT11" s="29"/>
      <c r="BU11" s="44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G1" workbookViewId="0">
      <selection activeCell="BL15" sqref="BL1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4" customWidth="1"/>
    <col min="64" max="168" width="14.42578125" customWidth="1"/>
  </cols>
  <sheetData>
    <row r="1" spans="1:168" ht="15.75" customHeight="1">
      <c r="A1" s="13"/>
      <c r="B1" s="48" t="s">
        <v>11</v>
      </c>
      <c r="C1" s="49"/>
      <c r="D1" s="49"/>
      <c r="E1" s="49"/>
      <c r="F1" s="49"/>
      <c r="G1" s="49"/>
      <c r="H1" s="50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5"/>
      <c r="C6" s="26" t="s">
        <v>28</v>
      </c>
      <c r="D6" s="33">
        <v>-100</v>
      </c>
      <c r="E6" s="26" t="s">
        <v>21</v>
      </c>
      <c r="F6" s="26" t="s">
        <v>26</v>
      </c>
      <c r="G6" s="28">
        <v>210</v>
      </c>
      <c r="H6" s="26" t="s">
        <v>44</v>
      </c>
      <c r="I6" s="28">
        <v>0</v>
      </c>
      <c r="J6" s="43">
        <v>0</v>
      </c>
      <c r="K6" s="43">
        <v>0</v>
      </c>
      <c r="L6" s="43">
        <v>0</v>
      </c>
      <c r="M6" s="43">
        <v>0</v>
      </c>
      <c r="N6" s="46">
        <v>21000</v>
      </c>
      <c r="O6" s="26"/>
      <c r="P6" s="26"/>
      <c r="Q6" s="46">
        <v>21000</v>
      </c>
      <c r="R6" s="26"/>
      <c r="S6" s="26"/>
      <c r="T6" s="29" t="s">
        <v>34</v>
      </c>
      <c r="U6" s="29" t="s">
        <v>41</v>
      </c>
      <c r="V6" s="29" t="s">
        <v>45</v>
      </c>
      <c r="W6" s="29" t="s">
        <v>22</v>
      </c>
      <c r="X6" s="38">
        <v>1</v>
      </c>
      <c r="Y6" s="38">
        <v>1</v>
      </c>
      <c r="Z6" s="29"/>
      <c r="AA6" s="29"/>
      <c r="AB6" s="38">
        <v>0</v>
      </c>
      <c r="AC6" s="38">
        <v>0</v>
      </c>
      <c r="AD6" s="38">
        <v>0</v>
      </c>
      <c r="AE6" s="38">
        <v>0</v>
      </c>
      <c r="AF6" s="38">
        <v>-100</v>
      </c>
      <c r="AG6" s="38">
        <v>0</v>
      </c>
      <c r="AH6" s="38">
        <v>0</v>
      </c>
      <c r="AI6" s="38">
        <v>0</v>
      </c>
      <c r="AJ6" s="43">
        <v>0</v>
      </c>
      <c r="AK6" s="46">
        <v>21000</v>
      </c>
      <c r="AL6" s="38">
        <v>1</v>
      </c>
      <c r="AM6" s="38">
        <v>1</v>
      </c>
      <c r="AN6" s="29" t="s">
        <v>29</v>
      </c>
      <c r="AO6" s="29"/>
      <c r="AP6" s="29" t="s">
        <v>46</v>
      </c>
      <c r="AQ6" s="29" t="s">
        <v>28</v>
      </c>
      <c r="AR6" s="38">
        <v>0</v>
      </c>
      <c r="AS6" s="29"/>
      <c r="AT6" s="29"/>
      <c r="AU6" s="29"/>
      <c r="AV6" s="43">
        <v>1</v>
      </c>
      <c r="AW6" s="46">
        <v>21000</v>
      </c>
      <c r="AX6" s="38">
        <v>0</v>
      </c>
      <c r="AY6" s="38">
        <v>0</v>
      </c>
      <c r="AZ6" s="38">
        <v>0</v>
      </c>
      <c r="BA6" s="29"/>
      <c r="BB6" s="29"/>
      <c r="BC6" s="43">
        <v>1</v>
      </c>
      <c r="BD6" s="46">
        <v>21000</v>
      </c>
      <c r="BE6" s="29" t="s">
        <v>34</v>
      </c>
      <c r="BF6" s="29"/>
      <c r="BG6" s="29"/>
      <c r="BH6" s="29"/>
      <c r="BI6" s="29"/>
      <c r="BJ6" s="38">
        <v>0</v>
      </c>
      <c r="BK6" s="38">
        <v>0</v>
      </c>
      <c r="BL6" s="38">
        <v>0</v>
      </c>
      <c r="BM6" s="38">
        <v>0</v>
      </c>
      <c r="BN6" s="26"/>
      <c r="BO6" s="46">
        <v>21000</v>
      </c>
      <c r="BP6" s="38">
        <v>0</v>
      </c>
      <c r="BQ6" s="29"/>
      <c r="BR6" s="29" t="s">
        <v>30</v>
      </c>
      <c r="BS6" s="38">
        <v>0</v>
      </c>
      <c r="BT6" s="38">
        <v>0</v>
      </c>
      <c r="BU6" s="29" t="s">
        <v>34</v>
      </c>
      <c r="BV6" s="29"/>
      <c r="BW6" s="38">
        <v>0</v>
      </c>
      <c r="BX6" s="38">
        <v>0</v>
      </c>
      <c r="BY6" s="38">
        <v>0</v>
      </c>
      <c r="BZ6" s="38">
        <v>0</v>
      </c>
      <c r="CA6" s="38">
        <v>0</v>
      </c>
      <c r="CB6" s="29"/>
      <c r="CC6" s="43">
        <v>0</v>
      </c>
      <c r="CD6" s="46">
        <v>21000</v>
      </c>
      <c r="CE6" s="38">
        <v>0</v>
      </c>
      <c r="CF6" s="43">
        <v>0</v>
      </c>
      <c r="CG6" s="46">
        <v>21000</v>
      </c>
      <c r="CH6" s="38">
        <v>100</v>
      </c>
      <c r="CI6" s="38">
        <v>0</v>
      </c>
      <c r="CJ6" s="38">
        <v>0</v>
      </c>
      <c r="CK6" s="29"/>
      <c r="CL6" s="29"/>
      <c r="CM6" s="29"/>
      <c r="CN6" s="29"/>
      <c r="CO6" s="29"/>
      <c r="CP6" s="29"/>
      <c r="CQ6" s="29"/>
      <c r="CR6" s="29"/>
      <c r="CS6" s="38">
        <v>210</v>
      </c>
      <c r="CT6" s="29"/>
      <c r="CU6" s="29"/>
      <c r="CV6" s="29"/>
      <c r="CW6" s="29"/>
      <c r="CX6" s="29"/>
      <c r="CY6" s="29"/>
      <c r="CZ6" s="29"/>
      <c r="DA6" s="38">
        <v>0</v>
      </c>
      <c r="DB6" s="38">
        <v>0</v>
      </c>
      <c r="DC6" s="29"/>
      <c r="DD6" s="29"/>
      <c r="DE6" s="38">
        <v>0</v>
      </c>
      <c r="DF6" s="38">
        <v>0</v>
      </c>
      <c r="DG6" s="38">
        <v>0</v>
      </c>
      <c r="DH6" s="29"/>
      <c r="DI6" s="38">
        <v>0</v>
      </c>
      <c r="DJ6" s="29" t="s">
        <v>29</v>
      </c>
      <c r="DK6" s="38">
        <v>0</v>
      </c>
      <c r="DL6" s="38">
        <v>0</v>
      </c>
      <c r="DM6" s="38">
        <v>1</v>
      </c>
      <c r="DN6" s="38">
        <v>0</v>
      </c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38">
        <v>0</v>
      </c>
      <c r="EG6" s="38">
        <v>0</v>
      </c>
      <c r="EH6" s="38">
        <v>0</v>
      </c>
      <c r="EI6" s="38">
        <v>0</v>
      </c>
      <c r="EJ6" s="38">
        <v>0</v>
      </c>
      <c r="EK6" s="38">
        <v>0</v>
      </c>
      <c r="EL6" s="29" t="s">
        <v>46</v>
      </c>
      <c r="EM6" s="38">
        <v>0</v>
      </c>
      <c r="EN6" s="38">
        <v>0</v>
      </c>
      <c r="EO6" s="29"/>
      <c r="EP6" s="29"/>
      <c r="EQ6" s="38">
        <v>0</v>
      </c>
      <c r="ER6" s="38">
        <v>0</v>
      </c>
      <c r="ES6" s="39">
        <v>42642000</v>
      </c>
      <c r="ET6" s="29"/>
      <c r="EU6" s="38">
        <v>0</v>
      </c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</row>
    <row r="7" spans="1:168" ht="15.75" customHeight="1">
      <c r="A7" s="29"/>
      <c r="B7" s="29"/>
      <c r="C7" s="29" t="s">
        <v>28</v>
      </c>
      <c r="D7" s="47">
        <v>-100000</v>
      </c>
      <c r="E7" s="26" t="s">
        <v>21</v>
      </c>
      <c r="F7" s="26" t="s">
        <v>26</v>
      </c>
      <c r="G7" s="28">
        <v>210</v>
      </c>
      <c r="H7" s="26" t="s">
        <v>44</v>
      </c>
      <c r="I7" s="34">
        <v>0</v>
      </c>
      <c r="J7" s="38">
        <v>0</v>
      </c>
      <c r="K7" s="38">
        <v>0</v>
      </c>
      <c r="L7" s="38">
        <v>0</v>
      </c>
      <c r="M7" s="38">
        <v>0</v>
      </c>
      <c r="N7" s="47">
        <v>21000000</v>
      </c>
      <c r="O7" s="29"/>
      <c r="P7" s="29"/>
      <c r="Q7" s="47">
        <v>21000000</v>
      </c>
      <c r="R7" s="29"/>
      <c r="S7" s="29"/>
      <c r="T7" s="29" t="s">
        <v>34</v>
      </c>
      <c r="U7" s="29" t="s">
        <v>41</v>
      </c>
      <c r="V7" s="29" t="s">
        <v>45</v>
      </c>
      <c r="W7" s="29" t="s">
        <v>22</v>
      </c>
      <c r="X7" s="38">
        <v>1</v>
      </c>
      <c r="Y7" s="38">
        <v>1</v>
      </c>
      <c r="Z7" s="29"/>
      <c r="AA7" s="29"/>
      <c r="AB7" s="38">
        <v>0</v>
      </c>
      <c r="AC7" s="38">
        <v>0</v>
      </c>
      <c r="AD7" s="38">
        <v>0</v>
      </c>
      <c r="AE7" s="38">
        <v>0</v>
      </c>
      <c r="AF7" s="38">
        <v>-100000</v>
      </c>
      <c r="AG7" s="38">
        <v>0</v>
      </c>
      <c r="AH7" s="38">
        <v>0</v>
      </c>
      <c r="AI7" s="38">
        <v>0</v>
      </c>
      <c r="AJ7" s="38">
        <v>0</v>
      </c>
      <c r="AK7" s="47">
        <v>21000000</v>
      </c>
      <c r="AL7" s="38">
        <v>1</v>
      </c>
      <c r="AM7" s="38">
        <v>1</v>
      </c>
      <c r="AN7" s="29" t="s">
        <v>29</v>
      </c>
      <c r="AO7" s="29"/>
      <c r="AP7" s="29" t="s">
        <v>46</v>
      </c>
      <c r="AQ7" s="29" t="s">
        <v>28</v>
      </c>
      <c r="AR7" s="38">
        <v>0</v>
      </c>
      <c r="AS7" s="29"/>
      <c r="AT7" s="29"/>
      <c r="AU7" s="29"/>
      <c r="AV7" s="38">
        <v>1</v>
      </c>
      <c r="AW7" s="47">
        <v>21000000</v>
      </c>
      <c r="AX7" s="38">
        <v>0</v>
      </c>
      <c r="AY7" s="38">
        <v>0</v>
      </c>
      <c r="AZ7" s="38">
        <v>0</v>
      </c>
      <c r="BA7" s="29"/>
      <c r="BB7" s="29"/>
      <c r="BC7" s="38">
        <v>1</v>
      </c>
      <c r="BD7" s="47">
        <v>21000000</v>
      </c>
      <c r="BE7" s="29" t="s">
        <v>34</v>
      </c>
      <c r="BF7" s="29"/>
      <c r="BG7" s="29"/>
      <c r="BH7" s="29"/>
      <c r="BI7" s="29"/>
      <c r="BJ7" s="38">
        <v>0</v>
      </c>
      <c r="BK7" s="38">
        <v>0</v>
      </c>
      <c r="BL7" s="38">
        <v>0</v>
      </c>
      <c r="BM7" s="38">
        <v>0</v>
      </c>
      <c r="BN7" s="29"/>
      <c r="BO7" s="47">
        <v>21000000</v>
      </c>
      <c r="BP7" s="38">
        <v>0</v>
      </c>
      <c r="BQ7" s="29"/>
      <c r="BR7" s="29" t="s">
        <v>30</v>
      </c>
      <c r="BS7" s="38">
        <v>0</v>
      </c>
      <c r="BT7" s="38">
        <v>0</v>
      </c>
      <c r="BU7" s="29" t="s">
        <v>34</v>
      </c>
      <c r="BV7" s="29"/>
      <c r="BW7" s="38">
        <v>0</v>
      </c>
      <c r="BX7" s="38">
        <v>0</v>
      </c>
      <c r="BY7" s="38">
        <v>0</v>
      </c>
      <c r="BZ7" s="38">
        <v>0</v>
      </c>
      <c r="CA7" s="38">
        <v>0</v>
      </c>
      <c r="CB7" s="29"/>
      <c r="CC7" s="38">
        <v>0</v>
      </c>
      <c r="CD7" s="47">
        <v>21000000</v>
      </c>
      <c r="CE7" s="38">
        <v>0</v>
      </c>
      <c r="CF7" s="38">
        <v>0</v>
      </c>
      <c r="CG7" s="47">
        <v>21000000</v>
      </c>
      <c r="CH7" s="38">
        <v>100</v>
      </c>
      <c r="CI7" s="38">
        <v>0</v>
      </c>
      <c r="CJ7" s="38">
        <v>0</v>
      </c>
      <c r="CK7" s="29"/>
      <c r="CL7" s="29"/>
      <c r="CM7" s="29"/>
      <c r="CN7" s="29"/>
      <c r="CO7" s="29"/>
      <c r="CP7" s="29"/>
      <c r="CQ7" s="29"/>
      <c r="CR7" s="29"/>
      <c r="CS7" s="38">
        <v>210</v>
      </c>
      <c r="CT7" s="29"/>
      <c r="CU7" s="29"/>
      <c r="CV7" s="29"/>
      <c r="CW7" s="29"/>
      <c r="CX7" s="29"/>
      <c r="CY7" s="29"/>
      <c r="CZ7" s="29"/>
      <c r="DA7" s="38">
        <v>0</v>
      </c>
      <c r="DB7" s="38">
        <v>0</v>
      </c>
      <c r="DC7" s="29"/>
      <c r="DD7" s="29"/>
      <c r="DE7" s="38">
        <v>0</v>
      </c>
      <c r="DF7" s="38">
        <v>0</v>
      </c>
      <c r="DG7" s="38">
        <v>0</v>
      </c>
      <c r="DH7" s="29"/>
      <c r="DI7" s="38">
        <v>0</v>
      </c>
      <c r="DJ7" s="29" t="s">
        <v>29</v>
      </c>
      <c r="DK7" s="38">
        <v>0</v>
      </c>
      <c r="DL7" s="38">
        <v>0</v>
      </c>
      <c r="DM7" s="38">
        <v>1</v>
      </c>
      <c r="DN7" s="38">
        <v>0</v>
      </c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38">
        <v>0</v>
      </c>
      <c r="EG7" s="38">
        <v>0</v>
      </c>
      <c r="EH7" s="38">
        <v>0</v>
      </c>
      <c r="EI7" s="38">
        <v>0</v>
      </c>
      <c r="EJ7" s="38">
        <v>0</v>
      </c>
      <c r="EK7" s="38">
        <v>0</v>
      </c>
      <c r="EL7" s="29" t="s">
        <v>46</v>
      </c>
      <c r="EM7" s="38">
        <v>0</v>
      </c>
      <c r="EN7" s="38">
        <v>0</v>
      </c>
      <c r="EO7" s="29"/>
      <c r="EP7" s="29"/>
      <c r="EQ7" s="38">
        <v>0</v>
      </c>
      <c r="ER7" s="38">
        <v>0</v>
      </c>
      <c r="ES7" s="39">
        <v>42642000</v>
      </c>
      <c r="ET7" s="29"/>
      <c r="EU7" s="38">
        <v>0</v>
      </c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</row>
    <row r="8" spans="1:168" ht="15.75" customHeight="1">
      <c r="A8" s="29"/>
      <c r="B8" s="29"/>
      <c r="C8" s="29" t="s">
        <v>28</v>
      </c>
      <c r="D8" s="34">
        <v>-100</v>
      </c>
      <c r="E8" s="26" t="s">
        <v>23</v>
      </c>
      <c r="F8" s="26" t="s">
        <v>31</v>
      </c>
      <c r="G8" s="28">
        <v>210</v>
      </c>
      <c r="H8" s="26" t="s">
        <v>44</v>
      </c>
      <c r="I8" s="34">
        <v>0</v>
      </c>
      <c r="J8" s="38">
        <v>0</v>
      </c>
      <c r="K8" s="38">
        <v>0</v>
      </c>
      <c r="L8" s="38">
        <v>0</v>
      </c>
      <c r="M8" s="38">
        <v>0</v>
      </c>
      <c r="N8" s="47">
        <v>21000</v>
      </c>
      <c r="O8" s="29"/>
      <c r="P8" s="29"/>
      <c r="Q8" s="47">
        <v>21000</v>
      </c>
      <c r="R8" s="29"/>
      <c r="S8" s="29"/>
      <c r="T8" s="29" t="s">
        <v>34</v>
      </c>
      <c r="U8" s="29" t="s">
        <v>41</v>
      </c>
      <c r="V8" s="29" t="s">
        <v>45</v>
      </c>
      <c r="W8" s="29" t="s">
        <v>22</v>
      </c>
      <c r="X8" s="38">
        <v>1</v>
      </c>
      <c r="Y8" s="38">
        <v>1</v>
      </c>
      <c r="Z8" s="29"/>
      <c r="AA8" s="29"/>
      <c r="AB8" s="38">
        <v>0</v>
      </c>
      <c r="AC8" s="38">
        <v>0</v>
      </c>
      <c r="AD8" s="38">
        <v>0</v>
      </c>
      <c r="AE8" s="38">
        <v>0</v>
      </c>
      <c r="AF8" s="38">
        <v>-100</v>
      </c>
      <c r="AG8" s="38">
        <v>0</v>
      </c>
      <c r="AH8" s="38">
        <v>0</v>
      </c>
      <c r="AI8" s="38">
        <v>0</v>
      </c>
      <c r="AJ8" s="38">
        <v>0</v>
      </c>
      <c r="AK8" s="47">
        <v>21000</v>
      </c>
      <c r="AL8" s="38">
        <v>1</v>
      </c>
      <c r="AM8" s="38">
        <v>1</v>
      </c>
      <c r="AN8" s="29" t="s">
        <v>29</v>
      </c>
      <c r="AO8" s="29"/>
      <c r="AP8" s="29" t="s">
        <v>46</v>
      </c>
      <c r="AQ8" s="29" t="s">
        <v>28</v>
      </c>
      <c r="AR8" s="38">
        <v>0</v>
      </c>
      <c r="AS8" s="29"/>
      <c r="AT8" s="29"/>
      <c r="AU8" s="29"/>
      <c r="AV8" s="38">
        <v>1</v>
      </c>
      <c r="AW8" s="47">
        <v>21000</v>
      </c>
      <c r="AX8" s="38">
        <v>0</v>
      </c>
      <c r="AY8" s="38">
        <v>0</v>
      </c>
      <c r="AZ8" s="38">
        <v>0</v>
      </c>
      <c r="BA8" s="29"/>
      <c r="BB8" s="29"/>
      <c r="BC8" s="38">
        <v>1</v>
      </c>
      <c r="BD8" s="47">
        <v>21000</v>
      </c>
      <c r="BE8" s="29" t="s">
        <v>34</v>
      </c>
      <c r="BF8" s="29"/>
      <c r="BG8" s="29"/>
      <c r="BH8" s="29"/>
      <c r="BI8" s="29"/>
      <c r="BJ8" s="38">
        <v>0</v>
      </c>
      <c r="BK8" s="38">
        <v>0</v>
      </c>
      <c r="BL8" s="38">
        <v>0</v>
      </c>
      <c r="BM8" s="38">
        <v>0</v>
      </c>
      <c r="BN8" s="29"/>
      <c r="BO8" s="47">
        <v>21000</v>
      </c>
      <c r="BP8" s="38">
        <v>0</v>
      </c>
      <c r="BQ8" s="29"/>
      <c r="BR8" s="29" t="s">
        <v>30</v>
      </c>
      <c r="BS8" s="38">
        <v>0</v>
      </c>
      <c r="BT8" s="38">
        <v>0</v>
      </c>
      <c r="BU8" s="29" t="s">
        <v>34</v>
      </c>
      <c r="BV8" s="29"/>
      <c r="BW8" s="38">
        <v>0</v>
      </c>
      <c r="BX8" s="38">
        <v>0</v>
      </c>
      <c r="BY8" s="38">
        <v>0</v>
      </c>
      <c r="BZ8" s="38">
        <v>0</v>
      </c>
      <c r="CA8" s="38">
        <v>0</v>
      </c>
      <c r="CB8" s="29"/>
      <c r="CC8" s="38">
        <v>0</v>
      </c>
      <c r="CD8" s="47">
        <v>21000</v>
      </c>
      <c r="CE8" s="38">
        <v>0</v>
      </c>
      <c r="CF8" s="38">
        <v>0</v>
      </c>
      <c r="CG8" s="47">
        <v>21000</v>
      </c>
      <c r="CH8" s="38">
        <v>100</v>
      </c>
      <c r="CI8" s="38">
        <v>0</v>
      </c>
      <c r="CJ8" s="38">
        <v>0</v>
      </c>
      <c r="CK8" s="29"/>
      <c r="CL8" s="29"/>
      <c r="CM8" s="29"/>
      <c r="CN8" s="29"/>
      <c r="CO8" s="29"/>
      <c r="CP8" s="29"/>
      <c r="CQ8" s="29"/>
      <c r="CR8" s="29"/>
      <c r="CS8" s="38">
        <v>210</v>
      </c>
      <c r="CT8" s="29"/>
      <c r="CU8" s="29"/>
      <c r="CV8" s="29"/>
      <c r="CW8" s="29"/>
      <c r="CX8" s="29"/>
      <c r="CY8" s="29"/>
      <c r="CZ8" s="29"/>
      <c r="DA8" s="38">
        <v>0</v>
      </c>
      <c r="DB8" s="38">
        <v>0</v>
      </c>
      <c r="DC8" s="29"/>
      <c r="DD8" s="29"/>
      <c r="DE8" s="38">
        <v>0</v>
      </c>
      <c r="DF8" s="38">
        <v>0</v>
      </c>
      <c r="DG8" s="38">
        <v>0</v>
      </c>
      <c r="DH8" s="29"/>
      <c r="DI8" s="38">
        <v>0</v>
      </c>
      <c r="DJ8" s="29" t="s">
        <v>29</v>
      </c>
      <c r="DK8" s="38">
        <v>0</v>
      </c>
      <c r="DL8" s="38">
        <v>0</v>
      </c>
      <c r="DM8" s="38">
        <v>1</v>
      </c>
      <c r="DN8" s="38">
        <v>0</v>
      </c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38">
        <v>0</v>
      </c>
      <c r="EG8" s="38">
        <v>0</v>
      </c>
      <c r="EH8" s="38">
        <v>0</v>
      </c>
      <c r="EI8" s="38">
        <v>0</v>
      </c>
      <c r="EJ8" s="38">
        <v>0</v>
      </c>
      <c r="EK8" s="38">
        <v>0</v>
      </c>
      <c r="EL8" s="29" t="s">
        <v>46</v>
      </c>
      <c r="EM8" s="38">
        <v>0</v>
      </c>
      <c r="EN8" s="38">
        <v>0</v>
      </c>
      <c r="EO8" s="29"/>
      <c r="EP8" s="29"/>
      <c r="EQ8" s="38">
        <v>0</v>
      </c>
      <c r="ER8" s="38">
        <v>0</v>
      </c>
      <c r="ES8" s="39">
        <v>42642000</v>
      </c>
      <c r="ET8" s="29"/>
      <c r="EU8" s="38">
        <v>0</v>
      </c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</row>
    <row r="9" spans="1:168" ht="15.75" customHeight="1">
      <c r="A9" s="29"/>
      <c r="B9" s="29"/>
      <c r="C9" s="29" t="s">
        <v>28</v>
      </c>
      <c r="D9" s="47">
        <v>-100000</v>
      </c>
      <c r="E9" s="26" t="s">
        <v>23</v>
      </c>
      <c r="F9" s="26" t="s">
        <v>31</v>
      </c>
      <c r="G9" s="28">
        <v>210</v>
      </c>
      <c r="H9" s="26" t="s">
        <v>44</v>
      </c>
      <c r="I9" s="34">
        <v>0</v>
      </c>
      <c r="J9" s="38">
        <v>0</v>
      </c>
      <c r="K9" s="38">
        <v>0</v>
      </c>
      <c r="L9" s="38">
        <v>0</v>
      </c>
      <c r="M9" s="38">
        <v>0</v>
      </c>
      <c r="N9" s="47">
        <v>21000000</v>
      </c>
      <c r="O9" s="29"/>
      <c r="P9" s="29"/>
      <c r="Q9" s="47">
        <v>21000000</v>
      </c>
      <c r="R9" s="29"/>
      <c r="S9" s="29"/>
      <c r="T9" s="29" t="s">
        <v>34</v>
      </c>
      <c r="U9" s="29" t="s">
        <v>41</v>
      </c>
      <c r="V9" s="29" t="s">
        <v>45</v>
      </c>
      <c r="W9" s="29" t="s">
        <v>22</v>
      </c>
      <c r="X9" s="38">
        <v>1</v>
      </c>
      <c r="Y9" s="38">
        <v>1</v>
      </c>
      <c r="Z9" s="29"/>
      <c r="AA9" s="29"/>
      <c r="AB9" s="38">
        <v>0</v>
      </c>
      <c r="AC9" s="38">
        <v>0</v>
      </c>
      <c r="AD9" s="38">
        <v>0</v>
      </c>
      <c r="AE9" s="38">
        <v>0</v>
      </c>
      <c r="AF9" s="38">
        <v>-100000</v>
      </c>
      <c r="AG9" s="38">
        <v>0</v>
      </c>
      <c r="AH9" s="38">
        <v>0</v>
      </c>
      <c r="AI9" s="38">
        <v>0</v>
      </c>
      <c r="AJ9" s="38">
        <v>0</v>
      </c>
      <c r="AK9" s="47">
        <v>21000000</v>
      </c>
      <c r="AL9" s="38">
        <v>1</v>
      </c>
      <c r="AM9" s="38">
        <v>1</v>
      </c>
      <c r="AN9" s="29" t="s">
        <v>29</v>
      </c>
      <c r="AO9" s="29"/>
      <c r="AP9" s="29" t="s">
        <v>46</v>
      </c>
      <c r="AQ9" s="29" t="s">
        <v>28</v>
      </c>
      <c r="AR9" s="38">
        <v>0</v>
      </c>
      <c r="AS9" s="29"/>
      <c r="AT9" s="29"/>
      <c r="AU9" s="29"/>
      <c r="AV9" s="38">
        <v>1</v>
      </c>
      <c r="AW9" s="47">
        <v>21000000</v>
      </c>
      <c r="AX9" s="38">
        <v>0</v>
      </c>
      <c r="AY9" s="38">
        <v>0</v>
      </c>
      <c r="AZ9" s="38">
        <v>0</v>
      </c>
      <c r="BA9" s="29"/>
      <c r="BB9" s="29"/>
      <c r="BC9" s="38">
        <v>1</v>
      </c>
      <c r="BD9" s="47">
        <v>21000000</v>
      </c>
      <c r="BE9" s="29" t="s">
        <v>34</v>
      </c>
      <c r="BF9" s="29"/>
      <c r="BG9" s="29"/>
      <c r="BH9" s="29"/>
      <c r="BI9" s="29"/>
      <c r="BJ9" s="38">
        <v>0</v>
      </c>
      <c r="BK9" s="38">
        <v>0</v>
      </c>
      <c r="BL9" s="38">
        <v>0</v>
      </c>
      <c r="BM9" s="38">
        <v>0</v>
      </c>
      <c r="BN9" s="29"/>
      <c r="BO9" s="47">
        <v>21000000</v>
      </c>
      <c r="BP9" s="38">
        <v>0</v>
      </c>
      <c r="BQ9" s="29"/>
      <c r="BR9" s="29" t="s">
        <v>30</v>
      </c>
      <c r="BS9" s="38">
        <v>0</v>
      </c>
      <c r="BT9" s="38">
        <v>0</v>
      </c>
      <c r="BU9" s="29" t="s">
        <v>34</v>
      </c>
      <c r="BV9" s="29"/>
      <c r="BW9" s="38">
        <v>0</v>
      </c>
      <c r="BX9" s="38">
        <v>0</v>
      </c>
      <c r="BY9" s="38">
        <v>0</v>
      </c>
      <c r="BZ9" s="38">
        <v>0</v>
      </c>
      <c r="CA9" s="38">
        <v>0</v>
      </c>
      <c r="CB9" s="29"/>
      <c r="CC9" s="38">
        <v>0</v>
      </c>
      <c r="CD9" s="47">
        <v>21000000</v>
      </c>
      <c r="CE9" s="38">
        <v>0</v>
      </c>
      <c r="CF9" s="38">
        <v>0</v>
      </c>
      <c r="CG9" s="47">
        <v>21000000</v>
      </c>
      <c r="CH9" s="38">
        <v>100</v>
      </c>
      <c r="CI9" s="38">
        <v>0</v>
      </c>
      <c r="CJ9" s="38">
        <v>0</v>
      </c>
      <c r="CK9" s="29"/>
      <c r="CL9" s="29"/>
      <c r="CM9" s="29"/>
      <c r="CN9" s="29"/>
      <c r="CO9" s="29"/>
      <c r="CP9" s="29"/>
      <c r="CQ9" s="29"/>
      <c r="CR9" s="29"/>
      <c r="CS9" s="38">
        <v>210</v>
      </c>
      <c r="CT9" s="29"/>
      <c r="CU9" s="29"/>
      <c r="CV9" s="29"/>
      <c r="CW9" s="29"/>
      <c r="CX9" s="29"/>
      <c r="CY9" s="29"/>
      <c r="CZ9" s="29"/>
      <c r="DA9" s="38">
        <v>0</v>
      </c>
      <c r="DB9" s="38">
        <v>0</v>
      </c>
      <c r="DC9" s="29"/>
      <c r="DD9" s="29"/>
      <c r="DE9" s="38">
        <v>0</v>
      </c>
      <c r="DF9" s="38">
        <v>0</v>
      </c>
      <c r="DG9" s="38">
        <v>0</v>
      </c>
      <c r="DH9" s="29"/>
      <c r="DI9" s="38">
        <v>0</v>
      </c>
      <c r="DJ9" s="29" t="s">
        <v>29</v>
      </c>
      <c r="DK9" s="38">
        <v>0</v>
      </c>
      <c r="DL9" s="38">
        <v>0</v>
      </c>
      <c r="DM9" s="38">
        <v>1</v>
      </c>
      <c r="DN9" s="38">
        <v>0</v>
      </c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38">
        <v>0</v>
      </c>
      <c r="EG9" s="38">
        <v>0</v>
      </c>
      <c r="EH9" s="38">
        <v>0</v>
      </c>
      <c r="EI9" s="38">
        <v>0</v>
      </c>
      <c r="EJ9" s="38">
        <v>0</v>
      </c>
      <c r="EK9" s="38">
        <v>0</v>
      </c>
      <c r="EL9" s="29" t="s">
        <v>46</v>
      </c>
      <c r="EM9" s="38">
        <v>0</v>
      </c>
      <c r="EN9" s="38">
        <v>0</v>
      </c>
      <c r="EO9" s="29"/>
      <c r="EP9" s="29"/>
      <c r="EQ9" s="38">
        <v>0</v>
      </c>
      <c r="ER9" s="38">
        <v>0</v>
      </c>
      <c r="ES9" s="39">
        <v>42642000</v>
      </c>
      <c r="ET9" s="29"/>
      <c r="EU9" s="38">
        <v>0</v>
      </c>
      <c r="EV9" s="29"/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</row>
    <row r="10" spans="1:168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SetTradingComplianceRules</vt:lpstr>
      <vt:lpstr>ShowMasterFundOnTT</vt:lpstr>
      <vt:lpstr>GetDailyCash</vt:lpstr>
      <vt:lpstr>UpdateDailyCash</vt:lpstr>
      <vt:lpstr>UpdateMasterFundOnTT</vt:lpstr>
      <vt:lpstr>CreateDoneAwayOrder</vt:lpstr>
      <vt:lpstr>UpdateMasterFundOnTT1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2021-08-04T13:38:39Z</dcterms:modified>
</cp:coreProperties>
</file>