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roupTrades" sheetId="5" r:id="rId7"/>
    <sheet state="visible" name="SelectUnallocatedGroup" sheetId="6" r:id="rId8"/>
    <sheet state="visible" name="EditUnallocatedGroupSidePanel" sheetId="7" r:id="rId9"/>
    <sheet state="visible" name="GroupTrades1" sheetId="8" r:id="rId10"/>
    <sheet state="visible" name="SelectUnallocatedGroup1" sheetId="9" r:id="rId11"/>
    <sheet state="visible" name="EnterAccountValuesToAllocate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<sst xmlns="http://schemas.openxmlformats.org/spreadsheetml/2006/main" count="164" uniqueCount="54">
  <si>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</si>
  <si>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</si>
  <si>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</si>
  <si>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</si>
  <si>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</si>
  <si>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</si>
  <si>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</si>
  <si>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</si>
  <si>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</si>
  <si>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</si>
  <si>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</si>
  <si>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</si>
  <si>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</si>
  <si>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</si>
  <si>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</si>
  <si>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</si>
  <si>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O:MSFT 16M24.00D15</t>
  </si>
  <si>
    <t>Sell to Open</t>
  </si>
  <si>
    <t>Unallocated</t>
  </si>
  <si>
    <t>Sell to Close</t>
  </si>
  <si>
    <t>Allocation</t>
  </si>
  <si>
    <t>GroupTrades</t>
  </si>
  <si>
    <t>SelectUnallocatedGroup</t>
  </si>
  <si>
    <t>SelltoOpen</t>
  </si>
  <si>
    <t>GCCAP1</t>
  </si>
  <si>
    <t>MS</t>
  </si>
  <si>
    <t>NASDAQ</t>
  </si>
  <si>
    <t>M</t>
  </si>
  <si>
    <t>jpearce</t>
  </si>
  <si>
    <t>EquityOption</t>
  </si>
  <si>
    <t>P</t>
  </si>
  <si>
    <t>Market</t>
  </si>
  <si>
    <t>US</t>
  </si>
  <si>
    <t>OPTS</t>
  </si>
  <si>
    <t>USD</t>
  </si>
  <si>
    <t>EditUnallocatedGroupSidePanel</t>
  </si>
  <si>
    <t>SelltoClose</t>
  </si>
  <si>
    <t>EnterAccountValuesToAllocate</t>
  </si>
  <si>
    <t>Allocation1</t>
  </si>
  <si>
    <t>CheckAllocatedGroups</t>
  </si>
  <si>
    <t>Manual</t>
  </si>
  <si>
    <t>MSFT</t>
  </si>
  <si>
    <t>PortfolioManagement</t>
  </si>
  <si>
    <t>CheckPortfolioManagement</t>
  </si>
  <si>
    <t/>
  </si>
  <si>
    <t>NewMF</t>
  </si>
  <si>
    <t>Short</t>
  </si>
  <si>
    <t>FIMAT</t>
  </si>
  <si>
    <t>Long</t>
  </si>
  <si>
    <t>Equity Put</t>
  </si>
  <si>
    <t>Equity General</t>
  </si>
  <si>
    <t>Information Technology</t>
  </si>
  <si>
    <t>Copper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</si>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</sst>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14" xfId="0" applyAlignment="1" applyFill="1" applyFont="1" applyNumberFormat="1">
      <alignment horizontal="right"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5" numFmtId="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6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2.0</v>
      </c>
      <c r="E6" s="31"/>
      <c r="F6" s="13" t="s">
        <v>18</v>
      </c>
      <c r="G6" s="8"/>
      <c r="H6" s="8"/>
      <c r="I6" s="8"/>
      <c r="J6" s="13">
        <v>5.0</v>
      </c>
      <c r="K6" s="8"/>
      <c r="L6" s="8"/>
      <c r="M6" s="8"/>
      <c r="N6" s="32">
        <f t="shared" ref="N6:N8" si="1">TODAY()</f>
        <v>45159</v>
      </c>
      <c r="O6" s="8"/>
    </row>
    <row r="7" ht="15.75" customHeight="1">
      <c r="A7" s="8"/>
      <c r="B7" s="13" t="s">
        <v>16</v>
      </c>
      <c r="C7" s="13" t="s">
        <v>17</v>
      </c>
      <c r="D7" s="13">
        <v>1.0</v>
      </c>
      <c r="E7" s="8"/>
      <c r="F7" s="13" t="s">
        <v>18</v>
      </c>
      <c r="G7" s="8"/>
      <c r="H7" s="8"/>
      <c r="I7" s="8"/>
      <c r="J7" s="13">
        <v>5.0</v>
      </c>
      <c r="K7" s="8"/>
      <c r="L7" s="8"/>
      <c r="M7" s="8"/>
      <c r="N7" s="32">
        <f t="shared" si="1"/>
        <v>45159</v>
      </c>
      <c r="O7" s="8"/>
    </row>
    <row r="8" ht="15.75" customHeight="1">
      <c r="A8" s="8"/>
      <c r="B8" s="13" t="s">
        <v>16</v>
      </c>
      <c r="C8" s="13" t="s">
        <v>19</v>
      </c>
      <c r="D8" s="13">
        <v>10.0</v>
      </c>
      <c r="E8" s="8"/>
      <c r="F8" s="13" t="s">
        <v>18</v>
      </c>
      <c r="G8" s="8"/>
      <c r="H8" s="8"/>
      <c r="I8" s="8"/>
      <c r="J8" s="13">
        <v>5.0</v>
      </c>
      <c r="K8" s="8"/>
      <c r="L8" s="8"/>
      <c r="M8" s="8"/>
      <c r="N8" s="32">
        <f t="shared" si="1"/>
        <v>45159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3.0</v>
      </c>
      <c r="E6" s="31"/>
      <c r="F6" s="8"/>
      <c r="G6" s="33">
        <v>1500.0</v>
      </c>
      <c r="H6" s="33">
        <v>1500.0</v>
      </c>
      <c r="I6" s="33">
        <v>1500.0</v>
      </c>
      <c r="J6" s="34" t="s">
        <v>23</v>
      </c>
      <c r="K6" s="33">
        <v>1500.0</v>
      </c>
      <c r="L6" s="8"/>
      <c r="M6" s="34" t="s">
        <v>24</v>
      </c>
      <c r="N6" s="35">
        <v>5.0</v>
      </c>
      <c r="O6" s="35">
        <v>5.0</v>
      </c>
      <c r="P6" s="9" t="s">
        <v>25</v>
      </c>
      <c r="Q6" s="9">
        <v>1.0</v>
      </c>
      <c r="R6" s="9" t="s">
        <v>26</v>
      </c>
      <c r="S6" s="9" t="s">
        <v>27</v>
      </c>
      <c r="T6" s="34" t="s">
        <v>28</v>
      </c>
      <c r="U6" s="34" t="s">
        <v>29</v>
      </c>
      <c r="AL6" s="34" t="s">
        <v>30</v>
      </c>
      <c r="AN6" s="35">
        <v>3.0</v>
      </c>
      <c r="BK6" s="9" t="s">
        <v>31</v>
      </c>
      <c r="BL6" s="34" t="s">
        <v>32</v>
      </c>
      <c r="BM6" s="34" t="s">
        <v>33</v>
      </c>
      <c r="BN6" s="34" t="s">
        <v>34</v>
      </c>
      <c r="BO6" s="9">
        <v>12.0</v>
      </c>
      <c r="BQ6" s="35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13.0</v>
      </c>
      <c r="E6" s="31"/>
      <c r="F6" s="8"/>
      <c r="G6" s="33">
        <v>6500.0</v>
      </c>
      <c r="H6" s="33">
        <v>6500.0</v>
      </c>
      <c r="I6" s="33">
        <v>6500.0</v>
      </c>
      <c r="J6" s="34" t="s">
        <v>36</v>
      </c>
      <c r="K6" s="33">
        <v>6500.0</v>
      </c>
      <c r="L6" s="8"/>
      <c r="M6" s="34" t="s">
        <v>24</v>
      </c>
      <c r="N6" s="35">
        <v>5.0</v>
      </c>
      <c r="O6" s="35">
        <v>5.0</v>
      </c>
      <c r="P6" s="9" t="s">
        <v>25</v>
      </c>
      <c r="Q6" s="9">
        <v>1.0</v>
      </c>
      <c r="R6" s="9" t="s">
        <v>26</v>
      </c>
      <c r="S6" s="9" t="s">
        <v>27</v>
      </c>
      <c r="T6" s="34" t="s">
        <v>28</v>
      </c>
      <c r="U6" s="34" t="s">
        <v>29</v>
      </c>
      <c r="AL6" s="34" t="s">
        <v>30</v>
      </c>
      <c r="BK6" s="9" t="s">
        <v>31</v>
      </c>
      <c r="BL6" s="34" t="s">
        <v>32</v>
      </c>
      <c r="BM6" s="34" t="s">
        <v>33</v>
      </c>
      <c r="BN6" s="34" t="s">
        <v>34</v>
      </c>
      <c r="BO6" s="9">
        <v>12.0</v>
      </c>
      <c r="BQ6" s="35">
        <v>100.0</v>
      </c>
    </row>
    <row r="7" ht="15.75" customHeight="1">
      <c r="A7" s="8"/>
      <c r="B7" s="8"/>
      <c r="C7" s="8"/>
      <c r="D7" s="8"/>
      <c r="E7" s="8"/>
      <c r="F7" s="8"/>
      <c r="G7" s="36"/>
      <c r="H7" s="36"/>
      <c r="I7" s="36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38</v>
      </c>
      <c r="C6" s="38"/>
      <c r="D6" s="37"/>
      <c r="E6" s="39">
        <v>13.0</v>
      </c>
      <c r="F6" s="40" t="s">
        <v>40</v>
      </c>
      <c r="G6" s="40" t="s">
        <v>29</v>
      </c>
      <c r="H6" s="38"/>
      <c r="I6" s="38"/>
      <c r="J6" s="41">
        <v>12.0</v>
      </c>
      <c r="K6" s="41">
        <v>5.0</v>
      </c>
      <c r="L6" s="41">
        <v>5.0</v>
      </c>
      <c r="M6" s="38"/>
      <c r="N6" s="38"/>
      <c r="O6" s="40" t="s">
        <v>25</v>
      </c>
      <c r="P6" s="38"/>
      <c r="Q6" s="39"/>
      <c r="R6" s="38"/>
      <c r="S6" s="40"/>
      <c r="T6" s="38"/>
      <c r="U6" s="38"/>
      <c r="V6" s="38"/>
      <c r="W6" s="39">
        <v>100.0</v>
      </c>
      <c r="X6" s="39"/>
      <c r="Y6" s="38"/>
      <c r="Z6" s="40" t="s">
        <v>34</v>
      </c>
      <c r="AA6" s="38"/>
      <c r="AB6" s="39"/>
      <c r="AC6" s="40"/>
      <c r="AD6" s="40" t="s">
        <v>33</v>
      </c>
      <c r="AE6" s="39">
        <v>13.0</v>
      </c>
      <c r="AF6" s="38"/>
      <c r="AG6" s="38"/>
      <c r="AH6" s="38" t="s">
        <v>27</v>
      </c>
      <c r="AI6" s="42">
        <v>1.0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43">
        <v>6500.0</v>
      </c>
      <c r="AU6" s="43">
        <v>6500.0</v>
      </c>
      <c r="AV6" s="38"/>
      <c r="AW6" s="38"/>
      <c r="AX6" s="38"/>
      <c r="AY6" s="40" t="s">
        <v>31</v>
      </c>
      <c r="AZ6" s="38"/>
      <c r="BA6" s="38"/>
      <c r="BB6" s="38"/>
      <c r="BC6" s="38"/>
      <c r="BD6" s="38"/>
      <c r="BE6" s="43">
        <v>6500.0</v>
      </c>
      <c r="BF6" s="43">
        <v>6500.0</v>
      </c>
      <c r="BG6" s="38"/>
      <c r="BH6" s="38"/>
      <c r="BI6" s="40" t="s">
        <v>30</v>
      </c>
      <c r="BJ6" s="39">
        <v>13.0</v>
      </c>
      <c r="BK6" s="38"/>
      <c r="BL6" s="38"/>
      <c r="BM6" s="38"/>
      <c r="BN6" s="38"/>
      <c r="BO6" s="38" t="s">
        <v>19</v>
      </c>
      <c r="BP6" s="38"/>
      <c r="BQ6" s="38"/>
      <c r="BR6" s="38"/>
      <c r="BS6" s="38"/>
      <c r="BT6" s="44" t="s">
        <v>16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40" t="s">
        <v>24</v>
      </c>
      <c r="CG6" s="38"/>
      <c r="CH6" s="38"/>
      <c r="CI6" s="40" t="s">
        <v>36</v>
      </c>
      <c r="CJ6" s="39"/>
      <c r="CK6" s="40" t="s">
        <v>32</v>
      </c>
      <c r="CL6" s="39">
        <v>1.0</v>
      </c>
      <c r="CM6" s="40" t="s">
        <v>41</v>
      </c>
      <c r="CN6" s="40" t="s">
        <v>28</v>
      </c>
      <c r="CO6" s="40" t="s">
        <v>26</v>
      </c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44</v>
      </c>
      <c r="B6" s="45"/>
      <c r="C6" s="38" t="s">
        <v>16</v>
      </c>
      <c r="D6" s="46">
        <v>-13.0</v>
      </c>
      <c r="E6" s="38" t="s">
        <v>38</v>
      </c>
      <c r="F6" s="40" t="s">
        <v>45</v>
      </c>
      <c r="G6" s="38"/>
      <c r="H6" s="47" t="s">
        <v>46</v>
      </c>
      <c r="I6" s="38"/>
      <c r="J6" s="38"/>
      <c r="K6" s="38"/>
      <c r="L6" s="38"/>
      <c r="M6" s="38"/>
      <c r="N6" s="48"/>
      <c r="O6" s="38"/>
      <c r="P6" s="38"/>
      <c r="Q6" s="48"/>
      <c r="R6" s="40" t="s">
        <v>47</v>
      </c>
      <c r="S6" s="40"/>
      <c r="T6" s="40" t="s">
        <v>29</v>
      </c>
      <c r="U6" s="40" t="s">
        <v>32</v>
      </c>
      <c r="V6" s="40" t="s">
        <v>33</v>
      </c>
      <c r="W6" s="40" t="s">
        <v>34</v>
      </c>
      <c r="X6" s="42">
        <v>100.0</v>
      </c>
      <c r="Y6" s="42">
        <v>1.0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48"/>
      <c r="AL6" s="38"/>
      <c r="AM6" s="38"/>
      <c r="AN6" s="38" t="s">
        <v>19</v>
      </c>
      <c r="AO6" s="38"/>
      <c r="AP6" s="40" t="s">
        <v>48</v>
      </c>
      <c r="AQ6" s="40" t="s">
        <v>41</v>
      </c>
      <c r="AR6" s="38"/>
      <c r="AS6" s="38"/>
      <c r="AT6" s="40"/>
      <c r="AU6" s="38"/>
      <c r="AV6" s="42">
        <v>1.0</v>
      </c>
      <c r="AW6" s="48"/>
      <c r="AX6" s="38"/>
      <c r="AY6" s="38"/>
      <c r="AZ6" s="38"/>
      <c r="BA6" s="38"/>
      <c r="BB6" s="38"/>
      <c r="BC6" s="38"/>
      <c r="BD6" s="48"/>
      <c r="BE6" s="40" t="s">
        <v>49</v>
      </c>
      <c r="BF6" s="40" t="s">
        <v>50</v>
      </c>
      <c r="BG6" s="40" t="s">
        <v>51</v>
      </c>
      <c r="BH6" s="40" t="s">
        <v>52</v>
      </c>
      <c r="BI6" s="38"/>
      <c r="BJ6" s="38"/>
      <c r="BK6" s="38"/>
      <c r="BL6" s="38"/>
      <c r="BM6" s="38"/>
      <c r="BN6" s="38"/>
      <c r="BO6" s="38"/>
      <c r="BP6" s="38"/>
      <c r="BQ6" s="40" t="s">
        <v>28</v>
      </c>
      <c r="BR6" s="40" t="s">
        <v>25</v>
      </c>
      <c r="BS6" s="38"/>
      <c r="BT6" s="38"/>
      <c r="BU6" s="40" t="s">
        <v>53</v>
      </c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40" t="s">
        <v>19</v>
      </c>
      <c r="DK6" s="38"/>
      <c r="DL6" s="38"/>
      <c r="DM6" s="38">
        <v>1.0</v>
      </c>
      <c r="DN6" s="38"/>
      <c r="DO6" s="38"/>
      <c r="DP6" s="40" t="s">
        <v>46</v>
      </c>
      <c r="DQ6" s="40"/>
      <c r="DR6" s="40"/>
      <c r="DS6" s="38"/>
      <c r="DT6" s="38"/>
      <c r="DU6" s="38"/>
      <c r="DV6" s="38"/>
      <c r="DW6" s="38"/>
      <c r="DX6" s="38"/>
      <c r="DY6" s="38"/>
      <c r="DZ6" s="40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40"/>
      <c r="EM6" s="38"/>
      <c r="EN6" s="38"/>
      <c r="EO6" s="38"/>
      <c r="EP6" s="38"/>
      <c r="EQ6" s="38"/>
      <c r="ER6" s="38"/>
      <c r="ES6" s="48"/>
      <c r="ET6" s="38"/>
      <c r="EU6" s="38"/>
      <c r="EV6" s="40"/>
      <c r="EW6" s="4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41">
        <v>-13.0</v>
      </c>
      <c r="FI6" s="38" t="s">
        <v>44</v>
      </c>
      <c r="FJ6" s="38"/>
      <c r="FK6" s="38" t="s">
        <v>44</v>
      </c>
      <c r="FL6" s="38" t="s">
        <v>44</v>
      </c>
      <c r="FM6" s="38" t="s">
        <v>44</v>
      </c>
      <c r="FN6" s="38" t="s">
        <v>44</v>
      </c>
      <c r="FO6" s="38" t="s">
        <v>44</v>
      </c>
      <c r="FP6" s="38" t="s">
        <v>44</v>
      </c>
      <c r="FQ6" s="38" t="s">
        <v>44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