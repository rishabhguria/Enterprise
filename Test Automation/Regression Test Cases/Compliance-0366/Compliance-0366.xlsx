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OnOrderGrid" sheetId="6" r:id="rId8"/>
    <sheet state="visible" name="SelectTrade" sheetId="7" r:id="rId9"/>
    <sheet state="visible" name="AcknowledgeTrade" sheetId="8" r:id="rId10"/>
    <sheet state="visible" name="ReplaceSubOrder" sheetId="9" r:id="rId11"/>
    <sheet state="visible" name="CreateReplaceLiveOrder" sheetId="10" r:id="rId12"/>
    <sheet state="visible" name="VerifyComplianceOrder" sheetId="11" r:id="rId13"/>
    <sheet state="visible" name="OpenRTPNL" sheetId="12" r:id="rId14"/>
    <sheet state="visible" name="CheckRealTimeSymAccountMonitor" sheetId="13" r:id="rId15"/>
  </sheets>
  <definedNames/>
  <calcPr/>
</workbook>
</file>

<file path=xl/sharedStrings.xml><?xml version="1.0" encoding="utf-8"?>
<sst xmlns="http://schemas.openxmlformats.org/spreadsheetml/2006/main" count="133" uniqueCount="47">
  <si>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</si>
  <si>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</si>
  <si>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</si>
  <si>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</si>
  <si>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</si>
  <si>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</si>
  <si>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</si>
  <si>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</si>
  <si>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</si>
  <si>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</si>
  <si>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</si>
  <si>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</si>
  <si>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</si>
  <si>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</si>
  <si>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</si>
  <si>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</si>
  <si>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</si>
  <si>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</si>
  <si>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</si>
  <si>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Unallocated</t>
  </si>
  <si>
    <t>Allocation2</t>
  </si>
  <si>
    <t>CreateLiveOrder</t>
  </si>
  <si>
    <t>Sell</t>
  </si>
  <si>
    <t>Blotter</t>
  </si>
  <si>
    <t>SelectTradeOnOrderGrid</t>
  </si>
  <si>
    <t>Simulator</t>
  </si>
  <si>
    <t>SelectTrade</t>
  </si>
  <si>
    <t>AcknowledgeTrade</t>
  </si>
  <si>
    <t>ReplaceSubOrder</t>
  </si>
  <si>
    <t>CreateReplaceLiveOrder</t>
  </si>
  <si>
    <t>VerifyComplianceOrder</t>
  </si>
  <si>
    <t>Soft</t>
  </si>
  <si>
    <t>Order Side Check</t>
  </si>
  <si>
    <t>Pre-Trade Alerts For OrderSide Violation on Account-Symbol Level</t>
  </si>
  <si>
    <t>Unallocated-AAPL</t>
  </si>
  <si>
    <t>Order Side: Sell, Symbol: AAPL, Account: Unallocated, Quantity before trade: 500.00, Order quantity: -2,000.00, Quantity if trade is executed: -1,500.00</t>
  </si>
  <si>
    <t>Replace</t>
  </si>
  <si>
    <t>Account_Symbol3</t>
  </si>
  <si>
    <t>Enter Summary</t>
  </si>
  <si>
    <t>Multiple</t>
  </si>
  <si>
    <t>quantity: -1,500.00, dayPnLBase: 3,000.00, dayPnLLocal: 3,000.00, netMarketValueBase: 0.00, netMarketValueLocal: 0.00, selectedFeedPrice: 0.00, accountNav: 3,000.00, AccountShortName: Unallocated, Symbol: AAPL</t>
  </si>
  <si>
    <t>Trade3</t>
  </si>
  <si>
    <t>quantity: 2,000.00, avgPrice: 2.00, selectedFeedPrice: 0.00, netMarketValueBase: -0.00, netExposureLocal: -0.00, Symbol: AAPL</t>
  </si>
  <si>
    <t>RTPNL</t>
  </si>
  <si>
    <t>OpenRTPNL</t>
  </si>
  <si>
    <t>CheckRealTimeSymAccountMonitor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</si>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</sst>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13" t="s">
        <v>16</v>
      </c>
      <c r="C7" s="13" t="s">
        <v>17</v>
      </c>
      <c r="D7" s="13">
        <v>500.0</v>
      </c>
      <c r="E7" s="8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  <c r="AQ7" s="9" t="s">
        <v>18</v>
      </c>
    </row>
    <row r="8" ht="15.75" customHeight="1">
      <c r="A8" s="8"/>
      <c r="B8" s="13" t="s">
        <v>16</v>
      </c>
      <c r="C8" s="13" t="s">
        <v>17</v>
      </c>
      <c r="D8" s="13">
        <v>400.0</v>
      </c>
      <c r="E8" s="13">
        <v>200.0</v>
      </c>
      <c r="F8" s="13" t="s">
        <v>20</v>
      </c>
      <c r="G8" s="8"/>
      <c r="H8" s="8"/>
      <c r="I8" s="8"/>
      <c r="J8" s="13">
        <v>2.0</v>
      </c>
      <c r="K8" s="8"/>
      <c r="L8" s="8"/>
      <c r="M8" s="8"/>
      <c r="N8" s="8"/>
      <c r="O8" s="8"/>
      <c r="AQ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1200.0</v>
      </c>
      <c r="E6" s="31"/>
      <c r="F6" s="13" t="s">
        <v>19</v>
      </c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16</v>
      </c>
      <c r="E6" s="31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16</v>
      </c>
      <c r="E6" s="31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9">
        <v>2000.0</v>
      </c>
      <c r="E6" s="31"/>
      <c r="F6" s="8"/>
      <c r="G6" s="13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9" t="s">
        <v>33</v>
      </c>
      <c r="E6" s="13" t="s">
        <v>34</v>
      </c>
      <c r="F6" s="13">
        <v>500.0</v>
      </c>
      <c r="G6" s="13">
        <v>-1500.0</v>
      </c>
      <c r="H6" s="13" t="s">
        <v>35</v>
      </c>
      <c r="I6" s="8"/>
      <c r="J6" s="13"/>
      <c r="K6" s="13" t="s">
        <v>18</v>
      </c>
      <c r="L6" s="8"/>
      <c r="M6" s="13" t="s">
        <v>36</v>
      </c>
      <c r="N6" s="8"/>
      <c r="O6" s="8"/>
    </row>
    <row r="7" ht="15.75" customHeight="1">
      <c r="A7" s="8"/>
      <c r="B7" s="13" t="s">
        <v>31</v>
      </c>
      <c r="C7" s="13" t="s">
        <v>37</v>
      </c>
      <c r="D7" s="13" t="s">
        <v>38</v>
      </c>
      <c r="E7" s="13" t="s">
        <v>34</v>
      </c>
      <c r="F7" s="13" t="s">
        <v>39</v>
      </c>
      <c r="G7" s="13" t="s">
        <v>39</v>
      </c>
      <c r="H7" s="13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41</v>
      </c>
      <c r="D8" s="13" t="s">
        <v>38</v>
      </c>
      <c r="E8" s="13" t="s">
        <v>16</v>
      </c>
      <c r="F8" s="13" t="s">
        <v>39</v>
      </c>
      <c r="G8" s="13" t="s">
        <v>39</v>
      </c>
      <c r="H8" s="13" t="s">
        <v>42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E6" s="31"/>
      <c r="F6" s="8"/>
      <c r="G6" s="13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IFERROR(__xludf.DUMMYFUNCTION("""COMPUTED_VALUE"""),"Testing Type")</f>
        <v>Testing Type</v>
      </c>
      <c r="U5" s="30" t="str">
        <f>IFERROR(__xludf.DUMMYFUNCTION("""COMPUTED_VALUE"""),"Testing Column")</f>
        <v>Testing Column</v>
      </c>
      <c r="V5" s="30" t="str">
        <f>IFERROR(__xludf.DUMMYFUNCTION("""COMPUTED_VALUE"""),"Testing Col Value")</f>
        <v>Testing Col Value</v>
      </c>
      <c r="W5" s="30" t="str">
        <f>IFERROR(__xludf.DUMMYFUNCTION("""COMPUTED_VALUE"""),"DuplicateCountOnUI")</f>
        <v>DuplicateCountOnUI</v>
      </c>
      <c r="X5" s="30" t="str">
        <f>IFERROR(__xludf.DUMMYFUNCTION("""COMPUTED_VALUE"""),"DuplicateRow")</f>
        <v>DuplicateRow</v>
      </c>
      <c r="Y5" s="30" t="str">
        <f>IFERROR(__xludf.DUMMYFUNCTION("""COMPUTED_VALUE"""),"TabName")</f>
        <v>TabName</v>
      </c>
      <c r="Z5" s="30" t="str">
        <f>IFERROR(__xludf.DUMMYFUNCTION("""COMPUTED_VALUE"""),"GridDataWidgetName")</f>
        <v>GridDataWidgetName</v>
      </c>
      <c r="AA5" s="30" t="str">
        <f>IFERROR(__xludf.DUMMYFUNCTION("""COMPUTED_VALUE"""),"Bloomberg Symbol")</f>
        <v>Bloomberg Symbol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E6" s="13" t="s">
        <v>46</v>
      </c>
      <c r="F6" s="8"/>
      <c r="G6" s="13">
        <v>70.0</v>
      </c>
      <c r="H6" s="8"/>
      <c r="I6" s="8"/>
      <c r="J6" s="13"/>
      <c r="K6" s="8"/>
      <c r="L6" s="8"/>
      <c r="M6" s="13">
        <v>-140.0</v>
      </c>
      <c r="N6" s="8"/>
      <c r="O6" s="13">
        <v>-140.0</v>
      </c>
    </row>
    <row r="7" ht="15.75" customHeight="1">
      <c r="A7" s="8"/>
      <c r="B7" s="13" t="s">
        <v>16</v>
      </c>
      <c r="C7" s="8"/>
      <c r="D7" s="8"/>
      <c r="E7" s="13" t="s">
        <v>46</v>
      </c>
      <c r="F7" s="8"/>
      <c r="G7" s="13">
        <v>70.0</v>
      </c>
      <c r="H7" s="8"/>
      <c r="I7" s="8"/>
      <c r="J7" s="8"/>
      <c r="K7" s="8"/>
      <c r="L7" s="8"/>
      <c r="M7" s="13">
        <v>-140.0</v>
      </c>
      <c r="N7" s="8"/>
      <c r="O7" s="13">
        <v>-140.0</v>
      </c>
    </row>
    <row r="8" ht="15.75" customHeight="1">
      <c r="A8" s="8"/>
      <c r="B8" s="13" t="s">
        <v>16</v>
      </c>
      <c r="C8" s="8"/>
      <c r="D8" s="8"/>
      <c r="E8" s="13" t="s">
        <v>46</v>
      </c>
      <c r="F8" s="8"/>
      <c r="G8" s="13">
        <v>100.0</v>
      </c>
      <c r="H8" s="8"/>
      <c r="I8" s="8"/>
      <c r="J8" s="8"/>
      <c r="K8" s="8"/>
      <c r="L8" s="8"/>
      <c r="M8" s="13">
        <v>-200.0</v>
      </c>
      <c r="N8" s="8"/>
      <c r="O8" s="13">
        <v>-200.0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