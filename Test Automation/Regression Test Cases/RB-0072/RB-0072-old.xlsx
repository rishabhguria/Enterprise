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UpdateDailyCash1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<sst xmlns="http://schemas.openxmlformats.org/spreadsheetml/2006/main" count="196" uniqueCount="55">
  <si>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</si>
  <si>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</si>
  <si>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</si>
  <si>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</si>
  <si>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</si>
  <si>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</si>
  <si>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</si>
  <si>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</si>
  <si>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</si>
  <si>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</si>
  <si>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</si>
  <si>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</si>
  <si>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</si>
  <si>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</si>
  <si>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</si>
  <si>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</si>
  <si>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</si>
  <si>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</si>
  <si>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</si>
  <si>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</si>
  <si>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</si>
  <si>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</si>
  <si>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TradingTicket</t>
  </si>
  <si>
    <t>CreateDoneAwayOrder</t>
  </si>
  <si>
    <t>Buy</t>
  </si>
  <si>
    <t>Sell short</t>
  </si>
  <si>
    <t>Allocation3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</si>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</sst>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IFERROR(__xludf.DUMMYFUNCTION("IF(C3="""","""",Transpose(IMPORTRANGE('_Settings'!$B$3,C3&amp;""!A4:A1000"")))"),"SetTTUIPreferences")</f>
        <v>SetTTUIPreferences</v>
      </c>
      <c r="C4" s="26" t="str">
        <f>IFERROR(__xludf.DUMMYFUNCTION("""COMPUTED_VALUE"""),"TTPermissionLevel")</f>
        <v>TTPermissionLevel</v>
      </c>
      <c r="D4" s="26" t="str">
        <f>IFERROR(__xludf.DUMMYFUNCTION("""COMPUTED_VALUE"""),"SetCheckSide")</f>
        <v>SetCheckSide</v>
      </c>
      <c r="E4" s="26" t="str">
        <f>IFERROR(__xludf.DUMMYFUNCTION("""COMPUTED_VALUE"""),"SetRollover")</f>
        <v>SetRollover</v>
      </c>
      <c r="F4" s="26" t="str">
        <f>IFERROR(__xludf.DUMMYFUNCTION("""COMPUTED_VALUE"""),"SetActive")</f>
        <v>SetActive</v>
      </c>
      <c r="G4" s="26" t="str">
        <f>IFERROR(__xludf.DUMMYFUNCTION("""COMPUTED_VALUE"""),"SetThirdPartyFormat")</f>
        <v>SetThirdPartyFormat</v>
      </c>
      <c r="H4" s="26" t="str">
        <f>IFERROR(__xludf.DUMMYFUNCTION("""COMPUTED_VALUE"""),"SetTradingComplianceRules")</f>
        <v>SetTradingComplianceRules</v>
      </c>
      <c r="I4" s="26" t="str">
        <f>IFERROR(__xludf.DUMMYFUNCTION("""COMPUTED_VALUE"""),"EnableBreakdownRealizedPNL")</f>
        <v>EnableBreakdownRealizedPNL</v>
      </c>
      <c r="J4" s="26" t="str">
        <f>IFERROR(__xludf.DUMMYFUNCTION("""COMPUTED_VALUE"""),"SetTTGeneralPreferences")</f>
        <v>SetTTGeneralPreferences</v>
      </c>
      <c r="K4" s="26" t="str">
        <f>IFERROR(__xludf.DUMMYFUNCTION("""COMPUTED_VALUE"""),"SetDollarAmountPermission")</f>
        <v>SetDollarAmountPermission</v>
      </c>
      <c r="L4" s="26" t="str">
        <f>IFERROR(__xludf.DUMMYFUNCTION("""COMPUTED_VALUE"""),"EnableDisableModule")</f>
        <v>EnableDisableModule</v>
      </c>
      <c r="M4" s="26" t="str">
        <f>IFERROR(__xludf.DUMMYFUNCTION("""COMPUTED_VALUE"""),"IsImportOverrideOnShortLocate")</f>
        <v>IsImportOverrideOnShortLocate</v>
      </c>
      <c r="N4" s="26" t="str">
        <f>IFERROR(__xludf.DUMMYFUNCTION("""COMPUTED_VALUE"""),"SetShortLocateStructures")</f>
        <v>SetShortLocateStructures</v>
      </c>
      <c r="O4" s="26" t="str">
        <f>IFERROR(__xludf.DUMMYFUNCTION("""COMPUTED_VALUE"""),"SetComplianceAlert")</f>
        <v>SetComplianceAlert</v>
      </c>
      <c r="P4" s="27" t="str">
        <f>IFERROR(__xludf.DUMMYFUNCTION("""COMPUTED_VALUE"""),"UpdateExpirationDate")</f>
        <v>UpdateExpirationDate</v>
      </c>
      <c r="Q4" s="27" t="str">
        <f>IFERROR(__xludf.DUMMYFUNCTION("""COMPUTED_VALUE"""),"RenameMasterStrategy")</f>
        <v>RenameMasterStrategy</v>
      </c>
      <c r="R4" s="27" t="str">
        <f>IFERROR(__xludf.DUMMYFUNCTION("""COMPUTED_VALUE"""),"SetTTUIAdminPreferences")</f>
        <v>SetTTUIAdminPreferences</v>
      </c>
      <c r="S4" s="27" t="str">
        <f>IFERROR(__xludf.DUMMYFUNCTION("""COMPUTED_VALUE"""),"UpdateSecFee")</f>
        <v>UpdateSecFee</v>
      </c>
      <c r="T4" s="27" t="str">
        <f>IFERROR(__xludf.DUMMYFUNCTION("""COMPUTED_VALUE"""),"UpdateFee")</f>
        <v>UpdateFee</v>
      </c>
      <c r="U4" s="27" t="str">
        <f>IFERROR(__xludf.DUMMYFUNCTION("""COMPUTED_VALUE"""),"RevertingSMSharesOutValue")</f>
        <v>RevertingSMSharesOutValue</v>
      </c>
      <c r="V4" s="27" t="str">
        <f>IFERROR(__xludf.DUMMYFUNCTION("""COMPUTED_VALUE"""),"SetTTUIAdminPreferences")</f>
        <v>SetTTUIAdminPreferences</v>
      </c>
      <c r="W4" s="27" t="str">
        <f>IFERROR(__xludf.DUMMYFUNCTION("""COMPUTED_VALUE"""),"RestartSQL")</f>
        <v>RestartSQL</v>
      </c>
      <c r="X4" s="27" t="str">
        <f>IFERROR(__xludf.DUMMYFUNCTION("""COMPUTED_VALUE"""),"TradeAuditCleanUp")</f>
        <v>TradeAuditCleanUp</v>
      </c>
      <c r="Y4" s="27" t="str">
        <f>IFERROR(__xludf.DUMMYFUNCTION("""COMPUTED_VALUE"""),"DeleteSymbolFromSM")</f>
        <v>DeleteSymbolFromSM</v>
      </c>
      <c r="Z4" s="27" t="str">
        <f>IFERROR(__xludf.DUMMYFUNCTION("""COMPUTED_VALUE"""),"SetCompliancePermission")</f>
        <v>SetCompliancePermission</v>
      </c>
      <c r="AA4" s="27" t="str">
        <f>IFERROR(__xludf.DUMMYFUNCTION("""COMPUTED_VALUE"""),"UpdateRoundLot")</f>
        <v>UpdateRoundLot</v>
      </c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 Update")</f>
        <v>Symbol Update</v>
      </c>
      <c r="C5" s="29" t="str">
        <f>IFERROR(__xludf.DUMMYFUNCTION("""COMPUTED_VALUE"""),"RoundLot")</f>
        <v>RoundLot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22</v>
      </c>
      <c r="D3" s="5" t="s">
        <v>9</v>
      </c>
      <c r="E3" s="24" t="s">
        <v>23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IFERROR(__xludf.DUMMYFUNCTION("""COMPUTED_VALUE"""),"UpdateMasterFundOnTT")</f>
        <v>UpdateMasterFundOnTT</v>
      </c>
      <c r="R4" s="27" t="str">
        <f>IFERROR(__xludf.DUMMYFUNCTION("""COMPUTED_VALUE"""),"SetTTCompliancePreference")</f>
        <v>SetTTCompliancePreference</v>
      </c>
      <c r="S4" s="27" t="str">
        <f>IFERROR(__xludf.DUMMYFUNCTION("""COMPUTED_VALUE"""),"ImportSymbol")</f>
        <v>ImportSymbol</v>
      </c>
      <c r="T4" s="27" t="str">
        <f>IFERROR(__xludf.DUMMYFUNCTION("""COMPUTED_VALUE"""),"ExportSymbolFromRAList")</f>
        <v>ExportSymbolFromRAList</v>
      </c>
      <c r="U4" s="27" t="str">
        <f>IFERROR(__xludf.DUMMYFUNCTION("""COMPUTED_VALUE"""),"CheckPendingNewOrderAlert")</f>
        <v>CheckPendingNewOrderAlert</v>
      </c>
      <c r="V4" s="27" t="str">
        <f>IFERROR(__xludf.DUMMYFUNCTION("""COMPUTED_VALUE"""),"AddSymbolOnRAList")</f>
        <v>AddSymbolOnRAList</v>
      </c>
      <c r="W4" s="27" t="str">
        <f>IFERROR(__xludf.DUMMYFUNCTION("""COMPUTED_VALUE"""),"DeleteSymbolListFromRA")</f>
        <v>DeleteSymbolListFromRA</v>
      </c>
      <c r="X4" s="27" t="str">
        <f>IFERROR(__xludf.DUMMYFUNCTION("""COMPUTED_VALUE"""),"RemoveSymbolFromRAList")</f>
        <v>RemoveSymbolFromRAList</v>
      </c>
      <c r="Y4" s="27" t="str">
        <f>IFERROR(__xludf.DUMMYFUNCTION("""COMPUTED_VALUE"""),"ToggleBlombergOnRA")</f>
        <v>ToggleBlombergOnRA</v>
      </c>
      <c r="Z4" s="27" t="str">
        <f>IFERROR(__xludf.DUMMYFUNCTION("""COMPUTED_VALUE"""),"CreateDoneAwayOrder")</f>
        <v>CreateDoneAwayOrder</v>
      </c>
      <c r="AA4" s="27" t="str">
        <f>IFERROR(__xludf.DUMMYFUNCTION("""COMPUTED_VALUE"""),"AddOptionTrade")</f>
        <v>AddOptionTrade</v>
      </c>
      <c r="AB4" s="27" t="str">
        <f>IFERROR(__xludf.DUMMYFUNCTION("""COMPUTED_VALUE"""),"SendLiveBloomberg")</f>
        <v>SendLiveBloomberg</v>
      </c>
      <c r="AC4" s="27" t="str">
        <f>IFERROR(__xludf.DUMMYFUNCTION("""COMPUTED_VALUE"""),"ViewAllocation")</f>
        <v>ViewAllocation</v>
      </c>
      <c r="AD4" s="27" t="str">
        <f>IFERROR(__xludf.DUMMYFUNCTION("""COMPUTED_VALUE"""),"CreateReplaceLiveOrder")</f>
        <v>CreateReplaceLiveOrder</v>
      </c>
      <c r="AE4" s="27" t="str">
        <f>IFERROR(__xludf.DUMMYFUNCTION("""COMPUTED_VALUE"""),"CreateNewSubLiveOrder")</f>
        <v>CreateNewSubLiveOrder</v>
      </c>
      <c r="AF4" s="27" t="str">
        <f>IFERROR(__xludf.DUMMYFUNCTION("""COMPUTED_VALUE"""),"VerifyBasketExport")</f>
        <v>VerifyBasketExport</v>
      </c>
      <c r="AG4" s="27" t="str">
        <f>IFERROR(__xludf.DUMMYFUNCTION("""COMPUTED_VALUE"""),"CreateComplianceOrder")</f>
        <v>CreateComplianceOrder</v>
      </c>
      <c r="AH4" s="27" t="str">
        <f>IFERROR(__xludf.DUMMYFUNCTION("""COMPUTED_VALUE"""),"VerifyComplianceOrder")</f>
        <v>VerifyComplianceOrder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16</v>
      </c>
      <c r="C6" s="37" t="s">
        <v>24</v>
      </c>
      <c r="D6" s="33">
        <v>600.0</v>
      </c>
      <c r="E6" s="37"/>
      <c r="F6" s="37"/>
      <c r="G6" s="37"/>
      <c r="H6" s="37"/>
      <c r="I6" s="37"/>
      <c r="J6" s="33">
        <v>10.0</v>
      </c>
      <c r="K6" s="37"/>
      <c r="L6" s="37"/>
      <c r="M6" s="37"/>
      <c r="N6" s="38">
        <f t="shared" ref="N6:N12" si="1">today()-1</f>
        <v>44800</v>
      </c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39">
        <f t="shared" si="1"/>
        <v>44800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25</v>
      </c>
      <c r="D8" s="35">
        <v>100.0</v>
      </c>
      <c r="E8" s="36"/>
      <c r="F8" s="36"/>
      <c r="G8" s="36"/>
      <c r="H8" s="36"/>
      <c r="I8" s="36"/>
      <c r="J8" s="35">
        <v>10.0</v>
      </c>
      <c r="K8" s="36"/>
      <c r="L8" s="36"/>
      <c r="M8" s="36"/>
      <c r="N8" s="39">
        <f t="shared" si="1"/>
        <v>44800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5">
        <v>600.0</v>
      </c>
      <c r="E9" s="36"/>
      <c r="F9" s="36"/>
      <c r="G9" s="36"/>
      <c r="H9" s="36"/>
      <c r="I9" s="36"/>
      <c r="J9" s="35">
        <v>10.0</v>
      </c>
      <c r="K9" s="36"/>
      <c r="L9" s="36"/>
      <c r="M9" s="36"/>
      <c r="N9" s="39">
        <f t="shared" si="1"/>
        <v>44800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20</v>
      </c>
      <c r="C10" s="36" t="s">
        <v>24</v>
      </c>
      <c r="D10" s="35">
        <v>100.0</v>
      </c>
      <c r="E10" s="36"/>
      <c r="F10" s="34" t="s">
        <v>26</v>
      </c>
      <c r="G10" s="36"/>
      <c r="H10" s="36"/>
      <c r="I10" s="36"/>
      <c r="J10" s="35">
        <v>10.0</v>
      </c>
      <c r="K10" s="36"/>
      <c r="L10" s="36"/>
      <c r="M10" s="36"/>
      <c r="N10" s="39">
        <f t="shared" si="1"/>
        <v>44800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21</v>
      </c>
      <c r="C11" s="36" t="s">
        <v>24</v>
      </c>
      <c r="D11" s="35">
        <v>100.0</v>
      </c>
      <c r="E11" s="36"/>
      <c r="F11" s="34" t="s">
        <v>26</v>
      </c>
      <c r="G11" s="36"/>
      <c r="H11" s="36"/>
      <c r="I11" s="36"/>
      <c r="J11" s="35">
        <v>10.0</v>
      </c>
      <c r="K11" s="36"/>
      <c r="L11" s="36"/>
      <c r="M11" s="36"/>
      <c r="N11" s="39">
        <f t="shared" si="1"/>
        <v>44800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18</v>
      </c>
      <c r="C12" s="36" t="s">
        <v>25</v>
      </c>
      <c r="D12" s="35">
        <v>15.0</v>
      </c>
      <c r="E12" s="36"/>
      <c r="F12" s="34" t="s">
        <v>26</v>
      </c>
      <c r="G12" s="36"/>
      <c r="H12" s="36"/>
      <c r="I12" s="36"/>
      <c r="J12" s="35">
        <v>10.0</v>
      </c>
      <c r="K12" s="36"/>
      <c r="L12" s="36"/>
      <c r="M12" s="36"/>
      <c r="N12" s="39">
        <f t="shared" si="1"/>
        <v>44800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27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28</v>
      </c>
      <c r="D3" s="5" t="s">
        <v>9</v>
      </c>
      <c r="E3" s="24" t="s">
        <v>29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9">
        <f t="shared" ref="B6:C6" si="1">today()-1</f>
        <v>44800</v>
      </c>
      <c r="C6" s="38">
        <f t="shared" si="1"/>
        <v>44800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28</v>
      </c>
      <c r="D3" s="5" t="s">
        <v>9</v>
      </c>
      <c r="E3" s="24" t="s">
        <v>30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0" t="s">
        <v>31</v>
      </c>
      <c r="C6" s="37" t="s">
        <v>32</v>
      </c>
      <c r="D6" s="41">
        <v>40000.0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28</v>
      </c>
      <c r="D3" s="5" t="s">
        <v>9</v>
      </c>
      <c r="E3" s="24" t="s">
        <v>30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26</v>
      </c>
      <c r="C6" s="37" t="s">
        <v>32</v>
      </c>
      <c r="D6" s="33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34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35</v>
      </c>
      <c r="C6" s="37" t="s">
        <v>36</v>
      </c>
      <c r="D6" s="37" t="s">
        <v>37</v>
      </c>
      <c r="E6" s="37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39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/>
      <c r="C6" s="37" t="s">
        <v>40</v>
      </c>
      <c r="D6" s="37" t="s">
        <v>41</v>
      </c>
      <c r="E6" s="43" t="b">
        <v>1</v>
      </c>
      <c r="F6" s="32" t="s">
        <v>35</v>
      </c>
      <c r="G6" s="32" t="s">
        <v>42</v>
      </c>
      <c r="H6" s="44" t="s">
        <v>43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44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5" t="s">
        <v>45</v>
      </c>
      <c r="C6" s="46" t="b">
        <v>1</v>
      </c>
      <c r="D6" s="4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46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47" t="s">
        <v>31</v>
      </c>
      <c r="D6" s="47" t="s">
        <v>17</v>
      </c>
      <c r="E6" s="47" t="s">
        <v>47</v>
      </c>
      <c r="F6" s="47" t="s">
        <v>48</v>
      </c>
      <c r="G6" s="48">
        <v>94.51</v>
      </c>
      <c r="H6" s="48">
        <v>94.51</v>
      </c>
      <c r="I6" s="48">
        <v>1.0</v>
      </c>
      <c r="J6" s="8"/>
      <c r="K6" s="48">
        <v>100.0</v>
      </c>
      <c r="L6" s="8"/>
      <c r="M6" s="8"/>
      <c r="N6" s="8"/>
      <c r="O6" s="8"/>
      <c r="R6" s="48">
        <v>-60.0</v>
      </c>
      <c r="S6" s="49">
        <v>-5671.0</v>
      </c>
    </row>
    <row r="7" ht="15.75" customHeight="1">
      <c r="A7" s="8"/>
      <c r="B7" s="8"/>
      <c r="C7" s="47" t="s">
        <v>31</v>
      </c>
      <c r="D7" s="47" t="s">
        <v>16</v>
      </c>
      <c r="E7" s="47" t="s">
        <v>47</v>
      </c>
      <c r="F7" s="47" t="s">
        <v>48</v>
      </c>
      <c r="G7" s="48">
        <v>194.32</v>
      </c>
      <c r="H7" s="48">
        <v>194.32</v>
      </c>
      <c r="I7" s="48">
        <v>1.0</v>
      </c>
      <c r="J7" s="8"/>
      <c r="K7" s="48">
        <v>600.0</v>
      </c>
      <c r="L7" s="8"/>
      <c r="M7" s="8"/>
      <c r="N7" s="8"/>
      <c r="O7" s="8"/>
      <c r="R7" s="48">
        <v>-400.0</v>
      </c>
      <c r="S7" s="49">
        <v>-77728.0</v>
      </c>
    </row>
    <row r="8" ht="15.75" customHeight="1">
      <c r="A8" s="8"/>
      <c r="B8" s="8"/>
      <c r="C8" s="47" t="s">
        <v>26</v>
      </c>
      <c r="D8" s="47" t="s">
        <v>20</v>
      </c>
      <c r="E8" s="47" t="s">
        <v>47</v>
      </c>
      <c r="F8" s="47" t="s">
        <v>48</v>
      </c>
      <c r="G8" s="50">
        <v>1100.0</v>
      </c>
      <c r="H8" s="48">
        <v>1100.0</v>
      </c>
      <c r="I8" s="48">
        <v>1.0</v>
      </c>
      <c r="J8" s="8"/>
      <c r="K8" s="48">
        <v>100.0</v>
      </c>
      <c r="L8" s="8"/>
      <c r="M8" s="8"/>
      <c r="N8" s="8"/>
      <c r="O8" s="8"/>
      <c r="R8" s="48">
        <v>-100.0</v>
      </c>
      <c r="S8" s="49">
        <v>-110000.0</v>
      </c>
    </row>
    <row r="9" ht="15.75" customHeight="1">
      <c r="A9" s="8"/>
      <c r="B9" s="8"/>
      <c r="C9" s="47" t="s">
        <v>31</v>
      </c>
      <c r="D9" s="47" t="s">
        <v>19</v>
      </c>
      <c r="E9" s="47" t="s">
        <v>47</v>
      </c>
      <c r="F9" s="47" t="s">
        <v>48</v>
      </c>
      <c r="G9" s="48">
        <v>6.56</v>
      </c>
      <c r="H9" s="48">
        <v>6.56</v>
      </c>
      <c r="I9" s="48">
        <v>1.0</v>
      </c>
      <c r="J9" s="8"/>
      <c r="K9" s="48">
        <v>600.0</v>
      </c>
      <c r="L9" s="8"/>
      <c r="M9" s="8"/>
      <c r="N9" s="8"/>
      <c r="O9" s="8"/>
      <c r="R9" s="48">
        <v>-360.0</v>
      </c>
      <c r="S9" s="49">
        <v>-2362.0</v>
      </c>
    </row>
    <row r="10" ht="15.75" customHeight="1">
      <c r="A10" s="8"/>
      <c r="B10" s="8"/>
      <c r="C10" s="47" t="s">
        <v>26</v>
      </c>
      <c r="D10" s="47" t="s">
        <v>21</v>
      </c>
      <c r="E10" s="47" t="s">
        <v>47</v>
      </c>
      <c r="F10" s="47" t="s">
        <v>48</v>
      </c>
      <c r="G10" s="48">
        <v>110.0</v>
      </c>
      <c r="H10" s="48">
        <v>110.0</v>
      </c>
      <c r="I10" s="48">
        <v>1.0</v>
      </c>
      <c r="J10" s="8"/>
      <c r="K10" s="48">
        <v>100.0</v>
      </c>
      <c r="L10" s="8"/>
      <c r="M10" s="8"/>
      <c r="N10" s="8"/>
      <c r="O10" s="8"/>
      <c r="R10" s="48">
        <v>-31.0</v>
      </c>
      <c r="S10" s="49">
        <v>-3410.0</v>
      </c>
    </row>
    <row r="11" ht="15.75" customHeight="1">
      <c r="A11" s="8"/>
      <c r="B11" s="8"/>
      <c r="C11" s="47" t="s">
        <v>31</v>
      </c>
      <c r="D11" s="47" t="s">
        <v>18</v>
      </c>
      <c r="E11" s="47" t="s">
        <v>47</v>
      </c>
      <c r="F11" s="47" t="s">
        <v>49</v>
      </c>
      <c r="G11" s="48">
        <v>36.48</v>
      </c>
      <c r="H11" s="48">
        <v>36.48</v>
      </c>
      <c r="I11" s="48">
        <v>1.0</v>
      </c>
      <c r="J11" s="8"/>
      <c r="K11" s="48">
        <v>100.0</v>
      </c>
      <c r="L11" s="8"/>
      <c r="M11" s="8"/>
      <c r="N11" s="8"/>
      <c r="O11" s="8"/>
      <c r="R11" s="48">
        <v>-60.0</v>
      </c>
      <c r="S11" s="49">
        <v>2189.0</v>
      </c>
    </row>
    <row r="12" ht="15.75" customHeight="1">
      <c r="A12" s="8"/>
      <c r="B12" s="8"/>
      <c r="C12" s="47" t="s">
        <v>26</v>
      </c>
      <c r="D12" s="47" t="s">
        <v>18</v>
      </c>
      <c r="E12" s="47" t="s">
        <v>47</v>
      </c>
      <c r="F12" s="47" t="s">
        <v>49</v>
      </c>
      <c r="G12" s="48">
        <v>36.48</v>
      </c>
      <c r="H12" s="48">
        <v>36.48</v>
      </c>
      <c r="I12" s="48">
        <v>1.0</v>
      </c>
      <c r="J12" s="8"/>
      <c r="K12" s="48">
        <v>15.0</v>
      </c>
      <c r="L12" s="8"/>
      <c r="M12" s="8"/>
      <c r="N12" s="8"/>
      <c r="O12" s="8"/>
      <c r="R12" s="48">
        <v>-10.0</v>
      </c>
      <c r="S12" s="48">
        <v>365.0</v>
      </c>
    </row>
    <row r="13" ht="15.75" customHeight="1">
      <c r="C13" s="47" t="s">
        <v>31</v>
      </c>
      <c r="D13" s="47" t="s">
        <v>50</v>
      </c>
      <c r="E13" s="47" t="s">
        <v>50</v>
      </c>
      <c r="F13" s="47" t="s">
        <v>48</v>
      </c>
      <c r="G13" s="48">
        <v>1.0</v>
      </c>
      <c r="H13" s="48">
        <v>1.0</v>
      </c>
      <c r="I13" s="48">
        <v>1.0</v>
      </c>
      <c r="K13" s="48">
        <v>0.0</v>
      </c>
      <c r="R13" s="48">
        <v>0.0</v>
      </c>
      <c r="S13" s="48">
        <v>0.0</v>
      </c>
    </row>
    <row r="14" ht="15.75" customHeight="1">
      <c r="C14" s="47" t="s">
        <v>26</v>
      </c>
      <c r="D14" s="47" t="s">
        <v>50</v>
      </c>
      <c r="E14" s="47" t="s">
        <v>50</v>
      </c>
      <c r="F14" s="47" t="s">
        <v>48</v>
      </c>
      <c r="G14" s="48">
        <v>1.0</v>
      </c>
      <c r="H14" s="48">
        <v>1.0</v>
      </c>
      <c r="I14" s="48">
        <v>1.0</v>
      </c>
      <c r="K14" s="48">
        <v>0.0</v>
      </c>
      <c r="R14" s="48">
        <v>0.0</v>
      </c>
      <c r="S14" s="48">
        <v>0.0</v>
      </c>
    </row>
    <row r="15" ht="15.75" customHeight="1">
      <c r="C15" s="47" t="s">
        <v>31</v>
      </c>
      <c r="D15" s="47" t="s">
        <v>51</v>
      </c>
      <c r="E15" s="47" t="s">
        <v>51</v>
      </c>
      <c r="F15" s="47" t="s">
        <v>48</v>
      </c>
      <c r="G15" s="48">
        <v>1.0</v>
      </c>
      <c r="H15" s="48">
        <v>1.0</v>
      </c>
      <c r="I15" s="48">
        <v>1.0</v>
      </c>
      <c r="K15" s="48">
        <v>40000.0</v>
      </c>
      <c r="L15" s="48">
        <v>40000.0</v>
      </c>
      <c r="M15" s="48">
        <v>40000.0</v>
      </c>
      <c r="O15" s="48">
        <v>23572.0</v>
      </c>
      <c r="P15" s="48">
        <v>23572.0</v>
      </c>
      <c r="Q15" s="48">
        <v>23572.0</v>
      </c>
      <c r="R15" s="48">
        <v>-16428.0</v>
      </c>
      <c r="S15" s="49">
        <v>-16428.0</v>
      </c>
    </row>
    <row r="16" ht="15.75" customHeight="1">
      <c r="C16" s="47" t="s">
        <v>26</v>
      </c>
      <c r="D16" s="47" t="s">
        <v>51</v>
      </c>
      <c r="E16" s="47" t="s">
        <v>51</v>
      </c>
      <c r="F16" s="47" t="s">
        <v>48</v>
      </c>
      <c r="G16" s="48">
        <v>1.0</v>
      </c>
      <c r="H16" s="48">
        <v>1.0</v>
      </c>
      <c r="I16" s="48">
        <v>1.0</v>
      </c>
      <c r="K16" s="48">
        <v>40000.0</v>
      </c>
      <c r="L16" s="48">
        <v>40000.0</v>
      </c>
      <c r="M16" s="48">
        <v>40000.0</v>
      </c>
      <c r="O16" s="48">
        <v>103046.0</v>
      </c>
      <c r="P16" s="48">
        <v>103046.0</v>
      </c>
      <c r="Q16" s="48">
        <v>103046.0</v>
      </c>
      <c r="R16" s="48">
        <v>63046.0</v>
      </c>
      <c r="S16" s="49">
        <v>63046.0</v>
      </c>
    </row>
    <row r="17" ht="15.75" customHeight="1">
      <c r="I17" s="5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33</v>
      </c>
      <c r="D3" s="5" t="s">
        <v>9</v>
      </c>
      <c r="E3" s="24" t="s">
        <v>52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IFERROR(__xludf.DUMMYFUNCTION("""COMPUTED_VALUE"""),"ClearCalculations")</f>
        <v>ClearCalculations</v>
      </c>
      <c r="H4" s="26" t="str">
        <f>IFERROR(__xludf.DUMMYFUNCTION("""COMPUTED_VALUE"""),"ModifyRebalance")</f>
        <v>ModifyRebalance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IFERROR(__xludf.DUMMYFUNCTION("""COMPUTED_VALUE"""),"RebalanceViaBloomberg")</f>
        <v>RebalanceViaBloomberg</v>
      </c>
      <c r="N4" s="26" t="str">
        <f>IFERROR(__xludf.DUMMYFUNCTION("""COMPUTED_VALUE"""),"AddUserAdjustedNAV")</f>
        <v>AddUserAdjustedNAV</v>
      </c>
      <c r="O4" s="26" t="str">
        <f>IFERROR(__xludf.DUMMYFUNCTION("""COMPUTED_VALUE"""),"SymbologyChangeRB")</f>
        <v>SymbologyChangeRB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IFERROR(__xludf.DUMMYFUNCTION("""COMPUTED_VALUE"""),"CheckCompliance")</f>
        <v>CheckCompliance</v>
      </c>
      <c r="S4" s="27" t="str">
        <f>IFERROR(__xludf.DUMMYFUNCTION("""COMPUTED_VALUE"""),"CheckBasketCompliance")</f>
        <v>CheckBasketCompliance</v>
      </c>
      <c r="T4" s="27" t="str">
        <f>IFERROR(__xludf.DUMMYFUNCTION("""COMPUTED_VALUE"""),"EnableComplianceTab")</f>
        <v>EnableComplianceTab</v>
      </c>
      <c r="U4" s="27" t="str">
        <f>IFERROR(__xludf.DUMMYFUNCTION("""COMPUTED_VALUE"""),"RebalancePreference")</f>
        <v>RebalancePreference</v>
      </c>
      <c r="V4" s="27" t="str">
        <f>IFERROR(__xludf.DUMMYFUNCTION("""COMPUTED_VALUE"""),"CloseRebalancer")</f>
        <v>CloseRebalancer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7" t="s">
        <v>31</v>
      </c>
      <c r="C6" s="47" t="s">
        <v>53</v>
      </c>
      <c r="D6" s="47" t="s">
        <v>17</v>
      </c>
      <c r="E6" s="48">
        <v>60.0</v>
      </c>
      <c r="F6" s="48">
        <v>94.51</v>
      </c>
      <c r="G6" s="49">
        <v>-5671.0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31</v>
      </c>
      <c r="C7" s="47" t="s">
        <v>53</v>
      </c>
      <c r="D7" s="47" t="s">
        <v>16</v>
      </c>
      <c r="E7" s="48">
        <v>400.0</v>
      </c>
      <c r="F7" s="48">
        <v>194.32</v>
      </c>
      <c r="G7" s="49">
        <v>-77728.0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26</v>
      </c>
      <c r="C8" s="47" t="s">
        <v>53</v>
      </c>
      <c r="D8" s="47" t="s">
        <v>20</v>
      </c>
      <c r="E8" s="48">
        <v>100.0</v>
      </c>
      <c r="F8" s="50">
        <v>1100.0</v>
      </c>
      <c r="G8" s="49">
        <v>-110000.0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31</v>
      </c>
      <c r="C9" s="47" t="s">
        <v>53</v>
      </c>
      <c r="D9" s="47" t="s">
        <v>19</v>
      </c>
      <c r="E9" s="48">
        <v>360.0</v>
      </c>
      <c r="F9" s="48">
        <v>6.56</v>
      </c>
      <c r="G9" s="49">
        <v>-2362.0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26</v>
      </c>
      <c r="C10" s="47" t="s">
        <v>53</v>
      </c>
      <c r="D10" s="47" t="s">
        <v>21</v>
      </c>
      <c r="E10" s="48">
        <v>31.0</v>
      </c>
      <c r="F10" s="48">
        <v>110.0</v>
      </c>
      <c r="G10" s="49">
        <v>-3410.0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31</v>
      </c>
      <c r="C11" s="47" t="s">
        <v>54</v>
      </c>
      <c r="D11" s="47" t="s">
        <v>18</v>
      </c>
      <c r="E11" s="48">
        <v>60.0</v>
      </c>
      <c r="F11" s="48">
        <v>36.48</v>
      </c>
      <c r="G11" s="49">
        <v>2189.0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26</v>
      </c>
      <c r="C12" s="47" t="s">
        <v>54</v>
      </c>
      <c r="D12" s="47" t="s">
        <v>18</v>
      </c>
      <c r="E12" s="48">
        <v>10.0</v>
      </c>
      <c r="F12" s="48">
        <v>36.48</v>
      </c>
      <c r="G12" s="48">
        <v>365.0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1"/>
      <c r="C13" s="51"/>
      <c r="D13" s="51"/>
      <c r="E13" s="51"/>
      <c r="F13" s="51"/>
      <c r="G13" s="51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1"/>
      <c r="C14" s="51"/>
      <c r="D14" s="51"/>
      <c r="E14" s="51"/>
      <c r="F14" s="51"/>
      <c r="G14" s="51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