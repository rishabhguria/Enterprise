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" sheetId="4" r:id="rId6"/>
    <sheet state="visible" name="SetCompliancePermission" sheetId="5" r:id="rId7"/>
    <sheet state="visible" name="RestartReleasesAndServices" sheetId="6" r:id="rId8"/>
    <sheet state="visible" name="CustomOrderTT" sheetId="7" r:id="rId9"/>
    <sheet state="visible" name="SelectTradeOnOrderGrid" sheetId="8" r:id="rId10"/>
    <sheet state="visible" name="CancelSubOrder" sheetId="9" r:id="rId11"/>
    <sheet state="visible" name="CancelWorkingSubs" sheetId="10" r:id="rId12"/>
    <sheet state="visible" name="CancelFromSummary" sheetId="11" r:id="rId13"/>
    <sheet state="visible" name="LoginClient" sheetId="12" r:id="rId14"/>
    <sheet state="visible" name="VerifyAlertHistory" sheetId="13" r:id="rId15"/>
    <sheet state="visible" name="GetDataFromAuditTrail" sheetId="14" r:id="rId16"/>
    <sheet state="visible" name="VerifyAuditTrail" sheetId="15" r:id="rId17"/>
  </sheets>
  <definedNames/>
  <calcPr/>
</workbook>
</file>

<file path=xl/sharedStrings.xml><?xml version="1.0" encoding="utf-8"?>
<sst xmlns="http://schemas.openxmlformats.org/spreadsheetml/2006/main" count="192" uniqueCount="83">
  <si>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</si>
  <si>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</si>
  <si>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</si>
  <si>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</si>
  <si>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</si>
  <si>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</si>
  <si>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</si>
  <si>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</si>
  <si>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</si>
  <si>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</si>
  <si>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</si>
  <si>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</si>
  <si>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</si>
  <si>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SetGeneralPreference</t>
  </si>
  <si>
    <t>Data Format</t>
  </si>
  <si>
    <t>Input Format</t>
  </si>
  <si>
    <t>DefaultNotes,DefaultBrokerNotes</t>
  </si>
  <si>
    <t>Admin</t>
  </si>
  <si>
    <t>SetCompliancePermission</t>
  </si>
  <si>
    <t>TradeQuantity-123</t>
  </si>
  <si>
    <t>REQUIRES APPROVAL</t>
  </si>
  <si>
    <t>Compliance</t>
  </si>
  <si>
    <t>RestartReleasesAndServices</t>
  </si>
  <si>
    <t>No</t>
  </si>
  <si>
    <t>CustomOrderTT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</si>
  <si>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</si>
  <si>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</si>
  <si>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</si>
  <si>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</si>
  <si>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</si>
  <si>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</si>
  <si>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</si>
  <si>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</si>
  <si>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</si>
  <si>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</si>
  <si>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</si>
  <si>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</si>
  <si>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</si>
  <si>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</si>
  <si>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</si>
  <si>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</si>
  <si>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</si>
  <si>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</si>
  <si>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</si>
  <si>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</si>
  <si>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</si>
  <si>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</si>
  <si>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</si>
  <si>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</si>
  <si>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</si>
  <si>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</si>
  <si>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</si>
  <si>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</si>
  <si>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</si>
  <si>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AAPL</t>
  </si>
  <si>
    <t>Send</t>
  </si>
  <si>
    <t>Buy</t>
  </si>
  <si>
    <t>AMZN</t>
  </si>
  <si>
    <t>GOOG</t>
  </si>
  <si>
    <t>Blotter</t>
  </si>
  <si>
    <t>SelectTradeOnOrderGrid</t>
  </si>
  <si>
    <t>CancelSubOrder</t>
  </si>
  <si>
    <t>CancelWorkingSubs</t>
  </si>
  <si>
    <t>CancelFromSummary</t>
  </si>
  <si>
    <t>PranaClient</t>
  </si>
  <si>
    <t>LoginClient</t>
  </si>
  <si>
    <t>Support2</t>
  </si>
  <si>
    <t>Nirvana@1</t>
  </si>
  <si>
    <t>VerifyAlertHistory</t>
  </si>
  <si>
    <t>Support1</t>
  </si>
  <si>
    <t>PreTrade</t>
  </si>
  <si>
    <t>Enter Summary</t>
  </si>
  <si>
    <t>quantity: 100.00 Symbol: AAPL</t>
  </si>
  <si>
    <t>Expired because the order was cancelled.</t>
  </si>
  <si>
    <t>If Quantity not equals to -123 Then block the trade.</t>
  </si>
  <si>
    <t>Original order cancelled.</t>
  </si>
  <si>
    <t>quantity: 100.00 Symbol: AMZN</t>
  </si>
  <si>
    <t>quantity: 100.00 Symbol: GOOG</t>
  </si>
  <si>
    <t>AuditTrail</t>
  </si>
  <si>
    <t>GetDataFromAuditTrail</t>
  </si>
  <si>
    <t>VerifyAuditTrail</t>
  </si>
  <si>
    <t>Allocation1</t>
  </si>
  <si>
    <t>Order Blocked (Compliance)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</si>
</sst>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19</v>
      </c>
      <c r="C6" s="33" t="s">
        <v>20</v>
      </c>
      <c r="D6" s="34">
        <v>17.0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25</v>
      </c>
      <c r="C5" s="27" t="s">
        <v>26</v>
      </c>
      <c r="D5" s="27" t="s">
        <v>27</v>
      </c>
      <c r="E5" s="27" t="s">
        <v>28</v>
      </c>
      <c r="F5" s="28" t="s">
        <v>29</v>
      </c>
      <c r="G5" s="27" t="s">
        <v>30</v>
      </c>
      <c r="H5" s="27" t="s">
        <v>31</v>
      </c>
      <c r="I5" s="27" t="s">
        <v>32</v>
      </c>
      <c r="J5" s="27" t="s">
        <v>33</v>
      </c>
      <c r="K5" s="27" t="s">
        <v>34</v>
      </c>
      <c r="L5" s="27" t="s">
        <v>35</v>
      </c>
      <c r="M5" s="27" t="s">
        <v>36</v>
      </c>
      <c r="N5" s="27" t="s">
        <v>37</v>
      </c>
      <c r="O5" s="27" t="s">
        <v>38</v>
      </c>
      <c r="P5" s="27" t="s">
        <v>39</v>
      </c>
      <c r="Q5" s="27" t="s">
        <v>40</v>
      </c>
      <c r="R5" s="27" t="s">
        <v>41</v>
      </c>
      <c r="S5" s="27" t="s">
        <v>42</v>
      </c>
      <c r="T5" s="29" t="s">
        <v>43</v>
      </c>
      <c r="U5" s="29" t="s">
        <v>44</v>
      </c>
      <c r="V5" s="29" t="s">
        <v>45</v>
      </c>
      <c r="W5" s="29" t="s">
        <v>46</v>
      </c>
      <c r="X5" s="29" t="s">
        <v>47</v>
      </c>
      <c r="Y5" s="29" t="s">
        <v>48</v>
      </c>
      <c r="Z5" s="29" t="s">
        <v>49</v>
      </c>
      <c r="AA5" s="29" t="s">
        <v>50</v>
      </c>
      <c r="AB5" s="29" t="s">
        <v>51</v>
      </c>
      <c r="AC5" s="29" t="s">
        <v>52</v>
      </c>
      <c r="AD5" s="29" t="s">
        <v>53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54</v>
      </c>
      <c r="C6" s="12">
        <v>100.0</v>
      </c>
      <c r="D6" s="12">
        <v>2.0</v>
      </c>
      <c r="E6" s="12" t="s">
        <v>55</v>
      </c>
      <c r="F6" s="8"/>
      <c r="G6" s="8"/>
      <c r="H6" s="8"/>
      <c r="I6" s="8"/>
      <c r="J6" s="12" t="s">
        <v>56</v>
      </c>
      <c r="K6" s="8"/>
      <c r="L6" s="8"/>
      <c r="M6" s="8"/>
      <c r="N6" s="8"/>
      <c r="O6" s="8"/>
    </row>
    <row r="7" ht="15.75" customHeight="1">
      <c r="A7" s="8"/>
      <c r="B7" s="12" t="s">
        <v>57</v>
      </c>
      <c r="C7" s="12">
        <v>100.0</v>
      </c>
      <c r="D7" s="12">
        <v>2.0</v>
      </c>
      <c r="E7" s="12" t="s">
        <v>55</v>
      </c>
      <c r="F7" s="8"/>
      <c r="G7" s="8"/>
      <c r="H7" s="8"/>
      <c r="I7" s="8"/>
      <c r="J7" s="12" t="s">
        <v>56</v>
      </c>
      <c r="K7" s="8"/>
      <c r="L7" s="8"/>
      <c r="M7" s="8"/>
      <c r="N7" s="8"/>
      <c r="O7" s="8"/>
    </row>
    <row r="8" ht="15.75" customHeight="1">
      <c r="A8" s="8"/>
      <c r="B8" s="12" t="s">
        <v>58</v>
      </c>
      <c r="C8" s="12">
        <v>100.0</v>
      </c>
      <c r="D8" s="12">
        <v>2.0</v>
      </c>
      <c r="E8" s="12" t="s">
        <v>55</v>
      </c>
      <c r="F8" s="8"/>
      <c r="G8" s="8"/>
      <c r="H8" s="8"/>
      <c r="I8" s="8"/>
      <c r="J8" s="12" t="s">
        <v>56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54</v>
      </c>
      <c r="E6" s="30"/>
      <c r="F6" s="12" t="s">
        <v>56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54</v>
      </c>
      <c r="AJ6" s="9" t="s">
        <v>56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IFERROR(__xludf.DUMMYFUNCTION("""COMPUTED_VALUE"""),"Remaining Qty")</f>
        <v>Remaining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IFERROR(__xludf.DUMMYFUNCTION("""COMPUTED_VALUE"""),"Status (With Rollover)")</f>
        <v>Status (With Rollover)</v>
      </c>
      <c r="AY5" s="29" t="str">
        <f>IFERROR(__xludf.DUMMYFUNCTION("""COMPUTED_VALUE"""),"CustomTabName")</f>
        <v>CustomTabName</v>
      </c>
      <c r="AZ5" s="29" t="str">
        <f>IFERROR(__xludf.DUMMYFUNCTION("""COMPUTED_VALUE"""),"CancelAllSubsOnHeader")</f>
        <v>CancelAllSubsOnHeader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57</v>
      </c>
      <c r="E6" s="30"/>
      <c r="F6" s="12" t="s">
        <v>56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58</v>
      </c>
      <c r="AJ6" s="9" t="s">
        <v>56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CancelFromSummary!$4:$4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66</v>
      </c>
      <c r="C6" s="12" t="s">
        <v>67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IFERROR(__xludf.DUMMYFUNCTION("""COMPUTED_VALUE"""),"Name")</f>
        <v>Name</v>
      </c>
      <c r="C5" s="27" t="str">
        <f>IFERROR(__xludf.DUMMYFUNCTION("""COMPUTED_VALUE"""),"User Name")</f>
        <v>User Name</v>
      </c>
      <c r="D5" s="27" t="str">
        <f>IFERROR(__xludf.DUMMYFUNCTION("""COMPUTED_VALUE"""),"Rule Type")</f>
        <v>Rule Type</v>
      </c>
      <c r="E5" s="27" t="str">
        <f>IFERROR(__xludf.DUMMYFUNCTION("""COMPUTED_VALUE"""),"Summary")</f>
        <v>Summary</v>
      </c>
      <c r="F5" s="28" t="str">
        <f>IFERROR(__xludf.DUMMYFUNCTION("""COMPUTED_VALUE"""),"Compression Level")</f>
        <v>Compression Level</v>
      </c>
      <c r="G5" s="27" t="str">
        <f>IFERROR(__xludf.DUMMYFUNCTION("""COMPUTED_VALUE"""),"Parameters")</f>
        <v>Parameters</v>
      </c>
      <c r="H5" s="27" t="str">
        <f>IFERROR(__xludf.DUMMYFUNCTION("""COMPUTED_VALUE"""),"Validation Time")</f>
        <v>Validation Time</v>
      </c>
      <c r="I5" s="27" t="str">
        <f>IFERROR(__xludf.DUMMYFUNCTION("""COMPUTED_VALUE"""),"OrderId")</f>
        <v>OrderId</v>
      </c>
      <c r="J5" s="27" t="str">
        <f>IFERROR(__xludf.DUMMYFUNCTION("""COMPUTED_VALUE"""),"Status")</f>
        <v>Status</v>
      </c>
      <c r="K5" s="27" t="str">
        <f>IFERROR(__xludf.DUMMYFUNCTION("""COMPUTED_VALUE"""),"Description")</f>
        <v>Description</v>
      </c>
      <c r="L5" s="27" t="str">
        <f>IFERROR(__xludf.DUMMYFUNCTION("""COMPUTED_VALUE"""),"Dimension")</f>
        <v>Dimension</v>
      </c>
      <c r="M5" s="27" t="str">
        <f>IFERROR(__xludf.DUMMYFUNCTION("""COMPUTED_VALUE"""),"Rule Deleted")</f>
        <v>Rule Deleted</v>
      </c>
      <c r="N5" s="27" t="str">
        <f>IFERROR(__xludf.DUMMYFUNCTION("""COMPUTED_VALUE"""),"PreTrade Type")</f>
        <v>PreTrade Type</v>
      </c>
      <c r="O5" s="27" t="str">
        <f>IFERROR(__xludf.DUMMYFUNCTION("""COMPUTED_VALUE"""),"Compliance Officer Notes")</f>
        <v>Compliance Officer Notes</v>
      </c>
      <c r="P5" s="27" t="str">
        <f>IFERROR(__xludf.DUMMYFUNCTION("""COMPUTED_VALUE"""),"User Notes")</f>
        <v>User Notes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19</v>
      </c>
      <c r="C6" s="12" t="s">
        <v>69</v>
      </c>
      <c r="D6" s="12" t="s">
        <v>70</v>
      </c>
      <c r="E6" s="12" t="s">
        <v>71</v>
      </c>
      <c r="F6" s="12"/>
      <c r="G6" s="12" t="s">
        <v>72</v>
      </c>
      <c r="H6" s="36"/>
      <c r="I6" s="12"/>
      <c r="J6" s="12" t="s">
        <v>73</v>
      </c>
      <c r="K6" s="12" t="s">
        <v>74</v>
      </c>
      <c r="L6" s="12" t="s">
        <v>54</v>
      </c>
      <c r="M6" s="12"/>
      <c r="N6" s="12"/>
      <c r="O6" s="8"/>
      <c r="P6" s="9" t="s">
        <v>75</v>
      </c>
    </row>
    <row r="7" ht="15.75" customHeight="1">
      <c r="A7" s="8"/>
      <c r="B7" s="12" t="s">
        <v>19</v>
      </c>
      <c r="C7" s="12" t="s">
        <v>69</v>
      </c>
      <c r="D7" s="12" t="s">
        <v>70</v>
      </c>
      <c r="E7" s="12" t="s">
        <v>71</v>
      </c>
      <c r="F7" s="12"/>
      <c r="G7" s="12" t="s">
        <v>76</v>
      </c>
      <c r="H7" s="36"/>
      <c r="I7" s="12"/>
      <c r="J7" s="12" t="s">
        <v>73</v>
      </c>
      <c r="K7" s="12" t="s">
        <v>74</v>
      </c>
      <c r="L7" s="12" t="s">
        <v>57</v>
      </c>
      <c r="M7" s="12"/>
      <c r="N7" s="12"/>
      <c r="O7" s="8"/>
      <c r="P7" s="9" t="s">
        <v>75</v>
      </c>
    </row>
    <row r="8" ht="15.75" customHeight="1">
      <c r="A8" s="8"/>
      <c r="B8" s="12" t="s">
        <v>19</v>
      </c>
      <c r="C8" s="12" t="s">
        <v>69</v>
      </c>
      <c r="D8" s="12" t="s">
        <v>70</v>
      </c>
      <c r="E8" s="12" t="s">
        <v>71</v>
      </c>
      <c r="F8" s="12"/>
      <c r="G8" s="12" t="s">
        <v>77</v>
      </c>
      <c r="H8" s="36"/>
      <c r="I8" s="12"/>
      <c r="J8" s="12" t="s">
        <v>73</v>
      </c>
      <c r="K8" s="12" t="s">
        <v>74</v>
      </c>
      <c r="L8" s="12" t="s">
        <v>58</v>
      </c>
      <c r="M8" s="12"/>
      <c r="N8" s="12"/>
      <c r="O8" s="8"/>
      <c r="P8" s="9" t="s">
        <v>75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VerifyAlertHistory!$4:$4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IFERROR(__xludf.DUMMYFUNCTION("""COMPUTED_VALUE"""),"FromDate")</f>
        <v>FromDate</v>
      </c>
      <c r="C5" s="27" t="str">
        <f>IFERROR(__xludf.DUMMYFUNCTION("""COMPUTED_VALUE"""),"ToDate")</f>
        <v>ToDate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f t="shared" ref="B6:C6" si="1">TODAY()</f>
        <v>45736</v>
      </c>
      <c r="C6" s="37">
        <f t="shared" si="1"/>
        <v>45736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GetDataFromAuditTrail!$4:$4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 Time (UTC)")</f>
        <v>Action Time (UTC)</v>
      </c>
      <c r="C5" s="27" t="str">
        <f>IFERROR(__xludf.DUMMYFUNCTION("""COMPUTED_VALUE"""),"Symbol")</f>
        <v>Symbol</v>
      </c>
      <c r="D5" s="27" t="str">
        <f>IFERROR(__xludf.DUMMYFUNCTION("""COMPUTED_VALUE"""),"Order Side")</f>
        <v>Order Side</v>
      </c>
      <c r="E5" s="27" t="str">
        <f>IFERROR(__xludf.DUMMYFUNCTION("""COMPUTED_VALUE"""),"Account Name")</f>
        <v>Account Name</v>
      </c>
      <c r="F5" s="28" t="str">
        <f>IFERROR(__xludf.DUMMYFUNCTION("""COMPUTED_VALUE"""),"Action")</f>
        <v>Action</v>
      </c>
      <c r="G5" s="27" t="str">
        <f>IFERROR(__xludf.DUMMYFUNCTION("""COMPUTED_VALUE"""),"Original Value")</f>
        <v>Original Value</v>
      </c>
      <c r="H5" s="27" t="str">
        <f>IFERROR(__xludf.DUMMYFUNCTION("""COMPUTED_VALUE"""),"New Value")</f>
        <v>New Value</v>
      </c>
      <c r="I5" s="27" t="str">
        <f>IFERROR(__xludf.DUMMYFUNCTION("""COMPUTED_VALUE"""),"Comment")</f>
        <v>Comment</v>
      </c>
      <c r="J5" s="27" t="str">
        <f>IFERROR(__xludf.DUMMYFUNCTION("""COMPUTED_VALUE"""),"Company User")</f>
        <v>Company User</v>
      </c>
      <c r="K5" s="27" t="str">
        <f>IFERROR(__xludf.DUMMYFUNCTION("""COMPUTED_VALUE"""),"TaxlotId")</f>
        <v>TaxlotId</v>
      </c>
      <c r="L5" s="27" t="str">
        <f>IFERROR(__xludf.DUMMYFUNCTION("""COMPUTED_VALUE"""),"GroupId")</f>
        <v>GroupId</v>
      </c>
      <c r="M5" s="27" t="str">
        <f>IFERROR(__xludf.DUMMYFUNCTION("""COMPUTED_VALUE"""),"Action Time")</f>
        <v>Action Time</v>
      </c>
      <c r="N5" s="27" t="str">
        <f>IFERROR(__xludf.DUMMYFUNCTION("""COMPUTED_VALUE"""),"ParentOrderId")</f>
        <v>ParentOrderId</v>
      </c>
      <c r="O5" s="27" t="str">
        <f>IFERROR(__xludf.DUMMYFUNCTION("""COMPUTED_VALUE"""),"OrderId")</f>
        <v>OrderId</v>
      </c>
      <c r="P5" s="27" t="str">
        <f>IFERROR(__xludf.DUMMYFUNCTION("""COMPUTED_VALUE"""),"Source")</f>
        <v>Source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54</v>
      </c>
      <c r="D6" s="12" t="s">
        <v>56</v>
      </c>
      <c r="E6" s="12" t="s">
        <v>81</v>
      </c>
      <c r="F6" s="12" t="s">
        <v>82</v>
      </c>
      <c r="G6" s="8"/>
      <c r="H6" s="8"/>
      <c r="I6" s="12" t="s">
        <v>73</v>
      </c>
      <c r="J6" s="8"/>
      <c r="K6" s="8"/>
      <c r="L6" s="8"/>
      <c r="M6" s="8"/>
      <c r="N6" s="8"/>
      <c r="O6" s="8"/>
      <c r="P6" s="9" t="s">
        <v>21</v>
      </c>
    </row>
    <row r="7" ht="15.75" customHeight="1">
      <c r="A7" s="8"/>
      <c r="B7" s="8"/>
      <c r="C7" s="12" t="s">
        <v>57</v>
      </c>
      <c r="D7" s="12" t="s">
        <v>56</v>
      </c>
      <c r="E7" s="12" t="s">
        <v>81</v>
      </c>
      <c r="F7" s="12" t="s">
        <v>82</v>
      </c>
      <c r="G7" s="8"/>
      <c r="H7" s="8"/>
      <c r="I7" s="12" t="s">
        <v>73</v>
      </c>
      <c r="J7" s="8"/>
      <c r="K7" s="8"/>
      <c r="L7" s="8"/>
      <c r="M7" s="8"/>
      <c r="N7" s="8"/>
      <c r="O7" s="8"/>
      <c r="P7" s="9" t="s">
        <v>21</v>
      </c>
    </row>
    <row r="8" ht="15.75" customHeight="1">
      <c r="A8" s="8"/>
      <c r="B8" s="8"/>
      <c r="C8" s="12" t="s">
        <v>58</v>
      </c>
      <c r="D8" s="12" t="s">
        <v>56</v>
      </c>
      <c r="E8" s="12" t="s">
        <v>81</v>
      </c>
      <c r="F8" s="12" t="s">
        <v>82</v>
      </c>
      <c r="G8" s="8"/>
      <c r="H8" s="8"/>
      <c r="I8" s="12" t="s">
        <v>73</v>
      </c>
      <c r="J8" s="8"/>
      <c r="K8" s="8"/>
      <c r="L8" s="8"/>
      <c r="M8" s="8"/>
      <c r="N8" s="8"/>
      <c r="O8" s="8"/>
      <c r="P8" s="9" t="s">
        <v>21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