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LiveOrder" sheetId="6" r:id="rId8"/>
    <sheet state="visible" name="CreateNewSubLiveOrder1" sheetId="7" r:id="rId9"/>
    <sheet state="visible" name="TradeNewSubOrder1" sheetId="8" r:id="rId10"/>
    <sheet state="visible" name="SelectTradeOnOrderGrid" sheetId="9" r:id="rId11"/>
    <sheet state="visible" name="RemoveExecutionWorkingSubs" sheetId="10" r:id="rId12"/>
    <sheet state="visible" name="SelectTradeOnOrderGrid1" sheetId="11" r:id="rId13"/>
    <sheet state="visible" name="VerifyOrder" sheetId="12" r:id="rId14"/>
    <sheet state="visible" name="RemoveExecutionWorkingSubs1" sheetId="13" r:id="rId15"/>
  </sheets>
  <definedNames/>
  <calcPr/>
</workbook>
</file>

<file path=xl/sharedStrings.xml><?xml version="1.0" encoding="utf-8"?>
<sst xmlns="http://schemas.openxmlformats.org/spreadsheetml/2006/main" count="115" uniqueCount="28">
  <si>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</si>
  <si>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</si>
  <si>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</si>
  <si>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</si>
  <si>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</si>
  <si>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</si>
  <si>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</si>
  <si>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</si>
  <si>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</si>
  <si>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</si>
  <si>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</si>
  <si>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</si>
  <si>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</si>
  <si>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</si>
  <si>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</si>
  <si>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</si>
  <si>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</si>
  <si>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</si>
  <si>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Blotter</t>
  </si>
  <si>
    <t>TradeNewSubOrder</t>
  </si>
  <si>
    <t>New</t>
  </si>
  <si>
    <t>CreateNewSubLiveOrder</t>
  </si>
  <si>
    <t>SelectTradeOnOrderGrid</t>
  </si>
  <si>
    <t>RemoveExecutionWorkingSubs</t>
  </si>
  <si>
    <t>VerifyOrder</t>
  </si>
  <si>
    <t>NASDAQ</t>
  </si>
  <si>
    <t>NewMF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</si>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</sst>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200.0</v>
      </c>
      <c r="E7" s="31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20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20</v>
      </c>
      <c r="AL6" s="9">
        <v>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8"/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Name")</f>
        <v>Allocation Scheme Name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IFERROR(__xludf.DUMMYFUNCTION("""COMPUTED_VALUE"""),"Source")</f>
        <v>Source</v>
      </c>
      <c r="AW5" s="30" t="str">
        <f>IFERROR(__xludf.DUMMYFUNCTION("""COMPUTED_VALUE"""),"Strategy")</f>
        <v>Strategy</v>
      </c>
      <c r="AX5" s="30" t="str">
        <f>IFERROR(__xludf.DUMMYFUNCTION("""COMPUTED_VALUE"""),"Unexecuted Qty")</f>
        <v>Unexecuted Qty</v>
      </c>
      <c r="AY5" s="30" t="str">
        <f>IFERROR(__xludf.DUMMYFUNCTION("""COMPUTED_VALUE"""),"Allocation Status")</f>
        <v>Allocation Status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8"/>
      <c r="H6" s="13">
        <v>50.0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RemoveExecutionWorkingSubs!$4:$4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8"/>
      <c r="H6" s="13">
        <v>200.0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25</v>
      </c>
      <c r="I6" s="8"/>
      <c r="J6" s="8"/>
      <c r="K6" s="8"/>
      <c r="L6" s="8"/>
      <c r="M6" s="8"/>
      <c r="N6" s="8"/>
      <c r="O6" s="8"/>
      <c r="AA6" s="9" t="s">
        <v>26</v>
      </c>
      <c r="AD6" s="9">
        <v>1.0</v>
      </c>
      <c r="AI6" s="9" t="s">
        <v>16</v>
      </c>
      <c r="AJ6" s="9" t="s">
        <v>17</v>
      </c>
      <c r="AK6" s="9" t="s">
        <v>20</v>
      </c>
      <c r="AL6" s="9">
        <v>100.0</v>
      </c>
      <c r="AU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25</v>
      </c>
      <c r="I7" s="8"/>
      <c r="J7" s="8"/>
      <c r="K7" s="8"/>
      <c r="L7" s="8"/>
      <c r="M7" s="8"/>
      <c r="N7" s="8"/>
      <c r="O7" s="8"/>
      <c r="AA7" s="9" t="s">
        <v>26</v>
      </c>
      <c r="AD7" s="9">
        <v>1.0</v>
      </c>
      <c r="AI7" s="9" t="s">
        <v>16</v>
      </c>
      <c r="AJ7" s="9" t="s">
        <v>17</v>
      </c>
      <c r="AK7" s="9" t="s">
        <v>20</v>
      </c>
      <c r="AL7" s="9">
        <v>200.0</v>
      </c>
      <c r="AU7" s="9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Name")</f>
        <v>Allocation Scheme Name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IFERROR(__xludf.DUMMYFUNCTION("""COMPUTED_VALUE"""),"Source")</f>
        <v>Source</v>
      </c>
      <c r="AW5" s="30" t="str">
        <f>IFERROR(__xludf.DUMMYFUNCTION("""COMPUTED_VALUE"""),"Strategy")</f>
        <v>Strategy</v>
      </c>
      <c r="AX5" s="30" t="str">
        <f>IFERROR(__xludf.DUMMYFUNCTION("""COMPUTED_VALUE"""),"Unexecuted Qty")</f>
        <v>Unexecuted Qty</v>
      </c>
      <c r="AY5" s="30" t="str">
        <f>IFERROR(__xludf.DUMMYFUNCTION("""COMPUTED_VALUE"""),"Allocation Status")</f>
        <v>Allocation Status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8"/>
      <c r="H6" s="13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RemoveExecutionWorkingSubs1!$4:$4</formula1>
    </dataValidation>
  </dataValidations>
  <drawing r:id="rId1"/>
</worksheet>
</file>