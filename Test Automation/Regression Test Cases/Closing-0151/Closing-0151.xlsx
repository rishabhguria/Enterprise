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<sst xmlns="http://schemas.openxmlformats.org/spreadsheetml/2006/main" count="234" uniqueCount="60">
  <si>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</si>
  <si>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</si>
  <si>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</si>
  <si>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</si>
  <si>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</si>
  <si>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</si>
  <si>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</si>
  <si>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</si>
  <si>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</si>
  <si>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</si>
  <si>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</si>
  <si>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</si>
  <si>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</si>
  <si>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</si>
  <si>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</si>
  <si>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</si>
  <si>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</si>
  <si>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</si>
  <si>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</si>
  <si>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</si>
  <si>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</si>
  <si>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</si>
  <si>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</si>
  <si>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</si>
  <si>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</t>
  </si>
  <si>
    <t>Allocation1</t>
  </si>
  <si>
    <t>Sell short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</si>
  <si>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</si>
  <si>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</si>
  <si>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</si>
  <si>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</si>
  <si>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</si>
  <si>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</si>
  <si>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</si>
  <si>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</si>
  <si>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</si>
  <si>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</si>
  <si>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</si>
  <si>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</si>
  <si>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</si>
  <si>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</si>
  <si>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</si>
  <si>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</si>
  <si>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</si>
  <si>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</si>
  <si>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</si>
  <si>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</si>
  <si>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</si>
  <si>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</si>
  <si>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MS</t>
  </si>
  <si>
    <t>RIG AUG 2010 75 CALL</t>
  </si>
  <si>
    <t>M</t>
  </si>
  <si>
    <t>TRANSOCEAN INC</t>
  </si>
  <si>
    <t>NYSE</t>
  </si>
  <si>
    <t>D</t>
  </si>
  <si>
    <t>PortfolioManagement</t>
  </si>
  <si>
    <t>CheckPortfolioManagement</t>
  </si>
  <si>
    <t>NewMF</t>
  </si>
  <si>
    <t>Equity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</si>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</sst>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14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44982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5"/>
      <c r="D6" s="34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21</v>
      </c>
      <c r="C6" s="35" t="s">
        <v>22</v>
      </c>
      <c r="D6" s="39">
        <v>10.0</v>
      </c>
      <c r="E6" s="40">
        <v>10.0</v>
      </c>
      <c r="F6" s="35" t="s">
        <v>23</v>
      </c>
      <c r="G6" s="35"/>
      <c r="H6" s="35"/>
      <c r="I6" s="35"/>
      <c r="J6" s="40">
        <v>1.0</v>
      </c>
      <c r="K6" s="35"/>
      <c r="L6" s="35"/>
      <c r="M6" s="35"/>
      <c r="N6" s="33">
        <f>today()-1</f>
        <v>44982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2" t="s">
        <v>21</v>
      </c>
      <c r="C7" s="43" t="s">
        <v>24</v>
      </c>
      <c r="D7" s="44">
        <v>100.0</v>
      </c>
      <c r="E7" s="44">
        <v>100.0</v>
      </c>
      <c r="F7" s="42" t="s">
        <v>25</v>
      </c>
      <c r="G7" s="42"/>
      <c r="H7" s="42"/>
      <c r="I7" s="42"/>
      <c r="J7" s="44">
        <v>10.0</v>
      </c>
      <c r="K7" s="42"/>
      <c r="L7" s="42"/>
      <c r="M7" s="42"/>
      <c r="N7" s="45">
        <f t="shared" ref="N7:N8" si="1">today()</f>
        <v>44983</v>
      </c>
      <c r="O7" s="42"/>
      <c r="P7" s="42"/>
      <c r="Q7" s="42"/>
      <c r="R7" s="42"/>
      <c r="S7" s="42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1"/>
      <c r="B8" s="42" t="s">
        <v>21</v>
      </c>
      <c r="C8" s="43" t="s">
        <v>26</v>
      </c>
      <c r="D8" s="44">
        <v>50.0</v>
      </c>
      <c r="E8" s="44">
        <v>50.0</v>
      </c>
      <c r="F8" s="42" t="s">
        <v>25</v>
      </c>
      <c r="G8" s="42"/>
      <c r="H8" s="42"/>
      <c r="I8" s="42"/>
      <c r="J8" s="44">
        <v>10.0</v>
      </c>
      <c r="K8" s="42"/>
      <c r="L8" s="42"/>
      <c r="M8" s="42"/>
      <c r="N8" s="45">
        <f t="shared" si="1"/>
        <v>44983</v>
      </c>
      <c r="O8" s="42"/>
      <c r="P8" s="42"/>
      <c r="Q8" s="42"/>
      <c r="R8" s="42"/>
      <c r="S8" s="42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46"/>
      <c r="B9" s="47" t="s">
        <v>16</v>
      </c>
      <c r="C9" s="48" t="s">
        <v>27</v>
      </c>
      <c r="D9" s="49">
        <v>10.0</v>
      </c>
      <c r="E9" s="49">
        <v>10.0</v>
      </c>
      <c r="F9" s="46" t="s">
        <v>25</v>
      </c>
      <c r="G9" s="46"/>
      <c r="H9" s="46"/>
      <c r="I9" s="46"/>
      <c r="J9" s="49">
        <v>10.0</v>
      </c>
      <c r="K9" s="46"/>
      <c r="L9" s="46"/>
      <c r="M9" s="46"/>
      <c r="N9" s="50">
        <f>today()-1</f>
        <v>44982</v>
      </c>
      <c r="O9" s="46"/>
      <c r="P9" s="46"/>
      <c r="Q9" s="46"/>
      <c r="R9" s="46"/>
      <c r="S9" s="4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44982</v>
      </c>
      <c r="C6" s="33">
        <f>today()</f>
        <v>44983</v>
      </c>
      <c r="D6" s="5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s">
        <v>21</v>
      </c>
      <c r="C6" s="40">
        <v>80.0</v>
      </c>
      <c r="D6" s="5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3" t="s">
        <v>21</v>
      </c>
      <c r="C6" s="54">
        <v>80.0</v>
      </c>
      <c r="D6" s="5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33</v>
      </c>
      <c r="C6" s="55" t="s">
        <v>34</v>
      </c>
      <c r="D6" s="33">
        <f>today()</f>
        <v>44983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25</v>
      </c>
      <c r="C6" s="35"/>
      <c r="D6" s="34"/>
      <c r="E6" s="35" t="s">
        <v>36</v>
      </c>
      <c r="F6" s="35"/>
      <c r="G6" s="35"/>
      <c r="H6" s="35"/>
      <c r="I6" s="40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56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6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7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3"/>
      <c r="C6" s="36"/>
      <c r="D6" s="53"/>
      <c r="E6" s="36"/>
      <c r="F6" s="36"/>
      <c r="G6" s="36"/>
      <c r="H6" s="36"/>
      <c r="I6" s="36"/>
      <c r="J6" s="54">
        <v>100.0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25</v>
      </c>
      <c r="C6" s="35" t="s">
        <v>36</v>
      </c>
      <c r="D6" s="34"/>
      <c r="E6" s="35"/>
      <c r="F6" s="40">
        <v>0.0</v>
      </c>
      <c r="G6" s="40">
        <v>10.0</v>
      </c>
      <c r="H6" s="35"/>
      <c r="I6" s="35"/>
      <c r="J6" s="57" t="s">
        <v>39</v>
      </c>
      <c r="K6" s="35" t="s">
        <v>40</v>
      </c>
      <c r="L6" s="35"/>
      <c r="M6" s="40">
        <v>10000.0</v>
      </c>
      <c r="N6" s="35"/>
      <c r="O6" s="40">
        <v>10000.0</v>
      </c>
      <c r="P6" s="35" t="s">
        <v>41</v>
      </c>
      <c r="Q6" s="35"/>
      <c r="R6" s="35" t="s">
        <v>42</v>
      </c>
      <c r="S6" s="58">
        <v>0.0</v>
      </c>
      <c r="T6" s="56">
        <v>10.0</v>
      </c>
      <c r="U6" s="36"/>
      <c r="V6" s="36" t="s">
        <v>43</v>
      </c>
      <c r="W6" s="36" t="s">
        <v>43</v>
      </c>
      <c r="X6" s="56">
        <v>0.0</v>
      </c>
      <c r="Y6" s="56">
        <v>0.0</v>
      </c>
      <c r="Z6" s="59" t="s">
        <v>27</v>
      </c>
      <c r="AA6" s="36" t="s">
        <v>44</v>
      </c>
      <c r="AB6" s="47" t="s">
        <v>16</v>
      </c>
      <c r="AC6" s="36"/>
      <c r="AD6" s="36" t="s">
        <v>45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33</v>
      </c>
      <c r="C6" s="55" t="s">
        <v>34</v>
      </c>
      <c r="D6" s="33">
        <f>today()</f>
        <v>44983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0" t="s">
        <v>25</v>
      </c>
      <c r="C6" s="8"/>
      <c r="D6" s="13"/>
      <c r="E6" s="61">
        <v>10.0</v>
      </c>
      <c r="F6" s="8"/>
      <c r="G6" s="8"/>
      <c r="H6" s="61">
        <v>0.0</v>
      </c>
      <c r="I6" s="61">
        <v>0.0</v>
      </c>
      <c r="J6" s="8"/>
      <c r="K6" s="61">
        <v>10.0</v>
      </c>
      <c r="L6" s="61">
        <v>10.0</v>
      </c>
      <c r="M6" s="8"/>
      <c r="N6" s="8"/>
      <c r="O6" s="60" t="s">
        <v>49</v>
      </c>
      <c r="V6" s="60" t="s">
        <v>50</v>
      </c>
      <c r="Z6" s="60"/>
      <c r="AD6" s="60" t="s">
        <v>42</v>
      </c>
      <c r="AE6" s="61">
        <v>10.0</v>
      </c>
      <c r="AH6" s="60" t="s">
        <v>51</v>
      </c>
      <c r="AT6" s="62">
        <v>10000.0</v>
      </c>
      <c r="AU6" s="62">
        <v>10000.0</v>
      </c>
      <c r="BE6" s="62">
        <v>10000.0</v>
      </c>
      <c r="BF6" s="62">
        <v>10000.0</v>
      </c>
      <c r="BJ6" s="61">
        <v>10.0</v>
      </c>
      <c r="BM6" s="60" t="s">
        <v>41</v>
      </c>
      <c r="BO6" s="60" t="s">
        <v>27</v>
      </c>
      <c r="BT6" s="60" t="s">
        <v>16</v>
      </c>
    </row>
    <row r="7" ht="15.75" customHeight="1">
      <c r="A7" s="8"/>
      <c r="B7" s="60" t="s">
        <v>23</v>
      </c>
      <c r="C7" s="8"/>
      <c r="D7" s="8"/>
      <c r="E7" s="61">
        <v>10.0</v>
      </c>
      <c r="F7" s="8"/>
      <c r="G7" s="8"/>
      <c r="H7" s="61">
        <v>0.0</v>
      </c>
      <c r="I7" s="61">
        <v>0.0</v>
      </c>
      <c r="J7" s="8"/>
      <c r="K7" s="61">
        <v>1.0</v>
      </c>
      <c r="L7" s="61">
        <v>1.0</v>
      </c>
      <c r="M7" s="8"/>
      <c r="N7" s="8"/>
      <c r="O7" s="60" t="s">
        <v>49</v>
      </c>
      <c r="V7" s="60" t="s">
        <v>52</v>
      </c>
      <c r="Z7" s="60"/>
      <c r="AD7" s="60" t="s">
        <v>53</v>
      </c>
      <c r="AE7" s="61">
        <v>10.0</v>
      </c>
      <c r="AH7" s="60" t="s">
        <v>51</v>
      </c>
      <c r="AT7" s="61">
        <v>11.00175</v>
      </c>
      <c r="AU7" s="61">
        <v>11.00175</v>
      </c>
      <c r="BE7" s="61">
        <v>10.0</v>
      </c>
      <c r="BF7" s="61">
        <v>10.0</v>
      </c>
      <c r="BJ7" s="61">
        <v>10.0</v>
      </c>
      <c r="BM7" s="60" t="s">
        <v>41</v>
      </c>
      <c r="BO7" s="60" t="s">
        <v>22</v>
      </c>
      <c r="BT7" s="60" t="s">
        <v>21</v>
      </c>
    </row>
    <row r="8" ht="15.75" customHeight="1">
      <c r="A8" s="8"/>
      <c r="B8" s="60" t="s">
        <v>25</v>
      </c>
      <c r="C8" s="8"/>
      <c r="D8" s="8"/>
      <c r="E8" s="61">
        <v>100.0</v>
      </c>
      <c r="F8" s="8"/>
      <c r="G8" s="8"/>
      <c r="H8" s="61">
        <v>9.0</v>
      </c>
      <c r="I8" s="61">
        <v>0.0</v>
      </c>
      <c r="J8" s="8"/>
      <c r="K8" s="61">
        <v>10.0</v>
      </c>
      <c r="L8" s="61">
        <v>10.0</v>
      </c>
      <c r="M8" s="8"/>
      <c r="N8" s="8"/>
      <c r="O8" s="60" t="s">
        <v>49</v>
      </c>
      <c r="V8" s="60" t="s">
        <v>52</v>
      </c>
      <c r="Z8" s="60"/>
      <c r="AD8" s="60" t="s">
        <v>53</v>
      </c>
      <c r="AE8" s="61">
        <v>100.0</v>
      </c>
      <c r="AH8" s="60" t="s">
        <v>51</v>
      </c>
      <c r="AT8" s="61">
        <v>988.825</v>
      </c>
      <c r="AU8" s="61">
        <v>988.825</v>
      </c>
      <c r="BE8" s="62">
        <v>1000.0</v>
      </c>
      <c r="BF8" s="62">
        <v>1000.0</v>
      </c>
      <c r="BJ8" s="61">
        <v>100.0</v>
      </c>
      <c r="BM8" s="60" t="s">
        <v>41</v>
      </c>
      <c r="BO8" s="60" t="s">
        <v>24</v>
      </c>
      <c r="BT8" s="60" t="s">
        <v>21</v>
      </c>
    </row>
    <row r="9" ht="15.75" customHeight="1">
      <c r="A9" s="8"/>
      <c r="B9" s="60" t="s">
        <v>25</v>
      </c>
      <c r="C9" s="8"/>
      <c r="D9" s="8"/>
      <c r="E9" s="61">
        <v>50.0</v>
      </c>
      <c r="F9" s="8"/>
      <c r="G9" s="8"/>
      <c r="H9" s="61">
        <v>5.0</v>
      </c>
      <c r="I9" s="61">
        <v>0.0</v>
      </c>
      <c r="J9" s="8"/>
      <c r="K9" s="61">
        <v>10.0</v>
      </c>
      <c r="L9" s="61">
        <v>10.0</v>
      </c>
      <c r="M9" s="8"/>
      <c r="N9" s="8"/>
      <c r="O9" s="60" t="s">
        <v>49</v>
      </c>
      <c r="V9" s="60" t="s">
        <v>52</v>
      </c>
      <c r="Z9" s="60"/>
      <c r="AD9" s="60" t="s">
        <v>53</v>
      </c>
      <c r="AE9" s="61">
        <v>50.0</v>
      </c>
      <c r="AH9" s="60" t="s">
        <v>51</v>
      </c>
      <c r="AT9" s="62">
        <v>492.9125</v>
      </c>
      <c r="AU9" s="62">
        <v>492.9125</v>
      </c>
      <c r="BE9" s="62">
        <v>500.0</v>
      </c>
      <c r="BF9" s="62">
        <v>500.0</v>
      </c>
      <c r="BJ9" s="61">
        <v>50.0</v>
      </c>
      <c r="BM9" s="60" t="s">
        <v>41</v>
      </c>
      <c r="BO9" s="60" t="s">
        <v>26</v>
      </c>
      <c r="BT9" s="60" t="s">
        <v>21</v>
      </c>
    </row>
    <row r="10" ht="15.75" customHeight="1">
      <c r="A10" s="8"/>
      <c r="B10" s="60" t="s">
        <v>25</v>
      </c>
      <c r="C10" s="8"/>
      <c r="D10" s="8"/>
      <c r="E10" s="61">
        <v>10.0</v>
      </c>
      <c r="F10" s="8"/>
      <c r="G10" s="8"/>
      <c r="H10" s="61">
        <v>0.0</v>
      </c>
      <c r="I10" s="61">
        <v>0.0</v>
      </c>
      <c r="J10" s="8"/>
      <c r="K10" s="61">
        <v>10.0</v>
      </c>
      <c r="L10" s="61">
        <v>10.0</v>
      </c>
      <c r="M10" s="8"/>
      <c r="N10" s="8"/>
      <c r="O10" s="60" t="s">
        <v>49</v>
      </c>
      <c r="V10" s="60" t="s">
        <v>50</v>
      </c>
      <c r="Z10" s="60"/>
      <c r="AD10" s="60" t="s">
        <v>42</v>
      </c>
      <c r="AE10" s="61">
        <v>10.0</v>
      </c>
      <c r="AH10" s="60" t="s">
        <v>51</v>
      </c>
      <c r="AT10" s="62">
        <v>10000.0</v>
      </c>
      <c r="AU10" s="62">
        <v>10000.0</v>
      </c>
      <c r="BE10" s="62">
        <v>10000.0</v>
      </c>
      <c r="BF10" s="62">
        <v>10000.0</v>
      </c>
      <c r="BJ10" s="61">
        <v>10.0</v>
      </c>
      <c r="BM10" s="60" t="s">
        <v>41</v>
      </c>
      <c r="BO10" s="60" t="s">
        <v>27</v>
      </c>
      <c r="BT10" s="60" t="s">
        <v>16</v>
      </c>
    </row>
    <row r="11" ht="15.75" customHeight="1">
      <c r="A11" s="8"/>
      <c r="B11" s="60" t="s">
        <v>25</v>
      </c>
      <c r="C11" s="8"/>
      <c r="D11" s="8"/>
      <c r="E11" s="62">
        <v>1000.0</v>
      </c>
      <c r="F11" s="8"/>
      <c r="G11" s="8"/>
      <c r="H11" s="61">
        <v>0.0</v>
      </c>
      <c r="I11" s="61">
        <v>0.0</v>
      </c>
      <c r="J11" s="8"/>
      <c r="K11" s="61">
        <v>100.0</v>
      </c>
      <c r="L11" s="61">
        <v>100.0</v>
      </c>
      <c r="M11" s="8"/>
      <c r="N11" s="8"/>
      <c r="O11" s="8"/>
      <c r="V11" s="60" t="s">
        <v>52</v>
      </c>
      <c r="Z11" s="60"/>
      <c r="AD11" s="60" t="s">
        <v>53</v>
      </c>
      <c r="AE11" s="62">
        <v>1000.0</v>
      </c>
      <c r="AH11" s="60" t="s">
        <v>54</v>
      </c>
      <c r="AT11" s="62">
        <v>110000.0</v>
      </c>
      <c r="AU11" s="62">
        <v>110000.0</v>
      </c>
      <c r="BE11" s="62">
        <v>100000.0</v>
      </c>
      <c r="BF11" s="62">
        <v>100000.0</v>
      </c>
      <c r="BJ11" s="62">
        <v>1000.0</v>
      </c>
      <c r="BM11" s="60" t="s">
        <v>41</v>
      </c>
      <c r="BO11" s="60" t="s">
        <v>26</v>
      </c>
      <c r="BT11" s="60" t="s">
        <v>21</v>
      </c>
    </row>
    <row r="12" ht="15.75" customHeight="1">
      <c r="A12" s="8"/>
      <c r="B12" s="8"/>
      <c r="C12" s="8"/>
      <c r="D12" s="8"/>
      <c r="E12" s="61"/>
      <c r="F12" s="8"/>
      <c r="G12" s="8"/>
      <c r="H12" s="61"/>
      <c r="I12" s="61"/>
      <c r="J12" s="8"/>
      <c r="K12" s="61"/>
      <c r="L12" s="61"/>
      <c r="M12" s="8"/>
      <c r="N12" s="8"/>
      <c r="O12" s="8"/>
      <c r="V12" s="60"/>
      <c r="Z12" s="60"/>
      <c r="AD12" s="60"/>
      <c r="AE12" s="61"/>
      <c r="AH12" s="60"/>
      <c r="AT12" s="62"/>
      <c r="AU12" s="62"/>
      <c r="BE12" s="62"/>
      <c r="BF12" s="62"/>
      <c r="BJ12" s="61"/>
      <c r="BM12" s="60"/>
      <c r="BO12" s="60"/>
      <c r="BT12" s="6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V13" s="63"/>
      <c r="BT13" s="6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T14" s="6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60" t="s">
        <v>21</v>
      </c>
      <c r="D6" s="61">
        <v>-100.0</v>
      </c>
      <c r="E6" s="60" t="s">
        <v>25</v>
      </c>
      <c r="F6" s="60" t="s">
        <v>57</v>
      </c>
      <c r="G6" s="8"/>
      <c r="H6" s="60" t="s">
        <v>43</v>
      </c>
      <c r="I6" s="8"/>
      <c r="J6" s="8"/>
      <c r="K6" s="8"/>
      <c r="L6" s="8"/>
      <c r="M6" s="8"/>
      <c r="N6" s="8"/>
      <c r="O6" s="8"/>
      <c r="S6" s="60" t="s">
        <v>44</v>
      </c>
      <c r="T6" s="60" t="s">
        <v>58</v>
      </c>
      <c r="U6" s="60" t="s">
        <v>45</v>
      </c>
      <c r="V6" s="60" t="s">
        <v>53</v>
      </c>
      <c r="W6" s="60" t="s">
        <v>41</v>
      </c>
      <c r="Y6" s="61">
        <v>1.0</v>
      </c>
      <c r="AN6" s="60" t="s">
        <v>24</v>
      </c>
    </row>
    <row r="7" ht="15.75" customHeight="1">
      <c r="A7" s="8"/>
      <c r="B7" s="8"/>
      <c r="C7" s="60" t="s">
        <v>21</v>
      </c>
      <c r="D7" s="61">
        <v>-100.0</v>
      </c>
      <c r="E7" s="60" t="s">
        <v>25</v>
      </c>
      <c r="F7" s="60" t="s">
        <v>57</v>
      </c>
      <c r="G7" s="8"/>
      <c r="H7" s="60" t="s">
        <v>43</v>
      </c>
      <c r="I7" s="8"/>
      <c r="J7" s="8"/>
      <c r="K7" s="8"/>
      <c r="L7" s="8"/>
      <c r="M7" s="8"/>
      <c r="N7" s="8"/>
      <c r="O7" s="8"/>
      <c r="S7" s="60" t="s">
        <v>44</v>
      </c>
      <c r="T7" s="60" t="s">
        <v>58</v>
      </c>
      <c r="U7" s="60" t="s">
        <v>45</v>
      </c>
      <c r="V7" s="60" t="s">
        <v>53</v>
      </c>
      <c r="W7" s="60" t="s">
        <v>41</v>
      </c>
      <c r="Y7" s="61">
        <v>1.0</v>
      </c>
      <c r="AN7" s="60" t="s">
        <v>24</v>
      </c>
    </row>
    <row r="8" ht="15.75" customHeight="1">
      <c r="A8" s="8"/>
      <c r="B8" s="8"/>
      <c r="C8" s="60" t="s">
        <v>21</v>
      </c>
      <c r="D8" s="61">
        <v>-50.0</v>
      </c>
      <c r="E8" s="60" t="s">
        <v>25</v>
      </c>
      <c r="F8" s="60" t="s">
        <v>57</v>
      </c>
      <c r="G8" s="8"/>
      <c r="H8" s="60" t="s">
        <v>43</v>
      </c>
      <c r="I8" s="8"/>
      <c r="J8" s="8"/>
      <c r="K8" s="8"/>
      <c r="L8" s="8"/>
      <c r="M8" s="8"/>
      <c r="N8" s="8"/>
      <c r="O8" s="8"/>
      <c r="S8" s="60" t="s">
        <v>44</v>
      </c>
      <c r="T8" s="60" t="s">
        <v>58</v>
      </c>
      <c r="U8" s="60" t="s">
        <v>45</v>
      </c>
      <c r="V8" s="60" t="s">
        <v>53</v>
      </c>
      <c r="W8" s="60" t="s">
        <v>41</v>
      </c>
      <c r="Y8" s="61">
        <v>1.0</v>
      </c>
      <c r="AN8" s="60" t="s">
        <v>26</v>
      </c>
    </row>
    <row r="9" ht="15.75" customHeight="1">
      <c r="A9" s="8"/>
      <c r="B9" s="8"/>
      <c r="C9" s="60" t="s">
        <v>21</v>
      </c>
      <c r="D9" s="64">
        <v>-1000.0</v>
      </c>
      <c r="E9" s="60" t="s">
        <v>25</v>
      </c>
      <c r="F9" s="60" t="s">
        <v>57</v>
      </c>
      <c r="G9" s="8"/>
      <c r="H9" s="60" t="s">
        <v>43</v>
      </c>
      <c r="I9" s="8"/>
      <c r="J9" s="8"/>
      <c r="K9" s="8"/>
      <c r="L9" s="8"/>
      <c r="M9" s="8"/>
      <c r="N9" s="8"/>
      <c r="O9" s="8"/>
      <c r="S9" s="60" t="s">
        <v>44</v>
      </c>
      <c r="T9" s="60" t="s">
        <v>58</v>
      </c>
      <c r="U9" s="60" t="s">
        <v>45</v>
      </c>
      <c r="V9" s="60" t="s">
        <v>53</v>
      </c>
      <c r="W9" s="60" t="s">
        <v>41</v>
      </c>
      <c r="Y9" s="61">
        <v>1.0</v>
      </c>
      <c r="AN9" s="60" t="s">
        <v>26</v>
      </c>
    </row>
    <row r="10" ht="15.75" customHeight="1">
      <c r="A10" s="8"/>
      <c r="B10" s="8"/>
      <c r="C10" s="60" t="s">
        <v>21</v>
      </c>
      <c r="D10" s="61">
        <v>10.0</v>
      </c>
      <c r="E10" s="60" t="s">
        <v>23</v>
      </c>
      <c r="F10" s="60" t="s">
        <v>59</v>
      </c>
      <c r="G10" s="8"/>
      <c r="H10" s="60" t="s">
        <v>43</v>
      </c>
      <c r="I10" s="8"/>
      <c r="J10" s="8"/>
      <c r="K10" s="8"/>
      <c r="L10" s="8"/>
      <c r="M10" s="8"/>
      <c r="N10" s="8"/>
      <c r="O10" s="8"/>
      <c r="S10" s="60" t="s">
        <v>44</v>
      </c>
      <c r="T10" s="60" t="s">
        <v>58</v>
      </c>
      <c r="U10" s="60" t="s">
        <v>45</v>
      </c>
      <c r="V10" s="60" t="s">
        <v>53</v>
      </c>
      <c r="W10" s="60" t="s">
        <v>41</v>
      </c>
      <c r="Y10" s="61">
        <v>1.0</v>
      </c>
      <c r="AN10" s="60" t="s">
        <v>22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