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DisableCheckside" sheetId="4" r:id="rId6"/>
    <sheet state="visible" name="CreateDoneAwayOrder" sheetId="5" r:id="rId7"/>
    <sheet state="visible" name="GetDataAllocation" sheetId="6" r:id="rId8"/>
    <sheet state="visible" name="CheckAllocatedGroups" sheetId="7" r:id="rId9"/>
  </sheets>
  <definedNames/>
  <calcPr/>
</workbook>
</file>

<file path=xl/sharedStrings.xml><?xml version="1.0" encoding="utf-8"?>
<sst xmlns="http://schemas.openxmlformats.org/spreadsheetml/2006/main" count="59" uniqueCount="29">
  <si>
    <t>Settings</t>
  </si>
  <si>
    <t>Modules Info</t>
  </si>
  <si>
    <t>Master Data Info</t>
  </si>
  <si>
    <t>Module Step Setting File</t>
  </si>
  <si>
    <t>Module</t>
  </si>
  <si>
    <t>Step</t>
  </si>
  <si>
    <t>Master Data Sheet</t>
  </si>
  <si>
    <t>Modules</t>
  </si>
  <si>
    <t>1BICZ_GcMhh_S937ZinFvSYqvvKYtOYB2Bc4woEPpgPg</t>
  </si>
  <si>
    <t>Master Data Settings File</t>
  </si>
  <si>
    <t>1Nt_rf5DtgjbN9Ag4AMMlUkZYROxKZLH5m54YOl7tRT0</t>
  </si>
  <si>
    <t>Data</t>
  </si>
  <si>
    <t>Allocation</t>
  </si>
  <si>
    <t>DisableCheckside</t>
  </si>
  <si>
    <t>Data Format</t>
  </si>
  <si>
    <t>Input Format</t>
  </si>
  <si>
    <t>Allocation4</t>
  </si>
  <si>
    <t>TradingTicket</t>
  </si>
  <si>
    <t>CreateDoneAwayOrder</t>
  </si>
  <si>
    <t>MSFT</t>
  </si>
  <si>
    <t>Buy to Close</t>
  </si>
  <si>
    <t>MS</t>
  </si>
  <si>
    <t>Market</t>
  </si>
  <si>
    <t>Sell short</t>
  </si>
  <si>
    <t>GS</t>
  </si>
  <si>
    <t>GetDataAllocation</t>
  </si>
  <si>
    <t>Current</t>
  </si>
  <si>
    <t>CheckAllocatedGroups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</si>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</sst>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sz val="14.0"/>
      <color rgb="FFFFFFFF"/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1" fillId="2" fontId="4" numFmtId="0" xfId="0" applyAlignment="1" applyBorder="1" applyFont="1">
      <alignment horizontal="center" shrinkToFit="0" wrapText="0"/>
    </xf>
    <xf borderId="1" fillId="2" fontId="4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6" numFmtId="0" xfId="0" applyAlignment="1" applyBorder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4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14" xfId="0" applyAlignment="1" applyFont="1" applyNumberFormat="1">
      <alignment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5" t="s">
        <v>1</v>
      </c>
      <c r="B1" s="2"/>
      <c r="C1" s="2"/>
      <c r="D1" s="2"/>
      <c r="E1" s="2"/>
      <c r="F1" s="3"/>
    </row>
    <row r="2" ht="15.75" customHeight="1">
      <c r="A2" s="7"/>
      <c r="B2" s="7"/>
      <c r="C2" s="7"/>
      <c r="D2" s="7"/>
      <c r="E2" s="7"/>
      <c r="F2" s="7"/>
    </row>
    <row r="3" ht="15.75" customHeight="1">
      <c r="A3" s="12" t="s">
        <v>7</v>
      </c>
      <c r="B3" s="13"/>
      <c r="C3" s="14"/>
      <c r="D3" s="14"/>
      <c r="E3" s="14"/>
      <c r="F3" s="14"/>
    </row>
    <row r="4" ht="15.75" customHeight="1">
      <c r="A4" s="4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4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3"/>
    </row>
    <row r="2" ht="15.75" customHeight="1">
      <c r="A2" s="4"/>
      <c r="B2" s="4"/>
      <c r="C2" s="4"/>
    </row>
    <row r="3" ht="15.75" customHeight="1">
      <c r="A3" s="12" t="s">
        <v>3</v>
      </c>
      <c r="B3" s="15" t="s">
        <v>8</v>
      </c>
      <c r="C3" s="4"/>
    </row>
    <row r="4" ht="15.75" customHeight="1">
      <c r="A4" s="8" t="s">
        <v>9</v>
      </c>
      <c r="B4" s="15" t="s">
        <v>10</v>
      </c>
      <c r="C4" s="4"/>
    </row>
    <row r="5" ht="15.75" customHeight="1">
      <c r="A5" s="16"/>
      <c r="B5" s="4"/>
      <c r="C5" s="4"/>
    </row>
    <row r="6" ht="15.75" customHeight="1">
      <c r="A6" s="16"/>
      <c r="B6" s="4"/>
      <c r="C6" s="4"/>
    </row>
    <row r="7" ht="15.75" customHeight="1">
      <c r="A7" s="16"/>
      <c r="B7" s="4"/>
      <c r="C7" s="4"/>
    </row>
    <row r="8" ht="15.75" customHeight="1">
      <c r="A8" s="16"/>
      <c r="B8" s="4"/>
      <c r="C8" s="4"/>
    </row>
    <row r="9" ht="15.75" customHeight="1">
      <c r="A9" s="16"/>
      <c r="B9" s="4"/>
      <c r="C9" s="4"/>
    </row>
    <row r="10" ht="15.75" customHeight="1">
      <c r="A10" s="16"/>
      <c r="B10" s="4"/>
      <c r="C10" s="4"/>
    </row>
    <row r="11" ht="15.75" customHeight="1">
      <c r="A11" s="16"/>
      <c r="B11" s="4"/>
      <c r="C11" s="4"/>
    </row>
    <row r="12" ht="15.75" customHeight="1">
      <c r="A12" s="16"/>
      <c r="B12" s="4"/>
      <c r="C12" s="4"/>
    </row>
    <row r="13" ht="15.75" customHeight="1">
      <c r="A13" s="16"/>
      <c r="B13" s="4"/>
      <c r="C13" s="4"/>
    </row>
    <row r="14" ht="15.75" customHeight="1">
      <c r="A14" s="16"/>
      <c r="B14" s="4"/>
      <c r="C14" s="4"/>
    </row>
    <row r="15" ht="15.75" customHeight="1">
      <c r="A15" s="16"/>
      <c r="B15" s="4"/>
      <c r="C15" s="4"/>
    </row>
    <row r="16" ht="15.75" customHeight="1">
      <c r="A16" s="16"/>
      <c r="B16" s="4"/>
      <c r="C16" s="4"/>
    </row>
    <row r="17" ht="15.75" customHeight="1">
      <c r="A17" s="16"/>
      <c r="B17" s="4"/>
      <c r="C17" s="4"/>
    </row>
    <row r="18" ht="15.75" customHeight="1">
      <c r="A18" s="16"/>
      <c r="B18" s="4"/>
      <c r="C18" s="4"/>
    </row>
    <row r="19" ht="15.75" customHeight="1">
      <c r="A19" s="16"/>
      <c r="B19" s="4"/>
      <c r="C19" s="4"/>
    </row>
    <row r="20" ht="15.75" customHeight="1">
      <c r="A20" s="16"/>
      <c r="B20" s="4"/>
      <c r="C20" s="4"/>
    </row>
    <row r="21" ht="15.75" customHeight="1">
      <c r="A21" s="16"/>
      <c r="B21" s="4"/>
      <c r="C21" s="4"/>
    </row>
    <row r="22" ht="15.75" customHeight="1">
      <c r="A22" s="16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6" t="s">
        <v>2</v>
      </c>
      <c r="B1" s="2"/>
      <c r="C1" s="2"/>
      <c r="D1" s="2"/>
      <c r="E1" s="2"/>
      <c r="F1" s="3"/>
    </row>
    <row r="2">
      <c r="A2" s="7"/>
      <c r="B2" s="7"/>
      <c r="C2" s="7"/>
      <c r="D2" s="7"/>
      <c r="E2" s="7"/>
      <c r="F2" s="7"/>
    </row>
    <row r="3">
      <c r="A3" s="8" t="s">
        <v>4</v>
      </c>
      <c r="B3" s="9" t="s">
        <v>5</v>
      </c>
      <c r="C3" s="9" t="s">
        <v>6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12" t="s">
        <v>4</v>
      </c>
      <c r="C3" s="21" t="s">
        <v>12</v>
      </c>
      <c r="D3" s="12" t="s">
        <v>5</v>
      </c>
      <c r="E3" s="21" t="s">
        <v>13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IFERROR(__xludf.DUMMYFUNCTION("""COMPUTED_VALUE"""),"Asset")</f>
        <v>Asset</v>
      </c>
      <c r="C5" s="26" t="str">
        <f>IFERROR(__xludf.DUMMYFUNCTION("""COMPUTED_VALUE"""),"Account Name")</f>
        <v>Account Name</v>
      </c>
      <c r="D5" s="26" t="str">
        <f>IFERROR(__xludf.DUMMYFUNCTION("""COMPUTED_VALUE"""),"Broker")</f>
        <v>Broker</v>
      </c>
      <c r="E5" s="26" t="str">
        <f>IFERROR(__xludf.DUMMYFUNCTION("""COMPUTED_VALUE"""),"ValidateCheckSide")</f>
        <v>ValidateCheckSide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/>
      <c r="C6" s="15" t="s">
        <v>16</v>
      </c>
      <c r="D6" s="15"/>
      <c r="E6" s="15" t="b">
        <v>1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15"/>
      <c r="C7" s="15"/>
      <c r="D7" s="15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15"/>
      <c r="C8" s="4"/>
      <c r="D8" s="15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15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DisableCheckside!$4:$4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1b5S4Xpp4fgZ1ez6cK92QFnVBylqz8jhwxdAyEvwDqUI</v>
      </c>
      <c r="K2" s="19"/>
      <c r="L2" s="4"/>
      <c r="M2" s="4"/>
      <c r="N2" s="4"/>
      <c r="O2" s="4"/>
    </row>
    <row r="3" ht="15.75" customHeight="1">
      <c r="A3" s="20"/>
      <c r="B3" s="12" t="s">
        <v>4</v>
      </c>
      <c r="C3" s="21" t="s">
        <v>17</v>
      </c>
      <c r="D3" s="12" t="s">
        <v>5</v>
      </c>
      <c r="E3" s="21" t="s">
        <v>18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19</v>
      </c>
      <c r="C6" s="15" t="s">
        <v>20</v>
      </c>
      <c r="D6" s="15">
        <v>100.0</v>
      </c>
      <c r="E6" s="15">
        <v>100.0</v>
      </c>
      <c r="F6" s="15" t="s">
        <v>16</v>
      </c>
      <c r="G6" s="15" t="s">
        <v>21</v>
      </c>
      <c r="H6" s="4"/>
      <c r="I6" s="15" t="s">
        <v>22</v>
      </c>
      <c r="J6" s="15">
        <v>12.0</v>
      </c>
      <c r="K6" s="4"/>
      <c r="L6" s="4"/>
      <c r="M6" s="4"/>
      <c r="N6" s="29">
        <f t="shared" ref="N6:N7" si="1">TODAY()</f>
        <v>43970</v>
      </c>
      <c r="O6" s="4"/>
    </row>
    <row r="7" ht="15.75" customHeight="1">
      <c r="A7" s="4"/>
      <c r="B7" s="15" t="s">
        <v>19</v>
      </c>
      <c r="C7" s="15" t="s">
        <v>23</v>
      </c>
      <c r="D7" s="15">
        <v>150.0</v>
      </c>
      <c r="E7" s="15">
        <v>150.0</v>
      </c>
      <c r="F7" s="15" t="s">
        <v>16</v>
      </c>
      <c r="G7" s="15" t="s">
        <v>24</v>
      </c>
      <c r="H7" s="4"/>
      <c r="I7" s="15" t="s">
        <v>22</v>
      </c>
      <c r="J7" s="15">
        <v>14.0</v>
      </c>
      <c r="K7" s="4"/>
      <c r="L7" s="4"/>
      <c r="M7" s="4"/>
      <c r="N7" s="29">
        <f t="shared" si="1"/>
        <v>43970</v>
      </c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12" t="s">
        <v>4</v>
      </c>
      <c r="C3" s="21" t="s">
        <v>12</v>
      </c>
      <c r="D3" s="12" t="s">
        <v>5</v>
      </c>
      <c r="E3" s="21" t="s">
        <v>25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26</v>
      </c>
      <c r="C6" s="4"/>
      <c r="D6" s="15"/>
      <c r="E6" s="31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12" t="s">
        <v>4</v>
      </c>
      <c r="C3" s="21" t="s">
        <v>12</v>
      </c>
      <c r="D3" s="12" t="s">
        <v>5</v>
      </c>
      <c r="E3" s="21" t="s">
        <v>27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</row>
    <row r="6" ht="15.75" customHeight="1">
      <c r="A6" s="4"/>
      <c r="B6" s="4"/>
      <c r="C6" s="4"/>
      <c r="D6" s="4"/>
      <c r="E6" s="4"/>
      <c r="F6" s="4"/>
      <c r="G6" s="15" t="s">
        <v>28</v>
      </c>
      <c r="H6" s="4"/>
      <c r="I6" s="4"/>
      <c r="J6" s="4"/>
      <c r="K6" s="15">
        <v>12.0</v>
      </c>
      <c r="L6" s="15">
        <v>12.0</v>
      </c>
      <c r="M6" s="4"/>
      <c r="N6" s="4"/>
      <c r="O6" s="15" t="s">
        <v>21</v>
      </c>
      <c r="AE6" s="30">
        <v>100.0</v>
      </c>
      <c r="AT6" s="30">
        <v>1214.001</v>
      </c>
      <c r="AU6" s="30">
        <v>1214.001</v>
      </c>
      <c r="BE6" s="30">
        <v>1200.0</v>
      </c>
      <c r="BF6" s="30">
        <v>1200.0</v>
      </c>
      <c r="BO6" s="30" t="s">
        <v>20</v>
      </c>
      <c r="BT6" s="32" t="s">
        <v>19</v>
      </c>
      <c r="CE6" s="33">
        <f t="shared" ref="CE6:CE7" si="1">TODAY()</f>
        <v>43970</v>
      </c>
    </row>
    <row r="7" ht="15.75" customHeight="1">
      <c r="A7" s="4"/>
      <c r="B7" s="4"/>
      <c r="C7" s="4"/>
      <c r="D7" s="4"/>
      <c r="E7" s="4"/>
      <c r="F7" s="4"/>
      <c r="G7" s="15" t="s">
        <v>28</v>
      </c>
      <c r="H7" s="4"/>
      <c r="I7" s="4"/>
      <c r="J7" s="4"/>
      <c r="K7" s="15">
        <v>14.0</v>
      </c>
      <c r="L7" s="15">
        <v>14.0</v>
      </c>
      <c r="M7" s="4"/>
      <c r="N7" s="4"/>
      <c r="O7" s="15" t="s">
        <v>24</v>
      </c>
      <c r="AE7" s="30">
        <v>150.0</v>
      </c>
      <c r="AT7" s="30">
        <v>2085.999</v>
      </c>
      <c r="AU7" s="30">
        <v>2085.999</v>
      </c>
      <c r="BE7" s="30">
        <v>2100.0</v>
      </c>
      <c r="BF7" s="30">
        <v>2100.0</v>
      </c>
      <c r="BO7" s="30" t="s">
        <v>23</v>
      </c>
      <c r="BT7" s="32" t="s">
        <v>19</v>
      </c>
      <c r="CE7" s="33">
        <f t="shared" si="1"/>
        <v>43970</v>
      </c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15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