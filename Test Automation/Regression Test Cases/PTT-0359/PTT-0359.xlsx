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CalculatePTT1" sheetId="9" r:id="rId11"/>
    <sheet state="visible" name="CalculatePTT2" sheetId="10" r:id="rId12"/>
    <sheet state="visible" name="SetGeneralPreference" sheetId="11" r:id="rId13"/>
    <sheet state="visible" name="CalculatePTT3" sheetId="12" r:id="rId14"/>
    <sheet state="visible" name="CalculatePTT4" sheetId="13" r:id="rId15"/>
    <sheet state="visible" name="CreateDoneAwayOrder1" sheetId="14" r:id="rId16"/>
    <sheet state="visible" name="PricingInput1" sheetId="15" r:id="rId17"/>
  </sheets>
  <calcPr fullCalcOnLoad="1" fullPrecision="1"/>
</workbook>
</file>

<file path=xl/sharedStrings.xml><?xml version="1.0" encoding="utf-8"?>
<sst xmlns="http://schemas.openxmlformats.org/spreadsheetml/2006/main" count="95" uniqueCount="95">
  <si>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</si>
  <si>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</si>
  <si>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</si>
  <si>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</si>
  <si>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</si>
  <si>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</si>
  <si>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</si>
  <si>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</si>
  <si>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</si>
  <si>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</si>
  <si>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</si>
  <si>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</si>
  <si>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</si>
  <si>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</si>
  <si>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</si>
  <si>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</si>
  <si>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</si>
  <si>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</si>
  <si>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</si>
  <si>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</si>
  <si>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</si>
  <si>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</si>
  <si>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</si>
  <si>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</si>
  <si>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</si>
  <si>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</si>
  <si>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</si>
  <si>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</si>
  <si>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</si>
  <si>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</si>
  <si>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</si>
  <si>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</si>
  <si>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</si>
  <si>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</si>
  <si>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</si>
  <si>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</si>
  <si>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</si>
  <si>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</si>
  <si>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</si>
  <si>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</si>
  <si>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</si>
  <si>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</si>
  <si>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</si>
  <si>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</si>
  <si>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</si>
  <si>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</si>
  <si>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</si>
  <si>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</si>
  <si>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</si>
  <si>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</si>
  <si>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</si>
  <si>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</si>
  <si>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</si>
  <si>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</si>
  <si>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</si>
  <si>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</si>
  <si>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</si>
  <si>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</si>
  <si>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</si>
  <si>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</si>
  <si>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</si>
  <si>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</si>
  <si>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</si>
  <si>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</si>
  <si>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</si>
  <si>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</si>
  <si>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</si>
  <si>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</si>
  <si>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</si>
  <si>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</si>
  <si>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</si>
  <si>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</si>
  <si>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</si>
  <si>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</si>
  <si>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</si>
  <si>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</si>
  <si>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</si>
  <si>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</si>
  <si>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</si>
  <si>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</si>
  <si>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</si>
  <si>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Allocation1</t>
  </si>
  <si>
    <t>MSFT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</si>
  <si>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</si>
  <si>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</si>
  <si>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</si>
  <si>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</si>
  <si>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</si>
  <si>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</si>
  <si>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</si>
  <si>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</si>
  <si>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SetGeneralPreference</t>
  </si>
  <si>
    <t>Bloomberg Symbol</t>
  </si>
  <si>
    <t>AAPL US EQUITY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</si>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</sst>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5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14" applyNumberFormat="1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8"/>
      <c r="B6" s="12" t="s">
        <v>79</v>
      </c>
      <c r="C6" s="12" t="s">
        <v>80</v>
      </c>
      <c r="D6" s="12">
        <v>100</v>
      </c>
      <c r="E6" s="8"/>
      <c r="F6" s="12" t="s">
        <v>81</v>
      </c>
      <c r="G6" s="8"/>
      <c r="H6" s="8"/>
      <c r="I6" s="8"/>
      <c r="J6" s="12">
        <v>10</v>
      </c>
      <c r="K6" s="8"/>
      <c r="L6" s="8"/>
      <c r="M6" s="8"/>
      <c r="N6" s="8"/>
      <c r="O6" s="8"/>
    </row>
    <row r="7" ht="15.75" customHeight="1">
      <c r="A7" s="30"/>
      <c r="B7" s="31" t="s">
        <v>82</v>
      </c>
      <c r="C7" s="32" t="s">
        <v>80</v>
      </c>
      <c r="D7" s="33">
        <v>100</v>
      </c>
      <c r="E7" s="30"/>
      <c r="F7" s="32" t="s">
        <v>81</v>
      </c>
      <c r="G7" s="30"/>
      <c r="H7" s="30"/>
      <c r="I7" s="30"/>
      <c r="J7" s="33">
        <v>10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3A86CD1-68BB-405D-A13A-A20E90108A0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F420C76-5236-4167-A2E0-EA7FF3C0D79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82E6191-7947-4661-AE34-7AF50B8CEC72}">
          <x14:formula1>
            <xm:f>CreateDoneAwayOrder!$4:$4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79</v>
      </c>
      <c r="C6" s="12">
        <v>10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82</v>
      </c>
      <c r="C7" s="12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19DB96C-8ABF-4D2D-922E-4AA9359F49A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CB951D1-D7F7-4EB0-BF61-35CE7347DF8F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A0941B33-B52E-4B16-8BE3-30E735CDA8AE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>
        <f>TODAY()-1</f>
        <v>45854</v>
      </c>
      <c r="C6" s="34">
        <f>TODAY()</f>
        <v>45855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98AD452-A826-4561-98D1-9EAAC99C5BE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83ADF90-3F54-4F9E-AF98-C5E889AEC53A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067D4FD8-92FB-4CB8-A584-A65C545DAA28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81</v>
      </c>
      <c r="C6" s="12" t="s">
        <v>87</v>
      </c>
      <c r="D6" s="12">
        <v>50000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51EE424-56C1-410C-A73B-52B1A1EDBF4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475666E-65A2-4317-93C3-9A0B29395D0A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D76A57CF-45CB-4E3E-AE32-1986A25A77BE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79</v>
      </c>
      <c r="C6" s="12" t="s">
        <v>90</v>
      </c>
      <c r="D6" s="8"/>
      <c r="E6" s="12">
        <v>10</v>
      </c>
      <c r="F6" s="12">
        <v>10</v>
      </c>
      <c r="G6" s="8"/>
      <c r="H6" s="12" t="s">
        <v>51</v>
      </c>
      <c r="I6" s="12" t="s">
        <v>81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295A9D-0423-41D9-B3A8-963D4308611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9587E46-0C5F-466B-BE28-C51B0C4E6AA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7A69ECA-7244-42F8-BD69-90EC258EDA5A}">
          <x14:formula1>
            <xm:f>CalculatePTT!$4:$4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82</v>
      </c>
      <c r="C6" s="12" t="s">
        <v>90</v>
      </c>
      <c r="D6" s="8"/>
      <c r="E6" s="12">
        <v>10</v>
      </c>
      <c r="F6" s="12">
        <v>10</v>
      </c>
      <c r="G6" s="8"/>
      <c r="H6" s="12" t="s">
        <v>51</v>
      </c>
      <c r="I6" s="12" t="s">
        <v>81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1F56672-8BC1-478F-B1EA-732E3A2325A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82D83C1-1A4F-4DCE-9B2F-D188EC25539E}">
          <x14:formula1>
            <xm:f>CalculatePTT1!$4:$4</xm:f>
          </x14:formula1>
          <xm:sqref>E3</xm:sqref>
        </x14:dataValidation>
        <x14:dataValidation type="list" allowBlank="1" showInputMessage="1" showErrorMessage="1" prompt="Choose an available module" xr:uid="{D21211C3-6681-4149-88AB-216A84B22338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82</v>
      </c>
      <c r="C6" s="12" t="s">
        <v>90</v>
      </c>
      <c r="D6" s="8"/>
      <c r="E6" s="12">
        <v>10</v>
      </c>
      <c r="F6" s="12">
        <v>10</v>
      </c>
      <c r="G6" s="8"/>
      <c r="H6" s="12" t="s">
        <v>51</v>
      </c>
      <c r="I6" s="12" t="s">
        <v>81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44E5BB5-0563-4671-80B4-30EE99138F6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0F59EA1-3FF4-42B2-AE7D-F1223B3CE759}">
          <x14:formula1>
            <xm:f>CalculatePTT2!$4:$4</xm:f>
          </x14:formula1>
          <xm:sqref>E3</xm:sqref>
        </x14:dataValidation>
        <x14:dataValidation type="list" allowBlank="1" showInputMessage="1" showErrorMessage="1" prompt="Choose an available module" xr:uid="{D69AB3D6-79CF-4D97-89EF-03EFBB50E744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92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0200B54-8A0F-4370-8478-0083DB97614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D46F399-9AEA-4E56-8EE7-0AF6DBA4C3D5}">
          <x14:formula1>
            <xm:f>SetGeneralPreference!$4:$4</xm:f>
          </x14:formula1>
          <xm:sqref>E3</xm:sqref>
        </x14:dataValidation>
        <x14:dataValidation type="list" allowBlank="1" showInputMessage="1" showErrorMessage="1" prompt="Choose an available module" xr:uid="{96EFC851-AE4D-410F-9C44-671F5C26A09D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93</v>
      </c>
      <c r="C6" s="12" t="s">
        <v>90</v>
      </c>
      <c r="D6" s="8"/>
      <c r="E6" s="12">
        <v>10</v>
      </c>
      <c r="F6" s="12">
        <v>10</v>
      </c>
      <c r="G6" s="8"/>
      <c r="H6" s="12" t="s">
        <v>51</v>
      </c>
      <c r="I6" s="12" t="s">
        <v>81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22D4668-C0D2-4038-87F9-89805F28FBE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9F13870-8895-45D5-902B-871DA9EAAA36}">
          <x14:formula1>
            <xm:f>CalculatePTT3!$4:$4</xm:f>
          </x14:formula1>
          <xm:sqref>E3</xm:sqref>
        </x14:dataValidation>
        <x14:dataValidation type="list" allowBlank="1" showInputMessage="1" showErrorMessage="1" prompt="Choose an available module" xr:uid="{E17BCC0D-F123-49B7-A05B-5C845B1A4C96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94</v>
      </c>
      <c r="C6" s="12" t="s">
        <v>90</v>
      </c>
      <c r="D6" s="8"/>
      <c r="E6" s="12">
        <v>10</v>
      </c>
      <c r="F6" s="12">
        <v>10</v>
      </c>
      <c r="G6" s="8"/>
      <c r="H6" s="12" t="s">
        <v>51</v>
      </c>
      <c r="I6" s="12" t="s">
        <v>81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B942DD4-DEAE-4DB3-B937-38A723C8FD4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DDAA487-85EB-40A3-A70D-DD047839D085}">
          <x14:formula1>
            <xm:f>CalculatePTT4!$4:$4</xm:f>
          </x14:formula1>
          <xm:sqref>E3</xm:sqref>
        </x14:dataValidation>
        <x14:dataValidation type="list" allowBlank="1" showInputMessage="1" showErrorMessage="1" prompt="Choose an available module" xr:uid="{CB8BFB99-7E88-4B37-BEF1-24E62A4FB0A9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30"/>
      <c r="B6" s="31" t="s">
        <v>93</v>
      </c>
      <c r="C6" s="32" t="s">
        <v>80</v>
      </c>
      <c r="D6" s="33">
        <v>100</v>
      </c>
      <c r="E6" s="30"/>
      <c r="F6" s="32" t="s">
        <v>81</v>
      </c>
      <c r="G6" s="30"/>
      <c r="H6" s="30"/>
      <c r="I6" s="30"/>
      <c r="J6" s="33">
        <v>10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0"/>
      <c r="B7" s="31" t="s">
        <v>94</v>
      </c>
      <c r="C7" s="32" t="s">
        <v>80</v>
      </c>
      <c r="D7" s="33">
        <v>100</v>
      </c>
      <c r="E7" s="30"/>
      <c r="F7" s="32" t="s">
        <v>81</v>
      </c>
      <c r="G7" s="30"/>
      <c r="H7" s="30"/>
      <c r="I7" s="30"/>
      <c r="J7" s="33">
        <v>10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56CD5A3-B898-42F8-9007-23FB9520D44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045B270-ADDF-4296-83E1-448BE09DD35A}">
          <x14:formula1>
            <xm:f>CreateDoneAwayOrder1!$4:$4</xm:f>
          </x14:formula1>
          <xm:sqref>E3</xm:sqref>
        </x14:dataValidation>
        <x14:dataValidation type="list" allowBlank="1" showInputMessage="1" showErrorMessage="1" prompt="Choose an available module" xr:uid="{EC2A9649-C2CC-4EC0-8E64-C6C958ED32B5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93</v>
      </c>
      <c r="C6" s="12">
        <v>10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94</v>
      </c>
      <c r="C7" s="12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0D04777-F723-4862-A793-249203E480A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8B2E05E-8945-4250-B129-A7AD21264CF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16A10D1-EB19-4044-95D5-5258CBE5A827}">
          <x14:formula1>
            <xm:f>PricingInput1!$4:$4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