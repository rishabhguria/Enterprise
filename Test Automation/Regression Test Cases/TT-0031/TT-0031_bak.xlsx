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70" windowWidth="19815" windowHeight="8640" firstSheet="5" activeTab="8"/>
  </bookViews>
  <sheets>
    <sheet name="_Modules" sheetId="1" r:id="rId1"/>
    <sheet name="_Settings" sheetId="2" r:id="rId2"/>
    <sheet name="_MasterData" sheetId="3" r:id="rId3"/>
    <sheet name="SetTradingComplianceRules" sheetId="4" r:id="rId4"/>
    <sheet name="CreateDoneAwayOrder" sheetId="5" r:id="rId5"/>
    <sheet name="VerifyOrder" sheetId="6" r:id="rId6"/>
    <sheet name="GetDataAllocation" sheetId="7" r:id="rId7"/>
    <sheet name="CheckAllocatedGroups" sheetId="8" r:id="rId8"/>
    <sheet name="CheckPortfolioManagement" sheetId="9" r:id="rId9"/>
  </sheets>
  <calcPr calcId="145621"/>
</workbook>
</file>

<file path=xl/calcChain.xml><?xml version="1.0" encoding="utf-8"?>
<calcChain xmlns="http://schemas.openxmlformats.org/spreadsheetml/2006/main">
  <c r="BK5" i="9" l="1"/>
  <c r="FB5" i="9"/>
  <c r="ET5" i="9"/>
  <c r="EL5" i="9"/>
  <c r="ED5" i="9"/>
  <c r="DV5" i="9"/>
  <c r="DN5" i="9"/>
  <c r="DF5" i="9"/>
  <c r="CX5" i="9"/>
  <c r="CP5" i="9"/>
  <c r="CH5" i="9"/>
  <c r="BZ5" i="9"/>
  <c r="BR5" i="9"/>
  <c r="BJ5" i="9"/>
  <c r="BB5" i="9"/>
  <c r="AT5" i="9"/>
  <c r="AL5" i="9"/>
  <c r="AD5" i="9"/>
  <c r="V5" i="9"/>
  <c r="N5" i="9"/>
  <c r="F5" i="9"/>
  <c r="X4" i="9"/>
  <c r="P4" i="9"/>
  <c r="H4" i="9"/>
  <c r="CS5" i="8"/>
  <c r="CK5" i="8"/>
  <c r="CC5" i="8"/>
  <c r="BU5" i="8"/>
  <c r="BM5" i="8"/>
  <c r="BE5" i="8"/>
  <c r="AW5" i="8"/>
  <c r="AO5" i="8"/>
  <c r="AG5" i="8"/>
  <c r="Y5" i="8"/>
  <c r="Q5" i="8"/>
  <c r="I5" i="8"/>
  <c r="A5" i="8"/>
  <c r="DJ4" i="8"/>
  <c r="DB4" i="8"/>
  <c r="CT4" i="8"/>
  <c r="CL4" i="8"/>
  <c r="CD4" i="8"/>
  <c r="BV4" i="8"/>
  <c r="BN4" i="8"/>
  <c r="BF4" i="8"/>
  <c r="AX4" i="8"/>
  <c r="AP4" i="8"/>
  <c r="AH4" i="8"/>
  <c r="Z4" i="8"/>
  <c r="R4" i="8"/>
  <c r="J4" i="8"/>
  <c r="B4" i="8"/>
  <c r="L5" i="7"/>
  <c r="D5" i="7"/>
  <c r="DM4" i="7"/>
  <c r="DE4" i="7"/>
  <c r="CW4" i="7"/>
  <c r="CO4" i="7"/>
  <c r="CG4" i="7"/>
  <c r="BY4" i="7"/>
  <c r="BQ4" i="7"/>
  <c r="BI4" i="7"/>
  <c r="BA4" i="7"/>
  <c r="AS4" i="7"/>
  <c r="AK4" i="7"/>
  <c r="AC4" i="7"/>
  <c r="U4" i="7"/>
  <c r="M4" i="7"/>
  <c r="E4" i="7"/>
  <c r="AX5" i="6"/>
  <c r="AP5" i="6"/>
  <c r="AH5" i="6"/>
  <c r="Z5" i="6"/>
  <c r="R5" i="6"/>
  <c r="J5" i="6"/>
  <c r="B5" i="6"/>
  <c r="AN4" i="6"/>
  <c r="AF4" i="6"/>
  <c r="X4" i="6"/>
  <c r="P4" i="6"/>
  <c r="H4" i="6"/>
  <c r="AQ5" i="5"/>
  <c r="AI5" i="5"/>
  <c r="AA5" i="5"/>
  <c r="S5" i="5"/>
  <c r="K5" i="5"/>
  <c r="C5" i="5"/>
  <c r="O4" i="5"/>
  <c r="G4" i="5"/>
  <c r="J5" i="4"/>
  <c r="B5" i="4"/>
  <c r="B4" i="4"/>
  <c r="B19" i="3"/>
  <c r="B17" i="3"/>
  <c r="B15" i="3"/>
  <c r="B13" i="3"/>
  <c r="B11" i="3"/>
  <c r="B9" i="3"/>
  <c r="B7" i="3"/>
  <c r="B5" i="3"/>
  <c r="A480" i="1"/>
  <c r="B477" i="1"/>
  <c r="C474" i="1"/>
  <c r="A472" i="1"/>
  <c r="B469" i="1"/>
  <c r="C466" i="1"/>
  <c r="A464" i="1"/>
  <c r="B461" i="1"/>
  <c r="C458" i="1"/>
  <c r="A456" i="1"/>
  <c r="B453" i="1"/>
  <c r="C450" i="1"/>
  <c r="A448" i="1"/>
  <c r="B445" i="1"/>
  <c r="C442" i="1"/>
  <c r="A440" i="1"/>
  <c r="B437" i="1"/>
  <c r="C434" i="1"/>
  <c r="A432" i="1"/>
  <c r="B429" i="1"/>
  <c r="C426" i="1"/>
  <c r="A424" i="1"/>
  <c r="B421" i="1"/>
  <c r="C418" i="1"/>
  <c r="A416" i="1"/>
  <c r="B413" i="1"/>
  <c r="C410" i="1"/>
  <c r="A408" i="1"/>
  <c r="FA5" i="9"/>
  <c r="ES5" i="9"/>
  <c r="EK5" i="9"/>
  <c r="EC5" i="9"/>
  <c r="DU5" i="9"/>
  <c r="DM5" i="9"/>
  <c r="DE5" i="9"/>
  <c r="CW5" i="9"/>
  <c r="CO5" i="9"/>
  <c r="CG5" i="9"/>
  <c r="BY5" i="9"/>
  <c r="BQ5" i="9"/>
  <c r="BI5" i="9"/>
  <c r="BA5" i="9"/>
  <c r="AS5" i="9"/>
  <c r="AK5" i="9"/>
  <c r="AC5" i="9"/>
  <c r="U5" i="9"/>
  <c r="M5" i="9"/>
  <c r="E5" i="9"/>
  <c r="W4" i="9"/>
  <c r="O4" i="9"/>
  <c r="G4" i="9"/>
  <c r="CR5" i="8"/>
  <c r="CJ5" i="8"/>
  <c r="CB5" i="8"/>
  <c r="BT5" i="8"/>
  <c r="BL5" i="8"/>
  <c r="BD5" i="8"/>
  <c r="AV5" i="8"/>
  <c r="AN5" i="8"/>
  <c r="AF5" i="8"/>
  <c r="X5" i="8"/>
  <c r="P5" i="8"/>
  <c r="H5" i="8"/>
  <c r="DQ4" i="8"/>
  <c r="DI4" i="8"/>
  <c r="DA4" i="8"/>
  <c r="CS4" i="8"/>
  <c r="CK4" i="8"/>
  <c r="CC4" i="8"/>
  <c r="BU4" i="8"/>
  <c r="BM4" i="8"/>
  <c r="BE4" i="8"/>
  <c r="AW4" i="8"/>
  <c r="AO4" i="8"/>
  <c r="AG4" i="8"/>
  <c r="Y4" i="8"/>
  <c r="Q4" i="8"/>
  <c r="I4" i="8"/>
  <c r="K5" i="7"/>
  <c r="C5" i="7"/>
  <c r="DL4" i="7"/>
  <c r="DD4" i="7"/>
  <c r="CV4" i="7"/>
  <c r="CN4" i="7"/>
  <c r="CF4" i="7"/>
  <c r="BX4" i="7"/>
  <c r="BP4" i="7"/>
  <c r="BH4" i="7"/>
  <c r="AZ4" i="7"/>
  <c r="AR4" i="7"/>
  <c r="AJ4" i="7"/>
  <c r="AB4" i="7"/>
  <c r="T4" i="7"/>
  <c r="L4" i="7"/>
  <c r="D4" i="7"/>
  <c r="AW5" i="6"/>
  <c r="AO5" i="6"/>
  <c r="AG5" i="6"/>
  <c r="Y5" i="6"/>
  <c r="Q5" i="6"/>
  <c r="I5" i="6"/>
  <c r="A5" i="6"/>
  <c r="AM4" i="6"/>
  <c r="AE4" i="6"/>
  <c r="W4" i="6"/>
  <c r="O4" i="6"/>
  <c r="G4" i="6"/>
  <c r="AP5" i="5"/>
  <c r="AH5" i="5"/>
  <c r="Z5" i="5"/>
  <c r="R5" i="5"/>
  <c r="J5" i="5"/>
  <c r="B5" i="5"/>
  <c r="N4" i="5"/>
  <c r="F4" i="5"/>
  <c r="I5" i="4"/>
  <c r="A5" i="4"/>
  <c r="A19" i="3"/>
  <c r="A17" i="3"/>
  <c r="A15" i="3"/>
  <c r="A13" i="3"/>
  <c r="A11" i="3"/>
  <c r="A9" i="3"/>
  <c r="A7" i="3"/>
  <c r="EZ5" i="9"/>
  <c r="ER5" i="9"/>
  <c r="EJ5" i="9"/>
  <c r="EB5" i="9"/>
  <c r="DT5" i="9"/>
  <c r="DL5" i="9"/>
  <c r="DD5" i="9"/>
  <c r="CV5" i="9"/>
  <c r="CN5" i="9"/>
  <c r="CF5" i="9"/>
  <c r="BX5" i="9"/>
  <c r="BP5" i="9"/>
  <c r="BH5" i="9"/>
  <c r="AZ5" i="9"/>
  <c r="AR5" i="9"/>
  <c r="AJ5" i="9"/>
  <c r="AB5" i="9"/>
  <c r="T5" i="9"/>
  <c r="L5" i="9"/>
  <c r="D5" i="9"/>
  <c r="V4" i="9"/>
  <c r="N4" i="9"/>
  <c r="F4" i="9"/>
  <c r="CQ5" i="8"/>
  <c r="CI5" i="8"/>
  <c r="CA5" i="8"/>
  <c r="BS5" i="8"/>
  <c r="BK5" i="8"/>
  <c r="BC5" i="8"/>
  <c r="AU5" i="8"/>
  <c r="AM5" i="8"/>
  <c r="AE5" i="8"/>
  <c r="W5" i="8"/>
  <c r="O5" i="8"/>
  <c r="G5" i="8"/>
  <c r="DP4" i="8"/>
  <c r="DH4" i="8"/>
  <c r="CZ4" i="8"/>
  <c r="CR4" i="8"/>
  <c r="CJ4" i="8"/>
  <c r="CB4" i="8"/>
  <c r="BT4" i="8"/>
  <c r="BL4" i="8"/>
  <c r="BD4" i="8"/>
  <c r="AV4" i="8"/>
  <c r="AN4" i="8"/>
  <c r="AF4" i="8"/>
  <c r="X4" i="8"/>
  <c r="P4" i="8"/>
  <c r="H4" i="8"/>
  <c r="R5" i="7"/>
  <c r="J5" i="7"/>
  <c r="B5" i="7"/>
  <c r="DK4" i="7"/>
  <c r="DC4" i="7"/>
  <c r="CU4" i="7"/>
  <c r="CM4" i="7"/>
  <c r="CE4" i="7"/>
  <c r="BW4" i="7"/>
  <c r="BO4" i="7"/>
  <c r="BG4" i="7"/>
  <c r="AY4" i="7"/>
  <c r="AQ4" i="7"/>
  <c r="AI4" i="7"/>
  <c r="AA4" i="7"/>
  <c r="S4" i="7"/>
  <c r="K4" i="7"/>
  <c r="C4" i="7"/>
  <c r="AV5" i="6"/>
  <c r="AN5" i="6"/>
  <c r="AF5" i="6"/>
  <c r="X5" i="6"/>
  <c r="P5" i="6"/>
  <c r="H5" i="6"/>
  <c r="AT4" i="6"/>
  <c r="AL4" i="6"/>
  <c r="AD4" i="6"/>
  <c r="V4" i="6"/>
  <c r="N4" i="6"/>
  <c r="F4" i="6"/>
  <c r="AO5" i="5"/>
  <c r="AG5" i="5"/>
  <c r="Y5" i="5"/>
  <c r="Q5" i="5"/>
  <c r="I5" i="5"/>
  <c r="A5" i="5"/>
  <c r="M4" i="5"/>
  <c r="E4" i="5"/>
  <c r="H5" i="4"/>
  <c r="H4" i="4"/>
  <c r="D20" i="3"/>
  <c r="D18" i="3"/>
  <c r="D16" i="3"/>
  <c r="D14" i="3"/>
  <c r="D12" i="3"/>
  <c r="D10" i="3"/>
  <c r="D8" i="3"/>
  <c r="D6" i="3"/>
  <c r="D4" i="3"/>
  <c r="B479" i="1"/>
  <c r="C476" i="1"/>
  <c r="A474" i="1"/>
  <c r="B471" i="1"/>
  <c r="C468" i="1"/>
  <c r="A466" i="1"/>
  <c r="B463" i="1"/>
  <c r="C460" i="1"/>
  <c r="A458" i="1"/>
  <c r="B455" i="1"/>
  <c r="C452" i="1"/>
  <c r="A450" i="1"/>
  <c r="B447" i="1"/>
  <c r="C444" i="1"/>
  <c r="A442" i="1"/>
  <c r="B439" i="1"/>
  <c r="EY5" i="9"/>
  <c r="EQ5" i="9"/>
  <c r="EI5" i="9"/>
  <c r="EA5" i="9"/>
  <c r="DS5" i="9"/>
  <c r="DK5" i="9"/>
  <c r="DC5" i="9"/>
  <c r="CU5" i="9"/>
  <c r="CM5" i="9"/>
  <c r="CE5" i="9"/>
  <c r="BW5" i="9"/>
  <c r="BO5" i="9"/>
  <c r="BG5" i="9"/>
  <c r="AY5" i="9"/>
  <c r="AQ5" i="9"/>
  <c r="AI5" i="9"/>
  <c r="AA5" i="9"/>
  <c r="S5" i="9"/>
  <c r="K5" i="9"/>
  <c r="C5" i="9"/>
  <c r="U4" i="9"/>
  <c r="M4" i="9"/>
  <c r="E4" i="9"/>
  <c r="CP5" i="8"/>
  <c r="CH5" i="8"/>
  <c r="BZ5" i="8"/>
  <c r="BR5" i="8"/>
  <c r="BJ5" i="8"/>
  <c r="BB5" i="8"/>
  <c r="AT5" i="8"/>
  <c r="AL5" i="8"/>
  <c r="AD5" i="8"/>
  <c r="V5" i="8"/>
  <c r="N5" i="8"/>
  <c r="F5" i="8"/>
  <c r="DO4" i="8"/>
  <c r="DG4" i="8"/>
  <c r="CY4" i="8"/>
  <c r="CQ4" i="8"/>
  <c r="CI4" i="8"/>
  <c r="CA4" i="8"/>
  <c r="BS4" i="8"/>
  <c r="BK4" i="8"/>
  <c r="BC4" i="8"/>
  <c r="AU4" i="8"/>
  <c r="AM4" i="8"/>
  <c r="AE4" i="8"/>
  <c r="W4" i="8"/>
  <c r="O4" i="8"/>
  <c r="G4" i="8"/>
  <c r="Q5" i="7"/>
  <c r="I5" i="7"/>
  <c r="A5" i="7"/>
  <c r="DJ4" i="7"/>
  <c r="DB4" i="7"/>
  <c r="CT4" i="7"/>
  <c r="CL4" i="7"/>
  <c r="CD4" i="7"/>
  <c r="BV4" i="7"/>
  <c r="BN4" i="7"/>
  <c r="BF4" i="7"/>
  <c r="AX4" i="7"/>
  <c r="AP4" i="7"/>
  <c r="AH4" i="7"/>
  <c r="Z4" i="7"/>
  <c r="R4" i="7"/>
  <c r="J4" i="7"/>
  <c r="B4" i="7"/>
  <c r="AU5" i="6"/>
  <c r="AM5" i="6"/>
  <c r="AE5" i="6"/>
  <c r="W5" i="6"/>
  <c r="O5" i="6"/>
  <c r="G5" i="6"/>
  <c r="AS4" i="6"/>
  <c r="AK4" i="6"/>
  <c r="AC4" i="6"/>
  <c r="U4" i="6"/>
  <c r="M4" i="6"/>
  <c r="E4" i="6"/>
  <c r="AN5" i="5"/>
  <c r="AF5" i="5"/>
  <c r="X5" i="5"/>
  <c r="P5" i="5"/>
  <c r="H5" i="5"/>
  <c r="T4" i="5"/>
  <c r="L4" i="5"/>
  <c r="D4" i="5"/>
  <c r="G5" i="4"/>
  <c r="G4" i="4"/>
  <c r="C20" i="3"/>
  <c r="C18" i="3"/>
  <c r="C16" i="3"/>
  <c r="C14" i="3"/>
  <c r="C12" i="3"/>
  <c r="C10" i="3"/>
  <c r="C8" i="3"/>
  <c r="C6" i="3"/>
  <c r="C4" i="3"/>
  <c r="A479" i="1"/>
  <c r="B476" i="1"/>
  <c r="C473" i="1"/>
  <c r="A471" i="1"/>
  <c r="B468" i="1"/>
  <c r="C465" i="1"/>
  <c r="A463" i="1"/>
  <c r="B460" i="1"/>
  <c r="C457" i="1"/>
  <c r="A455" i="1"/>
  <c r="B452" i="1"/>
  <c r="C449" i="1"/>
  <c r="A447" i="1"/>
  <c r="B444" i="1"/>
  <c r="C441" i="1"/>
  <c r="A439" i="1"/>
  <c r="B436" i="1"/>
  <c r="C433" i="1"/>
  <c r="A431" i="1"/>
  <c r="B428" i="1"/>
  <c r="C425" i="1"/>
  <c r="A423" i="1"/>
  <c r="B420" i="1"/>
  <c r="C417" i="1"/>
  <c r="A415" i="1"/>
  <c r="B412" i="1"/>
  <c r="C409" i="1"/>
  <c r="A407" i="1"/>
  <c r="EX5" i="9"/>
  <c r="EW5" i="9"/>
  <c r="EO5" i="9"/>
  <c r="EG5" i="9"/>
  <c r="DY5" i="9"/>
  <c r="DQ5" i="9"/>
  <c r="DI5" i="9"/>
  <c r="DA5" i="9"/>
  <c r="CS5" i="9"/>
  <c r="CK5" i="9"/>
  <c r="CC5" i="9"/>
  <c r="BU5" i="9"/>
  <c r="BM5" i="9"/>
  <c r="BE5" i="9"/>
  <c r="AW5" i="9"/>
  <c r="AO5" i="9"/>
  <c r="AG5" i="9"/>
  <c r="Y5" i="9"/>
  <c r="Q5" i="9"/>
  <c r="I5" i="9"/>
  <c r="A5" i="9"/>
  <c r="S4" i="9"/>
  <c r="K4" i="9"/>
  <c r="C4" i="9"/>
  <c r="CN5" i="8"/>
  <c r="CF5" i="8"/>
  <c r="BX5" i="8"/>
  <c r="BP5" i="8"/>
  <c r="BH5" i="8"/>
  <c r="AZ5" i="8"/>
  <c r="AR5" i="8"/>
  <c r="AJ5" i="8"/>
  <c r="AB5" i="8"/>
  <c r="T5" i="8"/>
  <c r="L5" i="8"/>
  <c r="D5" i="8"/>
  <c r="DM4" i="8"/>
  <c r="DE4" i="8"/>
  <c r="CW4" i="8"/>
  <c r="CO4" i="8"/>
  <c r="CG4" i="8"/>
  <c r="BY4" i="8"/>
  <c r="BQ4" i="8"/>
  <c r="BI4" i="8"/>
  <c r="BA4" i="8"/>
  <c r="AS4" i="8"/>
  <c r="AK4" i="8"/>
  <c r="AC4" i="8"/>
  <c r="U4" i="8"/>
  <c r="M4" i="8"/>
  <c r="E4" i="8"/>
  <c r="O5" i="7"/>
  <c r="G5" i="7"/>
  <c r="DP4" i="7"/>
  <c r="DH4" i="7"/>
  <c r="CZ4" i="7"/>
  <c r="CR4" i="7"/>
  <c r="CJ4" i="7"/>
  <c r="CB4" i="7"/>
  <c r="BT4" i="7"/>
  <c r="BL4" i="7"/>
  <c r="BD4" i="7"/>
  <c r="AV4" i="7"/>
  <c r="AN4" i="7"/>
  <c r="AF4" i="7"/>
  <c r="X4" i="7"/>
  <c r="P4" i="7"/>
  <c r="H4" i="7"/>
  <c r="BA5" i="6"/>
  <c r="AS5" i="6"/>
  <c r="AK5" i="6"/>
  <c r="AC5" i="6"/>
  <c r="U5" i="6"/>
  <c r="M5" i="6"/>
  <c r="E5" i="6"/>
  <c r="AQ4" i="6"/>
  <c r="AI4" i="6"/>
  <c r="AA4" i="6"/>
  <c r="S4" i="6"/>
  <c r="K4" i="6"/>
  <c r="C4" i="6"/>
  <c r="AL5" i="5"/>
  <c r="AD5" i="5"/>
  <c r="V5" i="5"/>
  <c r="N5" i="5"/>
  <c r="F5" i="5"/>
  <c r="R4" i="5"/>
  <c r="J4" i="5"/>
  <c r="B4" i="5"/>
  <c r="EV5" i="9"/>
  <c r="EN5" i="9"/>
  <c r="EF5" i="9"/>
  <c r="DX5" i="9"/>
  <c r="DP5" i="9"/>
  <c r="DH5" i="9"/>
  <c r="CZ5" i="9"/>
  <c r="CR5" i="9"/>
  <c r="CJ5" i="9"/>
  <c r="CB5" i="9"/>
  <c r="BT5" i="9"/>
  <c r="BL5" i="9"/>
  <c r="BD5" i="9"/>
  <c r="AV5" i="9"/>
  <c r="AN5" i="9"/>
  <c r="AF5" i="9"/>
  <c r="X5" i="9"/>
  <c r="P5" i="9"/>
  <c r="H5" i="9"/>
  <c r="Z4" i="9"/>
  <c r="R4" i="9"/>
  <c r="J4" i="9"/>
  <c r="B4" i="9"/>
  <c r="CM5" i="8"/>
  <c r="CE5" i="8"/>
  <c r="BW5" i="8"/>
  <c r="BO5" i="8"/>
  <c r="BG5" i="8"/>
  <c r="AY5" i="8"/>
  <c r="AQ5" i="8"/>
  <c r="AI5" i="8"/>
  <c r="AA5" i="8"/>
  <c r="S5" i="8"/>
  <c r="K5" i="8"/>
  <c r="C5" i="8"/>
  <c r="DL4" i="8"/>
  <c r="DD4" i="8"/>
  <c r="CV4" i="8"/>
  <c r="CN4" i="8"/>
  <c r="CF4" i="8"/>
  <c r="BX4" i="8"/>
  <c r="BP4" i="8"/>
  <c r="BH4" i="8"/>
  <c r="AZ4" i="8"/>
  <c r="AR4" i="8"/>
  <c r="AJ4" i="8"/>
  <c r="AB4" i="8"/>
  <c r="T4" i="8"/>
  <c r="L4" i="8"/>
  <c r="D4" i="8"/>
  <c r="N5" i="7"/>
  <c r="F5" i="7"/>
  <c r="DO4" i="7"/>
  <c r="DG4" i="7"/>
  <c r="CY4" i="7"/>
  <c r="CQ4" i="7"/>
  <c r="CI4" i="7"/>
  <c r="CA4" i="7"/>
  <c r="BS4" i="7"/>
  <c r="BK4" i="7"/>
  <c r="BC4" i="7"/>
  <c r="AU4" i="7"/>
  <c r="AM4" i="7"/>
  <c r="AE4" i="7"/>
  <c r="W4" i="7"/>
  <c r="O4" i="7"/>
  <c r="G4" i="7"/>
  <c r="AZ5" i="6"/>
  <c r="AR5" i="6"/>
  <c r="AJ5" i="6"/>
  <c r="AB5" i="6"/>
  <c r="T5" i="6"/>
  <c r="L5" i="6"/>
  <c r="D5" i="6"/>
  <c r="AP4" i="6"/>
  <c r="AH4" i="6"/>
  <c r="Z4" i="6"/>
  <c r="R4" i="6"/>
  <c r="J4" i="6"/>
  <c r="B4" i="6"/>
  <c r="AK5" i="5"/>
  <c r="AC5" i="5"/>
  <c r="U5" i="5"/>
  <c r="M5" i="5"/>
  <c r="E5" i="5"/>
  <c r="Q4" i="5"/>
  <c r="I4" i="5"/>
  <c r="D5" i="4"/>
  <c r="D4" i="4"/>
  <c r="D19" i="3"/>
  <c r="D17" i="3"/>
  <c r="D15" i="3"/>
  <c r="D13" i="3"/>
  <c r="D11" i="3"/>
  <c r="D9" i="3"/>
  <c r="D7" i="3"/>
  <c r="D5" i="3"/>
  <c r="C480" i="1"/>
  <c r="EU5" i="9"/>
  <c r="EM5" i="9"/>
  <c r="EE5" i="9"/>
  <c r="DW5" i="9"/>
  <c r="DO5" i="9"/>
  <c r="DG5" i="9"/>
  <c r="CY5" i="9"/>
  <c r="CQ5" i="9"/>
  <c r="CI5" i="9"/>
  <c r="CA5" i="9"/>
  <c r="BS5" i="9"/>
  <c r="BC5" i="9"/>
  <c r="AU5" i="9"/>
  <c r="AM5" i="9"/>
  <c r="AE5" i="9"/>
  <c r="W5" i="9"/>
  <c r="O5" i="9"/>
  <c r="G5" i="9"/>
  <c r="Y4" i="9"/>
  <c r="Q4" i="9"/>
  <c r="I4" i="9"/>
  <c r="CL5" i="8"/>
  <c r="CD5" i="8"/>
  <c r="BV5" i="8"/>
  <c r="BN5" i="8"/>
  <c r="BF5" i="8"/>
  <c r="AX5" i="8"/>
  <c r="AP5" i="8"/>
  <c r="AH5" i="8"/>
  <c r="Z5" i="8"/>
  <c r="R5" i="8"/>
  <c r="J5" i="8"/>
  <c r="B5" i="8"/>
  <c r="DK4" i="8"/>
  <c r="DC4" i="8"/>
  <c r="CU4" i="8"/>
  <c r="CM4" i="8"/>
  <c r="CE4" i="8"/>
  <c r="BW4" i="8"/>
  <c r="BO4" i="8"/>
  <c r="BG4" i="8"/>
  <c r="AY4" i="8"/>
  <c r="AQ4" i="8"/>
  <c r="AI4" i="8"/>
  <c r="AA4" i="8"/>
  <c r="S4" i="8"/>
  <c r="K4" i="8"/>
  <c r="C4" i="8"/>
  <c r="M5" i="7"/>
  <c r="E5" i="7"/>
  <c r="DN4" i="7"/>
  <c r="DF4" i="7"/>
  <c r="CX4" i="7"/>
  <c r="CP4" i="7"/>
  <c r="CH4" i="7"/>
  <c r="BZ4" i="7"/>
  <c r="BR4" i="7"/>
  <c r="BJ4" i="7"/>
  <c r="BB4" i="7"/>
  <c r="AT4" i="7"/>
  <c r="AL4" i="7"/>
  <c r="AD4" i="7"/>
  <c r="V4" i="7"/>
  <c r="N4" i="7"/>
  <c r="F4" i="7"/>
  <c r="AY5" i="6"/>
  <c r="AQ5" i="6"/>
  <c r="AI5" i="6"/>
  <c r="AA5" i="6"/>
  <c r="S5" i="6"/>
  <c r="K5" i="6"/>
  <c r="C5" i="6"/>
  <c r="AO4" i="6"/>
  <c r="AG4" i="6"/>
  <c r="Y4" i="6"/>
  <c r="Q4" i="6"/>
  <c r="I4" i="6"/>
  <c r="EP5" i="9"/>
  <c r="CD5" i="9"/>
  <c r="R5" i="9"/>
  <c r="BY5" i="8"/>
  <c r="M5" i="8"/>
  <c r="BR4" i="8"/>
  <c r="F4" i="8"/>
  <c r="CC4" i="7"/>
  <c r="Q4" i="7"/>
  <c r="F5" i="6"/>
  <c r="AJ5" i="5"/>
  <c r="D5" i="5"/>
  <c r="E5" i="4"/>
  <c r="B18" i="3"/>
  <c r="C13" i="3"/>
  <c r="A8" i="3"/>
  <c r="B480" i="1"/>
  <c r="C475" i="1"/>
  <c r="C471" i="1"/>
  <c r="B467" i="1"/>
  <c r="C462" i="1"/>
  <c r="A459" i="1"/>
  <c r="B454" i="1"/>
  <c r="B450" i="1"/>
  <c r="A446" i="1"/>
  <c r="B441" i="1"/>
  <c r="C437" i="1"/>
  <c r="A434" i="1"/>
  <c r="B430" i="1"/>
  <c r="A427" i="1"/>
  <c r="B423" i="1"/>
  <c r="C419" i="1"/>
  <c r="B416" i="1"/>
  <c r="C412" i="1"/>
  <c r="A409" i="1"/>
  <c r="C405" i="1"/>
  <c r="A403" i="1"/>
  <c r="B400" i="1"/>
  <c r="C397" i="1"/>
  <c r="A395" i="1"/>
  <c r="B392" i="1"/>
  <c r="C389" i="1"/>
  <c r="A387" i="1"/>
  <c r="B384" i="1"/>
  <c r="C381" i="1"/>
  <c r="A379" i="1"/>
  <c r="B376" i="1"/>
  <c r="C373" i="1"/>
  <c r="A371" i="1"/>
  <c r="B368" i="1"/>
  <c r="C365" i="1"/>
  <c r="A363" i="1"/>
  <c r="B360" i="1"/>
  <c r="C357" i="1"/>
  <c r="A355" i="1"/>
  <c r="B352" i="1"/>
  <c r="C349" i="1"/>
  <c r="A347" i="1"/>
  <c r="B344" i="1"/>
  <c r="C341" i="1"/>
  <c r="A339" i="1"/>
  <c r="B336" i="1"/>
  <c r="C333" i="1"/>
  <c r="A331" i="1"/>
  <c r="B328" i="1"/>
  <c r="C325" i="1"/>
  <c r="A323" i="1"/>
  <c r="B320" i="1"/>
  <c r="C317" i="1"/>
  <c r="A315" i="1"/>
  <c r="B312" i="1"/>
  <c r="C309" i="1"/>
  <c r="A307" i="1"/>
  <c r="B304" i="1"/>
  <c r="C301" i="1"/>
  <c r="A299" i="1"/>
  <c r="B296" i="1"/>
  <c r="C293" i="1"/>
  <c r="A291" i="1"/>
  <c r="B288" i="1"/>
  <c r="C285" i="1"/>
  <c r="A283" i="1"/>
  <c r="B280" i="1"/>
  <c r="C277" i="1"/>
  <c r="A275" i="1"/>
  <c r="B272" i="1"/>
  <c r="C269" i="1"/>
  <c r="A267" i="1"/>
  <c r="B264" i="1"/>
  <c r="C261" i="1"/>
  <c r="A259" i="1"/>
  <c r="B256" i="1"/>
  <c r="C253" i="1"/>
  <c r="A251" i="1"/>
  <c r="B248" i="1"/>
  <c r="C245" i="1"/>
  <c r="A243" i="1"/>
  <c r="B240" i="1"/>
  <c r="C237" i="1"/>
  <c r="A235" i="1"/>
  <c r="B232" i="1"/>
  <c r="C229" i="1"/>
  <c r="A227" i="1"/>
  <c r="B224" i="1"/>
  <c r="C221" i="1"/>
  <c r="A219" i="1"/>
  <c r="B216" i="1"/>
  <c r="C213" i="1"/>
  <c r="A211" i="1"/>
  <c r="B208" i="1"/>
  <c r="C205" i="1"/>
  <c r="A203" i="1"/>
  <c r="B200" i="1"/>
  <c r="C197" i="1"/>
  <c r="A195" i="1"/>
  <c r="B192" i="1"/>
  <c r="C189" i="1"/>
  <c r="A187" i="1"/>
  <c r="B184" i="1"/>
  <c r="C181" i="1"/>
  <c r="A179" i="1"/>
  <c r="B176" i="1"/>
  <c r="C173" i="1"/>
  <c r="A171" i="1"/>
  <c r="B168" i="1"/>
  <c r="EH5" i="9"/>
  <c r="BV5" i="9"/>
  <c r="J5" i="9"/>
  <c r="BQ5" i="8"/>
  <c r="E5" i="8"/>
  <c r="BJ4" i="8"/>
  <c r="P5" i="7"/>
  <c r="BU4" i="7"/>
  <c r="I4" i="7"/>
  <c r="AR4" i="6"/>
  <c r="AE5" i="5"/>
  <c r="S4" i="5"/>
  <c r="C5" i="4"/>
  <c r="A18" i="3"/>
  <c r="B12" i="3"/>
  <c r="C7" i="3"/>
  <c r="C479" i="1"/>
  <c r="B475" i="1"/>
  <c r="C470" i="1"/>
  <c r="A467" i="1"/>
  <c r="B462" i="1"/>
  <c r="B458" i="1"/>
  <c r="A454" i="1"/>
  <c r="B449" i="1"/>
  <c r="C445" i="1"/>
  <c r="A441" i="1"/>
  <c r="A437" i="1"/>
  <c r="B433" i="1"/>
  <c r="A430" i="1"/>
  <c r="B426" i="1"/>
  <c r="C422" i="1"/>
  <c r="B419" i="1"/>
  <c r="C415" i="1"/>
  <c r="A412" i="1"/>
  <c r="C408" i="1"/>
  <c r="B405" i="1"/>
  <c r="C402" i="1"/>
  <c r="A400" i="1"/>
  <c r="B397" i="1"/>
  <c r="C394" i="1"/>
  <c r="A392" i="1"/>
  <c r="B389" i="1"/>
  <c r="C386" i="1"/>
  <c r="A384" i="1"/>
  <c r="B381" i="1"/>
  <c r="C378" i="1"/>
  <c r="A376" i="1"/>
  <c r="B373" i="1"/>
  <c r="C370" i="1"/>
  <c r="A368" i="1"/>
  <c r="B365" i="1"/>
  <c r="C362" i="1"/>
  <c r="A360" i="1"/>
  <c r="B357" i="1"/>
  <c r="C354" i="1"/>
  <c r="A352" i="1"/>
  <c r="B349" i="1"/>
  <c r="C346" i="1"/>
  <c r="A344" i="1"/>
  <c r="B341" i="1"/>
  <c r="C338" i="1"/>
  <c r="A336" i="1"/>
  <c r="B333" i="1"/>
  <c r="C330" i="1"/>
  <c r="A328" i="1"/>
  <c r="B325" i="1"/>
  <c r="C322" i="1"/>
  <c r="A320" i="1"/>
  <c r="B317" i="1"/>
  <c r="C314" i="1"/>
  <c r="DZ5" i="9"/>
  <c r="BN5" i="9"/>
  <c r="B5" i="9"/>
  <c r="BI5" i="8"/>
  <c r="DN4" i="8"/>
  <c r="BB4" i="8"/>
  <c r="H5" i="7"/>
  <c r="BM4" i="7"/>
  <c r="DR5" i="9"/>
  <c r="BF5" i="9"/>
  <c r="T4" i="9"/>
  <c r="BA5" i="8"/>
  <c r="DF4" i="8"/>
  <c r="AT4" i="8"/>
  <c r="DQ4" i="7"/>
  <c r="BE4" i="7"/>
  <c r="AT5" i="6"/>
  <c r="AB4" i="6"/>
  <c r="W5" i="5"/>
  <c r="K4" i="5"/>
  <c r="E4" i="4"/>
  <c r="B16" i="3"/>
  <c r="C11" i="3"/>
  <c r="A6" i="3"/>
  <c r="B478" i="1"/>
  <c r="B474" i="1"/>
  <c r="A470" i="1"/>
  <c r="B465" i="1"/>
  <c r="C461" i="1"/>
  <c r="A457" i="1"/>
  <c r="A453" i="1"/>
  <c r="C448" i="1"/>
  <c r="A444" i="1"/>
  <c r="B440" i="1"/>
  <c r="A436" i="1"/>
  <c r="C432" i="1"/>
  <c r="A429" i="1"/>
  <c r="B425" i="1"/>
  <c r="A422" i="1"/>
  <c r="B418" i="1"/>
  <c r="C414" i="1"/>
  <c r="B411" i="1"/>
  <c r="C407" i="1"/>
  <c r="C404" i="1"/>
  <c r="A402" i="1"/>
  <c r="B399" i="1"/>
  <c r="C396" i="1"/>
  <c r="A394" i="1"/>
  <c r="B391" i="1"/>
  <c r="C388" i="1"/>
  <c r="A386" i="1"/>
  <c r="B383" i="1"/>
  <c r="C380" i="1"/>
  <c r="A378" i="1"/>
  <c r="B375" i="1"/>
  <c r="C372" i="1"/>
  <c r="A370" i="1"/>
  <c r="B367" i="1"/>
  <c r="C364" i="1"/>
  <c r="A362" i="1"/>
  <c r="B359" i="1"/>
  <c r="C356" i="1"/>
  <c r="A354" i="1"/>
  <c r="B351" i="1"/>
  <c r="C348" i="1"/>
  <c r="A346" i="1"/>
  <c r="B343" i="1"/>
  <c r="C340" i="1"/>
  <c r="A338" i="1"/>
  <c r="B335" i="1"/>
  <c r="C332" i="1"/>
  <c r="A330" i="1"/>
  <c r="B327" i="1"/>
  <c r="C324" i="1"/>
  <c r="A322" i="1"/>
  <c r="B319" i="1"/>
  <c r="C316" i="1"/>
  <c r="A314" i="1"/>
  <c r="B311" i="1"/>
  <c r="C308" i="1"/>
  <c r="A306" i="1"/>
  <c r="B303" i="1"/>
  <c r="C300" i="1"/>
  <c r="A298" i="1"/>
  <c r="B295" i="1"/>
  <c r="C292" i="1"/>
  <c r="A290" i="1"/>
  <c r="B287" i="1"/>
  <c r="C284" i="1"/>
  <c r="A282" i="1"/>
  <c r="B279" i="1"/>
  <c r="C276" i="1"/>
  <c r="A274" i="1"/>
  <c r="B271" i="1"/>
  <c r="C268" i="1"/>
  <c r="A266" i="1"/>
  <c r="B263" i="1"/>
  <c r="C260" i="1"/>
  <c r="A258" i="1"/>
  <c r="B255" i="1"/>
  <c r="C252" i="1"/>
  <c r="A250" i="1"/>
  <c r="B247" i="1"/>
  <c r="C244" i="1"/>
  <c r="A242" i="1"/>
  <c r="B239" i="1"/>
  <c r="C236" i="1"/>
  <c r="A234" i="1"/>
  <c r="B231" i="1"/>
  <c r="C228" i="1"/>
  <c r="A226" i="1"/>
  <c r="B223" i="1"/>
  <c r="C220" i="1"/>
  <c r="A218" i="1"/>
  <c r="B215" i="1"/>
  <c r="C212" i="1"/>
  <c r="A210" i="1"/>
  <c r="B207" i="1"/>
  <c r="C204" i="1"/>
  <c r="A202" i="1"/>
  <c r="B199" i="1"/>
  <c r="C196" i="1"/>
  <c r="A194" i="1"/>
  <c r="B191" i="1"/>
  <c r="C188" i="1"/>
  <c r="A186" i="1"/>
  <c r="B183" i="1"/>
  <c r="C180" i="1"/>
  <c r="A178" i="1"/>
  <c r="B175" i="1"/>
  <c r="C172" i="1"/>
  <c r="A170" i="1"/>
  <c r="B167" i="1"/>
  <c r="C164" i="1"/>
  <c r="A162" i="1"/>
  <c r="DJ5" i="9"/>
  <c r="AX5" i="9"/>
  <c r="L4" i="9"/>
  <c r="AS5" i="8"/>
  <c r="CX4" i="8"/>
  <c r="AL4" i="8"/>
  <c r="DI4" i="7"/>
  <c r="AW4" i="7"/>
  <c r="AL5" i="6"/>
  <c r="T4" i="6"/>
  <c r="T5" i="5"/>
  <c r="H4" i="5"/>
  <c r="C4" i="4"/>
  <c r="A16" i="3"/>
  <c r="B10" i="3"/>
  <c r="C5" i="3"/>
  <c r="A478" i="1"/>
  <c r="B473" i="1"/>
  <c r="C469" i="1"/>
  <c r="A465" i="1"/>
  <c r="A461" i="1"/>
  <c r="C456" i="1"/>
  <c r="A452" i="1"/>
  <c r="B448" i="1"/>
  <c r="C443" i="1"/>
  <c r="C439" i="1"/>
  <c r="C435" i="1"/>
  <c r="B432" i="1"/>
  <c r="C428" i="1"/>
  <c r="A425" i="1"/>
  <c r="C421" i="1"/>
  <c r="A418" i="1"/>
  <c r="B414" i="1"/>
  <c r="A411" i="1"/>
  <c r="B407" i="1"/>
  <c r="B404" i="1"/>
  <c r="C401" i="1"/>
  <c r="A399" i="1"/>
  <c r="B396" i="1"/>
  <c r="C393" i="1"/>
  <c r="A391" i="1"/>
  <c r="B388" i="1"/>
  <c r="C385" i="1"/>
  <c r="A383" i="1"/>
  <c r="B380" i="1"/>
  <c r="C377" i="1"/>
  <c r="A375" i="1"/>
  <c r="B372" i="1"/>
  <c r="C369" i="1"/>
  <c r="A367" i="1"/>
  <c r="B364" i="1"/>
  <c r="C361" i="1"/>
  <c r="A359" i="1"/>
  <c r="B356" i="1"/>
  <c r="C353" i="1"/>
  <c r="A351" i="1"/>
  <c r="B348" i="1"/>
  <c r="C345" i="1"/>
  <c r="A343" i="1"/>
  <c r="B340" i="1"/>
  <c r="C337" i="1"/>
  <c r="A335" i="1"/>
  <c r="B332" i="1"/>
  <c r="C329" i="1"/>
  <c r="A327" i="1"/>
  <c r="B324" i="1"/>
  <c r="C321" i="1"/>
  <c r="A319" i="1"/>
  <c r="B316" i="1"/>
  <c r="C313" i="1"/>
  <c r="A311" i="1"/>
  <c r="B308" i="1"/>
  <c r="C305" i="1"/>
  <c r="A303" i="1"/>
  <c r="B300" i="1"/>
  <c r="C297" i="1"/>
  <c r="A295" i="1"/>
  <c r="B292" i="1"/>
  <c r="C289" i="1"/>
  <c r="A287" i="1"/>
  <c r="B284" i="1"/>
  <c r="C281" i="1"/>
  <c r="A279" i="1"/>
  <c r="B276" i="1"/>
  <c r="C273" i="1"/>
  <c r="A271" i="1"/>
  <c r="B268" i="1"/>
  <c r="C265" i="1"/>
  <c r="A263" i="1"/>
  <c r="B260" i="1"/>
  <c r="C257" i="1"/>
  <c r="A255" i="1"/>
  <c r="B252" i="1"/>
  <c r="C249" i="1"/>
  <c r="A247" i="1"/>
  <c r="B244" i="1"/>
  <c r="C241" i="1"/>
  <c r="CT5" i="9"/>
  <c r="AH5" i="9"/>
  <c r="CO5" i="8"/>
  <c r="AC5" i="8"/>
  <c r="CH4" i="8"/>
  <c r="V4" i="8"/>
  <c r="CS4" i="7"/>
  <c r="AG4" i="7"/>
  <c r="V5" i="6"/>
  <c r="D4" i="6"/>
  <c r="L5" i="5"/>
  <c r="K5" i="4"/>
  <c r="A20" i="3"/>
  <c r="B14" i="3"/>
  <c r="C9" i="3"/>
  <c r="B4" i="3"/>
  <c r="A477" i="1"/>
  <c r="C472" i="1"/>
  <c r="A468" i="1"/>
  <c r="B464" i="1"/>
  <c r="C459" i="1"/>
  <c r="C455" i="1"/>
  <c r="B451" i="1"/>
  <c r="C446" i="1"/>
  <c r="A443" i="1"/>
  <c r="B438" i="1"/>
  <c r="A435" i="1"/>
  <c r="B431" i="1"/>
  <c r="C427" i="1"/>
  <c r="B424" i="1"/>
  <c r="C420" i="1"/>
  <c r="A417" i="1"/>
  <c r="C413" i="1"/>
  <c r="A410" i="1"/>
  <c r="B406" i="1"/>
  <c r="C403" i="1"/>
  <c r="A401" i="1"/>
  <c r="B398" i="1"/>
  <c r="C395" i="1"/>
  <c r="A393" i="1"/>
  <c r="B390" i="1"/>
  <c r="C387" i="1"/>
  <c r="A385" i="1"/>
  <c r="B382" i="1"/>
  <c r="C379" i="1"/>
  <c r="A377" i="1"/>
  <c r="B374" i="1"/>
  <c r="C371" i="1"/>
  <c r="A369" i="1"/>
  <c r="B366" i="1"/>
  <c r="C363" i="1"/>
  <c r="A361" i="1"/>
  <c r="B358" i="1"/>
  <c r="C355" i="1"/>
  <c r="A353" i="1"/>
  <c r="B350" i="1"/>
  <c r="C347" i="1"/>
  <c r="A345" i="1"/>
  <c r="B342" i="1"/>
  <c r="C339" i="1"/>
  <c r="A337" i="1"/>
  <c r="B334" i="1"/>
  <c r="C331" i="1"/>
  <c r="A329" i="1"/>
  <c r="B326" i="1"/>
  <c r="C323" i="1"/>
  <c r="A321" i="1"/>
  <c r="B318" i="1"/>
  <c r="C315" i="1"/>
  <c r="A313" i="1"/>
  <c r="B310" i="1"/>
  <c r="C307" i="1"/>
  <c r="A305" i="1"/>
  <c r="B302" i="1"/>
  <c r="C299" i="1"/>
  <c r="A297" i="1"/>
  <c r="B294" i="1"/>
  <c r="C291" i="1"/>
  <c r="A289" i="1"/>
  <c r="B286" i="1"/>
  <c r="C283" i="1"/>
  <c r="A281" i="1"/>
  <c r="B278" i="1"/>
  <c r="C275" i="1"/>
  <c r="A273" i="1"/>
  <c r="B270" i="1"/>
  <c r="C267" i="1"/>
  <c r="A265" i="1"/>
  <c r="B262" i="1"/>
  <c r="C259" i="1"/>
  <c r="A257" i="1"/>
  <c r="B254" i="1"/>
  <c r="C251" i="1"/>
  <c r="A249" i="1"/>
  <c r="B246" i="1"/>
  <c r="C243" i="1"/>
  <c r="A241" i="1"/>
  <c r="B238" i="1"/>
  <c r="C235" i="1"/>
  <c r="A233" i="1"/>
  <c r="B230" i="1"/>
  <c r="C227" i="1"/>
  <c r="A225" i="1"/>
  <c r="B222" i="1"/>
  <c r="C219" i="1"/>
  <c r="A217" i="1"/>
  <c r="B214" i="1"/>
  <c r="C211" i="1"/>
  <c r="A209" i="1"/>
  <c r="B206" i="1"/>
  <c r="C203" i="1"/>
  <c r="A201" i="1"/>
  <c r="B198" i="1"/>
  <c r="C195" i="1"/>
  <c r="A193" i="1"/>
  <c r="B190" i="1"/>
  <c r="C187" i="1"/>
  <c r="A185" i="1"/>
  <c r="B182" i="1"/>
  <c r="C179" i="1"/>
  <c r="A177" i="1"/>
  <c r="B174" i="1"/>
  <c r="C171" i="1"/>
  <c r="A169" i="1"/>
  <c r="B166" i="1"/>
  <c r="C163" i="1"/>
  <c r="A161" i="1"/>
  <c r="DB5" i="9"/>
  <c r="CP4" i="8"/>
  <c r="AD5" i="6"/>
  <c r="P4" i="5"/>
  <c r="A14" i="3"/>
  <c r="C477" i="1"/>
  <c r="B466" i="1"/>
  <c r="C454" i="1"/>
  <c r="B443" i="1"/>
  <c r="A433" i="1"/>
  <c r="C423" i="1"/>
  <c r="A414" i="1"/>
  <c r="A405" i="1"/>
  <c r="A398" i="1"/>
  <c r="C390" i="1"/>
  <c r="C383" i="1"/>
  <c r="C376" i="1"/>
  <c r="B369" i="1"/>
  <c r="B362" i="1"/>
  <c r="B355" i="1"/>
  <c r="A348" i="1"/>
  <c r="A341" i="1"/>
  <c r="A334" i="1"/>
  <c r="C326" i="1"/>
  <c r="C319" i="1"/>
  <c r="C312" i="1"/>
  <c r="B307" i="1"/>
  <c r="A302" i="1"/>
  <c r="C296" i="1"/>
  <c r="B291" i="1"/>
  <c r="A286" i="1"/>
  <c r="C280" i="1"/>
  <c r="B275" i="1"/>
  <c r="A270" i="1"/>
  <c r="C264" i="1"/>
  <c r="B259" i="1"/>
  <c r="A254" i="1"/>
  <c r="C248" i="1"/>
  <c r="B243" i="1"/>
  <c r="C238" i="1"/>
  <c r="B234" i="1"/>
  <c r="A230" i="1"/>
  <c r="C225" i="1"/>
  <c r="B221" i="1"/>
  <c r="B217" i="1"/>
  <c r="A213" i="1"/>
  <c r="C208" i="1"/>
  <c r="B204" i="1"/>
  <c r="A200" i="1"/>
  <c r="A196" i="1"/>
  <c r="C191" i="1"/>
  <c r="B187" i="1"/>
  <c r="A183" i="1"/>
  <c r="C178" i="1"/>
  <c r="C174" i="1"/>
  <c r="B170" i="1"/>
  <c r="A166" i="1"/>
  <c r="C162" i="1"/>
  <c r="B159" i="1"/>
  <c r="C156" i="1"/>
  <c r="A154" i="1"/>
  <c r="B151" i="1"/>
  <c r="C148" i="1"/>
  <c r="A146" i="1"/>
  <c r="B143" i="1"/>
  <c r="C140" i="1"/>
  <c r="A138" i="1"/>
  <c r="B135" i="1"/>
  <c r="C132" i="1"/>
  <c r="A130" i="1"/>
  <c r="B127" i="1"/>
  <c r="C124" i="1"/>
  <c r="A122" i="1"/>
  <c r="B119" i="1"/>
  <c r="C116" i="1"/>
  <c r="A114" i="1"/>
  <c r="B111" i="1"/>
  <c r="C108" i="1"/>
  <c r="A106" i="1"/>
  <c r="B103" i="1"/>
  <c r="C100" i="1"/>
  <c r="A98" i="1"/>
  <c r="B95" i="1"/>
  <c r="C92" i="1"/>
  <c r="A90" i="1"/>
  <c r="B87" i="1"/>
  <c r="C84" i="1"/>
  <c r="A82" i="1"/>
  <c r="B79" i="1"/>
  <c r="C76" i="1"/>
  <c r="A74" i="1"/>
  <c r="B71" i="1"/>
  <c r="C68" i="1"/>
  <c r="A66" i="1"/>
  <c r="B63" i="1"/>
  <c r="C60" i="1"/>
  <c r="A58" i="1"/>
  <c r="B55" i="1"/>
  <c r="C52" i="1"/>
  <c r="A50" i="1"/>
  <c r="B47" i="1"/>
  <c r="C44" i="1"/>
  <c r="A42" i="1"/>
  <c r="B39" i="1"/>
  <c r="C36" i="1"/>
  <c r="A34" i="1"/>
  <c r="B31" i="1"/>
  <c r="C28" i="1"/>
  <c r="A26" i="1"/>
  <c r="B23" i="1"/>
  <c r="C20" i="1"/>
  <c r="A18" i="1"/>
  <c r="B15" i="1"/>
  <c r="C12" i="1"/>
  <c r="A10" i="1"/>
  <c r="B7" i="1"/>
  <c r="C4" i="1"/>
  <c r="B4" i="1"/>
  <c r="Z5" i="9"/>
  <c r="A473" i="1"/>
  <c r="C438" i="1"/>
  <c r="B410" i="1"/>
  <c r="A381" i="1"/>
  <c r="C352" i="1"/>
  <c r="B331" i="1"/>
  <c r="A317" i="1"/>
  <c r="B305" i="1"/>
  <c r="C294" i="1"/>
  <c r="CL5" i="9"/>
  <c r="BZ4" i="8"/>
  <c r="N5" i="6"/>
  <c r="C4" i="5"/>
  <c r="A12" i="3"/>
  <c r="A476" i="1"/>
  <c r="C464" i="1"/>
  <c r="C453" i="1"/>
  <c r="B442" i="1"/>
  <c r="C431" i="1"/>
  <c r="B422" i="1"/>
  <c r="A413" i="1"/>
  <c r="A404" i="1"/>
  <c r="A397" i="1"/>
  <c r="A390" i="1"/>
  <c r="C382" i="1"/>
  <c r="C375" i="1"/>
  <c r="C368" i="1"/>
  <c r="B361" i="1"/>
  <c r="B354" i="1"/>
  <c r="B347" i="1"/>
  <c r="A340" i="1"/>
  <c r="A333" i="1"/>
  <c r="A326" i="1"/>
  <c r="C318" i="1"/>
  <c r="A312" i="1"/>
  <c r="C306" i="1"/>
  <c r="B301" i="1"/>
  <c r="A296" i="1"/>
  <c r="C290" i="1"/>
  <c r="B285" i="1"/>
  <c r="A280" i="1"/>
  <c r="C274" i="1"/>
  <c r="B269" i="1"/>
  <c r="A264" i="1"/>
  <c r="C258" i="1"/>
  <c r="B253" i="1"/>
  <c r="A248" i="1"/>
  <c r="C242" i="1"/>
  <c r="A238" i="1"/>
  <c r="C233" i="1"/>
  <c r="B229" i="1"/>
  <c r="B225" i="1"/>
  <c r="A221" i="1"/>
  <c r="C216" i="1"/>
  <c r="B212" i="1"/>
  <c r="A208" i="1"/>
  <c r="A204" i="1"/>
  <c r="C199" i="1"/>
  <c r="B195" i="1"/>
  <c r="A191" i="1"/>
  <c r="C186" i="1"/>
  <c r="C182" i="1"/>
  <c r="B178" i="1"/>
  <c r="A174" i="1"/>
  <c r="C169" i="1"/>
  <c r="C165" i="1"/>
  <c r="B162" i="1"/>
  <c r="A159" i="1"/>
  <c r="B156" i="1"/>
  <c r="C153" i="1"/>
  <c r="A151" i="1"/>
  <c r="B148" i="1"/>
  <c r="C145" i="1"/>
  <c r="A143" i="1"/>
  <c r="B140" i="1"/>
  <c r="C137" i="1"/>
  <c r="A135" i="1"/>
  <c r="B132" i="1"/>
  <c r="C129" i="1"/>
  <c r="A127" i="1"/>
  <c r="B124" i="1"/>
  <c r="C121" i="1"/>
  <c r="A119" i="1"/>
  <c r="B116" i="1"/>
  <c r="C113" i="1"/>
  <c r="A111" i="1"/>
  <c r="B108" i="1"/>
  <c r="C105" i="1"/>
  <c r="A103" i="1"/>
  <c r="B100" i="1"/>
  <c r="C97" i="1"/>
  <c r="A95" i="1"/>
  <c r="B92" i="1"/>
  <c r="C89" i="1"/>
  <c r="A87" i="1"/>
  <c r="B84" i="1"/>
  <c r="C81" i="1"/>
  <c r="A79" i="1"/>
  <c r="B76" i="1"/>
  <c r="C73" i="1"/>
  <c r="A71" i="1"/>
  <c r="B68" i="1"/>
  <c r="C65" i="1"/>
  <c r="A63" i="1"/>
  <c r="B60" i="1"/>
  <c r="C57" i="1"/>
  <c r="A55" i="1"/>
  <c r="B52" i="1"/>
  <c r="C49" i="1"/>
  <c r="A47" i="1"/>
  <c r="B44" i="1"/>
  <c r="C41" i="1"/>
  <c r="A39" i="1"/>
  <c r="B36" i="1"/>
  <c r="C33" i="1"/>
  <c r="A31" i="1"/>
  <c r="B28" i="1"/>
  <c r="C25" i="1"/>
  <c r="A23" i="1"/>
  <c r="B20" i="1"/>
  <c r="C17" i="1"/>
  <c r="A15" i="1"/>
  <c r="B12" i="1"/>
  <c r="C9" i="1"/>
  <c r="A7" i="1"/>
  <c r="A4" i="1"/>
  <c r="N4" i="8"/>
  <c r="F4" i="4"/>
  <c r="B8" i="3"/>
  <c r="A451" i="1"/>
  <c r="A420" i="1"/>
  <c r="B402" i="1"/>
  <c r="A388" i="1"/>
  <c r="C366" i="1"/>
  <c r="B345" i="1"/>
  <c r="C310" i="1"/>
  <c r="AP5" i="9"/>
  <c r="AD4" i="8"/>
  <c r="AJ4" i="6"/>
  <c r="F5" i="4"/>
  <c r="A10" i="3"/>
  <c r="A475" i="1"/>
  <c r="C463" i="1"/>
  <c r="C451" i="1"/>
  <c r="C440" i="1"/>
  <c r="C430" i="1"/>
  <c r="A421" i="1"/>
  <c r="C411" i="1"/>
  <c r="B403" i="1"/>
  <c r="A396" i="1"/>
  <c r="A389" i="1"/>
  <c r="A382" i="1"/>
  <c r="C374" i="1"/>
  <c r="C367" i="1"/>
  <c r="C360" i="1"/>
  <c r="B353" i="1"/>
  <c r="B346" i="1"/>
  <c r="B339" i="1"/>
  <c r="A332" i="1"/>
  <c r="A325" i="1"/>
  <c r="A318" i="1"/>
  <c r="C311" i="1"/>
  <c r="B306" i="1"/>
  <c r="A301" i="1"/>
  <c r="C295" i="1"/>
  <c r="B290" i="1"/>
  <c r="A285" i="1"/>
  <c r="C279" i="1"/>
  <c r="B274" i="1"/>
  <c r="A269" i="1"/>
  <c r="C263" i="1"/>
  <c r="B258" i="1"/>
  <c r="A253" i="1"/>
  <c r="C247" i="1"/>
  <c r="B242" i="1"/>
  <c r="B237" i="1"/>
  <c r="B233" i="1"/>
  <c r="A229" i="1"/>
  <c r="C224" i="1"/>
  <c r="B220" i="1"/>
  <c r="A216" i="1"/>
  <c r="A212" i="1"/>
  <c r="C207" i="1"/>
  <c r="B203" i="1"/>
  <c r="A199" i="1"/>
  <c r="C194" i="1"/>
  <c r="C190" i="1"/>
  <c r="B186" i="1"/>
  <c r="A182" i="1"/>
  <c r="C177" i="1"/>
  <c r="B173" i="1"/>
  <c r="B169" i="1"/>
  <c r="B165" i="1"/>
  <c r="C161" i="1"/>
  <c r="C158" i="1"/>
  <c r="A156" i="1"/>
  <c r="B153" i="1"/>
  <c r="C150" i="1"/>
  <c r="A148" i="1"/>
  <c r="B145" i="1"/>
  <c r="C142" i="1"/>
  <c r="A140" i="1"/>
  <c r="B137" i="1"/>
  <c r="C134" i="1"/>
  <c r="A132" i="1"/>
  <c r="B129" i="1"/>
  <c r="C126" i="1"/>
  <c r="A124" i="1"/>
  <c r="B121" i="1"/>
  <c r="C118" i="1"/>
  <c r="A116" i="1"/>
  <c r="B113" i="1"/>
  <c r="C110" i="1"/>
  <c r="A108" i="1"/>
  <c r="B105" i="1"/>
  <c r="C102" i="1"/>
  <c r="A100" i="1"/>
  <c r="B97" i="1"/>
  <c r="C94" i="1"/>
  <c r="A92" i="1"/>
  <c r="B89" i="1"/>
  <c r="C86" i="1"/>
  <c r="A84" i="1"/>
  <c r="B81" i="1"/>
  <c r="C78" i="1"/>
  <c r="A76" i="1"/>
  <c r="B73" i="1"/>
  <c r="C70" i="1"/>
  <c r="A68" i="1"/>
  <c r="B65" i="1"/>
  <c r="C62" i="1"/>
  <c r="A60" i="1"/>
  <c r="B57" i="1"/>
  <c r="C54" i="1"/>
  <c r="A52" i="1"/>
  <c r="B49" i="1"/>
  <c r="C46" i="1"/>
  <c r="A44" i="1"/>
  <c r="B41" i="1"/>
  <c r="C38" i="1"/>
  <c r="A36" i="1"/>
  <c r="B33" i="1"/>
  <c r="C30" i="1"/>
  <c r="A28" i="1"/>
  <c r="B25" i="1"/>
  <c r="C22" i="1"/>
  <c r="A20" i="1"/>
  <c r="B17" i="1"/>
  <c r="C14" i="1"/>
  <c r="A12" i="1"/>
  <c r="B9" i="1"/>
  <c r="C6" i="1"/>
  <c r="L4" i="6"/>
  <c r="A462" i="1"/>
  <c r="C429" i="1"/>
  <c r="B395" i="1"/>
  <c r="A374" i="1"/>
  <c r="C359" i="1"/>
  <c r="B338" i="1"/>
  <c r="A324" i="1"/>
  <c r="A300" i="1"/>
  <c r="A284" i="1"/>
  <c r="D4" i="9"/>
  <c r="DA4" i="7"/>
  <c r="AM5" i="5"/>
  <c r="B20" i="3"/>
  <c r="B6" i="3"/>
  <c r="B472" i="1"/>
  <c r="A460" i="1"/>
  <c r="A449" i="1"/>
  <c r="A438" i="1"/>
  <c r="A428" i="1"/>
  <c r="A419" i="1"/>
  <c r="B409" i="1"/>
  <c r="B401" i="1"/>
  <c r="B394" i="1"/>
  <c r="B387" i="1"/>
  <c r="A380" i="1"/>
  <c r="A373" i="1"/>
  <c r="A366" i="1"/>
  <c r="C358" i="1"/>
  <c r="C351" i="1"/>
  <c r="C344" i="1"/>
  <c r="B337" i="1"/>
  <c r="B330" i="1"/>
  <c r="B323" i="1"/>
  <c r="A316" i="1"/>
  <c r="A310" i="1"/>
  <c r="C304" i="1"/>
  <c r="B299" i="1"/>
  <c r="A294" i="1"/>
  <c r="C288" i="1"/>
  <c r="B283" i="1"/>
  <c r="A278" i="1"/>
  <c r="C272" i="1"/>
  <c r="B267" i="1"/>
  <c r="A262" i="1"/>
  <c r="C256" i="1"/>
  <c r="B251" i="1"/>
  <c r="A246" i="1"/>
  <c r="C240" i="1"/>
  <c r="B236" i="1"/>
  <c r="A232" i="1"/>
  <c r="A228" i="1"/>
  <c r="C223" i="1"/>
  <c r="B219" i="1"/>
  <c r="A215" i="1"/>
  <c r="C210" i="1"/>
  <c r="C206" i="1"/>
  <c r="B202" i="1"/>
  <c r="A198" i="1"/>
  <c r="C193" i="1"/>
  <c r="B189" i="1"/>
  <c r="B185" i="1"/>
  <c r="A181" i="1"/>
  <c r="C176" i="1"/>
  <c r="B172" i="1"/>
  <c r="A168" i="1"/>
  <c r="B164" i="1"/>
  <c r="C160" i="1"/>
  <c r="A158" i="1"/>
  <c r="B155" i="1"/>
  <c r="C152" i="1"/>
  <c r="A150" i="1"/>
  <c r="CG5" i="8"/>
  <c r="CK4" i="7"/>
  <c r="AB5" i="5"/>
  <c r="C19" i="3"/>
  <c r="A5" i="3"/>
  <c r="B470" i="1"/>
  <c r="B459" i="1"/>
  <c r="C447" i="1"/>
  <c r="C436" i="1"/>
  <c r="B427" i="1"/>
  <c r="B417" i="1"/>
  <c r="B408" i="1"/>
  <c r="C400" i="1"/>
  <c r="B393" i="1"/>
  <c r="B386" i="1"/>
  <c r="B379" i="1"/>
  <c r="A372" i="1"/>
  <c r="A365" i="1"/>
  <c r="A358" i="1"/>
  <c r="C350" i="1"/>
  <c r="C343" i="1"/>
  <c r="C336" i="1"/>
  <c r="B329" i="1"/>
  <c r="B322" i="1"/>
  <c r="B315" i="1"/>
  <c r="B309" i="1"/>
  <c r="A304" i="1"/>
  <c r="C298" i="1"/>
  <c r="B293" i="1"/>
  <c r="A288" i="1"/>
  <c r="C282" i="1"/>
  <c r="B277" i="1"/>
  <c r="A272" i="1"/>
  <c r="C266" i="1"/>
  <c r="B261" i="1"/>
  <c r="A256" i="1"/>
  <c r="C250" i="1"/>
  <c r="B245" i="1"/>
  <c r="A240" i="1"/>
  <c r="A236" i="1"/>
  <c r="C231" i="1"/>
  <c r="B227" i="1"/>
  <c r="A223" i="1"/>
  <c r="C218" i="1"/>
  <c r="C214" i="1"/>
  <c r="B210" i="1"/>
  <c r="A206" i="1"/>
  <c r="C201" i="1"/>
  <c r="B197" i="1"/>
  <c r="B193" i="1"/>
  <c r="AK5" i="8"/>
  <c r="AO4" i="7"/>
  <c r="O5" i="5"/>
  <c r="C17" i="3"/>
  <c r="A4" i="3"/>
  <c r="A469" i="1"/>
  <c r="B457" i="1"/>
  <c r="B446" i="1"/>
  <c r="B435" i="1"/>
  <c r="A426" i="1"/>
  <c r="C416" i="1"/>
  <c r="C406" i="1"/>
  <c r="C399" i="1"/>
  <c r="C392" i="1"/>
  <c r="B385" i="1"/>
  <c r="B378" i="1"/>
  <c r="B371" i="1"/>
  <c r="A364" i="1"/>
  <c r="A357" i="1"/>
  <c r="A350" i="1"/>
  <c r="C342" i="1"/>
  <c r="C335" i="1"/>
  <c r="C328" i="1"/>
  <c r="B321" i="1"/>
  <c r="B314" i="1"/>
  <c r="A309" i="1"/>
  <c r="C303" i="1"/>
  <c r="B298" i="1"/>
  <c r="A293" i="1"/>
  <c r="C287" i="1"/>
  <c r="B282" i="1"/>
  <c r="A277" i="1"/>
  <c r="C271" i="1"/>
  <c r="B266" i="1"/>
  <c r="A261" i="1"/>
  <c r="C255" i="1"/>
  <c r="B250" i="1"/>
  <c r="A245" i="1"/>
  <c r="C239" i="1"/>
  <c r="B235" i="1"/>
  <c r="A231" i="1"/>
  <c r="C226" i="1"/>
  <c r="C222" i="1"/>
  <c r="B218" i="1"/>
  <c r="A214" i="1"/>
  <c r="C209" i="1"/>
  <c r="B205" i="1"/>
  <c r="B201" i="1"/>
  <c r="A197" i="1"/>
  <c r="C192" i="1"/>
  <c r="B188" i="1"/>
  <c r="A184" i="1"/>
  <c r="A180" i="1"/>
  <c r="C175" i="1"/>
  <c r="B171" i="1"/>
  <c r="A167" i="1"/>
  <c r="B163" i="1"/>
  <c r="A160" i="1"/>
  <c r="B157" i="1"/>
  <c r="C154" i="1"/>
  <c r="A152" i="1"/>
  <c r="B149" i="1"/>
  <c r="C146" i="1"/>
  <c r="A144" i="1"/>
  <c r="B141" i="1"/>
  <c r="C138" i="1"/>
  <c r="A136" i="1"/>
  <c r="B133" i="1"/>
  <c r="C130" i="1"/>
  <c r="A128" i="1"/>
  <c r="B125" i="1"/>
  <c r="C122" i="1"/>
  <c r="A120" i="1"/>
  <c r="B117" i="1"/>
  <c r="C114" i="1"/>
  <c r="A112" i="1"/>
  <c r="B109" i="1"/>
  <c r="C106" i="1"/>
  <c r="A104" i="1"/>
  <c r="B101" i="1"/>
  <c r="C98" i="1"/>
  <c r="A96" i="1"/>
  <c r="B93" i="1"/>
  <c r="C90" i="1"/>
  <c r="A88" i="1"/>
  <c r="B85" i="1"/>
  <c r="C82" i="1"/>
  <c r="A80" i="1"/>
  <c r="B77" i="1"/>
  <c r="C74" i="1"/>
  <c r="A72" i="1"/>
  <c r="B69" i="1"/>
  <c r="C66" i="1"/>
  <c r="A64" i="1"/>
  <c r="B61" i="1"/>
  <c r="C58" i="1"/>
  <c r="A56" i="1"/>
  <c r="B53" i="1"/>
  <c r="C50" i="1"/>
  <c r="A48" i="1"/>
  <c r="B45" i="1"/>
  <c r="C42" i="1"/>
  <c r="A40" i="1"/>
  <c r="B37" i="1"/>
  <c r="C34" i="1"/>
  <c r="A32" i="1"/>
  <c r="B29" i="1"/>
  <c r="C26" i="1"/>
  <c r="A24" i="1"/>
  <c r="B21" i="1"/>
  <c r="C18" i="1"/>
  <c r="A16" i="1"/>
  <c r="B13" i="1"/>
  <c r="C10" i="1"/>
  <c r="A8" i="1"/>
  <c r="B5" i="1"/>
  <c r="Y4" i="7"/>
  <c r="C398" i="1"/>
  <c r="B377" i="1"/>
  <c r="A356" i="1"/>
  <c r="A342" i="1"/>
  <c r="C327" i="1"/>
  <c r="B313" i="1"/>
  <c r="C302" i="1"/>
  <c r="B297" i="1"/>
  <c r="C286" i="1"/>
  <c r="A276" i="1"/>
  <c r="U5" i="8"/>
  <c r="G5" i="5"/>
  <c r="C15" i="3"/>
  <c r="C478" i="1"/>
  <c r="C467" i="1"/>
  <c r="B456" i="1"/>
  <c r="A445" i="1"/>
  <c r="B434" i="1"/>
  <c r="C424" i="1"/>
  <c r="B415" i="1"/>
  <c r="A406" i="1"/>
  <c r="C391" i="1"/>
  <c r="C384" i="1"/>
  <c r="B370" i="1"/>
  <c r="B363" i="1"/>
  <c r="A349" i="1"/>
  <c r="C334" i="1"/>
  <c r="C320" i="1"/>
  <c r="A308" i="1"/>
  <c r="A292" i="1"/>
  <c r="B281" i="1"/>
  <c r="B289" i="1"/>
  <c r="B257" i="1"/>
  <c r="A237" i="1"/>
  <c r="A220" i="1"/>
  <c r="C202" i="1"/>
  <c r="A188" i="1"/>
  <c r="A176" i="1"/>
  <c r="A165" i="1"/>
  <c r="A157" i="1"/>
  <c r="C149" i="1"/>
  <c r="B144" i="1"/>
  <c r="A139" i="1"/>
  <c r="C133" i="1"/>
  <c r="B128" i="1"/>
  <c r="A123" i="1"/>
  <c r="C117" i="1"/>
  <c r="B112" i="1"/>
  <c r="A107" i="1"/>
  <c r="C101" i="1"/>
  <c r="B96" i="1"/>
  <c r="A91" i="1"/>
  <c r="C85" i="1"/>
  <c r="B80" i="1"/>
  <c r="A75" i="1"/>
  <c r="C69" i="1"/>
  <c r="B64" i="1"/>
  <c r="A59" i="1"/>
  <c r="C53" i="1"/>
  <c r="B48" i="1"/>
  <c r="A43" i="1"/>
  <c r="C37" i="1"/>
  <c r="B32" i="1"/>
  <c r="A27" i="1"/>
  <c r="C21" i="1"/>
  <c r="B16" i="1"/>
  <c r="A11" i="1"/>
  <c r="C5" i="1"/>
  <c r="C31" i="1"/>
  <c r="C15" i="1"/>
  <c r="A5" i="1"/>
  <c r="A207" i="1"/>
  <c r="B118" i="1"/>
  <c r="B86" i="1"/>
  <c r="B54" i="1"/>
  <c r="A33" i="1"/>
  <c r="C278" i="1"/>
  <c r="C254" i="1"/>
  <c r="C234" i="1"/>
  <c r="C217" i="1"/>
  <c r="C200" i="1"/>
  <c r="C185" i="1"/>
  <c r="A175" i="1"/>
  <c r="A164" i="1"/>
  <c r="C155" i="1"/>
  <c r="A149" i="1"/>
  <c r="C143" i="1"/>
  <c r="B138" i="1"/>
  <c r="A133" i="1"/>
  <c r="C127" i="1"/>
  <c r="B122" i="1"/>
  <c r="A117" i="1"/>
  <c r="C111" i="1"/>
  <c r="B106" i="1"/>
  <c r="A101" i="1"/>
  <c r="C95" i="1"/>
  <c r="B90" i="1"/>
  <c r="A85" i="1"/>
  <c r="C79" i="1"/>
  <c r="B74" i="1"/>
  <c r="A69" i="1"/>
  <c r="C63" i="1"/>
  <c r="B58" i="1"/>
  <c r="A53" i="1"/>
  <c r="C47" i="1"/>
  <c r="B42" i="1"/>
  <c r="A37" i="1"/>
  <c r="B26" i="1"/>
  <c r="A21" i="1"/>
  <c r="B10" i="1"/>
  <c r="C262" i="1"/>
  <c r="A113" i="1"/>
  <c r="C59" i="1"/>
  <c r="A17" i="1"/>
  <c r="B273" i="1"/>
  <c r="A252" i="1"/>
  <c r="C232" i="1"/>
  <c r="C215" i="1"/>
  <c r="C198" i="1"/>
  <c r="C184" i="1"/>
  <c r="A173" i="1"/>
  <c r="A163" i="1"/>
  <c r="A155" i="1"/>
  <c r="C147" i="1"/>
  <c r="B142" i="1"/>
  <c r="A137" i="1"/>
  <c r="C131" i="1"/>
  <c r="B126" i="1"/>
  <c r="A121" i="1"/>
  <c r="C115" i="1"/>
  <c r="B110" i="1"/>
  <c r="A105" i="1"/>
  <c r="C99" i="1"/>
  <c r="B94" i="1"/>
  <c r="A89" i="1"/>
  <c r="C83" i="1"/>
  <c r="B78" i="1"/>
  <c r="A73" i="1"/>
  <c r="C67" i="1"/>
  <c r="B62" i="1"/>
  <c r="A57" i="1"/>
  <c r="C51" i="1"/>
  <c r="B46" i="1"/>
  <c r="A41" i="1"/>
  <c r="C35" i="1"/>
  <c r="B30" i="1"/>
  <c r="A25" i="1"/>
  <c r="C19" i="1"/>
  <c r="B14" i="1"/>
  <c r="A9" i="1"/>
  <c r="A13" i="1"/>
  <c r="B241" i="1"/>
  <c r="A97" i="1"/>
  <c r="A49" i="1"/>
  <c r="C11" i="1"/>
  <c r="C270" i="1"/>
  <c r="B249" i="1"/>
  <c r="C230" i="1"/>
  <c r="B213" i="1"/>
  <c r="B196" i="1"/>
  <c r="C183" i="1"/>
  <c r="A172" i="1"/>
  <c r="B161" i="1"/>
  <c r="B154" i="1"/>
  <c r="B147" i="1"/>
  <c r="A142" i="1"/>
  <c r="C136" i="1"/>
  <c r="B131" i="1"/>
  <c r="A126" i="1"/>
  <c r="C120" i="1"/>
  <c r="B115" i="1"/>
  <c r="A110" i="1"/>
  <c r="C104" i="1"/>
  <c r="B99" i="1"/>
  <c r="A94" i="1"/>
  <c r="C88" i="1"/>
  <c r="B83" i="1"/>
  <c r="A78" i="1"/>
  <c r="C72" i="1"/>
  <c r="B67" i="1"/>
  <c r="A62" i="1"/>
  <c r="C56" i="1"/>
  <c r="B51" i="1"/>
  <c r="A46" i="1"/>
  <c r="C40" i="1"/>
  <c r="B35" i="1"/>
  <c r="A30" i="1"/>
  <c r="C24" i="1"/>
  <c r="B19" i="1"/>
  <c r="A14" i="1"/>
  <c r="C8" i="1"/>
  <c r="B8" i="1"/>
  <c r="C23" i="1"/>
  <c r="C7" i="1"/>
  <c r="B179" i="1"/>
  <c r="C139" i="1"/>
  <c r="B102" i="1"/>
  <c r="B70" i="1"/>
  <c r="B38" i="1"/>
  <c r="A268" i="1"/>
  <c r="C246" i="1"/>
  <c r="B228" i="1"/>
  <c r="B211" i="1"/>
  <c r="B194" i="1"/>
  <c r="B181" i="1"/>
  <c r="C170" i="1"/>
  <c r="B160" i="1"/>
  <c r="A153" i="1"/>
  <c r="A147" i="1"/>
  <c r="C141" i="1"/>
  <c r="B136" i="1"/>
  <c r="A131" i="1"/>
  <c r="C125" i="1"/>
  <c r="B120" i="1"/>
  <c r="A115" i="1"/>
  <c r="C109" i="1"/>
  <c r="B104" i="1"/>
  <c r="A99" i="1"/>
  <c r="C93" i="1"/>
  <c r="B88" i="1"/>
  <c r="A83" i="1"/>
  <c r="C77" i="1"/>
  <c r="B72" i="1"/>
  <c r="A67" i="1"/>
  <c r="C61" i="1"/>
  <c r="B56" i="1"/>
  <c r="A51" i="1"/>
  <c r="C45" i="1"/>
  <c r="B40" i="1"/>
  <c r="A35" i="1"/>
  <c r="C29" i="1"/>
  <c r="B24" i="1"/>
  <c r="A19" i="1"/>
  <c r="C13" i="1"/>
  <c r="A29" i="1"/>
  <c r="A190" i="1"/>
  <c r="B134" i="1"/>
  <c r="C91" i="1"/>
  <c r="A65" i="1"/>
  <c r="B22" i="1"/>
  <c r="B265" i="1"/>
  <c r="A244" i="1"/>
  <c r="B226" i="1"/>
  <c r="B209" i="1"/>
  <c r="A192" i="1"/>
  <c r="B180" i="1"/>
  <c r="C168" i="1"/>
  <c r="C159" i="1"/>
  <c r="B152" i="1"/>
  <c r="B146" i="1"/>
  <c r="A141" i="1"/>
  <c r="C135" i="1"/>
  <c r="B130" i="1"/>
  <c r="A125" i="1"/>
  <c r="C119" i="1"/>
  <c r="B114" i="1"/>
  <c r="A109" i="1"/>
  <c r="C103" i="1"/>
  <c r="B98" i="1"/>
  <c r="A93" i="1"/>
  <c r="C87" i="1"/>
  <c r="B82" i="1"/>
  <c r="A77" i="1"/>
  <c r="C71" i="1"/>
  <c r="B66" i="1"/>
  <c r="A61" i="1"/>
  <c r="C55" i="1"/>
  <c r="B50" i="1"/>
  <c r="A45" i="1"/>
  <c r="C39" i="1"/>
  <c r="B34" i="1"/>
  <c r="B18" i="1"/>
  <c r="A224" i="1"/>
  <c r="B158" i="1"/>
  <c r="C151" i="1"/>
  <c r="A145" i="1"/>
  <c r="A129" i="1"/>
  <c r="C107" i="1"/>
  <c r="C75" i="1"/>
  <c r="C43" i="1"/>
  <c r="B6" i="1"/>
  <c r="A260" i="1"/>
  <c r="A239" i="1"/>
  <c r="A222" i="1"/>
  <c r="A205" i="1"/>
  <c r="A189" i="1"/>
  <c r="B177" i="1"/>
  <c r="C166" i="1"/>
  <c r="C157" i="1"/>
  <c r="B150" i="1"/>
  <c r="C144" i="1"/>
  <c r="B139" i="1"/>
  <c r="A134" i="1"/>
  <c r="C128" i="1"/>
  <c r="B123" i="1"/>
  <c r="A118" i="1"/>
  <c r="C112" i="1"/>
  <c r="B107" i="1"/>
  <c r="A102" i="1"/>
  <c r="C96" i="1"/>
  <c r="B91" i="1"/>
  <c r="A86" i="1"/>
  <c r="C80" i="1"/>
  <c r="B75" i="1"/>
  <c r="A70" i="1"/>
  <c r="C64" i="1"/>
  <c r="B59" i="1"/>
  <c r="A54" i="1"/>
  <c r="C48" i="1"/>
  <c r="B43" i="1"/>
  <c r="A38" i="1"/>
  <c r="C32" i="1"/>
  <c r="B27" i="1"/>
  <c r="A22" i="1"/>
  <c r="C16" i="1"/>
  <c r="B11" i="1"/>
  <c r="A6" i="1"/>
  <c r="C167" i="1"/>
  <c r="C123" i="1"/>
  <c r="A81" i="1"/>
  <c r="C27" i="1"/>
  <c r="J2" i="8" l="1"/>
  <c r="J2" i="4"/>
  <c r="J2" i="5"/>
  <c r="J2" i="9"/>
  <c r="J2" i="6"/>
  <c r="J2" i="7"/>
</calcChain>
</file>

<file path=xl/sharedStrings.xml><?xml version="1.0" encoding="utf-8"?>
<sst xmlns="http://schemas.openxmlformats.org/spreadsheetml/2006/main" count="116" uniqueCount="40">
  <si>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</si>
  <si>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</si>
  <si>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</si>
  <si>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</si>
  <si>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</si>
  <si>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</si>
  <si>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</si>
  <si>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</si>
  <si>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</si>
  <si>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</si>
  <si>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</si>
  <si>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</si>
  <si>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</si>
  <si>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</si>
  <si>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</si>
  <si>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</si>
  <si>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</si>
  <si>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</si>
  <si>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AAPL</t>
  </si>
  <si>
    <t>Buy</t>
  </si>
  <si>
    <t>Allocation1</t>
  </si>
  <si>
    <t>Sell</t>
  </si>
  <si>
    <t>Blotter</t>
  </si>
  <si>
    <t>VerifyOrder</t>
  </si>
  <si>
    <t>Equity</t>
  </si>
  <si>
    <t>Filled</t>
  </si>
  <si>
    <t>MS</t>
  </si>
  <si>
    <t>Market</t>
  </si>
  <si>
    <t>Allocation</t>
  </si>
  <si>
    <t>GetDataAllocation</t>
  </si>
  <si>
    <t>Current</t>
  </si>
  <si>
    <t>CheckAllocatedGroups</t>
  </si>
  <si>
    <t xml:space="preserve">Open </t>
  </si>
  <si>
    <t>PortfolioManagement</t>
  </si>
  <si>
    <t>CheckPortfolioManagement</t>
  </si>
  <si>
    <t>Short</t>
  </si>
  <si>
    <t>US</t>
  </si>
  <si>
    <t>NASDAQ</t>
  </si>
  <si>
    <t>USD</t>
  </si>
  <si>
    <t>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</si>
</sst>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#,###,###,###,##0.00#############"/>
  </numFmts>
  <fonts count="14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5" fillId="0" borderId="0" xfId="0" applyFont="1" applyAlignment="1"/>
    <xf numFmtId="0" fontId="4" fillId="3" borderId="4" xfId="0" applyFont="1" applyFill="1" applyBorder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7" fillId="0" borderId="0" xfId="0" applyFont="1" applyAlignment="1"/>
    <xf numFmtId="0" fontId="4" fillId="3" borderId="0" xfId="0" applyFont="1" applyFill="1" applyAlignment="1"/>
    <xf numFmtId="0" fontId="7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10" fillId="5" borderId="0" xfId="0" applyFont="1" applyFill="1"/>
    <xf numFmtId="0" fontId="5" fillId="0" borderId="0" xfId="0" applyFont="1" applyAlignment="1"/>
    <xf numFmtId="0" fontId="13" fillId="0" borderId="0" xfId="0" applyFont="1" applyAlignment="1"/>
    <xf numFmtId="164" fontId="13" fillId="0" borderId="0" xfId="0" applyNumberFormat="1" applyFont="1" applyAlignment="1">
      <alignment horizontal="right"/>
    </xf>
    <xf numFmtId="0" fontId="13" fillId="0" borderId="0" xfId="0" applyFont="1" applyAlignment="1"/>
    <xf numFmtId="3" fontId="5" fillId="0" borderId="0" xfId="0" applyNumberFormat="1" applyFont="1" applyAlignme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workbookViewId="0">
      <selection sqref="A1:F1"/>
    </sheetView>
  </sheetViews>
  <sheetFormatPr defaultColWidth="17.28515625" defaultRowHeight="15" customHeight="1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6" ht="15.75" customHeight="1">
      <c r="A1" s="30" t="s">
        <v>0</v>
      </c>
      <c r="B1" s="31"/>
      <c r="C1" s="31"/>
      <c r="D1" s="31"/>
      <c r="E1" s="31"/>
      <c r="F1" s="32"/>
    </row>
    <row r="2" spans="1:6" ht="15.75" customHeight="1">
      <c r="A2" s="1"/>
      <c r="B2" s="1"/>
      <c r="C2" s="1"/>
      <c r="D2" s="1"/>
      <c r="E2" s="1"/>
      <c r="F2" s="1"/>
    </row>
    <row r="3" spans="1:6" ht="15.75" customHeight="1">
      <c r="A3" s="2" t="s">
        <v>1</v>
      </c>
      <c r="B3" s="3"/>
      <c r="C3" s="4"/>
      <c r="D3" s="4"/>
      <c r="E3" s="4"/>
      <c r="F3" s="4"/>
    </row>
    <row r="4" spans="1:6" ht="15.75" customHeight="1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IFERROR(__xludf.DUMMYFUNCTION("""COMPUTED_VALUE"""),"1g8wLprruaWRC_5pQcovqkv8ZCiMt5fspCOACibdkz7g")</f>
        <v>1g8wLprruaWRC_5pQcovqkv8ZCiMt5fspCOACibdkz7g</v>
      </c>
      <c r="D4" s="1"/>
      <c r="E4" s="1"/>
      <c r="F4" s="1"/>
    </row>
    <row r="5" spans="1:6" ht="15.75" customHeight="1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/>
      <c r="E5" s="1"/>
      <c r="F5" s="1"/>
    </row>
    <row r="6" spans="1:6" ht="15.75" customHeight="1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/>
      <c r="E6" s="1"/>
      <c r="F6" s="1"/>
    </row>
    <row r="7" spans="1:6" ht="15.75" customHeight="1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/>
      <c r="E7" s="1"/>
      <c r="F7" s="1"/>
    </row>
    <row r="8" spans="1:6" ht="15.75" customHeight="1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/>
      <c r="E8" s="1"/>
      <c r="F8" s="1"/>
    </row>
    <row r="9" spans="1:6" ht="15.75" customHeight="1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/>
      <c r="E9" s="1"/>
      <c r="F9" s="1"/>
    </row>
    <row r="10" spans="1:6" ht="15.75" customHeight="1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/>
      <c r="E10" s="1"/>
      <c r="F10" s="1"/>
    </row>
    <row r="11" spans="1:6" ht="15.75" customHeight="1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/>
      <c r="E11" s="1"/>
      <c r="F11" s="1"/>
    </row>
    <row r="12" spans="1:6" ht="15.75" customHeight="1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/>
      <c r="E12" s="1"/>
      <c r="F12" s="1"/>
    </row>
    <row r="13" spans="1:6" ht="15.75" customHeight="1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/>
      <c r="E13" s="1"/>
      <c r="F13" s="1"/>
    </row>
    <row r="14" spans="1:6" ht="15.75" customHeight="1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/>
      <c r="E14" s="1"/>
      <c r="F14" s="1"/>
    </row>
    <row r="15" spans="1:6" ht="15.75" customHeight="1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/>
      <c r="E15" s="1"/>
      <c r="F15" s="1"/>
    </row>
    <row r="16" spans="1:6" ht="15.75" customHeight="1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/>
      <c r="E16" s="1"/>
      <c r="F16" s="1"/>
    </row>
    <row r="17" spans="1:6" ht="15.75" customHeight="1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/>
      <c r="E17" s="1"/>
      <c r="F17" s="1"/>
    </row>
    <row r="18" spans="1:6" ht="15.75" customHeight="1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/>
      <c r="E18" s="1"/>
      <c r="F18" s="1"/>
    </row>
    <row r="19" spans="1:6" ht="15.75" customHeight="1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/>
      <c r="E19" s="1"/>
      <c r="F19" s="1"/>
    </row>
    <row r="20" spans="1:6" ht="15.75" customHeight="1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/>
      <c r="E20" s="1"/>
      <c r="F20" s="1"/>
    </row>
    <row r="21" spans="1:6" ht="15.75" customHeight="1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/>
      <c r="E21" s="1"/>
      <c r="F21" s="1"/>
    </row>
    <row r="22" spans="1:6" ht="15.75" customHeight="1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/>
      <c r="E22" s="1"/>
      <c r="F22" s="1"/>
    </row>
    <row r="23" spans="1:6" ht="15.75" customHeight="1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/>
      <c r="E23" s="1"/>
      <c r="F23" s="1"/>
    </row>
    <row r="24" spans="1:6" ht="15.75" customHeight="1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/>
      <c r="E24" s="1"/>
      <c r="F24" s="1"/>
    </row>
    <row r="25" spans="1:6" ht="15.75" customHeight="1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/>
      <c r="E25" s="1"/>
      <c r="F25" s="1"/>
    </row>
    <row r="26" spans="1:6" ht="15.75" customHeight="1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/>
      <c r="E26" s="1"/>
      <c r="F26" s="1"/>
    </row>
    <row r="27" spans="1:6" ht="15.75" customHeight="1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/>
      <c r="E27" s="1"/>
      <c r="F27" s="1"/>
    </row>
    <row r="28" spans="1:6" ht="15.75" customHeight="1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/>
      <c r="E28" s="1"/>
      <c r="F28" s="1"/>
    </row>
    <row r="29" spans="1:6" ht="15.75" customHeight="1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/>
      <c r="E29" s="1"/>
      <c r="F29" s="1"/>
    </row>
    <row r="30" spans="1:6" ht="15.75" customHeight="1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/>
      <c r="E30" s="1"/>
      <c r="F30" s="1"/>
    </row>
    <row r="31" spans="1:6" ht="15.75" customHeight="1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/>
      <c r="E31" s="1"/>
      <c r="F31" s="1"/>
    </row>
    <row r="32" spans="1:6" ht="15.75" customHeight="1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/>
      <c r="E32" s="1"/>
      <c r="F32" s="1"/>
    </row>
    <row r="33" spans="1:6" ht="15.75" customHeight="1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/>
      <c r="E33" s="1"/>
      <c r="F33" s="1"/>
    </row>
    <row r="34" spans="1:6" ht="15.75" customHeight="1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</row>
    <row r="35" spans="1:6" ht="15.75" customHeight="1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</row>
    <row r="36" spans="1:6" ht="15.75" customHeight="1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</row>
    <row r="37" spans="1:6" ht="15.75" customHeight="1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</row>
    <row r="38" spans="1:6" ht="15.75" customHeight="1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</row>
    <row r="39" spans="1:6" ht="15.75" customHeight="1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</row>
    <row r="40" spans="1:6" ht="15.75" customHeight="1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</row>
    <row r="41" spans="1:6" ht="15.75" customHeight="1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</row>
    <row r="42" spans="1:6" ht="15.75" customHeight="1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IFERROR(__xludf.DUMMYFUNCTION("""COMPUTED_VALUE"""),"1R5gfRi3GgioP8d_KZ7As_bEtxonDghb0kgC4RZM-FM8")</f>
        <v>1R5gfRi3GgioP8d_KZ7As_bEtxonDghb0kgC4RZM-FM8</v>
      </c>
    </row>
    <row r="43" spans="1:6" ht="15.75" customHeight="1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</row>
    <row r="44" spans="1:6" ht="15.75" customHeight="1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</row>
    <row r="45" spans="1:6" ht="15.75" customHeight="1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</row>
    <row r="46" spans="1:6" ht="15.75" customHeight="1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</row>
    <row r="47" spans="1:6" ht="15.75" customHeight="1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</row>
    <row r="48" spans="1:6" ht="15.75" customHeight="1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</row>
    <row r="49" spans="1:3" ht="15.75" customHeight="1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IFERROR(__xludf.DUMMYFUNCTION("""COMPUTED_VALUE"""),"1bidnIIIJN0fcVjPEJaKWd2xd97LvxrTd-bobXRH77g8")</f>
        <v>1bidnIIIJN0fcVjPEJaKWd2xd97LvxrTd-bobXRH77g8</v>
      </c>
    </row>
    <row r="50" spans="1:3" ht="15.75" customHeight="1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IFERROR(__xludf.DUMMYFUNCTION("""COMPUTED_VALUE"""),"1L6t3pArCMy-x0rtEjJsAA8B-F2ZGViixq-huDlRTFMM")</f>
        <v>1L6t3pArCMy-x0rtEjJsAA8B-F2ZGViixq-huDlRTFMM</v>
      </c>
    </row>
    <row r="51" spans="1:3" ht="15.75" customHeight="1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IFERROR(__xludf.DUMMYFUNCTION("""COMPUTED_VALUE"""),"16pn78_DKg-vJasC-hdGzMxtD0tyxXLHdR0SNvLqRZpA")</f>
        <v>16pn78_DKg-vJasC-hdGzMxtD0tyxXLHdR0SNvLqRZpA</v>
      </c>
    </row>
    <row r="52" spans="1:3" ht="15.75" customHeight="1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IFERROR(__xludf.DUMMYFUNCTION("""COMPUTED_VALUE"""),"1Qrnsq3539f2IzcyeG9eFQHqESJNtpWm95BzI-EnOoEs")</f>
        <v>1Qrnsq3539f2IzcyeG9eFQHqESJNtpWm95BzI-EnOoEs</v>
      </c>
    </row>
    <row r="53" spans="1:3" ht="15.75" customHeight="1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</row>
    <row r="54" spans="1:3" ht="15.75" customHeight="1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IFERROR(__xludf.DUMMYFUNCTION("""COMPUTED_VALUE"""),"1XoJFaqU3SJM9wamFY1O8U8AsbIoq-5zdb74myrUwiJE")</f>
        <v>1XoJFaqU3SJM9wamFY1O8U8AsbIoq-5zdb74myrUwiJE</v>
      </c>
    </row>
    <row r="55" spans="1:3" ht="15.75" customHeight="1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IFERROR(__xludf.DUMMYFUNCTION("""COMPUTED_VALUE"""),"1e6FBRTvfbCODTYuoJO_FXOGIc49I0nSZFqjVSKbfkwc")</f>
        <v>1e6FBRTvfbCODTYuoJO_FXOGIc49I0nSZFqjVSKbfkwc</v>
      </c>
    </row>
    <row r="56" spans="1:3" ht="15.75" customHeight="1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</row>
    <row r="57" spans="1:3" ht="15.75" customHeight="1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IFERROR(__xludf.DUMMYFUNCTION("""COMPUTED_VALUE"""),"1UF6ywHMUk25IeO2-Ly3uujt2i70oU_JyyHDxuZBwSHE")</f>
        <v>1UF6ywHMUk25IeO2-Ly3uujt2i70oU_JyyHDxuZBwSHE</v>
      </c>
    </row>
    <row r="58" spans="1:3" ht="15.75" customHeight="1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</row>
    <row r="59" spans="1:3" ht="15.75" customHeight="1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</row>
    <row r="60" spans="1:3" ht="15.75" customHeight="1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</row>
    <row r="61" spans="1:3" ht="15.75" customHeight="1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</row>
    <row r="62" spans="1:3" ht="15.75" customHeight="1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</row>
    <row r="63" spans="1:3" ht="15.75" customHeight="1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</row>
    <row r="64" spans="1:3" ht="15.75" customHeight="1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</row>
    <row r="65" spans="1:3" ht="15.75" customHeight="1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</row>
    <row r="66" spans="1:3" ht="15.75" customHeight="1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</row>
    <row r="67" spans="1:3" ht="15.75" customHeight="1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</row>
    <row r="68" spans="1:3" ht="15.75" customHeight="1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</row>
    <row r="69" spans="1:3" ht="15.75" customHeight="1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</row>
    <row r="70" spans="1:3" ht="15.75" customHeight="1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</row>
    <row r="71" spans="1:3" ht="15.75" customHeight="1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</row>
    <row r="72" spans="1:3" ht="15.75" customHeight="1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</row>
    <row r="73" spans="1:3" ht="15.75" customHeight="1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</row>
    <row r="74" spans="1:3" ht="15.75" customHeight="1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</row>
    <row r="75" spans="1:3" ht="15.75" customHeight="1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</row>
    <row r="76" spans="1:3" ht="15.75" customHeight="1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</row>
    <row r="77" spans="1:3" ht="15.75" customHeight="1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</row>
    <row r="78" spans="1:3" ht="15.75" customHeight="1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</row>
    <row r="79" spans="1:3" ht="15.75" customHeight="1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</row>
    <row r="80" spans="1:3" ht="15.75" customHeight="1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</row>
    <row r="81" spans="1:3" ht="15.75" customHeight="1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</row>
    <row r="82" spans="1:3" ht="15.75" customHeight="1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</row>
    <row r="83" spans="1:3" ht="15.75" customHeight="1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</row>
    <row r="84" spans="1:3" ht="15.75" customHeight="1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</row>
    <row r="85" spans="1:3" ht="15.75" customHeight="1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</row>
    <row r="86" spans="1:3" ht="15.75" customHeight="1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</row>
    <row r="87" spans="1:3" ht="15.75" customHeight="1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</row>
    <row r="88" spans="1:3" ht="15.75" customHeight="1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</row>
    <row r="89" spans="1:3" ht="15.75" customHeight="1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</row>
    <row r="90" spans="1:3" ht="15.75" customHeight="1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</row>
    <row r="91" spans="1:3" ht="15.75" customHeight="1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</row>
    <row r="92" spans="1:3" ht="15.75" customHeight="1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</row>
    <row r="93" spans="1:3" ht="15.75" customHeight="1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</row>
    <row r="94" spans="1:3" ht="15.75" customHeight="1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</row>
    <row r="95" spans="1:3" ht="15.75" customHeight="1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</row>
    <row r="96" spans="1:3" ht="15.75" customHeight="1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</row>
    <row r="97" spans="1:3" ht="15.75" customHeight="1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</row>
    <row r="98" spans="1:3" ht="15.75" customHeight="1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</row>
    <row r="99" spans="1:3" ht="15.75" customHeight="1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</row>
    <row r="100" spans="1:3" ht="15.75" customHeight="1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</row>
    <row r="101" spans="1:3" ht="15.75" customHeight="1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</row>
    <row r="102" spans="1:3" ht="15.75" customHeight="1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</row>
    <row r="103" spans="1:3" ht="15.75" customHeight="1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</row>
    <row r="104" spans="1:3" ht="15.75" customHeight="1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</row>
    <row r="105" spans="1:3" ht="15.75" customHeight="1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</row>
    <row r="106" spans="1:3" ht="15.75" customHeight="1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</row>
    <row r="107" spans="1:3" ht="15.75" customHeight="1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</row>
    <row r="108" spans="1:3" ht="15.75" customHeight="1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</row>
    <row r="109" spans="1:3" ht="15.75" customHeight="1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</row>
    <row r="110" spans="1:3" ht="15.75" customHeight="1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</row>
    <row r="111" spans="1:3" ht="15.75" customHeight="1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</row>
    <row r="112" spans="1:3" ht="15.75" customHeight="1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</row>
    <row r="113" spans="1:3" ht="15.75" customHeight="1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</row>
    <row r="114" spans="1:3" ht="15.75" customHeight="1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</row>
    <row r="115" spans="1:3" ht="15.75" customHeight="1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</row>
    <row r="116" spans="1:3" ht="15.75" customHeight="1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</row>
    <row r="117" spans="1:3" ht="15.75" customHeight="1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</row>
    <row r="118" spans="1:3" ht="15.75" customHeight="1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</row>
    <row r="119" spans="1:3" ht="15.75" customHeight="1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</row>
    <row r="120" spans="1:3" ht="15.75" customHeight="1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</row>
    <row r="121" spans="1:3" ht="15.75" customHeight="1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</row>
    <row r="122" spans="1:3" ht="15.75" customHeight="1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</row>
    <row r="123" spans="1:3" ht="15.75" customHeight="1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</row>
    <row r="124" spans="1:3" ht="15.75" customHeight="1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</row>
    <row r="125" spans="1:3" ht="15.75" customHeight="1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</row>
    <row r="126" spans="1:3" ht="15.75" customHeight="1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</row>
    <row r="127" spans="1:3" ht="15.75" customHeight="1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</row>
    <row r="128" spans="1:3" ht="15.75" customHeight="1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</row>
    <row r="129" spans="1:3" ht="15.75" customHeight="1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</row>
    <row r="130" spans="1:3" ht="15.75" customHeight="1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</row>
    <row r="131" spans="1:3" ht="15.75" customHeight="1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</row>
    <row r="132" spans="1:3" ht="15.75" customHeight="1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</row>
    <row r="133" spans="1:3" ht="15.75" customHeight="1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</row>
    <row r="134" spans="1:3" ht="15.75" customHeight="1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</row>
    <row r="135" spans="1:3" ht="15.75" customHeight="1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</row>
    <row r="136" spans="1:3" ht="15.75" customHeight="1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</row>
    <row r="137" spans="1:3" ht="15.75" customHeight="1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</row>
    <row r="138" spans="1:3" ht="15.75" customHeight="1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</row>
    <row r="139" spans="1:3" ht="15.75" customHeight="1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</row>
    <row r="140" spans="1:3" ht="15.75" customHeight="1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</row>
    <row r="141" spans="1:3" ht="15.75" customHeight="1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</row>
    <row r="142" spans="1:3" ht="15.75" customHeight="1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</row>
    <row r="143" spans="1:3" ht="15.75" customHeight="1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</row>
    <row r="144" spans="1:3" ht="15.75" customHeight="1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</row>
    <row r="145" spans="1:3" ht="15.75" customHeight="1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</row>
    <row r="146" spans="1:3" ht="15.75" customHeight="1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</row>
    <row r="147" spans="1:3" ht="15.75" customHeight="1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</row>
    <row r="148" spans="1:3" ht="15.75" customHeight="1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</row>
    <row r="149" spans="1:3" ht="15.75" customHeight="1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</row>
    <row r="150" spans="1:3" ht="15.75" customHeight="1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</row>
    <row r="151" spans="1:3" ht="15.75" customHeight="1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</row>
    <row r="152" spans="1:3" ht="15.75" customHeight="1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</row>
    <row r="153" spans="1:3" ht="15.75" customHeight="1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</row>
    <row r="154" spans="1:3" ht="15.75" customHeight="1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</row>
    <row r="155" spans="1:3" ht="15.75" customHeight="1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</row>
    <row r="156" spans="1:3" ht="15.75" customHeight="1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</row>
    <row r="157" spans="1:3" ht="15.75" customHeight="1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</row>
    <row r="158" spans="1:3" ht="15.75" customHeight="1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</row>
    <row r="159" spans="1:3" ht="15.75" customHeight="1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</row>
    <row r="160" spans="1:3" ht="15.75" customHeight="1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</row>
    <row r="161" spans="1:3" ht="15.75" customHeight="1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</row>
    <row r="162" spans="1:3" ht="15.75" customHeight="1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</row>
    <row r="163" spans="1:3" ht="15.75" customHeight="1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</row>
    <row r="164" spans="1:3" ht="15.75" customHeight="1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IFERROR(__xludf.DUMMYFUNCTION("""COMPUTED_VALUE"""),"1HtGttMhZ73FzgJN2ySWB2759VbqKk8jUkzOYmM4w5og")</f>
        <v>1HtGttMhZ73FzgJN2ySWB2759VbqKk8jUkzOYmM4w5og</v>
      </c>
    </row>
    <row r="165" spans="1:3" ht="15.75" customHeight="1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</row>
    <row r="166" spans="1:3" ht="15.75" customHeight="1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</row>
    <row r="167" spans="1:3" ht="15.75" customHeight="1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</row>
    <row r="168" spans="1:3" ht="15.75" customHeight="1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</row>
    <row r="169" spans="1:3" ht="15.75" customHeight="1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</row>
    <row r="170" spans="1:3" ht="15.75" customHeight="1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</row>
    <row r="171" spans="1:3" ht="15.75" customHeight="1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</row>
    <row r="172" spans="1:3" ht="15.75" customHeight="1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</row>
    <row r="173" spans="1:3" ht="15.75" customHeight="1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</row>
    <row r="174" spans="1:3" ht="15.75" customHeight="1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</row>
    <row r="175" spans="1:3" ht="15.75" customHeight="1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</row>
    <row r="176" spans="1:3" ht="15.75" customHeight="1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</row>
    <row r="177" spans="1:3" ht="15.75" customHeight="1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</row>
    <row r="178" spans="1:3" ht="15.75" customHeight="1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</row>
    <row r="179" spans="1:3" ht="15.75" customHeight="1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</row>
    <row r="180" spans="1:3" ht="15.75" customHeight="1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</row>
    <row r="181" spans="1:3" ht="15.75" customHeight="1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</row>
    <row r="182" spans="1:3" ht="15.75" customHeight="1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</row>
    <row r="183" spans="1:3" ht="15.75" customHeight="1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</row>
    <row r="184" spans="1:3" ht="15.75" customHeight="1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</row>
    <row r="185" spans="1:3" ht="15.75" customHeight="1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</row>
    <row r="186" spans="1:3" ht="15.75" customHeight="1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</row>
    <row r="187" spans="1:3" ht="15.75" customHeight="1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</row>
    <row r="188" spans="1:3" ht="15.75" customHeight="1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</row>
    <row r="189" spans="1:3" ht="15.75" customHeight="1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</row>
    <row r="190" spans="1:3" ht="15.75" customHeight="1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</row>
    <row r="191" spans="1:3" ht="15.75" customHeight="1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</row>
    <row r="192" spans="1:3" ht="15.75" customHeight="1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</row>
    <row r="193" spans="1:3" ht="15.75" customHeight="1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</row>
    <row r="194" spans="1:3" ht="15.75" customHeight="1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</row>
    <row r="195" spans="1:3" ht="15.75" customHeight="1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</row>
    <row r="196" spans="1:3" ht="15.75" customHeight="1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</row>
    <row r="197" spans="1:3" ht="15.75" customHeight="1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</row>
    <row r="198" spans="1:3" ht="15.75" customHeight="1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</row>
    <row r="199" spans="1:3" ht="15.75" customHeight="1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</row>
    <row r="200" spans="1:3" ht="15.75" customHeight="1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</row>
    <row r="201" spans="1:3" ht="15.75" customHeight="1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</row>
    <row r="202" spans="1:3" ht="15.75" customHeight="1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</row>
    <row r="203" spans="1:3" ht="15.75" customHeight="1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</row>
    <row r="204" spans="1:3" ht="15.75" customHeight="1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</row>
    <row r="205" spans="1:3" ht="15.75" customHeight="1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</row>
    <row r="206" spans="1:3" ht="15.75" customHeight="1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</row>
    <row r="207" spans="1:3" ht="15.75" customHeight="1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</row>
    <row r="208" spans="1:3" ht="15.75" customHeight="1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</row>
    <row r="209" spans="1:3" ht="15.75" customHeight="1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</row>
    <row r="210" spans="1:3" ht="15.75" customHeight="1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</row>
    <row r="211" spans="1:3" ht="15.75" customHeight="1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</row>
    <row r="212" spans="1:3" ht="15.75" customHeight="1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</row>
    <row r="213" spans="1:3" ht="15.75" customHeight="1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</row>
    <row r="214" spans="1:3" ht="15.75" customHeight="1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</row>
    <row r="215" spans="1:3" ht="15.75" customHeight="1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</row>
    <row r="216" spans="1:3" ht="15.75" customHeight="1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</row>
    <row r="217" spans="1:3" ht="15.75" customHeight="1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</row>
    <row r="218" spans="1:3" ht="15.75" customHeight="1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</row>
    <row r="219" spans="1:3" ht="15.75" customHeight="1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</row>
    <row r="220" spans="1:3" ht="15.75" customHeight="1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</row>
    <row r="221" spans="1:3" ht="15.75" customHeight="1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</row>
    <row r="222" spans="1:3" ht="15.75" customHeight="1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</row>
    <row r="223" spans="1:3" ht="15.75" customHeight="1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</row>
    <row r="224" spans="1:3" ht="15.75" customHeight="1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</row>
    <row r="225" spans="1:3" ht="15.75" customHeight="1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</row>
    <row r="226" spans="1:3" ht="15.75" customHeight="1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</row>
    <row r="227" spans="1:3" ht="15.75" customHeight="1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</row>
    <row r="228" spans="1:3" ht="15.75" customHeight="1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</row>
    <row r="229" spans="1:3" ht="15.75" customHeight="1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</row>
    <row r="230" spans="1:3" ht="15.75" customHeight="1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</row>
    <row r="231" spans="1:3" ht="15.75" customHeight="1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</row>
    <row r="232" spans="1:3" ht="15.75" customHeight="1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</row>
    <row r="233" spans="1:3" ht="15.75" customHeight="1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</row>
    <row r="234" spans="1:3" ht="15.75" customHeight="1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</row>
    <row r="235" spans="1:3" ht="15.75" customHeight="1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</row>
    <row r="236" spans="1:3" ht="15.75" customHeight="1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</row>
    <row r="237" spans="1:3" ht="15.75" customHeight="1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</row>
    <row r="238" spans="1:3" ht="15.75" customHeight="1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</row>
    <row r="239" spans="1:3" ht="15.75" customHeight="1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</row>
    <row r="240" spans="1:3" ht="15.75" customHeight="1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</row>
    <row r="241" spans="1:3" ht="15.75" customHeight="1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</row>
    <row r="242" spans="1:3" ht="15.75" customHeight="1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</row>
    <row r="243" spans="1:3" ht="15.75" customHeight="1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</row>
    <row r="244" spans="1:3" ht="15.75" customHeight="1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</row>
    <row r="245" spans="1:3" ht="15.75" customHeight="1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</row>
    <row r="246" spans="1:3" ht="15.75" customHeight="1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</row>
    <row r="247" spans="1:3" ht="15.75" customHeight="1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</row>
    <row r="248" spans="1:3" ht="15.75" customHeight="1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</row>
    <row r="249" spans="1:3" ht="15.75" customHeight="1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</row>
    <row r="250" spans="1:3" ht="15.75" customHeight="1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</row>
    <row r="251" spans="1:3" ht="15.75" customHeight="1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</row>
    <row r="252" spans="1:3" ht="15.75" customHeight="1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</row>
    <row r="253" spans="1:3" ht="15.75" customHeight="1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</row>
    <row r="254" spans="1:3" ht="15.75" customHeight="1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</row>
    <row r="255" spans="1:3" ht="15.75" customHeight="1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</row>
    <row r="256" spans="1:3" ht="15.75" customHeight="1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</row>
    <row r="257" spans="1:3" ht="15.75" customHeight="1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</row>
    <row r="258" spans="1:3" ht="15.75" customHeight="1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</row>
    <row r="259" spans="1:3" ht="15.75" customHeight="1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</row>
    <row r="260" spans="1:3" ht="15.75" customHeight="1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</row>
    <row r="261" spans="1:3" ht="15.75" customHeight="1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</row>
    <row r="262" spans="1:3" ht="15.75" customHeight="1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</row>
    <row r="263" spans="1:3" ht="15.75" customHeight="1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</row>
    <row r="264" spans="1:3" ht="15.75" customHeight="1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</row>
    <row r="265" spans="1:3" ht="15.75" customHeight="1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</row>
    <row r="266" spans="1:3" ht="15.75" customHeight="1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</row>
    <row r="267" spans="1:3" ht="15.75" customHeight="1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</row>
    <row r="268" spans="1:3" ht="15.75" customHeight="1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</row>
    <row r="269" spans="1:3" ht="15.75" customHeight="1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</row>
    <row r="270" spans="1:3" ht="15.75" customHeight="1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</row>
    <row r="271" spans="1:3" ht="15.75" customHeight="1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</row>
    <row r="272" spans="1:3" ht="15.75" customHeight="1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</row>
    <row r="273" spans="1:3" ht="15.75" customHeight="1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</row>
    <row r="274" spans="1:3" ht="15.75" customHeight="1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</row>
    <row r="275" spans="1:3" ht="15.75" customHeight="1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</row>
    <row r="276" spans="1:3" ht="15.75" customHeight="1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</row>
    <row r="277" spans="1:3" ht="15.75" customHeight="1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</row>
    <row r="278" spans="1:3" ht="15.75" customHeight="1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</row>
    <row r="279" spans="1:3" ht="15.75" customHeight="1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</row>
    <row r="280" spans="1:3" ht="15.75" customHeight="1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</row>
    <row r="281" spans="1:3" ht="15.75" customHeight="1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</row>
    <row r="282" spans="1:3" ht="15.75" customHeight="1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</row>
    <row r="283" spans="1:3" ht="15.75" customHeight="1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</row>
    <row r="284" spans="1:3" ht="15.75" customHeight="1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</row>
    <row r="285" spans="1:3" ht="15.75" customHeight="1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</row>
    <row r="286" spans="1:3" ht="15.75" customHeight="1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</row>
    <row r="287" spans="1:3" ht="15.75" customHeight="1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</row>
    <row r="288" spans="1:3" ht="15.75" customHeight="1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</row>
    <row r="289" spans="1:3" ht="15.75" customHeight="1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</row>
    <row r="290" spans="1:3" ht="15.75" customHeight="1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</row>
    <row r="291" spans="1:3" ht="15.75" customHeight="1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</row>
    <row r="292" spans="1:3" ht="15.75" customHeight="1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</row>
    <row r="293" spans="1:3" ht="15.75" customHeight="1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</row>
    <row r="294" spans="1:3" ht="15.75" customHeight="1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</row>
    <row r="295" spans="1:3" ht="15.75" customHeight="1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</row>
    <row r="296" spans="1:3" ht="15.75" customHeight="1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</row>
    <row r="297" spans="1:3" ht="15.75" customHeight="1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</row>
    <row r="298" spans="1:3" ht="15.75" customHeight="1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</row>
    <row r="299" spans="1:3" ht="15.75" customHeight="1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</row>
    <row r="300" spans="1:3" ht="15.75" customHeight="1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</row>
    <row r="301" spans="1:3" ht="15.75" customHeight="1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</row>
    <row r="302" spans="1:3" ht="15.75" customHeight="1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</row>
    <row r="303" spans="1:3" ht="15.75" customHeight="1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</row>
    <row r="304" spans="1:3" ht="15.75" customHeight="1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</row>
    <row r="305" spans="1:3" ht="15.75" customHeight="1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</row>
    <row r="306" spans="1:3" ht="15.75" customHeight="1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</row>
    <row r="307" spans="1:3" ht="15.75" customHeight="1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</row>
    <row r="308" spans="1:3" ht="15.75" customHeight="1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</row>
    <row r="309" spans="1:3" ht="15.75" customHeight="1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</row>
    <row r="310" spans="1:3" ht="15.75" customHeight="1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</row>
    <row r="311" spans="1:3" ht="15.75" customHeight="1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</row>
    <row r="312" spans="1:3" ht="15.75" customHeight="1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</row>
    <row r="313" spans="1:3" ht="15.75" customHeight="1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</row>
    <row r="314" spans="1:3" ht="15.75" customHeight="1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</row>
    <row r="315" spans="1:3" ht="15.75" customHeight="1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</row>
    <row r="316" spans="1:3" ht="15.75" customHeight="1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</row>
    <row r="317" spans="1:3" ht="15.75" customHeight="1">
      <c r="A317" t="str">
        <f ca="1">IFERROR(__xludf.DUMMYFUNCTION("""COMPUTED_VALUE"""),"PortfolioManagement")</f>
        <v>PortfolioManagement</v>
      </c>
      <c r="B317" t="str">
        <f ca="1">IFERROR(__xludf.DUMMYFUNCTION("""COMPUTED_VALUE"""),"OpenClosingFromPM")</f>
        <v>OpenClosingFromPM</v>
      </c>
      <c r="C317" t="str">
        <f ca="1">IFERROR(__xludf.DUMMYFUNCTION("""COMPUTED_VALUE"""),"undefined")</f>
        <v>undefined</v>
      </c>
    </row>
    <row r="318" spans="1:3" ht="15.75" customHeight="1">
      <c r="A318" t="str">
        <f ca="1">IFERROR(__xludf.DUMMYFUNCTION("""COMPUTED_VALUE"""),"PortfolioManagement")</f>
        <v>PortfolioManagement</v>
      </c>
      <c r="B318" t="str">
        <f ca="1">IFERROR(__xludf.DUMMYFUNCTION("""COMPUTED_VALUE"""),"OpenCorporateActionFromPM")</f>
        <v>OpenCorporateActionFromPM</v>
      </c>
      <c r="C318" t="str">
        <f ca="1">IFERROR(__xludf.DUMMYFUNCTION("""COMPUTED_VALUE"""),"undefined")</f>
        <v>undefined</v>
      </c>
    </row>
    <row r="319" spans="1:3" ht="15.75" customHeight="1">
      <c r="A319" t="str">
        <f ca="1">IFERROR(__xludf.DUMMYFUNCTION("""COMPUTED_VALUE"""),"PortfolioManagement")</f>
        <v>PortfolioManagement</v>
      </c>
      <c r="B319" t="str">
        <f ca="1">IFERROR(__xludf.DUMMYFUNCTION("""COMPUTED_VALUE"""),"OpenDailyValuationFromPM")</f>
        <v>OpenDailyValuationFromPM</v>
      </c>
      <c r="C319" t="str">
        <f ca="1">IFERROR(__xludf.DUMMYFUNCTION("""COMPUTED_VALUE"""),"undefined")</f>
        <v>undefined</v>
      </c>
    </row>
    <row r="320" spans="1:3" ht="15.75" customHeight="1">
      <c r="A320" t="str">
        <f ca="1">IFERROR(__xludf.DUMMYFUNCTION("""COMPUTED_VALUE"""),"PortfolioManagement")</f>
        <v>PortfolioManagement</v>
      </c>
      <c r="B320" t="str">
        <f ca="1">IFERROR(__xludf.DUMMYFUNCTION("""COMPUTED_VALUE"""),"ClosePositionFromPM")</f>
        <v>ClosePositionFromPM</v>
      </c>
      <c r="C320" t="str">
        <f ca="1">IFERROR(__xludf.DUMMYFUNCTION("""COMPUTED_VALUE"""),"1-P8y2jWa8-TgjIAgysm8LiFOFNCawLK6ehtNf8n3g0o")</f>
        <v>1-P8y2jWa8-TgjIAgysm8LiFOFNCawLK6ehtNf8n3g0o</v>
      </c>
    </row>
    <row r="321" spans="1:3" ht="15.75" customHeight="1">
      <c r="A321" t="str">
        <f ca="1">IFERROR(__xludf.DUMMYFUNCTION("""COMPUTED_VALUE"""),"PortfolioManagement")</f>
        <v>PortfolioManagement</v>
      </c>
      <c r="B321" t="str">
        <f ca="1">IFERROR(__xludf.DUMMYFUNCTION("""COMPUTED_VALUE"""),"ShowSummaryToolFromPM")</f>
        <v>ShowSummaryToolFromPM</v>
      </c>
      <c r="C321" t="str">
        <f ca="1">IFERROR(__xludf.DUMMYFUNCTION("""COMPUTED_VALUE"""),"undefined")</f>
        <v>undefined</v>
      </c>
    </row>
    <row r="322" spans="1:3" ht="15.75" customHeight="1">
      <c r="A322" t="str">
        <f ca="1">IFERROR(__xludf.DUMMYFUNCTION("""COMPUTED_VALUE"""),"PortfolioManagement")</f>
        <v>PortfolioManagement</v>
      </c>
      <c r="B322" t="str">
        <f ca="1">IFERROR(__xludf.DUMMYFUNCTION("""COMPUTED_VALUE"""),"HideSummaryToolFromPM")</f>
        <v>HideSummaryToolFromPM</v>
      </c>
      <c r="C322" t="str">
        <f ca="1">IFERROR(__xludf.DUMMYFUNCTION("""COMPUTED_VALUE"""),"undefined")</f>
        <v>undefined</v>
      </c>
    </row>
    <row r="323" spans="1:3" ht="15.75" customHeight="1">
      <c r="A323" t="str">
        <f ca="1">IFERROR(__xludf.DUMMYFUNCTION("""COMPUTED_VALUE"""),"PortfolioManagement")</f>
        <v>PortfolioManagement</v>
      </c>
      <c r="B323" t="str">
        <f ca="1">IFERROR(__xludf.DUMMYFUNCTION("""COMPUTED_VALUE"""),"CloseAccountPositionFromPM")</f>
        <v>CloseAccountPositionFromPM</v>
      </c>
      <c r="C323" t="str">
        <f ca="1">IFERROR(__xludf.DUMMYFUNCTION("""COMPUTED_VALUE"""),"1r4mdKH6xHBGXly0xX_3kfVZnbgFRt6h09CKzb6B2j30")</f>
        <v>1r4mdKH6xHBGXly0xX_3kfVZnbgFRt6h09CKzb6B2j30</v>
      </c>
    </row>
    <row r="324" spans="1:3" ht="15.75" customHeight="1">
      <c r="A324" t="str">
        <f ca="1">IFERROR(__xludf.DUMMYFUNCTION("""COMPUTED_VALUE"""),"PortfolioManagement")</f>
        <v>PortfolioManagement</v>
      </c>
      <c r="B324" t="str">
        <f ca="1">IFERROR(__xludf.DUMMYFUNCTION("""COMPUTED_VALUE"""),"CloseSelectedTaxlotsFromPM")</f>
        <v>CloseSelectedTaxlotsFromPM</v>
      </c>
      <c r="C324" t="str">
        <f ca="1">IFERROR(__xludf.DUMMYFUNCTION("""COMPUTED_VALUE"""),"1bepmvkmXtLL4UpGLcjeYXrovfZi8iUwi1A3os0v1Uj0")</f>
        <v>1bepmvkmXtLL4UpGLcjeYXrovfZi8iUwi1A3os0v1Uj0</v>
      </c>
    </row>
    <row r="325" spans="1:3" ht="15.75" customHeight="1">
      <c r="A325" t="str">
        <f ca="1">IFERROR(__xludf.DUMMYFUNCTION("""COMPUTED_VALUE"""),"PortfolioManagement")</f>
        <v>PortfolioManagement</v>
      </c>
      <c r="B325" t="str">
        <f ca="1">IFERROR(__xludf.DUMMYFUNCTION("""COMPUTED_VALUE"""),"ExpandCollapsePM")</f>
        <v>ExpandCollapsePM</v>
      </c>
      <c r="C325" t="str">
        <f ca="1">IFERROR(__xludf.DUMMYFUNCTION("""COMPUTED_VALUE"""),"1nPYQhQ-Gpxk7lgLy_GqUcKiz5fcJpQhrTV5bJyY03qc")</f>
        <v>1nPYQhQ-Gpxk7lgLy_GqUcKiz5fcJpQhrTV5bJyY03qc</v>
      </c>
    </row>
    <row r="326" spans="1:3" ht="15.75" customHeight="1">
      <c r="A326" t="str">
        <f ca="1">IFERROR(__xludf.DUMMYFUNCTION("""COMPUTED_VALUE"""),"PortfolioManagement")</f>
        <v>PortfolioManagement</v>
      </c>
      <c r="B326" t="str">
        <f ca="1">IFERROR(__xludf.DUMMYFUNCTION("""COMPUTED_VALUE"""),"AddCustomViewPM")</f>
        <v>AddCustomViewPM</v>
      </c>
      <c r="C326" t="str">
        <f ca="1">IFERROR(__xludf.DUMMYFUNCTION("""COMPUTED_VALUE"""),"1NbdvoXzq9bLTUkCX2_gVxCtjCR2kBldnGGw-z1Eim8I")</f>
        <v>1NbdvoXzq9bLTUkCX2_gVxCtjCR2kBldnGGw-z1Eim8I</v>
      </c>
    </row>
    <row r="327" spans="1:3" ht="15.75" customHeight="1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IFERROR(__xludf.DUMMYFUNCTION("""COMPUTED_VALUE"""),"AddCustomViewRightClickPM")</f>
        <v>AddCustomViewRightClickPM</v>
      </c>
      <c r="C327" t="str">
        <f ca="1">IFERROR(__xludf.DUMMYFUNCTION("""COMPUTED_VALUE"""),"1Q7iif6wWXqCIfSrgSBzoU30gZbMUkNAMhcF68qLMvps")</f>
        <v>1Q7iif6wWXqCIfSrgSBzoU30gZbMUkNAMhcF68qLMvps</v>
      </c>
    </row>
    <row r="328" spans="1:3" ht="15.75" customHeight="1">
      <c r="A328" t="str">
        <f ca="1">IFERROR(__xludf.DUMMYFUNCTION("""COMPUTED_VALUE"""),"PortfolioManagement")</f>
        <v>PortfolioManagement</v>
      </c>
      <c r="B328" t="str">
        <f ca="1">IFERROR(__xludf.DUMMYFUNCTION("""COMPUTED_VALUE"""),"RenameCustomViewPM")</f>
        <v>RenameCustomViewPM</v>
      </c>
      <c r="C328" t="str">
        <f ca="1">IFERROR(__xludf.DUMMYFUNCTION("""COMPUTED_VALUE"""),"11-lGY3oTzf5kpgkJM4lHHX32AUcd6BpZ2CU2UsLPpAE")</f>
        <v>11-lGY3oTzf5kpgkJM4lHHX32AUcd6BpZ2CU2UsLPpAE</v>
      </c>
    </row>
    <row r="329" spans="1:3" ht="15.75" customHeight="1">
      <c r="A329" t="str">
        <f ca="1">IFERROR(__xludf.DUMMYFUNCTION("""COMPUTED_VALUE"""),"PortfolioManagement")</f>
        <v>PortfolioManagement</v>
      </c>
      <c r="B329" t="str">
        <f ca="1">IFERROR(__xludf.DUMMYFUNCTION("""COMPUTED_VALUE"""),"DeleteCustomViewPM")</f>
        <v>DeleteCustomViewPM</v>
      </c>
      <c r="C329" t="str">
        <f ca="1">IFERROR(__xludf.DUMMYFUNCTION("""COMPUTED_VALUE"""),"1X-gnstY40ismguHxChNKmthJ1G80Q49D37OBmzHA5BM")</f>
        <v>1X-gnstY40ismguHxChNKmthJ1G80Q49D37OBmzHA5BM</v>
      </c>
    </row>
    <row r="330" spans="1:3" ht="15.75" customHeight="1">
      <c r="A330" t="str">
        <f ca="1">IFERROR(__xludf.DUMMYFUNCTION("""COMPUTED_VALUE"""),"Closing")</f>
        <v>Closing</v>
      </c>
      <c r="B330" t="str">
        <f ca="1">IFERROR(__xludf.DUMMYFUNCTION("""COMPUTED_VALUE"""),"SetClosingPreference")</f>
        <v>SetClosingPreference</v>
      </c>
      <c r="C330" t="str">
        <f ca="1">IFERROR(__xludf.DUMMYFUNCTION("""COMPUTED_VALUE"""),"1SBWCGC1qCDElP5xT215lxXFECJmufBKtZhmLiF-uDlE")</f>
        <v>1SBWCGC1qCDElP5xT215lxXFECJmufBKtZhmLiF-uDlE</v>
      </c>
    </row>
    <row r="331" spans="1:3" ht="15.75" customHeight="1">
      <c r="A331" t="str">
        <f ca="1">IFERROR(__xludf.DUMMYFUNCTION("""COMPUTED_VALUE"""),"CreateTransaction")</f>
        <v>CreateTransaction</v>
      </c>
      <c r="B331" t="str">
        <f ca="1">IFERROR(__xludf.DUMMYFUNCTION("""COMPUTED_VALUE"""),"SaveTransaction")</f>
        <v>SaveTransaction</v>
      </c>
      <c r="C331" t="str">
        <f ca="1">IFERROR(__xludf.DUMMYFUNCTION("""COMPUTED_VALUE"""),"undefined")</f>
        <v>undefined</v>
      </c>
    </row>
    <row r="332" spans="1:3" ht="15.75" customHeight="1">
      <c r="A332" t="str">
        <f ca="1">IFERROR(__xludf.DUMMYFUNCTION("""COMPUTED_VALUE"""),"Allocation")</f>
        <v>Allocation</v>
      </c>
      <c r="B332" t="str">
        <f ca="1">IFERROR(__xludf.DUMMYFUNCTION("""COMPUTED_VALUE"""),"EditUnallocatedGrid")</f>
        <v>EditUnallocatedGrid</v>
      </c>
      <c r="C332" t="str">
        <f ca="1">IFERROR(__xludf.DUMMYFUNCTION("""COMPUTED_VALUE"""),"13ZNMuqKcSpAW_MsR69_GoKBz_beluHfFVyViDpUnCkc")</f>
        <v>13ZNMuqKcSpAW_MsR69_GoKBz_beluHfFVyViDpUnCkc</v>
      </c>
    </row>
    <row r="333" spans="1:3" ht="15.75" customHeight="1">
      <c r="A333" t="str">
        <f ca="1">IFERROR(__xludf.DUMMYFUNCTION("""COMPUTED_VALUE"""),"Allocation")</f>
        <v>Allocation</v>
      </c>
      <c r="B333" t="str">
        <f ca="1">IFERROR(__xludf.DUMMYFUNCTION("""COMPUTED_VALUE"""),"EditAllocatedGrid")</f>
        <v>EditAllocatedGrid</v>
      </c>
      <c r="C333" t="str">
        <f ca="1">IFERROR(__xludf.DUMMYFUNCTION("""COMPUTED_VALUE"""),"1Qe_MB72ABGFy_tC-AtAJSBoOqNECmDnuHW2p--em0xc")</f>
        <v>1Qe_MB72ABGFy_tC-AtAJSBoOqNECmDnuHW2p--em0xc</v>
      </c>
    </row>
    <row r="334" spans="1:3" ht="15.75" customHeight="1">
      <c r="A334" t="str">
        <f ca="1">IFERROR(__xludf.DUMMYFUNCTION("""COMPUTED_VALUE"""),"PTT")</f>
        <v>PTT</v>
      </c>
      <c r="B334" t="str">
        <f ca="1">IFERROR(__xludf.DUMMYFUNCTION("""COMPUTED_VALUE"""),"SetPTTPreference")</f>
        <v>SetPTTPreference</v>
      </c>
      <c r="C334" t="str">
        <f ca="1">IFERROR(__xludf.DUMMYFUNCTION("""COMPUTED_VALUE"""),"1ldeUCvJu8gA2hZDe6NneM5_zHpORs3VIMmFqtZK_zTo")</f>
        <v>1ldeUCvJu8gA2hZDe6NneM5_zHpORs3VIMmFqtZK_zTo</v>
      </c>
    </row>
    <row r="335" spans="1:3" ht="15.75" customHeight="1">
      <c r="A335" t="str">
        <f ca="1">IFERROR(__xludf.DUMMYFUNCTION("""COMPUTED_VALUE"""),"PTT")</f>
        <v>PTT</v>
      </c>
      <c r="B335" t="str">
        <f ca="1">IFERROR(__xludf.DUMMYFUNCTION("""COMPUTED_VALUE"""),"SetLongShortPTTPreference")</f>
        <v>SetLongShortPTTPreference</v>
      </c>
      <c r="C335" t="str">
        <f ca="1">IFERROR(__xludf.DUMMYFUNCTION("""COMPUTED_VALUE"""),"1K6pZbNryz6dksItb7aYYpqHUV4sWPVRsnYGiEZCb6BY")</f>
        <v>1K6pZbNryz6dksItb7aYYpqHUV4sWPVRsnYGiEZCb6BY</v>
      </c>
    </row>
    <row r="336" spans="1:3" ht="15.75" customHeight="1">
      <c r="A336" t="str">
        <f ca="1">IFERROR(__xludf.DUMMYFUNCTION("""COMPUTED_VALUE"""),"TradingTicket")</f>
        <v>TradingTicket</v>
      </c>
      <c r="B336" t="str">
        <f ca="1">IFERROR(__xludf.DUMMYFUNCTION("""COMPUTED_VALUE"""),"VerifyTT")</f>
        <v>VerifyTT</v>
      </c>
      <c r="C336" t="str">
        <f ca="1">IFERROR(__xludf.DUMMYFUNCTION("""COMPUTED_VALUE"""),"1bKhXEya1wodNYLnY1-QcHI_XG3UWZaHQ81HV-TN-5Kc")</f>
        <v>1bKhXEya1wodNYLnY1-QcHI_XG3UWZaHQ81HV-TN-5Kc</v>
      </c>
    </row>
    <row r="337" spans="1:3" ht="15.75" customHeight="1">
      <c r="A337" t="str">
        <f ca="1">IFERROR(__xludf.DUMMYFUNCTION("""COMPUTED_VALUE"""),"Allocation")</f>
        <v>Allocation</v>
      </c>
      <c r="B337" t="str">
        <f ca="1">IFERROR(__xludf.DUMMYFUNCTION("""COMPUTED_VALUE"""),"SaveLayoutAllocatedGrid")</f>
        <v>SaveLayoutAllocatedGrid</v>
      </c>
      <c r="C337" t="str">
        <f ca="1">IFERROR(__xludf.DUMMYFUNCTION("""COMPUTED_VALUE"""),"1aTyf1QMUlY1sd90ATn_Ik7tSnqoJNJ2ORUTgE2CcKVc")</f>
        <v>1aTyf1QMUlY1sd90ATn_Ik7tSnqoJNJ2ORUTgE2CcKVc</v>
      </c>
    </row>
    <row r="338" spans="1:3" ht="15.75" customHeight="1">
      <c r="A338" t="str">
        <f ca="1">IFERROR(__xludf.DUMMYFUNCTION("""COMPUTED_VALUE"""),"Allocation")</f>
        <v>Allocation</v>
      </c>
      <c r="B338" t="str">
        <f ca="1">IFERROR(__xludf.DUMMYFUNCTION("""COMPUTED_VALUE"""),"SaveLayoutUnallocatedGrid")</f>
        <v>SaveLayoutUnallocatedGrid</v>
      </c>
      <c r="C338" t="str">
        <f ca="1">IFERROR(__xludf.DUMMYFUNCTION("""COMPUTED_VALUE"""),"14EKTplxgrSnZ3LrmPGSsdvC3A1Cn7Gl3iYaLoliVy5c")</f>
        <v>14EKTplxgrSnZ3LrmPGSsdvC3A1Cn7Gl3iYaLoliVy5c</v>
      </c>
    </row>
    <row r="339" spans="1:3" ht="15.75" customHeight="1">
      <c r="A339" t="str">
        <f ca="1">IFERROR(__xludf.DUMMYFUNCTION("""COMPUTED_VALUE"""),"Allocation")</f>
        <v>Allocation</v>
      </c>
      <c r="B339" t="str">
        <f ca="1">IFERROR(__xludf.DUMMYFUNCTION("""COMPUTED_VALUE"""),"SaveLayoutAllocationUI")</f>
        <v>SaveLayoutAllocationUI</v>
      </c>
      <c r="C339" t="str">
        <f ca="1">IFERROR(__xludf.DUMMYFUNCTION("""COMPUTED_VALUE"""),"1w55ijS0jNdggXMegSAddndubbfCazPcYQ4T-iQXE9-8")</f>
        <v>1w55ijS0jNdggXMegSAddndubbfCazPcYQ4T-iQXE9-8</v>
      </c>
    </row>
    <row r="340" spans="1:3" ht="15.75" customHeight="1">
      <c r="A340" t="str">
        <f ca="1">IFERROR(__xludf.DUMMYFUNCTION("""COMPUTED_VALUE"""),"Allocation")</f>
        <v>Allocation</v>
      </c>
      <c r="B340" t="str">
        <f ca="1">IFERROR(__xludf.DUMMYFUNCTION("""COMPUTED_VALUE"""),"ClearFiltersAllocatedGrid")</f>
        <v>ClearFiltersAllocatedGrid</v>
      </c>
      <c r="C340" t="str">
        <f ca="1">IFERROR(__xludf.DUMMYFUNCTION("""COMPUTED_VALUE"""),"undefined")</f>
        <v>undefined</v>
      </c>
    </row>
    <row r="341" spans="1:3" ht="15.75" customHeight="1">
      <c r="A341" t="str">
        <f ca="1">IFERROR(__xludf.DUMMYFUNCTION("""COMPUTED_VALUE"""),"Allocation")</f>
        <v>Allocation</v>
      </c>
      <c r="B341" t="str">
        <f ca="1">IFERROR(__xludf.DUMMYFUNCTION("""COMPUTED_VALUE"""),"ClearFiltersUnallocatedGrid")</f>
        <v>ClearFiltersUnallocatedGrid</v>
      </c>
      <c r="C341" t="str">
        <f ca="1">IFERROR(__xludf.DUMMYFUNCTION("""COMPUTED_VALUE"""),"undefined")</f>
        <v>undefined</v>
      </c>
    </row>
    <row r="342" spans="1:3" ht="15.75" customHeight="1">
      <c r="A342" t="str">
        <f ca="1">IFERROR(__xludf.DUMMYFUNCTION("""COMPUTED_VALUE"""),"Allocation")</f>
        <v>Allocation</v>
      </c>
      <c r="B342" t="str">
        <f ca="1">IFERROR(__xludf.DUMMYFUNCTION("""COMPUTED_VALUE"""),"VerifyLayoutAllocatedGrid")</f>
        <v>VerifyLayoutAllocatedGrid</v>
      </c>
      <c r="C342" t="str">
        <f ca="1">IFERROR(__xludf.DUMMYFUNCTION("""COMPUTED_VALUE"""),"1Dm60vGCrArH03PZJNSUJF2XSLE8bTZId3GMfDSiNsgE")</f>
        <v>1Dm60vGCrArH03PZJNSUJF2XSLE8bTZId3GMfDSiNsgE</v>
      </c>
    </row>
    <row r="343" spans="1:3" ht="15.75" customHeight="1">
      <c r="A343" t="str">
        <f ca="1">IFERROR(__xludf.DUMMYFUNCTION("""COMPUTED_VALUE"""),"Allocation")</f>
        <v>Allocation</v>
      </c>
      <c r="B343" t="str">
        <f ca="1">IFERROR(__xludf.DUMMYFUNCTION("""COMPUTED_VALUE"""),"VerifyLayoutUnallocatedGrid")</f>
        <v>VerifyLayoutUnallocatedGrid</v>
      </c>
      <c r="C343" t="str">
        <f ca="1">IFERROR(__xludf.DUMMYFUNCTION("""COMPUTED_VALUE"""),"13oH5Ytu1wVsxt5b13YVUvBPplFK0NO_TK4bRhOZWxN8")</f>
        <v>13oH5Ytu1wVsxt5b13YVUvBPplFK0NO_TK4bRhOZWxN8</v>
      </c>
    </row>
    <row r="344" spans="1:3" ht="15.75" customHeight="1">
      <c r="A344" t="str">
        <f ca="1">IFERROR(__xludf.DUMMYFUNCTION("""COMPUTED_VALUE"""),"DailyValuation")</f>
        <v>DailyValuation</v>
      </c>
      <c r="B344" t="str">
        <f ca="1">IFERROR(__xludf.DUMMYFUNCTION("""COMPUTED_VALUE"""),"UpdateForexConversionMonthly")</f>
        <v>UpdateForexConversionMonthly</v>
      </c>
      <c r="C344" t="str">
        <f ca="1">IFERROR(__xludf.DUMMYFUNCTION("""COMPUTED_VALUE"""),"1TZUZ5-nBzkzBtbjFUoa_EB6_eDzdYjS0ibH5XGYYwAw")</f>
        <v>1TZUZ5-nBzkzBtbjFUoa_EB6_eDzdYjS0ibH5XGYYwAw</v>
      </c>
    </row>
    <row r="345" spans="1:3" ht="15.75" customHeight="1">
      <c r="A345" t="str">
        <f ca="1">IFERROR(__xludf.DUMMYFUNCTION("""COMPUTED_VALUE"""),"GeneralLedger")</f>
        <v>GeneralLedger</v>
      </c>
      <c r="B345" t="str">
        <f ca="1">IFERROR(__xludf.DUMMYFUNCTION("""COMPUTED_VALUE"""),"SaveTransaction")</f>
        <v>SaveTransaction</v>
      </c>
      <c r="C345" t="str">
        <f ca="1">IFERROR(__xludf.DUMMYFUNCTION("""COMPUTED_VALUE"""),"undefined")</f>
        <v>undefined</v>
      </c>
    </row>
    <row r="346" spans="1:3" ht="15.75" customHeight="1">
      <c r="A346" t="str">
        <f ca="1">IFERROR(__xludf.DUMMYFUNCTION("""COMPUTED_VALUE"""),"DailyValuation")</f>
        <v>DailyValuation</v>
      </c>
      <c r="B346" t="str">
        <f ca="1">IFERROR(__xludf.DUMMYFUNCTION("""COMPUTED_VALUE"""),"UpdateMarkPriceMonthly")</f>
        <v>UpdateMarkPriceMonthly</v>
      </c>
      <c r="C346" t="str">
        <f ca="1">IFERROR(__xludf.DUMMYFUNCTION("""COMPUTED_VALUE"""),"1CAqtQbVxh4NllyrMXscZd9EiKnaMKSW-_a9zZtK2ULI")</f>
        <v>1CAqtQbVxh4NllyrMXscZd9EiKnaMKSW-_a9zZtK2ULI</v>
      </c>
    </row>
    <row r="347" spans="1:3" ht="15.75" customHeight="1">
      <c r="A347" t="str">
        <f ca="1">IFERROR(__xludf.DUMMYFUNCTION("""COMPUTED_VALUE"""),"Allocation")</f>
        <v>Allocation</v>
      </c>
      <c r="B347" t="str">
        <f ca="1">IFERROR(__xludf.DUMMYFUNCTION("""COMPUTED_VALUE"""),"CleanUp")</f>
        <v>CleanUp</v>
      </c>
      <c r="C347" t="str">
        <f ca="1">IFERROR(__xludf.DUMMYFUNCTION("""COMPUTED_VALUE"""),"141237jvZTCMRUMwfe0LXJI6_OVqTlCniHe4xfwketxs")</f>
        <v>141237jvZTCMRUMwfe0LXJI6_OVqTlCniHe4xfwketxs</v>
      </c>
    </row>
    <row r="348" spans="1:3" ht="15.75" customHeight="1">
      <c r="A348" t="str">
        <f ca="1">IFERROR(__xludf.DUMMYFUNCTION("""COMPUTED_VALUE"""),"Allocation")</f>
        <v>Allocation</v>
      </c>
      <c r="B348" t="str">
        <f ca="1">IFERROR(__xludf.DUMMYFUNCTION("""COMPUTED_VALUE"""),"CheckAllocatedTaxlots")</f>
        <v>CheckAllocatedTaxlots</v>
      </c>
      <c r="C348" t="str">
        <f ca="1">IFERROR(__xludf.DUMMYFUNCTION("""COMPUTED_VALUE"""),"1ly27YrdiNWaAup2LCqtlbPCuNU2qHnDVGbGX6s6cAJM")</f>
        <v>1ly27YrdiNWaAup2LCqtlbPCuNU2qHnDVGbGX6s6cAJM</v>
      </c>
    </row>
    <row r="349" spans="1:3" ht="15.75" customHeight="1">
      <c r="A349" t="str">
        <f ca="1">IFERROR(__xludf.DUMMYFUNCTION("""COMPUTED_VALUE"""),"Closing")</f>
        <v>Closing</v>
      </c>
      <c r="B349" t="str">
        <f ca="1">IFERROR(__xludf.DUMMYFUNCTION("""COMPUTED_VALUE"""),"EditTradeUnexpiredUnsettled")</f>
        <v>EditTradeUnexpiredUnsettled</v>
      </c>
      <c r="C349" t="str">
        <f ca="1">IFERROR(__xludf.DUMMYFUNCTION("""COMPUTED_VALUE"""),"1gjlTvz7BOfWSUwRY25-5BkROLuD55WxDrFeD31t9BlQ")</f>
        <v>1gjlTvz7BOfWSUwRY25-5BkROLuD55WxDrFeD31t9BlQ</v>
      </c>
    </row>
    <row r="350" spans="1:3" ht="15.75" customHeight="1">
      <c r="A350" t="str">
        <f ca="1">IFERROR(__xludf.DUMMYFUNCTION("""COMPUTED_VALUE"""),"ThirdParty")</f>
        <v>ThirdParty</v>
      </c>
      <c r="B350" t="str">
        <f ca="1">IFERROR(__xludf.DUMMYFUNCTION("""COMPUTED_VALUE"""),"VerifyThirdPartyView")</f>
        <v>VerifyThirdPartyView</v>
      </c>
      <c r="C350" t="str">
        <f ca="1">IFERROR(__xludf.DUMMYFUNCTION("""COMPUTED_VALUE"""),"1OPgUZqNYhV3KEPmPCahj5p6WvTvcu6yt-IilVEoYdck")</f>
        <v>1OPgUZqNYhV3KEPmPCahj5p6WvTvcu6yt-IilVEoYdck</v>
      </c>
    </row>
    <row r="351" spans="1:3" ht="15.75" customHeight="1">
      <c r="A351" t="str">
        <f ca="1">IFERROR(__xludf.DUMMYFUNCTION("""COMPUTED_VALUE"""),"Compliance")</f>
        <v>Compliance</v>
      </c>
      <c r="B351" t="str">
        <f ca="1">IFERROR(__xludf.DUMMYFUNCTION("""COMPUTED_VALUE"""),"CheckCompliance")</f>
        <v>CheckCompliance</v>
      </c>
      <c r="C351" t="str">
        <f ca="1">IFERROR(__xludf.DUMMYFUNCTION("""COMPUTED_VALUE"""),"1rHjLXpZjBLQM6QWnpXPgAllc-YEEgN3ft01yzOc3Z_k")</f>
        <v>1rHjLXpZjBLQM6QWnpXPgAllc-YEEgN3ft01yzOc3Z_k</v>
      </c>
    </row>
    <row r="352" spans="1:3" ht="15.75" customHeight="1">
      <c r="A352" t="str">
        <f ca="1">IFERROR(__xludf.DUMMYFUNCTION("""COMPUTED_VALUE"""),"Compliance")</f>
        <v>Compliance</v>
      </c>
      <c r="B352" t="str">
        <f ca="1">IFERROR(__xludf.DUMMYFUNCTION("""COMPUTED_VALUE"""),"VerifyAccountDivisorWindow")</f>
        <v>VerifyAccountDivisorWindow</v>
      </c>
      <c r="C352" t="str">
        <f ca="1">IFERROR(__xludf.DUMMYFUNCTION("""COMPUTED_VALUE"""),"1o2I6wY7Q2ZhQmtkXdRpqlxQVJ8IApk0IcIxM0anIe4E")</f>
        <v>1o2I6wY7Q2ZhQmtkXdRpqlxQVJ8IApk0IcIxM0anIe4E</v>
      </c>
    </row>
    <row r="353" spans="1:3" ht="15.75" customHeight="1">
      <c r="A353" t="str">
        <f ca="1">IFERROR(__xludf.DUMMYFUNCTION("""COMPUTED_VALUE"""),"Compliance")</f>
        <v>Compliance</v>
      </c>
      <c r="B353" t="str">
        <f ca="1">IFERROR(__xludf.DUMMYFUNCTION("""COMPUTED_VALUE"""),"VerifyAccountSymbolDivisorWindow")</f>
        <v>VerifyAccountSymbolDivisorWindow</v>
      </c>
      <c r="C353" t="str">
        <f ca="1">IFERROR(__xludf.DUMMYFUNCTION("""COMPUTED_VALUE"""),"1ADKVvtlUcDE2a_GFsrcnF3qLRtLLDQ1rEJbzQws78i8")</f>
        <v>1ADKVvtlUcDE2a_GFsrcnF3qLRtLLDQ1rEJbzQws78i8</v>
      </c>
    </row>
    <row r="354" spans="1:3" ht="15.75" customHeight="1">
      <c r="A354" t="str">
        <f ca="1">IFERROR(__xludf.DUMMYFUNCTION("""COMPUTED_VALUE"""),"Compliance")</f>
        <v>Compliance</v>
      </c>
      <c r="B354" t="str">
        <f ca="1">IFERROR(__xludf.DUMMYFUNCTION("""COMPUTED_VALUE"""),"VerifyAggregationAccountSymbolWithNav")</f>
        <v>VerifyAggregationAccountSymbolWithNav</v>
      </c>
      <c r="C354" t="str">
        <f ca="1">IFERROR(__xludf.DUMMYFUNCTION("""COMPUTED_VALUE"""),"1lnfZcSlUOa9o7gHKbVZNk25z7jkFzrWO3HCg1iRDEhg")</f>
        <v>1lnfZcSlUOa9o7gHKbVZNk25z7jkFzrWO3HCg1iRDEhg</v>
      </c>
    </row>
    <row r="355" spans="1:3" ht="15.75" customHeight="1">
      <c r="A355" t="str">
        <f ca="1">IFERROR(__xludf.DUMMYFUNCTION("""COMPUTED_VALUE"""),"Compliance")</f>
        <v>Compliance</v>
      </c>
      <c r="B355" t="str">
        <f ca="1">IFERROR(__xludf.DUMMYFUNCTION("""COMPUTED_VALUE"""),"VerifyAggregationAccountWithNav")</f>
        <v>VerifyAggregationAccountWithNav</v>
      </c>
      <c r="C355" t="str">
        <f ca="1">IFERROR(__xludf.DUMMYFUNCTION("""COMPUTED_VALUE"""),"1bVQ8hXYcI8QA4dwbvx9VW307agnDiO6msA8_55Z9Ho4")</f>
        <v>1bVQ8hXYcI8QA4dwbvx9VW307agnDiO6msA8_55Z9Ho4</v>
      </c>
    </row>
    <row r="356" spans="1:3" ht="15.75" customHeight="1">
      <c r="A356" t="str">
        <f ca="1">IFERROR(__xludf.DUMMYFUNCTION("""COMPUTED_VALUE"""),"Compliance")</f>
        <v>Compliance</v>
      </c>
      <c r="B356" t="str">
        <f ca="1">IFERROR(__xludf.DUMMYFUNCTION("""COMPUTED_VALUE"""),"VerifyAggregationMasterFundSymbolWithNav")</f>
        <v>VerifyAggregationMasterFundSymbolWithNav</v>
      </c>
      <c r="C356" t="str">
        <f ca="1">IFERROR(__xludf.DUMMYFUNCTION("""COMPUTED_VALUE"""),"149nnw4Cwl1HHouYCXdqP9R7Mx98I_xiisiVCYk7UJkk")</f>
        <v>149nnw4Cwl1HHouYCXdqP9R7Mx98I_xiisiVCYk7UJkk</v>
      </c>
    </row>
    <row r="357" spans="1:3" ht="15.75" customHeight="1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IFERROR(__xludf.DUMMYFUNCTION("""COMPUTED_VALUE"""),"VerifyAggregationMasterFundUnderlyingSymbolWithNav")</f>
        <v>VerifyAggregationMasterFundUnderlyingSymbolWithNav</v>
      </c>
      <c r="C357" t="str">
        <f ca="1">IFERROR(__xludf.DUMMYFUNCTION("""COMPUTED_VALUE"""),"14DzH-ZDYwWbCfXuBzG8v04Qb1mQp1of2O6GLQXcWMsQ")</f>
        <v>14DzH-ZDYwWbCfXuBzG8v04Qb1mQp1of2O6GLQXcWMsQ</v>
      </c>
    </row>
    <row r="358" spans="1:3" ht="15.75" customHeight="1">
      <c r="A358" t="str">
        <f ca="1">IFERROR(__xludf.DUMMYFUNCTION("""COMPUTED_VALUE"""),"Compliance")</f>
        <v>Compliance</v>
      </c>
      <c r="B358" t="str">
        <f ca="1">IFERROR(__xludf.DUMMYFUNCTION("""COMPUTED_VALUE"""),"VerifyAggregationMasterFundWithNav")</f>
        <v>VerifyAggregationMasterFundWithNav</v>
      </c>
      <c r="C358" t="str">
        <f ca="1">IFERROR(__xludf.DUMMYFUNCTION("""COMPUTED_VALUE"""),"1zsjoqOkIN3nYkIIxRHJMhmyX6J_C62DE3Oo2y7BGdVs")</f>
        <v>1zsjoqOkIN3nYkIIxRHJMhmyX6J_C62DE3Oo2y7BGdVs</v>
      </c>
    </row>
    <row r="359" spans="1:3" ht="15.75" customHeight="1">
      <c r="A359" t="str">
        <f ca="1">IFERROR(__xludf.DUMMYFUNCTION("""COMPUTED_VALUE"""),"Compliance")</f>
        <v>Compliance</v>
      </c>
      <c r="B359" t="str">
        <f ca="1">IFERROR(__xludf.DUMMYFUNCTION("""COMPUTED_VALUE"""),"VerifyAggregationSectorWithNav")</f>
        <v>VerifyAggregationSectorWithNav</v>
      </c>
      <c r="C359" t="str">
        <f ca="1">IFERROR(__xludf.DUMMYFUNCTION("""COMPUTED_VALUE"""),"1PwtsUw7M1uKb7OUFflhtzsANVeSCTOQuOmvDpORnIho")</f>
        <v>1PwtsUw7M1uKb7OUFflhtzsANVeSCTOQuOmvDpORnIho</v>
      </c>
    </row>
    <row r="360" spans="1:3" ht="15.75" customHeight="1">
      <c r="A360" t="str">
        <f ca="1">IFERROR(__xludf.DUMMYFUNCTION("""COMPUTED_VALUE"""),"Compliance")</f>
        <v>Compliance</v>
      </c>
      <c r="B360" t="str">
        <f ca="1">IFERROR(__xludf.DUMMYFUNCTION("""COMPUTED_VALUE"""),"VerifyAggregationUnderlyingSymbolWithNav")</f>
        <v>VerifyAggregationUnderlyingSymbolWithNav</v>
      </c>
      <c r="C360" t="str">
        <f ca="1">IFERROR(__xludf.DUMMYFUNCTION("""COMPUTED_VALUE"""),"176-KXks3ZB5ZHuKBMwUMw29_Cv2044sZyo8Km9DSXhY")</f>
        <v>176-KXks3ZB5ZHuKBMwUMw29_Cv2044sZyo8Km9DSXhY</v>
      </c>
    </row>
    <row r="361" spans="1:3" ht="15.75" customHeight="1">
      <c r="A361" t="str">
        <f ca="1">IFERROR(__xludf.DUMMYFUNCTION("""COMPUTED_VALUE"""),"Compliance")</f>
        <v>Compliance</v>
      </c>
      <c r="B361" t="str">
        <f ca="1">IFERROR(__xludf.DUMMYFUNCTION("""COMPUTED_VALUE"""),"VerifyAuecWindow")</f>
        <v>VerifyAuecWindow</v>
      </c>
      <c r="C361" t="str">
        <f ca="1">IFERROR(__xludf.DUMMYFUNCTION("""COMPUTED_VALUE"""),"16b_2-FgoStwuBkNr_JjCAyklRXIuqbbe3yokDxprokc")</f>
        <v>16b_2-FgoStwuBkNr_JjCAyklRXIuqbbe3yokDxprokc</v>
      </c>
    </row>
    <row r="362" spans="1:3" ht="15.75" customHeight="1">
      <c r="A362" t="str">
        <f ca="1">IFERROR(__xludf.DUMMYFUNCTION("""COMPUTED_VALUE"""),"Compliance")</f>
        <v>Compliance</v>
      </c>
      <c r="B362" t="str">
        <f ca="1">IFERROR(__xludf.DUMMYFUNCTION("""COMPUTED_VALUE"""),"VerifyBetaWindow")</f>
        <v>VerifyBetaWindow</v>
      </c>
      <c r="C362" t="str">
        <f ca="1">IFERROR(__xludf.DUMMYFUNCTION("""COMPUTED_VALUE"""),"1fbKcjC8gLwYcrNAXPL4_1obtoTCCX0MmPEKkR5s582U")</f>
        <v>1fbKcjC8gLwYcrNAXPL4_1obtoTCCX0MmPEKkR5s582U</v>
      </c>
    </row>
    <row r="363" spans="1:3" ht="15.75" customHeight="1">
      <c r="A363" t="str">
        <f ca="1">IFERROR(__xludf.DUMMYFUNCTION("""COMPUTED_VALUE"""),"Compliance")</f>
        <v>Compliance</v>
      </c>
      <c r="B363" t="str">
        <f ca="1">IFERROR(__xludf.DUMMYFUNCTION("""COMPUTED_VALUE"""),"VerifyCustomSymbolDataWindow")</f>
        <v>VerifyCustomSymbolDataWindow</v>
      </c>
      <c r="C363" t="str">
        <f ca="1">IFERROR(__xludf.DUMMYFUNCTION("""COMPUTED_VALUE"""),"1-ro_FbZAIVOSxzuukFA-JqauiFzAp2zzPW1nR5HDbNQ")</f>
        <v>1-ro_FbZAIVOSxzuukFA-JqauiFzAp2zzPW1nR5HDbNQ</v>
      </c>
    </row>
    <row r="364" spans="1:3" ht="15.75" customHeight="1">
      <c r="A364" t="str">
        <f ca="1">IFERROR(__xludf.DUMMYFUNCTION("""COMPUTED_VALUE"""),"Compliance")</f>
        <v>Compliance</v>
      </c>
      <c r="B364" t="str">
        <f ca="1">IFERROR(__xludf.DUMMYFUNCTION("""COMPUTED_VALUE"""),"VerifyDayEndCashAccountWindow")</f>
        <v>VerifyDayEndCashAccountWindow</v>
      </c>
      <c r="C364" t="str">
        <f ca="1">IFERROR(__xludf.DUMMYFUNCTION("""COMPUTED_VALUE"""),"14hibcKhSsVy9-wON6kpUuT3WpnX2wo9pBQzmPi8qLL0")</f>
        <v>14hibcKhSsVy9-wON6kpUuT3WpnX2wo9pBQzmPi8qLL0</v>
      </c>
    </row>
    <row r="365" spans="1:3" ht="15.75" customHeight="1">
      <c r="A365" t="str">
        <f ca="1">IFERROR(__xludf.DUMMYFUNCTION("""COMPUTED_VALUE"""),"Compliance")</f>
        <v>Compliance</v>
      </c>
      <c r="B365" t="str">
        <f ca="1">IFERROR(__xludf.DUMMYFUNCTION("""COMPUTED_VALUE"""),"VerifyDbNavWindow")</f>
        <v>VerifyDbNavWindow</v>
      </c>
      <c r="C365" t="str">
        <f ca="1">IFERROR(__xludf.DUMMYFUNCTION("""COMPUTED_VALUE"""),"18-WlIts2DAJ-WJbsdY1Rpj5dOSmW5uYCwetKlx26fnQ")</f>
        <v>18-WlIts2DAJ-WJbsdY1Rpj5dOSmW5uYCwetKlx26fnQ</v>
      </c>
    </row>
    <row r="366" spans="1:3" ht="15.75" customHeight="1">
      <c r="A366" t="str">
        <f ca="1">IFERROR(__xludf.DUMMYFUNCTION("""COMPUTED_VALUE"""),"Compliance")</f>
        <v>Compliance</v>
      </c>
      <c r="B366" t="str">
        <f ca="1">IFERROR(__xludf.DUMMYFUNCTION("""COMPUTED_VALUE"""),"VerifyGlobalDivisorWindow")</f>
        <v>VerifyGlobalDivisorWindow</v>
      </c>
      <c r="C366" t="str">
        <f ca="1">IFERROR(__xludf.DUMMYFUNCTION("""COMPUTED_VALUE"""),"1z5ONnrNdd3WVB7RZIGa-yHhn0U7mw19K0moh5ObmK-I")</f>
        <v>1z5ONnrNdd3WVB7RZIGa-yHhn0U7mw19K0moh5ObmK-I</v>
      </c>
    </row>
    <row r="367" spans="1:3" ht="15.75" customHeight="1">
      <c r="A367" t="str">
        <f ca="1">IFERROR(__xludf.DUMMYFUNCTION("""COMPUTED_VALUE"""),"Compliance")</f>
        <v>Compliance</v>
      </c>
      <c r="B367" t="str">
        <f ca="1">IFERROR(__xludf.DUMMYFUNCTION("""COMPUTED_VALUE"""),"VerifyPmCalculationPreferenceWindow")</f>
        <v>VerifyPmCalculationPreferenceWindow</v>
      </c>
      <c r="C367" t="str">
        <f ca="1">IFERROR(__xludf.DUMMYFUNCTION("""COMPUTED_VALUE"""),"1yse7cNfakHdRjfRrq1SQW0Yxxopg67W_juGAkOyqHPk")</f>
        <v>1yse7cNfakHdRjfRrq1SQW0Yxxopg67W_juGAkOyqHPk</v>
      </c>
    </row>
    <row r="368" spans="1:3" ht="15.75" customHeight="1">
      <c r="A368" t="str">
        <f ca="1">IFERROR(__xludf.DUMMYFUNCTION("""COMPUTED_VALUE"""),"Compliance")</f>
        <v>Compliance</v>
      </c>
      <c r="B368" t="str">
        <f ca="1">IFERROR(__xludf.DUMMYFUNCTION("""COMPUTED_VALUE"""),"VerifyRowCalculationBaseWindow")</f>
        <v>VerifyRowCalculationBaseWindow</v>
      </c>
      <c r="C368" t="str">
        <f ca="1">IFERROR(__xludf.DUMMYFUNCTION("""COMPUTED_VALUE"""),"16bZAwMHOfN8bD2TadtVor3HvDM0dtF51XYU1iRUEXpQ")</f>
        <v>16bZAwMHOfN8bD2TadtVor3HvDM0dtF51XYU1iRUEXpQ</v>
      </c>
    </row>
    <row r="369" spans="1:3" ht="15.75" customHeight="1">
      <c r="A369" t="str">
        <f ca="1">IFERROR(__xludf.DUMMYFUNCTION("""COMPUTED_VALUE"""),"Compliance")</f>
        <v>Compliance</v>
      </c>
      <c r="B369" t="str">
        <f ca="1">IFERROR(__xludf.DUMMYFUNCTION("""COMPUTED_VALUE"""),"VerifySecurityWindow")</f>
        <v>VerifySecurityWindow</v>
      </c>
      <c r="C369" t="str">
        <f ca="1">IFERROR(__xludf.DUMMYFUNCTION("""COMPUTED_VALUE"""),"1xeK-JWq8oHwAbmnGt_N4qn9Nt8F9XHo5-Mtr0t_7pRw")</f>
        <v>1xeK-JWq8oHwAbmnGt_N4qn9Nt8F9XHo5-Mtr0t_7pRw</v>
      </c>
    </row>
    <row r="370" spans="1:3" ht="15.75" customHeight="1">
      <c r="A370" t="str">
        <f ca="1">IFERROR(__xludf.DUMMYFUNCTION("""COMPUTED_VALUE"""),"Compliance")</f>
        <v>Compliance</v>
      </c>
      <c r="B370" t="str">
        <f ca="1">IFERROR(__xludf.DUMMYFUNCTION("""COMPUTED_VALUE"""),"VerifySymbolDataWindow")</f>
        <v>VerifySymbolDataWindow</v>
      </c>
      <c r="C370" t="str">
        <f ca="1">IFERROR(__xludf.DUMMYFUNCTION("""COMPUTED_VALUE"""),"13iKSNjdwzv3DKe_1fcHZJ8GUk5s-HKAGG5PE6MY-smA")</f>
        <v>13iKSNjdwzv3DKe_1fcHZJ8GUk5s-HKAGG5PE6MY-smA</v>
      </c>
    </row>
    <row r="371" spans="1:3" ht="15.75" customHeight="1">
      <c r="A371" t="str">
        <f ca="1">IFERROR(__xludf.DUMMYFUNCTION("""COMPUTED_VALUE"""),"Compliance")</f>
        <v>Compliance</v>
      </c>
      <c r="B371" t="str">
        <f ca="1">IFERROR(__xludf.DUMMYFUNCTION("""COMPUTED_VALUE"""),"VerifySymbolDivisorWindow")</f>
        <v>VerifySymbolDivisorWindow</v>
      </c>
      <c r="C371" t="str">
        <f ca="1">IFERROR(__xludf.DUMMYFUNCTION("""COMPUTED_VALUE"""),"1uyHz1cQUHCK-GcBufMehtS9i6BspKa5HVCLnf4pfGuk")</f>
        <v>1uyHz1cQUHCK-GcBufMehtS9i6BspKa5HVCLnf4pfGuk</v>
      </c>
    </row>
    <row r="372" spans="1:3" ht="15.75" customHeight="1">
      <c r="A372" t="str">
        <f ca="1">IFERROR(__xludf.DUMMYFUNCTION("""COMPUTED_VALUE"""),"Compliance")</f>
        <v>Compliance</v>
      </c>
      <c r="B372" t="str">
        <f ca="1">IFERROR(__xludf.DUMMYFUNCTION("""COMPUTED_VALUE"""),"VerifyTaxlotWindow")</f>
        <v>VerifyTaxlotWindow</v>
      </c>
      <c r="C372" t="str">
        <f ca="1">IFERROR(__xludf.DUMMYFUNCTION("""COMPUTED_VALUE"""),"1LmfcHeXwbnPa-An0b_OD4pDLm7pUlzSX41G5QZ2Uons")</f>
        <v>1LmfcHeXwbnPa-An0b_OD4pDLm7pUlzSX41G5QZ2Uons</v>
      </c>
    </row>
    <row r="373" spans="1:3" ht="15.75" customHeight="1">
      <c r="A373" t="str">
        <f ca="1">IFERROR(__xludf.DUMMYFUNCTION("""COMPUTED_VALUE"""),"Compliance")</f>
        <v>Compliance</v>
      </c>
      <c r="B373" t="str">
        <f ca="1">IFERROR(__xludf.DUMMYFUNCTION("""COMPUTED_VALUE"""),"RestartEsper")</f>
        <v>RestartEsper</v>
      </c>
      <c r="C373" t="str">
        <f ca="1">IFERROR(__xludf.DUMMYFUNCTION("""COMPUTED_VALUE"""),"undefined")</f>
        <v>undefined</v>
      </c>
    </row>
    <row r="374" spans="1:3" ht="15.75" customHeight="1">
      <c r="A374" t="str">
        <f ca="1">IFERROR(__xludf.DUMMYFUNCTION("""COMPUTED_VALUE"""),"Compliance")</f>
        <v>Compliance</v>
      </c>
      <c r="B374" t="str">
        <f ca="1">IFERROR(__xludf.DUMMYFUNCTION("""COMPUTED_VALUE"""),"VerifyAccountNavPreferenceWindow")</f>
        <v>VerifyAccountNavPreferenceWindow</v>
      </c>
      <c r="C374" t="str">
        <f ca="1">IFERROR(__xludf.DUMMYFUNCTION("""COMPUTED_VALUE"""),"1PbpS5QGNvwJE_YSvMrjHxbUPPQhcUDrQHC4N9KHYjWY")</f>
        <v>1PbpS5QGNvwJE_YSvMrjHxbUPPQhcUDrQHC4N9KHYjWY</v>
      </c>
    </row>
    <row r="375" spans="1:3" ht="15.75" customHeight="1">
      <c r="A375" t="str">
        <f ca="1">IFERROR(__xludf.DUMMYFUNCTION("""COMPUTED_VALUE"""),"Compliance")</f>
        <v>Compliance</v>
      </c>
      <c r="B375" t="str">
        <f ca="1">IFERROR(__xludf.DUMMYFUNCTION("""COMPUTED_VALUE""")," VerifyAggregationAccountUnderlyingSymbolWithNav")</f>
        <v xml:space="preserve"> VerifyAggregationAccountUnderlyingSymbolWithNav</v>
      </c>
      <c r="C375" t="str">
        <f ca="1">IFERROR(__xludf.DUMMYFUNCTION("""COMPUTED_VALUE"""),"1e43aiziZ9lVzR6j8eABeYJVnCkgU34OcPRcWujsT2Sk")</f>
        <v>1e43aiziZ9lVzR6j8eABeYJVnCkgU34OcPRcWujsT2Sk</v>
      </c>
    </row>
    <row r="376" spans="1:3" ht="15.75" customHeight="1">
      <c r="A376" t="str">
        <f ca="1">IFERROR(__xludf.DUMMYFUNCTION("""COMPUTED_VALUE"""),"Compliance")</f>
        <v>Compliance</v>
      </c>
      <c r="B376" t="str">
        <f ca="1">IFERROR(__xludf.DUMMYFUNCTION("""COMPUTED_VALUE"""),"VerifyAggregationAssetWithNav")</f>
        <v>VerifyAggregationAssetWithNav</v>
      </c>
      <c r="C376" t="str">
        <f ca="1">IFERROR(__xludf.DUMMYFUNCTION("""COMPUTED_VALUE"""),"1etvN2Ze8TA6NI_8xSaOdqLwhWnk9NXKUUDhi-_NctcY")</f>
        <v>1etvN2Ze8TA6NI_8xSaOdqLwhWnk9NXKUUDhi-_NctcY</v>
      </c>
    </row>
    <row r="377" spans="1:3" ht="15.75" customHeight="1">
      <c r="A377" t="str">
        <f ca="1">IFERROR(__xludf.DUMMYFUNCTION("""COMPUTED_VALUE"""),"Compliance")</f>
        <v>Compliance</v>
      </c>
      <c r="B377" t="str">
        <f ca="1">IFERROR(__xludf.DUMMYFUNCTION("""COMPUTED_VALUE"""),"VerifyAggregationSymbolWithNav")</f>
        <v>VerifyAggregationSymbolWithNav</v>
      </c>
      <c r="C377" t="str">
        <f ca="1">IFERROR(__xludf.DUMMYFUNCTION("""COMPUTED_VALUE"""),"13XyCHzB6LhftZ5UNht5K7e3dan_fGbii_TnOOGLwDg0")</f>
        <v>13XyCHzB6LhftZ5UNht5K7e3dan_fGbii_TnOOGLwDg0</v>
      </c>
    </row>
    <row r="378" spans="1:3" ht="15.75" customHeight="1">
      <c r="A378" t="str">
        <f ca="1">IFERROR(__xludf.DUMMYFUNCTION("""COMPUTED_VALUE"""),"Compliance")</f>
        <v>Compliance</v>
      </c>
      <c r="B378" t="str">
        <f ca="1">IFERROR(__xludf.DUMMYFUNCTION("""COMPUTED_VALUE"""),"VerifyAggregationSubSectorWithNav")</f>
        <v>VerifyAggregationSubSectorWithNav</v>
      </c>
      <c r="C378" t="str">
        <f ca="1">IFERROR(__xludf.DUMMYFUNCTION("""COMPUTED_VALUE"""),"1DBHQwTuKH0lzdeBCel_4raYQn6PkkFTYydpCHbsB4Qk")</f>
        <v>1DBHQwTuKH0lzdeBCel_4raYQn6PkkFTYydpCHbsB4Qk</v>
      </c>
    </row>
    <row r="379" spans="1:3" ht="15.75" customHeight="1">
      <c r="A379" t="str">
        <f ca="1">IFERROR(__xludf.DUMMYFUNCTION("""COMPUTED_VALUE"""),"Compliance")</f>
        <v>Compliance</v>
      </c>
      <c r="B379" t="str">
        <f ca="1">IFERROR(__xludf.DUMMYFUNCTION("""COMPUTED_VALUE"""),"VerifyAggregationGlobalWithNav")</f>
        <v>VerifyAggregationGlobalWithNav</v>
      </c>
      <c r="C379" t="str">
        <f ca="1">IFERROR(__xludf.DUMMYFUNCTION("""COMPUTED_VALUE"""),"1XVSAkmIoWI-AC0BHXwWO3TqCkz2uOlJFE5eM6W0_Cew")</f>
        <v>1XVSAkmIoWI-AC0BHXwWO3TqCkz2uOlJFE5eM6W0_Cew</v>
      </c>
    </row>
    <row r="380" spans="1:3" ht="15.75" customHeight="1">
      <c r="A380" t="str">
        <f ca="1">IFERROR(__xludf.DUMMYFUNCTION("""COMPUTED_VALUE"""),"Compliance")</f>
        <v>Compliance</v>
      </c>
      <c r="B380" t="str">
        <f ca="1">IFERROR(__xludf.DUMMYFUNCTION("""COMPUTED_VALUE""")," VerifyAggregationGlobalWithNav")</f>
        <v xml:space="preserve"> VerifyAggregationGlobalWithNav</v>
      </c>
      <c r="C380" t="str">
        <f ca="1">IFERROR(__xludf.DUMMYFUNCTION("""COMPUTED_VALUE"""),"1XVSAkmIoWI-AC0BHXwWO3TqCkz2uOlJFE5eM6W0_Cew")</f>
        <v>1XVSAkmIoWI-AC0BHXwWO3TqCkz2uOlJFE5eM6W0_Cew</v>
      </c>
    </row>
    <row r="381" spans="1:3" ht="15.75" customHeight="1">
      <c r="A381" t="str">
        <f ca="1">IFERROR(__xludf.DUMMYFUNCTION("""COMPUTED_VALUE"""),"Compliance")</f>
        <v>Compliance</v>
      </c>
      <c r="B381" t="str">
        <f ca="1">IFERROR(__xludf.DUMMYFUNCTION("""COMPUTED_VALUE"""),"VerifyGlobalDivisorWindow")</f>
        <v>VerifyGlobalDivisorWindow</v>
      </c>
      <c r="C381" t="str">
        <f ca="1">IFERROR(__xludf.DUMMYFUNCTION("""COMPUTED_VALUE"""),"1z5ONnrNdd3WVB7RZIGa-yHhn0U7mw19K0moh5ObmK-I")</f>
        <v>1z5ONnrNdd3WVB7RZIGa-yHhn0U7mw19K0moh5ObmK-I</v>
      </c>
    </row>
    <row r="382" spans="1:3" ht="15.75" customHeight="1">
      <c r="A382" t="str">
        <f ca="1">IFERROR(__xludf.DUMMYFUNCTION("""COMPUTED_VALUE"""),"Compliance")</f>
        <v>Compliance</v>
      </c>
      <c r="B382" t="str">
        <f ca="1">IFERROR(__xludf.DUMMYFUNCTION("""COMPUTED_VALUE""")," VerifyAccrualForAccountWindow")</f>
        <v xml:space="preserve"> VerifyAccrualForAccountWindow</v>
      </c>
      <c r="C382" t="str">
        <f ca="1">IFERROR(__xludf.DUMMYFUNCTION("""COMPUTED_VALUE"""),"1zKkT3mW6MMJ2tPzzT2fHVQT6vyc0mePzllndBlUl5IM")</f>
        <v>1zKkT3mW6MMJ2tPzzT2fHVQT6vyc0mePzllndBlUl5IM</v>
      </c>
    </row>
    <row r="383" spans="1:3" ht="15.75" customHeight="1">
      <c r="A383" t="str">
        <f ca="1">IFERROR(__xludf.DUMMYFUNCTION("""COMPUTED_VALUE"""),"Compliance")</f>
        <v>Compliance</v>
      </c>
      <c r="B383" t="str">
        <f ca="1">IFERROR(__xludf.DUMMYFUNCTION("""COMPUTED_VALUE"""),"VerifyGlobalDivisorWindow")</f>
        <v>VerifyGlobalDivisorWindow</v>
      </c>
      <c r="C383" t="str">
        <f ca="1">IFERROR(__xludf.DUMMYFUNCTION("""COMPUTED_VALUE"""),"1z5ONnrNdd3WVB7RZIGa-yHhn0U7mw19K0moh5ObmK-I")</f>
        <v>1z5ONnrNdd3WVB7RZIGa-yHhn0U7mw19K0moh5ObmK-I</v>
      </c>
    </row>
    <row r="384" spans="1:3" ht="15.75" customHeight="1">
      <c r="A384" t="str">
        <f ca="1">IFERROR(__xludf.DUMMYFUNCTION("""COMPUTED_VALUE"""),"Compliance")</f>
        <v>Compliance</v>
      </c>
      <c r="B384" t="str">
        <f ca="1">IFERROR(__xludf.DUMMYFUNCTION("""COMPUTED_VALUE"""),"VerifyMasterFundDivisorWindow")</f>
        <v>VerifyMasterFundDivisorWindow</v>
      </c>
      <c r="C384" t="str">
        <f ca="1">IFERROR(__xludf.DUMMYFUNCTION("""COMPUTED_VALUE"""),"13rWeedH_MlhhxYACJeLeckVtBWejh246MGPN4QQpmMM")</f>
        <v>13rWeedH_MlhhxYACJeLeckVtBWejh246MGPN4QQpmMM</v>
      </c>
    </row>
    <row r="385" spans="1:3" ht="15.75" customHeight="1">
      <c r="A385" t="str">
        <f ca="1">IFERROR(__xludf.DUMMYFUNCTION("""COMPUTED_VALUE"""),"Compliance")</f>
        <v>Compliance</v>
      </c>
      <c r="B385" t="str">
        <f ca="1">IFERROR(__xludf.DUMMYFUNCTION("""COMPUTED_VALUE"""),"VerifyMasterFundSymbolDivisorWindow")</f>
        <v>VerifyMasterFundSymbolDivisorWindow</v>
      </c>
      <c r="C385" t="str">
        <f ca="1">IFERROR(__xludf.DUMMYFUNCTION("""COMPUTED_VALUE"""),"1YPctyrs3yMgf0X1_jVz3LRORCo4B4cNqbyc_K0FujO0")</f>
        <v>1YPctyrs3yMgf0X1_jVz3LRORCo4B4cNqbyc_K0FujO0</v>
      </c>
    </row>
    <row r="386" spans="1:3" ht="15.75" customHeight="1">
      <c r="A386" t="str">
        <f ca="1">IFERROR(__xludf.DUMMYFUNCTION("""COMPUTED_VALUE"""),"Rebalancer")</f>
        <v>Rebalancer</v>
      </c>
      <c r="B386" t="str">
        <f ca="1">IFERROR(__xludf.DUMMYFUNCTION("""COMPUTED_VALUE"""),"FetchAccountPositions")</f>
        <v>FetchAccountPositions</v>
      </c>
      <c r="C386" t="str">
        <f ca="1">IFERROR(__xludf.DUMMYFUNCTION("""COMPUTED_VALUE"""),"1BeNn_44h4ClIE46em_ho4qgzGnXy_GxtYTH3cBmtKPk")</f>
        <v>1BeNn_44h4ClIE46em_ho4qgzGnXy_GxtYTH3cBmtKPk</v>
      </c>
    </row>
    <row r="387" spans="1:3" ht="15.75" customHeight="1">
      <c r="A387" t="str">
        <f ca="1">IFERROR(__xludf.DUMMYFUNCTION("""COMPUTED_VALUE"""),"Rebalancer")</f>
        <v>Rebalancer</v>
      </c>
      <c r="B387" t="str">
        <f ca="1">IFERROR(__xludf.DUMMYFUNCTION("""COMPUTED_VALUE"""),"AddCash")</f>
        <v>AddCash</v>
      </c>
      <c r="C387" t="str">
        <f ca="1">IFERROR(__xludf.DUMMYFUNCTION("""COMPUTED_VALUE"""),"1jkLpZFgLuRokIigwbjW9_Z47rlvj-YDlRcP_c4XkP_k")</f>
        <v>1jkLpZFgLuRokIigwbjW9_Z47rlvj-YDlRcP_c4XkP_k</v>
      </c>
    </row>
    <row r="388" spans="1:3" ht="15.75" customHeight="1">
      <c r="A388" t="str">
        <f ca="1">IFERROR(__xludf.DUMMYFUNCTION("""COMPUTED_VALUE"""),"Rebalancer")</f>
        <v>Rebalancer</v>
      </c>
      <c r="B388" t="str">
        <f ca="1">IFERROR(__xludf.DUMMYFUNCTION("""COMPUTED_VALUE"""),"VerifyGridData")</f>
        <v>VerifyGridData</v>
      </c>
      <c r="C388" t="str">
        <f ca="1">IFERROR(__xludf.DUMMYFUNCTION("""COMPUTED_VALUE"""),"1mspGsgTjI-yT8NsZKZn8moOE-Vp0hoNdUziI1pFBq0I")</f>
        <v>1mspGsgTjI-yT8NsZKZn8moOE-Vp0hoNdUziI1pFBq0I</v>
      </c>
    </row>
    <row r="389" spans="1:3" ht="15.75" customHeight="1">
      <c r="A389" t="str">
        <f ca="1">IFERROR(__xludf.DUMMYFUNCTION("""COMPUTED_VALUE"""),"Rebalancer")</f>
        <v>Rebalancer</v>
      </c>
      <c r="B389" t="str">
        <f ca="1">IFERROR(__xludf.DUMMYFUNCTION("""COMPUTED_VALUE"""),"RunRebalance")</f>
        <v>RunRebalance</v>
      </c>
      <c r="C389" t="str">
        <f ca="1">IFERROR(__xludf.DUMMYFUNCTION("""COMPUTED_VALUE"""),"1B2L3J6YUrDWz8rRtdvv0lYDQvnH8nYkmqQm12ZwK7jc")</f>
        <v>1B2L3J6YUrDWz8rRtdvv0lYDQvnH8nYkmqQm12ZwK7jc</v>
      </c>
    </row>
    <row r="390" spans="1:3" ht="15.75" customHeight="1">
      <c r="A390" t="str">
        <f ca="1">IFERROR(__xludf.DUMMYFUNCTION("""COMPUTED_VALUE"""),"Simulator")</f>
        <v>Simulator</v>
      </c>
      <c r="B390" t="str">
        <f ca="1">IFERROR(__xludf.DUMMYFUNCTION("""COMPUTED_VALUE"""),"SelectTrade")</f>
        <v>SelectTrade</v>
      </c>
      <c r="C390" t="str">
        <f ca="1">IFERROR(__xludf.DUMMYFUNCTION("""COMPUTED_VALUE"""),"1FTTZIzpIKJz6P-IPbrA5EPTxiMe2ARbyGfgsnMXlct4")</f>
        <v>1FTTZIzpIKJz6P-IPbrA5EPTxiMe2ARbyGfgsnMXlct4</v>
      </c>
    </row>
    <row r="391" spans="1:3" ht="15.75" customHeight="1">
      <c r="A391" t="str">
        <f ca="1">IFERROR(__xludf.DUMMYFUNCTION("""COMPUTED_VALUE"""),"Simulator")</f>
        <v>Simulator</v>
      </c>
      <c r="B391" t="str">
        <f ca="1">IFERROR(__xludf.DUMMYFUNCTION("""COMPUTED_VALUE"""),"AcknowledgeTrade")</f>
        <v>AcknowledgeTrade</v>
      </c>
      <c r="C391" t="str">
        <f ca="1">IFERROR(__xludf.DUMMYFUNCTION("""COMPUTED_VALUE"""),"1sQAsvIkAT3oSRlv0P4ERgM6O-p9EGHnCNRCfZZ6EKPM")</f>
        <v>1sQAsvIkAT3oSRlv0P4ERgM6O-p9EGHnCNRCfZZ6EKPM</v>
      </c>
    </row>
    <row r="392" spans="1:3" ht="15.75" customHeight="1">
      <c r="A392" t="str">
        <f ca="1">IFERROR(__xludf.DUMMYFUNCTION("""COMPUTED_VALUE"""),"Simulator")</f>
        <v>Simulator</v>
      </c>
      <c r="B392" t="str">
        <f ca="1">IFERROR(__xludf.DUMMYFUNCTION("""COMPUTED_VALUE"""),"RejectTrade")</f>
        <v>RejectTrade</v>
      </c>
      <c r="C392" t="str">
        <f ca="1">IFERROR(__xludf.DUMMYFUNCTION("""COMPUTED_VALUE"""),"18DR7gQzurIoB_fivnSt8QoqUWcLVRpZQSDr37UqoXKU")</f>
        <v>18DR7gQzurIoB_fivnSt8QoqUWcLVRpZQSDr37UqoXKU</v>
      </c>
    </row>
    <row r="393" spans="1:3" ht="15.75" customHeight="1">
      <c r="A393" t="str">
        <f ca="1">IFERROR(__xludf.DUMMYFUNCTION("""COMPUTED_VALUE"""),"Simulator")</f>
        <v>Simulator</v>
      </c>
      <c r="B393" t="str">
        <f ca="1">IFERROR(__xludf.DUMMYFUNCTION("""COMPUTED_VALUE"""),"ExecuteTrade")</f>
        <v>ExecuteTrade</v>
      </c>
      <c r="C393" t="str">
        <f ca="1">IFERROR(__xludf.DUMMYFUNCTION("""COMPUTED_VALUE"""),"1pp_DAI1bHvMNnrEvw8O7TeJWebgUjt3FSsdgjVWeJkE")</f>
        <v>1pp_DAI1bHvMNnrEvw8O7TeJWebgUjt3FSsdgjVWeJkE</v>
      </c>
    </row>
    <row r="394" spans="1:3" ht="15.75" customHeight="1">
      <c r="A394" t="str">
        <f ca="1">IFERROR(__xludf.DUMMYFUNCTION("""COMPUTED_VALUE"""),"Simulator")</f>
        <v>Simulator</v>
      </c>
      <c r="B394" t="str">
        <f ca="1">IFERROR(__xludf.DUMMYFUNCTION("""COMPUTED_VALUE"""),"CancelTrade")</f>
        <v>CancelTrade</v>
      </c>
      <c r="C394" t="str">
        <f ca="1">IFERROR(__xludf.DUMMYFUNCTION("""COMPUTED_VALUE"""),"1hX7-3j5InwEYhwGhZXePVHcW-9vxINkOET671xdWGsc")</f>
        <v>1hX7-3j5InwEYhwGhZXePVHcW-9vxINkOET671xdWGsc</v>
      </c>
    </row>
    <row r="395" spans="1:3" ht="15.75" customHeight="1">
      <c r="A395" t="str">
        <f ca="1">IFERROR(__xludf.DUMMYFUNCTION("""COMPUTED_VALUE"""),"Simulator")</f>
        <v>Simulator</v>
      </c>
      <c r="B395" t="str">
        <f ca="1">IFERROR(__xludf.DUMMYFUNCTION("""COMPUTED_VALUE"""),"OpenLiveTT")</f>
        <v>OpenLiveTT</v>
      </c>
      <c r="C395" t="str">
        <f ca="1">IFERROR(__xludf.DUMMYFUNCTION("""COMPUTED_VALUE"""),"1q3BIdA-Gau2cX2cBnlgy7eas26rbuZEdQMfROhYvOgI")</f>
        <v>1q3BIdA-Gau2cX2cBnlgy7eas26rbuZEdQMfROhYvOgI</v>
      </c>
    </row>
    <row r="396" spans="1:3" ht="15.75" customHeight="1">
      <c r="A396" t="str">
        <f ca="1">IFERROR(__xludf.DUMMYFUNCTION("""COMPUTED_VALUE"""),"TradingTicket")</f>
        <v>TradingTicket</v>
      </c>
      <c r="B396" t="str">
        <f ca="1">IFERROR(__xludf.DUMMYFUNCTION("""COMPUTED_VALUE"""),"CreateLiveOrder")</f>
        <v>CreateLiveOrder</v>
      </c>
      <c r="C396" t="str">
        <f ca="1">IFERROR(__xludf.DUMMYFUNCTION("""COMPUTED_VALUE"""),"115Bw2-ohdF1ilHcVpmgJ2DX9SJjX1zI-6SvF3CpCjm8")</f>
        <v>115Bw2-ohdF1ilHcVpmgJ2DX9SJjX1zI-6SvF3CpCjm8</v>
      </c>
    </row>
    <row r="397" spans="1:3" ht="15.75" customHeight="1">
      <c r="A397" t="str">
        <f ca="1">IFERROR(__xludf.DUMMYFUNCTION("""COMPUTED_VALUE"""),"Simulator")</f>
        <v>Simulator</v>
      </c>
      <c r="B397" t="str">
        <f ca="1">IFERROR(__xludf.DUMMYFUNCTION("""COMPUTED_VALUE"""),"SetManualResponse ")</f>
        <v xml:space="preserve">SetManualResponse </v>
      </c>
      <c r="C397" t="str">
        <f ca="1">IFERROR(__xludf.DUMMYFUNCTION("""COMPUTED_VALUE"""),"10qeNhV85AQPMToOqHZlhzdXyNnDNjiueFxVwGUI_MO4")</f>
        <v>10qeNhV85AQPMToOqHZlhzdXyNnDNjiueFxVwGUI_MO4</v>
      </c>
    </row>
    <row r="398" spans="1:3" ht="15.75" customHeight="1">
      <c r="A398" t="str">
        <f ca="1">IFERROR(__xludf.DUMMYFUNCTION("""COMPUTED_VALUE"""),"Simulator")</f>
        <v>Simulator</v>
      </c>
      <c r="B398" t="str">
        <f ca="1">IFERROR(__xludf.DUMMYFUNCTION("""COMPUTED_VALUE"""),"ClearUI")</f>
        <v>ClearUI</v>
      </c>
      <c r="C398" t="str">
        <f ca="1">IFERROR(__xludf.DUMMYFUNCTION("""COMPUTED_VALUE"""),"1LO0lVmw42vb8rN4FBdD2nZspNUXqgQCerd4ip5U8His")</f>
        <v>1LO0lVmw42vb8rN4FBdD2nZspNUXqgQCerd4ip5U8His</v>
      </c>
    </row>
    <row r="399" spans="1:3" ht="15.75" customHeight="1">
      <c r="A399" t="str">
        <f ca="1">IFERROR(__xludf.DUMMYFUNCTION("""COMPUTED_VALUE"""),"Rebalancer")</f>
        <v>Rebalancer</v>
      </c>
      <c r="B399" t="str">
        <f ca="1">IFERROR(__xludf.DUMMYFUNCTION("""COMPUTED_VALUE"""),"RebalanceAcrossSecurities")</f>
        <v>RebalanceAcrossSecurities</v>
      </c>
      <c r="C399" t="str">
        <f ca="1">IFERROR(__xludf.DUMMYFUNCTION("""COMPUTED_VALUE"""),"1C-pSRr2mYlstlgFOXGSaoMyr-7ZKnUyCiCZMgNR75C0")</f>
        <v>1C-pSRr2mYlstlgFOXGSaoMyr-7ZKnUyCiCZMgNR75C0</v>
      </c>
    </row>
    <row r="400" spans="1:3" ht="15.75" customHeight="1">
      <c r="A400" t="str">
        <f ca="1">IFERROR(__xludf.DUMMYFUNCTION("""COMPUTED_VALUE"""),"Rebalancer")</f>
        <v>Rebalancer</v>
      </c>
      <c r="B400" t="str">
        <f ca="1">IFERROR(__xludf.DUMMYFUNCTION("""COMPUTED_VALUE"""),"ClearCalculations")</f>
        <v>ClearCalculations</v>
      </c>
      <c r="C400" t="str">
        <f ca="1">IFERROR(__xludf.DUMMYFUNCTION("""COMPUTED_VALUE"""),"1pQy7yDMWL8pTAYmkyQd-37O6NjL8-HJsxUSDe_0vr3Y")</f>
        <v>1pQy7yDMWL8pTAYmkyQd-37O6NjL8-HJsxUSDe_0vr3Y</v>
      </c>
    </row>
    <row r="401" spans="1:3" ht="15.75" customHeight="1">
      <c r="A401" t="str">
        <f ca="1">IFERROR(__xludf.DUMMYFUNCTION("""COMPUTED_VALUE"""),"Rebalancer")</f>
        <v>Rebalancer</v>
      </c>
      <c r="B401" t="str">
        <f ca="1">IFERROR(__xludf.DUMMYFUNCTION("""COMPUTED_VALUE"""),"ModifyRebalance")</f>
        <v>ModifyRebalance</v>
      </c>
      <c r="C401" t="str">
        <f ca="1">IFERROR(__xludf.DUMMYFUNCTION("""COMPUTED_VALUE"""),"1PL-GKbx6oOTs--yRdzkUeclt9Wvb6f5jt4XN1oEGIZk")</f>
        <v>1PL-GKbx6oOTs--yRdzkUeclt9Wvb6f5jt4XN1oEGIZk</v>
      </c>
    </row>
    <row r="402" spans="1:3" ht="15.75" customHeight="1">
      <c r="A402" t="str">
        <f ca="1">IFERROR(__xludf.DUMMYFUNCTION("""COMPUTED_VALUE"""),"ThirdParty")</f>
        <v>ThirdParty</v>
      </c>
      <c r="B402" t="str">
        <f ca="1">IFERROR(__xludf.DUMMYFUNCTION("""COMPUTED_VALUE"""),"SelectThirdParty")</f>
        <v>SelectThirdParty</v>
      </c>
      <c r="C402" t="str">
        <f ca="1">IFERROR(__xludf.DUMMYFUNCTION("""COMPUTED_VALUE"""),"1liR_hGZCDbVQXoq6lXJaHhVX-C6zpm2FZKNUaUnD7k8")</f>
        <v>1liR_hGZCDbVQXoq6lXJaHhVX-C6zpm2FZKNUaUnD7k8</v>
      </c>
    </row>
    <row r="403" spans="1:3" ht="15.75" customHeight="1">
      <c r="A403" t="str">
        <f ca="1">IFERROR(__xludf.DUMMYFUNCTION("""COMPUTED_VALUE"""),"ThirdParty")</f>
        <v>ThirdParty</v>
      </c>
      <c r="B403" t="str">
        <f ca="1">IFERROR(__xludf.DUMMYFUNCTION("""COMPUTED_VALUE"""),"ViewThirdParty")</f>
        <v>ViewThirdParty</v>
      </c>
      <c r="C403" t="str">
        <f ca="1">IFERROR(__xludf.DUMMYFUNCTION("""COMPUTED_VALUE"""),"1L-T9YKEKNm_ncTLX6p563fxmzW1DvdfOn3fW5ZhQiKs")</f>
        <v>1L-T9YKEKNm_ncTLX6p563fxmzW1DvdfOn3fW5ZhQiKs</v>
      </c>
    </row>
    <row r="404" spans="1:3" ht="15.75" customHeight="1">
      <c r="A404" t="str">
        <f ca="1">IFERROR(__xludf.DUMMYFUNCTION("""COMPUTED_VALUE"""),"ThirdParty")</f>
        <v>ThirdParty</v>
      </c>
      <c r="B404" t="str">
        <f ca="1">IFERROR(__xludf.DUMMYFUNCTION("""COMPUTED_VALUE"""),"ThirdPartyGenerate")</f>
        <v>ThirdPartyGenerate</v>
      </c>
      <c r="C404" t="str">
        <f ca="1">IFERROR(__xludf.DUMMYFUNCTION("""COMPUTED_VALUE"""),"1hWXI97uokXrkZMWLiuOrUPZMYEmIb2-QuYGHPvEooqk")</f>
        <v>1hWXI97uokXrkZMWLiuOrUPZMYEmIb2-QuYGHPvEooqk</v>
      </c>
    </row>
    <row r="405" spans="1:3" ht="15.75" customHeight="1">
      <c r="A405" t="str">
        <f ca="1">IFERROR(__xludf.DUMMYFUNCTION("""COMPUTED_VALUE"""),"ThirdParty")</f>
        <v>ThirdParty</v>
      </c>
      <c r="B405" t="str">
        <f ca="1">IFERROR(__xludf.DUMMYFUNCTION("""COMPUTED_VALUE"""),"VerifyThirdPartyView")</f>
        <v>VerifyThirdPartyView</v>
      </c>
      <c r="C405" t="str">
        <f ca="1">IFERROR(__xludf.DUMMYFUNCTION("""COMPUTED_VALUE"""),"1OPgUZqNYhV3KEPmPCahj5p6WvTvcu6yt-IilVEoYdck")</f>
        <v>1OPgUZqNYhV3KEPmPCahj5p6WvTvcu6yt-IilVEoYdck</v>
      </c>
    </row>
    <row r="406" spans="1:3" ht="15.75" customHeight="1">
      <c r="A406" t="str">
        <f ca="1">IFERROR(__xludf.DUMMYFUNCTION("""COMPUTED_VALUE"""),"ThirdParty")</f>
        <v>ThirdParty</v>
      </c>
      <c r="B406" t="str">
        <f ca="1">IFERROR(__xludf.DUMMYFUNCTION("""COMPUTED_VALUE"""),"VerifyThirdPartyGenerate")</f>
        <v>VerifyThirdPartyGenerate</v>
      </c>
      <c r="C406" t="str">
        <f ca="1">IFERROR(__xludf.DUMMYFUNCTION("""COMPUTED_VALUE"""),"1TX-aVCyjewgmTHgLEH493prpSt_ChoMDatfBG5cVehM")</f>
        <v>1TX-aVCyjewgmTHgLEH493prpSt_ChoMDatfBG5cVehM</v>
      </c>
    </row>
    <row r="407" spans="1:3" ht="15.75" customHeight="1">
      <c r="A407" t="str">
        <f ca="1">IFERROR(__xludf.DUMMYFUNCTION("""COMPUTED_VALUE"""),"ThirdParty")</f>
        <v>ThirdParty</v>
      </c>
      <c r="B407" t="str">
        <f ca="1">IFERROR(__xludf.DUMMYFUNCTION("""COMPUTED_VALUE"""),"VerifyThirdPartySend")</f>
        <v>VerifyThirdPartySend</v>
      </c>
      <c r="C407" t="str">
        <f ca="1">IFERROR(__xludf.DUMMYFUNCTION("""COMPUTED_VALUE"""),"1TFrpzJZv_IpTrlD7aBcoe8mWXKXiq4OeBVw49pOpJY8")</f>
        <v>1TFrpzJZv_IpTrlD7aBcoe8mWXKXiq4OeBVw49pOpJY8</v>
      </c>
    </row>
    <row r="408" spans="1:3" ht="15.75" customHeight="1">
      <c r="A408" t="str">
        <f ca="1">IFERROR(__xludf.DUMMYFUNCTION("""COMPUTED_VALUE"""),"ThirdParty")</f>
        <v>ThirdParty</v>
      </c>
      <c r="B408" t="str">
        <f ca="1">IFERROR(__xludf.DUMMYFUNCTION("""COMPUTED_VALUE"""),"ThirdPartySend")</f>
        <v>ThirdPartySend</v>
      </c>
      <c r="C408" t="str">
        <f ca="1">IFERROR(__xludf.DUMMYFUNCTION("""COMPUTED_VALUE"""),"1ELxt02tfMApvtpApk-Uz6JQVqK95xGCxH6tEwuv_yMQ")</f>
        <v>1ELxt02tfMApvtpApk-Uz6JQVqK95xGCxH6tEwuv_yMQ</v>
      </c>
    </row>
    <row r="409" spans="1:3" ht="15.75" customHeight="1">
      <c r="A409" t="str">
        <f ca="1">IFERROR(__xludf.DUMMYFUNCTION("""COMPUTED_VALUE"""),"Blotter")</f>
        <v>Blotter</v>
      </c>
      <c r="B409" t="str">
        <f ca="1">IFERROR(__xludf.DUMMYFUNCTION("""COMPUTED_VALUE"""),"VerifyViewAllocationDetails")</f>
        <v>VerifyViewAllocationDetails</v>
      </c>
      <c r="C409" t="str">
        <f ca="1">IFERROR(__xludf.DUMMYFUNCTION("""COMPUTED_VALUE"""),"1onX95lO5NTDqGvP-5pv_fQlL0p1SAPerH3jm5s9xIbE")</f>
        <v>1onX95lO5NTDqGvP-5pv_fQlL0p1SAPerH3jm5s9xIbE</v>
      </c>
    </row>
    <row r="410" spans="1:3" ht="15.75" customHeight="1">
      <c r="A410" t="str">
        <f ca="1">IFERROR(__xludf.DUMMYFUNCTION("""COMPUTED_VALUE"""),"PTT")</f>
        <v>PTT</v>
      </c>
      <c r="B410" t="str">
        <f ca="1">IFERROR(__xludf.DUMMYFUNCTION("""COMPUTED_VALUE"""),"SelectPTTRecord")</f>
        <v>SelectPTTRecord</v>
      </c>
      <c r="C410" t="str">
        <f ca="1">IFERROR(__xludf.DUMMYFUNCTION("""COMPUTED_VALUE"""),"1MzR4w0s74eMMAMcl-KSxjpoZfHiuOypwn42ACvmTkKM")</f>
        <v>1MzR4w0s74eMMAMcl-KSxjpoZfHiuOypwn42ACvmTkKM</v>
      </c>
    </row>
    <row r="411" spans="1:3" ht="15.75" customHeight="1">
      <c r="A411" t="str">
        <f ca="1">IFERROR(__xludf.DUMMYFUNCTION("""COMPUTED_VALUE"""),"PTT")</f>
        <v>PTT</v>
      </c>
      <c r="B411" t="str">
        <f ca="1">IFERROR(__xludf.DUMMYFUNCTION("""COMPUTED_VALUE"""),"EditPTTRecord")</f>
        <v>EditPTTRecord</v>
      </c>
      <c r="C411" t="str">
        <f ca="1">IFERROR(__xludf.DUMMYFUNCTION("""COMPUTED_VALUE"""),"13Ecyy3eTKlOlM2mlZRP_nxQjfP02VfkmPAAS8AQWMQk")</f>
        <v>13Ecyy3eTKlOlM2mlZRP_nxQjfP02VfkmPAAS8AQWMQk</v>
      </c>
    </row>
    <row r="412" spans="1:3" ht="15.75" customHeight="1">
      <c r="A412" t="str">
        <f ca="1">IFERROR(__xludf.DUMMYFUNCTION("""COMPUTED_VALUE"""),"Blotter")</f>
        <v>Blotter</v>
      </c>
      <c r="B412" t="str">
        <f ca="1">IFERROR(__xludf.DUMMYFUNCTION("""COMPUTED_VALUE"""),"GoToAllocation")</f>
        <v>GoToAllocation</v>
      </c>
      <c r="C412" t="str">
        <f ca="1">IFERROR(__xludf.DUMMYFUNCTION("""COMPUTED_VALUE"""),"1O10TSVXx7-qL87FJas1gFd9p3JugF_Bn4u9W7TpD46U")</f>
        <v>1O10TSVXx7-qL87FJas1gFd9p3JugF_Bn4u9W7TpD46U</v>
      </c>
    </row>
    <row r="413" spans="1:3" ht="15.75" customHeight="1">
      <c r="A413" t="str">
        <f ca="1">IFERROR(__xludf.DUMMYFUNCTION("""COMPUTED_VALUE"""),"Simulator")</f>
        <v>Simulator</v>
      </c>
      <c r="B413" t="str">
        <f ca="1">IFERROR(__xludf.DUMMYFUNCTION("""COMPUTED_VALUE"""),"CloseSimulator")</f>
        <v>CloseSimulator</v>
      </c>
      <c r="C413" t="str">
        <f ca="1">IFERROR(__xludf.DUMMYFUNCTION("""COMPUTED_VALUE"""),"undefined")</f>
        <v>undefined</v>
      </c>
    </row>
    <row r="414" spans="1:3" ht="15.75" customHeight="1">
      <c r="A414" t="str">
        <f ca="1">IFERROR(__xludf.DUMMYFUNCTION("""COMPUTED_VALUE"""),"GeneralLedger")</f>
        <v>GeneralLedger</v>
      </c>
      <c r="B414" t="str">
        <f ca="1">IFERROR(__xludf.DUMMYFUNCTION("""COMPUTED_VALUE"""),"VerifyCashTransaction")</f>
        <v>VerifyCashTransaction</v>
      </c>
      <c r="C414" t="str">
        <f ca="1">IFERROR(__xludf.DUMMYFUNCTION("""COMPUTED_VALUE"""),"1txiXYRv6RuxBB6CkKPa64Foilc8XIy5M-1KPAOBp9Z0")</f>
        <v>1txiXYRv6RuxBB6CkKPa64Foilc8XIy5M-1KPAOBp9Z0</v>
      </c>
    </row>
    <row r="415" spans="1:3" ht="15.75" customHeight="1">
      <c r="A415" t="str">
        <f ca="1">IFERROR(__xludf.DUMMYFUNCTION("""COMPUTED_VALUE"""),"Rebalancer")</f>
        <v>Rebalancer</v>
      </c>
      <c r="B415" t="str">
        <f ca="1">IFERROR(__xludf.DUMMYFUNCTION("""COMPUTED_VALUE"""),"ModelPortfolio")</f>
        <v>ModelPortfolio</v>
      </c>
      <c r="C415" t="str">
        <f ca="1">IFERROR(__xludf.DUMMYFUNCTION("""COMPUTED_VALUE"""),"1w51NpunZkBS_x4rZvkQXu2o8AUhD_GQPCtuFN-r1AFw")</f>
        <v>1w51NpunZkBS_x4rZvkQXu2o8AUhD_GQPCtuFN-r1AFw</v>
      </c>
    </row>
    <row r="416" spans="1:3" ht="15.75" customHeight="1">
      <c r="A416" t="str">
        <f ca="1">IFERROR(__xludf.DUMMYFUNCTION("""COMPUTED_VALUE"""),"DailyValuation")</f>
        <v>DailyValuation</v>
      </c>
      <c r="B416" t="str">
        <f ca="1">IFERROR(__xludf.DUMMYFUNCTION("""COMPUTED_VALUE"""),"VerifyDailyCash")</f>
        <v>VerifyDailyCash</v>
      </c>
      <c r="C416" t="str">
        <f ca="1">IFERROR(__xludf.DUMMYFUNCTION("""COMPUTED_VALUE"""),"1wXn8vaJbEg8VcRqhsw0cR1-Odkjr1m2zE8tXCmLX54g")</f>
        <v>1wXn8vaJbEg8VcRqhsw0cR1-Odkjr1m2zE8tXCmLX54g</v>
      </c>
    </row>
    <row r="417" spans="1:3" ht="15.75" customHeight="1">
      <c r="A417" t="str">
        <f ca="1">IFERROR(__xludf.DUMMYFUNCTION("""COMPUTED_VALUE"""),"Admin")</f>
        <v>Admin</v>
      </c>
      <c r="B417" t="str">
        <f ca="1">IFERROR(__xludf.DUMMYFUNCTION("""COMPUTED_VALUE"""),"SetCheckSide")</f>
        <v>SetCheckSide</v>
      </c>
      <c r="C417" t="str">
        <f ca="1">IFERROR(__xludf.DUMMYFUNCTION("""COMPUTED_VALUE"""),"1yyQmTWt6_vzUYvOiD3DjjThIuA-7rtaxLv1CWXWSP1c")</f>
        <v>1yyQmTWt6_vzUYvOiD3DjjThIuA-7rtaxLv1CWXWSP1c</v>
      </c>
    </row>
    <row r="418" spans="1:3" ht="15.75" customHeight="1">
      <c r="A418" t="str">
        <f ca="1">IFERROR(__xludf.DUMMYFUNCTION("""COMPUTED_VALUE"""),"CorporateAction")</f>
        <v>CorporateAction</v>
      </c>
      <c r="B418" t="str">
        <f ca="1">IFERROR(__xludf.DUMMYFUNCTION("""COMPUTED_VALUE"""),"OpenSpinOff")</f>
        <v>OpenSpinOff</v>
      </c>
      <c r="C418" t="str">
        <f ca="1">IFERROR(__xludf.DUMMYFUNCTION("""COMPUTED_VALUE"""),"1s7UywmXsvA66vGSvDSU_CidM0OgQwEbFnisEBEFmoz0")</f>
        <v>1s7UywmXsvA66vGSvDSU_CidM0OgQwEbFnisEBEFmoz0</v>
      </c>
    </row>
    <row r="419" spans="1:3" ht="15.75" customHeight="1">
      <c r="A419" t="str">
        <f ca="1">IFERROR(__xludf.DUMMYFUNCTION("""COMPUTED_VALUE"""),"CorporateAction")</f>
        <v>CorporateAction</v>
      </c>
      <c r="B419" t="str">
        <f ca="1">IFERROR(__xludf.DUMMYFUNCTION("""COMPUTED_VALUE"""),"VerifyAndApplyCorpAction")</f>
        <v>VerifyAndApplyCorpAction</v>
      </c>
      <c r="C419" t="str">
        <f ca="1">IFERROR(__xludf.DUMMYFUNCTION("""COMPUTED_VALUE"""),"1cHNKlWy_s_rmmZHG2nid4hP7PjQozO104yUNI3CyU1o")</f>
        <v>1cHNKlWy_s_rmmZHG2nid4hP7PjQozO104yUNI3CyU1o</v>
      </c>
    </row>
    <row r="420" spans="1:3" ht="15.75" customHeight="1">
      <c r="A420" t="str">
        <f ca="1">IFERROR(__xludf.DUMMYFUNCTION("""COMPUTED_VALUE"""),"CorporateAction ")</f>
        <v xml:space="preserve">CorporateAction </v>
      </c>
      <c r="B420" t="str">
        <f ca="1">IFERROR(__xludf.DUMMYFUNCTION("""COMPUTED_VALUE"""),"VerifyAndSaveCorpAction")</f>
        <v>VerifyAndSaveCorpAction</v>
      </c>
      <c r="C420" t="str">
        <f ca="1">IFERROR(__xludf.DUMMYFUNCTION("""COMPUTED_VALUE"""),"1bruEDkUzHa33GtKgwOjgeu-gUDGJFATMt-u7J51XEU4")</f>
        <v>1bruEDkUzHa33GtKgwOjgeu-gUDGJFATMt-u7J51XEU4</v>
      </c>
    </row>
    <row r="421" spans="1:3" ht="15.75" customHeight="1">
      <c r="A421" t="str">
        <f ca="1">IFERROR(__xludf.DUMMYFUNCTION("""COMPUTED_VALUE"""),"Allocation")</f>
        <v>Allocation</v>
      </c>
      <c r="B421" t="str">
        <f ca="1">IFERROR(__xludf.DUMMYFUNCTION("""COMPUTED_VALUE"""),"DisableChecksideForAsset")</f>
        <v>DisableChecksideForAsset</v>
      </c>
      <c r="C421" t="str">
        <f ca="1">IFERROR(__xludf.DUMMYFUNCTION("""COMPUTED_VALUE"""),"1w1BRJVZsjn1B0PDYrYEKzXGEw-NFKSMIyNqeBCt4yec")</f>
        <v>1w1BRJVZsjn1B0PDYrYEKzXGEw-NFKSMIyNqeBCt4yec</v>
      </c>
    </row>
    <row r="422" spans="1:3" ht="15.75" customHeight="1">
      <c r="A422" t="str">
        <f ca="1">IFERROR(__xludf.DUMMYFUNCTION("""COMPUTED_VALUE"""),"Allocation")</f>
        <v>Allocation</v>
      </c>
      <c r="B422" t="str">
        <f ca="1">IFERROR(__xludf.DUMMYFUNCTION("""COMPUTED_VALUE"""),"DisableChecksideForAccount")</f>
        <v>DisableChecksideForAccount</v>
      </c>
      <c r="C422" t="str">
        <f ca="1">IFERROR(__xludf.DUMMYFUNCTION("""COMPUTED_VALUE"""),"1m8_kQ_0tVJoTiBpYOtlKW23NWSHVfniRS6qC-gXm10s")</f>
        <v>1m8_kQ_0tVJoTiBpYOtlKW23NWSHVfniRS6qC-gXm10s</v>
      </c>
    </row>
    <row r="423" spans="1:3" ht="15.75" customHeight="1">
      <c r="A423" t="str">
        <f ca="1">IFERROR(__xludf.DUMMYFUNCTION("""COMPUTED_VALUE"""),"Allocation")</f>
        <v>Allocation</v>
      </c>
      <c r="B423" t="str">
        <f ca="1">IFERROR(__xludf.DUMMYFUNCTION("""COMPUTED_VALUE"""),"DisableChecksideForCounterParty")</f>
        <v>DisableChecksideForCounterParty</v>
      </c>
      <c r="C423" t="str">
        <f ca="1">IFERROR(__xludf.DUMMYFUNCTION("""COMPUTED_VALUE"""),"17N8VCOwI2fnS5Lh1_oE2TZ5tHs8EeP3ATBk93WwvRHk")</f>
        <v>17N8VCOwI2fnS5Lh1_oE2TZ5tHs8EeP3ATBk93WwvRHk</v>
      </c>
    </row>
    <row r="424" spans="1:3" ht="15.75" customHeight="1">
      <c r="A424" t="str">
        <f ca="1">IFERROR(__xludf.DUMMYFUNCTION("""COMPUTED_VALUE"""),"Allocation")</f>
        <v>Allocation</v>
      </c>
      <c r="B424" t="str">
        <f ca="1">IFERROR(__xludf.DUMMYFUNCTION("""COMPUTED_VALUE"""),"DisableCheckside")</f>
        <v>DisableCheckside</v>
      </c>
      <c r="C424" t="str">
        <f ca="1">IFERROR(__xludf.DUMMYFUNCTION("""COMPUTED_VALUE"""),"1F88uJdltwqga7oeOfytDjDGsBP4kpEF_aSFBEzDCUqY")</f>
        <v>1F88uJdltwqga7oeOfytDjDGsBP4kpEF_aSFBEzDCUqY</v>
      </c>
    </row>
    <row r="425" spans="1:3" ht="15.75" customHeight="1">
      <c r="A425" t="str">
        <f ca="1">IFERROR(__xludf.DUMMYFUNCTION("""COMPUTED_VALUE"""),"Allocation")</f>
        <v>Allocation</v>
      </c>
      <c r="B425" t="str">
        <f ca="1">IFERROR(__xludf.DUMMYFUNCTION("""COMPUTED_VALUE"""),"ApplyMasterFundFilter")</f>
        <v>ApplyMasterFundFilter</v>
      </c>
      <c r="C425" t="str">
        <f ca="1">IFERROR(__xludf.DUMMYFUNCTION("""COMPUTED_VALUE"""),"1yIy9yo2gUgRLah_KTWBr8Q8ouxWuW7qEoYCxd-IyZqU")</f>
        <v>1yIy9yo2gUgRLah_KTWBr8Q8ouxWuW7qEoYCxd-IyZqU</v>
      </c>
    </row>
    <row r="426" spans="1:3" ht="15.75" customHeight="1">
      <c r="A426" t="str">
        <f ca="1">IFERROR(__xludf.DUMMYFUNCTION("""COMPUTED_VALUE"""),"TradingTicket")</f>
        <v>TradingTicket</v>
      </c>
      <c r="B426" t="str">
        <f ca="1">IFERROR(__xludf.DUMMYFUNCTION("""COMPUTED_VALUE"""),"UpdateMasterFundOnTT")</f>
        <v>UpdateMasterFundOnTT</v>
      </c>
      <c r="C426" t="str">
        <f ca="1">IFERROR(__xludf.DUMMYFUNCTION("""COMPUTED_VALUE"""),"1vtwSXTZXLwVYR5bhmfKT7b9o6JVmS_9MOZn7CcypLvw")</f>
        <v>1vtwSXTZXLwVYR5bhmfKT7b9o6JVmS_9MOZn7CcypLvw</v>
      </c>
    </row>
    <row r="427" spans="1:3" ht="15.75" customHeight="1">
      <c r="A427" t="str">
        <f ca="1">IFERROR(__xludf.DUMMYFUNCTION("""COMPUTED_VALUE"""),"Allocation")</f>
        <v>Allocation</v>
      </c>
      <c r="B427" t="str">
        <f ca="1">IFERROR(__xludf.DUMMYFUNCTION("""COMPUTED_VALUE"""),"ShowMasterFundOnTT")</f>
        <v>ShowMasterFundOnTT</v>
      </c>
      <c r="C427" t="str">
        <f ca="1">IFERROR(__xludf.DUMMYFUNCTION("""COMPUTED_VALUE"""),"1tY8_vmgwAtlU3wdGRDk8WSaRLCv6640XZ0pVR7jx06k")</f>
        <v>1tY8_vmgwAtlU3wdGRDk8WSaRLCv6640XZ0pVR7jx06k</v>
      </c>
    </row>
    <row r="428" spans="1:3" ht="15.75" customHeight="1">
      <c r="A428" t="str">
        <f ca="1">IFERROR(__xludf.DUMMYFUNCTION("""COMPUTED_VALUE"""),"Allocation")</f>
        <v>Allocation</v>
      </c>
      <c r="B428" t="str">
        <f ca="1">IFERROR(__xludf.DUMMYFUNCTION("""COMPUTED_VALUE"""),"ShowMasterFundAsClient")</f>
        <v>ShowMasterFundAsClient</v>
      </c>
      <c r="C428" t="str">
        <f ca="1">IFERROR(__xludf.DUMMYFUNCTION("""COMPUTED_VALUE"""),"1dXSCZtp_PbY2-xO4HyuQFjP9rqovyxBIHohhAalWHdk")</f>
        <v>1dXSCZtp_PbY2-xO4HyuQFjP9rqovyxBIHohhAalWHdk</v>
      </c>
    </row>
    <row r="429" spans="1:3" ht="15.75" customHeight="1">
      <c r="A429" t="str">
        <f ca="1">IFERROR(__xludf.DUMMYFUNCTION("""COMPUTED_VALUE"""),"Allocation")</f>
        <v>Allocation</v>
      </c>
      <c r="B429" t="str">
        <f ca="1">IFERROR(__xludf.DUMMYFUNCTION("""COMPUTED_VALUE"""),"SetBrokerAccountMapping")</f>
        <v>SetBrokerAccountMapping</v>
      </c>
      <c r="C429" t="str">
        <f ca="1">IFERROR(__xludf.DUMMYFUNCTION("""COMPUTED_VALUE"""),"1MPDRlprMFMS8DkR-4ntdGvBOQ6Gp4Cbkz1mGJyRiPBU")</f>
        <v>1MPDRlprMFMS8DkR-4ntdGvBOQ6Gp4Cbkz1mGJyRiPBU</v>
      </c>
    </row>
    <row r="430" spans="1:3" ht="15.75" customHeight="1">
      <c r="A430" t="str">
        <f ca="1">IFERROR(__xludf.DUMMYFUNCTION("""COMPUTED_VALUE"""),"Allocation")</f>
        <v>Allocation</v>
      </c>
      <c r="B430" t="str">
        <f ca="1">IFERROR(__xludf.DUMMYFUNCTION("""COMPUTED_VALUE"""),"EditUnallocatedGridWPF")</f>
        <v>EditUnallocatedGridWPF</v>
      </c>
      <c r="C430" t="str">
        <f ca="1">IFERROR(__xludf.DUMMYFUNCTION("""COMPUTED_VALUE"""),"1FoqMjsh7kSUAPZgAsBdK0Dgz6XaVskoGr37G773xRsI")</f>
        <v>1FoqMjsh7kSUAPZgAsBdK0Dgz6XaVskoGr37G773xRsI</v>
      </c>
    </row>
    <row r="431" spans="1:3" ht="15.75" customHeight="1">
      <c r="A431" t="str">
        <f ca="1">IFERROR(__xludf.DUMMYFUNCTION("""COMPUTED_VALUE"""),"Allocation")</f>
        <v>Allocation</v>
      </c>
      <c r="B431" t="str">
        <f ca="1">IFERROR(__xludf.DUMMYFUNCTION("""COMPUTED_VALUE"""),"EditAllocatedGridWPF")</f>
        <v>EditAllocatedGridWPF</v>
      </c>
      <c r="C431" t="str">
        <f ca="1">IFERROR(__xludf.DUMMYFUNCTION("""COMPUTED_VALUE"""),"1JDZt3yDzGJYLwgfnrM-1JpkYjLh4xdqn3im1wNwUiWg")</f>
        <v>1JDZt3yDzGJYLwgfnrM-1JpkYjLh4xdqn3im1wNwUiWg</v>
      </c>
    </row>
    <row r="432" spans="1:3" ht="15.75" customHeight="1">
      <c r="A432" t="str">
        <f ca="1">IFERROR(__xludf.DUMMYFUNCTION("""COMPUTED_VALUE"""),"Admin")</f>
        <v>Admin</v>
      </c>
      <c r="B432" t="str">
        <f ca="1">IFERROR(__xludf.DUMMYFUNCTION("""COMPUTED_VALUE"""),"SetRollover")</f>
        <v>SetRollover</v>
      </c>
      <c r="C432" t="str">
        <f ca="1">IFERROR(__xludf.DUMMYFUNCTION("""COMPUTED_VALUE"""),"1mcj3boGZkRmnkbGNVOiMK0RBd1tDfxGwoUagq09FwTM")</f>
        <v>1mcj3boGZkRmnkbGNVOiMK0RBd1tDfxGwoUagq09FwTM</v>
      </c>
    </row>
    <row r="433" spans="1:3" ht="15.75" customHeight="1">
      <c r="A433" t="str">
        <f ca="1">IFERROR(__xludf.DUMMYFUNCTION("""COMPUTED_VALUE"""),"Blotter")</f>
        <v>Blotter</v>
      </c>
      <c r="B433" t="str">
        <f ca="1">IFERROR(__xludf.DUMMYFUNCTION("""COMPUTED_VALUE"""),"VerifyRollover")</f>
        <v>VerifyRollover</v>
      </c>
      <c r="C433" t="str">
        <f ca="1">IFERROR(__xludf.DUMMYFUNCTION("""COMPUTED_VALUE"""),"1ZZ2-R1OHOoSZ9jUfqlZ7UX-MNoTL_RipoEPOEeDhUiU")</f>
        <v>1ZZ2-R1OHOoSZ9jUfqlZ7UX-MNoTL_RipoEPOEeDhUiU</v>
      </c>
    </row>
    <row r="434" spans="1:3" ht="15.75" customHeight="1">
      <c r="A434" t="str">
        <f ca="1">IFERROR(__xludf.DUMMYFUNCTION("""COMPUTED_VALUE"""),"Allocation")</f>
        <v>Allocation</v>
      </c>
      <c r="B434" t="str">
        <f ca="1">IFERROR(__xludf.DUMMYFUNCTION("""COMPUTED_VALUE"""),"EditAllocatedGridTaxlot")</f>
        <v>EditAllocatedGridTaxlot</v>
      </c>
      <c r="C434" t="str">
        <f ca="1">IFERROR(__xludf.DUMMYFUNCTION("""COMPUTED_VALUE"""),"1tuNkOgVUAgmGZdePkvb6Kq4fOIVUbM2Oo-j35VwEMxU")</f>
        <v>1tuNkOgVUAgmGZdePkvb6Kq4fOIVUbM2Oo-j35VwEMxU</v>
      </c>
    </row>
    <row r="435" spans="1:3" ht="15.75" customHeight="1">
      <c r="A435" t="str">
        <f ca="1">IFERROR(__xludf.DUMMYFUNCTION("""COMPUTED_VALUE"""),"Allocation")</f>
        <v>Allocation</v>
      </c>
      <c r="B435" t="str">
        <f ca="1">IFERROR(__xludf.DUMMYFUNCTION("""COMPUTED_VALUE"""),"ExpandCollapseAllocatedGrid")</f>
        <v>ExpandCollapseAllocatedGrid</v>
      </c>
      <c r="C435" t="str">
        <f ca="1">IFERROR(__xludf.DUMMYFUNCTION("""COMPUTED_VALUE"""),"1rFegPn3vtFd9CjW_Q7sLLAAJfMR24R2aIjZeDzV88kI")</f>
        <v>1rFegPn3vtFd9CjW_Q7sLLAAJfMR24R2aIjZeDzV88kI</v>
      </c>
    </row>
    <row r="436" spans="1:3" ht="15.75" customHeight="1">
      <c r="A436" t="str">
        <f ca="1">IFERROR(__xludf.DUMMYFUNCTION("""COMPUTED_VALUE"""),"Allocation")</f>
        <v>Allocation</v>
      </c>
      <c r="B436" t="str">
        <f ca="1">IFERROR(__xludf.DUMMYFUNCTION("""COMPUTED_VALUE"""),"ExpandCollapseUnallocatedGrid")</f>
        <v>ExpandCollapseUnallocatedGrid</v>
      </c>
      <c r="C436" t="str">
        <f ca="1">IFERROR(__xludf.DUMMYFUNCTION("""COMPUTED_VALUE"""),"1AUbU9P9evi80SGX-0B0OEU4EIeSy8XoX0Jxc2neUG7Y")</f>
        <v>1AUbU9P9evi80SGX-0B0OEU4EIeSy8XoX0Jxc2neUG7Y</v>
      </c>
    </row>
    <row r="437" spans="1:3" ht="15.75" customHeight="1">
      <c r="A437" t="str">
        <f ca="1">IFERROR(__xludf.DUMMYFUNCTION("""COMPUTED_VALUE"""),"Blotter")</f>
        <v>Blotter</v>
      </c>
      <c r="B437" t="str">
        <f ca="1">IFERROR(__xludf.DUMMYFUNCTION("""COMPUTED_VALUE"""),"VerifySubOrderAfterRollover")</f>
        <v>VerifySubOrderAfterRollover</v>
      </c>
      <c r="C437" t="str">
        <f ca="1">IFERROR(__xludf.DUMMYFUNCTION("""COMPUTED_VALUE"""),"1BmRHukyQ4miHL0fDoU1ytWmIfZkbbUhts6aUXOoJt1M")</f>
        <v>1BmRHukyQ4miHL0fDoU1ytWmIfZkbbUhts6aUXOoJt1M</v>
      </c>
    </row>
    <row r="438" spans="1:3" ht="15.75" customHeight="1">
      <c r="A438" t="str">
        <f ca="1">IFERROR(__xludf.DUMMYFUNCTION("""COMPUTED_VALUE"""),"Import")</f>
        <v>Import</v>
      </c>
      <c r="B438" t="str">
        <f ca="1">IFERROR(__xludf.DUMMYFUNCTION("""COMPUTED_VALUE"""),"SelectTransactionImportType")</f>
        <v>SelectTransactionImportType</v>
      </c>
      <c r="C438" t="str">
        <f ca="1">IFERROR(__xludf.DUMMYFUNCTION("""COMPUTED_VALUE"""),"1ultylVChPDBFQEPMhDgNhsGAOiEjOy4yrylpQgIIDRs")</f>
        <v>1ultylVChPDBFQEPMhDgNhsGAOiEjOy4yrylpQgIIDRs</v>
      </c>
    </row>
    <row r="439" spans="1:3" ht="15.75" customHeight="1">
      <c r="A439" t="str">
        <f ca="1">IFERROR(__xludf.DUMMYFUNCTION("""COMPUTED_VALUE"""),"Import")</f>
        <v>Import</v>
      </c>
      <c r="B439" t="str">
        <f ca="1">IFERROR(__xludf.DUMMYFUNCTION("""COMPUTED_VALUE"""),"SelectAllOnImport")</f>
        <v>SelectAllOnImport</v>
      </c>
      <c r="C439" t="str">
        <f ca="1">IFERROR(__xludf.DUMMYFUNCTION("""COMPUTED_VALUE"""),"1kfuraVHmWK4GQJ5l-V_xi5ZOvrVVE_6df75wO3Tczkw")</f>
        <v>1kfuraVHmWK4GQJ5l-V_xi5ZOvrVVE_6df75wO3Tczkw</v>
      </c>
    </row>
    <row r="440" spans="1:3" ht="15.75" customHeight="1">
      <c r="A440" t="str">
        <f ca="1">IFERROR(__xludf.DUMMYFUNCTION("""COMPUTED_VALUE"""),"Import")</f>
        <v>Import</v>
      </c>
      <c r="B440" t="str">
        <f ca="1">IFERROR(__xludf.DUMMYFUNCTION("""COMPUTED_VALUE"""),"SelectMarkPriceImportType")</f>
        <v>SelectMarkPriceImportType</v>
      </c>
      <c r="C440" t="str">
        <f ca="1">IFERROR(__xludf.DUMMYFUNCTION("""COMPUTED_VALUE"""),"16WxFw58KivOf3P1utNNMuCYVONlWBgTIRn0wVd6Sq10")</f>
        <v>16WxFw58KivOf3P1utNNMuCYVONlWBgTIRn0wVd6Sq10</v>
      </c>
    </row>
    <row r="441" spans="1:3" ht="15.75" customHeight="1">
      <c r="A441" t="str">
        <f ca="1">IFERROR(__xludf.DUMMYFUNCTION("""COMPUTED_VALUE"""),"Import")</f>
        <v>Import</v>
      </c>
      <c r="B441" t="str">
        <f ca="1">IFERROR(__xludf.DUMMYFUNCTION("""COMPUTED_VALUE"""),"SelectForexImportType")</f>
        <v>SelectForexImportType</v>
      </c>
      <c r="C441" t="str">
        <f ca="1">IFERROR(__xludf.DUMMYFUNCTION("""COMPUTED_VALUE"""),"1niCpVuSl0IoWtjAcvElNI0GeVHeA4cKvepxzq7Z4t0Y")</f>
        <v>1niCpVuSl0IoWtjAcvElNI0GeVHeA4cKvepxzq7Z4t0Y</v>
      </c>
    </row>
    <row r="442" spans="1:3" ht="15.75" customHeight="1">
      <c r="A442" t="str">
        <f ca="1">IFERROR(__xludf.DUMMYFUNCTION("""COMPUTED_VALUE"""),"Import")</f>
        <v>Import</v>
      </c>
      <c r="B442" t="str">
        <f ca="1">IFERROR(__xludf.DUMMYFUNCTION("""COMPUTED_VALUE"""),"SelectDoubleEntryCashImportType")</f>
        <v>SelectDoubleEntryCashImportType</v>
      </c>
      <c r="C442" t="str">
        <f ca="1">IFERROR(__xludf.DUMMYFUNCTION("""COMPUTED_VALUE"""),"1c3AV5tCWYyTG5GupbNYTh4Y6mBGeI5Q18WF7jbA_FoE")</f>
        <v>1c3AV5tCWYyTG5GupbNYTh4Y6mBGeI5Q18WF7jbA_FoE</v>
      </c>
    </row>
    <row r="443" spans="1:3" ht="15.75" customHeight="1">
      <c r="A443" t="str">
        <f ca="1">IFERROR(__xludf.DUMMYFUNCTION("""COMPUTED_VALUE"""),"Import")</f>
        <v>Import</v>
      </c>
      <c r="B443" t="str">
        <f ca="1">IFERROR(__xludf.DUMMYFUNCTION("""COMPUTED_VALUE"""),"SelectActivitiesImportType")</f>
        <v>SelectActivitiesImportType</v>
      </c>
      <c r="C443" t="str">
        <f ca="1">IFERROR(__xludf.DUMMYFUNCTION("""COMPUTED_VALUE"""),"1X6nskWL8-xWWF-gN9qfxhhV3aBuAeoxKsrdra5tJcpQ")</f>
        <v>1X6nskWL8-xWWF-gN9qfxhhV3aBuAeoxKsrdra5tJcpQ</v>
      </c>
    </row>
    <row r="444" spans="1:3" ht="15.75" customHeight="1">
      <c r="A444" t="str">
        <f ca="1">IFERROR(__xludf.DUMMYFUNCTION("""COMPUTED_VALUE"""),"TradingTicket")</f>
        <v>TradingTicket</v>
      </c>
      <c r="B444" t="str">
        <f ca="1">IFERROR(__xludf.DUMMYFUNCTION("""COMPUTED_VALUE"""),"SetTTCompliancePreference")</f>
        <v>SetTTCompliancePreference</v>
      </c>
      <c r="C444" t="str">
        <f ca="1">IFERROR(__xludf.DUMMYFUNCTION("""COMPUTED_VALUE"""),"1OPa8vYQi1QXXNENlCNdP6ay_L5vU7WyWP5dErE2KHEA")</f>
        <v>1OPa8vYQi1QXXNENlCNdP6ay_L5vU7WyWP5dErE2KHEA</v>
      </c>
    </row>
    <row r="445" spans="1:3" ht="15.75" customHeight="1">
      <c r="A445" t="str">
        <f ca="1">IFERROR(__xludf.DUMMYFUNCTION("""COMPUTED_VALUE"""),"Rebalancer")</f>
        <v>Rebalancer</v>
      </c>
      <c r="B445" t="str">
        <f ca="1">IFERROR(__xludf.DUMMYFUNCTION("""COMPUTED_VALUE"""),"LockandUnlockGridData")</f>
        <v>LockandUnlockGridData</v>
      </c>
      <c r="C445" t="str">
        <f ca="1">IFERROR(__xludf.DUMMYFUNCTION("""COMPUTED_VALUE"""),"1Km85kIYSTzG-NQHFDL8ZVRQQ0TKLUDOYsw-kdDX29xE")</f>
        <v>1Km85kIYSTzG-NQHFDL8ZVRQQ0TKLUDOYsw-kdDX29xE</v>
      </c>
    </row>
    <row r="446" spans="1:3" ht="15.75" customHeight="1">
      <c r="A446" t="str">
        <f ca="1">IFERROR(__xludf.DUMMYFUNCTION("""COMPUTED_VALUE"""),"Allocation")</f>
        <v>Allocation</v>
      </c>
      <c r="B446" t="str">
        <f ca="1">IFERROR(__xludf.DUMMYFUNCTION("""COMPUTED_VALUE"""),"SetTradeAttributePreferences")</f>
        <v>SetTradeAttributePreferences</v>
      </c>
      <c r="C446" t="str">
        <f ca="1">IFERROR(__xludf.DUMMYFUNCTION("""COMPUTED_VALUE"""),"1jyPRPc_0lTWCpP9oldB5fgtg2dy3jSnXLkS_qYf40-I")</f>
        <v>1jyPRPc_0lTWCpP9oldB5fgtg2dy3jSnXLkS_qYf40-I</v>
      </c>
    </row>
    <row r="447" spans="1:3" ht="15.75" customHeight="1">
      <c r="A447" t="str">
        <f ca="1">IFERROR(__xludf.DUMMYFUNCTION("""COMPUTED_VALUE"""),"GeneralLedger")</f>
        <v>GeneralLedger</v>
      </c>
      <c r="B447" t="str">
        <f ca="1">IFERROR(__xludf.DUMMYFUNCTION("""COMPUTED_VALUE"""),"VerifyAccountBalances")</f>
        <v>VerifyAccountBalances</v>
      </c>
      <c r="C447" t="str">
        <f ca="1">IFERROR(__xludf.DUMMYFUNCTION("""COMPUTED_VALUE"""),"1ym14EKcw7B3au8SvVteq2gmFR3cDcsMvQQEIm0TQjf4")</f>
        <v>1ym14EKcw7B3au8SvVteq2gmFR3cDcsMvQQEIm0TQjf4</v>
      </c>
    </row>
    <row r="448" spans="1:3" ht="15.75" customHeight="1">
      <c r="A448" t="str">
        <f ca="1">IFERROR(__xludf.DUMMYFUNCTION("""COMPUTED_VALUE"""),"Rebalancer")</f>
        <v>Rebalancer</v>
      </c>
      <c r="B448" t="str">
        <f ca="1">IFERROR(__xludf.DUMMYFUNCTION("""COMPUTED_VALUE"""),"RefreshGridData")</f>
        <v>RefreshGridData</v>
      </c>
      <c r="C448" t="str">
        <f ca="1">IFERROR(__xludf.DUMMYFUNCTION("""COMPUTED_VALUE"""),"1iFsjUbnYA0Jwd89eYQjg5OrnW3lr2WGVb5quimwHrRw")</f>
        <v>1iFsjUbnYA0Jwd89eYQjg5OrnW3lr2WGVb5quimwHrRw</v>
      </c>
    </row>
    <row r="449" spans="1:3" ht="15.75" customHeight="1">
      <c r="A449" t="str">
        <f ca="1">IFERROR(__xludf.DUMMYFUNCTION("""COMPUTED_VALUE"""),"GeneralLedger")</f>
        <v>GeneralLedger</v>
      </c>
      <c r="B449" t="str">
        <f ca="1">IFERROR(__xludf.DUMMYFUNCTION("""COMPUTED_VALUE"""),"AddMultipleOpeningBalTranItem")</f>
        <v>AddMultipleOpeningBalTranItem</v>
      </c>
      <c r="C449" t="str">
        <f ca="1">IFERROR(__xludf.DUMMYFUNCTION("""COMPUTED_VALUE"""),"14VkN8stineosylh8hvnYNK-GMxNG0uFZBKPjv00GOVc")</f>
        <v>14VkN8stineosylh8hvnYNK-GMxNG0uFZBKPjv00GOVc</v>
      </c>
    </row>
    <row r="450" spans="1:3" ht="15.75" customHeight="1">
      <c r="A450" t="str">
        <f ca="1">IFERROR(__xludf.DUMMYFUNCTION("""COMPUTED_VALUE"""),"Import")</f>
        <v>Import</v>
      </c>
      <c r="B450" t="str">
        <f ca="1">IFERROR(__xludf.DUMMYFUNCTION("""COMPUTED_VALUE"""),"ApplyFilterOnImport")</f>
        <v>ApplyFilterOnImport</v>
      </c>
      <c r="C450" t="str">
        <f ca="1">IFERROR(__xludf.DUMMYFUNCTION("""COMPUTED_VALUE"""),"1NbH6CrAG4P2-tfFJ5m9jUCbnHY9N7cAluffYy9kFrtg")</f>
        <v>1NbH6CrAG4P2-tfFJ5m9jUCbnHY9N7cAluffYy9kFrtg</v>
      </c>
    </row>
    <row r="451" spans="1:3" ht="15.75" customHeight="1">
      <c r="A451" t="str">
        <f ca="1">IFERROR(__xludf.DUMMYFUNCTION("""COMPUTED_VALUE"""),"Rebalancer")</f>
        <v>Rebalancer</v>
      </c>
      <c r="B451" t="str">
        <f ca="1">IFERROR(__xludf.DUMMYFUNCTION("""COMPUTED_VALUE"""),"SendtoStaging")</f>
        <v>SendtoStaging</v>
      </c>
      <c r="C451" t="str">
        <f ca="1">IFERROR(__xludf.DUMMYFUNCTION("""COMPUTED_VALUE"""),"1Zhte_TGc173a8WWc7feC_7HQ_A-M9Q7Np-aK2NPeTIo")</f>
        <v>1Zhte_TGc173a8WWc7feC_7HQ_A-M9Q7Np-aK2NPeTIo</v>
      </c>
    </row>
    <row r="452" spans="1:3" ht="15.75" customHeight="1">
      <c r="A452" t="str">
        <f ca="1">IFERROR(__xludf.DUMMYFUNCTION("""COMPUTED_VALUE"""),"PTT")</f>
        <v>PTT</v>
      </c>
      <c r="B452" t="str">
        <f ca="1">IFERROR(__xludf.DUMMYFUNCTION("""COMPUTED_VALUE"""),"SetDefaultSymbology")</f>
        <v>SetDefaultSymbology</v>
      </c>
      <c r="C452" t="str">
        <f ca="1">IFERROR(__xludf.DUMMYFUNCTION("""COMPUTED_VALUE"""),"1b7zlTIVQjL2vZc0hUNmY0Nj3YpQi8BtYcWMr8_hvABw")</f>
        <v>1b7zlTIVQjL2vZc0hUNmY0Nj3YpQi8BtYcWMr8_hvABw</v>
      </c>
    </row>
    <row r="453" spans="1:3" ht="15.75" customHeight="1">
      <c r="A453" t="str">
        <f ca="1">IFERROR(__xludf.DUMMYFUNCTION("""COMPUTED_VALUE"""),"Allocation")</f>
        <v>Allocation</v>
      </c>
      <c r="B453" t="str">
        <f ca="1">IFERROR(__xludf.DUMMYFUNCTION("""COMPUTED_VALUE"""),"EnterCustomAllocatePreference")</f>
        <v>EnterCustomAllocatePreference</v>
      </c>
      <c r="C453" t="str">
        <f ca="1">IFERROR(__xludf.DUMMYFUNCTION("""COMPUTED_VALUE"""),"1eNnQSyrPr_L4TcV7izBj89sySDQaYK6gNqNVbd2ChKE")</f>
        <v>1eNnQSyrPr_L4TcV7izBj89sySDQaYK6gNqNVbd2ChKE</v>
      </c>
    </row>
    <row r="454" spans="1:3" ht="15.75" customHeight="1">
      <c r="A454" t="str">
        <f ca="1">IFERROR(__xludf.DUMMYFUNCTION("""COMPUTED_VALUE"""),"PTT")</f>
        <v>PTT</v>
      </c>
      <c r="B454" t="str">
        <f ca="1">IFERROR(__xludf.DUMMYFUNCTION("""COMPUTED_VALUE"""),"EditPTTAccountLevelWPF")</f>
        <v>EditPTTAccountLevelWPF</v>
      </c>
      <c r="C454" t="str">
        <f ca="1">IFERROR(__xludf.DUMMYFUNCTION("""COMPUTED_VALUE"""),"1lkoB4yg9KAzhNswvpJ9xWcz4YPaysGRGQuXBp7wigzQ")</f>
        <v>1lkoB4yg9KAzhNswvpJ9xWcz4YPaysGRGQuXBp7wigzQ</v>
      </c>
    </row>
    <row r="455" spans="1:3" ht="15.75" customHeight="1">
      <c r="A455" t="str">
        <f ca="1">IFERROR(__xludf.DUMMYFUNCTION("""COMPUTED_VALUE"""),"PortfolioManagement")</f>
        <v>PortfolioManagement</v>
      </c>
      <c r="B455" t="str">
        <f ca="1">IFERROR(__xludf.DUMMYFUNCTION("""COMPUTED_VALUE"""),"OpenCreateTransactionFromPM")</f>
        <v>OpenCreateTransactionFromPM</v>
      </c>
      <c r="C455" t="str">
        <f ca="1">IFERROR(__xludf.DUMMYFUNCTION("""COMPUTED_VALUE"""),"1kYgb5moj5P-JWXvKHbuX1snB8mlE4Vdc4aiH1bDnoHI")</f>
        <v>1kYgb5moj5P-JWXvKHbuX1snB8mlE4Vdc4aiH1bDnoHI</v>
      </c>
    </row>
    <row r="456" spans="1:3" ht="15.75" customHeight="1">
      <c r="A456" t="str">
        <f ca="1">IFERROR(__xludf.DUMMYFUNCTION("""COMPUTED_VALUE"""),"Allocation")</f>
        <v>Allocation</v>
      </c>
      <c r="B456" t="str">
        <f ca="1">IFERROR(__xludf.DUMMYFUNCTION("""COMPUTED_VALUE"""),"SetAutoGroupingPreferences")</f>
        <v>SetAutoGroupingPreferences</v>
      </c>
      <c r="C456" t="str">
        <f ca="1">IFERROR(__xludf.DUMMYFUNCTION("""COMPUTED_VALUE"""),"1D35ujYz3sSem5ddRMKhpDtAxLAuwzV3i4A0w31WFRjE")</f>
        <v>1D35ujYz3sSem5ddRMKhpDtAxLAuwzV3i4A0w31WFRjE</v>
      </c>
    </row>
    <row r="457" spans="1:3" ht="15.75" customHeight="1">
      <c r="A457" t="str">
        <f ca="1">IFERROR(__xludf.DUMMYFUNCTION("""COMPUTED_VALUE"""),"Allocation")</f>
        <v>Allocation</v>
      </c>
      <c r="B457" t="str">
        <f ca="1">IFERROR(__xludf.DUMMYFUNCTION("""COMPUTED_VALUE"""),"SetAutoGroupingAccount")</f>
        <v>SetAutoGroupingAccount</v>
      </c>
      <c r="C457" t="str">
        <f ca="1">IFERROR(__xludf.DUMMYFUNCTION("""COMPUTED_VALUE"""),"1CF-lbRv2R0CjOCWWaoSCrEih5WxPa65LdKDcH_H7AvM")</f>
        <v>1CF-lbRv2R0CjOCWWaoSCrEih5WxPa65LdKDcH_H7AvM</v>
      </c>
    </row>
    <row r="458" spans="1:3" ht="15.75" customHeight="1">
      <c r="A458" t="str">
        <f ca="1">IFERROR(__xludf.DUMMYFUNCTION("""COMPUTED_VALUE"""),"Allocation")</f>
        <v>Allocation</v>
      </c>
      <c r="B458" t="str">
        <f ca="1">IFERROR(__xludf.DUMMYFUNCTION("""COMPUTED_VALUE"""),"SetAvgPriceRounding")</f>
        <v>SetAvgPriceRounding</v>
      </c>
      <c r="C458" t="str">
        <f ca="1">IFERROR(__xludf.DUMMYFUNCTION("""COMPUTED_VALUE"""),"1appeOpkVhy6OTICRFxIDc71ZbQKU-Ynw5sV7KihABMU")</f>
        <v>1appeOpkVhy6OTICRFxIDc71ZbQKU-Ynw5sV7KihABMU</v>
      </c>
    </row>
    <row r="459" spans="1:3" ht="15.75" customHeight="1">
      <c r="A459" t="str">
        <f ca="1">IFERROR(__xludf.DUMMYFUNCTION("""COMPUTED_VALUE"""),"Admin")</f>
        <v>Admin</v>
      </c>
      <c r="B459" t="str">
        <f ca="1">IFERROR(__xludf.DUMMYFUNCTION("""COMPUTED_VALUE"""),"SetActive")</f>
        <v>SetActive</v>
      </c>
      <c r="C459" t="str">
        <f ca="1">IFERROR(__xludf.DUMMYFUNCTION("""COMPUTED_VALUE"""),"1ymrfngxFmxi2NFQGgXVw211iNNJ37T-E5RaoFHqrBv0")</f>
        <v>1ymrfngxFmxi2NFQGgXVw211iNNJ37T-E5RaoFHqrBv0</v>
      </c>
    </row>
    <row r="460" spans="1:3" ht="15.75" customHeight="1">
      <c r="A460" t="str">
        <f ca="1">IFERROR(__xludf.DUMMYFUNCTION("""COMPUTED_VALUE"""),"Admin")</f>
        <v>Admin</v>
      </c>
      <c r="B460" t="str">
        <f ca="1">IFERROR(__xludf.DUMMYFUNCTION("""COMPUTED_VALUE"""),"SetThirdPartyFormat")</f>
        <v>SetThirdPartyFormat</v>
      </c>
      <c r="C460" t="str">
        <f ca="1">IFERROR(__xludf.DUMMYFUNCTION("""COMPUTED_VALUE"""),"1YBuAIaPPp_zD8dJLcJZofXxiKAE6eZJzGO4FqDo7GTE")</f>
        <v>1YBuAIaPPp_zD8dJLcJZofXxiKAE6eZJzGO4FqDo7GTE</v>
      </c>
    </row>
    <row r="461" spans="1:3" ht="15.75" customHeight="1">
      <c r="A461" t="str">
        <f ca="1">IFERROR(__xludf.DUMMYFUNCTION("""COMPUTED_VALUE"""),"Rebalancer")</f>
        <v>Rebalancer</v>
      </c>
      <c r="B461" t="str">
        <f ca="1">IFERROR(__xludf.DUMMYFUNCTION("""COMPUTED_VALUE"""),"RebalanceViaBloomberg")</f>
        <v>RebalanceViaBloomberg</v>
      </c>
      <c r="C461" t="str">
        <f ca="1">IFERROR(__xludf.DUMMYFUNCTION("""COMPUTED_VALUE"""),"1KhWzt5vyNW1kzhPLXipM9CAX2wUBQQLJePUogClbNy0")</f>
        <v>1KhWzt5vyNW1kzhPLXipM9CAX2wUBQQLJePUogClbNy0</v>
      </c>
    </row>
    <row r="462" spans="1:3" ht="15.75" customHeight="1">
      <c r="A462" t="str">
        <f ca="1">IFERROR(__xludf.DUMMYFUNCTION("""COMPUTED_VALUE"""),"ThirdParty")</f>
        <v>ThirdParty</v>
      </c>
      <c r="B462" t="str">
        <f ca="1">IFERROR(__xludf.DUMMYFUNCTION("""COMPUTED_VALUE"""),"RefreshThirdParty")</f>
        <v>RefreshThirdParty</v>
      </c>
      <c r="C462" t="str">
        <f ca="1">IFERROR(__xludf.DUMMYFUNCTION("""COMPUTED_VALUE"""),"1lOOWkQYcBWumeD4F4mCbIz0B_-RtHa-lbk2xvVUXKAQ")</f>
        <v>1lOOWkQYcBWumeD4F4mCbIz0B_-RtHa-lbk2xvVUXKAQ</v>
      </c>
    </row>
    <row r="463" spans="1:3" ht="15.75" customHeight="1">
      <c r="A463" t="str">
        <f ca="1">IFERROR(__xludf.DUMMYFUNCTION("""COMPUTED_VALUE"""),"Rebalancer")</f>
        <v>Rebalancer</v>
      </c>
      <c r="B463" t="str">
        <f ca="1">IFERROR(__xludf.DUMMYFUNCTION("""COMPUTED_VALUE"""),"AddUserAdjustedNAV")</f>
        <v>AddUserAdjustedNAV</v>
      </c>
      <c r="C463" t="str">
        <f ca="1">IFERROR(__xludf.DUMMYFUNCTION("""COMPUTED_VALUE"""),"1qQ0LJ_1IrYMh6SBmiw0AFS9zYw6kLYcDP2Wn07lO6Lk")</f>
        <v>1qQ0LJ_1IrYMh6SBmiw0AFS9zYw6kLYcDP2Wn07lO6Lk</v>
      </c>
    </row>
    <row r="464" spans="1:3" ht="15.75" customHeight="1">
      <c r="A464" t="str">
        <f ca="1">IFERROR(__xludf.DUMMYFUNCTION("""COMPUTED_VALUE"""),"Allocation")</f>
        <v>Allocation</v>
      </c>
      <c r="B464" t="str">
        <f ca="1">IFERROR(__xludf.DUMMYFUNCTION("""COMPUTED_VALUE"""),"IsAllocationOpen")</f>
        <v>IsAllocationOpen</v>
      </c>
      <c r="C464" t="str">
        <f ca="1">IFERROR(__xludf.DUMMYFUNCTION("""COMPUTED_VALUE"""),"1Yj9sEWGLvIGVCkeE8wc3xNY8Z4yZNGigW0Bdgp8edvA")</f>
        <v>1Yj9sEWGLvIGVCkeE8wc3xNY8Z4yZNGigW0Bdgp8edvA</v>
      </c>
    </row>
    <row r="465" spans="1:3" ht="15.75" customHeight="1">
      <c r="A465" t="str">
        <f ca="1">IFERROR(__xludf.DUMMYFUNCTION("""COMPUTED_VALUE"""),"ShortLocate")</f>
        <v>ShortLocate</v>
      </c>
      <c r="B465" t="str">
        <f ca="1">IFERROR(__xludf.DUMMYFUNCTION("""COMPUTED_VALUE"""),"ImportOnShortLocate")</f>
        <v>ImportOnShortLocate</v>
      </c>
      <c r="C465" t="str">
        <f ca="1">IFERROR(__xludf.DUMMYFUNCTION("""COMPUTED_VALUE"""),"1C1ug_xZK2cdCqIYVDKTOxKoGTSIdtZaPgm86m17Er_Y")</f>
        <v>1C1ug_xZK2cdCqIYVDKTOxKoGTSIdtZaPgm86m17Er_Y</v>
      </c>
    </row>
    <row r="466" spans="1:3" ht="15.75" customHeight="1">
      <c r="A466" t="str">
        <f ca="1">IFERROR(__xludf.DUMMYFUNCTION("""COMPUTED_VALUE"""),"ShortLocate")</f>
        <v>ShortLocate</v>
      </c>
      <c r="B466" t="str">
        <f ca="1">IFERROR(__xludf.DUMMYFUNCTION("""COMPUTED_VALUE"""),"ApplyFilterOnShortLocate")</f>
        <v>ApplyFilterOnShortLocate</v>
      </c>
      <c r="C466" t="str">
        <f ca="1">IFERROR(__xludf.DUMMYFUNCTION("""COMPUTED_VALUE"""),"1Cn-Bl95PXGhKloQYYlJej7rKVd4ux1kGG_MBit4fk4A")</f>
        <v>1Cn-Bl95PXGhKloQYYlJej7rKVd4ux1kGG_MBit4fk4A</v>
      </c>
    </row>
    <row r="467" spans="1:3" ht="15.75" customHeight="1">
      <c r="A467" t="str">
        <f ca="1">IFERROR(__xludf.DUMMYFUNCTION("""COMPUTED_VALUE"""),"ShortLocate")</f>
        <v>ShortLocate</v>
      </c>
      <c r="B467" t="str">
        <f ca="1">IFERROR(__xludf.DUMMYFUNCTION("""COMPUTED_VALUE"""),"OpenTTFromShortLocate")</f>
        <v>OpenTTFromShortLocate</v>
      </c>
      <c r="C467" t="str">
        <f ca="1">IFERROR(__xludf.DUMMYFUNCTION("""COMPUTED_VALUE"""),"1VN5CVtgHNYp2lmtsmJrMDYMXq_8Gh_rSpLpAb6ErM6M")</f>
        <v>1VN5CVtgHNYp2lmtsmJrMDYMXq_8Gh_rSpLpAb6ErM6M</v>
      </c>
    </row>
    <row r="468" spans="1:3" ht="15.75" customHeight="1">
      <c r="A468" t="str">
        <f ca="1">IFERROR(__xludf.DUMMYFUNCTION("""COMPUTED_VALUE"""),"PortfolioManagement")</f>
        <v>PortfolioManagement</v>
      </c>
      <c r="B468" t="str">
        <f ca="1">IFERROR(__xludf.DUMMYFUNCTION("""COMPUTED_VALUE"""),"RemoveGroupingFromPM")</f>
        <v>RemoveGroupingFromPM</v>
      </c>
      <c r="C468" t="str">
        <f ca="1">IFERROR(__xludf.DUMMYFUNCTION("""COMPUTED_VALUE"""),"1YKIncD0kWnaqpNFNOsgCVyA1F91XPeAgnyduLhg4NUg")</f>
        <v>1YKIncD0kWnaqpNFNOsgCVyA1F91XPeAgnyduLhg4NUg</v>
      </c>
    </row>
    <row r="469" spans="1:3" ht="15.75" customHeight="1">
      <c r="A469" t="str">
        <f ca="1">IFERROR(__xludf.DUMMYFUNCTION("""COMPUTED_VALUE"""),"Watchlist")</f>
        <v>Watchlist</v>
      </c>
      <c r="B469" t="str">
        <f ca="1">IFERROR(__xludf.DUMMYFUNCTION("""COMPUTED_VALUE"""),"AddTabOnWatchlist")</f>
        <v>AddTabOnWatchlist</v>
      </c>
      <c r="C469" t="str">
        <f ca="1">IFERROR(__xludf.DUMMYFUNCTION("""COMPUTED_VALUE"""),"1jjhORl_GGC1MaE-TaNLImepF81XAVLTJrRzVfbjFgww")</f>
        <v>1jjhORl_GGC1MaE-TaNLImepF81XAVLTJrRzVfbjFgww</v>
      </c>
    </row>
    <row r="470" spans="1:3" ht="15.75" customHeight="1">
      <c r="A470" t="str">
        <f ca="1">IFERROR(__xludf.DUMMYFUNCTION("""COMPUTED_VALUE"""),"Watchlist")</f>
        <v>Watchlist</v>
      </c>
      <c r="B470" t="str">
        <f ca="1">IFERROR(__xludf.DUMMYFUNCTION("""COMPUTED_VALUE"""),"DeleteTabOnWatchlist")</f>
        <v>DeleteTabOnWatchlist</v>
      </c>
      <c r="C470" t="str">
        <f ca="1">IFERROR(__xludf.DUMMYFUNCTION("""COMPUTED_VALUE"""),"1RgygcdRJLzJYHZ0zP3Z6BDlHpdOX2WYr8NDtGPZTM7E")</f>
        <v>1RgygcdRJLzJYHZ0zP3Z6BDlHpdOX2WYr8NDtGPZTM7E</v>
      </c>
    </row>
    <row r="471" spans="1:3" ht="15.75" customHeight="1">
      <c r="A471" t="str">
        <f ca="1">IFERROR(__xludf.DUMMYFUNCTION("""COMPUTED_VALUE"""),"ShortLocate")</f>
        <v>ShortLocate</v>
      </c>
      <c r="B471" t="str">
        <f ca="1">IFERROR(__xludf.DUMMYFUNCTION("""COMPUTED_VALUE"""),"Upload")</f>
        <v>Upload</v>
      </c>
      <c r="C471" t="str">
        <f ca="1">IFERROR(__xludf.DUMMYFUNCTION("""COMPUTED_VALUE"""),"1DBkPKMXuOkBiTKkni_QwMf9B-Vs7FbA9VGOGKS51ZT4")</f>
        <v>1DBkPKMXuOkBiTKkni_QwMf9B-Vs7FbA9VGOGKS51ZT4</v>
      </c>
    </row>
    <row r="472" spans="1:3" ht="15.75" customHeight="1">
      <c r="A472" t="str">
        <f ca="1">IFERROR(__xludf.DUMMYFUNCTION("""COMPUTED_VALUE"""),"Recon")</f>
        <v>Recon</v>
      </c>
      <c r="B472" t="str">
        <f ca="1">IFERROR(__xludf.DUMMYFUNCTION("""COMPUTED_VALUE"""),"ViewDataOnRecon")</f>
        <v>ViewDataOnRecon</v>
      </c>
      <c r="C472" t="str">
        <f ca="1">IFERROR(__xludf.DUMMYFUNCTION("""COMPUTED_VALUE"""),"1BbKkpqbBk38mGc3pkD1qocCD2l1ul-edULN0zIfJnX0")</f>
        <v>1BbKkpqbBk38mGc3pkD1qocCD2l1ul-edULN0zIfJnX0</v>
      </c>
    </row>
    <row r="473" spans="1:3" ht="15.75" customHeight="1">
      <c r="A473" t="str">
        <f ca="1">IFERROR(__xludf.DUMMYFUNCTION("""COMPUTED_VALUE"""),"Recon")</f>
        <v>Recon</v>
      </c>
      <c r="B473" t="str">
        <f ca="1">IFERROR(__xludf.DUMMYFUNCTION("""COMPUTED_VALUE"""),"RunRecon")</f>
        <v>RunRecon</v>
      </c>
      <c r="C473" t="str">
        <f ca="1">IFERROR(__xludf.DUMMYFUNCTION("""COMPUTED_VALUE"""),"1DW645A60flaLELO2P22MpKYws1JG4n6BHBPkmms9cLw")</f>
        <v>1DW645A60flaLELO2P22MpKYws1JG4n6BHBPkmms9cLw</v>
      </c>
    </row>
    <row r="474" spans="1:3" ht="15.75" customHeight="1">
      <c r="A474" t="str">
        <f ca="1">IFERROR(__xludf.DUMMYFUNCTION("""COMPUTED_VALUE"""),"Recon")</f>
        <v>Recon</v>
      </c>
      <c r="B474" t="str">
        <f ca="1">IFERROR(__xludf.DUMMYFUNCTION("""COMPUTED_VALUE"""),"GenerateExceptionReport")</f>
        <v>GenerateExceptionReport</v>
      </c>
      <c r="C474" t="str">
        <f ca="1">IFERROR(__xludf.DUMMYFUNCTION("""COMPUTED_VALUE"""),"10mHZ-4hGDgpDcAZFTNOSjWUY0tCOkmljN_PiDLwfInQ")</f>
        <v>10mHZ-4hGDgpDcAZFTNOSjWUY0tCOkmljN_PiDLwfInQ</v>
      </c>
    </row>
    <row r="475" spans="1:3" ht="15.75" customHeight="1">
      <c r="A475" t="str">
        <f ca="1">IFERROR(__xludf.DUMMYFUNCTION("""COMPUTED_VALUE"""),"Recon")</f>
        <v>Recon</v>
      </c>
      <c r="B475" t="str">
        <f ca="1">IFERROR(__xludf.DUMMYFUNCTION("""COMPUTED_VALUE"""),"ImportDataOnRecon")</f>
        <v>ImportDataOnRecon</v>
      </c>
      <c r="C475" t="str">
        <f ca="1">IFERROR(__xludf.DUMMYFUNCTION("""COMPUTED_VALUE"""),"1vSoBC5mnlpIAaj42v6OpnHQkGmK8gaC-xL91AFbqpzk")</f>
        <v>1vSoBC5mnlpIAaj42v6OpnHQkGmK8gaC-xL91AFbqpzk</v>
      </c>
    </row>
    <row r="476" spans="1:3" ht="15.75" customHeight="1">
      <c r="A476" t="str">
        <f ca="1">IFERROR(__xludf.DUMMYFUNCTION("""COMPUTED_VALUE"""),"ShortLocate")</f>
        <v>ShortLocate</v>
      </c>
      <c r="B476" t="str">
        <f ca="1">IFERROR(__xludf.DUMMYFUNCTION("""COMPUTED_VALUE"""),"VerifyShortLocateGrid")</f>
        <v>VerifyShortLocateGrid</v>
      </c>
      <c r="C476" t="str">
        <f ca="1">IFERROR(__xludf.DUMMYFUNCTION("""COMPUTED_VALUE"""),"1qAzz_4B1zB9C9Vo0fwcHW1n3y4NbkaQdOAUu2-lNpqo")</f>
        <v>1qAzz_4B1zB9C9Vo0fwcHW1n3y4NbkaQdOAUu2-lNpqo</v>
      </c>
    </row>
    <row r="477" spans="1:3" ht="15.75" customHeight="1">
      <c r="A477" t="str">
        <f ca="1">IFERROR(__xludf.DUMMYFUNCTION("""COMPUTED_VALUE"""),"Recon")</f>
        <v>Recon</v>
      </c>
      <c r="B477" t="str">
        <f ca="1">IFERROR(__xludf.DUMMYFUNCTION("""COMPUTED_VALUE"""),"VerifyApplicationData")</f>
        <v>VerifyApplicationData</v>
      </c>
      <c r="C477" t="str">
        <f ca="1">IFERROR(__xludf.DUMMYFUNCTION("""COMPUTED_VALUE"""),"1jLU1Bj4VFFNvZ0Wi033TIL8f5pwmJpXs_wwWfZSYsew")</f>
        <v>1jLU1Bj4VFFNvZ0Wi033TIL8f5pwmJpXs_wwWfZSYsew</v>
      </c>
    </row>
    <row r="478" spans="1:3" ht="15.75" customHeight="1">
      <c r="A478" t="str">
        <f ca="1">IFERROR(__xludf.DUMMYFUNCTION("""COMPUTED_VALUE"""),"Recon")</f>
        <v>Recon</v>
      </c>
      <c r="B478" t="str">
        <f ca="1">IFERROR(__xludf.DUMMYFUNCTION("""COMPUTED_VALUE"""),"VerifyExceptionReport")</f>
        <v>VerifyExceptionReport</v>
      </c>
      <c r="C478" t="str">
        <f ca="1">IFERROR(__xludf.DUMMYFUNCTION("""COMPUTED_VALUE"""),"14zGa8XglUbfEDxZkT3kMdelOdTfTP2DE6GmuNtG7Wwk")</f>
        <v>14zGa8XglUbfEDxZkT3kMdelOdTfTP2DE6GmuNtG7Wwk</v>
      </c>
    </row>
    <row r="479" spans="1:3" ht="15.75" customHeight="1">
      <c r="A479" t="str">
        <f ca="1">IFERROR(__xludf.DUMMYFUNCTION("""COMPUTED_VALUE"""),"Recon")</f>
        <v>Recon</v>
      </c>
      <c r="B479" t="str">
        <f ca="1">IFERROR(__xludf.DUMMYFUNCTION("""COMPUTED_VALUE"""),"VerifyPrimeBrokerData")</f>
        <v>VerifyPrimeBrokerData</v>
      </c>
      <c r="C479" t="str">
        <f ca="1">IFERROR(__xludf.DUMMYFUNCTION("""COMPUTED_VALUE"""),"1wcOx1NW-51uplf8YB8fYA6_SoD4MxIc609lcfAUapK8")</f>
        <v>1wcOx1NW-51uplf8YB8fYA6_SoD4MxIc609lcfAUapK8</v>
      </c>
    </row>
    <row r="480" spans="1:3" ht="15.75" customHeight="1">
      <c r="A480" t="str">
        <f ca="1">IFERROR(__xludf.DUMMYFUNCTION("""COMPUTED_VALUE"""),"Admin")</f>
        <v>Admin</v>
      </c>
      <c r="B480" t="str">
        <f ca="1">IFERROR(__xludf.DUMMYFUNCTION("""COMPUTED_VALUE"""),"SetTradingComplianceRules")</f>
        <v>SetTradingComplianceRules</v>
      </c>
      <c r="C480" t="str">
        <f ca="1">IFERROR(__xludf.DUMMYFUNCTION("""COMPUTED_VALUE"""),"17Wu2UvH-BU-Px5WPcyG0Xhz2IxPoaWJqrIt67mvCrAA")</f>
        <v>17Wu2UvH-BU-Px5WPcyG0Xhz2IxPoaWJqrIt67mvCrAA</v>
      </c>
    </row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>
      <c r="A1" s="33" t="s">
        <v>2</v>
      </c>
      <c r="B1" s="31"/>
      <c r="C1" s="32"/>
    </row>
    <row r="2" spans="1:3" ht="15.75" customHeight="1">
      <c r="A2" s="5"/>
      <c r="B2" s="5"/>
      <c r="C2" s="5"/>
    </row>
    <row r="3" spans="1:3" ht="15.75" customHeight="1">
      <c r="A3" s="2" t="s">
        <v>3</v>
      </c>
      <c r="B3" s="7" t="s">
        <v>4</v>
      </c>
      <c r="C3" s="5"/>
    </row>
    <row r="4" spans="1:3" ht="15.75" customHeight="1">
      <c r="A4" s="8" t="s">
        <v>5</v>
      </c>
      <c r="B4" s="7" t="s">
        <v>6</v>
      </c>
      <c r="C4" s="5"/>
    </row>
    <row r="5" spans="1:3" ht="15.75" customHeight="1">
      <c r="A5" s="9"/>
      <c r="B5" s="5"/>
      <c r="C5" s="5"/>
    </row>
    <row r="6" spans="1:3" ht="15.75" customHeight="1">
      <c r="A6" s="9"/>
      <c r="B6" s="5"/>
      <c r="C6" s="5"/>
    </row>
    <row r="7" spans="1:3" ht="15.75" customHeight="1">
      <c r="A7" s="9"/>
      <c r="B7" s="5"/>
      <c r="C7" s="5"/>
    </row>
    <row r="8" spans="1:3" ht="15.75" customHeight="1">
      <c r="A8" s="9"/>
      <c r="B8" s="5"/>
      <c r="C8" s="5"/>
    </row>
    <row r="9" spans="1:3" ht="15.75" customHeight="1">
      <c r="A9" s="9"/>
      <c r="B9" s="5"/>
      <c r="C9" s="5"/>
    </row>
    <row r="10" spans="1:3" ht="15.75" customHeight="1">
      <c r="A10" s="9"/>
      <c r="B10" s="5"/>
      <c r="C10" s="5"/>
    </row>
    <row r="11" spans="1:3" ht="15.75" customHeight="1">
      <c r="A11" s="9"/>
      <c r="B11" s="5"/>
      <c r="C11" s="5"/>
    </row>
    <row r="12" spans="1:3" ht="15.75" customHeight="1">
      <c r="A12" s="9"/>
      <c r="B12" s="5"/>
      <c r="C12" s="5"/>
    </row>
    <row r="13" spans="1:3" ht="15.75" customHeight="1">
      <c r="A13" s="9"/>
      <c r="B13" s="5"/>
      <c r="C13" s="5"/>
    </row>
    <row r="14" spans="1:3" ht="15.75" customHeight="1">
      <c r="A14" s="9"/>
      <c r="B14" s="5"/>
      <c r="C14" s="5"/>
    </row>
    <row r="15" spans="1:3" ht="15.75" customHeight="1">
      <c r="A15" s="9"/>
      <c r="B15" s="5"/>
      <c r="C15" s="5"/>
    </row>
    <row r="16" spans="1:3" ht="15.75" customHeight="1">
      <c r="A16" s="9"/>
      <c r="B16" s="5"/>
      <c r="C16" s="5"/>
    </row>
    <row r="17" spans="1:3" ht="15.75" customHeight="1">
      <c r="A17" s="9"/>
      <c r="B17" s="5"/>
      <c r="C17" s="5"/>
    </row>
    <row r="18" spans="1:3" ht="15.75" customHeight="1">
      <c r="A18" s="9"/>
      <c r="B18" s="5"/>
      <c r="C18" s="5"/>
    </row>
    <row r="19" spans="1:3" ht="15.75" customHeight="1">
      <c r="A19" s="9"/>
      <c r="B19" s="5"/>
      <c r="C19" s="5"/>
    </row>
    <row r="20" spans="1:3" ht="15.75" customHeight="1">
      <c r="A20" s="9"/>
      <c r="B20" s="5"/>
      <c r="C20" s="5"/>
    </row>
    <row r="21" spans="1:3" ht="15.75" customHeight="1">
      <c r="A21" s="9"/>
      <c r="B21" s="5"/>
      <c r="C21" s="5"/>
    </row>
    <row r="22" spans="1:3" ht="15.75" customHeight="1">
      <c r="A22" s="9"/>
      <c r="B22" s="5"/>
      <c r="C22" s="5"/>
    </row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20"/>
  <sheetViews>
    <sheetView workbookViewId="0"/>
  </sheetViews>
  <sheetFormatPr defaultColWidth="17.28515625" defaultRowHeight="15" customHeight="1"/>
  <cols>
    <col min="4" max="4" width="38.42578125" customWidth="1"/>
  </cols>
  <sheetData>
    <row r="1" spans="1:26" ht="15" customHeight="1">
      <c r="A1" s="30" t="s">
        <v>7</v>
      </c>
      <c r="B1" s="31"/>
      <c r="C1" s="31"/>
      <c r="D1" s="31"/>
      <c r="E1" s="31"/>
      <c r="F1" s="32"/>
    </row>
    <row r="2" spans="1:26" ht="15" customHeight="1">
      <c r="A2" s="1"/>
      <c r="B2" s="1"/>
      <c r="C2" s="1"/>
      <c r="D2" s="1"/>
      <c r="E2" s="1"/>
      <c r="F2" s="1"/>
    </row>
    <row r="3" spans="1:26" ht="15" customHeight="1">
      <c r="A3" s="8" t="s">
        <v>8</v>
      </c>
      <c r="B3" s="10" t="s">
        <v>9</v>
      </c>
      <c r="C3" s="10" t="s">
        <v>10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" customHeight="1">
      <c r="A4" t="str">
        <f ca="1">IFERROR(__xludf.DUMMYFUNCTION("IMPORTRANGE('_Settings'!B4,""Master Data!A4:L1000"")"),"TradingTicket")</f>
        <v>TradingTicket</v>
      </c>
      <c r="B4" t="str">
        <f ca="1">IFERROR(__xludf.DUMMYFUNCTION("""COMPUTED_VALUE"""),"TradeUsingTT")</f>
        <v>TradeUsingTT</v>
      </c>
      <c r="C4" t="str">
        <f ca="1">IFERROR(__xludf.DUMMYFUNCTION("""COMPUTED_VALUE"""),"TTTrades")</f>
        <v>TTTrades</v>
      </c>
      <c r="D4" t="str">
        <f ca="1">IFERROR(__xludf.DUMMYFUNCTION("""COMPUTED_VALUE"""),"1Q0knOJ8odySzW9kzE5w8PdOc44G2QBZUfKg5ZvUx-xw")</f>
        <v>1Q0knOJ8odySzW9kzE5w8PdOc44G2QBZUfKg5ZvUx-xw</v>
      </c>
    </row>
    <row r="5" spans="1:26" ht="15" customHeight="1">
      <c r="A5" t="str">
        <f ca="1">IFERROR(__xludf.DUMMYFUNCTION("""COMPUTED_VALUE"""),"Allocation")</f>
        <v>Allocation</v>
      </c>
      <c r="B5" t="str">
        <f ca="1">IFERROR(__xludf.DUMMYFUNCTION("""COMPUTED_VALUE"""),"SelectAllocatedGroup")</f>
        <v>SelectAllocatedGroup</v>
      </c>
      <c r="C5" t="str">
        <f ca="1">IFERROR(__xludf.DUMMYFUNCTION("""COMPUTED_VALUE"""),"TradesForAllocation")</f>
        <v>TradesForAllocation</v>
      </c>
      <c r="D5" t="str">
        <f ca="1">IFERROR(__xludf.DUMMYFUNCTION("""COMPUTED_VALUE"""),"1-RJhOo2E5PhyqaiMEjsPi8RpfYBuiSqE9fj_-bRpkKw")</f>
        <v>1-RJhOo2E5PhyqaiMEjsPi8RpfYBuiSqE9fj_-bRpkKw</v>
      </c>
    </row>
    <row r="6" spans="1:26" ht="15" customHeight="1">
      <c r="A6" t="str">
        <f ca="1">IFERROR(__xludf.DUMMYFUNCTION("""COMPUTED_VALUE"""),"Allocation")</f>
        <v>Allocation</v>
      </c>
      <c r="B6" t="str">
        <f ca="1">IFERROR(__xludf.DUMMYFUNCTION("""COMPUTED_VALUE"""),"SelectUnallocatedGroup")</f>
        <v>SelectUnallocatedGroup</v>
      </c>
      <c r="C6" t="str">
        <f ca="1">IFERROR(__xludf.DUMMYFUNCTION("""COMPUTED_VALUE"""),"TradesForAllocation")</f>
        <v>TradesForAllocation</v>
      </c>
      <c r="D6" t="str">
        <f ca="1">IFERROR(__xludf.DUMMYFUNCTION("""COMPUTED_VALUE"""),"1-RJhOo2E5PhyqaiMEjsPi8RpfYBuiSqE9fj_-bRpkKw")</f>
        <v>1-RJhOo2E5PhyqaiMEjsPi8RpfYBuiSqE9fj_-bRpkKw</v>
      </c>
    </row>
    <row r="7" spans="1:26" ht="15" customHeight="1">
      <c r="A7" t="str">
        <f ca="1">IFERROR(__xludf.DUMMYFUNCTION("""COMPUTED_VALUE"""),"TradingTicket")</f>
        <v>TradingTicket</v>
      </c>
      <c r="B7" t="str">
        <f ca="1">IFERROR(__xludf.DUMMYFUNCTION("""COMPUTED_VALUE"""),"CreateDoneAwayOrder")</f>
        <v>CreateDoneAwayOrder</v>
      </c>
      <c r="C7" t="str">
        <f ca="1">IFERROR(__xludf.DUMMYFUNCTION("""COMPUTED_VALUE"""),"TTInput")</f>
        <v>TTInput</v>
      </c>
      <c r="D7" t="str">
        <f ca="1">IFERROR(__xludf.DUMMYFUNCTION("""COMPUTED_VALUE"""),"1b5S4Xpp4fgZ1ez6cK92QFnVBylqz8jhwxdAyEvwDqUI")</f>
        <v>1b5S4Xpp4fgZ1ez6cK92QFnVBylqz8jhwxdAyEvwDqUI</v>
      </c>
    </row>
    <row r="8" spans="1:26" ht="15" customHeight="1">
      <c r="A8" t="str">
        <f ca="1">IFERROR(__xludf.DUMMYFUNCTION("""COMPUTED_VALUE"""),"Allocation")</f>
        <v>Allocation</v>
      </c>
      <c r="B8" t="str">
        <f ca="1">IFERROR(__xludf.DUMMYFUNCTION("""COMPUTED_VALUE"""),"SetGroupingRules")</f>
        <v>SetGroupingRules</v>
      </c>
      <c r="C8" t="str">
        <f ca="1">IFERROR(__xludf.DUMMYFUNCTION("""COMPUTED_VALUE"""),"GroupingRules")</f>
        <v>GroupingRules</v>
      </c>
      <c r="D8" t="str">
        <f ca="1">IFERROR(__xludf.DUMMYFUNCTION("""COMPUTED_VALUE"""),"1oiITP7kpTv6Zgm5fpjzHWhIjzPRoRqS_CIZxqoxWRkA")</f>
        <v>1oiITP7kpTv6Zgm5fpjzHWhIjzPRoRqS_CIZxqoxWRkA</v>
      </c>
    </row>
    <row r="9" spans="1:26" ht="15" customHeight="1">
      <c r="A9" t="str">
        <f ca="1">IFERROR(__xludf.DUMMYFUNCTION("""COMPUTED_VALUE"""),"Allocation")</f>
        <v>Allocation</v>
      </c>
      <c r="B9" t="str">
        <f ca="1">IFERROR(__xludf.DUMMYFUNCTION("""COMPUTED_VALUE"""),"CheckUnallocatedGroups")</f>
        <v>CheckUnallocatedGroups</v>
      </c>
      <c r="C9" t="str">
        <f ca="1">IFERROR(__xludf.DUMMYFUNCTION("""COMPUTED_VALUE"""),"UnallocatedGroupCheck")</f>
        <v>UnallocatedGroupCheck</v>
      </c>
      <c r="D9" t="str">
        <f ca="1">IFERROR(__xludf.DUMMYFUNCTION("""COMPUTED_VALUE"""),"1c7aP-E18Fb8lEVGiXac03BLoNVdUNRzodD2Xjn-9pzU")</f>
        <v>1c7aP-E18Fb8lEVGiXac03BLoNVdUNRzodD2Xjn-9pzU</v>
      </c>
    </row>
    <row r="10" spans="1:26" ht="15" customHeight="1">
      <c r="A10" t="str">
        <f ca="1">IFERROR(__xludf.DUMMYFUNCTION("""COMPUTED_VALUE"""),"GeneralLedger")</f>
        <v>GeneralLedger</v>
      </c>
      <c r="B10" t="str">
        <f ca="1">IFERROR(__xludf.DUMMYFUNCTION("""COMPUTED_VALUE"""),"GetTradingTransaction")</f>
        <v>GetTradingTransaction</v>
      </c>
      <c r="C10" t="str">
        <f ca="1">IFERROR(__xludf.DUMMYFUNCTION("""COMPUTED_VALUE"""),"GetTradingTransaction")</f>
        <v>GetTradingTransaction</v>
      </c>
      <c r="D10" t="str">
        <f ca="1">IFERROR(__xludf.DUMMYFUNCTION("""COMPUTED_VALUE"""),"1IuJkgEDoDUSnmXhZVZdA_x-3VnlMPyzRsUMpf_eRTTQ")</f>
        <v>1IuJkgEDoDUSnmXhZVZdA_x-3VnlMPyzRsUMpf_eRTTQ</v>
      </c>
    </row>
    <row r="11" spans="1:26" ht="15" customHeight="1">
      <c r="A11" t="str">
        <f ca="1">IFERROR(__xludf.DUMMYFUNCTION("""COMPUTED_VALUE"""),"TradingTicket")</f>
        <v>TradingTicket</v>
      </c>
      <c r="B11" t="str">
        <f ca="1">IFERROR(__xludf.DUMMYFUNCTION("""COMPUTED_VALUE"""),"CreateDoneAwayOrder")</f>
        <v>CreateDoneAwayOrder</v>
      </c>
      <c r="C11" t="str">
        <f ca="1">IFERROR(__xludf.DUMMYFUNCTION("""COMPUTED_VALUE"""),"CreateDoneAwayOrder")</f>
        <v>CreateDoneAwayOrder</v>
      </c>
      <c r="D11" t="str">
        <f ca="1">IFERROR(__xludf.DUMMYFUNCTION("""COMPUTED_VALUE"""),"1Wybl1BX2sjPWI0uYzeN6KZO-tnk3-pf5NWNrZR7m_8I")</f>
        <v>1Wybl1BX2sjPWI0uYzeN6KZO-tnk3-pf5NWNrZR7m_8I</v>
      </c>
    </row>
    <row r="12" spans="1:26" ht="15" customHeight="1">
      <c r="A12" t="str">
        <f ca="1">IFERROR(__xludf.DUMMYFUNCTION("""COMPUTED_VALUE"""),"Allocation")</f>
        <v>Allocation</v>
      </c>
      <c r="B12" t="str">
        <f ca="1">IFERROR(__xludf.DUMMYFUNCTION("""COMPUTED_VALUE"""),"GeneralPreferencesDefaultRule")</f>
        <v>GeneralPreferencesDefaultRule</v>
      </c>
      <c r="C12" t="str">
        <f ca="1">IFERROR(__xludf.DUMMYFUNCTION("""COMPUTED_VALUE"""),"GeneralPreferencesDefualtRules")</f>
        <v>GeneralPreferencesDefualtRules</v>
      </c>
      <c r="D12" t="str">
        <f ca="1">IFERROR(__xludf.DUMMYFUNCTION("""COMPUTED_VALUE"""),"1t-y8DW-cux-RoCJhMs9d4iDbW4QOQ-BXfiT1GYQBvbw")</f>
        <v>1t-y8DW-cux-RoCJhMs9d4iDbW4QOQ-BXfiT1GYQBvbw</v>
      </c>
    </row>
    <row r="13" spans="1:26" ht="15" customHeight="1">
      <c r="A13" t="str">
        <f ca="1">IFERROR(__xludf.DUMMYFUNCTION("""COMPUTED_VALUE"""),"Allocation")</f>
        <v>Allocation</v>
      </c>
      <c r="B13" t="str">
        <f ca="1">IFERROR(__xludf.DUMMYFUNCTION("""COMPUTED_VALUE"""),"GeneralPrefCompanyUserWise")</f>
        <v>GeneralPrefCompanyUserWise</v>
      </c>
      <c r="C13" t="str">
        <f ca="1">IFERROR(__xludf.DUMMYFUNCTION("""COMPUTED_VALUE"""),"GeneralPrefCoUserRules")</f>
        <v>GeneralPrefCoUserRules</v>
      </c>
      <c r="D13" t="str">
        <f ca="1">IFERROR(__xludf.DUMMYFUNCTION("""COMPUTED_VALUE"""),"154-ES2jrM9C4VoMik8t5SCjN2LjvQHLPe8ANoIosIcc")</f>
        <v>154-ES2jrM9C4VoMik8t5SCjN2LjvQHLPe8ANoIosIcc</v>
      </c>
    </row>
    <row r="14" spans="1:26" ht="15" customHeight="1">
      <c r="A14" t="str">
        <f ca="1">IFERROR(__xludf.DUMMYFUNCTION("""COMPUTED_VALUE"""),"Allocation")</f>
        <v>Allocation</v>
      </c>
      <c r="B14" t="str">
        <f ca="1">IFERROR(__xludf.DUMMYFUNCTION("""COMPUTED_VALUE"""),"EnterAccountValuesToAllocate")</f>
        <v>EnterAccountValuesToAllocate</v>
      </c>
      <c r="C14" t="str">
        <f ca="1">IFERROR(__xludf.DUMMYFUNCTION("""COMPUTED_VALUE"""),"AccountValues")</f>
        <v>AccountValues</v>
      </c>
      <c r="D14" t="str">
        <f ca="1">IFERROR(__xludf.DUMMYFUNCTION("""COMPUTED_VALUE"""),"1mOtszotVOdqHquQTLi-4CBnAUrtAF2MEABuvYJh_hzw")</f>
        <v>1mOtszotVOdqHquQTLi-4CBnAUrtAF2MEABuvYJh_hzw</v>
      </c>
    </row>
    <row r="15" spans="1:26" ht="15" customHeight="1">
      <c r="A15" t="str">
        <f ca="1">IFERROR(__xludf.DUMMYFUNCTION("""COMPUTED_VALUE"""),"Allocation")</f>
        <v>Allocation</v>
      </c>
      <c r="B15" t="str">
        <f ca="1">IFERROR(__xludf.DUMMYFUNCTION("""COMPUTED_VALUE"""),"CheckFixedPreference")</f>
        <v>CheckFixedPreference</v>
      </c>
      <c r="C15" t="str">
        <f ca="1">IFERROR(__xludf.DUMMYFUNCTION("""COMPUTED_VALUE"""),"CheckFixedPreference")</f>
        <v>CheckFixedPreference</v>
      </c>
      <c r="D15" t="str">
        <f ca="1">IFERROR(__xludf.DUMMYFUNCTION("""COMPUTED_VALUE"""),"1RNofLIplBOnX_vwsD6AecMNF72I9x58kWSMHVy9EgsM")</f>
        <v>1RNofLIplBOnX_vwsD6AecMNF72I9x58kWSMHVy9EgsM</v>
      </c>
    </row>
    <row r="16" spans="1:26" ht="15" customHeight="1">
      <c r="A16" t="str">
        <f ca="1">IFERROR(__xludf.DUMMYFUNCTION("""COMPUTED_VALUE"""),"Allocation")</f>
        <v>Allocation</v>
      </c>
      <c r="B16" t="str">
        <f ca="1">IFERROR(__xludf.DUMMYFUNCTION("""COMPUTED_VALUE"""),"SetAccountValueCalculatedPref")</f>
        <v>SetAccountValueCalculatedPref</v>
      </c>
      <c r="C16" t="str">
        <f ca="1">IFERROR(__xludf.DUMMYFUNCTION("""COMPUTED_VALUE"""),"AccountValueCalculatePref")</f>
        <v>AccountValueCalculatePref</v>
      </c>
      <c r="D16" t="str">
        <f ca="1">IFERROR(__xludf.DUMMYFUNCTION("""COMPUTED_VALUE"""),"1svq-61dzaRHeNDz1TSSUPXQbbN3Mi4bhNQabvGVoz2c")</f>
        <v>1svq-61dzaRHeNDz1TSSUPXQbbN3Mi4bhNQabvGVoz2c</v>
      </c>
    </row>
    <row r="17" spans="1:4" ht="15" customHeight="1">
      <c r="A17" t="str">
        <f ca="1">IFERROR(__xludf.DUMMYFUNCTION("""COMPUTED_VALUE"""),"Allocation")</f>
        <v>Allocation</v>
      </c>
      <c r="B17" t="str">
        <f ca="1">IFERROR(__xludf.DUMMYFUNCTION("""COMPUTED_VALUE"""),"SetDefaultRuleCalculatedPref")</f>
        <v>SetDefaultRuleCalculatedPref</v>
      </c>
      <c r="C17" t="str">
        <f ca="1">IFERROR(__xludf.DUMMYFUNCTION("""COMPUTED_VALUE"""),"DefaultRuleCalculatePref")</f>
        <v>DefaultRuleCalculatePref</v>
      </c>
      <c r="D17" t="str">
        <f ca="1">IFERROR(__xludf.DUMMYFUNCTION("""COMPUTED_VALUE"""),"1j6MD8nFEuJNo52Mp8uXbXRmrJs802rnEIiTOEuZFdWA")</f>
        <v>1j6MD8nFEuJNo52Mp8uXbXRmrJs802rnEIiTOEuZFdWA</v>
      </c>
    </row>
    <row r="18" spans="1:4" ht="15" customHeight="1">
      <c r="A18" t="str">
        <f ca="1">IFERROR(__xludf.DUMMYFUNCTION("""COMPUTED_VALUE"""),"Allocation")</f>
        <v>Allocation</v>
      </c>
      <c r="B18" t="str">
        <f ca="1">IFERROR(__xludf.DUMMYFUNCTION("""COMPUTED_VALUE"""),"SetStrategyValueCalculatedPref")</f>
        <v>SetStrategyValueCalculatedPref</v>
      </c>
      <c r="C18" t="str">
        <f ca="1">IFERROR(__xludf.DUMMYFUNCTION("""COMPUTED_VALUE"""),"StrategyValueCalculatedPref")</f>
        <v>StrategyValueCalculatedPref</v>
      </c>
      <c r="D18" t="str">
        <f ca="1">IFERROR(__xludf.DUMMYFUNCTION("""COMPUTED_VALUE"""),"1rt8inh4u7qHUhCAFSaa2kmPKLkqeh3uljucYajdto60")</f>
        <v>1rt8inh4u7qHUhCAFSaa2kmPKLkqeh3uljucYajdto60</v>
      </c>
    </row>
    <row r="19" spans="1:4" ht="15" customHeight="1">
      <c r="A19" t="str">
        <f ca="1">IFERROR(__xludf.DUMMYFUNCTION("""COMPUTED_VALUE"""),"Allocation")</f>
        <v>Allocation</v>
      </c>
      <c r="B19" t="str">
        <f ca="1">IFERROR(__xludf.DUMMYFUNCTION("""COMPUTED_VALUE"""),"SetGeneralPreferences")</f>
        <v>SetGeneralPreferences</v>
      </c>
      <c r="C19" t="str">
        <f ca="1">IFERROR(__xludf.DUMMYFUNCTION("""COMPUTED_VALUE"""),"GeneralPreferences")</f>
        <v>GeneralPreferences</v>
      </c>
      <c r="D19" t="str">
        <f ca="1">IFERROR(__xludf.DUMMYFUNCTION("""COMPUTED_VALUE"""),"1lI4loUxqzsE3IjuxIjsVY3cB4J_eTKFPPDuXngut4FE")</f>
        <v>1lI4loUxqzsE3IjuxIjsVY3cB4J_eTKFPPDuXngut4FE</v>
      </c>
    </row>
    <row r="20" spans="1:4" ht="15" customHeight="1">
      <c r="A20" t="str">
        <f ca="1">IFERROR(__xludf.DUMMYFUNCTION("""COMPUTED_VALUE"""),"Closing")</f>
        <v>Closing</v>
      </c>
      <c r="B20" t="str">
        <f ca="1">IFERROR(__xludf.DUMMYFUNCTION("""COMPUTED_VALUE"""),"AutomaticClosing")</f>
        <v>AutomaticClosing</v>
      </c>
      <c r="C20" t="str">
        <f ca="1">IFERROR(__xludf.DUMMYFUNCTION("""COMPUTED_VALUE"""),"AutomaticClosingMasterData")</f>
        <v>AutomaticClosingMasterData</v>
      </c>
      <c r="D20" t="str">
        <f ca="1">IFERROR(__xludf.DUMMYFUNCTION("""COMPUTED_VALUE"""),"1zwv-aZp-DRCpq8bqLR0XRiyt0av-GAm0ORqbhnV-FKI")</f>
        <v>1zwv-aZp-DRCpq8bqLR0XRiyt0av-GAm0ORqbhnV-FKI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0" t="s">
        <v>11</v>
      </c>
      <c r="C1" s="31"/>
      <c r="D1" s="31"/>
      <c r="E1" s="31"/>
      <c r="F1" s="31"/>
      <c r="G1" s="31"/>
      <c r="H1" s="3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IFERROR(__xludf.DUMMYFUNCTION("IF(C3="""","""",Transpose(IMPORTRANGE('_Settings'!$B$3,C3&amp;""!A4:A1000"")))"),"SetTTUIPreferences")</f>
        <v>SetTTUIPreferences</v>
      </c>
      <c r="C4" s="19" t="str">
        <f ca="1">IFERROR(__xludf.DUMMYFUNCTION("""COMPUTED_VALUE"""),"TTPermissionLevel")</f>
        <v>TTPermissionLevel</v>
      </c>
      <c r="D4" s="19" t="str">
        <f ca="1">IFERROR(__xludf.DUMMYFUNCTION("""COMPUTED_VALUE"""),"SetCheckSide")</f>
        <v>SetCheckSide</v>
      </c>
      <c r="E4" s="19" t="str">
        <f ca="1">IFERROR(__xludf.DUMMYFUNCTION("""COMPUTED_VALUE"""),"SetRollover")</f>
        <v>SetRollover</v>
      </c>
      <c r="F4" s="19" t="str">
        <f ca="1">IFERROR(__xludf.DUMMYFUNCTION("""COMPUTED_VALUE"""),"SetActive")</f>
        <v>SetActive</v>
      </c>
      <c r="G4" s="19" t="str">
        <f ca="1">IFERROR(__xludf.DUMMYFUNCTION("""COMPUTED_VALUE"""),"SetThirdPartyFormat")</f>
        <v>SetThirdPartyFormat</v>
      </c>
      <c r="H4" s="19" t="str">
        <f ca="1">IFERROR(__xludf.DUMMYFUNCTION("""COMPUTED_VALUE"""),"SetTradingComplianceRules")</f>
        <v>SetTradingComplianceRules</v>
      </c>
      <c r="I4" s="19"/>
      <c r="J4" s="19"/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IFERROR(__xludf.DUMMYFUNCTION("""COMPUTED_VALUE"""),"OverSellTradingRule")</f>
        <v>OverSellTradingRule</v>
      </c>
      <c r="C5" s="22" t="str">
        <f ca="1">IFERROR(__xludf.DUMMYFUNCTION("""COMPUTED_VALUE"""),"OverBuyTradingRule")</f>
        <v>OverBuyTradingRule</v>
      </c>
      <c r="D5" s="22" t="str">
        <f ca="1">IFERROR(__xludf.DUMMYFUNCTION("""COMPUTED_VALUE"""),"FatFingerTradingRule")</f>
        <v>FatFingerTradingRule</v>
      </c>
      <c r="E5" s="22" t="str">
        <f ca="1">IFERROR(__xludf.DUMMYFUNCTION("""COMPUTED_VALUE"""),"UnallocatedTradeAlert")</f>
        <v>UnallocatedTradeAlert</v>
      </c>
      <c r="F5" s="23" t="str">
        <f ca="1">IFERROR(__xludf.DUMMYFUNCTION("""COMPUTED_VALUE"""),"DuplicateTradeAlert")</f>
        <v>DuplicateTradeAlert</v>
      </c>
      <c r="G5" s="22" t="str">
        <f ca="1">IFERROR(__xludf.DUMMYFUNCTION("""COMPUTED_VALUE"""),"PendingNewOrderAlert")</f>
        <v>PendingNewOrderAlert</v>
      </c>
      <c r="H5" s="22" t="str">
        <f ca="1">IFERROR(__xludf.DUMMYFUNCTION("""COMPUTED_VALUE"""),"FatFingerPercent")</f>
        <v>FatFingerPercent</v>
      </c>
      <c r="I5" s="22" t="str">
        <f ca="1">IFERROR(__xludf.DUMMYFUNCTION("""COMPUTED_VALUE"""),"DuplicateTradeAlertTime")</f>
        <v>DuplicateTradeAlertTime</v>
      </c>
      <c r="J5" s="22" t="str">
        <f ca="1">IFERROR(__xludf.DUMMYFUNCTION("""COMPUTED_VALUE"""),"PendingNewOrderAlertTime")</f>
        <v>PendingNewOrderAlertTime</v>
      </c>
      <c r="K5" s="22" t="str">
        <f ca="1">IFERROR(__xludf.DUMMYFUNCTION("""COMPUTED_VALUE"""),"FatFingerAccountOrMasterfund")</f>
        <v>FatFingerAccountOrMasterfund</v>
      </c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b">
        <v>1</v>
      </c>
      <c r="C6" s="5"/>
      <c r="D6" s="7"/>
      <c r="E6" s="25"/>
      <c r="F6" s="5"/>
      <c r="G6" s="5"/>
      <c r="H6" s="7"/>
      <c r="I6" s="7"/>
      <c r="J6" s="7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0" t="s">
        <v>11</v>
      </c>
      <c r="C1" s="31"/>
      <c r="D1" s="31"/>
      <c r="E1" s="31"/>
      <c r="F1" s="31"/>
      <c r="G1" s="31"/>
      <c r="H1" s="3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str">
        <f ca="1">VLOOKUP($E$3,_MasterData!B4:D1000,3,FALSE)</f>
        <v>1b5S4Xpp4fgZ1ez6cK92QFnVBylqz8jhwxdAyEvwDqUI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16</v>
      </c>
      <c r="D3" s="2" t="s">
        <v>9</v>
      </c>
      <c r="E3" s="17" t="s">
        <v>17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IFERROR(__xludf.DUMMYFUNCTION("""COMPUTED_VALUE"""),"ChkBoxBookAsSwap")</f>
        <v>ChkBoxBookAsSwap</v>
      </c>
      <c r="AO5" s="24" t="str">
        <f ca="1">IFERROR(__xludf.DUMMYFUNCTION("""COMPUTED_VALUE"""),"PopUpQuantity")</f>
        <v>PopUpQuantity</v>
      </c>
      <c r="AP5" s="24" t="str">
        <f ca="1">IFERROR(__xludf.DUMMYFUNCTION("""COMPUTED_VALUE"""),"Borrow Quantity")</f>
        <v>Borrow Quantity</v>
      </c>
      <c r="AQ5" s="24" t="str">
        <f ca="1">IFERROR(__xludf.DUMMYFUNCTION("""COMPUTED_VALUE"""),"ShortLocate")</f>
        <v>ShortLocate</v>
      </c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18</v>
      </c>
      <c r="C6" s="7" t="s">
        <v>19</v>
      </c>
      <c r="D6" s="7">
        <v>500</v>
      </c>
      <c r="E6" s="7">
        <v>500</v>
      </c>
      <c r="F6" s="7" t="s">
        <v>20</v>
      </c>
      <c r="G6" s="5"/>
      <c r="H6" s="5"/>
      <c r="I6" s="5"/>
      <c r="J6" s="7">
        <v>10</v>
      </c>
      <c r="K6" s="5"/>
      <c r="L6" s="5"/>
      <c r="M6" s="5"/>
      <c r="N6" s="5"/>
      <c r="O6" s="5"/>
    </row>
    <row r="7" spans="1:154" ht="15.75" customHeight="1">
      <c r="A7" s="5"/>
      <c r="B7" s="7" t="s">
        <v>18</v>
      </c>
      <c r="C7" s="7" t="s">
        <v>21</v>
      </c>
      <c r="D7" s="7">
        <v>600</v>
      </c>
      <c r="E7" s="7">
        <v>600</v>
      </c>
      <c r="F7" s="7" t="s">
        <v>20</v>
      </c>
      <c r="G7" s="5"/>
      <c r="H7" s="5"/>
      <c r="I7" s="5"/>
      <c r="J7" s="7">
        <v>10</v>
      </c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0" t="s">
        <v>11</v>
      </c>
      <c r="C1" s="31"/>
      <c r="D1" s="31"/>
      <c r="E1" s="31"/>
      <c r="F1" s="31"/>
      <c r="G1" s="31"/>
      <c r="H1" s="3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22</v>
      </c>
      <c r="D3" s="2" t="s">
        <v>9</v>
      </c>
      <c r="E3" s="17" t="s">
        <v>23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IFERROR(__xludf.DUMMYFUNCTION("""COMPUTED_VALUE"""),"Current User")</f>
        <v>Current 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1")</f>
        <v>Trade Attribute 1</v>
      </c>
      <c r="R5" s="22" t="str">
        <f ca="1">IFERROR(__xludf.DUMMYFUNCTION("""COMPUTED_VALUE"""),"Trade Attribute 2")</f>
        <v>Trade Attribute 2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IFERROR(__xludf.DUMMYFUNCTION("""COMPUTED_VALUE"""),"Start of Day Qty")</f>
        <v>Start of Day Qty</v>
      </c>
      <c r="AZ5" s="24" t="str">
        <f ca="1">IFERROR(__xludf.DUMMYFUNCTION("""COMPUTED_VALUE"""),"Leaves")</f>
        <v>Leaves</v>
      </c>
      <c r="BA5" s="24" t="str">
        <f ca="1">IFERROR(__xludf.DUMMYFUNCTION("""COMPUTED_VALUE"""),"Actual User")</f>
        <v>Actual User</v>
      </c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/>
      <c r="C6" s="5"/>
      <c r="D6" s="7">
        <v>10</v>
      </c>
      <c r="E6" s="25"/>
      <c r="F6" s="5"/>
      <c r="G6" s="5"/>
      <c r="H6" s="5"/>
      <c r="I6" s="5"/>
      <c r="J6" s="5"/>
      <c r="K6" s="5"/>
      <c r="L6" s="5"/>
      <c r="M6" s="5"/>
      <c r="N6" s="5"/>
      <c r="O6" s="5"/>
      <c r="AD6" s="6">
        <v>1</v>
      </c>
      <c r="AH6" s="6" t="s">
        <v>24</v>
      </c>
      <c r="AI6" s="6" t="s">
        <v>18</v>
      </c>
      <c r="AJ6" s="6" t="s">
        <v>19</v>
      </c>
      <c r="AK6" s="6" t="s">
        <v>25</v>
      </c>
      <c r="AL6" s="6">
        <v>500</v>
      </c>
      <c r="AM6" s="6">
        <v>500</v>
      </c>
      <c r="AN6" s="6">
        <v>100</v>
      </c>
      <c r="AO6" s="6">
        <v>500</v>
      </c>
      <c r="AQ6" s="6">
        <v>10</v>
      </c>
      <c r="AR6" s="6">
        <v>10</v>
      </c>
      <c r="AS6" s="6" t="s">
        <v>26</v>
      </c>
      <c r="AT6" s="6" t="s">
        <v>20</v>
      </c>
      <c r="AU6" s="6" t="s">
        <v>27</v>
      </c>
      <c r="AV6" s="6">
        <v>5000</v>
      </c>
      <c r="AW6" s="6">
        <v>5000</v>
      </c>
      <c r="AY6" s="6">
        <v>500</v>
      </c>
      <c r="AZ6" s="6">
        <v>0</v>
      </c>
    </row>
    <row r="7" spans="1:154" ht="15.75" customHeight="1">
      <c r="A7" s="5"/>
      <c r="B7" s="5"/>
      <c r="C7" s="5"/>
      <c r="D7" s="7">
        <v>10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AD7" s="6">
        <v>1</v>
      </c>
      <c r="AH7" s="6" t="s">
        <v>24</v>
      </c>
      <c r="AI7" s="6" t="s">
        <v>18</v>
      </c>
      <c r="AJ7" s="6" t="s">
        <v>21</v>
      </c>
      <c r="AK7" s="6" t="s">
        <v>25</v>
      </c>
      <c r="AL7" s="6">
        <v>600</v>
      </c>
      <c r="AM7" s="6">
        <v>600</v>
      </c>
      <c r="AN7" s="6">
        <v>100</v>
      </c>
      <c r="AO7" s="6">
        <v>600</v>
      </c>
      <c r="AQ7" s="6">
        <v>10</v>
      </c>
      <c r="AR7" s="6">
        <v>10</v>
      </c>
      <c r="AS7" s="6" t="s">
        <v>26</v>
      </c>
      <c r="AT7" s="6" t="s">
        <v>20</v>
      </c>
      <c r="AU7" s="6" t="s">
        <v>27</v>
      </c>
      <c r="AV7" s="6">
        <v>-6000</v>
      </c>
      <c r="AW7" s="6">
        <v>-6000</v>
      </c>
      <c r="AY7" s="6">
        <v>600</v>
      </c>
      <c r="AZ7" s="6">
        <v>0</v>
      </c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0" t="s">
        <v>11</v>
      </c>
      <c r="C1" s="31"/>
      <c r="D1" s="31"/>
      <c r="E1" s="31"/>
      <c r="F1" s="31"/>
      <c r="G1" s="31"/>
      <c r="H1" s="3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28</v>
      </c>
      <c r="D3" s="2" t="s">
        <v>9</v>
      </c>
      <c r="E3" s="17" t="s">
        <v>29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IFERROR(__xludf.DUMMYFUNCTION("""COMPUTED_VALUE"""),"FilterTabName")</f>
        <v>FilterTabName</v>
      </c>
      <c r="F5" s="23" t="str">
        <f ca="1">IFERROR(__xludf.DUMMYFUNCTION("""COMPUTED_VALUE"""),"Symbol")</f>
        <v>Symbol</v>
      </c>
      <c r="G5" s="22" t="str">
        <f ca="1">IFERROR(__xludf.DUMMYFUNCTION("""COMPUTED_VALUE"""),"Asset")</f>
        <v>Asset</v>
      </c>
      <c r="H5" s="22" t="str">
        <f ca="1">IFERROR(__xludf.DUMMYFUNCTION("""COMPUTED_VALUE"""),"Side")</f>
        <v>Side</v>
      </c>
      <c r="I5" s="22" t="str">
        <f ca="1">IFERROR(__xludf.DUMMYFUNCTION("""COMPUTED_VALUE"""),"Account")</f>
        <v>Account</v>
      </c>
      <c r="J5" s="22" t="str">
        <f ca="1">IFERROR(__xludf.DUMMYFUNCTION("""COMPUTED_VALUE"""),"Broker")</f>
        <v>Broker</v>
      </c>
      <c r="K5" s="22" t="str">
        <f ca="1">IFERROR(__xludf.DUMMYFUNCTION("""COMPUTED_VALUE"""),"Currency")</f>
        <v>Currency</v>
      </c>
      <c r="L5" s="22" t="str">
        <f ca="1">IFERROR(__xludf.DUMMYFUNCTION("""COMPUTED_VALUE"""),"Exchange")</f>
        <v>Exchange</v>
      </c>
      <c r="M5" s="22" t="str">
        <f ca="1">IFERROR(__xludf.DUMMYFUNCTION("""COMPUTED_VALUE"""),"StrategyName")</f>
        <v>StrategyName</v>
      </c>
      <c r="N5" s="22" t="str">
        <f ca="1">IFERROR(__xludf.DUMMYFUNCTION("""COMPUTED_VALUE"""),"Underlying")</f>
        <v>Underlying</v>
      </c>
      <c r="O5" s="22" t="str">
        <f ca="1">IFERROR(__xludf.DUMMYFUNCTION("""COMPUTED_VALUE"""),"Venue")</f>
        <v>Venue</v>
      </c>
      <c r="P5" s="22" t="str">
        <f ca="1">IFERROR(__xludf.DUMMYFUNCTION("""COMPUTED_VALUE"""),"TradingAccount")</f>
        <v>TradingAccount</v>
      </c>
      <c r="Q5" s="22" t="str">
        <f ca="1">IFERROR(__xludf.DUMMYFUNCTION("""COMPUTED_VALUE"""),"PreAllocated")</f>
        <v>PreAllocated</v>
      </c>
      <c r="R5" s="22" t="str">
        <f ca="1">IFERROR(__xludf.DUMMYFUNCTION("""COMPUTED_VALUE"""),"ManualGroup")</f>
        <v>ManualGroup</v>
      </c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30</v>
      </c>
      <c r="C6" s="5"/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0" t="s">
        <v>11</v>
      </c>
      <c r="C1" s="31"/>
      <c r="D1" s="31"/>
      <c r="E1" s="31"/>
      <c r="F1" s="31"/>
      <c r="G1" s="31"/>
      <c r="H1" s="3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28</v>
      </c>
      <c r="D3" s="2" t="s">
        <v>9</v>
      </c>
      <c r="E3" s="17" t="s">
        <v>31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IFERROR(__xludf.DUMMYFUNCTION("""COMPUTED_VALUE"""),"Accrual Basis")</f>
        <v>Accrual Basis</v>
      </c>
      <c r="D5" s="22" t="str">
        <f ca="1">IFERROR(__xludf.DUMMYFUNCTION("""COMPUTED_VALUE"""),"Accrued Interest")</f>
        <v>Accrued Interest</v>
      </c>
      <c r="E5" s="22" t="str">
        <f ca="1">IFERROR(__xludf.DUMMYFUNCTION("""COMPUTED_VALUE"""),"Allocated Qty")</f>
        <v>Allocated Qty</v>
      </c>
      <c r="F5" s="23" t="str">
        <f ca="1">IFERROR(__xludf.DUMMYFUNCTION("""COMPUTED_VALUE"""),"Allocation Scheme Name")</f>
        <v>Allocation Scheme Name</v>
      </c>
      <c r="G5" s="22" t="str">
        <f ca="1">IFERROR(__xludf.DUMMYFUNCTION("""COMPUTED_VALUE"""),"Asset Category")</f>
        <v>Asset Category</v>
      </c>
      <c r="H5" s="22" t="str">
        <f ca="1">IFERROR(__xludf.DUMMYFUNCTION("""COMPUTED_VALUE"""),"AUEC Fee1")</f>
        <v>AUEC Fee1</v>
      </c>
      <c r="I5" s="22" t="str">
        <f ca="1">IFERROR(__xludf.DUMMYFUNCTION("""COMPUTED_VALUE"""),"AUEC Fee2")</f>
        <v>AUEC Fee2</v>
      </c>
      <c r="J5" s="22" t="str">
        <f ca="1">IFERROR(__xludf.DUMMYFUNCTION("""COMPUTED_VALUE"""),"AUECID")</f>
        <v>AUECID</v>
      </c>
      <c r="K5" s="22" t="str">
        <f ca="1">IFERROR(__xludf.DUMMYFUNCTION("""COMPUTED_VALUE"""),"Avg Price(Base)")</f>
        <v>Avg Price(Base)</v>
      </c>
      <c r="L5" s="22" t="str">
        <f ca="1">IFERROR(__xludf.DUMMYFUNCTION("""COMPUTED_VALUE"""),"Avg Price(Local)")</f>
        <v>Avg Price(Local)</v>
      </c>
      <c r="M5" s="22" t="str">
        <f ca="1">IFERROR(__xludf.DUMMYFUNCTION("""COMPUTED_VALUE"""),"Bloomberg")</f>
        <v>Bloomberg</v>
      </c>
      <c r="N5" s="22" t="str">
        <f ca="1">IFERROR(__xludf.DUMMYFUNCTION("""COMPUTED_VALUE"""),"Bond Type")</f>
        <v>Bond Type</v>
      </c>
      <c r="O5" s="22" t="str">
        <f ca="1">IFERROR(__xludf.DUMMYFUNCTION("""COMPUTED_VALUE"""),"Broker")</f>
        <v>Broker</v>
      </c>
      <c r="P5" s="22" t="str">
        <f ca="1">IFERROR(__xludf.DUMMYFUNCTION("""COMPUTED_VALUE"""),"Change Comment")</f>
        <v>Change Comment</v>
      </c>
      <c r="Q5" s="22" t="str">
        <f ca="1">IFERROR(__xludf.DUMMYFUNCTION("""COMPUTED_VALUE"""),"Change Type")</f>
        <v>Change Type</v>
      </c>
      <c r="R5" s="22" t="str">
        <f ca="1">IFERROR(__xludf.DUMMYFUNCTION("""COMPUTED_VALUE"""),"Clearing Broker Fee")</f>
        <v>Clearing Broker Fee</v>
      </c>
      <c r="S5" s="22" t="str">
        <f ca="1">IFERROR(__xludf.DUMMYFUNCTION("""COMPUTED_VALUE"""),"Closing Status")</f>
        <v>Closing Status</v>
      </c>
      <c r="T5" s="24" t="str">
        <f ca="1">IFERROR(__xludf.DUMMYFUNCTION("""COMPUTED_VALUE"""),"Commission")</f>
        <v>Commission</v>
      </c>
      <c r="U5" s="24" t="str">
        <f ca="1">IFERROR(__xludf.DUMMYFUNCTION("""COMPUTED_VALUE"""),"Commission Per Share")</f>
        <v>Commission Per Share</v>
      </c>
      <c r="V5" s="24" t="str">
        <f ca="1">IFERROR(__xludf.DUMMYFUNCTION("""COMPUTED_VALUE"""),"Company")</f>
        <v>Company</v>
      </c>
      <c r="W5" s="24" t="str">
        <f ca="1">IFERROR(__xludf.DUMMYFUNCTION("""COMPUTED_VALUE"""),"Contract Multiplier")</f>
        <v>Contract Multiplier</v>
      </c>
      <c r="X5" s="24" t="str">
        <f ca="1">IFERROR(__xludf.DUMMYFUNCTION("""COMPUTED_VALUE"""),"Coupon Rate")</f>
        <v>Coupon Rate</v>
      </c>
      <c r="Y5" s="24" t="str">
        <f ca="1">IFERROR(__xludf.DUMMYFUNCTION("""COMPUTED_VALUE"""),"Cum Qty For Sub Order")</f>
        <v>Cum Qty For Sub Order</v>
      </c>
      <c r="Z5" s="24" t="str">
        <f ca="1">IFERROR(__xludf.DUMMYFUNCTION("""COMPUTED_VALUE"""),"Currency")</f>
        <v>Currency</v>
      </c>
      <c r="AA5" s="24" t="str">
        <f ca="1">IFERROR(__xludf.DUMMYFUNCTION("""COMPUTED_VALUE"""),"Cusip Symbol")</f>
        <v>Cusip Symbol</v>
      </c>
      <c r="AB5" s="24" t="str">
        <f ca="1">IFERROR(__xludf.DUMMYFUNCTION("""COMPUTED_VALUE"""),"Delta")</f>
        <v>Delta</v>
      </c>
      <c r="AC5" s="24" t="str">
        <f ca="1">IFERROR(__xludf.DUMMYFUNCTION("""COMPUTED_VALUE"""),"Description")</f>
        <v>Description</v>
      </c>
      <c r="AD5" s="24" t="str">
        <f ca="1">IFERROR(__xludf.DUMMYFUNCTION("""COMPUTED_VALUE"""),"Exchange")</f>
        <v>Exchange</v>
      </c>
      <c r="AE5" s="24" t="str">
        <f ca="1">IFERROR(__xludf.DUMMYFUNCTION("""COMPUTED_VALUE"""),"Executed Qty")</f>
        <v>Executed Qty</v>
      </c>
      <c r="AF5" s="24" t="str">
        <f ca="1">IFERROR(__xludf.DUMMYFUNCTION("""COMPUTED_VALUE"""),"Exceution Time")</f>
        <v>Exceution Time</v>
      </c>
      <c r="AG5" s="24" t="str">
        <f ca="1">IFERROR(__xludf.DUMMYFUNCTION("""COMPUTED_VALUE"""),"Expiration Date")</f>
        <v>Expiration Date</v>
      </c>
      <c r="AH5" s="24" t="str">
        <f ca="1">IFERROR(__xludf.DUMMYFUNCTION("""COMPUTED_VALUE"""),"FX Conversion Operator")</f>
        <v>FX Conversion Operator</v>
      </c>
      <c r="AI5" s="24" t="str">
        <f ca="1">IFERROR(__xludf.DUMMYFUNCTION("""COMPUTED_VALUE"""),"FX Rate")</f>
        <v>FX Rate</v>
      </c>
      <c r="AJ5" s="24" t="str">
        <f ca="1">IFERROR(__xludf.DUMMYFUNCTION("""COMPUTED_VALUE"""),"Group Status")</f>
        <v>Group Status</v>
      </c>
      <c r="AK5" s="24" t="str">
        <f ca="1">IFERROR(__xludf.DUMMYFUNCTION("""COMPUTED_VALUE"""),"IDCOSymbol")</f>
        <v>IDCOSymbol</v>
      </c>
      <c r="AL5" s="24" t="str">
        <f ca="1">IFERROR(__xludf.DUMMYFUNCTION("""COMPUTED_VALUE"""),"Import File Name")</f>
        <v>Import File Name</v>
      </c>
      <c r="AM5" s="24" t="str">
        <f ca="1">IFERROR(__xludf.DUMMYFUNCTION("""COMPUTED_VALUE"""),"Internal Comments")</f>
        <v>Internal Comments</v>
      </c>
      <c r="AN5" s="24" t="str">
        <f ca="1">IFERROR(__xludf.DUMMYFUNCTION("""COMPUTED_VALUE"""),"IsAnotherTaxlotAttributesUpdated")</f>
        <v>IsAnotherTaxlotAttributesUpdated</v>
      </c>
      <c r="AO5" s="24" t="str">
        <f ca="1">IFERROR(__xludf.DUMMYFUNCTION("""COMPUTED_VALUE"""),"ISIN")</f>
        <v>ISIN</v>
      </c>
      <c r="AP5" s="24" t="str">
        <f ca="1">IFERROR(__xludf.DUMMYFUNCTION("""COMPUTED_VALUE"""),"IsManualGroup")</f>
        <v>IsManualGroup</v>
      </c>
      <c r="AQ5" s="24" t="str">
        <f ca="1">IFERROR(__xludf.DUMMYFUNCTION("""COMPUTED_VALUE"""),"ISNDF")</f>
        <v>ISNDF</v>
      </c>
      <c r="AR5" s="24" t="str">
        <f ca="1">IFERROR(__xludf.DUMMYFUNCTION("""COMPUTED_VALUE"""),"IsPreAllocated")</f>
        <v>IsPreAllocated</v>
      </c>
      <c r="AS5" s="24" t="str">
        <f ca="1">IFERROR(__xludf.DUMMYFUNCTION("""COMPUTED_VALUE"""),"M2MProfitLoss")</f>
        <v>M2MProfitLoss</v>
      </c>
      <c r="AT5" s="24" t="str">
        <f ca="1">IFERROR(__xludf.DUMMYFUNCTION("""COMPUTED_VALUE"""),"Net Amount( Base)")</f>
        <v>Net Amount( Base)</v>
      </c>
      <c r="AU5" s="24" t="str">
        <f ca="1">IFERROR(__xludf.DUMMYFUNCTION("""COMPUTED_VALUE"""),"Net Amount( Local)")</f>
        <v>Net Amount( Local)</v>
      </c>
      <c r="AV5" s="24" t="str">
        <f ca="1">IFERROR(__xludf.DUMMYFUNCTION("""COMPUTED_VALUE"""),"Nirvana Process Date")</f>
        <v>Nirvana Process Date</v>
      </c>
      <c r="AW5" s="24" t="str">
        <f ca="1">IFERROR(__xludf.DUMMYFUNCTION("""COMPUTED_VALUE"""),"OCC Fee")</f>
        <v>OCC Fee</v>
      </c>
      <c r="AX5" s="24" t="str">
        <f ca="1">IFERROR(__xludf.DUMMYFUNCTION("""COMPUTED_VALUE"""),"Option Premium Adjustment")</f>
        <v>Option Premium Adjustment</v>
      </c>
      <c r="AY5" s="24" t="str">
        <f ca="1">IFERROR(__xludf.DUMMYFUNCTION("""COMPUTED_VALUE"""),"Order Type")</f>
        <v>Order Type</v>
      </c>
      <c r="AZ5" s="24" t="str">
        <f ca="1">IFERROR(__xludf.DUMMYFUNCTION("""COMPUTED_VALUE"""),"ORF Fee")</f>
        <v>ORF Fee</v>
      </c>
      <c r="BA5" s="24" t="str">
        <f ca="1">IFERROR(__xludf.DUMMYFUNCTION("""COMPUTED_VALUE"""),"Original Purchase Date")</f>
        <v>Original Purchase Date</v>
      </c>
      <c r="BB5" s="24" t="str">
        <f ca="1">IFERROR(__xludf.DUMMYFUNCTION("""COMPUTED_VALUE"""),"OSISSymbol")</f>
        <v>OSISSymbol</v>
      </c>
      <c r="BC5" s="24" t="str">
        <f ca="1">IFERROR(__xludf.DUMMYFUNCTION("""COMPUTED_VALUE"""),"Other Broker Fees")</f>
        <v>Other Broker Fees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IFERROR(__xludf.DUMMYFUNCTION("""COMPUTED_VALUE"""),"Principal Amount( Base)")</f>
        <v>Principal Amount( Base)</v>
      </c>
      <c r="BF5" s="24" t="str">
        <f ca="1">IFERROR(__xludf.DUMMYFUNCTION("""COMPUTED_VALUE"""),"Principal Amount( Local)")</f>
        <v>Principal Amount( Local)</v>
      </c>
      <c r="BG5" s="24" t="str">
        <f ca="1">IFERROR(__xludf.DUMMYFUNCTION("""COMPUTED_VALUE"""),"Process Date")</f>
        <v>Process Date</v>
      </c>
      <c r="BH5" s="24" t="str">
        <f ca="1">IFERROR(__xludf.DUMMYFUNCTION("""COMPUTED_VALUE"""),"Proxy Symbol")</f>
        <v>Proxy Symbol</v>
      </c>
      <c r="BI5" s="24" t="str">
        <f ca="1">IFERROR(__xludf.DUMMYFUNCTION("""COMPUTED_VALUE"""),"Put Or Call")</f>
        <v>Put Or Call</v>
      </c>
      <c r="BJ5" s="24" t="str">
        <f ca="1">IFERROR(__xludf.DUMMYFUNCTION("""COMPUTED_VALUE"""),"Quantity")</f>
        <v>Quantity</v>
      </c>
      <c r="BK5" s="24" t="str">
        <f ca="1">IFERROR(__xludf.DUMMYFUNCTION("""COMPUTED_VALUE"""),"SEC Fee")</f>
        <v>SEC Fee</v>
      </c>
      <c r="BL5" s="24" t="str">
        <f ca="1">IFERROR(__xludf.DUMMYFUNCTION("""COMPUTED_VALUE"""),"Sedol Symbol")</f>
        <v>Sedol Symbol</v>
      </c>
      <c r="BM5" s="24" t="str">
        <f ca="1">IFERROR(__xludf.DUMMYFUNCTION("""COMPUTED_VALUE"""),"Settlement Currency")</f>
        <v>Settlement Currency</v>
      </c>
      <c r="BN5" s="24" t="str">
        <f ca="1">IFERROR(__xludf.DUMMYFUNCTION("""COMPUTED_VALUE"""),"Settlement Date")</f>
        <v>Settlement Date</v>
      </c>
      <c r="BO5" s="24" t="str">
        <f ca="1">IFERROR(__xludf.DUMMYFUNCTION("""COMPUTED_VALUE"""),"Side")</f>
        <v>Side</v>
      </c>
      <c r="BP5" s="24" t="str">
        <f ca="1">IFERROR(__xludf.DUMMYFUNCTION("""COMPUTED_VALUE"""),"Soft Commission")</f>
        <v>Soft Commission</v>
      </c>
      <c r="BQ5" s="24" t="str">
        <f ca="1">IFERROR(__xludf.DUMMYFUNCTION("""COMPUTED_VALUE"""),"Soft Commission Per Share")</f>
        <v>Soft Commission Per Share</v>
      </c>
      <c r="BR5" s="24" t="str">
        <f ca="1">IFERROR(__xludf.DUMMYFUNCTION("""COMPUTED_VALUE"""),"Stamp Duty")</f>
        <v>Stamp Duty</v>
      </c>
      <c r="BS5" s="24" t="str">
        <f ca="1">IFERROR(__xludf.DUMMYFUNCTION("""COMPUTED_VALUE"""),"Strategy Name")</f>
        <v>Strategy Name</v>
      </c>
      <c r="BT5" s="24" t="str">
        <f ca="1">IFERROR(__xludf.DUMMYFUNCTION("""COMPUTED_VALUE"""),"Symbol")</f>
        <v>Symbol</v>
      </c>
      <c r="BU5" s="24" t="str">
        <f ca="1">IFERROR(__xludf.DUMMYFUNCTION("""COMPUTED_VALUE"""),"Tax On Commissions")</f>
        <v>Tax On Commissions</v>
      </c>
      <c r="BV5" s="24" t="str">
        <f ca="1">IFERROR(__xludf.DUMMYFUNCTION("""COMPUTED_VALUE"""),"Total Commission")</f>
        <v>Total Commission</v>
      </c>
      <c r="BW5" s="24" t="str">
        <f ca="1">IFERROR(__xludf.DUMMYFUNCTION("""COMPUTED_VALUE"""),"Total Commission And Fee")</f>
        <v>Total Commission And Fee</v>
      </c>
      <c r="BX5" s="24" t="str">
        <f ca="1">IFERROR(__xludf.DUMMYFUNCTION("""COMPUTED_VALUE"""),"Total Commission Per Share")</f>
        <v>Total Commission Per Share</v>
      </c>
      <c r="BY5" s="24" t="str">
        <f ca="1">IFERROR(__xludf.DUMMYFUNCTION("""COMPUTED_VALUE"""),"Trade Attribute 1")</f>
        <v>Trade Attribute 1</v>
      </c>
      <c r="BZ5" s="24" t="str">
        <f ca="1">IFERROR(__xludf.DUMMYFUNCTION("""COMPUTED_VALUE"""),"Trade Attribute 2")</f>
        <v>Trade Attribute 2</v>
      </c>
      <c r="CA5" s="24" t="str">
        <f ca="1">IFERROR(__xludf.DUMMYFUNCTION("""COMPUTED_VALUE"""),"Trade Attribute 3")</f>
        <v>Trade Attribute 3</v>
      </c>
      <c r="CB5" s="24" t="str">
        <f ca="1">IFERROR(__xludf.DUMMYFUNCTION("""COMPUTED_VALUE"""),"Trade Attribute 4")</f>
        <v>Trade Attribute 4</v>
      </c>
      <c r="CC5" s="24" t="str">
        <f ca="1">IFERROR(__xludf.DUMMYFUNCTION("""COMPUTED_VALUE"""),"Trade Attribute 5")</f>
        <v>Trade Attribute 5</v>
      </c>
      <c r="CD5" s="24" t="str">
        <f ca="1">IFERROR(__xludf.DUMMYFUNCTION("""COMPUTED_VALUE"""),"Trade Attribute 6")</f>
        <v>Trade Attribute 6</v>
      </c>
      <c r="CE5" s="24" t="str">
        <f ca="1">IFERROR(__xludf.DUMMYFUNCTION("""COMPUTED_VALUE"""),"Trade Date")</f>
        <v>Trade Date</v>
      </c>
      <c r="CF5" s="24" t="str">
        <f ca="1">IFERROR(__xludf.DUMMYFUNCTION("""COMPUTED_VALUE"""),"Trading Account")</f>
        <v>Trading Account</v>
      </c>
      <c r="CG5" s="24" t="str">
        <f ca="1">IFERROR(__xludf.DUMMYFUNCTION("""COMPUTED_VALUE"""),"Transaction Levy")</f>
        <v>Transaction Levy</v>
      </c>
      <c r="CH5" s="24" t="str">
        <f ca="1">IFERROR(__xludf.DUMMYFUNCTION("""COMPUTED_VALUE"""),"Transaction Source")</f>
        <v>Transaction Source</v>
      </c>
      <c r="CI5" s="24" t="str">
        <f ca="1">IFERROR(__xludf.DUMMYFUNCTION("""COMPUTED_VALUE"""),"Transaction Type")</f>
        <v>Transaction Type</v>
      </c>
      <c r="CJ5" s="24" t="str">
        <f ca="1">IFERROR(__xludf.DUMMYFUNCTION("""COMPUTED_VALUE"""),"UnAllocatedQty")</f>
        <v>UnAllocatedQty</v>
      </c>
      <c r="CK5" s="24" t="str">
        <f ca="1">IFERROR(__xludf.DUMMYFUNCTION("""COMPUTED_VALUE"""),"Underlying")</f>
        <v>Underlying</v>
      </c>
      <c r="CL5" s="24" t="str">
        <f ca="1">IFERROR(__xludf.DUMMYFUNCTION("""COMPUTED_VALUE"""),"Underlying Delta")</f>
        <v>Underlying Delta</v>
      </c>
      <c r="CM5" s="24" t="str">
        <f ca="1">IFERROR(__xludf.DUMMYFUNCTION("""COMPUTED_VALUE"""),"Underlying Symbol")</f>
        <v>Underlying Symbol</v>
      </c>
      <c r="CN5" s="24" t="str">
        <f ca="1">IFERROR(__xludf.DUMMYFUNCTION("""COMPUTED_VALUE"""),"User")</f>
        <v>User</v>
      </c>
      <c r="CO5" s="24" t="str">
        <f ca="1">IFERROR(__xludf.DUMMYFUNCTION("""COMPUTED_VALUE"""),"Venue")</f>
        <v>Venue</v>
      </c>
      <c r="CP5" s="24" t="str">
        <f ca="1">IFERROR(__xludf.DUMMYFUNCTION("""COMPUTED_VALUE"""),"Closing Method")</f>
        <v>Closing Method</v>
      </c>
      <c r="CQ5" s="24" t="str">
        <f ca="1">IFERROR(__xludf.DUMMYFUNCTION("""COMPUTED_VALUE"""),"Closing Date")</f>
        <v>Closing Date</v>
      </c>
      <c r="CR5" s="24" t="str">
        <f ca="1">IFERROR(__xludf.DUMMYFUNCTION("""COMPUTED_VALUE"""),"GroupID")</f>
        <v>GroupID</v>
      </c>
      <c r="CS5" s="24" t="str">
        <f ca="1">IFERROR(__xludf.DUMMYFUNCTION("""COMPUTED_VALUE"""),"Client")</f>
        <v>Client</v>
      </c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26" t="s">
        <v>20</v>
      </c>
      <c r="C6" s="5"/>
      <c r="D6" s="27">
        <v>0</v>
      </c>
      <c r="E6" s="27">
        <v>500</v>
      </c>
      <c r="F6" s="5"/>
      <c r="G6" s="7" t="s">
        <v>24</v>
      </c>
      <c r="H6" s="27">
        <v>4</v>
      </c>
      <c r="I6" s="27">
        <v>5</v>
      </c>
      <c r="J6" s="5"/>
      <c r="K6" s="27">
        <v>10</v>
      </c>
      <c r="L6" s="27">
        <v>10</v>
      </c>
      <c r="M6" s="5"/>
      <c r="N6" s="5"/>
      <c r="O6" s="7" t="s">
        <v>26</v>
      </c>
      <c r="Q6" s="27">
        <v>3</v>
      </c>
      <c r="S6" s="6" t="s">
        <v>32</v>
      </c>
      <c r="T6" s="27">
        <v>0</v>
      </c>
      <c r="U6" s="27">
        <v>0</v>
      </c>
      <c r="AE6" s="27">
        <v>500</v>
      </c>
      <c r="AI6" s="6">
        <v>1</v>
      </c>
      <c r="AT6" s="27">
        <v>5014.0028000000002</v>
      </c>
      <c r="AU6" s="27">
        <v>5014.0028000000002</v>
      </c>
      <c r="AW6" s="27">
        <v>0</v>
      </c>
      <c r="AX6" s="27">
        <v>0</v>
      </c>
      <c r="AY6" s="6" t="s">
        <v>27</v>
      </c>
      <c r="AZ6" s="27">
        <v>0</v>
      </c>
      <c r="BC6" s="27">
        <v>0</v>
      </c>
      <c r="BE6" s="27">
        <v>5000</v>
      </c>
      <c r="BF6" s="27">
        <v>5000</v>
      </c>
      <c r="BJ6" s="27">
        <v>500</v>
      </c>
      <c r="BO6" s="28" t="s">
        <v>19</v>
      </c>
      <c r="BT6" s="6" t="s">
        <v>18</v>
      </c>
      <c r="BU6" s="27">
        <v>3</v>
      </c>
      <c r="BV6" s="27">
        <v>0</v>
      </c>
      <c r="BW6" s="27">
        <v>14.002800000000001</v>
      </c>
      <c r="BX6" s="27">
        <v>0</v>
      </c>
      <c r="CI6" s="28" t="s">
        <v>19</v>
      </c>
      <c r="CJ6" s="27">
        <v>0</v>
      </c>
    </row>
    <row r="7" spans="1:154" ht="15.75" customHeight="1">
      <c r="A7" s="5"/>
      <c r="B7" s="28" t="s">
        <v>20</v>
      </c>
      <c r="C7" s="5"/>
      <c r="D7" s="27">
        <v>0</v>
      </c>
      <c r="E7" s="27">
        <v>600</v>
      </c>
      <c r="F7" s="5"/>
      <c r="G7" s="7" t="s">
        <v>24</v>
      </c>
      <c r="H7" s="27">
        <v>4</v>
      </c>
      <c r="I7" s="27">
        <v>5</v>
      </c>
      <c r="J7" s="5"/>
      <c r="K7" s="27">
        <v>10</v>
      </c>
      <c r="L7" s="27">
        <v>10</v>
      </c>
      <c r="M7" s="5"/>
      <c r="N7" s="5"/>
      <c r="O7" s="7" t="s">
        <v>26</v>
      </c>
      <c r="Q7" s="27">
        <v>3</v>
      </c>
      <c r="S7" s="6" t="s">
        <v>32</v>
      </c>
      <c r="T7" s="27">
        <v>0</v>
      </c>
      <c r="U7" s="27">
        <v>0</v>
      </c>
      <c r="AE7" s="27">
        <v>600</v>
      </c>
      <c r="AI7" s="6">
        <v>1</v>
      </c>
      <c r="AT7" s="27">
        <v>5985.9966000000004</v>
      </c>
      <c r="AU7" s="27">
        <v>5985.9966000000004</v>
      </c>
      <c r="AW7" s="27">
        <v>0</v>
      </c>
      <c r="AX7" s="27">
        <v>0</v>
      </c>
      <c r="AY7" s="6" t="s">
        <v>27</v>
      </c>
      <c r="AZ7" s="27">
        <v>0</v>
      </c>
      <c r="BC7" s="27">
        <v>0</v>
      </c>
      <c r="BE7" s="27">
        <v>6000</v>
      </c>
      <c r="BF7" s="27">
        <v>6000</v>
      </c>
      <c r="BJ7" s="27">
        <v>600</v>
      </c>
      <c r="BO7" s="28" t="s">
        <v>21</v>
      </c>
      <c r="BT7" s="6" t="s">
        <v>18</v>
      </c>
      <c r="BU7" s="27">
        <v>3</v>
      </c>
      <c r="BV7" s="27">
        <v>0</v>
      </c>
      <c r="BW7" s="27">
        <v>14.003399999999999</v>
      </c>
      <c r="BX7" s="27">
        <v>0</v>
      </c>
      <c r="CI7" s="28" t="s">
        <v>21</v>
      </c>
      <c r="CJ7" s="27">
        <v>0</v>
      </c>
    </row>
    <row r="8" spans="1:154" ht="15.75" customHeight="1">
      <c r="A8" s="5"/>
      <c r="B8" s="5"/>
      <c r="C8" s="5"/>
      <c r="D8" s="5"/>
      <c r="E8" s="28"/>
      <c r="F8" s="5"/>
      <c r="G8" s="5"/>
      <c r="H8" s="5"/>
      <c r="I8" s="28"/>
      <c r="J8" s="5"/>
      <c r="K8" s="5"/>
      <c r="L8" s="5"/>
      <c r="M8" s="5"/>
      <c r="N8" s="5"/>
      <c r="O8" s="5"/>
      <c r="BE8" s="28"/>
      <c r="BF8" s="28"/>
      <c r="BO8" s="28"/>
      <c r="BV8" s="28"/>
      <c r="CJ8" s="28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BE9" s="28"/>
      <c r="BF9" s="28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L100"/>
  <sheetViews>
    <sheetView tabSelected="1" topLeftCell="BE1" workbookViewId="0">
      <selection activeCell="BK5" sqref="BK5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68" width="14.42578125" customWidth="1"/>
  </cols>
  <sheetData>
    <row r="1" spans="1:168" ht="15.75" customHeight="1">
      <c r="A1" s="13"/>
      <c r="B1" s="30" t="s">
        <v>11</v>
      </c>
      <c r="C1" s="31"/>
      <c r="D1" s="31"/>
      <c r="E1" s="31"/>
      <c r="F1" s="31"/>
      <c r="G1" s="31"/>
      <c r="H1" s="3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</row>
    <row r="2" spans="1:168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68" ht="15.75" customHeight="1">
      <c r="A3" s="16"/>
      <c r="B3" s="2" t="s">
        <v>8</v>
      </c>
      <c r="C3" s="17" t="s">
        <v>33</v>
      </c>
      <c r="D3" s="2" t="s">
        <v>9</v>
      </c>
      <c r="E3" s="17" t="s">
        <v>34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  <c r="FL3" s="18"/>
    </row>
    <row r="4" spans="1:168" ht="15.75" customHeight="1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 t="str">
        <f ca="1">IFERROR(__xludf.DUMMYFUNCTION("""COMPUTED_VALUE"""),"RemoveGroupingFromPM")</f>
        <v>RemoveGroupingFromPM</v>
      </c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  <c r="FL4" s="20"/>
    </row>
    <row r="5" spans="1:168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IFERROR(__xludf.DUMMYFUNCTION("""COMPUTED_VALUE"""),"Trade Date")</f>
        <v>Trade Date</v>
      </c>
      <c r="C5" s="22" t="str">
        <f ca="1">IFERROR(__xludf.DUMMYFUNCTION("""COMPUTED_VALUE"""),"Symbol")</f>
        <v>Symbol</v>
      </c>
      <c r="D5" s="22" t="str">
        <f ca="1">IFERROR(__xludf.DUMMYFUNCTION("""COMPUTED_VALUE"""),"Position")</f>
        <v>Position</v>
      </c>
      <c r="E5" s="22" t="str">
        <f ca="1">IFERROR(__xludf.DUMMYFUNCTION("""COMPUTED_VALUE"""),"Account")</f>
        <v>Account</v>
      </c>
      <c r="F5" s="23" t="str">
        <f ca="1">IFERROR(__xludf.DUMMYFUNCTION("""COMPUTED_VALUE"""),"MasterFund")</f>
        <v>MasterFund</v>
      </c>
      <c r="G5" s="22" t="str">
        <f ca="1">IFERROR(__xludf.DUMMYFUNCTION("""COMPUTED_VALUE"""),"Cost Basis")</f>
        <v>Cost Basis</v>
      </c>
      <c r="H5" s="22" t="str">
        <f ca="1">IFERROR(__xludf.DUMMYFUNCTION("""COMPUTED_VALUE"""),"Position Side")</f>
        <v>Position Side</v>
      </c>
      <c r="I5" s="22" t="str">
        <f ca="1">IFERROR(__xludf.DUMMYFUNCTION("""COMPUTED_VALUE"""),"Market Value (Base)")</f>
        <v>Market Value (Base)</v>
      </c>
      <c r="J5" s="22" t="str">
        <f ca="1">IFERROR(__xludf.DUMMYFUNCTION("""COMPUTED_VALUE"""),"% Day P&amp;L (Gross MV)")</f>
        <v>% Day P&amp;L (Gross MV)</v>
      </c>
      <c r="K5" s="22" t="str">
        <f ca="1">IFERROR(__xludf.DUMMYFUNCTION("""COMPUTED_VALUE"""),"Net Exposure (Base)")</f>
        <v>Net Exposure (Base)</v>
      </c>
      <c r="L5" s="22" t="str">
        <f ca="1">IFERROR(__xludf.DUMMYFUNCTION("""COMPUTED_VALUE"""),"Beta Adj. Gross Exposure (Base)")</f>
        <v>Beta Adj. Gross Exposure (Base)</v>
      </c>
      <c r="M5" s="22" t="str">
        <f ca="1">IFERROR(__xludf.DUMMYFUNCTION("""COMPUTED_VALUE"""),"Beta Adj. Gross Exposure (Underlying) (Base)")</f>
        <v>Beta Adj. Gross Exposure (Underlying) (Base)</v>
      </c>
      <c r="N5" s="22" t="str">
        <f ca="1">IFERROR(__xludf.DUMMYFUNCTION("""COMPUTED_VALUE"""),"Day P&amp;L (Base)")</f>
        <v>Day P&amp;L (Base)</v>
      </c>
      <c r="O5" s="22" t="str">
        <f ca="1">IFERROR(__xludf.DUMMYFUNCTION("""COMPUTED_VALUE"""),"Security Name")</f>
        <v>Security Name</v>
      </c>
      <c r="P5" s="22" t="str">
        <f ca="1">IFERROR(__xludf.DUMMYFUNCTION("""COMPUTED_VALUE"""),"Closing Mark")</f>
        <v>Closing Mark</v>
      </c>
      <c r="Q5" s="22" t="str">
        <f ca="1">IFERROR(__xludf.DUMMYFUNCTION("""COMPUTED_VALUE"""),"Cost Basis P&amp;L (Base)")</f>
        <v>Cost Basis P&amp;L (Base)</v>
      </c>
      <c r="R5" s="22" t="str">
        <f ca="1">IFERROR(__xludf.DUMMYFUNCTION("""COMPUTED_VALUE"""),"Prime Broker")</f>
        <v>Prime Broker</v>
      </c>
      <c r="S5" s="22" t="str">
        <f ca="1">IFERROR(__xludf.DUMMYFUNCTION("""COMPUTED_VALUE"""),"Strategy")</f>
        <v>Strategy</v>
      </c>
      <c r="T5" s="24" t="str">
        <f ca="1">IFERROR(__xludf.DUMMYFUNCTION("""COMPUTED_VALUE"""),"Asset Class")</f>
        <v>Asset Class</v>
      </c>
      <c r="U5" s="24" t="str">
        <f ca="1">IFERROR(__xludf.DUMMYFUNCTION("""COMPUTED_VALUE"""),"Underlying")</f>
        <v>Underlying</v>
      </c>
      <c r="V5" s="24" t="str">
        <f ca="1">IFERROR(__xludf.DUMMYFUNCTION("""COMPUTED_VALUE"""),"Exchange")</f>
        <v>Exchange</v>
      </c>
      <c r="W5" s="24" t="str">
        <f ca="1">IFERROR(__xludf.DUMMYFUNCTION("""COMPUTED_VALUE"""),"Trade Currency")</f>
        <v>Trade Currency</v>
      </c>
      <c r="X5" s="24" t="str">
        <f ca="1">IFERROR(__xludf.DUMMYFUNCTION("""COMPUTED_VALUE"""),"Multiplier")</f>
        <v>Multiplier</v>
      </c>
      <c r="Y5" s="24" t="str">
        <f ca="1">IFERROR(__xludf.DUMMYFUNCTION("""COMPUTED_VALUE"""),"FX Rate")</f>
        <v>FX Rate</v>
      </c>
      <c r="Z5" s="24" t="str">
        <f ca="1">IFERROR(__xludf.DUMMYFUNCTION("""COMPUTED_VALUE"""),"Vs Currency")</f>
        <v>Vs Currency</v>
      </c>
      <c r="AA5" s="24" t="str">
        <f ca="1">IFERROR(__xludf.DUMMYFUNCTION("""COMPUTED_VALUE"""),"Lead Currency")</f>
        <v>Lead Currency</v>
      </c>
      <c r="AB5" s="24" t="str">
        <f ca="1">IFERROR(__xludf.DUMMYFUNCTION("""COMPUTED_VALUE"""),"Dividend Yield (%)")</f>
        <v>Dividend Yield (%)</v>
      </c>
      <c r="AC5" s="24" t="str">
        <f ca="1">IFERROR(__xludf.DUMMYFUNCTION("""COMPUTED_VALUE"""),"% Change")</f>
        <v>% Change</v>
      </c>
      <c r="AD5" s="24" t="str">
        <f ca="1">IFERROR(__xludf.DUMMYFUNCTION("""COMPUTED_VALUE"""),"Net Exposure (Local)")</f>
        <v>Net Exposure (Local)</v>
      </c>
      <c r="AE5" s="24" t="str">
        <f ca="1">IFERROR(__xludf.DUMMYFUNCTION("""COMPUTED_VALUE"""),"Exposure (Local)")</f>
        <v>Exposure (Local)</v>
      </c>
      <c r="AF5" s="24" t="str">
        <f ca="1">IFERROR(__xludf.DUMMYFUNCTION("""COMPUTED_VALUE"""),"Delta Adj. Position")</f>
        <v>Delta Adj. Position</v>
      </c>
      <c r="AG5" s="24" t="str">
        <f ca="1">IFERROR(__xludf.DUMMYFUNCTION("""COMPUTED_VALUE"""),"Exposure (Base)")</f>
        <v>Exposure (Base)</v>
      </c>
      <c r="AH5" s="24" t="str">
        <f ca="1">IFERROR(__xludf.DUMMYFUNCTION("""COMPUTED_VALUE"""),"Beta Adj. Exposure (Local)")</f>
        <v>Beta Adj. Exposure (Local)</v>
      </c>
      <c r="AI5" s="24" t="str">
        <f ca="1">IFERROR(__xludf.DUMMYFUNCTION("""COMPUTED_VALUE"""),"Beta Adj. Exposure (Base)")</f>
        <v>Beta Adj. Exposure (Base)</v>
      </c>
      <c r="AJ5" s="24" t="str">
        <f ca="1">IFERROR(__xludf.DUMMYFUNCTION("""COMPUTED_VALUE"""),"Exposure (BP)(Base)")</f>
        <v>Exposure (BP)(Base)</v>
      </c>
      <c r="AK5" s="24" t="str">
        <f ca="1">IFERROR(__xludf.DUMMYFUNCTION("""COMPUTED_VALUE"""),"Day P&amp;L (Local)")</f>
        <v>Day P&amp;L (Local)</v>
      </c>
      <c r="AL5" s="24" t="str">
        <f ca="1">IFERROR(__xludf.DUMMYFUNCTION("""COMPUTED_VALUE"""),"Delta")</f>
        <v>Delta</v>
      </c>
      <c r="AM5" s="24" t="str">
        <f ca="1">IFERROR(__xludf.DUMMYFUNCTION("""COMPUTED_VALUE"""),"Leveraged Factor")</f>
        <v>Leveraged Factor</v>
      </c>
      <c r="AN5" s="24" t="str">
        <f ca="1">IFERROR(__xludf.DUMMYFUNCTION("""COMPUTED_VALUE"""),"Order Side")</f>
        <v>Order Side</v>
      </c>
      <c r="AO5" s="24" t="str">
        <f ca="1">IFERROR(__xludf.DUMMYFUNCTION("""COMPUTED_VALUE"""),"Master Strategy")</f>
        <v>Master Strategy</v>
      </c>
      <c r="AP5" s="24" t="str">
        <f ca="1">IFERROR(__xludf.DUMMYFUNCTION("""COMPUTED_VALUE"""),"Transaction Side")</f>
        <v>Transaction Side</v>
      </c>
      <c r="AQ5" s="24" t="str">
        <f ca="1">IFERROR(__xludf.DUMMYFUNCTION("""COMPUTED_VALUE"""),"Underlying Symbol")</f>
        <v>Underlying Symbol</v>
      </c>
      <c r="AR5" s="24" t="str">
        <f ca="1">IFERROR(__xludf.DUMMYFUNCTION("""COMPUTED_VALUE"""),"Underlying Price")</f>
        <v>Underlying Price</v>
      </c>
      <c r="AS5" s="24" t="str">
        <f ca="1">IFERROR(__xludf.DUMMYFUNCTION("""COMPUTED_VALUE"""),"Side Multiplier")</f>
        <v>Side Multiplier</v>
      </c>
      <c r="AT5" s="24" t="str">
        <f ca="1">IFERROR(__xludf.DUMMYFUNCTION("""COMPUTED_VALUE"""),"Description")</f>
        <v>Description</v>
      </c>
      <c r="AU5" s="24" t="str">
        <f ca="1">IFERROR(__xludf.DUMMYFUNCTION("""COMPUTED_VALUE"""),"Internal Comments")</f>
        <v>Internal Comments</v>
      </c>
      <c r="AV5" s="24" t="str">
        <f ca="1">IFERROR(__xludf.DUMMYFUNCTION("""COMPUTED_VALUE"""),"FX Rate On Trade Date")</f>
        <v>FX Rate On Trade Date</v>
      </c>
      <c r="AW5" s="24" t="str">
        <f ca="1">IFERROR(__xludf.DUMMYFUNCTION("""COMPUTED_VALUE"""),"Cost Basis P&amp;L (Local)")</f>
        <v>Cost Basis P&amp;L (Local)</v>
      </c>
      <c r="AX5" s="24" t="str">
        <f ca="1">IFERROR(__xludf.DUMMYFUNCTION("""COMPUTED_VALUE"""),"Day Interest")</f>
        <v>Day Interest</v>
      </c>
      <c r="AY5" s="24" t="str">
        <f ca="1">IFERROR(__xludf.DUMMYFUNCTION("""COMPUTED_VALUE"""),"Total Interest")</f>
        <v>Total Interest</v>
      </c>
      <c r="AZ5" s="24" t="str">
        <f ca="1">IFERROR(__xludf.DUMMYFUNCTION("""COMPUTED_VALUE"""),"Market Value (Local)")</f>
        <v>Market Value (Local)</v>
      </c>
      <c r="BA5" s="24" t="str">
        <f ca="1">IFERROR(__xludf.DUMMYFUNCTION("""COMPUTED_VALUE"""),"% Gain/Loss Day")</f>
        <v>% Gain/Loss Day</v>
      </c>
      <c r="BB5" s="24" t="str">
        <f ca="1">IFERROR(__xludf.DUMMYFUNCTION("""COMPUTED_VALUE"""),"Update Time (Last Price)")</f>
        <v>Update Time (Last Price)</v>
      </c>
      <c r="BC5" s="24" t="str">
        <f ca="1">IFERROR(__xludf.DUMMYFUNCTION("""COMPUTED_VALUE"""),"Beta")</f>
        <v>Beta</v>
      </c>
      <c r="BD5" s="24" t="str">
        <f ca="1">IFERROR(__xludf.DUMMYFUNCTION("""COMPUTED_VALUE"""),"Cash Impact (Local)")</f>
        <v>Cash Impact (Local)</v>
      </c>
      <c r="BE5" s="24" t="str">
        <f ca="1">IFERROR(__xludf.DUMMYFUNCTION("""COMPUTED_VALUE"""),"User Asset")</f>
        <v>User Asset</v>
      </c>
      <c r="BF5" s="24" t="str">
        <f ca="1">IFERROR(__xludf.DUMMYFUNCTION("""COMPUTED_VALUE"""),"Security Type")</f>
        <v>Security Type</v>
      </c>
      <c r="BG5" s="24" t="str">
        <f ca="1">IFERROR(__xludf.DUMMYFUNCTION("""COMPUTED_VALUE"""),"Sector")</f>
        <v>Sector</v>
      </c>
      <c r="BH5" s="24" t="str">
        <f ca="1">IFERROR(__xludf.DUMMYFUNCTION("""COMPUTED_VALUE"""),"Sub Sector")</f>
        <v>Sub Sector</v>
      </c>
      <c r="BI5" s="24" t="str">
        <f ca="1">IFERROR(__xludf.DUMMYFUNCTION("""COMPUTED_VALUE"""),"Country")</f>
        <v>Country</v>
      </c>
      <c r="BJ5" s="24" t="str">
        <f ca="1">IFERROR(__xludf.DUMMYFUNCTION("""COMPUTED_VALUE"""),"Market Cap")</f>
        <v>Market Cap</v>
      </c>
      <c r="BK5" s="24" t="str">
        <f ca="1">IFERROR(__xludf.DUMMYFUNCTION("""COMPUTED_VALUE"""),"Shares Outstanding (MM)")</f>
        <v>Shares Outstanding (MM)</v>
      </c>
      <c r="BL5" s="24" t="str">
        <f ca="1">IFERROR(__xludf.DUMMYFUNCTION("""COMPUTED_VALUE"""),"Avg Volume 20 Day")</f>
        <v>Avg Volume 20 Day</v>
      </c>
      <c r="BM5" s="24" t="str">
        <f ca="1">IFERROR(__xludf.DUMMYFUNCTION("""COMPUTED_VALUE"""),"% Avg Volume (Delta Adj.)")</f>
        <v>% Avg Volume (Delta Adj.)</v>
      </c>
      <c r="BN5" s="24" t="str">
        <f ca="1">IFERROR(__xludf.DUMMYFUNCTION("""COMPUTED_VALUE"""),"Ex Dividend Date")</f>
        <v>Ex Dividend Date</v>
      </c>
      <c r="BO5" s="24" t="str">
        <f ca="1">IFERROR(__xludf.DUMMYFUNCTION("""COMPUTED_VALUE"""),"Cash Impact (Base)")</f>
        <v>Cash Impact (Base)</v>
      </c>
      <c r="BP5" s="24" t="str">
        <f ca="1">IFERROR(__xludf.DUMMYFUNCTION("""COMPUTED_VALUE"""),"Volatility (%)")</f>
        <v>Volatility (%)</v>
      </c>
      <c r="BQ5" s="24" t="str">
        <f ca="1">IFERROR(__xludf.DUMMYFUNCTION("""COMPUTED_VALUE"""),"User")</f>
        <v>User</v>
      </c>
      <c r="BR5" s="24" t="str">
        <f ca="1">IFERROR(__xludf.DUMMYFUNCTION("""COMPUTED_VALUE"""),"Broker")</f>
        <v>Broker</v>
      </c>
      <c r="BS5" s="24" t="str">
        <f ca="1">IFERROR(__xludf.DUMMYFUNCTION("""COMPUTED_VALUE"""),"Earned Dividend (Local)")</f>
        <v>Earned Dividend (Local)</v>
      </c>
      <c r="BT5" s="24" t="str">
        <f ca="1">IFERROR(__xludf.DUMMYFUNCTION("""COMPUTED_VALUE"""),"Earned Dividend (Base)")</f>
        <v>Earned Dividend (Base)</v>
      </c>
      <c r="BU5" s="24" t="str">
        <f ca="1">IFERROR(__xludf.DUMMYFUNCTION("""COMPUTED_VALUE"""),"Put/Call")</f>
        <v>Put/Call</v>
      </c>
      <c r="BV5" s="24" t="str">
        <f ca="1">IFERROR(__xludf.DUMMYFUNCTION("""COMPUTED_VALUE"""),"Expiration Date")</f>
        <v>Expiration Date</v>
      </c>
      <c r="BW5" s="24" t="str">
        <f ca="1">IFERROR(__xludf.DUMMYFUNCTION("""COMPUTED_VALUE"""),"Strike Price")</f>
        <v>Strike Price</v>
      </c>
      <c r="BX5" s="24" t="str">
        <f ca="1">IFERROR(__xludf.DUMMYFUNCTION("""COMPUTED_VALUE"""),"Gross Exposure (Base)")</f>
        <v>Gross Exposure (Base)</v>
      </c>
      <c r="BY5" s="24" t="str">
        <f ca="1">IFERROR(__xludf.DUMMYFUNCTION("""COMPUTED_VALUE"""),"Gross Market Value (Base)")</f>
        <v>Gross Market Value (Base)</v>
      </c>
      <c r="BZ5" s="24" t="str">
        <f ca="1">IFERROR(__xludf.DUMMYFUNCTION("""COMPUTED_VALUE"""),"Px Selected Feed (Local)")</f>
        <v>Px Selected Feed (Local)</v>
      </c>
      <c r="CA5" s="24" t="str">
        <f ca="1">IFERROR(__xludf.DUMMYFUNCTION("""COMPUTED_VALUE"""),"Px Selected Feed (Base)")</f>
        <v>Px Selected Feed (Base)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IFERROR(__xludf.DUMMYFUNCTION("""COMPUTED_VALUE"""),"% Avg Volume")</f>
        <v>% Avg Volume</v>
      </c>
      <c r="CD5" s="24" t="str">
        <f ca="1">IFERROR(__xludf.DUMMYFUNCTION("""COMPUTED_VALUE"""),"Day P&amp;L (Base)(Price Gain)")</f>
        <v>Day P&amp;L (Base)(Price Gain)</v>
      </c>
      <c r="CE5" s="24" t="str">
        <f ca="1">IFERROR(__xludf.DUMMYFUNCTION("""COMPUTED_VALUE"""),"Day P&amp;L (Base)(FX Gain)")</f>
        <v>Day P&amp;L (Base)(FX Gain)</v>
      </c>
      <c r="CF5" s="24" t="str">
        <f ca="1">IFERROR(__xludf.DUMMYFUNCTION("""COMPUTED_VALUE"""),"Cost Basis P&amp;L (Base)(FX Gain)")</f>
        <v>Cost Basis P&amp;L (Base)(FX Gain)</v>
      </c>
      <c r="CG5" s="24" t="str">
        <f ca="1">IFERROR(__xludf.DUMMYFUNCTION("""COMPUTED_VALUE"""),"Cost Basis P&amp;L (Base)(Price Gain)")</f>
        <v>Cost Basis P&amp;L (Base)(Price Gain)</v>
      </c>
      <c r="CH5" s="24" t="str">
        <f ca="1">IFERROR(__xludf.DUMMYFUNCTION("""COMPUTED_VALUE"""),"% Gain/Loss Cost")</f>
        <v>% Gain/Loss Cost</v>
      </c>
      <c r="CI5" s="24" t="str">
        <f ca="1">IFERROR(__xludf.DUMMYFUNCTION("""COMPUTED_VALUE"""),"Underlying Value (Options)")</f>
        <v>Underlying Value (Options)</v>
      </c>
      <c r="CJ5" s="24" t="str">
        <f ca="1">IFERROR(__xludf.DUMMYFUNCTION("""COMPUTED_VALUE"""),"Avg Volume 20 Day (Underlying Symbol)")</f>
        <v>Avg Volume 20 Day (Underlying Symbol)</v>
      </c>
      <c r="CK5" s="24" t="str">
        <f ca="1">IFERROR(__xludf.DUMMYFUNCTION("""COMPUTED_VALUE"""),"IsStaleData")</f>
        <v>IsStaleData</v>
      </c>
      <c r="CL5" s="24" t="str">
        <f ca="1">IFERROR(__xludf.DUMMYFUNCTION("""COMPUTED_VALUE"""),"IDCO")</f>
        <v>IDCO</v>
      </c>
      <c r="CM5" s="24" t="str">
        <f ca="1">IFERROR(__xludf.DUMMYFUNCTION("""COMPUTED_VALUE"""),"OSI")</f>
        <v>OSI</v>
      </c>
      <c r="CN5" s="24" t="str">
        <f ca="1">IFERROR(__xludf.DUMMYFUNCTION("""COMPUTED_VALUE"""),"SEDOL")</f>
        <v>SEDOL</v>
      </c>
      <c r="CO5" s="24" t="str">
        <f ca="1">IFERROR(__xludf.DUMMYFUNCTION("""COMPUTED_VALUE"""),"CUSIP")</f>
        <v>CUSIP</v>
      </c>
      <c r="CP5" s="24" t="str">
        <f ca="1">IFERROR(__xludf.DUMMYFUNCTION("""COMPUTED_VALUE"""),"Bloomberg")</f>
        <v>Bloomberg</v>
      </c>
      <c r="CQ5" s="24" t="str">
        <f ca="1">IFERROR(__xludf.DUMMYFUNCTION("""COMPUTED_VALUE"""),"ISIN")</f>
        <v>ISIN</v>
      </c>
      <c r="CR5" s="24" t="str">
        <f ca="1">IFERROR(__xludf.DUMMYFUNCTION("""COMPUTED_VALUE"""),"Start Trade Date")</f>
        <v>Start Trade Date</v>
      </c>
      <c r="CS5" s="24" t="str">
        <f ca="1">IFERROR(__xludf.DUMMYFUNCTION("""COMPUTED_VALUE"""),"Cost Basis (Break Even)")</f>
        <v>Cost Basis (Break Even)</v>
      </c>
      <c r="CT5" s="24" t="str">
        <f ca="1">IFERROR(__xludf.DUMMYFUNCTION("""COMPUTED_VALUE"""),"Trade Attribute 3")</f>
        <v>Trade Attribute 3</v>
      </c>
      <c r="CU5" s="24" t="str">
        <f ca="1">IFERROR(__xludf.DUMMYFUNCTION("""COMPUTED_VALUE"""),"Trade Attribute 4")</f>
        <v>Trade Attribute 4</v>
      </c>
      <c r="CV5" s="24" t="str">
        <f ca="1">IFERROR(__xludf.DUMMYFUNCTION("""COMPUTED_VALUE"""),"Trade Attribute 5")</f>
        <v>Trade Attribute 5</v>
      </c>
      <c r="CW5" s="24" t="str">
        <f ca="1">IFERROR(__xludf.DUMMYFUNCTION("""COMPUTED_VALUE"""),"Trade Attribute 6")</f>
        <v>Trade Attribute 6</v>
      </c>
      <c r="CX5" s="24" t="str">
        <f ca="1">IFERROR(__xludf.DUMMYFUNCTION("""COMPUTED_VALUE"""),"Proxy Symbol")</f>
        <v>Proxy Symbol</v>
      </c>
      <c r="CY5" s="24" t="str">
        <f ca="1">IFERROR(__xludf.DUMMYFUNCTION("""COMPUTED_VALUE"""),"Pricing Source")</f>
        <v>Pricing Source</v>
      </c>
      <c r="CZ5" s="24" t="str">
        <f ca="1">IFERROR(__xludf.DUMMYFUNCTION("""COMPUTED_VALUE"""),"Delta Source")</f>
        <v>Delta Source</v>
      </c>
      <c r="DA5" s="24" t="str">
        <f ca="1">IFERROR(__xludf.DUMMYFUNCTION("""COMPUTED_VALUE"""),"Gross Exposure (Local)")</f>
        <v>Gross Exposure (Local)</v>
      </c>
      <c r="DB5" s="24" t="str">
        <f ca="1">IFERROR(__xludf.DUMMYFUNCTION("""COMPUTED_VALUE"""),"% Day P&amp;L (Net MV)")</f>
        <v>% Day P&amp;L (Net MV)</v>
      </c>
      <c r="DC5" s="24" t="str">
        <f ca="1">IFERROR(__xludf.DUMMYFUNCTION("""COMPUTED_VALUE"""),"Expiration Month")</f>
        <v>Expiration Month</v>
      </c>
      <c r="DD5" s="24" t="str">
        <f ca="1">IFERROR(__xludf.DUMMYFUNCTION("""COMPUTED_VALUE"""),"Delta Adj. Position (LME)")</f>
        <v>Delta Adj. Position (LME)</v>
      </c>
      <c r="DE5" s="24" t="str">
        <f ca="1">IFERROR(__xludf.DUMMYFUNCTION("""COMPUTED_VALUE"""),"Premium")</f>
        <v>Premium</v>
      </c>
      <c r="DF5" s="24" t="str">
        <f ca="1">IFERROR(__xludf.DUMMYFUNCTION("""COMPUTED_VALUE"""),"Premium $")</f>
        <v>Premium $</v>
      </c>
      <c r="DG5" s="24" t="str">
        <f ca="1">IFERROR(__xludf.DUMMYFUNCTION("""COMPUTED_VALUE"""),"Forward Points")</f>
        <v>Forward Points</v>
      </c>
      <c r="DH5" s="24" t="str">
        <f ca="1">IFERROR(__xludf.DUMMYFUNCTION("""COMPUTED_VALUE"""),"Closing Mark (Underlying)")</f>
        <v>Closing Mark (Underlying)</v>
      </c>
      <c r="DI5" s="24" t="str">
        <f ca="1">IFERROR(__xludf.DUMMYFUNCTION("""COMPUTED_VALUE"""),"% Change (Underlying Price)")</f>
        <v>% Change (Underlying Price)</v>
      </c>
      <c r="DJ5" s="24" t="str">
        <f ca="1">IFERROR(__xludf.DUMMYFUNCTION("""COMPUTED_VALUE"""),"Transaction Type")</f>
        <v>Transaction Type</v>
      </c>
      <c r="DK5" s="24" t="str">
        <f ca="1">IFERROR(__xludf.DUMMYFUNCTION("""COMPUTED_VALUE"""),"Closing Market Value (Local)")</f>
        <v>Closing Market Value (Local)</v>
      </c>
      <c r="DL5" s="24" t="str">
        <f ca="1">IFERROR(__xludf.DUMMYFUNCTION("""COMPUTED_VALUE"""),"Closing Market Value (Base)")</f>
        <v>Closing Market Value (Base)</v>
      </c>
      <c r="DM5" s="24" t="str">
        <f ca="1">IFERROR(__xludf.DUMMYFUNCTION("""COMPUTED_VALUE"""),"Closing FX Rate")</f>
        <v>Closing FX Rate</v>
      </c>
      <c r="DN5" s="24" t="str">
        <f ca="1">IFERROR(__xludf.DUMMYFUNCTION("""COMPUTED_VALUE"""),"Change In Underlying Price")</f>
        <v>Change In Underlying Price</v>
      </c>
      <c r="DO5" s="24" t="str">
        <f ca="1">IFERROR(__xludf.DUMMYFUNCTION("""COMPUTED_VALUE"""),"RIC")</f>
        <v>RIC</v>
      </c>
      <c r="DP5" s="24" t="str">
        <f ca="1">IFERROR(__xludf.DUMMYFUNCTION("""COMPUTED_VALUE"""),"Position Side Exposure (Boxed)")</f>
        <v>Position Side Exposure (Boxed)</v>
      </c>
      <c r="DQ5" s="24" t="str">
        <f ca="1">IFERROR(__xludf.DUMMYFUNCTION("""COMPUTED_VALUE"""),"Analyst")</f>
        <v>Analyst</v>
      </c>
      <c r="DR5" s="24" t="str">
        <f ca="1">IFERROR(__xludf.DUMMYFUNCTION("""COMPUTED_VALUE"""),"Country Of Risk")</f>
        <v>Country Of Risk</v>
      </c>
      <c r="DS5" s="24" t="str">
        <f ca="1">IFERROR(__xludf.DUMMYFUNCTION("""COMPUTED_VALUE"""),"Custom UDA1")</f>
        <v>Custom UDA1</v>
      </c>
      <c r="DT5" s="24" t="str">
        <f ca="1">IFERROR(__xludf.DUMMYFUNCTION("""COMPUTED_VALUE"""),"Custom UDA2")</f>
        <v>Custom UDA2</v>
      </c>
      <c r="DU5" s="24" t="str">
        <f ca="1">IFERROR(__xludf.DUMMYFUNCTION("""COMPUTED_VALUE"""),"Custom UDA3")</f>
        <v>Custom UDA3</v>
      </c>
      <c r="DV5" s="24" t="str">
        <f ca="1">IFERROR(__xludf.DUMMYFUNCTION("""COMPUTED_VALUE"""),"Custom UDA4")</f>
        <v>Custom UDA4</v>
      </c>
      <c r="DW5" s="24" t="str">
        <f ca="1">IFERROR(__xludf.DUMMYFUNCTION("""COMPUTED_VALUE"""),"Custom UDA5")</f>
        <v>Custom UDA5</v>
      </c>
      <c r="DX5" s="24" t="str">
        <f ca="1">IFERROR(__xludf.DUMMYFUNCTION("""COMPUTED_VALUE"""),"Custom UDA6")</f>
        <v>Custom UDA6</v>
      </c>
      <c r="DY5" s="24" t="str">
        <f ca="1">IFERROR(__xludf.DUMMYFUNCTION("""COMPUTED_VALUE"""),"Custom UDA7")</f>
        <v>Custom UDA7</v>
      </c>
      <c r="DZ5" s="24" t="str">
        <f ca="1">IFERROR(__xludf.DUMMYFUNCTION("""COMPUTED_VALUE"""),"Issuer")</f>
        <v>Issuer</v>
      </c>
      <c r="EA5" s="24" t="str">
        <f ca="1">IFERROR(__xludf.DUMMYFUNCTION("""COMPUTED_VALUE"""),"Liquid Tag")</f>
        <v>Liquid Tag</v>
      </c>
      <c r="EB5" s="24" t="str">
        <f ca="1">IFERROR(__xludf.DUMMYFUNCTION("""COMPUTED_VALUE"""),"Market Cap UDA")</f>
        <v>Market Cap UDA</v>
      </c>
      <c r="EC5" s="24" t="str">
        <f ca="1">IFERROR(__xludf.DUMMYFUNCTION("""COMPUTED_VALUE"""),"Region")</f>
        <v>Region</v>
      </c>
      <c r="ED5" s="24" t="str">
        <f ca="1">IFERROR(__xludf.DUMMYFUNCTION("""COMPUTED_VALUE"""),"Risk Currency")</f>
        <v>Risk Currency</v>
      </c>
      <c r="EE5" s="24" t="str">
        <f ca="1">IFERROR(__xludf.DUMMYFUNCTION("""COMPUTED_VALUE"""),"UCITS Eligible Tag")</f>
        <v>UCITS Eligible Tag</v>
      </c>
      <c r="EF5" s="24" t="str">
        <f ca="1">IFERROR(__xludf.DUMMYFUNCTION("""COMPUTED_VALUE"""),"FX Rate (Display)")</f>
        <v>FX Rate (Display)</v>
      </c>
      <c r="EG5" s="24" t="str">
        <f ca="1">IFERROR(__xludf.DUMMYFUNCTION("""COMPUTED_VALUE"""),"% Net Exposure (Base)")</f>
        <v>% Net Exposure (Base)</v>
      </c>
      <c r="EH5" s="24" t="str">
        <f ca="1">IFERROR(__xludf.DUMMYFUNCTION("""COMPUTED_VALUE"""),"% Gross Exposure (Base)")</f>
        <v>% Gross Exposure (Base)</v>
      </c>
      <c r="EI5" s="24" t="str">
        <f ca="1">IFERROR(__xludf.DUMMYFUNCTION("""COMPUTED_VALUE"""),"% Exposure (Base)")</f>
        <v>% Exposure (Base)</v>
      </c>
      <c r="EJ5" s="24" t="str">
        <f ca="1">IFERROR(__xludf.DUMMYFUNCTION("""COMPUTED_VALUE"""),"% Gross Exposure (Underlying) (Base)")</f>
        <v>% Gross Exposure (Underlying) (Base)</v>
      </c>
      <c r="EK5" s="24" t="str">
        <f ca="1">IFERROR(__xludf.DUMMYFUNCTION("""COMPUTED_VALUE"""),"% Beta Adj. Gross Exposure (Base)")</f>
        <v>% Beta Adj. Gross Exposure (Base)</v>
      </c>
      <c r="EL5" s="24" t="str">
        <f ca="1">IFERROR(__xludf.DUMMYFUNCTION("""COMPUTED_VALUE"""),"Position Side Exposure (Underlying)")</f>
        <v>Position Side Exposure (Underlying)</v>
      </c>
      <c r="EM5" s="24" t="str">
        <f ca="1">IFERROR(__xludf.DUMMYFUNCTION("""COMPUTED_VALUE"""),"Gross Exposure (Underlying) (Base)")</f>
        <v>Gross Exposure (Underlying) (Base)</v>
      </c>
      <c r="EN5" s="24" t="str">
        <f ca="1">IFERROR(__xludf.DUMMYFUNCTION("""COMPUTED_VALUE"""),"Gross Exposure (Underlying)")</f>
        <v>Gross Exposure (Underlying)</v>
      </c>
      <c r="EO5" s="24" t="str">
        <f ca="1">IFERROR(__xludf.DUMMYFUNCTION("""COMPUTED_VALUE"""),"Day Return")</f>
        <v>Day Return</v>
      </c>
      <c r="EP5" s="24" t="str">
        <f ca="1">IFERROR(__xludf.DUMMYFUNCTION("""COMPUTED_VALUE"""),"Start of Day NAV")</f>
        <v>Start of Day NAV</v>
      </c>
      <c r="EQ5" s="24" t="str">
        <f ca="1">IFERROR(__xludf.DUMMYFUNCTION("""COMPUTED_VALUE"""),"% Gross Market Value (Base)")</f>
        <v>% Gross Market Value (Base)</v>
      </c>
      <c r="ER5" s="24" t="str">
        <f ca="1">IFERROR(__xludf.DUMMYFUNCTION("""COMPUTED_VALUE"""),"Beta Adj. Gross Exposure (Underlying) (Local)")</f>
        <v>Beta Adj. Gross Exposure (Underlying) (Local)</v>
      </c>
      <c r="ES5" s="24" t="str">
        <f ca="1">IFERROR(__xludf.DUMMYFUNCTION("""COMPUTED_VALUE"""),"NAV")</f>
        <v>NAV</v>
      </c>
      <c r="ET5" s="24" t="str">
        <f ca="1">IFERROR(__xludf.DUMMYFUNCTION("""COMPUTED_VALUE"""),"% P&amp;L Contribution")</f>
        <v>% P&amp;L Contribution</v>
      </c>
      <c r="EU5" s="24" t="str">
        <f ca="1">IFERROR(__xludf.DUMMYFUNCTION("""COMPUTED_VALUE"""),"% Net Market Value (Base)")</f>
        <v>% Net Market Value (Base)</v>
      </c>
      <c r="EV5" s="24" t="str">
        <f ca="1">IFERROR(__xludf.DUMMYFUNCTION("""COMPUTED_VALUE"""),"Position Side Exposure")</f>
        <v>Position Side Exposure</v>
      </c>
      <c r="EW5" s="24" t="str">
        <f ca="1">IFERROR(__xludf.DUMMYFUNCTION("""COMPUTED_VALUE"""),"NAV (Touch)")</f>
        <v>NAV (Touch)</v>
      </c>
      <c r="EX5" s="24" t="str">
        <f ca="1">IFERROR(__xludf.DUMMYFUNCTION("""COMPUTED_VALUE"""),"IgnorePropertyChangeEvents")</f>
        <v>IgnorePropertyChangeEvents</v>
      </c>
      <c r="EY5" s="24" t="str">
        <f ca="1">IFERROR(__xludf.DUMMYFUNCTION("""COMPUTED_VALUE"""),"Trade Attribute 1")</f>
        <v>Trade Attribute 1</v>
      </c>
      <c r="EZ5" s="24" t="str">
        <f ca="1">IFERROR(__xludf.DUMMYFUNCTION("""COMPUTED_VALUE"""),"Trade Attribute 2")</f>
        <v>Trade Attribute 2</v>
      </c>
      <c r="FA5" s="24" t="str">
        <f ca="1">IFERROR(__xludf.DUMMYFUNCTION("""COMPUTED_VALUE"""),"Client")</f>
        <v>Client</v>
      </c>
      <c r="FB5" s="24" t="str">
        <f ca="1">IFERROR(__xludf.DUMMYFUNCTION("""COMPUTED_VALUE"""),"IsCustomViewTab")</f>
        <v>IsCustomViewTab</v>
      </c>
      <c r="FC5" s="24"/>
      <c r="FD5" s="24"/>
      <c r="FE5" s="24"/>
      <c r="FF5" s="24"/>
      <c r="FG5" s="24"/>
      <c r="FH5" s="24"/>
      <c r="FI5" s="24"/>
      <c r="FJ5" s="24"/>
      <c r="FK5" s="24"/>
      <c r="FL5" s="24"/>
    </row>
    <row r="6" spans="1:168" ht="15.75" customHeight="1">
      <c r="A6" s="7"/>
      <c r="B6" s="7"/>
      <c r="C6" s="7" t="s">
        <v>18</v>
      </c>
      <c r="D6" s="7">
        <v>500</v>
      </c>
      <c r="E6" s="7" t="s">
        <v>20</v>
      </c>
      <c r="F6" s="5"/>
      <c r="G6" s="7">
        <v>10</v>
      </c>
      <c r="H6" s="7" t="s">
        <v>35</v>
      </c>
      <c r="I6" s="7">
        <v>0</v>
      </c>
      <c r="J6" s="5"/>
      <c r="K6" s="7">
        <v>0</v>
      </c>
      <c r="L6" s="5"/>
      <c r="M6" s="5"/>
      <c r="N6" s="29">
        <v>-5000</v>
      </c>
      <c r="O6" s="5"/>
      <c r="Q6" s="29">
        <v>-5000</v>
      </c>
      <c r="T6" s="6" t="s">
        <v>24</v>
      </c>
      <c r="U6" s="6" t="s">
        <v>36</v>
      </c>
      <c r="V6" s="6" t="s">
        <v>37</v>
      </c>
      <c r="W6" s="6" t="s">
        <v>38</v>
      </c>
      <c r="Y6" s="6">
        <v>1</v>
      </c>
      <c r="AB6" s="6">
        <v>0</v>
      </c>
      <c r="AC6" s="6">
        <v>0</v>
      </c>
      <c r="AD6" s="6">
        <v>0</v>
      </c>
      <c r="AE6" s="6">
        <v>0</v>
      </c>
      <c r="AF6" s="6">
        <v>500</v>
      </c>
      <c r="AG6" s="6">
        <v>0</v>
      </c>
      <c r="AH6" s="6">
        <v>0</v>
      </c>
      <c r="AI6" s="6">
        <v>0</v>
      </c>
      <c r="AJ6" s="6">
        <v>0</v>
      </c>
      <c r="AK6" s="29">
        <v>-5000</v>
      </c>
      <c r="AL6" s="6">
        <v>1</v>
      </c>
      <c r="AM6" s="6">
        <v>1</v>
      </c>
      <c r="AN6" s="6" t="s">
        <v>19</v>
      </c>
      <c r="AP6" s="6" t="s">
        <v>39</v>
      </c>
      <c r="AQ6" s="6" t="s">
        <v>18</v>
      </c>
      <c r="AR6" s="6">
        <v>0</v>
      </c>
      <c r="AV6" s="6">
        <v>1</v>
      </c>
      <c r="AW6" s="29">
        <v>-5000</v>
      </c>
      <c r="AX6" s="6">
        <v>0</v>
      </c>
      <c r="AY6" s="6">
        <v>0</v>
      </c>
      <c r="AZ6" s="6">
        <v>0</v>
      </c>
      <c r="BD6" s="29">
        <v>-5000</v>
      </c>
      <c r="BE6" s="6" t="s">
        <v>24</v>
      </c>
      <c r="BJ6" s="6">
        <v>0</v>
      </c>
      <c r="BK6" s="6">
        <v>0</v>
      </c>
      <c r="BL6" s="6">
        <v>0</v>
      </c>
      <c r="BM6" s="6">
        <v>0</v>
      </c>
      <c r="BO6" s="29">
        <v>-5000</v>
      </c>
      <c r="BP6" s="6">
        <v>0</v>
      </c>
      <c r="BR6" s="6" t="s">
        <v>26</v>
      </c>
      <c r="BS6" s="6">
        <v>0</v>
      </c>
      <c r="BT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C6" s="6">
        <v>0</v>
      </c>
      <c r="CD6" s="29">
        <v>-5000</v>
      </c>
      <c r="CE6" s="6">
        <v>0</v>
      </c>
      <c r="CF6" s="6">
        <v>0</v>
      </c>
      <c r="CG6" s="29">
        <v>-5000</v>
      </c>
      <c r="CH6" s="6">
        <v>-100</v>
      </c>
      <c r="CI6" s="6">
        <v>0</v>
      </c>
      <c r="CJ6" s="6">
        <v>0</v>
      </c>
      <c r="DA6" s="6">
        <v>0</v>
      </c>
      <c r="DB6" s="6">
        <v>0</v>
      </c>
      <c r="DE6" s="6">
        <v>0</v>
      </c>
      <c r="DF6" s="6">
        <v>0</v>
      </c>
      <c r="DG6" s="6">
        <v>0</v>
      </c>
      <c r="DI6" s="6">
        <v>0</v>
      </c>
      <c r="DJ6" s="6" t="s">
        <v>19</v>
      </c>
      <c r="DK6" s="6">
        <v>0</v>
      </c>
      <c r="DL6" s="6">
        <v>0</v>
      </c>
      <c r="DM6" s="6">
        <v>1</v>
      </c>
      <c r="DN6" s="6">
        <v>0</v>
      </c>
      <c r="EF6" s="6">
        <v>0</v>
      </c>
      <c r="EG6" s="6">
        <v>0</v>
      </c>
      <c r="EH6" s="6">
        <v>0</v>
      </c>
      <c r="EI6" s="6">
        <v>0</v>
      </c>
      <c r="EJ6" s="6">
        <v>0</v>
      </c>
      <c r="EK6" s="6">
        <v>0</v>
      </c>
      <c r="EN6" s="6">
        <v>0</v>
      </c>
      <c r="EO6" s="6">
        <v>0</v>
      </c>
      <c r="EQ6" s="6">
        <v>0</v>
      </c>
      <c r="ER6" s="6">
        <v>0</v>
      </c>
    </row>
    <row r="7" spans="1:168" ht="15.75" customHeight="1">
      <c r="A7" s="5"/>
      <c r="B7" s="5"/>
      <c r="C7" s="7" t="s">
        <v>18</v>
      </c>
      <c r="D7" s="7">
        <v>-600</v>
      </c>
      <c r="E7" s="7" t="s">
        <v>20</v>
      </c>
      <c r="F7" s="5"/>
      <c r="G7" s="7">
        <v>10</v>
      </c>
      <c r="H7" s="7" t="s">
        <v>35</v>
      </c>
      <c r="I7" s="7">
        <v>0</v>
      </c>
      <c r="J7" s="5"/>
      <c r="K7" s="7">
        <v>0</v>
      </c>
      <c r="L7" s="5"/>
      <c r="M7" s="5"/>
      <c r="N7" s="29">
        <v>6000</v>
      </c>
      <c r="O7" s="5"/>
      <c r="Q7" s="29">
        <v>6000</v>
      </c>
      <c r="T7" s="6" t="s">
        <v>24</v>
      </c>
      <c r="U7" s="6" t="s">
        <v>36</v>
      </c>
      <c r="V7" s="6" t="s">
        <v>37</v>
      </c>
      <c r="W7" s="6" t="s">
        <v>38</v>
      </c>
      <c r="Y7" s="6">
        <v>1</v>
      </c>
      <c r="AB7" s="6">
        <v>0</v>
      </c>
      <c r="AC7" s="6">
        <v>0</v>
      </c>
      <c r="AD7" s="6">
        <v>0</v>
      </c>
      <c r="AE7" s="6">
        <v>0</v>
      </c>
      <c r="AF7" s="6">
        <v>-600</v>
      </c>
      <c r="AG7" s="6">
        <v>0</v>
      </c>
      <c r="AH7" s="6">
        <v>0</v>
      </c>
      <c r="AI7" s="6">
        <v>0</v>
      </c>
      <c r="AJ7" s="6">
        <v>0</v>
      </c>
      <c r="AK7" s="29">
        <v>6000</v>
      </c>
      <c r="AL7" s="6">
        <v>1</v>
      </c>
      <c r="AM7" s="6">
        <v>1</v>
      </c>
      <c r="AN7" s="6" t="s">
        <v>21</v>
      </c>
      <c r="AP7" s="6" t="s">
        <v>39</v>
      </c>
      <c r="AQ7" s="6" t="s">
        <v>18</v>
      </c>
      <c r="AR7" s="6">
        <v>0</v>
      </c>
      <c r="AV7" s="6">
        <v>1</v>
      </c>
      <c r="AW7" s="29">
        <v>6000</v>
      </c>
      <c r="AX7" s="6">
        <v>0</v>
      </c>
      <c r="AY7" s="6">
        <v>0</v>
      </c>
      <c r="AZ7" s="6">
        <v>0</v>
      </c>
      <c r="BD7" s="29">
        <v>6000</v>
      </c>
      <c r="BE7" s="6" t="s">
        <v>24</v>
      </c>
      <c r="BJ7" s="6">
        <v>0</v>
      </c>
      <c r="BK7" s="6">
        <v>0</v>
      </c>
      <c r="BL7" s="6">
        <v>0</v>
      </c>
      <c r="BM7" s="6">
        <v>0</v>
      </c>
      <c r="BO7" s="29">
        <v>6000</v>
      </c>
      <c r="BP7" s="6">
        <v>0</v>
      </c>
      <c r="BR7" s="6" t="s">
        <v>26</v>
      </c>
      <c r="BS7" s="6">
        <v>0</v>
      </c>
      <c r="BT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C7" s="6">
        <v>0</v>
      </c>
      <c r="CD7" s="29">
        <v>6000</v>
      </c>
      <c r="CE7" s="6">
        <v>0</v>
      </c>
      <c r="CF7" s="6">
        <v>0</v>
      </c>
      <c r="CG7" s="29">
        <v>6000</v>
      </c>
      <c r="CH7" s="6">
        <v>100</v>
      </c>
      <c r="CI7" s="6">
        <v>0</v>
      </c>
      <c r="CJ7" s="6">
        <v>0</v>
      </c>
      <c r="DA7" s="6">
        <v>0</v>
      </c>
      <c r="DB7" s="6">
        <v>0</v>
      </c>
      <c r="DE7" s="6">
        <v>0</v>
      </c>
      <c r="DF7" s="6">
        <v>0</v>
      </c>
      <c r="DG7" s="6">
        <v>0</v>
      </c>
      <c r="DI7" s="6">
        <v>0</v>
      </c>
      <c r="DJ7" s="6" t="s">
        <v>21</v>
      </c>
      <c r="DK7" s="6">
        <v>0</v>
      </c>
      <c r="DL7" s="6">
        <v>0</v>
      </c>
      <c r="DM7" s="6">
        <v>1</v>
      </c>
      <c r="DN7" s="6">
        <v>0</v>
      </c>
      <c r="EF7" s="6">
        <v>0</v>
      </c>
      <c r="EG7" s="6">
        <v>0</v>
      </c>
      <c r="EH7" s="6">
        <v>0</v>
      </c>
      <c r="EI7" s="6">
        <v>0</v>
      </c>
      <c r="EJ7" s="6">
        <v>0</v>
      </c>
      <c r="EK7" s="6">
        <v>0</v>
      </c>
      <c r="EN7" s="6">
        <v>0</v>
      </c>
      <c r="EO7" s="6">
        <v>0</v>
      </c>
      <c r="EQ7" s="6">
        <v>0</v>
      </c>
      <c r="ER7" s="6">
        <v>0</v>
      </c>
    </row>
    <row r="8" spans="1:16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68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68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68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68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8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8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8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8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_Modules</vt:lpstr>
      <vt:lpstr>_Settings</vt:lpstr>
      <vt:lpstr>_MasterData</vt:lpstr>
      <vt:lpstr>SetTradingComplianceRules</vt:lpstr>
      <vt:lpstr>CreateDoneAwayOrder</vt:lpstr>
      <vt:lpstr>VerifyOrder</vt:lpstr>
      <vt:lpstr>GetDataAllocation</vt:lpstr>
      <vt:lpstr>CheckAllocatedGroups</vt:lpstr>
      <vt:lpstr>CheckPortfolioManagement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2021-08-04T10:45:25Z</dcterms:modified>
</cp:coreProperties>
</file>