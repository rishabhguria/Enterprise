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StageOrder" sheetId="8" r:id="rId10"/>
    <sheet state="visible" name="MergeOrder" sheetId="9" r:id="rId11"/>
    <sheet state="visible" name="EditOrder" sheetId="10" r:id="rId12"/>
    <sheet state="visible" name="CreateReplaceOrder" sheetId="11" r:id="rId13"/>
    <sheet state="visible" name="MergeOrder1" sheetId="12" r:id="rId14"/>
    <sheet state="visible" name="VerifyMergeOrder" sheetId="13" r:id="rId15"/>
  </sheets>
  <definedNames/>
  <calcPr/>
</workbook>
</file>

<file path=xl/sharedStrings.xml><?xml version="1.0" encoding="utf-8"?>
<sst xmlns="http://schemas.openxmlformats.org/spreadsheetml/2006/main" count="160" uniqueCount="46">
  <si>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</si>
  <si>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</si>
  <si>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</si>
  <si>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</si>
  <si>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</si>
  <si>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</si>
  <si>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</si>
  <si>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</si>
  <si>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</si>
  <si>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</si>
  <si>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</si>
  <si>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</si>
  <si>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</si>
  <si>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</si>
  <si>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</si>
  <si>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</si>
  <si>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</si>
  <si>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</si>
  <si>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</si>
  <si>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</si>
  <si>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</si>
  <si>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</si>
  <si>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</si>
  <si>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</si>
  <si>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</si>
  <si>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</si>
  <si>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</si>
  <si>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CreateStageOrder</t>
  </si>
  <si>
    <t>IBM</t>
  </si>
  <si>
    <t>Buy</t>
  </si>
  <si>
    <t>MS</t>
  </si>
  <si>
    <t>NASDAQ</t>
  </si>
  <si>
    <t>GS</t>
  </si>
  <si>
    <t>BLANK</t>
  </si>
  <si>
    <t>Blotter</t>
  </si>
  <si>
    <t>MergeOrder</t>
  </si>
  <si>
    <t>New</t>
  </si>
  <si>
    <t>Multiple</t>
  </si>
  <si>
    <t>Market</t>
  </si>
  <si>
    <t>Yes</t>
  </si>
  <si>
    <t>EditOrder</t>
  </si>
  <si>
    <t>CreateReplaceOrder</t>
  </si>
  <si>
    <t>Allocation1,Allocation2</t>
  </si>
  <si>
    <t>50,50</t>
  </si>
  <si>
    <t>Replaced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</si>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</sst>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9.0"/>
      <color rgb="FF000000"/>
      <name val="&quot;Segoe UI&quot;"/>
    </font>
    <font>
      <color rgb="FF000000"/>
      <name val="Roboto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6" fontId="14" numFmtId="0" xfId="0" applyAlignment="1" applyBorder="1" applyFill="1" applyFont="1">
      <alignment horizontal="right" vertical="top"/>
    </xf>
    <xf borderId="0" fillId="7" fontId="15" numFmtId="0" xfId="0" applyAlignment="1" applyFill="1" applyFont="1">
      <alignment readingOrder="0"/>
    </xf>
    <xf borderId="5" fillId="0" fontId="3" numFmtId="0" xfId="0" applyAlignment="1" applyBorder="1" applyFont="1">
      <alignment readingOrder="0" vertical="bottom"/>
    </xf>
    <xf borderId="5" fillId="8" fontId="16" numFmtId="0" xfId="0" applyAlignment="1" applyBorder="1" applyFill="1" applyFont="1">
      <alignment horizontal="right" vertical="top"/>
    </xf>
    <xf borderId="0" fillId="0" fontId="3" numFmtId="0" xfId="0" applyAlignment="1" applyFont="1">
      <alignment readingOrder="0" vertical="bottom"/>
    </xf>
    <xf borderId="0" fillId="8" fontId="14" numFmtId="0" xfId="0" applyAlignment="1" applyFont="1">
      <alignment horizontal="right" vertical="top"/>
    </xf>
    <xf borderId="0" fillId="8" fontId="17" numFmtId="0" xfId="0" applyAlignment="1" applyFont="1">
      <alignment horizontal="right" readingOrder="0" vertical="top"/>
    </xf>
    <xf borderId="5" fillId="8" fontId="3" numFmtId="0" xfId="0" applyAlignment="1" applyBorder="1" applyFont="1">
      <alignment vertical="top"/>
    </xf>
    <xf borderId="5" fillId="0" fontId="3" numFmtId="0" xfId="0" applyAlignment="1" applyBorder="1" applyFont="1">
      <alignment vertical="bottom"/>
    </xf>
    <xf borderId="5" fillId="6" fontId="3" numFmtId="0" xfId="0" applyAlignment="1" applyBorder="1" applyFont="1">
      <alignment vertical="top"/>
    </xf>
    <xf borderId="5" fillId="6" fontId="3" numFmtId="0" xfId="0" applyAlignment="1" applyBorder="1" applyFont="1">
      <alignment vertical="top"/>
    </xf>
    <xf borderId="5" fillId="6" fontId="3" numFmtId="0" xfId="0" applyAlignment="1" applyBorder="1" applyFont="1">
      <alignment readingOrder="0" vertical="top"/>
    </xf>
    <xf borderId="0" fillId="6" fontId="17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8" fontId="18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 t="s">
        <v>18</v>
      </c>
      <c r="D6" s="34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2" t="s">
        <v>19</v>
      </c>
      <c r="D7" s="35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IFERROR(__xludf.DUMMYFUNCTION("""COMPUTED_VALUE"""),"StrategyName")</f>
        <v>StrategyName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 t="s">
        <v>18</v>
      </c>
      <c r="D6" s="33" t="s">
        <v>21</v>
      </c>
      <c r="E6" s="34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2" t="s">
        <v>18</v>
      </c>
      <c r="D7" s="32" t="s">
        <v>22</v>
      </c>
      <c r="E7" s="35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16</v>
      </c>
      <c r="C8" s="32" t="s">
        <v>19</v>
      </c>
      <c r="D8" s="32" t="s">
        <v>21</v>
      </c>
      <c r="E8" s="35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16</v>
      </c>
      <c r="C9" s="32" t="s">
        <v>19</v>
      </c>
      <c r="D9" s="32" t="s">
        <v>22</v>
      </c>
      <c r="E9" s="35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3" t="s">
        <v>24</v>
      </c>
      <c r="C6" s="36"/>
      <c r="D6" s="37" t="s">
        <v>25</v>
      </c>
      <c r="E6" s="36"/>
      <c r="F6" s="36"/>
      <c r="G6" s="38" t="b">
        <v>0</v>
      </c>
      <c r="H6" s="33" t="s">
        <v>16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9"/>
      <c r="B6" s="40" t="s">
        <v>28</v>
      </c>
      <c r="C6" s="40" t="s">
        <v>29</v>
      </c>
      <c r="D6" s="34">
        <v>100.0</v>
      </c>
      <c r="E6" s="36"/>
      <c r="F6" s="41" t="s">
        <v>16</v>
      </c>
      <c r="G6" s="42" t="s">
        <v>30</v>
      </c>
      <c r="H6" s="36"/>
      <c r="I6" s="43"/>
      <c r="J6" s="34">
        <v>110.0</v>
      </c>
      <c r="K6" s="40"/>
      <c r="L6" s="34"/>
      <c r="M6" s="36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44" t="s">
        <v>31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45" t="s">
        <v>28</v>
      </c>
      <c r="C7" s="45" t="s">
        <v>29</v>
      </c>
      <c r="D7" s="34">
        <v>100.0</v>
      </c>
      <c r="E7" s="36"/>
      <c r="F7" s="41" t="s">
        <v>16</v>
      </c>
      <c r="G7" s="46" t="s">
        <v>32</v>
      </c>
      <c r="H7" s="36"/>
      <c r="I7" s="43"/>
      <c r="J7" s="34">
        <v>110.0</v>
      </c>
      <c r="K7" s="47"/>
      <c r="L7" s="34"/>
      <c r="M7" s="39"/>
      <c r="N7" s="36"/>
      <c r="O7" s="36"/>
      <c r="P7" s="36"/>
      <c r="Q7" s="36"/>
      <c r="R7" s="36"/>
      <c r="S7" s="36"/>
      <c r="T7" s="39"/>
      <c r="U7" s="39"/>
      <c r="V7" s="39"/>
      <c r="W7" s="39"/>
      <c r="X7" s="39"/>
      <c r="Y7" s="39"/>
      <c r="Z7" s="39"/>
      <c r="AA7" s="39"/>
      <c r="AB7" s="44" t="s">
        <v>33</v>
      </c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IFERROR(__xludf.DUMMYFUNCTION("""COMPUTED_VALUE"""),"Allow Merge")</f>
        <v>Allow Merge</v>
      </c>
      <c r="BB5" s="31" t="str">
        <f>IFERROR(__xludf.DUMMYFUNCTION("""COMPUTED_VALUE"""),"ButtonClick")</f>
        <v>ButtonClick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8"/>
      <c r="B6" s="49"/>
      <c r="C6" s="36"/>
      <c r="D6" s="49" t="s">
        <v>28</v>
      </c>
      <c r="E6" s="36"/>
      <c r="F6" s="50" t="s">
        <v>29</v>
      </c>
      <c r="G6" s="50" t="s">
        <v>36</v>
      </c>
      <c r="H6" s="50">
        <v>100.0</v>
      </c>
      <c r="I6" s="36"/>
      <c r="J6" s="36"/>
      <c r="K6" s="36"/>
      <c r="L6" s="36"/>
      <c r="M6" s="36"/>
      <c r="N6" s="36"/>
      <c r="O6" s="36"/>
      <c r="P6" s="36"/>
      <c r="Q6" s="50" t="s">
        <v>30</v>
      </c>
      <c r="R6" s="51" t="s">
        <v>37</v>
      </c>
      <c r="S6" s="36"/>
      <c r="T6" s="52" t="s">
        <v>38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4" t="s">
        <v>31</v>
      </c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 t="s">
        <v>39</v>
      </c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53"/>
      <c r="C7" s="39"/>
      <c r="D7" s="54" t="s">
        <v>28</v>
      </c>
      <c r="E7" s="39"/>
      <c r="F7" s="54" t="s">
        <v>29</v>
      </c>
      <c r="G7" s="54" t="s">
        <v>36</v>
      </c>
      <c r="H7" s="54">
        <v>100.0</v>
      </c>
      <c r="I7" s="39"/>
      <c r="J7" s="39"/>
      <c r="K7" s="39"/>
      <c r="L7" s="39"/>
      <c r="M7" s="39"/>
      <c r="N7" s="39"/>
      <c r="O7" s="39"/>
      <c r="P7" s="39"/>
      <c r="Q7" s="46" t="s">
        <v>32</v>
      </c>
      <c r="R7" s="51" t="s">
        <v>37</v>
      </c>
      <c r="S7" s="39"/>
      <c r="T7" s="52" t="s">
        <v>38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 t="s">
        <v>39</v>
      </c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IFERROR(__xludf.DUMMYFUNCTION("""COMPUTED_VALUE"""),"Status (With Rollover)")</f>
        <v>Status (With Rollover)</v>
      </c>
      <c r="AZ5" s="31" t="str">
        <f>IFERROR(__xludf.DUMMYFUNCTION("""COMPUTED_VALUE"""),"Start of Day Qty")</f>
        <v>Start of Day Qty</v>
      </c>
      <c r="BA5" s="31" t="str">
        <f>IFERROR(__xludf.DUMMYFUNCTION("""COMPUTED_VALUE"""),"Leaves")</f>
        <v>Leaves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9"/>
      <c r="B6" s="53"/>
      <c r="C6" s="39"/>
      <c r="E6" s="39"/>
      <c r="I6" s="39"/>
      <c r="J6" s="39"/>
      <c r="K6" s="39"/>
      <c r="L6" s="39"/>
      <c r="M6" s="39"/>
      <c r="N6" s="39"/>
      <c r="O6" s="39"/>
      <c r="P6" s="39"/>
      <c r="R6" s="51"/>
      <c r="S6" s="39"/>
      <c r="T6" s="52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54" t="s">
        <v>28</v>
      </c>
      <c r="AJ6" s="54" t="s">
        <v>29</v>
      </c>
      <c r="AK6" s="54" t="s">
        <v>36</v>
      </c>
      <c r="AL6" s="54">
        <v>100.0</v>
      </c>
      <c r="AM6" s="39"/>
      <c r="AN6" s="39"/>
      <c r="AO6" s="39"/>
      <c r="AP6" s="39"/>
      <c r="AQ6" s="39"/>
      <c r="AR6" s="39"/>
      <c r="AS6" s="46" t="s">
        <v>32</v>
      </c>
      <c r="AT6" s="46" t="s">
        <v>37</v>
      </c>
      <c r="AU6" s="9" t="s">
        <v>38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IFERROR(__xludf.DUMMYFUNCTION("""COMPUTED_VALUE"""),"MasterFund")</f>
        <v>MasterFund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IFERROR(__xludf.DUMMYFUNCTION("""COMPUTED_VALUE"""),"SharesOutstandingPopUp")</f>
        <v>SharesOutstandingPopUp</v>
      </c>
      <c r="AQ5" s="31" t="str">
        <f>IFERROR(__xludf.DUMMYFUNCTION("""COMPUTED_VALUE"""),"Interest Rate")</f>
        <v>Interest Rate</v>
      </c>
      <c r="AR5" s="31" t="str">
        <f>IFERROR(__xludf.DUMMYFUNCTION("""COMPUTED_VALUE"""),"SelectAlgoStrategy")</f>
        <v>SelectAlgoStrategy</v>
      </c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9"/>
      <c r="B6" s="45" t="s">
        <v>28</v>
      </c>
      <c r="C6" s="45" t="s">
        <v>29</v>
      </c>
      <c r="D6" s="34">
        <v>100.0</v>
      </c>
      <c r="E6" s="36"/>
      <c r="F6" s="41" t="s">
        <v>16</v>
      </c>
      <c r="G6" s="42" t="s">
        <v>30</v>
      </c>
      <c r="H6" s="36"/>
      <c r="I6" s="43"/>
      <c r="J6" s="34">
        <v>110.0</v>
      </c>
      <c r="K6" s="47"/>
      <c r="L6" s="34"/>
      <c r="M6" s="39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44" t="s">
        <v>31</v>
      </c>
      <c r="AC6" s="39"/>
      <c r="AD6" s="39"/>
      <c r="AE6" s="39"/>
      <c r="AF6" s="39"/>
      <c r="AG6" s="39"/>
      <c r="AH6" s="39"/>
      <c r="AI6" s="39"/>
      <c r="AJ6" s="39"/>
      <c r="AK6" s="39" t="s">
        <v>42</v>
      </c>
      <c r="AL6" s="39" t="s">
        <v>43</v>
      </c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IFERROR(__xludf.DUMMYFUNCTION("""COMPUTED_VALUE"""),"Allow Merge")</f>
        <v>Allow Merge</v>
      </c>
      <c r="BB5" s="31" t="str">
        <f>IFERROR(__xludf.DUMMYFUNCTION("""COMPUTED_VALUE"""),"ButtonClick")</f>
        <v>ButtonClick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8"/>
      <c r="B6" s="49"/>
      <c r="C6" s="36"/>
      <c r="D6" s="49" t="s">
        <v>28</v>
      </c>
      <c r="E6" s="36"/>
      <c r="F6" s="50" t="s">
        <v>29</v>
      </c>
      <c r="G6" s="50" t="s">
        <v>36</v>
      </c>
      <c r="H6" s="50">
        <v>100.0</v>
      </c>
      <c r="I6" s="36"/>
      <c r="J6" s="36"/>
      <c r="K6" s="36"/>
      <c r="L6" s="36"/>
      <c r="M6" s="36"/>
      <c r="N6" s="36"/>
      <c r="O6" s="36"/>
      <c r="P6" s="36"/>
      <c r="Q6" s="50" t="s">
        <v>30</v>
      </c>
      <c r="R6" s="51" t="s">
        <v>37</v>
      </c>
      <c r="S6" s="36"/>
      <c r="T6" s="52" t="s">
        <v>38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4" t="s">
        <v>31</v>
      </c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 t="s">
        <v>39</v>
      </c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48"/>
      <c r="B7" s="49"/>
      <c r="C7" s="36"/>
      <c r="D7" s="49" t="s">
        <v>28</v>
      </c>
      <c r="E7" s="36"/>
      <c r="F7" s="50" t="s">
        <v>29</v>
      </c>
      <c r="G7" s="51" t="s">
        <v>44</v>
      </c>
      <c r="H7" s="50">
        <v>100.0</v>
      </c>
      <c r="I7" s="36"/>
      <c r="J7" s="36"/>
      <c r="K7" s="36"/>
      <c r="L7" s="36"/>
      <c r="M7" s="36"/>
      <c r="N7" s="36"/>
      <c r="O7" s="36"/>
      <c r="P7" s="36"/>
      <c r="Q7" s="50" t="s">
        <v>30</v>
      </c>
      <c r="R7" s="51" t="s">
        <v>37</v>
      </c>
      <c r="S7" s="36"/>
      <c r="T7" s="52" t="s">
        <v>38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44" t="s">
        <v>31</v>
      </c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 t="s">
        <v>39</v>
      </c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6"/>
      <c r="C6" s="36"/>
      <c r="D6" s="50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55" t="s">
        <v>28</v>
      </c>
      <c r="AJ6" s="55" t="s">
        <v>29</v>
      </c>
      <c r="AK6" s="55" t="s">
        <v>36</v>
      </c>
      <c r="AL6" s="55">
        <v>200.0</v>
      </c>
      <c r="AM6" s="39"/>
      <c r="AN6" s="39"/>
      <c r="AO6" s="39"/>
      <c r="AP6" s="39"/>
      <c r="AQ6" s="39"/>
      <c r="AR6" s="39"/>
      <c r="AS6" s="55" t="s">
        <v>30</v>
      </c>
      <c r="AT6" s="55" t="s">
        <v>37</v>
      </c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