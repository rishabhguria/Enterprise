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OrViewModelPortfolio" sheetId="4" r:id="rId6"/>
    <sheet state="visible" name="CreateOrViewModelPortfolio1" sheetId="5" r:id="rId7"/>
    <sheet state="visible" name="ActionOnImport" sheetId="6" r:id="rId8"/>
    <sheet state="visible" name="ValidateImportPositions" sheetId="7" r:id="rId9"/>
    <sheet state="visible" name="ValidateImportPositions1" sheetId="8" r:id="rId10"/>
    <sheet state="visible" name="GetDailyCash" sheetId="9" r:id="rId11"/>
    <sheet state="visible" name="UpdateMultipleDailyCash" sheetId="10" r:id="rId12"/>
    <sheet state="visible" name="PricingInput" sheetId="11" r:id="rId13"/>
    <sheet state="visible" name="FetchAccountPositions" sheetId="12" r:id="rId14"/>
    <sheet state="visible" name="AddCash" sheetId="13" r:id="rId15"/>
    <sheet state="visible" name="AddCash1" sheetId="14" r:id="rId16"/>
    <sheet state="visible" name="AddCash2" sheetId="15" r:id="rId17"/>
    <sheet state="visible" name="AddCash3" sheetId="16" r:id="rId18"/>
    <sheet state="visible" name="RunRebalance" sheetId="17" r:id="rId19"/>
    <sheet state="visible" name="RunRebalance1" sheetId="18" r:id="rId20"/>
    <sheet state="visible" name="RunRebalance2" sheetId="19" r:id="rId21"/>
    <sheet state="visible" name="RunRebalance3" sheetId="20" r:id="rId22"/>
    <sheet state="visible" name="NirvanaDialogueBoxHandler" sheetId="21" r:id="rId23"/>
    <sheet state="visible" name="NirvanaDialogueBoxHandler1" sheetId="22" r:id="rId24"/>
    <sheet state="visible" name="NirvanaDialogueBoxHandler2" sheetId="23" r:id="rId25"/>
    <sheet state="visible" name="CloseRebalancer" sheetId="24" r:id="rId26"/>
    <sheet state="visible" name="Copy of Data" sheetId="25" r:id="rId27"/>
  </sheets>
  <definedNames/>
  <calcPr/>
</workbook>
</file>

<file path=xl/sharedStrings.xml><?xml version="1.0" encoding="utf-8"?>
<sst xmlns="http://schemas.openxmlformats.org/spreadsheetml/2006/main" count="313" uniqueCount="129">
  <si>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</si>
  <si>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</si>
  <si>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</si>
  <si>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</si>
  <si>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</si>
  <si>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</si>
  <si>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</si>
  <si>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</si>
  <si>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</si>
  <si>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</si>
  <si>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</si>
  <si>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</si>
  <si>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Rebalancer</t>
  </si>
  <si>
    <t>CreateOrViewModelPortfolio</t>
  </si>
  <si>
    <t>Data Format</t>
  </si>
  <si>
    <t>Input Format</t>
  </si>
  <si>
    <t>MPA4</t>
  </si>
  <si>
    <t>Model Portfolio</t>
  </si>
  <si>
    <t>Target Security</t>
  </si>
  <si>
    <t>\\192.168.2.108\DistributedAutomation_Master\Import Cases\RB-Tolerance.xlsx</t>
  </si>
  <si>
    <t>Yes</t>
  </si>
  <si>
    <t>In Percentage</t>
  </si>
  <si>
    <t>MPA4_1</t>
  </si>
  <si>
    <t>Boundary Level</t>
  </si>
  <si>
    <t>Import</t>
  </si>
  <si>
    <t>ActionOnImport</t>
  </si>
  <si>
    <t>ImportTypeAcronym</t>
  </si>
  <si>
    <t>Upload ThirdParty</t>
  </si>
  <si>
    <t>AutoImport</t>
  </si>
  <si>
    <t>Total Records</t>
  </si>
  <si>
    <t>Import Type</t>
  </si>
  <si>
    <t>File Path</t>
  </si>
  <si>
    <t>Import Type Format Name</t>
  </si>
  <si>
    <t>IsUserSelectedDate</t>
  </si>
  <si>
    <t>IsUserSelectedAccount</t>
  </si>
  <si>
    <t>ImportDataSource</t>
  </si>
  <si>
    <t>SelectedAccount</t>
  </si>
  <si>
    <t>ImportSource</t>
  </si>
  <si>
    <t>Key</t>
  </si>
  <si>
    <t>IsPriceToleranceChecked</t>
  </si>
  <si>
    <t>PriceTolerance</t>
  </si>
  <si>
    <t>Select Record</t>
  </si>
  <si>
    <t>Account</t>
  </si>
  <si>
    <t>Select Date</t>
  </si>
  <si>
    <t>Date</t>
  </si>
  <si>
    <t>FIMAT</t>
  </si>
  <si>
    <t>Transaction</t>
  </si>
  <si>
    <t>ToggleState_Off</t>
  </si>
  <si>
    <t>Test</t>
  </si>
  <si>
    <t>Mark Price</t>
  </si>
  <si>
    <t>Cameron</t>
  </si>
  <si>
    <t>\\192.168.2.108\DistributedAutomation_Master\Import Cases\Transaction_Import9.csv</t>
  </si>
  <si>
    <t>ToggleState_On</t>
  </si>
  <si>
    <t>TODAY()-1</t>
  </si>
  <si>
    <t>DB</t>
  </si>
  <si>
    <t>Forex Price</t>
  </si>
  <si>
    <t>GS</t>
  </si>
  <si>
    <t>Multileg Journal Import</t>
  </si>
  <si>
    <t>BNY</t>
  </si>
  <si>
    <t>USB</t>
  </si>
  <si>
    <t>Double Entry Cash</t>
  </si>
  <si>
    <t>ValidateImportPositions</t>
  </si>
  <si>
    <t>Application Asset Type</t>
  </si>
  <si>
    <t>Application Symbol</t>
  </si>
  <si>
    <t>Side</t>
  </si>
  <si>
    <t>Trade Date</t>
  </si>
  <si>
    <t>Approved Status</t>
  </si>
  <si>
    <t>Quantity</t>
  </si>
  <si>
    <t>Option Premium Adjustment</t>
  </si>
  <si>
    <t>Commission</t>
  </si>
  <si>
    <t>SoftCommission</t>
  </si>
  <si>
    <t>Avg Price</t>
  </si>
  <si>
    <t>Fees</t>
  </si>
  <si>
    <t>Clearing Broker Fees</t>
  </si>
  <si>
    <t>Process Date</t>
  </si>
  <si>
    <t>Stamp Duty</t>
  </si>
  <si>
    <t>Transaction Levy</t>
  </si>
  <si>
    <t>AUEC Fee1</t>
  </si>
  <si>
    <t>Tax On Commissions</t>
  </si>
  <si>
    <t>AUEC Fee2</t>
  </si>
  <si>
    <t>SEC Fee</t>
  </si>
  <si>
    <t>OCC Fee</t>
  </si>
  <si>
    <t>ORF Fee</t>
  </si>
  <si>
    <t>Transaction Type</t>
  </si>
  <si>
    <t>SettlCurrencyName</t>
  </si>
  <si>
    <t>FXConversionMethodOperator</t>
  </si>
  <si>
    <t>Commission Source</t>
  </si>
  <si>
    <t>Soft Commission Source</t>
  </si>
  <si>
    <t>FXRate</t>
  </si>
  <si>
    <t>Continue</t>
  </si>
  <si>
    <t>Abort</t>
  </si>
  <si>
    <t>Security Master</t>
  </si>
  <si>
    <t>DailyValuation</t>
  </si>
  <si>
    <t>GetDailyCash</t>
  </si>
  <si>
    <t>UpdateMultipleDailyCash</t>
  </si>
  <si>
    <t>Allocation1</t>
  </si>
  <si>
    <t>USD</t>
  </si>
  <si>
    <t>PricingInput</t>
  </si>
  <si>
    <t>AAPL</t>
  </si>
  <si>
    <t>DY</t>
  </si>
  <si>
    <t>FB</t>
  </si>
  <si>
    <t>LSCC</t>
  </si>
  <si>
    <t>MSFT</t>
  </si>
  <si>
    <t>ZAYO</t>
  </si>
  <si>
    <t>FetchAccountPositions</t>
  </si>
  <si>
    <t>AddCash</t>
  </si>
  <si>
    <t>Impact NAV</t>
  </si>
  <si>
    <t>RunRebalance</t>
  </si>
  <si>
    <t>Nearest Round Off</t>
  </si>
  <si>
    <t>Unknown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</si>
  <si>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</si>
  <si>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</si>
  <si>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</si>
  <si>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</si>
  <si>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</si>
  <si>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</si>
  <si>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</si>
  <si>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</si>
  <si>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</si>
  <si>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</si>
  <si>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You need additional $20,912 in cash to rebalance. Do you want to allow negative cash?</t>
  </si>
  <si>
    <t>DialogueBox</t>
  </si>
  <si>
    <t>DialogueBoxNo</t>
  </si>
  <si>
    <t>You need additional $937 in cash to rebalance. Do you want to allow negative cash?</t>
  </si>
  <si>
    <t>DialogueBoxYes</t>
  </si>
  <si>
    <t>CreateDoneAwayOrder</t>
  </si>
  <si>
    <t>msft</t>
  </si>
  <si>
    <t>buy</t>
  </si>
  <si>
    <t>TradingTicket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</si>
</sst>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b/>
      <sz val="11.0"/>
      <color rgb="FF222222"/>
      <name val="&quot;Google Sans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D8E5F8"/>
        <bgColor rgb="FFD8E5F8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readingOrder="0"/>
    </xf>
    <xf borderId="0" fillId="5" fontId="10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IFERROR(__xludf.DUMMYFUNCTION("""COMPUTED_VALUE"""),"Portfolio Name")</f>
        <v>Portfolio Name</v>
      </c>
      <c r="C5" s="27" t="str">
        <f>IFERROR(__xludf.DUMMYFUNCTION("""COMPUTED_VALUE"""),"Portfolio Type")</f>
        <v>Portfolio Type</v>
      </c>
      <c r="D5" s="27" t="str">
        <f>IFERROR(__xludf.DUMMYFUNCTION("""COMPUTED_VALUE"""),"Position Type")</f>
        <v>Position Type</v>
      </c>
      <c r="E5" s="27" t="str">
        <f>IFERROR(__xludf.DUMMYFUNCTION("""COMPUTED_VALUE"""),"Model Type")</f>
        <v>Model Type</v>
      </c>
      <c r="F5" s="28" t="str">
        <f>IFERROR(__xludf.DUMMYFUNCTION("""COMPUTED_VALUE"""),"Account")</f>
        <v>Account</v>
      </c>
      <c r="G5" s="27" t="str">
        <f>IFERROR(__xludf.DUMMYFUNCTION("""COMPUTED_VALUE"""),"MasterFund")</f>
        <v>MasterFund</v>
      </c>
      <c r="H5" s="27" t="str">
        <f>IFERROR(__xludf.DUMMYFUNCTION("""COMPUTED_VALUE"""),"Custom Group")</f>
        <v>Custom Group</v>
      </c>
      <c r="I5" s="27" t="str">
        <f>IFERROR(__xludf.DUMMYFUNCTION("""COMPUTED_VALUE"""),"ImportModelPortfolioPath")</f>
        <v>ImportModelPortfolioPath</v>
      </c>
      <c r="J5" s="27" t="str">
        <f>IFERROR(__xludf.DUMMYFUNCTION("""COMPUTED_VALUE"""),"Use Tolerance")</f>
        <v>Use Tolerance</v>
      </c>
      <c r="K5" s="27" t="str">
        <f>IFERROR(__xludf.DUMMYFUNCTION("""COMPUTED_VALUE"""),"In Percentage/In BPS")</f>
        <v>In Percentage/In BPS</v>
      </c>
      <c r="L5" s="27" t="str">
        <f>IFERROR(__xludf.DUMMYFUNCTION("""COMPUTED_VALUE"""),"CheckPopUp")</f>
        <v>CheckPopUp</v>
      </c>
      <c r="M5" s="27" t="str">
        <f>IFERROR(__xludf.DUMMYFUNCTION("""COMPUTED_VALUE"""),"BringTo")</f>
        <v>BringTo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12" t="s">
        <v>18</v>
      </c>
      <c r="F6" s="8"/>
      <c r="G6" s="8"/>
      <c r="H6" s="8"/>
      <c r="I6" s="12" t="s">
        <v>19</v>
      </c>
      <c r="J6" s="12" t="s">
        <v>20</v>
      </c>
      <c r="K6" s="12" t="s">
        <v>21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CreateOrViewModelPortfolio!$4:$4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IFERROR(__xludf.DUMMYFUNCTION("""COMPUTED_VALUE"""),"Portfolio Name")</f>
        <v>Portfolio Name</v>
      </c>
      <c r="C5" s="27" t="str">
        <f>IFERROR(__xludf.DUMMYFUNCTION("""COMPUTED_VALUE"""),"Portfolio Type")</f>
        <v>Portfolio Type</v>
      </c>
      <c r="D5" s="27" t="str">
        <f>IFERROR(__xludf.DUMMYFUNCTION("""COMPUTED_VALUE"""),"Position Type")</f>
        <v>Position Type</v>
      </c>
      <c r="E5" s="27" t="str">
        <f>IFERROR(__xludf.DUMMYFUNCTION("""COMPUTED_VALUE"""),"Model Type")</f>
        <v>Model Type</v>
      </c>
      <c r="F5" s="28" t="str">
        <f>IFERROR(__xludf.DUMMYFUNCTION("""COMPUTED_VALUE"""),"Account")</f>
        <v>Account</v>
      </c>
      <c r="G5" s="27" t="str">
        <f>IFERROR(__xludf.DUMMYFUNCTION("""COMPUTED_VALUE"""),"MasterFund")</f>
        <v>MasterFund</v>
      </c>
      <c r="H5" s="27" t="str">
        <f>IFERROR(__xludf.DUMMYFUNCTION("""COMPUTED_VALUE"""),"Custom Group")</f>
        <v>Custom Group</v>
      </c>
      <c r="I5" s="27" t="str">
        <f>IFERROR(__xludf.DUMMYFUNCTION("""COMPUTED_VALUE"""),"ImportModelPortfolioPath")</f>
        <v>ImportModelPortfolioPath</v>
      </c>
      <c r="J5" s="27" t="str">
        <f>IFERROR(__xludf.DUMMYFUNCTION("""COMPUTED_VALUE"""),"Use Tolerance")</f>
        <v>Use Tolerance</v>
      </c>
      <c r="K5" s="27" t="str">
        <f>IFERROR(__xludf.DUMMYFUNCTION("""COMPUTED_VALUE"""),"In Percentage/In BPS")</f>
        <v>In Percentage/In BPS</v>
      </c>
      <c r="L5" s="27" t="str">
        <f>IFERROR(__xludf.DUMMYFUNCTION("""COMPUTED_VALUE"""),"CheckPopUp")</f>
        <v>CheckPopUp</v>
      </c>
      <c r="M5" s="27" t="str">
        <f>IFERROR(__xludf.DUMMYFUNCTION("""COMPUTED_VALUE"""),"BringTo")</f>
        <v>BringTo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17</v>
      </c>
      <c r="D6" s="12"/>
      <c r="E6" s="12" t="s">
        <v>18</v>
      </c>
      <c r="F6" s="8"/>
      <c r="G6" s="8"/>
      <c r="H6" s="8"/>
      <c r="I6" s="12" t="s">
        <v>19</v>
      </c>
      <c r="J6" s="12" t="s">
        <v>20</v>
      </c>
      <c r="K6" s="12" t="s">
        <v>21</v>
      </c>
      <c r="L6" s="8"/>
      <c r="M6" s="30" t="s">
        <v>23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CreateOrViewModelPortfolio1!$4:$4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30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26</v>
      </c>
      <c r="C5" s="28" t="s">
        <v>27</v>
      </c>
      <c r="D5" s="28" t="s">
        <v>28</v>
      </c>
      <c r="E5" s="28" t="s">
        <v>29</v>
      </c>
      <c r="F5" s="28" t="s">
        <v>30</v>
      </c>
      <c r="G5" s="28" t="s">
        <v>31</v>
      </c>
      <c r="H5" s="28" t="s">
        <v>32</v>
      </c>
      <c r="I5" s="28" t="s">
        <v>33</v>
      </c>
      <c r="J5" s="28" t="s">
        <v>34</v>
      </c>
      <c r="K5" s="28" t="s">
        <v>35</v>
      </c>
      <c r="L5" s="28" t="s">
        <v>36</v>
      </c>
      <c r="M5" s="28" t="s">
        <v>37</v>
      </c>
      <c r="N5" s="28" t="s">
        <v>38</v>
      </c>
      <c r="O5" s="28" t="s">
        <v>39</v>
      </c>
      <c r="P5" s="28" t="s">
        <v>40</v>
      </c>
      <c r="Q5" s="28" t="s">
        <v>41</v>
      </c>
      <c r="R5" s="28" t="s">
        <v>42</v>
      </c>
      <c r="S5" s="28" t="s">
        <v>43</v>
      </c>
      <c r="T5" s="31" t="s">
        <v>44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45</v>
      </c>
      <c r="D6" s="12"/>
      <c r="E6" s="32"/>
      <c r="F6" s="12" t="s">
        <v>46</v>
      </c>
      <c r="G6" s="8"/>
      <c r="H6" s="8"/>
      <c r="I6" s="8"/>
      <c r="J6" s="8"/>
      <c r="K6" s="8"/>
      <c r="L6" s="8"/>
      <c r="M6" s="8"/>
      <c r="N6" s="8"/>
      <c r="O6" s="8"/>
      <c r="R6" s="9">
        <v>-2.147483648E9</v>
      </c>
      <c r="S6" s="9" t="s">
        <v>47</v>
      </c>
    </row>
    <row r="7" ht="15.75" customHeight="1">
      <c r="A7" s="8"/>
      <c r="B7" s="8"/>
      <c r="C7" s="12" t="s">
        <v>48</v>
      </c>
      <c r="D7" s="8"/>
      <c r="E7" s="8"/>
      <c r="F7" s="12" t="s">
        <v>49</v>
      </c>
      <c r="G7" s="8"/>
      <c r="H7" s="8"/>
      <c r="I7" s="8"/>
      <c r="J7" s="8"/>
      <c r="K7" s="8"/>
      <c r="L7" s="8"/>
      <c r="M7" s="8"/>
      <c r="N7" s="8"/>
      <c r="O7" s="8"/>
      <c r="R7" s="9">
        <v>-2.147483648E9</v>
      </c>
      <c r="S7" s="9" t="s">
        <v>47</v>
      </c>
    </row>
    <row r="8" ht="15.75" customHeight="1">
      <c r="A8" s="8"/>
      <c r="B8" s="8"/>
      <c r="C8" s="12" t="s">
        <v>50</v>
      </c>
      <c r="D8" s="8"/>
      <c r="E8" s="8"/>
      <c r="F8" s="12" t="s">
        <v>46</v>
      </c>
      <c r="G8" s="12" t="s">
        <v>51</v>
      </c>
      <c r="H8" s="8"/>
      <c r="I8" s="8"/>
      <c r="J8" s="8"/>
      <c r="K8" s="8"/>
      <c r="L8" s="8"/>
      <c r="M8" s="8"/>
      <c r="N8" s="8"/>
      <c r="O8" s="8"/>
      <c r="R8" s="9">
        <v>-2.147483648E9</v>
      </c>
      <c r="S8" s="9" t="s">
        <v>52</v>
      </c>
      <c r="T8" s="9" t="s">
        <v>53</v>
      </c>
    </row>
    <row r="9" ht="15.75" customHeight="1">
      <c r="A9" s="8"/>
      <c r="B9" s="8"/>
      <c r="C9" s="12" t="s">
        <v>54</v>
      </c>
      <c r="D9" s="8"/>
      <c r="E9" s="8"/>
      <c r="F9" s="12" t="s">
        <v>55</v>
      </c>
      <c r="G9" s="8"/>
      <c r="H9" s="8"/>
      <c r="I9" s="8"/>
      <c r="J9" s="8"/>
      <c r="K9" s="8"/>
      <c r="L9" s="8"/>
      <c r="M9" s="8"/>
      <c r="N9" s="8"/>
      <c r="O9" s="8"/>
      <c r="R9" s="9">
        <v>-2.147483648E9</v>
      </c>
      <c r="S9" s="9" t="s">
        <v>47</v>
      </c>
    </row>
    <row r="10" ht="15.75" customHeight="1">
      <c r="A10" s="8"/>
      <c r="B10" s="8"/>
      <c r="C10" s="12" t="s">
        <v>56</v>
      </c>
      <c r="D10" s="8"/>
      <c r="E10" s="8"/>
      <c r="F10" s="12" t="s">
        <v>57</v>
      </c>
      <c r="G10" s="8"/>
      <c r="H10" s="8"/>
      <c r="I10" s="8"/>
      <c r="J10" s="8"/>
      <c r="K10" s="8"/>
      <c r="L10" s="8"/>
      <c r="M10" s="8"/>
      <c r="N10" s="8"/>
      <c r="O10" s="8"/>
      <c r="R10" s="9">
        <v>-2.147483648E9</v>
      </c>
      <c r="S10" s="9" t="s">
        <v>47</v>
      </c>
    </row>
    <row r="11" ht="15.75" customHeight="1">
      <c r="A11" s="8"/>
      <c r="B11" s="8"/>
      <c r="C11" s="12" t="s">
        <v>58</v>
      </c>
      <c r="D11" s="8"/>
      <c r="E11" s="8"/>
      <c r="F11" s="12" t="s">
        <v>57</v>
      </c>
      <c r="G11" s="8"/>
      <c r="H11" s="8"/>
      <c r="I11" s="8"/>
      <c r="J11" s="8"/>
      <c r="K11" s="8"/>
      <c r="L11" s="8"/>
      <c r="M11" s="8"/>
      <c r="N11" s="8"/>
      <c r="O11" s="8"/>
      <c r="R11" s="9">
        <v>-2.147483648E9</v>
      </c>
      <c r="S11" s="9" t="s">
        <v>47</v>
      </c>
    </row>
    <row r="12" ht="15.75" customHeight="1">
      <c r="A12" s="8"/>
      <c r="B12" s="8"/>
      <c r="C12" s="12" t="s">
        <v>59</v>
      </c>
      <c r="D12" s="8"/>
      <c r="E12" s="8"/>
      <c r="F12" s="12" t="s">
        <v>60</v>
      </c>
      <c r="G12" s="8"/>
      <c r="H12" s="8"/>
      <c r="I12" s="8"/>
      <c r="J12" s="8"/>
      <c r="K12" s="8"/>
      <c r="L12" s="8"/>
      <c r="M12" s="8"/>
      <c r="N12" s="8"/>
      <c r="O12" s="8"/>
      <c r="R12" s="9">
        <v>-2.147483648E9</v>
      </c>
      <c r="S12" s="9" t="s">
        <v>47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ActionOnImport!$4:$4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30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62</v>
      </c>
      <c r="C5" s="28" t="s">
        <v>63</v>
      </c>
      <c r="D5" s="28" t="s">
        <v>64</v>
      </c>
      <c r="E5" s="28" t="s">
        <v>65</v>
      </c>
      <c r="F5" s="28" t="s">
        <v>66</v>
      </c>
      <c r="G5" s="28" t="s">
        <v>67</v>
      </c>
      <c r="H5" s="28" t="s">
        <v>68</v>
      </c>
      <c r="I5" s="28" t="s">
        <v>69</v>
      </c>
      <c r="J5" s="28" t="s">
        <v>70</v>
      </c>
      <c r="K5" s="28" t="s">
        <v>71</v>
      </c>
      <c r="L5" s="28" t="s">
        <v>72</v>
      </c>
      <c r="M5" s="28" t="s">
        <v>73</v>
      </c>
      <c r="N5" s="28" t="s">
        <v>42</v>
      </c>
      <c r="O5" s="28" t="s">
        <v>74</v>
      </c>
      <c r="P5" s="28" t="s">
        <v>75</v>
      </c>
      <c r="Q5" s="28" t="s">
        <v>76</v>
      </c>
      <c r="R5" s="28" t="s">
        <v>77</v>
      </c>
      <c r="S5" s="28" t="s">
        <v>78</v>
      </c>
      <c r="T5" s="31" t="s">
        <v>79</v>
      </c>
      <c r="U5" s="31" t="s">
        <v>80</v>
      </c>
      <c r="V5" s="31" t="s">
        <v>81</v>
      </c>
      <c r="W5" s="31" t="s">
        <v>82</v>
      </c>
      <c r="X5" s="31" t="s">
        <v>83</v>
      </c>
      <c r="Y5" s="31" t="s">
        <v>84</v>
      </c>
      <c r="Z5" s="31" t="s">
        <v>85</v>
      </c>
      <c r="AA5" s="31" t="s">
        <v>86</v>
      </c>
      <c r="AB5" s="31" t="s">
        <v>87</v>
      </c>
      <c r="AC5" s="31" t="s">
        <v>88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ValidateImportPositions!$4:$4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30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89</v>
      </c>
      <c r="C5" s="28" t="s">
        <v>90</v>
      </c>
      <c r="D5" s="28" t="s">
        <v>91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1"/>
      <c r="U5" s="31"/>
      <c r="V5" s="31"/>
      <c r="W5" s="31"/>
      <c r="X5" s="31"/>
      <c r="Y5" s="31"/>
      <c r="Z5" s="31"/>
      <c r="AA5" s="31"/>
      <c r="AB5" s="31"/>
      <c r="AC5" s="31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89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ValidateImportPositions1!$4:$4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>
        <f>TODAY()-1</f>
        <v>45825</v>
      </c>
      <c r="C6" s="33">
        <f>TODAY()</f>
        <v>45826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95</v>
      </c>
      <c r="C6" s="12" t="s">
        <v>96</v>
      </c>
      <c r="D6" s="12">
        <v>49063.0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97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98</v>
      </c>
      <c r="C6" s="35">
        <v>175.0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99</v>
      </c>
      <c r="C7" s="35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100</v>
      </c>
      <c r="C8" s="35">
        <v>194.32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101</v>
      </c>
      <c r="C9" s="35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102</v>
      </c>
      <c r="C10" s="35">
        <v>110.0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103</v>
      </c>
      <c r="C11" s="35">
        <v>36.48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104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95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105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106</v>
      </c>
      <c r="D6" s="12" t="s">
        <v>16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105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-50000.0</v>
      </c>
      <c r="C6" s="12" t="s">
        <v>106</v>
      </c>
      <c r="D6" s="12" t="s">
        <v>16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105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100000.0</v>
      </c>
      <c r="C6" s="12" t="s">
        <v>106</v>
      </c>
      <c r="D6" s="12" t="s">
        <v>16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105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106</v>
      </c>
      <c r="D6" s="12" t="s">
        <v>22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107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108</v>
      </c>
      <c r="C6" s="12" t="b">
        <v>1</v>
      </c>
      <c r="D6" s="12" t="b">
        <v>1</v>
      </c>
      <c r="E6" s="32"/>
      <c r="F6" s="8"/>
      <c r="G6" s="12"/>
      <c r="H6" s="12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107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108</v>
      </c>
      <c r="C6" s="12" t="b">
        <v>1</v>
      </c>
      <c r="D6" s="12"/>
      <c r="E6" s="32"/>
      <c r="F6" s="8"/>
      <c r="G6" s="12"/>
      <c r="H6" s="12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107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108</v>
      </c>
      <c r="C6" s="12" t="b">
        <v>1</v>
      </c>
      <c r="D6" s="12"/>
      <c r="E6" s="32"/>
      <c r="F6" s="8"/>
      <c r="G6" s="12"/>
      <c r="H6" s="12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107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108</v>
      </c>
      <c r="C6" s="12" t="b">
        <v>1</v>
      </c>
      <c r="D6" s="12" t="b">
        <v>1</v>
      </c>
      <c r="E6" s="32"/>
      <c r="F6" s="8"/>
      <c r="G6" s="12"/>
      <c r="H6" s="12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109</v>
      </c>
      <c r="D3" s="5" t="s">
        <v>9</v>
      </c>
      <c r="E3" s="22"/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IFERROR(__xludf.DUMMYFUNCTION("IF(C3="""","""",Transpose(IMPORTRANGE('_Settings'!$B$3,C3&amp;""!A4:A1000"")))"),"RightClickAndClickOperations")</f>
        <v>RightClickAndClickOperations</v>
      </c>
      <c r="C4" s="24" t="str">
        <f>IFERROR(__xludf.DUMMYFUNCTION("""COMPUTED_VALUE"""),"CheckModStatus")</f>
        <v>CheckModStatus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110</v>
      </c>
      <c r="C5" s="28" t="s">
        <v>111</v>
      </c>
      <c r="D5" s="28" t="s">
        <v>112</v>
      </c>
      <c r="E5" s="28" t="s">
        <v>113</v>
      </c>
      <c r="F5" s="28" t="s">
        <v>114</v>
      </c>
      <c r="G5" s="28" t="s">
        <v>115</v>
      </c>
      <c r="H5" s="28" t="s">
        <v>116</v>
      </c>
      <c r="I5" s="28" t="s">
        <v>117</v>
      </c>
      <c r="J5" s="28" t="s">
        <v>118</v>
      </c>
      <c r="K5" s="28" t="s">
        <v>119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120</v>
      </c>
      <c r="C6" s="8"/>
      <c r="D6" s="12"/>
      <c r="E6" s="32"/>
      <c r="F6" s="12" t="s">
        <v>121</v>
      </c>
      <c r="G6" s="8"/>
      <c r="H6" s="8"/>
      <c r="I6" s="12" t="s">
        <v>122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NirvanaDialogueBoxHandler!$4:$4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109</v>
      </c>
      <c r="D3" s="5" t="s">
        <v>9</v>
      </c>
      <c r="E3" s="22"/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IFERROR(__xludf.DUMMYFUNCTION("IF(C3="""","""",Transpose(IMPORTRANGE('_Settings'!$B$3,C3&amp;""!A4:A1000"")))"),"RightClickAndClickOperations")</f>
        <v>RightClickAndClickOperations</v>
      </c>
      <c r="C4" s="24" t="str">
        <f>IFERROR(__xludf.DUMMYFUNCTION("""COMPUTED_VALUE"""),"CheckModStatus")</f>
        <v>CheckModStatus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110</v>
      </c>
      <c r="C5" s="28" t="s">
        <v>111</v>
      </c>
      <c r="D5" s="28" t="s">
        <v>112</v>
      </c>
      <c r="E5" s="28" t="s">
        <v>113</v>
      </c>
      <c r="F5" s="28" t="s">
        <v>114</v>
      </c>
      <c r="G5" s="28" t="s">
        <v>115</v>
      </c>
      <c r="H5" s="28" t="s">
        <v>116</v>
      </c>
      <c r="I5" s="28" t="s">
        <v>117</v>
      </c>
      <c r="J5" s="28" t="s">
        <v>118</v>
      </c>
      <c r="K5" s="28" t="s">
        <v>119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123</v>
      </c>
      <c r="C6" s="8"/>
      <c r="D6" s="12"/>
      <c r="E6" s="32"/>
      <c r="F6" s="12" t="s">
        <v>121</v>
      </c>
      <c r="G6" s="8"/>
      <c r="H6" s="8"/>
      <c r="I6" s="12" t="s">
        <v>122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NirvanaDialogueBoxHandler1!$4:$4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109</v>
      </c>
      <c r="D3" s="5" t="s">
        <v>9</v>
      </c>
      <c r="E3" s="22"/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IFERROR(__xludf.DUMMYFUNCTION("IF(C3="""","""",Transpose(IMPORTRANGE('_Settings'!$B$3,C3&amp;""!A4:A1000"")))"),"RightClickAndClickOperations")</f>
        <v>RightClickAndClickOperations</v>
      </c>
      <c r="C4" s="24" t="str">
        <f>IFERROR(__xludf.DUMMYFUNCTION("""COMPUTED_VALUE"""),"CheckModStatus")</f>
        <v>CheckModStatus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110</v>
      </c>
      <c r="C5" s="28" t="s">
        <v>111</v>
      </c>
      <c r="D5" s="28" t="s">
        <v>112</v>
      </c>
      <c r="E5" s="28" t="s">
        <v>113</v>
      </c>
      <c r="F5" s="28" t="s">
        <v>114</v>
      </c>
      <c r="G5" s="28" t="s">
        <v>115</v>
      </c>
      <c r="H5" s="28" t="s">
        <v>116</v>
      </c>
      <c r="I5" s="28" t="s">
        <v>117</v>
      </c>
      <c r="J5" s="28" t="s">
        <v>118</v>
      </c>
      <c r="K5" s="28" t="s">
        <v>119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120</v>
      </c>
      <c r="C6" s="8"/>
      <c r="D6" s="12"/>
      <c r="E6" s="32"/>
      <c r="F6" s="12" t="s">
        <v>121</v>
      </c>
      <c r="G6" s="8"/>
      <c r="H6" s="8"/>
      <c r="J6" s="12" t="s">
        <v>124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NirvanaDialogueBoxHandler2!$4:$4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126</v>
      </c>
      <c r="C6" s="8"/>
      <c r="D6" s="12" t="s">
        <v>127</v>
      </c>
      <c r="E6" s="3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CloseRebalancer!$4:$4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128</v>
      </c>
      <c r="D3" s="5" t="s">
        <v>9</v>
      </c>
      <c r="E3" s="22" t="s">
        <v>125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126</v>
      </c>
      <c r="C6" s="8"/>
      <c r="D6" s="12" t="s">
        <v>127</v>
      </c>
      <c r="E6" s="32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