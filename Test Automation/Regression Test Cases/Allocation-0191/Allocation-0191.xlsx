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1" activeTab="15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CreateLiveOrder" sheetId="6" r:id="rId6"/>
    <sheet name="AcknowledgeTrade" sheetId="7" r:id="rId7"/>
    <sheet name="SelectTrade" sheetId="8" r:id="rId8"/>
    <sheet name="ExecuteTrade" sheetId="9" r:id="rId9"/>
    <sheet name="SelectTrade1" sheetId="10" r:id="rId10"/>
    <sheet name="AcknowledgeTrade1" sheetId="11" r:id="rId11"/>
    <sheet name="ExecuteTrade1" sheetId="12" r:id="rId12"/>
    <sheet name="VerifyOrder" sheetId="13" r:id="rId13"/>
    <sheet name="GetDataAllocation" sheetId="14" r:id="rId14"/>
    <sheet name="CheckUnallocatedGroups" sheetId="15" r:id="rId15"/>
    <sheet name="CheckPortfolioManagement" sheetId="16" r:id="rId16"/>
  </sheets>
  <calcPr calcId="145621"/>
</workbook>
</file>

<file path=xl/calcChain.xml><?xml version="1.0" encoding="utf-8"?>
<calcChain xmlns="http://schemas.openxmlformats.org/spreadsheetml/2006/main">
  <c r="FA5" i="16" l="1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V4" i="16"/>
  <c r="N4" i="16"/>
  <c r="F4" i="16"/>
  <c r="CO5" i="15"/>
  <c r="CG5" i="15"/>
  <c r="BY5" i="15"/>
  <c r="BQ5" i="15"/>
  <c r="BI5" i="15"/>
  <c r="BA5" i="15"/>
  <c r="AS5" i="15"/>
  <c r="AK5" i="15"/>
  <c r="AC5" i="15"/>
  <c r="U5" i="15"/>
  <c r="M5" i="15"/>
  <c r="E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O5" i="14"/>
  <c r="G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AY5" i="13"/>
  <c r="AQ5" i="13"/>
  <c r="AI5" i="13"/>
  <c r="AA5" i="13"/>
  <c r="S5" i="13"/>
  <c r="K5" i="13"/>
  <c r="C5" i="13"/>
  <c r="AO4" i="13"/>
  <c r="AG4" i="13"/>
  <c r="Y4" i="13"/>
  <c r="Q4" i="13"/>
  <c r="I4" i="13"/>
  <c r="F4" i="12"/>
  <c r="E5" i="11"/>
  <c r="G4" i="11"/>
  <c r="F5" i="10"/>
  <c r="H4" i="10"/>
  <c r="C5" i="9"/>
  <c r="E4" i="9"/>
  <c r="D5" i="8"/>
  <c r="F4" i="8"/>
  <c r="E5" i="7"/>
  <c r="G4" i="7"/>
  <c r="AL5" i="6"/>
  <c r="AD5" i="6"/>
  <c r="V5" i="6"/>
  <c r="N5" i="6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U4" i="16"/>
  <c r="M4" i="16"/>
  <c r="E4" i="16"/>
  <c r="CN5" i="15"/>
  <c r="CF5" i="15"/>
  <c r="BX5" i="15"/>
  <c r="BP5" i="15"/>
  <c r="BH5" i="15"/>
  <c r="AZ5" i="15"/>
  <c r="AR5" i="15"/>
  <c r="AJ5" i="15"/>
  <c r="AB5" i="15"/>
  <c r="T5" i="15"/>
  <c r="L5" i="15"/>
  <c r="D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N5" i="14"/>
  <c r="F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AX5" i="13"/>
  <c r="AP5" i="13"/>
  <c r="AH5" i="13"/>
  <c r="Z5" i="13"/>
  <c r="R5" i="13"/>
  <c r="J5" i="13"/>
  <c r="B5" i="13"/>
  <c r="AN4" i="13"/>
  <c r="AF4" i="13"/>
  <c r="X4" i="13"/>
  <c r="P4" i="13"/>
  <c r="H4" i="13"/>
  <c r="C5" i="12"/>
  <c r="E4" i="12"/>
  <c r="D5" i="11"/>
  <c r="F4" i="11"/>
  <c r="E5" i="10"/>
  <c r="G4" i="10"/>
  <c r="B5" i="9"/>
  <c r="D4" i="9"/>
  <c r="C5" i="8"/>
  <c r="E4" i="8"/>
  <c r="D5" i="7"/>
  <c r="F4" i="7"/>
  <c r="AK5" i="6"/>
  <c r="AC5" i="6"/>
  <c r="U5" i="6"/>
  <c r="M5" i="6"/>
  <c r="E5" i="6"/>
  <c r="Q4" i="6"/>
  <c r="I4" i="6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H5" i="4"/>
  <c r="DP4" i="4"/>
  <c r="DH4" i="4"/>
  <c r="CZ4" i="4"/>
  <c r="CR4" i="4"/>
  <c r="CJ4" i="4"/>
  <c r="CB4" i="4"/>
  <c r="EY5" i="16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T4" i="16"/>
  <c r="L4" i="16"/>
  <c r="D4" i="16"/>
  <c r="CM5" i="15"/>
  <c r="CE5" i="15"/>
  <c r="BW5" i="15"/>
  <c r="BO5" i="15"/>
  <c r="BG5" i="15"/>
  <c r="AY5" i="15"/>
  <c r="AQ5" i="15"/>
  <c r="AI5" i="15"/>
  <c r="AA5" i="15"/>
  <c r="S5" i="15"/>
  <c r="K5" i="15"/>
  <c r="C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M5" i="14"/>
  <c r="E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AW5" i="13"/>
  <c r="AO5" i="13"/>
  <c r="AG5" i="13"/>
  <c r="Y5" i="13"/>
  <c r="Q5" i="13"/>
  <c r="I5" i="13"/>
  <c r="A5" i="13"/>
  <c r="AM4" i="13"/>
  <c r="AE4" i="13"/>
  <c r="W4" i="13"/>
  <c r="O4" i="13"/>
  <c r="G4" i="13"/>
  <c r="B5" i="12"/>
  <c r="D4" i="12"/>
  <c r="C5" i="11"/>
  <c r="E4" i="11"/>
  <c r="D5" i="10"/>
  <c r="F4" i="10"/>
  <c r="A5" i="9"/>
  <c r="C4" i="9"/>
  <c r="B5" i="8"/>
  <c r="D4" i="8"/>
  <c r="C5" i="7"/>
  <c r="E4" i="7"/>
  <c r="AJ5" i="6"/>
  <c r="AB5" i="6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S4" i="16"/>
  <c r="K4" i="16"/>
  <c r="C4" i="16"/>
  <c r="CL5" i="15"/>
  <c r="CD5" i="15"/>
  <c r="BV5" i="15"/>
  <c r="BN5" i="15"/>
  <c r="BF5" i="15"/>
  <c r="AX5" i="15"/>
  <c r="AP5" i="15"/>
  <c r="AH5" i="15"/>
  <c r="Z5" i="15"/>
  <c r="R5" i="15"/>
  <c r="J5" i="15"/>
  <c r="B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L5" i="14"/>
  <c r="D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AV5" i="13"/>
  <c r="AN5" i="13"/>
  <c r="AF5" i="13"/>
  <c r="X5" i="13"/>
  <c r="P5" i="13"/>
  <c r="H5" i="13"/>
  <c r="AT4" i="13"/>
  <c r="AL4" i="13"/>
  <c r="AD4" i="13"/>
  <c r="V4" i="13"/>
  <c r="N4" i="13"/>
  <c r="F4" i="13"/>
  <c r="A5" i="12"/>
  <c r="C4" i="12"/>
  <c r="B5" i="11"/>
  <c r="D4" i="11"/>
  <c r="C5" i="10"/>
  <c r="E4" i="10"/>
  <c r="J4" i="9"/>
  <c r="B4" i="9"/>
  <c r="A5" i="8"/>
  <c r="C4" i="8"/>
  <c r="B5" i="7"/>
  <c r="D4" i="7"/>
  <c r="AI5" i="6"/>
  <c r="AA5" i="6"/>
  <c r="S5" i="6"/>
  <c r="K5" i="6"/>
  <c r="C5" i="6"/>
  <c r="O4" i="6"/>
  <c r="G4" i="6"/>
  <c r="A5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F5" i="4"/>
  <c r="DN4" i="4"/>
  <c r="DF4" i="4"/>
  <c r="CX4" i="4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R4" i="16"/>
  <c r="J4" i="16"/>
  <c r="B4" i="16"/>
  <c r="CK5" i="15"/>
  <c r="CC5" i="15"/>
  <c r="BU5" i="15"/>
  <c r="BM5" i="15"/>
  <c r="BE5" i="15"/>
  <c r="AW5" i="15"/>
  <c r="AO5" i="15"/>
  <c r="AG5" i="15"/>
  <c r="Y5" i="15"/>
  <c r="Q5" i="15"/>
  <c r="I5" i="15"/>
  <c r="A5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K5" i="14"/>
  <c r="C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AU5" i="13"/>
  <c r="AM5" i="13"/>
  <c r="AE5" i="13"/>
  <c r="W5" i="13"/>
  <c r="O5" i="13"/>
  <c r="G5" i="13"/>
  <c r="AS4" i="13"/>
  <c r="AK4" i="13"/>
  <c r="AC4" i="13"/>
  <c r="U4" i="13"/>
  <c r="M4" i="13"/>
  <c r="E4" i="13"/>
  <c r="J4" i="12"/>
  <c r="B4" i="12"/>
  <c r="A5" i="11"/>
  <c r="C4" i="11"/>
  <c r="B5" i="10"/>
  <c r="D4" i="10"/>
  <c r="I4" i="9"/>
  <c r="J4" i="8"/>
  <c r="B4" i="8"/>
  <c r="A5" i="7"/>
  <c r="C4" i="7"/>
  <c r="AH5" i="6"/>
  <c r="Z5" i="6"/>
  <c r="R5" i="6"/>
  <c r="J5" i="6"/>
  <c r="B5" i="6"/>
  <c r="N4" i="6"/>
  <c r="F4" i="6"/>
  <c r="DP4" i="5"/>
  <c r="DH4" i="5"/>
  <c r="CZ4" i="5"/>
  <c r="CR4" i="5"/>
  <c r="CJ4" i="5"/>
  <c r="CB4" i="5"/>
  <c r="BT4" i="5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Y4" i="16"/>
  <c r="Q4" i="16"/>
  <c r="I4" i="16"/>
  <c r="CJ5" i="15"/>
  <c r="CB5" i="15"/>
  <c r="BT5" i="15"/>
  <c r="BL5" i="15"/>
  <c r="BD5" i="15"/>
  <c r="AV5" i="15"/>
  <c r="AN5" i="15"/>
  <c r="AF5" i="15"/>
  <c r="X5" i="15"/>
  <c r="P5" i="15"/>
  <c r="H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R5" i="14"/>
  <c r="J5" i="14"/>
  <c r="B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AT5" i="13"/>
  <c r="AL5" i="13"/>
  <c r="AD5" i="13"/>
  <c r="V5" i="13"/>
  <c r="N5" i="13"/>
  <c r="F5" i="13"/>
  <c r="AR4" i="13"/>
  <c r="AJ4" i="13"/>
  <c r="AB4" i="13"/>
  <c r="T4" i="13"/>
  <c r="L4" i="13"/>
  <c r="D4" i="13"/>
  <c r="I4" i="12"/>
  <c r="J4" i="11"/>
  <c r="B4" i="11"/>
  <c r="A5" i="10"/>
  <c r="C4" i="10"/>
  <c r="H4" i="9"/>
  <c r="G5" i="8"/>
  <c r="I4" i="8"/>
  <c r="J4" i="7"/>
  <c r="B4" i="7"/>
  <c r="AG5" i="6"/>
  <c r="Y5" i="6"/>
  <c r="Q5" i="6"/>
  <c r="I5" i="6"/>
  <c r="A5" i="6"/>
  <c r="M4" i="6"/>
  <c r="E4" i="6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EU5" i="16"/>
  <c r="EM5" i="16"/>
  <c r="EE5" i="16"/>
  <c r="DW5" i="16"/>
  <c r="DO5" i="16"/>
  <c r="DG5" i="16"/>
  <c r="CY5" i="16"/>
  <c r="CQ5" i="16"/>
  <c r="CI5" i="16"/>
  <c r="CA5" i="16"/>
  <c r="BS5" i="16"/>
  <c r="BC5" i="16"/>
  <c r="AU5" i="16"/>
  <c r="AM5" i="16"/>
  <c r="AE5" i="16"/>
  <c r="W5" i="16"/>
  <c r="O5" i="16"/>
  <c r="G5" i="16"/>
  <c r="X4" i="16"/>
  <c r="P4" i="16"/>
  <c r="H4" i="16"/>
  <c r="CQ5" i="15"/>
  <c r="CI5" i="15"/>
  <c r="CA5" i="15"/>
  <c r="BS5" i="15"/>
  <c r="BK5" i="15"/>
  <c r="BC5" i="15"/>
  <c r="AU5" i="15"/>
  <c r="AM5" i="15"/>
  <c r="AE5" i="15"/>
  <c r="W5" i="15"/>
  <c r="O5" i="15"/>
  <c r="G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Q5" i="14"/>
  <c r="I5" i="14"/>
  <c r="A5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AS5" i="13"/>
  <c r="AK5" i="13"/>
  <c r="AC5" i="13"/>
  <c r="U5" i="13"/>
  <c r="M5" i="13"/>
  <c r="E5" i="13"/>
  <c r="AQ4" i="13"/>
  <c r="AI4" i="13"/>
  <c r="AA4" i="13"/>
  <c r="S4" i="13"/>
  <c r="K4" i="13"/>
  <c r="C4" i="13"/>
  <c r="H4" i="12"/>
  <c r="G5" i="11"/>
  <c r="I4" i="11"/>
  <c r="J4" i="10"/>
  <c r="B4" i="10"/>
  <c r="G4" i="9"/>
  <c r="F5" i="8"/>
  <c r="H4" i="8"/>
  <c r="G5" i="7"/>
  <c r="I4" i="7"/>
  <c r="AF5" i="6"/>
  <c r="X5" i="6"/>
  <c r="P5" i="6"/>
  <c r="H5" i="6"/>
  <c r="T4" i="6"/>
  <c r="L4" i="6"/>
  <c r="D4" i="6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K5" i="4"/>
  <c r="C5" i="4"/>
  <c r="DK4" i="4"/>
  <c r="DC4" i="4"/>
  <c r="CU4" i="4"/>
  <c r="CM4" i="4"/>
  <c r="CE4" i="4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W4" i="16"/>
  <c r="O4" i="16"/>
  <c r="G4" i="16"/>
  <c r="CP5" i="15"/>
  <c r="CH5" i="15"/>
  <c r="BZ5" i="15"/>
  <c r="BR5" i="15"/>
  <c r="BJ5" i="15"/>
  <c r="BB5" i="15"/>
  <c r="AT5" i="15"/>
  <c r="AL5" i="15"/>
  <c r="AD5" i="15"/>
  <c r="V5" i="15"/>
  <c r="N5" i="15"/>
  <c r="F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P5" i="14"/>
  <c r="H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AZ5" i="13"/>
  <c r="AR5" i="13"/>
  <c r="AJ5" i="13"/>
  <c r="AB5" i="13"/>
  <c r="T5" i="13"/>
  <c r="L5" i="13"/>
  <c r="D5" i="13"/>
  <c r="AP4" i="13"/>
  <c r="AH4" i="13"/>
  <c r="Z4" i="13"/>
  <c r="R4" i="13"/>
  <c r="J4" i="13"/>
  <c r="B4" i="13"/>
  <c r="G4" i="12"/>
  <c r="F5" i="11"/>
  <c r="H4" i="11"/>
  <c r="G5" i="10"/>
  <c r="I4" i="10"/>
  <c r="F4" i="9"/>
  <c r="E5" i="8"/>
  <c r="G4" i="8"/>
  <c r="F5" i="7"/>
  <c r="H4" i="7"/>
  <c r="AM5" i="6"/>
  <c r="AE5" i="6"/>
  <c r="W5" i="6"/>
  <c r="O5" i="6"/>
  <c r="G5" i="6"/>
  <c r="S4" i="6"/>
  <c r="K4" i="6"/>
  <c r="C4" i="6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J5" i="4"/>
  <c r="B5" i="4"/>
  <c r="DJ4" i="4"/>
  <c r="DB4" i="4"/>
  <c r="CT4" i="4"/>
  <c r="CL4" i="4"/>
  <c r="CD4" i="4"/>
  <c r="BV4" i="4"/>
  <c r="BN4" i="4"/>
  <c r="BF4" i="4"/>
  <c r="AX4" i="4"/>
  <c r="AP4" i="4"/>
  <c r="AH4" i="4"/>
  <c r="Z4" i="4"/>
  <c r="T5" i="6"/>
  <c r="B4" i="6"/>
  <c r="CN4" i="5"/>
  <c r="BL4" i="5"/>
  <c r="AP4" i="5"/>
  <c r="T4" i="5"/>
  <c r="D4" i="5"/>
  <c r="A5" i="4"/>
  <c r="DA4" i="4"/>
  <c r="CN4" i="4"/>
  <c r="BZ4" i="4"/>
  <c r="BQ4" i="4"/>
  <c r="BH4" i="4"/>
  <c r="AY4" i="4"/>
  <c r="AO4" i="4"/>
  <c r="AF4" i="4"/>
  <c r="W4" i="4"/>
  <c r="O4" i="4"/>
  <c r="G4" i="4"/>
  <c r="C20" i="3"/>
  <c r="C18" i="3"/>
  <c r="C16" i="3"/>
  <c r="C14" i="3"/>
  <c r="C12" i="3"/>
  <c r="C10" i="3"/>
  <c r="C8" i="3"/>
  <c r="C6" i="3"/>
  <c r="C4" i="3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L5" i="6"/>
  <c r="B5" i="5"/>
  <c r="CL4" i="5"/>
  <c r="BH4" i="5"/>
  <c r="AN4" i="5"/>
  <c r="R4" i="5"/>
  <c r="B4" i="5"/>
  <c r="DO4" i="4"/>
  <c r="CY4" i="4"/>
  <c r="CK4" i="4"/>
  <c r="BY4" i="4"/>
  <c r="BP4" i="4"/>
  <c r="BG4" i="4"/>
  <c r="AW4" i="4"/>
  <c r="AN4" i="4"/>
  <c r="AE4" i="4"/>
  <c r="V4" i="4"/>
  <c r="N4" i="4"/>
  <c r="F4" i="4"/>
  <c r="B20" i="3"/>
  <c r="B18" i="3"/>
  <c r="B16" i="3"/>
  <c r="B14" i="3"/>
  <c r="B12" i="3"/>
  <c r="B10" i="3"/>
  <c r="B8" i="3"/>
  <c r="B6" i="3"/>
  <c r="B4" i="3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F5" i="6"/>
  <c r="DL4" i="5"/>
  <c r="CF4" i="5"/>
  <c r="BF4" i="5"/>
  <c r="AJ4" i="5"/>
  <c r="P4" i="5"/>
  <c r="M5" i="4"/>
  <c r="DM4" i="4"/>
  <c r="CW4" i="4"/>
  <c r="CI4" i="4"/>
  <c r="BX4" i="4"/>
  <c r="BO4" i="4"/>
  <c r="BE4" i="4"/>
  <c r="AV4" i="4"/>
  <c r="AM4" i="4"/>
  <c r="AD4" i="4"/>
  <c r="U4" i="4"/>
  <c r="M4" i="4"/>
  <c r="E4" i="4"/>
  <c r="A20" i="3"/>
  <c r="A18" i="3"/>
  <c r="A16" i="3"/>
  <c r="A14" i="3"/>
  <c r="A12" i="3"/>
  <c r="A10" i="3"/>
  <c r="A8" i="3"/>
  <c r="A6" i="3"/>
  <c r="A4" i="3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D5" i="6"/>
  <c r="DJ4" i="5"/>
  <c r="CD4" i="5"/>
  <c r="BD4" i="5"/>
  <c r="AH4" i="5"/>
  <c r="O4" i="5"/>
  <c r="L5" i="4"/>
  <c r="DL4" i="4"/>
  <c r="CV4" i="4"/>
  <c r="CH4" i="4"/>
  <c r="BW4" i="4"/>
  <c r="BM4" i="4"/>
  <c r="BD4" i="4"/>
  <c r="AU4" i="4"/>
  <c r="AL4" i="4"/>
  <c r="AC4" i="4"/>
  <c r="T4" i="4"/>
  <c r="L4" i="4"/>
  <c r="D4" i="4"/>
  <c r="D19" i="3"/>
  <c r="D17" i="3"/>
  <c r="D15" i="3"/>
  <c r="D13" i="3"/>
  <c r="D11" i="3"/>
  <c r="D9" i="3"/>
  <c r="D7" i="3"/>
  <c r="D5" i="3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R4" i="6"/>
  <c r="DD4" i="5"/>
  <c r="BX4" i="5"/>
  <c r="AZ4" i="5"/>
  <c r="AF4" i="5"/>
  <c r="L4" i="5"/>
  <c r="I5" i="4"/>
  <c r="DI4" i="4"/>
  <c r="CS4" i="4"/>
  <c r="CG4" i="4"/>
  <c r="BU4" i="4"/>
  <c r="BL4" i="4"/>
  <c r="BC4" i="4"/>
  <c r="AT4" i="4"/>
  <c r="AK4" i="4"/>
  <c r="AB4" i="4"/>
  <c r="S4" i="4"/>
  <c r="K4" i="4"/>
  <c r="C4" i="4"/>
  <c r="C19" i="3"/>
  <c r="C17" i="3"/>
  <c r="C15" i="3"/>
  <c r="C13" i="3"/>
  <c r="C11" i="3"/>
  <c r="C9" i="3"/>
  <c r="C7" i="3"/>
  <c r="C5" i="3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P4" i="6"/>
  <c r="DB4" i="5"/>
  <c r="BV4" i="5"/>
  <c r="AX4" i="5"/>
  <c r="AB4" i="5"/>
  <c r="J4" i="5"/>
  <c r="G5" i="4"/>
  <c r="DG4" i="4"/>
  <c r="CQ4" i="4"/>
  <c r="CF4" i="4"/>
  <c r="BT4" i="4"/>
  <c r="BK4" i="4"/>
  <c r="BB4" i="4"/>
  <c r="AS4" i="4"/>
  <c r="AJ4" i="4"/>
  <c r="AA4" i="4"/>
  <c r="R4" i="4"/>
  <c r="J4" i="4"/>
  <c r="B4" i="4"/>
  <c r="B19" i="3"/>
  <c r="B17" i="3"/>
  <c r="B15" i="3"/>
  <c r="B13" i="3"/>
  <c r="B11" i="3"/>
  <c r="B9" i="3"/>
  <c r="B7" i="3"/>
  <c r="B5" i="3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J4" i="6"/>
  <c r="CV4" i="5"/>
  <c r="BP4" i="5"/>
  <c r="AV4" i="5"/>
  <c r="Z4" i="5"/>
  <c r="H4" i="5"/>
  <c r="E5" i="4"/>
  <c r="DE4" i="4"/>
  <c r="CP4" i="4"/>
  <c r="CC4" i="4"/>
  <c r="BS4" i="4"/>
  <c r="BJ4" i="4"/>
  <c r="BA4" i="4"/>
  <c r="AR4" i="4"/>
  <c r="AI4" i="4"/>
  <c r="Y4" i="4"/>
  <c r="Q4" i="4"/>
  <c r="I4" i="4"/>
  <c r="A19" i="3"/>
  <c r="A17" i="3"/>
  <c r="A15" i="3"/>
  <c r="A13" i="3"/>
  <c r="A11" i="3"/>
  <c r="A9" i="3"/>
  <c r="A7" i="3"/>
  <c r="A5" i="3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H4" i="6"/>
  <c r="CT4" i="5"/>
  <c r="BN4" i="5"/>
  <c r="AR4" i="5"/>
  <c r="X4" i="5"/>
  <c r="G4" i="5"/>
  <c r="D5" i="4"/>
  <c r="DD4" i="4"/>
  <c r="CO4" i="4"/>
  <c r="CA4" i="4"/>
  <c r="BR4" i="4"/>
  <c r="BI4" i="4"/>
  <c r="AZ4" i="4"/>
  <c r="AQ4" i="4"/>
  <c r="AG4" i="4"/>
  <c r="X4" i="4"/>
  <c r="P4" i="4"/>
  <c r="H4" i="4"/>
  <c r="D20" i="3"/>
  <c r="D18" i="3"/>
  <c r="D16" i="3"/>
  <c r="D14" i="3"/>
  <c r="D12" i="3"/>
  <c r="D10" i="3"/>
  <c r="D8" i="3"/>
  <c r="D6" i="3"/>
  <c r="D4" i="3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J2" i="13" l="1"/>
  <c r="J2" i="6"/>
  <c r="J2" i="5"/>
  <c r="J2" i="15"/>
  <c r="J2" i="9"/>
  <c r="J2" i="16"/>
  <c r="J2" i="12"/>
  <c r="J2" i="8"/>
  <c r="J2" i="14"/>
  <c r="J2" i="11"/>
  <c r="J2" i="7"/>
  <c r="J2" i="10"/>
  <c r="J2" i="4"/>
</calcChain>
</file>

<file path=xl/sharedStrings.xml><?xml version="1.0" encoding="utf-8"?>
<sst xmlns="http://schemas.openxmlformats.org/spreadsheetml/2006/main" count="146" uniqueCount="40">
  <si>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</si>
  <si>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</si>
  <si>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</si>
  <si>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</si>
  <si>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</si>
  <si>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</si>
  <si>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</si>
  <si>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</si>
  <si>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</si>
  <si>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</si>
  <si>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</si>
  <si>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</si>
  <si>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</si>
  <si>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</si>
  <si>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</si>
  <si>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</si>
  <si>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</si>
  <si>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Unallocated</t>
  </si>
  <si>
    <t>TradingTicket</t>
  </si>
  <si>
    <t>CreateLiveOrder</t>
  </si>
  <si>
    <t>MSFT</t>
  </si>
  <si>
    <t>Buy</t>
  </si>
  <si>
    <t>Simulator</t>
  </si>
  <si>
    <t>AcknowledgeTrade</t>
  </si>
  <si>
    <t>SelectTrade</t>
  </si>
  <si>
    <t>ExecuteTrade</t>
  </si>
  <si>
    <t>Blotter</t>
  </si>
  <si>
    <t>VerifyOrder</t>
  </si>
  <si>
    <t>Equity</t>
  </si>
  <si>
    <t>Filled</t>
  </si>
  <si>
    <t>MS</t>
  </si>
  <si>
    <t>Market</t>
  </si>
  <si>
    <t>GetDataAllocation</t>
  </si>
  <si>
    <t>Current</t>
  </si>
  <si>
    <t>CheckUnallocatedGroups</t>
  </si>
  <si>
    <t>Open</t>
  </si>
  <si>
    <t>PortfolioManagement</t>
  </si>
  <si>
    <t>CheckPortfolioManagement</t>
  </si>
  <si>
    <t>Long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</si>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</sst>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164" fontId="2" fillId="0" borderId="0" xfId="0" applyNumberFormat="1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29" t="s">
        <v>0</v>
      </c>
      <c r="B1" s="30"/>
      <c r="C1" s="30"/>
      <c r="D1" s="30"/>
      <c r="E1" s="30"/>
      <c r="F1" s="31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/>
    <row r="461" spans="1:3" ht="15.75" customHeight="1" x14ac:dyDescent="0.2"/>
    <row r="462" spans="1:3" ht="15.75" customHeight="1" x14ac:dyDescent="0.2"/>
    <row r="463" spans="1:3" ht="15.75" customHeight="1" x14ac:dyDescent="0.2"/>
    <row r="464" spans="1:3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2" t="s">
        <v>2</v>
      </c>
      <c r="B1" s="30"/>
      <c r="C1" s="31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9" t="s">
        <v>7</v>
      </c>
      <c r="B1" s="30"/>
      <c r="C1" s="30"/>
      <c r="D1" s="30"/>
      <c r="E1" s="30"/>
      <c r="F1" s="3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IFERROR(__xludf.DUMMYFUNCTION("""COMPUTED_VALUE"""),"FundName")</f>
        <v>FundName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20</v>
      </c>
      <c r="C6" s="7" t="s">
        <v>21</v>
      </c>
      <c r="D6" s="7">
        <v>200</v>
      </c>
      <c r="E6" s="25"/>
      <c r="F6" s="7" t="s">
        <v>17</v>
      </c>
      <c r="G6" s="7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20</v>
      </c>
      <c r="C7" s="7" t="s">
        <v>21</v>
      </c>
      <c r="D7" s="7">
        <v>300</v>
      </c>
      <c r="E7" s="5"/>
      <c r="F7" s="7" t="s">
        <v>17</v>
      </c>
      <c r="G7" s="7"/>
      <c r="H7" s="5"/>
      <c r="I7" s="5"/>
      <c r="J7" s="7">
        <v>20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7" t="s">
        <v>20</v>
      </c>
      <c r="D6" s="7"/>
      <c r="E6" s="25"/>
      <c r="F6" s="5"/>
      <c r="G6" s="7">
        <v>200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7" t="s">
        <v>20</v>
      </c>
      <c r="D6" s="7"/>
      <c r="E6" s="25"/>
      <c r="F6" s="5"/>
      <c r="G6" s="7">
        <v>200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10</v>
      </c>
      <c r="C6" s="7">
        <v>200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7" t="s">
        <v>20</v>
      </c>
      <c r="D6" s="7"/>
      <c r="E6" s="25"/>
      <c r="F6" s="5"/>
      <c r="G6" s="7">
        <v>300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7" t="s">
        <v>20</v>
      </c>
      <c r="D6" s="7"/>
      <c r="E6" s="25"/>
      <c r="F6" s="5"/>
      <c r="G6" s="7">
        <v>300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20</v>
      </c>
      <c r="C6" s="7">
        <v>300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10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H6" s="6" t="s">
        <v>28</v>
      </c>
      <c r="AI6" s="6" t="s">
        <v>20</v>
      </c>
      <c r="AJ6" s="6" t="s">
        <v>21</v>
      </c>
      <c r="AK6" s="6" t="s">
        <v>29</v>
      </c>
      <c r="AL6" s="6">
        <v>200</v>
      </c>
      <c r="AM6" s="6">
        <v>200</v>
      </c>
      <c r="AN6" s="6">
        <v>100</v>
      </c>
      <c r="AO6" s="6">
        <v>200</v>
      </c>
      <c r="AQ6" s="6">
        <v>10</v>
      </c>
      <c r="AS6" s="6" t="s">
        <v>30</v>
      </c>
      <c r="AU6" s="6" t="s">
        <v>31</v>
      </c>
      <c r="AV6" s="26">
        <v>2000</v>
      </c>
      <c r="AW6" s="26">
        <v>2000</v>
      </c>
      <c r="AY6" s="6">
        <v>200</v>
      </c>
      <c r="AZ6" s="6">
        <v>0</v>
      </c>
    </row>
    <row r="7" spans="1:154" ht="15.75" customHeight="1" x14ac:dyDescent="0.2">
      <c r="A7" s="5"/>
      <c r="B7" s="5"/>
      <c r="C7" s="5"/>
      <c r="D7" s="7">
        <v>20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H7" s="6" t="s">
        <v>28</v>
      </c>
      <c r="AI7" s="6" t="s">
        <v>20</v>
      </c>
      <c r="AJ7" s="6" t="s">
        <v>21</v>
      </c>
      <c r="AK7" s="6" t="s">
        <v>29</v>
      </c>
      <c r="AL7" s="6">
        <v>300</v>
      </c>
      <c r="AM7" s="6">
        <v>300</v>
      </c>
      <c r="AN7" s="6">
        <v>100</v>
      </c>
      <c r="AO7" s="6">
        <v>300</v>
      </c>
      <c r="AQ7" s="6">
        <v>20</v>
      </c>
      <c r="AS7" s="6" t="s">
        <v>30</v>
      </c>
      <c r="AU7" s="6" t="s">
        <v>31</v>
      </c>
      <c r="AV7" s="26">
        <v>6000</v>
      </c>
      <c r="AW7" s="26">
        <v>6000</v>
      </c>
      <c r="AY7" s="6">
        <v>300</v>
      </c>
      <c r="AZ7" s="6">
        <v>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33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1c7aP-E18Fb8lEVGiXac03BLoNVdUNRzodD2Xjn-9pzU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IFERROR(__xludf.DUMMYFUNCTION("""COMPUTED_VALUE"""),"Accrual Basis")</f>
        <v>Accrual Basis</v>
      </c>
      <c r="C5" s="22" t="str">
        <f ca="1">IFERROR(__xludf.DUMMYFUNCTION("""COMPUTED_VALUE"""),"Accrued Interest")</f>
        <v>Accrued Interest</v>
      </c>
      <c r="D5" s="22" t="str">
        <f ca="1">IFERROR(__xludf.DUMMYFUNCTION("""COMPUTED_VALUE"""),"Allocated Qty")</f>
        <v>Allocated Qty</v>
      </c>
      <c r="E5" s="22" t="str">
        <f ca="1">IFERROR(__xludf.DUMMYFUNCTION("""COMPUTED_VALUE"""),"Allocation Scheme Name")</f>
        <v>Allocation Scheme Name</v>
      </c>
      <c r="F5" s="23" t="str">
        <f ca="1">IFERROR(__xludf.DUMMYFUNCTION("""COMPUTED_VALUE"""),"Asset Category")</f>
        <v>Asset Category</v>
      </c>
      <c r="G5" s="22" t="str">
        <f ca="1">IFERROR(__xludf.DUMMYFUNCTION("""COMPUTED_VALUE"""),"AUEC Fee1")</f>
        <v>AUEC Fee1</v>
      </c>
      <c r="H5" s="22" t="str">
        <f ca="1">IFERROR(__xludf.DUMMYFUNCTION("""COMPUTED_VALUE"""),"AUEC Fee2")</f>
        <v>AUEC Fee2</v>
      </c>
      <c r="I5" s="22" t="str">
        <f ca="1">IFERROR(__xludf.DUMMYFUNCTION("""COMPUTED_VALUE"""),"AUECID")</f>
        <v>AUECID</v>
      </c>
      <c r="J5" s="22" t="str">
        <f ca="1">IFERROR(__xludf.DUMMYFUNCTION("""COMPUTED_VALUE"""),"Avg Price(Base)")</f>
        <v>Avg Price(Base)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IFERROR(__xludf.DUMMYFUNCTION("""COMPUTED_VALUE"""),"Bloomberg")</f>
        <v>Bloomberg</v>
      </c>
      <c r="M5" s="22" t="str">
        <f ca="1">IFERROR(__xludf.DUMMYFUNCTION("""COMPUTED_VALUE"""),"Bond Type")</f>
        <v>Bond Type</v>
      </c>
      <c r="N5" s="22" t="str">
        <f ca="1">IFERROR(__xludf.DUMMYFUNCTION("""COMPUTED_VALUE"""),"Broker")</f>
        <v>Broker</v>
      </c>
      <c r="O5" s="22" t="str">
        <f ca="1">IFERROR(__xludf.DUMMYFUNCTION("""COMPUTED_VALUE"""),"Change Comment")</f>
        <v>Change Comment</v>
      </c>
      <c r="P5" s="22" t="str">
        <f ca="1">IFERROR(__xludf.DUMMYFUNCTION("""COMPUTED_VALUE"""),"Change Type")</f>
        <v>Change Type</v>
      </c>
      <c r="Q5" s="22" t="str">
        <f ca="1">IFERROR(__xludf.DUMMYFUNCTION("""COMPUTED_VALUE"""),"Clearing Broker Fee")</f>
        <v>Clearing Broker Fee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IFERROR(__xludf.DUMMYFUNCTION("""COMPUTED_VALUE"""),"Execution Time")</f>
        <v>Execution Time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IFERROR(__xludf.DUMMYFUNCTION("""COMPUTED_VALUE"""),"FX Rate")</f>
        <v>FX Rate</v>
      </c>
      <c r="AI5" s="24" t="str">
        <f ca="1">IFERROR(__xludf.DUMMYFUNCTION("""COMPUTED_VALUE"""),"Group Status")</f>
        <v>Group Status</v>
      </c>
      <c r="AJ5" s="24" t="str">
        <f ca="1">IFERROR(__xludf.DUMMYFUNCTION("""COMPUTED_VALUE"""),"GroupID")</f>
        <v>GroupID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IFERROR(__xludf.DUMMYFUNCTION("""COMPUTED_VALUE"""),"Symbol")</f>
        <v>Symbol</v>
      </c>
      <c r="BT5" s="24" t="str">
        <f ca="1">IFERROR(__xludf.DUMMYFUNCTION("""COMPUTED_VALUE"""),"Tax On Commissions")</f>
        <v>Tax On Commissions</v>
      </c>
      <c r="BU5" s="24" t="str">
        <f ca="1">IFERROR(__xludf.DUMMYFUNCTION("""COMPUTED_VALUE"""),"Total Commission")</f>
        <v>Total Commission</v>
      </c>
      <c r="BV5" s="24" t="str">
        <f ca="1">IFERROR(__xludf.DUMMYFUNCTION("""COMPUTED_VALUE"""),"Total Commission And Fee")</f>
        <v>Total Commission And Fee</v>
      </c>
      <c r="BW5" s="24" t="str">
        <f ca="1">IFERROR(__xludf.DUMMYFUNCTION("""COMPUTED_VALUE"""),"Total Commission Per Share")</f>
        <v>Total Commission Per Share</v>
      </c>
      <c r="BX5" s="24" t="str">
        <f ca="1">IFERROR(__xludf.DUMMYFUNCTION("""COMPUTED_VALUE"""),"Trade Attribute 1")</f>
        <v>Trade Attribute 1</v>
      </c>
      <c r="BY5" s="24" t="str">
        <f ca="1">IFERROR(__xludf.DUMMYFUNCTION("""COMPUTED_VALUE"""),"Trade Attribute 2")</f>
        <v>Trade Attribute 2</v>
      </c>
      <c r="BZ5" s="24" t="str">
        <f ca="1">IFERROR(__xludf.DUMMYFUNCTION("""COMPUTED_VALUE"""),"Trade Attribute 3")</f>
        <v>Trade Attribute 3</v>
      </c>
      <c r="CA5" s="24" t="str">
        <f ca="1">IFERROR(__xludf.DUMMYFUNCTION("""COMPUTED_VALUE"""),"Trade Attribute 4")</f>
        <v>Trade Attribute 4</v>
      </c>
      <c r="CB5" s="24" t="str">
        <f ca="1">IFERROR(__xludf.DUMMYFUNCTION("""COMPUTED_VALUE"""),"Trade Attribute 5")</f>
        <v>Trade Attribute 5</v>
      </c>
      <c r="CC5" s="24" t="str">
        <f ca="1">IFERROR(__xludf.DUMMYFUNCTION("""COMPUTED_VALUE"""),"Trade Attribute 6")</f>
        <v>Trade Attribute 6</v>
      </c>
      <c r="CD5" s="24" t="str">
        <f ca="1">IFERROR(__xludf.DUMMYFUNCTION("""COMPUTED_VALUE"""),"Trade Date")</f>
        <v>Trade Date</v>
      </c>
      <c r="CE5" s="24" t="str">
        <f ca="1">IFERROR(__xludf.DUMMYFUNCTION("""COMPUTED_VALUE"""),"Trading Account")</f>
        <v>Trading Account</v>
      </c>
      <c r="CF5" s="24" t="str">
        <f ca="1">IFERROR(__xludf.DUMMYFUNCTION("""COMPUTED_VALUE"""),"Transaction Levy")</f>
        <v>Transaction Levy</v>
      </c>
      <c r="CG5" s="24" t="str">
        <f ca="1">IFERROR(__xludf.DUMMYFUNCTION("""COMPUTED_VALUE"""),"Transaction Source")</f>
        <v>Transaction Source</v>
      </c>
      <c r="CH5" s="24" t="str">
        <f ca="1">IFERROR(__xludf.DUMMYFUNCTION("""COMPUTED_VALUE"""),"Transaction Type")</f>
        <v>Transaction Type</v>
      </c>
      <c r="CI5" s="24" t="str">
        <f ca="1">IFERROR(__xludf.DUMMYFUNCTION("""COMPUTED_VALUE"""),"UnAllocatedQty")</f>
        <v>UnAllocatedQty</v>
      </c>
      <c r="CJ5" s="24" t="str">
        <f ca="1">IFERROR(__xludf.DUMMYFUNCTION("""COMPUTED_VALUE"""),"Underlying")</f>
        <v>Underlying</v>
      </c>
      <c r="CK5" s="24" t="str">
        <f ca="1">IFERROR(__xludf.DUMMYFUNCTION("""COMPUTED_VALUE"""),"Underlying Delta")</f>
        <v>Underlying Delta</v>
      </c>
      <c r="CL5" s="24" t="str">
        <f ca="1">IFERROR(__xludf.DUMMYFUNCTION("""COMPUTED_VALUE"""),"Underlying Symbol")</f>
        <v>Underlying Symbol</v>
      </c>
      <c r="CM5" s="24" t="str">
        <f ca="1">IFERROR(__xludf.DUMMYFUNCTION("""COMPUTED_VALUE"""),"User")</f>
        <v>User</v>
      </c>
      <c r="CN5" s="24" t="str">
        <f ca="1">IFERROR(__xludf.DUMMYFUNCTION("""COMPUTED_VALUE"""),"Venue")</f>
        <v>Venue</v>
      </c>
      <c r="CO5" s="24" t="str">
        <f ca="1">IFERROR(__xludf.DUMMYFUNCTION("""COMPUTED_VALUE"""),"Closing Date")</f>
        <v>Closing Date</v>
      </c>
      <c r="CP5" s="24" t="str">
        <f ca="1">IFERROR(__xludf.DUMMYFUNCTION("""COMPUTED_VALUE"""),"Expiration Date")</f>
        <v>Expiration Date</v>
      </c>
      <c r="CQ5" s="24" t="str">
        <f ca="1">IFERROR(__xludf.DUMMYFUNCTION("""COMPUTED_VALUE"""),"Master Fund")</f>
        <v>Master Fund</v>
      </c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/>
      <c r="E6" s="25"/>
      <c r="F6" s="5"/>
      <c r="G6" s="7"/>
      <c r="H6" s="7"/>
      <c r="I6" s="7"/>
      <c r="J6" s="7">
        <v>16</v>
      </c>
      <c r="K6" s="7">
        <v>16</v>
      </c>
      <c r="L6" s="5"/>
      <c r="M6" s="5"/>
      <c r="N6" s="7" t="s">
        <v>30</v>
      </c>
      <c r="O6" s="5"/>
      <c r="S6" s="6" t="s">
        <v>35</v>
      </c>
      <c r="T6" s="6">
        <v>0</v>
      </c>
      <c r="AE6" s="6">
        <v>500</v>
      </c>
      <c r="AT6" s="27">
        <v>8014.0045</v>
      </c>
      <c r="AU6" s="27">
        <v>8014.0045</v>
      </c>
      <c r="AW6" s="6">
        <v>0</v>
      </c>
      <c r="AX6" s="6">
        <v>0</v>
      </c>
      <c r="AY6" s="6" t="s">
        <v>31</v>
      </c>
      <c r="AZ6" s="6">
        <v>0</v>
      </c>
      <c r="BC6" s="6">
        <v>0</v>
      </c>
      <c r="BE6" s="26">
        <v>8000</v>
      </c>
      <c r="BF6" s="26">
        <v>8000</v>
      </c>
      <c r="BJ6" s="6">
        <v>500</v>
      </c>
      <c r="BK6" s="6">
        <v>0</v>
      </c>
      <c r="BO6" s="6" t="s">
        <v>21</v>
      </c>
      <c r="BS6" s="6" t="s">
        <v>20</v>
      </c>
      <c r="CH6" s="6" t="s">
        <v>21</v>
      </c>
      <c r="CI6" s="6">
        <v>500</v>
      </c>
      <c r="CL6" s="6" t="s">
        <v>20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36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39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7" t="s">
        <v>20</v>
      </c>
      <c r="D6" s="7">
        <v>500</v>
      </c>
      <c r="E6" s="25"/>
      <c r="F6" s="5"/>
      <c r="G6" s="7"/>
      <c r="H6" s="7" t="s">
        <v>38</v>
      </c>
      <c r="I6" s="5"/>
      <c r="J6" s="5"/>
      <c r="K6" s="5"/>
      <c r="L6" s="5"/>
      <c r="M6" s="5"/>
      <c r="N6" s="28">
        <v>-8000</v>
      </c>
      <c r="O6" s="5"/>
      <c r="Q6" s="28">
        <v>-8000</v>
      </c>
      <c r="T6" s="6" t="s">
        <v>28</v>
      </c>
      <c r="AB6" s="6">
        <v>0</v>
      </c>
      <c r="AC6" s="6">
        <v>0</v>
      </c>
      <c r="AD6" s="6">
        <v>0</v>
      </c>
      <c r="AE6" s="6">
        <v>0</v>
      </c>
      <c r="AF6" s="6">
        <v>500</v>
      </c>
      <c r="AG6" s="6">
        <v>0</v>
      </c>
      <c r="AH6" s="6">
        <v>0</v>
      </c>
      <c r="AI6" s="6">
        <v>0</v>
      </c>
      <c r="AJ6" s="6">
        <v>0</v>
      </c>
      <c r="AK6" s="28">
        <v>-8000</v>
      </c>
      <c r="AN6" s="6" t="s">
        <v>21</v>
      </c>
      <c r="AP6" s="6" t="s">
        <v>38</v>
      </c>
      <c r="AQ6" s="6" t="s">
        <v>20</v>
      </c>
      <c r="AR6" s="6">
        <v>0</v>
      </c>
      <c r="AW6" s="28">
        <v>-8000</v>
      </c>
      <c r="AX6" s="6">
        <v>0</v>
      </c>
      <c r="AY6" s="6">
        <v>0</v>
      </c>
      <c r="AZ6" s="6">
        <v>0</v>
      </c>
      <c r="BA6" s="6">
        <v>-100</v>
      </c>
      <c r="BD6" s="28">
        <v>-8000</v>
      </c>
      <c r="BJ6" s="6">
        <v>0</v>
      </c>
      <c r="BK6" s="6">
        <v>0</v>
      </c>
      <c r="BL6" s="6">
        <v>0</v>
      </c>
      <c r="BM6" s="6">
        <v>0</v>
      </c>
      <c r="BO6" s="28">
        <v>-8000</v>
      </c>
      <c r="BP6" s="6">
        <v>0</v>
      </c>
      <c r="BR6" s="6" t="s">
        <v>30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D6" s="28">
        <v>-8000</v>
      </c>
      <c r="CE6" s="6">
        <v>0</v>
      </c>
      <c r="CF6" s="6">
        <v>0</v>
      </c>
      <c r="CG6" s="28">
        <v>-8000</v>
      </c>
      <c r="CH6" s="6">
        <v>-100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J6" s="6" t="s">
        <v>21</v>
      </c>
      <c r="DK6" s="6">
        <v>0</v>
      </c>
    </row>
    <row r="7" spans="1:167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SetAutoGroupingPreferences</vt:lpstr>
      <vt:lpstr>SetAutoGroupingAccount</vt:lpstr>
      <vt:lpstr>CreateLiveOrder</vt:lpstr>
      <vt:lpstr>AcknowledgeTrade</vt:lpstr>
      <vt:lpstr>SelectTrade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CheckUnallocatedGroups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2021-08-04T10:04:28Z</dcterms:modified>
</cp:coreProperties>
</file>