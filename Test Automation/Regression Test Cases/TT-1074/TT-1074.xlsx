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alculatePTT" sheetId="6" r:id="rId8"/>
    <sheet state="visible" name="OpenQtt" sheetId="7" r:id="rId9"/>
    <sheet state="visible" name="TradeQTT" sheetId="8" r:id="rId10"/>
    <sheet state="visible" name="EditAuecWindowQTT" sheetId="9" r:id="rId11"/>
    <sheet state="visible" name="VerifyBrokerSummaryQTT" sheetId="10" r:id="rId12"/>
    <sheet state="visible" name="EditAuecWindowQTT1" sheetId="11" r:id="rId13"/>
    <sheet state="visible" name="VerifyBrokerSummaryQTT1" sheetId="12" r:id="rId14"/>
    <sheet state="visible" name="CalculatePTT1" sheetId="13" r:id="rId15"/>
    <sheet state="visible" name="TradeQTT1" sheetId="14" r:id="rId16"/>
  </sheets>
  <definedNames/>
  <calcPr/>
</workbook>
</file>

<file path=xl/sharedStrings.xml><?xml version="1.0" encoding="utf-8"?>
<sst xmlns="http://schemas.openxmlformats.org/spreadsheetml/2006/main" count="122" uniqueCount="45">
  <si>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</si>
  <si>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</si>
  <si>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</si>
  <si>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</si>
  <si>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</si>
  <si>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</si>
  <si>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</si>
  <si>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</si>
  <si>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</si>
  <si>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</si>
  <si>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</si>
  <si>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</si>
  <si>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</si>
  <si>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</si>
  <si>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</si>
  <si>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</si>
  <si>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</si>
  <si>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</si>
  <si>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Allocation3</t>
  </si>
  <si>
    <t>MS</t>
  </si>
  <si>
    <t>Allocation2</t>
  </si>
  <si>
    <t>Allocation4</t>
  </si>
  <si>
    <t>TradingTicket</t>
  </si>
  <si>
    <t>SetGeneralPreference</t>
  </si>
  <si>
    <t>PTT</t>
  </si>
  <si>
    <t>CalculatePTT</t>
  </si>
  <si>
    <t>AAPL</t>
  </si>
  <si>
    <t>QTT</t>
  </si>
  <si>
    <t>OpenQtt</t>
  </si>
  <si>
    <t>Save</t>
  </si>
  <si>
    <t>TradeQTT</t>
  </si>
  <si>
    <t>kartik</t>
  </si>
  <si>
    <t>Day</t>
  </si>
  <si>
    <t>Market</t>
  </si>
  <si>
    <t>Stage</t>
  </si>
  <si>
    <t>EditAuecWindowQTT</t>
  </si>
  <si>
    <t>Show Summary</t>
  </si>
  <si>
    <t>VerifyBrokerSummaryQTT</t>
  </si>
  <si>
    <t>back</t>
  </si>
  <si>
    <t>show summary</t>
  </si>
  <si>
    <t>Ok</t>
  </si>
  <si>
    <t>MSFT</t>
  </si>
  <si>
    <t>sharma</t>
  </si>
  <si>
    <t>Allocation5</t>
  </si>
  <si>
    <t>CSFB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</si>
</sst>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IFERROR(__xludf.DUMMYFUNCTION("""COMPUTED_VALUE"""),"Title")</f>
        <v>Title</v>
      </c>
      <c r="C5" s="28" t="str">
        <f>IFERROR(__xludf.DUMMYFUNCTION("""COMPUTED_VALUE"""),"Symbol")</f>
        <v>Symbol</v>
      </c>
      <c r="D5" s="28" t="str">
        <f>IFERROR(__xludf.DUMMYFUNCTION("""COMPUTED_VALUE"""),"Quantity")</f>
        <v>Quantity</v>
      </c>
      <c r="E5" s="28" t="str">
        <f>IFERROR(__xludf.DUMMYFUNCTION("""COMPUTED_VALUE"""),"Allocation")</f>
        <v>Allocation</v>
      </c>
      <c r="F5" s="29" t="str">
        <f>IFERROR(__xludf.DUMMYFUNCTION("""COMPUTED_VALUE"""),"Broker")</f>
        <v>Broker</v>
      </c>
      <c r="G5" s="28" t="str">
        <f>IFERROR(__xludf.DUMMYFUNCTION("""COMPUTED_VALUE"""),"Venue")</f>
        <v>Venue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IFERROR(__xludf.DUMMYFUNCTION("""COMPUTED_VALUE"""),"Execution Type")</f>
        <v>Execution Type</v>
      </c>
      <c r="K5" s="28" t="str">
        <f>IFERROR(__xludf.DUMMYFUNCTION("""COMPUTED_VALUE"""),"Select Color")</f>
        <v>Select Color</v>
      </c>
      <c r="L5" s="28" t="str">
        <f>IFERROR(__xludf.DUMMYFUNCTION("""COMPUTED_VALUE"""),"Add To Favourite")</f>
        <v>Add To Favourite</v>
      </c>
      <c r="M5" s="28" t="str">
        <f>IFERROR(__xludf.DUMMYFUNCTION("""COMPUTED_VALUE"""),"AlgoType")</f>
        <v>AlgoType</v>
      </c>
      <c r="N5" s="28" t="str">
        <f>IFERROR(__xludf.DUMMYFUNCTION("""COMPUTED_VALUE"""),"Start time")</f>
        <v>Start time</v>
      </c>
      <c r="O5" s="28" t="str">
        <f>IFERROR(__xludf.DUMMYFUNCTION("""COMPUTED_VALUE"""),"End time")</f>
        <v>End time</v>
      </c>
      <c r="P5" s="28" t="str">
        <f>IFERROR(__xludf.DUMMYFUNCTION("""COMPUTED_VALUE"""),"EndTimeCheckBox")</f>
        <v>EndTimeCheckBox</v>
      </c>
      <c r="Q5" s="28" t="str">
        <f>IFERROR(__xludf.DUMMYFUNCTION("""COMPUTED_VALUE"""),"Style")</f>
        <v>Style</v>
      </c>
      <c r="R5" s="28" t="str">
        <f>IFERROR(__xludf.DUMMYFUNCTION("""COMPUTED_VALUE"""),"Save")</f>
        <v>Save</v>
      </c>
      <c r="S5" s="28" t="str">
        <f>IFERROR(__xludf.DUMMYFUNCTION("""COMPUTED_VALUE"""),"Quick Preferences Name")</f>
        <v>Quick Preferences Name</v>
      </c>
      <c r="T5" s="30" t="str">
        <f>IFERROR(__xludf.DUMMYFUNCTION("""COMPUTED_VALUE"""),"Expiration Date")</f>
        <v>Expiration Date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26</v>
      </c>
      <c r="D6" s="13">
        <v>100.0</v>
      </c>
      <c r="E6" s="13" t="s">
        <v>16</v>
      </c>
      <c r="F6" s="8"/>
      <c r="G6" s="8"/>
      <c r="H6" s="13" t="s">
        <v>32</v>
      </c>
      <c r="I6" s="13" t="s">
        <v>33</v>
      </c>
      <c r="J6" s="13" t="s">
        <v>34</v>
      </c>
      <c r="K6" s="8"/>
      <c r="L6" s="8"/>
      <c r="M6" s="8"/>
      <c r="N6" s="8"/>
      <c r="O6" s="8"/>
      <c r="R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s">
        <v>17</v>
      </c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EditAuecWindowQTT!$4:$4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 t="s">
        <v>17</v>
      </c>
      <c r="E6" s="13">
        <v>100.0</v>
      </c>
      <c r="F6" s="13" t="s">
        <v>38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IFERROR(__xludf.DUMMYFUNCTION("""COMPUTED_VALUE"""),"Qty")</f>
        <v>Qty</v>
      </c>
      <c r="D5" s="28" t="str">
        <f>IFERROR(__xludf.DUMMYFUNCTION("""COMPUTED_VALUE"""),"Broker")</f>
        <v>Broker</v>
      </c>
      <c r="E5" s="28" t="str">
        <f>IFERROR(__xludf.DUMMYFUNCTION("""COMPUTED_VALUE"""),"Broker Qty")</f>
        <v>Broker Qty</v>
      </c>
      <c r="F5" s="29" t="str">
        <f>IFERROR(__xludf.DUMMYFUNCTION("""COMPUTED_VALUE"""),"Next Action")</f>
        <v>Next 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 t="s">
        <v>17</v>
      </c>
      <c r="E6" s="13">
        <v>100.0</v>
      </c>
      <c r="F6" s="13" t="s">
        <v>40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VerifyBrokerSummaryQTT1!$4:$4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IFERROR(__xludf.DUMMYFUNCTION("""COMPUTED_VALUE"""),"Title")</f>
        <v>Title</v>
      </c>
      <c r="C5" s="28" t="str">
        <f>IFERROR(__xludf.DUMMYFUNCTION("""COMPUTED_VALUE"""),"Symbol")</f>
        <v>Symbol</v>
      </c>
      <c r="D5" s="28" t="str">
        <f>IFERROR(__xludf.DUMMYFUNCTION("""COMPUTED_VALUE"""),"Quantity")</f>
        <v>Quantity</v>
      </c>
      <c r="E5" s="28" t="str">
        <f>IFERROR(__xludf.DUMMYFUNCTION("""COMPUTED_VALUE"""),"Allocation")</f>
        <v>Allocation</v>
      </c>
      <c r="F5" s="29" t="str">
        <f>IFERROR(__xludf.DUMMYFUNCTION("""COMPUTED_VALUE"""),"Broker")</f>
        <v>Broker</v>
      </c>
      <c r="G5" s="28" t="str">
        <f>IFERROR(__xludf.DUMMYFUNCTION("""COMPUTED_VALUE"""),"Venue")</f>
        <v>Venue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IFERROR(__xludf.DUMMYFUNCTION("""COMPUTED_VALUE"""),"Execution Type")</f>
        <v>Execution Type</v>
      </c>
      <c r="K5" s="28" t="str">
        <f>IFERROR(__xludf.DUMMYFUNCTION("""COMPUTED_VALUE"""),"Select Color")</f>
        <v>Select Color</v>
      </c>
      <c r="L5" s="28" t="str">
        <f>IFERROR(__xludf.DUMMYFUNCTION("""COMPUTED_VALUE"""),"Add To Favourite")</f>
        <v>Add To Favourite</v>
      </c>
      <c r="M5" s="28" t="str">
        <f>IFERROR(__xludf.DUMMYFUNCTION("""COMPUTED_VALUE"""),"AlgoType")</f>
        <v>AlgoType</v>
      </c>
      <c r="N5" s="28" t="str">
        <f>IFERROR(__xludf.DUMMYFUNCTION("""COMPUTED_VALUE"""),"Start time")</f>
        <v>Start time</v>
      </c>
      <c r="O5" s="28" t="str">
        <f>IFERROR(__xludf.DUMMYFUNCTION("""COMPUTED_VALUE"""),"End time")</f>
        <v>End time</v>
      </c>
      <c r="P5" s="28" t="str">
        <f>IFERROR(__xludf.DUMMYFUNCTION("""COMPUTED_VALUE"""),"EndTimeCheckBox")</f>
        <v>EndTimeCheckBox</v>
      </c>
      <c r="Q5" s="28" t="str">
        <f>IFERROR(__xludf.DUMMYFUNCTION("""COMPUTED_VALUE"""),"Style")</f>
        <v>Style</v>
      </c>
      <c r="R5" s="28" t="str">
        <f>IFERROR(__xludf.DUMMYFUNCTION("""COMPUTED_VALUE"""),"Save")</f>
        <v>Save</v>
      </c>
      <c r="S5" s="28" t="str">
        <f>IFERROR(__xludf.DUMMYFUNCTION("""COMPUTED_VALUE"""),"Quick Preferences Name")</f>
        <v>Quick Preferences Name</v>
      </c>
      <c r="T5" s="30" t="str">
        <f>IFERROR(__xludf.DUMMYFUNCTION("""COMPUTED_VALUE"""),"Expiration Date")</f>
        <v>Expiration Date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41</v>
      </c>
      <c r="D6" s="13">
        <v>100.0</v>
      </c>
      <c r="E6" s="13" t="s">
        <v>43</v>
      </c>
      <c r="F6" s="13" t="s">
        <v>44</v>
      </c>
      <c r="G6" s="8"/>
      <c r="H6" s="13" t="s">
        <v>32</v>
      </c>
      <c r="I6" s="13" t="s">
        <v>33</v>
      </c>
      <c r="J6" s="13" t="s">
        <v>34</v>
      </c>
      <c r="K6" s="8"/>
      <c r="L6" s="8"/>
      <c r="M6" s="8"/>
      <c r="N6" s="8"/>
      <c r="O6" s="8"/>
      <c r="R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