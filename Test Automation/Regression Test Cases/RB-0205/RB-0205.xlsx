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RoundLot" sheetId="4" r:id="rId6"/>
    <sheet state="visible" name="CreateDoneAwayOrder" sheetId="5" r:id="rId7"/>
    <sheet state="visible" name="FetchAccountPositions" sheetId="6" r:id="rId8"/>
    <sheet state="visible" name="RunRebalance" sheetId="7" r:id="rId9"/>
    <sheet state="visible" name="VerifyGridData" sheetId="8" r:id="rId10"/>
    <sheet state="visible" name="VerifyOrder" sheetId="9" r:id="rId11"/>
    <sheet state="visible" name="PricingInput" sheetId="10" r:id="rId12"/>
    <sheet state="visible" name="AddCash" sheetId="11" r:id="rId13"/>
    <sheet state="visible" name="SendtoStaging" sheetId="12" r:id="rId14"/>
    <sheet state="visible" name="GetDailyCash" sheetId="13" r:id="rId15"/>
    <sheet state="visible" name="UpdateMultipleDailyCash" sheetId="14" r:id="rId16"/>
    <sheet state="visible" name="Copy of Data" sheetId="15" r:id="rId17"/>
    <sheet state="visible" name="Copy of Data 1" sheetId="16" r:id="rId18"/>
  </sheets>
  <definedNames/>
  <calcPr/>
</workbook>
</file>

<file path=xl/sharedStrings.xml><?xml version="1.0" encoding="utf-8"?>
<sst xmlns="http://schemas.openxmlformats.org/spreadsheetml/2006/main" count="310" uniqueCount="72">
  <si>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</si>
  <si>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</si>
  <si>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</si>
  <si>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</si>
  <si>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</si>
  <si>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</si>
  <si>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</si>
  <si>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</si>
  <si>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</si>
  <si>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</si>
  <si>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</si>
  <si>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</si>
  <si>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</si>
  <si>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UpdateRoundLot</t>
  </si>
  <si>
    <t>Data Format</t>
  </si>
  <si>
    <t>Input Format</t>
  </si>
  <si>
    <t>A</t>
  </si>
  <si>
    <t>B</t>
  </si>
  <si>
    <t>C</t>
  </si>
  <si>
    <t>D</t>
  </si>
  <si>
    <t>H</t>
  </si>
  <si>
    <t>CASH</t>
  </si>
  <si>
    <t>TradingTicket</t>
  </si>
  <si>
    <t>CreateDoneAwayOrder</t>
  </si>
  <si>
    <t>Buy</t>
  </si>
  <si>
    <t>rt</t>
  </si>
  <si>
    <t>Rebalancer</t>
  </si>
  <si>
    <t>FetchAccountPositions</t>
  </si>
  <si>
    <t>Allocation1</t>
  </si>
  <si>
    <t>Real-Time Positions</t>
  </si>
  <si>
    <t>Account</t>
  </si>
  <si>
    <t>Positions</t>
  </si>
  <si>
    <t>RunRebalance</t>
  </si>
  <si>
    <t>Round Up</t>
  </si>
  <si>
    <t>VerifyGridData</t>
  </si>
  <si>
    <t>Equity</t>
  </si>
  <si>
    <t>Long</t>
  </si>
  <si>
    <t>Industrials</t>
  </si>
  <si>
    <t>Refiners</t>
  </si>
  <si>
    <t>Undefined</t>
  </si>
  <si>
    <t>Utilities</t>
  </si>
  <si>
    <t>Accruals</t>
  </si>
  <si>
    <t>Cash</t>
  </si>
  <si>
    <t>Blotter</t>
  </si>
  <si>
    <t>VerifyOrder</t>
  </si>
  <si>
    <t>C US EQUITY</t>
  </si>
  <si>
    <t>NASDAQ</t>
  </si>
  <si>
    <t>jpearce</t>
  </si>
  <si>
    <t>US</t>
  </si>
  <si>
    <t>GCCAP1</t>
  </si>
  <si>
    <t>USD</t>
  </si>
  <si>
    <t>NewMF</t>
  </si>
  <si>
    <t>M</t>
  </si>
  <si>
    <t>Sell</t>
  </si>
  <si>
    <t>New</t>
  </si>
  <si>
    <t>MS</t>
  </si>
  <si>
    <t>Market</t>
  </si>
  <si>
    <t/>
  </si>
  <si>
    <t>A US EQUITY</t>
  </si>
  <si>
    <t>B US EQUITY</t>
  </si>
  <si>
    <t>D US EQUITY</t>
  </si>
  <si>
    <t>CASH US EQUITY</t>
  </si>
  <si>
    <t>PricingInput</t>
  </si>
  <si>
    <t>AddCash</t>
  </si>
  <si>
    <t>Impact NAV</t>
  </si>
  <si>
    <t>Target Cash-22</t>
  </si>
  <si>
    <t>SendtoStaging</t>
  </si>
  <si>
    <t>DailyValuation</t>
  </si>
  <si>
    <t>GetDailyCash</t>
  </si>
  <si>
    <t>UpdateMultipleDailyCash</t>
  </si>
  <si>
    <t>msft</t>
  </si>
  <si>
    <t>buy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</si>
</sst>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horizontal="center" vertical="bottom"/>
    </xf>
    <xf borderId="0" fillId="0" fontId="2" numFmtId="3" xfId="0" applyAlignment="1" applyFont="1" applyNumberFormat="1">
      <alignment readingOrder="0"/>
    </xf>
    <xf borderId="7" fillId="0" fontId="5" numFmtId="0" xfId="0" applyAlignment="1" applyBorder="1" applyFont="1">
      <alignment horizontal="right" vertical="bottom"/>
    </xf>
    <xf borderId="0" fillId="0" fontId="5" numFmtId="3" xfId="0" applyAlignment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25.0</v>
      </c>
      <c r="D6" s="33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10.0</v>
      </c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10.0</v>
      </c>
      <c r="D8" s="33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10.0</v>
      </c>
      <c r="D9" s="33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20</v>
      </c>
      <c r="C10" s="32">
        <v>15.0</v>
      </c>
      <c r="D10" s="33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21</v>
      </c>
      <c r="C11" s="34">
        <v>1.0</v>
      </c>
      <c r="D11" s="3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/>
      <c r="C12" s="33"/>
      <c r="D12" s="3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UpdateRoundLot!$4:$4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16</v>
      </c>
      <c r="C6" s="33" t="s">
        <v>24</v>
      </c>
      <c r="D6" s="32">
        <v>300.0</v>
      </c>
      <c r="E6" s="33"/>
      <c r="F6" s="33"/>
      <c r="G6" s="33"/>
      <c r="H6" s="33"/>
      <c r="I6" s="33"/>
      <c r="J6" s="32">
        <v>100.0</v>
      </c>
      <c r="K6" s="33"/>
      <c r="L6" s="33"/>
      <c r="M6" s="33"/>
      <c r="N6" s="35">
        <f t="shared" ref="N6:N11" si="1">today()-1</f>
        <v>45075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3" t="s">
        <v>24</v>
      </c>
      <c r="D7" s="32">
        <v>250.0</v>
      </c>
      <c r="E7" s="33"/>
      <c r="F7" s="33"/>
      <c r="G7" s="33"/>
      <c r="H7" s="33"/>
      <c r="I7" s="33"/>
      <c r="J7" s="32">
        <v>100.0</v>
      </c>
      <c r="K7" s="33"/>
      <c r="L7" s="33"/>
      <c r="M7" s="33"/>
      <c r="N7" s="35">
        <f t="shared" si="1"/>
        <v>45075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3" t="s">
        <v>24</v>
      </c>
      <c r="D8" s="32">
        <v>150.0</v>
      </c>
      <c r="E8" s="33"/>
      <c r="F8" s="33"/>
      <c r="G8" s="33"/>
      <c r="H8" s="33"/>
      <c r="I8" s="33"/>
      <c r="J8" s="32">
        <v>100.0</v>
      </c>
      <c r="K8" s="33"/>
      <c r="L8" s="33"/>
      <c r="M8" s="33"/>
      <c r="N8" s="35">
        <f t="shared" si="1"/>
        <v>45075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20</v>
      </c>
      <c r="C9" s="33" t="s">
        <v>24</v>
      </c>
      <c r="D9" s="32">
        <v>50.0</v>
      </c>
      <c r="E9" s="33"/>
      <c r="F9" s="33"/>
      <c r="G9" s="33"/>
      <c r="H9" s="33"/>
      <c r="I9" s="33"/>
      <c r="J9" s="32">
        <v>100.0</v>
      </c>
      <c r="K9" s="33"/>
      <c r="L9" s="33"/>
      <c r="M9" s="33"/>
      <c r="N9" s="35">
        <f t="shared" si="1"/>
        <v>45075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31" t="s">
        <v>19</v>
      </c>
      <c r="C10" s="31" t="s">
        <v>24</v>
      </c>
      <c r="D10" s="32">
        <v>100.0</v>
      </c>
      <c r="E10" s="33"/>
      <c r="F10" s="31" t="s">
        <v>25</v>
      </c>
      <c r="G10" s="33"/>
      <c r="H10" s="33"/>
      <c r="I10" s="33"/>
      <c r="J10" s="32">
        <v>100.0</v>
      </c>
      <c r="K10" s="33"/>
      <c r="L10" s="33"/>
      <c r="M10" s="33"/>
      <c r="N10" s="35">
        <f t="shared" si="1"/>
        <v>45075</v>
      </c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31" t="s">
        <v>21</v>
      </c>
      <c r="C11" s="31" t="s">
        <v>24</v>
      </c>
      <c r="D11" s="32">
        <v>2000.0</v>
      </c>
      <c r="E11" s="33"/>
      <c r="F11" s="31"/>
      <c r="G11" s="33"/>
      <c r="H11" s="33"/>
      <c r="I11" s="33"/>
      <c r="J11" s="32">
        <v>1.0</v>
      </c>
      <c r="K11" s="33"/>
      <c r="L11" s="33"/>
      <c r="M11" s="33"/>
      <c r="N11" s="35">
        <f t="shared" si="1"/>
        <v>45075</v>
      </c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IFERROR(__xludf.DUMMYFUNCTION("""COMPUTED_VALUE"""),"Account/Groups")</f>
        <v>Account/Groups</v>
      </c>
      <c r="C5" s="28" t="str">
        <f>IFERROR(__xludf.DUMMYFUNCTION("""COMPUTED_VALUE"""),"Account Positions")</f>
        <v>Account Positions</v>
      </c>
      <c r="D5" s="28" t="str">
        <f>IFERROR(__xludf.DUMMYFUNCTION("""COMPUTED_VALUE"""),"Calculation Level")</f>
        <v>Calculation Level</v>
      </c>
      <c r="E5" s="28" t="str">
        <f>IFERROR(__xludf.DUMMYFUNCTION("""COMPUTED_VALUE"""),"Refresh")</f>
        <v>Refresh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7" t="s">
        <v>28</v>
      </c>
      <c r="C6" s="37" t="s">
        <v>29</v>
      </c>
      <c r="D6" s="37" t="s">
        <v>30</v>
      </c>
      <c r="E6" s="37" t="s">
        <v>31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IFERROR(__xludf.DUMMYFUNCTION("""COMPUTED_VALUE"""),"Rounding Type")</f>
        <v>Rounding Type</v>
      </c>
      <c r="C5" s="28" t="str">
        <f>IFERROR(__xludf.DUMMYFUNCTION("""COMPUTED_VALUE"""),"Rebalance")</f>
        <v>Rebalance</v>
      </c>
      <c r="D5" s="28" t="str">
        <f>IFERROR(__xludf.DUMMYFUNCTION("""COMPUTED_VALUE"""),"Round Lot")</f>
        <v>Round Lot</v>
      </c>
      <c r="E5" s="28" t="str">
        <f>IFERROR(__xludf.DUMMYFUNCTION("""COMPUTED_VALUE"""),"AllowNegCash")</f>
        <v>AllowNegCash</v>
      </c>
      <c r="F5" s="29" t="str">
        <f>IFERROR(__xludf.DUMMYFUNCTION("""COMPUTED_VALUE"""),"SellToRaiseCash")</f>
        <v>SellToRaiseCash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8" t="s">
        <v>33</v>
      </c>
      <c r="C6" s="33"/>
      <c r="D6" s="39" t="b">
        <v>1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IFERROR(__xludf.DUMMYFUNCTION("""COMPUTED_VALUE"""),"Lock/Unlock")</f>
        <v>Lock/Unlock</v>
      </c>
      <c r="C5" s="28" t="str">
        <f>IFERROR(__xludf.DUMMYFUNCTION("""COMPUTED_VALUE"""),"Account")</f>
        <v>Account</v>
      </c>
      <c r="D5" s="28" t="str">
        <f>IFERROR(__xludf.DUMMYFUNCTION("""COMPUTED_VALUE"""),"Symbol")</f>
        <v>Symbol</v>
      </c>
      <c r="E5" s="28" t="str">
        <f>IFERROR(__xludf.DUMMYFUNCTION("""COMPUTED_VALUE"""),"Asset")</f>
        <v>Asset</v>
      </c>
      <c r="F5" s="29" t="str">
        <f>IFERROR(__xludf.DUMMYFUNCTION("""COMPUTED_VALUE"""),"Side")</f>
        <v>Side</v>
      </c>
      <c r="G5" s="28" t="str">
        <f>IFERROR(__xludf.DUMMYFUNCTION("""COMPUTED_VALUE"""),"Price (Local)")</f>
        <v>Price (Local)</v>
      </c>
      <c r="H5" s="28" t="str">
        <f>IFERROR(__xludf.DUMMYFUNCTION("""COMPUTED_VALUE"""),"Price (Base)")</f>
        <v>Price (Base)</v>
      </c>
      <c r="I5" s="28" t="str">
        <f>IFERROR(__xludf.DUMMYFUNCTION("""COMPUTED_VALUE"""),"FX Rate")</f>
        <v>FX Rate</v>
      </c>
      <c r="J5" s="28" t="str">
        <f>IFERROR(__xludf.DUMMYFUNCTION("""COMPUTED_VALUE"""),"Current %")</f>
        <v>Current %</v>
      </c>
      <c r="K5" s="28" t="str">
        <f>IFERROR(__xludf.DUMMYFUNCTION("""COMPUTED_VALUE"""),"Current Position")</f>
        <v>Current Position</v>
      </c>
      <c r="L5" s="28" t="str">
        <f>IFERROR(__xludf.DUMMYFUNCTION("""COMPUTED_VALUE"""),"Current Market Value (Local)")</f>
        <v>Current Market Value (Local)</v>
      </c>
      <c r="M5" s="28" t="str">
        <f>IFERROR(__xludf.DUMMYFUNCTION("""COMPUTED_VALUE"""),"Current Market Value")</f>
        <v>Current Market Value</v>
      </c>
      <c r="N5" s="28" t="str">
        <f>IFERROR(__xludf.DUMMYFUNCTION("""COMPUTED_VALUE"""),"Target %")</f>
        <v>Target %</v>
      </c>
      <c r="O5" s="28" t="str">
        <f>IFERROR(__xludf.DUMMYFUNCTION("""COMPUTED_VALUE"""),"Target Position")</f>
        <v>Target Position</v>
      </c>
      <c r="P5" s="28" t="str">
        <f>IFERROR(__xludf.DUMMYFUNCTION("""COMPUTED_VALUE"""),"Target Market Value (Local)")</f>
        <v>Target Market Value (Local)</v>
      </c>
      <c r="Q5" s="28" t="str">
        <f>IFERROR(__xludf.DUMMYFUNCTION("""COMPUTED_VALUE"""),"Target Market Value")</f>
        <v>Target Market Value</v>
      </c>
      <c r="R5" s="28" t="str">
        <f>IFERROR(__xludf.DUMMYFUNCTION("""COMPUTED_VALUE"""),"Buy/Sell Qty")</f>
        <v>Buy/Sell Qty</v>
      </c>
      <c r="S5" s="28" t="str">
        <f>IFERROR(__xludf.DUMMYFUNCTION("""COMPUTED_VALUE"""),"Buy/Sell Value")</f>
        <v>Buy/Sell Value</v>
      </c>
      <c r="T5" s="30" t="str">
        <f>IFERROR(__xludf.DUMMYFUNCTION("""COMPUTED_VALUE"""),"Sector")</f>
        <v>Sector</v>
      </c>
      <c r="U5" s="30" t="str">
        <f>IFERROR(__xludf.DUMMYFUNCTION("""COMPUTED_VALUE"""),"FactSet Symbol")</f>
        <v>FactSet Symbol</v>
      </c>
      <c r="V5" s="30" t="str">
        <f>IFERROR(__xludf.DUMMYFUNCTION("""COMPUTED_VALUE"""),"ACTIV Symbol")</f>
        <v>ACTIV Symbol</v>
      </c>
      <c r="W5" s="30" t="str">
        <f>IFERROR(__xludf.DUMMYFUNCTION("""COMPUTED_VALUE"""),"Round Lot")</f>
        <v>Round Lot</v>
      </c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13" t="s">
        <v>28</v>
      </c>
      <c r="D6" s="13" t="s">
        <v>16</v>
      </c>
      <c r="E6" s="13" t="s">
        <v>35</v>
      </c>
      <c r="F6" s="13" t="s">
        <v>36</v>
      </c>
      <c r="G6" s="13">
        <v>100.0</v>
      </c>
      <c r="H6" s="13">
        <v>100.0</v>
      </c>
      <c r="I6" s="13">
        <v>1.0</v>
      </c>
      <c r="J6" s="8"/>
      <c r="K6" s="13">
        <v>300.0</v>
      </c>
      <c r="L6" s="13">
        <v>30000.0</v>
      </c>
      <c r="M6" s="13">
        <v>30000.0</v>
      </c>
      <c r="N6" s="13">
        <v>36.52</v>
      </c>
      <c r="O6" s="13">
        <v>325.0</v>
      </c>
      <c r="P6" s="9">
        <v>32500.0</v>
      </c>
      <c r="Q6" s="9">
        <v>32500.0</v>
      </c>
      <c r="R6" s="9">
        <v>25.0</v>
      </c>
      <c r="S6" s="40">
        <v>2500.0</v>
      </c>
      <c r="T6" s="9" t="s">
        <v>37</v>
      </c>
      <c r="W6" s="9">
        <v>25.0</v>
      </c>
    </row>
    <row r="7" ht="15.75" customHeight="1">
      <c r="A7" s="8"/>
      <c r="B7" s="8"/>
      <c r="C7" s="13" t="s">
        <v>28</v>
      </c>
      <c r="D7" s="13" t="s">
        <v>17</v>
      </c>
      <c r="E7" s="13" t="s">
        <v>35</v>
      </c>
      <c r="F7" s="13" t="s">
        <v>36</v>
      </c>
      <c r="G7" s="13">
        <v>100.0</v>
      </c>
      <c r="H7" s="13">
        <v>100.0</v>
      </c>
      <c r="I7" s="13">
        <v>1.0</v>
      </c>
      <c r="J7" s="8"/>
      <c r="K7" s="13">
        <v>250.0</v>
      </c>
      <c r="L7" s="13">
        <v>25000.0</v>
      </c>
      <c r="M7" s="13">
        <v>25000.0</v>
      </c>
      <c r="N7" s="13">
        <v>31.46</v>
      </c>
      <c r="O7" s="13">
        <v>280.0</v>
      </c>
      <c r="P7" s="9">
        <v>28000.0</v>
      </c>
      <c r="Q7" s="9">
        <v>28000.0</v>
      </c>
      <c r="R7" s="9">
        <v>30.0</v>
      </c>
      <c r="S7" s="40">
        <v>3000.0</v>
      </c>
      <c r="T7" s="9" t="s">
        <v>38</v>
      </c>
      <c r="W7" s="9">
        <v>10.0</v>
      </c>
    </row>
    <row r="8" ht="15.75" customHeight="1">
      <c r="A8" s="8"/>
      <c r="B8" s="8"/>
      <c r="C8" s="13" t="s">
        <v>28</v>
      </c>
      <c r="D8" s="13" t="s">
        <v>18</v>
      </c>
      <c r="E8" s="13" t="s">
        <v>35</v>
      </c>
      <c r="F8" s="13" t="s">
        <v>36</v>
      </c>
      <c r="G8" s="13">
        <v>100.0</v>
      </c>
      <c r="H8" s="13">
        <v>100.0</v>
      </c>
      <c r="I8" s="13">
        <v>1.0</v>
      </c>
      <c r="J8" s="8"/>
      <c r="K8" s="13">
        <v>150.0</v>
      </c>
      <c r="L8" s="13">
        <v>15000.0</v>
      </c>
      <c r="M8" s="13">
        <v>15000.0</v>
      </c>
      <c r="N8" s="13">
        <v>14.61</v>
      </c>
      <c r="O8" s="13">
        <v>130.0</v>
      </c>
      <c r="P8" s="9">
        <v>13000.0</v>
      </c>
      <c r="Q8" s="9">
        <v>13000.0</v>
      </c>
      <c r="R8" s="9">
        <v>-20.0</v>
      </c>
      <c r="S8" s="40">
        <v>-2000.0</v>
      </c>
      <c r="T8" s="9" t="s">
        <v>39</v>
      </c>
      <c r="W8" s="9">
        <v>10.0</v>
      </c>
    </row>
    <row r="9" ht="15.75" customHeight="1">
      <c r="A9" s="8"/>
      <c r="B9" s="8"/>
      <c r="C9" s="13" t="s">
        <v>28</v>
      </c>
      <c r="D9" s="13" t="s">
        <v>21</v>
      </c>
      <c r="E9" s="13" t="s">
        <v>35</v>
      </c>
      <c r="F9" s="13" t="s">
        <v>36</v>
      </c>
      <c r="G9" s="13">
        <v>1.0</v>
      </c>
      <c r="H9" s="13">
        <v>1.0</v>
      </c>
      <c r="I9" s="13">
        <v>1.0</v>
      </c>
      <c r="J9" s="8"/>
      <c r="K9" s="13">
        <v>2000.0</v>
      </c>
      <c r="L9" s="13">
        <v>2000.0</v>
      </c>
      <c r="M9" s="13">
        <v>2000.0</v>
      </c>
      <c r="N9" s="13">
        <v>6.74</v>
      </c>
      <c r="O9" s="13">
        <v>6000.0</v>
      </c>
      <c r="P9" s="9">
        <v>6000.0</v>
      </c>
      <c r="Q9" s="9">
        <v>6000.0</v>
      </c>
      <c r="R9" s="9">
        <v>4000.0</v>
      </c>
      <c r="S9" s="40">
        <v>4000.0</v>
      </c>
      <c r="T9" s="9" t="s">
        <v>39</v>
      </c>
      <c r="W9" s="9">
        <v>1.0</v>
      </c>
    </row>
    <row r="10" ht="15.75" customHeight="1">
      <c r="A10" s="8"/>
      <c r="B10" s="8"/>
      <c r="C10" s="13" t="s">
        <v>28</v>
      </c>
      <c r="D10" s="13" t="s">
        <v>19</v>
      </c>
      <c r="E10" s="13" t="s">
        <v>35</v>
      </c>
      <c r="F10" s="13" t="s">
        <v>36</v>
      </c>
      <c r="G10" s="13">
        <v>100.0</v>
      </c>
      <c r="H10" s="13">
        <v>100.0</v>
      </c>
      <c r="I10" s="13">
        <v>1.0</v>
      </c>
      <c r="J10" s="8"/>
      <c r="K10" s="13">
        <v>0.0</v>
      </c>
      <c r="L10" s="13">
        <v>0.0</v>
      </c>
      <c r="M10" s="13">
        <v>0.0</v>
      </c>
      <c r="N10" s="13">
        <v>3.37</v>
      </c>
      <c r="O10" s="13">
        <v>30.0</v>
      </c>
      <c r="P10" s="9">
        <v>3000.0</v>
      </c>
      <c r="Q10" s="9">
        <v>3000.0</v>
      </c>
      <c r="R10" s="9">
        <v>30.0</v>
      </c>
      <c r="S10" s="40">
        <v>3000.0</v>
      </c>
      <c r="T10" s="9" t="s">
        <v>40</v>
      </c>
      <c r="W10" s="9">
        <v>10.0</v>
      </c>
    </row>
    <row r="11" ht="15.75" customHeight="1">
      <c r="A11" s="8"/>
      <c r="B11" s="8"/>
      <c r="C11" s="13" t="s">
        <v>28</v>
      </c>
      <c r="D11" s="13" t="s">
        <v>20</v>
      </c>
      <c r="E11" s="13" t="s">
        <v>35</v>
      </c>
      <c r="F11" s="13" t="s">
        <v>36</v>
      </c>
      <c r="G11" s="13">
        <v>100.0</v>
      </c>
      <c r="H11" s="13">
        <v>100.0</v>
      </c>
      <c r="I11" s="13">
        <v>1.0</v>
      </c>
      <c r="J11" s="8"/>
      <c r="K11" s="13">
        <v>50.0</v>
      </c>
      <c r="L11" s="13">
        <v>5000.0</v>
      </c>
      <c r="M11" s="13">
        <v>5000.0</v>
      </c>
      <c r="N11" s="13">
        <v>5.62</v>
      </c>
      <c r="O11" s="13">
        <v>50.0</v>
      </c>
      <c r="P11" s="9">
        <v>5000.0</v>
      </c>
      <c r="Q11" s="9">
        <v>5000.0</v>
      </c>
      <c r="R11" s="9">
        <v>0.0</v>
      </c>
      <c r="S11" s="9">
        <v>0.0</v>
      </c>
      <c r="T11" s="9" t="s">
        <v>39</v>
      </c>
      <c r="W11" s="9">
        <v>15.0</v>
      </c>
    </row>
    <row r="12" ht="15.75" customHeight="1">
      <c r="A12" s="8"/>
      <c r="B12" s="8"/>
      <c r="C12" s="13" t="s">
        <v>28</v>
      </c>
      <c r="D12" s="13" t="s">
        <v>41</v>
      </c>
      <c r="E12" s="13" t="s">
        <v>41</v>
      </c>
      <c r="F12" s="13" t="s">
        <v>36</v>
      </c>
      <c r="G12" s="13">
        <v>1.0</v>
      </c>
      <c r="H12" s="13">
        <v>1.0</v>
      </c>
      <c r="I12" s="13">
        <v>1.0</v>
      </c>
      <c r="J12" s="8"/>
      <c r="K12" s="13">
        <v>0.0</v>
      </c>
      <c r="L12" s="13">
        <v>0.0</v>
      </c>
      <c r="M12" s="13">
        <v>0.0</v>
      </c>
      <c r="N12" s="13">
        <v>0.0</v>
      </c>
      <c r="O12" s="13">
        <v>0.0</v>
      </c>
      <c r="P12" s="9">
        <v>0.0</v>
      </c>
      <c r="Q12" s="9">
        <v>0.0</v>
      </c>
      <c r="R12" s="9">
        <v>0.0</v>
      </c>
      <c r="S12" s="9">
        <v>0.0</v>
      </c>
      <c r="T12" s="9" t="s">
        <v>41</v>
      </c>
      <c r="W12" s="9">
        <v>1.0</v>
      </c>
    </row>
    <row r="13" ht="15.75" customHeight="1">
      <c r="A13" s="8"/>
      <c r="B13" s="8"/>
      <c r="C13" s="13" t="s">
        <v>28</v>
      </c>
      <c r="D13" s="13" t="s">
        <v>42</v>
      </c>
      <c r="E13" s="13" t="s">
        <v>42</v>
      </c>
      <c r="F13" s="13" t="s">
        <v>36</v>
      </c>
      <c r="G13" s="13">
        <v>1.0</v>
      </c>
      <c r="H13" s="13">
        <v>1.0</v>
      </c>
      <c r="I13" s="13">
        <v>1.0</v>
      </c>
      <c r="J13" s="8"/>
      <c r="K13" s="13">
        <v>2000.0</v>
      </c>
      <c r="L13" s="13">
        <v>2000.0</v>
      </c>
      <c r="M13" s="13">
        <v>2000.0</v>
      </c>
      <c r="N13" s="13">
        <v>1.69</v>
      </c>
      <c r="O13" s="13">
        <v>1500.0</v>
      </c>
      <c r="P13" s="9">
        <v>1500.0</v>
      </c>
      <c r="Q13" s="9">
        <v>1500.0</v>
      </c>
      <c r="R13" s="9">
        <v>-500.0</v>
      </c>
      <c r="S13" s="9">
        <v>-500.0</v>
      </c>
      <c r="T13" s="9" t="s">
        <v>42</v>
      </c>
      <c r="W13" s="9">
        <v>1.0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43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8"/>
      <c r="C6" s="8"/>
      <c r="D6" s="8">
        <v>100.0</v>
      </c>
      <c r="E6" s="8" t="s">
        <v>45</v>
      </c>
      <c r="F6" s="8"/>
      <c r="G6" s="8"/>
      <c r="H6" s="8" t="s">
        <v>46</v>
      </c>
      <c r="I6" s="8" t="s">
        <v>47</v>
      </c>
      <c r="J6" s="8" t="s">
        <v>18</v>
      </c>
      <c r="K6" s="8" t="s">
        <v>48</v>
      </c>
      <c r="L6" s="8" t="s">
        <v>49</v>
      </c>
      <c r="M6" s="8"/>
      <c r="N6" s="8"/>
      <c r="O6" s="8"/>
      <c r="U6" t="s">
        <v>50</v>
      </c>
      <c r="AA6" t="s">
        <v>51</v>
      </c>
      <c r="AD6">
        <v>1.0</v>
      </c>
      <c r="AF6" t="s">
        <v>52</v>
      </c>
      <c r="AH6" t="s">
        <v>35</v>
      </c>
      <c r="AI6" t="s">
        <v>18</v>
      </c>
      <c r="AJ6" t="s">
        <v>53</v>
      </c>
      <c r="AK6" t="s">
        <v>54</v>
      </c>
      <c r="AL6">
        <v>20.0</v>
      </c>
      <c r="AP6">
        <v>20.0</v>
      </c>
      <c r="AQ6">
        <v>100.0</v>
      </c>
      <c r="AR6">
        <v>100.0</v>
      </c>
      <c r="AS6" t="s">
        <v>55</v>
      </c>
      <c r="AT6" t="s">
        <v>28</v>
      </c>
      <c r="AU6" t="s">
        <v>56</v>
      </c>
      <c r="BA6" t="s">
        <v>47</v>
      </c>
      <c r="BB6" t="s">
        <v>57</v>
      </c>
      <c r="BC6" t="s">
        <v>57</v>
      </c>
      <c r="BD6" t="s">
        <v>57</v>
      </c>
      <c r="BE6" t="s">
        <v>57</v>
      </c>
      <c r="BF6" t="s">
        <v>57</v>
      </c>
      <c r="BH6" t="s">
        <v>57</v>
      </c>
    </row>
    <row r="7" ht="15.75" customHeight="1">
      <c r="A7" s="8"/>
      <c r="B7" s="8"/>
      <c r="C7" s="8"/>
      <c r="D7" s="8">
        <v>100.0</v>
      </c>
      <c r="E7" s="8" t="s">
        <v>58</v>
      </c>
      <c r="F7" s="8"/>
      <c r="G7" s="8"/>
      <c r="H7" s="8" t="s">
        <v>46</v>
      </c>
      <c r="I7" s="8" t="s">
        <v>47</v>
      </c>
      <c r="J7" s="8" t="s">
        <v>16</v>
      </c>
      <c r="K7" s="8" t="s">
        <v>48</v>
      </c>
      <c r="L7" s="8" t="s">
        <v>49</v>
      </c>
      <c r="M7" s="8"/>
      <c r="N7" s="8"/>
      <c r="O7" s="8"/>
      <c r="U7" t="s">
        <v>50</v>
      </c>
      <c r="AA7" t="s">
        <v>51</v>
      </c>
      <c r="AD7">
        <v>1.0</v>
      </c>
      <c r="AF7" t="s">
        <v>52</v>
      </c>
      <c r="AH7" t="s">
        <v>35</v>
      </c>
      <c r="AI7" t="s">
        <v>16</v>
      </c>
      <c r="AJ7" t="s">
        <v>24</v>
      </c>
      <c r="AK7" t="s">
        <v>54</v>
      </c>
      <c r="AL7">
        <v>25.0</v>
      </c>
      <c r="AP7">
        <v>25.0</v>
      </c>
      <c r="AQ7">
        <v>100.0</v>
      </c>
      <c r="AR7">
        <v>100.0</v>
      </c>
      <c r="AS7" t="s">
        <v>55</v>
      </c>
      <c r="AT7" t="s">
        <v>28</v>
      </c>
      <c r="AU7" t="s">
        <v>56</v>
      </c>
      <c r="BA7" t="s">
        <v>47</v>
      </c>
      <c r="BB7" t="s">
        <v>57</v>
      </c>
      <c r="BC7" t="s">
        <v>57</v>
      </c>
      <c r="BD7" t="s">
        <v>57</v>
      </c>
      <c r="BE7" t="s">
        <v>57</v>
      </c>
      <c r="BF7" t="s">
        <v>57</v>
      </c>
      <c r="BH7" t="s">
        <v>57</v>
      </c>
    </row>
    <row r="8" ht="15.75" customHeight="1">
      <c r="A8" s="8"/>
      <c r="B8" s="8"/>
      <c r="C8" s="8"/>
      <c r="D8" s="8">
        <v>100.0</v>
      </c>
      <c r="E8" s="8" t="s">
        <v>59</v>
      </c>
      <c r="F8" s="8"/>
      <c r="G8" s="8"/>
      <c r="H8" s="8" t="s">
        <v>46</v>
      </c>
      <c r="I8" s="8" t="s">
        <v>47</v>
      </c>
      <c r="J8" s="8" t="s">
        <v>17</v>
      </c>
      <c r="K8" s="8" t="s">
        <v>48</v>
      </c>
      <c r="L8" s="8" t="s">
        <v>49</v>
      </c>
      <c r="M8" s="8"/>
      <c r="N8" s="8"/>
      <c r="O8" s="8"/>
      <c r="U8" t="s">
        <v>50</v>
      </c>
      <c r="AA8" t="s">
        <v>51</v>
      </c>
      <c r="AD8">
        <v>1.0</v>
      </c>
      <c r="AF8" t="s">
        <v>52</v>
      </c>
      <c r="AH8" t="s">
        <v>35</v>
      </c>
      <c r="AI8" t="s">
        <v>17</v>
      </c>
      <c r="AJ8" t="s">
        <v>24</v>
      </c>
      <c r="AK8" t="s">
        <v>54</v>
      </c>
      <c r="AL8">
        <v>30.0</v>
      </c>
      <c r="AP8">
        <v>30.0</v>
      </c>
      <c r="AQ8">
        <v>100.0</v>
      </c>
      <c r="AR8">
        <v>100.0</v>
      </c>
      <c r="AS8" t="s">
        <v>55</v>
      </c>
      <c r="AT8" t="s">
        <v>28</v>
      </c>
      <c r="AU8" t="s">
        <v>56</v>
      </c>
      <c r="BA8" t="s">
        <v>47</v>
      </c>
      <c r="BB8" t="s">
        <v>57</v>
      </c>
      <c r="BC8" t="s">
        <v>57</v>
      </c>
      <c r="BD8" t="s">
        <v>57</v>
      </c>
      <c r="BE8" t="s">
        <v>57</v>
      </c>
      <c r="BF8" t="s">
        <v>57</v>
      </c>
      <c r="BH8" t="s">
        <v>57</v>
      </c>
    </row>
    <row r="9" ht="15.75" customHeight="1">
      <c r="A9" s="8"/>
      <c r="B9" s="8"/>
      <c r="C9" s="8"/>
      <c r="D9" s="8">
        <v>100.0</v>
      </c>
      <c r="E9" s="8" t="s">
        <v>60</v>
      </c>
      <c r="F9" s="8"/>
      <c r="G9" s="8"/>
      <c r="H9" s="8" t="s">
        <v>46</v>
      </c>
      <c r="I9" s="8" t="s">
        <v>47</v>
      </c>
      <c r="J9" s="8" t="s">
        <v>19</v>
      </c>
      <c r="K9" s="8" t="s">
        <v>48</v>
      </c>
      <c r="L9" s="8" t="s">
        <v>49</v>
      </c>
      <c r="M9" s="8"/>
      <c r="N9" s="8"/>
      <c r="O9" s="8"/>
      <c r="U9" t="s">
        <v>50</v>
      </c>
      <c r="AA9" t="s">
        <v>51</v>
      </c>
      <c r="AD9">
        <v>1.0</v>
      </c>
      <c r="AF9" t="s">
        <v>52</v>
      </c>
      <c r="AH9" t="s">
        <v>35</v>
      </c>
      <c r="AI9" t="s">
        <v>19</v>
      </c>
      <c r="AJ9" t="s">
        <v>24</v>
      </c>
      <c r="AK9" t="s">
        <v>54</v>
      </c>
      <c r="AL9">
        <v>30.0</v>
      </c>
      <c r="AP9">
        <v>30.0</v>
      </c>
      <c r="AQ9">
        <v>100.0</v>
      </c>
      <c r="AR9">
        <v>100.0</v>
      </c>
      <c r="AS9" t="s">
        <v>55</v>
      </c>
      <c r="AT9" t="s">
        <v>28</v>
      </c>
      <c r="AU9" t="s">
        <v>56</v>
      </c>
      <c r="BA9" t="s">
        <v>47</v>
      </c>
      <c r="BB9" t="s">
        <v>57</v>
      </c>
      <c r="BC9" t="s">
        <v>57</v>
      </c>
      <c r="BD9" t="s">
        <v>57</v>
      </c>
      <c r="BE9" t="s">
        <v>57</v>
      </c>
      <c r="BF9" t="s">
        <v>57</v>
      </c>
      <c r="BH9" t="s">
        <v>57</v>
      </c>
    </row>
    <row r="10" ht="15.75" customHeight="1">
      <c r="A10" s="8"/>
      <c r="B10" s="8"/>
      <c r="C10" s="8"/>
      <c r="D10" s="8">
        <v>1.0</v>
      </c>
      <c r="E10" s="8" t="s">
        <v>61</v>
      </c>
      <c r="F10" s="8"/>
      <c r="G10" s="8"/>
      <c r="H10" s="8" t="s">
        <v>46</v>
      </c>
      <c r="I10" s="8" t="s">
        <v>47</v>
      </c>
      <c r="J10" s="8" t="s">
        <v>21</v>
      </c>
      <c r="K10" s="8" t="s">
        <v>48</v>
      </c>
      <c r="L10" s="8" t="s">
        <v>49</v>
      </c>
      <c r="M10" s="8"/>
      <c r="N10" s="8"/>
      <c r="O10" s="8"/>
      <c r="U10" t="s">
        <v>50</v>
      </c>
      <c r="AA10" t="s">
        <v>51</v>
      </c>
      <c r="AD10">
        <v>1.0</v>
      </c>
      <c r="AF10" t="s">
        <v>52</v>
      </c>
      <c r="AH10" t="s">
        <v>35</v>
      </c>
      <c r="AI10" t="s">
        <v>21</v>
      </c>
      <c r="AJ10" t="s">
        <v>24</v>
      </c>
      <c r="AK10" t="s">
        <v>54</v>
      </c>
      <c r="AL10">
        <v>4000.0</v>
      </c>
      <c r="AP10">
        <v>4000.0</v>
      </c>
      <c r="AQ10">
        <v>1.0</v>
      </c>
      <c r="AR10">
        <v>1.0</v>
      </c>
      <c r="AS10" t="s">
        <v>55</v>
      </c>
      <c r="AT10" t="s">
        <v>28</v>
      </c>
      <c r="AU10" t="s">
        <v>56</v>
      </c>
      <c r="BA10" t="s">
        <v>47</v>
      </c>
      <c r="BB10" t="s">
        <v>57</v>
      </c>
      <c r="BC10" t="s">
        <v>57</v>
      </c>
      <c r="BD10" t="s">
        <v>57</v>
      </c>
      <c r="BE10" t="s">
        <v>57</v>
      </c>
      <c r="BF10" t="s">
        <v>57</v>
      </c>
      <c r="BH10" t="s">
        <v>57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62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32">
        <v>100.0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17</v>
      </c>
      <c r="C7" s="32">
        <v>100.0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18</v>
      </c>
      <c r="C8" s="32">
        <v>100.0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19</v>
      </c>
      <c r="C9" s="32">
        <v>100.0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20</v>
      </c>
      <c r="C10" s="32">
        <v>100.0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1" t="s">
        <v>21</v>
      </c>
      <c r="C11" s="34">
        <v>1.0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IFERROR(__xludf.DUMMYFUNCTION("""COMPUTED_VALUE"""),"Cash Flow(USD)")</f>
        <v>Cash Flow(USD)</v>
      </c>
      <c r="C5" s="28" t="str">
        <f>IFERROR(__xludf.DUMMYFUNCTION("""COMPUTED_VALUE"""),"Cash Flow Impact on NAV")</f>
        <v>Cash Flow Impact on NAV</v>
      </c>
      <c r="D5" s="28" t="str">
        <f>IFERROR(__xludf.DUMMYFUNCTION("""COMPUTED_VALUE"""),"Select Model")</f>
        <v>Select Model</v>
      </c>
      <c r="E5" s="28" t="str">
        <f>IFERROR(__xludf.DUMMYFUNCTION("""COMPUTED_VALUE"""),"Custom Cash Flow")</f>
        <v>Custom Cash Flow</v>
      </c>
      <c r="F5" s="29" t="str">
        <f>IFERROR(__xludf.DUMMYFUNCTION("""COMPUTED_VALUE"""),"MasterFund Groups")</f>
        <v>MasterFund Groups</v>
      </c>
      <c r="G5" s="28" t="str">
        <f>IFERROR(__xludf.DUMMYFUNCTION("""COMPUTED_VALUE"""),"Accounts")</f>
        <v>Accounts</v>
      </c>
      <c r="H5" s="28" t="str">
        <f>IFERROR(__xludf.DUMMYFUNCTION("""COMPUTED_VALUE"""),"Cash Flow Account Wise")</f>
        <v>Cash Flow Account Wise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41">
        <v>10000.0</v>
      </c>
      <c r="C6" s="37" t="s">
        <v>64</v>
      </c>
      <c r="D6" s="37" t="s">
        <v>65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IFERROR(__xludf.DUMMYFUNCTION("IF(C3="""","""",Transpose(IMPORTRANGE('_Settings'!$B$3,C3&amp;""!A4:A1000"")))"),"EditRebalanceGrid")</f>
        <v>EditRebalanceGrid</v>
      </c>
      <c r="C4" s="25" t="str">
        <f>IFERROR(__xludf.DUMMYFUNCTION("""COMPUTED_VALUE"""),"AddCustomCashUsingImport")</f>
        <v>AddCustomCashUsingImport</v>
      </c>
      <c r="D4" s="25" t="str">
        <f>IFERROR(__xludf.DUMMYFUNCTION("""COMPUTED_VALUE"""),"CloseRebalancer")</f>
        <v>CloseRebalancer</v>
      </c>
      <c r="E4" s="25" t="str">
        <f>IFERROR(__xludf.DUMMYFUNCTION("""COMPUTED_VALUE"""),"SymbologyChangeRB")</f>
        <v>SymbologyChangeRB</v>
      </c>
      <c r="F4" s="25" t="str">
        <f>IFERROR(__xludf.DUMMYFUNCTION("""COMPUTED_VALUE"""),"AddUserAdjustedNAV")</f>
        <v>AddUserAdjustedNAV</v>
      </c>
      <c r="G4" s="25" t="str">
        <f>IFERROR(__xludf.DUMMYFUNCTION("""COMPUTED_VALUE"""),"RebalanceViaBloomberg")</f>
        <v>RebalanceViaBloomberg</v>
      </c>
      <c r="H4" s="25" t="str">
        <f>IFERROR(__xludf.DUMMYFUNCTION("""COMPUTED_VALUE"""),"SendtoStaging")</f>
        <v>SendtoStaging</v>
      </c>
      <c r="I4" s="25" t="str">
        <f>IFERROR(__xludf.DUMMYFUNCTION("""COMPUTED_VALUE"""),"SendToStagingExport")</f>
        <v>SendToStagingExport</v>
      </c>
      <c r="J4" s="25" t="str">
        <f>IFERROR(__xludf.DUMMYFUNCTION("""COMPUTED_VALUE"""),"RefreshGridData")</f>
        <v>RefreshGridData</v>
      </c>
      <c r="K4" s="25" t="str">
        <f>IFERROR(__xludf.DUMMYFUNCTION("""COMPUTED_VALUE"""),"LockandUnlockGridData")</f>
        <v>LockandUnlockGridData</v>
      </c>
      <c r="L4" s="25" t="str">
        <f>IFERROR(__xludf.DUMMYFUNCTION("""COMPUTED_VALUE"""),"ModelPortfolio")</f>
        <v>ModelPortfolio</v>
      </c>
      <c r="M4" s="25" t="str">
        <f>IFERROR(__xludf.DUMMYFUNCTION("""COMPUTED_VALUE"""),"ModifyRebalance")</f>
        <v>ModifyRebalance</v>
      </c>
      <c r="N4" s="25" t="str">
        <f>IFERROR(__xludf.DUMMYFUNCTION("""COMPUTED_VALUE"""),"ClearCalculations")</f>
        <v>ClearCalculations</v>
      </c>
      <c r="O4" s="25" t="str">
        <f>IFERROR(__xludf.DUMMYFUNCTION("""COMPUTED_VALUE"""),"CheckBasketCompliance")</f>
        <v>CheckBasketCompliance</v>
      </c>
      <c r="P4" s="26" t="str">
        <f>IFERROR(__xludf.DUMMYFUNCTION("""COMPUTED_VALUE"""),"RebalanceAcrossSecurities")</f>
        <v>RebalanceAcrossSecurities</v>
      </c>
      <c r="Q4" s="26" t="str">
        <f>IFERROR(__xludf.DUMMYFUNCTION("""COMPUTED_VALUE"""),"ImportModelPortfolio")</f>
        <v>ImportModelPortfolio</v>
      </c>
      <c r="R4" s="26" t="str">
        <f>IFERROR(__xludf.DUMMYFUNCTION("""COMPUTED_VALUE"""),"RebalancePreference")</f>
        <v>RebalancePreference</v>
      </c>
      <c r="S4" s="26" t="str">
        <f>IFERROR(__xludf.DUMMYFUNCTION("""COMPUTED_VALUE"""),"EnableComplianceTab")</f>
        <v>EnableComplianceTab</v>
      </c>
      <c r="T4" s="26" t="str">
        <f>IFERROR(__xludf.DUMMYFUNCTION("""COMPUTED_VALUE"""),"RunRebalance")</f>
        <v>RunRebalance</v>
      </c>
      <c r="U4" s="26" t="str">
        <f>IFERROR(__xludf.DUMMYFUNCTION("""COMPUTED_VALUE"""),"VerifyGridData")</f>
        <v>VerifyGridData</v>
      </c>
      <c r="V4" s="26" t="str">
        <f>IFERROR(__xludf.DUMMYFUNCTION("""COMPUTED_VALUE"""),"AddCash")</f>
        <v>AddCash</v>
      </c>
      <c r="W4" s="26" t="str">
        <f>IFERROR(__xludf.DUMMYFUNCTION("""COMPUTED_VALUE"""),"FetchAccountPositions")</f>
        <v>FetchAccountPositions</v>
      </c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IFERROR(__xludf.DUMMYFUNCTION("""COMPUTED_VALUE"""),"Side")</f>
        <v>Side</v>
      </c>
      <c r="D5" s="28" t="str">
        <f>IFERROR(__xludf.DUMMYFUNCTION("""COMPUTED_VALUE"""),"Symbol")</f>
        <v>Symbol</v>
      </c>
      <c r="E5" s="28" t="str">
        <f>IFERROR(__xludf.DUMMYFUNCTION("""COMPUTED_VALUE"""),"Quantity")</f>
        <v>Quantity</v>
      </c>
      <c r="F5" s="29" t="str">
        <f>IFERROR(__xludf.DUMMYFUNCTION("""COMPUTED_VALUE"""),"Price (Local)")</f>
        <v>Price (Local)</v>
      </c>
      <c r="G5" s="28" t="str">
        <f>IFERROR(__xludf.DUMMYFUNCTION("""COMPUTED_VALUE"""),"Buy/Sell Value (Base)")</f>
        <v>Buy/Sell Value (Base)</v>
      </c>
      <c r="H5" s="28" t="str">
        <f>IFERROR(__xludf.DUMMYFUNCTION("""COMPUTED_VALUE"""),"Comments")</f>
        <v>Comments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28</v>
      </c>
      <c r="C6" s="31" t="s">
        <v>24</v>
      </c>
      <c r="D6" s="31" t="s">
        <v>16</v>
      </c>
      <c r="E6" s="32">
        <v>25.0</v>
      </c>
      <c r="F6" s="32">
        <v>100.0</v>
      </c>
      <c r="G6" s="42">
        <v>2500.0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28</v>
      </c>
      <c r="C7" s="31" t="s">
        <v>24</v>
      </c>
      <c r="D7" s="31" t="s">
        <v>17</v>
      </c>
      <c r="E7" s="32">
        <v>30.0</v>
      </c>
      <c r="F7" s="32">
        <v>100.0</v>
      </c>
      <c r="G7" s="42">
        <v>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1" t="s">
        <v>28</v>
      </c>
      <c r="C8" s="31" t="s">
        <v>53</v>
      </c>
      <c r="D8" s="31" t="s">
        <v>18</v>
      </c>
      <c r="E8" s="32">
        <v>20.0</v>
      </c>
      <c r="F8" s="32">
        <v>100.0</v>
      </c>
      <c r="G8" s="42">
        <v>-2000.0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31" t="s">
        <v>28</v>
      </c>
      <c r="C9" s="31" t="s">
        <v>24</v>
      </c>
      <c r="D9" s="31" t="s">
        <v>21</v>
      </c>
      <c r="E9" s="32">
        <v>4000.0</v>
      </c>
      <c r="F9" s="32">
        <v>1.0</v>
      </c>
      <c r="G9" s="42">
        <v>4000.0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31" t="s">
        <v>28</v>
      </c>
      <c r="C10" s="31" t="s">
        <v>24</v>
      </c>
      <c r="D10" s="31" t="s">
        <v>19</v>
      </c>
      <c r="E10" s="32">
        <v>30.0</v>
      </c>
      <c r="F10" s="32">
        <v>100.0</v>
      </c>
      <c r="G10" s="42">
        <v>3000.0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33"/>
      <c r="C11" s="33"/>
      <c r="D11" s="33"/>
      <c r="E11" s="33"/>
      <c r="F11" s="33"/>
      <c r="G11" s="33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33"/>
      <c r="C12" s="33"/>
      <c r="D12" s="33"/>
      <c r="E12" s="33"/>
      <c r="F12" s="33"/>
      <c r="G12" s="33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33"/>
      <c r="C13" s="33"/>
      <c r="D13" s="33"/>
      <c r="E13" s="33"/>
      <c r="F13" s="33"/>
      <c r="G13" s="33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33"/>
      <c r="C14" s="33"/>
      <c r="D14" s="33"/>
      <c r="E14" s="33"/>
      <c r="F14" s="33"/>
      <c r="G14" s="33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5">
        <f>TODAY()-1</f>
        <v>45075</v>
      </c>
      <c r="C6" s="35">
        <f>TODAY()</f>
        <v>45076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67</v>
      </c>
      <c r="D3" s="5" t="s">
        <v>9</v>
      </c>
      <c r="E3" s="23" t="s">
        <v>69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3" t="s">
        <v>28</v>
      </c>
      <c r="C6" s="33" t="s">
        <v>50</v>
      </c>
      <c r="D6" s="32">
        <v>2000.0</v>
      </c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/>
      <c r="C7" s="33"/>
      <c r="D7" s="33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</v>
      </c>
      <c r="C6" s="8"/>
      <c r="D6" s="13" t="s">
        <v>71</v>
      </c>
      <c r="E6" s="4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'Copy of Data'!$4:$4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70</v>
      </c>
      <c r="C6" s="8"/>
      <c r="D6" s="13" t="s">
        <v>71</v>
      </c>
      <c r="E6" s="4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'Copy of Data 1'!$4:$4</formula1>
    </dataValidation>
  </dataValidations>
  <drawing r:id="rId1"/>
</worksheet>
</file>