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EnableBreakdownRealizedPNL" sheetId="4" r:id="rId6"/>
    <sheet name="CreateDoneAwayOrder" sheetId="5" r:id="rId7"/>
    <sheet name="GetMarkPriceData" sheetId="6" r:id="rId8"/>
    <sheet name="UpdateMarkPriceMonthly" sheetId="7" r:id="rId9"/>
    <sheet name="GetDayEndCash" sheetId="8" r:id="rId10"/>
    <sheet name="GetRevaluationData" sheetId="9" r:id="rId11"/>
    <sheet name="GetAccountBalance" sheetId="10" r:id="rId12"/>
    <sheet name="VerifyRevaluationData" sheetId="11" r:id="rId13"/>
    <sheet name="CreateDoneAwayOrder1" sheetId="12" r:id="rId14"/>
    <sheet name="GetDataClosing" sheetId="13" r:id="rId15"/>
    <sheet name="AutomaticClosing" sheetId="14" r:id="rId16"/>
    <sheet name="GetMarkPriceData1" sheetId="15" r:id="rId17"/>
    <sheet name="UpdateMarkPrice" sheetId="16" r:id="rId18"/>
    <sheet name="GetDayEndCash1" sheetId="17" r:id="rId19"/>
    <sheet name="GetAccountBalance1" sheetId="18" r:id="rId20"/>
    <sheet name="GetRevaluationData1" sheetId="19" r:id="rId21"/>
    <sheet name="VerifyRevaluationData1" sheetId="20" r:id="rId22"/>
    <sheet name="EnableBreakdownRealizedPNL1" sheetId="21" r:id="rId23"/>
  </sheets>
  <calcPr fullCalcOnLoad="1"/>
</workbook>
</file>

<file path=xl/sharedStrings.xml><?xml version="1.0" encoding="utf-8"?>
<sst xmlns="http://schemas.openxmlformats.org/spreadsheetml/2006/main" count="59" uniqueCount="59">
  <si>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</si>
  <si>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</si>
  <si>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</si>
  <si>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</si>
  <si>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</si>
  <si>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</si>
  <si>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</si>
  <si>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</si>
  <si>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</si>
  <si>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</si>
  <si>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</si>
  <si>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</si>
  <si>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</si>
  <si>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EnableBreakdownRealizedPNL</t>
  </si>
  <si>
    <t>Data Format</t>
  </si>
  <si>
    <t>Input Format</t>
  </si>
  <si>
    <t>TradingTicket</t>
  </si>
  <si>
    <t>CreateDoneAwayOrder</t>
  </si>
  <si>
    <t>O:AAPL 18B177.50D2</t>
  </si>
  <si>
    <t>Buy to Open</t>
  </si>
  <si>
    <t>OFFSHORE</t>
  </si>
  <si>
    <t>Flat Amount</t>
  </si>
  <si>
    <t>O:MSFT 18B104.00D2</t>
  </si>
  <si>
    <t>Sell to Open</t>
  </si>
  <si>
    <t>Allocation2</t>
  </si>
  <si>
    <t>DailyValuation</t>
  </si>
  <si>
    <t>GetMarkPriceData</t>
  </si>
  <si>
    <t>UpdateMarkPriceMonthly</t>
  </si>
  <si>
    <t>GeneralLedger</t>
  </si>
  <si>
    <t>GetDayEndCash</t>
  </si>
  <si>
    <t>OFFSHORE,Allocation2</t>
  </si>
  <si>
    <t>GetRevaluationData</t>
  </si>
  <si>
    <t>GetAccountBalance</t>
  </si>
  <si>
    <t>VerifyRevaluationData</t>
  </si>
  <si>
    <t>USD</t>
  </si>
  <si>
    <t>Equity Option UnRealized Profit And Loss [Income]</t>
  </si>
  <si>
    <t>jpearce</t>
  </si>
  <si>
    <t>M</t>
  </si>
  <si>
    <t>DR</t>
  </si>
  <si>
    <t>Revaluation</t>
  </si>
  <si>
    <t>UnRealized PNL Entry</t>
  </si>
  <si>
    <t>Equity Option Long Revaluation [Asset]</t>
  </si>
  <si>
    <t>CR</t>
  </si>
  <si>
    <t>Contra UnRealized PNL Entry</t>
  </si>
  <si>
    <t>Equity Option Short Revaluation [Asset]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</si>
  <si>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</si>
  <si>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</si>
  <si>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</si>
  <si>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</si>
  <si>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</si>
  <si>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</si>
  <si>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</si>
  <si>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</si>
  <si>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</si>
  <si>
    <t>Equity Option Short Realized Profit And Loss (ST) [Income]</t>
  </si>
  <si>
    <t>Realized PNL Entry</t>
  </si>
  <si>
    <t>Investment - Short Equity Option [Liability]</t>
  </si>
  <si>
    <t>Investment - Long Equity Option [Asset]</t>
  </si>
  <si>
    <t>Equity Option Long Realized Profit And Loss (LT)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</si>
</sst>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>
      <alignment horizontal="left"/>
    </xf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5" applyBorder="1" xfId="0"/>
    <xf fontId="3" applyFont="1" fillId="0" applyFill="1" borderId="5" applyBorder="1" xfId="0"/>
    <xf fontId="5" applyFont="1" fillId="0" applyFill="1" borderId="5" applyBorder="1" xfId="0">
      <alignment horizontal="right"/>
    </xf>
    <xf fontId="5" applyFont="1" fillId="0" applyFill="1" borderId="5" applyBorder="1" xfId="0">
      <alignment horizontal="right"/>
    </xf>
    <xf fontId="5" applyFont="1" fillId="0" applyFill="1" borderId="5" applyBorder="1" xfId="0"/>
    <xf fontId="3" applyFont="1" fillId="0" applyFill="1" borderId="5" applyBorder="1" xfId="0"/>
    <xf numFmtId="164" applyNumberFormat="1" fontId="5" applyFont="1" fillId="0" applyFill="1" borderId="5" applyBorder="1" xfId="0">
      <alignment horizontal="right"/>
    </xf>
    <xf fontId="3" applyFont="1" fillId="0" applyFill="1" borderId="5" applyBorder="1" xfId="0">
      <alignment horizontal="right"/>
    </xf>
    <xf fontId="3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numFmtId="164" applyNumberFormat="1" fontId="5" applyFont="1" fillId="0" applyFill="1" borderId="5" applyBorder="1" xfId="0">
      <alignment horizontal="right"/>
    </xf>
    <xf numFmtId="164" applyNumberFormat="1" fontId="5" applyFont="1" fillId="0" applyFill="1" borderId="0" applyBorder="1" xfId="0">
      <alignment horizontal="right"/>
    </xf>
    <xf numFmtId="164" applyNumberFormat="1" fontId="2" applyFont="1" fillId="0" applyFill="1" borderId="0" applyBorder="1" xfId="0"/>
    <xf numFmtId="165" applyNumberFormat="1" fontId="2" applyFont="1" fillId="0" applyFill="1" borderId="0" applyBorder="1" xfId="0"/>
    <xf numFmtId="164" applyNumberFormat="1" fontId="2" applyFont="1" fillId="0" applyFill="1" borderId="0" applyBorder="1" xfId="0"/>
    <xf fontId="5" applyFont="1" fillId="0" applyFill="1" borderId="5" applyBorder="1" xfId="0"/>
    <xf fontId="5" applyFont="1" fillId="0" applyFill="1" borderId="5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5" applyBorder="1" xfId="0">
      <alignment horizontal="center"/>
    </xf>
    <xf fontId="3" applyFont="1" fillId="0" applyFill="1" borderId="5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IFERROR(__xludf.DUMMYFUNCTION("""COMPUTED_VALUE"""),"1quv-mE6eJ-fIc80A1uTeO8ix7AN-iGUbKPfjMut6XGw")</f>
        <v>1quv-mE6eJ-fIc80A1uTeO8ix7AN-iGUbKPfjMut6XGw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IFERROR(__xludf.DUMMYFUNCTION("""COMPUTED_VALUE"""),"IsBreakRealizedPNLSubAccount")</f>
        <v>IsBreakRealizedPNLSubAccount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EnableBreakdownRealizedPNL!$4:$4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1000</v>
      </c>
      <c r="E6" s="35">
        <v>1000</v>
      </c>
      <c r="F6" s="36" t="s">
        <v>20</v>
      </c>
      <c r="G6" s="37"/>
      <c r="H6" s="37"/>
      <c r="I6" s="37"/>
      <c r="J6" s="35">
        <v>135</v>
      </c>
      <c r="K6" s="37"/>
      <c r="L6" s="37"/>
      <c r="M6" s="37"/>
      <c r="N6" s="38">
        <v>42919</v>
      </c>
      <c r="O6" s="39">
        <v>1</v>
      </c>
      <c r="P6" s="37"/>
      <c r="Q6" s="37"/>
      <c r="R6" s="37" t="s">
        <v>21</v>
      </c>
      <c r="S6" s="39">
        <v>2.5</v>
      </c>
      <c r="T6" s="40" t="s">
        <v>21</v>
      </c>
      <c r="U6" s="41">
        <v>7.5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</row>
    <row r="7" ht="15.75" customHeight="1">
      <c r="A7" s="40"/>
      <c r="B7" s="40" t="s">
        <v>22</v>
      </c>
      <c r="C7" s="42" t="s">
        <v>23</v>
      </c>
      <c r="D7" s="43">
        <v>1000</v>
      </c>
      <c r="E7" s="35">
        <v>1000</v>
      </c>
      <c r="F7" s="36" t="s">
        <v>24</v>
      </c>
      <c r="G7" s="40"/>
      <c r="H7" s="40"/>
      <c r="I7" s="40"/>
      <c r="J7" s="43">
        <v>238</v>
      </c>
      <c r="K7" s="40"/>
      <c r="L7" s="40"/>
      <c r="M7" s="37"/>
      <c r="N7" s="44">
        <v>42919</v>
      </c>
      <c r="O7" s="39">
        <v>1</v>
      </c>
      <c r="P7" s="40"/>
      <c r="Q7" s="37"/>
      <c r="R7" s="37" t="s">
        <v>21</v>
      </c>
      <c r="S7" s="39">
        <v>2.5</v>
      </c>
      <c r="T7" s="40" t="s">
        <v>21</v>
      </c>
      <c r="U7" s="41">
        <v>7.5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42919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 t="str">
        <f>IFERROR(__xludf.DUMMYFUNCTION("""COMPUTED_VALUE"""),"Date")</f>
        <v>Date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>
        <v>138</v>
      </c>
      <c r="D6" s="44">
        <v>42920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3">
        <v>239</v>
      </c>
      <c r="D7" s="44">
        <v>42920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18</v>
      </c>
      <c r="C8" s="35">
        <v>140</v>
      </c>
      <c r="D8" s="44">
        <v>42921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3">
        <v>240</v>
      </c>
      <c r="D9" s="44">
        <v>42921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18</v>
      </c>
      <c r="C10" s="35">
        <v>142</v>
      </c>
      <c r="D10" s="44">
        <v>42922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3">
        <v>242</v>
      </c>
      <c r="D11" s="45">
        <v>42922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44">
        <v>42919</v>
      </c>
      <c r="E6" s="44">
        <v>42922</v>
      </c>
      <c r="F6" s="37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44">
        <v>42919</v>
      </c>
      <c r="E6" s="44">
        <v>42922</v>
      </c>
      <c r="F6" s="37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44">
        <v>42922</v>
      </c>
      <c r="E6" s="35" t="b">
        <v>1</v>
      </c>
      <c r="F6" s="37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4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42919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13500010</v>
      </c>
      <c r="H6" s="9">
        <v>0</v>
      </c>
      <c r="I6" s="47"/>
      <c r="J6" s="47"/>
      <c r="K6" s="9" t="s">
        <v>36</v>
      </c>
      <c r="L6" s="9">
        <v>1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13500010</v>
      </c>
      <c r="S6" s="9">
        <v>0</v>
      </c>
    </row>
    <row r="7" ht="15.75" customHeight="1">
      <c r="A7" s="8"/>
      <c r="B7" s="46">
        <v>42919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</v>
      </c>
      <c r="H7" s="9">
        <v>13500010</v>
      </c>
      <c r="I7" s="47"/>
      <c r="J7" s="47"/>
      <c r="K7" s="9" t="s">
        <v>36</v>
      </c>
      <c r="L7" s="9">
        <v>1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</v>
      </c>
      <c r="S7" s="9">
        <v>13500010</v>
      </c>
    </row>
    <row r="8" ht="15.75" customHeight="1">
      <c r="A8" s="8"/>
      <c r="B8" s="46">
        <v>42920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299990</v>
      </c>
      <c r="H8" s="9">
        <v>0</v>
      </c>
      <c r="I8" s="47"/>
      <c r="J8" s="47"/>
      <c r="K8" s="9" t="s">
        <v>36</v>
      </c>
      <c r="L8" s="9">
        <v>1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299990</v>
      </c>
      <c r="S8" s="9">
        <v>0</v>
      </c>
    </row>
    <row r="9" ht="15.75" customHeight="1">
      <c r="A9" s="8"/>
      <c r="B9" s="46">
        <v>42920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</v>
      </c>
      <c r="H9" s="9">
        <v>299990</v>
      </c>
      <c r="I9" s="47"/>
      <c r="J9" s="47"/>
      <c r="K9" s="9" t="s">
        <v>36</v>
      </c>
      <c r="L9" s="9">
        <v>1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</v>
      </c>
      <c r="S9" s="9">
        <v>299990</v>
      </c>
    </row>
    <row r="10" ht="15.75" customHeight="1">
      <c r="A10" s="8"/>
      <c r="B10" s="46">
        <v>42920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13500010</v>
      </c>
      <c r="H10" s="9">
        <v>0</v>
      </c>
      <c r="I10" s="47"/>
      <c r="J10" s="47"/>
      <c r="K10" s="9" t="s">
        <v>36</v>
      </c>
      <c r="L10" s="9">
        <v>1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13500010</v>
      </c>
      <c r="S10" s="9">
        <v>0</v>
      </c>
    </row>
    <row r="11" ht="15.75" customHeight="1">
      <c r="A11" s="8"/>
      <c r="B11" s="46">
        <v>42920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</v>
      </c>
      <c r="H11" s="9">
        <v>13500010</v>
      </c>
      <c r="I11" s="47"/>
      <c r="J11" s="47"/>
      <c r="K11" s="9" t="s">
        <v>36</v>
      </c>
      <c r="L11" s="9">
        <v>1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</v>
      </c>
      <c r="S11" s="9">
        <v>13500010</v>
      </c>
    </row>
    <row r="12" ht="15.75" customHeight="1">
      <c r="A12" s="8"/>
      <c r="B12" s="46">
        <v>42921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499990</v>
      </c>
      <c r="H12" s="9">
        <v>0</v>
      </c>
      <c r="I12" s="47"/>
      <c r="J12" s="47"/>
      <c r="K12" s="9" t="s">
        <v>36</v>
      </c>
      <c r="L12" s="9">
        <v>1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499990</v>
      </c>
      <c r="S12" s="9">
        <v>0</v>
      </c>
    </row>
    <row r="13" ht="15.75" customHeight="1">
      <c r="A13" s="8"/>
      <c r="B13" s="46">
        <v>42921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</v>
      </c>
      <c r="H13" s="9">
        <v>499990</v>
      </c>
      <c r="I13" s="47"/>
      <c r="J13" s="47"/>
      <c r="K13" s="9" t="s">
        <v>36</v>
      </c>
      <c r="L13" s="9">
        <v>1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</v>
      </c>
      <c r="S13" s="9">
        <v>499990</v>
      </c>
    </row>
    <row r="14" ht="15.75" customHeight="1">
      <c r="A14" s="8"/>
      <c r="B14" s="46">
        <v>42921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299990</v>
      </c>
      <c r="H14" s="9">
        <v>0</v>
      </c>
      <c r="I14" s="47"/>
      <c r="J14" s="47"/>
      <c r="K14" s="9" t="s">
        <v>36</v>
      </c>
      <c r="L14" s="9">
        <v>1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299990</v>
      </c>
      <c r="S14" s="9">
        <v>0</v>
      </c>
    </row>
    <row r="15" ht="15.75" customHeight="1">
      <c r="A15" s="8"/>
      <c r="B15" s="46">
        <v>42921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</v>
      </c>
      <c r="H15" s="9">
        <v>299990</v>
      </c>
      <c r="I15" s="47"/>
      <c r="J15" s="47"/>
      <c r="K15" s="9" t="s">
        <v>36</v>
      </c>
      <c r="L15" s="9">
        <v>1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</v>
      </c>
      <c r="S15" s="9">
        <v>299990</v>
      </c>
    </row>
    <row r="16" ht="15.75" customHeight="1">
      <c r="A16" s="8"/>
      <c r="B16" s="46">
        <v>42922</v>
      </c>
      <c r="C16" s="9" t="s">
        <v>20</v>
      </c>
      <c r="D16" s="9" t="s">
        <v>18</v>
      </c>
      <c r="E16" s="9" t="s">
        <v>34</v>
      </c>
      <c r="F16" s="9" t="s">
        <v>41</v>
      </c>
      <c r="G16" s="9">
        <v>699990</v>
      </c>
      <c r="H16" s="9">
        <v>0</v>
      </c>
      <c r="I16" s="47"/>
      <c r="J16" s="47"/>
      <c r="K16" s="9" t="s">
        <v>36</v>
      </c>
      <c r="L16" s="9">
        <v>1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699990</v>
      </c>
      <c r="S16" s="9">
        <v>0</v>
      </c>
    </row>
    <row r="17" ht="15.75" customHeight="1">
      <c r="A17" s="8"/>
      <c r="B17" s="46">
        <v>42922</v>
      </c>
      <c r="C17" s="9" t="s">
        <v>20</v>
      </c>
      <c r="D17" s="9" t="s">
        <v>18</v>
      </c>
      <c r="E17" s="9" t="s">
        <v>34</v>
      </c>
      <c r="F17" s="9" t="s">
        <v>35</v>
      </c>
      <c r="G17" s="9">
        <v>0</v>
      </c>
      <c r="H17" s="9">
        <v>699990</v>
      </c>
      <c r="I17" s="47"/>
      <c r="J17" s="47"/>
      <c r="K17" s="9" t="s">
        <v>36</v>
      </c>
      <c r="L17" s="9">
        <v>1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</v>
      </c>
      <c r="S17" s="9">
        <v>699990</v>
      </c>
    </row>
    <row r="18" ht="15.75" customHeight="1">
      <c r="A18" s="8"/>
      <c r="B18" s="46">
        <v>42922</v>
      </c>
      <c r="C18" s="9" t="s">
        <v>20</v>
      </c>
      <c r="D18" s="9" t="s">
        <v>18</v>
      </c>
      <c r="E18" s="9" t="s">
        <v>34</v>
      </c>
      <c r="F18" s="9" t="s">
        <v>35</v>
      </c>
      <c r="G18" s="9">
        <v>499990</v>
      </c>
      <c r="H18" s="9">
        <v>0</v>
      </c>
      <c r="I18" s="47"/>
      <c r="J18" s="47"/>
      <c r="K18" s="9" t="s">
        <v>36</v>
      </c>
      <c r="L18" s="9">
        <v>1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43</v>
      </c>
      <c r="R18" s="9">
        <v>499990</v>
      </c>
      <c r="S18" s="9">
        <v>0</v>
      </c>
    </row>
    <row r="19" ht="15.75" customHeight="1">
      <c r="A19" s="8"/>
      <c r="B19" s="46">
        <v>42922</v>
      </c>
      <c r="C19" s="9" t="s">
        <v>20</v>
      </c>
      <c r="D19" s="9" t="s">
        <v>18</v>
      </c>
      <c r="E19" s="9" t="s">
        <v>34</v>
      </c>
      <c r="F19" s="9" t="s">
        <v>41</v>
      </c>
      <c r="G19" s="9">
        <v>0</v>
      </c>
      <c r="H19" s="9">
        <v>499990</v>
      </c>
      <c r="I19" s="47"/>
      <c r="J19" s="47"/>
      <c r="K19" s="9" t="s">
        <v>36</v>
      </c>
      <c r="L19" s="9">
        <v>1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43</v>
      </c>
      <c r="R19" s="9">
        <v>0</v>
      </c>
      <c r="S19" s="9">
        <v>499990</v>
      </c>
    </row>
    <row r="20" ht="15.75" customHeight="1">
      <c r="A20" s="8"/>
      <c r="B20" s="46">
        <v>42919</v>
      </c>
      <c r="C20" s="9" t="s">
        <v>24</v>
      </c>
      <c r="D20" s="9" t="s">
        <v>22</v>
      </c>
      <c r="E20" s="9" t="s">
        <v>34</v>
      </c>
      <c r="F20" s="9" t="s">
        <v>44</v>
      </c>
      <c r="G20" s="9">
        <v>23799990</v>
      </c>
      <c r="H20" s="9">
        <v>0</v>
      </c>
      <c r="I20" s="47"/>
      <c r="J20" s="47"/>
      <c r="K20" s="9" t="s">
        <v>36</v>
      </c>
      <c r="L20" s="9">
        <v>1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40</v>
      </c>
      <c r="R20" s="9">
        <v>23799990</v>
      </c>
      <c r="S20" s="9">
        <v>0</v>
      </c>
    </row>
    <row r="21" ht="15.75" customHeight="1">
      <c r="A21" s="8"/>
      <c r="B21" s="46">
        <v>42919</v>
      </c>
      <c r="C21" s="9" t="s">
        <v>24</v>
      </c>
      <c r="D21" s="9" t="s">
        <v>22</v>
      </c>
      <c r="E21" s="9" t="s">
        <v>34</v>
      </c>
      <c r="F21" s="9" t="s">
        <v>35</v>
      </c>
      <c r="G21" s="9">
        <v>0</v>
      </c>
      <c r="H21" s="9">
        <v>23799990</v>
      </c>
      <c r="I21" s="47"/>
      <c r="J21" s="47"/>
      <c r="K21" s="9" t="s">
        <v>36</v>
      </c>
      <c r="L21" s="9">
        <v>1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40</v>
      </c>
      <c r="R21" s="9">
        <v>0</v>
      </c>
      <c r="S21" s="9">
        <v>23799990</v>
      </c>
    </row>
    <row r="22" ht="15.75" customHeight="1">
      <c r="A22" s="8"/>
      <c r="B22" s="46">
        <v>42920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100010</v>
      </c>
      <c r="H22" s="9">
        <v>0</v>
      </c>
      <c r="I22" s="47"/>
      <c r="J22" s="47"/>
      <c r="K22" s="9" t="s">
        <v>36</v>
      </c>
      <c r="L22" s="9">
        <v>1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100010</v>
      </c>
      <c r="S22" s="9">
        <v>0</v>
      </c>
    </row>
    <row r="23" ht="15.75" customHeight="1">
      <c r="A23" s="8"/>
      <c r="B23" s="46">
        <v>42920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</v>
      </c>
      <c r="H23" s="9">
        <v>100010</v>
      </c>
      <c r="I23" s="47"/>
      <c r="J23" s="47"/>
      <c r="K23" s="9" t="s">
        <v>36</v>
      </c>
      <c r="L23" s="9">
        <v>1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</v>
      </c>
      <c r="S23" s="9">
        <v>100010</v>
      </c>
    </row>
    <row r="24" ht="15.75" customHeight="1">
      <c r="A24" s="8"/>
      <c r="B24" s="46">
        <v>42920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23799990</v>
      </c>
      <c r="H24" s="9">
        <v>0</v>
      </c>
      <c r="I24" s="47"/>
      <c r="J24" s="47"/>
      <c r="K24" s="9" t="s">
        <v>36</v>
      </c>
      <c r="L24" s="9">
        <v>1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23799990</v>
      </c>
      <c r="S24" s="9">
        <v>0</v>
      </c>
    </row>
    <row r="25" ht="15.75" customHeight="1">
      <c r="A25" s="8"/>
      <c r="B25" s="46">
        <v>42920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</v>
      </c>
      <c r="H25" s="9">
        <v>23799990</v>
      </c>
      <c r="I25" s="47"/>
      <c r="J25" s="47"/>
      <c r="K25" s="9" t="s">
        <v>36</v>
      </c>
      <c r="L25" s="9">
        <v>1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</v>
      </c>
      <c r="S25" s="9">
        <v>23799990</v>
      </c>
    </row>
    <row r="26" ht="15.75" customHeight="1">
      <c r="A26" s="8"/>
      <c r="B26" s="46">
        <v>42921</v>
      </c>
      <c r="C26" s="9" t="s">
        <v>24</v>
      </c>
      <c r="D26" s="9" t="s">
        <v>22</v>
      </c>
      <c r="E26" s="9" t="s">
        <v>34</v>
      </c>
      <c r="F26" s="9" t="s">
        <v>35</v>
      </c>
      <c r="G26" s="9">
        <v>200010</v>
      </c>
      <c r="H26" s="9">
        <v>0</v>
      </c>
      <c r="I26" s="47"/>
      <c r="J26" s="47"/>
      <c r="K26" s="9" t="s">
        <v>36</v>
      </c>
      <c r="L26" s="9">
        <v>1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200010</v>
      </c>
      <c r="S26" s="9">
        <v>0</v>
      </c>
    </row>
    <row r="27" ht="15.75" customHeight="1">
      <c r="B27" s="46">
        <v>42921</v>
      </c>
      <c r="C27" s="9" t="s">
        <v>24</v>
      </c>
      <c r="D27" s="9" t="s">
        <v>22</v>
      </c>
      <c r="E27" s="9" t="s">
        <v>34</v>
      </c>
      <c r="F27" s="9" t="s">
        <v>44</v>
      </c>
      <c r="G27" s="9">
        <v>0</v>
      </c>
      <c r="H27" s="9">
        <v>200010</v>
      </c>
      <c r="I27" s="47"/>
      <c r="J27" s="47"/>
      <c r="K27" s="9" t="s">
        <v>36</v>
      </c>
      <c r="L27" s="9">
        <v>1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</v>
      </c>
      <c r="S27" s="9">
        <v>200010</v>
      </c>
    </row>
    <row r="28" ht="15.75" customHeight="1">
      <c r="B28" s="46">
        <v>42921</v>
      </c>
      <c r="C28" s="9" t="s">
        <v>24</v>
      </c>
      <c r="D28" s="9" t="s">
        <v>22</v>
      </c>
      <c r="E28" s="9" t="s">
        <v>34</v>
      </c>
      <c r="F28" s="9" t="s">
        <v>44</v>
      </c>
      <c r="G28" s="9">
        <v>100010</v>
      </c>
      <c r="H28" s="9">
        <v>0</v>
      </c>
      <c r="I28" s="47"/>
      <c r="J28" s="47"/>
      <c r="K28" s="9" t="s">
        <v>36</v>
      </c>
      <c r="L28" s="9">
        <v>1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100010</v>
      </c>
      <c r="S28" s="9">
        <v>0</v>
      </c>
    </row>
    <row r="29" ht="15.75" customHeight="1">
      <c r="B29" s="46">
        <v>42921</v>
      </c>
      <c r="C29" s="9" t="s">
        <v>24</v>
      </c>
      <c r="D29" s="9" t="s">
        <v>22</v>
      </c>
      <c r="E29" s="9" t="s">
        <v>34</v>
      </c>
      <c r="F29" s="9" t="s">
        <v>35</v>
      </c>
      <c r="G29" s="9">
        <v>0</v>
      </c>
      <c r="H29" s="9">
        <v>100010</v>
      </c>
      <c r="I29" s="47"/>
      <c r="J29" s="47"/>
      <c r="K29" s="9" t="s">
        <v>36</v>
      </c>
      <c r="L29" s="9">
        <v>1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</v>
      </c>
      <c r="S29" s="9">
        <v>100010</v>
      </c>
    </row>
    <row r="30" ht="15.75" customHeight="1">
      <c r="B30" s="46">
        <v>42922</v>
      </c>
      <c r="C30" s="9" t="s">
        <v>24</v>
      </c>
      <c r="D30" s="9" t="s">
        <v>22</v>
      </c>
      <c r="E30" s="9" t="s">
        <v>34</v>
      </c>
      <c r="F30" s="9" t="s">
        <v>35</v>
      </c>
      <c r="G30" s="9">
        <v>400010</v>
      </c>
      <c r="H30" s="9">
        <v>0</v>
      </c>
      <c r="I30" s="47"/>
      <c r="J30" s="47"/>
      <c r="K30" s="9" t="s">
        <v>36</v>
      </c>
      <c r="L30" s="9">
        <v>1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40</v>
      </c>
      <c r="R30" s="9">
        <v>400010</v>
      </c>
      <c r="S30" s="9">
        <v>0</v>
      </c>
    </row>
    <row r="31" ht="15.75" customHeight="1">
      <c r="B31" s="46">
        <v>42922</v>
      </c>
      <c r="C31" s="9" t="s">
        <v>24</v>
      </c>
      <c r="D31" s="9" t="s">
        <v>22</v>
      </c>
      <c r="E31" s="9" t="s">
        <v>34</v>
      </c>
      <c r="F31" s="9" t="s">
        <v>44</v>
      </c>
      <c r="G31" s="9">
        <v>0</v>
      </c>
      <c r="H31" s="9">
        <v>400010</v>
      </c>
      <c r="I31" s="47"/>
      <c r="J31" s="47"/>
      <c r="K31" s="9" t="s">
        <v>36</v>
      </c>
      <c r="L31" s="9">
        <v>1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40</v>
      </c>
      <c r="R31" s="9">
        <v>0</v>
      </c>
      <c r="S31" s="9">
        <v>400010</v>
      </c>
    </row>
    <row r="32" ht="15.75" customHeight="1">
      <c r="B32" s="46">
        <v>42922</v>
      </c>
      <c r="C32" s="9" t="s">
        <v>24</v>
      </c>
      <c r="D32" s="9" t="s">
        <v>22</v>
      </c>
      <c r="E32" s="9" t="s">
        <v>34</v>
      </c>
      <c r="F32" s="9" t="s">
        <v>44</v>
      </c>
      <c r="G32" s="9">
        <v>200010</v>
      </c>
      <c r="H32" s="9">
        <v>0</v>
      </c>
      <c r="I32" s="47"/>
      <c r="J32" s="47"/>
      <c r="K32" s="9" t="s">
        <v>36</v>
      </c>
      <c r="L32" s="9">
        <v>1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43</v>
      </c>
      <c r="R32" s="9">
        <v>200010</v>
      </c>
      <c r="S32" s="9">
        <v>0</v>
      </c>
    </row>
    <row r="33" ht="15.75" customHeight="1">
      <c r="B33" s="46">
        <v>42922</v>
      </c>
      <c r="C33" s="9" t="s">
        <v>24</v>
      </c>
      <c r="D33" s="9" t="s">
        <v>22</v>
      </c>
      <c r="E33" s="9" t="s">
        <v>34</v>
      </c>
      <c r="F33" s="9" t="s">
        <v>35</v>
      </c>
      <c r="G33" s="9">
        <v>0</v>
      </c>
      <c r="H33" s="9">
        <v>200010</v>
      </c>
      <c r="I33" s="47"/>
      <c r="J33" s="47"/>
      <c r="K33" s="9" t="s">
        <v>36</v>
      </c>
      <c r="L33" s="9">
        <v>1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43</v>
      </c>
      <c r="R33" s="9">
        <v>0</v>
      </c>
      <c r="S33" s="9">
        <v>200010</v>
      </c>
    </row>
    <row r="34" ht="15.75" customHeight="1">
      <c r="B34" s="48"/>
    </row>
    <row r="35" ht="15.75" customHeight="1">
      <c r="B35" s="48"/>
    </row>
    <row r="36" ht="15.75" customHeight="1">
      <c r="B36" s="48"/>
    </row>
    <row r="37" ht="15.75" customHeight="1">
      <c r="B37" s="48"/>
    </row>
    <row r="38" ht="15.75" customHeight="1">
      <c r="B38" s="48"/>
    </row>
    <row r="39" ht="15.75" customHeight="1">
      <c r="B39" s="48"/>
    </row>
    <row r="40" ht="15.75" customHeight="1">
      <c r="B40" s="48"/>
    </row>
    <row r="41" ht="15.75" customHeight="1">
      <c r="B41" s="48"/>
    </row>
    <row r="42" ht="15.75" customHeight="1">
      <c r="B42" s="48"/>
    </row>
    <row r="43" ht="15.75" customHeight="1">
      <c r="B43" s="4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49" t="s">
        <v>23</v>
      </c>
      <c r="D6" s="50">
        <v>1000</v>
      </c>
      <c r="E6" s="50">
        <v>1000</v>
      </c>
      <c r="F6" s="36" t="s">
        <v>20</v>
      </c>
      <c r="G6" s="37"/>
      <c r="H6" s="37"/>
      <c r="I6" s="37"/>
      <c r="J6" s="35">
        <v>142</v>
      </c>
      <c r="K6" s="37"/>
      <c r="L6" s="37"/>
      <c r="M6" s="37"/>
      <c r="N6" s="38">
        <v>43285</v>
      </c>
      <c r="O6" s="39">
        <v>1</v>
      </c>
      <c r="P6" s="37"/>
      <c r="Q6" s="37"/>
      <c r="R6" s="37" t="s">
        <v>21</v>
      </c>
      <c r="S6" s="39">
        <v>2.5</v>
      </c>
      <c r="T6" s="40" t="s">
        <v>21</v>
      </c>
      <c r="U6" s="41">
        <v>7.5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</row>
    <row r="7" ht="15.75" customHeight="1">
      <c r="A7" s="40"/>
      <c r="B7" s="40" t="s">
        <v>22</v>
      </c>
      <c r="C7" s="40" t="s">
        <v>45</v>
      </c>
      <c r="D7" s="51">
        <v>1000</v>
      </c>
      <c r="E7" s="50">
        <v>1000</v>
      </c>
      <c r="F7" s="36" t="s">
        <v>24</v>
      </c>
      <c r="G7" s="40"/>
      <c r="H7" s="40"/>
      <c r="I7" s="40"/>
      <c r="J7" s="43">
        <v>242</v>
      </c>
      <c r="K7" s="40"/>
      <c r="L7" s="40"/>
      <c r="M7" s="37"/>
      <c r="N7" s="38">
        <v>43285</v>
      </c>
      <c r="O7" s="39">
        <v>1</v>
      </c>
      <c r="P7" s="40"/>
      <c r="Q7" s="37"/>
      <c r="R7" s="37" t="s">
        <v>21</v>
      </c>
      <c r="S7" s="39">
        <v>2.5</v>
      </c>
      <c r="T7" s="40" t="s">
        <v>21</v>
      </c>
      <c r="U7" s="41">
        <v>7.5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48</v>
      </c>
      <c r="C6" s="44">
        <v>42919</v>
      </c>
      <c r="D6" s="38">
        <v>43285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b">
        <v>1</v>
      </c>
      <c r="C6" s="54" t="b">
        <v>1</v>
      </c>
      <c r="D6" s="32" t="s">
        <v>50</v>
      </c>
      <c r="E6" s="37" t="s">
        <v>51</v>
      </c>
      <c r="F6" s="37" t="s">
        <v>52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43285</v>
      </c>
      <c r="C6" s="38">
        <v>43285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5">
        <v>142</v>
      </c>
      <c r="D6" s="3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40"/>
      <c r="B7" s="40" t="s">
        <v>22</v>
      </c>
      <c r="C7" s="43">
        <v>245</v>
      </c>
      <c r="D7" s="4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38">
        <v>43285</v>
      </c>
      <c r="E6" s="38">
        <v>43285</v>
      </c>
      <c r="F6" s="37"/>
      <c r="G6" s="37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38">
        <v>43285</v>
      </c>
      <c r="E6" s="35" t="b">
        <v>1</v>
      </c>
      <c r="F6" s="37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38">
        <v>42919</v>
      </c>
      <c r="E6" s="38">
        <v>43285</v>
      </c>
      <c r="F6" s="37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3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43284</v>
      </c>
      <c r="C6" s="9" t="s">
        <v>24</v>
      </c>
      <c r="D6" s="9" t="s">
        <v>22</v>
      </c>
      <c r="E6" s="9" t="s">
        <v>34</v>
      </c>
      <c r="F6" s="9" t="s">
        <v>44</v>
      </c>
      <c r="G6" s="9">
        <v>23799990</v>
      </c>
      <c r="H6" s="9">
        <v>0</v>
      </c>
      <c r="I6" s="47"/>
      <c r="J6" s="47"/>
      <c r="K6" s="9" t="s">
        <v>36</v>
      </c>
      <c r="L6" s="9">
        <v>1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23799990</v>
      </c>
      <c r="S6" s="9">
        <v>0</v>
      </c>
    </row>
    <row r="7" ht="15.75" customHeight="1">
      <c r="A7" s="8"/>
      <c r="B7" s="46">
        <v>43284</v>
      </c>
      <c r="C7" s="9" t="s">
        <v>24</v>
      </c>
      <c r="D7" s="9" t="s">
        <v>22</v>
      </c>
      <c r="E7" s="9" t="s">
        <v>34</v>
      </c>
      <c r="F7" s="9" t="s">
        <v>35</v>
      </c>
      <c r="G7" s="9">
        <v>0</v>
      </c>
      <c r="H7" s="9">
        <v>23799990</v>
      </c>
      <c r="I7" s="47"/>
      <c r="J7" s="47"/>
      <c r="K7" s="9" t="s">
        <v>36</v>
      </c>
      <c r="L7" s="9">
        <v>1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</v>
      </c>
      <c r="S7" s="9">
        <v>23799990</v>
      </c>
    </row>
    <row r="8" ht="15.75" customHeight="1">
      <c r="A8" s="8"/>
      <c r="B8" s="46">
        <v>43284</v>
      </c>
      <c r="C8" s="9" t="s">
        <v>24</v>
      </c>
      <c r="D8" s="9" t="s">
        <v>22</v>
      </c>
      <c r="E8" s="9" t="s">
        <v>34</v>
      </c>
      <c r="F8" s="9" t="s">
        <v>35</v>
      </c>
      <c r="G8" s="9">
        <v>23799990</v>
      </c>
      <c r="H8" s="9">
        <v>0</v>
      </c>
      <c r="I8" s="47"/>
      <c r="J8" s="47"/>
      <c r="K8" s="9" t="s">
        <v>36</v>
      </c>
      <c r="L8" s="9">
        <v>1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43</v>
      </c>
      <c r="R8" s="9">
        <v>23799990</v>
      </c>
      <c r="S8" s="9">
        <v>0</v>
      </c>
    </row>
    <row r="9" ht="15.75" customHeight="1">
      <c r="A9" s="8"/>
      <c r="B9" s="46">
        <v>43284</v>
      </c>
      <c r="C9" s="9" t="s">
        <v>24</v>
      </c>
      <c r="D9" s="9" t="s">
        <v>22</v>
      </c>
      <c r="E9" s="9" t="s">
        <v>34</v>
      </c>
      <c r="F9" s="9" t="s">
        <v>44</v>
      </c>
      <c r="G9" s="9">
        <v>0</v>
      </c>
      <c r="H9" s="9">
        <v>23799990</v>
      </c>
      <c r="I9" s="47"/>
      <c r="J9" s="47"/>
      <c r="K9" s="9" t="s">
        <v>36</v>
      </c>
      <c r="L9" s="9">
        <v>1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43</v>
      </c>
      <c r="R9" s="9">
        <v>0</v>
      </c>
      <c r="S9" s="9">
        <v>23799990</v>
      </c>
    </row>
    <row r="10" ht="15.75" customHeight="1">
      <c r="A10" s="8"/>
      <c r="B10" s="46">
        <v>43285</v>
      </c>
      <c r="C10" s="9" t="s">
        <v>24</v>
      </c>
      <c r="D10" s="9" t="s">
        <v>22</v>
      </c>
      <c r="E10" s="9" t="s">
        <v>34</v>
      </c>
      <c r="F10" s="9" t="s">
        <v>54</v>
      </c>
      <c r="G10" s="9">
        <v>400020</v>
      </c>
      <c r="H10" s="9">
        <v>0</v>
      </c>
      <c r="I10" s="47"/>
      <c r="J10" s="47"/>
      <c r="K10" s="9" t="s">
        <v>36</v>
      </c>
      <c r="L10" s="9">
        <v>1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55</v>
      </c>
      <c r="R10" s="9">
        <v>400020</v>
      </c>
      <c r="S10" s="9">
        <v>0</v>
      </c>
    </row>
    <row r="11" ht="15.75" customHeight="1">
      <c r="A11" s="8"/>
      <c r="B11" s="46">
        <v>43285</v>
      </c>
      <c r="C11" s="9" t="s">
        <v>24</v>
      </c>
      <c r="D11" s="9" t="s">
        <v>22</v>
      </c>
      <c r="E11" s="9" t="s">
        <v>34</v>
      </c>
      <c r="F11" s="9" t="s">
        <v>56</v>
      </c>
      <c r="G11" s="9">
        <v>0</v>
      </c>
      <c r="H11" s="9">
        <v>400020</v>
      </c>
      <c r="I11" s="47"/>
      <c r="J11" s="47"/>
      <c r="K11" s="9" t="s">
        <v>36</v>
      </c>
      <c r="L11" s="9">
        <v>1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55</v>
      </c>
      <c r="R11" s="9">
        <v>0</v>
      </c>
      <c r="S11" s="9">
        <v>400020</v>
      </c>
    </row>
    <row r="12" ht="15.75" customHeight="1">
      <c r="A12" s="8"/>
      <c r="B12" s="46">
        <v>43285</v>
      </c>
      <c r="C12" s="9" t="s">
        <v>24</v>
      </c>
      <c r="D12" s="9" t="s">
        <v>22</v>
      </c>
      <c r="E12" s="9" t="s">
        <v>34</v>
      </c>
      <c r="F12" s="9" t="s">
        <v>35</v>
      </c>
      <c r="G12" s="9">
        <v>23799990</v>
      </c>
      <c r="H12" s="9">
        <v>0</v>
      </c>
      <c r="I12" s="47"/>
      <c r="J12" s="47"/>
      <c r="K12" s="9" t="s">
        <v>36</v>
      </c>
      <c r="L12" s="9">
        <v>1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43</v>
      </c>
      <c r="R12" s="9">
        <v>23799990</v>
      </c>
      <c r="S12" s="9">
        <v>0</v>
      </c>
    </row>
    <row r="13" ht="15.75" customHeight="1">
      <c r="A13" s="8"/>
      <c r="B13" s="46">
        <v>43285</v>
      </c>
      <c r="C13" s="9" t="s">
        <v>24</v>
      </c>
      <c r="D13" s="9" t="s">
        <v>22</v>
      </c>
      <c r="E13" s="9" t="s">
        <v>34</v>
      </c>
      <c r="F13" s="9" t="s">
        <v>44</v>
      </c>
      <c r="G13" s="9">
        <v>0</v>
      </c>
      <c r="H13" s="9">
        <v>23799990</v>
      </c>
      <c r="I13" s="47"/>
      <c r="J13" s="47"/>
      <c r="K13" s="9" t="s">
        <v>36</v>
      </c>
      <c r="L13" s="9">
        <v>1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43</v>
      </c>
      <c r="R13" s="9">
        <v>0</v>
      </c>
      <c r="S13" s="9">
        <v>23799990</v>
      </c>
    </row>
    <row r="14" ht="15.75" customHeight="1">
      <c r="A14" s="8"/>
      <c r="B14" s="46">
        <v>43284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13500010</v>
      </c>
      <c r="H14" s="9">
        <v>0</v>
      </c>
      <c r="I14" s="47"/>
      <c r="J14" s="47"/>
      <c r="K14" s="9" t="s">
        <v>36</v>
      </c>
      <c r="L14" s="9">
        <v>1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40</v>
      </c>
      <c r="R14" s="9">
        <v>13500010</v>
      </c>
      <c r="S14" s="9">
        <v>0</v>
      </c>
    </row>
    <row r="15" ht="15.75" customHeight="1">
      <c r="A15" s="8"/>
      <c r="B15" s="46">
        <v>43284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</v>
      </c>
      <c r="H15" s="9">
        <v>13500010</v>
      </c>
      <c r="I15" s="47"/>
      <c r="J15" s="47"/>
      <c r="K15" s="9" t="s">
        <v>36</v>
      </c>
      <c r="L15" s="9">
        <v>1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40</v>
      </c>
      <c r="R15" s="9">
        <v>0</v>
      </c>
      <c r="S15" s="9">
        <v>13500010</v>
      </c>
    </row>
    <row r="16" ht="15.75" customHeight="1">
      <c r="A16" s="8"/>
      <c r="B16" s="46">
        <v>43284</v>
      </c>
      <c r="C16" s="9" t="s">
        <v>20</v>
      </c>
      <c r="D16" s="9" t="s">
        <v>18</v>
      </c>
      <c r="E16" s="9" t="s">
        <v>34</v>
      </c>
      <c r="F16" s="9" t="s">
        <v>41</v>
      </c>
      <c r="G16" s="9">
        <v>13500010</v>
      </c>
      <c r="H16" s="9">
        <v>0</v>
      </c>
      <c r="I16" s="47"/>
      <c r="J16" s="47"/>
      <c r="K16" s="9" t="s">
        <v>36</v>
      </c>
      <c r="L16" s="9">
        <v>1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43</v>
      </c>
      <c r="R16" s="9">
        <v>13500010</v>
      </c>
      <c r="S16" s="9">
        <v>0</v>
      </c>
    </row>
    <row r="17" ht="15.75" customHeight="1">
      <c r="A17" s="8"/>
      <c r="B17" s="46">
        <v>43284</v>
      </c>
      <c r="C17" s="9" t="s">
        <v>20</v>
      </c>
      <c r="D17" s="9" t="s">
        <v>18</v>
      </c>
      <c r="E17" s="9" t="s">
        <v>34</v>
      </c>
      <c r="F17" s="9" t="s">
        <v>35</v>
      </c>
      <c r="G17" s="9">
        <v>0</v>
      </c>
      <c r="H17" s="9">
        <v>13500010</v>
      </c>
      <c r="I17" s="47"/>
      <c r="J17" s="47"/>
      <c r="K17" s="9" t="s">
        <v>36</v>
      </c>
      <c r="L17" s="9">
        <v>1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43</v>
      </c>
      <c r="R17" s="9">
        <v>0</v>
      </c>
      <c r="S17" s="9">
        <v>13500010</v>
      </c>
    </row>
    <row r="18" ht="15.75" customHeight="1">
      <c r="A18" s="8"/>
      <c r="B18" s="46">
        <v>43285</v>
      </c>
      <c r="C18" s="9" t="s">
        <v>20</v>
      </c>
      <c r="D18" s="9" t="s">
        <v>18</v>
      </c>
      <c r="E18" s="9" t="s">
        <v>34</v>
      </c>
      <c r="F18" s="9" t="s">
        <v>57</v>
      </c>
      <c r="G18" s="9">
        <v>699980</v>
      </c>
      <c r="H18" s="9">
        <v>0</v>
      </c>
      <c r="I18" s="47"/>
      <c r="J18" s="47"/>
      <c r="K18" s="9" t="s">
        <v>36</v>
      </c>
      <c r="L18" s="9">
        <v>1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55</v>
      </c>
      <c r="R18" s="9">
        <v>699980</v>
      </c>
      <c r="S18" s="9">
        <v>0</v>
      </c>
    </row>
    <row r="19" ht="15.75" customHeight="1">
      <c r="A19" s="8"/>
      <c r="B19" s="46">
        <v>43285</v>
      </c>
      <c r="C19" s="9" t="s">
        <v>20</v>
      </c>
      <c r="D19" s="9" t="s">
        <v>18</v>
      </c>
      <c r="E19" s="9" t="s">
        <v>34</v>
      </c>
      <c r="F19" s="9" t="s">
        <v>58</v>
      </c>
      <c r="G19" s="9">
        <v>0</v>
      </c>
      <c r="H19" s="9">
        <v>699980</v>
      </c>
      <c r="I19" s="47"/>
      <c r="J19" s="47"/>
      <c r="K19" s="9" t="s">
        <v>36</v>
      </c>
      <c r="L19" s="9">
        <v>1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55</v>
      </c>
      <c r="R19" s="9">
        <v>0</v>
      </c>
      <c r="S19" s="9">
        <v>699980</v>
      </c>
    </row>
    <row r="20" ht="15.75" customHeight="1">
      <c r="A20" s="8"/>
      <c r="B20" s="46">
        <v>43285</v>
      </c>
      <c r="C20" s="9" t="s">
        <v>20</v>
      </c>
      <c r="D20" s="9" t="s">
        <v>18</v>
      </c>
      <c r="E20" s="9" t="s">
        <v>34</v>
      </c>
      <c r="F20" s="9" t="s">
        <v>41</v>
      </c>
      <c r="G20" s="9">
        <v>13500010</v>
      </c>
      <c r="H20" s="9">
        <v>0</v>
      </c>
      <c r="I20" s="47"/>
      <c r="J20" s="47"/>
      <c r="K20" s="9" t="s">
        <v>36</v>
      </c>
      <c r="L20" s="9">
        <v>1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43</v>
      </c>
      <c r="R20" s="9">
        <v>13500010</v>
      </c>
      <c r="S20" s="9">
        <v>0</v>
      </c>
    </row>
    <row r="21" ht="15.75" customHeight="1">
      <c r="A21" s="8"/>
      <c r="B21" s="46">
        <v>43285</v>
      </c>
      <c r="C21" s="9" t="s">
        <v>20</v>
      </c>
      <c r="D21" s="9" t="s">
        <v>18</v>
      </c>
      <c r="E21" s="9" t="s">
        <v>34</v>
      </c>
      <c r="F21" s="9" t="s">
        <v>35</v>
      </c>
      <c r="G21" s="9">
        <v>0</v>
      </c>
      <c r="H21" s="9">
        <v>13500010</v>
      </c>
      <c r="I21" s="47"/>
      <c r="J21" s="47"/>
      <c r="K21" s="9" t="s">
        <v>36</v>
      </c>
      <c r="L21" s="9">
        <v>1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43</v>
      </c>
      <c r="R21" s="9">
        <v>0</v>
      </c>
      <c r="S21" s="9">
        <v>13500010</v>
      </c>
    </row>
    <row r="22" ht="15.75" customHeight="1">
      <c r="A22" s="8"/>
      <c r="B22" s="46">
        <v>42927</v>
      </c>
      <c r="C22" s="9" t="s">
        <v>24</v>
      </c>
      <c r="D22" s="9" t="s">
        <v>22</v>
      </c>
      <c r="E22" s="9" t="s">
        <v>34</v>
      </c>
      <c r="F22" s="9" t="s">
        <v>44</v>
      </c>
      <c r="G22" s="9">
        <v>23799990</v>
      </c>
      <c r="H22" s="9">
        <v>0</v>
      </c>
      <c r="I22" s="47"/>
      <c r="J22" s="47"/>
      <c r="K22" s="9" t="s">
        <v>36</v>
      </c>
      <c r="L22" s="9">
        <v>1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23799990</v>
      </c>
      <c r="S22" s="9">
        <v>0</v>
      </c>
    </row>
    <row r="23" ht="15.75" customHeight="1">
      <c r="A23" s="8"/>
      <c r="B23" s="46">
        <v>42927</v>
      </c>
      <c r="C23" s="9" t="s">
        <v>24</v>
      </c>
      <c r="D23" s="9" t="s">
        <v>22</v>
      </c>
      <c r="E23" s="9" t="s">
        <v>34</v>
      </c>
      <c r="F23" s="9" t="s">
        <v>35</v>
      </c>
      <c r="G23" s="9">
        <v>0</v>
      </c>
      <c r="H23" s="9">
        <v>23799990</v>
      </c>
      <c r="I23" s="47"/>
      <c r="J23" s="47"/>
      <c r="K23" s="9" t="s">
        <v>36</v>
      </c>
      <c r="L23" s="9">
        <v>1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</v>
      </c>
      <c r="S23" s="9">
        <v>23799990</v>
      </c>
    </row>
    <row r="24" ht="15.75" customHeight="1">
      <c r="A24" s="8"/>
      <c r="B24" s="46">
        <v>42927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23799990</v>
      </c>
      <c r="H24" s="9">
        <v>0</v>
      </c>
      <c r="I24" s="47"/>
      <c r="J24" s="47"/>
      <c r="K24" s="9" t="s">
        <v>36</v>
      </c>
      <c r="L24" s="9">
        <v>1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23799990</v>
      </c>
      <c r="S24" s="9">
        <v>0</v>
      </c>
    </row>
    <row r="25" ht="15.75" customHeight="1">
      <c r="A25" s="8"/>
      <c r="B25" s="46">
        <v>42927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</v>
      </c>
      <c r="H25" s="9">
        <v>23799990</v>
      </c>
      <c r="I25" s="47"/>
      <c r="J25" s="47"/>
      <c r="K25" s="9" t="s">
        <v>36</v>
      </c>
      <c r="L25" s="9">
        <v>1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</v>
      </c>
      <c r="S25" s="9">
        <v>23799990</v>
      </c>
    </row>
    <row r="26" ht="15.75" customHeight="1">
      <c r="A26" s="8"/>
      <c r="B26" s="46">
        <v>42927</v>
      </c>
      <c r="C26" s="9" t="s">
        <v>20</v>
      </c>
      <c r="D26" s="9" t="s">
        <v>18</v>
      </c>
      <c r="E26" s="9" t="s">
        <v>34</v>
      </c>
      <c r="F26" s="9" t="s">
        <v>35</v>
      </c>
      <c r="G26" s="9">
        <v>13500010</v>
      </c>
      <c r="H26" s="9">
        <v>0</v>
      </c>
      <c r="I26" s="47"/>
      <c r="J26" s="47"/>
      <c r="K26" s="9" t="s">
        <v>36</v>
      </c>
      <c r="L26" s="9">
        <v>1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13500010</v>
      </c>
      <c r="S26" s="9">
        <v>0</v>
      </c>
    </row>
    <row r="27" ht="15.75" customHeight="1">
      <c r="B27" s="46">
        <v>42927</v>
      </c>
      <c r="C27" s="9" t="s">
        <v>20</v>
      </c>
      <c r="D27" s="9" t="s">
        <v>18</v>
      </c>
      <c r="E27" s="9" t="s">
        <v>34</v>
      </c>
      <c r="F27" s="9" t="s">
        <v>41</v>
      </c>
      <c r="G27" s="9">
        <v>0</v>
      </c>
      <c r="H27" s="9">
        <v>13500010</v>
      </c>
      <c r="I27" s="47"/>
      <c r="J27" s="47"/>
      <c r="K27" s="9" t="s">
        <v>36</v>
      </c>
      <c r="L27" s="9">
        <v>1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</v>
      </c>
      <c r="S27" s="9">
        <v>13500010</v>
      </c>
    </row>
    <row r="28" ht="15.75" customHeight="1">
      <c r="B28" s="46">
        <v>42927</v>
      </c>
      <c r="C28" s="9" t="s">
        <v>20</v>
      </c>
      <c r="D28" s="9" t="s">
        <v>18</v>
      </c>
      <c r="E28" s="9" t="s">
        <v>34</v>
      </c>
      <c r="F28" s="9" t="s">
        <v>41</v>
      </c>
      <c r="G28" s="9">
        <v>13500010</v>
      </c>
      <c r="H28" s="9">
        <v>0</v>
      </c>
      <c r="I28" s="47"/>
      <c r="J28" s="47"/>
      <c r="K28" s="9" t="s">
        <v>36</v>
      </c>
      <c r="L28" s="9">
        <v>1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13500010</v>
      </c>
      <c r="S28" s="9">
        <v>0</v>
      </c>
    </row>
    <row r="29" ht="15.75" customHeight="1">
      <c r="B29" s="46">
        <v>42927</v>
      </c>
      <c r="C29" s="9" t="s">
        <v>20</v>
      </c>
      <c r="D29" s="9" t="s">
        <v>18</v>
      </c>
      <c r="E29" s="9" t="s">
        <v>34</v>
      </c>
      <c r="F29" s="9" t="s">
        <v>35</v>
      </c>
      <c r="G29" s="9">
        <v>0</v>
      </c>
      <c r="H29" s="9">
        <v>13500010</v>
      </c>
      <c r="I29" s="47"/>
      <c r="J29" s="47"/>
      <c r="K29" s="9" t="s">
        <v>36</v>
      </c>
      <c r="L29" s="9">
        <v>1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</v>
      </c>
      <c r="S29" s="9">
        <v>13500010</v>
      </c>
    </row>
    <row r="30" ht="15.75" customHeight="1">
      <c r="B30" s="4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IFERROR(__xludf.DUMMYFUNCTION("""COMPUTED_VALUE"""),"IsBreakRealizedPNLSubAccount")</f>
        <v>IsBreakRealizedPNLSubAccount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EnableBreakdownRealizedPNL1!$4:$4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