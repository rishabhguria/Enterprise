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SelectTradeOnOrderGrid" sheetId="8" r:id="rId10"/>
    <sheet state="visible" name="AllocateFromBlotter" sheetId="9" r:id="rId11"/>
    <sheet state="visible" name="SelectTradeOnOrderGrid1" sheetId="10" r:id="rId12"/>
    <sheet state="visible" name="AllocateFromBlotter1" sheetId="11" r:id="rId13"/>
    <sheet state="visible" name="GetDataFromAuditTrail" sheetId="12" r:id="rId14"/>
    <sheet state="visible" name="VerifyAuditTrail" sheetId="13" r:id="rId15"/>
  </sheets>
  <definedNames/>
  <calcPr/>
</workbook>
</file>

<file path=xl/sharedStrings.xml><?xml version="1.0" encoding="utf-8"?>
<sst xmlns="http://schemas.openxmlformats.org/spreadsheetml/2006/main" count="121" uniqueCount="40">
  <si>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</si>
  <si>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</si>
  <si>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</si>
  <si>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</si>
  <si>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</si>
  <si>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</si>
  <si>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</si>
  <si>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</si>
  <si>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</si>
  <si>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</si>
  <si>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</si>
  <si>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</si>
  <si>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</si>
  <si>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</si>
  <si>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</si>
  <si>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</si>
  <si>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gh</t>
  </si>
  <si>
    <t>SetAccountValueCalculatedPref</t>
  </si>
  <si>
    <t>Allocation2</t>
  </si>
  <si>
    <t>Allocation3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</si>
  <si>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</si>
  <si>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</si>
  <si>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</si>
  <si>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</si>
  <si>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</si>
  <si>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</si>
  <si>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</si>
  <si>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Unallocated</t>
  </si>
  <si>
    <t>MSFT</t>
  </si>
  <si>
    <t>Blotter</t>
  </si>
  <si>
    <t>SelectTradeOnOrderGrid</t>
  </si>
  <si>
    <t>AllocateFromBlotter</t>
  </si>
  <si>
    <t>Allocation1</t>
  </si>
  <si>
    <t>AuditTrail</t>
  </si>
  <si>
    <t>GetDataFromAuditTrail</t>
  </si>
  <si>
    <t>VerifyAuditTrail</t>
  </si>
  <si>
    <t>Trades Allocated/Reallocated</t>
  </si>
  <si>
    <t>Taxlot Created</t>
  </si>
  <si>
    <t>jpearce</t>
  </si>
  <si>
    <t>Quantity 50 Allocated using custom preference 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</si>
</sst>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6" fontId="13" numFmtId="0" xfId="0" applyAlignment="1" applyBorder="1" applyFill="1" applyFont="1">
      <alignment horizontal="right" readingOrder="0" shrinkToFit="0" vertical="top" wrapText="0"/>
    </xf>
    <xf borderId="5" fillId="6" fontId="14" numFmtId="0" xfId="0" applyAlignment="1" applyBorder="1" applyFont="1">
      <alignment horizontal="right" readingOrder="0" shrinkToFit="0" vertical="top" wrapText="0"/>
    </xf>
    <xf borderId="5" fillId="7" fontId="13" numFmtId="0" xfId="0" applyAlignment="1" applyBorder="1" applyFill="1" applyFont="1">
      <alignment horizontal="right" readingOrder="0" shrinkToFit="0" vertical="top" wrapText="0"/>
    </xf>
    <xf borderId="5" fillId="7" fontId="14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19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 t="s">
        <v>22</v>
      </c>
      <c r="E6" s="30"/>
      <c r="F6" s="8"/>
      <c r="G6" s="8"/>
      <c r="H6" s="12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100.0</v>
      </c>
      <c r="E6" s="30"/>
      <c r="F6" s="12" t="s">
        <v>27</v>
      </c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12" t="s">
        <v>28</v>
      </c>
      <c r="C7" s="12" t="s">
        <v>26</v>
      </c>
      <c r="D7" s="12">
        <v>100.0</v>
      </c>
      <c r="E7" s="8"/>
      <c r="F7" s="12" t="s">
        <v>27</v>
      </c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25</v>
      </c>
      <c r="E6" s="30"/>
      <c r="F6" s="12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32</v>
      </c>
      <c r="D6" s="12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28</v>
      </c>
      <c r="E6" s="30"/>
      <c r="F6" s="12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IFERROR(__xludf.DUMMYFUNCTION("""COMPUTED_VALUE"""),"FromDate")</f>
        <v>FromDate</v>
      </c>
      <c r="C5" s="27" t="str">
        <f>IFERROR(__xludf.DUMMYFUNCTION("""COMPUTED_VALUE"""),"ToDate")</f>
        <v>ToDate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>TODAY()-2</f>
        <v>45847</v>
      </c>
      <c r="C6" s="32">
        <f>TODAY()</f>
        <v>45849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23.75"/>
    <col customWidth="1" min="7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 Time (UTC)")</f>
        <v>Action Time (UTC)</v>
      </c>
      <c r="C5" s="27" t="str">
        <f>IFERROR(__xludf.DUMMYFUNCTION("""COMPUTED_VALUE"""),"Symbol")</f>
        <v>Symbol</v>
      </c>
      <c r="D5" s="27" t="str">
        <f>IFERROR(__xludf.DUMMYFUNCTION("""COMPUTED_VALUE"""),"Order Side")</f>
        <v>Order Side</v>
      </c>
      <c r="E5" s="27" t="str">
        <f>IFERROR(__xludf.DUMMYFUNCTION("""COMPUTED_VALUE"""),"Account Name")</f>
        <v>Account Name</v>
      </c>
      <c r="F5" s="28" t="str">
        <f>IFERROR(__xludf.DUMMYFUNCTION("""COMPUTED_VALUE"""),"Action")</f>
        <v>Action</v>
      </c>
      <c r="G5" s="27" t="str">
        <f>IFERROR(__xludf.DUMMYFUNCTION("""COMPUTED_VALUE"""),"Original Value")</f>
        <v>Original Value</v>
      </c>
      <c r="H5" s="27" t="str">
        <f>IFERROR(__xludf.DUMMYFUNCTION("""COMPUTED_VALUE"""),"New Value")</f>
        <v>New Value</v>
      </c>
      <c r="I5" s="27" t="str">
        <f>IFERROR(__xludf.DUMMYFUNCTION("""COMPUTED_VALUE"""),"Comment")</f>
        <v>Comment</v>
      </c>
      <c r="J5" s="27" t="str">
        <f>IFERROR(__xludf.DUMMYFUNCTION("""COMPUTED_VALUE"""),"Company User")</f>
        <v>Company User</v>
      </c>
      <c r="K5" s="27" t="str">
        <f>IFERROR(__xludf.DUMMYFUNCTION("""COMPUTED_VALUE"""),"TaxlotId")</f>
        <v>TaxlotId</v>
      </c>
      <c r="L5" s="27" t="str">
        <f>IFERROR(__xludf.DUMMYFUNCTION("""COMPUTED_VALUE"""),"GroupId")</f>
        <v>GroupId</v>
      </c>
      <c r="M5" s="27" t="str">
        <f>IFERROR(__xludf.DUMMYFUNCTION("""COMPUTED_VALUE"""),"Action Time")</f>
        <v>Action Time</v>
      </c>
      <c r="N5" s="27" t="str">
        <f>IFERROR(__xludf.DUMMYFUNCTION("""COMPUTED_VALUE"""),"ParentOrderId")</f>
        <v>ParentOrderId</v>
      </c>
      <c r="O5" s="27" t="str">
        <f>IFERROR(__xludf.DUMMYFUNCTION("""COMPUTED_VALUE"""),"OrderId")</f>
        <v>OrderId</v>
      </c>
      <c r="P5" s="27" t="str">
        <f>IFERROR(__xludf.DUMMYFUNCTION("""COMPUTED_VALUE"""),"Source")</f>
        <v>Source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3" t="s">
        <v>25</v>
      </c>
      <c r="D6" s="33" t="s">
        <v>26</v>
      </c>
      <c r="E6" s="33" t="s">
        <v>32</v>
      </c>
      <c r="F6" s="34" t="s">
        <v>36</v>
      </c>
      <c r="G6" s="33">
        <v>0.0</v>
      </c>
      <c r="H6" s="33">
        <v>100.0</v>
      </c>
      <c r="I6" s="33" t="s">
        <v>37</v>
      </c>
      <c r="J6" s="34" t="s">
        <v>38</v>
      </c>
      <c r="K6" s="8"/>
      <c r="L6" s="8"/>
      <c r="M6" s="8"/>
      <c r="N6" s="8"/>
      <c r="O6" s="8"/>
    </row>
    <row r="7" ht="15.75" customHeight="1">
      <c r="A7" s="8"/>
      <c r="B7" s="8"/>
      <c r="C7" s="35" t="s">
        <v>28</v>
      </c>
      <c r="D7" s="35" t="s">
        <v>26</v>
      </c>
      <c r="E7" s="35" t="s">
        <v>18</v>
      </c>
      <c r="F7" s="35" t="s">
        <v>36</v>
      </c>
      <c r="G7" s="35">
        <v>0.0</v>
      </c>
      <c r="H7" s="36" t="s">
        <v>39</v>
      </c>
      <c r="I7" s="35" t="s">
        <v>37</v>
      </c>
      <c r="J7" s="35" t="s">
        <v>38</v>
      </c>
      <c r="K7" s="8"/>
      <c r="L7" s="8"/>
      <c r="M7" s="8"/>
      <c r="N7" s="8"/>
      <c r="O7" s="8"/>
    </row>
    <row r="8" ht="15.75" customHeight="1">
      <c r="A8" s="8"/>
      <c r="B8" s="8"/>
      <c r="C8" s="33" t="s">
        <v>28</v>
      </c>
      <c r="D8" s="33" t="s">
        <v>26</v>
      </c>
      <c r="E8" s="33" t="s">
        <v>19</v>
      </c>
      <c r="F8" s="33" t="s">
        <v>36</v>
      </c>
      <c r="G8" s="33">
        <v>0.0</v>
      </c>
      <c r="H8" s="33" t="s">
        <v>39</v>
      </c>
      <c r="I8" s="33" t="s">
        <v>37</v>
      </c>
      <c r="J8" s="33" t="s">
        <v>38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VerifyAuditTrail!$4:$4</formula1>
    </dataValidation>
  </dataValidations>
  <drawing r:id="rId1"/>
</worksheet>
</file>