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AddSymbol" sheetId="4" r:id="rId6"/>
    <sheet name="CreateDoneAwayOrder" sheetId="5" r:id="rId7"/>
    <sheet name="VerifyOrder" sheetId="6" r:id="rId8"/>
  </sheets>
  <calcPr fullCalcOnLoad="1"/>
</workbook>
</file>

<file path=xl/sharedStrings.xml><?xml version="1.0" encoding="utf-8"?>
<sst xmlns="http://schemas.openxmlformats.org/spreadsheetml/2006/main" count="28" uniqueCount="28">
  <si>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</si>
  <si>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</si>
  <si>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</si>
  <si>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</si>
  <si>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</si>
  <si>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</si>
  <si>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</si>
  <si>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</si>
  <si>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</si>
  <si>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</si>
  <si>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</si>
  <si>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</si>
  <si>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</si>
  <si>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AddSymbol</t>
  </si>
  <si>
    <t>Data Format</t>
  </si>
  <si>
    <t>Input Format</t>
  </si>
  <si>
    <t>NASD-Equity</t>
  </si>
  <si>
    <t>ABCD</t>
  </si>
  <si>
    <t>USD</t>
  </si>
  <si>
    <t>ABCA</t>
  </si>
  <si>
    <t>TradingTicket</t>
  </si>
  <si>
    <t>CreateDoneAwayOrder</t>
  </si>
  <si>
    <t>Buy</t>
  </si>
  <si>
    <t>Blotter</t>
  </si>
  <si>
    <t>VerifyOrder</t>
  </si>
  <si>
    <t>Filled</t>
  </si>
  <si>
    <t>MS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</si>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</sst>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9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IFERROR(__xludf.DUMMYFUNCTION("""COMPUTED_VALUE"""),"DeleteValidateSymbol")</f>
        <v>DeleteValidateSymbol</v>
      </c>
      <c r="H4" s="25" t="str">
        <f>IFERROR(__xludf.DUMMYFUNCTION("""COMPUTED_VALUE"""),"EnterEquity")</f>
        <v>EnterEquity</v>
      </c>
      <c r="I4" s="25" t="str">
        <f>IFERROR(__xludf.DUMMYFUNCTION("""COMPUTED_VALUE"""),"UpdateSecurityInfoOnSM")</f>
        <v>UpdateSecurityInfoOnSM</v>
      </c>
      <c r="J4" s="25" t="str">
        <f>IFERROR(__xludf.DUMMYFUNCTION("""COMPUTED_VALUE"""),"TradeSymbolFromSM")</f>
        <v>TradeSymbolFromSM</v>
      </c>
      <c r="K4" s="25" t="str">
        <f>IFERROR(__xludf.DUMMYFUNCTION("""COMPUTED_VALUE"""),"AddSymbol")</f>
        <v>AddSymbol</v>
      </c>
      <c r="L4" s="25" t="str">
        <f>IFERROR(__xludf.DUMMYFUNCTION("""COMPUTED_VALUE"""),"SelectFromSMGridUI")</f>
        <v>SelectFromSMGridUI</v>
      </c>
      <c r="M4" s="25" t="str">
        <f>IFERROR(__xludf.DUMMYFUNCTION("""COMPUTED_VALUE"""),"EditSMGridUi")</f>
        <v>EditSMGridUi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IFERROR(__xludf.DUMMYFUNCTION("""COMPUTED_VALUE"""),"ExchangeIdentifier")</f>
        <v>ExchangeIdentifier</v>
      </c>
      <c r="C5" s="28" t="str">
        <f>IFERROR(__xludf.DUMMYFUNCTION("""COMPUTED_VALUE"""),"Symbol")</f>
        <v>Symbol</v>
      </c>
      <c r="D5" s="28" t="str">
        <f>IFERROR(__xludf.DUMMYFUNCTION("""COMPUTED_VALUE"""),"Currency")</f>
        <v>Currency</v>
      </c>
      <c r="E5" s="28" t="str">
        <f>IFERROR(__xludf.DUMMYFUNCTION("""COMPUTED_VALUE"""),"Multiplier")</f>
        <v>Multiplier</v>
      </c>
      <c r="F5" s="29" t="str">
        <f>IFERROR(__xludf.DUMMYFUNCTION("""COMPUTED_VALUE"""),"UnderLyingName")</f>
        <v>UnderLyingName</v>
      </c>
      <c r="G5" s="28" t="str">
        <f>IFERROR(__xludf.DUMMYFUNCTION("""COMPUTED_VALUE"""),"Bloomberg Symbol")</f>
        <v>Bloomberg Symbol</v>
      </c>
      <c r="H5" s="28" t="str">
        <f>IFERROR(__xludf.DUMMYFUNCTION("""COMPUTED_VALUE"""),"Description")</f>
        <v>Description</v>
      </c>
      <c r="I5" s="28" t="str">
        <f>IFERROR(__xludf.DUMMYFUNCTION("""COMPUTED_VALUE"""),"Expiration Date")</f>
        <v>Expiration Date</v>
      </c>
      <c r="J5" s="28" t="str">
        <f>IFERROR(__xludf.DUMMYFUNCTION("""COMPUTED_VALUE"""),"Put/Call")</f>
        <v>Put/Call</v>
      </c>
      <c r="K5" s="28" t="str">
        <f>IFERROR(__xludf.DUMMYFUNCTION("""COMPUTED_VALUE"""),"Strike Price")</f>
        <v>Strike Price</v>
      </c>
      <c r="L5" s="28" t="str">
        <f>IFERROR(__xludf.DUMMYFUNCTION("""COMPUTED_VALUE"""),"Issue Date")</f>
        <v>Issue Date</v>
      </c>
      <c r="M5" s="28" t="str">
        <f>IFERROR(__xludf.DUMMYFUNCTION("""COMPUTED_VALUE"""),"Accrual Basis")</f>
        <v>Accrual Basis</v>
      </c>
      <c r="N5" s="28" t="str">
        <f>IFERROR(__xludf.DUMMYFUNCTION("""COMPUTED_VALUE"""),"Coupon Frequency")</f>
        <v>Coupon Frequency</v>
      </c>
      <c r="O5" s="28" t="str">
        <f>IFERROR(__xludf.DUMMYFUNCTION("""COMPUTED_VALUE"""),"Coupon")</f>
        <v>Coupon</v>
      </c>
      <c r="P5" s="28" t="str">
        <f>IFERROR(__xludf.DUMMYFUNCTION("""COMPUTED_VALUE"""),"Bond Type")</f>
        <v>Bond Type</v>
      </c>
      <c r="Q5" s="28" t="str">
        <f>IFERROR(__xludf.DUMMYFUNCTION("""COMPUTED_VALUE"""),"First Coupan Date")</f>
        <v>First Coupan Date</v>
      </c>
      <c r="R5" s="28" t="str">
        <f>IFERROR(__xludf.DUMMYFUNCTION("""COMPUTED_VALUE"""),"Days To Settlement")</f>
        <v>Days To Settlement</v>
      </c>
      <c r="S5" s="28" t="str">
        <f>IFERROR(__xludf.DUMMYFUNCTION("""COMPUTED_VALUE"""),"IsZero")</f>
        <v>IsZero</v>
      </c>
      <c r="T5" s="30" t="str">
        <f>IFERROR(__xludf.DUMMYFUNCTION("""COMPUTED_VALUE"""),"Collateral Type")</f>
        <v>Collateral Type</v>
      </c>
      <c r="U5" s="30" t="str">
        <f>IFERROR(__xludf.DUMMYFUNCTION("""COMPUTED_VALUE"""),"RoundLots")</f>
        <v>RoundLots</v>
      </c>
      <c r="V5" s="30" t="str">
        <f>IFERROR(__xludf.DUMMYFUNCTION("""COMPUTED_VALUE"""),"LeveragedFactor")</f>
        <v>LeveragedFactor</v>
      </c>
      <c r="W5" s="30" t="str">
        <f>IFERROR(__xludf.DUMMYFUNCTION("""COMPUTED_VALUE"""),"Strike Price Multiplier")</f>
        <v>Strike Price Multiplier</v>
      </c>
      <c r="X5" s="30" t="str">
        <f>IFERROR(__xludf.DUMMYFUNCTION("""COMPUTED_VALUE"""),"Sedol Symbol")</f>
        <v>Sedol Symbol</v>
      </c>
      <c r="Y5" s="30" t="str">
        <f>IFERROR(__xludf.DUMMYFUNCTION("""COMPUTED_VALUE"""),"Cusip Symbol")</f>
        <v>Cusip Symbol</v>
      </c>
      <c r="Z5" s="30" t="str">
        <f>IFERROR(__xludf.DUMMYFUNCTION("""COMPUTED_VALUE"""),"ISIN Symbol")</f>
        <v>ISIN Symbol</v>
      </c>
      <c r="AA5" s="30" t="str">
        <f>IFERROR(__xludf.DUMMYFUNCTION("""COMPUTED_VALUE"""),"IDCOOption-22")</f>
        <v>IDCOOption-22</v>
      </c>
      <c r="AB5" s="30" t="str">
        <f>IFERROR(__xludf.DUMMYFUNCTION("""COMPUTED_VALUE"""),"OSIOption-21")</f>
        <v>OSIOption-21</v>
      </c>
      <c r="AC5" s="30" t="str">
        <f>IFERROR(__xludf.DUMMYFUNCTION("""COMPUTED_VALUE"""),"Comments")</f>
        <v>Comments</v>
      </c>
      <c r="AD5" s="30" t="str">
        <f>IFERROR(__xludf.DUMMYFUNCTION("""COMPUTED_VALUE"""),"Shares Outstanding")</f>
        <v>Shares Outstanding</v>
      </c>
      <c r="AE5" s="30" t="str">
        <f>IFERROR(__xludf.DUMMYFUNCTION("""COMPUTED_VALUE"""),"FactSet Symbol")</f>
        <v>FactSet Symbol</v>
      </c>
      <c r="AF5" s="30" t="str">
        <f>IFERROR(__xludf.DUMMYFUNCTION("""COMPUTED_VALUE"""),"ACTIV Symbol")</f>
        <v>ACTIV Symbol</v>
      </c>
      <c r="AG5" s="30" t="str">
        <f>IFERROR(__xludf.DUMMYFUNCTION("""COMPUTED_VALUE"""),"UDA Security Type")</f>
        <v>UDA Security Type</v>
      </c>
      <c r="AH5" s="30" t="str">
        <f>IFERROR(__xludf.DUMMYFUNCTION("""COMPUTED_VALUE"""),"UDA Country")</f>
        <v>UDA Country</v>
      </c>
      <c r="AI5" s="30" t="str">
        <f>IFERROR(__xludf.DUMMYFUNCTION("""COMPUTED_VALUE"""),"UDA Asset Class")</f>
        <v>UDA Asset Class</v>
      </c>
      <c r="AJ5" s="30" t="str">
        <f>IFERROR(__xludf.DUMMYFUNCTION("""COMPUTED_VALUE"""),"UDA Sector")</f>
        <v>UDA Sector</v>
      </c>
      <c r="AK5" s="30" t="str">
        <f>IFERROR(__xludf.DUMMYFUNCTION("""COMPUTED_VALUE"""),"UDA Sub Sector")</f>
        <v>UDA Sub Sector</v>
      </c>
      <c r="AL5" s="30" t="str">
        <f>IFERROR(__xludf.DUMMYFUNCTION("""COMPUTED_VALUE"""),"Proxy Symbol")</f>
        <v>Proxy Symbol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>
        <v>1</v>
      </c>
      <c r="F6" s="13" t="s">
        <v>19</v>
      </c>
      <c r="G6" s="8"/>
      <c r="H6" s="13" t="s">
        <v>17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22</v>
      </c>
      <c r="D6" s="13">
        <v>100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17</v>
      </c>
      <c r="AJ6" s="9" t="s">
        <v>22</v>
      </c>
      <c r="AK6" s="9" t="s">
        <v>25</v>
      </c>
      <c r="AL6" s="9">
        <v>100</v>
      </c>
      <c r="AS6" s="9" t="s">
        <v>26</v>
      </c>
      <c r="AT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