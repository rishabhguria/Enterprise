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TGeneralPreferences" sheetId="4" r:id="rId6"/>
    <sheet state="visible" name="ToggleBlombergOnRA" sheetId="5" r:id="rId7"/>
    <sheet state="visible" name="AddSymbolOnRAList" sheetId="6" r:id="rId8"/>
    <sheet state="visible" name="TradeBloomberg" sheetId="7" r:id="rId9"/>
    <sheet state="visible" name="VerifyOrder" sheetId="8" r:id="rId10"/>
  </sheets>
  <definedNames/>
  <calcPr/>
</workbook>
</file>

<file path=xl/sharedStrings.xml><?xml version="1.0" encoding="utf-8"?>
<sst xmlns="http://schemas.openxmlformats.org/spreadsheetml/2006/main" count="103" uniqueCount="42">
  <si>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</si>
  <si>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</si>
  <si>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</si>
  <si>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</si>
  <si>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</si>
  <si>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</si>
  <si>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</si>
  <si>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</si>
  <si>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</si>
  <si>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</si>
  <si>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</si>
  <si>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</si>
  <si>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</si>
  <si>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SetTTGeneralPreferences</t>
  </si>
  <si>
    <t>Data Format</t>
  </si>
  <si>
    <t>Input Format</t>
  </si>
  <si>
    <t>TradingTicket</t>
  </si>
  <si>
    <t>ToggleBlombergOnRA</t>
  </si>
  <si>
    <t>Bloomberg</t>
  </si>
  <si>
    <t>AddSymbolOnRAList</t>
  </si>
  <si>
    <t>MSFT US EQUITY</t>
  </si>
  <si>
    <t>ABM US 04/17/10 C20 EQUITY</t>
  </si>
  <si>
    <t>GBPUSD CURNCY</t>
  </si>
  <si>
    <t>USD/CAD N 02/06/2019 CURNCY</t>
  </si>
  <si>
    <t>TradeBloomberg</t>
  </si>
  <si>
    <t>Buy</t>
  </si>
  <si>
    <t>Allocation1</t>
  </si>
  <si>
    <t>Sell to Open</t>
  </si>
  <si>
    <t>Sell</t>
  </si>
  <si>
    <t>Allocation2</t>
  </si>
  <si>
    <t>Blotter</t>
  </si>
  <si>
    <t>VerifyOrder</t>
  </si>
  <si>
    <t>NASDAQ</t>
  </si>
  <si>
    <t>jpearce</t>
  </si>
  <si>
    <t>MSFT</t>
  </si>
  <si>
    <t>Filled</t>
  </si>
  <si>
    <t>MS</t>
  </si>
  <si>
    <t>Market</t>
  </si>
  <si>
    <t>Day</t>
  </si>
  <si>
    <t>O:ABM 10D20.00</t>
  </si>
  <si>
    <t>GBP/USD</t>
  </si>
  <si>
    <t>USD/CAD 02/06/2019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</si>
</sst>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5" fillId="0" fontId="3" numFmtId="0" xfId="0" applyAlignment="1" applyBorder="1" applyFont="1">
      <alignment readingOrder="0" vertical="bottom"/>
    </xf>
    <xf borderId="5" fillId="0" fontId="5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IFERROR(__xludf.DUMMYFUNCTION("""COMPUTED_VALUE"""),"RestrictedSecuritiesList")</f>
        <v>RestrictedSecuritiesList</v>
      </c>
      <c r="C5" s="27" t="str">
        <f>IFERROR(__xludf.DUMMYFUNCTION("""COMPUTED_VALUE"""),"AllowedSecuritiesList")</f>
        <v>AllowedSecuritiesList</v>
      </c>
      <c r="D5" s="27" t="str">
        <f>IFERROR(__xludf.DUMMYFUNCTION("""COMPUTED_VALUE"""),"AllowAllUserToCancelReplaceRemove")</f>
        <v>AllowAllUserToCancelReplaceRemove</v>
      </c>
      <c r="E5" s="27" t="str">
        <f>IFERROR(__xludf.DUMMYFUNCTION("""COMPUTED_VALUE"""),"MasterUserPermission")</f>
        <v>MasterUserPermission</v>
      </c>
      <c r="F5" s="28" t="str">
        <f>IFERROR(__xludf.DUMMYFUNCTION("""COMPUTED_VALUE"""),"AllowAllUserToTransferTrade")</f>
        <v>AllowAllUserToTransferTrade</v>
      </c>
      <c r="G5" s="27" t="str">
        <f>IFERROR(__xludf.DUMMYFUNCTION("""COMPUTED_VALUE"""),"DefaultOrderType")</f>
        <v>DefaultOrderType</v>
      </c>
      <c r="H5" s="27" t="str">
        <f>IFERROR(__xludf.DUMMYFUNCTION("""COMPUTED_VALUE"""),"AllowAllUserToGenerateSubs")</f>
        <v>AllowAllUserToGenerateSubs</v>
      </c>
      <c r="I5" s="27" t="str">
        <f>IFERROR(__xludf.DUMMYFUNCTION("""COMPUTED_VALUE"""),"LimitPriceRulesForStageOrdersOnly")</f>
        <v>LimitPriceRulesForStageOrdersOnly</v>
      </c>
      <c r="J5" s="27" t="str">
        <f>IFERROR(__xludf.DUMMYFUNCTION("""COMPUTED_VALUE"""),"LimitRulesForSubOrders")</f>
        <v>LimitRulesForSubOrders</v>
      </c>
      <c r="K5" s="27" t="str">
        <f>IFERROR(__xludf.DUMMYFUNCTION("""COMPUTED_VALUE"""),"LimitRulesForOrdersExceptStagedAndSubOrders")</f>
        <v>LimitRulesForOrdersExceptStagedAndSubOrders</v>
      </c>
      <c r="L5" s="27" t="str">
        <f>IFERROR(__xludf.DUMMYFUNCTION("""COMPUTED_VALUE"""),"LimitPriceRules")</f>
        <v>LimitPriceRules</v>
      </c>
      <c r="M5" s="27" t="str">
        <f>IFERROR(__xludf.DUMMYFUNCTION("""COMPUTED_VALUE"""),"CancelReplaceRemoveRules")</f>
        <v>CancelReplaceRemoveRules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b">
        <v>1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SetTTGeneralPreferences!$4:$4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IFERROR(__xludf.DUMMYFUNCTION("""COMPUTED_VALUE"""),"SwitchTo")</f>
        <v>SwitchTo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ToggleBlombergOnRA!$4:$4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20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2" t="s">
        <v>21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2" t="s">
        <v>22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2" t="s">
        <v>23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AddSymbolOnRAList!$4:$4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IFERROR(__xludf.DUMMYFUNCTION("""COMPUTED_VALUE"""),"ResAllowedListPopUp")</f>
        <v>ResAllowedListPopUp</v>
      </c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20</v>
      </c>
      <c r="C6" s="32" t="s">
        <v>25</v>
      </c>
      <c r="D6" s="33">
        <v>100.0</v>
      </c>
      <c r="E6" s="34"/>
      <c r="F6" s="32" t="s">
        <v>26</v>
      </c>
      <c r="G6" s="34"/>
      <c r="H6" s="34"/>
      <c r="I6" s="34"/>
      <c r="J6" s="35">
        <v>10.0</v>
      </c>
      <c r="K6" s="8"/>
      <c r="L6" s="8"/>
      <c r="M6" s="8"/>
      <c r="N6" s="8"/>
      <c r="O6" s="8"/>
    </row>
    <row r="7" ht="15.75" customHeight="1">
      <c r="A7" s="8"/>
      <c r="B7" s="32" t="s">
        <v>21</v>
      </c>
      <c r="C7" s="32" t="s">
        <v>27</v>
      </c>
      <c r="D7" s="36">
        <v>100.0</v>
      </c>
      <c r="E7" s="34"/>
      <c r="F7" s="32" t="s">
        <v>26</v>
      </c>
      <c r="G7" s="37"/>
      <c r="H7" s="37"/>
      <c r="I7" s="37"/>
      <c r="J7" s="38">
        <v>20.0</v>
      </c>
      <c r="K7" s="8"/>
      <c r="L7" s="8"/>
      <c r="M7" s="8"/>
      <c r="N7" s="8"/>
      <c r="O7" s="8"/>
    </row>
    <row r="8" ht="15.75" customHeight="1">
      <c r="A8" s="8"/>
      <c r="B8" s="32" t="s">
        <v>22</v>
      </c>
      <c r="C8" s="32" t="s">
        <v>28</v>
      </c>
      <c r="D8" s="36">
        <v>100.0</v>
      </c>
      <c r="E8" s="34"/>
      <c r="F8" s="32" t="s">
        <v>29</v>
      </c>
      <c r="G8" s="37"/>
      <c r="H8" s="37"/>
      <c r="I8" s="37"/>
      <c r="J8" s="38">
        <v>20.0</v>
      </c>
      <c r="K8" s="8"/>
      <c r="L8" s="8"/>
      <c r="M8" s="8"/>
      <c r="N8" s="8"/>
      <c r="O8" s="8"/>
    </row>
    <row r="9" ht="15.75" customHeight="1">
      <c r="A9" s="8"/>
      <c r="B9" s="32" t="s">
        <v>23</v>
      </c>
      <c r="C9" s="32" t="s">
        <v>28</v>
      </c>
      <c r="D9" s="36">
        <v>100.0</v>
      </c>
      <c r="E9" s="34"/>
      <c r="F9" s="32" t="s">
        <v>29</v>
      </c>
      <c r="G9" s="37"/>
      <c r="H9" s="37"/>
      <c r="I9" s="37"/>
      <c r="J9" s="38">
        <v>30.0</v>
      </c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TradeBloomberg!$4:$4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>
        <v>10.0</v>
      </c>
      <c r="E6" s="30"/>
      <c r="F6" s="8"/>
      <c r="G6" s="8"/>
      <c r="H6" s="12" t="s">
        <v>32</v>
      </c>
      <c r="I6" s="12" t="s">
        <v>33</v>
      </c>
      <c r="J6" s="8"/>
      <c r="K6" s="8"/>
      <c r="L6" s="8"/>
      <c r="M6" s="8"/>
      <c r="N6" s="8"/>
      <c r="O6" s="8"/>
      <c r="AI6" s="39" t="s">
        <v>34</v>
      </c>
      <c r="AJ6" s="32" t="s">
        <v>25</v>
      </c>
      <c r="AK6" s="9" t="s">
        <v>35</v>
      </c>
      <c r="AL6" s="33">
        <v>100.0</v>
      </c>
      <c r="AM6" s="33">
        <v>100.0</v>
      </c>
      <c r="AN6" s="33">
        <v>100.0</v>
      </c>
      <c r="AS6" s="9" t="s">
        <v>36</v>
      </c>
      <c r="AT6" s="9" t="s">
        <v>26</v>
      </c>
      <c r="AU6" s="9" t="s">
        <v>37</v>
      </c>
      <c r="BG6" s="9" t="s">
        <v>16</v>
      </c>
      <c r="BH6" s="9" t="s">
        <v>38</v>
      </c>
    </row>
    <row r="7" ht="15.75" customHeight="1">
      <c r="A7" s="8"/>
      <c r="B7" s="8"/>
      <c r="C7" s="8"/>
      <c r="D7" s="12">
        <v>20.0</v>
      </c>
      <c r="E7" s="8"/>
      <c r="F7" s="8"/>
      <c r="G7" s="8"/>
      <c r="H7" s="12" t="s">
        <v>32</v>
      </c>
      <c r="I7" s="12" t="s">
        <v>33</v>
      </c>
      <c r="J7" s="8"/>
      <c r="K7" s="8"/>
      <c r="L7" s="8"/>
      <c r="M7" s="8"/>
      <c r="N7" s="8"/>
      <c r="O7" s="8"/>
      <c r="AI7" s="40" t="s">
        <v>39</v>
      </c>
      <c r="AJ7" s="32" t="s">
        <v>27</v>
      </c>
      <c r="AK7" s="9" t="s">
        <v>35</v>
      </c>
      <c r="AL7" s="36">
        <v>100.0</v>
      </c>
      <c r="AM7" s="36">
        <v>100.0</v>
      </c>
      <c r="AN7" s="36">
        <v>100.0</v>
      </c>
      <c r="AS7" s="9" t="s">
        <v>36</v>
      </c>
      <c r="AT7" s="9" t="s">
        <v>26</v>
      </c>
      <c r="AU7" s="9" t="s">
        <v>37</v>
      </c>
      <c r="BG7" s="9" t="s">
        <v>16</v>
      </c>
      <c r="BH7" s="9" t="s">
        <v>38</v>
      </c>
    </row>
    <row r="8" ht="15.75" customHeight="1">
      <c r="A8" s="8"/>
      <c r="B8" s="8"/>
      <c r="C8" s="8"/>
      <c r="D8" s="12">
        <v>20.0</v>
      </c>
      <c r="E8" s="8"/>
      <c r="F8" s="8"/>
      <c r="G8" s="8"/>
      <c r="H8" s="12" t="s">
        <v>32</v>
      </c>
      <c r="I8" s="12" t="s">
        <v>33</v>
      </c>
      <c r="J8" s="8"/>
      <c r="K8" s="8"/>
      <c r="L8" s="8"/>
      <c r="M8" s="8"/>
      <c r="N8" s="8"/>
      <c r="O8" s="8"/>
      <c r="AI8" s="40" t="s">
        <v>40</v>
      </c>
      <c r="AJ8" s="32" t="s">
        <v>28</v>
      </c>
      <c r="AK8" s="9" t="s">
        <v>35</v>
      </c>
      <c r="AL8" s="36">
        <v>100.0</v>
      </c>
      <c r="AM8" s="36">
        <v>100.0</v>
      </c>
      <c r="AN8" s="36">
        <v>100.0</v>
      </c>
      <c r="AS8" s="9" t="s">
        <v>36</v>
      </c>
      <c r="AT8" s="9" t="s">
        <v>29</v>
      </c>
      <c r="AU8" s="9" t="s">
        <v>37</v>
      </c>
      <c r="BG8" s="9" t="s">
        <v>16</v>
      </c>
      <c r="BH8" s="9" t="s">
        <v>38</v>
      </c>
    </row>
    <row r="9" ht="15.75" customHeight="1">
      <c r="A9" s="8"/>
      <c r="B9" s="8"/>
      <c r="C9" s="8"/>
      <c r="D9" s="8"/>
      <c r="E9" s="8"/>
      <c r="F9" s="8"/>
      <c r="G9" s="8"/>
      <c r="H9" s="12" t="s">
        <v>32</v>
      </c>
      <c r="I9" s="12" t="s">
        <v>33</v>
      </c>
      <c r="J9" s="8"/>
      <c r="K9" s="8"/>
      <c r="L9" s="8"/>
      <c r="M9" s="8"/>
      <c r="N9" s="8"/>
      <c r="O9" s="8"/>
      <c r="AI9" s="40" t="s">
        <v>41</v>
      </c>
      <c r="AJ9" s="32" t="s">
        <v>28</v>
      </c>
      <c r="AK9" s="9" t="s">
        <v>35</v>
      </c>
      <c r="AL9" s="36">
        <v>100.0</v>
      </c>
      <c r="AM9" s="36">
        <v>100.0</v>
      </c>
      <c r="AN9" s="36">
        <v>100.0</v>
      </c>
      <c r="AS9" s="9" t="s">
        <v>36</v>
      </c>
      <c r="AT9" s="9" t="s">
        <v>29</v>
      </c>
      <c r="AU9" s="9" t="s">
        <v>37</v>
      </c>
      <c r="BG9" s="9" t="s">
        <v>16</v>
      </c>
      <c r="BH9" s="9" t="s">
        <v>38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