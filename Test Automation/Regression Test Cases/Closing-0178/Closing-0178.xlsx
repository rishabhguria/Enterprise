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VerifyExpiredSettledGrid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<sst xmlns="http://schemas.openxmlformats.org/spreadsheetml/2006/main" count="238" uniqueCount="65">
  <si>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</si>
  <si>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</si>
  <si>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</si>
  <si>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</si>
  <si>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</si>
  <si>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</si>
  <si>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</si>
  <si>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</si>
  <si>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</si>
  <si>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</si>
  <si>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</si>
  <si>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</si>
  <si>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</si>
  <si>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</si>
  <si>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</si>
  <si>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</si>
  <si>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11S62.50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</si>
  <si>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</si>
  <si>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</si>
  <si>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</si>
  <si>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</si>
  <si>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</si>
  <si>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</si>
  <si>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</si>
  <si>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Sell short</t>
  </si>
  <si>
    <t>Allocation1</t>
  </si>
  <si>
    <t>O:RIG 10H75.00</t>
  </si>
  <si>
    <t>Buy to Open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</si>
  <si>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</si>
  <si>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</si>
  <si>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</si>
  <si>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</si>
  <si>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</si>
  <si>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</si>
  <si>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</si>
  <si>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</si>
  <si>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</si>
  <si>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</si>
  <si>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VerifyExpiredSettledGrid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</si>
  <si>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</si>
  <si>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</si>
  <si>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</si>
  <si>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</si>
  <si>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</si>
  <si>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</si>
  <si>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</si>
  <si>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</si>
  <si>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</si>
  <si>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</si>
  <si>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>Equity</t>
  </si>
  <si>
    <t>RIG US EQUITY</t>
  </si>
  <si>
    <t>MS</t>
  </si>
  <si>
    <t>TRANSOCEAN INC</t>
  </si>
  <si>
    <t>NYSE</t>
  </si>
  <si>
    <t>M</t>
  </si>
  <si>
    <t>Market</t>
  </si>
  <si>
    <t>RIG US 08/21/10 C75 Equity</t>
  </si>
  <si>
    <t>RIG AUG 2010 75 CALL</t>
  </si>
  <si>
    <t>Sell to Close</t>
  </si>
  <si>
    <t>D</t>
  </si>
  <si>
    <t>Buy to Close</t>
  </si>
  <si>
    <t>PortfolioManagement</t>
  </si>
  <si>
    <t>CheckPortfolioManagement</t>
  </si>
  <si>
    <t>NewMF1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</si>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</sst>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7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8" fillId="0" fontId="14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 - 2</f>
        <v>44982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22</v>
      </c>
      <c r="D6" s="38">
        <v>10.0</v>
      </c>
      <c r="E6" s="39">
        <v>10.0</v>
      </c>
      <c r="F6" s="33" t="s">
        <v>23</v>
      </c>
      <c r="G6" s="33"/>
      <c r="H6" s="33"/>
      <c r="I6" s="33"/>
      <c r="J6" s="39">
        <v>1.0</v>
      </c>
      <c r="K6" s="33"/>
      <c r="L6" s="33"/>
      <c r="M6" s="33"/>
      <c r="N6" s="40">
        <f>today()-4</f>
        <v>44980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21</v>
      </c>
      <c r="C7" s="41" t="s">
        <v>24</v>
      </c>
      <c r="D7" s="39">
        <v>100.0</v>
      </c>
      <c r="E7" s="39">
        <v>100.0</v>
      </c>
      <c r="F7" s="33" t="s">
        <v>25</v>
      </c>
      <c r="G7" s="33"/>
      <c r="H7" s="33"/>
      <c r="I7" s="33"/>
      <c r="J7" s="39">
        <v>10.0</v>
      </c>
      <c r="K7" s="33"/>
      <c r="L7" s="33"/>
      <c r="M7" s="33"/>
      <c r="N7" s="42">
        <f>today()</f>
        <v>44984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3" t="s">
        <v>26</v>
      </c>
      <c r="C8" s="44" t="s">
        <v>27</v>
      </c>
      <c r="D8" s="39">
        <v>10.0</v>
      </c>
      <c r="E8" s="39">
        <v>10.0</v>
      </c>
      <c r="F8" s="33" t="s">
        <v>25</v>
      </c>
      <c r="G8" s="33"/>
      <c r="H8" s="33"/>
      <c r="I8" s="33"/>
      <c r="J8" s="39">
        <v>10.0</v>
      </c>
      <c r="K8" s="33"/>
      <c r="L8" s="33"/>
      <c r="M8" s="33"/>
      <c r="N8" s="42">
        <f>today()-4</f>
        <v>44980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40">
        <f>today()-1</f>
        <v>44983</v>
      </c>
      <c r="C6" s="40">
        <f>today()</f>
        <v>44984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9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9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5" t="s">
        <v>33</v>
      </c>
      <c r="C6" s="46" t="s">
        <v>34</v>
      </c>
      <c r="D6" s="40">
        <f>today()</f>
        <v>44984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5"/>
      <c r="B6" s="35" t="s">
        <v>25</v>
      </c>
      <c r="C6" s="36"/>
      <c r="D6" s="35"/>
      <c r="E6" s="36" t="s">
        <v>36</v>
      </c>
      <c r="F6" s="36"/>
      <c r="G6" s="36"/>
      <c r="H6" s="36"/>
      <c r="I6" s="47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8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 t="s">
        <v>27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8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3" t="s">
        <v>26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9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25</v>
      </c>
      <c r="C6" s="36" t="s">
        <v>36</v>
      </c>
      <c r="D6" s="35"/>
      <c r="E6" s="36"/>
      <c r="F6" s="47">
        <v>0.0</v>
      </c>
      <c r="G6" s="47">
        <v>10.0</v>
      </c>
      <c r="H6" s="36"/>
      <c r="I6" s="36"/>
      <c r="J6" s="50" t="s">
        <v>39</v>
      </c>
      <c r="K6" s="36" t="s">
        <v>40</v>
      </c>
      <c r="L6" s="36"/>
      <c r="M6" s="47">
        <v>-10000.0</v>
      </c>
      <c r="N6" s="36"/>
      <c r="O6" s="47">
        <v>-10000.0</v>
      </c>
      <c r="P6" s="36" t="s">
        <v>41</v>
      </c>
      <c r="Q6" s="36"/>
      <c r="R6" s="36" t="s">
        <v>42</v>
      </c>
      <c r="S6" s="51">
        <v>0.0</v>
      </c>
      <c r="T6" s="48">
        <v>10.0</v>
      </c>
      <c r="U6" s="33"/>
      <c r="V6" s="33" t="s">
        <v>43</v>
      </c>
      <c r="W6" s="33" t="s">
        <v>43</v>
      </c>
      <c r="X6" s="48">
        <v>0.0</v>
      </c>
      <c r="Y6" s="48">
        <v>0.0</v>
      </c>
      <c r="Z6" s="52" t="s">
        <v>27</v>
      </c>
      <c r="AA6" s="33" t="s">
        <v>44</v>
      </c>
      <c r="AB6" s="43" t="s">
        <v>26</v>
      </c>
      <c r="AC6" s="33"/>
      <c r="AD6" s="33" t="s">
        <v>45</v>
      </c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33</v>
      </c>
      <c r="C6" s="46" t="s">
        <v>34</v>
      </c>
      <c r="D6" s="40">
        <f>today()</f>
        <v>44984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 t="s">
        <v>23</v>
      </c>
      <c r="C6" s="8"/>
      <c r="D6" s="13"/>
      <c r="E6" s="54">
        <v>10.0</v>
      </c>
      <c r="F6" s="8"/>
      <c r="G6" s="53" t="s">
        <v>49</v>
      </c>
      <c r="H6" s="54">
        <v>0.0</v>
      </c>
      <c r="I6" s="54">
        <v>0.0</v>
      </c>
      <c r="J6" s="8"/>
      <c r="K6" s="54">
        <v>1.0</v>
      </c>
      <c r="L6" s="54">
        <v>1.0</v>
      </c>
      <c r="M6" s="53" t="s">
        <v>50</v>
      </c>
      <c r="N6" s="8"/>
      <c r="O6" s="53" t="s">
        <v>51</v>
      </c>
      <c r="V6" s="53" t="s">
        <v>52</v>
      </c>
      <c r="Z6" s="53" t="s">
        <v>41</v>
      </c>
      <c r="AD6" s="53" t="s">
        <v>53</v>
      </c>
      <c r="AE6" s="54">
        <v>10.0</v>
      </c>
      <c r="AH6" s="53" t="s">
        <v>54</v>
      </c>
      <c r="AI6" s="54">
        <v>1.0</v>
      </c>
      <c r="AT6" s="54">
        <v>11.00175</v>
      </c>
      <c r="AU6" s="54">
        <v>11.00175</v>
      </c>
      <c r="AY6" s="53" t="s">
        <v>55</v>
      </c>
      <c r="BE6" s="54">
        <v>10.0</v>
      </c>
      <c r="BF6" s="54">
        <v>10.0</v>
      </c>
      <c r="BJ6" s="54">
        <v>10.0</v>
      </c>
      <c r="BO6" s="53" t="s">
        <v>22</v>
      </c>
      <c r="BT6" s="53" t="s">
        <v>21</v>
      </c>
    </row>
    <row r="7" ht="15.75" customHeight="1">
      <c r="A7" s="8"/>
      <c r="B7" s="53" t="s">
        <v>25</v>
      </c>
      <c r="C7" s="8"/>
      <c r="D7" s="8"/>
      <c r="E7" s="54">
        <v>10.0</v>
      </c>
      <c r="F7" s="8"/>
      <c r="G7" s="53" t="s">
        <v>36</v>
      </c>
      <c r="H7" s="54">
        <v>0.0</v>
      </c>
      <c r="I7" s="54">
        <v>0.0</v>
      </c>
      <c r="J7" s="8"/>
      <c r="K7" s="54">
        <v>10.0</v>
      </c>
      <c r="L7" s="54">
        <v>10.0</v>
      </c>
      <c r="M7" s="53" t="s">
        <v>56</v>
      </c>
      <c r="N7" s="8"/>
      <c r="O7" s="53" t="s">
        <v>51</v>
      </c>
      <c r="V7" s="53" t="s">
        <v>57</v>
      </c>
      <c r="Z7" s="53" t="s">
        <v>41</v>
      </c>
      <c r="AD7" s="53" t="s">
        <v>42</v>
      </c>
      <c r="AE7" s="54">
        <v>10.0</v>
      </c>
      <c r="AH7" s="53" t="s">
        <v>54</v>
      </c>
      <c r="AI7" s="54">
        <v>1.0</v>
      </c>
      <c r="AT7" s="55">
        <v>10000.0</v>
      </c>
      <c r="AU7" s="55">
        <v>10000.0</v>
      </c>
      <c r="AY7" s="53" t="s">
        <v>55</v>
      </c>
      <c r="BE7" s="55">
        <v>10000.0</v>
      </c>
      <c r="BF7" s="55">
        <v>10000.0</v>
      </c>
      <c r="BJ7" s="54">
        <v>10.0</v>
      </c>
      <c r="BO7" s="53" t="s">
        <v>27</v>
      </c>
      <c r="BT7" s="53" t="s">
        <v>26</v>
      </c>
    </row>
    <row r="8" ht="15.75" customHeight="1">
      <c r="A8" s="8"/>
      <c r="B8" s="53" t="s">
        <v>25</v>
      </c>
      <c r="C8" s="8"/>
      <c r="D8" s="8"/>
      <c r="E8" s="54">
        <v>10.0</v>
      </c>
      <c r="F8" s="8"/>
      <c r="G8" s="53" t="s">
        <v>36</v>
      </c>
      <c r="H8" s="54">
        <v>0.0</v>
      </c>
      <c r="I8" s="54">
        <v>0.0</v>
      </c>
      <c r="J8" s="8"/>
      <c r="K8" s="54">
        <v>0.0</v>
      </c>
      <c r="L8" s="54">
        <v>0.0</v>
      </c>
      <c r="M8" s="53" t="s">
        <v>56</v>
      </c>
      <c r="N8" s="8"/>
      <c r="O8" s="53" t="s">
        <v>51</v>
      </c>
      <c r="V8" s="53" t="s">
        <v>57</v>
      </c>
      <c r="Z8" s="53" t="s">
        <v>41</v>
      </c>
      <c r="AD8" s="53" t="s">
        <v>42</v>
      </c>
      <c r="AE8" s="54">
        <v>10.0</v>
      </c>
      <c r="AH8" s="53" t="s">
        <v>54</v>
      </c>
      <c r="AI8" s="54">
        <v>1.0</v>
      </c>
      <c r="AT8" s="55">
        <v>10000.0</v>
      </c>
      <c r="AU8" s="55">
        <v>10000.0</v>
      </c>
      <c r="AY8" s="53" t="s">
        <v>55</v>
      </c>
      <c r="BE8" s="54">
        <v>0.0</v>
      </c>
      <c r="BF8" s="54">
        <v>0.0</v>
      </c>
      <c r="BJ8" s="54">
        <v>10.0</v>
      </c>
      <c r="BO8" s="53" t="s">
        <v>58</v>
      </c>
      <c r="BT8" s="53" t="s">
        <v>26</v>
      </c>
    </row>
    <row r="9" ht="15.75" customHeight="1">
      <c r="A9" s="8"/>
      <c r="B9" s="53" t="s">
        <v>25</v>
      </c>
      <c r="C9" s="8"/>
      <c r="D9" s="8"/>
      <c r="E9" s="54">
        <v>900.0</v>
      </c>
      <c r="F9" s="8"/>
      <c r="G9" s="53" t="s">
        <v>49</v>
      </c>
      <c r="H9" s="54">
        <v>0.0</v>
      </c>
      <c r="I9" s="54">
        <v>0.0</v>
      </c>
      <c r="J9" s="8"/>
      <c r="K9" s="54">
        <v>100.0</v>
      </c>
      <c r="L9" s="54">
        <v>100.0</v>
      </c>
      <c r="M9" s="53" t="s">
        <v>50</v>
      </c>
      <c r="N9" s="8"/>
      <c r="O9" s="53" t="s">
        <v>51</v>
      </c>
      <c r="V9" s="53" t="s">
        <v>52</v>
      </c>
      <c r="Z9" s="53" t="s">
        <v>41</v>
      </c>
      <c r="AD9" s="53" t="s">
        <v>53</v>
      </c>
      <c r="AE9" s="54">
        <v>900.0</v>
      </c>
      <c r="AH9" s="53" t="s">
        <v>54</v>
      </c>
      <c r="AI9" s="54">
        <v>1.0</v>
      </c>
      <c r="AT9" s="55">
        <v>99000.0</v>
      </c>
      <c r="AU9" s="55">
        <v>99000.0</v>
      </c>
      <c r="AY9" s="56"/>
      <c r="BE9" s="55">
        <v>90000.0</v>
      </c>
      <c r="BF9" s="55">
        <v>90000.0</v>
      </c>
      <c r="BJ9" s="54">
        <v>900.0</v>
      </c>
      <c r="BO9" s="53" t="s">
        <v>22</v>
      </c>
      <c r="BT9" s="53" t="s">
        <v>21</v>
      </c>
    </row>
    <row r="10" ht="15.75" customHeight="1">
      <c r="A10" s="8"/>
      <c r="B10" s="53" t="s">
        <v>25</v>
      </c>
      <c r="C10" s="8"/>
      <c r="D10" s="8"/>
      <c r="E10" s="54">
        <v>100.0</v>
      </c>
      <c r="F10" s="8"/>
      <c r="G10" s="53" t="s">
        <v>49</v>
      </c>
      <c r="H10" s="54">
        <v>9.0</v>
      </c>
      <c r="I10" s="54">
        <v>0.0</v>
      </c>
      <c r="J10" s="8"/>
      <c r="K10" s="54">
        <v>10.0</v>
      </c>
      <c r="L10" s="54">
        <v>10.0</v>
      </c>
      <c r="M10" s="53" t="s">
        <v>50</v>
      </c>
      <c r="N10" s="8"/>
      <c r="O10" s="53" t="s">
        <v>51</v>
      </c>
      <c r="V10" s="53" t="s">
        <v>52</v>
      </c>
      <c r="Z10" s="53" t="s">
        <v>41</v>
      </c>
      <c r="AD10" s="53" t="s">
        <v>53</v>
      </c>
      <c r="AE10" s="54">
        <v>100.0</v>
      </c>
      <c r="AH10" s="53" t="s">
        <v>54</v>
      </c>
      <c r="AI10" s="54">
        <v>1.0</v>
      </c>
      <c r="AT10" s="54">
        <v>988.825</v>
      </c>
      <c r="AU10" s="54">
        <v>988.825</v>
      </c>
      <c r="AY10" s="53" t="s">
        <v>55</v>
      </c>
      <c r="BE10" s="55">
        <v>1000.0</v>
      </c>
      <c r="BF10" s="55">
        <v>1000.0</v>
      </c>
      <c r="BJ10" s="54">
        <v>100.0</v>
      </c>
      <c r="BO10" s="53" t="s">
        <v>24</v>
      </c>
      <c r="BT10" s="53" t="s">
        <v>21</v>
      </c>
    </row>
    <row r="11" ht="15.75" customHeight="1">
      <c r="A11" s="8"/>
      <c r="B11" s="53" t="s">
        <v>25</v>
      </c>
      <c r="C11" s="8"/>
      <c r="D11" s="8"/>
      <c r="E11" s="54">
        <v>100.0</v>
      </c>
      <c r="F11" s="8"/>
      <c r="G11" s="53" t="s">
        <v>49</v>
      </c>
      <c r="H11" s="54">
        <v>0.0</v>
      </c>
      <c r="I11" s="54">
        <v>0.0</v>
      </c>
      <c r="J11" s="8"/>
      <c r="K11" s="54">
        <v>100.0</v>
      </c>
      <c r="L11" s="54">
        <v>100.0</v>
      </c>
      <c r="M11" s="53" t="s">
        <v>50</v>
      </c>
      <c r="N11" s="8"/>
      <c r="O11" s="53" t="s">
        <v>51</v>
      </c>
      <c r="V11" s="53" t="s">
        <v>52</v>
      </c>
      <c r="Z11" s="53" t="s">
        <v>41</v>
      </c>
      <c r="AD11" s="53" t="s">
        <v>53</v>
      </c>
      <c r="AE11" s="54">
        <v>100.0</v>
      </c>
      <c r="AH11" s="53" t="s">
        <v>59</v>
      </c>
      <c r="AI11" s="54">
        <v>1.0</v>
      </c>
      <c r="AT11" s="55">
        <v>11000.0</v>
      </c>
      <c r="AU11" s="55">
        <v>11000.0</v>
      </c>
      <c r="AY11" s="56"/>
      <c r="BE11" s="55">
        <v>10000.0</v>
      </c>
      <c r="BF11" s="55">
        <v>10000.0</v>
      </c>
      <c r="BJ11" s="54">
        <v>100.0</v>
      </c>
      <c r="BO11" s="53" t="s">
        <v>60</v>
      </c>
      <c r="BT11" s="53" t="s">
        <v>21</v>
      </c>
    </row>
    <row r="12" ht="15.75" customHeight="1">
      <c r="A12" s="8"/>
      <c r="B12" s="8"/>
      <c r="C12" s="8"/>
      <c r="D12" s="8"/>
      <c r="E12" s="8"/>
      <c r="F12" s="8"/>
      <c r="G12" s="56"/>
      <c r="H12" s="8"/>
      <c r="I12" s="8"/>
      <c r="J12" s="8"/>
      <c r="K12" s="8"/>
      <c r="L12" s="8"/>
      <c r="M12" s="8"/>
      <c r="N12" s="8"/>
      <c r="O12" s="56"/>
    </row>
    <row r="13" ht="15.75" customHeight="1">
      <c r="A13" s="8"/>
      <c r="B13" s="8"/>
      <c r="C13" s="8"/>
      <c r="D13" s="8"/>
      <c r="E13" s="8"/>
      <c r="F13" s="8"/>
      <c r="G13" s="56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53" t="s">
        <v>21</v>
      </c>
      <c r="D6" s="54">
        <v>10.0</v>
      </c>
      <c r="E6" s="53" t="s">
        <v>23</v>
      </c>
      <c r="F6" s="53" t="s">
        <v>63</v>
      </c>
      <c r="G6" s="8"/>
      <c r="H6" s="53" t="s">
        <v>43</v>
      </c>
      <c r="I6" s="8"/>
      <c r="J6" s="8"/>
      <c r="K6" s="8"/>
      <c r="L6" s="8"/>
      <c r="M6" s="8"/>
      <c r="N6" s="8"/>
      <c r="O6" s="8"/>
      <c r="S6" s="53" t="s">
        <v>44</v>
      </c>
      <c r="T6" s="53" t="s">
        <v>49</v>
      </c>
      <c r="U6" s="53" t="s">
        <v>45</v>
      </c>
      <c r="V6" s="53" t="s">
        <v>53</v>
      </c>
      <c r="W6" s="53" t="s">
        <v>41</v>
      </c>
      <c r="Y6" s="54">
        <v>1.0</v>
      </c>
      <c r="AN6" s="53" t="s">
        <v>22</v>
      </c>
    </row>
    <row r="7" ht="15.75" customHeight="1">
      <c r="A7" s="8"/>
      <c r="B7" s="8"/>
      <c r="C7" s="53" t="s">
        <v>21</v>
      </c>
      <c r="D7" s="54">
        <v>-100.0</v>
      </c>
      <c r="E7" s="53" t="s">
        <v>25</v>
      </c>
      <c r="F7" s="53" t="s">
        <v>64</v>
      </c>
      <c r="G7" s="8"/>
      <c r="H7" s="53" t="s">
        <v>43</v>
      </c>
      <c r="I7" s="8"/>
      <c r="J7" s="8"/>
      <c r="K7" s="8"/>
      <c r="L7" s="8"/>
      <c r="M7" s="8"/>
      <c r="N7" s="8"/>
      <c r="O7" s="8"/>
      <c r="S7" s="53" t="s">
        <v>44</v>
      </c>
      <c r="T7" s="53" t="s">
        <v>49</v>
      </c>
      <c r="U7" s="53" t="s">
        <v>45</v>
      </c>
      <c r="V7" s="53" t="s">
        <v>53</v>
      </c>
      <c r="W7" s="53" t="s">
        <v>41</v>
      </c>
      <c r="Y7" s="54">
        <v>1.0</v>
      </c>
      <c r="AN7" s="53" t="s">
        <v>24</v>
      </c>
    </row>
    <row r="8" ht="15.75" customHeight="1">
      <c r="A8" s="8"/>
      <c r="B8" s="8"/>
      <c r="C8" s="53" t="s">
        <v>21</v>
      </c>
      <c r="D8" s="54">
        <v>100.0</v>
      </c>
      <c r="E8" s="53" t="s">
        <v>25</v>
      </c>
      <c r="F8" s="53" t="s">
        <v>64</v>
      </c>
      <c r="G8" s="8"/>
      <c r="H8" s="53" t="s">
        <v>43</v>
      </c>
      <c r="I8" s="8"/>
      <c r="J8" s="8"/>
      <c r="K8" s="8"/>
      <c r="L8" s="8"/>
      <c r="M8" s="8"/>
      <c r="N8" s="8"/>
      <c r="O8" s="8"/>
      <c r="S8" s="53" t="s">
        <v>44</v>
      </c>
      <c r="T8" s="53" t="s">
        <v>49</v>
      </c>
      <c r="U8" s="53" t="s">
        <v>45</v>
      </c>
      <c r="V8" s="53" t="s">
        <v>53</v>
      </c>
      <c r="W8" s="53" t="s">
        <v>41</v>
      </c>
      <c r="Y8" s="54">
        <v>1.0</v>
      </c>
      <c r="AN8" s="53" t="s">
        <v>60</v>
      </c>
    </row>
    <row r="9" ht="15.75" customHeight="1">
      <c r="A9" s="8"/>
      <c r="B9" s="8"/>
      <c r="C9" s="53" t="s">
        <v>21</v>
      </c>
      <c r="D9" s="54">
        <v>900.0</v>
      </c>
      <c r="E9" s="53" t="s">
        <v>25</v>
      </c>
      <c r="F9" s="53" t="s">
        <v>64</v>
      </c>
      <c r="G9" s="8"/>
      <c r="H9" s="53" t="s">
        <v>43</v>
      </c>
      <c r="I9" s="8"/>
      <c r="J9" s="8"/>
      <c r="K9" s="8"/>
      <c r="L9" s="8"/>
      <c r="M9" s="8"/>
      <c r="N9" s="8"/>
      <c r="O9" s="8"/>
      <c r="S9" s="53" t="s">
        <v>44</v>
      </c>
      <c r="T9" s="53" t="s">
        <v>49</v>
      </c>
      <c r="U9" s="53" t="s">
        <v>45</v>
      </c>
      <c r="V9" s="53" t="s">
        <v>53</v>
      </c>
      <c r="W9" s="53" t="s">
        <v>41</v>
      </c>
      <c r="Y9" s="54">
        <v>1.0</v>
      </c>
      <c r="AN9" s="53" t="s">
        <v>22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