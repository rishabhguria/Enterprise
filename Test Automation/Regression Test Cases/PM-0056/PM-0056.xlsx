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2" activeTab="4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Filter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VerifyOrder" sheetId="12" r:id="rId12"/>
    <sheet name="GetDataAllocation" sheetId="13" r:id="rId13"/>
    <sheet name="CheckAllocatedGroups" sheetId="14" r:id="rId14"/>
    <sheet name="CheckPortfolioManagement1" sheetId="15" r:id="rId15"/>
  </sheets>
  <calcPr calcId="145621"/>
</workbook>
</file>

<file path=xl/calcChain.xml><?xml version="1.0" encoding="utf-8"?>
<calcChain xmlns="http://schemas.openxmlformats.org/spreadsheetml/2006/main">
  <c r="J2" i="15" l="1"/>
  <c r="J2" i="14"/>
  <c r="J2" i="13"/>
  <c r="J2" i="12"/>
  <c r="J2" i="11"/>
  <c r="J2" i="10"/>
  <c r="J2" i="9"/>
  <c r="J2" i="8"/>
  <c r="J2" i="7"/>
  <c r="J2" i="6"/>
  <c r="J2" i="5"/>
  <c r="J2" i="4"/>
  <c r="BK5" i="15"/>
  <c r="BK5" i="5"/>
  <c r="FA5" i="15"/>
  <c r="ES5" i="15"/>
  <c r="EK5" i="15"/>
  <c r="EC5" i="15"/>
  <c r="DU5" i="15"/>
  <c r="DM5" i="15"/>
  <c r="DE5" i="15"/>
  <c r="CW5" i="15"/>
  <c r="CO5" i="15"/>
  <c r="CG5" i="15"/>
  <c r="BY5" i="15"/>
  <c r="BQ5" i="15"/>
  <c r="BI5" i="15"/>
  <c r="BA5" i="15"/>
  <c r="AS5" i="15"/>
  <c r="AK5" i="15"/>
  <c r="AC5" i="15"/>
  <c r="U5" i="15"/>
  <c r="M5" i="15"/>
  <c r="E5" i="15"/>
  <c r="V4" i="15"/>
  <c r="N4" i="15"/>
  <c r="F4" i="15"/>
  <c r="CQ5" i="14"/>
  <c r="CI5" i="14"/>
  <c r="CA5" i="14"/>
  <c r="BS5" i="14"/>
  <c r="BK5" i="14"/>
  <c r="BC5" i="14"/>
  <c r="AU5" i="14"/>
  <c r="AM5" i="14"/>
  <c r="AE5" i="14"/>
  <c r="W5" i="14"/>
  <c r="O5" i="14"/>
  <c r="G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M5" i="13"/>
  <c r="E5" i="13"/>
  <c r="DI4" i="13"/>
  <c r="DA4" i="13"/>
  <c r="CS4" i="13"/>
  <c r="CK4" i="13"/>
  <c r="CC4" i="13"/>
  <c r="BU4" i="13"/>
  <c r="BM4" i="13"/>
  <c r="BE4" i="13"/>
  <c r="AW4" i="13"/>
  <c r="AO4" i="13"/>
  <c r="AG4" i="13"/>
  <c r="Y4" i="13"/>
  <c r="Q4" i="13"/>
  <c r="I4" i="13"/>
  <c r="EZ5" i="15"/>
  <c r="ER5" i="15"/>
  <c r="EJ5" i="15"/>
  <c r="EB5" i="15"/>
  <c r="DT5" i="15"/>
  <c r="DL5" i="15"/>
  <c r="DD5" i="15"/>
  <c r="CV5" i="15"/>
  <c r="CN5" i="15"/>
  <c r="CF5" i="15"/>
  <c r="BX5" i="15"/>
  <c r="BP5" i="15"/>
  <c r="BH5" i="15"/>
  <c r="AZ5" i="15"/>
  <c r="AR5" i="15"/>
  <c r="AJ5" i="15"/>
  <c r="AB5" i="15"/>
  <c r="T5" i="15"/>
  <c r="L5" i="15"/>
  <c r="D5" i="15"/>
  <c r="U4" i="15"/>
  <c r="M4" i="15"/>
  <c r="E4" i="15"/>
  <c r="CP5" i="14"/>
  <c r="CH5" i="14"/>
  <c r="BZ5" i="14"/>
  <c r="BR5" i="14"/>
  <c r="BJ5" i="14"/>
  <c r="BB5" i="14"/>
  <c r="AT5" i="14"/>
  <c r="AL5" i="14"/>
  <c r="AD5" i="14"/>
  <c r="V5" i="14"/>
  <c r="N5" i="14"/>
  <c r="F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L5" i="13"/>
  <c r="D5" i="13"/>
  <c r="DH4" i="13"/>
  <c r="CZ4" i="13"/>
  <c r="CR4" i="13"/>
  <c r="CJ4" i="13"/>
  <c r="CB4" i="13"/>
  <c r="BT4" i="13"/>
  <c r="BL4" i="13"/>
  <c r="BD4" i="13"/>
  <c r="AV4" i="13"/>
  <c r="AN4" i="13"/>
  <c r="AF4" i="13"/>
  <c r="X4" i="13"/>
  <c r="P4" i="13"/>
  <c r="H4" i="13"/>
  <c r="AZ5" i="12"/>
  <c r="AR5" i="12"/>
  <c r="AJ5" i="12"/>
  <c r="AB5" i="12"/>
  <c r="T5" i="12"/>
  <c r="L5" i="12"/>
  <c r="D5" i="12"/>
  <c r="AP4" i="12"/>
  <c r="AH4" i="12"/>
  <c r="Z4" i="12"/>
  <c r="R4" i="12"/>
  <c r="J4" i="12"/>
  <c r="B4" i="12"/>
  <c r="T5" i="11"/>
  <c r="L5" i="11"/>
  <c r="D5" i="11"/>
  <c r="Y4" i="11"/>
  <c r="Q4" i="11"/>
  <c r="I4" i="11"/>
  <c r="EY5" i="15"/>
  <c r="EQ5" i="15"/>
  <c r="EI5" i="15"/>
  <c r="EA5" i="15"/>
  <c r="DS5" i="15"/>
  <c r="DK5" i="15"/>
  <c r="DC5" i="15"/>
  <c r="CU5" i="15"/>
  <c r="CM5" i="15"/>
  <c r="CE5" i="15"/>
  <c r="BW5" i="15"/>
  <c r="BO5" i="15"/>
  <c r="BG5" i="15"/>
  <c r="AY5" i="15"/>
  <c r="AQ5" i="15"/>
  <c r="AI5" i="15"/>
  <c r="AA5" i="15"/>
  <c r="S5" i="15"/>
  <c r="K5" i="15"/>
  <c r="C5" i="15"/>
  <c r="T4" i="15"/>
  <c r="L4" i="15"/>
  <c r="D4" i="15"/>
  <c r="CO5" i="14"/>
  <c r="CG5" i="14"/>
  <c r="BY5" i="14"/>
  <c r="BQ5" i="14"/>
  <c r="BI5" i="14"/>
  <c r="BA5" i="14"/>
  <c r="AS5" i="14"/>
  <c r="AK5" i="14"/>
  <c r="AC5" i="14"/>
  <c r="U5" i="14"/>
  <c r="M5" i="14"/>
  <c r="E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EX5" i="15"/>
  <c r="EP5" i="15"/>
  <c r="EH5" i="15"/>
  <c r="DZ5" i="15"/>
  <c r="DR5" i="15"/>
  <c r="DJ5" i="15"/>
  <c r="DB5" i="15"/>
  <c r="CT5" i="15"/>
  <c r="CL5" i="15"/>
  <c r="CD5" i="15"/>
  <c r="BV5" i="15"/>
  <c r="BN5" i="15"/>
  <c r="BF5" i="15"/>
  <c r="AX5" i="15"/>
  <c r="AP5" i="15"/>
  <c r="AH5" i="15"/>
  <c r="Z5" i="15"/>
  <c r="R5" i="15"/>
  <c r="J5" i="15"/>
  <c r="B5" i="15"/>
  <c r="S4" i="15"/>
  <c r="K4" i="15"/>
  <c r="C4" i="15"/>
  <c r="CN5" i="14"/>
  <c r="CF5" i="14"/>
  <c r="BX5" i="14"/>
  <c r="BP5" i="14"/>
  <c r="BH5" i="14"/>
  <c r="AZ5" i="14"/>
  <c r="AR5" i="14"/>
  <c r="AJ5" i="14"/>
  <c r="AB5" i="14"/>
  <c r="T5" i="14"/>
  <c r="L5" i="14"/>
  <c r="D5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R5" i="13"/>
  <c r="J5" i="13"/>
  <c r="B5" i="13"/>
  <c r="DF4" i="13"/>
  <c r="CX4" i="13"/>
  <c r="CP4" i="13"/>
  <c r="CH4" i="13"/>
  <c r="BZ4" i="13"/>
  <c r="BR4" i="13"/>
  <c r="BJ4" i="13"/>
  <c r="BB4" i="13"/>
  <c r="AT4" i="13"/>
  <c r="AL4" i="13"/>
  <c r="AD4" i="13"/>
  <c r="V4" i="13"/>
  <c r="N4" i="13"/>
  <c r="F4" i="13"/>
  <c r="AX5" i="12"/>
  <c r="AP5" i="12"/>
  <c r="AH5" i="12"/>
  <c r="Z5" i="12"/>
  <c r="R5" i="12"/>
  <c r="J5" i="12"/>
  <c r="B5" i="12"/>
  <c r="AN4" i="12"/>
  <c r="AF4" i="12"/>
  <c r="X4" i="12"/>
  <c r="P4" i="12"/>
  <c r="H4" i="12"/>
  <c r="Z5" i="11"/>
  <c r="R5" i="11"/>
  <c r="J5" i="11"/>
  <c r="B5" i="11"/>
  <c r="W4" i="11"/>
  <c r="O4" i="11"/>
  <c r="G4" i="11"/>
  <c r="Y5" i="10"/>
  <c r="Q5" i="10"/>
  <c r="I5" i="10"/>
  <c r="A5" i="10"/>
  <c r="V4" i="10"/>
  <c r="N4" i="10"/>
  <c r="F4" i="10"/>
  <c r="C5" i="9"/>
  <c r="EW5" i="15"/>
  <c r="EO5" i="15"/>
  <c r="EG5" i="15"/>
  <c r="DY5" i="15"/>
  <c r="DQ5" i="15"/>
  <c r="DI5" i="15"/>
  <c r="DA5" i="15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R4" i="15"/>
  <c r="J4" i="15"/>
  <c r="B4" i="15"/>
  <c r="CM5" i="14"/>
  <c r="CE5" i="14"/>
  <c r="BW5" i="14"/>
  <c r="BO5" i="14"/>
  <c r="BG5" i="14"/>
  <c r="AY5" i="14"/>
  <c r="AQ5" i="14"/>
  <c r="AI5" i="14"/>
  <c r="AA5" i="14"/>
  <c r="S5" i="14"/>
  <c r="K5" i="14"/>
  <c r="C5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Q5" i="13"/>
  <c r="I5" i="13"/>
  <c r="A5" i="13"/>
  <c r="DE4" i="13"/>
  <c r="CW4" i="13"/>
  <c r="CO4" i="13"/>
  <c r="CG4" i="13"/>
  <c r="BY4" i="13"/>
  <c r="BQ4" i="13"/>
  <c r="BI4" i="13"/>
  <c r="BA4" i="13"/>
  <c r="AS4" i="13"/>
  <c r="AK4" i="13"/>
  <c r="AC4" i="13"/>
  <c r="U4" i="13"/>
  <c r="M4" i="13"/>
  <c r="E4" i="13"/>
  <c r="AW5" i="12"/>
  <c r="AO5" i="12"/>
  <c r="AG5" i="12"/>
  <c r="Y5" i="12"/>
  <c r="Q5" i="12"/>
  <c r="I5" i="12"/>
  <c r="A5" i="12"/>
  <c r="AM4" i="12"/>
  <c r="AE4" i="12"/>
  <c r="W4" i="12"/>
  <c r="O4" i="12"/>
  <c r="G4" i="12"/>
  <c r="Y5" i="11"/>
  <c r="Q5" i="11"/>
  <c r="I5" i="11"/>
  <c r="A5" i="11"/>
  <c r="V4" i="11"/>
  <c r="N4" i="11"/>
  <c r="F4" i="11"/>
  <c r="X5" i="10"/>
  <c r="P5" i="10"/>
  <c r="H5" i="10"/>
  <c r="AC4" i="10"/>
  <c r="U4" i="10"/>
  <c r="M4" i="10"/>
  <c r="E4" i="10"/>
  <c r="B5" i="9"/>
  <c r="W4" i="9"/>
  <c r="O4" i="9"/>
  <c r="G4" i="9"/>
  <c r="AN5" i="8"/>
  <c r="AF5" i="8"/>
  <c r="X5" i="8"/>
  <c r="P5" i="8"/>
  <c r="H5" i="8"/>
  <c r="T4" i="8"/>
  <c r="L4" i="8"/>
  <c r="D4" i="8"/>
  <c r="X4" i="7"/>
  <c r="P4" i="7"/>
  <c r="H4" i="7"/>
  <c r="C5" i="6"/>
  <c r="T4" i="6"/>
  <c r="L4" i="6"/>
  <c r="D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EV5" i="15"/>
  <c r="EN5" i="15"/>
  <c r="EF5" i="15"/>
  <c r="DX5" i="15"/>
  <c r="DP5" i="15"/>
  <c r="DH5" i="15"/>
  <c r="CZ5" i="15"/>
  <c r="CR5" i="15"/>
  <c r="CJ5" i="15"/>
  <c r="CB5" i="15"/>
  <c r="BT5" i="15"/>
  <c r="BL5" i="15"/>
  <c r="BD5" i="15"/>
  <c r="AV5" i="15"/>
  <c r="AN5" i="15"/>
  <c r="AF5" i="15"/>
  <c r="X5" i="15"/>
  <c r="P5" i="15"/>
  <c r="H5" i="15"/>
  <c r="Y4" i="15"/>
  <c r="Q4" i="15"/>
  <c r="I4" i="15"/>
  <c r="EU5" i="15"/>
  <c r="EM5" i="15"/>
  <c r="EE5" i="15"/>
  <c r="DW5" i="15"/>
  <c r="DO5" i="15"/>
  <c r="DG5" i="15"/>
  <c r="CY5" i="15"/>
  <c r="CQ5" i="15"/>
  <c r="CI5" i="15"/>
  <c r="CA5" i="15"/>
  <c r="BS5" i="15"/>
  <c r="BC5" i="15"/>
  <c r="AU5" i="15"/>
  <c r="AM5" i="15"/>
  <c r="AE5" i="15"/>
  <c r="W5" i="15"/>
  <c r="O5" i="15"/>
  <c r="G5" i="15"/>
  <c r="X4" i="15"/>
  <c r="P4" i="15"/>
  <c r="H4" i="15"/>
  <c r="CS5" i="14"/>
  <c r="CK5" i="14"/>
  <c r="CC5" i="14"/>
  <c r="BU5" i="14"/>
  <c r="BM5" i="14"/>
  <c r="BE5" i="14"/>
  <c r="AW5" i="14"/>
  <c r="AO5" i="14"/>
  <c r="AG5" i="14"/>
  <c r="Y5" i="14"/>
  <c r="Q5" i="14"/>
  <c r="I5" i="14"/>
  <c r="A5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O5" i="13"/>
  <c r="G5" i="13"/>
  <c r="DK4" i="13"/>
  <c r="DC4" i="13"/>
  <c r="CU4" i="13"/>
  <c r="CM4" i="13"/>
  <c r="CE4" i="13"/>
  <c r="BW4" i="13"/>
  <c r="BO4" i="13"/>
  <c r="BG4" i="13"/>
  <c r="AY4" i="13"/>
  <c r="AQ4" i="13"/>
  <c r="AI4" i="13"/>
  <c r="AA4" i="13"/>
  <c r="S4" i="13"/>
  <c r="K4" i="13"/>
  <c r="C4" i="13"/>
  <c r="AU5" i="12"/>
  <c r="AM5" i="12"/>
  <c r="AE5" i="12"/>
  <c r="W5" i="12"/>
  <c r="O5" i="12"/>
  <c r="G5" i="12"/>
  <c r="AS4" i="12"/>
  <c r="AK4" i="12"/>
  <c r="AC4" i="12"/>
  <c r="U4" i="12"/>
  <c r="M4" i="12"/>
  <c r="E4" i="12"/>
  <c r="W5" i="11"/>
  <c r="O5" i="11"/>
  <c r="G5" i="11"/>
  <c r="AB4" i="11"/>
  <c r="T4" i="11"/>
  <c r="L4" i="11"/>
  <c r="D4" i="11"/>
  <c r="V5" i="10"/>
  <c r="N5" i="10"/>
  <c r="F5" i="10"/>
  <c r="AA4" i="10"/>
  <c r="S4" i="10"/>
  <c r="K4" i="10"/>
  <c r="C4" i="10"/>
  <c r="AC4" i="9"/>
  <c r="U4" i="9"/>
  <c r="M4" i="9"/>
  <c r="E4" i="9"/>
  <c r="AL5" i="8"/>
  <c r="AD5" i="8"/>
  <c r="V5" i="8"/>
  <c r="N5" i="8"/>
  <c r="F5" i="8"/>
  <c r="R4" i="8"/>
  <c r="J4" i="8"/>
  <c r="B4" i="8"/>
  <c r="V4" i="7"/>
  <c r="N4" i="7"/>
  <c r="F4" i="7"/>
  <c r="A5" i="6"/>
  <c r="R4" i="6"/>
  <c r="J4" i="6"/>
  <c r="B4" i="6"/>
  <c r="EU5" i="5"/>
  <c r="EM5" i="5"/>
  <c r="ET5" i="15"/>
  <c r="EL5" i="15"/>
  <c r="ED5" i="15"/>
  <c r="DV5" i="15"/>
  <c r="DN5" i="15"/>
  <c r="DF5" i="15"/>
  <c r="CX5" i="15"/>
  <c r="CP5" i="15"/>
  <c r="CH5" i="15"/>
  <c r="BZ5" i="15"/>
  <c r="BR5" i="15"/>
  <c r="BJ5" i="15"/>
  <c r="BB5" i="15"/>
  <c r="AT5" i="15"/>
  <c r="AL5" i="15"/>
  <c r="AD5" i="15"/>
  <c r="V5" i="15"/>
  <c r="N5" i="15"/>
  <c r="F5" i="15"/>
  <c r="W4" i="15"/>
  <c r="O4" i="15"/>
  <c r="G4" i="15"/>
  <c r="CR5" i="14"/>
  <c r="CJ5" i="14"/>
  <c r="CB5" i="14"/>
  <c r="BT5" i="14"/>
  <c r="BL5" i="14"/>
  <c r="BD5" i="14"/>
  <c r="AV5" i="14"/>
  <c r="AN5" i="14"/>
  <c r="AF5" i="14"/>
  <c r="X5" i="14"/>
  <c r="P5" i="14"/>
  <c r="H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N5" i="13"/>
  <c r="F5" i="13"/>
  <c r="DJ4" i="13"/>
  <c r="DB4" i="13"/>
  <c r="CT4" i="13"/>
  <c r="CL4" i="13"/>
  <c r="CD4" i="13"/>
  <c r="BV4" i="13"/>
  <c r="BN4" i="13"/>
  <c r="BF4" i="13"/>
  <c r="AX4" i="13"/>
  <c r="AP4" i="13"/>
  <c r="AH4" i="13"/>
  <c r="Z4" i="13"/>
  <c r="R4" i="13"/>
  <c r="J4" i="13"/>
  <c r="B4" i="13"/>
  <c r="AT5" i="12"/>
  <c r="AL5" i="12"/>
  <c r="AD5" i="12"/>
  <c r="V5" i="12"/>
  <c r="N5" i="12"/>
  <c r="F5" i="12"/>
  <c r="AR4" i="12"/>
  <c r="AJ4" i="12"/>
  <c r="AB4" i="12"/>
  <c r="T4" i="12"/>
  <c r="L4" i="12"/>
  <c r="D4" i="12"/>
  <c r="V5" i="11"/>
  <c r="N5" i="11"/>
  <c r="F5" i="11"/>
  <c r="AA4" i="11"/>
  <c r="S4" i="11"/>
  <c r="K4" i="11"/>
  <c r="C4" i="11"/>
  <c r="U5" i="10"/>
  <c r="M5" i="10"/>
  <c r="E5" i="10"/>
  <c r="Z4" i="10"/>
  <c r="R4" i="10"/>
  <c r="J4" i="10"/>
  <c r="B4" i="10"/>
  <c r="AB4" i="9"/>
  <c r="T4" i="9"/>
  <c r="L4" i="9"/>
  <c r="D4" i="9"/>
  <c r="AK5" i="8"/>
  <c r="AC5" i="8"/>
  <c r="U5" i="8"/>
  <c r="M5" i="8"/>
  <c r="E5" i="8"/>
  <c r="Q4" i="8"/>
  <c r="I4" i="8"/>
  <c r="CL5" i="14"/>
  <c r="Z5" i="14"/>
  <c r="BZ4" i="14"/>
  <c r="N4" i="14"/>
  <c r="DG4" i="13"/>
  <c r="CA4" i="13"/>
  <c r="AU4" i="13"/>
  <c r="O4" i="13"/>
  <c r="AQ5" i="12"/>
  <c r="U5" i="12"/>
  <c r="AT4" i="12"/>
  <c r="Y4" i="12"/>
  <c r="C4" i="12"/>
  <c r="H5" i="11"/>
  <c r="P4" i="11"/>
  <c r="W5" i="10"/>
  <c r="G5" i="10"/>
  <c r="T4" i="10"/>
  <c r="D4" i="10"/>
  <c r="X4" i="9"/>
  <c r="J4" i="9"/>
  <c r="AM5" i="8"/>
  <c r="Z5" i="8"/>
  <c r="L5" i="8"/>
  <c r="A5" i="8"/>
  <c r="G4" i="8"/>
  <c r="Y4" i="7"/>
  <c r="M4" i="7"/>
  <c r="C4" i="7"/>
  <c r="U4" i="6"/>
  <c r="I4" i="6"/>
  <c r="EZ5" i="5"/>
  <c r="EP5" i="5"/>
  <c r="EE5" i="5"/>
  <c r="DV5" i="5"/>
  <c r="DM5" i="5"/>
  <c r="DD5" i="5"/>
  <c r="CU5" i="5"/>
  <c r="CL5" i="5"/>
  <c r="CB5" i="5"/>
  <c r="BS5" i="5"/>
  <c r="BJ5" i="5"/>
  <c r="BA5" i="5"/>
  <c r="AR5" i="5"/>
  <c r="AI5" i="5"/>
  <c r="Z5" i="5"/>
  <c r="R5" i="5"/>
  <c r="J5" i="5"/>
  <c r="B5" i="5"/>
  <c r="S4" i="5"/>
  <c r="K4" i="5"/>
  <c r="C4" i="5"/>
  <c r="AJ5" i="4"/>
  <c r="AB5" i="4"/>
  <c r="T5" i="4"/>
  <c r="L5" i="4"/>
  <c r="D5" i="4"/>
  <c r="P4" i="4"/>
  <c r="H4" i="4"/>
  <c r="A4" i="3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D5" i="14"/>
  <c r="R5" i="14"/>
  <c r="BR4" i="14"/>
  <c r="F4" i="14"/>
  <c r="DD4" i="13"/>
  <c r="BX4" i="13"/>
  <c r="AR4" i="13"/>
  <c r="L4" i="13"/>
  <c r="AN5" i="12"/>
  <c r="S5" i="12"/>
  <c r="AQ4" i="12"/>
  <c r="V4" i="12"/>
  <c r="E5" i="11"/>
  <c r="M4" i="11"/>
  <c r="T5" i="10"/>
  <c r="D5" i="10"/>
  <c r="Q4" i="10"/>
  <c r="V4" i="9"/>
  <c r="I4" i="9"/>
  <c r="AJ5" i="8"/>
  <c r="Y5" i="8"/>
  <c r="K5" i="8"/>
  <c r="S4" i="8"/>
  <c r="F4" i="8"/>
  <c r="W4" i="7"/>
  <c r="L4" i="7"/>
  <c r="B4" i="7"/>
  <c r="S4" i="6"/>
  <c r="H4" i="6"/>
  <c r="EY5" i="5"/>
  <c r="EN5" i="5"/>
  <c r="ED5" i="5"/>
  <c r="DU5" i="5"/>
  <c r="DL5" i="5"/>
  <c r="DC5" i="5"/>
  <c r="CT5" i="5"/>
  <c r="CJ5" i="5"/>
  <c r="CA5" i="5"/>
  <c r="BR5" i="5"/>
  <c r="BI5" i="5"/>
  <c r="AZ5" i="5"/>
  <c r="AQ5" i="5"/>
  <c r="AH5" i="5"/>
  <c r="Y5" i="5"/>
  <c r="Q5" i="5"/>
  <c r="I5" i="5"/>
  <c r="A5" i="5"/>
  <c r="R4" i="5"/>
  <c r="J4" i="5"/>
  <c r="B4" i="5"/>
  <c r="AI5" i="4"/>
  <c r="AA5" i="4"/>
  <c r="S5" i="4"/>
  <c r="K5" i="4"/>
  <c r="C5" i="4"/>
  <c r="O4" i="4"/>
  <c r="G4" i="4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BV5" i="14"/>
  <c r="J5" i="14"/>
  <c r="BJ4" i="14"/>
  <c r="CY4" i="13"/>
  <c r="BS4" i="13"/>
  <c r="AM4" i="13"/>
  <c r="G4" i="13"/>
  <c r="AK5" i="12"/>
  <c r="P5" i="12"/>
  <c r="AO4" i="12"/>
  <c r="S4" i="12"/>
  <c r="X5" i="11"/>
  <c r="C5" i="11"/>
  <c r="J4" i="11"/>
  <c r="S5" i="10"/>
  <c r="C5" i="10"/>
  <c r="P4" i="10"/>
  <c r="E5" i="9"/>
  <c r="S4" i="9"/>
  <c r="H4" i="9"/>
  <c r="AI5" i="8"/>
  <c r="W5" i="8"/>
  <c r="J5" i="8"/>
  <c r="P4" i="8"/>
  <c r="E4" i="8"/>
  <c r="U4" i="7"/>
  <c r="K4" i="7"/>
  <c r="Q4" i="6"/>
  <c r="G4" i="6"/>
  <c r="EX5" i="5"/>
  <c r="EL5" i="5"/>
  <c r="EC5" i="5"/>
  <c r="DT5" i="5"/>
  <c r="DK5" i="5"/>
  <c r="DB5" i="5"/>
  <c r="CR5" i="5"/>
  <c r="CI5" i="5"/>
  <c r="BZ5" i="5"/>
  <c r="BQ5" i="5"/>
  <c r="BH5" i="5"/>
  <c r="AY5" i="5"/>
  <c r="AP5" i="5"/>
  <c r="AF5" i="5"/>
  <c r="X5" i="5"/>
  <c r="P5" i="5"/>
  <c r="H5" i="5"/>
  <c r="Y4" i="5"/>
  <c r="Q4" i="5"/>
  <c r="I4" i="5"/>
  <c r="AH5" i="4"/>
  <c r="Z5" i="4"/>
  <c r="R5" i="4"/>
  <c r="J5" i="4"/>
  <c r="B5" i="4"/>
  <c r="N4" i="4"/>
  <c r="F4" i="4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BN5" i="14"/>
  <c r="B5" i="14"/>
  <c r="BB4" i="14"/>
  <c r="P5" i="13"/>
  <c r="CV4" i="13"/>
  <c r="BP4" i="13"/>
  <c r="AJ4" i="13"/>
  <c r="D4" i="13"/>
  <c r="AI5" i="12"/>
  <c r="M5" i="12"/>
  <c r="AL4" i="12"/>
  <c r="Q4" i="12"/>
  <c r="U5" i="11"/>
  <c r="AC4" i="11"/>
  <c r="H4" i="11"/>
  <c r="R5" i="10"/>
  <c r="B5" i="10"/>
  <c r="O4" i="10"/>
  <c r="D5" i="9"/>
  <c r="R4" i="9"/>
  <c r="F4" i="9"/>
  <c r="AH5" i="8"/>
  <c r="T5" i="8"/>
  <c r="I5" i="8"/>
  <c r="O4" i="8"/>
  <c r="C4" i="8"/>
  <c r="T4" i="7"/>
  <c r="J4" i="7"/>
  <c r="B5" i="6"/>
  <c r="P4" i="6"/>
  <c r="F4" i="6"/>
  <c r="EV5" i="5"/>
  <c r="EK5" i="5"/>
  <c r="EB5" i="5"/>
  <c r="DS5" i="5"/>
  <c r="DJ5" i="5"/>
  <c r="CZ5" i="5"/>
  <c r="CQ5" i="5"/>
  <c r="CH5" i="5"/>
  <c r="BY5" i="5"/>
  <c r="BP5" i="5"/>
  <c r="BG5" i="5"/>
  <c r="AX5" i="5"/>
  <c r="AN5" i="5"/>
  <c r="AE5" i="5"/>
  <c r="W5" i="5"/>
  <c r="O5" i="5"/>
  <c r="G5" i="5"/>
  <c r="X4" i="5"/>
  <c r="P4" i="5"/>
  <c r="H4" i="5"/>
  <c r="AO5" i="4"/>
  <c r="AG5" i="4"/>
  <c r="Y5" i="4"/>
  <c r="Q5" i="4"/>
  <c r="I5" i="4"/>
  <c r="A5" i="4"/>
  <c r="M4" i="4"/>
  <c r="E4" i="4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BF5" i="14"/>
  <c r="DF4" i="14"/>
  <c r="AT4" i="14"/>
  <c r="K5" i="13"/>
  <c r="CQ4" i="13"/>
  <c r="BK4" i="13"/>
  <c r="AE4" i="13"/>
  <c r="AF5" i="12"/>
  <c r="K5" i="12"/>
  <c r="AI4" i="12"/>
  <c r="N4" i="12"/>
  <c r="S5" i="11"/>
  <c r="Z4" i="11"/>
  <c r="E4" i="11"/>
  <c r="O5" i="10"/>
  <c r="AB4" i="10"/>
  <c r="L4" i="10"/>
  <c r="A5" i="9"/>
  <c r="Q4" i="9"/>
  <c r="C4" i="9"/>
  <c r="AG5" i="8"/>
  <c r="S5" i="8"/>
  <c r="G5" i="8"/>
  <c r="N4" i="8"/>
  <c r="S4" i="7"/>
  <c r="I4" i="7"/>
  <c r="Y4" i="6"/>
  <c r="O4" i="6"/>
  <c r="E4" i="6"/>
  <c r="ET5" i="5"/>
  <c r="EJ5" i="5"/>
  <c r="EA5" i="5"/>
  <c r="DR5" i="5"/>
  <c r="DH5" i="5"/>
  <c r="CY5" i="5"/>
  <c r="CP5" i="5"/>
  <c r="CG5" i="5"/>
  <c r="BX5" i="5"/>
  <c r="BO5" i="5"/>
  <c r="BF5" i="5"/>
  <c r="AV5" i="5"/>
  <c r="AM5" i="5"/>
  <c r="AD5" i="5"/>
  <c r="V5" i="5"/>
  <c r="N5" i="5"/>
  <c r="F5" i="5"/>
  <c r="W4" i="5"/>
  <c r="O4" i="5"/>
  <c r="G4" i="5"/>
  <c r="AN5" i="4"/>
  <c r="AF5" i="4"/>
  <c r="X5" i="4"/>
  <c r="P5" i="4"/>
  <c r="H5" i="4"/>
  <c r="T4" i="4"/>
  <c r="L4" i="4"/>
  <c r="D4" i="4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X5" i="14"/>
  <c r="CX4" i="14"/>
  <c r="AL4" i="14"/>
  <c r="H5" i="13"/>
  <c r="CN4" i="13"/>
  <c r="BH4" i="13"/>
  <c r="AB4" i="13"/>
  <c r="AY5" i="12"/>
  <c r="AC5" i="12"/>
  <c r="H5" i="12"/>
  <c r="AG4" i="12"/>
  <c r="K4" i="12"/>
  <c r="P5" i="11"/>
  <c r="X4" i="11"/>
  <c r="B4" i="11"/>
  <c r="L5" i="10"/>
  <c r="Y4" i="10"/>
  <c r="I4" i="10"/>
  <c r="AA4" i="9"/>
  <c r="P4" i="9"/>
  <c r="B4" i="9"/>
  <c r="AE5" i="8"/>
  <c r="R5" i="8"/>
  <c r="D5" i="8"/>
  <c r="M4" i="8"/>
  <c r="C5" i="7"/>
  <c r="R4" i="7"/>
  <c r="G4" i="7"/>
  <c r="X4" i="6"/>
  <c r="N4" i="6"/>
  <c r="C4" i="6"/>
  <c r="ES5" i="5"/>
  <c r="EI5" i="5"/>
  <c r="DZ5" i="5"/>
  <c r="DP5" i="5"/>
  <c r="DG5" i="5"/>
  <c r="CX5" i="5"/>
  <c r="CO5" i="5"/>
  <c r="CF5" i="5"/>
  <c r="BW5" i="5"/>
  <c r="BN5" i="5"/>
  <c r="BD5" i="5"/>
  <c r="AU5" i="5"/>
  <c r="AL5" i="5"/>
  <c r="AC5" i="5"/>
  <c r="U5" i="5"/>
  <c r="M5" i="5"/>
  <c r="E5" i="5"/>
  <c r="V4" i="5"/>
  <c r="N4" i="5"/>
  <c r="F4" i="5"/>
  <c r="AM5" i="4"/>
  <c r="AE5" i="4"/>
  <c r="W5" i="4"/>
  <c r="O5" i="4"/>
  <c r="G5" i="4"/>
  <c r="S4" i="4"/>
  <c r="K4" i="4"/>
  <c r="C4" i="4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AP5" i="14"/>
  <c r="CP4" i="14"/>
  <c r="AD4" i="14"/>
  <c r="C5" i="13"/>
  <c r="CI4" i="13"/>
  <c r="BC4" i="13"/>
  <c r="W4" i="13"/>
  <c r="AV5" i="12"/>
  <c r="AA5" i="12"/>
  <c r="E5" i="12"/>
  <c r="AD4" i="12"/>
  <c r="I4" i="12"/>
  <c r="M5" i="11"/>
  <c r="U4" i="11"/>
  <c r="K5" i="10"/>
  <c r="X4" i="10"/>
  <c r="H4" i="10"/>
  <c r="Z4" i="9"/>
  <c r="N4" i="9"/>
  <c r="AB5" i="8"/>
  <c r="Q5" i="8"/>
  <c r="C5" i="8"/>
  <c r="K4" i="8"/>
  <c r="B5" i="7"/>
  <c r="Q4" i="7"/>
  <c r="E4" i="7"/>
  <c r="W4" i="6"/>
  <c r="M4" i="6"/>
  <c r="ER5" i="5"/>
  <c r="EH5" i="5"/>
  <c r="DX5" i="5"/>
  <c r="DO5" i="5"/>
  <c r="DF5" i="5"/>
  <c r="CW5" i="5"/>
  <c r="CN5" i="5"/>
  <c r="CE5" i="5"/>
  <c r="BV5" i="5"/>
  <c r="BL5" i="5"/>
  <c r="BC5" i="5"/>
  <c r="AT5" i="5"/>
  <c r="AK5" i="5"/>
  <c r="AB5" i="5"/>
  <c r="T5" i="5"/>
  <c r="L5" i="5"/>
  <c r="D5" i="5"/>
  <c r="U4" i="5"/>
  <c r="M4" i="5"/>
  <c r="E4" i="5"/>
  <c r="AL5" i="4"/>
  <c r="AD5" i="4"/>
  <c r="V5" i="4"/>
  <c r="N5" i="4"/>
  <c r="F5" i="4"/>
  <c r="R4" i="4"/>
  <c r="J4" i="4"/>
  <c r="B4" i="4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H5" i="14"/>
  <c r="CH4" i="14"/>
  <c r="V4" i="14"/>
  <c r="DL4" i="13"/>
  <c r="CF4" i="13"/>
  <c r="AZ4" i="13"/>
  <c r="T4" i="13"/>
  <c r="AS5" i="12"/>
  <c r="X5" i="12"/>
  <c r="C5" i="12"/>
  <c r="AA4" i="12"/>
  <c r="F4" i="12"/>
  <c r="K5" i="11"/>
  <c r="R4" i="11"/>
  <c r="Z5" i="10"/>
  <c r="J5" i="10"/>
  <c r="W4" i="10"/>
  <c r="G4" i="10"/>
  <c r="Y4" i="9"/>
  <c r="K4" i="9"/>
  <c r="AO5" i="8"/>
  <c r="AA5" i="8"/>
  <c r="O5" i="8"/>
  <c r="B5" i="8"/>
  <c r="H4" i="8"/>
  <c r="A5" i="7"/>
  <c r="O4" i="7"/>
  <c r="D4" i="7"/>
  <c r="V4" i="6"/>
  <c r="K4" i="6"/>
  <c r="FA5" i="5"/>
  <c r="EQ5" i="5"/>
  <c r="EF5" i="5"/>
  <c r="DW5" i="5"/>
  <c r="DN5" i="5"/>
  <c r="DE5" i="5"/>
  <c r="CV5" i="5"/>
  <c r="CM5" i="5"/>
  <c r="CD5" i="5"/>
  <c r="BT5" i="5"/>
  <c r="BB5" i="5"/>
  <c r="AS5" i="5"/>
  <c r="AJ5" i="5"/>
  <c r="AA5" i="5"/>
  <c r="S5" i="5"/>
  <c r="K5" i="5"/>
  <c r="C5" i="5"/>
  <c r="T4" i="5"/>
  <c r="L4" i="5"/>
  <c r="D4" i="5"/>
  <c r="AK5" i="4"/>
  <c r="AC5" i="4"/>
  <c r="U5" i="4"/>
  <c r="M5" i="4"/>
  <c r="E5" i="4"/>
  <c r="Q4" i="4"/>
  <c r="I4" i="4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A275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C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A274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</calcChain>
</file>

<file path=xl/sharedStrings.xml><?xml version="1.0" encoding="utf-8"?>
<sst xmlns="http://schemas.openxmlformats.org/spreadsheetml/2006/main" count="255" uniqueCount="49">
  <si>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</si>
  <si>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</si>
  <si>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</si>
  <si>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</si>
  <si>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</si>
  <si>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</si>
  <si>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</si>
  <si>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</si>
  <si>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</si>
  <si>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</si>
  <si>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</si>
  <si>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</si>
  <si>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</si>
  <si>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</si>
  <si>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</si>
  <si>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</si>
  <si>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</si>
  <si>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</si>
  <si>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</si>
  <si>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Allocation2</t>
  </si>
  <si>
    <t>Allocation3</t>
  </si>
  <si>
    <t>PortfolioManagement</t>
  </si>
  <si>
    <t>CheckPortfolioManagement</t>
  </si>
  <si>
    <t>NewMF</t>
  </si>
  <si>
    <t>Equity</t>
  </si>
  <si>
    <t>NewMF1</t>
  </si>
  <si>
    <t>FilterPM</t>
  </si>
  <si>
    <t>MasterFund</t>
  </si>
  <si>
    <t>ClosePositionFromPM</t>
  </si>
  <si>
    <t>Sell</t>
  </si>
  <si>
    <t>Closing</t>
  </si>
  <si>
    <t>GetDataClosing</t>
  </si>
  <si>
    <t>Current</t>
  </si>
  <si>
    <t>VerifyLongPositionsGrid</t>
  </si>
  <si>
    <t>APPLE</t>
  </si>
  <si>
    <t>VerifyShortPositionsGrid</t>
  </si>
  <si>
    <t>Blotter</t>
  </si>
  <si>
    <t>VerifyOrder</t>
  </si>
  <si>
    <t>Filled</t>
  </si>
  <si>
    <t>MS</t>
  </si>
  <si>
    <t>Market</t>
  </si>
  <si>
    <t>Allocation</t>
  </si>
  <si>
    <t>GetDataAllocation</t>
  </si>
  <si>
    <t>CheckAllocatedGroups</t>
  </si>
  <si>
    <t>Open</t>
  </si>
  <si>
    <t>USD</t>
  </si>
  <si>
    <t>M</t>
  </si>
  <si>
    <t>Short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</si>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</sst>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13" fillId="0" borderId="0" xfId="0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4" fontId="13" fillId="0" borderId="5" xfId="0" applyNumberFormat="1" applyFont="1" applyBorder="1" applyAlignment="1">
      <alignment horizontal="right"/>
    </xf>
    <xf numFmtId="164" fontId="3" fillId="0" borderId="0" xfId="0" applyNumberFormat="1" applyFont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6" t="s">
        <v>0</v>
      </c>
      <c r="B1" s="37"/>
      <c r="C1" s="37"/>
      <c r="D1" s="37"/>
      <c r="E1" s="37"/>
      <c r="F1" s="38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</row>
    <row r="330" spans="1:3" ht="15.75" customHeight="1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</row>
    <row r="331" spans="1:3" ht="15.75" customHeight="1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</row>
    <row r="332" spans="1:3" ht="15.75" customHeight="1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</row>
    <row r="334" spans="1:3" ht="15.75" customHeight="1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</row>
    <row r="336" spans="1:3" ht="15.75" customHeight="1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</row>
    <row r="337" spans="1:3" ht="15.75" customHeight="1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</row>
    <row r="344" spans="1:3" ht="15.75" customHeight="1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</row>
    <row r="346" spans="1:3" ht="15.75" customHeight="1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</row>
    <row r="347" spans="1:3" ht="15.75" customHeight="1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</row>
    <row r="349" spans="1:3" ht="15.75" customHeight="1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</row>
    <row r="350" spans="1:3" ht="15.75" customHeight="1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</row>
    <row r="351" spans="1:3" ht="15.75" customHeight="1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</row>
    <row r="386" spans="1:3" ht="15.75" customHeight="1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</row>
    <row r="390" spans="1:3" ht="15.75" customHeight="1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</row>
    <row r="397" spans="1:3" ht="15.75" customHeight="1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</row>
    <row r="399" spans="1:3" ht="15.75" customHeight="1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</row>
    <row r="402" spans="1:3" ht="15.75" customHeight="1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</row>
    <row r="409" spans="1:3" ht="15.75" customHeight="1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</row>
    <row r="410" spans="1:3" ht="15.75" customHeight="1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</row>
    <row r="412" spans="1:3" ht="15.75" customHeight="1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</row>
    <row r="413" spans="1:3" ht="15.75" customHeight="1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</row>
    <row r="414" spans="1:3" ht="15.75" customHeight="1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</row>
    <row r="415" spans="1:3" ht="15.75" customHeight="1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</row>
    <row r="416" spans="1:3" ht="15.75" customHeight="1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</row>
    <row r="417" spans="1:3" ht="15.75" customHeight="1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</row>
    <row r="418" spans="1:3" ht="15.75" customHeight="1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</row>
    <row r="420" spans="1:3" ht="15.75" customHeight="1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</row>
    <row r="421" spans="1:3" ht="15.75" customHeight="1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</row>
    <row r="427" spans="1:3" ht="15.75" customHeight="1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IFERROR(__xludf.DUMMYFUNCTION("""COMPUTED_VALUE"""),"EditUnallocatedGridWPF")</f>
        <v>EditUnallocatedGridWPF</v>
      </c>
      <c r="C431" t="str">
        <f ca="1">IFERROR(__xludf.DUMMYFUNCTION("""COMPUTED_VALUE"""),"1FoqMjsh7kSUAPZgAsBdK0Dgz6XaVskoGr37G773xRsI")</f>
        <v>1FoqMjsh7kSUAPZgAsBdK0Dgz6XaVskoGr37G773xRsI</v>
      </c>
    </row>
    <row r="432" spans="1:3" ht="15.75" customHeight="1">
      <c r="A432" t="str">
        <f ca="1">IFERROR(__xludf.DUMMYFUNCTION("""COMPUTED_VALUE"""),"Allocation")</f>
        <v>Allocation</v>
      </c>
      <c r="B432" t="str">
        <f ca="1">IFERROR(__xludf.DUMMYFUNCTION("""COMPUTED_VALUE"""),"EditAllocatedGridWPF")</f>
        <v>EditAllocatedGridWPF</v>
      </c>
      <c r="C432" t="str">
        <f ca="1">IFERROR(__xludf.DUMMYFUNCTION("""COMPUTED_VALUE"""),"1JDZt3yDzGJYLwgfnrM-1JpkYjLh4xdqn3im1wNwUiWg")</f>
        <v>1JDZt3yDzGJYLwgfnrM-1JpkYjLh4xdqn3im1wNwUiWg</v>
      </c>
    </row>
    <row r="433" spans="1:3" ht="15.75" customHeight="1">
      <c r="A433" t="str">
        <f ca="1">IFERROR(__xludf.DUMMYFUNCTION("""COMPUTED_VALUE"""),"Admin")</f>
        <v>Admin</v>
      </c>
      <c r="B433" t="str">
        <f ca="1">IFERROR(__xludf.DUMMYFUNCTION("""COMPUTED_VALUE"""),"SetRollover")</f>
        <v>SetRollover</v>
      </c>
      <c r="C433" t="str">
        <f ca="1">IFERROR(__xludf.DUMMYFUNCTION("""COMPUTED_VALUE"""),"1mcj3boGZkRmnkbGNVOiMK0RBd1tDfxGwoUagq09FwTM")</f>
        <v>1mcj3boGZkRmnkbGNVOiMK0RBd1tDfxGwoUagq09FwTM</v>
      </c>
    </row>
    <row r="434" spans="1:3" ht="15.75" customHeight="1">
      <c r="A434" t="str">
        <f ca="1">IFERROR(__xludf.DUMMYFUNCTION("""COMPUTED_VALUE"""),"Blotter")</f>
        <v>Blotter</v>
      </c>
      <c r="B434" t="str">
        <f ca="1">IFERROR(__xludf.DUMMYFUNCTION("""COMPUTED_VALUE"""),"VerifyRollover")</f>
        <v>VerifyRollover</v>
      </c>
      <c r="C434" t="str">
        <f ca="1">IFERROR(__xludf.DUMMYFUNCTION("""COMPUTED_VALUE"""),"1ZZ2-R1OHOoSZ9jUfqlZ7UX-MNoTL_RipoEPOEeDhUiU")</f>
        <v>1ZZ2-R1OHOoSZ9jUfqlZ7UX-MNoTL_RipoEPOEeDhUiU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IFERROR(__xludf.DUMMYFUNCTION("""COMPUTED_VALUE"""),"EditAllocatedGridTaxlot")</f>
        <v>EditAllocatedGridTaxlot</v>
      </c>
      <c r="C435" t="str">
        <f ca="1">IFERROR(__xludf.DUMMYFUNCTION("""COMPUTED_VALUE"""),"1tuNkOgVUAgmGZdePkvb6Kq4fOIVUbM2Oo-j35VwEMxU")</f>
        <v>1tuNkOgVUAgmGZdePkvb6Kq4fOIVUbM2Oo-j35VwEMxU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IFERROR(__xludf.DUMMYFUNCTION("""COMPUTED_VALUE"""),"ExpandCollapseAllocatedGrid")</f>
        <v>ExpandCollapseAllocatedGrid</v>
      </c>
      <c r="C436" t="str">
        <f ca="1">IFERROR(__xludf.DUMMYFUNCTION("""COMPUTED_VALUE"""),"1rFegPn3vtFd9CjW_Q7sLLAAJfMR24R2aIjZeDzV88kI")</f>
        <v>1rFegPn3vtFd9CjW_Q7sLLAAJfMR24R2aIjZeDzV88kI</v>
      </c>
    </row>
    <row r="437" spans="1:3" ht="15.75" customHeight="1">
      <c r="A437" t="str">
        <f ca="1">IFERROR(__xludf.DUMMYFUNCTION("""COMPUTED_VALUE"""),"Allocation")</f>
        <v>Allocation</v>
      </c>
      <c r="B437" t="str">
        <f ca="1">IFERROR(__xludf.DUMMYFUNCTION("""COMPUTED_VALUE"""),"ExpandCollapseUnallocatedGrid")</f>
        <v>ExpandCollapseUnallocatedGrid</v>
      </c>
      <c r="C437" t="str">
        <f ca="1">IFERROR(__xludf.DUMMYFUNCTION("""COMPUTED_VALUE"""),"1AUbU9P9evi80SGX-0B0OEU4EIeSy8XoX0Jxc2neUG7Y")</f>
        <v>1AUbU9P9evi80SGX-0B0OEU4EIeSy8XoX0Jxc2neUG7Y</v>
      </c>
    </row>
    <row r="438" spans="1:3" ht="15.75" customHeight="1">
      <c r="A438" t="str">
        <f ca="1">IFERROR(__xludf.DUMMYFUNCTION("""COMPUTED_VALUE"""),"Blotter")</f>
        <v>Blotter</v>
      </c>
      <c r="B438" t="str">
        <f ca="1">IFERROR(__xludf.DUMMYFUNCTION("""COMPUTED_VALUE"""),"VerifySubOrderAfterRollover")</f>
        <v>VerifySubOrderAfterRollover</v>
      </c>
      <c r="C438" t="str">
        <f ca="1">IFERROR(__xludf.DUMMYFUNCTION("""COMPUTED_VALUE"""),"1BmRHukyQ4miHL0fDoU1ytWmIfZkbbUhts6aUXOoJt1M")</f>
        <v>1BmRHukyQ4miHL0fDoU1ytWmIfZkbbUhts6aUXOoJt1M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IFERROR(__xludf.DUMMYFUNCTION("""COMPUTED_VALUE"""),"SelectTransactionImportType")</f>
        <v>SelectTransactionImportType</v>
      </c>
      <c r="C439" t="str">
        <f ca="1">IFERROR(__xludf.DUMMYFUNCTION("""COMPUTED_VALUE"""),"1ultylVChPDBFQEPMhDgNhsGAOiEjOy4yrylpQgIIDRs")</f>
        <v>1ultylVChPDBFQEPMhDgNhsGAOiEjOy4yrylpQgIIDRs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IFERROR(__xludf.DUMMYFUNCTION("""COMPUTED_VALUE"""),"SelectAllOnImport")</f>
        <v>SelectAllOnImport</v>
      </c>
      <c r="C440" t="str">
        <f ca="1">IFERROR(__xludf.DUMMYFUNCTION("""COMPUTED_VALUE"""),"1kfuraVHmWK4GQJ5l-V_xi5ZOvrVVE_6df75wO3Tczkw")</f>
        <v>1kfuraVHmWK4GQJ5l-V_xi5ZOvrVVE_6df75wO3Tczkw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IFERROR(__xludf.DUMMYFUNCTION("""COMPUTED_VALUE"""),"SelectMarkPriceImportType")</f>
        <v>SelectMarkPriceImportType</v>
      </c>
      <c r="C441" t="str">
        <f ca="1">IFERROR(__xludf.DUMMYFUNCTION("""COMPUTED_VALUE"""),"16WxFw58KivOf3P1utNNMuCYVONlWBgTIRn0wVd6Sq10")</f>
        <v>16WxFw58KivOf3P1utNNMuCYVONlWBgTIRn0wVd6Sq10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IFERROR(__xludf.DUMMYFUNCTION("""COMPUTED_VALUE"""),"SelectForexImportType")</f>
        <v>SelectForexImportType</v>
      </c>
      <c r="C442" t="str">
        <f ca="1">IFERROR(__xludf.DUMMYFUNCTION("""COMPUTED_VALUE"""),"1niCpVuSl0IoWtjAcvElNI0GeVHeA4cKvepxzq7Z4t0Y")</f>
        <v>1niCpVuSl0IoWtjAcvElNI0GeVHeA4cKvepxzq7Z4t0Y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IFERROR(__xludf.DUMMYFUNCTION("""COMPUTED_VALUE"""),"SelectDoubleEntryCashImportType")</f>
        <v>SelectDoubleEntryCashImportType</v>
      </c>
      <c r="C443" t="str">
        <f ca="1">IFERROR(__xludf.DUMMYFUNCTION("""COMPUTED_VALUE"""),"1c3AV5tCWYyTG5GupbNYTh4Y6mBGeI5Q18WF7jbA_FoE")</f>
        <v>1c3AV5tCWYyTG5GupbNYTh4Y6mBGeI5Q18WF7jbA_FoE</v>
      </c>
    </row>
    <row r="444" spans="1:3" ht="15.75" customHeight="1">
      <c r="A444" t="str">
        <f ca="1">IFERROR(__xludf.DUMMYFUNCTION("""COMPUTED_VALUE"""),"Import")</f>
        <v>Import</v>
      </c>
      <c r="B444" t="str">
        <f ca="1">IFERROR(__xludf.DUMMYFUNCTION("""COMPUTED_VALUE"""),"SelectActivitiesImportType")</f>
        <v>SelectActivitiesImportType</v>
      </c>
      <c r="C444" t="str">
        <f ca="1">IFERROR(__xludf.DUMMYFUNCTION("""COMPUTED_VALUE"""),"1X6nskWL8-xWWF-gN9qfxhhV3aBuAeoxKsrdra5tJcpQ")</f>
        <v>1X6nskWL8-xWWF-gN9qfxhhV3aBuAeoxKsrdra5tJcpQ</v>
      </c>
    </row>
    <row r="445" spans="1:3" ht="15.75" customHeight="1">
      <c r="A445" t="str">
        <f ca="1">IFERROR(__xludf.DUMMYFUNCTION("""COMPUTED_VALUE"""),"TradingTicket")</f>
        <v>TradingTicket</v>
      </c>
      <c r="B445" t="str">
        <f ca="1">IFERROR(__xludf.DUMMYFUNCTION("""COMPUTED_VALUE"""),"SetTTCompliancePreference")</f>
        <v>SetTTCompliancePreference</v>
      </c>
      <c r="C445" t="str">
        <f ca="1">IFERROR(__xludf.DUMMYFUNCTION("""COMPUTED_VALUE"""),"1OPa8vYQi1QXXNENlCNdP6ay_L5vU7WyWP5dErE2KHEA")</f>
        <v>1OPa8vYQi1QXXNENlCNdP6ay_L5vU7WyWP5dErE2KHEA</v>
      </c>
    </row>
    <row r="446" spans="1:3" ht="15.75" customHeight="1">
      <c r="A446" t="str">
        <f ca="1">IFERROR(__xludf.DUMMYFUNCTION("""COMPUTED_VALUE"""),"Rebalancer")</f>
        <v>Rebalancer</v>
      </c>
      <c r="B446" t="str">
        <f ca="1">IFERROR(__xludf.DUMMYFUNCTION("""COMPUTED_VALUE"""),"LockandUnlockGridData")</f>
        <v>LockandUnlockGridData</v>
      </c>
      <c r="C446" t="str">
        <f ca="1">IFERROR(__xludf.DUMMYFUNCTION("""COMPUTED_VALUE"""),"1Km85kIYSTzG-NQHFDL8ZVRQQ0TKLUDOYsw-kdDX29xE")</f>
        <v>1Km85kIYSTzG-NQHFDL8ZVRQQ0TKLUDOYsw-kdDX29xE</v>
      </c>
    </row>
    <row r="447" spans="1:3" ht="15.75" customHeight="1">
      <c r="A447" t="str">
        <f ca="1">IFERROR(__xludf.DUMMYFUNCTION("""COMPUTED_VALUE"""),"Allocation")</f>
        <v>Allocation</v>
      </c>
      <c r="B447" t="str">
        <f ca="1">IFERROR(__xludf.DUMMYFUNCTION("""COMPUTED_VALUE"""),"SetTradeAttributePreferences")</f>
        <v>SetTradeAttributePreferences</v>
      </c>
      <c r="C447" t="str">
        <f ca="1">IFERROR(__xludf.DUMMYFUNCTION("""COMPUTED_VALUE"""),"1jyPRPc_0lTWCpP9oldB5fgtg2dy3jSnXLkS_qYf40-I")</f>
        <v>1jyPRPc_0lTWCpP9oldB5fgtg2dy3jSnXLkS_qYf40-I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IFERROR(__xludf.DUMMYFUNCTION("""COMPUTED_VALUE"""),"VerifyAccountBalances")</f>
        <v>VerifyAccountBalances</v>
      </c>
      <c r="C448" t="str">
        <f ca="1">IFERROR(__xludf.DUMMYFUNCTION("""COMPUTED_VALUE"""),"1ym14EKcw7B3au8SvVteq2gmFR3cDcsMvQQEIm0TQjf4")</f>
        <v>1ym14EKcw7B3au8SvVteq2gmFR3cDcsMvQQEIm0TQjf4</v>
      </c>
    </row>
    <row r="449" spans="1:3" ht="15.75" customHeight="1">
      <c r="A449" t="str">
        <f ca="1">IFERROR(__xludf.DUMMYFUNCTION("""COMPUTED_VALUE"""),"Rebalancer")</f>
        <v>Rebalancer</v>
      </c>
      <c r="B449" t="str">
        <f ca="1">IFERROR(__xludf.DUMMYFUNCTION("""COMPUTED_VALUE"""),"RefreshGridData")</f>
        <v>RefreshGridData</v>
      </c>
      <c r="C449" t="str">
        <f ca="1">IFERROR(__xludf.DUMMYFUNCTION("""COMPUTED_VALUE"""),"1iFsjUbnYA0Jwd89eYQjg5OrnW3lr2WGVb5quimwHrRw")</f>
        <v>1iFsjUbnYA0Jwd89eYQjg5OrnW3lr2WGVb5quimwHrRw</v>
      </c>
    </row>
    <row r="450" spans="1:3" ht="15.75" customHeight="1">
      <c r="A450" t="str">
        <f ca="1">IFERROR(__xludf.DUMMYFUNCTION("""COMPUTED_VALUE"""),"GeneralLedger")</f>
        <v>GeneralLedger</v>
      </c>
      <c r="B450" t="str">
        <f ca="1">IFERROR(__xludf.DUMMYFUNCTION("""COMPUTED_VALUE"""),"AddMultipleOpeningBalTranItem")</f>
        <v>AddMultipleOpeningBalTranItem</v>
      </c>
      <c r="C450" t="str">
        <f ca="1">IFERROR(__xludf.DUMMYFUNCTION("""COMPUTED_VALUE"""),"14VkN8stineosylh8hvnYNK-GMxNG0uFZBKPjv00GOVc")</f>
        <v>14VkN8stineosylh8hvnYNK-GMxNG0uFZBKPjv00GOVc</v>
      </c>
    </row>
    <row r="451" spans="1:3" ht="15.75" customHeight="1">
      <c r="A451" t="str">
        <f ca="1">IFERROR(__xludf.DUMMYFUNCTION("""COMPUTED_VALUE"""),"Import")</f>
        <v>Import</v>
      </c>
      <c r="B451" t="str">
        <f ca="1">IFERROR(__xludf.DUMMYFUNCTION("""COMPUTED_VALUE"""),"ApplyFilterOnImport")</f>
        <v>ApplyFilterOnImport</v>
      </c>
      <c r="C451" t="str">
        <f ca="1">IFERROR(__xludf.DUMMYFUNCTION("""COMPUTED_VALUE"""),"1NbH6CrAG4P2-tfFJ5m9jUCbnHY9N7cAluffYy9kFrtg")</f>
        <v>1NbH6CrAG4P2-tfFJ5m9jUCbnHY9N7cAluffYy9kFrtg</v>
      </c>
    </row>
    <row r="452" spans="1:3" ht="15.75" customHeight="1">
      <c r="A452" t="str">
        <f ca="1">IFERROR(__xludf.DUMMYFUNCTION("""COMPUTED_VALUE"""),"Rebalancer")</f>
        <v>Rebalancer</v>
      </c>
      <c r="B452" t="str">
        <f ca="1">IFERROR(__xludf.DUMMYFUNCTION("""COMPUTED_VALUE"""),"SendtoStaging")</f>
        <v>SendtoStaging</v>
      </c>
      <c r="C452" t="str">
        <f ca="1">IFERROR(__xludf.DUMMYFUNCTION("""COMPUTED_VALUE"""),"1Zhte_TGc173a8WWc7feC_7HQ_A-M9Q7Np-aK2NPeTIo")</f>
        <v>1Zhte_TGc173a8WWc7feC_7HQ_A-M9Q7Np-aK2NPeTIo</v>
      </c>
    </row>
    <row r="453" spans="1:3" ht="15.75" customHeight="1"/>
    <row r="454" spans="1:3" ht="15.75" customHeight="1"/>
    <row r="455" spans="1:3" ht="15.75" customHeight="1"/>
    <row r="456" spans="1:3" ht="15.75" customHeight="1"/>
    <row r="457" spans="1:3" ht="15.75" customHeight="1"/>
    <row r="458" spans="1:3" ht="15.75" customHeight="1"/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9" t="s">
        <v>2</v>
      </c>
      <c r="B1" s="37"/>
      <c r="C1" s="38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6" t="s">
        <v>7</v>
      </c>
      <c r="B1" s="37"/>
      <c r="C1" s="37"/>
      <c r="D1" s="37"/>
      <c r="E1" s="37"/>
      <c r="F1" s="38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7" t="s">
        <v>17</v>
      </c>
      <c r="D6" s="7">
        <v>1000</v>
      </c>
      <c r="E6" s="7">
        <v>1000</v>
      </c>
      <c r="F6" s="7" t="s">
        <v>18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16</v>
      </c>
      <c r="C7" s="7" t="s">
        <v>17</v>
      </c>
      <c r="D7" s="7">
        <v>1500</v>
      </c>
      <c r="E7" s="7">
        <v>1500</v>
      </c>
      <c r="F7" s="7" t="s">
        <v>19</v>
      </c>
      <c r="G7" s="5"/>
      <c r="H7" s="5"/>
      <c r="I7" s="5"/>
      <c r="J7" s="7">
        <v>15</v>
      </c>
      <c r="K7" s="5"/>
      <c r="L7" s="5"/>
      <c r="M7" s="5"/>
      <c r="N7" s="5"/>
      <c r="O7" s="5"/>
    </row>
    <row r="8" spans="1:154" ht="15.75" customHeight="1">
      <c r="A8" s="5"/>
      <c r="B8" s="7" t="s">
        <v>16</v>
      </c>
      <c r="C8" s="7" t="s">
        <v>17</v>
      </c>
      <c r="D8" s="7">
        <v>2000</v>
      </c>
      <c r="E8" s="7">
        <v>2000</v>
      </c>
      <c r="F8" s="7" t="s">
        <v>20</v>
      </c>
      <c r="G8" s="5"/>
      <c r="H8" s="5"/>
      <c r="I8" s="5"/>
      <c r="J8" s="7">
        <v>20</v>
      </c>
      <c r="K8" s="5"/>
      <c r="L8" s="5"/>
      <c r="M8" s="5"/>
      <c r="N8" s="5"/>
      <c r="O8" s="5"/>
    </row>
    <row r="9" spans="1:154" ht="15.75" customHeight="1">
      <c r="A9" s="5"/>
      <c r="B9" s="7"/>
      <c r="C9" s="7"/>
      <c r="D9" s="7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BC1" workbookViewId="0">
      <selection activeCell="BK17" sqref="BK17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1.28515625" customWidth="1"/>
    <col min="64" max="167" width="14.42578125" customWidth="1"/>
  </cols>
  <sheetData>
    <row r="1" spans="1:167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16</v>
      </c>
      <c r="D6" s="7">
        <v>1000</v>
      </c>
      <c r="E6" s="7" t="s">
        <v>18</v>
      </c>
      <c r="F6" s="7" t="s">
        <v>23</v>
      </c>
      <c r="G6" s="5"/>
      <c r="H6" s="5"/>
      <c r="I6" s="5"/>
      <c r="J6" s="5"/>
      <c r="K6" s="5"/>
      <c r="L6" s="5"/>
      <c r="M6" s="5"/>
      <c r="N6" s="5"/>
      <c r="O6" s="5"/>
      <c r="T6" s="6" t="s">
        <v>24</v>
      </c>
      <c r="AN6" s="6" t="s">
        <v>17</v>
      </c>
    </row>
    <row r="7" spans="1:167" ht="15.75" customHeight="1">
      <c r="A7" s="5"/>
      <c r="B7" s="5"/>
      <c r="C7" s="7" t="s">
        <v>16</v>
      </c>
      <c r="D7" s="7">
        <v>1500</v>
      </c>
      <c r="E7" s="7" t="s">
        <v>19</v>
      </c>
      <c r="F7" s="7" t="s">
        <v>25</v>
      </c>
      <c r="G7" s="5"/>
      <c r="H7" s="5"/>
      <c r="I7" s="5"/>
      <c r="J7" s="5"/>
      <c r="K7" s="5"/>
      <c r="L7" s="5"/>
      <c r="M7" s="5"/>
      <c r="N7" s="5"/>
      <c r="O7" s="5"/>
      <c r="T7" s="6" t="s">
        <v>24</v>
      </c>
      <c r="AN7" s="6" t="s">
        <v>17</v>
      </c>
    </row>
    <row r="8" spans="1:167" ht="15.75" customHeight="1">
      <c r="A8" s="5"/>
      <c r="B8" s="5"/>
      <c r="C8" s="7" t="s">
        <v>16</v>
      </c>
      <c r="D8" s="7">
        <v>2000</v>
      </c>
      <c r="E8" s="7" t="s">
        <v>20</v>
      </c>
      <c r="F8" s="7" t="s">
        <v>23</v>
      </c>
      <c r="G8" s="5"/>
      <c r="H8" s="5"/>
      <c r="I8" s="5"/>
      <c r="J8" s="5"/>
      <c r="K8" s="5"/>
      <c r="L8" s="5"/>
      <c r="M8" s="5"/>
      <c r="N8" s="5"/>
      <c r="O8" s="5"/>
      <c r="T8" s="6" t="s">
        <v>24</v>
      </c>
      <c r="AN8" s="6" t="s">
        <v>17</v>
      </c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 t="str">
        <f ca="1">IFERROR(__xludf.DUMMYFUNCTION("""COMPUTED_VALUE"""),"FilterList")</f>
        <v>FilterList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27</v>
      </c>
      <c r="C6" s="7" t="s">
        <v>25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19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16</v>
      </c>
      <c r="C6" s="7" t="s">
        <v>29</v>
      </c>
      <c r="D6" s="7">
        <v>4500</v>
      </c>
      <c r="E6" s="7">
        <v>4500</v>
      </c>
      <c r="F6" s="7" t="s">
        <v>19</v>
      </c>
      <c r="G6" s="5"/>
      <c r="H6" s="5"/>
      <c r="I6" s="5"/>
      <c r="J6" s="7">
        <v>30</v>
      </c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 t="s">
        <v>18</v>
      </c>
      <c r="C6" s="27" t="s">
        <v>24</v>
      </c>
      <c r="D6" s="7"/>
      <c r="E6" s="25"/>
      <c r="F6" s="5"/>
      <c r="G6" s="5"/>
      <c r="H6" s="28">
        <v>10014.0056</v>
      </c>
      <c r="I6" s="28">
        <v>10</v>
      </c>
      <c r="J6" s="5"/>
      <c r="K6" s="5"/>
      <c r="L6" s="5"/>
      <c r="M6" s="28">
        <v>1000</v>
      </c>
      <c r="N6" s="27" t="s">
        <v>34</v>
      </c>
      <c r="O6" s="5"/>
      <c r="P6" s="27" t="s">
        <v>17</v>
      </c>
      <c r="R6" s="27" t="s">
        <v>16</v>
      </c>
      <c r="T6" s="28">
        <v>14.005599999999999</v>
      </c>
      <c r="V6" s="27" t="s">
        <v>17</v>
      </c>
      <c r="X6" s="28">
        <v>10.014005600000001</v>
      </c>
      <c r="Y6" s="28">
        <v>10.014005600000001</v>
      </c>
      <c r="Z6" s="28">
        <v>10</v>
      </c>
    </row>
    <row r="7" spans="1:154" ht="15.75" customHeight="1">
      <c r="A7" s="5"/>
      <c r="B7" s="27" t="s">
        <v>19</v>
      </c>
      <c r="C7" s="27" t="s">
        <v>24</v>
      </c>
      <c r="D7" s="5"/>
      <c r="E7" s="5"/>
      <c r="F7" s="5"/>
      <c r="G7" s="5"/>
      <c r="H7" s="28">
        <v>22514.012599999998</v>
      </c>
      <c r="I7" s="28">
        <v>15</v>
      </c>
      <c r="J7" s="5"/>
      <c r="K7" s="5"/>
      <c r="L7" s="5"/>
      <c r="M7" s="28">
        <v>1500</v>
      </c>
      <c r="N7" s="27" t="s">
        <v>34</v>
      </c>
      <c r="O7" s="5"/>
      <c r="P7" s="27" t="s">
        <v>17</v>
      </c>
      <c r="R7" s="27" t="s">
        <v>16</v>
      </c>
      <c r="T7" s="28">
        <v>14.012600000000001</v>
      </c>
      <c r="V7" s="27" t="s">
        <v>17</v>
      </c>
      <c r="X7" s="28">
        <v>15.009341733333301</v>
      </c>
      <c r="Y7" s="28">
        <v>15.009341733333301</v>
      </c>
      <c r="Z7" s="28">
        <v>15</v>
      </c>
    </row>
    <row r="8" spans="1:154" ht="15.75" customHeight="1">
      <c r="A8" s="5"/>
      <c r="B8" s="27" t="s">
        <v>20</v>
      </c>
      <c r="C8" s="27" t="s">
        <v>24</v>
      </c>
      <c r="D8" s="5"/>
      <c r="E8" s="5"/>
      <c r="F8" s="5"/>
      <c r="G8" s="5"/>
      <c r="H8" s="28">
        <v>40014.022400000002</v>
      </c>
      <c r="I8" s="28">
        <v>20</v>
      </c>
      <c r="J8" s="5"/>
      <c r="K8" s="5"/>
      <c r="L8" s="5"/>
      <c r="M8" s="28">
        <v>2000</v>
      </c>
      <c r="N8" s="27" t="s">
        <v>34</v>
      </c>
      <c r="O8" s="5"/>
      <c r="P8" s="27" t="s">
        <v>17</v>
      </c>
      <c r="R8" s="27" t="s">
        <v>16</v>
      </c>
      <c r="T8" s="28">
        <v>14.022399999999999</v>
      </c>
      <c r="V8" s="27" t="s">
        <v>17</v>
      </c>
      <c r="X8" s="28">
        <v>20.007011200000001</v>
      </c>
      <c r="Y8" s="28">
        <v>20.007011200000001</v>
      </c>
      <c r="Z8" s="28">
        <v>20</v>
      </c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27"/>
      <c r="Z9" s="27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6" t="s">
        <v>19</v>
      </c>
      <c r="C6" s="27" t="s">
        <v>24</v>
      </c>
      <c r="D6" s="7"/>
      <c r="E6" s="25"/>
      <c r="F6" s="5"/>
      <c r="G6" s="5"/>
      <c r="H6" s="6">
        <v>134985.92439999999</v>
      </c>
      <c r="I6" s="6">
        <v>30</v>
      </c>
      <c r="J6" s="5"/>
      <c r="K6" s="5"/>
      <c r="L6" s="5"/>
      <c r="M6" s="6">
        <v>4500</v>
      </c>
      <c r="N6" s="6" t="s">
        <v>34</v>
      </c>
      <c r="O6" s="5"/>
      <c r="P6" s="6" t="s">
        <v>29</v>
      </c>
      <c r="R6" s="6" t="s">
        <v>16</v>
      </c>
      <c r="T6" s="6">
        <v>14.0756</v>
      </c>
      <c r="V6" s="6" t="s">
        <v>29</v>
      </c>
      <c r="X6" s="6">
        <v>29.9968720888889</v>
      </c>
      <c r="Y6" s="6">
        <v>29.9968720888889</v>
      </c>
      <c r="Z6" s="6">
        <v>30</v>
      </c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36</v>
      </c>
      <c r="D3" s="2" t="s">
        <v>9</v>
      </c>
      <c r="E3" s="17" t="s">
        <v>37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10</v>
      </c>
      <c r="E6" s="25"/>
      <c r="F6" s="5"/>
      <c r="G6" s="5"/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24</v>
      </c>
      <c r="AI6" s="6" t="s">
        <v>16</v>
      </c>
      <c r="AJ6" s="6" t="s">
        <v>17</v>
      </c>
      <c r="AK6" s="6" t="s">
        <v>38</v>
      </c>
      <c r="AL6" s="6">
        <v>1000</v>
      </c>
      <c r="AM6" s="6">
        <v>1000</v>
      </c>
      <c r="AN6" s="6">
        <v>100</v>
      </c>
      <c r="AO6" s="6">
        <v>1000</v>
      </c>
      <c r="AQ6" s="6">
        <v>10</v>
      </c>
      <c r="AR6" s="6">
        <v>10</v>
      </c>
      <c r="AS6" s="6" t="s">
        <v>39</v>
      </c>
      <c r="AT6" s="6" t="s">
        <v>18</v>
      </c>
      <c r="AU6" s="6" t="s">
        <v>40</v>
      </c>
      <c r="AY6" s="6">
        <v>1000</v>
      </c>
      <c r="AZ6" s="6">
        <v>0</v>
      </c>
    </row>
    <row r="7" spans="1:154" ht="15.75" customHeight="1">
      <c r="A7" s="5"/>
      <c r="B7" s="5"/>
      <c r="C7" s="5"/>
      <c r="D7" s="7">
        <v>15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24</v>
      </c>
      <c r="AI7" s="6" t="s">
        <v>16</v>
      </c>
      <c r="AJ7" s="6" t="s">
        <v>17</v>
      </c>
      <c r="AK7" s="6" t="s">
        <v>38</v>
      </c>
      <c r="AL7" s="6">
        <v>1500</v>
      </c>
      <c r="AM7" s="6">
        <v>1500</v>
      </c>
      <c r="AN7" s="6">
        <v>100</v>
      </c>
      <c r="AO7" s="6">
        <v>1500</v>
      </c>
      <c r="AQ7" s="6">
        <v>15</v>
      </c>
      <c r="AR7" s="6">
        <v>15</v>
      </c>
      <c r="AS7" s="6" t="s">
        <v>39</v>
      </c>
      <c r="AT7" s="6" t="s">
        <v>19</v>
      </c>
      <c r="AU7" s="6" t="s">
        <v>40</v>
      </c>
      <c r="AY7" s="6">
        <v>1500</v>
      </c>
      <c r="AZ7" s="6">
        <v>0</v>
      </c>
    </row>
    <row r="8" spans="1:154" ht="15.75" customHeight="1">
      <c r="A8" s="5"/>
      <c r="B8" s="5"/>
      <c r="C8" s="5"/>
      <c r="D8" s="7">
        <v>20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AD8" s="6">
        <v>1</v>
      </c>
      <c r="AH8" s="6" t="s">
        <v>24</v>
      </c>
      <c r="AI8" s="6" t="s">
        <v>16</v>
      </c>
      <c r="AJ8" s="6" t="s">
        <v>17</v>
      </c>
      <c r="AK8" s="6" t="s">
        <v>38</v>
      </c>
      <c r="AL8" s="6">
        <v>2000</v>
      </c>
      <c r="AM8" s="6">
        <v>2000</v>
      </c>
      <c r="AN8" s="6">
        <v>100</v>
      </c>
      <c r="AO8" s="6">
        <v>2000</v>
      </c>
      <c r="AQ8" s="6">
        <v>20</v>
      </c>
      <c r="AR8" s="6">
        <v>20</v>
      </c>
      <c r="AS8" s="6" t="s">
        <v>39</v>
      </c>
      <c r="AT8" s="6" t="s">
        <v>20</v>
      </c>
      <c r="AU8" s="6" t="s">
        <v>40</v>
      </c>
      <c r="AY8" s="6">
        <v>2000</v>
      </c>
      <c r="AZ8" s="6">
        <v>0</v>
      </c>
    </row>
    <row r="9" spans="1:154" ht="15.75" customHeight="1">
      <c r="A9" s="5"/>
      <c r="B9" s="5"/>
      <c r="C9" s="5"/>
      <c r="D9" s="7">
        <v>30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AD9" s="6">
        <v>1</v>
      </c>
      <c r="AH9" s="6" t="s">
        <v>24</v>
      </c>
      <c r="AI9" s="6" t="s">
        <v>16</v>
      </c>
      <c r="AJ9" s="6" t="s">
        <v>29</v>
      </c>
      <c r="AK9" s="6" t="s">
        <v>38</v>
      </c>
      <c r="AL9" s="6">
        <v>4500</v>
      </c>
      <c r="AM9" s="6">
        <v>4500</v>
      </c>
      <c r="AN9" s="6">
        <v>100</v>
      </c>
      <c r="AO9" s="6">
        <v>4500</v>
      </c>
      <c r="AQ9" s="6">
        <v>30</v>
      </c>
      <c r="AR9" s="6">
        <v>30</v>
      </c>
      <c r="AS9" s="6" t="s">
        <v>39</v>
      </c>
      <c r="AT9" s="6" t="s">
        <v>19</v>
      </c>
      <c r="AU9" s="6" t="s">
        <v>40</v>
      </c>
      <c r="AY9" s="6">
        <v>4500</v>
      </c>
      <c r="AZ9" s="6">
        <v>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41</v>
      </c>
      <c r="D3" s="2" t="s">
        <v>9</v>
      </c>
      <c r="E3" s="17" t="s">
        <v>42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32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41</v>
      </c>
      <c r="D3" s="2" t="s">
        <v>9</v>
      </c>
      <c r="E3" s="17" t="s">
        <v>43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29" t="s">
        <v>18</v>
      </c>
      <c r="C6" s="30"/>
      <c r="D6" s="30">
        <v>0</v>
      </c>
      <c r="E6" s="30">
        <v>1000</v>
      </c>
      <c r="F6" s="5"/>
      <c r="G6" s="5"/>
      <c r="H6" s="30">
        <v>4</v>
      </c>
      <c r="I6" s="30">
        <v>5</v>
      </c>
      <c r="J6" s="5"/>
      <c r="K6" s="30">
        <v>10</v>
      </c>
      <c r="L6" s="30">
        <v>10</v>
      </c>
      <c r="M6" s="5"/>
      <c r="N6" s="5"/>
      <c r="O6" s="7" t="s">
        <v>39</v>
      </c>
      <c r="R6" s="30">
        <v>0</v>
      </c>
      <c r="S6" s="31" t="s">
        <v>44</v>
      </c>
      <c r="T6" s="30">
        <v>0</v>
      </c>
      <c r="U6" s="30">
        <v>0</v>
      </c>
      <c r="V6" s="31" t="s">
        <v>34</v>
      </c>
      <c r="Z6" s="31" t="s">
        <v>45</v>
      </c>
      <c r="AE6" s="30">
        <v>1000</v>
      </c>
      <c r="AH6" s="31" t="s">
        <v>46</v>
      </c>
      <c r="AI6" s="6">
        <v>1</v>
      </c>
      <c r="AT6" s="30">
        <v>10014.0056</v>
      </c>
      <c r="AU6" s="30">
        <v>10014.0056</v>
      </c>
      <c r="AW6" s="32">
        <v>0</v>
      </c>
      <c r="AX6" s="32">
        <v>0</v>
      </c>
      <c r="AY6" s="6" t="s">
        <v>40</v>
      </c>
      <c r="AZ6" s="32">
        <v>0</v>
      </c>
      <c r="BC6" s="32">
        <v>0</v>
      </c>
      <c r="BE6" s="30">
        <v>10000</v>
      </c>
      <c r="BF6" s="30">
        <v>10000</v>
      </c>
      <c r="BJ6" s="30">
        <v>1000</v>
      </c>
      <c r="BO6" s="6" t="s">
        <v>17</v>
      </c>
      <c r="BP6" s="32">
        <v>0</v>
      </c>
      <c r="BQ6" s="32">
        <v>0</v>
      </c>
      <c r="BT6" s="6" t="s">
        <v>16</v>
      </c>
      <c r="BU6" s="30">
        <v>3</v>
      </c>
      <c r="BV6" s="30">
        <v>0</v>
      </c>
      <c r="BW6" s="30">
        <v>14.005599999999999</v>
      </c>
      <c r="BX6" s="30">
        <v>0</v>
      </c>
      <c r="CJ6" s="30">
        <v>0</v>
      </c>
    </row>
    <row r="7" spans="1:154" ht="15.75" customHeight="1">
      <c r="A7" s="5"/>
      <c r="B7" s="31" t="s">
        <v>19</v>
      </c>
      <c r="C7" s="30"/>
      <c r="D7" s="30">
        <v>0</v>
      </c>
      <c r="E7" s="30">
        <v>1500</v>
      </c>
      <c r="F7" s="5"/>
      <c r="G7" s="5"/>
      <c r="H7" s="30">
        <v>4</v>
      </c>
      <c r="I7" s="30">
        <v>5</v>
      </c>
      <c r="J7" s="5"/>
      <c r="K7" s="30">
        <v>15</v>
      </c>
      <c r="L7" s="30">
        <v>15</v>
      </c>
      <c r="M7" s="5"/>
      <c r="N7" s="5"/>
      <c r="O7" s="7" t="s">
        <v>39</v>
      </c>
      <c r="R7" s="30">
        <v>0</v>
      </c>
      <c r="S7" s="31" t="s">
        <v>44</v>
      </c>
      <c r="T7" s="30">
        <v>0</v>
      </c>
      <c r="U7" s="30">
        <v>0</v>
      </c>
      <c r="V7" s="31" t="s">
        <v>34</v>
      </c>
      <c r="Z7" s="31" t="s">
        <v>45</v>
      </c>
      <c r="AE7" s="30">
        <v>1500</v>
      </c>
      <c r="AH7" s="31" t="s">
        <v>46</v>
      </c>
      <c r="AI7" s="6">
        <v>1</v>
      </c>
      <c r="AT7" s="30">
        <v>22514.012599999998</v>
      </c>
      <c r="AU7" s="30">
        <v>22514.012599999998</v>
      </c>
      <c r="AW7" s="30">
        <v>0</v>
      </c>
      <c r="AX7" s="30">
        <v>0</v>
      </c>
      <c r="AY7" s="6" t="s">
        <v>40</v>
      </c>
      <c r="AZ7" s="30">
        <v>0</v>
      </c>
      <c r="BC7" s="30">
        <v>0</v>
      </c>
      <c r="BE7" s="30">
        <v>22500</v>
      </c>
      <c r="BF7" s="30">
        <v>22500</v>
      </c>
      <c r="BJ7" s="30">
        <v>1500</v>
      </c>
      <c r="BO7" s="6" t="s">
        <v>17</v>
      </c>
      <c r="BP7" s="30">
        <v>0</v>
      </c>
      <c r="BQ7" s="30">
        <v>0</v>
      </c>
      <c r="BT7" s="6" t="s">
        <v>16</v>
      </c>
      <c r="BU7" s="30">
        <v>3</v>
      </c>
      <c r="BV7" s="30">
        <v>0</v>
      </c>
      <c r="BW7" s="30">
        <v>14.012600000000001</v>
      </c>
      <c r="BX7" s="30">
        <v>0</v>
      </c>
      <c r="CJ7" s="30">
        <v>0</v>
      </c>
    </row>
    <row r="8" spans="1:154" ht="15.75" customHeight="1">
      <c r="A8" s="5"/>
      <c r="B8" s="31" t="s">
        <v>20</v>
      </c>
      <c r="C8" s="30"/>
      <c r="D8" s="30">
        <v>0</v>
      </c>
      <c r="E8" s="30">
        <v>2000</v>
      </c>
      <c r="F8" s="5"/>
      <c r="G8" s="5"/>
      <c r="H8" s="30">
        <v>4</v>
      </c>
      <c r="I8" s="30">
        <v>5</v>
      </c>
      <c r="J8" s="5"/>
      <c r="K8" s="30">
        <v>20</v>
      </c>
      <c r="L8" s="30">
        <v>20</v>
      </c>
      <c r="M8" s="5"/>
      <c r="N8" s="5"/>
      <c r="O8" s="7" t="s">
        <v>39</v>
      </c>
      <c r="R8" s="30">
        <v>0</v>
      </c>
      <c r="S8" s="31" t="s">
        <v>44</v>
      </c>
      <c r="T8" s="30">
        <v>0</v>
      </c>
      <c r="U8" s="30">
        <v>0</v>
      </c>
      <c r="V8" s="31" t="s">
        <v>34</v>
      </c>
      <c r="Z8" s="31" t="s">
        <v>45</v>
      </c>
      <c r="AE8" s="30">
        <v>2000</v>
      </c>
      <c r="AH8" s="31" t="s">
        <v>46</v>
      </c>
      <c r="AI8" s="6">
        <v>1</v>
      </c>
      <c r="AT8" s="30">
        <v>40014.022400000002</v>
      </c>
      <c r="AU8" s="30">
        <v>40014.022400000002</v>
      </c>
      <c r="AW8" s="30">
        <v>0</v>
      </c>
      <c r="AX8" s="30">
        <v>0</v>
      </c>
      <c r="AY8" s="6" t="s">
        <v>40</v>
      </c>
      <c r="AZ8" s="30">
        <v>0</v>
      </c>
      <c r="BC8" s="30">
        <v>0</v>
      </c>
      <c r="BE8" s="30">
        <v>40000</v>
      </c>
      <c r="BF8" s="30">
        <v>40000</v>
      </c>
      <c r="BJ8" s="30">
        <v>2000</v>
      </c>
      <c r="BO8" s="6" t="s">
        <v>17</v>
      </c>
      <c r="BP8" s="30">
        <v>0</v>
      </c>
      <c r="BQ8" s="30">
        <v>0</v>
      </c>
      <c r="BT8" s="6" t="s">
        <v>16</v>
      </c>
      <c r="BU8" s="30">
        <v>3</v>
      </c>
      <c r="BV8" s="30">
        <v>0</v>
      </c>
      <c r="BW8" s="30">
        <v>14.022399999999999</v>
      </c>
      <c r="BX8" s="30">
        <v>0</v>
      </c>
      <c r="CJ8" s="30">
        <v>0</v>
      </c>
    </row>
    <row r="9" spans="1:154" ht="15.75" customHeight="1">
      <c r="A9" s="5"/>
      <c r="B9" s="31" t="s">
        <v>19</v>
      </c>
      <c r="C9" s="30"/>
      <c r="D9" s="30">
        <v>0</v>
      </c>
      <c r="E9" s="30">
        <v>4500</v>
      </c>
      <c r="F9" s="5"/>
      <c r="G9" s="5"/>
      <c r="H9" s="30">
        <v>4</v>
      </c>
      <c r="I9" s="30">
        <v>5</v>
      </c>
      <c r="J9" s="5"/>
      <c r="K9" s="30">
        <v>30</v>
      </c>
      <c r="L9" s="30">
        <v>30</v>
      </c>
      <c r="M9" s="5"/>
      <c r="N9" s="5"/>
      <c r="O9" s="7" t="s">
        <v>39</v>
      </c>
      <c r="R9" s="30">
        <v>0</v>
      </c>
      <c r="S9" s="31" t="s">
        <v>44</v>
      </c>
      <c r="T9" s="30">
        <v>0</v>
      </c>
      <c r="U9" s="30">
        <v>0</v>
      </c>
      <c r="V9" s="31" t="s">
        <v>34</v>
      </c>
      <c r="Z9" s="31" t="s">
        <v>45</v>
      </c>
      <c r="AE9" s="30">
        <v>4500</v>
      </c>
      <c r="AH9" s="31" t="s">
        <v>46</v>
      </c>
      <c r="AI9" s="6">
        <v>1</v>
      </c>
      <c r="AT9" s="30">
        <v>134985.92439999999</v>
      </c>
      <c r="AU9" s="30">
        <v>134985.92439999999</v>
      </c>
      <c r="AW9" s="30">
        <v>0</v>
      </c>
      <c r="AX9" s="30">
        <v>0</v>
      </c>
      <c r="AY9" s="6" t="s">
        <v>40</v>
      </c>
      <c r="AZ9" s="30">
        <v>0</v>
      </c>
      <c r="BC9" s="30">
        <v>0</v>
      </c>
      <c r="BE9" s="30">
        <v>135000</v>
      </c>
      <c r="BF9" s="30">
        <v>135000</v>
      </c>
      <c r="BJ9" s="30">
        <v>4500</v>
      </c>
      <c r="BO9" s="6" t="s">
        <v>29</v>
      </c>
      <c r="BP9" s="30">
        <v>0</v>
      </c>
      <c r="BQ9" s="30">
        <v>0</v>
      </c>
      <c r="BT9" s="6" t="s">
        <v>16</v>
      </c>
      <c r="BU9" s="30">
        <v>3</v>
      </c>
      <c r="BV9" s="30">
        <v>0</v>
      </c>
      <c r="BW9" s="30">
        <v>14.0756</v>
      </c>
      <c r="BX9" s="30">
        <v>0</v>
      </c>
      <c r="CJ9" s="30">
        <v>0</v>
      </c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BU10" s="30"/>
      <c r="BV10" s="33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BV11" s="31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opLeftCell="BC1" workbookViewId="0">
      <selection activeCell="BK6" sqref="BK6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9.140625" customWidth="1"/>
    <col min="64" max="167" width="14.42578125" customWidth="1"/>
  </cols>
  <sheetData>
    <row r="1" spans="1:167" ht="15.75" customHeight="1">
      <c r="A1" s="13"/>
      <c r="B1" s="36" t="s">
        <v>11</v>
      </c>
      <c r="C1" s="37"/>
      <c r="D1" s="37"/>
      <c r="E1" s="37"/>
      <c r="F1" s="37"/>
      <c r="G1" s="37"/>
      <c r="H1" s="38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IFERROR(__xludf.DUMMYFUNCTION("""COMPUTED_VALUE"""),"OpenCreateTransactionFromPM")</f>
        <v>OpenCreateTransactionFromPM</v>
      </c>
      <c r="M4" s="19" t="str">
        <f ca="1">IFERROR(__xludf.DUMMYFUNCTION("""COMPUTED_VALUE"""),"OpenClosingFromPM")</f>
        <v>OpenClosingFromPM</v>
      </c>
      <c r="N4" s="19" t="str">
        <f ca="1">IFERROR(__xludf.DUMMYFUNCTION("""COMPUTED_VALUE"""),"OpenCorporateActionFromPM")</f>
        <v>OpenCorporateActionFromPM</v>
      </c>
      <c r="O4" s="19" t="str">
        <f ca="1">IFERROR(__xludf.DUMMYFUNCTION("""COMPUTED_VALUE"""),"OpenDailyValuationFromPM")</f>
        <v>OpenDailyValuationFromPM</v>
      </c>
      <c r="P4" s="20" t="str">
        <f ca="1">IFERROR(__xludf.DUMMYFUNCTION("""COMPUTED_VALUE"""),"ClosePositionFromPM")</f>
        <v>ClosePositionFromPM</v>
      </c>
      <c r="Q4" s="20" t="str">
        <f ca="1">IFERROR(__xludf.DUMMYFUNCTION("""COMPUTED_VALUE"""),"ShowSummaryToolFromPM")</f>
        <v>ShowSummaryToolFromPM</v>
      </c>
      <c r="R4" s="20" t="str">
        <f ca="1">IFERROR(__xludf.DUMMYFUNCTION("""COMPUTED_VALUE"""),"HideSummaryToolFromPM")</f>
        <v>HideSummaryToolFromPM</v>
      </c>
      <c r="S4" s="20" t="str">
        <f ca="1">IFERROR(__xludf.DUMMYFUNCTION("""COMPUTED_VALUE"""),"CloseAccountPositionFromPM")</f>
        <v>CloseAccountPositionFromPM</v>
      </c>
      <c r="T4" s="20" t="str">
        <f ca="1">IFERROR(__xludf.DUMMYFUNCTION("""COMPUTED_VALUE"""),"CloseSelectedTaxlotsFromPM")</f>
        <v>CloseSelectedTaxlotsFromPM</v>
      </c>
      <c r="U4" s="20" t="str">
        <f ca="1">IFERROR(__xludf.DUMMYFUNCTION("""COMPUTED_VALUE"""),"ExpandCollapsePM")</f>
        <v>ExpandCollapsePM</v>
      </c>
      <c r="V4" s="20" t="str">
        <f ca="1">IFERROR(__xludf.DUMMYFUNCTION("""COMPUTED_VALUE"""),"AddCustomViewPM")</f>
        <v>AddCustomViewPM</v>
      </c>
      <c r="W4" s="20" t="str">
        <f ca="1">IFERROR(__xludf.DUMMYFUNCTION("""COMPUTED_VALUE"""),"AddCustomViewRightClickPM")</f>
        <v>AddCustomViewRightClickPM</v>
      </c>
      <c r="X4" s="20" t="str">
        <f ca="1">IFERROR(__xludf.DUMMYFUNCTION("""COMPUTED_VALUE"""),"RenameCustomViewPM")</f>
        <v>RenameCustomViewPM</v>
      </c>
      <c r="Y4" s="20" t="str">
        <f ca="1">IFERROR(__xludf.DUMMYFUNCTION("""COMPUTED_VALUE"""),"DeleteCustomViewPM")</f>
        <v>DeleteCustomViewPM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16</v>
      </c>
      <c r="D6" s="7">
        <v>1000</v>
      </c>
      <c r="E6" s="7" t="s">
        <v>18</v>
      </c>
      <c r="F6" s="5"/>
      <c r="G6" s="7">
        <v>10</v>
      </c>
      <c r="H6" s="7" t="s">
        <v>47</v>
      </c>
      <c r="I6" s="7">
        <v>0</v>
      </c>
      <c r="J6" s="5"/>
      <c r="K6" s="5"/>
      <c r="L6" s="5"/>
      <c r="M6" s="5"/>
      <c r="N6" s="34">
        <v>-10000</v>
      </c>
      <c r="O6" s="5"/>
      <c r="Q6" s="34">
        <v>-10000</v>
      </c>
      <c r="T6" s="6" t="s">
        <v>24</v>
      </c>
      <c r="W6" s="6" t="s">
        <v>45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35">
        <v>1000</v>
      </c>
      <c r="AG6" s="6">
        <v>0</v>
      </c>
      <c r="AH6" s="6">
        <v>0</v>
      </c>
      <c r="AI6" s="6">
        <v>0</v>
      </c>
      <c r="AJ6" s="6">
        <v>0</v>
      </c>
      <c r="AK6" s="34">
        <v>-10000</v>
      </c>
      <c r="AL6" s="6">
        <v>1</v>
      </c>
      <c r="AM6" s="6">
        <v>1</v>
      </c>
      <c r="AN6" s="6" t="s">
        <v>17</v>
      </c>
      <c r="AP6" s="6" t="s">
        <v>48</v>
      </c>
      <c r="AQ6" s="6" t="s">
        <v>16</v>
      </c>
      <c r="AR6" s="6">
        <v>0</v>
      </c>
      <c r="AV6" s="6">
        <v>1</v>
      </c>
      <c r="AW6" s="34">
        <v>-10000</v>
      </c>
      <c r="AX6" s="6">
        <v>0</v>
      </c>
      <c r="AY6" s="6">
        <v>0</v>
      </c>
      <c r="AZ6" s="6">
        <v>0</v>
      </c>
      <c r="BC6" s="6">
        <v>1</v>
      </c>
      <c r="BD6" s="34">
        <v>-10000</v>
      </c>
      <c r="BJ6" s="6">
        <v>0</v>
      </c>
      <c r="BK6" s="6">
        <v>0</v>
      </c>
      <c r="BL6" s="6">
        <v>0</v>
      </c>
      <c r="BM6" s="6">
        <v>0</v>
      </c>
      <c r="BO6" s="34">
        <v>-10000</v>
      </c>
      <c r="BP6" s="6">
        <v>0</v>
      </c>
      <c r="BR6" s="6" t="s">
        <v>39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34">
        <v>-10000</v>
      </c>
      <c r="CE6" s="6">
        <v>0</v>
      </c>
      <c r="CF6" s="6">
        <v>0</v>
      </c>
      <c r="CG6" s="34">
        <v>-10000</v>
      </c>
      <c r="CI6" s="6">
        <v>0</v>
      </c>
      <c r="CJ6" s="6">
        <v>0</v>
      </c>
      <c r="CS6" s="6">
        <v>10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17</v>
      </c>
      <c r="DK6" s="6">
        <v>0</v>
      </c>
      <c r="DL6" s="6">
        <v>0</v>
      </c>
      <c r="DM6" s="6">
        <v>1</v>
      </c>
      <c r="DN6" s="6">
        <v>0</v>
      </c>
      <c r="EF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7" ht="15.75" customHeight="1">
      <c r="A7" s="5"/>
      <c r="B7" s="5"/>
      <c r="C7" s="7" t="s">
        <v>16</v>
      </c>
      <c r="D7" s="7">
        <v>1500</v>
      </c>
      <c r="E7" s="7" t="s">
        <v>19</v>
      </c>
      <c r="F7" s="5"/>
      <c r="G7" s="7">
        <v>15</v>
      </c>
      <c r="H7" s="7" t="s">
        <v>47</v>
      </c>
      <c r="I7" s="7">
        <v>0</v>
      </c>
      <c r="J7" s="5"/>
      <c r="K7" s="5"/>
      <c r="L7" s="5"/>
      <c r="M7" s="5"/>
      <c r="N7" s="34">
        <v>-22500</v>
      </c>
      <c r="O7" s="5"/>
      <c r="Q7" s="34">
        <v>-22500</v>
      </c>
      <c r="T7" s="6" t="s">
        <v>24</v>
      </c>
      <c r="W7" s="6" t="s">
        <v>45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35">
        <v>1500</v>
      </c>
      <c r="AG7" s="6">
        <v>0</v>
      </c>
      <c r="AH7" s="6">
        <v>0</v>
      </c>
      <c r="AI7" s="6">
        <v>0</v>
      </c>
      <c r="AJ7" s="6">
        <v>0</v>
      </c>
      <c r="AK7" s="34">
        <v>-22500</v>
      </c>
      <c r="AL7" s="6">
        <v>1</v>
      </c>
      <c r="AM7" s="6">
        <v>1</v>
      </c>
      <c r="AN7" s="6" t="s">
        <v>17</v>
      </c>
      <c r="AP7" s="6" t="s">
        <v>48</v>
      </c>
      <c r="AQ7" s="6" t="s">
        <v>16</v>
      </c>
      <c r="AR7" s="6">
        <v>0</v>
      </c>
      <c r="AV7" s="6">
        <v>1</v>
      </c>
      <c r="AW7" s="34">
        <v>-22500</v>
      </c>
      <c r="AX7" s="6">
        <v>0</v>
      </c>
      <c r="AY7" s="6">
        <v>0</v>
      </c>
      <c r="AZ7" s="6">
        <v>0</v>
      </c>
      <c r="BC7" s="6">
        <v>1</v>
      </c>
      <c r="BD7" s="34">
        <v>-22500</v>
      </c>
      <c r="BJ7" s="6">
        <v>0</v>
      </c>
      <c r="BK7" s="6">
        <v>0</v>
      </c>
      <c r="BL7" s="6">
        <v>0</v>
      </c>
      <c r="BM7" s="6">
        <v>0</v>
      </c>
      <c r="BO7" s="34">
        <v>-22500</v>
      </c>
      <c r="BP7" s="6">
        <v>0</v>
      </c>
      <c r="BR7" s="6" t="s">
        <v>39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34">
        <v>-22500</v>
      </c>
      <c r="CE7" s="6">
        <v>0</v>
      </c>
      <c r="CF7" s="6">
        <v>0</v>
      </c>
      <c r="CG7" s="34">
        <v>-22500</v>
      </c>
      <c r="CI7" s="6">
        <v>0</v>
      </c>
      <c r="CJ7" s="6">
        <v>0</v>
      </c>
      <c r="CS7" s="6">
        <v>15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17</v>
      </c>
      <c r="DK7" s="6">
        <v>0</v>
      </c>
      <c r="DL7" s="6">
        <v>0</v>
      </c>
      <c r="DM7" s="6">
        <v>1</v>
      </c>
      <c r="DN7" s="6">
        <v>0</v>
      </c>
      <c r="EF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7" ht="15.75" customHeight="1">
      <c r="A8" s="5"/>
      <c r="B8" s="5"/>
      <c r="C8" s="7" t="s">
        <v>16</v>
      </c>
      <c r="D8" s="7">
        <v>2000</v>
      </c>
      <c r="E8" s="7" t="s">
        <v>20</v>
      </c>
      <c r="F8" s="5"/>
      <c r="G8" s="7">
        <v>20</v>
      </c>
      <c r="H8" s="7" t="s">
        <v>47</v>
      </c>
      <c r="I8" s="7">
        <v>0</v>
      </c>
      <c r="J8" s="5"/>
      <c r="K8" s="5"/>
      <c r="L8" s="5"/>
      <c r="M8" s="5"/>
      <c r="N8" s="34">
        <v>-40000</v>
      </c>
      <c r="O8" s="5"/>
      <c r="Q8" s="34">
        <v>-40000</v>
      </c>
      <c r="T8" s="6" t="s">
        <v>24</v>
      </c>
      <c r="W8" s="6" t="s">
        <v>45</v>
      </c>
      <c r="Y8" s="6">
        <v>1</v>
      </c>
      <c r="AB8" s="6">
        <v>0</v>
      </c>
      <c r="AC8" s="6">
        <v>0</v>
      </c>
      <c r="AD8" s="6">
        <v>0</v>
      </c>
      <c r="AE8" s="6">
        <v>0</v>
      </c>
      <c r="AF8" s="35">
        <v>2000</v>
      </c>
      <c r="AG8" s="6">
        <v>0</v>
      </c>
      <c r="AH8" s="6">
        <v>0</v>
      </c>
      <c r="AI8" s="6">
        <v>0</v>
      </c>
      <c r="AJ8" s="6">
        <v>0</v>
      </c>
      <c r="AK8" s="34">
        <v>-40000</v>
      </c>
      <c r="AL8" s="6">
        <v>1</v>
      </c>
      <c r="AM8" s="6">
        <v>1</v>
      </c>
      <c r="AN8" s="6" t="s">
        <v>17</v>
      </c>
      <c r="AP8" s="6" t="s">
        <v>48</v>
      </c>
      <c r="AQ8" s="6" t="s">
        <v>16</v>
      </c>
      <c r="AR8" s="6">
        <v>0</v>
      </c>
      <c r="AV8" s="6">
        <v>1</v>
      </c>
      <c r="AW8" s="34">
        <v>-40000</v>
      </c>
      <c r="AX8" s="6">
        <v>0</v>
      </c>
      <c r="AY8" s="6">
        <v>0</v>
      </c>
      <c r="AZ8" s="6">
        <v>0</v>
      </c>
      <c r="BC8" s="6">
        <v>1</v>
      </c>
      <c r="BD8" s="34">
        <v>-40000</v>
      </c>
      <c r="BJ8" s="6">
        <v>0</v>
      </c>
      <c r="BK8" s="6">
        <v>0</v>
      </c>
      <c r="BL8" s="6">
        <v>0</v>
      </c>
      <c r="BM8" s="6">
        <v>0</v>
      </c>
      <c r="BO8" s="34">
        <v>-40000</v>
      </c>
      <c r="BP8" s="6">
        <v>0</v>
      </c>
      <c r="BR8" s="6" t="s">
        <v>39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34">
        <v>-40000</v>
      </c>
      <c r="CE8" s="6">
        <v>0</v>
      </c>
      <c r="CF8" s="6">
        <v>0</v>
      </c>
      <c r="CG8" s="34">
        <v>-40000</v>
      </c>
      <c r="CI8" s="6">
        <v>0</v>
      </c>
      <c r="CJ8" s="6">
        <v>0</v>
      </c>
      <c r="CS8" s="6">
        <v>20</v>
      </c>
      <c r="DA8" s="6">
        <v>0</v>
      </c>
      <c r="DB8" s="6">
        <v>0</v>
      </c>
      <c r="DE8" s="6">
        <v>0</v>
      </c>
      <c r="DF8" s="6">
        <v>0</v>
      </c>
      <c r="DG8" s="6">
        <v>0</v>
      </c>
      <c r="DI8" s="6">
        <v>0</v>
      </c>
      <c r="DJ8" s="6" t="s">
        <v>17</v>
      </c>
      <c r="DK8" s="6">
        <v>0</v>
      </c>
      <c r="DL8" s="6">
        <v>0</v>
      </c>
      <c r="DM8" s="6">
        <v>1</v>
      </c>
      <c r="DN8" s="6">
        <v>0</v>
      </c>
      <c r="EF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  <c r="EQ8" s="6">
        <v>0</v>
      </c>
      <c r="ER8" s="6">
        <v>0</v>
      </c>
    </row>
    <row r="9" spans="1:167" ht="15.75" customHeight="1">
      <c r="A9" s="5"/>
      <c r="B9" s="5"/>
      <c r="C9" s="7" t="s">
        <v>16</v>
      </c>
      <c r="D9" s="7">
        <v>-4500</v>
      </c>
      <c r="E9" s="7" t="s">
        <v>19</v>
      </c>
      <c r="F9" s="5"/>
      <c r="G9" s="7">
        <v>30</v>
      </c>
      <c r="H9" s="7" t="s">
        <v>47</v>
      </c>
      <c r="I9" s="7">
        <v>0</v>
      </c>
      <c r="J9" s="5"/>
      <c r="K9" s="5"/>
      <c r="L9" s="5"/>
      <c r="M9" s="5"/>
      <c r="N9" s="34">
        <v>135000</v>
      </c>
      <c r="O9" s="5"/>
      <c r="Q9" s="34">
        <v>135000</v>
      </c>
      <c r="T9" s="6" t="s">
        <v>24</v>
      </c>
      <c r="W9" s="6" t="s">
        <v>45</v>
      </c>
      <c r="Y9" s="6">
        <v>1</v>
      </c>
      <c r="AB9" s="6">
        <v>0</v>
      </c>
      <c r="AC9" s="6">
        <v>0</v>
      </c>
      <c r="AD9" s="6">
        <v>0</v>
      </c>
      <c r="AE9" s="6">
        <v>0</v>
      </c>
      <c r="AF9" s="35">
        <v>-4500</v>
      </c>
      <c r="AG9" s="6">
        <v>0</v>
      </c>
      <c r="AH9" s="6">
        <v>0</v>
      </c>
      <c r="AI9" s="6">
        <v>0</v>
      </c>
      <c r="AJ9" s="6">
        <v>0</v>
      </c>
      <c r="AK9" s="34">
        <v>135000</v>
      </c>
      <c r="AL9" s="6">
        <v>1</v>
      </c>
      <c r="AM9" s="6">
        <v>1</v>
      </c>
      <c r="AN9" s="6" t="s">
        <v>29</v>
      </c>
      <c r="AP9" s="6" t="s">
        <v>48</v>
      </c>
      <c r="AQ9" s="6" t="s">
        <v>16</v>
      </c>
      <c r="AR9" s="6">
        <v>0</v>
      </c>
      <c r="AV9" s="6">
        <v>1</v>
      </c>
      <c r="AW9" s="34">
        <v>135000</v>
      </c>
      <c r="AX9" s="6">
        <v>0</v>
      </c>
      <c r="AY9" s="6">
        <v>0</v>
      </c>
      <c r="AZ9" s="6">
        <v>0</v>
      </c>
      <c r="BC9" s="6">
        <v>1</v>
      </c>
      <c r="BD9" s="34">
        <v>135000</v>
      </c>
      <c r="BJ9" s="6">
        <v>0</v>
      </c>
      <c r="BK9" s="6">
        <v>0</v>
      </c>
      <c r="BL9" s="6">
        <v>0</v>
      </c>
      <c r="BM9" s="6">
        <v>0</v>
      </c>
      <c r="BO9" s="34">
        <v>135000</v>
      </c>
      <c r="BP9" s="6">
        <v>0</v>
      </c>
      <c r="BR9" s="6" t="s">
        <v>39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34">
        <v>135000</v>
      </c>
      <c r="CE9" s="6">
        <v>0</v>
      </c>
      <c r="CF9" s="6">
        <v>0</v>
      </c>
      <c r="CG9" s="34">
        <v>135000</v>
      </c>
      <c r="CI9" s="6">
        <v>0</v>
      </c>
      <c r="CJ9" s="6">
        <v>0</v>
      </c>
      <c r="CS9" s="6">
        <v>30</v>
      </c>
      <c r="DA9" s="6">
        <v>0</v>
      </c>
      <c r="DB9" s="6">
        <v>0</v>
      </c>
      <c r="DE9" s="6">
        <v>0</v>
      </c>
      <c r="DF9" s="6">
        <v>0</v>
      </c>
      <c r="DG9" s="6">
        <v>0</v>
      </c>
      <c r="DI9" s="6">
        <v>0</v>
      </c>
      <c r="DJ9" s="6" t="s">
        <v>29</v>
      </c>
      <c r="DK9" s="6">
        <v>0</v>
      </c>
      <c r="DL9" s="6">
        <v>0</v>
      </c>
      <c r="DM9" s="6">
        <v>1</v>
      </c>
      <c r="DN9" s="6">
        <v>0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  <c r="EQ9" s="6">
        <v>0</v>
      </c>
      <c r="ER9" s="6">
        <v>0</v>
      </c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_Modules</vt:lpstr>
      <vt:lpstr>_Settings</vt:lpstr>
      <vt:lpstr>_MasterData</vt:lpstr>
      <vt:lpstr>CreateDoneAwayOrder</vt:lpstr>
      <vt:lpstr>CheckPortfolioManagement</vt:lpstr>
      <vt:lpstr>FilterPM</vt:lpstr>
      <vt:lpstr>ClosePositionFromPM</vt:lpstr>
      <vt:lpstr>CreateDoneAwayOrder1</vt:lpstr>
      <vt:lpstr>GetDataClosing</vt:lpstr>
      <vt:lpstr>VerifyLongPositionsGrid</vt:lpstr>
      <vt:lpstr>VerifyShortPositionsGrid</vt:lpstr>
      <vt:lpstr>VerifyOrder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2021-08-04T11:07:31Z</dcterms:modified>
</cp:coreProperties>
</file>