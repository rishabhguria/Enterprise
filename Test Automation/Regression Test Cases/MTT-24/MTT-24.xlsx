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EditOrder" sheetId="5" r:id="rId7"/>
    <sheet state="visible" name="SelectTradeUsingMTT" sheetId="6" r:id="rId8"/>
    <sheet state="visible" name="BulkEditUpdateFromMTT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<sst xmlns="http://schemas.openxmlformats.org/spreadsheetml/2006/main" count="82" uniqueCount="34">
  <si>
    <t>Modules Info</t>
  </si>
  <si>
    <t>Modules</t>
  </si>
  <si>
    <t>Settings</t>
  </si>
  <si>
    <t>Module Step Setting File</t>
  </si>
  <si>
    <t>1SkpZIYbbc5zyWBgklgWu3_keUSaZdEcGCYAgFQJPYX8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</si>
  <si>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</si>
  <si>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</si>
  <si>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</si>
  <si>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</si>
  <si>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</si>
  <si>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</si>
  <si>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</si>
  <si>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</si>
  <si>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</si>
  <si>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</si>
  <si>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</si>
  <si>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</si>
  <si>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</si>
  <si>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MS</t>
  </si>
  <si>
    <t>TSLA</t>
  </si>
  <si>
    <t>Blotter</t>
  </si>
  <si>
    <t>EditOrder</t>
  </si>
  <si>
    <t>New</t>
  </si>
  <si>
    <t>Allocation1</t>
  </si>
  <si>
    <t>PartiallyFilled</t>
  </si>
  <si>
    <t>MultiTradingTicket</t>
  </si>
  <si>
    <t>SelectTradeUsingMTT</t>
  </si>
  <si>
    <t>BulkEditUpdateFromMTT</t>
  </si>
  <si>
    <t>Sell</t>
  </si>
  <si>
    <t>REPLACE</t>
  </si>
  <si>
    <t>YES</t>
  </si>
  <si>
    <t>BULK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</si>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</sst>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3">
        <v>0.0</v>
      </c>
      <c r="F6" s="31"/>
      <c r="G6" s="31" t="s">
        <v>18</v>
      </c>
      <c r="H6" s="31"/>
      <c r="I6" s="31"/>
      <c r="J6" s="34">
        <v>10.0</v>
      </c>
      <c r="K6" s="31"/>
      <c r="L6" s="31"/>
      <c r="M6" s="31"/>
      <c r="N6" s="35">
        <f t="shared" ref="N6:N7" si="1">today()</f>
        <v>44957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19</v>
      </c>
      <c r="C7" s="31" t="s">
        <v>17</v>
      </c>
      <c r="D7" s="33">
        <v>100.0</v>
      </c>
      <c r="E7" s="33">
        <v>50.0</v>
      </c>
      <c r="F7" s="31"/>
      <c r="G7" s="31" t="s">
        <v>18</v>
      </c>
      <c r="H7" s="31"/>
      <c r="I7" s="31"/>
      <c r="J7" s="34">
        <v>10.0</v>
      </c>
      <c r="K7" s="31"/>
      <c r="L7" s="31"/>
      <c r="M7" s="31"/>
      <c r="N7" s="35">
        <f t="shared" si="1"/>
        <v>44957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6" t="s">
        <v>22</v>
      </c>
      <c r="AL6" s="37">
        <v>100.0</v>
      </c>
      <c r="AM6" s="31"/>
      <c r="AN6" s="31"/>
      <c r="AO6" s="31"/>
      <c r="AP6" s="31"/>
      <c r="AQ6" s="31"/>
      <c r="AR6" s="31"/>
      <c r="AS6" s="31" t="s">
        <v>18</v>
      </c>
      <c r="AT6" s="31" t="s">
        <v>23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19</v>
      </c>
      <c r="AJ7" s="31" t="s">
        <v>17</v>
      </c>
      <c r="AK7" s="36" t="s">
        <v>24</v>
      </c>
      <c r="AL7" s="37">
        <v>100.0</v>
      </c>
      <c r="AM7" s="31"/>
      <c r="AN7" s="31"/>
      <c r="AO7" s="31"/>
      <c r="AP7" s="31"/>
      <c r="AQ7" s="31"/>
      <c r="AR7" s="31"/>
      <c r="AS7" s="31" t="s">
        <v>18</v>
      </c>
      <c r="AT7" s="31" t="s">
        <v>23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IFERROR(__xludf.DUMMYFUNCTION("IF(C3="""","""",Transpose(IMPORTRANGE('_Settings'!$B$3,C3&amp;""!A4:A1000"")))"),"BulkEditUpdateFromMTT")</f>
        <v>BulkEditUpdateFromMTT</v>
      </c>
      <c r="C4" s="24" t="str">
        <f>IFERROR(__xludf.DUMMYFUNCTION("""COMPUTED_VALUE"""),"EditTradeUsingMTT")</f>
        <v>EditTradeUsingMTT</v>
      </c>
      <c r="D4" s="24" t="str">
        <f>IFERROR(__xludf.DUMMYFUNCTION("""COMPUTED_VALUE"""),"SelectTradeUsingMTT")</f>
        <v>SelectTradeUsingMTT</v>
      </c>
      <c r="E4" s="24" t="str">
        <f>IFERROR(__xludf.DUMMYFUNCTION("""COMPUTED_VALUE"""),"GetPriceUsingMTT")</f>
        <v>GetPriceUsingMTT</v>
      </c>
      <c r="F4" s="24" t="str">
        <f>IFERROR(__xludf.DUMMYFUNCTION("""COMPUTED_VALUE"""),"DoneAwayUsingMTT")</f>
        <v>DoneAwayUsingMTT</v>
      </c>
      <c r="G4" s="24" t="str">
        <f>IFERROR(__xludf.DUMMYFUNCTION("""COMPUTED_VALUE"""),"SendOrderUsingMTT")</f>
        <v>SendOrderUsingMTT</v>
      </c>
      <c r="H4" s="24" t="str">
        <f>IFERROR(__xludf.DUMMYFUNCTION("""COMPUTED_VALUE"""),"BulkChangeTradeDoneAway")</f>
        <v>BulkChangeTradeDoneAway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0" t="s">
        <v>16</v>
      </c>
      <c r="C6" s="31" t="s">
        <v>17</v>
      </c>
      <c r="D6" s="32">
        <v>100.0</v>
      </c>
      <c r="E6" s="33"/>
      <c r="F6" s="31"/>
      <c r="G6" s="31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19</v>
      </c>
      <c r="C7" s="31" t="s">
        <v>17</v>
      </c>
      <c r="D7" s="33">
        <v>100.0</v>
      </c>
      <c r="E7" s="33"/>
      <c r="F7" s="31"/>
      <c r="G7" s="31" t="s">
        <v>18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IFERROR(__xludf.DUMMYFUNCTION("IF(C3="""","""",Transpose(IMPORTRANGE('_Settings'!$B$3,C3&amp;""!A4:A1000"")))"),"BulkEditUpdateFromMTT")</f>
        <v>BulkEditUpdateFromMTT</v>
      </c>
      <c r="C4" s="24" t="str">
        <f>IFERROR(__xludf.DUMMYFUNCTION("""COMPUTED_VALUE"""),"EditTradeUsingMTT")</f>
        <v>EditTradeUsingMTT</v>
      </c>
      <c r="D4" s="24" t="str">
        <f>IFERROR(__xludf.DUMMYFUNCTION("""COMPUTED_VALUE"""),"SelectTradeUsingMTT")</f>
        <v>SelectTradeUsingMTT</v>
      </c>
      <c r="E4" s="24" t="str">
        <f>IFERROR(__xludf.DUMMYFUNCTION("""COMPUTED_VALUE"""),"GetPriceUsingMTT")</f>
        <v>GetPriceUsingMTT</v>
      </c>
      <c r="F4" s="24" t="str">
        <f>IFERROR(__xludf.DUMMYFUNCTION("""COMPUTED_VALUE"""),"DoneAwayUsingMTT")</f>
        <v>DoneAwayUsingMTT</v>
      </c>
      <c r="G4" s="24" t="str">
        <f>IFERROR(__xludf.DUMMYFUNCTION("""COMPUTED_VALUE"""),"SendOrderUsingMTT")</f>
        <v>SendOrderUsingMTT</v>
      </c>
      <c r="H4" s="24" t="str">
        <f>IFERROR(__xludf.DUMMYFUNCTION("""COMPUTED_VALUE"""),"BulkChangeTradeDoneAway")</f>
        <v>BulkChangeTradeDoneAway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38" t="s">
        <v>28</v>
      </c>
      <c r="D6" s="38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K6" s="30" t="s">
        <v>29</v>
      </c>
      <c r="AL6" s="9" t="s">
        <v>30</v>
      </c>
      <c r="AN6" s="9" t="s">
        <v>31</v>
      </c>
    </row>
    <row r="7" ht="15.75" customHeight="1">
      <c r="A7" s="8"/>
      <c r="B7" s="8"/>
      <c r="C7" s="3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K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6" t="s">
        <v>17</v>
      </c>
      <c r="AK6" s="36" t="s">
        <v>33</v>
      </c>
      <c r="AL6" s="40">
        <v>100.0</v>
      </c>
      <c r="AM6" s="31"/>
      <c r="AN6" s="31"/>
      <c r="AO6" s="31"/>
      <c r="AP6" s="31"/>
      <c r="AQ6" s="31"/>
      <c r="AR6" s="31"/>
      <c r="AS6" s="31" t="s">
        <v>18</v>
      </c>
      <c r="AT6" s="31" t="s">
        <v>23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19</v>
      </c>
      <c r="AJ7" s="36" t="s">
        <v>17</v>
      </c>
      <c r="AK7" s="36" t="s">
        <v>33</v>
      </c>
      <c r="AL7" s="37">
        <v>100.0</v>
      </c>
      <c r="AM7" s="31"/>
      <c r="AN7" s="31"/>
      <c r="AO7" s="31"/>
      <c r="AP7" s="31"/>
      <c r="AQ7" s="31"/>
      <c r="AR7" s="31"/>
      <c r="AS7" s="31" t="s">
        <v>18</v>
      </c>
      <c r="AT7" s="31" t="s">
        <v>23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