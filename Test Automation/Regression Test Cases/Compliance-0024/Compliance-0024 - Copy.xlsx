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RejectTrade" sheetId="12" r:id="rId14"/>
    <sheet state="visible" name="VerifyAggAccountSymbolWithNav1" sheetId="13" r:id="rId15"/>
    <sheet state="visible" name="VerifyRowCalculationBaseWindow1" sheetId="14" r:id="rId16"/>
    <sheet state="visible" name="VerifySymbolDivisorWindow1" sheetId="15" r:id="rId17"/>
    <sheet state="visible" name="VerifyTaxlotWindow1" sheetId="16" r:id="rId18"/>
    <sheet state="visible" name="SelectTradeOnOrderGrid1" sheetId="17" r:id="rId19"/>
    <sheet state="visible" name="CancelSubOrder" sheetId="18" r:id="rId20"/>
    <sheet state="visible" name="VerifyRowCalculationBaseWindow2" sheetId="19" r:id="rId21"/>
    <sheet state="visible" name="VerifySymbolDivisorWindow2" sheetId="20" r:id="rId22"/>
    <sheet state="visible" name="VerifyTaxlotWindow2" sheetId="21" r:id="rId23"/>
    <sheet state="visible" name="VerifyAggAccountSymbolWithNav2" sheetId="22" r:id="rId24"/>
    <sheet state="visible" name="VerifyOrder" sheetId="23" r:id="rId25"/>
    <sheet state="visible" name="SelectTradeOnOrderGrid2" sheetId="24" r:id="rId26"/>
    <sheet state="visible" name="VerifySubOrder" sheetId="25" r:id="rId27"/>
    <sheet state="visible" name="EnableDisableModule1" sheetId="26" r:id="rId28"/>
  </sheets>
  <definedNames/>
  <calcPr/>
</workbook>
</file>

<file path=xl/sharedStrings.xml><?xml version="1.0" encoding="utf-8"?>
<sst xmlns="http://schemas.openxmlformats.org/spreadsheetml/2006/main" count="291" uniqueCount="52">
  <si>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</si>
  <si>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</si>
  <si>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</si>
  <si>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</si>
  <si>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</si>
  <si>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</si>
  <si>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</si>
  <si>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</si>
  <si>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</si>
  <si>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</si>
  <si>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</si>
  <si>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</si>
  <si>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</si>
  <si>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</si>
  <si>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</si>
  <si>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</si>
  <si>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</si>
  <si>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</si>
  <si>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</si>
  <si>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</si>
  <si>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</si>
  <si>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</si>
  <si>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</si>
  <si>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</si>
  <si>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</si>
  <si>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</si>
  <si>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</si>
  <si>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</si>
  <si>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</si>
  <si>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</si>
  <si>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</si>
  <si>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</si>
  <si>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</si>
  <si>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</si>
  <si>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</si>
  <si>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</si>
  <si>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</si>
  <si>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RejectTrade</t>
  </si>
  <si>
    <t>Compliance</t>
  </si>
  <si>
    <t>VerifyAggAccountSymbolWithNav</t>
  </si>
  <si>
    <t>Post</t>
  </si>
  <si>
    <t>Account-Symbol</t>
  </si>
  <si>
    <t>Allocation2</t>
  </si>
  <si>
    <t>Allocation1</t>
  </si>
  <si>
    <t>VerifyRowCalculationBaseWindow</t>
  </si>
  <si>
    <t>InTradeMarket</t>
  </si>
  <si>
    <t>VerifySymbolDivisorWindow</t>
  </si>
  <si>
    <t>VerifyTaxlotWindow</t>
  </si>
  <si>
    <t>CancelSubOrder</t>
  </si>
  <si>
    <t>VerifyOrder</t>
  </si>
  <si>
    <t>VerifySubOrder</t>
  </si>
  <si>
    <t>PendingCancel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</si>
</sst>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7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7" fontId="5" numFmtId="0" xfId="0" applyAlignment="1" applyBorder="1" applyFont="1">
      <alignment horizontal="right" vertical="bottom"/>
    </xf>
    <xf borderId="5" fillId="7" fontId="5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44348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/>
      <c r="D6" s="36">
        <v>50.0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7" t="str">
        <f>IFERROR(__xludf.DUMMYFUNCTION("""COMPUTED_VALUE"""),"VerifyDbNavWindow")</f>
        <v>VerifyDbNavWindow</v>
      </c>
      <c r="Q4" s="47" t="str">
        <f>IFERROR(__xludf.DUMMYFUNCTION("""COMPUTED_VALUE"""),"VerifyGlobalDivisorWindow")</f>
        <v>VerifyGlobalDivisorWindow</v>
      </c>
      <c r="R4" s="47" t="str">
        <f>IFERROR(__xludf.DUMMYFUNCTION("""COMPUTED_VALUE"""),"VerifyPmCalculationPreferenceWindow")</f>
        <v>VerifyPmCalculationPreferenceWindow</v>
      </c>
      <c r="S4" s="47" t="str">
        <f>IFERROR(__xludf.DUMMYFUNCTION("""COMPUTED_VALUE"""),"VerifyRowCalculationBaseWindow")</f>
        <v>VerifyRowCalculationBaseWindow</v>
      </c>
      <c r="T4" s="47" t="str">
        <f>IFERROR(__xludf.DUMMYFUNCTION("""COMPUTED_VALUE"""),"VerifySecurityWindow")</f>
        <v>VerifySecurityWindow</v>
      </c>
      <c r="U4" s="47" t="str">
        <f>IFERROR(__xludf.DUMMYFUNCTION("""COMPUTED_VALUE"""),"VerifySymbolDataWindow")</f>
        <v>VerifySymbolDataWindow</v>
      </c>
      <c r="V4" s="47" t="str">
        <f>IFERROR(__xludf.DUMMYFUNCTION("""COMPUTED_VALUE"""),"VerifySymbolDivisorWindow")</f>
        <v>VerifySymbolDivisorWindow</v>
      </c>
      <c r="W4" s="47" t="str">
        <f>IFERROR(__xludf.DUMMYFUNCTION("""COMPUTED_VALUE"""),"VerifyTaxlotWindow")</f>
        <v>VerifyTaxlotWindow</v>
      </c>
      <c r="X4" s="47" t="str">
        <f>IFERROR(__xludf.DUMMYFUNCTION("""COMPUTED_VALUE"""),"RestartEsper")</f>
        <v>RestartEsper</v>
      </c>
      <c r="Y4" s="47" t="str">
        <f>IFERROR(__xludf.DUMMYFUNCTION("""COMPUTED_VALUE"""),"VerifyAccountNavPreferenceWindow")</f>
        <v>VerifyAccountNavPreferenceWindow</v>
      </c>
      <c r="Z4" s="47" t="str">
        <f>IFERROR(__xludf.DUMMYFUNCTION("""COMPUTED_VALUE"""),"VerifyAggregationAccountUnderlyingSymbolWithNav")</f>
        <v>VerifyAggregationAccountUnderlyingSymbolWithNav</v>
      </c>
      <c r="AA4" s="47" t="str">
        <f>IFERROR(__xludf.DUMMYFUNCTION("""COMPUTED_VALUE"""),"VerifyAggregationAssetWithNav")</f>
        <v>VerifyAggregationAssetWithNav</v>
      </c>
      <c r="AB4" s="47" t="str">
        <f>IFERROR(__xludf.DUMMYFUNCTION("""COMPUTED_VALUE"""),"VerifyAggregationSymbolWithNav")</f>
        <v>VerifyAggregationSymbolWithNav</v>
      </c>
      <c r="AC4" s="47" t="str">
        <f>IFERROR(__xludf.DUMMYFUNCTION("""COMPUTED_VALUE"""),"VerifyAggregationSubSectorWithNav")</f>
        <v>VerifyAggregationSubSectorWithNav</v>
      </c>
      <c r="AD4" s="47" t="str">
        <f>IFERROR(__xludf.DUMMYFUNCTION("""COMPUTED_VALUE"""),"VerifyAggregationGlobalWithNav")</f>
        <v>VerifyAggregationGlobalWithNav</v>
      </c>
      <c r="AE4" s="47" t="str">
        <f>IFERROR(__xludf.DUMMYFUNCTION("""COMPUTED_VALUE"""),"VerifyAggregationGlobalWithNav")</f>
        <v>VerifyAggregationGlobalWithNav</v>
      </c>
      <c r="AF4" s="47" t="str">
        <f>IFERROR(__xludf.DUMMYFUNCTION("""COMPUTED_VALUE"""),"VerifyGlobalDivisorWindow")</f>
        <v>VerifyGlobalDivisorWindow</v>
      </c>
      <c r="AG4" s="47" t="str">
        <f>IFERROR(__xludf.DUMMYFUNCTION("""COMPUTED_VALUE"""),"VerifyAccrualForAccountWindow")</f>
        <v>VerifyAccrualForAccountWindow</v>
      </c>
      <c r="AH4" s="47" t="str">
        <f>IFERROR(__xludf.DUMMYFUNCTION("""COMPUTED_VALUE"""),"VerifyGlobalDivisorWindow")</f>
        <v>VerifyGlobalDivisorWindow</v>
      </c>
      <c r="AI4" s="47" t="str">
        <f>IFERROR(__xludf.DUMMYFUNCTION("""COMPUTED_VALUE"""),"VerifyMasterFundDivisorWindow")</f>
        <v>VerifyMasterFundDivisorWindow</v>
      </c>
      <c r="AJ4" s="47" t="str">
        <f>IFERROR(__xludf.DUMMYFUNCTION("""COMPUTED_VALUE"""),"VerifyMasterFundSymbolDivisorWindow")</f>
        <v>VerifyMasterFundSymbolDivisorWindow</v>
      </c>
      <c r="AK4" s="47" t="str">
        <f>IFERROR(__xludf.DUMMYFUNCTION("""COMPUTED_VALUE"""),"VerifyAggAccountSymbolWithNav")</f>
        <v>VerifyAggAccountSymbolWithNav</v>
      </c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48" t="str">
        <f>IFERROR(__xludf.DUMMYFUNCTION("""COMPUTED_VALUE"""),"masterFundId")</f>
        <v>masterFundId</v>
      </c>
      <c r="U5" s="48" t="str">
        <f>IFERROR(__xludf.DUMMYFUNCTION("""COMPUTED_VALUE"""),"masterFundName")</f>
        <v>masterFundName</v>
      </c>
      <c r="V5" s="48" t="str">
        <f>IFERROR(__xludf.DUMMYFUNCTION("""COMPUTED_VALUE"""),"putOrCall")</f>
        <v>putOrCall</v>
      </c>
      <c r="W5" s="48" t="str">
        <f>IFERROR(__xludf.DUMMYFUNCTION("""COMPUTED_VALUE"""),"strikePrice")</f>
        <v>strikePrice</v>
      </c>
      <c r="X5" s="48" t="str">
        <f>IFERROR(__xludf.DUMMYFUNCTION("""COMPUTED_VALUE"""),"riskCurrency")</f>
        <v>riskCurrency</v>
      </c>
      <c r="Y5" s="48" t="str">
        <f>IFERROR(__xludf.DUMMYFUNCTION("""COMPUTED_VALUE"""),"issuer")</f>
        <v>issuer</v>
      </c>
      <c r="Z5" s="48" t="str">
        <f>IFERROR(__xludf.DUMMYFUNCTION("""COMPUTED_VALUE"""),"countryOfRisk")</f>
        <v>countryOfRisk</v>
      </c>
      <c r="AA5" s="48" t="str">
        <f>IFERROR(__xludf.DUMMYFUNCTION("""COMPUTED_VALUE"""),"region")</f>
        <v>region</v>
      </c>
      <c r="AB5" s="48" t="str">
        <f>IFERROR(__xludf.DUMMYFUNCTION("""COMPUTED_VALUE"""),"analyst")</f>
        <v>analyst</v>
      </c>
      <c r="AC5" s="48" t="str">
        <f>IFERROR(__xludf.DUMMYFUNCTION("""COMPUTED_VALUE"""),"ucitsEligibleTag")</f>
        <v>ucitsEligibleTag</v>
      </c>
      <c r="AD5" s="48" t="str">
        <f>IFERROR(__xludf.DUMMYFUNCTION("""COMPUTED_VALUE"""),"liquidTag")</f>
        <v>liquidTag</v>
      </c>
      <c r="AE5" s="48" t="str">
        <f>IFERROR(__xludf.DUMMYFUNCTION("""COMPUTED_VALUE"""),"marketCap")</f>
        <v>marketCap</v>
      </c>
      <c r="AF5" s="48" t="str">
        <f>IFERROR(__xludf.DUMMYFUNCTION("""COMPUTED_VALUE"""),"customUDA1")</f>
        <v>customUDA1</v>
      </c>
      <c r="AG5" s="48" t="str">
        <f>IFERROR(__xludf.DUMMYFUNCTION("""COMPUTED_VALUE"""),"customUDA2")</f>
        <v>customUDA2</v>
      </c>
      <c r="AH5" s="48" t="str">
        <f>IFERROR(__xludf.DUMMYFUNCTION("""COMPUTED_VALUE"""),"customUDA3")</f>
        <v>customUDA3</v>
      </c>
      <c r="AI5" s="48" t="str">
        <f>IFERROR(__xludf.DUMMYFUNCTION("""COMPUTED_VALUE"""),"customUDA4")</f>
        <v>customUDA4</v>
      </c>
      <c r="AJ5" s="48" t="str">
        <f>IFERROR(__xludf.DUMMYFUNCTION("""COMPUTED_VALUE"""),"customUDA5")</f>
        <v>customUDA5</v>
      </c>
      <c r="AK5" s="48" t="str">
        <f>IFERROR(__xludf.DUMMYFUNCTION("""COMPUTED_VALUE"""),"customUDA6")</f>
        <v>customUDA6</v>
      </c>
      <c r="AL5" s="48" t="str">
        <f>IFERROR(__xludf.DUMMYFUNCTION("""COMPUTED_VALUE"""),"customUDA7")</f>
        <v>customUDA7</v>
      </c>
      <c r="AM5" s="48" t="str">
        <f>IFERROR(__xludf.DUMMYFUNCTION("""COMPUTED_VALUE"""),"todayAbsTradeQuantity")</f>
        <v>todayAbsTradeQuantity</v>
      </c>
      <c r="AN5" s="48" t="str">
        <f>IFERROR(__xludf.DUMMYFUNCTION("""COMPUTED_VALUE"""),"todayLongTradeQuantity")</f>
        <v>todayLongTradeQuantity</v>
      </c>
      <c r="AO5" s="48" t="str">
        <f>IFERROR(__xludf.DUMMYFUNCTION("""COMPUTED_VALUE"""),"todayShortTradeQuantity")</f>
        <v>todayShortTradeQuantity</v>
      </c>
      <c r="AP5" s="48" t="str">
        <f>IFERROR(__xludf.DUMMYFUNCTION("""COMPUTED_VALUE"""),"todayNetNotionalBase")</f>
        <v>todayNetNotionalBase</v>
      </c>
      <c r="AQ5" s="48" t="str">
        <f>IFERROR(__xludf.DUMMYFUNCTION("""COMPUTED_VALUE"""),"todayLongNotionalBase")</f>
        <v>todayLongNotionalBase</v>
      </c>
      <c r="AR5" s="48" t="str">
        <f>IFERROR(__xludf.DUMMYFUNCTION("""COMPUTED_VALUE"""),"todayShortNotionalBase")</f>
        <v>todayShortNotionalBase</v>
      </c>
      <c r="AS5" s="48" t="str">
        <f>IFERROR(__xludf.DUMMYFUNCTION("""COMPUTED_VALUE"""),"quantity")</f>
        <v>quantity</v>
      </c>
      <c r="AT5" s="48" t="str">
        <f>IFERROR(__xludf.DUMMYFUNCTION("""COMPUTED_VALUE"""),"netMarketValueLocal")</f>
        <v>netMarketValueLocal</v>
      </c>
      <c r="AU5" s="48" t="str">
        <f>IFERROR(__xludf.DUMMYFUNCTION("""COMPUTED_VALUE"""),"yesterdayMarketValueLocal")</f>
        <v>yesterdayMarketValueLocal</v>
      </c>
      <c r="AV5" s="48" t="str">
        <f>IFERROR(__xludf.DUMMYFUNCTION("""COMPUTED_VALUE"""),"grossMarketValueLocal")</f>
        <v>grossMarketValueLocal</v>
      </c>
      <c r="AW5" s="48" t="str">
        <f>IFERROR(__xludf.DUMMYFUNCTION("""COMPUTED_VALUE"""),"notionalLocal")</f>
        <v>notionalLocal</v>
      </c>
      <c r="AX5" s="48" t="str">
        <f>IFERROR(__xludf.DUMMYFUNCTION("""COMPUTED_VALUE"""),"equityHaircutLocal")</f>
        <v>equityHaircutLocal</v>
      </c>
      <c r="AY5" s="48" t="str">
        <f>IFERROR(__xludf.DUMMYFUNCTION("""COMPUTED_VALUE"""),"indexHaircutLocal")</f>
        <v>indexHaircutLocal</v>
      </c>
      <c r="AZ5" s="48" t="str">
        <f>IFERROR(__xludf.DUMMYFUNCTION("""COMPUTED_VALUE"""),"equityHaircutBase")</f>
        <v>equityHaircutBase</v>
      </c>
      <c r="BA5" s="48" t="str">
        <f>IFERROR(__xludf.DUMMYFUNCTION("""COMPUTED_VALUE"""),"indexHaircutBase")</f>
        <v>indexHaircutBase</v>
      </c>
      <c r="BB5" s="48" t="str">
        <f>IFERROR(__xludf.DUMMYFUNCTION("""COMPUTED_VALUE"""),"cashImpactLocal")</f>
        <v>cashImpactLocal</v>
      </c>
      <c r="BC5" s="48" t="str">
        <f>IFERROR(__xludf.DUMMYFUNCTION("""COMPUTED_VALUE"""),"cashInflowLocal")</f>
        <v>cashInflowLocal</v>
      </c>
      <c r="BD5" s="48" t="str">
        <f>IFERROR(__xludf.DUMMYFUNCTION("""COMPUTED_VALUE"""),"cashOutflowLocal")</f>
        <v>cashOutflowLocal</v>
      </c>
      <c r="BE5" s="48" t="str">
        <f>IFERROR(__xludf.DUMMYFUNCTION("""COMPUTED_VALUE"""),"costBasisPnLLocal")</f>
        <v>costBasisPnLLocal</v>
      </c>
      <c r="BF5" s="48" t="str">
        <f>IFERROR(__xludf.DUMMYFUNCTION("""COMPUTED_VALUE"""),"dayPnLLocal")</f>
        <v>dayPnLLocal</v>
      </c>
      <c r="BG5" s="48" t="str">
        <f>IFERROR(__xludf.DUMMYFUNCTION("""COMPUTED_VALUE"""),"netExposureLocal")</f>
        <v>netExposureLocal</v>
      </c>
      <c r="BH5" s="48" t="str">
        <f>IFERROR(__xludf.DUMMYFUNCTION("""COMPUTED_VALUE"""),"grossExposureLocal")</f>
        <v>grossExposureLocal</v>
      </c>
      <c r="BI5" s="48" t="str">
        <f>IFERROR(__xludf.DUMMYFUNCTION("""COMPUTED_VALUE"""),"betaAdjustedExposureLocal")</f>
        <v>betaAdjustedExposureLocal</v>
      </c>
      <c r="BJ5" s="48" t="str">
        <f>IFERROR(__xludf.DUMMYFUNCTION("""COMPUTED_VALUE"""),"deltaAdjPosition")</f>
        <v>deltaAdjPosition</v>
      </c>
      <c r="BK5" s="48" t="str">
        <f>IFERROR(__xludf.DUMMYFUNCTION("""COMPUTED_VALUE"""),"liquidationPnlLocal")</f>
        <v>liquidationPnlLocal</v>
      </c>
      <c r="BL5" s="48" t="str">
        <f>IFERROR(__xludf.DUMMYFUNCTION("""COMPUTED_VALUE"""),"liquidationPnlBase")</f>
        <v>liquidationPnlBase</v>
      </c>
      <c r="BM5" s="48" t="str">
        <f>IFERROR(__xludf.DUMMYFUNCTION("""COMPUTED_VALUE"""),"underlyingValueForOptionsLocal")</f>
        <v>underlyingValueForOptionsLocal</v>
      </c>
      <c r="BN5" s="48" t="str">
        <f>IFERROR(__xludf.DUMMYFUNCTION("""COMPUTED_VALUE"""),"notionalBase")</f>
        <v>notionalBase</v>
      </c>
      <c r="BO5" s="48" t="str">
        <f>IFERROR(__xludf.DUMMYFUNCTION("""COMPUTED_VALUE"""),"cashImpactBase")</f>
        <v>cashImpactBase</v>
      </c>
      <c r="BP5" s="48" t="str">
        <f>IFERROR(__xludf.DUMMYFUNCTION("""COMPUTED_VALUE"""),"cashInflowBase")</f>
        <v>cashInflowBase</v>
      </c>
      <c r="BQ5" s="48" t="str">
        <f>IFERROR(__xludf.DUMMYFUNCTION("""COMPUTED_VALUE"""),"cashOutflowBase")</f>
        <v>cashOutflowBase</v>
      </c>
      <c r="BR5" s="48" t="str">
        <f>IFERROR(__xludf.DUMMYFUNCTION("""COMPUTED_VALUE"""),"netMarketValueBase")</f>
        <v>netMarketValueBase</v>
      </c>
      <c r="BS5" s="48" t="str">
        <f>IFERROR(__xludf.DUMMYFUNCTION("""COMPUTED_VALUE"""),"yesterdayMarketValueBase")</f>
        <v>yesterdayMarketValueBase</v>
      </c>
      <c r="BT5" s="48" t="str">
        <f>IFERROR(__xludf.DUMMYFUNCTION("""COMPUTED_VALUE"""),"grossMarketValueBase")</f>
        <v>grossMarketValueBase</v>
      </c>
      <c r="BU5" s="48" t="str">
        <f>IFERROR(__xludf.DUMMYFUNCTION("""COMPUTED_VALUE"""),"costBasisPnLBase")</f>
        <v>costBasisPnLBase</v>
      </c>
      <c r="BV5" s="48" t="str">
        <f>IFERROR(__xludf.DUMMYFUNCTION("""COMPUTED_VALUE"""),"dayPnLBase")</f>
        <v>dayPnLBase</v>
      </c>
      <c r="BW5" s="48" t="str">
        <f>IFERROR(__xludf.DUMMYFUNCTION("""COMPUTED_VALUE"""),"netExposureBase")</f>
        <v>netExposureBase</v>
      </c>
      <c r="BX5" s="48" t="str">
        <f>IFERROR(__xludf.DUMMYFUNCTION("""COMPUTED_VALUE"""),"grossExposureBase")</f>
        <v>grossExposureBase</v>
      </c>
      <c r="BY5" s="48" t="str">
        <f>IFERROR(__xludf.DUMMYFUNCTION("""COMPUTED_VALUE"""),"betaAdjustedExposureBase")</f>
        <v>betaAdjustedExposureBase</v>
      </c>
      <c r="BZ5" s="48" t="str">
        <f>IFERROR(__xludf.DUMMYFUNCTION("""COMPUTED_VALUE"""),"underlyingValueForOptionsBase")</f>
        <v>underlyingValueForOptionsBase</v>
      </c>
      <c r="CA5" s="48" t="str">
        <f>IFERROR(__xludf.DUMMYFUNCTION("""COMPUTED_VALUE"""),"currentFxRate")</f>
        <v>currentFxRate</v>
      </c>
      <c r="CB5" s="48" t="str">
        <f>IFERROR(__xludf.DUMMYFUNCTION("""COMPUTED_VALUE"""),"yesterdayFxRate")</f>
        <v>yesterdayFxRate</v>
      </c>
      <c r="CC5" s="48" t="str">
        <f>IFERROR(__xludf.DUMMYFUNCTION("""COMPUTED_VALUE"""),"fxConversionMethod")</f>
        <v>fxConversionMethod</v>
      </c>
      <c r="CD5" s="48" t="str">
        <f>IFERROR(__xludf.DUMMYFUNCTION("""COMPUTED_VALUE"""),"askPrice")</f>
        <v>askPrice</v>
      </c>
      <c r="CE5" s="48" t="str">
        <f>IFERROR(__xludf.DUMMYFUNCTION("""COMPUTED_VALUE"""),"bidPrice")</f>
        <v>bidPrice</v>
      </c>
      <c r="CF5" s="48" t="str">
        <f>IFERROR(__xludf.DUMMYFUNCTION("""COMPUTED_VALUE"""),"lowPrice")</f>
        <v>lowPrice</v>
      </c>
      <c r="CG5" s="48" t="str">
        <f>IFERROR(__xludf.DUMMYFUNCTION("""COMPUTED_VALUE"""),"highPrice")</f>
        <v>highPrice</v>
      </c>
      <c r="CH5" s="48" t="str">
        <f>IFERROR(__xludf.DUMMYFUNCTION("""COMPUTED_VALUE"""),"openPrice")</f>
        <v>openPrice</v>
      </c>
      <c r="CI5" s="48" t="str">
        <f>IFERROR(__xludf.DUMMYFUNCTION("""COMPUTED_VALUE"""),"closePrice")</f>
        <v>closePrice</v>
      </c>
      <c r="CJ5" s="48" t="str">
        <f>IFERROR(__xludf.DUMMYFUNCTION("""COMPUTED_VALUE"""),"lastPrice")</f>
        <v>lastPrice</v>
      </c>
      <c r="CK5" s="48" t="str">
        <f>IFERROR(__xludf.DUMMYFUNCTION("""COMPUTED_VALUE"""),"markPrice")</f>
        <v>markPrice</v>
      </c>
      <c r="CL5" s="48" t="str">
        <f>IFERROR(__xludf.DUMMYFUNCTION("""COMPUTED_VALUE"""),"delta")</f>
        <v>delta</v>
      </c>
      <c r="CM5" s="48" t="str">
        <f>IFERROR(__xludf.DUMMYFUNCTION("""COMPUTED_VALUE"""),"leveragedFactor")</f>
        <v>leveragedFactor</v>
      </c>
      <c r="CN5" s="48" t="str">
        <f>IFERROR(__xludf.DUMMYFUNCTION("""COMPUTED_VALUE"""),"beta5YearMonthly")</f>
        <v>beta5YearMonthly</v>
      </c>
      <c r="CO5" s="48" t="str">
        <f>IFERROR(__xludf.DUMMYFUNCTION("""COMPUTED_VALUE"""),"selectedFeedPrice")</f>
        <v>selectedFeedPrice</v>
      </c>
      <c r="CP5" s="48" t="str">
        <f>IFERROR(__xludf.DUMMYFUNCTION("""COMPUTED_VALUE"""),"openInterest")</f>
        <v>openInterest</v>
      </c>
      <c r="CQ5" s="48" t="str">
        <f>IFERROR(__xludf.DUMMYFUNCTION("""COMPUTED_VALUE"""),"underlyingPrice")</f>
        <v>underlyingPrice</v>
      </c>
      <c r="CR5" s="48" t="str">
        <f>IFERROR(__xludf.DUMMYFUNCTION("""COMPUTED_VALUE"""),"avgVolume20Days")</f>
        <v>avgVolume20Days</v>
      </c>
      <c r="CS5" s="48" t="str">
        <f>IFERROR(__xludf.DUMMYFUNCTION("""COMPUTED_VALUE"""),"percentAvgVolume")</f>
        <v>percentAvgVolume</v>
      </c>
      <c r="CT5" s="48" t="str">
        <f>IFERROR(__xludf.DUMMYFUNCTION("""COMPUTED_VALUE"""),"sharesOutstanding")</f>
        <v>sharesOutstanding</v>
      </c>
      <c r="CU5" s="48" t="str">
        <f>IFERROR(__xludf.DUMMYFUNCTION("""COMPUTED_VALUE"""),"underlyingSharesOutstanding")</f>
        <v>underlyingSharesOutstanding</v>
      </c>
      <c r="CV5" s="48" t="str">
        <f>IFERROR(__xludf.DUMMYFUNCTION("""COMPUTED_VALUE"""),"marketCapitalization")</f>
        <v>marketCapitalization</v>
      </c>
      <c r="CW5" s="48" t="str">
        <f>IFERROR(__xludf.DUMMYFUNCTION("""COMPUTED_VALUE"""),"underlyingMarketCapitalization")</f>
        <v>underlyingMarketCapitalization</v>
      </c>
      <c r="CX5" s="48" t="str">
        <f>IFERROR(__xludf.DUMMYFUNCTION("""COMPUTED_VALUE"""),"avgVolume")</f>
        <v>avgVolume</v>
      </c>
      <c r="CY5" s="48" t="str">
        <f>IFERROR(__xludf.DUMMYFUNCTION("""COMPUTED_VALUE"""),"businessDaysToExpire")</f>
        <v>businessDaysToExpire</v>
      </c>
      <c r="CZ5" s="48" t="str">
        <f>IFERROR(__xludf.DUMMYFUNCTION("""COMPUTED_VALUE"""),"actualDaysToExpire")</f>
        <v>actualDaysToExpire</v>
      </c>
      <c r="DA5" s="48" t="str">
        <f>IFERROR(__xludf.DUMMYFUNCTION("""COMPUTED_VALUE"""),"equivalent")</f>
        <v>equivalent</v>
      </c>
      <c r="DB5" s="48" t="str">
        <f>IFERROR(__xludf.DUMMYFUNCTION("""COMPUTED_VALUE"""),"multiplier")</f>
        <v>multiplier</v>
      </c>
      <c r="DC5" s="48" t="str">
        <f>IFERROR(__xludf.DUMMYFUNCTION("""COMPUTED_VALUE"""),"dayInterestBase")</f>
        <v>dayInterestBase</v>
      </c>
      <c r="DD5" s="48" t="str">
        <f>IFERROR(__xludf.DUMMYFUNCTION("""COMPUTED_VALUE"""),"totalInterestBase")</f>
        <v>totalInterestBase</v>
      </c>
      <c r="DE5" s="48" t="str">
        <f>IFERROR(__xludf.DUMMYFUNCTION("""COMPUTED_VALUE"""),"dayInterestLocal")</f>
        <v>dayInterestLocal</v>
      </c>
      <c r="DF5" s="48" t="str">
        <f>IFERROR(__xludf.DUMMYFUNCTION("""COMPUTED_VALUE"""),"totalInterestLocal")</f>
        <v>totalInterestLocal</v>
      </c>
      <c r="DG5" s="48" t="str">
        <f>IFERROR(__xludf.DUMMYFUNCTION("""COMPUTED_VALUE"""),"defaultPositionSide")</f>
        <v>defaultPositionSide</v>
      </c>
      <c r="DH5" s="48" t="str">
        <f>IFERROR(__xludf.DUMMYFUNCTION("""COMPUTED_VALUE"""),"exposurePositionSide")</f>
        <v>exposurePositionSide</v>
      </c>
      <c r="DI5" s="48" t="str">
        <f>IFERROR(__xludf.DUMMYFUNCTION("""COMPUTED_VALUE"""),"longNotionalBase")</f>
        <v>longNotionalBase</v>
      </c>
      <c r="DJ5" s="48" t="str">
        <f>IFERROR(__xludf.DUMMYFUNCTION("""COMPUTED_VALUE"""),"shortNotionalBase")</f>
        <v>shortNotionalBase</v>
      </c>
      <c r="DK5" s="48" t="str">
        <f>IFERROR(__xludf.DUMMYFUNCTION("""COMPUTED_VALUE"""),"shortMarketValueBase")</f>
        <v>shortMarketValueBase</v>
      </c>
      <c r="DL5" s="48" t="str">
        <f>IFERROR(__xludf.DUMMYFUNCTION("""COMPUTED_VALUE"""),"longMarketValueBase")</f>
        <v>longMarketValueBase</v>
      </c>
      <c r="DM5" s="48" t="str">
        <f>IFERROR(__xludf.DUMMYFUNCTION("""COMPUTED_VALUE"""),"shortExposureBase")</f>
        <v>shortExposureBase</v>
      </c>
      <c r="DN5" s="48" t="str">
        <f>IFERROR(__xludf.DUMMYFUNCTION("""COMPUTED_VALUE"""),"longExposureBase")</f>
        <v>longExposureBase</v>
      </c>
      <c r="DO5" s="48" t="str">
        <f>IFERROR(__xludf.DUMMYFUNCTION("""COMPUTED_VALUE"""),"globalNav")</f>
        <v>globalNav</v>
      </c>
      <c r="DP5" s="48" t="str">
        <f>IFERROR(__xludf.DUMMYFUNCTION("""COMPUTED_VALUE"""),"startOfDayNavGlobal")</f>
        <v>startOfDayNavGlobal</v>
      </c>
      <c r="DQ5" s="48" t="str">
        <f>IFERROR(__xludf.DUMMYFUNCTION("""COMPUTED_VALUE"""),"grossMarketValueBaseGlobal")</f>
        <v>grossMarketValueBaseGlobal</v>
      </c>
      <c r="DR5" s="48" t="str">
        <f>IFERROR(__xludf.DUMMYFUNCTION("""COMPUTED_VALUE"""),"grossExposureBaseGlobal")</f>
        <v>grossExposureBaseGlobal</v>
      </c>
      <c r="DS5" s="48" t="str">
        <f>IFERROR(__xludf.DUMMYFUNCTION("""COMPUTED_VALUE"""),"netExposureBaseGlobal")</f>
        <v>netExposureBaseGlobal</v>
      </c>
      <c r="DT5" s="48" t="str">
        <f>IFERROR(__xludf.DUMMYFUNCTION("""COMPUTED_VALUE"""),"accountNav")</f>
        <v>accountNav</v>
      </c>
      <c r="DU5" s="48" t="str">
        <f>IFERROR(__xludf.DUMMYFUNCTION("""COMPUTED_VALUE"""),"accountNRA")</f>
        <v>accountNRA</v>
      </c>
      <c r="DV5" s="48" t="str">
        <f>IFERROR(__xludf.DUMMYFUNCTION("""COMPUTED_VALUE"""),"startOfDayNavAccount")</f>
        <v>startOfDayNavAccount</v>
      </c>
      <c r="DW5" s="48" t="str">
        <f>IFERROR(__xludf.DUMMYFUNCTION("""COMPUTED_VALUE"""),"grossMarketValueBaseAccount")</f>
        <v>grossMarketValueBaseAccount</v>
      </c>
      <c r="DX5" s="48" t="str">
        <f>IFERROR(__xludf.DUMMYFUNCTION("""COMPUTED_VALUE"""),"grossExposureBaseAccount")</f>
        <v>grossExposureBaseAccount</v>
      </c>
      <c r="DY5" s="48" t="str">
        <f>IFERROR(__xludf.DUMMYFUNCTION("""COMPUTED_VALUE"""),"netExposureBaseAccount")</f>
        <v>netExposureBaseAccount</v>
      </c>
      <c r="DZ5" s="48" t="str">
        <f>IFERROR(__xludf.DUMMYFUNCTION("""COMPUTED_VALUE"""),"currentCash")</f>
        <v>currentCash</v>
      </c>
      <c r="EA5" s="48" t="str">
        <f>IFERROR(__xludf.DUMMYFUNCTION("""COMPUTED_VALUE"""),"accrual")</f>
        <v>accrual</v>
      </c>
      <c r="EB5" s="48" t="str">
        <f>IFERROR(__xludf.DUMMYFUNCTION("""COMPUTED_VALUE"""),"masterFundNav")</f>
        <v>masterFundNav</v>
      </c>
      <c r="EC5" s="48" t="str">
        <f>IFERROR(__xludf.DUMMYFUNCTION("""COMPUTED_VALUE"""),"startOfDayNavMasterFund")</f>
        <v>startOfDayNavMasterFund</v>
      </c>
      <c r="ED5" s="48" t="str">
        <f>IFERROR(__xludf.DUMMYFUNCTION("""COMPUTED_VALUE"""),"grossMarketValueBaseMasterFund")</f>
        <v>grossMarketValueBaseMasterFund</v>
      </c>
      <c r="EE5" s="48" t="str">
        <f>IFERROR(__xludf.DUMMYFUNCTION("""COMPUTED_VALUE"""),"grossExposureBaseMasterFund")</f>
        <v>grossExposureBaseMasterFund</v>
      </c>
      <c r="EF5" s="48" t="str">
        <f>IFERROR(__xludf.DUMMYFUNCTION("""COMPUTED_VALUE"""),"netExposureBaseMasterFund")</f>
        <v>netExposureBaseMasterFund</v>
      </c>
      <c r="EG5" s="48" t="str">
        <f>IFERROR(__xludf.DUMMYFUNCTION("""COMPUTED_VALUE"""),"percentNetMarketValueAccount")</f>
        <v>percentNetMarketValueAccount</v>
      </c>
      <c r="EH5" s="48" t="str">
        <f>IFERROR(__xludf.DUMMYFUNCTION("""COMPUTED_VALUE"""),"percentLongExposureAccount")</f>
        <v>percentLongExposureAccount</v>
      </c>
      <c r="EI5" s="48" t="str">
        <f>IFERROR(__xludf.DUMMYFUNCTION("""COMPUTED_VALUE"""),"percentShortExposureAccount")</f>
        <v>percentShortExposureAccount</v>
      </c>
      <c r="EJ5" s="48" t="str">
        <f>IFERROR(__xludf.DUMMYFUNCTION("""COMPUTED_VALUE"""),"percentNetExposureAccount")</f>
        <v>percentNetExposureAccount</v>
      </c>
      <c r="EK5" s="48" t="str">
        <f>IFERROR(__xludf.DUMMYFUNCTION("""COMPUTED_VALUE"""),"percentBetaAdjustedExposureAccount")</f>
        <v>percentBetaAdjustedExposureAccount</v>
      </c>
      <c r="EL5" s="48" t="str">
        <f>IFERROR(__xludf.DUMMYFUNCTION("""COMPUTED_VALUE"""),"percentGrossExposureAccount")</f>
        <v>percentGrossExposureAccount</v>
      </c>
      <c r="EM5" s="48" t="str">
        <f>IFERROR(__xludf.DUMMYFUNCTION("""COMPUTED_VALUE"""),"percentLongMarketValueAccount")</f>
        <v>percentLongMarketValueAccount</v>
      </c>
      <c r="EN5" s="48" t="str">
        <f>IFERROR(__xludf.DUMMYFUNCTION("""COMPUTED_VALUE"""),"percentShortMarketValueAccount")</f>
        <v>percentShortMarketValueAccount</v>
      </c>
      <c r="EO5" s="48" t="str">
        <f>IFERROR(__xludf.DUMMYFUNCTION("""COMPUTED_VALUE"""),"percentGrossMarketValueAccount")</f>
        <v>percentGrossMarketValueAccount</v>
      </c>
      <c r="EP5" s="48" t="str">
        <f>IFERROR(__xludf.DUMMYFUNCTION("""COMPUTED_VALUE"""),"percentLongNotionalAccount")</f>
        <v>percentLongNotionalAccount</v>
      </c>
      <c r="EQ5" s="48" t="str">
        <f>IFERROR(__xludf.DUMMYFUNCTION("""COMPUTED_VALUE"""),"percentShortNotionalAccount")</f>
        <v>percentShortNotionalAccount</v>
      </c>
      <c r="ER5" s="48" t="str">
        <f>IFERROR(__xludf.DUMMYFUNCTION("""COMPUTED_VALUE"""),"percentNetNotionalAccount")</f>
        <v>percentNetNotionalAccount</v>
      </c>
      <c r="ES5" s="48" t="str">
        <f>IFERROR(__xludf.DUMMYFUNCTION("""COMPUTED_VALUE"""),"pnlContributionAccount")</f>
        <v>pnlContributionAccount</v>
      </c>
      <c r="ET5" s="48" t="str">
        <f>IFERROR(__xludf.DUMMYFUNCTION("""COMPUTED_VALUE"""),"percentCostBasisPnlAccount")</f>
        <v>percentCostBasisPnlAccount</v>
      </c>
      <c r="EU5" s="48" t="str">
        <f>IFERROR(__xludf.DUMMYFUNCTION("""COMPUTED_VALUE"""),"dayReturnAccount")</f>
        <v>dayReturnAccount</v>
      </c>
      <c r="EV5" s="48" t="str">
        <f>IFERROR(__xludf.DUMMYFUNCTION("""COMPUTED_VALUE"""),"percentNetMarketValueMasterFund")</f>
        <v>percentNetMarketValueMasterFund</v>
      </c>
      <c r="EW5" s="48" t="str">
        <f>IFERROR(__xludf.DUMMYFUNCTION("""COMPUTED_VALUE"""),"percentLongExposureMasterFund")</f>
        <v>percentLongExposureMasterFund</v>
      </c>
      <c r="EX5" s="48" t="str">
        <f>IFERROR(__xludf.DUMMYFUNCTION("""COMPUTED_VALUE"""),"percentShortExposureMasterFund")</f>
        <v>percentShortExposureMasterFund</v>
      </c>
      <c r="EY5" s="48" t="str">
        <f>IFERROR(__xludf.DUMMYFUNCTION("""COMPUTED_VALUE"""),"percentNetExposureMasterFund")</f>
        <v>percentNetExposureMasterFund</v>
      </c>
      <c r="EZ5" s="48" t="str">
        <f>IFERROR(__xludf.DUMMYFUNCTION("""COMPUTED_VALUE"""),"percentBetaAdjustedExposureMasterFund")</f>
        <v>percentBetaAdjustedExposureMasterFund</v>
      </c>
      <c r="FA5" s="48" t="str">
        <f>IFERROR(__xludf.DUMMYFUNCTION("""COMPUTED_VALUE"""),"percentGrossExposureMasterFund")</f>
        <v>percentGrossExposureMasterFund</v>
      </c>
      <c r="FB5" s="48" t="str">
        <f>IFERROR(__xludf.DUMMYFUNCTION("""COMPUTED_VALUE"""),"percentLongMarketValueMasterFund")</f>
        <v>percentLongMarketValueMasterFund</v>
      </c>
      <c r="FC5" s="48" t="str">
        <f>IFERROR(__xludf.DUMMYFUNCTION("""COMPUTED_VALUE"""),"percentShortMarketValueMasterFund")</f>
        <v>percentShortMarketValueMasterFund</v>
      </c>
      <c r="FD5" s="48" t="str">
        <f>IFERROR(__xludf.DUMMYFUNCTION("""COMPUTED_VALUE"""),"percentGrossMarketValueMasterFund")</f>
        <v>percentGrossMarketValueMasterFund</v>
      </c>
      <c r="FE5" s="48" t="str">
        <f>IFERROR(__xludf.DUMMYFUNCTION("""COMPUTED_VALUE"""),"percentLongNotionalMasterFund")</f>
        <v>percentLongNotionalMasterFund</v>
      </c>
      <c r="FF5" s="48" t="str">
        <f>IFERROR(__xludf.DUMMYFUNCTION("""COMPUTED_VALUE"""),"percentShortNotionalMasterFund")</f>
        <v>percentShortNotionalMasterFund</v>
      </c>
      <c r="FG5" s="48" t="str">
        <f>IFERROR(__xludf.DUMMYFUNCTION("""COMPUTED_VALUE"""),"percentNetNotionalMasterFund")</f>
        <v>percentNetNotionalMasterFund</v>
      </c>
      <c r="FH5" s="48" t="str">
        <f>IFERROR(__xludf.DUMMYFUNCTION("""COMPUTED_VALUE"""),"pnlContributionMasterFund")</f>
        <v>pnlContributionMasterFund</v>
      </c>
      <c r="FI5" s="48" t="str">
        <f>IFERROR(__xludf.DUMMYFUNCTION("""COMPUTED_VALUE"""),"percentCostBasisPnlMasterFund")</f>
        <v>percentCostBasisPnlMasterFund</v>
      </c>
      <c r="FJ5" s="48" t="str">
        <f>IFERROR(__xludf.DUMMYFUNCTION("""COMPUTED_VALUE"""),"dayReturnMasterFund")</f>
        <v>dayReturnMasterFund</v>
      </c>
      <c r="FK5" s="48" t="str">
        <f>IFERROR(__xludf.DUMMYFUNCTION("""COMPUTED_VALUE"""),"percentNetMarketValueGlobal")</f>
        <v>percentNetMarketValueGlobal</v>
      </c>
      <c r="FL5" s="48" t="str">
        <f>IFERROR(__xludf.DUMMYFUNCTION("""COMPUTED_VALUE"""),"percentLongExposureGlobal")</f>
        <v>percentLongExposureGlobal</v>
      </c>
      <c r="FM5" s="48" t="str">
        <f>IFERROR(__xludf.DUMMYFUNCTION("""COMPUTED_VALUE"""),"percentShortExposureGlobal")</f>
        <v>percentShortExposureGlobal</v>
      </c>
      <c r="FN5" s="48" t="str">
        <f>IFERROR(__xludf.DUMMYFUNCTION("""COMPUTED_VALUE"""),"percentNetExposureGlobal")</f>
        <v>percentNetExposureGlobal</v>
      </c>
      <c r="FO5" s="48" t="str">
        <f>IFERROR(__xludf.DUMMYFUNCTION("""COMPUTED_VALUE"""),"percentBetaAdjustedExposureGlobal")</f>
        <v>percentBetaAdjustedExposureGlobal</v>
      </c>
      <c r="FP5" s="48" t="str">
        <f>IFERROR(__xludf.DUMMYFUNCTION("""COMPUTED_VALUE"""),"percentGrossExposureGlobal")</f>
        <v>percentGrossExposureGlobal</v>
      </c>
      <c r="FQ5" s="48" t="str">
        <f>IFERROR(__xludf.DUMMYFUNCTION("""COMPUTED_VALUE"""),"percentLongMarketValueGlobal")</f>
        <v>percentLongMarketValueGlobal</v>
      </c>
      <c r="FR5" s="48" t="str">
        <f>IFERROR(__xludf.DUMMYFUNCTION("""COMPUTED_VALUE"""),"percentShortMarketValueGlobal")</f>
        <v>percentShortMarketValueGlobal</v>
      </c>
      <c r="FS5" s="48" t="str">
        <f>IFERROR(__xludf.DUMMYFUNCTION("""COMPUTED_VALUE"""),"percentGrossMarketValueGlobal")</f>
        <v>percentGrossMarketValueGlobal</v>
      </c>
      <c r="FT5" s="48" t="str">
        <f>IFERROR(__xludf.DUMMYFUNCTION("""COMPUTED_VALUE"""),"percentLongNotionalGlobal")</f>
        <v>percentLongNotionalGlobal</v>
      </c>
      <c r="FU5" s="48" t="str">
        <f>IFERROR(__xludf.DUMMYFUNCTION("""COMPUTED_VALUE"""),"percentShortNotionalGlobal")</f>
        <v>percentShortNotionalGlobal</v>
      </c>
      <c r="FV5" s="48" t="str">
        <f>IFERROR(__xludf.DUMMYFUNCTION("""COMPUTED_VALUE"""),"percentNetNotionalGlobal")</f>
        <v>percentNetNotionalGlobal</v>
      </c>
      <c r="FW5" s="48" t="str">
        <f>IFERROR(__xludf.DUMMYFUNCTION("""COMPUTED_VALUE"""),"pnlContributionGlobal")</f>
        <v>pnlContributionGlobal</v>
      </c>
      <c r="FX5" s="48" t="str">
        <f>IFERROR(__xludf.DUMMYFUNCTION("""COMPUTED_VALUE"""),"percentCostBasisPnlGlobal")</f>
        <v>percentCostBasisPnlGlobal</v>
      </c>
      <c r="FY5" s="48" t="str">
        <f>IFERROR(__xludf.DUMMYFUNCTION("""COMPUTED_VALUE"""),"dayReturnGlobal")</f>
        <v>dayReturnGlobal</v>
      </c>
      <c r="FZ5" s="48" t="str">
        <f>IFERROR(__xludf.DUMMYFUNCTION("""COMPUTED_VALUE"""),"longDebitBalance")</f>
        <v>longDebitBalance</v>
      </c>
      <c r="GA5" s="48" t="str">
        <f>IFERROR(__xludf.DUMMYFUNCTION("""COMPUTED_VALUE"""),"shortCreditBalance")</f>
        <v>shortCreditBalance</v>
      </c>
      <c r="GB5" s="48"/>
      <c r="GC5" s="48"/>
      <c r="GD5" s="48"/>
      <c r="GE5" s="48"/>
      <c r="GF5" s="48"/>
      <c r="GG5" s="48"/>
      <c r="GH5" s="48"/>
      <c r="GI5" s="48"/>
      <c r="GJ5" s="48"/>
      <c r="GK5" s="48"/>
    </row>
    <row r="6" ht="15.75" customHeight="1">
      <c r="A6" s="49"/>
      <c r="B6" s="50" t="s">
        <v>40</v>
      </c>
      <c r="C6" s="51"/>
      <c r="D6" s="50" t="s">
        <v>41</v>
      </c>
      <c r="E6" s="52" t="s">
        <v>42</v>
      </c>
      <c r="F6" s="52" t="s">
        <v>42</v>
      </c>
      <c r="G6" s="51" t="s">
        <v>21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1"/>
      <c r="AI6" s="51"/>
      <c r="AJ6" s="51"/>
      <c r="AK6" s="51"/>
      <c r="AL6" s="51"/>
      <c r="AM6" s="51"/>
      <c r="AN6" s="53"/>
      <c r="AO6" s="53"/>
      <c r="AP6" s="53"/>
      <c r="AQ6" s="54">
        <v>0.0</v>
      </c>
      <c r="AR6" s="54">
        <v>0.0</v>
      </c>
      <c r="AS6" s="55">
        <v>50.0</v>
      </c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</row>
    <row r="7" ht="15.75" customHeight="1">
      <c r="A7" s="51"/>
      <c r="B7" s="51" t="s">
        <v>40</v>
      </c>
      <c r="C7" s="51"/>
      <c r="D7" s="51" t="s">
        <v>41</v>
      </c>
      <c r="E7" s="52" t="s">
        <v>43</v>
      </c>
      <c r="F7" s="52" t="s">
        <v>43</v>
      </c>
      <c r="G7" s="51" t="s">
        <v>21</v>
      </c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1"/>
      <c r="AI7" s="51"/>
      <c r="AJ7" s="51"/>
      <c r="AK7" s="51"/>
      <c r="AL7" s="51"/>
      <c r="AM7" s="51"/>
      <c r="AN7" s="53"/>
      <c r="AO7" s="53"/>
      <c r="AP7" s="53"/>
      <c r="AQ7" s="54">
        <v>0.0</v>
      </c>
      <c r="AR7" s="54">
        <v>0.0</v>
      </c>
      <c r="AS7" s="55">
        <v>50.0</v>
      </c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  <c r="FF22" s="45"/>
      <c r="FG22" s="45"/>
      <c r="FH22" s="45"/>
      <c r="FI22" s="45"/>
      <c r="FJ22" s="45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5"/>
      <c r="GA22" s="45"/>
      <c r="GB22" s="45"/>
      <c r="GC22" s="45"/>
      <c r="GD22" s="45"/>
      <c r="GE22" s="45"/>
      <c r="GF22" s="45"/>
      <c r="GG22" s="45"/>
      <c r="GH22" s="45"/>
      <c r="GI22" s="45"/>
      <c r="GJ22" s="45"/>
      <c r="GK22" s="45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GD23" s="45"/>
      <c r="GE23" s="45"/>
      <c r="GF23" s="45"/>
      <c r="GG23" s="45"/>
      <c r="GH23" s="45"/>
      <c r="GI23" s="45"/>
      <c r="GJ23" s="45"/>
      <c r="GK23" s="45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  <c r="FF24" s="45"/>
      <c r="FG24" s="45"/>
      <c r="FH24" s="45"/>
      <c r="FI24" s="45"/>
      <c r="FJ24" s="45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5"/>
      <c r="GC24" s="45"/>
      <c r="GD24" s="45"/>
      <c r="GE24" s="45"/>
      <c r="GF24" s="45"/>
      <c r="GG24" s="45"/>
      <c r="GH24" s="45"/>
      <c r="GI24" s="45"/>
      <c r="GJ24" s="45"/>
      <c r="GK24" s="45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/>
      <c r="GK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5"/>
      <c r="FC28" s="45"/>
      <c r="FD28" s="45"/>
      <c r="FE28" s="45"/>
      <c r="FF28" s="45"/>
      <c r="FG28" s="45"/>
      <c r="FH28" s="45"/>
      <c r="FI28" s="45"/>
      <c r="FJ28" s="45"/>
      <c r="FK28" s="45"/>
      <c r="FL28" s="45"/>
      <c r="FM28" s="45"/>
      <c r="FN28" s="45"/>
      <c r="FO28" s="45"/>
      <c r="FP28" s="45"/>
      <c r="FQ28" s="45"/>
      <c r="FR28" s="45"/>
      <c r="FS28" s="45"/>
      <c r="FT28" s="45"/>
      <c r="FU28" s="45"/>
      <c r="FV28" s="45"/>
      <c r="FW28" s="45"/>
      <c r="FX28" s="45"/>
      <c r="FY28" s="45"/>
      <c r="FZ28" s="45"/>
      <c r="GA28" s="45"/>
      <c r="GB28" s="45"/>
      <c r="GC28" s="45"/>
      <c r="GD28" s="45"/>
      <c r="GE28" s="45"/>
      <c r="GF28" s="45"/>
      <c r="GG28" s="45"/>
      <c r="GH28" s="45"/>
      <c r="GI28" s="45"/>
      <c r="GJ28" s="45"/>
      <c r="GK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EW29" s="45"/>
      <c r="EX29" s="45"/>
      <c r="EY29" s="45"/>
      <c r="EZ29" s="45"/>
      <c r="FA29" s="45"/>
      <c r="FB29" s="45"/>
      <c r="FC29" s="45"/>
      <c r="FD29" s="45"/>
      <c r="FE29" s="45"/>
      <c r="FF29" s="45"/>
      <c r="FG29" s="45"/>
      <c r="FH29" s="45"/>
      <c r="FI29" s="45"/>
      <c r="FJ29" s="45"/>
      <c r="FK29" s="45"/>
      <c r="FL29" s="45"/>
      <c r="FM29" s="45"/>
      <c r="FN29" s="45"/>
      <c r="FO29" s="45"/>
      <c r="FP29" s="45"/>
      <c r="FQ29" s="45"/>
      <c r="FR29" s="45"/>
      <c r="FS29" s="45"/>
      <c r="FT29" s="45"/>
      <c r="FU29" s="45"/>
      <c r="FV29" s="45"/>
      <c r="FW29" s="45"/>
      <c r="FX29" s="45"/>
      <c r="FY29" s="45"/>
      <c r="FZ29" s="45"/>
      <c r="GA29" s="45"/>
      <c r="GB29" s="45"/>
      <c r="GC29" s="45"/>
      <c r="GD29" s="45"/>
      <c r="GE29" s="45"/>
      <c r="GF29" s="45"/>
      <c r="GG29" s="45"/>
      <c r="GH29" s="45"/>
      <c r="GI29" s="45"/>
      <c r="GJ29" s="45"/>
      <c r="GK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  <c r="GB30" s="45"/>
      <c r="GC30" s="45"/>
      <c r="GD30" s="45"/>
      <c r="GE30" s="45"/>
      <c r="GF30" s="45"/>
      <c r="GG30" s="45"/>
      <c r="GH30" s="45"/>
      <c r="GI30" s="45"/>
      <c r="GJ30" s="45"/>
      <c r="GK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  <c r="FK32" s="45"/>
      <c r="FL32" s="45"/>
      <c r="FM32" s="45"/>
      <c r="FN32" s="45"/>
      <c r="FO32" s="45"/>
      <c r="FP32" s="45"/>
      <c r="FQ32" s="45"/>
      <c r="FR32" s="45"/>
      <c r="FS32" s="45"/>
      <c r="FT32" s="45"/>
      <c r="FU32" s="45"/>
      <c r="FV32" s="45"/>
      <c r="FW32" s="45"/>
      <c r="FX32" s="45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  <c r="FX33" s="45"/>
      <c r="FY33" s="45"/>
      <c r="FZ33" s="45"/>
      <c r="GA33" s="45"/>
      <c r="GB33" s="45"/>
      <c r="GC33" s="45"/>
      <c r="GD33" s="45"/>
      <c r="GE33" s="45"/>
      <c r="GF33" s="45"/>
      <c r="GG33" s="45"/>
      <c r="GH33" s="45"/>
      <c r="GI33" s="45"/>
      <c r="GJ33" s="45"/>
      <c r="GK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45"/>
      <c r="GK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EW36" s="45"/>
      <c r="EX36" s="45"/>
      <c r="EY36" s="45"/>
      <c r="EZ36" s="45"/>
      <c r="FA36" s="45"/>
      <c r="FB36" s="45"/>
      <c r="FC36" s="45"/>
      <c r="FD36" s="45"/>
      <c r="FE36" s="45"/>
      <c r="FF36" s="45"/>
      <c r="FG36" s="45"/>
      <c r="FH36" s="45"/>
      <c r="FI36" s="45"/>
      <c r="FJ36" s="45"/>
      <c r="FK36" s="45"/>
      <c r="FL36" s="45"/>
      <c r="FM36" s="45"/>
      <c r="FN36" s="45"/>
      <c r="FO36" s="45"/>
      <c r="FP36" s="45"/>
      <c r="FQ36" s="45"/>
      <c r="FR36" s="45"/>
      <c r="FS36" s="45"/>
      <c r="FT36" s="45"/>
      <c r="FU36" s="45"/>
      <c r="FV36" s="45"/>
      <c r="FW36" s="45"/>
      <c r="FX36" s="45"/>
      <c r="FY36" s="45"/>
      <c r="FZ36" s="45"/>
      <c r="GA36" s="45"/>
      <c r="GB36" s="45"/>
      <c r="GC36" s="45"/>
      <c r="GD36" s="45"/>
      <c r="GE36" s="45"/>
      <c r="GF36" s="45"/>
      <c r="GG36" s="45"/>
      <c r="GH36" s="45"/>
      <c r="GI36" s="45"/>
      <c r="GJ36" s="45"/>
      <c r="GK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  <c r="FL37" s="45"/>
      <c r="FM37" s="45"/>
      <c r="FN37" s="45"/>
      <c r="FO37" s="45"/>
      <c r="FP37" s="45"/>
      <c r="FQ37" s="45"/>
      <c r="FR37" s="45"/>
      <c r="FS37" s="45"/>
      <c r="FT37" s="45"/>
      <c r="FU37" s="45"/>
      <c r="FV37" s="45"/>
      <c r="FW37" s="45"/>
      <c r="FX37" s="45"/>
      <c r="FY37" s="45"/>
      <c r="FZ37" s="45"/>
      <c r="GA37" s="45"/>
      <c r="GB37" s="45"/>
      <c r="GC37" s="45"/>
      <c r="GD37" s="45"/>
      <c r="GE37" s="45"/>
      <c r="GF37" s="45"/>
      <c r="GG37" s="45"/>
      <c r="GH37" s="45"/>
      <c r="GI37" s="45"/>
      <c r="GJ37" s="45"/>
      <c r="GK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  <c r="FL38" s="45"/>
      <c r="FM38" s="45"/>
      <c r="FN38" s="45"/>
      <c r="FO38" s="45"/>
      <c r="FP38" s="45"/>
      <c r="FQ38" s="45"/>
      <c r="FR38" s="45"/>
      <c r="FS38" s="45"/>
      <c r="FT38" s="45"/>
      <c r="FU38" s="45"/>
      <c r="FV38" s="45"/>
      <c r="FW38" s="45"/>
      <c r="FX38" s="45"/>
      <c r="FY38" s="45"/>
      <c r="FZ38" s="45"/>
      <c r="GA38" s="45"/>
      <c r="GB38" s="45"/>
      <c r="GC38" s="45"/>
      <c r="GD38" s="45"/>
      <c r="GE38" s="45"/>
      <c r="GF38" s="45"/>
      <c r="GG38" s="45"/>
      <c r="GH38" s="45"/>
      <c r="GI38" s="45"/>
      <c r="GJ38" s="45"/>
      <c r="GK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J40" s="45"/>
      <c r="FK40" s="45"/>
      <c r="FL40" s="45"/>
      <c r="FM40" s="45"/>
      <c r="FN40" s="45"/>
      <c r="FO40" s="45"/>
      <c r="FP40" s="45"/>
      <c r="FQ40" s="45"/>
      <c r="FR40" s="45"/>
      <c r="FS40" s="45"/>
      <c r="FT40" s="45"/>
      <c r="FU40" s="45"/>
      <c r="FV40" s="45"/>
      <c r="FW40" s="45"/>
      <c r="FX40" s="45"/>
      <c r="FY40" s="45"/>
      <c r="FZ40" s="45"/>
      <c r="GA40" s="45"/>
      <c r="GB40" s="45"/>
      <c r="GC40" s="45"/>
      <c r="GD40" s="45"/>
      <c r="GE40" s="45"/>
      <c r="GF40" s="45"/>
      <c r="GG40" s="45"/>
      <c r="GH40" s="45"/>
      <c r="GI40" s="45"/>
      <c r="GJ40" s="45"/>
      <c r="GK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5"/>
      <c r="FR41" s="45"/>
      <c r="FS41" s="45"/>
      <c r="FT41" s="45"/>
      <c r="FU41" s="45"/>
      <c r="FV41" s="45"/>
      <c r="FW41" s="45"/>
      <c r="FX41" s="45"/>
      <c r="FY41" s="45"/>
      <c r="FZ41" s="45"/>
      <c r="GA41" s="45"/>
      <c r="GB41" s="45"/>
      <c r="GC41" s="45"/>
      <c r="GD41" s="45"/>
      <c r="GE41" s="45"/>
      <c r="GF41" s="45"/>
      <c r="GG41" s="45"/>
      <c r="GH41" s="45"/>
      <c r="GI41" s="45"/>
      <c r="GJ41" s="45"/>
      <c r="GK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  <c r="ES42" s="45"/>
      <c r="ET42" s="45"/>
      <c r="EU42" s="45"/>
      <c r="EV42" s="45"/>
      <c r="EW42" s="45"/>
      <c r="EX42" s="45"/>
      <c r="EY42" s="45"/>
      <c r="EZ42" s="45"/>
      <c r="FA42" s="45"/>
      <c r="FB42" s="45"/>
      <c r="FC42" s="45"/>
      <c r="FD42" s="45"/>
      <c r="FE42" s="45"/>
      <c r="FF42" s="45"/>
      <c r="FG42" s="45"/>
      <c r="FH42" s="45"/>
      <c r="FI42" s="45"/>
      <c r="FJ42" s="45"/>
      <c r="FK42" s="45"/>
      <c r="FL42" s="45"/>
      <c r="FM42" s="45"/>
      <c r="FN42" s="45"/>
      <c r="FO42" s="45"/>
      <c r="FP42" s="45"/>
      <c r="FQ42" s="45"/>
      <c r="FR42" s="45"/>
      <c r="FS42" s="45"/>
      <c r="FT42" s="45"/>
      <c r="FU42" s="45"/>
      <c r="FV42" s="45"/>
      <c r="FW42" s="45"/>
      <c r="FX42" s="45"/>
      <c r="FY42" s="45"/>
      <c r="FZ42" s="45"/>
      <c r="GA42" s="45"/>
      <c r="GB42" s="45"/>
      <c r="GC42" s="45"/>
      <c r="GD42" s="45"/>
      <c r="GE42" s="45"/>
      <c r="GF42" s="45"/>
      <c r="GG42" s="45"/>
      <c r="GH42" s="45"/>
      <c r="GI42" s="45"/>
      <c r="GJ42" s="45"/>
      <c r="GK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  <c r="FK43" s="45"/>
      <c r="FL43" s="45"/>
      <c r="FM43" s="45"/>
      <c r="FN43" s="45"/>
      <c r="FO43" s="45"/>
      <c r="FP43" s="45"/>
      <c r="FQ43" s="45"/>
      <c r="FR43" s="45"/>
      <c r="FS43" s="45"/>
      <c r="FT43" s="45"/>
      <c r="FU43" s="45"/>
      <c r="FV43" s="45"/>
      <c r="FW43" s="45"/>
      <c r="FX43" s="45"/>
      <c r="FY43" s="45"/>
      <c r="FZ43" s="45"/>
      <c r="GA43" s="45"/>
      <c r="GB43" s="45"/>
      <c r="GC43" s="45"/>
      <c r="GD43" s="45"/>
      <c r="GE43" s="45"/>
      <c r="GF43" s="45"/>
      <c r="GG43" s="45"/>
      <c r="GH43" s="45"/>
      <c r="GI43" s="45"/>
      <c r="GJ43" s="45"/>
      <c r="GK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  <c r="FK44" s="45"/>
      <c r="FL44" s="45"/>
      <c r="FM44" s="45"/>
      <c r="FN44" s="45"/>
      <c r="FO44" s="45"/>
      <c r="FP44" s="45"/>
      <c r="FQ44" s="45"/>
      <c r="FR44" s="45"/>
      <c r="FS44" s="45"/>
      <c r="FT44" s="45"/>
      <c r="FU44" s="45"/>
      <c r="FV44" s="45"/>
      <c r="FW44" s="45"/>
      <c r="FX44" s="45"/>
      <c r="FY44" s="45"/>
      <c r="FZ44" s="45"/>
      <c r="GA44" s="45"/>
      <c r="GB44" s="45"/>
      <c r="GC44" s="45"/>
      <c r="GD44" s="45"/>
      <c r="GE44" s="45"/>
      <c r="GF44" s="45"/>
      <c r="GG44" s="45"/>
      <c r="GH44" s="45"/>
      <c r="GI44" s="45"/>
      <c r="GJ44" s="45"/>
      <c r="GK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  <c r="FL45" s="45"/>
      <c r="FM45" s="45"/>
      <c r="FN45" s="45"/>
      <c r="FO45" s="45"/>
      <c r="FP45" s="45"/>
      <c r="FQ45" s="45"/>
      <c r="FR45" s="45"/>
      <c r="FS45" s="45"/>
      <c r="FT45" s="45"/>
      <c r="FU45" s="45"/>
      <c r="FV45" s="45"/>
      <c r="FW45" s="45"/>
      <c r="FX45" s="45"/>
      <c r="FY45" s="45"/>
      <c r="FZ45" s="45"/>
      <c r="GA45" s="45"/>
      <c r="GB45" s="45"/>
      <c r="GC45" s="45"/>
      <c r="GD45" s="45"/>
      <c r="GE45" s="45"/>
      <c r="GF45" s="45"/>
      <c r="GG45" s="45"/>
      <c r="GH45" s="45"/>
      <c r="GI45" s="45"/>
      <c r="GJ45" s="45"/>
      <c r="GK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4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45"/>
      <c r="FJ46" s="45"/>
      <c r="FK46" s="45"/>
      <c r="FL46" s="45"/>
      <c r="FM46" s="45"/>
      <c r="FN46" s="45"/>
      <c r="FO46" s="45"/>
      <c r="FP46" s="45"/>
      <c r="FQ46" s="45"/>
      <c r="FR46" s="45"/>
      <c r="FS46" s="45"/>
      <c r="FT46" s="45"/>
      <c r="FU46" s="45"/>
      <c r="FV46" s="45"/>
      <c r="FW46" s="45"/>
      <c r="FX46" s="45"/>
      <c r="FY46" s="45"/>
      <c r="FZ46" s="45"/>
      <c r="GA46" s="45"/>
      <c r="GB46" s="45"/>
      <c r="GC46" s="45"/>
      <c r="GD46" s="45"/>
      <c r="GE46" s="45"/>
      <c r="GF46" s="45"/>
      <c r="GG46" s="45"/>
      <c r="GH46" s="45"/>
      <c r="GI46" s="45"/>
      <c r="GJ46" s="45"/>
      <c r="GK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  <c r="ES47" s="45"/>
      <c r="ET47" s="45"/>
      <c r="EU47" s="45"/>
      <c r="EV47" s="45"/>
      <c r="EW47" s="45"/>
      <c r="EX47" s="45"/>
      <c r="EY47" s="45"/>
      <c r="EZ47" s="45"/>
      <c r="FA47" s="45"/>
      <c r="FB47" s="45"/>
      <c r="FC47" s="45"/>
      <c r="FD47" s="45"/>
      <c r="FE47" s="45"/>
      <c r="FF47" s="45"/>
      <c r="FG47" s="45"/>
      <c r="FH47" s="45"/>
      <c r="FI47" s="45"/>
      <c r="FJ47" s="45"/>
      <c r="FK47" s="45"/>
      <c r="FL47" s="45"/>
      <c r="FM47" s="45"/>
      <c r="FN47" s="45"/>
      <c r="FO47" s="45"/>
      <c r="FP47" s="45"/>
      <c r="FQ47" s="45"/>
      <c r="FR47" s="45"/>
      <c r="FS47" s="45"/>
      <c r="FT47" s="45"/>
      <c r="FU47" s="45"/>
      <c r="FV47" s="45"/>
      <c r="FW47" s="45"/>
      <c r="FX47" s="45"/>
      <c r="FY47" s="45"/>
      <c r="FZ47" s="45"/>
      <c r="GA47" s="45"/>
      <c r="GB47" s="45"/>
      <c r="GC47" s="45"/>
      <c r="GD47" s="45"/>
      <c r="GE47" s="45"/>
      <c r="GF47" s="45"/>
      <c r="GG47" s="45"/>
      <c r="GH47" s="45"/>
      <c r="GI47" s="45"/>
      <c r="GJ47" s="45"/>
      <c r="GK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  <c r="EP48" s="45"/>
      <c r="EQ48" s="45"/>
      <c r="ER48" s="45"/>
      <c r="ES48" s="45"/>
      <c r="ET48" s="45"/>
      <c r="EU48" s="45"/>
      <c r="EV48" s="45"/>
      <c r="EW48" s="45"/>
      <c r="EX48" s="45"/>
      <c r="EY48" s="45"/>
      <c r="EZ48" s="45"/>
      <c r="FA48" s="45"/>
      <c r="FB48" s="45"/>
      <c r="FC48" s="45"/>
      <c r="FD48" s="45"/>
      <c r="FE48" s="45"/>
      <c r="FF48" s="45"/>
      <c r="FG48" s="45"/>
      <c r="FH48" s="45"/>
      <c r="FI48" s="45"/>
      <c r="FJ48" s="45"/>
      <c r="FK48" s="45"/>
      <c r="FL48" s="45"/>
      <c r="FM48" s="45"/>
      <c r="FN48" s="45"/>
      <c r="FO48" s="45"/>
      <c r="FP48" s="45"/>
      <c r="FQ48" s="45"/>
      <c r="FR48" s="45"/>
      <c r="FS48" s="45"/>
      <c r="FT48" s="45"/>
      <c r="FU48" s="45"/>
      <c r="FV48" s="45"/>
      <c r="FW48" s="45"/>
      <c r="FX48" s="45"/>
      <c r="FY48" s="45"/>
      <c r="FZ48" s="45"/>
      <c r="GA48" s="45"/>
      <c r="GB48" s="45"/>
      <c r="GC48" s="45"/>
      <c r="GD48" s="45"/>
      <c r="GE48" s="45"/>
      <c r="GF48" s="45"/>
      <c r="GG48" s="45"/>
      <c r="GH48" s="45"/>
      <c r="GI48" s="45"/>
      <c r="GJ48" s="45"/>
      <c r="GK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45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5"/>
      <c r="FE49" s="45"/>
      <c r="FF49" s="45"/>
      <c r="FG49" s="45"/>
      <c r="FH49" s="45"/>
      <c r="FI49" s="45"/>
      <c r="FJ49" s="45"/>
      <c r="FK49" s="45"/>
      <c r="FL49" s="45"/>
      <c r="FM49" s="45"/>
      <c r="FN49" s="45"/>
      <c r="FO49" s="45"/>
      <c r="FP49" s="45"/>
      <c r="FQ49" s="45"/>
      <c r="FR49" s="45"/>
      <c r="FS49" s="45"/>
      <c r="FT49" s="45"/>
      <c r="FU49" s="45"/>
      <c r="FV49" s="45"/>
      <c r="FW49" s="45"/>
      <c r="FX49" s="45"/>
      <c r="FY49" s="45"/>
      <c r="FZ49" s="45"/>
      <c r="GA49" s="45"/>
      <c r="GB49" s="45"/>
      <c r="GC49" s="45"/>
      <c r="GD49" s="45"/>
      <c r="GE49" s="45"/>
      <c r="GF49" s="45"/>
      <c r="GG49" s="45"/>
      <c r="GH49" s="45"/>
      <c r="GI49" s="45"/>
      <c r="GJ49" s="45"/>
      <c r="GK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  <c r="EP50" s="45"/>
      <c r="EQ50" s="45"/>
      <c r="ER50" s="45"/>
      <c r="ES50" s="45"/>
      <c r="ET50" s="45"/>
      <c r="EU50" s="45"/>
      <c r="EV50" s="45"/>
      <c r="EW50" s="45"/>
      <c r="EX50" s="45"/>
      <c r="EY50" s="45"/>
      <c r="EZ50" s="45"/>
      <c r="FA50" s="45"/>
      <c r="FB50" s="45"/>
      <c r="FC50" s="45"/>
      <c r="FD50" s="45"/>
      <c r="FE50" s="45"/>
      <c r="FF50" s="45"/>
      <c r="FG50" s="45"/>
      <c r="FH50" s="45"/>
      <c r="FI50" s="45"/>
      <c r="FJ50" s="45"/>
      <c r="FK50" s="45"/>
      <c r="FL50" s="45"/>
      <c r="FM50" s="45"/>
      <c r="FN50" s="45"/>
      <c r="FO50" s="45"/>
      <c r="FP50" s="45"/>
      <c r="FQ50" s="45"/>
      <c r="FR50" s="45"/>
      <c r="FS50" s="45"/>
      <c r="FT50" s="45"/>
      <c r="FU50" s="45"/>
      <c r="FV50" s="45"/>
      <c r="FW50" s="45"/>
      <c r="FX50" s="45"/>
      <c r="FY50" s="45"/>
      <c r="FZ50" s="45"/>
      <c r="GA50" s="45"/>
      <c r="GB50" s="45"/>
      <c r="GC50" s="45"/>
      <c r="GD50" s="45"/>
      <c r="GE50" s="45"/>
      <c r="GF50" s="45"/>
      <c r="GG50" s="45"/>
      <c r="GH50" s="45"/>
      <c r="GI50" s="45"/>
      <c r="GJ50" s="45"/>
      <c r="GK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45"/>
      <c r="ES51" s="45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5"/>
      <c r="FK51" s="45"/>
      <c r="FL51" s="45"/>
      <c r="FM51" s="45"/>
      <c r="FN51" s="45"/>
      <c r="FO51" s="45"/>
      <c r="FP51" s="45"/>
      <c r="FQ51" s="45"/>
      <c r="FR51" s="45"/>
      <c r="FS51" s="45"/>
      <c r="FT51" s="45"/>
      <c r="FU51" s="45"/>
      <c r="FV51" s="45"/>
      <c r="FW51" s="45"/>
      <c r="FX51" s="45"/>
      <c r="FY51" s="45"/>
      <c r="FZ51" s="45"/>
      <c r="GA51" s="45"/>
      <c r="GB51" s="45"/>
      <c r="GC51" s="45"/>
      <c r="GD51" s="45"/>
      <c r="GE51" s="45"/>
      <c r="GF51" s="45"/>
      <c r="GG51" s="45"/>
      <c r="GH51" s="45"/>
      <c r="GI51" s="45"/>
      <c r="GJ51" s="45"/>
      <c r="GK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  <c r="EP52" s="45"/>
      <c r="EQ52" s="45"/>
      <c r="ER52" s="45"/>
      <c r="ES52" s="45"/>
      <c r="ET52" s="45"/>
      <c r="EU52" s="45"/>
      <c r="EV52" s="45"/>
      <c r="EW52" s="45"/>
      <c r="EX52" s="45"/>
      <c r="EY52" s="45"/>
      <c r="EZ52" s="45"/>
      <c r="FA52" s="45"/>
      <c r="FB52" s="45"/>
      <c r="FC52" s="45"/>
      <c r="FD52" s="45"/>
      <c r="FE52" s="45"/>
      <c r="FF52" s="45"/>
      <c r="FG52" s="45"/>
      <c r="FH52" s="45"/>
      <c r="FI52" s="45"/>
      <c r="FJ52" s="45"/>
      <c r="FK52" s="45"/>
      <c r="FL52" s="45"/>
      <c r="FM52" s="45"/>
      <c r="FN52" s="45"/>
      <c r="FO52" s="45"/>
      <c r="FP52" s="45"/>
      <c r="FQ52" s="45"/>
      <c r="FR52" s="45"/>
      <c r="FS52" s="45"/>
      <c r="FT52" s="45"/>
      <c r="FU52" s="45"/>
      <c r="FV52" s="45"/>
      <c r="FW52" s="45"/>
      <c r="FX52" s="45"/>
      <c r="FY52" s="45"/>
      <c r="FZ52" s="45"/>
      <c r="GA52" s="45"/>
      <c r="GB52" s="45"/>
      <c r="GC52" s="45"/>
      <c r="GD52" s="45"/>
      <c r="GE52" s="45"/>
      <c r="GF52" s="45"/>
      <c r="GG52" s="45"/>
      <c r="GH52" s="45"/>
      <c r="GI52" s="45"/>
      <c r="GJ52" s="45"/>
      <c r="GK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  <c r="FK53" s="45"/>
      <c r="FL53" s="45"/>
      <c r="FM53" s="45"/>
      <c r="FN53" s="45"/>
      <c r="FO53" s="45"/>
      <c r="FP53" s="45"/>
      <c r="FQ53" s="45"/>
      <c r="FR53" s="45"/>
      <c r="FS53" s="45"/>
      <c r="FT53" s="45"/>
      <c r="FU53" s="45"/>
      <c r="FV53" s="45"/>
      <c r="FW53" s="45"/>
      <c r="FX53" s="45"/>
      <c r="FY53" s="45"/>
      <c r="FZ53" s="45"/>
      <c r="GA53" s="45"/>
      <c r="GB53" s="45"/>
      <c r="GC53" s="45"/>
      <c r="GD53" s="45"/>
      <c r="GE53" s="45"/>
      <c r="GF53" s="45"/>
      <c r="GG53" s="45"/>
      <c r="GH53" s="45"/>
      <c r="GI53" s="45"/>
      <c r="GJ53" s="45"/>
      <c r="GK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  <c r="FL54" s="45"/>
      <c r="FM54" s="45"/>
      <c r="FN54" s="45"/>
      <c r="FO54" s="45"/>
      <c r="FP54" s="45"/>
      <c r="FQ54" s="45"/>
      <c r="FR54" s="45"/>
      <c r="FS54" s="45"/>
      <c r="FT54" s="45"/>
      <c r="FU54" s="45"/>
      <c r="FV54" s="45"/>
      <c r="FW54" s="45"/>
      <c r="FX54" s="45"/>
      <c r="FY54" s="45"/>
      <c r="FZ54" s="45"/>
      <c r="GA54" s="45"/>
      <c r="GB54" s="45"/>
      <c r="GC54" s="45"/>
      <c r="GD54" s="45"/>
      <c r="GE54" s="45"/>
      <c r="GF54" s="45"/>
      <c r="GG54" s="45"/>
      <c r="GH54" s="45"/>
      <c r="GI54" s="45"/>
      <c r="GJ54" s="45"/>
      <c r="GK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  <c r="GJ55" s="45"/>
      <c r="GK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  <c r="FQ56" s="45"/>
      <c r="FR56" s="45"/>
      <c r="FS56" s="45"/>
      <c r="FT56" s="45"/>
      <c r="FU56" s="45"/>
      <c r="FV56" s="45"/>
      <c r="FW56" s="45"/>
      <c r="FX56" s="45"/>
      <c r="FY56" s="45"/>
      <c r="FZ56" s="45"/>
      <c r="GA56" s="45"/>
      <c r="GB56" s="45"/>
      <c r="GC56" s="45"/>
      <c r="GD56" s="45"/>
      <c r="GE56" s="45"/>
      <c r="GF56" s="45"/>
      <c r="GG56" s="45"/>
      <c r="GH56" s="45"/>
      <c r="GI56" s="45"/>
      <c r="GJ56" s="45"/>
      <c r="GK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  <c r="GK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  <c r="FQ58" s="45"/>
      <c r="FR58" s="45"/>
      <c r="FS58" s="45"/>
      <c r="FT58" s="45"/>
      <c r="FU58" s="45"/>
      <c r="FV58" s="45"/>
      <c r="FW58" s="45"/>
      <c r="FX58" s="45"/>
      <c r="FY58" s="45"/>
      <c r="FZ58" s="45"/>
      <c r="GA58" s="45"/>
      <c r="GB58" s="45"/>
      <c r="GC58" s="45"/>
      <c r="GD58" s="45"/>
      <c r="GE58" s="45"/>
      <c r="GF58" s="45"/>
      <c r="GG58" s="45"/>
      <c r="GH58" s="45"/>
      <c r="GI58" s="45"/>
      <c r="GJ58" s="45"/>
      <c r="GK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45"/>
      <c r="GC60" s="45"/>
      <c r="GD60" s="45"/>
      <c r="GE60" s="45"/>
      <c r="GF60" s="45"/>
      <c r="GG60" s="45"/>
      <c r="GH60" s="45"/>
      <c r="GI60" s="45"/>
      <c r="GJ60" s="45"/>
      <c r="GK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B62" s="45"/>
      <c r="GC62" s="45"/>
      <c r="GD62" s="45"/>
      <c r="GE62" s="45"/>
      <c r="GF62" s="45"/>
      <c r="GG62" s="45"/>
      <c r="GH62" s="45"/>
      <c r="GI62" s="45"/>
      <c r="GJ62" s="45"/>
      <c r="GK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  <c r="FQ63" s="45"/>
      <c r="FR63" s="45"/>
      <c r="FS63" s="45"/>
      <c r="FT63" s="45"/>
      <c r="FU63" s="45"/>
      <c r="FV63" s="45"/>
      <c r="FW63" s="45"/>
      <c r="FX63" s="45"/>
      <c r="FY63" s="45"/>
      <c r="FZ63" s="45"/>
      <c r="GA63" s="45"/>
      <c r="GB63" s="45"/>
      <c r="GC63" s="45"/>
      <c r="GD63" s="45"/>
      <c r="GE63" s="45"/>
      <c r="GF63" s="45"/>
      <c r="GG63" s="45"/>
      <c r="GH63" s="45"/>
      <c r="GI63" s="45"/>
      <c r="GJ63" s="45"/>
      <c r="GK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  <c r="FL64" s="45"/>
      <c r="FM64" s="45"/>
      <c r="FN64" s="45"/>
      <c r="FO64" s="45"/>
      <c r="FP64" s="45"/>
      <c r="FQ64" s="45"/>
      <c r="FR64" s="45"/>
      <c r="FS64" s="45"/>
      <c r="FT64" s="45"/>
      <c r="FU64" s="45"/>
      <c r="FV64" s="45"/>
      <c r="FW64" s="45"/>
      <c r="FX64" s="45"/>
      <c r="FY64" s="45"/>
      <c r="FZ64" s="45"/>
      <c r="GA64" s="45"/>
      <c r="GB64" s="45"/>
      <c r="GC64" s="45"/>
      <c r="GD64" s="45"/>
      <c r="GE64" s="45"/>
      <c r="GF64" s="45"/>
      <c r="GG64" s="45"/>
      <c r="GH64" s="45"/>
      <c r="GI64" s="45"/>
      <c r="GJ64" s="45"/>
      <c r="GK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  <c r="FL65" s="45"/>
      <c r="FM65" s="45"/>
      <c r="FN65" s="45"/>
      <c r="FO65" s="45"/>
      <c r="FP65" s="45"/>
      <c r="FQ65" s="45"/>
      <c r="FR65" s="45"/>
      <c r="FS65" s="45"/>
      <c r="FT65" s="45"/>
      <c r="FU65" s="45"/>
      <c r="FV65" s="45"/>
      <c r="FW65" s="45"/>
      <c r="FX65" s="45"/>
      <c r="FY65" s="45"/>
      <c r="FZ65" s="45"/>
      <c r="GA65" s="45"/>
      <c r="GB65" s="45"/>
      <c r="GC65" s="45"/>
      <c r="GD65" s="45"/>
      <c r="GE65" s="45"/>
      <c r="GF65" s="45"/>
      <c r="GG65" s="45"/>
      <c r="GH65" s="45"/>
      <c r="GI65" s="45"/>
      <c r="GJ65" s="45"/>
      <c r="GK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  <c r="FK67" s="45"/>
      <c r="FL67" s="45"/>
      <c r="FM67" s="45"/>
      <c r="FN67" s="45"/>
      <c r="FO67" s="45"/>
      <c r="FP67" s="45"/>
      <c r="FQ67" s="45"/>
      <c r="FR67" s="45"/>
      <c r="FS67" s="45"/>
      <c r="FT67" s="45"/>
      <c r="FU67" s="45"/>
      <c r="FV67" s="45"/>
      <c r="FW67" s="45"/>
      <c r="FX67" s="45"/>
      <c r="FY67" s="45"/>
      <c r="FZ67" s="45"/>
      <c r="GA67" s="45"/>
      <c r="GB67" s="45"/>
      <c r="GC67" s="45"/>
      <c r="GD67" s="45"/>
      <c r="GE67" s="45"/>
      <c r="GF67" s="45"/>
      <c r="GG67" s="45"/>
      <c r="GH67" s="45"/>
      <c r="GI67" s="45"/>
      <c r="GJ67" s="45"/>
      <c r="GK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  <c r="FK68" s="45"/>
      <c r="FL68" s="45"/>
      <c r="FM68" s="45"/>
      <c r="FN68" s="45"/>
      <c r="FO68" s="45"/>
      <c r="FP68" s="45"/>
      <c r="FQ68" s="45"/>
      <c r="FR68" s="45"/>
      <c r="FS68" s="45"/>
      <c r="FT68" s="45"/>
      <c r="FU68" s="45"/>
      <c r="FV68" s="45"/>
      <c r="FW68" s="45"/>
      <c r="FX68" s="45"/>
      <c r="FY68" s="45"/>
      <c r="FZ68" s="45"/>
      <c r="GA68" s="45"/>
      <c r="GB68" s="45"/>
      <c r="GC68" s="45"/>
      <c r="GD68" s="45"/>
      <c r="GE68" s="45"/>
      <c r="GF68" s="45"/>
      <c r="GG68" s="45"/>
      <c r="GH68" s="45"/>
      <c r="GI68" s="45"/>
      <c r="GJ68" s="45"/>
      <c r="GK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  <c r="FK69" s="45"/>
      <c r="FL69" s="45"/>
      <c r="FM69" s="45"/>
      <c r="FN69" s="45"/>
      <c r="FO69" s="45"/>
      <c r="FP69" s="45"/>
      <c r="FQ69" s="45"/>
      <c r="FR69" s="45"/>
      <c r="FS69" s="45"/>
      <c r="FT69" s="45"/>
      <c r="FU69" s="45"/>
      <c r="FV69" s="45"/>
      <c r="FW69" s="45"/>
      <c r="FX69" s="45"/>
      <c r="FY69" s="45"/>
      <c r="FZ69" s="45"/>
      <c r="GA69" s="45"/>
      <c r="GB69" s="45"/>
      <c r="GC69" s="45"/>
      <c r="GD69" s="45"/>
      <c r="GE69" s="45"/>
      <c r="GF69" s="45"/>
      <c r="GG69" s="45"/>
      <c r="GH69" s="45"/>
      <c r="GI69" s="45"/>
      <c r="GJ69" s="45"/>
      <c r="GK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  <c r="FL70" s="45"/>
      <c r="FM70" s="45"/>
      <c r="FN70" s="45"/>
      <c r="FO70" s="45"/>
      <c r="FP70" s="45"/>
      <c r="FQ70" s="45"/>
      <c r="FR70" s="45"/>
      <c r="FS70" s="45"/>
      <c r="FT70" s="45"/>
      <c r="FU70" s="45"/>
      <c r="FV70" s="45"/>
      <c r="FW70" s="45"/>
      <c r="FX70" s="45"/>
      <c r="FY70" s="45"/>
      <c r="FZ70" s="45"/>
      <c r="GA70" s="45"/>
      <c r="GB70" s="45"/>
      <c r="GC70" s="45"/>
      <c r="GD70" s="45"/>
      <c r="GE70" s="45"/>
      <c r="GF70" s="45"/>
      <c r="GG70" s="45"/>
      <c r="GH70" s="45"/>
      <c r="GI70" s="45"/>
      <c r="GJ70" s="45"/>
      <c r="GK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  <c r="FK71" s="45"/>
      <c r="FL71" s="45"/>
      <c r="FM71" s="45"/>
      <c r="FN71" s="45"/>
      <c r="FO71" s="45"/>
      <c r="FP71" s="45"/>
      <c r="FQ71" s="45"/>
      <c r="FR71" s="45"/>
      <c r="FS71" s="45"/>
      <c r="FT71" s="45"/>
      <c r="FU71" s="45"/>
      <c r="FV71" s="45"/>
      <c r="FW71" s="45"/>
      <c r="FX71" s="45"/>
      <c r="FY71" s="45"/>
      <c r="FZ71" s="45"/>
      <c r="GA71" s="45"/>
      <c r="GB71" s="45"/>
      <c r="GC71" s="45"/>
      <c r="GD71" s="45"/>
      <c r="GE71" s="45"/>
      <c r="GF71" s="45"/>
      <c r="GG71" s="45"/>
      <c r="GH71" s="45"/>
      <c r="GI71" s="45"/>
      <c r="GJ71" s="45"/>
      <c r="GK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  <c r="FB72" s="45"/>
      <c r="FC72" s="45"/>
      <c r="FD72" s="45"/>
      <c r="FE72" s="45"/>
      <c r="FF72" s="45"/>
      <c r="FG72" s="45"/>
      <c r="FH72" s="45"/>
      <c r="FI72" s="45"/>
      <c r="FJ72" s="45"/>
      <c r="FK72" s="45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5"/>
      <c r="FW72" s="45"/>
      <c r="FX72" s="45"/>
      <c r="FY72" s="45"/>
      <c r="FZ72" s="45"/>
      <c r="GA72" s="45"/>
      <c r="GB72" s="45"/>
      <c r="GC72" s="45"/>
      <c r="GD72" s="45"/>
      <c r="GE72" s="45"/>
      <c r="GF72" s="45"/>
      <c r="GG72" s="45"/>
      <c r="GH72" s="45"/>
      <c r="GI72" s="45"/>
      <c r="GJ72" s="45"/>
      <c r="GK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  <c r="ET73" s="45"/>
      <c r="EU73" s="45"/>
      <c r="EV73" s="45"/>
      <c r="EW73" s="45"/>
      <c r="EX73" s="45"/>
      <c r="EY73" s="45"/>
      <c r="EZ73" s="45"/>
      <c r="FA73" s="45"/>
      <c r="FB73" s="45"/>
      <c r="FC73" s="45"/>
      <c r="FD73" s="45"/>
      <c r="FE73" s="45"/>
      <c r="FF73" s="45"/>
      <c r="FG73" s="45"/>
      <c r="FH73" s="45"/>
      <c r="FI73" s="45"/>
      <c r="FJ73" s="45"/>
      <c r="FK73" s="45"/>
      <c r="FL73" s="45"/>
      <c r="FM73" s="45"/>
      <c r="FN73" s="45"/>
      <c r="FO73" s="45"/>
      <c r="FP73" s="45"/>
      <c r="FQ73" s="45"/>
      <c r="FR73" s="45"/>
      <c r="FS73" s="45"/>
      <c r="FT73" s="45"/>
      <c r="FU73" s="45"/>
      <c r="FV73" s="45"/>
      <c r="FW73" s="45"/>
      <c r="FX73" s="45"/>
      <c r="FY73" s="45"/>
      <c r="FZ73" s="45"/>
      <c r="GA73" s="45"/>
      <c r="GB73" s="45"/>
      <c r="GC73" s="45"/>
      <c r="GD73" s="45"/>
      <c r="GE73" s="45"/>
      <c r="GF73" s="45"/>
      <c r="GG73" s="45"/>
      <c r="GH73" s="45"/>
      <c r="GI73" s="45"/>
      <c r="GJ73" s="45"/>
      <c r="GK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  <c r="FB74" s="45"/>
      <c r="FC74" s="45"/>
      <c r="FD74" s="45"/>
      <c r="FE74" s="45"/>
      <c r="FF74" s="45"/>
      <c r="FG74" s="45"/>
      <c r="FH74" s="45"/>
      <c r="FI74" s="45"/>
      <c r="FJ74" s="45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5"/>
      <c r="FY74" s="45"/>
      <c r="FZ74" s="45"/>
      <c r="GA74" s="45"/>
      <c r="GB74" s="45"/>
      <c r="GC74" s="45"/>
      <c r="GD74" s="45"/>
      <c r="GE74" s="45"/>
      <c r="GF74" s="45"/>
      <c r="GG74" s="45"/>
      <c r="GH74" s="45"/>
      <c r="GI74" s="45"/>
      <c r="GJ74" s="45"/>
      <c r="GK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5"/>
      <c r="FC75" s="45"/>
      <c r="FD75" s="45"/>
      <c r="FE75" s="45"/>
      <c r="FF75" s="45"/>
      <c r="FG75" s="45"/>
      <c r="FH75" s="45"/>
      <c r="FI75" s="45"/>
      <c r="FJ75" s="45"/>
      <c r="FK75" s="45"/>
      <c r="FL75" s="45"/>
      <c r="FM75" s="45"/>
      <c r="FN75" s="45"/>
      <c r="FO75" s="45"/>
      <c r="FP75" s="45"/>
      <c r="FQ75" s="45"/>
      <c r="FR75" s="45"/>
      <c r="FS75" s="45"/>
      <c r="FT75" s="45"/>
      <c r="FU75" s="45"/>
      <c r="FV75" s="45"/>
      <c r="FW75" s="45"/>
      <c r="FX75" s="45"/>
      <c r="FY75" s="45"/>
      <c r="FZ75" s="45"/>
      <c r="GA75" s="45"/>
      <c r="GB75" s="45"/>
      <c r="GC75" s="45"/>
      <c r="GD75" s="45"/>
      <c r="GE75" s="45"/>
      <c r="GF75" s="45"/>
      <c r="GG75" s="45"/>
      <c r="GH75" s="45"/>
      <c r="GI75" s="45"/>
      <c r="GJ75" s="45"/>
      <c r="GK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5"/>
      <c r="GA76" s="45"/>
      <c r="GB76" s="45"/>
      <c r="GC76" s="45"/>
      <c r="GD76" s="45"/>
      <c r="GE76" s="45"/>
      <c r="GF76" s="45"/>
      <c r="GG76" s="45"/>
      <c r="GH76" s="45"/>
      <c r="GI76" s="45"/>
      <c r="GJ76" s="45"/>
      <c r="GK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  <c r="FL77" s="45"/>
      <c r="FM77" s="45"/>
      <c r="FN77" s="45"/>
      <c r="FO77" s="45"/>
      <c r="FP77" s="45"/>
      <c r="FQ77" s="45"/>
      <c r="FR77" s="45"/>
      <c r="FS77" s="45"/>
      <c r="FT77" s="45"/>
      <c r="FU77" s="45"/>
      <c r="FV77" s="45"/>
      <c r="FW77" s="45"/>
      <c r="FX77" s="45"/>
      <c r="FY77" s="45"/>
      <c r="FZ77" s="45"/>
      <c r="GA77" s="45"/>
      <c r="GB77" s="45"/>
      <c r="GC77" s="45"/>
      <c r="GD77" s="45"/>
      <c r="GE77" s="45"/>
      <c r="GF77" s="45"/>
      <c r="GG77" s="45"/>
      <c r="GH77" s="45"/>
      <c r="GI77" s="45"/>
      <c r="GJ77" s="45"/>
      <c r="GK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45"/>
      <c r="ES78" s="45"/>
      <c r="ET78" s="45"/>
      <c r="EU78" s="45"/>
      <c r="EV78" s="45"/>
      <c r="EW78" s="45"/>
      <c r="EX78" s="45"/>
      <c r="EY78" s="45"/>
      <c r="EZ78" s="45"/>
      <c r="FA78" s="45"/>
      <c r="FB78" s="45"/>
      <c r="FC78" s="45"/>
      <c r="FD78" s="45"/>
      <c r="FE78" s="45"/>
      <c r="FF78" s="45"/>
      <c r="FG78" s="45"/>
      <c r="FH78" s="45"/>
      <c r="FI78" s="45"/>
      <c r="FJ78" s="45"/>
      <c r="FK78" s="45"/>
      <c r="FL78" s="45"/>
      <c r="FM78" s="45"/>
      <c r="FN78" s="45"/>
      <c r="FO78" s="45"/>
      <c r="FP78" s="45"/>
      <c r="FQ78" s="45"/>
      <c r="FR78" s="45"/>
      <c r="FS78" s="45"/>
      <c r="FT78" s="45"/>
      <c r="FU78" s="45"/>
      <c r="FV78" s="45"/>
      <c r="FW78" s="45"/>
      <c r="FX78" s="45"/>
      <c r="FY78" s="45"/>
      <c r="FZ78" s="45"/>
      <c r="GA78" s="45"/>
      <c r="GB78" s="45"/>
      <c r="GC78" s="45"/>
      <c r="GD78" s="45"/>
      <c r="GE78" s="45"/>
      <c r="GF78" s="45"/>
      <c r="GG78" s="45"/>
      <c r="GH78" s="45"/>
      <c r="GI78" s="45"/>
      <c r="GJ78" s="45"/>
      <c r="GK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  <c r="FL79" s="45"/>
      <c r="FM79" s="45"/>
      <c r="FN79" s="45"/>
      <c r="FO79" s="45"/>
      <c r="FP79" s="45"/>
      <c r="FQ79" s="45"/>
      <c r="FR79" s="45"/>
      <c r="FS79" s="45"/>
      <c r="FT79" s="45"/>
      <c r="FU79" s="45"/>
      <c r="FV79" s="45"/>
      <c r="FW79" s="45"/>
      <c r="FX79" s="45"/>
      <c r="FY79" s="45"/>
      <c r="FZ79" s="45"/>
      <c r="GA79" s="45"/>
      <c r="GB79" s="45"/>
      <c r="GC79" s="45"/>
      <c r="GD79" s="45"/>
      <c r="GE79" s="45"/>
      <c r="GF79" s="45"/>
      <c r="GG79" s="45"/>
      <c r="GH79" s="45"/>
      <c r="GI79" s="45"/>
      <c r="GJ79" s="45"/>
      <c r="GK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  <c r="FK80" s="45"/>
      <c r="FL80" s="45"/>
      <c r="FM80" s="45"/>
      <c r="FN80" s="45"/>
      <c r="FO80" s="45"/>
      <c r="FP80" s="45"/>
      <c r="FQ80" s="45"/>
      <c r="FR80" s="45"/>
      <c r="FS80" s="45"/>
      <c r="FT80" s="45"/>
      <c r="FU80" s="45"/>
      <c r="FV80" s="45"/>
      <c r="FW80" s="45"/>
      <c r="FX80" s="45"/>
      <c r="FY80" s="45"/>
      <c r="FZ80" s="45"/>
      <c r="GA80" s="45"/>
      <c r="GB80" s="45"/>
      <c r="GC80" s="45"/>
      <c r="GD80" s="45"/>
      <c r="GE80" s="45"/>
      <c r="GF80" s="45"/>
      <c r="GG80" s="45"/>
      <c r="GH80" s="45"/>
      <c r="GI80" s="45"/>
      <c r="GJ80" s="45"/>
      <c r="GK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45"/>
      <c r="ES81" s="45"/>
      <c r="ET81" s="45"/>
      <c r="EU81" s="45"/>
      <c r="EV81" s="45"/>
      <c r="EW81" s="45"/>
      <c r="EX81" s="45"/>
      <c r="EY81" s="45"/>
      <c r="EZ81" s="45"/>
      <c r="FA81" s="45"/>
      <c r="FB81" s="45"/>
      <c r="FC81" s="45"/>
      <c r="FD81" s="45"/>
      <c r="FE81" s="45"/>
      <c r="FF81" s="45"/>
      <c r="FG81" s="45"/>
      <c r="FH81" s="45"/>
      <c r="FI81" s="45"/>
      <c r="FJ81" s="45"/>
      <c r="FK81" s="45"/>
      <c r="FL81" s="45"/>
      <c r="FM81" s="45"/>
      <c r="FN81" s="45"/>
      <c r="FO81" s="45"/>
      <c r="FP81" s="45"/>
      <c r="FQ81" s="45"/>
      <c r="FR81" s="45"/>
      <c r="FS81" s="45"/>
      <c r="FT81" s="45"/>
      <c r="FU81" s="45"/>
      <c r="FV81" s="45"/>
      <c r="FW81" s="45"/>
      <c r="FX81" s="45"/>
      <c r="FY81" s="45"/>
      <c r="FZ81" s="45"/>
      <c r="GA81" s="45"/>
      <c r="GB81" s="45"/>
      <c r="GC81" s="45"/>
      <c r="GD81" s="45"/>
      <c r="GE81" s="45"/>
      <c r="GF81" s="45"/>
      <c r="GG81" s="45"/>
      <c r="GH81" s="45"/>
      <c r="GI81" s="45"/>
      <c r="GJ81" s="45"/>
      <c r="GK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5"/>
      <c r="EI82" s="45"/>
      <c r="EJ82" s="45"/>
      <c r="EK82" s="45"/>
      <c r="EL82" s="45"/>
      <c r="EM82" s="45"/>
      <c r="EN82" s="45"/>
      <c r="EO82" s="45"/>
      <c r="EP82" s="45"/>
      <c r="EQ82" s="45"/>
      <c r="ER82" s="45"/>
      <c r="ES82" s="45"/>
      <c r="ET82" s="45"/>
      <c r="EU82" s="45"/>
      <c r="EV82" s="45"/>
      <c r="EW82" s="45"/>
      <c r="EX82" s="45"/>
      <c r="EY82" s="45"/>
      <c r="EZ82" s="45"/>
      <c r="FA82" s="45"/>
      <c r="FB82" s="45"/>
      <c r="FC82" s="45"/>
      <c r="FD82" s="45"/>
      <c r="FE82" s="45"/>
      <c r="FF82" s="45"/>
      <c r="FG82" s="45"/>
      <c r="FH82" s="45"/>
      <c r="FI82" s="45"/>
      <c r="FJ82" s="45"/>
      <c r="FK82" s="45"/>
      <c r="FL82" s="45"/>
      <c r="FM82" s="45"/>
      <c r="FN82" s="45"/>
      <c r="FO82" s="45"/>
      <c r="FP82" s="45"/>
      <c r="FQ82" s="45"/>
      <c r="FR82" s="45"/>
      <c r="FS82" s="45"/>
      <c r="FT82" s="45"/>
      <c r="FU82" s="45"/>
      <c r="FV82" s="45"/>
      <c r="FW82" s="45"/>
      <c r="FX82" s="45"/>
      <c r="FY82" s="45"/>
      <c r="FZ82" s="45"/>
      <c r="GA82" s="45"/>
      <c r="GB82" s="45"/>
      <c r="GC82" s="45"/>
      <c r="GD82" s="45"/>
      <c r="GE82" s="45"/>
      <c r="GF82" s="45"/>
      <c r="GG82" s="45"/>
      <c r="GH82" s="45"/>
      <c r="GI82" s="45"/>
      <c r="GJ82" s="45"/>
      <c r="GK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  <c r="FL83" s="45"/>
      <c r="FM83" s="45"/>
      <c r="FN83" s="45"/>
      <c r="FO83" s="45"/>
      <c r="FP83" s="45"/>
      <c r="FQ83" s="45"/>
      <c r="FR83" s="45"/>
      <c r="FS83" s="45"/>
      <c r="FT83" s="45"/>
      <c r="FU83" s="45"/>
      <c r="FV83" s="45"/>
      <c r="FW83" s="45"/>
      <c r="FX83" s="45"/>
      <c r="FY83" s="45"/>
      <c r="FZ83" s="45"/>
      <c r="GA83" s="45"/>
      <c r="GB83" s="45"/>
      <c r="GC83" s="45"/>
      <c r="GD83" s="45"/>
      <c r="GE83" s="45"/>
      <c r="GF83" s="45"/>
      <c r="GG83" s="45"/>
      <c r="GH83" s="45"/>
      <c r="GI83" s="45"/>
      <c r="GJ83" s="45"/>
      <c r="GK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5"/>
      <c r="EI84" s="45"/>
      <c r="EJ84" s="45"/>
      <c r="EK84" s="45"/>
      <c r="EL84" s="45"/>
      <c r="EM84" s="45"/>
      <c r="EN84" s="45"/>
      <c r="EO84" s="45"/>
      <c r="EP84" s="45"/>
      <c r="EQ84" s="45"/>
      <c r="ER84" s="45"/>
      <c r="ES84" s="45"/>
      <c r="ET84" s="45"/>
      <c r="EU84" s="45"/>
      <c r="EV84" s="45"/>
      <c r="EW84" s="45"/>
      <c r="EX84" s="45"/>
      <c r="EY84" s="45"/>
      <c r="EZ84" s="45"/>
      <c r="FA84" s="45"/>
      <c r="FB84" s="45"/>
      <c r="FC84" s="45"/>
      <c r="FD84" s="45"/>
      <c r="FE84" s="45"/>
      <c r="FF84" s="45"/>
      <c r="FG84" s="45"/>
      <c r="FH84" s="45"/>
      <c r="FI84" s="45"/>
      <c r="FJ84" s="45"/>
      <c r="FK84" s="45"/>
      <c r="FL84" s="45"/>
      <c r="FM84" s="45"/>
      <c r="FN84" s="45"/>
      <c r="FO84" s="45"/>
      <c r="FP84" s="45"/>
      <c r="FQ84" s="45"/>
      <c r="FR84" s="45"/>
      <c r="FS84" s="45"/>
      <c r="FT84" s="45"/>
      <c r="FU84" s="45"/>
      <c r="FV84" s="45"/>
      <c r="FW84" s="45"/>
      <c r="FX84" s="45"/>
      <c r="FY84" s="45"/>
      <c r="FZ84" s="45"/>
      <c r="GA84" s="45"/>
      <c r="GB84" s="45"/>
      <c r="GC84" s="45"/>
      <c r="GD84" s="45"/>
      <c r="GE84" s="45"/>
      <c r="GF84" s="45"/>
      <c r="GG84" s="45"/>
      <c r="GH84" s="45"/>
      <c r="GI84" s="45"/>
      <c r="GJ84" s="45"/>
      <c r="GK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  <c r="FK85" s="45"/>
      <c r="FL85" s="45"/>
      <c r="FM85" s="45"/>
      <c r="FN85" s="45"/>
      <c r="FO85" s="45"/>
      <c r="FP85" s="45"/>
      <c r="FQ85" s="45"/>
      <c r="FR85" s="45"/>
      <c r="FS85" s="45"/>
      <c r="FT85" s="45"/>
      <c r="FU85" s="45"/>
      <c r="FV85" s="45"/>
      <c r="FW85" s="45"/>
      <c r="FX85" s="45"/>
      <c r="FY85" s="45"/>
      <c r="FZ85" s="45"/>
      <c r="GA85" s="45"/>
      <c r="GB85" s="45"/>
      <c r="GC85" s="45"/>
      <c r="GD85" s="45"/>
      <c r="GE85" s="45"/>
      <c r="GF85" s="45"/>
      <c r="GG85" s="45"/>
      <c r="GH85" s="45"/>
      <c r="GI85" s="45"/>
      <c r="GJ85" s="45"/>
      <c r="GK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  <c r="FK86" s="45"/>
      <c r="FL86" s="45"/>
      <c r="FM86" s="45"/>
      <c r="FN86" s="45"/>
      <c r="FO86" s="45"/>
      <c r="FP86" s="45"/>
      <c r="FQ86" s="45"/>
      <c r="FR86" s="45"/>
      <c r="FS86" s="45"/>
      <c r="FT86" s="45"/>
      <c r="FU86" s="45"/>
      <c r="FV86" s="45"/>
      <c r="FW86" s="45"/>
      <c r="FX86" s="45"/>
      <c r="FY86" s="45"/>
      <c r="FZ86" s="45"/>
      <c r="GA86" s="45"/>
      <c r="GB86" s="45"/>
      <c r="GC86" s="45"/>
      <c r="GD86" s="45"/>
      <c r="GE86" s="45"/>
      <c r="GF86" s="45"/>
      <c r="GG86" s="45"/>
      <c r="GH86" s="45"/>
      <c r="GI86" s="45"/>
      <c r="GJ86" s="45"/>
      <c r="GK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5"/>
      <c r="EI87" s="45"/>
      <c r="EJ87" s="45"/>
      <c r="EK87" s="45"/>
      <c r="EL87" s="45"/>
      <c r="EM87" s="45"/>
      <c r="EN87" s="45"/>
      <c r="EO87" s="45"/>
      <c r="EP87" s="45"/>
      <c r="EQ87" s="45"/>
      <c r="ER87" s="45"/>
      <c r="ES87" s="45"/>
      <c r="ET87" s="45"/>
      <c r="EU87" s="45"/>
      <c r="EV87" s="45"/>
      <c r="EW87" s="45"/>
      <c r="EX87" s="45"/>
      <c r="EY87" s="45"/>
      <c r="EZ87" s="45"/>
      <c r="FA87" s="45"/>
      <c r="FB87" s="45"/>
      <c r="FC87" s="45"/>
      <c r="FD87" s="45"/>
      <c r="FE87" s="45"/>
      <c r="FF87" s="45"/>
      <c r="FG87" s="45"/>
      <c r="FH87" s="45"/>
      <c r="FI87" s="45"/>
      <c r="FJ87" s="45"/>
      <c r="FK87" s="45"/>
      <c r="FL87" s="45"/>
      <c r="FM87" s="45"/>
      <c r="FN87" s="45"/>
      <c r="FO87" s="45"/>
      <c r="FP87" s="45"/>
      <c r="FQ87" s="45"/>
      <c r="FR87" s="45"/>
      <c r="FS87" s="45"/>
      <c r="FT87" s="45"/>
      <c r="FU87" s="45"/>
      <c r="FV87" s="45"/>
      <c r="FW87" s="45"/>
      <c r="FX87" s="45"/>
      <c r="FY87" s="45"/>
      <c r="FZ87" s="45"/>
      <c r="GA87" s="45"/>
      <c r="GB87" s="45"/>
      <c r="GC87" s="45"/>
      <c r="GD87" s="45"/>
      <c r="GE87" s="45"/>
      <c r="GF87" s="45"/>
      <c r="GG87" s="45"/>
      <c r="GH87" s="45"/>
      <c r="GI87" s="45"/>
      <c r="GJ87" s="45"/>
      <c r="GK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  <c r="FK88" s="45"/>
      <c r="FL88" s="45"/>
      <c r="FM88" s="45"/>
      <c r="FN88" s="45"/>
      <c r="FO88" s="45"/>
      <c r="FP88" s="45"/>
      <c r="FQ88" s="45"/>
      <c r="FR88" s="45"/>
      <c r="FS88" s="45"/>
      <c r="FT88" s="45"/>
      <c r="FU88" s="45"/>
      <c r="FV88" s="45"/>
      <c r="FW88" s="45"/>
      <c r="FX88" s="45"/>
      <c r="FY88" s="45"/>
      <c r="FZ88" s="45"/>
      <c r="GA88" s="45"/>
      <c r="GB88" s="45"/>
      <c r="GC88" s="45"/>
      <c r="GD88" s="45"/>
      <c r="GE88" s="45"/>
      <c r="GF88" s="45"/>
      <c r="GG88" s="45"/>
      <c r="GH88" s="45"/>
      <c r="GI88" s="45"/>
      <c r="GJ88" s="45"/>
      <c r="GK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5"/>
      <c r="EI89" s="45"/>
      <c r="EJ89" s="45"/>
      <c r="EK89" s="45"/>
      <c r="EL89" s="45"/>
      <c r="EM89" s="45"/>
      <c r="EN89" s="45"/>
      <c r="EO89" s="45"/>
      <c r="EP89" s="45"/>
      <c r="EQ89" s="45"/>
      <c r="ER89" s="45"/>
      <c r="ES89" s="45"/>
      <c r="ET89" s="45"/>
      <c r="EU89" s="45"/>
      <c r="EV89" s="45"/>
      <c r="EW89" s="45"/>
      <c r="EX89" s="45"/>
      <c r="EY89" s="45"/>
      <c r="EZ89" s="45"/>
      <c r="FA89" s="45"/>
      <c r="FB89" s="45"/>
      <c r="FC89" s="45"/>
      <c r="FD89" s="45"/>
      <c r="FE89" s="45"/>
      <c r="FF89" s="45"/>
      <c r="FG89" s="45"/>
      <c r="FH89" s="45"/>
      <c r="FI89" s="45"/>
      <c r="FJ89" s="45"/>
      <c r="FK89" s="45"/>
      <c r="FL89" s="45"/>
      <c r="FM89" s="45"/>
      <c r="FN89" s="45"/>
      <c r="FO89" s="45"/>
      <c r="FP89" s="45"/>
      <c r="FQ89" s="45"/>
      <c r="FR89" s="45"/>
      <c r="FS89" s="45"/>
      <c r="FT89" s="45"/>
      <c r="FU89" s="45"/>
      <c r="FV89" s="45"/>
      <c r="FW89" s="45"/>
      <c r="FX89" s="45"/>
      <c r="FY89" s="45"/>
      <c r="FZ89" s="45"/>
      <c r="GA89" s="45"/>
      <c r="GB89" s="45"/>
      <c r="GC89" s="45"/>
      <c r="GD89" s="45"/>
      <c r="GE89" s="45"/>
      <c r="GF89" s="45"/>
      <c r="GG89" s="45"/>
      <c r="GH89" s="45"/>
      <c r="GI89" s="45"/>
      <c r="GJ89" s="45"/>
      <c r="GK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45"/>
      <c r="ES90" s="45"/>
      <c r="ET90" s="45"/>
      <c r="EU90" s="45"/>
      <c r="EV90" s="45"/>
      <c r="EW90" s="45"/>
      <c r="EX90" s="45"/>
      <c r="EY90" s="45"/>
      <c r="EZ90" s="45"/>
      <c r="FA90" s="45"/>
      <c r="FB90" s="45"/>
      <c r="FC90" s="45"/>
      <c r="FD90" s="45"/>
      <c r="FE90" s="45"/>
      <c r="FF90" s="45"/>
      <c r="FG90" s="45"/>
      <c r="FH90" s="45"/>
      <c r="FI90" s="45"/>
      <c r="FJ90" s="45"/>
      <c r="FK90" s="45"/>
      <c r="FL90" s="45"/>
      <c r="FM90" s="45"/>
      <c r="FN90" s="45"/>
      <c r="FO90" s="45"/>
      <c r="FP90" s="45"/>
      <c r="FQ90" s="45"/>
      <c r="FR90" s="45"/>
      <c r="FS90" s="45"/>
      <c r="FT90" s="45"/>
      <c r="FU90" s="45"/>
      <c r="FV90" s="45"/>
      <c r="FW90" s="45"/>
      <c r="FX90" s="45"/>
      <c r="FY90" s="45"/>
      <c r="FZ90" s="45"/>
      <c r="GA90" s="45"/>
      <c r="GB90" s="45"/>
      <c r="GC90" s="45"/>
      <c r="GD90" s="45"/>
      <c r="GE90" s="45"/>
      <c r="GF90" s="45"/>
      <c r="GG90" s="45"/>
      <c r="GH90" s="45"/>
      <c r="GI90" s="45"/>
      <c r="GJ90" s="45"/>
      <c r="GK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5"/>
      <c r="EI91" s="45"/>
      <c r="EJ91" s="45"/>
      <c r="EK91" s="45"/>
      <c r="EL91" s="45"/>
      <c r="EM91" s="45"/>
      <c r="EN91" s="45"/>
      <c r="EO91" s="45"/>
      <c r="EP91" s="45"/>
      <c r="EQ91" s="45"/>
      <c r="ER91" s="45"/>
      <c r="ES91" s="45"/>
      <c r="ET91" s="45"/>
      <c r="EU91" s="45"/>
      <c r="EV91" s="45"/>
      <c r="EW91" s="45"/>
      <c r="EX91" s="45"/>
      <c r="EY91" s="45"/>
      <c r="EZ91" s="45"/>
      <c r="FA91" s="45"/>
      <c r="FB91" s="45"/>
      <c r="FC91" s="45"/>
      <c r="FD91" s="45"/>
      <c r="FE91" s="45"/>
      <c r="FF91" s="45"/>
      <c r="FG91" s="45"/>
      <c r="FH91" s="45"/>
      <c r="FI91" s="45"/>
      <c r="FJ91" s="45"/>
      <c r="FK91" s="45"/>
      <c r="FL91" s="45"/>
      <c r="FM91" s="45"/>
      <c r="FN91" s="45"/>
      <c r="FO91" s="45"/>
      <c r="FP91" s="45"/>
      <c r="FQ91" s="45"/>
      <c r="FR91" s="45"/>
      <c r="FS91" s="45"/>
      <c r="FT91" s="45"/>
      <c r="FU91" s="45"/>
      <c r="FV91" s="45"/>
      <c r="FW91" s="45"/>
      <c r="FX91" s="45"/>
      <c r="FY91" s="45"/>
      <c r="FZ91" s="45"/>
      <c r="GA91" s="45"/>
      <c r="GB91" s="45"/>
      <c r="GC91" s="45"/>
      <c r="GD91" s="45"/>
      <c r="GE91" s="45"/>
      <c r="GF91" s="45"/>
      <c r="GG91" s="45"/>
      <c r="GH91" s="45"/>
      <c r="GI91" s="45"/>
      <c r="GJ91" s="45"/>
      <c r="GK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5"/>
      <c r="EI92" s="45"/>
      <c r="EJ92" s="45"/>
      <c r="EK92" s="45"/>
      <c r="EL92" s="45"/>
      <c r="EM92" s="45"/>
      <c r="EN92" s="45"/>
      <c r="EO92" s="45"/>
      <c r="EP92" s="45"/>
      <c r="EQ92" s="45"/>
      <c r="ER92" s="45"/>
      <c r="ES92" s="45"/>
      <c r="ET92" s="45"/>
      <c r="EU92" s="45"/>
      <c r="EV92" s="45"/>
      <c r="EW92" s="45"/>
      <c r="EX92" s="45"/>
      <c r="EY92" s="45"/>
      <c r="EZ92" s="45"/>
      <c r="FA92" s="45"/>
      <c r="FB92" s="45"/>
      <c r="FC92" s="45"/>
      <c r="FD92" s="45"/>
      <c r="FE92" s="45"/>
      <c r="FF92" s="45"/>
      <c r="FG92" s="45"/>
      <c r="FH92" s="45"/>
      <c r="FI92" s="45"/>
      <c r="FJ92" s="45"/>
      <c r="FK92" s="45"/>
      <c r="FL92" s="45"/>
      <c r="FM92" s="45"/>
      <c r="FN92" s="45"/>
      <c r="FO92" s="45"/>
      <c r="FP92" s="45"/>
      <c r="FQ92" s="45"/>
      <c r="FR92" s="45"/>
      <c r="FS92" s="45"/>
      <c r="FT92" s="45"/>
      <c r="FU92" s="45"/>
      <c r="FV92" s="45"/>
      <c r="FW92" s="45"/>
      <c r="FX92" s="45"/>
      <c r="FY92" s="45"/>
      <c r="FZ92" s="45"/>
      <c r="GA92" s="45"/>
      <c r="GB92" s="45"/>
      <c r="GC92" s="45"/>
      <c r="GD92" s="45"/>
      <c r="GE92" s="45"/>
      <c r="GF92" s="45"/>
      <c r="GG92" s="45"/>
      <c r="GH92" s="45"/>
      <c r="GI92" s="45"/>
      <c r="GJ92" s="45"/>
      <c r="GK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5"/>
      <c r="EI93" s="45"/>
      <c r="EJ93" s="45"/>
      <c r="EK93" s="45"/>
      <c r="EL93" s="45"/>
      <c r="EM93" s="45"/>
      <c r="EN93" s="45"/>
      <c r="EO93" s="45"/>
      <c r="EP93" s="45"/>
      <c r="EQ93" s="45"/>
      <c r="ER93" s="45"/>
      <c r="ES93" s="45"/>
      <c r="ET93" s="45"/>
      <c r="EU93" s="45"/>
      <c r="EV93" s="45"/>
      <c r="EW93" s="45"/>
      <c r="EX93" s="45"/>
      <c r="EY93" s="45"/>
      <c r="EZ93" s="45"/>
      <c r="FA93" s="45"/>
      <c r="FB93" s="45"/>
      <c r="FC93" s="45"/>
      <c r="FD93" s="45"/>
      <c r="FE93" s="45"/>
      <c r="FF93" s="45"/>
      <c r="FG93" s="45"/>
      <c r="FH93" s="45"/>
      <c r="FI93" s="45"/>
      <c r="FJ93" s="45"/>
      <c r="FK93" s="45"/>
      <c r="FL93" s="45"/>
      <c r="FM93" s="45"/>
      <c r="FN93" s="45"/>
      <c r="FO93" s="45"/>
      <c r="FP93" s="45"/>
      <c r="FQ93" s="45"/>
      <c r="FR93" s="45"/>
      <c r="FS93" s="45"/>
      <c r="FT93" s="45"/>
      <c r="FU93" s="45"/>
      <c r="FV93" s="45"/>
      <c r="FW93" s="45"/>
      <c r="FX93" s="45"/>
      <c r="FY93" s="45"/>
      <c r="FZ93" s="45"/>
      <c r="GA93" s="45"/>
      <c r="GB93" s="45"/>
      <c r="GC93" s="45"/>
      <c r="GD93" s="45"/>
      <c r="GE93" s="45"/>
      <c r="GF93" s="45"/>
      <c r="GG93" s="45"/>
      <c r="GH93" s="45"/>
      <c r="GI93" s="45"/>
      <c r="GJ93" s="45"/>
      <c r="GK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45"/>
      <c r="ES94" s="45"/>
      <c r="ET94" s="45"/>
      <c r="EU94" s="45"/>
      <c r="EV94" s="45"/>
      <c r="EW94" s="45"/>
      <c r="EX94" s="45"/>
      <c r="EY94" s="45"/>
      <c r="EZ94" s="45"/>
      <c r="FA94" s="45"/>
      <c r="FB94" s="45"/>
      <c r="FC94" s="45"/>
      <c r="FD94" s="45"/>
      <c r="FE94" s="45"/>
      <c r="FF94" s="45"/>
      <c r="FG94" s="45"/>
      <c r="FH94" s="45"/>
      <c r="FI94" s="45"/>
      <c r="FJ94" s="45"/>
      <c r="FK94" s="45"/>
      <c r="FL94" s="45"/>
      <c r="FM94" s="45"/>
      <c r="FN94" s="45"/>
      <c r="FO94" s="45"/>
      <c r="FP94" s="45"/>
      <c r="FQ94" s="45"/>
      <c r="FR94" s="45"/>
      <c r="FS94" s="45"/>
      <c r="FT94" s="45"/>
      <c r="FU94" s="45"/>
      <c r="FV94" s="45"/>
      <c r="FW94" s="45"/>
      <c r="FX94" s="45"/>
      <c r="FY94" s="45"/>
      <c r="FZ94" s="45"/>
      <c r="GA94" s="45"/>
      <c r="GB94" s="45"/>
      <c r="GC94" s="45"/>
      <c r="GD94" s="45"/>
      <c r="GE94" s="45"/>
      <c r="GF94" s="45"/>
      <c r="GG94" s="45"/>
      <c r="GH94" s="45"/>
      <c r="GI94" s="45"/>
      <c r="GJ94" s="45"/>
      <c r="GK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45"/>
      <c r="ES95" s="45"/>
      <c r="ET95" s="45"/>
      <c r="EU95" s="45"/>
      <c r="EV95" s="45"/>
      <c r="EW95" s="45"/>
      <c r="EX95" s="45"/>
      <c r="EY95" s="45"/>
      <c r="EZ95" s="45"/>
      <c r="FA95" s="45"/>
      <c r="FB95" s="45"/>
      <c r="FC95" s="45"/>
      <c r="FD95" s="45"/>
      <c r="FE95" s="45"/>
      <c r="FF95" s="45"/>
      <c r="FG95" s="45"/>
      <c r="FH95" s="45"/>
      <c r="FI95" s="45"/>
      <c r="FJ95" s="45"/>
      <c r="FK95" s="45"/>
      <c r="FL95" s="45"/>
      <c r="FM95" s="45"/>
      <c r="FN95" s="45"/>
      <c r="FO95" s="45"/>
      <c r="FP95" s="45"/>
      <c r="FQ95" s="45"/>
      <c r="FR95" s="45"/>
      <c r="FS95" s="45"/>
      <c r="FT95" s="45"/>
      <c r="FU95" s="45"/>
      <c r="FV95" s="45"/>
      <c r="FW95" s="45"/>
      <c r="FX95" s="45"/>
      <c r="FY95" s="45"/>
      <c r="FZ95" s="45"/>
      <c r="GA95" s="45"/>
      <c r="GB95" s="45"/>
      <c r="GC95" s="45"/>
      <c r="GD95" s="45"/>
      <c r="GE95" s="45"/>
      <c r="GF95" s="45"/>
      <c r="GG95" s="45"/>
      <c r="GH95" s="45"/>
      <c r="GI95" s="45"/>
      <c r="GJ95" s="45"/>
      <c r="GK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  <c r="FQ96" s="45"/>
      <c r="FR96" s="45"/>
      <c r="FS96" s="45"/>
      <c r="FT96" s="45"/>
      <c r="FU96" s="45"/>
      <c r="FV96" s="45"/>
      <c r="FW96" s="45"/>
      <c r="FX96" s="45"/>
      <c r="FY96" s="45"/>
      <c r="FZ96" s="45"/>
      <c r="GA96" s="45"/>
      <c r="GB96" s="45"/>
      <c r="GC96" s="45"/>
      <c r="GD96" s="45"/>
      <c r="GE96" s="45"/>
      <c r="GF96" s="45"/>
      <c r="GG96" s="45"/>
      <c r="GH96" s="45"/>
      <c r="GI96" s="45"/>
      <c r="GJ96" s="45"/>
      <c r="GK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45"/>
      <c r="ES97" s="45"/>
      <c r="ET97" s="45"/>
      <c r="EU97" s="45"/>
      <c r="EV97" s="45"/>
      <c r="EW97" s="45"/>
      <c r="EX97" s="45"/>
      <c r="EY97" s="45"/>
      <c r="EZ97" s="45"/>
      <c r="FA97" s="45"/>
      <c r="FB97" s="45"/>
      <c r="FC97" s="45"/>
      <c r="FD97" s="45"/>
      <c r="FE97" s="45"/>
      <c r="FF97" s="45"/>
      <c r="FG97" s="45"/>
      <c r="FH97" s="45"/>
      <c r="FI97" s="45"/>
      <c r="FJ97" s="45"/>
      <c r="FK97" s="45"/>
      <c r="FL97" s="45"/>
      <c r="FM97" s="45"/>
      <c r="FN97" s="45"/>
      <c r="FO97" s="45"/>
      <c r="FP97" s="45"/>
      <c r="FQ97" s="45"/>
      <c r="FR97" s="45"/>
      <c r="FS97" s="45"/>
      <c r="FT97" s="45"/>
      <c r="FU97" s="45"/>
      <c r="FV97" s="45"/>
      <c r="FW97" s="45"/>
      <c r="FX97" s="45"/>
      <c r="FY97" s="45"/>
      <c r="FZ97" s="45"/>
      <c r="GA97" s="45"/>
      <c r="GB97" s="45"/>
      <c r="GC97" s="45"/>
      <c r="GD97" s="45"/>
      <c r="GE97" s="45"/>
      <c r="GF97" s="45"/>
      <c r="GG97" s="45"/>
      <c r="GH97" s="45"/>
      <c r="GI97" s="45"/>
      <c r="GJ97" s="45"/>
      <c r="GK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5"/>
      <c r="EJ98" s="45"/>
      <c r="EK98" s="45"/>
      <c r="EL98" s="45"/>
      <c r="EM98" s="45"/>
      <c r="EN98" s="45"/>
      <c r="EO98" s="45"/>
      <c r="EP98" s="45"/>
      <c r="EQ98" s="45"/>
      <c r="ER98" s="45"/>
      <c r="ES98" s="45"/>
      <c r="ET98" s="45"/>
      <c r="EU98" s="45"/>
      <c r="EV98" s="45"/>
      <c r="EW98" s="45"/>
      <c r="EX98" s="45"/>
      <c r="EY98" s="45"/>
      <c r="EZ98" s="45"/>
      <c r="FA98" s="45"/>
      <c r="FB98" s="45"/>
      <c r="FC98" s="45"/>
      <c r="FD98" s="45"/>
      <c r="FE98" s="45"/>
      <c r="FF98" s="45"/>
      <c r="FG98" s="45"/>
      <c r="FH98" s="45"/>
      <c r="FI98" s="45"/>
      <c r="FJ98" s="45"/>
      <c r="FK98" s="45"/>
      <c r="FL98" s="45"/>
      <c r="FM98" s="45"/>
      <c r="FN98" s="45"/>
      <c r="FO98" s="45"/>
      <c r="FP98" s="45"/>
      <c r="FQ98" s="45"/>
      <c r="FR98" s="45"/>
      <c r="FS98" s="45"/>
      <c r="FT98" s="45"/>
      <c r="FU98" s="45"/>
      <c r="FV98" s="45"/>
      <c r="FW98" s="45"/>
      <c r="FX98" s="45"/>
      <c r="FY98" s="45"/>
      <c r="FZ98" s="45"/>
      <c r="GA98" s="45"/>
      <c r="GB98" s="45"/>
      <c r="GC98" s="45"/>
      <c r="GD98" s="45"/>
      <c r="GE98" s="45"/>
      <c r="GF98" s="45"/>
      <c r="GG98" s="45"/>
      <c r="GH98" s="45"/>
      <c r="GI98" s="45"/>
      <c r="GJ98" s="45"/>
      <c r="GK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45"/>
      <c r="ES99" s="45"/>
      <c r="ET99" s="45"/>
      <c r="EU99" s="45"/>
      <c r="EV99" s="45"/>
      <c r="EW99" s="45"/>
      <c r="EX99" s="45"/>
      <c r="EY99" s="45"/>
      <c r="EZ99" s="45"/>
      <c r="FA99" s="45"/>
      <c r="FB99" s="45"/>
      <c r="FC99" s="45"/>
      <c r="FD99" s="45"/>
      <c r="FE99" s="45"/>
      <c r="FF99" s="45"/>
      <c r="FG99" s="45"/>
      <c r="FH99" s="45"/>
      <c r="FI99" s="45"/>
      <c r="FJ99" s="45"/>
      <c r="FK99" s="45"/>
      <c r="FL99" s="45"/>
      <c r="FM99" s="45"/>
      <c r="FN99" s="45"/>
      <c r="FO99" s="45"/>
      <c r="FP99" s="45"/>
      <c r="FQ99" s="45"/>
      <c r="FR99" s="45"/>
      <c r="FS99" s="45"/>
      <c r="FT99" s="45"/>
      <c r="FU99" s="45"/>
      <c r="FV99" s="45"/>
      <c r="FW99" s="45"/>
      <c r="FX99" s="45"/>
      <c r="FY99" s="45"/>
      <c r="FZ99" s="45"/>
      <c r="GA99" s="45"/>
      <c r="GB99" s="45"/>
      <c r="GC99" s="45"/>
      <c r="GD99" s="45"/>
      <c r="GE99" s="45"/>
      <c r="GF99" s="45"/>
      <c r="GG99" s="45"/>
      <c r="GH99" s="45"/>
      <c r="GI99" s="45"/>
      <c r="GJ99" s="45"/>
      <c r="GK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5"/>
      <c r="CU100" s="45"/>
      <c r="CV100" s="45"/>
      <c r="CW100" s="45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5"/>
      <c r="EI100" s="45"/>
      <c r="EJ100" s="45"/>
      <c r="EK100" s="45"/>
      <c r="EL100" s="45"/>
      <c r="EM100" s="45"/>
      <c r="EN100" s="45"/>
      <c r="EO100" s="45"/>
      <c r="EP100" s="45"/>
      <c r="EQ100" s="45"/>
      <c r="ER100" s="45"/>
      <c r="ES100" s="45"/>
      <c r="ET100" s="45"/>
      <c r="EU100" s="45"/>
      <c r="EV100" s="45"/>
      <c r="EW100" s="45"/>
      <c r="EX100" s="45"/>
      <c r="EY100" s="45"/>
      <c r="EZ100" s="45"/>
      <c r="FA100" s="45"/>
      <c r="FB100" s="45"/>
      <c r="FC100" s="45"/>
      <c r="FD100" s="45"/>
      <c r="FE100" s="45"/>
      <c r="FF100" s="45"/>
      <c r="FG100" s="45"/>
      <c r="FH100" s="45"/>
      <c r="FI100" s="45"/>
      <c r="FJ100" s="45"/>
      <c r="FK100" s="45"/>
      <c r="FL100" s="45"/>
      <c r="FM100" s="45"/>
      <c r="FN100" s="45"/>
      <c r="FO100" s="45"/>
      <c r="FP100" s="45"/>
      <c r="FQ100" s="45"/>
      <c r="FR100" s="45"/>
      <c r="FS100" s="45"/>
      <c r="FT100" s="45"/>
      <c r="FU100" s="45"/>
      <c r="FV100" s="45"/>
      <c r="FW100" s="45"/>
      <c r="FX100" s="45"/>
      <c r="FY100" s="45"/>
      <c r="FZ100" s="45"/>
      <c r="GA100" s="45"/>
      <c r="GB100" s="45"/>
      <c r="GC100" s="45"/>
      <c r="GD100" s="45"/>
      <c r="GE100" s="45"/>
      <c r="GF100" s="45"/>
      <c r="GG100" s="45"/>
      <c r="GH100" s="45"/>
      <c r="GI100" s="45"/>
      <c r="GJ100" s="45"/>
      <c r="GK100" s="4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52" t="s">
        <v>21</v>
      </c>
      <c r="I6" s="56">
        <v>0.0</v>
      </c>
      <c r="J6" s="57">
        <v>50.0</v>
      </c>
      <c r="K6" s="57">
        <v>50.0</v>
      </c>
      <c r="L6" s="57">
        <v>50.0</v>
      </c>
      <c r="M6" s="52" t="s">
        <v>45</v>
      </c>
      <c r="N6" s="58"/>
      <c r="O6" s="52" t="s">
        <v>22</v>
      </c>
      <c r="P6" s="58"/>
      <c r="Q6" s="58" t="s">
        <v>21</v>
      </c>
      <c r="R6" s="58"/>
      <c r="S6" s="58"/>
      <c r="T6" s="59" t="s">
        <v>43</v>
      </c>
      <c r="U6" s="59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0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6">
        <v>0.0</v>
      </c>
      <c r="J7" s="57">
        <v>50.0</v>
      </c>
      <c r="K7" s="57">
        <v>50.0</v>
      </c>
      <c r="L7" s="57">
        <v>50.0</v>
      </c>
      <c r="M7" s="52" t="s">
        <v>45</v>
      </c>
      <c r="N7" s="58"/>
      <c r="O7" s="52" t="s">
        <v>22</v>
      </c>
      <c r="P7" s="58"/>
      <c r="Q7" s="58" t="s">
        <v>21</v>
      </c>
      <c r="R7" s="58"/>
      <c r="S7" s="58"/>
      <c r="T7" s="59" t="s">
        <v>42</v>
      </c>
      <c r="U7" s="59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0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61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51" t="s">
        <v>21</v>
      </c>
      <c r="D6" s="34"/>
      <c r="E6" s="35"/>
      <c r="F6" s="51" t="s">
        <v>45</v>
      </c>
      <c r="G6" s="51"/>
      <c r="H6" s="51" t="s">
        <v>21</v>
      </c>
      <c r="I6" s="61">
        <v>50.0</v>
      </c>
      <c r="J6" s="37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1" t="s">
        <v>21</v>
      </c>
      <c r="D7" s="35"/>
      <c r="E7" s="35"/>
      <c r="F7" s="51" t="s">
        <v>45</v>
      </c>
      <c r="G7" s="51"/>
      <c r="H7" s="51" t="s">
        <v>21</v>
      </c>
      <c r="I7" s="61">
        <v>50.0</v>
      </c>
      <c r="J7" s="37"/>
      <c r="K7" s="35"/>
      <c r="L7" s="35"/>
      <c r="M7" s="35"/>
      <c r="N7" s="35"/>
      <c r="O7" s="35"/>
      <c r="P7" s="35"/>
      <c r="Q7" s="35"/>
      <c r="R7" s="35"/>
      <c r="S7" s="3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2" t="s">
        <v>21</v>
      </c>
      <c r="I6" s="56">
        <v>0.0</v>
      </c>
      <c r="J6" s="56">
        <v>50.0</v>
      </c>
      <c r="K6" s="56">
        <v>50.0</v>
      </c>
      <c r="L6" s="56">
        <v>50.0</v>
      </c>
      <c r="M6" s="52" t="s">
        <v>45</v>
      </c>
      <c r="N6" s="58"/>
      <c r="O6" s="52" t="s">
        <v>22</v>
      </c>
      <c r="P6" s="58"/>
      <c r="Q6" s="58" t="s">
        <v>21</v>
      </c>
      <c r="R6" s="58"/>
      <c r="S6" s="58"/>
      <c r="T6" s="59" t="s">
        <v>43</v>
      </c>
      <c r="U6" s="59" t="s">
        <v>43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6">
        <v>0.0</v>
      </c>
      <c r="J7" s="56">
        <v>50.0</v>
      </c>
      <c r="K7" s="56">
        <v>50.0</v>
      </c>
      <c r="L7" s="56">
        <v>50.0</v>
      </c>
      <c r="M7" s="52" t="s">
        <v>45</v>
      </c>
      <c r="N7" s="58"/>
      <c r="O7" s="52" t="s">
        <v>22</v>
      </c>
      <c r="P7" s="58"/>
      <c r="Q7" s="58" t="s">
        <v>21</v>
      </c>
      <c r="R7" s="58"/>
      <c r="S7" s="58"/>
      <c r="T7" s="59" t="s">
        <v>42</v>
      </c>
      <c r="U7" s="59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1" t="s">
        <v>21</v>
      </c>
      <c r="D6" s="34"/>
      <c r="E6" s="35"/>
      <c r="F6" s="51" t="s">
        <v>45</v>
      </c>
      <c r="G6" s="51"/>
      <c r="H6" s="51" t="s">
        <v>21</v>
      </c>
      <c r="I6" s="37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1" t="s">
        <v>21</v>
      </c>
      <c r="D7" s="35"/>
      <c r="E7" s="35"/>
      <c r="F7" s="51" t="s">
        <v>45</v>
      </c>
      <c r="G7" s="51"/>
      <c r="H7" s="51" t="s">
        <v>21</v>
      </c>
      <c r="I7" s="37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47" t="str">
        <f>IFERROR(__xludf.DUMMYFUNCTION("""COMPUTED_VALUE"""),"VerifyDbNavWindow")</f>
        <v>VerifyDbNavWindow</v>
      </c>
      <c r="Q4" s="47" t="str">
        <f>IFERROR(__xludf.DUMMYFUNCTION("""COMPUTED_VALUE"""),"VerifyGlobalDivisorWindow")</f>
        <v>VerifyGlobalDivisorWindow</v>
      </c>
      <c r="R4" s="47" t="str">
        <f>IFERROR(__xludf.DUMMYFUNCTION("""COMPUTED_VALUE"""),"VerifyPmCalculationPreferenceWindow")</f>
        <v>VerifyPmCalculationPreferenceWindow</v>
      </c>
      <c r="S4" s="47" t="str">
        <f>IFERROR(__xludf.DUMMYFUNCTION("""COMPUTED_VALUE"""),"VerifyRowCalculationBaseWindow")</f>
        <v>VerifyRowCalculationBaseWindow</v>
      </c>
      <c r="T4" s="47" t="str">
        <f>IFERROR(__xludf.DUMMYFUNCTION("""COMPUTED_VALUE"""),"VerifySecurityWindow")</f>
        <v>VerifySecurityWindow</v>
      </c>
      <c r="U4" s="47" t="str">
        <f>IFERROR(__xludf.DUMMYFUNCTION("""COMPUTED_VALUE"""),"VerifySymbolDataWindow")</f>
        <v>VerifySymbolDataWindow</v>
      </c>
      <c r="V4" s="47" t="str">
        <f>IFERROR(__xludf.DUMMYFUNCTION("""COMPUTED_VALUE"""),"VerifySymbolDivisorWindow")</f>
        <v>VerifySymbolDivisorWindow</v>
      </c>
      <c r="W4" s="47" t="str">
        <f>IFERROR(__xludf.DUMMYFUNCTION("""COMPUTED_VALUE"""),"VerifyTaxlotWindow")</f>
        <v>VerifyTaxlotWindow</v>
      </c>
      <c r="X4" s="47" t="str">
        <f>IFERROR(__xludf.DUMMYFUNCTION("""COMPUTED_VALUE"""),"RestartEsper")</f>
        <v>RestartEsper</v>
      </c>
      <c r="Y4" s="47" t="str">
        <f>IFERROR(__xludf.DUMMYFUNCTION("""COMPUTED_VALUE"""),"VerifyAccountNavPreferenceWindow")</f>
        <v>VerifyAccountNavPreferenceWindow</v>
      </c>
      <c r="Z4" s="47" t="str">
        <f>IFERROR(__xludf.DUMMYFUNCTION("""COMPUTED_VALUE"""),"VerifyAggregationAccountUnderlyingSymbolWithNav")</f>
        <v>VerifyAggregationAccountUnderlyingSymbolWithNav</v>
      </c>
      <c r="AA4" s="47" t="str">
        <f>IFERROR(__xludf.DUMMYFUNCTION("""COMPUTED_VALUE"""),"VerifyAggregationAssetWithNav")</f>
        <v>VerifyAggregationAssetWithNav</v>
      </c>
      <c r="AB4" s="47" t="str">
        <f>IFERROR(__xludf.DUMMYFUNCTION("""COMPUTED_VALUE"""),"VerifyAggregationSymbolWithNav")</f>
        <v>VerifyAggregationSymbolWithNav</v>
      </c>
      <c r="AC4" s="47" t="str">
        <f>IFERROR(__xludf.DUMMYFUNCTION("""COMPUTED_VALUE"""),"VerifyAggregationSubSectorWithNav")</f>
        <v>VerifyAggregationSubSectorWithNav</v>
      </c>
      <c r="AD4" s="47" t="str">
        <f>IFERROR(__xludf.DUMMYFUNCTION("""COMPUTED_VALUE"""),"VerifyAggregationGlobalWithNav")</f>
        <v>VerifyAggregationGlobalWithNav</v>
      </c>
      <c r="AE4" s="47" t="str">
        <f>IFERROR(__xludf.DUMMYFUNCTION("""COMPUTED_VALUE"""),"VerifyAggregationGlobalWithNav")</f>
        <v>VerifyAggregationGlobalWithNav</v>
      </c>
      <c r="AF4" s="47" t="str">
        <f>IFERROR(__xludf.DUMMYFUNCTION("""COMPUTED_VALUE"""),"VerifyGlobalDivisorWindow")</f>
        <v>VerifyGlobalDivisorWindow</v>
      </c>
      <c r="AG4" s="47" t="str">
        <f>IFERROR(__xludf.DUMMYFUNCTION("""COMPUTED_VALUE"""),"VerifyAccrualForAccountWindow")</f>
        <v>VerifyAccrualForAccountWindow</v>
      </c>
      <c r="AH4" s="47" t="str">
        <f>IFERROR(__xludf.DUMMYFUNCTION("""COMPUTED_VALUE"""),"VerifyGlobalDivisorWindow")</f>
        <v>VerifyGlobalDivisorWindow</v>
      </c>
      <c r="AI4" s="47" t="str">
        <f>IFERROR(__xludf.DUMMYFUNCTION("""COMPUTED_VALUE"""),"VerifyMasterFundDivisorWindow")</f>
        <v>VerifyMasterFundDivisorWindow</v>
      </c>
      <c r="AJ4" s="47" t="str">
        <f>IFERROR(__xludf.DUMMYFUNCTION("""COMPUTED_VALUE"""),"VerifyMasterFundSymbolDivisorWindow")</f>
        <v>VerifyMasterFundSymbolDivisorWindow</v>
      </c>
      <c r="AK4" s="47" t="str">
        <f>IFERROR(__xludf.DUMMYFUNCTION("""COMPUTED_VALUE"""),"VerifyAggAccountSymbolWithNav")</f>
        <v>VerifyAggAccountSymbolWithNav</v>
      </c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48" t="str">
        <f>IFERROR(__xludf.DUMMYFUNCTION("""COMPUTED_VALUE"""),"masterFundId")</f>
        <v>masterFundId</v>
      </c>
      <c r="U5" s="48" t="str">
        <f>IFERROR(__xludf.DUMMYFUNCTION("""COMPUTED_VALUE"""),"masterFundName")</f>
        <v>masterFundName</v>
      </c>
      <c r="V5" s="48" t="str">
        <f>IFERROR(__xludf.DUMMYFUNCTION("""COMPUTED_VALUE"""),"putOrCall")</f>
        <v>putOrCall</v>
      </c>
      <c r="W5" s="48" t="str">
        <f>IFERROR(__xludf.DUMMYFUNCTION("""COMPUTED_VALUE"""),"strikePrice")</f>
        <v>strikePrice</v>
      </c>
      <c r="X5" s="48" t="str">
        <f>IFERROR(__xludf.DUMMYFUNCTION("""COMPUTED_VALUE"""),"riskCurrency")</f>
        <v>riskCurrency</v>
      </c>
      <c r="Y5" s="48" t="str">
        <f>IFERROR(__xludf.DUMMYFUNCTION("""COMPUTED_VALUE"""),"issuer")</f>
        <v>issuer</v>
      </c>
      <c r="Z5" s="48" t="str">
        <f>IFERROR(__xludf.DUMMYFUNCTION("""COMPUTED_VALUE"""),"countryOfRisk")</f>
        <v>countryOfRisk</v>
      </c>
      <c r="AA5" s="48" t="str">
        <f>IFERROR(__xludf.DUMMYFUNCTION("""COMPUTED_VALUE"""),"region")</f>
        <v>region</v>
      </c>
      <c r="AB5" s="48" t="str">
        <f>IFERROR(__xludf.DUMMYFUNCTION("""COMPUTED_VALUE"""),"analyst")</f>
        <v>analyst</v>
      </c>
      <c r="AC5" s="48" t="str">
        <f>IFERROR(__xludf.DUMMYFUNCTION("""COMPUTED_VALUE"""),"ucitsEligibleTag")</f>
        <v>ucitsEligibleTag</v>
      </c>
      <c r="AD5" s="48" t="str">
        <f>IFERROR(__xludf.DUMMYFUNCTION("""COMPUTED_VALUE"""),"liquidTag")</f>
        <v>liquidTag</v>
      </c>
      <c r="AE5" s="48" t="str">
        <f>IFERROR(__xludf.DUMMYFUNCTION("""COMPUTED_VALUE"""),"marketCap")</f>
        <v>marketCap</v>
      </c>
      <c r="AF5" s="48" t="str">
        <f>IFERROR(__xludf.DUMMYFUNCTION("""COMPUTED_VALUE"""),"customUDA1")</f>
        <v>customUDA1</v>
      </c>
      <c r="AG5" s="48" t="str">
        <f>IFERROR(__xludf.DUMMYFUNCTION("""COMPUTED_VALUE"""),"customUDA2")</f>
        <v>customUDA2</v>
      </c>
      <c r="AH5" s="48" t="str">
        <f>IFERROR(__xludf.DUMMYFUNCTION("""COMPUTED_VALUE"""),"customUDA3")</f>
        <v>customUDA3</v>
      </c>
      <c r="AI5" s="48" t="str">
        <f>IFERROR(__xludf.DUMMYFUNCTION("""COMPUTED_VALUE"""),"customUDA4")</f>
        <v>customUDA4</v>
      </c>
      <c r="AJ5" s="48" t="str">
        <f>IFERROR(__xludf.DUMMYFUNCTION("""COMPUTED_VALUE"""),"customUDA5")</f>
        <v>customUDA5</v>
      </c>
      <c r="AK5" s="48" t="str">
        <f>IFERROR(__xludf.DUMMYFUNCTION("""COMPUTED_VALUE"""),"customUDA6")</f>
        <v>customUDA6</v>
      </c>
      <c r="AL5" s="48" t="str">
        <f>IFERROR(__xludf.DUMMYFUNCTION("""COMPUTED_VALUE"""),"customUDA7")</f>
        <v>customUDA7</v>
      </c>
      <c r="AM5" s="48" t="str">
        <f>IFERROR(__xludf.DUMMYFUNCTION("""COMPUTED_VALUE"""),"todayAbsTradeQuantity")</f>
        <v>todayAbsTradeQuantity</v>
      </c>
      <c r="AN5" s="48" t="str">
        <f>IFERROR(__xludf.DUMMYFUNCTION("""COMPUTED_VALUE"""),"todayLongTradeQuantity")</f>
        <v>todayLongTradeQuantity</v>
      </c>
      <c r="AO5" s="48" t="str">
        <f>IFERROR(__xludf.DUMMYFUNCTION("""COMPUTED_VALUE"""),"todayShortTradeQuantity")</f>
        <v>todayShortTradeQuantity</v>
      </c>
      <c r="AP5" s="48" t="str">
        <f>IFERROR(__xludf.DUMMYFUNCTION("""COMPUTED_VALUE"""),"todayNetNotionalBase")</f>
        <v>todayNetNotionalBase</v>
      </c>
      <c r="AQ5" s="48" t="str">
        <f>IFERROR(__xludf.DUMMYFUNCTION("""COMPUTED_VALUE"""),"todayLongNotionalBase")</f>
        <v>todayLongNotionalBase</v>
      </c>
      <c r="AR5" s="48" t="str">
        <f>IFERROR(__xludf.DUMMYFUNCTION("""COMPUTED_VALUE"""),"todayShortNotionalBase")</f>
        <v>todayShortNotionalBase</v>
      </c>
      <c r="AS5" s="48" t="str">
        <f>IFERROR(__xludf.DUMMYFUNCTION("""COMPUTED_VALUE"""),"quantity")</f>
        <v>quantity</v>
      </c>
      <c r="AT5" s="48" t="str">
        <f>IFERROR(__xludf.DUMMYFUNCTION("""COMPUTED_VALUE"""),"netMarketValueLocal")</f>
        <v>netMarketValueLocal</v>
      </c>
      <c r="AU5" s="48" t="str">
        <f>IFERROR(__xludf.DUMMYFUNCTION("""COMPUTED_VALUE"""),"yesterdayMarketValueLocal")</f>
        <v>yesterdayMarketValueLocal</v>
      </c>
      <c r="AV5" s="48" t="str">
        <f>IFERROR(__xludf.DUMMYFUNCTION("""COMPUTED_VALUE"""),"grossMarketValueLocal")</f>
        <v>grossMarketValueLocal</v>
      </c>
      <c r="AW5" s="48" t="str">
        <f>IFERROR(__xludf.DUMMYFUNCTION("""COMPUTED_VALUE"""),"notionalLocal")</f>
        <v>notionalLocal</v>
      </c>
      <c r="AX5" s="48" t="str">
        <f>IFERROR(__xludf.DUMMYFUNCTION("""COMPUTED_VALUE"""),"equityHaircutLocal")</f>
        <v>equityHaircutLocal</v>
      </c>
      <c r="AY5" s="48" t="str">
        <f>IFERROR(__xludf.DUMMYFUNCTION("""COMPUTED_VALUE"""),"indexHaircutLocal")</f>
        <v>indexHaircutLocal</v>
      </c>
      <c r="AZ5" s="48" t="str">
        <f>IFERROR(__xludf.DUMMYFUNCTION("""COMPUTED_VALUE"""),"equityHaircutBase")</f>
        <v>equityHaircutBase</v>
      </c>
      <c r="BA5" s="48" t="str">
        <f>IFERROR(__xludf.DUMMYFUNCTION("""COMPUTED_VALUE"""),"indexHaircutBase")</f>
        <v>indexHaircutBase</v>
      </c>
      <c r="BB5" s="48" t="str">
        <f>IFERROR(__xludf.DUMMYFUNCTION("""COMPUTED_VALUE"""),"cashImpactLocal")</f>
        <v>cashImpactLocal</v>
      </c>
      <c r="BC5" s="48" t="str">
        <f>IFERROR(__xludf.DUMMYFUNCTION("""COMPUTED_VALUE"""),"cashInflowLocal")</f>
        <v>cashInflowLocal</v>
      </c>
      <c r="BD5" s="48" t="str">
        <f>IFERROR(__xludf.DUMMYFUNCTION("""COMPUTED_VALUE"""),"cashOutflowLocal")</f>
        <v>cashOutflowLocal</v>
      </c>
      <c r="BE5" s="48" t="str">
        <f>IFERROR(__xludf.DUMMYFUNCTION("""COMPUTED_VALUE"""),"costBasisPnLLocal")</f>
        <v>costBasisPnLLocal</v>
      </c>
      <c r="BF5" s="48" t="str">
        <f>IFERROR(__xludf.DUMMYFUNCTION("""COMPUTED_VALUE"""),"dayPnLLocal")</f>
        <v>dayPnLLocal</v>
      </c>
      <c r="BG5" s="48" t="str">
        <f>IFERROR(__xludf.DUMMYFUNCTION("""COMPUTED_VALUE"""),"netExposureLocal")</f>
        <v>netExposureLocal</v>
      </c>
      <c r="BH5" s="48" t="str">
        <f>IFERROR(__xludf.DUMMYFUNCTION("""COMPUTED_VALUE"""),"grossExposureLocal")</f>
        <v>grossExposureLocal</v>
      </c>
      <c r="BI5" s="48" t="str">
        <f>IFERROR(__xludf.DUMMYFUNCTION("""COMPUTED_VALUE"""),"betaAdjustedExposureLocal")</f>
        <v>betaAdjustedExposureLocal</v>
      </c>
      <c r="BJ5" s="48" t="str">
        <f>IFERROR(__xludf.DUMMYFUNCTION("""COMPUTED_VALUE"""),"deltaAdjPosition")</f>
        <v>deltaAdjPosition</v>
      </c>
      <c r="BK5" s="48" t="str">
        <f>IFERROR(__xludf.DUMMYFUNCTION("""COMPUTED_VALUE"""),"liquidationPnlLocal")</f>
        <v>liquidationPnlLocal</v>
      </c>
      <c r="BL5" s="48" t="str">
        <f>IFERROR(__xludf.DUMMYFUNCTION("""COMPUTED_VALUE"""),"liquidationPnlBase")</f>
        <v>liquidationPnlBase</v>
      </c>
      <c r="BM5" s="48" t="str">
        <f>IFERROR(__xludf.DUMMYFUNCTION("""COMPUTED_VALUE"""),"underlyingValueForOptionsLocal")</f>
        <v>underlyingValueForOptionsLocal</v>
      </c>
      <c r="BN5" s="48" t="str">
        <f>IFERROR(__xludf.DUMMYFUNCTION("""COMPUTED_VALUE"""),"notionalBase")</f>
        <v>notionalBase</v>
      </c>
      <c r="BO5" s="48" t="str">
        <f>IFERROR(__xludf.DUMMYFUNCTION("""COMPUTED_VALUE"""),"cashImpactBase")</f>
        <v>cashImpactBase</v>
      </c>
      <c r="BP5" s="48" t="str">
        <f>IFERROR(__xludf.DUMMYFUNCTION("""COMPUTED_VALUE"""),"cashInflowBase")</f>
        <v>cashInflowBase</v>
      </c>
      <c r="BQ5" s="48" t="str">
        <f>IFERROR(__xludf.DUMMYFUNCTION("""COMPUTED_VALUE"""),"cashOutflowBase")</f>
        <v>cashOutflowBase</v>
      </c>
      <c r="BR5" s="48" t="str">
        <f>IFERROR(__xludf.DUMMYFUNCTION("""COMPUTED_VALUE"""),"netMarketValueBase")</f>
        <v>netMarketValueBase</v>
      </c>
      <c r="BS5" s="48" t="str">
        <f>IFERROR(__xludf.DUMMYFUNCTION("""COMPUTED_VALUE"""),"yesterdayMarketValueBase")</f>
        <v>yesterdayMarketValueBase</v>
      </c>
      <c r="BT5" s="48" t="str">
        <f>IFERROR(__xludf.DUMMYFUNCTION("""COMPUTED_VALUE"""),"grossMarketValueBase")</f>
        <v>grossMarketValueBase</v>
      </c>
      <c r="BU5" s="48" t="str">
        <f>IFERROR(__xludf.DUMMYFUNCTION("""COMPUTED_VALUE"""),"costBasisPnLBase")</f>
        <v>costBasisPnLBase</v>
      </c>
      <c r="BV5" s="48" t="str">
        <f>IFERROR(__xludf.DUMMYFUNCTION("""COMPUTED_VALUE"""),"dayPnLBase")</f>
        <v>dayPnLBase</v>
      </c>
      <c r="BW5" s="48" t="str">
        <f>IFERROR(__xludf.DUMMYFUNCTION("""COMPUTED_VALUE"""),"netExposureBase")</f>
        <v>netExposureBase</v>
      </c>
      <c r="BX5" s="48" t="str">
        <f>IFERROR(__xludf.DUMMYFUNCTION("""COMPUTED_VALUE"""),"grossExposureBase")</f>
        <v>grossExposureBase</v>
      </c>
      <c r="BY5" s="48" t="str">
        <f>IFERROR(__xludf.DUMMYFUNCTION("""COMPUTED_VALUE"""),"betaAdjustedExposureBase")</f>
        <v>betaAdjustedExposureBase</v>
      </c>
      <c r="BZ5" s="48" t="str">
        <f>IFERROR(__xludf.DUMMYFUNCTION("""COMPUTED_VALUE"""),"underlyingValueForOptionsBase")</f>
        <v>underlyingValueForOptionsBase</v>
      </c>
      <c r="CA5" s="48" t="str">
        <f>IFERROR(__xludf.DUMMYFUNCTION("""COMPUTED_VALUE"""),"currentFxRate")</f>
        <v>currentFxRate</v>
      </c>
      <c r="CB5" s="48" t="str">
        <f>IFERROR(__xludf.DUMMYFUNCTION("""COMPUTED_VALUE"""),"yesterdayFxRate")</f>
        <v>yesterdayFxRate</v>
      </c>
      <c r="CC5" s="48" t="str">
        <f>IFERROR(__xludf.DUMMYFUNCTION("""COMPUTED_VALUE"""),"fxConversionMethod")</f>
        <v>fxConversionMethod</v>
      </c>
      <c r="CD5" s="48" t="str">
        <f>IFERROR(__xludf.DUMMYFUNCTION("""COMPUTED_VALUE"""),"askPrice")</f>
        <v>askPrice</v>
      </c>
      <c r="CE5" s="48" t="str">
        <f>IFERROR(__xludf.DUMMYFUNCTION("""COMPUTED_VALUE"""),"bidPrice")</f>
        <v>bidPrice</v>
      </c>
      <c r="CF5" s="48" t="str">
        <f>IFERROR(__xludf.DUMMYFUNCTION("""COMPUTED_VALUE"""),"lowPrice")</f>
        <v>lowPrice</v>
      </c>
      <c r="CG5" s="48" t="str">
        <f>IFERROR(__xludf.DUMMYFUNCTION("""COMPUTED_VALUE"""),"highPrice")</f>
        <v>highPrice</v>
      </c>
      <c r="CH5" s="48" t="str">
        <f>IFERROR(__xludf.DUMMYFUNCTION("""COMPUTED_VALUE"""),"openPrice")</f>
        <v>openPrice</v>
      </c>
      <c r="CI5" s="48" t="str">
        <f>IFERROR(__xludf.DUMMYFUNCTION("""COMPUTED_VALUE"""),"closePrice")</f>
        <v>closePrice</v>
      </c>
      <c r="CJ5" s="48" t="str">
        <f>IFERROR(__xludf.DUMMYFUNCTION("""COMPUTED_VALUE"""),"lastPrice")</f>
        <v>lastPrice</v>
      </c>
      <c r="CK5" s="48" t="str">
        <f>IFERROR(__xludf.DUMMYFUNCTION("""COMPUTED_VALUE"""),"markPrice")</f>
        <v>markPrice</v>
      </c>
      <c r="CL5" s="48" t="str">
        <f>IFERROR(__xludf.DUMMYFUNCTION("""COMPUTED_VALUE"""),"delta")</f>
        <v>delta</v>
      </c>
      <c r="CM5" s="48" t="str">
        <f>IFERROR(__xludf.DUMMYFUNCTION("""COMPUTED_VALUE"""),"leveragedFactor")</f>
        <v>leveragedFactor</v>
      </c>
      <c r="CN5" s="48" t="str">
        <f>IFERROR(__xludf.DUMMYFUNCTION("""COMPUTED_VALUE"""),"beta5YearMonthly")</f>
        <v>beta5YearMonthly</v>
      </c>
      <c r="CO5" s="48" t="str">
        <f>IFERROR(__xludf.DUMMYFUNCTION("""COMPUTED_VALUE"""),"selectedFeedPrice")</f>
        <v>selectedFeedPrice</v>
      </c>
      <c r="CP5" s="48" t="str">
        <f>IFERROR(__xludf.DUMMYFUNCTION("""COMPUTED_VALUE"""),"openInterest")</f>
        <v>openInterest</v>
      </c>
      <c r="CQ5" s="48" t="str">
        <f>IFERROR(__xludf.DUMMYFUNCTION("""COMPUTED_VALUE"""),"underlyingPrice")</f>
        <v>underlyingPrice</v>
      </c>
      <c r="CR5" s="48" t="str">
        <f>IFERROR(__xludf.DUMMYFUNCTION("""COMPUTED_VALUE"""),"avgVolume20Days")</f>
        <v>avgVolume20Days</v>
      </c>
      <c r="CS5" s="48" t="str">
        <f>IFERROR(__xludf.DUMMYFUNCTION("""COMPUTED_VALUE"""),"percentAvgVolume")</f>
        <v>percentAvgVolume</v>
      </c>
      <c r="CT5" s="48" t="str">
        <f>IFERROR(__xludf.DUMMYFUNCTION("""COMPUTED_VALUE"""),"sharesOutstanding")</f>
        <v>sharesOutstanding</v>
      </c>
      <c r="CU5" s="48" t="str">
        <f>IFERROR(__xludf.DUMMYFUNCTION("""COMPUTED_VALUE"""),"underlyingSharesOutstanding")</f>
        <v>underlyingSharesOutstanding</v>
      </c>
      <c r="CV5" s="48" t="str">
        <f>IFERROR(__xludf.DUMMYFUNCTION("""COMPUTED_VALUE"""),"marketCapitalization")</f>
        <v>marketCapitalization</v>
      </c>
      <c r="CW5" s="48" t="str">
        <f>IFERROR(__xludf.DUMMYFUNCTION("""COMPUTED_VALUE"""),"underlyingMarketCapitalization")</f>
        <v>underlyingMarketCapitalization</v>
      </c>
      <c r="CX5" s="48" t="str">
        <f>IFERROR(__xludf.DUMMYFUNCTION("""COMPUTED_VALUE"""),"avgVolume")</f>
        <v>avgVolume</v>
      </c>
      <c r="CY5" s="48" t="str">
        <f>IFERROR(__xludf.DUMMYFUNCTION("""COMPUTED_VALUE"""),"businessDaysToExpire")</f>
        <v>businessDaysToExpire</v>
      </c>
      <c r="CZ5" s="48" t="str">
        <f>IFERROR(__xludf.DUMMYFUNCTION("""COMPUTED_VALUE"""),"actualDaysToExpire")</f>
        <v>actualDaysToExpire</v>
      </c>
      <c r="DA5" s="48" t="str">
        <f>IFERROR(__xludf.DUMMYFUNCTION("""COMPUTED_VALUE"""),"equivalent")</f>
        <v>equivalent</v>
      </c>
      <c r="DB5" s="48" t="str">
        <f>IFERROR(__xludf.DUMMYFUNCTION("""COMPUTED_VALUE"""),"multiplier")</f>
        <v>multiplier</v>
      </c>
      <c r="DC5" s="48" t="str">
        <f>IFERROR(__xludf.DUMMYFUNCTION("""COMPUTED_VALUE"""),"dayInterestBase")</f>
        <v>dayInterestBase</v>
      </c>
      <c r="DD5" s="48" t="str">
        <f>IFERROR(__xludf.DUMMYFUNCTION("""COMPUTED_VALUE"""),"totalInterestBase")</f>
        <v>totalInterestBase</v>
      </c>
      <c r="DE5" s="48" t="str">
        <f>IFERROR(__xludf.DUMMYFUNCTION("""COMPUTED_VALUE"""),"dayInterestLocal")</f>
        <v>dayInterestLocal</v>
      </c>
      <c r="DF5" s="48" t="str">
        <f>IFERROR(__xludf.DUMMYFUNCTION("""COMPUTED_VALUE"""),"totalInterestLocal")</f>
        <v>totalInterestLocal</v>
      </c>
      <c r="DG5" s="48" t="str">
        <f>IFERROR(__xludf.DUMMYFUNCTION("""COMPUTED_VALUE"""),"defaultPositionSide")</f>
        <v>defaultPositionSide</v>
      </c>
      <c r="DH5" s="48" t="str">
        <f>IFERROR(__xludf.DUMMYFUNCTION("""COMPUTED_VALUE"""),"exposurePositionSide")</f>
        <v>exposurePositionSide</v>
      </c>
      <c r="DI5" s="48" t="str">
        <f>IFERROR(__xludf.DUMMYFUNCTION("""COMPUTED_VALUE"""),"longNotionalBase")</f>
        <v>longNotionalBase</v>
      </c>
      <c r="DJ5" s="48" t="str">
        <f>IFERROR(__xludf.DUMMYFUNCTION("""COMPUTED_VALUE"""),"shortNotionalBase")</f>
        <v>shortNotionalBase</v>
      </c>
      <c r="DK5" s="48" t="str">
        <f>IFERROR(__xludf.DUMMYFUNCTION("""COMPUTED_VALUE"""),"shortMarketValueBase")</f>
        <v>shortMarketValueBase</v>
      </c>
      <c r="DL5" s="48" t="str">
        <f>IFERROR(__xludf.DUMMYFUNCTION("""COMPUTED_VALUE"""),"longMarketValueBase")</f>
        <v>longMarketValueBase</v>
      </c>
      <c r="DM5" s="48" t="str">
        <f>IFERROR(__xludf.DUMMYFUNCTION("""COMPUTED_VALUE"""),"shortExposureBase")</f>
        <v>shortExposureBase</v>
      </c>
      <c r="DN5" s="48" t="str">
        <f>IFERROR(__xludf.DUMMYFUNCTION("""COMPUTED_VALUE"""),"longExposureBase")</f>
        <v>longExposureBase</v>
      </c>
      <c r="DO5" s="48" t="str">
        <f>IFERROR(__xludf.DUMMYFUNCTION("""COMPUTED_VALUE"""),"globalNav")</f>
        <v>globalNav</v>
      </c>
      <c r="DP5" s="48" t="str">
        <f>IFERROR(__xludf.DUMMYFUNCTION("""COMPUTED_VALUE"""),"startOfDayNavGlobal")</f>
        <v>startOfDayNavGlobal</v>
      </c>
      <c r="DQ5" s="48" t="str">
        <f>IFERROR(__xludf.DUMMYFUNCTION("""COMPUTED_VALUE"""),"grossMarketValueBaseGlobal")</f>
        <v>grossMarketValueBaseGlobal</v>
      </c>
      <c r="DR5" s="48" t="str">
        <f>IFERROR(__xludf.DUMMYFUNCTION("""COMPUTED_VALUE"""),"grossExposureBaseGlobal")</f>
        <v>grossExposureBaseGlobal</v>
      </c>
      <c r="DS5" s="48" t="str">
        <f>IFERROR(__xludf.DUMMYFUNCTION("""COMPUTED_VALUE"""),"netExposureBaseGlobal")</f>
        <v>netExposureBaseGlobal</v>
      </c>
      <c r="DT5" s="48" t="str">
        <f>IFERROR(__xludf.DUMMYFUNCTION("""COMPUTED_VALUE"""),"accountNav")</f>
        <v>accountNav</v>
      </c>
      <c r="DU5" s="48" t="str">
        <f>IFERROR(__xludf.DUMMYFUNCTION("""COMPUTED_VALUE"""),"accountNRA")</f>
        <v>accountNRA</v>
      </c>
      <c r="DV5" s="48" t="str">
        <f>IFERROR(__xludf.DUMMYFUNCTION("""COMPUTED_VALUE"""),"startOfDayNavAccount")</f>
        <v>startOfDayNavAccount</v>
      </c>
      <c r="DW5" s="48" t="str">
        <f>IFERROR(__xludf.DUMMYFUNCTION("""COMPUTED_VALUE"""),"grossMarketValueBaseAccount")</f>
        <v>grossMarketValueBaseAccount</v>
      </c>
      <c r="DX5" s="48" t="str">
        <f>IFERROR(__xludf.DUMMYFUNCTION("""COMPUTED_VALUE"""),"grossExposureBaseAccount")</f>
        <v>grossExposureBaseAccount</v>
      </c>
      <c r="DY5" s="48" t="str">
        <f>IFERROR(__xludf.DUMMYFUNCTION("""COMPUTED_VALUE"""),"netExposureBaseAccount")</f>
        <v>netExposureBaseAccount</v>
      </c>
      <c r="DZ5" s="48" t="str">
        <f>IFERROR(__xludf.DUMMYFUNCTION("""COMPUTED_VALUE"""),"currentCash")</f>
        <v>currentCash</v>
      </c>
      <c r="EA5" s="48" t="str">
        <f>IFERROR(__xludf.DUMMYFUNCTION("""COMPUTED_VALUE"""),"accrual")</f>
        <v>accrual</v>
      </c>
      <c r="EB5" s="48" t="str">
        <f>IFERROR(__xludf.DUMMYFUNCTION("""COMPUTED_VALUE"""),"masterFundNav")</f>
        <v>masterFundNav</v>
      </c>
      <c r="EC5" s="48" t="str">
        <f>IFERROR(__xludf.DUMMYFUNCTION("""COMPUTED_VALUE"""),"startOfDayNavMasterFund")</f>
        <v>startOfDayNavMasterFund</v>
      </c>
      <c r="ED5" s="48" t="str">
        <f>IFERROR(__xludf.DUMMYFUNCTION("""COMPUTED_VALUE"""),"grossMarketValueBaseMasterFund")</f>
        <v>grossMarketValueBaseMasterFund</v>
      </c>
      <c r="EE5" s="48" t="str">
        <f>IFERROR(__xludf.DUMMYFUNCTION("""COMPUTED_VALUE"""),"grossExposureBaseMasterFund")</f>
        <v>grossExposureBaseMasterFund</v>
      </c>
      <c r="EF5" s="48" t="str">
        <f>IFERROR(__xludf.DUMMYFUNCTION("""COMPUTED_VALUE"""),"netExposureBaseMasterFund")</f>
        <v>netExposureBaseMasterFund</v>
      </c>
      <c r="EG5" s="48" t="str">
        <f>IFERROR(__xludf.DUMMYFUNCTION("""COMPUTED_VALUE"""),"percentNetMarketValueAccount")</f>
        <v>percentNetMarketValueAccount</v>
      </c>
      <c r="EH5" s="48" t="str">
        <f>IFERROR(__xludf.DUMMYFUNCTION("""COMPUTED_VALUE"""),"percentLongExposureAccount")</f>
        <v>percentLongExposureAccount</v>
      </c>
      <c r="EI5" s="48" t="str">
        <f>IFERROR(__xludf.DUMMYFUNCTION("""COMPUTED_VALUE"""),"percentShortExposureAccount")</f>
        <v>percentShortExposureAccount</v>
      </c>
      <c r="EJ5" s="48" t="str">
        <f>IFERROR(__xludf.DUMMYFUNCTION("""COMPUTED_VALUE"""),"percentNetExposureAccount")</f>
        <v>percentNetExposureAccount</v>
      </c>
      <c r="EK5" s="48" t="str">
        <f>IFERROR(__xludf.DUMMYFUNCTION("""COMPUTED_VALUE"""),"percentBetaAdjustedExposureAccount")</f>
        <v>percentBetaAdjustedExposureAccount</v>
      </c>
      <c r="EL5" s="48" t="str">
        <f>IFERROR(__xludf.DUMMYFUNCTION("""COMPUTED_VALUE"""),"percentGrossExposureAccount")</f>
        <v>percentGrossExposureAccount</v>
      </c>
      <c r="EM5" s="48" t="str">
        <f>IFERROR(__xludf.DUMMYFUNCTION("""COMPUTED_VALUE"""),"percentLongMarketValueAccount")</f>
        <v>percentLongMarketValueAccount</v>
      </c>
      <c r="EN5" s="48" t="str">
        <f>IFERROR(__xludf.DUMMYFUNCTION("""COMPUTED_VALUE"""),"percentShortMarketValueAccount")</f>
        <v>percentShortMarketValueAccount</v>
      </c>
      <c r="EO5" s="48" t="str">
        <f>IFERROR(__xludf.DUMMYFUNCTION("""COMPUTED_VALUE"""),"percentGrossMarketValueAccount")</f>
        <v>percentGrossMarketValueAccount</v>
      </c>
      <c r="EP5" s="48" t="str">
        <f>IFERROR(__xludf.DUMMYFUNCTION("""COMPUTED_VALUE"""),"percentLongNotionalAccount")</f>
        <v>percentLongNotionalAccount</v>
      </c>
      <c r="EQ5" s="48" t="str">
        <f>IFERROR(__xludf.DUMMYFUNCTION("""COMPUTED_VALUE"""),"percentShortNotionalAccount")</f>
        <v>percentShortNotionalAccount</v>
      </c>
      <c r="ER5" s="48" t="str">
        <f>IFERROR(__xludf.DUMMYFUNCTION("""COMPUTED_VALUE"""),"percentNetNotionalAccount")</f>
        <v>percentNetNotionalAccount</v>
      </c>
      <c r="ES5" s="48" t="str">
        <f>IFERROR(__xludf.DUMMYFUNCTION("""COMPUTED_VALUE"""),"pnlContributionAccount")</f>
        <v>pnlContributionAccount</v>
      </c>
      <c r="ET5" s="48" t="str">
        <f>IFERROR(__xludf.DUMMYFUNCTION("""COMPUTED_VALUE"""),"percentCostBasisPnlAccount")</f>
        <v>percentCostBasisPnlAccount</v>
      </c>
      <c r="EU5" s="48" t="str">
        <f>IFERROR(__xludf.DUMMYFUNCTION("""COMPUTED_VALUE"""),"dayReturnAccount")</f>
        <v>dayReturnAccount</v>
      </c>
      <c r="EV5" s="48" t="str">
        <f>IFERROR(__xludf.DUMMYFUNCTION("""COMPUTED_VALUE"""),"percentNetMarketValueMasterFund")</f>
        <v>percentNetMarketValueMasterFund</v>
      </c>
      <c r="EW5" s="48" t="str">
        <f>IFERROR(__xludf.DUMMYFUNCTION("""COMPUTED_VALUE"""),"percentLongExposureMasterFund")</f>
        <v>percentLongExposureMasterFund</v>
      </c>
      <c r="EX5" s="48" t="str">
        <f>IFERROR(__xludf.DUMMYFUNCTION("""COMPUTED_VALUE"""),"percentShortExposureMasterFund")</f>
        <v>percentShortExposureMasterFund</v>
      </c>
      <c r="EY5" s="48" t="str">
        <f>IFERROR(__xludf.DUMMYFUNCTION("""COMPUTED_VALUE"""),"percentNetExposureMasterFund")</f>
        <v>percentNetExposureMasterFund</v>
      </c>
      <c r="EZ5" s="48" t="str">
        <f>IFERROR(__xludf.DUMMYFUNCTION("""COMPUTED_VALUE"""),"percentBetaAdjustedExposureMasterFund")</f>
        <v>percentBetaAdjustedExposureMasterFund</v>
      </c>
      <c r="FA5" s="48" t="str">
        <f>IFERROR(__xludf.DUMMYFUNCTION("""COMPUTED_VALUE"""),"percentGrossExposureMasterFund")</f>
        <v>percentGrossExposureMasterFund</v>
      </c>
      <c r="FB5" s="48" t="str">
        <f>IFERROR(__xludf.DUMMYFUNCTION("""COMPUTED_VALUE"""),"percentLongMarketValueMasterFund")</f>
        <v>percentLongMarketValueMasterFund</v>
      </c>
      <c r="FC5" s="48" t="str">
        <f>IFERROR(__xludf.DUMMYFUNCTION("""COMPUTED_VALUE"""),"percentShortMarketValueMasterFund")</f>
        <v>percentShortMarketValueMasterFund</v>
      </c>
      <c r="FD5" s="48" t="str">
        <f>IFERROR(__xludf.DUMMYFUNCTION("""COMPUTED_VALUE"""),"percentGrossMarketValueMasterFund")</f>
        <v>percentGrossMarketValueMasterFund</v>
      </c>
      <c r="FE5" s="48" t="str">
        <f>IFERROR(__xludf.DUMMYFUNCTION("""COMPUTED_VALUE"""),"percentLongNotionalMasterFund")</f>
        <v>percentLongNotionalMasterFund</v>
      </c>
      <c r="FF5" s="48" t="str">
        <f>IFERROR(__xludf.DUMMYFUNCTION("""COMPUTED_VALUE"""),"percentShortNotionalMasterFund")</f>
        <v>percentShortNotionalMasterFund</v>
      </c>
      <c r="FG5" s="48" t="str">
        <f>IFERROR(__xludf.DUMMYFUNCTION("""COMPUTED_VALUE"""),"percentNetNotionalMasterFund")</f>
        <v>percentNetNotionalMasterFund</v>
      </c>
      <c r="FH5" s="48" t="str">
        <f>IFERROR(__xludf.DUMMYFUNCTION("""COMPUTED_VALUE"""),"pnlContributionMasterFund")</f>
        <v>pnlContributionMasterFund</v>
      </c>
      <c r="FI5" s="48" t="str">
        <f>IFERROR(__xludf.DUMMYFUNCTION("""COMPUTED_VALUE"""),"percentCostBasisPnlMasterFund")</f>
        <v>percentCostBasisPnlMasterFund</v>
      </c>
      <c r="FJ5" s="48" t="str">
        <f>IFERROR(__xludf.DUMMYFUNCTION("""COMPUTED_VALUE"""),"dayReturnMasterFund")</f>
        <v>dayReturnMasterFund</v>
      </c>
      <c r="FK5" s="48" t="str">
        <f>IFERROR(__xludf.DUMMYFUNCTION("""COMPUTED_VALUE"""),"percentNetMarketValueGlobal")</f>
        <v>percentNetMarketValueGlobal</v>
      </c>
      <c r="FL5" s="48" t="str">
        <f>IFERROR(__xludf.DUMMYFUNCTION("""COMPUTED_VALUE"""),"percentLongExposureGlobal")</f>
        <v>percentLongExposureGlobal</v>
      </c>
      <c r="FM5" s="48" t="str">
        <f>IFERROR(__xludf.DUMMYFUNCTION("""COMPUTED_VALUE"""),"percentShortExposureGlobal")</f>
        <v>percentShortExposureGlobal</v>
      </c>
      <c r="FN5" s="48" t="str">
        <f>IFERROR(__xludf.DUMMYFUNCTION("""COMPUTED_VALUE"""),"percentNetExposureGlobal")</f>
        <v>percentNetExposureGlobal</v>
      </c>
      <c r="FO5" s="48" t="str">
        <f>IFERROR(__xludf.DUMMYFUNCTION("""COMPUTED_VALUE"""),"percentBetaAdjustedExposureGlobal")</f>
        <v>percentBetaAdjustedExposureGlobal</v>
      </c>
      <c r="FP5" s="48" t="str">
        <f>IFERROR(__xludf.DUMMYFUNCTION("""COMPUTED_VALUE"""),"percentGrossExposureGlobal")</f>
        <v>percentGrossExposureGlobal</v>
      </c>
      <c r="FQ5" s="48" t="str">
        <f>IFERROR(__xludf.DUMMYFUNCTION("""COMPUTED_VALUE"""),"percentLongMarketValueGlobal")</f>
        <v>percentLongMarketValueGlobal</v>
      </c>
      <c r="FR5" s="48" t="str">
        <f>IFERROR(__xludf.DUMMYFUNCTION("""COMPUTED_VALUE"""),"percentShortMarketValueGlobal")</f>
        <v>percentShortMarketValueGlobal</v>
      </c>
      <c r="FS5" s="48" t="str">
        <f>IFERROR(__xludf.DUMMYFUNCTION("""COMPUTED_VALUE"""),"percentGrossMarketValueGlobal")</f>
        <v>percentGrossMarketValueGlobal</v>
      </c>
      <c r="FT5" s="48" t="str">
        <f>IFERROR(__xludf.DUMMYFUNCTION("""COMPUTED_VALUE"""),"percentLongNotionalGlobal")</f>
        <v>percentLongNotionalGlobal</v>
      </c>
      <c r="FU5" s="48" t="str">
        <f>IFERROR(__xludf.DUMMYFUNCTION("""COMPUTED_VALUE"""),"percentShortNotionalGlobal")</f>
        <v>percentShortNotionalGlobal</v>
      </c>
      <c r="FV5" s="48" t="str">
        <f>IFERROR(__xludf.DUMMYFUNCTION("""COMPUTED_VALUE"""),"percentNetNotionalGlobal")</f>
        <v>percentNetNotionalGlobal</v>
      </c>
      <c r="FW5" s="48" t="str">
        <f>IFERROR(__xludf.DUMMYFUNCTION("""COMPUTED_VALUE"""),"pnlContributionGlobal")</f>
        <v>pnlContributionGlobal</v>
      </c>
      <c r="FX5" s="48" t="str">
        <f>IFERROR(__xludf.DUMMYFUNCTION("""COMPUTED_VALUE"""),"percentCostBasisPnlGlobal")</f>
        <v>percentCostBasisPnlGlobal</v>
      </c>
      <c r="FY5" s="48" t="str">
        <f>IFERROR(__xludf.DUMMYFUNCTION("""COMPUTED_VALUE"""),"dayReturnGlobal")</f>
        <v>dayReturnGlobal</v>
      </c>
      <c r="FZ5" s="48" t="str">
        <f>IFERROR(__xludf.DUMMYFUNCTION("""COMPUTED_VALUE"""),"longDebitBalance")</f>
        <v>longDebitBalance</v>
      </c>
      <c r="GA5" s="48" t="str">
        <f>IFERROR(__xludf.DUMMYFUNCTION("""COMPUTED_VALUE"""),"shortCreditBalance")</f>
        <v>shortCreditBalance</v>
      </c>
      <c r="GB5" s="48"/>
      <c r="GC5" s="48"/>
      <c r="GD5" s="48"/>
      <c r="GE5" s="48"/>
      <c r="GF5" s="48"/>
      <c r="GG5" s="48"/>
      <c r="GH5" s="48"/>
      <c r="GI5" s="48"/>
      <c r="GJ5" s="48"/>
      <c r="GK5" s="48"/>
    </row>
    <row r="6" ht="15.75" customHeight="1">
      <c r="A6" s="50"/>
      <c r="B6" s="50" t="s">
        <v>40</v>
      </c>
      <c r="C6" s="51"/>
      <c r="D6" s="50" t="s">
        <v>41</v>
      </c>
      <c r="E6" s="52" t="s">
        <v>42</v>
      </c>
      <c r="F6" s="52" t="s">
        <v>42</v>
      </c>
      <c r="G6" s="51" t="s">
        <v>21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1"/>
      <c r="AH6" s="51"/>
      <c r="AI6" s="51"/>
      <c r="AJ6" s="51"/>
      <c r="AK6" s="51"/>
      <c r="AL6" s="51"/>
      <c r="AM6" s="51"/>
      <c r="AN6" s="53"/>
      <c r="AO6" s="53"/>
      <c r="AP6" s="53"/>
      <c r="AQ6" s="54">
        <v>0.0</v>
      </c>
      <c r="AR6" s="54">
        <v>0.0</v>
      </c>
      <c r="AS6" s="54">
        <v>50.0</v>
      </c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</row>
    <row r="7" ht="15.75" customHeight="1">
      <c r="A7" s="51"/>
      <c r="B7" s="51" t="s">
        <v>40</v>
      </c>
      <c r="C7" s="51"/>
      <c r="D7" s="51" t="s">
        <v>41</v>
      </c>
      <c r="E7" s="52" t="s">
        <v>43</v>
      </c>
      <c r="F7" s="52" t="s">
        <v>43</v>
      </c>
      <c r="G7" s="51" t="s">
        <v>21</v>
      </c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1"/>
      <c r="AH7" s="51"/>
      <c r="AI7" s="51"/>
      <c r="AJ7" s="51"/>
      <c r="AK7" s="51"/>
      <c r="AL7" s="51"/>
      <c r="AM7" s="51"/>
      <c r="AN7" s="53"/>
      <c r="AO7" s="53"/>
      <c r="AP7" s="53"/>
      <c r="AQ7" s="54">
        <v>0.0</v>
      </c>
      <c r="AR7" s="54">
        <v>0.0</v>
      </c>
      <c r="AS7" s="54">
        <v>50.0</v>
      </c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  <c r="FF22" s="45"/>
      <c r="FG22" s="45"/>
      <c r="FH22" s="45"/>
      <c r="FI22" s="45"/>
      <c r="FJ22" s="45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5"/>
      <c r="GA22" s="45"/>
      <c r="GB22" s="45"/>
      <c r="GC22" s="45"/>
      <c r="GD22" s="45"/>
      <c r="GE22" s="45"/>
      <c r="GF22" s="45"/>
      <c r="GG22" s="45"/>
      <c r="GH22" s="45"/>
      <c r="GI22" s="45"/>
      <c r="GJ22" s="45"/>
      <c r="GK22" s="45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GD23" s="45"/>
      <c r="GE23" s="45"/>
      <c r="GF23" s="45"/>
      <c r="GG23" s="45"/>
      <c r="GH23" s="45"/>
      <c r="GI23" s="45"/>
      <c r="GJ23" s="45"/>
      <c r="GK23" s="45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  <c r="FF24" s="45"/>
      <c r="FG24" s="45"/>
      <c r="FH24" s="45"/>
      <c r="FI24" s="45"/>
      <c r="FJ24" s="45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5"/>
      <c r="GC24" s="45"/>
      <c r="GD24" s="45"/>
      <c r="GE24" s="45"/>
      <c r="GF24" s="45"/>
      <c r="GG24" s="45"/>
      <c r="GH24" s="45"/>
      <c r="GI24" s="45"/>
      <c r="GJ24" s="45"/>
      <c r="GK24" s="45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/>
      <c r="GK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5"/>
      <c r="FC28" s="45"/>
      <c r="FD28" s="45"/>
      <c r="FE28" s="45"/>
      <c r="FF28" s="45"/>
      <c r="FG28" s="45"/>
      <c r="FH28" s="45"/>
      <c r="FI28" s="45"/>
      <c r="FJ28" s="45"/>
      <c r="FK28" s="45"/>
      <c r="FL28" s="45"/>
      <c r="FM28" s="45"/>
      <c r="FN28" s="45"/>
      <c r="FO28" s="45"/>
      <c r="FP28" s="45"/>
      <c r="FQ28" s="45"/>
      <c r="FR28" s="45"/>
      <c r="FS28" s="45"/>
      <c r="FT28" s="45"/>
      <c r="FU28" s="45"/>
      <c r="FV28" s="45"/>
      <c r="FW28" s="45"/>
      <c r="FX28" s="45"/>
      <c r="FY28" s="45"/>
      <c r="FZ28" s="45"/>
      <c r="GA28" s="45"/>
      <c r="GB28" s="45"/>
      <c r="GC28" s="45"/>
      <c r="GD28" s="45"/>
      <c r="GE28" s="45"/>
      <c r="GF28" s="45"/>
      <c r="GG28" s="45"/>
      <c r="GH28" s="45"/>
      <c r="GI28" s="45"/>
      <c r="GJ28" s="45"/>
      <c r="GK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EW29" s="45"/>
      <c r="EX29" s="45"/>
      <c r="EY29" s="45"/>
      <c r="EZ29" s="45"/>
      <c r="FA29" s="45"/>
      <c r="FB29" s="45"/>
      <c r="FC29" s="45"/>
      <c r="FD29" s="45"/>
      <c r="FE29" s="45"/>
      <c r="FF29" s="45"/>
      <c r="FG29" s="45"/>
      <c r="FH29" s="45"/>
      <c r="FI29" s="45"/>
      <c r="FJ29" s="45"/>
      <c r="FK29" s="45"/>
      <c r="FL29" s="45"/>
      <c r="FM29" s="45"/>
      <c r="FN29" s="45"/>
      <c r="FO29" s="45"/>
      <c r="FP29" s="45"/>
      <c r="FQ29" s="45"/>
      <c r="FR29" s="45"/>
      <c r="FS29" s="45"/>
      <c r="FT29" s="45"/>
      <c r="FU29" s="45"/>
      <c r="FV29" s="45"/>
      <c r="FW29" s="45"/>
      <c r="FX29" s="45"/>
      <c r="FY29" s="45"/>
      <c r="FZ29" s="45"/>
      <c r="GA29" s="45"/>
      <c r="GB29" s="45"/>
      <c r="GC29" s="45"/>
      <c r="GD29" s="45"/>
      <c r="GE29" s="45"/>
      <c r="GF29" s="45"/>
      <c r="GG29" s="45"/>
      <c r="GH29" s="45"/>
      <c r="GI29" s="45"/>
      <c r="GJ29" s="45"/>
      <c r="GK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  <c r="GB30" s="45"/>
      <c r="GC30" s="45"/>
      <c r="GD30" s="45"/>
      <c r="GE30" s="45"/>
      <c r="GF30" s="45"/>
      <c r="GG30" s="45"/>
      <c r="GH30" s="45"/>
      <c r="GI30" s="45"/>
      <c r="GJ30" s="45"/>
      <c r="GK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  <c r="FK32" s="45"/>
      <c r="FL32" s="45"/>
      <c r="FM32" s="45"/>
      <c r="FN32" s="45"/>
      <c r="FO32" s="45"/>
      <c r="FP32" s="45"/>
      <c r="FQ32" s="45"/>
      <c r="FR32" s="45"/>
      <c r="FS32" s="45"/>
      <c r="FT32" s="45"/>
      <c r="FU32" s="45"/>
      <c r="FV32" s="45"/>
      <c r="FW32" s="45"/>
      <c r="FX32" s="45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  <c r="FX33" s="45"/>
      <c r="FY33" s="45"/>
      <c r="FZ33" s="45"/>
      <c r="GA33" s="45"/>
      <c r="GB33" s="45"/>
      <c r="GC33" s="45"/>
      <c r="GD33" s="45"/>
      <c r="GE33" s="45"/>
      <c r="GF33" s="45"/>
      <c r="GG33" s="45"/>
      <c r="GH33" s="45"/>
      <c r="GI33" s="45"/>
      <c r="GJ33" s="45"/>
      <c r="GK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45"/>
      <c r="GK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EW36" s="45"/>
      <c r="EX36" s="45"/>
      <c r="EY36" s="45"/>
      <c r="EZ36" s="45"/>
      <c r="FA36" s="45"/>
      <c r="FB36" s="45"/>
      <c r="FC36" s="45"/>
      <c r="FD36" s="45"/>
      <c r="FE36" s="45"/>
      <c r="FF36" s="45"/>
      <c r="FG36" s="45"/>
      <c r="FH36" s="45"/>
      <c r="FI36" s="45"/>
      <c r="FJ36" s="45"/>
      <c r="FK36" s="45"/>
      <c r="FL36" s="45"/>
      <c r="FM36" s="45"/>
      <c r="FN36" s="45"/>
      <c r="FO36" s="45"/>
      <c r="FP36" s="45"/>
      <c r="FQ36" s="45"/>
      <c r="FR36" s="45"/>
      <c r="FS36" s="45"/>
      <c r="FT36" s="45"/>
      <c r="FU36" s="45"/>
      <c r="FV36" s="45"/>
      <c r="FW36" s="45"/>
      <c r="FX36" s="45"/>
      <c r="FY36" s="45"/>
      <c r="FZ36" s="45"/>
      <c r="GA36" s="45"/>
      <c r="GB36" s="45"/>
      <c r="GC36" s="45"/>
      <c r="GD36" s="45"/>
      <c r="GE36" s="45"/>
      <c r="GF36" s="45"/>
      <c r="GG36" s="45"/>
      <c r="GH36" s="45"/>
      <c r="GI36" s="45"/>
      <c r="GJ36" s="45"/>
      <c r="GK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  <c r="FL37" s="45"/>
      <c r="FM37" s="45"/>
      <c r="FN37" s="45"/>
      <c r="FO37" s="45"/>
      <c r="FP37" s="45"/>
      <c r="FQ37" s="45"/>
      <c r="FR37" s="45"/>
      <c r="FS37" s="45"/>
      <c r="FT37" s="45"/>
      <c r="FU37" s="45"/>
      <c r="FV37" s="45"/>
      <c r="FW37" s="45"/>
      <c r="FX37" s="45"/>
      <c r="FY37" s="45"/>
      <c r="FZ37" s="45"/>
      <c r="GA37" s="45"/>
      <c r="GB37" s="45"/>
      <c r="GC37" s="45"/>
      <c r="GD37" s="45"/>
      <c r="GE37" s="45"/>
      <c r="GF37" s="45"/>
      <c r="GG37" s="45"/>
      <c r="GH37" s="45"/>
      <c r="GI37" s="45"/>
      <c r="GJ37" s="45"/>
      <c r="GK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  <c r="FL38" s="45"/>
      <c r="FM38" s="45"/>
      <c r="FN38" s="45"/>
      <c r="FO38" s="45"/>
      <c r="FP38" s="45"/>
      <c r="FQ38" s="45"/>
      <c r="FR38" s="45"/>
      <c r="FS38" s="45"/>
      <c r="FT38" s="45"/>
      <c r="FU38" s="45"/>
      <c r="FV38" s="45"/>
      <c r="FW38" s="45"/>
      <c r="FX38" s="45"/>
      <c r="FY38" s="45"/>
      <c r="FZ38" s="45"/>
      <c r="GA38" s="45"/>
      <c r="GB38" s="45"/>
      <c r="GC38" s="45"/>
      <c r="GD38" s="45"/>
      <c r="GE38" s="45"/>
      <c r="GF38" s="45"/>
      <c r="GG38" s="45"/>
      <c r="GH38" s="45"/>
      <c r="GI38" s="45"/>
      <c r="GJ38" s="45"/>
      <c r="GK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J40" s="45"/>
      <c r="FK40" s="45"/>
      <c r="FL40" s="45"/>
      <c r="FM40" s="45"/>
      <c r="FN40" s="45"/>
      <c r="FO40" s="45"/>
      <c r="FP40" s="45"/>
      <c r="FQ40" s="45"/>
      <c r="FR40" s="45"/>
      <c r="FS40" s="45"/>
      <c r="FT40" s="45"/>
      <c r="FU40" s="45"/>
      <c r="FV40" s="45"/>
      <c r="FW40" s="45"/>
      <c r="FX40" s="45"/>
      <c r="FY40" s="45"/>
      <c r="FZ40" s="45"/>
      <c r="GA40" s="45"/>
      <c r="GB40" s="45"/>
      <c r="GC40" s="45"/>
      <c r="GD40" s="45"/>
      <c r="GE40" s="45"/>
      <c r="GF40" s="45"/>
      <c r="GG40" s="45"/>
      <c r="GH40" s="45"/>
      <c r="GI40" s="45"/>
      <c r="GJ40" s="45"/>
      <c r="GK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5"/>
      <c r="FR41" s="45"/>
      <c r="FS41" s="45"/>
      <c r="FT41" s="45"/>
      <c r="FU41" s="45"/>
      <c r="FV41" s="45"/>
      <c r="FW41" s="45"/>
      <c r="FX41" s="45"/>
      <c r="FY41" s="45"/>
      <c r="FZ41" s="45"/>
      <c r="GA41" s="45"/>
      <c r="GB41" s="45"/>
      <c r="GC41" s="45"/>
      <c r="GD41" s="45"/>
      <c r="GE41" s="45"/>
      <c r="GF41" s="45"/>
      <c r="GG41" s="45"/>
      <c r="GH41" s="45"/>
      <c r="GI41" s="45"/>
      <c r="GJ41" s="45"/>
      <c r="GK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  <c r="ES42" s="45"/>
      <c r="ET42" s="45"/>
      <c r="EU42" s="45"/>
      <c r="EV42" s="45"/>
      <c r="EW42" s="45"/>
      <c r="EX42" s="45"/>
      <c r="EY42" s="45"/>
      <c r="EZ42" s="45"/>
      <c r="FA42" s="45"/>
      <c r="FB42" s="45"/>
      <c r="FC42" s="45"/>
      <c r="FD42" s="45"/>
      <c r="FE42" s="45"/>
      <c r="FF42" s="45"/>
      <c r="FG42" s="45"/>
      <c r="FH42" s="45"/>
      <c r="FI42" s="45"/>
      <c r="FJ42" s="45"/>
      <c r="FK42" s="45"/>
      <c r="FL42" s="45"/>
      <c r="FM42" s="45"/>
      <c r="FN42" s="45"/>
      <c r="FO42" s="45"/>
      <c r="FP42" s="45"/>
      <c r="FQ42" s="45"/>
      <c r="FR42" s="45"/>
      <c r="FS42" s="45"/>
      <c r="FT42" s="45"/>
      <c r="FU42" s="45"/>
      <c r="FV42" s="45"/>
      <c r="FW42" s="45"/>
      <c r="FX42" s="45"/>
      <c r="FY42" s="45"/>
      <c r="FZ42" s="45"/>
      <c r="GA42" s="45"/>
      <c r="GB42" s="45"/>
      <c r="GC42" s="45"/>
      <c r="GD42" s="45"/>
      <c r="GE42" s="45"/>
      <c r="GF42" s="45"/>
      <c r="GG42" s="45"/>
      <c r="GH42" s="45"/>
      <c r="GI42" s="45"/>
      <c r="GJ42" s="45"/>
      <c r="GK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  <c r="FK43" s="45"/>
      <c r="FL43" s="45"/>
      <c r="FM43" s="45"/>
      <c r="FN43" s="45"/>
      <c r="FO43" s="45"/>
      <c r="FP43" s="45"/>
      <c r="FQ43" s="45"/>
      <c r="FR43" s="45"/>
      <c r="FS43" s="45"/>
      <c r="FT43" s="45"/>
      <c r="FU43" s="45"/>
      <c r="FV43" s="45"/>
      <c r="FW43" s="45"/>
      <c r="FX43" s="45"/>
      <c r="FY43" s="45"/>
      <c r="FZ43" s="45"/>
      <c r="GA43" s="45"/>
      <c r="GB43" s="45"/>
      <c r="GC43" s="45"/>
      <c r="GD43" s="45"/>
      <c r="GE43" s="45"/>
      <c r="GF43" s="45"/>
      <c r="GG43" s="45"/>
      <c r="GH43" s="45"/>
      <c r="GI43" s="45"/>
      <c r="GJ43" s="45"/>
      <c r="GK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  <c r="FK44" s="45"/>
      <c r="FL44" s="45"/>
      <c r="FM44" s="45"/>
      <c r="FN44" s="45"/>
      <c r="FO44" s="45"/>
      <c r="FP44" s="45"/>
      <c r="FQ44" s="45"/>
      <c r="FR44" s="45"/>
      <c r="FS44" s="45"/>
      <c r="FT44" s="45"/>
      <c r="FU44" s="45"/>
      <c r="FV44" s="45"/>
      <c r="FW44" s="45"/>
      <c r="FX44" s="45"/>
      <c r="FY44" s="45"/>
      <c r="FZ44" s="45"/>
      <c r="GA44" s="45"/>
      <c r="GB44" s="45"/>
      <c r="GC44" s="45"/>
      <c r="GD44" s="45"/>
      <c r="GE44" s="45"/>
      <c r="GF44" s="45"/>
      <c r="GG44" s="45"/>
      <c r="GH44" s="45"/>
      <c r="GI44" s="45"/>
      <c r="GJ44" s="45"/>
      <c r="GK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  <c r="FL45" s="45"/>
      <c r="FM45" s="45"/>
      <c r="FN45" s="45"/>
      <c r="FO45" s="45"/>
      <c r="FP45" s="45"/>
      <c r="FQ45" s="45"/>
      <c r="FR45" s="45"/>
      <c r="FS45" s="45"/>
      <c r="FT45" s="45"/>
      <c r="FU45" s="45"/>
      <c r="FV45" s="45"/>
      <c r="FW45" s="45"/>
      <c r="FX45" s="45"/>
      <c r="FY45" s="45"/>
      <c r="FZ45" s="45"/>
      <c r="GA45" s="45"/>
      <c r="GB45" s="45"/>
      <c r="GC45" s="45"/>
      <c r="GD45" s="45"/>
      <c r="GE45" s="45"/>
      <c r="GF45" s="45"/>
      <c r="GG45" s="45"/>
      <c r="GH45" s="45"/>
      <c r="GI45" s="45"/>
      <c r="GJ45" s="45"/>
      <c r="GK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4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45"/>
      <c r="FJ46" s="45"/>
      <c r="FK46" s="45"/>
      <c r="FL46" s="45"/>
      <c r="FM46" s="45"/>
      <c r="FN46" s="45"/>
      <c r="FO46" s="45"/>
      <c r="FP46" s="45"/>
      <c r="FQ46" s="45"/>
      <c r="FR46" s="45"/>
      <c r="FS46" s="45"/>
      <c r="FT46" s="45"/>
      <c r="FU46" s="45"/>
      <c r="FV46" s="45"/>
      <c r="FW46" s="45"/>
      <c r="FX46" s="45"/>
      <c r="FY46" s="45"/>
      <c r="FZ46" s="45"/>
      <c r="GA46" s="45"/>
      <c r="GB46" s="45"/>
      <c r="GC46" s="45"/>
      <c r="GD46" s="45"/>
      <c r="GE46" s="45"/>
      <c r="GF46" s="45"/>
      <c r="GG46" s="45"/>
      <c r="GH46" s="45"/>
      <c r="GI46" s="45"/>
      <c r="GJ46" s="45"/>
      <c r="GK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  <c r="ES47" s="45"/>
      <c r="ET47" s="45"/>
      <c r="EU47" s="45"/>
      <c r="EV47" s="45"/>
      <c r="EW47" s="45"/>
      <c r="EX47" s="45"/>
      <c r="EY47" s="45"/>
      <c r="EZ47" s="45"/>
      <c r="FA47" s="45"/>
      <c r="FB47" s="45"/>
      <c r="FC47" s="45"/>
      <c r="FD47" s="45"/>
      <c r="FE47" s="45"/>
      <c r="FF47" s="45"/>
      <c r="FG47" s="45"/>
      <c r="FH47" s="45"/>
      <c r="FI47" s="45"/>
      <c r="FJ47" s="45"/>
      <c r="FK47" s="45"/>
      <c r="FL47" s="45"/>
      <c r="FM47" s="45"/>
      <c r="FN47" s="45"/>
      <c r="FO47" s="45"/>
      <c r="FP47" s="45"/>
      <c r="FQ47" s="45"/>
      <c r="FR47" s="45"/>
      <c r="FS47" s="45"/>
      <c r="FT47" s="45"/>
      <c r="FU47" s="45"/>
      <c r="FV47" s="45"/>
      <c r="FW47" s="45"/>
      <c r="FX47" s="45"/>
      <c r="FY47" s="45"/>
      <c r="FZ47" s="45"/>
      <c r="GA47" s="45"/>
      <c r="GB47" s="45"/>
      <c r="GC47" s="45"/>
      <c r="GD47" s="45"/>
      <c r="GE47" s="45"/>
      <c r="GF47" s="45"/>
      <c r="GG47" s="45"/>
      <c r="GH47" s="45"/>
      <c r="GI47" s="45"/>
      <c r="GJ47" s="45"/>
      <c r="GK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  <c r="EP48" s="45"/>
      <c r="EQ48" s="45"/>
      <c r="ER48" s="45"/>
      <c r="ES48" s="45"/>
      <c r="ET48" s="45"/>
      <c r="EU48" s="45"/>
      <c r="EV48" s="45"/>
      <c r="EW48" s="45"/>
      <c r="EX48" s="45"/>
      <c r="EY48" s="45"/>
      <c r="EZ48" s="45"/>
      <c r="FA48" s="45"/>
      <c r="FB48" s="45"/>
      <c r="FC48" s="45"/>
      <c r="FD48" s="45"/>
      <c r="FE48" s="45"/>
      <c r="FF48" s="45"/>
      <c r="FG48" s="45"/>
      <c r="FH48" s="45"/>
      <c r="FI48" s="45"/>
      <c r="FJ48" s="45"/>
      <c r="FK48" s="45"/>
      <c r="FL48" s="45"/>
      <c r="FM48" s="45"/>
      <c r="FN48" s="45"/>
      <c r="FO48" s="45"/>
      <c r="FP48" s="45"/>
      <c r="FQ48" s="45"/>
      <c r="FR48" s="45"/>
      <c r="FS48" s="45"/>
      <c r="FT48" s="45"/>
      <c r="FU48" s="45"/>
      <c r="FV48" s="45"/>
      <c r="FW48" s="45"/>
      <c r="FX48" s="45"/>
      <c r="FY48" s="45"/>
      <c r="FZ48" s="45"/>
      <c r="GA48" s="45"/>
      <c r="GB48" s="45"/>
      <c r="GC48" s="45"/>
      <c r="GD48" s="45"/>
      <c r="GE48" s="45"/>
      <c r="GF48" s="45"/>
      <c r="GG48" s="45"/>
      <c r="GH48" s="45"/>
      <c r="GI48" s="45"/>
      <c r="GJ48" s="45"/>
      <c r="GK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45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5"/>
      <c r="FE49" s="45"/>
      <c r="FF49" s="45"/>
      <c r="FG49" s="45"/>
      <c r="FH49" s="45"/>
      <c r="FI49" s="45"/>
      <c r="FJ49" s="45"/>
      <c r="FK49" s="45"/>
      <c r="FL49" s="45"/>
      <c r="FM49" s="45"/>
      <c r="FN49" s="45"/>
      <c r="FO49" s="45"/>
      <c r="FP49" s="45"/>
      <c r="FQ49" s="45"/>
      <c r="FR49" s="45"/>
      <c r="FS49" s="45"/>
      <c r="FT49" s="45"/>
      <c r="FU49" s="45"/>
      <c r="FV49" s="45"/>
      <c r="FW49" s="45"/>
      <c r="FX49" s="45"/>
      <c r="FY49" s="45"/>
      <c r="FZ49" s="45"/>
      <c r="GA49" s="45"/>
      <c r="GB49" s="45"/>
      <c r="GC49" s="45"/>
      <c r="GD49" s="45"/>
      <c r="GE49" s="45"/>
      <c r="GF49" s="45"/>
      <c r="GG49" s="45"/>
      <c r="GH49" s="45"/>
      <c r="GI49" s="45"/>
      <c r="GJ49" s="45"/>
      <c r="GK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  <c r="EP50" s="45"/>
      <c r="EQ50" s="45"/>
      <c r="ER50" s="45"/>
      <c r="ES50" s="45"/>
      <c r="ET50" s="45"/>
      <c r="EU50" s="45"/>
      <c r="EV50" s="45"/>
      <c r="EW50" s="45"/>
      <c r="EX50" s="45"/>
      <c r="EY50" s="45"/>
      <c r="EZ50" s="45"/>
      <c r="FA50" s="45"/>
      <c r="FB50" s="45"/>
      <c r="FC50" s="45"/>
      <c r="FD50" s="45"/>
      <c r="FE50" s="45"/>
      <c r="FF50" s="45"/>
      <c r="FG50" s="45"/>
      <c r="FH50" s="45"/>
      <c r="FI50" s="45"/>
      <c r="FJ50" s="45"/>
      <c r="FK50" s="45"/>
      <c r="FL50" s="45"/>
      <c r="FM50" s="45"/>
      <c r="FN50" s="45"/>
      <c r="FO50" s="45"/>
      <c r="FP50" s="45"/>
      <c r="FQ50" s="45"/>
      <c r="FR50" s="45"/>
      <c r="FS50" s="45"/>
      <c r="FT50" s="45"/>
      <c r="FU50" s="45"/>
      <c r="FV50" s="45"/>
      <c r="FW50" s="45"/>
      <c r="FX50" s="45"/>
      <c r="FY50" s="45"/>
      <c r="FZ50" s="45"/>
      <c r="GA50" s="45"/>
      <c r="GB50" s="45"/>
      <c r="GC50" s="45"/>
      <c r="GD50" s="45"/>
      <c r="GE50" s="45"/>
      <c r="GF50" s="45"/>
      <c r="GG50" s="45"/>
      <c r="GH50" s="45"/>
      <c r="GI50" s="45"/>
      <c r="GJ50" s="45"/>
      <c r="GK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45"/>
      <c r="ES51" s="45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5"/>
      <c r="FK51" s="45"/>
      <c r="FL51" s="45"/>
      <c r="FM51" s="45"/>
      <c r="FN51" s="45"/>
      <c r="FO51" s="45"/>
      <c r="FP51" s="45"/>
      <c r="FQ51" s="45"/>
      <c r="FR51" s="45"/>
      <c r="FS51" s="45"/>
      <c r="FT51" s="45"/>
      <c r="FU51" s="45"/>
      <c r="FV51" s="45"/>
      <c r="FW51" s="45"/>
      <c r="FX51" s="45"/>
      <c r="FY51" s="45"/>
      <c r="FZ51" s="45"/>
      <c r="GA51" s="45"/>
      <c r="GB51" s="45"/>
      <c r="GC51" s="45"/>
      <c r="GD51" s="45"/>
      <c r="GE51" s="45"/>
      <c r="GF51" s="45"/>
      <c r="GG51" s="45"/>
      <c r="GH51" s="45"/>
      <c r="GI51" s="45"/>
      <c r="GJ51" s="45"/>
      <c r="GK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  <c r="EP52" s="45"/>
      <c r="EQ52" s="45"/>
      <c r="ER52" s="45"/>
      <c r="ES52" s="45"/>
      <c r="ET52" s="45"/>
      <c r="EU52" s="45"/>
      <c r="EV52" s="45"/>
      <c r="EW52" s="45"/>
      <c r="EX52" s="45"/>
      <c r="EY52" s="45"/>
      <c r="EZ52" s="45"/>
      <c r="FA52" s="45"/>
      <c r="FB52" s="45"/>
      <c r="FC52" s="45"/>
      <c r="FD52" s="45"/>
      <c r="FE52" s="45"/>
      <c r="FF52" s="45"/>
      <c r="FG52" s="45"/>
      <c r="FH52" s="45"/>
      <c r="FI52" s="45"/>
      <c r="FJ52" s="45"/>
      <c r="FK52" s="45"/>
      <c r="FL52" s="45"/>
      <c r="FM52" s="45"/>
      <c r="FN52" s="45"/>
      <c r="FO52" s="45"/>
      <c r="FP52" s="45"/>
      <c r="FQ52" s="45"/>
      <c r="FR52" s="45"/>
      <c r="FS52" s="45"/>
      <c r="FT52" s="45"/>
      <c r="FU52" s="45"/>
      <c r="FV52" s="45"/>
      <c r="FW52" s="45"/>
      <c r="FX52" s="45"/>
      <c r="FY52" s="45"/>
      <c r="FZ52" s="45"/>
      <c r="GA52" s="45"/>
      <c r="GB52" s="45"/>
      <c r="GC52" s="45"/>
      <c r="GD52" s="45"/>
      <c r="GE52" s="45"/>
      <c r="GF52" s="45"/>
      <c r="GG52" s="45"/>
      <c r="GH52" s="45"/>
      <c r="GI52" s="45"/>
      <c r="GJ52" s="45"/>
      <c r="GK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  <c r="FK53" s="45"/>
      <c r="FL53" s="45"/>
      <c r="FM53" s="45"/>
      <c r="FN53" s="45"/>
      <c r="FO53" s="45"/>
      <c r="FP53" s="45"/>
      <c r="FQ53" s="45"/>
      <c r="FR53" s="45"/>
      <c r="FS53" s="45"/>
      <c r="FT53" s="45"/>
      <c r="FU53" s="45"/>
      <c r="FV53" s="45"/>
      <c r="FW53" s="45"/>
      <c r="FX53" s="45"/>
      <c r="FY53" s="45"/>
      <c r="FZ53" s="45"/>
      <c r="GA53" s="45"/>
      <c r="GB53" s="45"/>
      <c r="GC53" s="45"/>
      <c r="GD53" s="45"/>
      <c r="GE53" s="45"/>
      <c r="GF53" s="45"/>
      <c r="GG53" s="45"/>
      <c r="GH53" s="45"/>
      <c r="GI53" s="45"/>
      <c r="GJ53" s="45"/>
      <c r="GK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  <c r="FL54" s="45"/>
      <c r="FM54" s="45"/>
      <c r="FN54" s="45"/>
      <c r="FO54" s="45"/>
      <c r="FP54" s="45"/>
      <c r="FQ54" s="45"/>
      <c r="FR54" s="45"/>
      <c r="FS54" s="45"/>
      <c r="FT54" s="45"/>
      <c r="FU54" s="45"/>
      <c r="FV54" s="45"/>
      <c r="FW54" s="45"/>
      <c r="FX54" s="45"/>
      <c r="FY54" s="45"/>
      <c r="FZ54" s="45"/>
      <c r="GA54" s="45"/>
      <c r="GB54" s="45"/>
      <c r="GC54" s="45"/>
      <c r="GD54" s="45"/>
      <c r="GE54" s="45"/>
      <c r="GF54" s="45"/>
      <c r="GG54" s="45"/>
      <c r="GH54" s="45"/>
      <c r="GI54" s="45"/>
      <c r="GJ54" s="45"/>
      <c r="GK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  <c r="GJ55" s="45"/>
      <c r="GK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  <c r="FQ56" s="45"/>
      <c r="FR56" s="45"/>
      <c r="FS56" s="45"/>
      <c r="FT56" s="45"/>
      <c r="FU56" s="45"/>
      <c r="FV56" s="45"/>
      <c r="FW56" s="45"/>
      <c r="FX56" s="45"/>
      <c r="FY56" s="45"/>
      <c r="FZ56" s="45"/>
      <c r="GA56" s="45"/>
      <c r="GB56" s="45"/>
      <c r="GC56" s="45"/>
      <c r="GD56" s="45"/>
      <c r="GE56" s="45"/>
      <c r="GF56" s="45"/>
      <c r="GG56" s="45"/>
      <c r="GH56" s="45"/>
      <c r="GI56" s="45"/>
      <c r="GJ56" s="45"/>
      <c r="GK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  <c r="GK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  <c r="FQ58" s="45"/>
      <c r="FR58" s="45"/>
      <c r="FS58" s="45"/>
      <c r="FT58" s="45"/>
      <c r="FU58" s="45"/>
      <c r="FV58" s="45"/>
      <c r="FW58" s="45"/>
      <c r="FX58" s="45"/>
      <c r="FY58" s="45"/>
      <c r="FZ58" s="45"/>
      <c r="GA58" s="45"/>
      <c r="GB58" s="45"/>
      <c r="GC58" s="45"/>
      <c r="GD58" s="45"/>
      <c r="GE58" s="45"/>
      <c r="GF58" s="45"/>
      <c r="GG58" s="45"/>
      <c r="GH58" s="45"/>
      <c r="GI58" s="45"/>
      <c r="GJ58" s="45"/>
      <c r="GK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45"/>
      <c r="GC60" s="45"/>
      <c r="GD60" s="45"/>
      <c r="GE60" s="45"/>
      <c r="GF60" s="45"/>
      <c r="GG60" s="45"/>
      <c r="GH60" s="45"/>
      <c r="GI60" s="45"/>
      <c r="GJ60" s="45"/>
      <c r="GK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B62" s="45"/>
      <c r="GC62" s="45"/>
      <c r="GD62" s="45"/>
      <c r="GE62" s="45"/>
      <c r="GF62" s="45"/>
      <c r="GG62" s="45"/>
      <c r="GH62" s="45"/>
      <c r="GI62" s="45"/>
      <c r="GJ62" s="45"/>
      <c r="GK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  <c r="FQ63" s="45"/>
      <c r="FR63" s="45"/>
      <c r="FS63" s="45"/>
      <c r="FT63" s="45"/>
      <c r="FU63" s="45"/>
      <c r="FV63" s="45"/>
      <c r="FW63" s="45"/>
      <c r="FX63" s="45"/>
      <c r="FY63" s="45"/>
      <c r="FZ63" s="45"/>
      <c r="GA63" s="45"/>
      <c r="GB63" s="45"/>
      <c r="GC63" s="45"/>
      <c r="GD63" s="45"/>
      <c r="GE63" s="45"/>
      <c r="GF63" s="45"/>
      <c r="GG63" s="45"/>
      <c r="GH63" s="45"/>
      <c r="GI63" s="45"/>
      <c r="GJ63" s="45"/>
      <c r="GK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  <c r="FL64" s="45"/>
      <c r="FM64" s="45"/>
      <c r="FN64" s="45"/>
      <c r="FO64" s="45"/>
      <c r="FP64" s="45"/>
      <c r="FQ64" s="45"/>
      <c r="FR64" s="45"/>
      <c r="FS64" s="45"/>
      <c r="FT64" s="45"/>
      <c r="FU64" s="45"/>
      <c r="FV64" s="45"/>
      <c r="FW64" s="45"/>
      <c r="FX64" s="45"/>
      <c r="FY64" s="45"/>
      <c r="FZ64" s="45"/>
      <c r="GA64" s="45"/>
      <c r="GB64" s="45"/>
      <c r="GC64" s="45"/>
      <c r="GD64" s="45"/>
      <c r="GE64" s="45"/>
      <c r="GF64" s="45"/>
      <c r="GG64" s="45"/>
      <c r="GH64" s="45"/>
      <c r="GI64" s="45"/>
      <c r="GJ64" s="45"/>
      <c r="GK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  <c r="FL65" s="45"/>
      <c r="FM65" s="45"/>
      <c r="FN65" s="45"/>
      <c r="FO65" s="45"/>
      <c r="FP65" s="45"/>
      <c r="FQ65" s="45"/>
      <c r="FR65" s="45"/>
      <c r="FS65" s="45"/>
      <c r="FT65" s="45"/>
      <c r="FU65" s="45"/>
      <c r="FV65" s="45"/>
      <c r="FW65" s="45"/>
      <c r="FX65" s="45"/>
      <c r="FY65" s="45"/>
      <c r="FZ65" s="45"/>
      <c r="GA65" s="45"/>
      <c r="GB65" s="45"/>
      <c r="GC65" s="45"/>
      <c r="GD65" s="45"/>
      <c r="GE65" s="45"/>
      <c r="GF65" s="45"/>
      <c r="GG65" s="45"/>
      <c r="GH65" s="45"/>
      <c r="GI65" s="45"/>
      <c r="GJ65" s="45"/>
      <c r="GK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  <c r="FK67" s="45"/>
      <c r="FL67" s="45"/>
      <c r="FM67" s="45"/>
      <c r="FN67" s="45"/>
      <c r="FO67" s="45"/>
      <c r="FP67" s="45"/>
      <c r="FQ67" s="45"/>
      <c r="FR67" s="45"/>
      <c r="FS67" s="45"/>
      <c r="FT67" s="45"/>
      <c r="FU67" s="45"/>
      <c r="FV67" s="45"/>
      <c r="FW67" s="45"/>
      <c r="FX67" s="45"/>
      <c r="FY67" s="45"/>
      <c r="FZ67" s="45"/>
      <c r="GA67" s="45"/>
      <c r="GB67" s="45"/>
      <c r="GC67" s="45"/>
      <c r="GD67" s="45"/>
      <c r="GE67" s="45"/>
      <c r="GF67" s="45"/>
      <c r="GG67" s="45"/>
      <c r="GH67" s="45"/>
      <c r="GI67" s="45"/>
      <c r="GJ67" s="45"/>
      <c r="GK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  <c r="FK68" s="45"/>
      <c r="FL68" s="45"/>
      <c r="FM68" s="45"/>
      <c r="FN68" s="45"/>
      <c r="FO68" s="45"/>
      <c r="FP68" s="45"/>
      <c r="FQ68" s="45"/>
      <c r="FR68" s="45"/>
      <c r="FS68" s="45"/>
      <c r="FT68" s="45"/>
      <c r="FU68" s="45"/>
      <c r="FV68" s="45"/>
      <c r="FW68" s="45"/>
      <c r="FX68" s="45"/>
      <c r="FY68" s="45"/>
      <c r="FZ68" s="45"/>
      <c r="GA68" s="45"/>
      <c r="GB68" s="45"/>
      <c r="GC68" s="45"/>
      <c r="GD68" s="45"/>
      <c r="GE68" s="45"/>
      <c r="GF68" s="45"/>
      <c r="GG68" s="45"/>
      <c r="GH68" s="45"/>
      <c r="GI68" s="45"/>
      <c r="GJ68" s="45"/>
      <c r="GK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  <c r="FK69" s="45"/>
      <c r="FL69" s="45"/>
      <c r="FM69" s="45"/>
      <c r="FN69" s="45"/>
      <c r="FO69" s="45"/>
      <c r="FP69" s="45"/>
      <c r="FQ69" s="45"/>
      <c r="FR69" s="45"/>
      <c r="FS69" s="45"/>
      <c r="FT69" s="45"/>
      <c r="FU69" s="45"/>
      <c r="FV69" s="45"/>
      <c r="FW69" s="45"/>
      <c r="FX69" s="45"/>
      <c r="FY69" s="45"/>
      <c r="FZ69" s="45"/>
      <c r="GA69" s="45"/>
      <c r="GB69" s="45"/>
      <c r="GC69" s="45"/>
      <c r="GD69" s="45"/>
      <c r="GE69" s="45"/>
      <c r="GF69" s="45"/>
      <c r="GG69" s="45"/>
      <c r="GH69" s="45"/>
      <c r="GI69" s="45"/>
      <c r="GJ69" s="45"/>
      <c r="GK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  <c r="FL70" s="45"/>
      <c r="FM70" s="45"/>
      <c r="FN70" s="45"/>
      <c r="FO70" s="45"/>
      <c r="FP70" s="45"/>
      <c r="FQ70" s="45"/>
      <c r="FR70" s="45"/>
      <c r="FS70" s="45"/>
      <c r="FT70" s="45"/>
      <c r="FU70" s="45"/>
      <c r="FV70" s="45"/>
      <c r="FW70" s="45"/>
      <c r="FX70" s="45"/>
      <c r="FY70" s="45"/>
      <c r="FZ70" s="45"/>
      <c r="GA70" s="45"/>
      <c r="GB70" s="45"/>
      <c r="GC70" s="45"/>
      <c r="GD70" s="45"/>
      <c r="GE70" s="45"/>
      <c r="GF70" s="45"/>
      <c r="GG70" s="45"/>
      <c r="GH70" s="45"/>
      <c r="GI70" s="45"/>
      <c r="GJ70" s="45"/>
      <c r="GK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  <c r="FK71" s="45"/>
      <c r="FL71" s="45"/>
      <c r="FM71" s="45"/>
      <c r="FN71" s="45"/>
      <c r="FO71" s="45"/>
      <c r="FP71" s="45"/>
      <c r="FQ71" s="45"/>
      <c r="FR71" s="45"/>
      <c r="FS71" s="45"/>
      <c r="FT71" s="45"/>
      <c r="FU71" s="45"/>
      <c r="FV71" s="45"/>
      <c r="FW71" s="45"/>
      <c r="FX71" s="45"/>
      <c r="FY71" s="45"/>
      <c r="FZ71" s="45"/>
      <c r="GA71" s="45"/>
      <c r="GB71" s="45"/>
      <c r="GC71" s="45"/>
      <c r="GD71" s="45"/>
      <c r="GE71" s="45"/>
      <c r="GF71" s="45"/>
      <c r="GG71" s="45"/>
      <c r="GH71" s="45"/>
      <c r="GI71" s="45"/>
      <c r="GJ71" s="45"/>
      <c r="GK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  <c r="FB72" s="45"/>
      <c r="FC72" s="45"/>
      <c r="FD72" s="45"/>
      <c r="FE72" s="45"/>
      <c r="FF72" s="45"/>
      <c r="FG72" s="45"/>
      <c r="FH72" s="45"/>
      <c r="FI72" s="45"/>
      <c r="FJ72" s="45"/>
      <c r="FK72" s="45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5"/>
      <c r="FW72" s="45"/>
      <c r="FX72" s="45"/>
      <c r="FY72" s="45"/>
      <c r="FZ72" s="45"/>
      <c r="GA72" s="45"/>
      <c r="GB72" s="45"/>
      <c r="GC72" s="45"/>
      <c r="GD72" s="45"/>
      <c r="GE72" s="45"/>
      <c r="GF72" s="45"/>
      <c r="GG72" s="45"/>
      <c r="GH72" s="45"/>
      <c r="GI72" s="45"/>
      <c r="GJ72" s="45"/>
      <c r="GK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  <c r="ET73" s="45"/>
      <c r="EU73" s="45"/>
      <c r="EV73" s="45"/>
      <c r="EW73" s="45"/>
      <c r="EX73" s="45"/>
      <c r="EY73" s="45"/>
      <c r="EZ73" s="45"/>
      <c r="FA73" s="45"/>
      <c r="FB73" s="45"/>
      <c r="FC73" s="45"/>
      <c r="FD73" s="45"/>
      <c r="FE73" s="45"/>
      <c r="FF73" s="45"/>
      <c r="FG73" s="45"/>
      <c r="FH73" s="45"/>
      <c r="FI73" s="45"/>
      <c r="FJ73" s="45"/>
      <c r="FK73" s="45"/>
      <c r="FL73" s="45"/>
      <c r="FM73" s="45"/>
      <c r="FN73" s="45"/>
      <c r="FO73" s="45"/>
      <c r="FP73" s="45"/>
      <c r="FQ73" s="45"/>
      <c r="FR73" s="45"/>
      <c r="FS73" s="45"/>
      <c r="FT73" s="45"/>
      <c r="FU73" s="45"/>
      <c r="FV73" s="45"/>
      <c r="FW73" s="45"/>
      <c r="FX73" s="45"/>
      <c r="FY73" s="45"/>
      <c r="FZ73" s="45"/>
      <c r="GA73" s="45"/>
      <c r="GB73" s="45"/>
      <c r="GC73" s="45"/>
      <c r="GD73" s="45"/>
      <c r="GE73" s="45"/>
      <c r="GF73" s="45"/>
      <c r="GG73" s="45"/>
      <c r="GH73" s="45"/>
      <c r="GI73" s="45"/>
      <c r="GJ73" s="45"/>
      <c r="GK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  <c r="FB74" s="45"/>
      <c r="FC74" s="45"/>
      <c r="FD74" s="45"/>
      <c r="FE74" s="45"/>
      <c r="FF74" s="45"/>
      <c r="FG74" s="45"/>
      <c r="FH74" s="45"/>
      <c r="FI74" s="45"/>
      <c r="FJ74" s="45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5"/>
      <c r="FY74" s="45"/>
      <c r="FZ74" s="45"/>
      <c r="GA74" s="45"/>
      <c r="GB74" s="45"/>
      <c r="GC74" s="45"/>
      <c r="GD74" s="45"/>
      <c r="GE74" s="45"/>
      <c r="GF74" s="45"/>
      <c r="GG74" s="45"/>
      <c r="GH74" s="45"/>
      <c r="GI74" s="45"/>
      <c r="GJ74" s="45"/>
      <c r="GK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5"/>
      <c r="FC75" s="45"/>
      <c r="FD75" s="45"/>
      <c r="FE75" s="45"/>
      <c r="FF75" s="45"/>
      <c r="FG75" s="45"/>
      <c r="FH75" s="45"/>
      <c r="FI75" s="45"/>
      <c r="FJ75" s="45"/>
      <c r="FK75" s="45"/>
      <c r="FL75" s="45"/>
      <c r="FM75" s="45"/>
      <c r="FN75" s="45"/>
      <c r="FO75" s="45"/>
      <c r="FP75" s="45"/>
      <c r="FQ75" s="45"/>
      <c r="FR75" s="45"/>
      <c r="FS75" s="45"/>
      <c r="FT75" s="45"/>
      <c r="FU75" s="45"/>
      <c r="FV75" s="45"/>
      <c r="FW75" s="45"/>
      <c r="FX75" s="45"/>
      <c r="FY75" s="45"/>
      <c r="FZ75" s="45"/>
      <c r="GA75" s="45"/>
      <c r="GB75" s="45"/>
      <c r="GC75" s="45"/>
      <c r="GD75" s="45"/>
      <c r="GE75" s="45"/>
      <c r="GF75" s="45"/>
      <c r="GG75" s="45"/>
      <c r="GH75" s="45"/>
      <c r="GI75" s="45"/>
      <c r="GJ75" s="45"/>
      <c r="GK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5"/>
      <c r="GA76" s="45"/>
      <c r="GB76" s="45"/>
      <c r="GC76" s="45"/>
      <c r="GD76" s="45"/>
      <c r="GE76" s="45"/>
      <c r="GF76" s="45"/>
      <c r="GG76" s="45"/>
      <c r="GH76" s="45"/>
      <c r="GI76" s="45"/>
      <c r="GJ76" s="45"/>
      <c r="GK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  <c r="FL77" s="45"/>
      <c r="FM77" s="45"/>
      <c r="FN77" s="45"/>
      <c r="FO77" s="45"/>
      <c r="FP77" s="45"/>
      <c r="FQ77" s="45"/>
      <c r="FR77" s="45"/>
      <c r="FS77" s="45"/>
      <c r="FT77" s="45"/>
      <c r="FU77" s="45"/>
      <c r="FV77" s="45"/>
      <c r="FW77" s="45"/>
      <c r="FX77" s="45"/>
      <c r="FY77" s="45"/>
      <c r="FZ77" s="45"/>
      <c r="GA77" s="45"/>
      <c r="GB77" s="45"/>
      <c r="GC77" s="45"/>
      <c r="GD77" s="45"/>
      <c r="GE77" s="45"/>
      <c r="GF77" s="45"/>
      <c r="GG77" s="45"/>
      <c r="GH77" s="45"/>
      <c r="GI77" s="45"/>
      <c r="GJ77" s="45"/>
      <c r="GK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45"/>
      <c r="ES78" s="45"/>
      <c r="ET78" s="45"/>
      <c r="EU78" s="45"/>
      <c r="EV78" s="45"/>
      <c r="EW78" s="45"/>
      <c r="EX78" s="45"/>
      <c r="EY78" s="45"/>
      <c r="EZ78" s="45"/>
      <c r="FA78" s="45"/>
      <c r="FB78" s="45"/>
      <c r="FC78" s="45"/>
      <c r="FD78" s="45"/>
      <c r="FE78" s="45"/>
      <c r="FF78" s="45"/>
      <c r="FG78" s="45"/>
      <c r="FH78" s="45"/>
      <c r="FI78" s="45"/>
      <c r="FJ78" s="45"/>
      <c r="FK78" s="45"/>
      <c r="FL78" s="45"/>
      <c r="FM78" s="45"/>
      <c r="FN78" s="45"/>
      <c r="FO78" s="45"/>
      <c r="FP78" s="45"/>
      <c r="FQ78" s="45"/>
      <c r="FR78" s="45"/>
      <c r="FS78" s="45"/>
      <c r="FT78" s="45"/>
      <c r="FU78" s="45"/>
      <c r="FV78" s="45"/>
      <c r="FW78" s="45"/>
      <c r="FX78" s="45"/>
      <c r="FY78" s="45"/>
      <c r="FZ78" s="45"/>
      <c r="GA78" s="45"/>
      <c r="GB78" s="45"/>
      <c r="GC78" s="45"/>
      <c r="GD78" s="45"/>
      <c r="GE78" s="45"/>
      <c r="GF78" s="45"/>
      <c r="GG78" s="45"/>
      <c r="GH78" s="45"/>
      <c r="GI78" s="45"/>
      <c r="GJ78" s="45"/>
      <c r="GK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  <c r="FL79" s="45"/>
      <c r="FM79" s="45"/>
      <c r="FN79" s="45"/>
      <c r="FO79" s="45"/>
      <c r="FP79" s="45"/>
      <c r="FQ79" s="45"/>
      <c r="FR79" s="45"/>
      <c r="FS79" s="45"/>
      <c r="FT79" s="45"/>
      <c r="FU79" s="45"/>
      <c r="FV79" s="45"/>
      <c r="FW79" s="45"/>
      <c r="FX79" s="45"/>
      <c r="FY79" s="45"/>
      <c r="FZ79" s="45"/>
      <c r="GA79" s="45"/>
      <c r="GB79" s="45"/>
      <c r="GC79" s="45"/>
      <c r="GD79" s="45"/>
      <c r="GE79" s="45"/>
      <c r="GF79" s="45"/>
      <c r="GG79" s="45"/>
      <c r="GH79" s="45"/>
      <c r="GI79" s="45"/>
      <c r="GJ79" s="45"/>
      <c r="GK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  <c r="FK80" s="45"/>
      <c r="FL80" s="45"/>
      <c r="FM80" s="45"/>
      <c r="FN80" s="45"/>
      <c r="FO80" s="45"/>
      <c r="FP80" s="45"/>
      <c r="FQ80" s="45"/>
      <c r="FR80" s="45"/>
      <c r="FS80" s="45"/>
      <c r="FT80" s="45"/>
      <c r="FU80" s="45"/>
      <c r="FV80" s="45"/>
      <c r="FW80" s="45"/>
      <c r="FX80" s="45"/>
      <c r="FY80" s="45"/>
      <c r="FZ80" s="45"/>
      <c r="GA80" s="45"/>
      <c r="GB80" s="45"/>
      <c r="GC80" s="45"/>
      <c r="GD80" s="45"/>
      <c r="GE80" s="45"/>
      <c r="GF80" s="45"/>
      <c r="GG80" s="45"/>
      <c r="GH80" s="45"/>
      <c r="GI80" s="45"/>
      <c r="GJ80" s="45"/>
      <c r="GK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45"/>
      <c r="ES81" s="45"/>
      <c r="ET81" s="45"/>
      <c r="EU81" s="45"/>
      <c r="EV81" s="45"/>
      <c r="EW81" s="45"/>
      <c r="EX81" s="45"/>
      <c r="EY81" s="45"/>
      <c r="EZ81" s="45"/>
      <c r="FA81" s="45"/>
      <c r="FB81" s="45"/>
      <c r="FC81" s="45"/>
      <c r="FD81" s="45"/>
      <c r="FE81" s="45"/>
      <c r="FF81" s="45"/>
      <c r="FG81" s="45"/>
      <c r="FH81" s="45"/>
      <c r="FI81" s="45"/>
      <c r="FJ81" s="45"/>
      <c r="FK81" s="45"/>
      <c r="FL81" s="45"/>
      <c r="FM81" s="45"/>
      <c r="FN81" s="45"/>
      <c r="FO81" s="45"/>
      <c r="FP81" s="45"/>
      <c r="FQ81" s="45"/>
      <c r="FR81" s="45"/>
      <c r="FS81" s="45"/>
      <c r="FT81" s="45"/>
      <c r="FU81" s="45"/>
      <c r="FV81" s="45"/>
      <c r="FW81" s="45"/>
      <c r="FX81" s="45"/>
      <c r="FY81" s="45"/>
      <c r="FZ81" s="45"/>
      <c r="GA81" s="45"/>
      <c r="GB81" s="45"/>
      <c r="GC81" s="45"/>
      <c r="GD81" s="45"/>
      <c r="GE81" s="45"/>
      <c r="GF81" s="45"/>
      <c r="GG81" s="45"/>
      <c r="GH81" s="45"/>
      <c r="GI81" s="45"/>
      <c r="GJ81" s="45"/>
      <c r="GK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5"/>
      <c r="EI82" s="45"/>
      <c r="EJ82" s="45"/>
      <c r="EK82" s="45"/>
      <c r="EL82" s="45"/>
      <c r="EM82" s="45"/>
      <c r="EN82" s="45"/>
      <c r="EO82" s="45"/>
      <c r="EP82" s="45"/>
      <c r="EQ82" s="45"/>
      <c r="ER82" s="45"/>
      <c r="ES82" s="45"/>
      <c r="ET82" s="45"/>
      <c r="EU82" s="45"/>
      <c r="EV82" s="45"/>
      <c r="EW82" s="45"/>
      <c r="EX82" s="45"/>
      <c r="EY82" s="45"/>
      <c r="EZ82" s="45"/>
      <c r="FA82" s="45"/>
      <c r="FB82" s="45"/>
      <c r="FC82" s="45"/>
      <c r="FD82" s="45"/>
      <c r="FE82" s="45"/>
      <c r="FF82" s="45"/>
      <c r="FG82" s="45"/>
      <c r="FH82" s="45"/>
      <c r="FI82" s="45"/>
      <c r="FJ82" s="45"/>
      <c r="FK82" s="45"/>
      <c r="FL82" s="45"/>
      <c r="FM82" s="45"/>
      <c r="FN82" s="45"/>
      <c r="FO82" s="45"/>
      <c r="FP82" s="45"/>
      <c r="FQ82" s="45"/>
      <c r="FR82" s="45"/>
      <c r="FS82" s="45"/>
      <c r="FT82" s="45"/>
      <c r="FU82" s="45"/>
      <c r="FV82" s="45"/>
      <c r="FW82" s="45"/>
      <c r="FX82" s="45"/>
      <c r="FY82" s="45"/>
      <c r="FZ82" s="45"/>
      <c r="GA82" s="45"/>
      <c r="GB82" s="45"/>
      <c r="GC82" s="45"/>
      <c r="GD82" s="45"/>
      <c r="GE82" s="45"/>
      <c r="GF82" s="45"/>
      <c r="GG82" s="45"/>
      <c r="GH82" s="45"/>
      <c r="GI82" s="45"/>
      <c r="GJ82" s="45"/>
      <c r="GK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  <c r="FL83" s="45"/>
      <c r="FM83" s="45"/>
      <c r="FN83" s="45"/>
      <c r="FO83" s="45"/>
      <c r="FP83" s="45"/>
      <c r="FQ83" s="45"/>
      <c r="FR83" s="45"/>
      <c r="FS83" s="45"/>
      <c r="FT83" s="45"/>
      <c r="FU83" s="45"/>
      <c r="FV83" s="45"/>
      <c r="FW83" s="45"/>
      <c r="FX83" s="45"/>
      <c r="FY83" s="45"/>
      <c r="FZ83" s="45"/>
      <c r="GA83" s="45"/>
      <c r="GB83" s="45"/>
      <c r="GC83" s="45"/>
      <c r="GD83" s="45"/>
      <c r="GE83" s="45"/>
      <c r="GF83" s="45"/>
      <c r="GG83" s="45"/>
      <c r="GH83" s="45"/>
      <c r="GI83" s="45"/>
      <c r="GJ83" s="45"/>
      <c r="GK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5"/>
      <c r="EI84" s="45"/>
      <c r="EJ84" s="45"/>
      <c r="EK84" s="45"/>
      <c r="EL84" s="45"/>
      <c r="EM84" s="45"/>
      <c r="EN84" s="45"/>
      <c r="EO84" s="45"/>
      <c r="EP84" s="45"/>
      <c r="EQ84" s="45"/>
      <c r="ER84" s="45"/>
      <c r="ES84" s="45"/>
      <c r="ET84" s="45"/>
      <c r="EU84" s="45"/>
      <c r="EV84" s="45"/>
      <c r="EW84" s="45"/>
      <c r="EX84" s="45"/>
      <c r="EY84" s="45"/>
      <c r="EZ84" s="45"/>
      <c r="FA84" s="45"/>
      <c r="FB84" s="45"/>
      <c r="FC84" s="45"/>
      <c r="FD84" s="45"/>
      <c r="FE84" s="45"/>
      <c r="FF84" s="45"/>
      <c r="FG84" s="45"/>
      <c r="FH84" s="45"/>
      <c r="FI84" s="45"/>
      <c r="FJ84" s="45"/>
      <c r="FK84" s="45"/>
      <c r="FL84" s="45"/>
      <c r="FM84" s="45"/>
      <c r="FN84" s="45"/>
      <c r="FO84" s="45"/>
      <c r="FP84" s="45"/>
      <c r="FQ84" s="45"/>
      <c r="FR84" s="45"/>
      <c r="FS84" s="45"/>
      <c r="FT84" s="45"/>
      <c r="FU84" s="45"/>
      <c r="FV84" s="45"/>
      <c r="FW84" s="45"/>
      <c r="FX84" s="45"/>
      <c r="FY84" s="45"/>
      <c r="FZ84" s="45"/>
      <c r="GA84" s="45"/>
      <c r="GB84" s="45"/>
      <c r="GC84" s="45"/>
      <c r="GD84" s="45"/>
      <c r="GE84" s="45"/>
      <c r="GF84" s="45"/>
      <c r="GG84" s="45"/>
      <c r="GH84" s="45"/>
      <c r="GI84" s="45"/>
      <c r="GJ84" s="45"/>
      <c r="GK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  <c r="FK85" s="45"/>
      <c r="FL85" s="45"/>
      <c r="FM85" s="45"/>
      <c r="FN85" s="45"/>
      <c r="FO85" s="45"/>
      <c r="FP85" s="45"/>
      <c r="FQ85" s="45"/>
      <c r="FR85" s="45"/>
      <c r="FS85" s="45"/>
      <c r="FT85" s="45"/>
      <c r="FU85" s="45"/>
      <c r="FV85" s="45"/>
      <c r="FW85" s="45"/>
      <c r="FX85" s="45"/>
      <c r="FY85" s="45"/>
      <c r="FZ85" s="45"/>
      <c r="GA85" s="45"/>
      <c r="GB85" s="45"/>
      <c r="GC85" s="45"/>
      <c r="GD85" s="45"/>
      <c r="GE85" s="45"/>
      <c r="GF85" s="45"/>
      <c r="GG85" s="45"/>
      <c r="GH85" s="45"/>
      <c r="GI85" s="45"/>
      <c r="GJ85" s="45"/>
      <c r="GK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  <c r="FK86" s="45"/>
      <c r="FL86" s="45"/>
      <c r="FM86" s="45"/>
      <c r="FN86" s="45"/>
      <c r="FO86" s="45"/>
      <c r="FP86" s="45"/>
      <c r="FQ86" s="45"/>
      <c r="FR86" s="45"/>
      <c r="FS86" s="45"/>
      <c r="FT86" s="45"/>
      <c r="FU86" s="45"/>
      <c r="FV86" s="45"/>
      <c r="FW86" s="45"/>
      <c r="FX86" s="45"/>
      <c r="FY86" s="45"/>
      <c r="FZ86" s="45"/>
      <c r="GA86" s="45"/>
      <c r="GB86" s="45"/>
      <c r="GC86" s="45"/>
      <c r="GD86" s="45"/>
      <c r="GE86" s="45"/>
      <c r="GF86" s="45"/>
      <c r="GG86" s="45"/>
      <c r="GH86" s="45"/>
      <c r="GI86" s="45"/>
      <c r="GJ86" s="45"/>
      <c r="GK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5"/>
      <c r="EI87" s="45"/>
      <c r="EJ87" s="45"/>
      <c r="EK87" s="45"/>
      <c r="EL87" s="45"/>
      <c r="EM87" s="45"/>
      <c r="EN87" s="45"/>
      <c r="EO87" s="45"/>
      <c r="EP87" s="45"/>
      <c r="EQ87" s="45"/>
      <c r="ER87" s="45"/>
      <c r="ES87" s="45"/>
      <c r="ET87" s="45"/>
      <c r="EU87" s="45"/>
      <c r="EV87" s="45"/>
      <c r="EW87" s="45"/>
      <c r="EX87" s="45"/>
      <c r="EY87" s="45"/>
      <c r="EZ87" s="45"/>
      <c r="FA87" s="45"/>
      <c r="FB87" s="45"/>
      <c r="FC87" s="45"/>
      <c r="FD87" s="45"/>
      <c r="FE87" s="45"/>
      <c r="FF87" s="45"/>
      <c r="FG87" s="45"/>
      <c r="FH87" s="45"/>
      <c r="FI87" s="45"/>
      <c r="FJ87" s="45"/>
      <c r="FK87" s="45"/>
      <c r="FL87" s="45"/>
      <c r="FM87" s="45"/>
      <c r="FN87" s="45"/>
      <c r="FO87" s="45"/>
      <c r="FP87" s="45"/>
      <c r="FQ87" s="45"/>
      <c r="FR87" s="45"/>
      <c r="FS87" s="45"/>
      <c r="FT87" s="45"/>
      <c r="FU87" s="45"/>
      <c r="FV87" s="45"/>
      <c r="FW87" s="45"/>
      <c r="FX87" s="45"/>
      <c r="FY87" s="45"/>
      <c r="FZ87" s="45"/>
      <c r="GA87" s="45"/>
      <c r="GB87" s="45"/>
      <c r="GC87" s="45"/>
      <c r="GD87" s="45"/>
      <c r="GE87" s="45"/>
      <c r="GF87" s="45"/>
      <c r="GG87" s="45"/>
      <c r="GH87" s="45"/>
      <c r="GI87" s="45"/>
      <c r="GJ87" s="45"/>
      <c r="GK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  <c r="FK88" s="45"/>
      <c r="FL88" s="45"/>
      <c r="FM88" s="45"/>
      <c r="FN88" s="45"/>
      <c r="FO88" s="45"/>
      <c r="FP88" s="45"/>
      <c r="FQ88" s="45"/>
      <c r="FR88" s="45"/>
      <c r="FS88" s="45"/>
      <c r="FT88" s="45"/>
      <c r="FU88" s="45"/>
      <c r="FV88" s="45"/>
      <c r="FW88" s="45"/>
      <c r="FX88" s="45"/>
      <c r="FY88" s="45"/>
      <c r="FZ88" s="45"/>
      <c r="GA88" s="45"/>
      <c r="GB88" s="45"/>
      <c r="GC88" s="45"/>
      <c r="GD88" s="45"/>
      <c r="GE88" s="45"/>
      <c r="GF88" s="45"/>
      <c r="GG88" s="45"/>
      <c r="GH88" s="45"/>
      <c r="GI88" s="45"/>
      <c r="GJ88" s="45"/>
      <c r="GK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5"/>
      <c r="EI89" s="45"/>
      <c r="EJ89" s="45"/>
      <c r="EK89" s="45"/>
      <c r="EL89" s="45"/>
      <c r="EM89" s="45"/>
      <c r="EN89" s="45"/>
      <c r="EO89" s="45"/>
      <c r="EP89" s="45"/>
      <c r="EQ89" s="45"/>
      <c r="ER89" s="45"/>
      <c r="ES89" s="45"/>
      <c r="ET89" s="45"/>
      <c r="EU89" s="45"/>
      <c r="EV89" s="45"/>
      <c r="EW89" s="45"/>
      <c r="EX89" s="45"/>
      <c r="EY89" s="45"/>
      <c r="EZ89" s="45"/>
      <c r="FA89" s="45"/>
      <c r="FB89" s="45"/>
      <c r="FC89" s="45"/>
      <c r="FD89" s="45"/>
      <c r="FE89" s="45"/>
      <c r="FF89" s="45"/>
      <c r="FG89" s="45"/>
      <c r="FH89" s="45"/>
      <c r="FI89" s="45"/>
      <c r="FJ89" s="45"/>
      <c r="FK89" s="45"/>
      <c r="FL89" s="45"/>
      <c r="FM89" s="45"/>
      <c r="FN89" s="45"/>
      <c r="FO89" s="45"/>
      <c r="FP89" s="45"/>
      <c r="FQ89" s="45"/>
      <c r="FR89" s="45"/>
      <c r="FS89" s="45"/>
      <c r="FT89" s="45"/>
      <c r="FU89" s="45"/>
      <c r="FV89" s="45"/>
      <c r="FW89" s="45"/>
      <c r="FX89" s="45"/>
      <c r="FY89" s="45"/>
      <c r="FZ89" s="45"/>
      <c r="GA89" s="45"/>
      <c r="GB89" s="45"/>
      <c r="GC89" s="45"/>
      <c r="GD89" s="45"/>
      <c r="GE89" s="45"/>
      <c r="GF89" s="45"/>
      <c r="GG89" s="45"/>
      <c r="GH89" s="45"/>
      <c r="GI89" s="45"/>
      <c r="GJ89" s="45"/>
      <c r="GK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45"/>
      <c r="ES90" s="45"/>
      <c r="ET90" s="45"/>
      <c r="EU90" s="45"/>
      <c r="EV90" s="45"/>
      <c r="EW90" s="45"/>
      <c r="EX90" s="45"/>
      <c r="EY90" s="45"/>
      <c r="EZ90" s="45"/>
      <c r="FA90" s="45"/>
      <c r="FB90" s="45"/>
      <c r="FC90" s="45"/>
      <c r="FD90" s="45"/>
      <c r="FE90" s="45"/>
      <c r="FF90" s="45"/>
      <c r="FG90" s="45"/>
      <c r="FH90" s="45"/>
      <c r="FI90" s="45"/>
      <c r="FJ90" s="45"/>
      <c r="FK90" s="45"/>
      <c r="FL90" s="45"/>
      <c r="FM90" s="45"/>
      <c r="FN90" s="45"/>
      <c r="FO90" s="45"/>
      <c r="FP90" s="45"/>
      <c r="FQ90" s="45"/>
      <c r="FR90" s="45"/>
      <c r="FS90" s="45"/>
      <c r="FT90" s="45"/>
      <c r="FU90" s="45"/>
      <c r="FV90" s="45"/>
      <c r="FW90" s="45"/>
      <c r="FX90" s="45"/>
      <c r="FY90" s="45"/>
      <c r="FZ90" s="45"/>
      <c r="GA90" s="45"/>
      <c r="GB90" s="45"/>
      <c r="GC90" s="45"/>
      <c r="GD90" s="45"/>
      <c r="GE90" s="45"/>
      <c r="GF90" s="45"/>
      <c r="GG90" s="45"/>
      <c r="GH90" s="45"/>
      <c r="GI90" s="45"/>
      <c r="GJ90" s="45"/>
      <c r="GK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5"/>
      <c r="EI91" s="45"/>
      <c r="EJ91" s="45"/>
      <c r="EK91" s="45"/>
      <c r="EL91" s="45"/>
      <c r="EM91" s="45"/>
      <c r="EN91" s="45"/>
      <c r="EO91" s="45"/>
      <c r="EP91" s="45"/>
      <c r="EQ91" s="45"/>
      <c r="ER91" s="45"/>
      <c r="ES91" s="45"/>
      <c r="ET91" s="45"/>
      <c r="EU91" s="45"/>
      <c r="EV91" s="45"/>
      <c r="EW91" s="45"/>
      <c r="EX91" s="45"/>
      <c r="EY91" s="45"/>
      <c r="EZ91" s="45"/>
      <c r="FA91" s="45"/>
      <c r="FB91" s="45"/>
      <c r="FC91" s="45"/>
      <c r="FD91" s="45"/>
      <c r="FE91" s="45"/>
      <c r="FF91" s="45"/>
      <c r="FG91" s="45"/>
      <c r="FH91" s="45"/>
      <c r="FI91" s="45"/>
      <c r="FJ91" s="45"/>
      <c r="FK91" s="45"/>
      <c r="FL91" s="45"/>
      <c r="FM91" s="45"/>
      <c r="FN91" s="45"/>
      <c r="FO91" s="45"/>
      <c r="FP91" s="45"/>
      <c r="FQ91" s="45"/>
      <c r="FR91" s="45"/>
      <c r="FS91" s="45"/>
      <c r="FT91" s="45"/>
      <c r="FU91" s="45"/>
      <c r="FV91" s="45"/>
      <c r="FW91" s="45"/>
      <c r="FX91" s="45"/>
      <c r="FY91" s="45"/>
      <c r="FZ91" s="45"/>
      <c r="GA91" s="45"/>
      <c r="GB91" s="45"/>
      <c r="GC91" s="45"/>
      <c r="GD91" s="45"/>
      <c r="GE91" s="45"/>
      <c r="GF91" s="45"/>
      <c r="GG91" s="45"/>
      <c r="GH91" s="45"/>
      <c r="GI91" s="45"/>
      <c r="GJ91" s="45"/>
      <c r="GK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5"/>
      <c r="EI92" s="45"/>
      <c r="EJ92" s="45"/>
      <c r="EK92" s="45"/>
      <c r="EL92" s="45"/>
      <c r="EM92" s="45"/>
      <c r="EN92" s="45"/>
      <c r="EO92" s="45"/>
      <c r="EP92" s="45"/>
      <c r="EQ92" s="45"/>
      <c r="ER92" s="45"/>
      <c r="ES92" s="45"/>
      <c r="ET92" s="45"/>
      <c r="EU92" s="45"/>
      <c r="EV92" s="45"/>
      <c r="EW92" s="45"/>
      <c r="EX92" s="45"/>
      <c r="EY92" s="45"/>
      <c r="EZ92" s="45"/>
      <c r="FA92" s="45"/>
      <c r="FB92" s="45"/>
      <c r="FC92" s="45"/>
      <c r="FD92" s="45"/>
      <c r="FE92" s="45"/>
      <c r="FF92" s="45"/>
      <c r="FG92" s="45"/>
      <c r="FH92" s="45"/>
      <c r="FI92" s="45"/>
      <c r="FJ92" s="45"/>
      <c r="FK92" s="45"/>
      <c r="FL92" s="45"/>
      <c r="FM92" s="45"/>
      <c r="FN92" s="45"/>
      <c r="FO92" s="45"/>
      <c r="FP92" s="45"/>
      <c r="FQ92" s="45"/>
      <c r="FR92" s="45"/>
      <c r="FS92" s="45"/>
      <c r="FT92" s="45"/>
      <c r="FU92" s="45"/>
      <c r="FV92" s="45"/>
      <c r="FW92" s="45"/>
      <c r="FX92" s="45"/>
      <c r="FY92" s="45"/>
      <c r="FZ92" s="45"/>
      <c r="GA92" s="45"/>
      <c r="GB92" s="45"/>
      <c r="GC92" s="45"/>
      <c r="GD92" s="45"/>
      <c r="GE92" s="45"/>
      <c r="GF92" s="45"/>
      <c r="GG92" s="45"/>
      <c r="GH92" s="45"/>
      <c r="GI92" s="45"/>
      <c r="GJ92" s="45"/>
      <c r="GK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5"/>
      <c r="EI93" s="45"/>
      <c r="EJ93" s="45"/>
      <c r="EK93" s="45"/>
      <c r="EL93" s="45"/>
      <c r="EM93" s="45"/>
      <c r="EN93" s="45"/>
      <c r="EO93" s="45"/>
      <c r="EP93" s="45"/>
      <c r="EQ93" s="45"/>
      <c r="ER93" s="45"/>
      <c r="ES93" s="45"/>
      <c r="ET93" s="45"/>
      <c r="EU93" s="45"/>
      <c r="EV93" s="45"/>
      <c r="EW93" s="45"/>
      <c r="EX93" s="45"/>
      <c r="EY93" s="45"/>
      <c r="EZ93" s="45"/>
      <c r="FA93" s="45"/>
      <c r="FB93" s="45"/>
      <c r="FC93" s="45"/>
      <c r="FD93" s="45"/>
      <c r="FE93" s="45"/>
      <c r="FF93" s="45"/>
      <c r="FG93" s="45"/>
      <c r="FH93" s="45"/>
      <c r="FI93" s="45"/>
      <c r="FJ93" s="45"/>
      <c r="FK93" s="45"/>
      <c r="FL93" s="45"/>
      <c r="FM93" s="45"/>
      <c r="FN93" s="45"/>
      <c r="FO93" s="45"/>
      <c r="FP93" s="45"/>
      <c r="FQ93" s="45"/>
      <c r="FR93" s="45"/>
      <c r="FS93" s="45"/>
      <c r="FT93" s="45"/>
      <c r="FU93" s="45"/>
      <c r="FV93" s="45"/>
      <c r="FW93" s="45"/>
      <c r="FX93" s="45"/>
      <c r="FY93" s="45"/>
      <c r="FZ93" s="45"/>
      <c r="GA93" s="45"/>
      <c r="GB93" s="45"/>
      <c r="GC93" s="45"/>
      <c r="GD93" s="45"/>
      <c r="GE93" s="45"/>
      <c r="GF93" s="45"/>
      <c r="GG93" s="45"/>
      <c r="GH93" s="45"/>
      <c r="GI93" s="45"/>
      <c r="GJ93" s="45"/>
      <c r="GK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45"/>
      <c r="ES94" s="45"/>
      <c r="ET94" s="45"/>
      <c r="EU94" s="45"/>
      <c r="EV94" s="45"/>
      <c r="EW94" s="45"/>
      <c r="EX94" s="45"/>
      <c r="EY94" s="45"/>
      <c r="EZ94" s="45"/>
      <c r="FA94" s="45"/>
      <c r="FB94" s="45"/>
      <c r="FC94" s="45"/>
      <c r="FD94" s="45"/>
      <c r="FE94" s="45"/>
      <c r="FF94" s="45"/>
      <c r="FG94" s="45"/>
      <c r="FH94" s="45"/>
      <c r="FI94" s="45"/>
      <c r="FJ94" s="45"/>
      <c r="FK94" s="45"/>
      <c r="FL94" s="45"/>
      <c r="FM94" s="45"/>
      <c r="FN94" s="45"/>
      <c r="FO94" s="45"/>
      <c r="FP94" s="45"/>
      <c r="FQ94" s="45"/>
      <c r="FR94" s="45"/>
      <c r="FS94" s="45"/>
      <c r="FT94" s="45"/>
      <c r="FU94" s="45"/>
      <c r="FV94" s="45"/>
      <c r="FW94" s="45"/>
      <c r="FX94" s="45"/>
      <c r="FY94" s="45"/>
      <c r="FZ94" s="45"/>
      <c r="GA94" s="45"/>
      <c r="GB94" s="45"/>
      <c r="GC94" s="45"/>
      <c r="GD94" s="45"/>
      <c r="GE94" s="45"/>
      <c r="GF94" s="45"/>
      <c r="GG94" s="45"/>
      <c r="GH94" s="45"/>
      <c r="GI94" s="45"/>
      <c r="GJ94" s="45"/>
      <c r="GK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45"/>
      <c r="ES95" s="45"/>
      <c r="ET95" s="45"/>
      <c r="EU95" s="45"/>
      <c r="EV95" s="45"/>
      <c r="EW95" s="45"/>
      <c r="EX95" s="45"/>
      <c r="EY95" s="45"/>
      <c r="EZ95" s="45"/>
      <c r="FA95" s="45"/>
      <c r="FB95" s="45"/>
      <c r="FC95" s="45"/>
      <c r="FD95" s="45"/>
      <c r="FE95" s="45"/>
      <c r="FF95" s="45"/>
      <c r="FG95" s="45"/>
      <c r="FH95" s="45"/>
      <c r="FI95" s="45"/>
      <c r="FJ95" s="45"/>
      <c r="FK95" s="45"/>
      <c r="FL95" s="45"/>
      <c r="FM95" s="45"/>
      <c r="FN95" s="45"/>
      <c r="FO95" s="45"/>
      <c r="FP95" s="45"/>
      <c r="FQ95" s="45"/>
      <c r="FR95" s="45"/>
      <c r="FS95" s="45"/>
      <c r="FT95" s="45"/>
      <c r="FU95" s="45"/>
      <c r="FV95" s="45"/>
      <c r="FW95" s="45"/>
      <c r="FX95" s="45"/>
      <c r="FY95" s="45"/>
      <c r="FZ95" s="45"/>
      <c r="GA95" s="45"/>
      <c r="GB95" s="45"/>
      <c r="GC95" s="45"/>
      <c r="GD95" s="45"/>
      <c r="GE95" s="45"/>
      <c r="GF95" s="45"/>
      <c r="GG95" s="45"/>
      <c r="GH95" s="45"/>
      <c r="GI95" s="45"/>
      <c r="GJ95" s="45"/>
      <c r="GK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  <c r="FQ96" s="45"/>
      <c r="FR96" s="45"/>
      <c r="FS96" s="45"/>
      <c r="FT96" s="45"/>
      <c r="FU96" s="45"/>
      <c r="FV96" s="45"/>
      <c r="FW96" s="45"/>
      <c r="FX96" s="45"/>
      <c r="FY96" s="45"/>
      <c r="FZ96" s="45"/>
      <c r="GA96" s="45"/>
      <c r="GB96" s="45"/>
      <c r="GC96" s="45"/>
      <c r="GD96" s="45"/>
      <c r="GE96" s="45"/>
      <c r="GF96" s="45"/>
      <c r="GG96" s="45"/>
      <c r="GH96" s="45"/>
      <c r="GI96" s="45"/>
      <c r="GJ96" s="45"/>
      <c r="GK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45"/>
      <c r="ES97" s="45"/>
      <c r="ET97" s="45"/>
      <c r="EU97" s="45"/>
      <c r="EV97" s="45"/>
      <c r="EW97" s="45"/>
      <c r="EX97" s="45"/>
      <c r="EY97" s="45"/>
      <c r="EZ97" s="45"/>
      <c r="FA97" s="45"/>
      <c r="FB97" s="45"/>
      <c r="FC97" s="45"/>
      <c r="FD97" s="45"/>
      <c r="FE97" s="45"/>
      <c r="FF97" s="45"/>
      <c r="FG97" s="45"/>
      <c r="FH97" s="45"/>
      <c r="FI97" s="45"/>
      <c r="FJ97" s="45"/>
      <c r="FK97" s="45"/>
      <c r="FL97" s="45"/>
      <c r="FM97" s="45"/>
      <c r="FN97" s="45"/>
      <c r="FO97" s="45"/>
      <c r="FP97" s="45"/>
      <c r="FQ97" s="45"/>
      <c r="FR97" s="45"/>
      <c r="FS97" s="45"/>
      <c r="FT97" s="45"/>
      <c r="FU97" s="45"/>
      <c r="FV97" s="45"/>
      <c r="FW97" s="45"/>
      <c r="FX97" s="45"/>
      <c r="FY97" s="45"/>
      <c r="FZ97" s="45"/>
      <c r="GA97" s="45"/>
      <c r="GB97" s="45"/>
      <c r="GC97" s="45"/>
      <c r="GD97" s="45"/>
      <c r="GE97" s="45"/>
      <c r="GF97" s="45"/>
      <c r="GG97" s="45"/>
      <c r="GH97" s="45"/>
      <c r="GI97" s="45"/>
      <c r="GJ97" s="45"/>
      <c r="GK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5"/>
      <c r="EJ98" s="45"/>
      <c r="EK98" s="45"/>
      <c r="EL98" s="45"/>
      <c r="EM98" s="45"/>
      <c r="EN98" s="45"/>
      <c r="EO98" s="45"/>
      <c r="EP98" s="45"/>
      <c r="EQ98" s="45"/>
      <c r="ER98" s="45"/>
      <c r="ES98" s="45"/>
      <c r="ET98" s="45"/>
      <c r="EU98" s="45"/>
      <c r="EV98" s="45"/>
      <c r="EW98" s="45"/>
      <c r="EX98" s="45"/>
      <c r="EY98" s="45"/>
      <c r="EZ98" s="45"/>
      <c r="FA98" s="45"/>
      <c r="FB98" s="45"/>
      <c r="FC98" s="45"/>
      <c r="FD98" s="45"/>
      <c r="FE98" s="45"/>
      <c r="FF98" s="45"/>
      <c r="FG98" s="45"/>
      <c r="FH98" s="45"/>
      <c r="FI98" s="45"/>
      <c r="FJ98" s="45"/>
      <c r="FK98" s="45"/>
      <c r="FL98" s="45"/>
      <c r="FM98" s="45"/>
      <c r="FN98" s="45"/>
      <c r="FO98" s="45"/>
      <c r="FP98" s="45"/>
      <c r="FQ98" s="45"/>
      <c r="FR98" s="45"/>
      <c r="FS98" s="45"/>
      <c r="FT98" s="45"/>
      <c r="FU98" s="45"/>
      <c r="FV98" s="45"/>
      <c r="FW98" s="45"/>
      <c r="FX98" s="45"/>
      <c r="FY98" s="45"/>
      <c r="FZ98" s="45"/>
      <c r="GA98" s="45"/>
      <c r="GB98" s="45"/>
      <c r="GC98" s="45"/>
      <c r="GD98" s="45"/>
      <c r="GE98" s="45"/>
      <c r="GF98" s="45"/>
      <c r="GG98" s="45"/>
      <c r="GH98" s="45"/>
      <c r="GI98" s="45"/>
      <c r="GJ98" s="45"/>
      <c r="GK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45"/>
      <c r="ES99" s="45"/>
      <c r="ET99" s="45"/>
      <c r="EU99" s="45"/>
      <c r="EV99" s="45"/>
      <c r="EW99" s="45"/>
      <c r="EX99" s="45"/>
      <c r="EY99" s="45"/>
      <c r="EZ99" s="45"/>
      <c r="FA99" s="45"/>
      <c r="FB99" s="45"/>
      <c r="FC99" s="45"/>
      <c r="FD99" s="45"/>
      <c r="FE99" s="45"/>
      <c r="FF99" s="45"/>
      <c r="FG99" s="45"/>
      <c r="FH99" s="45"/>
      <c r="FI99" s="45"/>
      <c r="FJ99" s="45"/>
      <c r="FK99" s="45"/>
      <c r="FL99" s="45"/>
      <c r="FM99" s="45"/>
      <c r="FN99" s="45"/>
      <c r="FO99" s="45"/>
      <c r="FP99" s="45"/>
      <c r="FQ99" s="45"/>
      <c r="FR99" s="45"/>
      <c r="FS99" s="45"/>
      <c r="FT99" s="45"/>
      <c r="FU99" s="45"/>
      <c r="FV99" s="45"/>
      <c r="FW99" s="45"/>
      <c r="FX99" s="45"/>
      <c r="FY99" s="45"/>
      <c r="FZ99" s="45"/>
      <c r="GA99" s="45"/>
      <c r="GB99" s="45"/>
      <c r="GC99" s="45"/>
      <c r="GD99" s="45"/>
      <c r="GE99" s="45"/>
      <c r="GF99" s="45"/>
      <c r="GG99" s="45"/>
      <c r="GH99" s="45"/>
      <c r="GI99" s="45"/>
      <c r="GJ99" s="45"/>
      <c r="GK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5"/>
      <c r="CU100" s="45"/>
      <c r="CV100" s="45"/>
      <c r="CW100" s="45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5"/>
      <c r="EI100" s="45"/>
      <c r="EJ100" s="45"/>
      <c r="EK100" s="45"/>
      <c r="EL100" s="45"/>
      <c r="EM100" s="45"/>
      <c r="EN100" s="45"/>
      <c r="EO100" s="45"/>
      <c r="EP100" s="45"/>
      <c r="EQ100" s="45"/>
      <c r="ER100" s="45"/>
      <c r="ES100" s="45"/>
      <c r="ET100" s="45"/>
      <c r="EU100" s="45"/>
      <c r="EV100" s="45"/>
      <c r="EW100" s="45"/>
      <c r="EX100" s="45"/>
      <c r="EY100" s="45"/>
      <c r="EZ100" s="45"/>
      <c r="FA100" s="45"/>
      <c r="FB100" s="45"/>
      <c r="FC100" s="45"/>
      <c r="FD100" s="45"/>
      <c r="FE100" s="45"/>
      <c r="FF100" s="45"/>
      <c r="FG100" s="45"/>
      <c r="FH100" s="45"/>
      <c r="FI100" s="45"/>
      <c r="FJ100" s="45"/>
      <c r="FK100" s="45"/>
      <c r="FL100" s="45"/>
      <c r="FM100" s="45"/>
      <c r="FN100" s="45"/>
      <c r="FO100" s="45"/>
      <c r="FP100" s="45"/>
      <c r="FQ100" s="45"/>
      <c r="FR100" s="45"/>
      <c r="FS100" s="45"/>
      <c r="FT100" s="45"/>
      <c r="FU100" s="45"/>
      <c r="FV100" s="45"/>
      <c r="FW100" s="45"/>
      <c r="FX100" s="45"/>
      <c r="FY100" s="45"/>
      <c r="FZ100" s="45"/>
      <c r="GA100" s="45"/>
      <c r="GB100" s="45"/>
      <c r="GC100" s="45"/>
      <c r="GD100" s="45"/>
      <c r="GE100" s="45"/>
      <c r="GF100" s="45"/>
      <c r="GG100" s="45"/>
      <c r="GH100" s="45"/>
      <c r="GI100" s="45"/>
      <c r="GJ100" s="45"/>
      <c r="GK100" s="4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61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31</v>
      </c>
      <c r="AL6" s="60">
        <v>100.0</v>
      </c>
      <c r="AM6" s="60"/>
      <c r="AN6" s="60"/>
      <c r="AO6" s="60"/>
      <c r="AP6" s="60"/>
      <c r="AQ6" s="60">
        <v>0.0</v>
      </c>
      <c r="AR6" s="60">
        <v>0.0</v>
      </c>
      <c r="AS6" s="39" t="s">
        <v>32</v>
      </c>
      <c r="AT6" s="39" t="s">
        <v>33</v>
      </c>
      <c r="AU6" s="39" t="s">
        <v>34</v>
      </c>
      <c r="AV6" s="60">
        <v>0.0</v>
      </c>
      <c r="AW6" s="60">
        <v>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41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61">
        <v>100.0</v>
      </c>
      <c r="H6" s="35"/>
      <c r="I6" s="35"/>
      <c r="J6" s="51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51</v>
      </c>
      <c r="AL6" s="62">
        <v>100.0</v>
      </c>
      <c r="AM6" s="39"/>
      <c r="AN6" s="39"/>
      <c r="AO6" s="60">
        <v>0.0</v>
      </c>
      <c r="AP6" s="63">
        <v>0.0</v>
      </c>
      <c r="AQ6" s="39"/>
      <c r="AR6" s="39"/>
      <c r="AS6" s="39"/>
      <c r="AT6" s="39"/>
      <c r="AU6" s="39"/>
      <c r="AV6" s="39"/>
      <c r="AW6" s="39"/>
      <c r="AX6" s="62">
        <v>100.0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