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utomaticClosing" sheetId="4" r:id="rId6"/>
    <sheet state="visible" name="CreateDoneAwayOrder" sheetId="5" r:id="rId7"/>
    <sheet state="visible" name="CreateDoneAwayOrder1" sheetId="6" r:id="rId8"/>
    <sheet state="visible" name="GetDataClosing" sheetId="7" r:id="rId9"/>
    <sheet state="visible" name="VerifyLongPositionsGrid" sheetId="8" r:id="rId10"/>
    <sheet state="visible" name="VerifyShortPositionsGrid" sheetId="9" r:id="rId11"/>
    <sheet state="visible" name="VerifyClosedTrades" sheetId="10" r:id="rId12"/>
    <sheet state="visible" name="CreateComplianceOrder" sheetId="11" r:id="rId13"/>
    <sheet state="visible" name="VerifyComplianceOrder" sheetId="12" r:id="rId14"/>
  </sheets>
  <definedNames/>
  <calcPr/>
</workbook>
</file>

<file path=xl/sharedStrings.xml><?xml version="1.0" encoding="utf-8"?>
<sst xmlns="http://schemas.openxmlformats.org/spreadsheetml/2006/main" count="133" uniqueCount="44">
  <si>
    <t>Modules Info</t>
  </si>
  <si>
    <t>Modules</t>
  </si>
  <si>
    <t>Settings</t>
  </si>
  <si>
    <t>Module Step Setting File</t>
  </si>
  <si>
    <t>1M7bN0yXLCtxmMHVndKEWuHNx7avtlWE8-c7rofbgNL4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</si>
  <si>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</si>
  <si>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</si>
  <si>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</si>
  <si>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</si>
  <si>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</si>
  <si>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</si>
  <si>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</si>
  <si>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Closing</t>
  </si>
  <si>
    <t>AutomaticClosing</t>
  </si>
  <si>
    <t>Data Format</t>
  </si>
  <si>
    <t>Input Format</t>
  </si>
  <si>
    <t>ACA</t>
  </si>
  <si>
    <t>None</t>
  </si>
  <si>
    <t>Default</t>
  </si>
  <si>
    <t>TradingTicket</t>
  </si>
  <si>
    <t>CreateDoneAwayOrder</t>
  </si>
  <si>
    <t>AAPL</t>
  </si>
  <si>
    <t>Buy</t>
  </si>
  <si>
    <t>Allocation1</t>
  </si>
  <si>
    <t>Yes</t>
  </si>
  <si>
    <t>Sell</t>
  </si>
  <si>
    <t>GetDataClosing</t>
  </si>
  <si>
    <t>Historical</t>
  </si>
  <si>
    <t>VerifyLongPositionsGrid</t>
  </si>
  <si>
    <t>Equity</t>
  </si>
  <si>
    <t>VerifyShortPositionsGrid</t>
  </si>
  <si>
    <t>VerifyClosedTrades</t>
  </si>
  <si>
    <t>Long</t>
  </si>
  <si>
    <t xml:space="preserve"> </t>
  </si>
  <si>
    <t>USD</t>
  </si>
  <si>
    <t>CreateComplianceOrder</t>
  </si>
  <si>
    <t>DoneAway</t>
  </si>
  <si>
    <t>VerifyComplianceOrder</t>
  </si>
  <si>
    <t>Soft</t>
  </si>
  <si>
    <t>Quantity_Check_Rule_1000</t>
  </si>
  <si>
    <t>If Quantity not equals to -1234, Then block the trade.</t>
  </si>
  <si>
    <t>Symbol: AAPL , quantity: 327.00, Symbol: AAPL</t>
  </si>
  <si>
    <t>Quantity_Check_Rule</t>
  </si>
  <si>
    <t>If Quantity greater than 0, Then block the trade.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</si>
</sst>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3266D5"/>
      <name val="Inconsolata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6" fillId="0" fontId="5" numFmtId="0" xfId="0" applyAlignment="1" applyBorder="1" applyFont="1">
      <alignment horizontal="right" vertical="bottom"/>
    </xf>
    <xf borderId="0" fillId="6" fontId="13" numFmtId="14" xfId="0" applyAlignment="1" applyFill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0" fillId="6" fontId="14" numFmtId="164" xfId="0" applyFont="1" applyNumberFormat="1"/>
    <xf borderId="0" fillId="0" fontId="2" numFmtId="164" xfId="0" applyAlignment="1" applyFont="1" applyNumberFormat="1">
      <alignment readingOrder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1zwv-aZp-DRCpq8bqLR0XRiyt0av-GAm0ORqbhnV-FKI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 ")</f>
        <v>CloseSSw/BuyBTO </v>
      </c>
      <c r="C5" s="28" t="str">
        <f>IFERROR(__xludf.DUMMYFUNCTION("""COMPUTED_VALUE"""),"AutoCloseStrategy")</f>
        <v>AutoCloseStrategy</v>
      </c>
      <c r="D5" s="28" t="str">
        <f>IFERROR(__xludf.DUMMYFUNCTION("""COMPUTED_VALUE"""),"Algorithm")</f>
        <v>Algorithm</v>
      </c>
      <c r="E5" s="28" t="str">
        <f>IFERROR(__xludf.DUMMYFUNCTION("""COMPUTED_VALUE"""),"SecondarySortCriteria")</f>
        <v>SecondarySortCriteria</v>
      </c>
      <c r="F5" s="29" t="str">
        <f>IFERROR(__xludf.DUMMYFUNCTION("""COMPUTED_VALUE"""),"ClosingField")</f>
        <v>ClosingField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b">
        <v>0</v>
      </c>
      <c r="C6" s="13" t="b">
        <v>0</v>
      </c>
      <c r="D6" s="13" t="s">
        <v>16</v>
      </c>
      <c r="E6" s="13" t="s">
        <v>17</v>
      </c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21</v>
      </c>
      <c r="C6" s="33" t="s">
        <v>22</v>
      </c>
      <c r="D6" s="34">
        <v>89.0</v>
      </c>
      <c r="E6" s="33"/>
      <c r="F6" s="33" t="s">
        <v>23</v>
      </c>
      <c r="G6" s="33"/>
      <c r="H6" s="33"/>
      <c r="I6" s="33"/>
      <c r="J6" s="35">
        <v>2.0</v>
      </c>
      <c r="K6" s="33"/>
      <c r="L6" s="33"/>
      <c r="M6" s="33"/>
      <c r="N6" s="36">
        <v>44722.0</v>
      </c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 t="s">
        <v>24</v>
      </c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1"/>
      <c r="B7" s="32" t="s">
        <v>21</v>
      </c>
      <c r="C7" s="33" t="s">
        <v>22</v>
      </c>
      <c r="D7" s="34">
        <v>517.0</v>
      </c>
      <c r="E7" s="33"/>
      <c r="F7" s="33" t="s">
        <v>23</v>
      </c>
      <c r="G7" s="33"/>
      <c r="H7" s="33"/>
      <c r="I7" s="33"/>
      <c r="J7" s="35">
        <v>2.0</v>
      </c>
      <c r="K7" s="33"/>
      <c r="L7" s="33"/>
      <c r="M7" s="33"/>
      <c r="N7" s="36">
        <v>44725.0</v>
      </c>
      <c r="O7" s="33"/>
      <c r="P7" s="33"/>
      <c r="Q7" s="33"/>
      <c r="R7" s="33"/>
      <c r="S7" s="33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 t="s">
        <v>24</v>
      </c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21</v>
      </c>
      <c r="C6" s="32" t="s">
        <v>25</v>
      </c>
      <c r="D6" s="34">
        <v>279.0</v>
      </c>
      <c r="E6" s="33"/>
      <c r="F6" s="33" t="s">
        <v>23</v>
      </c>
      <c r="G6" s="33"/>
      <c r="H6" s="33"/>
      <c r="I6" s="33"/>
      <c r="J6" s="35">
        <v>2.0</v>
      </c>
      <c r="K6" s="33"/>
      <c r="L6" s="33"/>
      <c r="M6" s="33"/>
      <c r="N6" s="36">
        <v>44799.0</v>
      </c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 t="s">
        <v>24</v>
      </c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27</v>
      </c>
      <c r="C6" s="36">
        <v>44691.0</v>
      </c>
      <c r="D6" s="38">
        <f>TODAY()</f>
        <v>44923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23</v>
      </c>
      <c r="C6" s="13" t="s">
        <v>29</v>
      </c>
      <c r="D6" s="8"/>
      <c r="E6" s="8"/>
      <c r="F6" s="8"/>
      <c r="G6" s="8"/>
      <c r="H6" s="13">
        <v>192.0001</v>
      </c>
      <c r="I6" s="13">
        <v>2.0</v>
      </c>
      <c r="J6" s="8"/>
      <c r="K6" s="8"/>
      <c r="L6" s="8"/>
      <c r="M6" s="13">
        <v>89.0</v>
      </c>
      <c r="N6" s="8"/>
      <c r="O6" s="8"/>
      <c r="P6" s="9" t="s">
        <v>22</v>
      </c>
      <c r="R6" s="9" t="s">
        <v>21</v>
      </c>
      <c r="U6" s="39"/>
      <c r="X6" s="9">
        <v>2.157304494</v>
      </c>
      <c r="Y6" s="9">
        <v>2.157304494</v>
      </c>
      <c r="Z6" s="9">
        <v>2.0</v>
      </c>
    </row>
    <row r="7" ht="15.75" customHeight="1">
      <c r="A7" s="8"/>
      <c r="B7" s="13" t="s">
        <v>23</v>
      </c>
      <c r="C7" s="13" t="s">
        <v>29</v>
      </c>
      <c r="D7" s="8"/>
      <c r="E7" s="8"/>
      <c r="F7" s="8"/>
      <c r="G7" s="8"/>
      <c r="H7" s="13">
        <v>1048.0006</v>
      </c>
      <c r="I7" s="13">
        <v>2.0</v>
      </c>
      <c r="J7" s="8"/>
      <c r="K7" s="8"/>
      <c r="L7" s="8"/>
      <c r="M7" s="13">
        <v>517.0</v>
      </c>
      <c r="N7" s="8"/>
      <c r="O7" s="8"/>
      <c r="P7" s="9" t="s">
        <v>22</v>
      </c>
      <c r="R7" s="9" t="s">
        <v>21</v>
      </c>
      <c r="U7" s="39"/>
      <c r="X7" s="9">
        <v>2.027080464</v>
      </c>
      <c r="Y7" s="9">
        <v>2.027080464</v>
      </c>
      <c r="Z7" s="9">
        <v>2.0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23</v>
      </c>
      <c r="C6" s="8"/>
      <c r="D6" s="8"/>
      <c r="E6" s="8"/>
      <c r="F6" s="8"/>
      <c r="G6" s="8"/>
      <c r="H6" s="13">
        <v>543.9997</v>
      </c>
      <c r="I6" s="13">
        <v>2.0</v>
      </c>
      <c r="J6" s="8"/>
      <c r="K6" s="8"/>
      <c r="L6" s="8"/>
      <c r="M6" s="13">
        <v>279.0</v>
      </c>
      <c r="N6" s="8"/>
      <c r="O6" s="8"/>
      <c r="P6" s="9" t="s">
        <v>25</v>
      </c>
      <c r="R6" s="9" t="s">
        <v>21</v>
      </c>
      <c r="U6" s="39"/>
      <c r="X6" s="9">
        <v>1.949819713</v>
      </c>
      <c r="Y6" s="9">
        <v>1.949819713</v>
      </c>
      <c r="Z6" s="9">
        <v>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 t="str">
        <f>IFERROR(__xludf.DUMMYFUNCTION("""COMPUTED_VALUE"""),"isRowCountCheck")</f>
        <v>isRowCountCheck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36">
        <v>44799.0</v>
      </c>
      <c r="D6" s="13" t="s">
        <v>23</v>
      </c>
      <c r="E6" s="8"/>
      <c r="F6" s="13" t="s">
        <v>32</v>
      </c>
      <c r="G6" s="8"/>
      <c r="H6" s="13" t="s">
        <v>21</v>
      </c>
      <c r="I6" s="13">
        <v>40.97524752</v>
      </c>
      <c r="J6" s="13">
        <v>2.0</v>
      </c>
      <c r="K6" s="13">
        <v>2.0</v>
      </c>
      <c r="L6" s="13" t="s">
        <v>33</v>
      </c>
      <c r="M6" s="13"/>
      <c r="N6" s="8"/>
      <c r="O6" s="13" t="s">
        <v>32</v>
      </c>
      <c r="Q6" s="9" t="s">
        <v>25</v>
      </c>
      <c r="R6" s="9" t="s">
        <v>16</v>
      </c>
      <c r="Z6" s="9" t="s">
        <v>34</v>
      </c>
    </row>
    <row r="7" ht="15.75" customHeight="1">
      <c r="A7" s="8"/>
      <c r="B7" s="8"/>
      <c r="C7" s="36">
        <v>44799.0</v>
      </c>
      <c r="D7" s="13" t="s">
        <v>23</v>
      </c>
      <c r="E7" s="8"/>
      <c r="F7" s="13" t="s">
        <v>32</v>
      </c>
      <c r="G7" s="8"/>
      <c r="H7" s="13" t="s">
        <v>21</v>
      </c>
      <c r="I7" s="13">
        <v>238.0247525</v>
      </c>
      <c r="J7" s="13">
        <v>2.0</v>
      </c>
      <c r="K7" s="13">
        <v>2.0</v>
      </c>
      <c r="L7" s="13"/>
      <c r="M7" s="13"/>
      <c r="N7" s="8"/>
      <c r="O7" s="13" t="s">
        <v>32</v>
      </c>
      <c r="Q7" s="9" t="s">
        <v>25</v>
      </c>
      <c r="R7" s="9" t="s">
        <v>16</v>
      </c>
      <c r="Z7" s="9" t="s">
        <v>34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21</v>
      </c>
      <c r="C6" s="32" t="s">
        <v>25</v>
      </c>
      <c r="D6" s="34">
        <v>327.0</v>
      </c>
      <c r="E6" s="33"/>
      <c r="F6" s="33" t="s">
        <v>23</v>
      </c>
      <c r="G6" s="33"/>
      <c r="H6" s="33"/>
      <c r="I6" s="33"/>
      <c r="J6" s="35">
        <v>2.0</v>
      </c>
      <c r="K6" s="33"/>
      <c r="L6" s="33"/>
      <c r="M6" s="33"/>
      <c r="N6" s="36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 t="s">
        <v>24</v>
      </c>
      <c r="AR6" s="37"/>
      <c r="AS6" s="37"/>
      <c r="AT6" s="37"/>
      <c r="AU6" s="37"/>
      <c r="AV6" s="37"/>
      <c r="AW6" s="37"/>
      <c r="AX6" s="37" t="s">
        <v>36</v>
      </c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38</v>
      </c>
      <c r="C6" s="13" t="s">
        <v>39</v>
      </c>
      <c r="D6" s="13" t="s">
        <v>40</v>
      </c>
      <c r="E6" s="13" t="s">
        <v>21</v>
      </c>
      <c r="F6" s="13">
        <v>-1234.0</v>
      </c>
      <c r="G6" s="13">
        <v>327.0</v>
      </c>
      <c r="H6" s="13" t="s">
        <v>41</v>
      </c>
      <c r="I6" s="8"/>
      <c r="J6" s="8"/>
      <c r="K6" s="40" t="s">
        <v>24</v>
      </c>
      <c r="L6" s="37"/>
      <c r="M6" s="40" t="s">
        <v>36</v>
      </c>
      <c r="N6" s="8"/>
      <c r="O6" s="8"/>
    </row>
    <row r="7" ht="15.75" customHeight="1">
      <c r="A7" s="8"/>
      <c r="B7" s="13" t="s">
        <v>38</v>
      </c>
      <c r="C7" s="13" t="s">
        <v>42</v>
      </c>
      <c r="D7" s="13" t="s">
        <v>43</v>
      </c>
      <c r="E7" s="13" t="s">
        <v>21</v>
      </c>
      <c r="F7" s="13">
        <v>0.0</v>
      </c>
      <c r="G7" s="13">
        <v>327.0</v>
      </c>
      <c r="H7" s="13" t="s">
        <v>41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