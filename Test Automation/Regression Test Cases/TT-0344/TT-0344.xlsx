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reateOrderPTT" sheetId="9" r:id="rId11"/>
    <sheet state="visible" name="CreateOrderPTT1" sheetId="10" r:id="rId12"/>
    <sheet state="visible" name="TradeNewSubOrder" sheetId="11" r:id="rId13"/>
    <sheet state="visible" name="CreateNewSubOrder" sheetId="12" r:id="rId14"/>
    <sheet state="visible" name="SelectTradeOnOrderGrid" sheetId="13" r:id="rId15"/>
    <sheet state="visible" name="AddFillsSubOrder" sheetId="14" r:id="rId16"/>
    <sheet state="visible" name="EditAddFillsDetails" sheetId="15" r:id="rId17"/>
    <sheet state="visible" name="CreateStageOrder" sheetId="16" r:id="rId18"/>
    <sheet state="visible" name="TradeNewSubOrder1" sheetId="17" r:id="rId19"/>
    <sheet state="visible" name="RemoveExecutionWorkingSubs" sheetId="18" r:id="rId20"/>
    <sheet state="visible" name="CreateNewSubOrder1" sheetId="19" r:id="rId21"/>
    <sheet state="visible" name="SelectTradeOnOrderGrid1" sheetId="20" r:id="rId22"/>
    <sheet state="visible" name="SelectTradeOnOrderGrid2" sheetId="21" r:id="rId23"/>
    <sheet state="visible" name="EditAddFillsDetails1" sheetId="22" r:id="rId24"/>
    <sheet state="visible" name="AddFillsSubOrder1" sheetId="23" r:id="rId25"/>
    <sheet state="visible" name="CreateDoneAwayOrder1" sheetId="24" r:id="rId26"/>
  </sheets>
  <definedNames/>
  <calcPr/>
</workbook>
</file>

<file path=xl/sharedStrings.xml><?xml version="1.0" encoding="utf-8"?>
<sst xmlns="http://schemas.openxmlformats.org/spreadsheetml/2006/main" count="245" uniqueCount="48">
  <si>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</si>
  <si>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</si>
  <si>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</si>
  <si>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</si>
  <si>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</si>
  <si>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</si>
  <si>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</si>
  <si>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</si>
  <si>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</si>
  <si>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</si>
  <si>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</si>
  <si>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</si>
  <si>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</si>
  <si>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</si>
  <si>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</si>
  <si>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</si>
  <si>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</si>
  <si>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</si>
  <si>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</si>
  <si>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</si>
  <si>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Allocation2</t>
  </si>
  <si>
    <t>MS</t>
  </si>
  <si>
    <t>PricingInput</t>
  </si>
  <si>
    <t>DailyValuation</t>
  </si>
  <si>
    <t>GetDailyCash</t>
  </si>
  <si>
    <t>UpdateMultipleDailyCash</t>
  </si>
  <si>
    <t>USD</t>
  </si>
  <si>
    <t>PTT</t>
  </si>
  <si>
    <t>CreateOrderPTT</t>
  </si>
  <si>
    <t>Increase</t>
  </si>
  <si>
    <t>Percentage</t>
  </si>
  <si>
    <t>Allocation1</t>
  </si>
  <si>
    <t>Blotter</t>
  </si>
  <si>
    <t>TradeNewSubOrder</t>
  </si>
  <si>
    <t>NASDAQ</t>
  </si>
  <si>
    <t>NewMF</t>
  </si>
  <si>
    <t>New</t>
  </si>
  <si>
    <t>Market</t>
  </si>
  <si>
    <t>CreateNewSubOrder</t>
  </si>
  <si>
    <t>SelectTradeOnOrderGrid</t>
  </si>
  <si>
    <t>PartiallyFilled</t>
  </si>
  <si>
    <t>AddFillsSubOrder</t>
  </si>
  <si>
    <t>Equity</t>
  </si>
  <si>
    <t>EditAddFillsDetails</t>
  </si>
  <si>
    <t>CreateStageOrder</t>
  </si>
  <si>
    <t>RemoveExecutionWorkingSubs</t>
  </si>
  <si>
    <t>Filled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</si>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</sst>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6" fontId="14" numFmtId="14" xfId="0" applyAlignment="1" applyFill="1" applyFont="1" applyNumberFormat="1">
      <alignment horizontal="left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2" t="b">
        <v>1</v>
      </c>
      <c r="D6" s="31"/>
      <c r="E6" s="31"/>
      <c r="F6" s="31"/>
      <c r="G6" s="31"/>
      <c r="H6" s="31"/>
      <c r="I6" s="31"/>
      <c r="J6" s="31"/>
      <c r="K6" s="31"/>
      <c r="L6" s="31"/>
      <c r="M6" s="33" t="b">
        <v>1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19</v>
      </c>
      <c r="D6" s="13">
        <v>100.0</v>
      </c>
      <c r="E6" s="8"/>
      <c r="F6" s="13" t="s">
        <v>20</v>
      </c>
      <c r="G6" s="13" t="s">
        <v>21</v>
      </c>
      <c r="H6" s="8"/>
      <c r="I6" s="8"/>
      <c r="J6" s="13">
        <v>100.0</v>
      </c>
      <c r="K6" s="8"/>
      <c r="L6" s="8"/>
      <c r="M6" s="8"/>
      <c r="N6" s="34">
        <f>TODAY()-2</f>
        <v>45000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>
        <v>100.0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>
        <f t="shared" ref="B6:C6" si="1">TODAY()-1</f>
        <v>45001</v>
      </c>
      <c r="C6" s="34">
        <f t="shared" si="1"/>
        <v>45001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26</v>
      </c>
      <c r="D6" s="13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29</v>
      </c>
      <c r="D6" s="13" t="s">
        <v>30</v>
      </c>
      <c r="E6" s="13">
        <v>10.0</v>
      </c>
      <c r="F6" s="8"/>
      <c r="G6" s="8"/>
      <c r="H6" s="8"/>
      <c r="I6" s="13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29</v>
      </c>
      <c r="D6" s="13" t="s">
        <v>30</v>
      </c>
      <c r="E6" s="13">
        <v>10.0</v>
      </c>
      <c r="F6" s="8"/>
      <c r="G6" s="8"/>
      <c r="H6" s="8"/>
      <c r="I6" s="13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34</v>
      </c>
      <c r="I6" s="8"/>
      <c r="J6" s="13" t="s">
        <v>18</v>
      </c>
      <c r="K6" s="8"/>
      <c r="L6" s="8"/>
      <c r="M6" s="8"/>
      <c r="N6" s="8"/>
      <c r="O6" s="8"/>
      <c r="AA6" s="9" t="s">
        <v>35</v>
      </c>
      <c r="AI6" s="9" t="s">
        <v>18</v>
      </c>
      <c r="AJ6" s="9" t="s">
        <v>19</v>
      </c>
      <c r="AK6" s="9" t="s">
        <v>36</v>
      </c>
      <c r="AL6" s="9">
        <v>100.0</v>
      </c>
      <c r="AS6" s="9" t="s">
        <v>21</v>
      </c>
      <c r="AT6" s="9" t="s">
        <v>31</v>
      </c>
      <c r="AU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19</v>
      </c>
      <c r="D6" s="13">
        <v>100.0</v>
      </c>
      <c r="E6" s="13">
        <v>10.0</v>
      </c>
      <c r="F6" s="8"/>
      <c r="G6" s="13" t="s">
        <v>21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18</v>
      </c>
      <c r="E6" s="8"/>
      <c r="F6" s="13" t="s">
        <v>19</v>
      </c>
      <c r="G6" s="13" t="s">
        <v>40</v>
      </c>
      <c r="H6" s="13">
        <v>100.0</v>
      </c>
      <c r="I6" s="13">
        <v>10.0</v>
      </c>
      <c r="J6" s="8"/>
      <c r="K6" s="8"/>
      <c r="L6" s="8"/>
      <c r="M6" s="8"/>
      <c r="N6" s="8"/>
      <c r="O6" s="8"/>
      <c r="Q6" s="9" t="s">
        <v>21</v>
      </c>
      <c r="R6" s="9" t="s">
        <v>31</v>
      </c>
      <c r="T6" s="9" t="s">
        <v>37</v>
      </c>
      <c r="AD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18</v>
      </c>
      <c r="E6" s="8"/>
      <c r="F6" s="13" t="s">
        <v>19</v>
      </c>
      <c r="G6" s="13" t="s">
        <v>40</v>
      </c>
      <c r="H6" s="13">
        <v>100.0</v>
      </c>
      <c r="I6" s="13">
        <v>10.0</v>
      </c>
      <c r="J6" s="8"/>
      <c r="K6" s="8"/>
      <c r="L6" s="8"/>
      <c r="M6" s="8"/>
      <c r="N6" s="13" t="s">
        <v>21</v>
      </c>
      <c r="O6" s="13" t="s">
        <v>31</v>
      </c>
      <c r="Q6" s="9" t="s">
        <v>37</v>
      </c>
      <c r="AB6" s="9" t="s">
        <v>42</v>
      </c>
      <c r="AF6" s="9" t="s">
        <v>34</v>
      </c>
      <c r="AL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60.0</v>
      </c>
      <c r="C6" s="13">
        <v>10.0</v>
      </c>
      <c r="D6" s="13" t="b">
        <v>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19</v>
      </c>
      <c r="D6" s="13">
        <v>50000.0</v>
      </c>
      <c r="E6" s="8"/>
      <c r="F6" s="13" t="s">
        <v>31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34</v>
      </c>
      <c r="I6" s="8"/>
      <c r="J6" s="13" t="s">
        <v>18</v>
      </c>
      <c r="K6" s="8"/>
      <c r="L6" s="8"/>
      <c r="M6" s="8"/>
      <c r="N6" s="8"/>
      <c r="O6" s="8"/>
      <c r="AA6" s="9" t="s">
        <v>35</v>
      </c>
      <c r="AI6" s="9" t="s">
        <v>18</v>
      </c>
      <c r="AJ6" s="9" t="s">
        <v>19</v>
      </c>
      <c r="AK6" s="9" t="s">
        <v>36</v>
      </c>
      <c r="AL6" s="9">
        <v>50000.0</v>
      </c>
      <c r="AS6" s="9" t="s">
        <v>21</v>
      </c>
      <c r="AT6" s="9" t="s">
        <v>31</v>
      </c>
      <c r="AU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Name")</f>
        <v>Allocation Scheme Name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IFERROR(__xludf.DUMMYFUNCTION("""COMPUTED_VALUE"""),"Source")</f>
        <v>Source</v>
      </c>
      <c r="AW5" s="30" t="str">
        <f>IFERROR(__xludf.DUMMYFUNCTION("""COMPUTED_VALUE"""),"Strategy")</f>
        <v>Strategy</v>
      </c>
      <c r="AX5" s="30" t="str">
        <f>IFERROR(__xludf.DUMMYFUNCTION("""COMPUTED_VALUE"""),"Unexecuted Qty")</f>
        <v>Unexecuted Qty</v>
      </c>
      <c r="AY5" s="30" t="str">
        <f>IFERROR(__xludf.DUMMYFUNCTION("""COMPUTED_VALUE"""),"Allocation Status")</f>
        <v>Allocation Status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18</v>
      </c>
      <c r="E6" s="8"/>
      <c r="F6" s="13" t="s">
        <v>19</v>
      </c>
      <c r="G6" s="13" t="s">
        <v>46</v>
      </c>
      <c r="H6" s="13">
        <v>100.0</v>
      </c>
      <c r="I6" s="13">
        <v>100.0</v>
      </c>
      <c r="J6" s="8"/>
      <c r="K6" s="8"/>
      <c r="L6" s="8"/>
      <c r="M6" s="8"/>
      <c r="N6" s="13" t="s">
        <v>21</v>
      </c>
      <c r="O6" s="13" t="s">
        <v>31</v>
      </c>
      <c r="Q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RemoveExecutionWorkingSubs!$4:$4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8"/>
      <c r="D6" s="13">
        <v>100.0</v>
      </c>
      <c r="E6" s="13">
        <v>10.0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18</v>
      </c>
      <c r="E6" s="8"/>
      <c r="F6" s="13" t="s">
        <v>19</v>
      </c>
      <c r="G6" s="13" t="s">
        <v>40</v>
      </c>
      <c r="H6" s="13">
        <v>50000.0</v>
      </c>
      <c r="I6" s="8"/>
      <c r="J6" s="8"/>
      <c r="K6" s="8"/>
      <c r="L6" s="8"/>
      <c r="M6" s="8"/>
      <c r="N6" s="8"/>
      <c r="O6" s="8"/>
      <c r="Q6" s="9" t="s">
        <v>21</v>
      </c>
      <c r="R6" s="9" t="s">
        <v>31</v>
      </c>
      <c r="T6" s="9" t="s">
        <v>37</v>
      </c>
      <c r="AD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18</v>
      </c>
      <c r="E6" s="36"/>
      <c r="F6" s="13" t="s">
        <v>19</v>
      </c>
      <c r="G6" s="13" t="s">
        <v>40</v>
      </c>
      <c r="H6" s="13">
        <v>50000.0</v>
      </c>
      <c r="I6" s="13">
        <v>100.0</v>
      </c>
      <c r="J6" s="8"/>
      <c r="K6" s="8"/>
      <c r="L6" s="8"/>
      <c r="M6" s="8"/>
      <c r="N6" s="8"/>
      <c r="O6" s="8"/>
      <c r="Q6" s="9" t="s">
        <v>21</v>
      </c>
      <c r="R6" s="9" t="s">
        <v>31</v>
      </c>
      <c r="T6" s="9" t="s">
        <v>37</v>
      </c>
      <c r="AD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B6" s="9">
        <v>90.0</v>
      </c>
      <c r="C6" s="9">
        <v>10.0</v>
      </c>
      <c r="D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18</v>
      </c>
      <c r="E6" s="8"/>
      <c r="F6" s="13" t="s">
        <v>19</v>
      </c>
      <c r="G6" s="13" t="s">
        <v>40</v>
      </c>
      <c r="H6" s="13">
        <v>100.0</v>
      </c>
      <c r="I6" s="13">
        <v>10.0</v>
      </c>
      <c r="J6" s="8"/>
      <c r="K6" s="8"/>
      <c r="L6" s="8"/>
      <c r="M6" s="8"/>
      <c r="N6" s="13" t="s">
        <v>21</v>
      </c>
      <c r="O6" s="13" t="s">
        <v>31</v>
      </c>
      <c r="Q6" s="9" t="s">
        <v>37</v>
      </c>
      <c r="AB6" s="9" t="s">
        <v>42</v>
      </c>
      <c r="AF6" s="9" t="s">
        <v>34</v>
      </c>
      <c r="AL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18</v>
      </c>
      <c r="C6" s="37" t="s">
        <v>47</v>
      </c>
      <c r="D6" s="38">
        <v>55000.0</v>
      </c>
      <c r="E6" s="31"/>
      <c r="F6" s="31"/>
      <c r="G6" s="37" t="s">
        <v>21</v>
      </c>
      <c r="H6" s="31"/>
      <c r="I6" s="31"/>
      <c r="J6" s="38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 t="s">
        <v>31</v>
      </c>
      <c r="BA6" s="39">
        <v>55000.0</v>
      </c>
      <c r="BB6" s="39">
        <v>200.0</v>
      </c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