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CheckAllocatedGroups1" sheetId="18" r:id="rId20"/>
    <sheet state="visible" name="CreateLiveOrder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CheckUnallocatedGroups" sheetId="23" r:id="rId25"/>
    <sheet state="visible" name="SelectTradeOnOrderGrid1" sheetId="24" r:id="rId26"/>
    <sheet state="visible" name="SelectTradeSubOrderBlotter1" sheetId="25" r:id="rId27"/>
    <sheet state="visible" name="ReplaceSubOrder1" sheetId="26" r:id="rId28"/>
    <sheet state="visible" name="CreateReplaceOrder1" sheetId="27" r:id="rId29"/>
    <sheet state="visible" name="CheckUnallocatedGroups1" sheetId="28" r:id="rId30"/>
    <sheet state="visible" name="CustomOrderTT" sheetId="29" r:id="rId31"/>
    <sheet state="visible" name="CustomOrderTT1" sheetId="30" r:id="rId32"/>
  </sheets>
  <definedNames/>
  <calcPr/>
</workbook>
</file>

<file path=xl/sharedStrings.xml><?xml version="1.0" encoding="utf-8"?>
<sst xmlns="http://schemas.openxmlformats.org/spreadsheetml/2006/main" count="693" uniqueCount="67">
  <si>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</si>
  <si>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</si>
  <si>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</si>
  <si>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</si>
  <si>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</si>
  <si>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</si>
  <si>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</si>
  <si>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</si>
  <si>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</si>
  <si>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</si>
  <si>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</si>
  <si>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</si>
  <si>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</si>
  <si>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</si>
  <si>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</si>
  <si>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</si>
  <si>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</si>
  <si>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</si>
  <si>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</si>
  <si>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</si>
  <si>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</si>
  <si>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</si>
  <si>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</si>
  <si>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</si>
  <si>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</si>
  <si>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Flat Amount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</si>
  <si>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</si>
  <si>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</si>
  <si>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</si>
  <si>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</si>
  <si>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</si>
  <si>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</si>
  <si>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</si>
  <si>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</si>
  <si>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</si>
  <si>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</si>
  <si>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</si>
  <si>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</si>
  <si>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</si>
  <si>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</si>
  <si>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</si>
  <si>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</si>
  <si>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</si>
  <si>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</si>
  <si>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</si>
  <si>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</si>
  <si>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</si>
  <si>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</si>
  <si>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</si>
  <si>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</si>
  <si>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</si>
  <si>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</si>
  <si>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NewMF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</si>
  <si>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</si>
  <si>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</si>
  <si>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</si>
  <si>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</si>
  <si>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</si>
  <si>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</si>
  <si>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APPLE</t>
  </si>
  <si>
    <t>MSFT</t>
  </si>
  <si>
    <t>Unallocated</t>
  </si>
  <si>
    <t>CheckUnallocatedGroups</t>
  </si>
  <si>
    <t>MSFT US EQUITY</t>
  </si>
  <si>
    <t>FIX</t>
  </si>
  <si>
    <t>CustomOrderTT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</si>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</sst>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45299</v>
      </c>
      <c r="O6" s="8"/>
      <c r="R6" s="9" t="s">
        <v>25</v>
      </c>
      <c r="S6" s="9">
        <v>20.0</v>
      </c>
      <c r="T6" s="9" t="s">
        <v>25</v>
      </c>
      <c r="U6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31">
        <f>today()-1</f>
        <v>45298</v>
      </c>
      <c r="D6" s="32">
        <f>today()</f>
        <v>45299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21</v>
      </c>
      <c r="C6" s="8" t="s">
        <v>35</v>
      </c>
      <c r="D6" s="33">
        <v>0.0</v>
      </c>
      <c r="E6" s="8">
        <v>10.0</v>
      </c>
      <c r="F6" s="8" t="s">
        <v>36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39</v>
      </c>
      <c r="O6" s="8" t="s">
        <v>22</v>
      </c>
      <c r="Q6">
        <v>3.0</v>
      </c>
      <c r="S6" t="s">
        <v>40</v>
      </c>
      <c r="T6">
        <v>20.0</v>
      </c>
      <c r="U6">
        <v>2.0</v>
      </c>
      <c r="W6">
        <v>1.0</v>
      </c>
      <c r="X6">
        <v>0.0</v>
      </c>
      <c r="Y6" t="s">
        <v>34</v>
      </c>
      <c r="Z6" t="s">
        <v>41</v>
      </c>
      <c r="AA6" t="s">
        <v>19</v>
      </c>
      <c r="AB6">
        <v>1.0</v>
      </c>
      <c r="AD6" t="s">
        <v>42</v>
      </c>
      <c r="AE6">
        <v>10.0</v>
      </c>
      <c r="AF6" t="s">
        <v>34</v>
      </c>
      <c r="AH6" t="s">
        <v>43</v>
      </c>
      <c r="AI6">
        <v>1.0</v>
      </c>
      <c r="AJ6" t="s">
        <v>44</v>
      </c>
      <c r="AM6" t="s">
        <v>45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20.0</v>
      </c>
      <c r="BQ6">
        <v>2.0</v>
      </c>
      <c r="BR6">
        <v>1.0E-4</v>
      </c>
      <c r="BS6" t="s">
        <v>47</v>
      </c>
      <c r="BT6" t="s">
        <v>19</v>
      </c>
      <c r="BU6">
        <v>3.0</v>
      </c>
      <c r="BX6">
        <v>4.0</v>
      </c>
      <c r="CF6" t="s">
        <v>48</v>
      </c>
      <c r="CG6">
        <v>2.0</v>
      </c>
      <c r="CH6" s="9" t="s">
        <v>17</v>
      </c>
      <c r="CI6" t="s">
        <v>20</v>
      </c>
      <c r="CJ6">
        <v>0.0</v>
      </c>
      <c r="CK6" t="s">
        <v>49</v>
      </c>
      <c r="CL6">
        <v>1.0</v>
      </c>
      <c r="CM6" t="s">
        <v>19</v>
      </c>
      <c r="CN6" t="s">
        <v>50</v>
      </c>
      <c r="CO6" t="s">
        <v>42</v>
      </c>
      <c r="CP6" t="s">
        <v>51</v>
      </c>
      <c r="CS6" t="s">
        <v>34</v>
      </c>
      <c r="CX6" t="s">
        <v>52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55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55</v>
      </c>
      <c r="AL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55</v>
      </c>
      <c r="AM6" s="9">
        <v>100.0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0"/>
      <c r="F6" s="8"/>
      <c r="G6" s="12" t="s">
        <v>22</v>
      </c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9" t="s">
        <v>25</v>
      </c>
      <c r="S6" s="9">
        <v>30.0</v>
      </c>
      <c r="T6" s="35" t="s">
        <v>25</v>
      </c>
      <c r="U6" s="36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21</v>
      </c>
      <c r="C6" s="8" t="s">
        <v>35</v>
      </c>
      <c r="D6" s="33">
        <v>0.0</v>
      </c>
      <c r="E6" s="8">
        <v>20.0</v>
      </c>
      <c r="F6" s="8" t="s">
        <v>36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39</v>
      </c>
      <c r="O6" s="8" t="s">
        <v>22</v>
      </c>
      <c r="Q6">
        <v>3.0</v>
      </c>
      <c r="S6" t="s">
        <v>40</v>
      </c>
      <c r="T6">
        <v>30.0</v>
      </c>
      <c r="U6">
        <v>1.5</v>
      </c>
      <c r="V6" t="s">
        <v>59</v>
      </c>
      <c r="W6">
        <v>1.0</v>
      </c>
      <c r="X6">
        <v>0.0</v>
      </c>
      <c r="Y6" t="s">
        <v>34</v>
      </c>
      <c r="Z6" t="s">
        <v>41</v>
      </c>
      <c r="AA6" t="s">
        <v>19</v>
      </c>
      <c r="AB6">
        <v>1.0</v>
      </c>
      <c r="AD6" t="s">
        <v>42</v>
      </c>
      <c r="AE6">
        <v>20.0</v>
      </c>
      <c r="AF6" t="s">
        <v>34</v>
      </c>
      <c r="AH6" t="s">
        <v>43</v>
      </c>
      <c r="AI6">
        <v>1.0</v>
      </c>
      <c r="AJ6" t="s">
        <v>44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30.0</v>
      </c>
      <c r="BQ6">
        <v>1.5</v>
      </c>
      <c r="BR6">
        <v>1.0E-4</v>
      </c>
      <c r="BS6" t="s">
        <v>47</v>
      </c>
      <c r="BT6" t="s">
        <v>19</v>
      </c>
      <c r="BU6">
        <v>3.0</v>
      </c>
      <c r="BV6">
        <v>60.0</v>
      </c>
      <c r="BX6">
        <v>3.0</v>
      </c>
      <c r="CF6" t="s">
        <v>48</v>
      </c>
      <c r="CG6">
        <v>2.0</v>
      </c>
      <c r="CH6" s="9" t="s">
        <v>17</v>
      </c>
      <c r="CI6" t="s">
        <v>20</v>
      </c>
      <c r="CJ6">
        <v>0.0</v>
      </c>
      <c r="CK6" t="s">
        <v>49</v>
      </c>
      <c r="CL6">
        <v>1.0</v>
      </c>
      <c r="CM6" t="s">
        <v>19</v>
      </c>
      <c r="CN6" t="s">
        <v>50</v>
      </c>
      <c r="CO6" t="s">
        <v>42</v>
      </c>
      <c r="CP6" t="s">
        <v>51</v>
      </c>
      <c r="CS6" t="s">
        <v>34</v>
      </c>
      <c r="CX6" t="s">
        <v>52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 t="s">
        <v>20</v>
      </c>
      <c r="D6" s="12">
        <v>100.0</v>
      </c>
      <c r="E6" s="12">
        <v>100.0</v>
      </c>
      <c r="F6" s="12" t="s">
        <v>61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45299</v>
      </c>
      <c r="O6" s="8"/>
      <c r="R6" s="9" t="s">
        <v>25</v>
      </c>
      <c r="S6" s="9">
        <v>20.0</v>
      </c>
      <c r="T6" s="9" t="s">
        <v>25</v>
      </c>
      <c r="U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34</v>
      </c>
      <c r="C6" s="8">
        <v>0.0</v>
      </c>
      <c r="D6" s="33">
        <v>0.0</v>
      </c>
      <c r="E6" s="8"/>
      <c r="F6" s="8" t="s">
        <v>37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34</v>
      </c>
      <c r="N6" s="8" t="s">
        <v>22</v>
      </c>
      <c r="O6" s="8"/>
      <c r="P6">
        <v>3.0</v>
      </c>
      <c r="R6" t="s">
        <v>51</v>
      </c>
      <c r="S6" t="s">
        <v>40</v>
      </c>
      <c r="T6">
        <v>20.0</v>
      </c>
      <c r="U6">
        <v>2.0</v>
      </c>
      <c r="W6">
        <v>1.0</v>
      </c>
      <c r="X6" t="s">
        <v>34</v>
      </c>
      <c r="Y6" t="s">
        <v>34</v>
      </c>
      <c r="Z6" t="s">
        <v>41</v>
      </c>
      <c r="AB6">
        <v>1.0</v>
      </c>
      <c r="AD6" t="s">
        <v>42</v>
      </c>
      <c r="AE6">
        <v>10.0</v>
      </c>
      <c r="AG6" t="s">
        <v>43</v>
      </c>
      <c r="AH6">
        <v>1.0</v>
      </c>
      <c r="AI6" t="s">
        <v>44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20.0</v>
      </c>
      <c r="BQ6">
        <v>2.0</v>
      </c>
      <c r="BR6">
        <v>1.0E-4</v>
      </c>
      <c r="BS6" t="s">
        <v>60</v>
      </c>
      <c r="BT6">
        <v>3.0</v>
      </c>
      <c r="BU6">
        <v>40.0</v>
      </c>
      <c r="BW6">
        <v>4.0</v>
      </c>
      <c r="CE6" t="s">
        <v>48</v>
      </c>
      <c r="CF6">
        <v>2.0</v>
      </c>
      <c r="CG6" s="9" t="s">
        <v>17</v>
      </c>
      <c r="CH6" t="s">
        <v>20</v>
      </c>
      <c r="CI6">
        <v>10.0</v>
      </c>
      <c r="CJ6" t="s">
        <v>49</v>
      </c>
      <c r="CK6">
        <v>1.0</v>
      </c>
      <c r="CL6" t="s">
        <v>60</v>
      </c>
      <c r="CM6" t="s">
        <v>50</v>
      </c>
      <c r="CN6" t="s">
        <v>42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60</v>
      </c>
      <c r="E6" s="30"/>
      <c r="F6" s="12" t="s">
        <v>20</v>
      </c>
      <c r="G6" s="12" t="s">
        <v>55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  <c r="R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60</v>
      </c>
      <c r="AJ6" s="9" t="s">
        <v>20</v>
      </c>
      <c r="AK6" s="9" t="s">
        <v>55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60</v>
      </c>
      <c r="AK6" s="9" t="s">
        <v>20</v>
      </c>
      <c r="AL6" s="9" t="s">
        <v>55</v>
      </c>
      <c r="AM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0"/>
      <c r="F6" s="8"/>
      <c r="G6" s="12" t="s">
        <v>22</v>
      </c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9" t="s">
        <v>25</v>
      </c>
      <c r="S6" s="9">
        <v>30.0</v>
      </c>
      <c r="T6" s="9" t="s">
        <v>25</v>
      </c>
      <c r="U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34</v>
      </c>
      <c r="C6" s="8">
        <v>0.0</v>
      </c>
      <c r="D6" s="33">
        <v>0.0</v>
      </c>
      <c r="E6" s="8"/>
      <c r="F6" s="8" t="s">
        <v>37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34</v>
      </c>
      <c r="N6" s="8" t="s">
        <v>22</v>
      </c>
      <c r="O6" s="8"/>
      <c r="P6">
        <v>3.0</v>
      </c>
      <c r="R6" t="s">
        <v>51</v>
      </c>
      <c r="S6" t="s">
        <v>40</v>
      </c>
      <c r="T6">
        <v>30.0</v>
      </c>
      <c r="U6">
        <v>1.5</v>
      </c>
      <c r="W6">
        <v>1.0</v>
      </c>
      <c r="X6" t="s">
        <v>34</v>
      </c>
      <c r="Y6" t="s">
        <v>34</v>
      </c>
      <c r="Z6" t="s">
        <v>41</v>
      </c>
      <c r="AB6">
        <v>1.0</v>
      </c>
      <c r="AD6" t="s">
        <v>42</v>
      </c>
      <c r="AE6">
        <v>20.0</v>
      </c>
      <c r="AG6" t="s">
        <v>43</v>
      </c>
      <c r="AH6">
        <v>1.0</v>
      </c>
      <c r="AI6" t="s">
        <v>44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30.0</v>
      </c>
      <c r="BQ6">
        <v>1.5</v>
      </c>
      <c r="BR6">
        <v>1.0E-4</v>
      </c>
      <c r="BS6" t="s">
        <v>60</v>
      </c>
      <c r="BT6">
        <v>3.0</v>
      </c>
      <c r="BU6">
        <v>60.0</v>
      </c>
      <c r="BW6">
        <v>3.0</v>
      </c>
      <c r="CE6" t="s">
        <v>48</v>
      </c>
      <c r="CF6">
        <v>2.0</v>
      </c>
      <c r="CG6" s="37" t="s">
        <v>64</v>
      </c>
      <c r="CH6" t="s">
        <v>20</v>
      </c>
      <c r="CI6">
        <v>20.0</v>
      </c>
      <c r="CJ6" t="s">
        <v>49</v>
      </c>
      <c r="CK6">
        <v>1.0</v>
      </c>
      <c r="CL6" t="s">
        <v>60</v>
      </c>
      <c r="CM6" t="s">
        <v>50</v>
      </c>
      <c r="CN6" t="s">
        <v>42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12" t="s">
        <v>25</v>
      </c>
      <c r="M6" s="12">
        <v>30.0</v>
      </c>
      <c r="N6" s="12" t="s">
        <v>25</v>
      </c>
      <c r="O6" s="12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12" t="s">
        <v>25</v>
      </c>
      <c r="M6" s="12">
        <v>30.0</v>
      </c>
      <c r="N6" s="12" t="s">
        <v>25</v>
      </c>
      <c r="O6" s="12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