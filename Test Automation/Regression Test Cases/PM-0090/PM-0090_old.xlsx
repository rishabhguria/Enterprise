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9" activeTab="13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GetDailyCash" sheetId="5" r:id="rId5"/>
    <sheet name="UpdateDailyCash" sheetId="6" r:id="rId6"/>
    <sheet name="CreateDoneAwayOrder" sheetId="7" r:id="rId7"/>
    <sheet name="CreateLiveOrder" sheetId="8" r:id="rId8"/>
    <sheet name="AcknowledgeTrade" sheetId="9" r:id="rId9"/>
    <sheet name="ExecuteTrade" sheetId="10" r:id="rId10"/>
    <sheet name="VerifyOrder" sheetId="11" r:id="rId11"/>
    <sheet name="GetDataAllocation" sheetId="12" r:id="rId12"/>
    <sheet name="CheckAllocatedGroups" sheetId="13" r:id="rId13"/>
    <sheet name="CheckPortfolioManagement" sheetId="14" r:id="rId14"/>
  </sheets>
  <calcPr calcId="145621"/>
</workbook>
</file>

<file path=xl/calcChain.xml><?xml version="1.0" encoding="utf-8"?>
<calcChain xmlns="http://schemas.openxmlformats.org/spreadsheetml/2006/main">
  <c r="J2" i="14" l="1"/>
  <c r="J2" i="13"/>
  <c r="J2" i="12"/>
  <c r="J2" i="11"/>
  <c r="J2" i="10"/>
  <c r="J2" i="9"/>
  <c r="J2" i="8"/>
  <c r="J2" i="7"/>
  <c r="J2" i="6"/>
  <c r="C6" i="5"/>
  <c r="B6" i="5"/>
  <c r="J2" i="5"/>
  <c r="J2" i="4"/>
  <c r="BK5" i="14"/>
  <c r="FB5" i="14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X4" i="14"/>
  <c r="P4" i="14"/>
  <c r="H4" i="14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L5" i="12"/>
  <c r="D5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AX5" i="11"/>
  <c r="AP5" i="11"/>
  <c r="AH5" i="11"/>
  <c r="Z5" i="11"/>
  <c r="R5" i="11"/>
  <c r="J5" i="11"/>
  <c r="B5" i="11"/>
  <c r="AR4" i="11"/>
  <c r="AJ4" i="11"/>
  <c r="AB4" i="11"/>
  <c r="T4" i="11"/>
  <c r="L4" i="11"/>
  <c r="D4" i="11"/>
  <c r="I4" i="10"/>
  <c r="J4" i="9"/>
  <c r="B4" i="9"/>
  <c r="AH5" i="8"/>
  <c r="Z5" i="8"/>
  <c r="R5" i="8"/>
  <c r="J5" i="8"/>
  <c r="B5" i="8"/>
  <c r="U4" i="8"/>
  <c r="M4" i="8"/>
  <c r="E4" i="8"/>
  <c r="AM5" i="7"/>
  <c r="AE5" i="7"/>
  <c r="W5" i="7"/>
  <c r="O5" i="7"/>
  <c r="G5" i="7"/>
  <c r="Z4" i="7"/>
  <c r="R4" i="7"/>
  <c r="J4" i="7"/>
  <c r="B4" i="7"/>
  <c r="AE4" i="6"/>
  <c r="W4" i="6"/>
  <c r="O4" i="6"/>
  <c r="G4" i="6"/>
  <c r="FA5" i="14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W4" i="14"/>
  <c r="O4" i="14"/>
  <c r="G4" i="14"/>
  <c r="CR5" i="13"/>
  <c r="CJ5" i="13"/>
  <c r="CB5" i="13"/>
  <c r="BT5" i="13"/>
  <c r="BL5" i="13"/>
  <c r="BD5" i="13"/>
  <c r="AV5" i="13"/>
  <c r="AN5" i="13"/>
  <c r="AF5" i="13"/>
  <c r="X5" i="13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K5" i="12"/>
  <c r="C5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AW5" i="11"/>
  <c r="AO5" i="11"/>
  <c r="EZ5" i="14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V4" i="14"/>
  <c r="N4" i="14"/>
  <c r="F4" i="14"/>
  <c r="CQ5" i="13"/>
  <c r="CI5" i="13"/>
  <c r="CA5" i="13"/>
  <c r="BS5" i="13"/>
  <c r="BK5" i="13"/>
  <c r="BC5" i="13"/>
  <c r="AU5" i="13"/>
  <c r="AM5" i="13"/>
  <c r="AE5" i="13"/>
  <c r="W5" i="13"/>
  <c r="O5" i="13"/>
  <c r="G5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R5" i="12"/>
  <c r="J5" i="12"/>
  <c r="B5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AV5" i="11"/>
  <c r="AN5" i="11"/>
  <c r="AF5" i="11"/>
  <c r="X5" i="11"/>
  <c r="P5" i="11"/>
  <c r="H5" i="11"/>
  <c r="AX4" i="11"/>
  <c r="AP4" i="11"/>
  <c r="AH4" i="11"/>
  <c r="Z4" i="11"/>
  <c r="R4" i="11"/>
  <c r="J4" i="11"/>
  <c r="B4" i="11"/>
  <c r="G4" i="10"/>
  <c r="F5" i="9"/>
  <c r="H4" i="9"/>
  <c r="AN5" i="8"/>
  <c r="AF5" i="8"/>
  <c r="X5" i="8"/>
  <c r="P5" i="8"/>
  <c r="H5" i="8"/>
  <c r="AA4" i="8"/>
  <c r="S4" i="8"/>
  <c r="K4" i="8"/>
  <c r="C4" i="8"/>
  <c r="AK5" i="7"/>
  <c r="AC5" i="7"/>
  <c r="U5" i="7"/>
  <c r="M5" i="7"/>
  <c r="E5" i="7"/>
  <c r="X4" i="7"/>
  <c r="P4" i="7"/>
  <c r="H4" i="7"/>
  <c r="D5" i="6"/>
  <c r="AC4" i="6"/>
  <c r="U4" i="6"/>
  <c r="M4" i="6"/>
  <c r="E4" i="6"/>
  <c r="B5" i="5"/>
  <c r="AA4" i="5"/>
  <c r="S4" i="5"/>
  <c r="K4" i="5"/>
  <c r="C4" i="5"/>
  <c r="F5" i="4"/>
  <c r="H4" i="4"/>
  <c r="A4" i="3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EY5" i="14"/>
  <c r="EQ5" i="14"/>
  <c r="EI5" i="14"/>
  <c r="EA5" i="14"/>
  <c r="DS5" i="14"/>
  <c r="DK5" i="14"/>
  <c r="DC5" i="14"/>
  <c r="CU5" i="14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T4" i="14"/>
  <c r="L4" i="14"/>
  <c r="D4" i="14"/>
  <c r="CO5" i="13"/>
  <c r="CG5" i="13"/>
  <c r="BY5" i="13"/>
  <c r="BQ5" i="13"/>
  <c r="BI5" i="13"/>
  <c r="BA5" i="13"/>
  <c r="AS5" i="13"/>
  <c r="AK5" i="13"/>
  <c r="AC5" i="13"/>
  <c r="U5" i="13"/>
  <c r="M5" i="13"/>
  <c r="E5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P5" i="12"/>
  <c r="H5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AT5" i="11"/>
  <c r="AL5" i="11"/>
  <c r="AD5" i="11"/>
  <c r="V5" i="11"/>
  <c r="N5" i="11"/>
  <c r="F5" i="11"/>
  <c r="AV4" i="11"/>
  <c r="AN4" i="11"/>
  <c r="AF4" i="11"/>
  <c r="X4" i="11"/>
  <c r="P4" i="11"/>
  <c r="H4" i="11"/>
  <c r="C5" i="10"/>
  <c r="E4" i="10"/>
  <c r="D5" i="9"/>
  <c r="F4" i="9"/>
  <c r="AL5" i="8"/>
  <c r="AD5" i="8"/>
  <c r="V5" i="8"/>
  <c r="N5" i="8"/>
  <c r="F5" i="8"/>
  <c r="Y4" i="8"/>
  <c r="Q4" i="8"/>
  <c r="I4" i="8"/>
  <c r="AI5" i="7"/>
  <c r="AA5" i="7"/>
  <c r="S5" i="7"/>
  <c r="K5" i="7"/>
  <c r="C5" i="7"/>
  <c r="V4" i="7"/>
  <c r="N4" i="7"/>
  <c r="F4" i="7"/>
  <c r="B5" i="6"/>
  <c r="AA4" i="6"/>
  <c r="S4" i="6"/>
  <c r="K4" i="6"/>
  <c r="C4" i="6"/>
  <c r="AG4" i="5"/>
  <c r="Y4" i="5"/>
  <c r="Q4" i="5"/>
  <c r="I4" i="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S4" i="14"/>
  <c r="K4" i="14"/>
  <c r="C4" i="14"/>
  <c r="CN5" i="13"/>
  <c r="CF5" i="13"/>
  <c r="BX5" i="13"/>
  <c r="BP5" i="13"/>
  <c r="BH5" i="13"/>
  <c r="AZ5" i="13"/>
  <c r="AR5" i="13"/>
  <c r="AJ5" i="13"/>
  <c r="AB5" i="13"/>
  <c r="T5" i="13"/>
  <c r="L5" i="13"/>
  <c r="D5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O5" i="12"/>
  <c r="G5" i="12"/>
  <c r="DP4" i="12"/>
  <c r="DH4" i="12"/>
  <c r="CZ4" i="12"/>
  <c r="CR4" i="12"/>
  <c r="CJ4" i="12"/>
  <c r="CB4" i="12"/>
  <c r="BT4" i="12"/>
  <c r="BL4" i="12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Z4" i="14"/>
  <c r="R4" i="14"/>
  <c r="J4" i="14"/>
  <c r="B4" i="14"/>
  <c r="CM5" i="13"/>
  <c r="CE5" i="13"/>
  <c r="BW5" i="13"/>
  <c r="BO5" i="13"/>
  <c r="EU5" i="14"/>
  <c r="EM5" i="14"/>
  <c r="EE5" i="14"/>
  <c r="DW5" i="14"/>
  <c r="DO5" i="14"/>
  <c r="DG5" i="14"/>
  <c r="CY5" i="14"/>
  <c r="CQ5" i="14"/>
  <c r="CI5" i="14"/>
  <c r="CA5" i="14"/>
  <c r="BS5" i="14"/>
  <c r="BC5" i="14"/>
  <c r="AU5" i="14"/>
  <c r="AM5" i="14"/>
  <c r="AE5" i="14"/>
  <c r="W5" i="14"/>
  <c r="O5" i="14"/>
  <c r="G5" i="14"/>
  <c r="Y4" i="14"/>
  <c r="Q4" i="14"/>
  <c r="I4" i="14"/>
  <c r="CL5" i="13"/>
  <c r="CD5" i="13"/>
  <c r="BV5" i="13"/>
  <c r="BN5" i="13"/>
  <c r="BF5" i="13"/>
  <c r="AX5" i="13"/>
  <c r="AP5" i="13"/>
  <c r="AH5" i="13"/>
  <c r="Z5" i="13"/>
  <c r="R5" i="13"/>
  <c r="J5" i="13"/>
  <c r="B5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M5" i="12"/>
  <c r="E5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AY5" i="11"/>
  <c r="AQ5" i="11"/>
  <c r="AI5" i="11"/>
  <c r="AA5" i="11"/>
  <c r="S5" i="11"/>
  <c r="K5" i="11"/>
  <c r="C5" i="11"/>
  <c r="AS4" i="11"/>
  <c r="AK4" i="11"/>
  <c r="AC4" i="11"/>
  <c r="CM5" i="14"/>
  <c r="AA5" i="14"/>
  <c r="CP5" i="13"/>
  <c r="AT5" i="13"/>
  <c r="N5" i="13"/>
  <c r="CY4" i="13"/>
  <c r="BS4" i="13"/>
  <c r="AM4" i="13"/>
  <c r="G4" i="13"/>
  <c r="DO4" i="12"/>
  <c r="CI4" i="12"/>
  <c r="BD4" i="12"/>
  <c r="AH4" i="12"/>
  <c r="O4" i="12"/>
  <c r="AU5" i="11"/>
  <c r="AC5" i="11"/>
  <c r="M5" i="11"/>
  <c r="AU4" i="11"/>
  <c r="AE4" i="11"/>
  <c r="Q4" i="11"/>
  <c r="E4" i="11"/>
  <c r="D4" i="10"/>
  <c r="A5" i="9"/>
  <c r="AK5" i="8"/>
  <c r="Y5" i="8"/>
  <c r="L5" i="8"/>
  <c r="Z4" i="8"/>
  <c r="N4" i="8"/>
  <c r="AF5" i="7"/>
  <c r="R5" i="7"/>
  <c r="F5" i="7"/>
  <c r="T4" i="7"/>
  <c r="G4" i="7"/>
  <c r="AF4" i="6"/>
  <c r="R4" i="6"/>
  <c r="F4" i="6"/>
  <c r="AF4" i="5"/>
  <c r="V4" i="5"/>
  <c r="L4" i="5"/>
  <c r="C5" i="4"/>
  <c r="D4" i="4"/>
  <c r="B493" i="1"/>
  <c r="B490" i="1"/>
  <c r="B487" i="1"/>
  <c r="A484" i="1"/>
  <c r="A481" i="1"/>
  <c r="A478" i="1"/>
  <c r="A475" i="1"/>
  <c r="A472" i="1"/>
  <c r="A469" i="1"/>
  <c r="A466" i="1"/>
  <c r="C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CE5" i="14"/>
  <c r="S5" i="14"/>
  <c r="CH5" i="13"/>
  <c r="AQ5" i="13"/>
  <c r="K5" i="13"/>
  <c r="CV4" i="13"/>
  <c r="BP4" i="13"/>
  <c r="AJ4" i="13"/>
  <c r="D4" i="13"/>
  <c r="DJ4" i="12"/>
  <c r="CD4" i="12"/>
  <c r="BC4" i="12"/>
  <c r="AF4" i="12"/>
  <c r="J4" i="12"/>
  <c r="AS5" i="11"/>
  <c r="AB5" i="11"/>
  <c r="L5" i="11"/>
  <c r="AT4" i="11"/>
  <c r="AD4" i="11"/>
  <c r="O4" i="11"/>
  <c r="C4" i="11"/>
  <c r="C4" i="10"/>
  <c r="I4" i="9"/>
  <c r="AJ5" i="8"/>
  <c r="W5" i="8"/>
  <c r="K5" i="8"/>
  <c r="X4" i="8"/>
  <c r="L4" i="8"/>
  <c r="AP5" i="7"/>
  <c r="AD5" i="7"/>
  <c r="Q5" i="7"/>
  <c r="D5" i="7"/>
  <c r="S4" i="7"/>
  <c r="E4" i="7"/>
  <c r="AD4" i="6"/>
  <c r="Q4" i="6"/>
  <c r="D4" i="6"/>
  <c r="AE4" i="5"/>
  <c r="U4" i="5"/>
  <c r="J4" i="5"/>
  <c r="K5" i="4"/>
  <c r="B5" i="4"/>
  <c r="C4" i="4"/>
  <c r="A493" i="1"/>
  <c r="A490" i="1"/>
  <c r="C486" i="1"/>
  <c r="C483" i="1"/>
  <c r="C480" i="1"/>
  <c r="C477" i="1"/>
  <c r="C474" i="1"/>
  <c r="C471" i="1"/>
  <c r="C468" i="1"/>
  <c r="B465" i="1"/>
  <c r="B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BW5" i="14"/>
  <c r="K5" i="14"/>
  <c r="BZ5" i="13"/>
  <c r="AL5" i="13"/>
  <c r="F5" i="13"/>
  <c r="CQ4" i="13"/>
  <c r="BK4" i="13"/>
  <c r="AE4" i="13"/>
  <c r="DG4" i="12"/>
  <c r="CA4" i="12"/>
  <c r="AX4" i="12"/>
  <c r="AE4" i="12"/>
  <c r="H4" i="12"/>
  <c r="AR5" i="11"/>
  <c r="Y5" i="11"/>
  <c r="I5" i="11"/>
  <c r="AQ4" i="11"/>
  <c r="AA4" i="11"/>
  <c r="N4" i="11"/>
  <c r="B4" i="10"/>
  <c r="G4" i="9"/>
  <c r="AI5" i="8"/>
  <c r="U5" i="8"/>
  <c r="I5" i="8"/>
  <c r="W4" i="8"/>
  <c r="J4" i="8"/>
  <c r="AO5" i="7"/>
  <c r="AB5" i="7"/>
  <c r="P5" i="7"/>
  <c r="B5" i="7"/>
  <c r="Q4" i="7"/>
  <c r="D4" i="7"/>
  <c r="AB4" i="6"/>
  <c r="P4" i="6"/>
  <c r="B4" i="6"/>
  <c r="AD4" i="5"/>
  <c r="T4" i="5"/>
  <c r="H4" i="5"/>
  <c r="J5" i="4"/>
  <c r="A5" i="4"/>
  <c r="B4" i="4"/>
  <c r="C492" i="1"/>
  <c r="B489" i="1"/>
  <c r="B486" i="1"/>
  <c r="B483" i="1"/>
  <c r="B480" i="1"/>
  <c r="B477" i="1"/>
  <c r="B474" i="1"/>
  <c r="B471" i="1"/>
  <c r="A468" i="1"/>
  <c r="A465" i="1"/>
  <c r="A462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O5" i="14"/>
  <c r="C5" i="14"/>
  <c r="BR5" i="13"/>
  <c r="AI5" i="13"/>
  <c r="C5" i="13"/>
  <c r="CN4" i="13"/>
  <c r="BH4" i="13"/>
  <c r="AB4" i="13"/>
  <c r="Q5" i="12"/>
  <c r="DB4" i="12"/>
  <c r="BV4" i="12"/>
  <c r="AV4" i="12"/>
  <c r="Z4" i="12"/>
  <c r="G4" i="12"/>
  <c r="AM5" i="11"/>
  <c r="W5" i="11"/>
  <c r="G5" i="11"/>
  <c r="AO4" i="11"/>
  <c r="Y4" i="11"/>
  <c r="M4" i="11"/>
  <c r="B5" i="10"/>
  <c r="E4" i="9"/>
  <c r="AG5" i="8"/>
  <c r="T5" i="8"/>
  <c r="G5" i="8"/>
  <c r="V4" i="8"/>
  <c r="H4" i="8"/>
  <c r="AN5" i="7"/>
  <c r="Z5" i="7"/>
  <c r="N5" i="7"/>
  <c r="A5" i="7"/>
  <c r="O4" i="7"/>
  <c r="C4" i="7"/>
  <c r="Z4" i="6"/>
  <c r="N4" i="6"/>
  <c r="AC4" i="5"/>
  <c r="R4" i="5"/>
  <c r="G4" i="5"/>
  <c r="I5" i="4"/>
  <c r="J4" i="4"/>
  <c r="A492" i="1"/>
  <c r="A489" i="1"/>
  <c r="A486" i="1"/>
  <c r="A483" i="1"/>
  <c r="A480" i="1"/>
  <c r="A477" i="1"/>
  <c r="A474" i="1"/>
  <c r="C470" i="1"/>
  <c r="C467" i="1"/>
  <c r="C464" i="1"/>
  <c r="C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BG5" i="14"/>
  <c r="U4" i="14"/>
  <c r="BJ5" i="13"/>
  <c r="AD5" i="13"/>
  <c r="DO4" i="13"/>
  <c r="CI4" i="13"/>
  <c r="BC4" i="13"/>
  <c r="W4" i="13"/>
  <c r="N5" i="12"/>
  <c r="CY4" i="12"/>
  <c r="BS4" i="12"/>
  <c r="AU4" i="12"/>
  <c r="X4" i="12"/>
  <c r="B4" i="12"/>
  <c r="AK5" i="11"/>
  <c r="U5" i="11"/>
  <c r="E5" i="11"/>
  <c r="AM4" i="11"/>
  <c r="W4" i="11"/>
  <c r="K4" i="11"/>
  <c r="A5" i="10"/>
  <c r="G5" i="9"/>
  <c r="D4" i="9"/>
  <c r="AE5" i="8"/>
  <c r="S5" i="8"/>
  <c r="E5" i="8"/>
  <c r="T4" i="8"/>
  <c r="G4" i="8"/>
  <c r="AL5" i="7"/>
  <c r="Y5" i="7"/>
  <c r="L5" i="7"/>
  <c r="AA4" i="7"/>
  <c r="M4" i="7"/>
  <c r="Y4" i="6"/>
  <c r="L4" i="6"/>
  <c r="AB4" i="5"/>
  <c r="P4" i="5"/>
  <c r="F4" i="5"/>
  <c r="H5" i="4"/>
  <c r="I4" i="4"/>
  <c r="C494" i="1"/>
  <c r="C491" i="1"/>
  <c r="C488" i="1"/>
  <c r="C485" i="1"/>
  <c r="C482" i="1"/>
  <c r="C479" i="1"/>
  <c r="C476" i="1"/>
  <c r="B473" i="1"/>
  <c r="B470" i="1"/>
  <c r="B467" i="1"/>
  <c r="B464" i="1"/>
  <c r="B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AY5" i="14"/>
  <c r="M4" i="14"/>
  <c r="BG5" i="13"/>
  <c r="AA5" i="13"/>
  <c r="DL4" i="13"/>
  <c r="CF4" i="13"/>
  <c r="AZ4" i="13"/>
  <c r="T4" i="13"/>
  <c r="I5" i="12"/>
  <c r="CT4" i="12"/>
  <c r="BN4" i="12"/>
  <c r="AP4" i="12"/>
  <c r="W4" i="12"/>
  <c r="AJ5" i="11"/>
  <c r="T5" i="11"/>
  <c r="D5" i="11"/>
  <c r="AL4" i="11"/>
  <c r="V4" i="11"/>
  <c r="I4" i="11"/>
  <c r="J4" i="10"/>
  <c r="E5" i="9"/>
  <c r="C4" i="9"/>
  <c r="AC5" i="8"/>
  <c r="Q5" i="8"/>
  <c r="D5" i="8"/>
  <c r="R4" i="8"/>
  <c r="F4" i="8"/>
  <c r="AJ5" i="7"/>
  <c r="X5" i="7"/>
  <c r="J5" i="7"/>
  <c r="Y4" i="7"/>
  <c r="L4" i="7"/>
  <c r="C5" i="6"/>
  <c r="X4" i="6"/>
  <c r="J4" i="6"/>
  <c r="Z4" i="5"/>
  <c r="O4" i="5"/>
  <c r="E4" i="5"/>
  <c r="G5" i="4"/>
  <c r="G4" i="4"/>
  <c r="B494" i="1"/>
  <c r="B491" i="1"/>
  <c r="B488" i="1"/>
  <c r="B485" i="1"/>
  <c r="B482" i="1"/>
  <c r="B479" i="1"/>
  <c r="A476" i="1"/>
  <c r="A473" i="1"/>
  <c r="A470" i="1"/>
  <c r="A467" i="1"/>
  <c r="A464" i="1"/>
  <c r="A461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AQ5" i="14"/>
  <c r="E4" i="14"/>
  <c r="BB5" i="13"/>
  <c r="V5" i="13"/>
  <c r="DG4" i="13"/>
  <c r="CA4" i="13"/>
  <c r="AU4" i="13"/>
  <c r="O4" i="13"/>
  <c r="F5" i="12"/>
  <c r="CQ4" i="12"/>
  <c r="BK4" i="12"/>
  <c r="AN4" i="12"/>
  <c r="R4" i="12"/>
  <c r="BA5" i="11"/>
  <c r="AG5" i="11"/>
  <c r="Q5" i="11"/>
  <c r="A5" i="11"/>
  <c r="AI4" i="11"/>
  <c r="U4" i="11"/>
  <c r="G4" i="11"/>
  <c r="H4" i="10"/>
  <c r="C5" i="9"/>
  <c r="AB5" i="8"/>
  <c r="O5" i="8"/>
  <c r="C5" i="8"/>
  <c r="P4" i="8"/>
  <c r="D4" i="8"/>
  <c r="AH5" i="7"/>
  <c r="V5" i="7"/>
  <c r="I5" i="7"/>
  <c r="W4" i="7"/>
  <c r="K4" i="7"/>
  <c r="A5" i="6"/>
  <c r="V4" i="6"/>
  <c r="I4" i="6"/>
  <c r="C5" i="5"/>
  <c r="X4" i="5"/>
  <c r="N4" i="5"/>
  <c r="D4" i="5"/>
  <c r="E5" i="4"/>
  <c r="F4" i="4"/>
  <c r="A494" i="1"/>
  <c r="A491" i="1"/>
  <c r="A488" i="1"/>
  <c r="A485" i="1"/>
  <c r="A482" i="1"/>
  <c r="C478" i="1"/>
  <c r="C475" i="1"/>
  <c r="C472" i="1"/>
  <c r="C469" i="1"/>
  <c r="C466" i="1"/>
  <c r="C463" i="1"/>
  <c r="C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AI5" i="14"/>
  <c r="AY5" i="13"/>
  <c r="S5" i="13"/>
  <c r="DD4" i="13"/>
  <c r="BX4" i="13"/>
  <c r="AR4" i="13"/>
  <c r="L4" i="13"/>
  <c r="A5" i="12"/>
  <c r="CL4" i="12"/>
  <c r="BF4" i="12"/>
  <c r="AM4" i="12"/>
  <c r="P4" i="12"/>
  <c r="AZ5" i="11"/>
  <c r="AE5" i="11"/>
  <c r="O5" i="11"/>
  <c r="AW4" i="11"/>
  <c r="AG4" i="11"/>
  <c r="S4" i="11"/>
  <c r="F4" i="11"/>
  <c r="F4" i="10"/>
  <c r="B5" i="9"/>
  <c r="AM5" i="8"/>
  <c r="AA5" i="8"/>
  <c r="M5" i="8"/>
  <c r="A5" i="8"/>
  <c r="O4" i="8"/>
  <c r="B4" i="8"/>
  <c r="AG5" i="7"/>
  <c r="T5" i="7"/>
  <c r="H5" i="7"/>
  <c r="U4" i="7"/>
  <c r="I4" i="7"/>
  <c r="AG4" i="6"/>
  <c r="T4" i="6"/>
  <c r="H4" i="6"/>
  <c r="A5" i="5"/>
  <c r="W4" i="5"/>
  <c r="M4" i="5"/>
  <c r="B4" i="5"/>
  <c r="D5" i="4"/>
  <c r="E4" i="4"/>
  <c r="C493" i="1"/>
  <c r="C490" i="1"/>
  <c r="C487" i="1"/>
  <c r="C484" i="1"/>
  <c r="B481" i="1"/>
  <c r="B478" i="1"/>
  <c r="B475" i="1"/>
  <c r="B472" i="1"/>
  <c r="B469" i="1"/>
  <c r="B466" i="1"/>
  <c r="B463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308" i="1"/>
  <c r="B289" i="1"/>
  <c r="C285" i="1"/>
  <c r="C282" i="1"/>
  <c r="C279" i="1"/>
  <c r="C276" i="1"/>
  <c r="C273" i="1"/>
  <c r="C270" i="1"/>
  <c r="C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305" i="1"/>
  <c r="B288" i="1"/>
  <c r="B285" i="1"/>
  <c r="B282" i="1"/>
  <c r="B279" i="1"/>
  <c r="B276" i="1"/>
  <c r="B273" i="1"/>
  <c r="B270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303" i="1"/>
  <c r="A288" i="1"/>
  <c r="A285" i="1"/>
  <c r="A282" i="1"/>
  <c r="A279" i="1"/>
  <c r="A276" i="1"/>
  <c r="A273" i="1"/>
  <c r="C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4" i="1"/>
  <c r="B300" i="1"/>
  <c r="C287" i="1"/>
  <c r="C284" i="1"/>
  <c r="C281" i="1"/>
  <c r="C278" i="1"/>
  <c r="C275" i="1"/>
  <c r="B272" i="1"/>
  <c r="B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297" i="1"/>
  <c r="B287" i="1"/>
  <c r="B284" i="1"/>
  <c r="B281" i="1"/>
  <c r="B278" i="1"/>
  <c r="A275" i="1"/>
  <c r="A272" i="1"/>
  <c r="A269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A295" i="1"/>
  <c r="A287" i="1"/>
  <c r="A284" i="1"/>
  <c r="A281" i="1"/>
  <c r="C277" i="1"/>
  <c r="C274" i="1"/>
  <c r="C271" i="1"/>
  <c r="C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292" i="1"/>
  <c r="C286" i="1"/>
  <c r="C283" i="1"/>
  <c r="B280" i="1"/>
  <c r="B277" i="1"/>
  <c r="B274" i="1"/>
  <c r="B271" i="1"/>
  <c r="B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289" i="1"/>
  <c r="B286" i="1"/>
  <c r="A283" i="1"/>
  <c r="A280" i="1"/>
  <c r="A277" i="1"/>
  <c r="A274" i="1"/>
  <c r="A271" i="1"/>
  <c r="A268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</calcChain>
</file>

<file path=xl/sharedStrings.xml><?xml version="1.0" encoding="utf-8"?>
<sst xmlns="http://schemas.openxmlformats.org/spreadsheetml/2006/main" count="195" uniqueCount="58">
  <si>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</si>
  <si>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</si>
  <si>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</si>
  <si>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</si>
  <si>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</si>
  <si>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</si>
  <si>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</si>
  <si>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</si>
  <si>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</si>
  <si>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</si>
  <si>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</si>
  <si>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</si>
  <si>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</si>
  <si>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</si>
  <si>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</si>
  <si>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</si>
  <si>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</si>
  <si>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</si>
  <si>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</si>
  <si>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</si>
  <si>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</si>
  <si>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</si>
  <si>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Allocation4</t>
  </si>
  <si>
    <t>TradingTicket</t>
  </si>
  <si>
    <t>CreateDoneAwayOrder</t>
  </si>
  <si>
    <t>GBP/USD</t>
  </si>
  <si>
    <t xml:space="preserve">Sell short </t>
  </si>
  <si>
    <t>O:ABM 10D20.00</t>
  </si>
  <si>
    <t>CreateLiveOrder</t>
  </si>
  <si>
    <t>CL H9</t>
  </si>
  <si>
    <t>Sell short</t>
  </si>
  <si>
    <t>Simulator</t>
  </si>
  <si>
    <t>AcknowledgeTrade</t>
  </si>
  <si>
    <t>ExecuteTrade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</si>
  <si>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</si>
  <si>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</si>
  <si>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</si>
  <si>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</si>
  <si>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</si>
  <si>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</si>
  <si>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</si>
  <si>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</si>
  <si>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ABM</t>
  </si>
  <si>
    <t>US</t>
  </si>
  <si>
    <t>EquityOption</t>
  </si>
  <si>
    <t>Future</t>
  </si>
  <si>
    <t>Allocation</t>
  </si>
  <si>
    <t>GetDataAllocation</t>
  </si>
  <si>
    <t>Current</t>
  </si>
  <si>
    <t>CheckAllocatedGroups</t>
  </si>
  <si>
    <t>Open</t>
  </si>
  <si>
    <t>SellShort</t>
  </si>
  <si>
    <t>CMEE</t>
  </si>
  <si>
    <t>OPTS</t>
  </si>
  <si>
    <t>PortfolioManagement</t>
  </si>
  <si>
    <t>CheckPortfolioManagement</t>
  </si>
  <si>
    <t>Short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</si>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</sst>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G28" sqref="G28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3" t="s">
        <v>0</v>
      </c>
      <c r="B1" s="34"/>
      <c r="C1" s="34"/>
      <c r="D1" s="34"/>
      <c r="E1" s="34"/>
      <c r="F1" s="35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IFERROR(__xludf.DUMMYFUNCTION("""COMPUTED_VALUE"""),"ExeExecutor")</f>
        <v>ExeExecutor</v>
      </c>
      <c r="B491" t="str">
        <f ca="1">IFERROR(__xludf.DUMMYFUNCTION("""COMPUTED_VALUE"""),"CallExeExecutor")</f>
        <v>CallExeExecutor</v>
      </c>
      <c r="C491" t="str">
        <f ca="1">IFERROR(__xludf.DUMMYFUNCTION("""COMPUTED_VALUE"""),"1hwFwcZT2KkLMWXu0X968AjDc83QETRSutmtdbAtWjRQ")</f>
        <v>1hwFwcZT2KkLMWXu0X968AjDc83QETRSutmtdbAtWjRQ</v>
      </c>
    </row>
    <row r="492" spans="1:3" ht="15.75" customHeight="1">
      <c r="A492" t="str">
        <f ca="1">IFERROR(__xludf.DUMMYFUNCTION("""COMPUTED_VALUE"""),"TradingTicket")</f>
        <v>TradingTicket</v>
      </c>
      <c r="B492" t="str">
        <f ca="1">IFERROR(__xludf.DUMMYFUNCTION("""COMPUTED_VALUE"""),"ToggleBlombergOnRA")</f>
        <v>ToggleBlombergOnRA</v>
      </c>
      <c r="C492" t="str">
        <f ca="1">IFERROR(__xludf.DUMMYFUNCTION("""COMPUTED_VALUE"""),"1TNk3Ts3tA51Oj9qjpTVY3IDwk0Ro78g-6ZmRMY4-lHk")</f>
        <v>1TNk3Ts3tA51Oj9qjpTVY3IDwk0Ro78g-6ZmRMY4-lHk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IFERROR(__xludf.DUMMYFUNCTION("""COMPUTED_VALUE"""),"RemoveManualExecution")</f>
        <v>RemoveManualExecution</v>
      </c>
      <c r="C493" t="str">
        <f ca="1">IFERROR(__xludf.DUMMYFUNCTION("""COMPUTED_VALUE"""),"1jbkbbKX6sldAF_Pk73xVZ1gvRS_q8eEl9NbS6SSiFi8")</f>
        <v>1jbkbbKX6sldAF_Pk73xVZ1gvRS_q8eEl9NbS6SSiFi8</v>
      </c>
    </row>
    <row r="494" spans="1:3" ht="15.75" customHeight="1">
      <c r="A494" t="str">
        <f ca="1">IFERROR(__xludf.DUMMYFUNCTION("""COMPUTED_VALUE"""),"Blotter")</f>
        <v>Blotter</v>
      </c>
      <c r="B494" t="str">
        <f ca="1">IFERROR(__xludf.DUMMYFUNCTION("""COMPUTED_VALUE"""),"RemoveExecutionWorkingSubs")</f>
        <v>RemoveExecutionWorkingSubs</v>
      </c>
      <c r="C494" t="str">
        <f ca="1">IFERROR(__xludf.DUMMYFUNCTION("""COMPUTED_VALUE"""),"1xhQkfgYxnBj3SaiVD_XZo7TN5gmMtEEUIk-KMtc-Cug")</f>
        <v>1xhQkfgYxnBj3SaiVD_XZo7TN5gmMtEEUIk-KMtc-Cug</v>
      </c>
    </row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6" t="s">
        <v>2</v>
      </c>
      <c r="B1" s="34"/>
      <c r="C1" s="35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3" t="s">
        <v>7</v>
      </c>
      <c r="B1" s="34"/>
      <c r="C1" s="34"/>
      <c r="D1" s="34"/>
      <c r="E1" s="34"/>
      <c r="F1" s="35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 t="b">
        <v>1</v>
      </c>
      <c r="E6" s="25"/>
      <c r="F6" s="5"/>
      <c r="G6" s="5"/>
      <c r="H6" s="7">
        <v>10</v>
      </c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6">
        <f t="shared" ref="B6:C6" ca="1" si="0">TODAY()-1</f>
        <v>44411</v>
      </c>
      <c r="C6" s="27">
        <f t="shared" ca="1" si="0"/>
        <v>44411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19</v>
      </c>
      <c r="C6" s="7" t="s">
        <v>20</v>
      </c>
      <c r="D6" s="7">
        <v>300000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7" t="s">
        <v>21</v>
      </c>
      <c r="C7" s="7" t="s">
        <v>20</v>
      </c>
      <c r="D7" s="7">
        <v>300000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7" t="s">
        <v>22</v>
      </c>
      <c r="C8" s="7" t="s">
        <v>20</v>
      </c>
      <c r="D8" s="7">
        <v>300000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IFERROR(__xludf.DUMMYFUNCTION("""COMPUTED_VALUE"""),"RemoveSymbolFromRAList")</f>
        <v>RemoveSymbolFromRAList</v>
      </c>
      <c r="AA4" s="20" t="str">
        <f ca="1">IFERROR(__xludf.DUMMYFUNCTION("""COMPUTED_VALUE"""),"ToggleBlombergOnRA")</f>
        <v>ToggleBlombergOnRA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7" t="s">
        <v>26</v>
      </c>
      <c r="D6" s="7">
        <v>10000</v>
      </c>
      <c r="E6" s="7"/>
      <c r="F6" s="7" t="s">
        <v>19</v>
      </c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7" t="s">
        <v>27</v>
      </c>
      <c r="C7" s="7" t="s">
        <v>26</v>
      </c>
      <c r="D7" s="7">
        <v>10000</v>
      </c>
      <c r="E7" s="7">
        <v>10000</v>
      </c>
      <c r="F7" s="7" t="s">
        <v>21</v>
      </c>
      <c r="G7" s="5"/>
      <c r="H7" s="5"/>
      <c r="I7" s="5"/>
      <c r="J7" s="7">
        <v>10</v>
      </c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IFERROR(__xludf.DUMMYFUNCTION("""COMPUTED_VALUE"""),"RemoveSymbolFromRAList")</f>
        <v>RemoveSymbolFromRAList</v>
      </c>
      <c r="AA4" s="20" t="str">
        <f ca="1">IFERROR(__xludf.DUMMYFUNCTION("""COMPUTED_VALUE"""),"ToggleBlombergOnRA")</f>
        <v>ToggleBlombergOnRA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29</v>
      </c>
      <c r="C6" s="7" t="s">
        <v>30</v>
      </c>
      <c r="D6" s="7">
        <v>20000</v>
      </c>
      <c r="E6" s="7">
        <v>20000</v>
      </c>
      <c r="F6" s="7" t="s">
        <v>22</v>
      </c>
      <c r="G6" s="5"/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31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30</v>
      </c>
      <c r="C6" s="7" t="s">
        <v>29</v>
      </c>
      <c r="D6" s="7"/>
      <c r="E6" s="25"/>
      <c r="F6" s="5"/>
      <c r="G6" s="7">
        <v>20000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31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>
        <v>20</v>
      </c>
      <c r="C6" s="7">
        <v>20000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10</v>
      </c>
      <c r="E6" s="25"/>
      <c r="F6" s="5"/>
      <c r="G6" s="5"/>
      <c r="H6" s="5"/>
      <c r="I6" s="5"/>
      <c r="J6" s="7" t="s">
        <v>25</v>
      </c>
      <c r="K6" s="7" t="s">
        <v>36</v>
      </c>
      <c r="L6" s="5"/>
      <c r="M6" s="5"/>
      <c r="N6" s="5"/>
      <c r="O6" s="5"/>
      <c r="S6" s="6">
        <v>0</v>
      </c>
      <c r="T6" s="6">
        <v>0</v>
      </c>
      <c r="U6" s="6" t="s">
        <v>37</v>
      </c>
      <c r="AD6" s="6">
        <v>10</v>
      </c>
      <c r="AH6" s="6" t="s">
        <v>38</v>
      </c>
      <c r="AI6" s="6" t="s">
        <v>25</v>
      </c>
      <c r="AJ6" s="6" t="s">
        <v>30</v>
      </c>
      <c r="AK6" s="6" t="s">
        <v>39</v>
      </c>
      <c r="AL6" s="6">
        <v>10000</v>
      </c>
      <c r="AM6" s="6">
        <v>10000</v>
      </c>
      <c r="AN6" s="6">
        <v>100</v>
      </c>
      <c r="AO6" s="6">
        <v>10000</v>
      </c>
      <c r="AQ6" s="6">
        <v>10</v>
      </c>
      <c r="AR6" s="6">
        <v>10</v>
      </c>
      <c r="AS6" s="6" t="s">
        <v>40</v>
      </c>
      <c r="AT6" s="6" t="s">
        <v>19</v>
      </c>
      <c r="AU6" s="6" t="s">
        <v>41</v>
      </c>
      <c r="AV6" s="6">
        <v>-100000</v>
      </c>
      <c r="AW6" s="6">
        <v>-1000000</v>
      </c>
      <c r="AY6" s="6">
        <v>10000</v>
      </c>
      <c r="AZ6" s="6">
        <v>0</v>
      </c>
    </row>
    <row r="7" spans="1:154" ht="15.75" customHeight="1">
      <c r="A7" s="5"/>
      <c r="B7" s="5"/>
      <c r="C7" s="5"/>
      <c r="D7" s="7">
        <v>10</v>
      </c>
      <c r="E7" s="5"/>
      <c r="F7" s="5"/>
      <c r="G7" s="5"/>
      <c r="H7" s="5"/>
      <c r="I7" s="5"/>
      <c r="J7" s="7" t="s">
        <v>42</v>
      </c>
      <c r="K7" s="7" t="s">
        <v>43</v>
      </c>
      <c r="L7" s="5"/>
      <c r="M7" s="5"/>
      <c r="N7" s="5"/>
      <c r="O7" s="5"/>
      <c r="S7" s="6">
        <v>20</v>
      </c>
      <c r="T7" s="6">
        <v>0</v>
      </c>
      <c r="U7" s="6" t="s">
        <v>20</v>
      </c>
      <c r="AD7" s="6">
        <v>1</v>
      </c>
      <c r="AH7" s="6" t="s">
        <v>44</v>
      </c>
      <c r="AI7" s="7" t="s">
        <v>27</v>
      </c>
      <c r="AJ7" s="6" t="s">
        <v>30</v>
      </c>
      <c r="AK7" s="6" t="s">
        <v>39</v>
      </c>
      <c r="AL7" s="6">
        <v>10000</v>
      </c>
      <c r="AM7" s="6">
        <v>10000</v>
      </c>
      <c r="AN7" s="6">
        <v>100</v>
      </c>
      <c r="AO7" s="6">
        <v>10000</v>
      </c>
      <c r="AQ7" s="6">
        <v>10</v>
      </c>
      <c r="AR7" s="6">
        <v>10</v>
      </c>
      <c r="AS7" s="6" t="s">
        <v>40</v>
      </c>
      <c r="AT7" s="6" t="s">
        <v>21</v>
      </c>
      <c r="AU7" s="6" t="s">
        <v>41</v>
      </c>
      <c r="AV7" s="6">
        <v>-10000000</v>
      </c>
      <c r="AW7" s="6">
        <v>-10000000</v>
      </c>
      <c r="AY7" s="6">
        <v>10000</v>
      </c>
      <c r="AZ7" s="6">
        <v>0</v>
      </c>
    </row>
    <row r="8" spans="1:154" ht="15.75" customHeight="1">
      <c r="A8" s="5"/>
      <c r="B8" s="5"/>
      <c r="C8" s="5"/>
      <c r="D8" s="7">
        <v>20</v>
      </c>
      <c r="E8" s="5"/>
      <c r="F8" s="5"/>
      <c r="G8" s="5"/>
      <c r="H8" s="5"/>
      <c r="I8" s="5"/>
      <c r="J8" s="7" t="s">
        <v>29</v>
      </c>
      <c r="K8" s="7" t="s">
        <v>43</v>
      </c>
      <c r="L8" s="5"/>
      <c r="M8" s="5"/>
      <c r="N8" s="5"/>
      <c r="O8" s="5"/>
      <c r="S8" s="6">
        <v>0</v>
      </c>
      <c r="T8" s="6">
        <v>0</v>
      </c>
      <c r="U8" s="6" t="s">
        <v>20</v>
      </c>
      <c r="AD8" s="6">
        <v>1</v>
      </c>
      <c r="AH8" s="6" t="s">
        <v>45</v>
      </c>
      <c r="AI8" s="6" t="s">
        <v>29</v>
      </c>
      <c r="AJ8" s="6" t="s">
        <v>30</v>
      </c>
      <c r="AK8" s="6" t="s">
        <v>39</v>
      </c>
      <c r="AL8" s="6">
        <v>20000</v>
      </c>
      <c r="AM8" s="6">
        <v>20000</v>
      </c>
      <c r="AN8" s="6">
        <v>100</v>
      </c>
      <c r="AO8" s="6">
        <v>20000</v>
      </c>
      <c r="AQ8" s="6">
        <v>20</v>
      </c>
      <c r="AR8" s="6">
        <v>20</v>
      </c>
      <c r="AS8" s="6" t="s">
        <v>40</v>
      </c>
      <c r="AT8" s="6" t="s">
        <v>22</v>
      </c>
      <c r="AU8" s="6" t="s">
        <v>41</v>
      </c>
      <c r="AV8" s="6">
        <v>-400000000</v>
      </c>
      <c r="AW8" s="6">
        <v>-400000000</v>
      </c>
      <c r="AY8" s="6">
        <v>20000</v>
      </c>
      <c r="AZ8" s="6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8" t="s">
        <v>19</v>
      </c>
      <c r="C6" s="5"/>
      <c r="D6" s="29">
        <v>0</v>
      </c>
      <c r="E6" s="29">
        <v>10000</v>
      </c>
      <c r="F6" s="5"/>
      <c r="G6" s="30" t="s">
        <v>38</v>
      </c>
      <c r="H6" s="29">
        <v>0</v>
      </c>
      <c r="I6" s="29">
        <v>0</v>
      </c>
      <c r="J6" s="5"/>
      <c r="K6" s="29">
        <v>10</v>
      </c>
      <c r="L6" s="29">
        <v>10</v>
      </c>
      <c r="M6" s="5"/>
      <c r="N6" s="5"/>
      <c r="O6" s="7" t="s">
        <v>40</v>
      </c>
      <c r="Q6" s="29">
        <v>3</v>
      </c>
      <c r="R6" s="29">
        <v>0</v>
      </c>
      <c r="S6" s="30" t="s">
        <v>50</v>
      </c>
      <c r="T6" s="29">
        <v>0</v>
      </c>
      <c r="U6" s="29">
        <v>0</v>
      </c>
      <c r="Z6" s="30" t="s">
        <v>37</v>
      </c>
      <c r="AD6" s="30" t="s">
        <v>38</v>
      </c>
      <c r="AE6" s="29">
        <v>10000</v>
      </c>
      <c r="AI6" s="29">
        <v>10</v>
      </c>
      <c r="AT6" s="29">
        <v>100000</v>
      </c>
      <c r="AU6" s="29">
        <v>10000</v>
      </c>
      <c r="AW6" s="29">
        <v>0</v>
      </c>
      <c r="AX6" s="29">
        <v>0</v>
      </c>
      <c r="AY6" s="6" t="s">
        <v>41</v>
      </c>
      <c r="AZ6" s="29">
        <v>0</v>
      </c>
      <c r="BC6" s="29">
        <v>0</v>
      </c>
      <c r="BE6" s="29">
        <v>100000</v>
      </c>
      <c r="BF6" s="29">
        <v>10000</v>
      </c>
      <c r="BJ6" s="29">
        <v>10000</v>
      </c>
      <c r="BK6" s="29">
        <v>0</v>
      </c>
      <c r="BM6" s="30" t="s">
        <v>37</v>
      </c>
      <c r="BO6" s="30" t="s">
        <v>30</v>
      </c>
      <c r="BP6" s="29">
        <v>0</v>
      </c>
      <c r="BQ6" s="29">
        <v>0</v>
      </c>
      <c r="BT6" s="30" t="s">
        <v>25</v>
      </c>
      <c r="BU6" s="29">
        <v>0</v>
      </c>
      <c r="BV6" s="29">
        <v>0</v>
      </c>
      <c r="BW6" s="29">
        <v>0</v>
      </c>
      <c r="BX6" s="29">
        <v>0</v>
      </c>
      <c r="CI6" s="30" t="s">
        <v>51</v>
      </c>
      <c r="CJ6" s="29">
        <v>0</v>
      </c>
    </row>
    <row r="7" spans="1:154" ht="15.75" customHeight="1">
      <c r="A7" s="5"/>
      <c r="B7" s="30" t="s">
        <v>22</v>
      </c>
      <c r="C7" s="5"/>
      <c r="D7" s="29">
        <v>0</v>
      </c>
      <c r="E7" s="29">
        <v>20000</v>
      </c>
      <c r="F7" s="5"/>
      <c r="G7" s="30" t="s">
        <v>45</v>
      </c>
      <c r="H7" s="29">
        <v>0</v>
      </c>
      <c r="I7" s="29">
        <v>0</v>
      </c>
      <c r="J7" s="5"/>
      <c r="K7" s="29">
        <v>20</v>
      </c>
      <c r="L7" s="29">
        <v>20</v>
      </c>
      <c r="M7" s="5"/>
      <c r="N7" s="5"/>
      <c r="O7" s="7" t="s">
        <v>40</v>
      </c>
      <c r="Q7" s="29">
        <v>3</v>
      </c>
      <c r="R7" s="29">
        <v>0</v>
      </c>
      <c r="S7" s="30" t="s">
        <v>50</v>
      </c>
      <c r="T7" s="29">
        <v>0</v>
      </c>
      <c r="U7" s="29">
        <v>0</v>
      </c>
      <c r="Z7" s="30" t="s">
        <v>20</v>
      </c>
      <c r="AD7" s="30" t="s">
        <v>52</v>
      </c>
      <c r="AE7" s="29">
        <v>20000</v>
      </c>
      <c r="AI7" s="29">
        <v>1</v>
      </c>
      <c r="AT7" s="29">
        <v>400000000</v>
      </c>
      <c r="AU7" s="29">
        <v>400000000</v>
      </c>
      <c r="AW7" s="29">
        <v>0</v>
      </c>
      <c r="AX7" s="29">
        <v>0</v>
      </c>
      <c r="AY7" s="6" t="s">
        <v>41</v>
      </c>
      <c r="AZ7" s="29">
        <v>0</v>
      </c>
      <c r="BC7" s="29">
        <v>0</v>
      </c>
      <c r="BE7" s="29">
        <v>400000000</v>
      </c>
      <c r="BF7" s="29">
        <v>400000000</v>
      </c>
      <c r="BJ7" s="29">
        <v>20000</v>
      </c>
      <c r="BK7" s="29">
        <v>0</v>
      </c>
      <c r="BM7" s="30" t="s">
        <v>20</v>
      </c>
      <c r="BO7" s="30" t="s">
        <v>30</v>
      </c>
      <c r="BP7" s="29">
        <v>0</v>
      </c>
      <c r="BQ7" s="29">
        <v>0</v>
      </c>
      <c r="BT7" s="30" t="s">
        <v>29</v>
      </c>
      <c r="BU7" s="29">
        <v>0</v>
      </c>
      <c r="BV7" s="29">
        <v>0</v>
      </c>
      <c r="BW7" s="29">
        <v>0</v>
      </c>
      <c r="BX7" s="29">
        <v>0</v>
      </c>
      <c r="CI7" s="30" t="s">
        <v>51</v>
      </c>
      <c r="CJ7" s="29">
        <v>0</v>
      </c>
    </row>
    <row r="8" spans="1:154" ht="15.75" customHeight="1">
      <c r="A8" s="5"/>
      <c r="B8" s="30" t="s">
        <v>21</v>
      </c>
      <c r="C8" s="5"/>
      <c r="D8" s="29">
        <v>0</v>
      </c>
      <c r="E8" s="29">
        <v>10000</v>
      </c>
      <c r="F8" s="5"/>
      <c r="G8" s="30" t="s">
        <v>44</v>
      </c>
      <c r="H8" s="29">
        <v>0</v>
      </c>
      <c r="I8" s="29">
        <v>0</v>
      </c>
      <c r="J8" s="5"/>
      <c r="K8" s="29">
        <v>10</v>
      </c>
      <c r="L8" s="29">
        <v>10</v>
      </c>
      <c r="M8" s="5"/>
      <c r="N8" s="5"/>
      <c r="O8" s="7" t="s">
        <v>40</v>
      </c>
      <c r="Q8" s="29">
        <v>3</v>
      </c>
      <c r="R8" s="29">
        <v>0</v>
      </c>
      <c r="S8" s="30" t="s">
        <v>50</v>
      </c>
      <c r="T8" s="29">
        <v>0</v>
      </c>
      <c r="U8" s="29">
        <v>0</v>
      </c>
      <c r="Z8" s="30" t="s">
        <v>20</v>
      </c>
      <c r="AD8" s="30" t="s">
        <v>53</v>
      </c>
      <c r="AE8" s="29">
        <v>10000</v>
      </c>
      <c r="AI8" s="29">
        <v>1</v>
      </c>
      <c r="AT8" s="29">
        <v>10000000</v>
      </c>
      <c r="AU8" s="29">
        <v>10000000</v>
      </c>
      <c r="AW8" s="29">
        <v>0</v>
      </c>
      <c r="AX8" s="29">
        <v>0</v>
      </c>
      <c r="AY8" s="6" t="s">
        <v>41</v>
      </c>
      <c r="AZ8" s="29">
        <v>0</v>
      </c>
      <c r="BC8" s="29">
        <v>0</v>
      </c>
      <c r="BE8" s="29">
        <v>10000000</v>
      </c>
      <c r="BF8" s="29">
        <v>10000000</v>
      </c>
      <c r="BJ8" s="29">
        <v>10000</v>
      </c>
      <c r="BK8" s="29">
        <v>0</v>
      </c>
      <c r="BM8" s="30" t="s">
        <v>20</v>
      </c>
      <c r="BO8" s="30" t="s">
        <v>30</v>
      </c>
      <c r="BP8" s="29">
        <v>0</v>
      </c>
      <c r="BQ8" s="29">
        <v>0</v>
      </c>
      <c r="BT8" s="30" t="s">
        <v>27</v>
      </c>
      <c r="BU8" s="29">
        <v>0</v>
      </c>
      <c r="BV8" s="29">
        <v>0</v>
      </c>
      <c r="BW8" s="29">
        <v>0</v>
      </c>
      <c r="BX8" s="29">
        <v>0</v>
      </c>
      <c r="CI8" s="30" t="s">
        <v>51</v>
      </c>
      <c r="CJ8" s="29">
        <v>0</v>
      </c>
    </row>
    <row r="9" spans="1:154" ht="15.75" customHeight="1">
      <c r="A9" s="5"/>
      <c r="B9" s="5"/>
      <c r="C9" s="5"/>
      <c r="D9" s="30"/>
      <c r="E9" s="30"/>
      <c r="F9" s="5"/>
      <c r="G9" s="30"/>
      <c r="H9" s="30"/>
      <c r="I9" s="30"/>
      <c r="J9" s="5"/>
      <c r="K9" s="5"/>
      <c r="L9" s="5"/>
      <c r="M9" s="5"/>
      <c r="N9" s="5"/>
      <c r="O9" s="5"/>
      <c r="Q9" s="30"/>
      <c r="S9" s="30"/>
      <c r="T9" s="30"/>
      <c r="U9" s="30"/>
      <c r="Z9" s="30"/>
      <c r="AD9" s="30"/>
      <c r="AE9" s="30"/>
      <c r="AI9" s="30"/>
      <c r="AW9" s="30"/>
      <c r="AX9" s="30"/>
      <c r="BE9" s="30"/>
      <c r="BF9" s="30"/>
      <c r="BM9" s="30"/>
      <c r="BT9" s="30"/>
      <c r="CI9" s="30"/>
    </row>
    <row r="10" spans="1:154" ht="15.75" customHeight="1">
      <c r="A10" s="5"/>
      <c r="B10" s="5"/>
      <c r="C10" s="5"/>
      <c r="D10" s="5"/>
      <c r="E10" s="30"/>
      <c r="F10" s="5"/>
      <c r="G10" s="30"/>
      <c r="H10" s="30"/>
      <c r="I10" s="30"/>
      <c r="J10" s="5"/>
      <c r="K10" s="5"/>
      <c r="L10" s="5"/>
      <c r="M10" s="5"/>
      <c r="N10" s="5"/>
      <c r="O10" s="5"/>
      <c r="Q10" s="30"/>
      <c r="T10" s="30"/>
      <c r="U10" s="30"/>
      <c r="AD10" s="30"/>
      <c r="AE10" s="30"/>
      <c r="AI10" s="30"/>
      <c r="BT10" s="30"/>
      <c r="CI10" s="30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AE11" s="30"/>
      <c r="CI11" s="30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C1" workbookViewId="0">
      <selection activeCell="BK13" sqref="BK13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6.42578125" customWidth="1"/>
    <col min="64" max="168" width="14.42578125" customWidth="1"/>
  </cols>
  <sheetData>
    <row r="1" spans="1:168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54</v>
      </c>
      <c r="D3" s="2" t="s">
        <v>9</v>
      </c>
      <c r="E3" s="17" t="s">
        <v>55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7" t="s">
        <v>27</v>
      </c>
      <c r="D6" s="31">
        <v>-10000</v>
      </c>
      <c r="E6" s="7" t="s">
        <v>21</v>
      </c>
      <c r="F6" s="5"/>
      <c r="G6" s="7">
        <v>10</v>
      </c>
      <c r="H6" s="7" t="s">
        <v>56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31">
        <v>10000000</v>
      </c>
      <c r="O6" s="5"/>
      <c r="Q6" s="31">
        <v>10000000</v>
      </c>
      <c r="R6" s="6" t="s">
        <v>40</v>
      </c>
      <c r="T6" s="6" t="s">
        <v>44</v>
      </c>
      <c r="U6" s="6" t="s">
        <v>43</v>
      </c>
      <c r="V6" s="6" t="s">
        <v>53</v>
      </c>
      <c r="W6" s="6" t="s">
        <v>20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31">
        <v>10000000</v>
      </c>
      <c r="AL6" s="6">
        <v>0</v>
      </c>
      <c r="AM6" s="6">
        <v>1</v>
      </c>
      <c r="AN6" s="6" t="s">
        <v>30</v>
      </c>
      <c r="AP6" s="6" t="s">
        <v>57</v>
      </c>
      <c r="AQ6" s="6" t="s">
        <v>42</v>
      </c>
      <c r="AR6" s="6">
        <v>0</v>
      </c>
      <c r="AS6" s="6">
        <v>-1</v>
      </c>
      <c r="AV6" s="6">
        <v>1</v>
      </c>
      <c r="AW6" s="31">
        <v>10000000</v>
      </c>
      <c r="AX6" s="6">
        <v>0</v>
      </c>
      <c r="AY6" s="6">
        <v>0</v>
      </c>
      <c r="AZ6" s="31">
        <v>0</v>
      </c>
      <c r="BA6" s="6">
        <v>100</v>
      </c>
      <c r="BC6" s="6">
        <v>1</v>
      </c>
      <c r="BD6" s="31">
        <v>10000000</v>
      </c>
      <c r="BJ6" s="6">
        <v>0</v>
      </c>
      <c r="BK6" s="6">
        <v>0</v>
      </c>
      <c r="BL6" s="6">
        <v>0</v>
      </c>
      <c r="BM6" s="6">
        <v>0</v>
      </c>
      <c r="BO6" s="31">
        <v>10000000</v>
      </c>
      <c r="BP6" s="6">
        <v>-100</v>
      </c>
      <c r="BR6" s="6" t="s">
        <v>40</v>
      </c>
      <c r="BS6" s="6">
        <v>0</v>
      </c>
      <c r="BT6" s="6">
        <v>0</v>
      </c>
      <c r="BW6" s="6">
        <v>20</v>
      </c>
      <c r="BX6" s="6">
        <v>0</v>
      </c>
      <c r="BY6" s="31">
        <v>0</v>
      </c>
      <c r="BZ6" s="6">
        <v>0</v>
      </c>
      <c r="CA6" s="6">
        <v>0</v>
      </c>
      <c r="CC6" s="6">
        <v>0</v>
      </c>
      <c r="CD6" s="31">
        <v>10000000</v>
      </c>
      <c r="CE6" s="6">
        <v>0</v>
      </c>
      <c r="CF6" s="6">
        <v>0</v>
      </c>
      <c r="CG6" s="31">
        <v>10000000</v>
      </c>
      <c r="CH6" s="6">
        <v>100</v>
      </c>
      <c r="CI6" s="6">
        <v>0</v>
      </c>
      <c r="CJ6" s="6">
        <v>0</v>
      </c>
      <c r="CS6" s="6">
        <v>10</v>
      </c>
      <c r="DA6" s="6">
        <v>0</v>
      </c>
      <c r="DB6" s="6">
        <v>0</v>
      </c>
      <c r="DD6" s="6">
        <v>0</v>
      </c>
      <c r="DE6" s="6">
        <v>0</v>
      </c>
      <c r="DF6" s="6">
        <v>0</v>
      </c>
      <c r="DG6" s="6">
        <v>0</v>
      </c>
      <c r="DI6" s="6">
        <v>0</v>
      </c>
      <c r="DK6" s="6">
        <v>0</v>
      </c>
      <c r="DL6" s="6">
        <v>0</v>
      </c>
      <c r="DM6" s="6">
        <v>1</v>
      </c>
      <c r="DN6" s="6">
        <v>0</v>
      </c>
      <c r="DP6" s="6" t="s">
        <v>56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M6" s="6">
        <v>0</v>
      </c>
      <c r="EN6" s="6">
        <v>0</v>
      </c>
      <c r="ER6" s="6">
        <v>0</v>
      </c>
    </row>
    <row r="7" spans="1:168" ht="15.75" customHeight="1">
      <c r="A7" s="5"/>
      <c r="B7" s="5"/>
      <c r="C7" s="7" t="s">
        <v>29</v>
      </c>
      <c r="D7" s="31">
        <v>-20000</v>
      </c>
      <c r="E7" s="7" t="s">
        <v>22</v>
      </c>
      <c r="F7" s="5"/>
      <c r="G7" s="7">
        <v>20</v>
      </c>
      <c r="H7" s="7" t="s">
        <v>56</v>
      </c>
      <c r="I7" s="31">
        <v>400000000</v>
      </c>
      <c r="J7" s="7">
        <v>100</v>
      </c>
      <c r="K7" s="7">
        <v>0</v>
      </c>
      <c r="L7" s="7">
        <v>0</v>
      </c>
      <c r="M7" s="7">
        <v>0</v>
      </c>
      <c r="N7" s="31">
        <v>400000000</v>
      </c>
      <c r="O7" s="5"/>
      <c r="Q7" s="31">
        <v>400000000</v>
      </c>
      <c r="R7" s="6" t="s">
        <v>40</v>
      </c>
      <c r="T7" s="6" t="s">
        <v>45</v>
      </c>
      <c r="U7" s="6" t="s">
        <v>43</v>
      </c>
      <c r="V7" s="6" t="s">
        <v>52</v>
      </c>
      <c r="W7" s="6" t="s">
        <v>20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32">
        <v>-20000</v>
      </c>
      <c r="AG7" s="6">
        <v>0</v>
      </c>
      <c r="AH7" s="6">
        <v>0</v>
      </c>
      <c r="AI7" s="6">
        <v>0</v>
      </c>
      <c r="AJ7" s="6">
        <v>0</v>
      </c>
      <c r="AK7" s="31">
        <v>400000000</v>
      </c>
      <c r="AL7" s="6">
        <v>1</v>
      </c>
      <c r="AM7" s="6">
        <v>1</v>
      </c>
      <c r="AN7" s="6" t="s">
        <v>30</v>
      </c>
      <c r="AP7" s="6" t="s">
        <v>56</v>
      </c>
      <c r="AQ7" s="6" t="s">
        <v>29</v>
      </c>
      <c r="AR7" s="6">
        <v>0</v>
      </c>
      <c r="AS7" s="6">
        <v>-1</v>
      </c>
      <c r="AV7" s="6">
        <v>1</v>
      </c>
      <c r="AW7" s="31">
        <v>400000000</v>
      </c>
      <c r="AX7" s="6">
        <v>0</v>
      </c>
      <c r="AY7" s="6">
        <v>0</v>
      </c>
      <c r="AZ7" s="31">
        <v>400000000</v>
      </c>
      <c r="BA7" s="6">
        <v>100</v>
      </c>
      <c r="BC7" s="6">
        <v>1</v>
      </c>
      <c r="BD7" s="31">
        <v>0</v>
      </c>
      <c r="BJ7" s="6">
        <v>0</v>
      </c>
      <c r="BK7" s="6">
        <v>0</v>
      </c>
      <c r="BL7" s="6">
        <v>0</v>
      </c>
      <c r="BM7" s="6">
        <v>0</v>
      </c>
      <c r="BO7" s="31">
        <v>0</v>
      </c>
      <c r="BP7" s="6">
        <v>0</v>
      </c>
      <c r="BR7" s="6" t="s">
        <v>40</v>
      </c>
      <c r="BS7" s="6">
        <v>0</v>
      </c>
      <c r="BT7" s="6">
        <v>0</v>
      </c>
      <c r="BW7" s="6">
        <v>0</v>
      </c>
      <c r="BX7" s="6">
        <v>0</v>
      </c>
      <c r="BY7" s="31">
        <v>400000000</v>
      </c>
      <c r="BZ7" s="6">
        <v>0</v>
      </c>
      <c r="CA7" s="6">
        <v>0</v>
      </c>
      <c r="CC7" s="6">
        <v>0</v>
      </c>
      <c r="CD7" s="31">
        <v>400000000</v>
      </c>
      <c r="CE7" s="6">
        <v>0</v>
      </c>
      <c r="CF7" s="6">
        <v>0</v>
      </c>
      <c r="CG7" s="31">
        <v>400000000</v>
      </c>
      <c r="CH7" s="6">
        <v>100</v>
      </c>
      <c r="CI7" s="6">
        <v>0</v>
      </c>
      <c r="CJ7" s="6">
        <v>0</v>
      </c>
      <c r="CS7" s="6">
        <v>20</v>
      </c>
      <c r="DA7" s="6">
        <v>0</v>
      </c>
      <c r="DB7" s="6">
        <v>100</v>
      </c>
      <c r="DD7" s="32">
        <v>-20000</v>
      </c>
      <c r="DE7" s="6">
        <v>0</v>
      </c>
      <c r="DF7" s="6">
        <v>0</v>
      </c>
      <c r="DG7" s="6">
        <v>0</v>
      </c>
      <c r="DI7" s="6">
        <v>0</v>
      </c>
      <c r="DK7" s="6">
        <v>0</v>
      </c>
      <c r="DL7" s="6">
        <v>0</v>
      </c>
      <c r="DM7" s="6">
        <v>1</v>
      </c>
      <c r="DN7" s="6">
        <v>0</v>
      </c>
      <c r="DP7" s="6" t="s">
        <v>56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M7" s="6">
        <v>0</v>
      </c>
      <c r="EN7" s="6">
        <v>0</v>
      </c>
      <c r="ER7" s="6">
        <v>0</v>
      </c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_Modules</vt:lpstr>
      <vt:lpstr>_Settings</vt:lpstr>
      <vt:lpstr>_MasterData</vt:lpstr>
      <vt:lpstr>SetTradingComplianceRules</vt:lpstr>
      <vt:lpstr>GetDailyCash</vt:lpstr>
      <vt:lpstr>UpdateDailyCash</vt:lpstr>
      <vt:lpstr>CreateDoneAwayOrder</vt:lpstr>
      <vt:lpstr>CreateLiveOrder</vt:lpstr>
      <vt:lpstr>AcknowledgeTrade</vt:lpstr>
      <vt:lpstr>ExecuteTrade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2021-08-04T13:42:10Z</dcterms:modified>
</cp:coreProperties>
</file>