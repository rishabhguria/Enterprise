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SelectTrade" sheetId="5" r:id="rId7"/>
    <sheet state="visible" name="AcknowledgeTrade" sheetId="6" r:id="rId8"/>
    <sheet state="visible" name="SelectTradeOnOrderGrid" sheetId="7" r:id="rId9"/>
    <sheet state="visible" name="ReplaceSubOrder" sheetId="8" r:id="rId10"/>
    <sheet state="visible" name="CustomOrderTT1" sheetId="9" r:id="rId11"/>
    <sheet state="visible" name="VerifySubOrder" sheetId="10" r:id="rId12"/>
    <sheet state="visible" name="ExecuteTrade" sheetId="11" r:id="rId13"/>
    <sheet state="visible" name="VerifySubOrder1" sheetId="12" r:id="rId14"/>
    <sheet state="visible" name="CreateReplaceOrder" sheetId="13" r:id="rId15"/>
  </sheets>
  <definedNames/>
  <calcPr/>
</workbook>
</file>

<file path=xl/sharedStrings.xml><?xml version="1.0" encoding="utf-8"?>
<sst xmlns="http://schemas.openxmlformats.org/spreadsheetml/2006/main" count="106" uniqueCount="37">
  <si>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</si>
  <si>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</si>
  <si>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</si>
  <si>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</si>
  <si>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</si>
  <si>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</si>
  <si>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</si>
  <si>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</si>
  <si>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</si>
  <si>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</si>
  <si>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</si>
  <si>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</si>
  <si>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</si>
  <si>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</si>
  <si>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</si>
  <si>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</si>
  <si>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</si>
  <si>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SEND</t>
  </si>
  <si>
    <t>GTC</t>
  </si>
  <si>
    <t>Limit</t>
  </si>
  <si>
    <t>Simulator</t>
  </si>
  <si>
    <t>SelectTrade</t>
  </si>
  <si>
    <t>AcknowledgeTrade</t>
  </si>
  <si>
    <t>Blotter</t>
  </si>
  <si>
    <t>SelectTradeOnOrderGrid</t>
  </si>
  <si>
    <t>Buy</t>
  </si>
  <si>
    <t>New</t>
  </si>
  <si>
    <t>ReplaceSubOrder</t>
  </si>
  <si>
    <t>REPLACE</t>
  </si>
  <si>
    <t>VerifySubOrder</t>
  </si>
  <si>
    <t>Replaced</t>
  </si>
  <si>
    <t>MS</t>
  </si>
  <si>
    <t>Allocation1</t>
  </si>
  <si>
    <t>Manual</t>
  </si>
  <si>
    <t>ExecuteTrade</t>
  </si>
  <si>
    <t>PartiallyFilled</t>
  </si>
  <si>
    <t>CreateReplaceOrder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</si>
</sst>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>
      <c r="A788" t="str">
        <f>IFERROR(__xludf.DUMMYFUNCTION("""COMPUTED_VALUE"""),"Blotter")</f>
        <v>Blotter</v>
      </c>
      <c r="B788" t="str">
        <f>IFERROR(__xludf.DUMMYFUNCTION("""COMPUTED_VALUE"""),"RollOverContextMenu")</f>
        <v>RollOverContextMenu</v>
      </c>
      <c r="C788" t="str">
        <f>IFERROR(__xludf.DUMMYFUNCTION("""COMPUTED_VALUE"""),"1d45ieJRLC6DQ7t19pclAZz5EI6hBsZ5_VdNJYb3VsNc")</f>
        <v>1d45ieJRLC6DQ7t19pclAZz5EI6hBsZ5_VdNJYb3VsNc</v>
      </c>
    </row>
    <row r="789" ht="15.75" customHeight="1">
      <c r="A789" t="str">
        <f>IFERROR(__xludf.DUMMYFUNCTION("""COMPUTED_VALUE"""),"PTT")</f>
        <v>PTT</v>
      </c>
      <c r="B789" t="str">
        <f>IFERROR(__xludf.DUMMYFUNCTION("""COMPUTED_VALUE"""),"RefreshCalculation")</f>
        <v>RefreshCalculation</v>
      </c>
    </row>
    <row r="790" ht="15.75" customHeight="1">
      <c r="A790" t="str">
        <f>IFERROR(__xludf.DUMMYFUNCTION("""COMPUTED_VALUE"""),"Blotter")</f>
        <v>Blotter</v>
      </c>
      <c r="B790" t="str">
        <f>IFERROR(__xludf.DUMMYFUNCTION("""COMPUTED_VALUE"""),"BookAsSwap")</f>
        <v>BookAsSwap</v>
      </c>
      <c r="C790" t="str">
        <f>IFERROR(__xludf.DUMMYFUNCTION("""COMPUTED_VALUE"""),"1tnkP5eD3WH53SXu2O-MWk6774J7b5ihwlD7r9dGtpiY")</f>
        <v>1tnkP5eD3WH53SXu2O-MWk6774J7b5ihwlD7r9dGtpiY</v>
      </c>
    </row>
    <row r="791" ht="15.75" customHeight="1">
      <c r="A791" t="str">
        <f>IFERROR(__xludf.DUMMYFUNCTION("""COMPUTED_VALUE"""),"Blotter")</f>
        <v>Blotter</v>
      </c>
      <c r="B791" t="str">
        <f>IFERROR(__xludf.DUMMYFUNCTION("""COMPUTED_VALUE"""),"ActionOnFloatingWindow")</f>
        <v>ActionOnFloatingWindow</v>
      </c>
      <c r="C791" t="str">
        <f>IFERROR(__xludf.DUMMYFUNCTION("""COMPUTED_VALUE"""),"1tFNUPT3PXgCKRnnehGwo6OF7EhLu13UJ8Elfq83HArE")</f>
        <v>1tFNUPT3PXgCKRnnehGwo6OF7EhLu13UJ8Elfq83HArE</v>
      </c>
    </row>
    <row r="792" ht="15.75" customHeight="1">
      <c r="A792" t="str">
        <f>IFERROR(__xludf.DUMMYFUNCTION("""COMPUTED_VALUE"""),"OpenFin")</f>
        <v>OpenFin</v>
      </c>
      <c r="B792" t="str">
        <f>IFERROR(__xludf.DUMMYFUNCTION("""COMPUTED_VALUE"""),"LockUnlockModule")</f>
        <v>LockUnlockModule</v>
      </c>
      <c r="C792" t="str">
        <f>IFERROR(__xludf.DUMMYFUNCTION("""COMPUTED_VALUE"""),"179D0kPRO8f_KLxd7hs6seM9XGxpL-u1rhIhNgFVePsQ")</f>
        <v>179D0kPRO8f_KLxd7hs6seM9XGxpL-u1rhIhNgFVePsQ</v>
      </c>
    </row>
    <row r="793" ht="15.75" customHeight="1">
      <c r="A793" t="str">
        <f>IFERROR(__xludf.DUMMYFUNCTION("""COMPUTED_VALUE"""),"OpenFin")</f>
        <v>OpenFin</v>
      </c>
      <c r="B793" t="str">
        <f>IFERROR(__xludf.DUMMYFUNCTION("""COMPUTED_VALUE"""),"OpenModule")</f>
        <v>OpenModule</v>
      </c>
      <c r="C793" t="str">
        <f>IFERROR(__xludf.DUMMYFUNCTION("""COMPUTED_VALUE"""),"1IdmD7l42pWNjFNVt_7UwbOO7y5tDxaXr7tE60c9ETLw")</f>
        <v>1IdmD7l42pWNjFNVt_7UwbOO7y5tDxaXr7tE60c9ETLw</v>
      </c>
    </row>
    <row r="794" ht="15.75" customHeight="1">
      <c r="A794" t="str">
        <f>IFERROR(__xludf.DUMMYFUNCTION("""COMPUTED_VALUE"""),"TradingTicket")</f>
        <v>TradingTicket</v>
      </c>
      <c r="B794" t="str">
        <f>IFERROR(__xludf.DUMMYFUNCTION("""COMPUTED_VALUE"""),"SymbolSuggestionVerify")</f>
        <v>SymbolSuggestionVerify</v>
      </c>
      <c r="C794" t="str">
        <f>IFERROR(__xludf.DUMMYFUNCTION("""COMPUTED_VALUE"""),"14aTeLjmUbS-nhaQwjtZAMGxdQ5DS6UsBjE5OTWN-LQU")</f>
        <v>14aTeLjmUbS-nhaQwjtZAMGxdQ5DS6UsBjE5OTWN-LQU</v>
      </c>
    </row>
    <row r="795" ht="15.75" customHeight="1">
      <c r="A795" t="str">
        <f>IFERROR(__xludf.DUMMYFUNCTION("""COMPUTED_VALUE"""),"Blotter")</f>
        <v>Blotter</v>
      </c>
      <c r="B795" t="str">
        <f>IFERROR(__xludf.DUMMYFUNCTION("""COMPUTED_VALUE"""),"CreateHotButtonOnBlotter")</f>
        <v>CreateHotButtonOnBlotter</v>
      </c>
      <c r="C795" t="str">
        <f>IFERROR(__xludf.DUMMYFUNCTION("""COMPUTED_VALUE"""),"1Yu7Fb6AjhUP8b-KuRJvgAwq8TykNK6BDh9F0Xpf12Ek")</f>
        <v>1Yu7Fb6AjhUP8b-KuRJvgAwq8TykNK6BDh9F0Xpf12Ek</v>
      </c>
    </row>
    <row r="796" ht="15.75" customHeight="1">
      <c r="A796" t="str">
        <f>IFERROR(__xludf.DUMMYFUNCTION("""COMPUTED_VALUE"""),"Blotter")</f>
        <v>Blotter</v>
      </c>
      <c r="B796" t="str">
        <f>IFERROR(__xludf.DUMMYFUNCTION("""COMPUTED_VALUE"""),"FillHBdetailsOnBlotter")</f>
        <v>FillHBdetailsOnBlotter</v>
      </c>
      <c r="C796" t="str">
        <f>IFERROR(__xludf.DUMMYFUNCTION("""COMPUTED_VALUE"""),"13Isj5c5k8kObxI-GBT6Ir9VBOz_46lzhwVxXXVP8jQU")</f>
        <v>13Isj5c5k8kObxI-GBT6Ir9VBOz_46lzhwVxXXVP8jQU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IFERROR(__xludf.DUMMYFUNCTION("""COMPUTED_VALUE"""),"FixDisconnectionPopup")</f>
        <v>FixDisconnectionPopup</v>
      </c>
      <c r="AN5" s="29" t="str">
        <f>IFERROR(__xludf.DUMMYFUNCTION("""COMPUTED_VALUE"""),"Trade Attribute 01")</f>
        <v>Trade Attribute 01</v>
      </c>
      <c r="AO5" s="29" t="str">
        <f>IFERROR(__xludf.DUMMYFUNCTION("""COMPUTED_VALUE"""),"Trade Attribute 02")</f>
        <v>Trade Attribute 02</v>
      </c>
      <c r="AP5" s="29" t="str">
        <f>IFERROR(__xludf.DUMMYFUNCTION("""COMPUTED_VALUE"""),"Trade Attribute 03")</f>
        <v>Trade Attribute 03</v>
      </c>
      <c r="AQ5" s="29" t="str">
        <f>IFERROR(__xludf.DUMMYFUNCTION("""COMPUTED_VALUE"""),"Trade Attribute 04")</f>
        <v>Trade Attribute 04</v>
      </c>
      <c r="AR5" s="29" t="str">
        <f>IFERROR(__xludf.DUMMYFUNCTION("""COMPUTED_VALUE"""),"Trade Attribute 05")</f>
        <v>Trade Attribute 05</v>
      </c>
      <c r="AS5" s="29" t="str">
        <f>IFERROR(__xludf.DUMMYFUNCTION("""COMPUTED_VALUE"""),"Trade Attribute 06")</f>
        <v>Trade Attribute 06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1000.0</v>
      </c>
      <c r="D6" s="12">
        <v>100.0</v>
      </c>
      <c r="E6" s="12" t="s">
        <v>17</v>
      </c>
      <c r="F6" s="8"/>
      <c r="G6" s="8"/>
      <c r="H6" s="8"/>
      <c r="I6" s="8"/>
      <c r="J6" s="8"/>
      <c r="K6" s="8"/>
      <c r="L6" s="8"/>
      <c r="M6" s="8"/>
      <c r="N6" s="8"/>
      <c r="O6" s="8"/>
      <c r="U6" s="9" t="s">
        <v>18</v>
      </c>
      <c r="V6" s="9" t="s">
        <v>19</v>
      </c>
      <c r="X6" s="9">
        <v>100.0</v>
      </c>
    </row>
    <row r="7" ht="15.75" customHeight="1">
      <c r="A7" s="12"/>
      <c r="B7" s="12"/>
      <c r="C7" s="12"/>
      <c r="D7" s="12"/>
      <c r="E7" s="12"/>
      <c r="F7" s="8"/>
      <c r="G7" s="8"/>
      <c r="H7" s="8"/>
      <c r="I7" s="8"/>
      <c r="J7" s="8"/>
      <c r="K7" s="8"/>
      <c r="L7" s="8"/>
      <c r="M7" s="8"/>
      <c r="N7" s="8"/>
      <c r="O7" s="8"/>
      <c r="U7" s="30"/>
      <c r="V7" s="30"/>
      <c r="W7" s="31"/>
      <c r="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16</v>
      </c>
      <c r="D6" s="12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16</v>
      </c>
      <c r="D6" s="12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16</v>
      </c>
      <c r="E6" s="33"/>
      <c r="F6" s="12" t="s">
        <v>25</v>
      </c>
      <c r="G6" s="12" t="s">
        <v>26</v>
      </c>
      <c r="H6" s="12">
        <v>1000.0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3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16</v>
      </c>
      <c r="AK6" s="9" t="s">
        <v>25</v>
      </c>
      <c r="AL6" s="9" t="s">
        <v>26</v>
      </c>
      <c r="AM6" s="9">
        <v>1000.0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IFERROR(__xludf.DUMMYFUNCTION("""COMPUTED_VALUE"""),"FixDisconnectionPopup")</f>
        <v>FixDisconnectionPopup</v>
      </c>
      <c r="AN5" s="29" t="str">
        <f>IFERROR(__xludf.DUMMYFUNCTION("""COMPUTED_VALUE"""),"Trade Attribute 01")</f>
        <v>Trade Attribute 01</v>
      </c>
      <c r="AO5" s="29" t="str">
        <f>IFERROR(__xludf.DUMMYFUNCTION("""COMPUTED_VALUE"""),"Trade Attribute 02")</f>
        <v>Trade Attribute 02</v>
      </c>
      <c r="AP5" s="29" t="str">
        <f>IFERROR(__xludf.DUMMYFUNCTION("""COMPUTED_VALUE"""),"Trade Attribute 03")</f>
        <v>Trade Attribute 03</v>
      </c>
      <c r="AQ5" s="29" t="str">
        <f>IFERROR(__xludf.DUMMYFUNCTION("""COMPUTED_VALUE"""),"Trade Attribute 04")</f>
        <v>Trade Attribute 04</v>
      </c>
      <c r="AR5" s="29" t="str">
        <f>IFERROR(__xludf.DUMMYFUNCTION("""COMPUTED_VALUE"""),"Trade Attribute 05")</f>
        <v>Trade Attribute 05</v>
      </c>
      <c r="AS5" s="29" t="str">
        <f>IFERROR(__xludf.DUMMYFUNCTION("""COMPUTED_VALUE"""),"Trade Attribute 06")</f>
        <v>Trade Attribute 06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>
        <v>2000.0</v>
      </c>
      <c r="D6" s="12">
        <v>12.0</v>
      </c>
      <c r="E6" s="12" t="s">
        <v>28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 t="str">
        <f>IFERROR(__xludf.DUMMYFUNCTION("""COMPUTED_VALUE"""),"Expiry Date")</f>
        <v>Expiry Date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3"/>
      <c r="F6" s="12">
        <v>100.0</v>
      </c>
      <c r="G6" s="12">
        <v>2000.0</v>
      </c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25</v>
      </c>
      <c r="AK6" s="9" t="s">
        <v>30</v>
      </c>
      <c r="AL6" s="9">
        <v>2000.0</v>
      </c>
      <c r="AQ6" s="9" t="s">
        <v>31</v>
      </c>
      <c r="AR6" s="9" t="s">
        <v>32</v>
      </c>
      <c r="AT6" s="9">
        <v>0.0</v>
      </c>
      <c r="AU6" s="9">
        <v>0.0</v>
      </c>
      <c r="AV6" s="9" t="s">
        <v>33</v>
      </c>
      <c r="AX6" s="9">
        <v>2000.0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12.0</v>
      </c>
      <c r="C6" s="12">
        <v>100.0</v>
      </c>
      <c r="D6" s="12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 t="str">
        <f>IFERROR(__xludf.DUMMYFUNCTION("""COMPUTED_VALUE"""),"Expiry Date")</f>
        <v>Expiry Date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3"/>
      <c r="F6" s="12">
        <v>100.0</v>
      </c>
      <c r="G6" s="12">
        <v>1900.0</v>
      </c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25</v>
      </c>
      <c r="AK6" s="9" t="s">
        <v>35</v>
      </c>
      <c r="AL6" s="9">
        <v>2000.0</v>
      </c>
      <c r="AM6" s="9">
        <v>100.0</v>
      </c>
      <c r="AN6" s="9">
        <v>100.0</v>
      </c>
      <c r="AO6" s="9">
        <v>12.0</v>
      </c>
      <c r="AP6" s="9">
        <v>12.0</v>
      </c>
      <c r="AQ6" s="9" t="s">
        <v>31</v>
      </c>
      <c r="AR6" s="9" t="s">
        <v>32</v>
      </c>
      <c r="AT6" s="9">
        <v>1200.0</v>
      </c>
      <c r="AU6" s="9">
        <v>1200.0</v>
      </c>
      <c r="AV6" s="9" t="s">
        <v>33</v>
      </c>
      <c r="AX6" s="9">
        <v>1900.0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 t="str">
        <f>IFERROR(__xludf.DUMMYFUNCTION("""COMPUTED_VALUE"""),"Interest Rate")</f>
        <v>Interest Rate</v>
      </c>
      <c r="AR5" s="29" t="str">
        <f>IFERROR(__xludf.DUMMYFUNCTION("""COMPUTED_VALUE"""),"SelectAlgoStrategy")</f>
        <v>SelectAlgoStrategy</v>
      </c>
      <c r="AS5" s="29" t="str">
        <f>IFERROR(__xludf.DUMMYFUNCTION("""COMPUTED_VALUE"""),"ClearOldCA")</f>
        <v>ClearOldCA</v>
      </c>
      <c r="AT5" s="29" t="str">
        <f>IFERROR(__xludf.DUMMYFUNCTION("""COMPUTED_VALUE"""),"TRVAccountName")</f>
        <v>TRVAccountName</v>
      </c>
      <c r="AU5" s="29" t="str">
        <f>IFERROR(__xludf.DUMMYFUNCTION("""COMPUTED_VALUE"""),"TRVTradeQuantity")</f>
        <v>TRVTradeQuantity</v>
      </c>
      <c r="AV5" s="29" t="str">
        <f>IFERROR(__xludf.DUMMYFUNCTION("""COMPUTED_VALUE"""),"TRVCurrentPosition")</f>
        <v>TRVCurrentPosition</v>
      </c>
      <c r="AW5" s="29" t="str">
        <f>IFERROR(__xludf.DUMMYFUNCTION("""COMPUTED_VALUE"""),"TRVNav")</f>
        <v>TRVNav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>
        <v>2000.0</v>
      </c>
      <c r="E6" s="33"/>
      <c r="F6" s="8"/>
      <c r="G6" s="8"/>
      <c r="H6" s="8"/>
      <c r="I6" s="8"/>
      <c r="J6" s="12">
        <v>12.0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