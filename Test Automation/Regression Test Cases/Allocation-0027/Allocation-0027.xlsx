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OpenSymbolLookupUnallocateGroup" sheetId="6" r:id="rId8"/>
    <sheet state="visible" name="VerifySymbolLookUp" sheetId="7" r:id="rId9"/>
    <sheet state="visible" name="ForMultipleVerifySymbolLookUp" sheetId="8" r:id="rId10"/>
    <sheet state="visible" name="MulTradOpenSymbolLookupUnallGrp" sheetId="9" r:id="rId11"/>
  </sheets>
  <definedNames/>
  <calcPr/>
</workbook>
</file>

<file path=xl/sharedStrings.xml><?xml version="1.0" encoding="utf-8"?>
<sst xmlns="http://schemas.openxmlformats.org/spreadsheetml/2006/main" count="97" uniqueCount="35">
  <si>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</si>
  <si>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</si>
  <si>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</si>
  <si>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</si>
  <si>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</si>
  <si>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</si>
  <si>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</si>
  <si>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</si>
  <si>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</si>
  <si>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</si>
  <si>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</si>
  <si>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</si>
  <si>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</si>
  <si>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</si>
  <si>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</si>
  <si>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</si>
  <si>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</si>
  <si>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</si>
  <si>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</si>
  <si>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APPL</t>
  </si>
  <si>
    <t>AMZN</t>
  </si>
  <si>
    <t>MJN</t>
  </si>
  <si>
    <t>Blotter</t>
  </si>
  <si>
    <t>VerifyOrder</t>
  </si>
  <si>
    <t>Filled</t>
  </si>
  <si>
    <t>Allocation</t>
  </si>
  <si>
    <t>OpenSymbolLookupUnallocateGroup</t>
  </si>
  <si>
    <t>SymbolLookup</t>
  </si>
  <si>
    <t>VerifySymbolLookUp</t>
  </si>
  <si>
    <t>Equity</t>
  </si>
  <si>
    <t>US</t>
  </si>
  <si>
    <t>NASDAQ</t>
  </si>
  <si>
    <t>USD</t>
  </si>
  <si>
    <t>UNITED STATES</t>
  </si>
  <si>
    <t>NYSE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</si>
</sst>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1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left" readingOrder="0" vertical="bottom"/>
    </xf>
    <xf borderId="0" fillId="0" fontId="14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11" t="s">
        <v>18</v>
      </c>
      <c r="G6" s="8"/>
      <c r="H6" s="8"/>
      <c r="I6" s="8"/>
      <c r="J6" s="11">
        <v>20.0</v>
      </c>
      <c r="K6" s="8"/>
      <c r="L6" s="8"/>
      <c r="M6" s="8"/>
      <c r="N6" s="30">
        <f t="shared" ref="N6:N9" si="1">today()</f>
        <v>45100</v>
      </c>
      <c r="O6" s="8"/>
    </row>
    <row r="7" ht="15.75" customHeight="1">
      <c r="A7" s="8"/>
      <c r="B7" s="11" t="s">
        <v>19</v>
      </c>
      <c r="C7" s="11" t="s">
        <v>17</v>
      </c>
      <c r="D7" s="11">
        <v>10000.0</v>
      </c>
      <c r="E7" s="11">
        <v>10000.0</v>
      </c>
      <c r="F7" s="11" t="s">
        <v>18</v>
      </c>
      <c r="G7" s="8"/>
      <c r="H7" s="8"/>
      <c r="I7" s="8"/>
      <c r="J7" s="11">
        <v>30.0</v>
      </c>
      <c r="K7" s="8"/>
      <c r="L7" s="8"/>
      <c r="M7" s="8"/>
      <c r="N7" s="30">
        <f t="shared" si="1"/>
        <v>45100</v>
      </c>
      <c r="O7" s="8"/>
    </row>
    <row r="8" ht="15.75" customHeight="1">
      <c r="A8" s="8"/>
      <c r="B8" s="11" t="s">
        <v>20</v>
      </c>
      <c r="C8" s="11" t="s">
        <v>17</v>
      </c>
      <c r="D8" s="11">
        <v>500.0</v>
      </c>
      <c r="E8" s="11">
        <v>500.0</v>
      </c>
      <c r="F8" s="11" t="s">
        <v>18</v>
      </c>
      <c r="G8" s="8"/>
      <c r="H8" s="8"/>
      <c r="I8" s="8"/>
      <c r="J8" s="11">
        <v>40.0</v>
      </c>
      <c r="K8" s="8"/>
      <c r="L8" s="8"/>
      <c r="M8" s="8"/>
      <c r="N8" s="30">
        <f t="shared" si="1"/>
        <v>45100</v>
      </c>
      <c r="O8" s="8"/>
    </row>
    <row r="9" ht="15.75" customHeight="1">
      <c r="A9" s="8"/>
      <c r="B9" s="11" t="s">
        <v>21</v>
      </c>
      <c r="C9" s="11" t="s">
        <v>17</v>
      </c>
      <c r="D9" s="11">
        <v>700.0</v>
      </c>
      <c r="E9" s="11">
        <v>700.0</v>
      </c>
      <c r="F9" s="11" t="s">
        <v>18</v>
      </c>
      <c r="G9" s="8"/>
      <c r="H9" s="8"/>
      <c r="I9" s="8"/>
      <c r="J9" s="11">
        <v>50.0</v>
      </c>
      <c r="K9" s="8"/>
      <c r="L9" s="8"/>
      <c r="M9" s="8"/>
      <c r="N9" s="30">
        <f t="shared" si="1"/>
        <v>45100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2" width="12.63"/>
    <col customWidth="1" min="43" max="43" width="16.25"/>
    <col customWidth="1" min="44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31">
        <v>20.0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16</v>
      </c>
      <c r="AJ6" s="31" t="s">
        <v>17</v>
      </c>
      <c r="AK6" s="31" t="s">
        <v>24</v>
      </c>
      <c r="AL6" s="31">
        <v>1000.0</v>
      </c>
      <c r="AM6" s="31">
        <v>1000.0</v>
      </c>
      <c r="AQ6" s="31">
        <v>20.0</v>
      </c>
    </row>
    <row r="7" ht="15.75" customHeight="1">
      <c r="A7" s="8"/>
      <c r="B7" s="8"/>
      <c r="C7" s="8"/>
      <c r="D7" s="31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1" t="s">
        <v>19</v>
      </c>
      <c r="AJ7" s="31" t="s">
        <v>17</v>
      </c>
      <c r="AK7" s="31" t="s">
        <v>24</v>
      </c>
      <c r="AL7" s="31">
        <v>10000.0</v>
      </c>
      <c r="AM7" s="31">
        <v>10000.0</v>
      </c>
      <c r="AQ7" s="31">
        <v>30.0</v>
      </c>
    </row>
    <row r="8" ht="15.75" customHeight="1">
      <c r="A8" s="8"/>
      <c r="B8" s="8"/>
      <c r="C8" s="8"/>
      <c r="D8" s="31">
        <v>40.0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1" t="s">
        <v>20</v>
      </c>
      <c r="AJ8" s="31" t="s">
        <v>17</v>
      </c>
      <c r="AK8" s="31" t="s">
        <v>24</v>
      </c>
      <c r="AL8" s="31">
        <v>500.0</v>
      </c>
      <c r="AM8" s="31">
        <v>500.0</v>
      </c>
      <c r="AQ8" s="31">
        <v>40.0</v>
      </c>
    </row>
    <row r="9" ht="15.75" customHeight="1">
      <c r="A9" s="8"/>
      <c r="B9" s="8"/>
      <c r="C9" s="8"/>
      <c r="D9" s="31">
        <v>50.0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1" t="s">
        <v>21</v>
      </c>
      <c r="AJ9" s="31" t="s">
        <v>17</v>
      </c>
      <c r="AK9" s="31" t="s">
        <v>24</v>
      </c>
      <c r="AL9" s="31">
        <v>700.0</v>
      </c>
      <c r="AM9" s="31">
        <v>700.0</v>
      </c>
      <c r="AQ9" s="31">
        <v>50.0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Q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 ")</f>
        <v>IsManual Group 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  ")</f>
        <v>Soft Commission  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 ")</f>
        <v>Settlement Date 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 ")</f>
        <v>Bloomberg 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16</v>
      </c>
      <c r="C6" s="33" t="s">
        <v>17</v>
      </c>
      <c r="D6" s="34">
        <v>1000.0</v>
      </c>
      <c r="E6" s="34">
        <v>1000.0</v>
      </c>
      <c r="F6" s="8"/>
      <c r="G6" s="8"/>
      <c r="H6" s="8"/>
      <c r="I6" s="8"/>
      <c r="J6" s="8"/>
      <c r="K6" s="8"/>
      <c r="L6" s="8"/>
      <c r="M6" s="8"/>
      <c r="N6" s="11">
        <v>20.0</v>
      </c>
      <c r="O6" s="8"/>
    </row>
    <row r="7" ht="15.75" customHeight="1">
      <c r="A7" s="8"/>
      <c r="B7" s="1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OpenSymbolLookupUnallocateGroup!$4:$4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IFERROR(__xludf.DUMMYFUNCTION("""COMPUTED_VALUE"""),"EnterFixedIncome")</f>
        <v>EnterFixedIncome</v>
      </c>
      <c r="H4" s="24" t="str">
        <f>IFERROR(__xludf.DUMMYFUNCTION("""COMPUTED_VALUE"""),"EnterPrivateEquity")</f>
        <v>EnterPrivateEquity</v>
      </c>
      <c r="I4" s="24" t="str">
        <f>IFERROR(__xludf.DUMMYFUNCTION("""COMPUTED_VALUE"""),"EnterFXForward")</f>
        <v>EnterFXForward</v>
      </c>
      <c r="J4" s="24" t="str">
        <f>IFERROR(__xludf.DUMMYFUNCTION("""COMPUTED_VALUE"""),"EnterFuture")</f>
        <v>EnterFuture</v>
      </c>
      <c r="K4" s="24" t="str">
        <f>IFERROR(__xludf.DUMMYFUNCTION("""COMPUTED_VALUE"""),"EnterFutureOptions")</f>
        <v>EnterFutureOptions</v>
      </c>
      <c r="L4" s="24" t="str">
        <f>IFERROR(__xludf.DUMMYFUNCTION("""COMPUTED_VALUE"""),"UpdateSecurityInfoOnSM")</f>
        <v>UpdateSecurityInfoOnSM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IFERROR(__xludf.DUMMYFUNCTION("""COMPUTED_VALUE"""),"Analyst")</f>
        <v>Analyst</v>
      </c>
      <c r="C5" s="27" t="str">
        <f>IFERROR(__xludf.DUMMYFUNCTION("""COMPUTED_VALUE"""),"Asset Class")</f>
        <v>Asset Class</v>
      </c>
      <c r="D5" s="27" t="str">
        <f>IFERROR(__xludf.DUMMYFUNCTION("""COMPUTED_VALUE"""),"Underlying")</f>
        <v>Underlying</v>
      </c>
      <c r="E5" s="27" t="str">
        <f>IFERROR(__xludf.DUMMYFUNCTION("""COMPUTED_VALUE"""),"Exchange")</f>
        <v>Exchange</v>
      </c>
      <c r="F5" s="28" t="str">
        <f>IFERROR(__xludf.DUMMYFUNCTION("""COMPUTED_VALUE"""),"Currency")</f>
        <v>Currency</v>
      </c>
      <c r="G5" s="27" t="str">
        <f>IFERROR(__xludf.DUMMYFUNCTION("""COMPUTED_VALUE"""),"Ticker")</f>
        <v>Ticker</v>
      </c>
      <c r="H5" s="27" t="str">
        <f>IFERROR(__xludf.DUMMYFUNCTION("""COMPUTED_VALUE"""),"Description")</f>
        <v>Description</v>
      </c>
      <c r="I5" s="27" t="str">
        <f>IFERROR(__xludf.DUMMYFUNCTION("""COMPUTED_VALUE"""),"Proxy Symbol")</f>
        <v>Proxy Symbol</v>
      </c>
      <c r="J5" s="27" t="str">
        <f>IFERROR(__xludf.DUMMYFUNCTION("""COMPUTED_VALUE"""),"RIC")</f>
        <v>RIC</v>
      </c>
      <c r="K5" s="27" t="str">
        <f>IFERROR(__xludf.DUMMYFUNCTION("""COMPUTED_VALUE"""),"BB Code")</f>
        <v>BB Code</v>
      </c>
      <c r="L5" s="27" t="str">
        <f>IFERROR(__xludf.DUMMYFUNCTION("""COMPUTED_VALUE"""),"CUSIP")</f>
        <v>CUSIP</v>
      </c>
      <c r="M5" s="27" t="str">
        <f>IFERROR(__xludf.DUMMYFUNCTION("""COMPUTED_VALUE"""),"ISIN")</f>
        <v>ISIN</v>
      </c>
      <c r="N5" s="27" t="str">
        <f>IFERROR(__xludf.DUMMYFUNCTION("""COMPUTED_VALUE"""),"SEDOL")</f>
        <v>SEDOL</v>
      </c>
      <c r="O5" s="27" t="str">
        <f>IFERROR(__xludf.DUMMYFUNCTION("""COMPUTED_VALUE"""),"OSI-21")</f>
        <v>OSI-21</v>
      </c>
      <c r="P5" s="27" t="str">
        <f>IFERROR(__xludf.DUMMYFUNCTION("""COMPUTED_VALUE"""),"IDCO-22")</f>
        <v>IDCO-22</v>
      </c>
      <c r="Q5" s="27" t="str">
        <f>IFERROR(__xludf.DUMMYFUNCTION("""COMPUTED_VALUE"""),"Country Of Risk")</f>
        <v>Country Of Risk</v>
      </c>
      <c r="R5" s="27" t="str">
        <f>IFERROR(__xludf.DUMMYFUNCTION("""COMPUTED_VALUE"""),"Multiplier")</f>
        <v>Multiplier</v>
      </c>
      <c r="S5" s="27" t="str">
        <f>IFERROR(__xludf.DUMMYFUNCTION("""COMPUTED_VALUE"""),"IssueDate")</f>
        <v>IssueDate</v>
      </c>
      <c r="T5" s="29" t="str">
        <f>IFERROR(__xludf.DUMMYFUNCTION("""COMPUTED_VALUE"""),"FirstCouponDate")</f>
        <v>FirstCouponDate</v>
      </c>
      <c r="U5" s="29" t="str">
        <f>IFERROR(__xludf.DUMMYFUNCTION("""COMPUTED_VALUE"""),"Expiration Date")</f>
        <v>Expiration Date</v>
      </c>
      <c r="V5" s="29" t="str">
        <f>IFERROR(__xludf.DUMMYFUNCTION("""COMPUTED_VALUE"""),"Fixing Date")</f>
        <v>Fixing Date</v>
      </c>
      <c r="W5" s="29" t="str">
        <f>IFERROR(__xludf.DUMMYFUNCTION("""COMPUTED_VALUE"""),"Is NDF")</f>
        <v>Is NDF</v>
      </c>
      <c r="X5" s="29" t="str">
        <f>IFERROR(__xludf.DUMMYFUNCTION("""COMPUTED_VALUE"""),"Underlying Symbol")</f>
        <v>Underlying Symbol</v>
      </c>
      <c r="Y5" s="29" t="str">
        <f>IFERROR(__xludf.DUMMYFUNCTION("""COMPUTED_VALUE"""),"Put/Call")</f>
        <v>Put/Call</v>
      </c>
      <c r="Z5" s="29" t="str">
        <f>IFERROR(__xludf.DUMMYFUNCTION("""COMPUTED_VALUE"""),"Strike Price")</f>
        <v>Strike Price</v>
      </c>
      <c r="AA5" s="29" t="str">
        <f>IFERROR(__xludf.DUMMYFUNCTION("""COMPUTED_VALUE"""),"Leveraged Factor")</f>
        <v>Leveraged Factor</v>
      </c>
      <c r="AB5" s="29" t="str">
        <f>IFERROR(__xludf.DUMMYFUNCTION("""COMPUTED_VALUE"""),"Bond Type")</f>
        <v>Bond Type</v>
      </c>
      <c r="AC5" s="29" t="str">
        <f>IFERROR(__xludf.DUMMYFUNCTION("""COMPUTED_VALUE"""),"Accrual Basis")</f>
        <v>Accrual Basis</v>
      </c>
      <c r="AD5" s="29" t="str">
        <f>IFERROR(__xludf.DUMMYFUNCTION("""COMPUTED_VALUE"""),"Coupon Frequency")</f>
        <v>Coupon Frequency</v>
      </c>
      <c r="AE5" s="29" t="str">
        <f>IFERROR(__xludf.DUMMYFUNCTION("""COMPUTED_VALUE"""),"Issuer")</f>
        <v>Issuer</v>
      </c>
      <c r="AF5" s="29" t="str">
        <f>IFERROR(__xludf.DUMMYFUNCTION("""COMPUTED_VALUE"""),"Currency Future")</f>
        <v>Currency Future</v>
      </c>
      <c r="AG5" s="29" t="str">
        <f>IFERROR(__xludf.DUMMYFUNCTION("""COMPUTED_VALUE"""),"Custom UDA4")</f>
        <v>Custom UDA4</v>
      </c>
      <c r="AH5" s="29" t="str">
        <f>IFERROR(__xludf.DUMMYFUNCTION("""COMPUTED_VALUE"""),"Custom UDA5")</f>
        <v>Custom UDA5</v>
      </c>
      <c r="AI5" s="29" t="str">
        <f>IFERROR(__xludf.DUMMYFUNCTION("""COMPUTED_VALUE"""),"Custom UDA6")</f>
        <v>Custom UDA6</v>
      </c>
      <c r="AJ5" s="29" t="str">
        <f>IFERROR(__xludf.DUMMYFUNCTION("""COMPUTED_VALUE"""),"Custom UDA7")</f>
        <v>Custom UDA7</v>
      </c>
      <c r="AK5" s="29" t="str">
        <f>IFERROR(__xludf.DUMMYFUNCTION("""COMPUTED_VALUE"""),"Liquid Tag")</f>
        <v>Liquid Tag</v>
      </c>
      <c r="AL5" s="29" t="str">
        <f>IFERROR(__xludf.DUMMYFUNCTION("""COMPUTED_VALUE"""),"Region")</f>
        <v>Region</v>
      </c>
      <c r="AM5" s="29" t="str">
        <f>IFERROR(__xludf.DUMMYFUNCTION("""COMPUTED_VALUE"""),"OPRAOptionSymbol")</f>
        <v>OPRAOptionSymbol</v>
      </c>
      <c r="AN5" s="29" t="str">
        <f>IFERROR(__xludf.DUMMYFUNCTION("""COMPUTED_VALUE"""),"Risk Currency")</f>
        <v>Risk Currency</v>
      </c>
      <c r="AO5" s="29" t="str">
        <f>IFERROR(__xludf.DUMMYFUNCTION("""COMPUTED_VALUE"""),"RequestedSymbology")</f>
        <v>RequestedSymbology</v>
      </c>
      <c r="AP5" s="29" t="str">
        <f>IFERROR(__xludf.DUMMYFUNCTION("""COMPUTED_VALUE"""),"RequestedSymbol")</f>
        <v>RequestedSymbol</v>
      </c>
      <c r="AQ5" s="29" t="str">
        <f>IFERROR(__xludf.DUMMYFUNCTION("""COMPUTED_VALUE"""),"Coupon (%)")</f>
        <v>Coupon (%)</v>
      </c>
      <c r="AR5" s="29" t="str">
        <f>IFERROR(__xludf.DUMMYFUNCTION("""COMPUTED_VALUE"""),"IsZero")</f>
        <v>IsZero</v>
      </c>
      <c r="AS5" s="29" t="str">
        <f>IFERROR(__xludf.DUMMYFUNCTION("""COMPUTED_VALUE"""),"CountryCode")</f>
        <v>CountryCode</v>
      </c>
      <c r="AT5" s="29" t="str">
        <f>IFERROR(__xludf.DUMMYFUNCTION("""COMPUTED_VALUE"""),"DaysToSettlement")</f>
        <v>DaysToSettlement</v>
      </c>
      <c r="AU5" s="29" t="str">
        <f>IFERROR(__xludf.DUMMYFUNCTION("""COMPUTED_VALUE"""),"CutOffTime")</f>
        <v>CutOffTime</v>
      </c>
      <c r="AV5" s="29" t="str">
        <f>IFERROR(__xludf.DUMMYFUNCTION("""COMPUTED_VALUE"""),"Creation Date")</f>
        <v>Creation Date</v>
      </c>
      <c r="AW5" s="29" t="str">
        <f>IFERROR(__xludf.DUMMYFUNCTION("""COMPUTED_VALUE"""),"Modified Date")</f>
        <v>Modified Date</v>
      </c>
      <c r="AX5" s="29" t="str">
        <f>IFERROR(__xludf.DUMMYFUNCTION("""COMPUTED_VALUE"""),"RoundLots")</f>
        <v>RoundLots</v>
      </c>
      <c r="AY5" s="29" t="str">
        <f>IFERROR(__xludf.DUMMYFUNCTION("""COMPUTED_VALUE"""),"Sector")</f>
        <v>Sector</v>
      </c>
      <c r="AZ5" s="29" t="str">
        <f>IFERROR(__xludf.DUMMYFUNCTION("""COMPUTED_VALUE"""),"UCITS Eligible Tag")</f>
        <v>UCITS Eligible Tag</v>
      </c>
      <c r="BA5" s="29" t="str">
        <f>IFERROR(__xludf.DUMMYFUNCTION("""COMPUTED_VALUE"""),"DataSource")</f>
        <v>DataSource</v>
      </c>
      <c r="BB5" s="29" t="str">
        <f>IFERROR(__xludf.DUMMYFUNCTION("""COMPUTED_VALUE"""),"IsSecApproved")</f>
        <v>IsSecApproved</v>
      </c>
      <c r="BC5" s="29" t="str">
        <f>IFERROR(__xludf.DUMMYFUNCTION("""COMPUTED_VALUE"""),"Approval Status")</f>
        <v>Approval Status</v>
      </c>
      <c r="BD5" s="29" t="str">
        <f>IFERROR(__xludf.DUMMYFUNCTION("""COMPUTED_VALUE"""),"Last Approved By")</f>
        <v>Last Approved By</v>
      </c>
      <c r="BE5" s="29" t="str">
        <f>IFERROR(__xludf.DUMMYFUNCTION("""COMPUTED_VALUE"""),"CreatedBy")</f>
        <v>CreatedBy</v>
      </c>
      <c r="BF5" s="29" t="str">
        <f>IFERROR(__xludf.DUMMYFUNCTION("""COMPUTED_VALUE"""),"ModifiedBy")</f>
        <v>ModifiedBy</v>
      </c>
      <c r="BG5" s="29" t="str">
        <f>IFERROR(__xludf.DUMMYFUNCTION("""COMPUTED_VALUE"""),"BBGID")</f>
        <v>BBGID</v>
      </c>
      <c r="BH5" s="29" t="str">
        <f>IFERROR(__xludf.DUMMYFUNCTION("""COMPUTED_VALUE"""),"PrimarySymbology")</f>
        <v>PrimarySymbology</v>
      </c>
      <c r="BI5" s="29" t="str">
        <f>IFERROR(__xludf.DUMMYFUNCTION("""COMPUTED_VALUE"""),"ApprovalDate")</f>
        <v>ApprovalDate</v>
      </c>
      <c r="BJ5" s="29" t="str">
        <f>IFERROR(__xludf.DUMMYFUNCTION("""COMPUTED_VALUE"""),"Comments")</f>
        <v>Comments</v>
      </c>
      <c r="BK5" s="29" t="str">
        <f>IFERROR(__xludf.DUMMYFUNCTION("""COMPUTED_VALUE"""),"Strike Price Multiplier")</f>
        <v>Strike Price Multiplier</v>
      </c>
      <c r="BL5" s="29" t="str">
        <f>IFERROR(__xludf.DUMMYFUNCTION("""COMPUTED_VALUE"""),"Esignal Option Root")</f>
        <v>Esignal Option Root</v>
      </c>
      <c r="BM5" s="29" t="str">
        <f>IFERROR(__xludf.DUMMYFUNCTION("""COMPUTED_VALUE"""),"Bloomberg Option Root")</f>
        <v>Bloomberg Option Root</v>
      </c>
      <c r="BN5" s="29" t="str">
        <f>IFERROR(__xludf.DUMMYFUNCTION("""COMPUTED_VALUE"""),"UDA Asset")</f>
        <v>UDA Asset</v>
      </c>
      <c r="BO5" s="29" t="str">
        <f>IFERROR(__xludf.DUMMYFUNCTION("""COMPUTED_VALUE"""),"UDA Security")</f>
        <v>UDA Security</v>
      </c>
      <c r="BP5" s="29" t="str">
        <f>IFERROR(__xludf.DUMMYFUNCTION("""COMPUTED_VALUE"""),"UDA Sector")</f>
        <v>UDA Sector</v>
      </c>
      <c r="BQ5" s="29" t="str">
        <f>IFERROR(__xludf.DUMMYFUNCTION("""COMPUTED_VALUE"""),"UDA SubSector")</f>
        <v>UDA SubSector</v>
      </c>
      <c r="BR5" s="29" t="str">
        <f>IFERROR(__xludf.DUMMYFUNCTION("""COMPUTED_VALUE"""),"UDA Country")</f>
        <v>UDA Country</v>
      </c>
      <c r="BS5" s="29" t="str">
        <f>IFERROR(__xludf.DUMMYFUNCTION("""COMPUTED_VALUE"""),"UseUDAFromUnderlyingOrRoot")</f>
        <v>UseUDAFromUnderlyingOrRoot</v>
      </c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1" t="s">
        <v>29</v>
      </c>
      <c r="D6" s="31" t="s">
        <v>30</v>
      </c>
      <c r="E6" s="31" t="s">
        <v>31</v>
      </c>
      <c r="F6" s="31" t="s">
        <v>32</v>
      </c>
      <c r="G6" s="31" t="s">
        <v>16</v>
      </c>
      <c r="H6" s="8"/>
      <c r="I6" s="8"/>
      <c r="J6" s="8"/>
      <c r="K6" s="8"/>
      <c r="L6" s="8"/>
      <c r="M6" s="8"/>
      <c r="N6" s="8"/>
      <c r="O6" s="8"/>
      <c r="Q6" s="31" t="s">
        <v>33</v>
      </c>
      <c r="X6" s="31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VerifySymbolLookUp!$4:$4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  <col customWidth="1" min="71" max="71" width="24.75"/>
    <col customWidth="1" min="7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IFERROR(__xludf.DUMMYFUNCTION("""COMPUTED_VALUE"""),"EnterFixedIncome")</f>
        <v>EnterFixedIncome</v>
      </c>
      <c r="H4" s="24" t="str">
        <f>IFERROR(__xludf.DUMMYFUNCTION("""COMPUTED_VALUE"""),"EnterPrivateEquity")</f>
        <v>EnterPrivateEquity</v>
      </c>
      <c r="I4" s="24" t="str">
        <f>IFERROR(__xludf.DUMMYFUNCTION("""COMPUTED_VALUE"""),"EnterFXForward")</f>
        <v>EnterFXForward</v>
      </c>
      <c r="J4" s="24" t="str">
        <f>IFERROR(__xludf.DUMMYFUNCTION("""COMPUTED_VALUE"""),"EnterFuture")</f>
        <v>EnterFuture</v>
      </c>
      <c r="K4" s="24" t="str">
        <f>IFERROR(__xludf.DUMMYFUNCTION("""COMPUTED_VALUE"""),"EnterFutureOptions")</f>
        <v>EnterFutureOptions</v>
      </c>
      <c r="L4" s="24" t="str">
        <f>IFERROR(__xludf.DUMMYFUNCTION("""COMPUTED_VALUE"""),"UpdateSecurityInfoOnSM")</f>
        <v>UpdateSecurityInfoOnSM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IFERROR(__xludf.DUMMYFUNCTION("""COMPUTED_VALUE"""),"Analyst")</f>
        <v>Analyst</v>
      </c>
      <c r="C5" s="27" t="str">
        <f>IFERROR(__xludf.DUMMYFUNCTION("""COMPUTED_VALUE"""),"Asset Class")</f>
        <v>Asset Class</v>
      </c>
      <c r="D5" s="27" t="str">
        <f>IFERROR(__xludf.DUMMYFUNCTION("""COMPUTED_VALUE"""),"Underlying")</f>
        <v>Underlying</v>
      </c>
      <c r="E5" s="27" t="str">
        <f>IFERROR(__xludf.DUMMYFUNCTION("""COMPUTED_VALUE"""),"Exchange")</f>
        <v>Exchange</v>
      </c>
      <c r="F5" s="28" t="str">
        <f>IFERROR(__xludf.DUMMYFUNCTION("""COMPUTED_VALUE"""),"Currency")</f>
        <v>Currency</v>
      </c>
      <c r="G5" s="27" t="str">
        <f>IFERROR(__xludf.DUMMYFUNCTION("""COMPUTED_VALUE"""),"Ticker")</f>
        <v>Ticker</v>
      </c>
      <c r="H5" s="27" t="str">
        <f>IFERROR(__xludf.DUMMYFUNCTION("""COMPUTED_VALUE"""),"Description")</f>
        <v>Description</v>
      </c>
      <c r="I5" s="27" t="str">
        <f>IFERROR(__xludf.DUMMYFUNCTION("""COMPUTED_VALUE"""),"Proxy Symbol")</f>
        <v>Proxy Symbol</v>
      </c>
      <c r="J5" s="27" t="str">
        <f>IFERROR(__xludf.DUMMYFUNCTION("""COMPUTED_VALUE"""),"RIC")</f>
        <v>RIC</v>
      </c>
      <c r="K5" s="27" t="str">
        <f>IFERROR(__xludf.DUMMYFUNCTION("""COMPUTED_VALUE"""),"BB Code")</f>
        <v>BB Code</v>
      </c>
      <c r="L5" s="27" t="str">
        <f>IFERROR(__xludf.DUMMYFUNCTION("""COMPUTED_VALUE"""),"CUSIP")</f>
        <v>CUSIP</v>
      </c>
      <c r="M5" s="27" t="str">
        <f>IFERROR(__xludf.DUMMYFUNCTION("""COMPUTED_VALUE"""),"ISIN")</f>
        <v>ISIN</v>
      </c>
      <c r="N5" s="27" t="str">
        <f>IFERROR(__xludf.DUMMYFUNCTION("""COMPUTED_VALUE"""),"SEDOL")</f>
        <v>SEDOL</v>
      </c>
      <c r="O5" s="27" t="str">
        <f>IFERROR(__xludf.DUMMYFUNCTION("""COMPUTED_VALUE"""),"OSI-21")</f>
        <v>OSI-21</v>
      </c>
      <c r="P5" s="27" t="str">
        <f>IFERROR(__xludf.DUMMYFUNCTION("""COMPUTED_VALUE"""),"IDCO-22")</f>
        <v>IDCO-22</v>
      </c>
      <c r="Q5" s="27" t="str">
        <f>IFERROR(__xludf.DUMMYFUNCTION("""COMPUTED_VALUE"""),"Country Of Risk")</f>
        <v>Country Of Risk</v>
      </c>
      <c r="R5" s="27" t="str">
        <f>IFERROR(__xludf.DUMMYFUNCTION("""COMPUTED_VALUE"""),"Multiplier")</f>
        <v>Multiplier</v>
      </c>
      <c r="S5" s="27" t="str">
        <f>IFERROR(__xludf.DUMMYFUNCTION("""COMPUTED_VALUE"""),"IssueDate")</f>
        <v>IssueDate</v>
      </c>
      <c r="T5" s="29" t="str">
        <f>IFERROR(__xludf.DUMMYFUNCTION("""COMPUTED_VALUE"""),"FirstCouponDate")</f>
        <v>FirstCouponDate</v>
      </c>
      <c r="U5" s="29" t="str">
        <f>IFERROR(__xludf.DUMMYFUNCTION("""COMPUTED_VALUE"""),"Expiration Date")</f>
        <v>Expiration Date</v>
      </c>
      <c r="V5" s="29" t="str">
        <f>IFERROR(__xludf.DUMMYFUNCTION("""COMPUTED_VALUE"""),"Fixing Date")</f>
        <v>Fixing Date</v>
      </c>
      <c r="W5" s="29" t="str">
        <f>IFERROR(__xludf.DUMMYFUNCTION("""COMPUTED_VALUE"""),"Is NDF")</f>
        <v>Is NDF</v>
      </c>
      <c r="X5" s="29" t="str">
        <f>IFERROR(__xludf.DUMMYFUNCTION("""COMPUTED_VALUE"""),"Underlying Symbol")</f>
        <v>Underlying Symbol</v>
      </c>
      <c r="Y5" s="29" t="str">
        <f>IFERROR(__xludf.DUMMYFUNCTION("""COMPUTED_VALUE"""),"Put/Call")</f>
        <v>Put/Call</v>
      </c>
      <c r="Z5" s="29" t="str">
        <f>IFERROR(__xludf.DUMMYFUNCTION("""COMPUTED_VALUE"""),"Strike Price")</f>
        <v>Strike Price</v>
      </c>
      <c r="AA5" s="29" t="str">
        <f>IFERROR(__xludf.DUMMYFUNCTION("""COMPUTED_VALUE"""),"Leveraged Factor")</f>
        <v>Leveraged Factor</v>
      </c>
      <c r="AB5" s="29" t="str">
        <f>IFERROR(__xludf.DUMMYFUNCTION("""COMPUTED_VALUE"""),"Bond Type")</f>
        <v>Bond Type</v>
      </c>
      <c r="AC5" s="29" t="str">
        <f>IFERROR(__xludf.DUMMYFUNCTION("""COMPUTED_VALUE"""),"Accrual Basis")</f>
        <v>Accrual Basis</v>
      </c>
      <c r="AD5" s="29" t="str">
        <f>IFERROR(__xludf.DUMMYFUNCTION("""COMPUTED_VALUE"""),"Coupon Frequency")</f>
        <v>Coupon Frequency</v>
      </c>
      <c r="AE5" s="29" t="str">
        <f>IFERROR(__xludf.DUMMYFUNCTION("""COMPUTED_VALUE"""),"Issuer")</f>
        <v>Issuer</v>
      </c>
      <c r="AF5" s="29" t="str">
        <f>IFERROR(__xludf.DUMMYFUNCTION("""COMPUTED_VALUE"""),"Currency Future")</f>
        <v>Currency Future</v>
      </c>
      <c r="AG5" s="29" t="str">
        <f>IFERROR(__xludf.DUMMYFUNCTION("""COMPUTED_VALUE"""),"Custom UDA4")</f>
        <v>Custom UDA4</v>
      </c>
      <c r="AH5" s="29" t="str">
        <f>IFERROR(__xludf.DUMMYFUNCTION("""COMPUTED_VALUE"""),"Custom UDA5")</f>
        <v>Custom UDA5</v>
      </c>
      <c r="AI5" s="29" t="str">
        <f>IFERROR(__xludf.DUMMYFUNCTION("""COMPUTED_VALUE"""),"Custom UDA6")</f>
        <v>Custom UDA6</v>
      </c>
      <c r="AJ5" s="29" t="str">
        <f>IFERROR(__xludf.DUMMYFUNCTION("""COMPUTED_VALUE"""),"Custom UDA7")</f>
        <v>Custom UDA7</v>
      </c>
      <c r="AK5" s="29" t="str">
        <f>IFERROR(__xludf.DUMMYFUNCTION("""COMPUTED_VALUE"""),"Liquid Tag")</f>
        <v>Liquid Tag</v>
      </c>
      <c r="AL5" s="29" t="str">
        <f>IFERROR(__xludf.DUMMYFUNCTION("""COMPUTED_VALUE"""),"Region")</f>
        <v>Region</v>
      </c>
      <c r="AM5" s="29" t="str">
        <f>IFERROR(__xludf.DUMMYFUNCTION("""COMPUTED_VALUE"""),"OPRAOptionSymbol")</f>
        <v>OPRAOptionSymbol</v>
      </c>
      <c r="AN5" s="29" t="str">
        <f>IFERROR(__xludf.DUMMYFUNCTION("""COMPUTED_VALUE"""),"Risk Currency")</f>
        <v>Risk Currency</v>
      </c>
      <c r="AO5" s="29" t="str">
        <f>IFERROR(__xludf.DUMMYFUNCTION("""COMPUTED_VALUE"""),"RequestedSymbology")</f>
        <v>RequestedSymbology</v>
      </c>
      <c r="AP5" s="29" t="str">
        <f>IFERROR(__xludf.DUMMYFUNCTION("""COMPUTED_VALUE"""),"RequestedSymbol")</f>
        <v>RequestedSymbol</v>
      </c>
      <c r="AQ5" s="29" t="str">
        <f>IFERROR(__xludf.DUMMYFUNCTION("""COMPUTED_VALUE"""),"Coupon (%)")</f>
        <v>Coupon (%)</v>
      </c>
      <c r="AR5" s="29" t="str">
        <f>IFERROR(__xludf.DUMMYFUNCTION("""COMPUTED_VALUE"""),"IsZero")</f>
        <v>IsZero</v>
      </c>
      <c r="AS5" s="29" t="str">
        <f>IFERROR(__xludf.DUMMYFUNCTION("""COMPUTED_VALUE"""),"CountryCode")</f>
        <v>CountryCode</v>
      </c>
      <c r="AT5" s="29" t="str">
        <f>IFERROR(__xludf.DUMMYFUNCTION("""COMPUTED_VALUE"""),"DaysToSettlement")</f>
        <v>DaysToSettlement</v>
      </c>
      <c r="AU5" s="29" t="str">
        <f>IFERROR(__xludf.DUMMYFUNCTION("""COMPUTED_VALUE"""),"CutOffTime")</f>
        <v>CutOffTime</v>
      </c>
      <c r="AV5" s="29" t="str">
        <f>IFERROR(__xludf.DUMMYFUNCTION("""COMPUTED_VALUE"""),"Creation Date")</f>
        <v>Creation Date</v>
      </c>
      <c r="AW5" s="29" t="str">
        <f>IFERROR(__xludf.DUMMYFUNCTION("""COMPUTED_VALUE"""),"Modified Date")</f>
        <v>Modified Date</v>
      </c>
      <c r="AX5" s="29" t="str">
        <f>IFERROR(__xludf.DUMMYFUNCTION("""COMPUTED_VALUE"""),"RoundLots")</f>
        <v>RoundLots</v>
      </c>
      <c r="AY5" s="29" t="str">
        <f>IFERROR(__xludf.DUMMYFUNCTION("""COMPUTED_VALUE"""),"Sector")</f>
        <v>Sector</v>
      </c>
      <c r="AZ5" s="29" t="str">
        <f>IFERROR(__xludf.DUMMYFUNCTION("""COMPUTED_VALUE"""),"UCITS Eligible Tag")</f>
        <v>UCITS Eligible Tag</v>
      </c>
      <c r="BA5" s="29" t="str">
        <f>IFERROR(__xludf.DUMMYFUNCTION("""COMPUTED_VALUE"""),"DataSource")</f>
        <v>DataSource</v>
      </c>
      <c r="BB5" s="29" t="str">
        <f>IFERROR(__xludf.DUMMYFUNCTION("""COMPUTED_VALUE"""),"IsSecApproved")</f>
        <v>IsSecApproved</v>
      </c>
      <c r="BC5" s="29" t="str">
        <f>IFERROR(__xludf.DUMMYFUNCTION("""COMPUTED_VALUE"""),"Approval Status")</f>
        <v>Approval Status</v>
      </c>
      <c r="BD5" s="29" t="str">
        <f>IFERROR(__xludf.DUMMYFUNCTION("""COMPUTED_VALUE"""),"Last Approved By")</f>
        <v>Last Approved By</v>
      </c>
      <c r="BE5" s="29" t="str">
        <f>IFERROR(__xludf.DUMMYFUNCTION("""COMPUTED_VALUE"""),"CreatedBy")</f>
        <v>CreatedBy</v>
      </c>
      <c r="BF5" s="29" t="str">
        <f>IFERROR(__xludf.DUMMYFUNCTION("""COMPUTED_VALUE"""),"ModifiedBy")</f>
        <v>ModifiedBy</v>
      </c>
      <c r="BG5" s="29" t="str">
        <f>IFERROR(__xludf.DUMMYFUNCTION("""COMPUTED_VALUE"""),"BBGID")</f>
        <v>BBGID</v>
      </c>
      <c r="BH5" s="29" t="str">
        <f>IFERROR(__xludf.DUMMYFUNCTION("""COMPUTED_VALUE"""),"PrimarySymbology")</f>
        <v>PrimarySymbology</v>
      </c>
      <c r="BI5" s="29" t="str">
        <f>IFERROR(__xludf.DUMMYFUNCTION("""COMPUTED_VALUE"""),"ApprovalDate")</f>
        <v>ApprovalDate</v>
      </c>
      <c r="BJ5" s="29" t="str">
        <f>IFERROR(__xludf.DUMMYFUNCTION("""COMPUTED_VALUE"""),"Comments")</f>
        <v>Comments</v>
      </c>
      <c r="BK5" s="29" t="str">
        <f>IFERROR(__xludf.DUMMYFUNCTION("""COMPUTED_VALUE"""),"Strike Price Multiplier")</f>
        <v>Strike Price Multiplier</v>
      </c>
      <c r="BL5" s="29" t="str">
        <f>IFERROR(__xludf.DUMMYFUNCTION("""COMPUTED_VALUE"""),"Esignal Option Root")</f>
        <v>Esignal Option Root</v>
      </c>
      <c r="BM5" s="29" t="str">
        <f>IFERROR(__xludf.DUMMYFUNCTION("""COMPUTED_VALUE"""),"Bloomberg Option Root")</f>
        <v>Bloomberg Option Root</v>
      </c>
      <c r="BN5" s="29" t="str">
        <f>IFERROR(__xludf.DUMMYFUNCTION("""COMPUTED_VALUE"""),"UDA Asset")</f>
        <v>UDA Asset</v>
      </c>
      <c r="BO5" s="29" t="str">
        <f>IFERROR(__xludf.DUMMYFUNCTION("""COMPUTED_VALUE"""),"UDA Security")</f>
        <v>UDA Security</v>
      </c>
      <c r="BP5" s="29" t="str">
        <f>IFERROR(__xludf.DUMMYFUNCTION("""COMPUTED_VALUE"""),"UDA Sector")</f>
        <v>UDA Sector</v>
      </c>
      <c r="BQ5" s="29" t="str">
        <f>IFERROR(__xludf.DUMMYFUNCTION("""COMPUTED_VALUE"""),"UDA SubSector")</f>
        <v>UDA SubSector</v>
      </c>
      <c r="BR5" s="29" t="str">
        <f>IFERROR(__xludf.DUMMYFUNCTION("""COMPUTED_VALUE"""),"UDA Country")</f>
        <v>UDA Country</v>
      </c>
      <c r="BS5" s="29" t="str">
        <f>IFERROR(__xludf.DUMMYFUNCTION("""COMPUTED_VALUE"""),"UseUDAFromUnderlyingOrRoot")</f>
        <v>UseUDAFromUnderlyingOrRoot</v>
      </c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1" t="s">
        <v>29</v>
      </c>
      <c r="D6" s="31" t="s">
        <v>30</v>
      </c>
      <c r="E6" s="31" t="s">
        <v>34</v>
      </c>
      <c r="F6" s="31" t="s">
        <v>32</v>
      </c>
      <c r="G6" s="31" t="s">
        <v>21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ForMultipleVerifySymbolLookUp!$4:$4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 ")</f>
        <v>IsManual Group 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  ")</f>
        <v>Soft Commission  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 ")</f>
        <v>Settlement Date 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 ")</f>
        <v>Bloomberg 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19</v>
      </c>
      <c r="C6" s="11" t="s">
        <v>17</v>
      </c>
      <c r="D6" s="31">
        <v>10000.0</v>
      </c>
      <c r="E6" s="31"/>
      <c r="F6" s="8"/>
      <c r="G6" s="8"/>
      <c r="H6" s="8"/>
      <c r="I6" s="8"/>
      <c r="J6" s="8"/>
      <c r="K6" s="8"/>
      <c r="L6" s="8"/>
      <c r="M6" s="8"/>
      <c r="N6" s="31"/>
      <c r="O6" s="8"/>
    </row>
    <row r="7" ht="15.75" customHeight="1">
      <c r="A7" s="8"/>
      <c r="B7" s="31" t="s">
        <v>20</v>
      </c>
      <c r="C7" s="11" t="s">
        <v>17</v>
      </c>
      <c r="D7" s="31">
        <v>500.0</v>
      </c>
      <c r="E7" s="31"/>
      <c r="F7" s="8"/>
      <c r="G7" s="8"/>
      <c r="H7" s="8"/>
      <c r="I7" s="8"/>
      <c r="J7" s="8"/>
      <c r="K7" s="8"/>
      <c r="L7" s="8"/>
      <c r="M7" s="8"/>
      <c r="N7" s="31"/>
      <c r="O7" s="8"/>
    </row>
    <row r="8" ht="15.75" customHeight="1">
      <c r="A8" s="8"/>
      <c r="B8" s="31" t="s">
        <v>21</v>
      </c>
      <c r="C8" s="11" t="s">
        <v>17</v>
      </c>
      <c r="D8" s="31">
        <v>700.0</v>
      </c>
      <c r="E8" s="31"/>
      <c r="F8" s="8"/>
      <c r="G8" s="8"/>
      <c r="H8" s="8"/>
      <c r="I8" s="8"/>
      <c r="J8" s="8"/>
      <c r="K8" s="8"/>
      <c r="L8" s="8"/>
      <c r="M8" s="8"/>
      <c r="N8" s="31"/>
      <c r="O8" s="8"/>
    </row>
    <row r="9" ht="15.75" customHeight="1">
      <c r="A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MulTradOpenSymbolLookupUnallGrp!$4:$4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