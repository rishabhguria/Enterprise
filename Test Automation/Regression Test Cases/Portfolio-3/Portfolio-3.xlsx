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CreateDoneAwayOrder1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SelectAllocatedGroup1" sheetId="15" r:id="rId17"/>
    <sheet state="visible" name="BookOrUpdateSwap1" sheetId="16" r:id="rId18"/>
    <sheet state="visible" name="CreateDoneAwayOrder" sheetId="17" r:id="rId19"/>
    <sheet state="visible" name="PricingInput1" sheetId="18" r:id="rId20"/>
    <sheet state="visible" name="GetDailyCash" sheetId="19" r:id="rId21"/>
    <sheet state="visible" name="UpdateMultipleDailyCash" sheetId="20" r:id="rId22"/>
    <sheet state="visible" name="GetCashTransaction" sheetId="21" r:id="rId23"/>
    <sheet state="visible" name="AddCashTransaction" sheetId="22" r:id="rId24"/>
    <sheet state="visible" name="RunRevaluation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<sst xmlns="http://schemas.openxmlformats.org/spreadsheetml/2006/main" count="796" uniqueCount="325">
  <si>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</si>
  <si>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</si>
  <si>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</si>
  <si>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</si>
  <si>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</si>
  <si>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</si>
  <si>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</si>
  <si>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</si>
  <si>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</si>
  <si>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</si>
  <si>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</si>
  <si>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</si>
  <si>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</si>
  <si>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</si>
  <si>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</si>
  <si>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</si>
  <si>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</si>
  <si>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</si>
  <si>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</si>
  <si>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</si>
  <si>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</si>
  <si>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</si>
  <si>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</si>
  <si>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</si>
  <si>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</si>
  <si>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</si>
  <si>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</si>
  <si>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</si>
  <si>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</si>
  <si>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</si>
  <si>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</si>
  <si>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</si>
  <si>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</si>
  <si>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</si>
  <si>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</si>
  <si>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</si>
  <si>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</si>
  <si>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</si>
  <si>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</si>
  <si>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</si>
  <si>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</si>
  <si>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</si>
  <si>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</si>
  <si>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</si>
  <si>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</si>
  <si>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</si>
  <si>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</si>
  <si>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</si>
  <si>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</si>
  <si>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</si>
  <si>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</si>
  <si>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</si>
  <si>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</si>
  <si>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</si>
  <si>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</si>
  <si>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</si>
  <si>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</si>
  <si>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</si>
  <si>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</si>
  <si>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</si>
  <si>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</si>
  <si>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</si>
  <si>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</si>
  <si>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</si>
  <si>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</si>
  <si>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</si>
  <si>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</si>
  <si>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</si>
  <si>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</si>
  <si>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</si>
  <si>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</si>
  <si>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</si>
  <si>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</si>
  <si>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</si>
  <si>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</si>
  <si>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</si>
  <si>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</si>
  <si>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</si>
  <si>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</si>
  <si>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</si>
  <si>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</si>
  <si>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</si>
  <si>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</si>
  <si>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</si>
  <si>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</si>
  <si>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</si>
  <si>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</si>
  <si>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</si>
  <si>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</si>
  <si>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</si>
  <si>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</si>
  <si>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</si>
  <si>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</si>
  <si>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</si>
  <si>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</si>
  <si>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</si>
  <si>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</si>
  <si>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</si>
  <si>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</si>
  <si>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</si>
  <si>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</si>
  <si>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</si>
  <si>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</si>
  <si>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</si>
  <si>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</si>
  <si>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</si>
  <si>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</si>
  <si>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</si>
  <si>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</si>
  <si>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</si>
  <si>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</si>
  <si>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</si>
  <si>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</si>
  <si>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</si>
  <si>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</si>
  <si>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</si>
  <si>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</si>
  <si>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>CreateDoneAwayOrder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</si>
  <si>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</si>
  <si>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</si>
  <si>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</si>
  <si>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</si>
  <si>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</si>
  <si>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</si>
  <si>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</si>
  <si>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</si>
  <si>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</si>
  <si>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</si>
  <si>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</si>
  <si>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</si>
  <si>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</si>
  <si>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</si>
  <si>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</si>
  <si>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</si>
  <si>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</si>
  <si>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</si>
  <si>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</si>
  <si>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PortfolioManagement</t>
  </si>
  <si>
    <t>CheckPortfolioManagement</t>
  </si>
  <si>
    <t>Prime Broker</t>
  </si>
  <si>
    <t>Position</t>
  </si>
  <si>
    <t>Cost Basis</t>
  </si>
  <si>
    <t>Asset Class</t>
  </si>
  <si>
    <t>Underlying</t>
  </si>
  <si>
    <t>Exchange</t>
  </si>
  <si>
    <t>Trade Currency</t>
  </si>
  <si>
    <t>Multiplier</t>
  </si>
  <si>
    <t>FX Rate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</si>
  <si>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</si>
  <si>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</si>
  <si>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</si>
  <si>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</si>
  <si>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</si>
  <si>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</si>
  <si>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</si>
  <si>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</si>
  <si>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</si>
  <si>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</si>
  <si>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</si>
  <si>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</si>
  <si>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</si>
  <si>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</si>
  <si>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</si>
  <si>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PL (Local)</t>
  </si>
  <si>
    <t>Day PL (Base)</t>
  </si>
  <si>
    <t>Delta</t>
  </si>
  <si>
    <t>Leveraged Factor</t>
  </si>
  <si>
    <t>MasterFund</t>
  </si>
  <si>
    <t>Transaction Side</t>
  </si>
  <si>
    <t>Underlying Symbol</t>
  </si>
  <si>
    <t>Underlying Price</t>
  </si>
  <si>
    <t>Side Multiplier</t>
  </si>
  <si>
    <t>Security Name</t>
  </si>
  <si>
    <t>Description</t>
  </si>
  <si>
    <t>Internal Comments</t>
  </si>
  <si>
    <t>Day PL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</si>
  <si>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</si>
  <si>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</si>
  <si>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</si>
  <si>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</si>
  <si>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</si>
  <si>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</si>
  <si>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</si>
  <si>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PL (Local)</t>
  </si>
  <si>
    <t>Day Interest</t>
  </si>
  <si>
    <t>Total Interest</t>
  </si>
  <si>
    <t>Cost Basis PL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</si>
  <si>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</si>
  <si>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</si>
  <si>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</si>
  <si>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</si>
  <si>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</si>
  <si>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</si>
  <si>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</si>
  <si>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</si>
  <si>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</si>
  <si>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</si>
  <si>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</si>
  <si>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</si>
  <si>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</si>
  <si>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</si>
  <si>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</si>
  <si>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</si>
  <si>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</si>
  <si>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</si>
  <si>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</si>
  <si>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</si>
  <si>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Strike Price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</si>
  <si>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</si>
  <si>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</si>
  <si>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</si>
  <si>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</si>
  <si>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</si>
  <si>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</si>
  <si>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PL (Base)(Price Gain)</t>
  </si>
  <si>
    <t>Day PL (Base)(FX Gain)</t>
  </si>
  <si>
    <t>Cost Basis PL (Base)(FX Gain)</t>
  </si>
  <si>
    <t>Cost Basis PL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</si>
  <si>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</si>
  <si>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</si>
  <si>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</si>
  <si>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</si>
  <si>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</si>
  <si>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</si>
  <si>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</si>
  <si>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</si>
  <si>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</si>
  <si>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</si>
  <si>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</si>
  <si>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Pricing Source</t>
  </si>
  <si>
    <t>Delta Source</t>
  </si>
  <si>
    <t>Gross Exposure (Local)</t>
  </si>
  <si>
    <t>% Day PL (Gross MV)</t>
  </si>
  <si>
    <t>% Day PL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</si>
  <si>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</si>
  <si>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</si>
  <si>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</si>
  <si>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</si>
  <si>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</si>
  <si>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</si>
  <si>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</si>
  <si>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</si>
  <si>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</si>
  <si>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</si>
  <si>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</si>
  <si>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</si>
  <si>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</si>
  <si>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</si>
  <si>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</si>
  <si>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</si>
  <si>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</si>
  <si>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</si>
  <si>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</si>
  <si>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</si>
  <si>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</si>
  <si>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</si>
  <si>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</si>
  <si>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</si>
  <si>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</si>
  <si>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</si>
  <si>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</si>
  <si>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</si>
  <si>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</si>
  <si>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</si>
  <si>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</si>
  <si>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</si>
  <si>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</si>
  <si>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</si>
  <si>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</si>
  <si>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</si>
  <si>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</si>
  <si>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</si>
  <si>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</si>
  <si>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</si>
  <si>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</si>
  <si>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</si>
  <si>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</si>
  <si>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</si>
  <si>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</si>
  <si>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</si>
  <si>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</si>
  <si>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</si>
  <si>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PL Contribution</t>
  </si>
  <si>
    <t>% Net Market Value (Base)</t>
  </si>
  <si>
    <t>Position Side Exposure</t>
  </si>
  <si>
    <t>Position Side</t>
  </si>
  <si>
    <t>FIMAT</t>
  </si>
  <si>
    <t>Strategy Unallocated</t>
  </si>
  <si>
    <t>ES U5</t>
  </si>
  <si>
    <t>Future</t>
  </si>
  <si>
    <t>US</t>
  </si>
  <si>
    <t>CMEE</t>
  </si>
  <si>
    <t>DefaultNotes</t>
  </si>
  <si>
    <t>Undefined</t>
  </si>
  <si>
    <t>Preferencial</t>
  </si>
  <si>
    <t>Engineering and Construction</t>
  </si>
  <si>
    <t>Aluminum</t>
  </si>
  <si>
    <t>jpearce</t>
  </si>
  <si>
    <t>MS</t>
  </si>
  <si>
    <t>User Defined</t>
  </si>
  <si>
    <t>FixedIncome</t>
  </si>
  <si>
    <t>EmergingDebt</t>
  </si>
  <si>
    <t>OTC</t>
  </si>
  <si>
    <t>Short</t>
  </si>
  <si>
    <t>EquitySwap</t>
  </si>
  <si>
    <t>NASDAQ</t>
  </si>
  <si>
    <t>Equity</t>
  </si>
  <si>
    <t>Equity General</t>
  </si>
  <si>
    <t>Technology</t>
  </si>
  <si>
    <t>EU</t>
  </si>
  <si>
    <t>LSE</t>
  </si>
  <si>
    <t>NYSE</t>
  </si>
  <si>
    <t>Consumer</t>
  </si>
  <si>
    <t>EquityOption</t>
  </si>
  <si>
    <t>OPTS</t>
  </si>
  <si>
    <t>AAPL</t>
  </si>
  <si>
    <t>Equity Call</t>
  </si>
  <si>
    <t>New Hedge</t>
  </si>
  <si>
    <t>Small Cap</t>
  </si>
  <si>
    <t>MSFT</t>
  </si>
  <si>
    <t>Information Technology</t>
  </si>
  <si>
    <t>Copper</t>
  </si>
  <si>
    <t>Communications</t>
  </si>
  <si>
    <t>Europe</t>
  </si>
  <si>
    <t>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</si>
</sst>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45851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45851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45851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45851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45851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45851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45851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45851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40</v>
      </c>
      <c r="C5" s="27" t="s">
        <v>41</v>
      </c>
      <c r="D5" s="27" t="s">
        <v>42</v>
      </c>
      <c r="E5" s="27" t="s">
        <v>43</v>
      </c>
      <c r="F5" s="28" t="s">
        <v>44</v>
      </c>
      <c r="G5" s="27" t="s">
        <v>45</v>
      </c>
      <c r="H5" s="27" t="s">
        <v>46</v>
      </c>
      <c r="I5" s="27" t="s">
        <v>47</v>
      </c>
      <c r="J5" s="27" t="s">
        <v>48</v>
      </c>
      <c r="K5" s="27" t="s">
        <v>49</v>
      </c>
      <c r="L5" s="27" t="s">
        <v>50</v>
      </c>
      <c r="M5" s="27" t="s">
        <v>51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7" t="s">
        <v>57</v>
      </c>
      <c r="T5" s="29" t="s">
        <v>58</v>
      </c>
      <c r="U5" s="29" t="s">
        <v>59</v>
      </c>
      <c r="V5" s="29" t="s">
        <v>60</v>
      </c>
      <c r="W5" s="29" t="s">
        <v>61</v>
      </c>
      <c r="X5" s="29" t="s">
        <v>62</v>
      </c>
      <c r="Y5" s="29" t="s">
        <v>63</v>
      </c>
      <c r="Z5" s="29" t="s">
        <v>64</v>
      </c>
      <c r="AA5" s="29" t="s">
        <v>65</v>
      </c>
      <c r="AB5" s="29" t="s">
        <v>66</v>
      </c>
      <c r="AC5" s="29" t="s">
        <v>67</v>
      </c>
      <c r="AD5" s="29" t="s">
        <v>68</v>
      </c>
      <c r="AE5" s="29" t="s">
        <v>69</v>
      </c>
      <c r="AF5" s="29" t="s">
        <v>70</v>
      </c>
      <c r="AG5" s="29" t="s">
        <v>71</v>
      </c>
      <c r="AH5" s="29" t="s">
        <v>72</v>
      </c>
      <c r="AI5" s="29" t="s">
        <v>73</v>
      </c>
      <c r="AJ5" s="29" t="s">
        <v>74</v>
      </c>
      <c r="AK5" s="29" t="s">
        <v>75</v>
      </c>
      <c r="AL5" s="29" t="s">
        <v>76</v>
      </c>
      <c r="AM5" s="29" t="s">
        <v>77</v>
      </c>
      <c r="AN5" s="29" t="s">
        <v>78</v>
      </c>
      <c r="AO5" s="29" t="s">
        <v>79</v>
      </c>
      <c r="AP5" s="29" t="s">
        <v>80</v>
      </c>
      <c r="AQ5" s="29" t="s">
        <v>81</v>
      </c>
      <c r="AR5" s="29" t="s">
        <v>82</v>
      </c>
      <c r="AS5" s="29" t="s">
        <v>83</v>
      </c>
      <c r="AT5" s="29" t="s">
        <v>84</v>
      </c>
      <c r="AU5" s="29" t="s">
        <v>85</v>
      </c>
      <c r="AV5" s="29" t="s">
        <v>86</v>
      </c>
      <c r="AW5" s="29" t="s">
        <v>87</v>
      </c>
      <c r="AX5" s="29" t="s">
        <v>88</v>
      </c>
      <c r="AY5" s="29" t="s">
        <v>89</v>
      </c>
      <c r="AZ5" s="29" t="s">
        <v>90</v>
      </c>
      <c r="BA5" s="29" t="s">
        <v>91</v>
      </c>
      <c r="BB5" s="29" t="s">
        <v>92</v>
      </c>
      <c r="BC5" s="29" t="s">
        <v>93</v>
      </c>
      <c r="BD5" s="29" t="s">
        <v>94</v>
      </c>
      <c r="BE5" s="29" t="s">
        <v>95</v>
      </c>
      <c r="BF5" s="29" t="s">
        <v>96</v>
      </c>
      <c r="BG5" s="29" t="s">
        <v>97</v>
      </c>
      <c r="BH5" s="29" t="s">
        <v>98</v>
      </c>
      <c r="BI5" s="29" t="s">
        <v>99</v>
      </c>
      <c r="BJ5" s="29" t="s">
        <v>100</v>
      </c>
      <c r="BK5" s="29" t="s">
        <v>101</v>
      </c>
      <c r="BL5" s="29" t="s">
        <v>102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2" t="s">
        <v>32</v>
      </c>
      <c r="D6" s="33">
        <v>100.0</v>
      </c>
      <c r="F6" s="31"/>
      <c r="G6" s="31"/>
      <c r="H6" s="31"/>
      <c r="I6" s="31"/>
      <c r="J6" s="36">
        <v>26.47</v>
      </c>
      <c r="K6" s="31"/>
      <c r="L6" s="31"/>
      <c r="M6" s="31"/>
      <c r="N6" s="37">
        <f t="shared" ref="N6:N15" si="1">TODAY()-1</f>
        <v>45851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2" t="s">
        <v>32</v>
      </c>
      <c r="D7" s="33">
        <v>100.0</v>
      </c>
      <c r="F7" s="31"/>
      <c r="G7" s="31"/>
      <c r="H7" s="31"/>
      <c r="I7" s="31"/>
      <c r="J7" s="33">
        <v>10.0</v>
      </c>
      <c r="K7" s="31"/>
      <c r="L7" s="31"/>
      <c r="M7" s="31"/>
      <c r="N7" s="37">
        <f t="shared" si="1"/>
        <v>45851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2" t="s">
        <v>32</v>
      </c>
      <c r="D8" s="33">
        <v>12000.0</v>
      </c>
      <c r="F8" s="31"/>
      <c r="G8" s="31"/>
      <c r="H8" s="31"/>
      <c r="I8" s="31"/>
      <c r="J8" s="33">
        <v>25.0</v>
      </c>
      <c r="K8" s="31"/>
      <c r="L8" s="31"/>
      <c r="M8" s="31"/>
      <c r="N8" s="37">
        <f t="shared" si="1"/>
        <v>45851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2" t="s">
        <v>33</v>
      </c>
      <c r="D9" s="33">
        <v>10.0</v>
      </c>
      <c r="F9" s="31"/>
      <c r="G9" s="31"/>
      <c r="H9" s="31"/>
      <c r="I9" s="31"/>
      <c r="J9" s="33">
        <v>20.0</v>
      </c>
      <c r="K9" s="31"/>
      <c r="L9" s="31"/>
      <c r="M9" s="31"/>
      <c r="N9" s="37">
        <f t="shared" si="1"/>
        <v>45851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2" t="s">
        <v>34</v>
      </c>
      <c r="D10" s="33">
        <v>100.0</v>
      </c>
      <c r="F10" s="31"/>
      <c r="G10" s="31"/>
      <c r="H10" s="31"/>
      <c r="I10" s="31"/>
      <c r="J10" s="33">
        <v>10.0</v>
      </c>
      <c r="K10" s="31"/>
      <c r="L10" s="31"/>
      <c r="M10" s="31"/>
      <c r="N10" s="37">
        <f t="shared" si="1"/>
        <v>45851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2" t="s">
        <v>34</v>
      </c>
      <c r="D11" s="33">
        <v>10.0</v>
      </c>
      <c r="F11" s="31"/>
      <c r="G11" s="31"/>
      <c r="H11" s="31"/>
      <c r="I11" s="31"/>
      <c r="J11" s="33">
        <v>36.6</v>
      </c>
      <c r="K11" s="31"/>
      <c r="L11" s="31"/>
      <c r="M11" s="31"/>
      <c r="N11" s="37">
        <f t="shared" si="1"/>
        <v>45851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2" t="s">
        <v>32</v>
      </c>
      <c r="D12" s="33">
        <v>100.0</v>
      </c>
      <c r="F12" s="31"/>
      <c r="G12" s="31"/>
      <c r="H12" s="31"/>
      <c r="I12" s="31"/>
      <c r="J12" s="33">
        <v>8.0</v>
      </c>
      <c r="K12" s="31"/>
      <c r="L12" s="31"/>
      <c r="M12" s="31"/>
      <c r="N12" s="37">
        <f t="shared" si="1"/>
        <v>45851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2" t="s">
        <v>33</v>
      </c>
      <c r="D13" s="33">
        <v>20000.0</v>
      </c>
      <c r="F13" s="31"/>
      <c r="G13" s="31"/>
      <c r="H13" s="31"/>
      <c r="I13" s="31"/>
      <c r="J13" s="33">
        <v>5.0</v>
      </c>
      <c r="K13" s="31"/>
      <c r="L13" s="31"/>
      <c r="M13" s="31"/>
      <c r="N13" s="37">
        <f t="shared" si="1"/>
        <v>45851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2" t="s">
        <v>37</v>
      </c>
      <c r="D14" s="33">
        <v>100.0</v>
      </c>
      <c r="F14" s="31"/>
      <c r="G14" s="31"/>
      <c r="H14" s="31"/>
      <c r="I14" s="31"/>
      <c r="J14" s="33">
        <v>8.0</v>
      </c>
      <c r="K14" s="31"/>
      <c r="L14" s="31"/>
      <c r="M14" s="31"/>
      <c r="N14" s="37">
        <f t="shared" si="1"/>
        <v>45851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2" t="s">
        <v>39</v>
      </c>
      <c r="D15" s="33">
        <v>10.0</v>
      </c>
      <c r="F15" s="31"/>
      <c r="G15" s="31"/>
      <c r="H15" s="31"/>
      <c r="I15" s="31"/>
      <c r="J15" s="33">
        <v>5.0</v>
      </c>
      <c r="K15" s="31"/>
      <c r="L15" s="31"/>
      <c r="M15" s="31"/>
      <c r="N15" s="37">
        <f t="shared" si="1"/>
        <v>45851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45851</v>
      </c>
      <c r="C6" s="37">
        <f>TODAY()</f>
        <v>45852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107</v>
      </c>
      <c r="C6" s="32" t="s">
        <v>108</v>
      </c>
      <c r="D6" s="34" t="s">
        <v>109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110</v>
      </c>
      <c r="C7" s="32" t="s">
        <v>108</v>
      </c>
      <c r="D7" s="32" t="s">
        <v>111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114</v>
      </c>
      <c r="C6" s="37">
        <f>TODAY()-1</f>
        <v>45851</v>
      </c>
      <c r="D6" s="37">
        <f>TODAY()</f>
        <v>45852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118</v>
      </c>
      <c r="C6" s="32" t="s">
        <v>32</v>
      </c>
      <c r="D6" s="36">
        <v>100.0</v>
      </c>
      <c r="E6" s="39"/>
      <c r="F6" s="8"/>
      <c r="G6" s="8"/>
      <c r="H6" s="8"/>
      <c r="I6" s="8"/>
      <c r="J6" s="33">
        <v>50.0</v>
      </c>
      <c r="K6" s="8"/>
      <c r="L6" s="8"/>
      <c r="M6" s="8"/>
      <c r="N6" s="8"/>
      <c r="O6" s="8"/>
    </row>
    <row r="7" ht="15.75" customHeight="1">
      <c r="A7" s="8"/>
      <c r="B7" s="32" t="s">
        <v>118</v>
      </c>
      <c r="C7" s="32" t="s">
        <v>33</v>
      </c>
      <c r="D7" s="33">
        <v>1.0</v>
      </c>
      <c r="E7" s="8"/>
      <c r="F7" s="8"/>
      <c r="G7" s="8"/>
      <c r="H7" s="8"/>
      <c r="I7" s="8"/>
      <c r="J7" s="33">
        <v>50.0</v>
      </c>
      <c r="K7" s="8"/>
      <c r="L7" s="8"/>
      <c r="M7" s="8"/>
      <c r="N7" s="8"/>
      <c r="O7" s="8"/>
    </row>
    <row r="8" ht="15.75" customHeight="1">
      <c r="A8" s="8"/>
      <c r="B8" s="32" t="s">
        <v>118</v>
      </c>
      <c r="C8" s="32" t="s">
        <v>33</v>
      </c>
      <c r="D8" s="33">
        <v>98.0</v>
      </c>
      <c r="E8" s="8"/>
      <c r="F8" s="8"/>
      <c r="G8" s="8"/>
      <c r="H8" s="8"/>
      <c r="I8" s="8"/>
      <c r="J8" s="33">
        <v>50.0</v>
      </c>
      <c r="K8" s="8"/>
      <c r="L8" s="8"/>
      <c r="M8" s="8"/>
      <c r="N8" s="8"/>
      <c r="O8" s="8"/>
    </row>
    <row r="9" ht="15.75" customHeight="1">
      <c r="A9" s="8"/>
      <c r="B9" s="32" t="s">
        <v>119</v>
      </c>
      <c r="C9" s="32" t="s">
        <v>33</v>
      </c>
      <c r="D9" s="33">
        <v>10.0</v>
      </c>
      <c r="E9" s="8"/>
      <c r="F9" s="8"/>
      <c r="G9" s="8"/>
      <c r="H9" s="8"/>
      <c r="I9" s="8"/>
      <c r="J9" s="33">
        <v>5.0</v>
      </c>
      <c r="K9" s="8"/>
      <c r="L9" s="8"/>
      <c r="M9" s="8"/>
      <c r="N9" s="8"/>
      <c r="O9" s="8"/>
    </row>
    <row r="10" ht="15.75" customHeight="1">
      <c r="A10" s="8"/>
      <c r="B10" s="8"/>
      <c r="C10" s="31"/>
      <c r="D10" s="8"/>
      <c r="E10" s="8"/>
      <c r="F10" s="8"/>
      <c r="G10" s="8"/>
      <c r="H10" s="8"/>
      <c r="I10" s="8"/>
      <c r="J10" s="31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118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119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45851</v>
      </c>
      <c r="C6" s="37">
        <f t="shared" si="1"/>
        <v>45851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122</v>
      </c>
      <c r="C6" s="32" t="s">
        <v>108</v>
      </c>
      <c r="D6" s="40">
        <v>54662.0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122</v>
      </c>
      <c r="C6" s="31" t="s">
        <v>125</v>
      </c>
      <c r="D6" s="41">
        <f t="shared" ref="D6:E6" si="1">TODAY()</f>
        <v>45852</v>
      </c>
      <c r="E6" s="41">
        <f t="shared" si="1"/>
        <v>45852</v>
      </c>
      <c r="F6" s="31"/>
      <c r="G6" s="31" t="s">
        <v>126</v>
      </c>
      <c r="H6" s="31" t="s">
        <v>127</v>
      </c>
      <c r="I6" s="31" t="s">
        <v>126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129</v>
      </c>
      <c r="D6" s="34" t="s">
        <v>130</v>
      </c>
      <c r="E6" s="31" t="s">
        <v>131</v>
      </c>
      <c r="F6" s="32" t="s">
        <v>122</v>
      </c>
      <c r="G6" s="32" t="s">
        <v>108</v>
      </c>
      <c r="H6" s="33">
        <v>1500.0</v>
      </c>
      <c r="I6" s="37">
        <f>TODAY()-1</f>
        <v>45851</v>
      </c>
      <c r="J6" s="37">
        <f>TODAY()+2</f>
        <v>45854</v>
      </c>
      <c r="K6" s="37">
        <f>TODAY()</f>
        <v>45852</v>
      </c>
      <c r="L6" s="31"/>
      <c r="M6" s="42" t="s">
        <v>132</v>
      </c>
      <c r="N6" s="42" t="s">
        <v>108</v>
      </c>
      <c r="O6" s="43">
        <v>1.0</v>
      </c>
      <c r="P6" s="42" t="s">
        <v>133</v>
      </c>
      <c r="Q6" s="44" t="s">
        <v>134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136</v>
      </c>
      <c r="C6" s="32" t="s">
        <v>122</v>
      </c>
      <c r="D6" s="37">
        <f>TODAY()</f>
        <v>45852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137</v>
      </c>
      <c r="D3" s="5" t="s">
        <v>9</v>
      </c>
      <c r="E3" s="22" t="s">
        <v>138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/>
      <c r="B5" s="28" t="s">
        <v>139</v>
      </c>
      <c r="C5" s="28" t="s">
        <v>75</v>
      </c>
      <c r="D5" s="28" t="s">
        <v>51</v>
      </c>
      <c r="E5" s="28" t="s">
        <v>40</v>
      </c>
      <c r="F5" s="28" t="s">
        <v>140</v>
      </c>
      <c r="G5" s="28" t="s">
        <v>141</v>
      </c>
      <c r="H5" s="28" t="s">
        <v>142</v>
      </c>
      <c r="I5" s="28" t="s">
        <v>143</v>
      </c>
      <c r="J5" s="28" t="s">
        <v>144</v>
      </c>
      <c r="K5" s="28" t="s">
        <v>145</v>
      </c>
      <c r="L5" s="28" t="s">
        <v>146</v>
      </c>
      <c r="M5" s="28" t="s">
        <v>147</v>
      </c>
      <c r="N5" s="28" t="s">
        <v>148</v>
      </c>
      <c r="O5" s="28" t="s">
        <v>149</v>
      </c>
      <c r="P5" s="28" t="s">
        <v>150</v>
      </c>
      <c r="Q5" s="28" t="s">
        <v>151</v>
      </c>
      <c r="R5" s="28" t="s">
        <v>152</v>
      </c>
      <c r="S5" s="28" t="s">
        <v>153</v>
      </c>
      <c r="T5" s="45" t="s">
        <v>154</v>
      </c>
      <c r="U5" s="45" t="s">
        <v>155</v>
      </c>
      <c r="V5" s="45" t="s">
        <v>156</v>
      </c>
      <c r="W5" s="45" t="s">
        <v>157</v>
      </c>
      <c r="X5" s="45" t="s">
        <v>158</v>
      </c>
      <c r="Y5" s="45" t="s">
        <v>159</v>
      </c>
      <c r="Z5" s="45" t="s">
        <v>160</v>
      </c>
      <c r="AA5" s="45" t="s">
        <v>161</v>
      </c>
      <c r="AB5" s="45" t="s">
        <v>162</v>
      </c>
      <c r="AC5" s="45" t="s">
        <v>163</v>
      </c>
      <c r="AD5" s="45" t="s">
        <v>164</v>
      </c>
      <c r="AE5" s="45" t="s">
        <v>52</v>
      </c>
      <c r="AF5" s="45" t="s">
        <v>165</v>
      </c>
      <c r="AG5" s="45" t="s">
        <v>166</v>
      </c>
      <c r="AH5" s="45" t="s">
        <v>41</v>
      </c>
      <c r="AI5" s="45" t="s">
        <v>167</v>
      </c>
      <c r="AJ5" s="45" t="s">
        <v>168</v>
      </c>
      <c r="AK5" s="45" t="s">
        <v>169</v>
      </c>
      <c r="AL5" s="45" t="s">
        <v>170</v>
      </c>
      <c r="AM5" s="45" t="s">
        <v>171</v>
      </c>
      <c r="AN5" s="45" t="s">
        <v>172</v>
      </c>
      <c r="AO5" s="45" t="s">
        <v>173</v>
      </c>
      <c r="AP5" s="45" t="s">
        <v>174</v>
      </c>
      <c r="AQ5" s="45" t="s">
        <v>175</v>
      </c>
      <c r="AR5" s="45" t="s">
        <v>176</v>
      </c>
      <c r="AS5" s="45" t="s">
        <v>177</v>
      </c>
      <c r="AT5" s="45" t="s">
        <v>178</v>
      </c>
      <c r="AU5" s="45" t="s">
        <v>179</v>
      </c>
      <c r="AV5" s="45" t="s">
        <v>180</v>
      </c>
      <c r="AW5" s="45" t="s">
        <v>181</v>
      </c>
      <c r="AX5" s="45" t="s">
        <v>182</v>
      </c>
      <c r="AY5" s="45" t="s">
        <v>183</v>
      </c>
      <c r="AZ5" s="45" t="s">
        <v>184</v>
      </c>
      <c r="BA5" s="45" t="s">
        <v>185</v>
      </c>
      <c r="BB5" s="45" t="s">
        <v>186</v>
      </c>
      <c r="BC5" s="45" t="s">
        <v>187</v>
      </c>
      <c r="BD5" s="45" t="s">
        <v>188</v>
      </c>
      <c r="BE5" s="45" t="s">
        <v>189</v>
      </c>
      <c r="BF5" s="45" t="s">
        <v>190</v>
      </c>
      <c r="BG5" s="45" t="s">
        <v>191</v>
      </c>
      <c r="BH5" s="45" t="s">
        <v>192</v>
      </c>
      <c r="BI5" s="45" t="s">
        <v>193</v>
      </c>
      <c r="BJ5" s="45" t="s">
        <v>194</v>
      </c>
      <c r="BK5" s="45" t="s">
        <v>195</v>
      </c>
      <c r="BL5" s="45" t="s">
        <v>196</v>
      </c>
      <c r="BM5" s="45" t="s">
        <v>197</v>
      </c>
      <c r="BN5" s="45" t="s">
        <v>198</v>
      </c>
      <c r="BO5" s="45" t="s">
        <v>199</v>
      </c>
      <c r="BP5" s="45" t="s">
        <v>200</v>
      </c>
      <c r="BQ5" s="45" t="s">
        <v>201</v>
      </c>
      <c r="BR5" s="45" t="s">
        <v>202</v>
      </c>
      <c r="BS5" s="45" t="s">
        <v>203</v>
      </c>
      <c r="BT5" s="45" t="s">
        <v>45</v>
      </c>
      <c r="BU5" s="45" t="s">
        <v>204</v>
      </c>
      <c r="BV5" s="45" t="s">
        <v>205</v>
      </c>
      <c r="BW5" s="45" t="s">
        <v>206</v>
      </c>
      <c r="BX5" s="45" t="s">
        <v>207</v>
      </c>
      <c r="BY5" s="45" t="s">
        <v>208</v>
      </c>
      <c r="BZ5" s="45" t="s">
        <v>209</v>
      </c>
      <c r="CA5" s="45" t="s">
        <v>210</v>
      </c>
      <c r="CB5" s="45" t="s">
        <v>211</v>
      </c>
      <c r="CC5" s="45" t="s">
        <v>212</v>
      </c>
      <c r="CD5" s="45" t="s">
        <v>213</v>
      </c>
      <c r="CE5" s="45" t="s">
        <v>214</v>
      </c>
      <c r="CF5" s="45" t="s">
        <v>215</v>
      </c>
      <c r="CG5" s="45" t="s">
        <v>216</v>
      </c>
      <c r="CH5" s="45" t="s">
        <v>217</v>
      </c>
      <c r="CI5" s="45" t="s">
        <v>218</v>
      </c>
      <c r="CJ5" s="45" t="s">
        <v>219</v>
      </c>
      <c r="CK5" s="45" t="s">
        <v>220</v>
      </c>
      <c r="CL5" s="45" t="s">
        <v>221</v>
      </c>
      <c r="CM5" s="45" t="s">
        <v>222</v>
      </c>
      <c r="CN5" s="45" t="s">
        <v>223</v>
      </c>
      <c r="CO5" s="45" t="s">
        <v>224</v>
      </c>
      <c r="CP5" s="45" t="s">
        <v>225</v>
      </c>
      <c r="CQ5" s="45" t="s">
        <v>226</v>
      </c>
      <c r="CR5" s="45" t="s">
        <v>227</v>
      </c>
      <c r="CS5" s="45" t="s">
        <v>228</v>
      </c>
      <c r="CT5" s="45" t="s">
        <v>229</v>
      </c>
      <c r="CU5" s="45" t="s">
        <v>230</v>
      </c>
      <c r="CV5" s="45" t="s">
        <v>231</v>
      </c>
      <c r="CW5" s="45" t="s">
        <v>232</v>
      </c>
      <c r="CX5" s="45" t="s">
        <v>233</v>
      </c>
      <c r="CY5" s="45" t="s">
        <v>234</v>
      </c>
      <c r="CZ5" s="45" t="s">
        <v>235</v>
      </c>
      <c r="DA5" s="45" t="s">
        <v>236</v>
      </c>
      <c r="DB5" s="45" t="s">
        <v>237</v>
      </c>
      <c r="DC5" s="45" t="s">
        <v>238</v>
      </c>
      <c r="DD5" s="45" t="s">
        <v>239</v>
      </c>
      <c r="DE5" s="45" t="s">
        <v>240</v>
      </c>
      <c r="DF5" s="45" t="s">
        <v>241</v>
      </c>
      <c r="DG5" s="45" t="s">
        <v>242</v>
      </c>
      <c r="DH5" s="45" t="s">
        <v>243</v>
      </c>
      <c r="DI5" s="45" t="s">
        <v>244</v>
      </c>
      <c r="DJ5" s="45" t="s">
        <v>245</v>
      </c>
      <c r="DK5" s="45" t="s">
        <v>246</v>
      </c>
      <c r="DL5" s="45" t="s">
        <v>247</v>
      </c>
      <c r="DM5" s="45" t="s">
        <v>248</v>
      </c>
      <c r="DN5" s="45" t="s">
        <v>249</v>
      </c>
      <c r="DO5" s="45" t="s">
        <v>250</v>
      </c>
      <c r="DP5" s="45" t="s">
        <v>251</v>
      </c>
      <c r="DQ5" s="45" t="s">
        <v>252</v>
      </c>
      <c r="DR5" s="45" t="s">
        <v>253</v>
      </c>
      <c r="DS5" s="45" t="s">
        <v>254</v>
      </c>
      <c r="DT5" s="45" t="s">
        <v>255</v>
      </c>
      <c r="DU5" s="45" t="s">
        <v>256</v>
      </c>
      <c r="DV5" s="45" t="s">
        <v>257</v>
      </c>
      <c r="DW5" s="45" t="s">
        <v>258</v>
      </c>
      <c r="DX5" s="45" t="s">
        <v>259</v>
      </c>
      <c r="DY5" s="45" t="s">
        <v>260</v>
      </c>
      <c r="DZ5" s="45" t="s">
        <v>261</v>
      </c>
      <c r="EA5" s="45" t="s">
        <v>262</v>
      </c>
      <c r="EB5" s="45" t="s">
        <v>263</v>
      </c>
      <c r="EC5" s="45" t="s">
        <v>264</v>
      </c>
      <c r="ED5" s="45" t="s">
        <v>265</v>
      </c>
      <c r="EE5" s="45" t="s">
        <v>266</v>
      </c>
      <c r="EF5" s="45" t="s">
        <v>267</v>
      </c>
      <c r="EG5" s="45" t="s">
        <v>268</v>
      </c>
      <c r="EH5" s="45" t="s">
        <v>269</v>
      </c>
      <c r="EI5" s="45" t="s">
        <v>270</v>
      </c>
      <c r="EJ5" s="45" t="s">
        <v>271</v>
      </c>
      <c r="EK5" s="45" t="s">
        <v>272</v>
      </c>
      <c r="EL5" s="45" t="s">
        <v>273</v>
      </c>
      <c r="EM5" s="45" t="s">
        <v>274</v>
      </c>
      <c r="EN5" s="45" t="s">
        <v>275</v>
      </c>
      <c r="EO5" s="45" t="s">
        <v>276</v>
      </c>
      <c r="EP5" s="45" t="s">
        <v>277</v>
      </c>
      <c r="EQ5" s="45" t="s">
        <v>278</v>
      </c>
      <c r="ER5" s="45" t="s">
        <v>279</v>
      </c>
      <c r="ES5" s="45" t="s">
        <v>280</v>
      </c>
      <c r="ET5" s="45" t="s">
        <v>281</v>
      </c>
      <c r="EU5" s="45" t="s">
        <v>282</v>
      </c>
      <c r="EV5" s="45" t="s">
        <v>283</v>
      </c>
      <c r="EW5" s="45" t="s">
        <v>284</v>
      </c>
      <c r="EX5" s="45" t="s">
        <v>285</v>
      </c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46" t="s">
        <v>286</v>
      </c>
      <c r="C6" s="46" t="s">
        <v>122</v>
      </c>
      <c r="D6" s="40" t="s">
        <v>287</v>
      </c>
      <c r="E6" s="38" t="s">
        <v>288</v>
      </c>
      <c r="F6" s="38">
        <v>-98.0</v>
      </c>
      <c r="G6" s="38">
        <v>50.0</v>
      </c>
      <c r="H6" s="38" t="s">
        <v>289</v>
      </c>
      <c r="I6" s="38" t="s">
        <v>290</v>
      </c>
      <c r="J6" s="38" t="s">
        <v>291</v>
      </c>
      <c r="K6" s="38" t="s">
        <v>108</v>
      </c>
      <c r="L6" s="38">
        <v>50.0</v>
      </c>
      <c r="M6" s="38">
        <v>1.0</v>
      </c>
      <c r="N6" s="31"/>
      <c r="O6" s="31"/>
      <c r="P6" s="31"/>
      <c r="Q6" s="31"/>
      <c r="R6" s="31"/>
      <c r="S6" s="31"/>
      <c r="T6" s="31"/>
      <c r="U6" s="38">
        <v>-73500.0</v>
      </c>
      <c r="V6" s="38">
        <v>-4900.0</v>
      </c>
      <c r="W6" s="31"/>
      <c r="X6" s="38">
        <v>-73500.0</v>
      </c>
      <c r="Y6" s="38">
        <v>-73500.0</v>
      </c>
      <c r="Z6" s="31"/>
      <c r="AA6" s="38">
        <v>-73500.0</v>
      </c>
      <c r="AB6" s="38">
        <v>-2494.99710648227</v>
      </c>
      <c r="AC6" s="38">
        <v>171500.0</v>
      </c>
      <c r="AD6" s="38">
        <v>171500.0</v>
      </c>
      <c r="AE6" s="31"/>
      <c r="AF6" s="31"/>
      <c r="AG6" s="31"/>
      <c r="AH6" s="38" t="s">
        <v>33</v>
      </c>
      <c r="AI6" s="38" t="s">
        <v>136</v>
      </c>
      <c r="AJ6" s="38" t="s">
        <v>131</v>
      </c>
      <c r="AK6" s="38" t="s">
        <v>288</v>
      </c>
      <c r="AL6" s="31"/>
      <c r="AM6" s="31"/>
      <c r="AN6" s="38"/>
      <c r="AO6" s="31"/>
      <c r="AP6" s="38" t="s">
        <v>292</v>
      </c>
      <c r="AQ6" s="38">
        <v>0.0</v>
      </c>
      <c r="AR6" s="31"/>
      <c r="AS6" s="38">
        <v>0.0</v>
      </c>
      <c r="AT6" s="31"/>
      <c r="AU6" s="31"/>
      <c r="AV6" s="31"/>
      <c r="AW6" s="38" t="s">
        <v>293</v>
      </c>
      <c r="AX6" s="31"/>
      <c r="AY6" s="38">
        <v>171500.0</v>
      </c>
      <c r="AZ6" s="31"/>
      <c r="BA6" s="31"/>
      <c r="BB6" s="38">
        <v>171500.0</v>
      </c>
      <c r="BC6" s="38">
        <v>171500.0</v>
      </c>
      <c r="BD6" s="38">
        <v>171500.0</v>
      </c>
      <c r="BE6" s="31"/>
      <c r="BF6" s="38">
        <v>1.0</v>
      </c>
      <c r="BG6" s="31"/>
      <c r="BH6" s="38" t="s">
        <v>293</v>
      </c>
      <c r="BI6" s="38" t="s">
        <v>294</v>
      </c>
      <c r="BJ6" s="38" t="s">
        <v>295</v>
      </c>
      <c r="BK6" s="38" t="s">
        <v>296</v>
      </c>
      <c r="BL6" s="31"/>
      <c r="BM6" s="31"/>
      <c r="BN6" s="31"/>
      <c r="BO6" s="31"/>
      <c r="BP6" s="31"/>
      <c r="BQ6" s="38">
        <v>0.0</v>
      </c>
      <c r="BR6" s="31"/>
      <c r="BS6" s="38" t="s">
        <v>297</v>
      </c>
      <c r="BT6" s="38" t="s">
        <v>298</v>
      </c>
      <c r="BU6" s="31"/>
      <c r="BV6" s="31"/>
      <c r="BW6" s="31"/>
      <c r="BX6" s="31"/>
      <c r="BY6" s="38">
        <v>73500.0</v>
      </c>
      <c r="BZ6" s="38">
        <v>73500.0</v>
      </c>
      <c r="CA6" s="38">
        <v>171500.0</v>
      </c>
      <c r="CB6" s="38">
        <v>15.0</v>
      </c>
      <c r="CC6" s="38">
        <v>15.0</v>
      </c>
      <c r="CD6" s="31"/>
      <c r="CE6" s="38">
        <v>171500.0</v>
      </c>
      <c r="CF6" s="38"/>
      <c r="CG6" s="38"/>
      <c r="CH6" s="38">
        <v>171500.0</v>
      </c>
      <c r="CI6" s="38">
        <v>70.0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8" t="s">
        <v>299</v>
      </c>
      <c r="CU6" s="31"/>
      <c r="CV6" s="38">
        <v>73500.0</v>
      </c>
      <c r="CW6" s="38">
        <v>100.0</v>
      </c>
      <c r="CX6" s="38">
        <v>100.0</v>
      </c>
      <c r="CY6" s="31"/>
      <c r="CZ6" s="31"/>
      <c r="DA6" s="31"/>
      <c r="DB6" s="31"/>
      <c r="DC6" s="31"/>
      <c r="DD6" s="31"/>
      <c r="DE6" s="38" t="s">
        <v>33</v>
      </c>
      <c r="DF6" s="31"/>
      <c r="DG6" s="38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8">
        <v>-24.9499710648227</v>
      </c>
      <c r="EH6" s="38">
        <v>24.9499710648227</v>
      </c>
      <c r="EI6" s="38">
        <v>-24.9499710648227</v>
      </c>
      <c r="EJ6" s="38">
        <v>0.254591541477782</v>
      </c>
      <c r="EK6" s="38">
        <v>0.254591541477782</v>
      </c>
      <c r="EL6" s="31"/>
      <c r="EM6" s="38">
        <v>750.0</v>
      </c>
      <c r="EN6" s="38">
        <v>750.0</v>
      </c>
      <c r="EO6" s="31"/>
      <c r="EP6" s="38">
        <v>56162.0</v>
      </c>
      <c r="EQ6" s="38">
        <v>58.2165991512529</v>
      </c>
      <c r="ER6" s="31"/>
      <c r="ES6" s="38">
        <v>750.0</v>
      </c>
      <c r="ET6" s="38">
        <v>294589.52</v>
      </c>
      <c r="EU6" s="38">
        <v>58.2165991512529</v>
      </c>
      <c r="EV6" s="38">
        <v>58.2165991512529</v>
      </c>
      <c r="EW6" s="31"/>
      <c r="EX6" s="38" t="s">
        <v>131</v>
      </c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</row>
    <row r="7" ht="15.75" customHeight="1">
      <c r="A7" s="8"/>
      <c r="B7" s="12" t="s">
        <v>286</v>
      </c>
      <c r="C7" s="12" t="s">
        <v>122</v>
      </c>
      <c r="D7" s="12" t="s">
        <v>287</v>
      </c>
      <c r="E7" s="12" t="s">
        <v>35</v>
      </c>
      <c r="F7" s="12">
        <v>-20000.0</v>
      </c>
      <c r="G7" s="12">
        <v>5.0</v>
      </c>
      <c r="H7" s="12" t="s">
        <v>300</v>
      </c>
      <c r="I7" s="12" t="s">
        <v>301</v>
      </c>
      <c r="J7" s="12" t="s">
        <v>302</v>
      </c>
      <c r="K7" s="12" t="s">
        <v>108</v>
      </c>
      <c r="L7" s="12">
        <v>0.01</v>
      </c>
      <c r="M7" s="12">
        <v>1.0</v>
      </c>
      <c r="N7" s="8"/>
      <c r="O7" s="8"/>
      <c r="U7" s="9">
        <v>-1000.0</v>
      </c>
      <c r="V7" s="9">
        <v>-1000.0</v>
      </c>
      <c r="X7" s="9">
        <v>-1000.0</v>
      </c>
      <c r="Y7" s="9">
        <v>-1000.0</v>
      </c>
      <c r="AA7" s="9">
        <v>-1000.0</v>
      </c>
      <c r="AB7" s="9">
        <v>-33.9455388637043</v>
      </c>
      <c r="AC7" s="9">
        <v>-1000.0</v>
      </c>
      <c r="AD7" s="9">
        <v>-1000.0</v>
      </c>
      <c r="AH7" s="9" t="s">
        <v>33</v>
      </c>
      <c r="AI7" s="9" t="s">
        <v>136</v>
      </c>
      <c r="AJ7" s="9" t="s">
        <v>131</v>
      </c>
      <c r="AK7" s="9" t="s">
        <v>35</v>
      </c>
      <c r="AP7" s="9" t="s">
        <v>292</v>
      </c>
      <c r="AQ7" s="9">
        <v>0.0</v>
      </c>
      <c r="AS7" s="9">
        <v>0.0</v>
      </c>
      <c r="AW7" s="9" t="s">
        <v>293</v>
      </c>
      <c r="AY7" s="9">
        <v>0.0</v>
      </c>
      <c r="BB7" s="9">
        <v>0.0</v>
      </c>
      <c r="BC7" s="9">
        <v>-1000.0</v>
      </c>
      <c r="BD7" s="9">
        <v>-1000.0</v>
      </c>
      <c r="BF7" s="9">
        <v>1.0</v>
      </c>
      <c r="BH7" s="9" t="s">
        <v>300</v>
      </c>
      <c r="BI7" s="9" t="s">
        <v>293</v>
      </c>
      <c r="BJ7" s="9" t="s">
        <v>293</v>
      </c>
      <c r="BK7" s="9" t="s">
        <v>293</v>
      </c>
      <c r="BQ7" s="9">
        <v>0.0</v>
      </c>
      <c r="BS7" s="9" t="s">
        <v>297</v>
      </c>
      <c r="BT7" s="9" t="s">
        <v>298</v>
      </c>
      <c r="BY7" s="9">
        <v>1000.0</v>
      </c>
      <c r="BZ7" s="9">
        <v>1000.0</v>
      </c>
      <c r="CA7" s="9">
        <v>1000.0</v>
      </c>
      <c r="CB7" s="9">
        <v>5.0</v>
      </c>
      <c r="CC7" s="9">
        <v>5.0</v>
      </c>
      <c r="CE7" s="9">
        <v>-1000.0</v>
      </c>
      <c r="CH7" s="9">
        <v>0.0</v>
      </c>
      <c r="CI7" s="9">
        <v>0.0</v>
      </c>
      <c r="CT7" s="9" t="s">
        <v>299</v>
      </c>
      <c r="CV7" s="9">
        <v>1000.0</v>
      </c>
      <c r="CW7" s="9">
        <v>-100.0</v>
      </c>
      <c r="CX7" s="9">
        <v>100.0</v>
      </c>
      <c r="DE7" s="9" t="s">
        <v>33</v>
      </c>
      <c r="EG7" s="9">
        <v>-0.339455388637043</v>
      </c>
      <c r="EH7" s="9">
        <v>0.339455388637043</v>
      </c>
      <c r="EI7" s="9">
        <v>-0.339455388637043</v>
      </c>
      <c r="EJ7" s="9">
        <v>0.339455388637043</v>
      </c>
      <c r="EK7" s="9">
        <v>0.339455388637043</v>
      </c>
      <c r="EM7" s="9">
        <v>1000.0</v>
      </c>
      <c r="EN7" s="9">
        <v>1000.0</v>
      </c>
      <c r="EP7" s="9">
        <v>56162.0</v>
      </c>
      <c r="EQ7" s="9">
        <v>0.339455388637043</v>
      </c>
      <c r="ES7" s="9">
        <v>1000.0</v>
      </c>
      <c r="ET7" s="9">
        <v>294589.52</v>
      </c>
      <c r="EU7" s="9">
        <v>-0.339455388637043</v>
      </c>
      <c r="EV7" s="9">
        <v>-0.339455388637043</v>
      </c>
      <c r="EX7" s="9" t="s">
        <v>303</v>
      </c>
    </row>
    <row r="8" ht="15.75" customHeight="1">
      <c r="A8" s="8"/>
      <c r="B8" s="12" t="s">
        <v>286</v>
      </c>
      <c r="C8" s="12" t="s">
        <v>122</v>
      </c>
      <c r="D8" s="12" t="s">
        <v>287</v>
      </c>
      <c r="E8" s="12" t="s">
        <v>26</v>
      </c>
      <c r="F8" s="12">
        <v>-100.0</v>
      </c>
      <c r="G8" s="12">
        <v>10.0</v>
      </c>
      <c r="H8" s="12" t="s">
        <v>304</v>
      </c>
      <c r="I8" s="12" t="s">
        <v>290</v>
      </c>
      <c r="J8" s="12" t="s">
        <v>305</v>
      </c>
      <c r="K8" s="12" t="s">
        <v>108</v>
      </c>
      <c r="L8" s="12">
        <v>1.0</v>
      </c>
      <c r="M8" s="12">
        <v>1.0</v>
      </c>
      <c r="N8" s="8"/>
      <c r="O8" s="8"/>
      <c r="U8" s="9">
        <v>-1000.0</v>
      </c>
      <c r="V8" s="9">
        <v>-1000.0</v>
      </c>
      <c r="X8" s="9">
        <v>-1000.0</v>
      </c>
      <c r="Y8" s="9">
        <v>-1000.0</v>
      </c>
      <c r="AA8" s="9">
        <v>-1000.0</v>
      </c>
      <c r="AB8" s="9">
        <v>-33.9455388637043</v>
      </c>
      <c r="AC8" s="9">
        <v>-1000.0</v>
      </c>
      <c r="AD8" s="9">
        <v>-1000.0</v>
      </c>
      <c r="AH8" s="9" t="s">
        <v>34</v>
      </c>
      <c r="AI8" s="9" t="s">
        <v>136</v>
      </c>
      <c r="AJ8" s="9" t="s">
        <v>303</v>
      </c>
      <c r="AK8" s="9" t="s">
        <v>26</v>
      </c>
      <c r="AP8" s="9" t="s">
        <v>292</v>
      </c>
      <c r="AQ8" s="9">
        <v>0.0</v>
      </c>
      <c r="AS8" s="9">
        <v>0.0</v>
      </c>
      <c r="AW8" s="9" t="s">
        <v>293</v>
      </c>
      <c r="AY8" s="9">
        <v>0.0</v>
      </c>
      <c r="BB8" s="9">
        <v>0.0</v>
      </c>
      <c r="BC8" s="9">
        <v>-1000.0</v>
      </c>
      <c r="BD8" s="9">
        <v>-1000.0</v>
      </c>
      <c r="BF8" s="9">
        <v>1.0</v>
      </c>
      <c r="BH8" s="9" t="s">
        <v>306</v>
      </c>
      <c r="BI8" s="9" t="s">
        <v>307</v>
      </c>
      <c r="BJ8" s="9" t="s">
        <v>308</v>
      </c>
      <c r="BK8" s="9" t="s">
        <v>293</v>
      </c>
      <c r="BQ8" s="9">
        <v>0.0</v>
      </c>
      <c r="BS8" s="9" t="s">
        <v>297</v>
      </c>
      <c r="BT8" s="9" t="s">
        <v>298</v>
      </c>
      <c r="BY8" s="9">
        <v>1000.0</v>
      </c>
      <c r="BZ8" s="9">
        <v>1000.0</v>
      </c>
      <c r="CA8" s="9">
        <v>1000.0</v>
      </c>
      <c r="CB8" s="9">
        <v>10.0</v>
      </c>
      <c r="CC8" s="9">
        <v>10.0</v>
      </c>
      <c r="CE8" s="9">
        <v>-1000.0</v>
      </c>
      <c r="CH8" s="9">
        <v>0.0</v>
      </c>
      <c r="CI8" s="9">
        <v>0.0</v>
      </c>
      <c r="CT8" s="9" t="s">
        <v>299</v>
      </c>
      <c r="CV8" s="9">
        <v>1000.0</v>
      </c>
      <c r="CW8" s="9">
        <v>-100.0</v>
      </c>
      <c r="CX8" s="9">
        <v>100.0</v>
      </c>
      <c r="DE8" s="9" t="s">
        <v>34</v>
      </c>
      <c r="EG8" s="9">
        <v>-0.339455388637043</v>
      </c>
      <c r="EH8" s="9">
        <v>0.339455388637043</v>
      </c>
      <c r="EI8" s="9">
        <v>-0.339455388637043</v>
      </c>
      <c r="EJ8" s="9">
        <v>0.339455388637043</v>
      </c>
      <c r="EK8" s="9">
        <v>0.339455388637043</v>
      </c>
      <c r="EM8" s="9">
        <v>1000.0</v>
      </c>
      <c r="EN8" s="9">
        <v>1000.0</v>
      </c>
      <c r="EP8" s="9">
        <v>56162.0</v>
      </c>
      <c r="EQ8" s="9">
        <v>0.339455388637043</v>
      </c>
      <c r="ES8" s="9">
        <v>1000.0</v>
      </c>
      <c r="ET8" s="9">
        <v>294589.52</v>
      </c>
      <c r="EU8" s="9">
        <v>-0.339455388637043</v>
      </c>
      <c r="EV8" s="9">
        <v>-0.339455388637043</v>
      </c>
      <c r="EX8" s="9" t="s">
        <v>303</v>
      </c>
    </row>
    <row r="9" ht="15.75" customHeight="1">
      <c r="A9" s="8"/>
      <c r="B9" s="12" t="s">
        <v>286</v>
      </c>
      <c r="C9" s="12" t="s">
        <v>122</v>
      </c>
      <c r="D9" s="12" t="s">
        <v>287</v>
      </c>
      <c r="E9" s="12" t="s">
        <v>288</v>
      </c>
      <c r="F9" s="12">
        <v>-1.0</v>
      </c>
      <c r="G9" s="12">
        <v>50.0</v>
      </c>
      <c r="H9" s="12" t="s">
        <v>289</v>
      </c>
      <c r="I9" s="12" t="s">
        <v>290</v>
      </c>
      <c r="J9" s="12" t="s">
        <v>291</v>
      </c>
      <c r="K9" s="12" t="s">
        <v>108</v>
      </c>
      <c r="L9" s="12">
        <v>50.0</v>
      </c>
      <c r="M9" s="12">
        <v>1.0</v>
      </c>
      <c r="N9" s="8"/>
      <c r="O9" s="8"/>
      <c r="U9" s="9">
        <v>-750.0</v>
      </c>
      <c r="V9" s="9">
        <v>-50.0</v>
      </c>
      <c r="X9" s="9">
        <v>-750.0</v>
      </c>
      <c r="Y9" s="9">
        <v>-750.0</v>
      </c>
      <c r="AA9" s="9">
        <v>-750.0</v>
      </c>
      <c r="AB9" s="9">
        <v>-25.4591541477782</v>
      </c>
      <c r="AC9" s="9">
        <v>1750.0</v>
      </c>
      <c r="AD9" s="9">
        <v>1750.0</v>
      </c>
      <c r="AH9" s="9" t="s">
        <v>33</v>
      </c>
      <c r="AI9" s="9" t="s">
        <v>136</v>
      </c>
      <c r="AJ9" s="9" t="s">
        <v>131</v>
      </c>
      <c r="AK9" s="9" t="s">
        <v>288</v>
      </c>
      <c r="AP9" s="9" t="s">
        <v>292</v>
      </c>
      <c r="AQ9" s="9">
        <v>0.0</v>
      </c>
      <c r="AS9" s="9">
        <v>0.0</v>
      </c>
      <c r="AW9" s="9" t="s">
        <v>293</v>
      </c>
      <c r="AY9" s="9">
        <v>1750.0</v>
      </c>
      <c r="BB9" s="9">
        <v>1750.0</v>
      </c>
      <c r="BC9" s="9">
        <v>1750.0</v>
      </c>
      <c r="BD9" s="9">
        <v>1750.0</v>
      </c>
      <c r="BF9" s="9">
        <v>1.0</v>
      </c>
      <c r="BH9" s="9" t="s">
        <v>293</v>
      </c>
      <c r="BI9" s="9" t="s">
        <v>294</v>
      </c>
      <c r="BJ9" s="9" t="s">
        <v>295</v>
      </c>
      <c r="BK9" s="9" t="s">
        <v>296</v>
      </c>
      <c r="BQ9" s="9">
        <v>0.0</v>
      </c>
      <c r="BS9" s="9" t="s">
        <v>297</v>
      </c>
      <c r="BT9" s="9" t="s">
        <v>298</v>
      </c>
      <c r="BY9" s="9">
        <v>750.0</v>
      </c>
      <c r="BZ9" s="9">
        <v>750.0</v>
      </c>
      <c r="CA9" s="9">
        <v>1750.0</v>
      </c>
      <c r="CB9" s="9">
        <v>15.0</v>
      </c>
      <c r="CC9" s="9">
        <v>15.0</v>
      </c>
      <c r="CE9" s="9">
        <v>1750.0</v>
      </c>
      <c r="CH9" s="9">
        <v>1750.0</v>
      </c>
      <c r="CI9" s="9">
        <v>70.0</v>
      </c>
      <c r="CT9" s="9" t="s">
        <v>299</v>
      </c>
      <c r="CV9" s="9">
        <v>750.0</v>
      </c>
      <c r="CW9" s="9">
        <v>100.0</v>
      </c>
      <c r="CX9" s="9">
        <v>100.0</v>
      </c>
      <c r="DE9" s="9" t="s">
        <v>33</v>
      </c>
      <c r="EG9" s="9">
        <v>-0.254591541477782</v>
      </c>
      <c r="EH9" s="9">
        <v>0.254591541477782</v>
      </c>
      <c r="EI9" s="9">
        <v>-0.254591541477782</v>
      </c>
      <c r="EJ9" s="9">
        <v>0.254591541477782</v>
      </c>
      <c r="EK9" s="9">
        <v>0.254591541477782</v>
      </c>
      <c r="EM9" s="9">
        <v>750.0</v>
      </c>
      <c r="EN9" s="9">
        <v>750.0</v>
      </c>
      <c r="EP9" s="9">
        <v>56162.0</v>
      </c>
      <c r="EQ9" s="9">
        <v>0.594046930114825</v>
      </c>
      <c r="ES9" s="9">
        <v>750.0</v>
      </c>
      <c r="ET9" s="9">
        <v>294589.52</v>
      </c>
      <c r="EU9" s="9">
        <v>0.594046930114825</v>
      </c>
      <c r="EV9" s="9">
        <v>0.594046930114825</v>
      </c>
      <c r="EX9" s="9" t="s">
        <v>131</v>
      </c>
    </row>
    <row r="10" ht="15.75" customHeight="1">
      <c r="A10" s="8"/>
      <c r="B10" s="12" t="s">
        <v>286</v>
      </c>
      <c r="C10" s="12" t="s">
        <v>122</v>
      </c>
      <c r="D10" s="12" t="s">
        <v>287</v>
      </c>
      <c r="E10" s="12" t="s">
        <v>25</v>
      </c>
      <c r="F10" s="12">
        <v>-10.0</v>
      </c>
      <c r="G10" s="12">
        <v>36.6</v>
      </c>
      <c r="H10" s="12" t="s">
        <v>306</v>
      </c>
      <c r="I10" s="12" t="s">
        <v>309</v>
      </c>
      <c r="J10" s="12" t="s">
        <v>310</v>
      </c>
      <c r="K10" s="12" t="s">
        <v>110</v>
      </c>
      <c r="L10" s="12">
        <v>1.0</v>
      </c>
      <c r="M10" s="12">
        <v>1.22</v>
      </c>
      <c r="N10" s="8"/>
      <c r="O10" s="8"/>
      <c r="U10" s="9">
        <v>-300.0</v>
      </c>
      <c r="V10" s="9">
        <v>-300.0</v>
      </c>
      <c r="X10" s="9">
        <v>-366.0</v>
      </c>
      <c r="Y10" s="9">
        <v>-366.0</v>
      </c>
      <c r="AA10" s="9">
        <v>-366.0</v>
      </c>
      <c r="AB10" s="9">
        <v>-12.4240672241158</v>
      </c>
      <c r="AC10" s="9">
        <v>66.0</v>
      </c>
      <c r="AD10" s="9">
        <v>80.52</v>
      </c>
      <c r="AH10" s="9" t="s">
        <v>34</v>
      </c>
      <c r="AI10" s="9" t="s">
        <v>136</v>
      </c>
      <c r="AJ10" s="9" t="s">
        <v>303</v>
      </c>
      <c r="AK10" s="9" t="s">
        <v>25</v>
      </c>
      <c r="AP10" s="9" t="s">
        <v>292</v>
      </c>
      <c r="AQ10" s="9">
        <v>0.0</v>
      </c>
      <c r="AS10" s="9">
        <v>0.0</v>
      </c>
      <c r="AW10" s="9" t="s">
        <v>293</v>
      </c>
      <c r="AY10" s="9">
        <v>66.0</v>
      </c>
      <c r="BB10" s="9">
        <v>80.52</v>
      </c>
      <c r="BC10" s="9">
        <v>-300.0</v>
      </c>
      <c r="BD10" s="9">
        <v>-366.0</v>
      </c>
      <c r="BF10" s="9">
        <v>1.0</v>
      </c>
      <c r="BH10" s="9" t="s">
        <v>306</v>
      </c>
      <c r="BI10" s="9" t="s">
        <v>293</v>
      </c>
      <c r="BJ10" s="9" t="s">
        <v>293</v>
      </c>
      <c r="BK10" s="9" t="s">
        <v>293</v>
      </c>
      <c r="BQ10" s="9">
        <v>446.52</v>
      </c>
      <c r="BS10" s="9" t="s">
        <v>297</v>
      </c>
      <c r="BT10" s="9" t="s">
        <v>298</v>
      </c>
      <c r="BY10" s="9">
        <v>366.0</v>
      </c>
      <c r="BZ10" s="9">
        <v>366.0</v>
      </c>
      <c r="CA10" s="9">
        <v>366.0</v>
      </c>
      <c r="CB10" s="9">
        <v>30.0</v>
      </c>
      <c r="CC10" s="9">
        <v>36.6</v>
      </c>
      <c r="CE10" s="9">
        <v>80.52</v>
      </c>
      <c r="CH10" s="9">
        <v>80.52</v>
      </c>
      <c r="CI10" s="9">
        <v>18.0327868852459</v>
      </c>
      <c r="CT10" s="9" t="s">
        <v>299</v>
      </c>
      <c r="CV10" s="9">
        <v>300.0</v>
      </c>
      <c r="CW10" s="9">
        <v>22.0</v>
      </c>
      <c r="CX10" s="9">
        <v>-22.0</v>
      </c>
      <c r="DE10" s="9" t="s">
        <v>34</v>
      </c>
      <c r="EG10" s="9">
        <v>-0.124240672241158</v>
      </c>
      <c r="EH10" s="9">
        <v>0.124240672241158</v>
      </c>
      <c r="EI10" s="9">
        <v>-0.124240672241158</v>
      </c>
      <c r="EJ10" s="9">
        <v>0.124240672241158</v>
      </c>
      <c r="EK10" s="9">
        <v>0.124240672241158</v>
      </c>
      <c r="EM10" s="9">
        <v>366.0</v>
      </c>
      <c r="EN10" s="9">
        <v>300.0</v>
      </c>
      <c r="EP10" s="9">
        <v>56162.0</v>
      </c>
      <c r="EQ10" s="9">
        <v>0.124240672241158</v>
      </c>
      <c r="ES10" s="9">
        <v>366.0</v>
      </c>
      <c r="ET10" s="9">
        <v>294589.52</v>
      </c>
      <c r="EU10" s="9">
        <v>0.0273329478930547</v>
      </c>
      <c r="EV10" s="9">
        <v>-0.124240672241158</v>
      </c>
      <c r="EX10" s="9" t="s">
        <v>303</v>
      </c>
    </row>
    <row r="11" ht="15.75" customHeight="1">
      <c r="A11" s="8"/>
      <c r="B11" s="12" t="s">
        <v>286</v>
      </c>
      <c r="C11" s="12" t="s">
        <v>122</v>
      </c>
      <c r="D11" s="12" t="s">
        <v>287</v>
      </c>
      <c r="E11" s="12" t="s">
        <v>27</v>
      </c>
      <c r="F11" s="12">
        <v>-10.0</v>
      </c>
      <c r="G11" s="12">
        <v>20.0</v>
      </c>
      <c r="H11" s="12" t="s">
        <v>306</v>
      </c>
      <c r="I11" s="12" t="s">
        <v>290</v>
      </c>
      <c r="J11" s="12" t="s">
        <v>311</v>
      </c>
      <c r="K11" s="12" t="s">
        <v>108</v>
      </c>
      <c r="L11" s="12">
        <v>1.0</v>
      </c>
      <c r="M11" s="12">
        <v>1.0</v>
      </c>
      <c r="N11" s="8"/>
      <c r="O11" s="8"/>
      <c r="U11" s="9">
        <v>-200.0</v>
      </c>
      <c r="V11" s="9">
        <v>-200.0</v>
      </c>
      <c r="X11" s="9">
        <v>-200.0</v>
      </c>
      <c r="Y11" s="9">
        <v>-200.0</v>
      </c>
      <c r="AA11" s="9">
        <v>-200.0</v>
      </c>
      <c r="AB11" s="9">
        <v>-6.78910777274086</v>
      </c>
      <c r="AC11" s="9">
        <v>-200.0</v>
      </c>
      <c r="AD11" s="9">
        <v>-200.0</v>
      </c>
      <c r="AH11" s="9" t="s">
        <v>33</v>
      </c>
      <c r="AI11" s="9" t="s">
        <v>136</v>
      </c>
      <c r="AJ11" s="9" t="s">
        <v>131</v>
      </c>
      <c r="AK11" s="9" t="s">
        <v>27</v>
      </c>
      <c r="AP11" s="9" t="s">
        <v>292</v>
      </c>
      <c r="AQ11" s="9">
        <v>0.0</v>
      </c>
      <c r="AS11" s="9">
        <v>0.0</v>
      </c>
      <c r="AW11" s="9" t="s">
        <v>293</v>
      </c>
      <c r="AY11" s="9">
        <v>0.0</v>
      </c>
      <c r="BB11" s="9">
        <v>0.0</v>
      </c>
      <c r="BC11" s="9">
        <v>-200.0</v>
      </c>
      <c r="BD11" s="9">
        <v>-200.0</v>
      </c>
      <c r="BF11" s="9">
        <v>1.0</v>
      </c>
      <c r="BH11" s="9" t="s">
        <v>306</v>
      </c>
      <c r="BI11" s="9" t="s">
        <v>307</v>
      </c>
      <c r="BJ11" s="9" t="s">
        <v>312</v>
      </c>
      <c r="BK11" s="9" t="s">
        <v>293</v>
      </c>
      <c r="BQ11" s="9">
        <v>0.0</v>
      </c>
      <c r="BS11" s="9" t="s">
        <v>297</v>
      </c>
      <c r="BT11" s="9" t="s">
        <v>298</v>
      </c>
      <c r="BY11" s="9">
        <v>200.0</v>
      </c>
      <c r="BZ11" s="9">
        <v>200.0</v>
      </c>
      <c r="CA11" s="9">
        <v>200.0</v>
      </c>
      <c r="CB11" s="9">
        <v>20.0</v>
      </c>
      <c r="CC11" s="9">
        <v>20.0</v>
      </c>
      <c r="CE11" s="9">
        <v>-200.0</v>
      </c>
      <c r="CH11" s="9">
        <v>0.0</v>
      </c>
      <c r="CI11" s="9">
        <v>0.0</v>
      </c>
      <c r="CT11" s="9" t="s">
        <v>299</v>
      </c>
      <c r="CV11" s="9">
        <v>200.0</v>
      </c>
      <c r="CW11" s="9">
        <v>-100.0</v>
      </c>
      <c r="CX11" s="9">
        <v>100.0</v>
      </c>
      <c r="DE11" s="9" t="s">
        <v>33</v>
      </c>
      <c r="EG11" s="9">
        <v>-0.0678910777274086</v>
      </c>
      <c r="EH11" s="9">
        <v>0.0678910777274086</v>
      </c>
      <c r="EI11" s="9">
        <v>-0.0678910777274086</v>
      </c>
      <c r="EJ11" s="9">
        <v>0.0678910777274086</v>
      </c>
      <c r="EK11" s="9">
        <v>0.0678910777274086</v>
      </c>
      <c r="EM11" s="9">
        <v>200.0</v>
      </c>
      <c r="EN11" s="9">
        <v>200.0</v>
      </c>
      <c r="EP11" s="9">
        <v>56162.0</v>
      </c>
      <c r="EQ11" s="9">
        <v>0.0678910777274086</v>
      </c>
      <c r="ES11" s="9">
        <v>200.0</v>
      </c>
      <c r="ET11" s="9">
        <v>294589.52</v>
      </c>
      <c r="EU11" s="9">
        <v>-0.0678910777274086</v>
      </c>
      <c r="EV11" s="9">
        <v>-0.0678910777274086</v>
      </c>
      <c r="EX11" s="9" t="s">
        <v>303</v>
      </c>
    </row>
    <row r="12" ht="15.75" customHeight="1">
      <c r="A12" s="8"/>
      <c r="B12" s="12" t="s">
        <v>286</v>
      </c>
      <c r="C12" s="12" t="s">
        <v>122</v>
      </c>
      <c r="D12" s="12" t="s">
        <v>287</v>
      </c>
      <c r="E12" s="12" t="s">
        <v>16</v>
      </c>
      <c r="F12" s="12">
        <v>-10.0</v>
      </c>
      <c r="G12" s="12">
        <v>5.0</v>
      </c>
      <c r="H12" s="12" t="s">
        <v>289</v>
      </c>
      <c r="I12" s="12" t="s">
        <v>290</v>
      </c>
      <c r="J12" s="12" t="s">
        <v>291</v>
      </c>
      <c r="K12" s="12" t="s">
        <v>108</v>
      </c>
      <c r="L12" s="12">
        <v>1.0</v>
      </c>
      <c r="M12" s="12">
        <v>1.0</v>
      </c>
      <c r="N12" s="8"/>
      <c r="O12" s="8"/>
      <c r="U12" s="9">
        <v>-200.0</v>
      </c>
      <c r="V12" s="9">
        <v>-10.0</v>
      </c>
      <c r="X12" s="9">
        <v>-200.0</v>
      </c>
      <c r="Y12" s="9">
        <v>-200.0</v>
      </c>
      <c r="AA12" s="9">
        <v>-200.0</v>
      </c>
      <c r="AB12" s="9">
        <v>-6.78910777274086</v>
      </c>
      <c r="AC12" s="9">
        <v>-150.0</v>
      </c>
      <c r="AD12" s="9">
        <v>-150.0</v>
      </c>
      <c r="AH12" s="9" t="s">
        <v>33</v>
      </c>
      <c r="AI12" s="9" t="s">
        <v>136</v>
      </c>
      <c r="AJ12" s="9" t="s">
        <v>131</v>
      </c>
      <c r="AK12" s="9" t="s">
        <v>16</v>
      </c>
      <c r="AP12" s="9" t="s">
        <v>292</v>
      </c>
      <c r="AQ12" s="9">
        <v>0.0</v>
      </c>
      <c r="AS12" s="9">
        <v>0.0</v>
      </c>
      <c r="AW12" s="9" t="s">
        <v>293</v>
      </c>
      <c r="AY12" s="9">
        <v>-150.0</v>
      </c>
      <c r="BB12" s="9">
        <v>-150.0</v>
      </c>
      <c r="BC12" s="9">
        <v>-150.0</v>
      </c>
      <c r="BD12" s="9">
        <v>-150.0</v>
      </c>
      <c r="BF12" s="9">
        <v>1.0</v>
      </c>
      <c r="BH12" s="9" t="s">
        <v>293</v>
      </c>
      <c r="BI12" s="9" t="s">
        <v>294</v>
      </c>
      <c r="BJ12" s="9" t="s">
        <v>295</v>
      </c>
      <c r="BK12" s="9" t="s">
        <v>296</v>
      </c>
      <c r="BQ12" s="9">
        <v>0.0</v>
      </c>
      <c r="BS12" s="9" t="s">
        <v>297</v>
      </c>
      <c r="BT12" s="9" t="s">
        <v>298</v>
      </c>
      <c r="BY12" s="9">
        <v>200.0</v>
      </c>
      <c r="BZ12" s="9">
        <v>200.0</v>
      </c>
      <c r="CA12" s="9">
        <v>150.0</v>
      </c>
      <c r="CB12" s="9">
        <v>20.0</v>
      </c>
      <c r="CC12" s="9">
        <v>20.0</v>
      </c>
      <c r="CE12" s="9">
        <v>-150.0</v>
      </c>
      <c r="CH12" s="9">
        <v>-150.0</v>
      </c>
      <c r="CI12" s="9">
        <v>-300.0</v>
      </c>
      <c r="CT12" s="9" t="s">
        <v>299</v>
      </c>
      <c r="CV12" s="9">
        <v>200.0</v>
      </c>
      <c r="CW12" s="9">
        <v>-100.0</v>
      </c>
      <c r="CX12" s="9">
        <v>100.0</v>
      </c>
      <c r="DE12" s="9" t="s">
        <v>33</v>
      </c>
      <c r="EG12" s="9">
        <v>-0.0678910777274086</v>
      </c>
      <c r="EH12" s="9">
        <v>0.0678910777274086</v>
      </c>
      <c r="EI12" s="9">
        <v>-0.0678910777274086</v>
      </c>
      <c r="EJ12" s="9">
        <v>0.0678910777274086</v>
      </c>
      <c r="EK12" s="9">
        <v>0.0678910777274086</v>
      </c>
      <c r="EM12" s="9">
        <v>200.0</v>
      </c>
      <c r="EN12" s="9">
        <v>200.0</v>
      </c>
      <c r="EP12" s="9">
        <v>56162.0</v>
      </c>
      <c r="EQ12" s="9">
        <v>0.0509183082955565</v>
      </c>
      <c r="ES12" s="9">
        <v>200.0</v>
      </c>
      <c r="ET12" s="9">
        <v>294589.52</v>
      </c>
      <c r="EU12" s="9">
        <v>-0.0509183082955565</v>
      </c>
      <c r="EV12" s="9">
        <v>-0.0509183082955565</v>
      </c>
      <c r="EX12" s="9" t="s">
        <v>303</v>
      </c>
    </row>
    <row r="13" ht="15.75" customHeight="1">
      <c r="A13" s="8"/>
      <c r="B13" s="12" t="s">
        <v>286</v>
      </c>
      <c r="C13" s="12" t="s">
        <v>122</v>
      </c>
      <c r="D13" s="12" t="s">
        <v>287</v>
      </c>
      <c r="E13" s="12" t="s">
        <v>36</v>
      </c>
      <c r="F13" s="12">
        <v>100.0</v>
      </c>
      <c r="G13" s="12">
        <v>8.0</v>
      </c>
      <c r="H13" s="12" t="s">
        <v>313</v>
      </c>
      <c r="I13" s="12" t="s">
        <v>290</v>
      </c>
      <c r="J13" s="12" t="s">
        <v>314</v>
      </c>
      <c r="K13" s="12" t="s">
        <v>108</v>
      </c>
      <c r="L13" s="12">
        <v>100.0</v>
      </c>
      <c r="M13" s="12">
        <v>1.0</v>
      </c>
      <c r="N13" s="8"/>
      <c r="O13" s="8"/>
      <c r="U13" s="9">
        <v>0.0</v>
      </c>
      <c r="V13" s="9">
        <v>0.0</v>
      </c>
      <c r="X13" s="9">
        <v>0.0</v>
      </c>
      <c r="Y13" s="9">
        <v>0.0</v>
      </c>
      <c r="AA13" s="9">
        <v>0.0</v>
      </c>
      <c r="AB13" s="9">
        <v>0.0</v>
      </c>
      <c r="AC13" s="9">
        <v>250000.0</v>
      </c>
      <c r="AD13" s="9">
        <v>250000.0</v>
      </c>
      <c r="AH13" s="9" t="s">
        <v>37</v>
      </c>
      <c r="AI13" s="9" t="s">
        <v>136</v>
      </c>
      <c r="AJ13" s="9" t="s">
        <v>131</v>
      </c>
      <c r="AK13" s="9" t="s">
        <v>315</v>
      </c>
      <c r="AP13" s="9" t="s">
        <v>292</v>
      </c>
      <c r="AQ13" s="9">
        <v>0.0</v>
      </c>
      <c r="AS13" s="9">
        <v>-100.0</v>
      </c>
      <c r="AW13" s="9" t="s">
        <v>293</v>
      </c>
      <c r="AY13" s="9">
        <v>170000.0</v>
      </c>
      <c r="BB13" s="9">
        <v>170000.0</v>
      </c>
      <c r="BC13" s="9">
        <v>250000.0</v>
      </c>
      <c r="BD13" s="9">
        <v>250000.0</v>
      </c>
      <c r="BF13" s="9">
        <v>1.0</v>
      </c>
      <c r="BH13" s="9" t="s">
        <v>316</v>
      </c>
      <c r="BI13" s="9" t="s">
        <v>317</v>
      </c>
      <c r="BJ13" s="9" t="s">
        <v>318</v>
      </c>
      <c r="BK13" s="9" t="s">
        <v>293</v>
      </c>
      <c r="BQ13" s="9">
        <v>0.0</v>
      </c>
      <c r="BS13" s="9" t="s">
        <v>297</v>
      </c>
      <c r="BT13" s="9" t="s">
        <v>298</v>
      </c>
      <c r="BY13" s="9">
        <v>0.0</v>
      </c>
      <c r="BZ13" s="9">
        <v>0.0</v>
      </c>
      <c r="CA13" s="9">
        <v>250000.0</v>
      </c>
      <c r="CB13" s="9">
        <v>25.0</v>
      </c>
      <c r="CC13" s="9">
        <v>25.0</v>
      </c>
      <c r="CE13" s="9">
        <v>250000.0</v>
      </c>
      <c r="CH13" s="9">
        <v>170000.0</v>
      </c>
      <c r="CI13" s="9">
        <v>212.5</v>
      </c>
      <c r="CT13" s="9" t="s">
        <v>299</v>
      </c>
      <c r="CV13" s="9">
        <v>0.0</v>
      </c>
      <c r="CW13" s="9">
        <v>100.0</v>
      </c>
      <c r="CX13" s="9">
        <v>100.0</v>
      </c>
      <c r="DE13" s="9" t="s">
        <v>37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M13" s="9">
        <v>0.0</v>
      </c>
      <c r="EN13" s="9">
        <v>0.0</v>
      </c>
      <c r="EP13" s="9">
        <v>56162.0</v>
      </c>
      <c r="EQ13" s="9">
        <v>84.8638471592608</v>
      </c>
      <c r="ES13" s="9">
        <v>0.0</v>
      </c>
      <c r="ET13" s="9">
        <v>294589.52</v>
      </c>
      <c r="EU13" s="9">
        <v>84.8638471592608</v>
      </c>
      <c r="EV13" s="9">
        <v>84.8638471592608</v>
      </c>
      <c r="EX13" s="9" t="s">
        <v>131</v>
      </c>
    </row>
    <row r="14" ht="15.75" customHeight="1">
      <c r="A14" s="8"/>
      <c r="B14" s="12" t="s">
        <v>286</v>
      </c>
      <c r="C14" s="12" t="s">
        <v>122</v>
      </c>
      <c r="D14" s="12" t="s">
        <v>287</v>
      </c>
      <c r="E14" s="12" t="s">
        <v>38</v>
      </c>
      <c r="F14" s="12">
        <v>-10.0</v>
      </c>
      <c r="G14" s="12">
        <v>5.0</v>
      </c>
      <c r="H14" s="12" t="s">
        <v>313</v>
      </c>
      <c r="I14" s="12" t="s">
        <v>290</v>
      </c>
      <c r="J14" s="12" t="s">
        <v>314</v>
      </c>
      <c r="K14" s="12" t="s">
        <v>108</v>
      </c>
      <c r="L14" s="12">
        <v>100.0</v>
      </c>
      <c r="M14" s="12">
        <v>1.0</v>
      </c>
      <c r="N14" s="8"/>
      <c r="O14" s="8"/>
      <c r="U14" s="9">
        <v>0.0</v>
      </c>
      <c r="V14" s="9">
        <v>0.0</v>
      </c>
      <c r="X14" s="9">
        <v>0.0</v>
      </c>
      <c r="Y14" s="9">
        <v>0.0</v>
      </c>
      <c r="AA14" s="9">
        <v>0.0</v>
      </c>
      <c r="AB14" s="9">
        <v>0.0</v>
      </c>
      <c r="AC14" s="9">
        <v>-15000.0</v>
      </c>
      <c r="AD14" s="9">
        <v>-15000.0</v>
      </c>
      <c r="AH14" s="9" t="s">
        <v>39</v>
      </c>
      <c r="AI14" s="9" t="s">
        <v>136</v>
      </c>
      <c r="AJ14" s="9" t="s">
        <v>131</v>
      </c>
      <c r="AK14" s="9" t="s">
        <v>319</v>
      </c>
      <c r="AP14" s="9" t="s">
        <v>292</v>
      </c>
      <c r="AQ14" s="9">
        <v>0.0</v>
      </c>
      <c r="AS14" s="9">
        <v>-100.0</v>
      </c>
      <c r="AW14" s="9" t="s">
        <v>293</v>
      </c>
      <c r="AY14" s="9">
        <v>-10000.0</v>
      </c>
      <c r="BB14" s="9">
        <v>-10000.0</v>
      </c>
      <c r="BC14" s="9">
        <v>-15000.0</v>
      </c>
      <c r="BD14" s="9">
        <v>-15000.0</v>
      </c>
      <c r="BF14" s="9">
        <v>1.0</v>
      </c>
      <c r="BH14" s="9" t="s">
        <v>316</v>
      </c>
      <c r="BI14" s="9" t="s">
        <v>307</v>
      </c>
      <c r="BJ14" s="9" t="s">
        <v>320</v>
      </c>
      <c r="BK14" s="9" t="s">
        <v>321</v>
      </c>
      <c r="BQ14" s="9">
        <v>0.0</v>
      </c>
      <c r="BS14" s="9" t="s">
        <v>297</v>
      </c>
      <c r="BT14" s="9" t="s">
        <v>298</v>
      </c>
      <c r="BY14" s="9">
        <v>0.0</v>
      </c>
      <c r="BZ14" s="9">
        <v>0.0</v>
      </c>
      <c r="CA14" s="9">
        <v>15000.0</v>
      </c>
      <c r="CB14" s="9">
        <v>15.0</v>
      </c>
      <c r="CC14" s="9">
        <v>15.0</v>
      </c>
      <c r="CE14" s="9">
        <v>-15000.0</v>
      </c>
      <c r="CH14" s="9">
        <v>-10000.0</v>
      </c>
      <c r="CI14" s="9">
        <v>-200.0</v>
      </c>
      <c r="CT14" s="9" t="s">
        <v>299</v>
      </c>
      <c r="CV14" s="9">
        <v>0.0</v>
      </c>
      <c r="CW14" s="9">
        <v>-100.0</v>
      </c>
      <c r="CX14" s="9">
        <v>100.0</v>
      </c>
      <c r="DE14" s="9" t="s">
        <v>39</v>
      </c>
      <c r="EG14" s="9">
        <v>0.0</v>
      </c>
      <c r="EH14" s="9">
        <v>0.0</v>
      </c>
      <c r="EI14" s="9">
        <v>0.0</v>
      </c>
      <c r="EJ14" s="9">
        <v>0.0</v>
      </c>
      <c r="EK14" s="9">
        <v>0.0</v>
      </c>
      <c r="EM14" s="9">
        <v>0.0</v>
      </c>
      <c r="EN14" s="9">
        <v>0.0</v>
      </c>
      <c r="EP14" s="9">
        <v>56162.0</v>
      </c>
      <c r="EQ14" s="9">
        <v>5.09183082955565</v>
      </c>
      <c r="ES14" s="9">
        <v>0.0</v>
      </c>
      <c r="ET14" s="9">
        <v>294589.52</v>
      </c>
      <c r="EU14" s="9">
        <v>-5.09183082955565</v>
      </c>
      <c r="EV14" s="9">
        <v>-5.09183082955565</v>
      </c>
      <c r="EX14" s="9" t="s">
        <v>303</v>
      </c>
    </row>
    <row r="15" ht="15.75" customHeight="1">
      <c r="A15" s="8"/>
      <c r="B15" s="12" t="s">
        <v>286</v>
      </c>
      <c r="C15" s="12" t="s">
        <v>122</v>
      </c>
      <c r="D15" s="12" t="s">
        <v>287</v>
      </c>
      <c r="E15" s="12" t="s">
        <v>23</v>
      </c>
      <c r="F15" s="12">
        <v>100.0</v>
      </c>
      <c r="G15" s="12">
        <v>8.0</v>
      </c>
      <c r="H15" s="12" t="s">
        <v>304</v>
      </c>
      <c r="I15" s="12" t="s">
        <v>290</v>
      </c>
      <c r="J15" s="12" t="s">
        <v>305</v>
      </c>
      <c r="K15" s="12" t="s">
        <v>108</v>
      </c>
      <c r="L15" s="12">
        <v>1.0</v>
      </c>
      <c r="M15" s="12">
        <v>1.0</v>
      </c>
      <c r="N15" s="8"/>
      <c r="O15" s="8"/>
      <c r="U15" s="9">
        <v>800.0</v>
      </c>
      <c r="V15" s="9">
        <v>800.0</v>
      </c>
      <c r="X15" s="9">
        <v>800.0</v>
      </c>
      <c r="Y15" s="9">
        <v>800.0</v>
      </c>
      <c r="AA15" s="9">
        <v>800.0</v>
      </c>
      <c r="AB15" s="9">
        <v>27.1564310909635</v>
      </c>
      <c r="AC15" s="9">
        <v>800.0</v>
      </c>
      <c r="AD15" s="9">
        <v>800.0</v>
      </c>
      <c r="AH15" s="9" t="s">
        <v>32</v>
      </c>
      <c r="AI15" s="9" t="s">
        <v>136</v>
      </c>
      <c r="AJ15" s="9" t="s">
        <v>131</v>
      </c>
      <c r="AK15" s="9" t="s">
        <v>23</v>
      </c>
      <c r="AP15" s="9" t="s">
        <v>292</v>
      </c>
      <c r="AQ15" s="9">
        <v>0.0</v>
      </c>
      <c r="AS15" s="9">
        <v>0.0</v>
      </c>
      <c r="AW15" s="9" t="s">
        <v>293</v>
      </c>
      <c r="AY15" s="9">
        <v>0.0</v>
      </c>
      <c r="BB15" s="9">
        <v>0.0</v>
      </c>
      <c r="BC15" s="9">
        <v>800.0</v>
      </c>
      <c r="BD15" s="9">
        <v>800.0</v>
      </c>
      <c r="BF15" s="9">
        <v>1.0</v>
      </c>
      <c r="BH15" s="9" t="s">
        <v>306</v>
      </c>
      <c r="BI15" s="9" t="s">
        <v>307</v>
      </c>
      <c r="BJ15" s="9" t="s">
        <v>322</v>
      </c>
      <c r="BK15" s="9" t="s">
        <v>323</v>
      </c>
      <c r="BQ15" s="9">
        <v>0.0</v>
      </c>
      <c r="BS15" s="9" t="s">
        <v>297</v>
      </c>
      <c r="BT15" s="9" t="s">
        <v>298</v>
      </c>
      <c r="BY15" s="9">
        <v>800.0</v>
      </c>
      <c r="BZ15" s="9">
        <v>800.0</v>
      </c>
      <c r="CA15" s="9">
        <v>800.0</v>
      </c>
      <c r="CB15" s="9">
        <v>8.0</v>
      </c>
      <c r="CC15" s="9">
        <v>8.0</v>
      </c>
      <c r="CE15" s="9">
        <v>800.0</v>
      </c>
      <c r="CH15" s="9">
        <v>0.0</v>
      </c>
      <c r="CI15" s="9">
        <v>0.0</v>
      </c>
      <c r="CT15" s="9" t="s">
        <v>299</v>
      </c>
      <c r="CV15" s="9">
        <v>800.0</v>
      </c>
      <c r="CW15" s="9">
        <v>100.0</v>
      </c>
      <c r="CX15" s="9">
        <v>100.0</v>
      </c>
      <c r="DE15" s="9" t="s">
        <v>32</v>
      </c>
      <c r="EG15" s="9">
        <v>0.271564310909635</v>
      </c>
      <c r="EH15" s="9">
        <v>0.271564310909635</v>
      </c>
      <c r="EI15" s="9">
        <v>0.271564310909635</v>
      </c>
      <c r="EJ15" s="9">
        <v>0.271564310909635</v>
      </c>
      <c r="EK15" s="9">
        <v>0.271564310909635</v>
      </c>
      <c r="EM15" s="9">
        <v>800.0</v>
      </c>
      <c r="EN15" s="9">
        <v>800.0</v>
      </c>
      <c r="EP15" s="9">
        <v>56162.0</v>
      </c>
      <c r="EQ15" s="9">
        <v>0.271564310909635</v>
      </c>
      <c r="ES15" s="9">
        <v>800.0</v>
      </c>
      <c r="ET15" s="9">
        <v>294589.52</v>
      </c>
      <c r="EU15" s="9">
        <v>0.271564310909635</v>
      </c>
      <c r="EV15" s="9">
        <v>0.271564310909635</v>
      </c>
      <c r="EX15" s="9" t="s">
        <v>131</v>
      </c>
    </row>
    <row r="16" ht="15.75" customHeight="1">
      <c r="A16" s="8"/>
      <c r="B16" s="12" t="s">
        <v>286</v>
      </c>
      <c r="C16" s="12" t="s">
        <v>122</v>
      </c>
      <c r="D16" s="12" t="s">
        <v>287</v>
      </c>
      <c r="E16" s="12" t="s">
        <v>28</v>
      </c>
      <c r="F16" s="12">
        <v>100.0</v>
      </c>
      <c r="G16" s="12">
        <v>10.0</v>
      </c>
      <c r="H16" s="12" t="s">
        <v>306</v>
      </c>
      <c r="I16" s="12" t="s">
        <v>290</v>
      </c>
      <c r="J16" s="12" t="s">
        <v>311</v>
      </c>
      <c r="K16" s="12" t="s">
        <v>108</v>
      </c>
      <c r="L16" s="12">
        <v>1.0</v>
      </c>
      <c r="M16" s="12">
        <v>1.0</v>
      </c>
      <c r="N16" s="8"/>
      <c r="O16" s="8"/>
      <c r="U16" s="9">
        <v>1000.0</v>
      </c>
      <c r="V16" s="9">
        <v>1000.0</v>
      </c>
      <c r="X16" s="9">
        <v>1000.0</v>
      </c>
      <c r="Y16" s="9">
        <v>1000.0</v>
      </c>
      <c r="AA16" s="9">
        <v>1000.0</v>
      </c>
      <c r="AB16" s="9">
        <v>33.9455388637043</v>
      </c>
      <c r="AC16" s="9">
        <v>1000.0</v>
      </c>
      <c r="AD16" s="9">
        <v>1000.0</v>
      </c>
      <c r="AH16" s="9" t="s">
        <v>32</v>
      </c>
      <c r="AI16" s="9" t="s">
        <v>136</v>
      </c>
      <c r="AJ16" s="9" t="s">
        <v>131</v>
      </c>
      <c r="AP16" s="9" t="s">
        <v>292</v>
      </c>
      <c r="AQ16" s="9">
        <v>0.0</v>
      </c>
      <c r="AS16" s="9">
        <v>0.0</v>
      </c>
      <c r="AW16" s="9" t="s">
        <v>293</v>
      </c>
      <c r="AY16" s="9">
        <v>0.0</v>
      </c>
      <c r="BB16" s="9">
        <v>0.0</v>
      </c>
      <c r="BC16" s="9">
        <v>1000.0</v>
      </c>
      <c r="BD16" s="9">
        <v>1000.0</v>
      </c>
      <c r="BF16" s="9">
        <v>1.0</v>
      </c>
      <c r="BH16" s="9" t="s">
        <v>306</v>
      </c>
      <c r="BI16" s="9" t="s">
        <v>293</v>
      </c>
      <c r="BJ16" s="9" t="s">
        <v>293</v>
      </c>
      <c r="BK16" s="9" t="s">
        <v>293</v>
      </c>
      <c r="BQ16" s="9">
        <v>0.0</v>
      </c>
      <c r="BS16" s="9" t="s">
        <v>297</v>
      </c>
      <c r="BT16" s="9" t="s">
        <v>298</v>
      </c>
      <c r="BY16" s="9">
        <v>1000.0</v>
      </c>
      <c r="BZ16" s="9">
        <v>1000.0</v>
      </c>
      <c r="CA16" s="9">
        <v>1000.0</v>
      </c>
      <c r="CB16" s="9">
        <v>10.0</v>
      </c>
      <c r="CC16" s="9">
        <v>10.0</v>
      </c>
      <c r="CE16" s="9">
        <v>1000.0</v>
      </c>
      <c r="CH16" s="9">
        <v>0.0</v>
      </c>
      <c r="CI16" s="9">
        <v>0.0</v>
      </c>
      <c r="CT16" s="9" t="s">
        <v>299</v>
      </c>
      <c r="CV16" s="9">
        <v>1000.0</v>
      </c>
      <c r="CW16" s="9">
        <v>100.0</v>
      </c>
      <c r="CX16" s="9">
        <v>100.0</v>
      </c>
      <c r="DE16" s="9" t="s">
        <v>32</v>
      </c>
      <c r="EG16" s="9">
        <v>0.339455388637043</v>
      </c>
      <c r="EH16" s="9">
        <v>0.339455388637043</v>
      </c>
      <c r="EI16" s="9">
        <v>0.339455388637043</v>
      </c>
      <c r="EJ16" s="9">
        <v>0.339455388637043</v>
      </c>
      <c r="EK16" s="9">
        <v>0.339455388637043</v>
      </c>
      <c r="EM16" s="9">
        <v>1000.0</v>
      </c>
      <c r="EN16" s="9">
        <v>1000.0</v>
      </c>
      <c r="EP16" s="9">
        <v>56162.0</v>
      </c>
      <c r="EQ16" s="9">
        <v>0.339455388637043</v>
      </c>
      <c r="ES16" s="9">
        <v>1000.0</v>
      </c>
      <c r="ET16" s="9">
        <v>294589.52</v>
      </c>
      <c r="EU16" s="9">
        <v>0.339455388637043</v>
      </c>
      <c r="EV16" s="9">
        <v>0.339455388637043</v>
      </c>
      <c r="EX16" s="9" t="s">
        <v>131</v>
      </c>
    </row>
    <row r="17" ht="15.75" customHeight="1">
      <c r="A17" s="8"/>
      <c r="B17" s="12" t="s">
        <v>286</v>
      </c>
      <c r="C17" s="12" t="s">
        <v>122</v>
      </c>
      <c r="D17" s="12" t="s">
        <v>287</v>
      </c>
      <c r="E17" s="12" t="s">
        <v>24</v>
      </c>
      <c r="F17" s="12">
        <v>100.0</v>
      </c>
      <c r="G17" s="12">
        <v>26.47</v>
      </c>
      <c r="H17" s="12" t="s">
        <v>306</v>
      </c>
      <c r="I17" s="12" t="s">
        <v>309</v>
      </c>
      <c r="J17" s="12" t="s">
        <v>324</v>
      </c>
      <c r="K17" s="12" t="s">
        <v>107</v>
      </c>
      <c r="L17" s="12">
        <v>1.0</v>
      </c>
      <c r="M17" s="12">
        <v>1.0588</v>
      </c>
      <c r="N17" s="8"/>
      <c r="O17" s="8"/>
      <c r="U17" s="9">
        <v>2500.0</v>
      </c>
      <c r="V17" s="9">
        <v>2500.0</v>
      </c>
      <c r="X17" s="9">
        <v>2647.0</v>
      </c>
      <c r="Y17" s="9">
        <v>2647.0</v>
      </c>
      <c r="AA17" s="9">
        <v>2647.0</v>
      </c>
      <c r="AB17" s="9">
        <v>89.8538413722253</v>
      </c>
      <c r="AC17" s="9">
        <v>2500.0</v>
      </c>
      <c r="AD17" s="9">
        <v>2647.0</v>
      </c>
      <c r="AH17" s="9" t="s">
        <v>32</v>
      </c>
      <c r="AI17" s="9" t="s">
        <v>136</v>
      </c>
      <c r="AJ17" s="9" t="s">
        <v>131</v>
      </c>
      <c r="AK17" s="9" t="s">
        <v>24</v>
      </c>
      <c r="AP17" s="9" t="s">
        <v>292</v>
      </c>
      <c r="AQ17" s="9">
        <v>0.0</v>
      </c>
      <c r="AS17" s="9">
        <v>0.0</v>
      </c>
      <c r="AW17" s="9" t="s">
        <v>293</v>
      </c>
      <c r="AY17" s="9">
        <v>-147.0</v>
      </c>
      <c r="BB17" s="9">
        <v>-155.6436</v>
      </c>
      <c r="BC17" s="9">
        <v>2500.0</v>
      </c>
      <c r="BD17" s="9">
        <v>2647.0</v>
      </c>
      <c r="BF17" s="9">
        <v>1.0</v>
      </c>
      <c r="BH17" s="9" t="s">
        <v>306</v>
      </c>
      <c r="BI17" s="9" t="s">
        <v>293</v>
      </c>
      <c r="BJ17" s="9" t="s">
        <v>293</v>
      </c>
      <c r="BK17" s="9" t="s">
        <v>293</v>
      </c>
      <c r="BQ17" s="9">
        <v>0.0</v>
      </c>
      <c r="BS17" s="9" t="s">
        <v>297</v>
      </c>
      <c r="BT17" s="9" t="s">
        <v>298</v>
      </c>
      <c r="BY17" s="9">
        <v>2647.0</v>
      </c>
      <c r="BZ17" s="9">
        <v>2647.0</v>
      </c>
      <c r="CA17" s="9">
        <v>2647.0</v>
      </c>
      <c r="CB17" s="9">
        <v>25.0</v>
      </c>
      <c r="CC17" s="9">
        <v>26.47</v>
      </c>
      <c r="CE17" s="9">
        <v>2647.0</v>
      </c>
      <c r="CH17" s="9">
        <v>-155.6436</v>
      </c>
      <c r="CI17" s="9">
        <v>-5.55345674348318</v>
      </c>
      <c r="CT17" s="9" t="s">
        <v>299</v>
      </c>
      <c r="CV17" s="9">
        <v>2500.0</v>
      </c>
      <c r="CW17" s="9">
        <v>100.0</v>
      </c>
      <c r="CX17" s="9">
        <v>100.0</v>
      </c>
      <c r="DE17" s="9" t="s">
        <v>32</v>
      </c>
      <c r="EG17" s="9">
        <v>0.898538413722253</v>
      </c>
      <c r="EH17" s="9">
        <v>0.898538413722253</v>
      </c>
      <c r="EI17" s="9">
        <v>0.898538413722253</v>
      </c>
      <c r="EJ17" s="9">
        <v>0.898538413722253</v>
      </c>
      <c r="EK17" s="9">
        <v>0.898538413722253</v>
      </c>
      <c r="EM17" s="9">
        <v>2647.0</v>
      </c>
      <c r="EN17" s="9">
        <v>2500.0</v>
      </c>
      <c r="EP17" s="9">
        <v>56162.0</v>
      </c>
      <c r="EQ17" s="9">
        <v>0.898538413722253</v>
      </c>
      <c r="ES17" s="9">
        <v>2647.0</v>
      </c>
      <c r="ET17" s="9">
        <v>294589.52</v>
      </c>
      <c r="EU17" s="9">
        <v>0.898538413722253</v>
      </c>
      <c r="EV17" s="9">
        <v>0.898538413722253</v>
      </c>
      <c r="EX17" s="9" t="s">
        <v>131</v>
      </c>
    </row>
    <row r="18" ht="15.75" customHeight="1">
      <c r="A18" s="8"/>
      <c r="B18" s="12" t="s">
        <v>286</v>
      </c>
      <c r="C18" s="12" t="s">
        <v>122</v>
      </c>
      <c r="D18" s="12" t="s">
        <v>287</v>
      </c>
      <c r="E18" s="12">
        <v>1.23456789E8</v>
      </c>
      <c r="F18" s="12">
        <v>12000.0</v>
      </c>
      <c r="G18" s="12">
        <v>25.0</v>
      </c>
      <c r="H18" s="12" t="s">
        <v>300</v>
      </c>
      <c r="I18" s="12" t="s">
        <v>301</v>
      </c>
      <c r="J18" s="12" t="s">
        <v>302</v>
      </c>
      <c r="K18" s="12" t="s">
        <v>108</v>
      </c>
      <c r="L18" s="12">
        <v>0.01</v>
      </c>
      <c r="M18" s="12">
        <v>1.0</v>
      </c>
      <c r="N18" s="8"/>
      <c r="O18" s="8"/>
      <c r="U18" s="9">
        <v>3000.0</v>
      </c>
      <c r="V18" s="9">
        <v>3000.0</v>
      </c>
      <c r="X18" s="9">
        <v>3000.0</v>
      </c>
      <c r="Y18" s="9">
        <v>3000.0</v>
      </c>
      <c r="AA18" s="9">
        <v>3000.0</v>
      </c>
      <c r="AB18" s="9">
        <v>101.836616591113</v>
      </c>
      <c r="AC18" s="9">
        <v>3000.0</v>
      </c>
      <c r="AD18" s="9">
        <v>3000.0</v>
      </c>
      <c r="AH18" s="9" t="s">
        <v>32</v>
      </c>
      <c r="AI18" s="9" t="s">
        <v>136</v>
      </c>
      <c r="AJ18" s="9" t="s">
        <v>131</v>
      </c>
      <c r="AK18" s="9">
        <v>1.23456789E8</v>
      </c>
      <c r="AP18" s="9" t="s">
        <v>292</v>
      </c>
      <c r="AQ18" s="9">
        <v>0.0</v>
      </c>
      <c r="AS18" s="9">
        <v>0.0</v>
      </c>
      <c r="AW18" s="9" t="s">
        <v>293</v>
      </c>
      <c r="AY18" s="9">
        <v>0.0</v>
      </c>
      <c r="BB18" s="9">
        <v>0.0</v>
      </c>
      <c r="BC18" s="9">
        <v>3000.0</v>
      </c>
      <c r="BD18" s="9">
        <v>3000.0</v>
      </c>
      <c r="BF18" s="9">
        <v>1.0</v>
      </c>
      <c r="BH18" s="9" t="s">
        <v>300</v>
      </c>
      <c r="BI18" s="9" t="s">
        <v>293</v>
      </c>
      <c r="BJ18" s="9" t="s">
        <v>293</v>
      </c>
      <c r="BK18" s="9" t="s">
        <v>293</v>
      </c>
      <c r="BQ18" s="9">
        <v>0.0</v>
      </c>
      <c r="BS18" s="9" t="s">
        <v>297</v>
      </c>
      <c r="BT18" s="9" t="s">
        <v>298</v>
      </c>
      <c r="BY18" s="9">
        <v>3000.0</v>
      </c>
      <c r="BZ18" s="9">
        <v>3000.0</v>
      </c>
      <c r="CA18" s="9">
        <v>3000.0</v>
      </c>
      <c r="CB18" s="9">
        <v>25.0</v>
      </c>
      <c r="CC18" s="9">
        <v>25.0</v>
      </c>
      <c r="CE18" s="9">
        <v>3000.0</v>
      </c>
      <c r="CH18" s="9">
        <v>0.0</v>
      </c>
      <c r="CI18" s="9">
        <v>0.0</v>
      </c>
      <c r="CT18" s="9" t="s">
        <v>299</v>
      </c>
      <c r="CV18" s="9">
        <v>3000.0</v>
      </c>
      <c r="CW18" s="9">
        <v>100.0</v>
      </c>
      <c r="CX18" s="9">
        <v>100.0</v>
      </c>
      <c r="DE18" s="9" t="s">
        <v>32</v>
      </c>
      <c r="EG18" s="9">
        <v>1.01836616591113</v>
      </c>
      <c r="EH18" s="9">
        <v>1.01836616591113</v>
      </c>
      <c r="EI18" s="9">
        <v>1.01836616591113</v>
      </c>
      <c r="EJ18" s="9">
        <v>1.01836616591113</v>
      </c>
      <c r="EK18" s="9">
        <v>1.01836616591113</v>
      </c>
      <c r="EM18" s="9">
        <v>3000.0</v>
      </c>
      <c r="EN18" s="9">
        <v>3000.0</v>
      </c>
      <c r="EP18" s="9">
        <v>56162.0</v>
      </c>
      <c r="EQ18" s="9">
        <v>1.01836616591113</v>
      </c>
      <c r="ES18" s="9">
        <v>3000.0</v>
      </c>
      <c r="ET18" s="9">
        <v>294589.52</v>
      </c>
      <c r="EU18" s="9">
        <v>1.01836616591113</v>
      </c>
      <c r="EV18" s="9">
        <v>1.01836616591113</v>
      </c>
      <c r="EX18" s="9" t="s">
        <v>131</v>
      </c>
    </row>
    <row r="19" ht="15.75" customHeight="1">
      <c r="A19" s="8"/>
      <c r="B19" s="12" t="s">
        <v>286</v>
      </c>
      <c r="C19" s="12" t="s">
        <v>122</v>
      </c>
      <c r="D19" s="12" t="s">
        <v>287</v>
      </c>
      <c r="E19" s="12" t="s">
        <v>288</v>
      </c>
      <c r="F19" s="12">
        <v>100.0</v>
      </c>
      <c r="G19" s="12">
        <v>50.0</v>
      </c>
      <c r="H19" s="12" t="s">
        <v>289</v>
      </c>
      <c r="I19" s="12" t="s">
        <v>290</v>
      </c>
      <c r="J19" s="12" t="s">
        <v>291</v>
      </c>
      <c r="K19" s="12" t="s">
        <v>108</v>
      </c>
      <c r="L19" s="12">
        <v>50.0</v>
      </c>
      <c r="M19" s="12">
        <v>1.0</v>
      </c>
      <c r="N19" s="8"/>
      <c r="O19" s="8"/>
      <c r="U19" s="9">
        <v>75000.0</v>
      </c>
      <c r="V19" s="9">
        <v>5000.0</v>
      </c>
      <c r="X19" s="9">
        <v>75000.0</v>
      </c>
      <c r="Y19" s="9">
        <v>75000.0</v>
      </c>
      <c r="AA19" s="9">
        <v>75000.0</v>
      </c>
      <c r="AB19" s="9">
        <v>2545.91541477782</v>
      </c>
      <c r="AC19" s="9">
        <v>-175000.0</v>
      </c>
      <c r="AD19" s="9">
        <v>-175000.0</v>
      </c>
      <c r="AH19" s="9" t="s">
        <v>32</v>
      </c>
      <c r="AI19" s="9" t="s">
        <v>136</v>
      </c>
      <c r="AJ19" s="9" t="s">
        <v>131</v>
      </c>
      <c r="AK19" s="9" t="s">
        <v>288</v>
      </c>
      <c r="AP19" s="9" t="s">
        <v>292</v>
      </c>
      <c r="AQ19" s="9">
        <v>0.0</v>
      </c>
      <c r="AS19" s="9">
        <v>0.0</v>
      </c>
      <c r="AW19" s="9" t="s">
        <v>293</v>
      </c>
      <c r="AY19" s="9">
        <v>-175000.0</v>
      </c>
      <c r="BB19" s="9">
        <v>-175000.0</v>
      </c>
      <c r="BC19" s="9">
        <v>-175000.0</v>
      </c>
      <c r="BD19" s="9">
        <v>-175000.0</v>
      </c>
      <c r="BF19" s="9">
        <v>1.0</v>
      </c>
      <c r="BH19" s="9" t="s">
        <v>293</v>
      </c>
      <c r="BI19" s="9" t="s">
        <v>294</v>
      </c>
      <c r="BJ19" s="9" t="s">
        <v>295</v>
      </c>
      <c r="BK19" s="9" t="s">
        <v>296</v>
      </c>
      <c r="BQ19" s="9">
        <v>0.0</v>
      </c>
      <c r="BS19" s="9" t="s">
        <v>297</v>
      </c>
      <c r="BT19" s="9" t="s">
        <v>298</v>
      </c>
      <c r="BY19" s="9">
        <v>75000.0</v>
      </c>
      <c r="BZ19" s="9">
        <v>75000.0</v>
      </c>
      <c r="CA19" s="9">
        <v>175000.0</v>
      </c>
      <c r="CB19" s="9">
        <v>15.0</v>
      </c>
      <c r="CC19" s="9">
        <v>15.0</v>
      </c>
      <c r="CE19" s="9">
        <v>-175000.0</v>
      </c>
      <c r="CH19" s="9">
        <v>-175000.0</v>
      </c>
      <c r="CI19" s="9">
        <v>-70.0</v>
      </c>
      <c r="CT19" s="9" t="s">
        <v>299</v>
      </c>
      <c r="CV19" s="9">
        <v>75000.0</v>
      </c>
      <c r="CW19" s="9">
        <v>-100.0</v>
      </c>
      <c r="CX19" s="9">
        <v>100.0</v>
      </c>
      <c r="DE19" s="9" t="s">
        <v>32</v>
      </c>
      <c r="EG19" s="9">
        <v>25.4591541477782</v>
      </c>
      <c r="EH19" s="9">
        <v>25.4591541477782</v>
      </c>
      <c r="EI19" s="9">
        <v>25.4591541477782</v>
      </c>
      <c r="EJ19" s="9">
        <v>0.254591541477782</v>
      </c>
      <c r="EK19" s="9">
        <v>0.254591541477782</v>
      </c>
      <c r="EM19" s="9">
        <v>750.0</v>
      </c>
      <c r="EN19" s="9">
        <v>750.0</v>
      </c>
      <c r="EP19" s="9">
        <v>56162.0</v>
      </c>
      <c r="EQ19" s="9">
        <v>59.4046930114825</v>
      </c>
      <c r="ES19" s="9">
        <v>750.0</v>
      </c>
      <c r="ET19" s="9">
        <v>294589.52</v>
      </c>
      <c r="EU19" s="9">
        <v>-59.4046930114825</v>
      </c>
      <c r="EV19" s="9">
        <v>-59.4046930114825</v>
      </c>
      <c r="EX19" s="9" t="s">
        <v>131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