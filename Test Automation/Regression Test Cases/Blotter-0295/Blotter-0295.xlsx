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ergeOrder" sheetId="5" r:id="rId7"/>
    <sheet state="visible" name="VerifyMergeOrder" sheetId="6" r:id="rId8"/>
    <sheet state="visible" name="EditOrder" sheetId="7" r:id="rId9"/>
    <sheet state="visible" name="VerifyCustomAllocationonTT" sheetId="8" r:id="rId10"/>
    <sheet state="visible" name="CreateReplaceOrder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<sst xmlns="http://schemas.openxmlformats.org/spreadsheetml/2006/main" count="114" uniqueCount="37">
  <si>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</si>
  <si>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</si>
  <si>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</si>
  <si>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</si>
  <si>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</si>
  <si>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</si>
  <si>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</si>
  <si>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</si>
  <si>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</si>
  <si>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</si>
  <si>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</si>
  <si>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</si>
  <si>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</si>
  <si>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</si>
  <si>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</si>
  <si>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</si>
  <si>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</si>
  <si>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</si>
  <si>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</si>
  <si>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</si>
  <si>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Allocation2</t>
  </si>
  <si>
    <t>Blotter</t>
  </si>
  <si>
    <t>MergeOrder</t>
  </si>
  <si>
    <t>New</t>
  </si>
  <si>
    <t>Market</t>
  </si>
  <si>
    <t>AAPL US EQUITY</t>
  </si>
  <si>
    <t>Yes</t>
  </si>
  <si>
    <t>VerifyMergeOrder</t>
  </si>
  <si>
    <t>NASDAQ</t>
  </si>
  <si>
    <t>Multiple</t>
  </si>
  <si>
    <t>jpearce</t>
  </si>
  <si>
    <t>EditOrder</t>
  </si>
  <si>
    <t>Equity</t>
  </si>
  <si>
    <t>VerifyCustomAllocationonTT</t>
  </si>
  <si>
    <t>CreateReplaceOrder</t>
  </si>
  <si>
    <t>VerifyOrder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</si>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</sst>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Arial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6" fontId="14" numFmtId="0" xfId="0" applyAlignment="1" applyFill="1" applyFont="1">
      <alignment vertical="bottom"/>
    </xf>
    <xf borderId="0" fillId="6" fontId="15" numFmtId="0" xfId="0" applyAlignment="1" applyFont="1">
      <alignment vertical="bottom"/>
    </xf>
    <xf borderId="0" fillId="6" fontId="15" numFmtId="0" xfId="0" applyAlignment="1" applyFont="1">
      <alignment horizontal="left" readingOrder="0"/>
    </xf>
    <xf borderId="0" fillId="6" fontId="16" numFmtId="0" xfId="0" applyAlignment="1" applyFont="1">
      <alignment horizontal="left" readingOrder="0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200.0</v>
      </c>
      <c r="E6" s="31"/>
      <c r="F6" s="31" t="s">
        <v>18</v>
      </c>
      <c r="G6" s="31" t="s">
        <v>19</v>
      </c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16</v>
      </c>
      <c r="C7" s="31" t="s">
        <v>17</v>
      </c>
      <c r="D7" s="32">
        <v>400.0</v>
      </c>
      <c r="E7" s="31"/>
      <c r="F7" s="31" t="s">
        <v>20</v>
      </c>
      <c r="G7" s="31" t="s">
        <v>19</v>
      </c>
      <c r="H7" s="31"/>
      <c r="I7" s="31"/>
      <c r="J7" s="33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4" t="s">
        <v>16</v>
      </c>
      <c r="E6" s="31"/>
      <c r="F6" s="34" t="s">
        <v>17</v>
      </c>
      <c r="G6" s="34" t="s">
        <v>23</v>
      </c>
      <c r="H6" s="32">
        <v>200.0</v>
      </c>
      <c r="I6" s="31"/>
      <c r="J6" s="31"/>
      <c r="K6" s="31"/>
      <c r="L6" s="31"/>
      <c r="M6" s="31"/>
      <c r="N6" s="31"/>
      <c r="O6" s="31"/>
      <c r="P6" s="31"/>
      <c r="Q6" s="31" t="s">
        <v>19</v>
      </c>
      <c r="R6" s="31" t="s">
        <v>18</v>
      </c>
      <c r="S6" s="31"/>
      <c r="T6" s="31" t="s">
        <v>24</v>
      </c>
      <c r="U6" s="31"/>
      <c r="V6" s="31"/>
      <c r="W6" s="31"/>
      <c r="X6" s="31"/>
      <c r="Y6" s="31"/>
      <c r="Z6" s="31"/>
      <c r="AA6" s="31"/>
      <c r="AB6" s="35" t="s">
        <v>25</v>
      </c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 t="s">
        <v>26</v>
      </c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34" t="s">
        <v>16</v>
      </c>
      <c r="E7" s="31"/>
      <c r="F7" s="36" t="s">
        <v>17</v>
      </c>
      <c r="G7" s="36" t="s">
        <v>23</v>
      </c>
      <c r="H7" s="32">
        <v>400.0</v>
      </c>
      <c r="I7" s="31"/>
      <c r="J7" s="31"/>
      <c r="K7" s="31"/>
      <c r="L7" s="31"/>
      <c r="M7" s="31"/>
      <c r="N7" s="31"/>
      <c r="O7" s="31"/>
      <c r="P7" s="31"/>
      <c r="Q7" s="31" t="s">
        <v>19</v>
      </c>
      <c r="R7" s="31" t="s">
        <v>20</v>
      </c>
      <c r="S7" s="31"/>
      <c r="T7" s="37" t="s">
        <v>24</v>
      </c>
      <c r="U7" s="31"/>
      <c r="V7" s="31"/>
      <c r="W7" s="31"/>
      <c r="X7" s="31"/>
      <c r="Y7" s="31"/>
      <c r="Z7" s="31"/>
      <c r="AA7" s="31"/>
      <c r="AB7" s="35" t="s">
        <v>25</v>
      </c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7" t="s">
        <v>26</v>
      </c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IFERROR(__xludf.DUMMYFUNCTION("""COMPUTED_VALUE"""),"Transaction Source")</f>
        <v>Transaction Source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1"/>
      <c r="E6" s="31"/>
      <c r="F6" s="31"/>
      <c r="G6" s="31"/>
      <c r="H6" s="34" t="s">
        <v>28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4" t="s">
        <v>16</v>
      </c>
      <c r="AJ6" s="34" t="s">
        <v>17</v>
      </c>
      <c r="AK6" s="34" t="s">
        <v>23</v>
      </c>
      <c r="AL6" s="32">
        <v>600.0</v>
      </c>
      <c r="AM6" s="31"/>
      <c r="AN6" s="31"/>
      <c r="AO6" s="31"/>
      <c r="AP6" s="31"/>
      <c r="AQ6" s="31"/>
      <c r="AR6" s="31"/>
      <c r="AS6" s="31" t="s">
        <v>19</v>
      </c>
      <c r="AT6" s="31" t="s">
        <v>29</v>
      </c>
      <c r="AU6" s="31" t="s">
        <v>24</v>
      </c>
      <c r="AV6" s="31"/>
      <c r="AW6" s="31"/>
      <c r="AX6" s="31"/>
      <c r="AY6" s="31"/>
      <c r="AZ6" s="31"/>
      <c r="BA6" s="31" t="s">
        <v>30</v>
      </c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34" t="s">
        <v>28</v>
      </c>
      <c r="I6" s="8"/>
      <c r="J6" s="8"/>
      <c r="K6" s="8"/>
      <c r="L6" s="8"/>
      <c r="M6" s="8"/>
      <c r="N6" s="8"/>
      <c r="O6" s="8"/>
      <c r="AA6" s="38" t="s">
        <v>29</v>
      </c>
      <c r="AD6" s="9">
        <v>1.0</v>
      </c>
      <c r="AH6" s="9" t="s">
        <v>32</v>
      </c>
      <c r="AI6" s="34" t="s">
        <v>16</v>
      </c>
      <c r="AJ6" s="34" t="s">
        <v>17</v>
      </c>
      <c r="AK6" s="34" t="s">
        <v>23</v>
      </c>
      <c r="AL6" s="32">
        <v>600.0</v>
      </c>
      <c r="AS6" s="9" t="s">
        <v>19</v>
      </c>
      <c r="AT6" s="9" t="s">
        <v>29</v>
      </c>
      <c r="AU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IFERROR(__xludf.DUMMYFUNCTION("""COMPUTED_VALUE"""),"Current Quantity")</f>
        <v>Current Quantity</v>
      </c>
      <c r="D5" s="28" t="str">
        <f>IFERROR(__xludf.DUMMYFUNCTION("""COMPUTED_VALUE"""),"Current %")</f>
        <v>Current %</v>
      </c>
      <c r="E5" s="28" t="str">
        <f>IFERROR(__xludf.DUMMYFUNCTION("""COMPUTED_VALUE"""),"Allocated Quantity")</f>
        <v>Allocated Quantity</v>
      </c>
      <c r="F5" s="29" t="str">
        <f>IFERROR(__xludf.DUMMYFUNCTION("""COMPUTED_VALUE"""),"Allocation %")</f>
        <v>Allocation %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20</v>
      </c>
      <c r="C6" s="8"/>
      <c r="D6" s="8"/>
      <c r="E6" s="8"/>
      <c r="F6" s="13">
        <v>66.67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18</v>
      </c>
      <c r="C7" s="8"/>
      <c r="D7" s="8"/>
      <c r="E7" s="8"/>
      <c r="F7" s="13">
        <v>33.33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VerifyCustomAllocationonTT!$4:$4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13">
        <v>600.0</v>
      </c>
      <c r="E6" s="8"/>
      <c r="F6" s="8"/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1"/>
      <c r="E6" s="31"/>
      <c r="F6" s="31"/>
      <c r="G6" s="31"/>
      <c r="H6" s="34" t="s">
        <v>28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4" t="s">
        <v>16</v>
      </c>
      <c r="AJ6" s="34" t="s">
        <v>17</v>
      </c>
      <c r="AK6" s="40" t="s">
        <v>36</v>
      </c>
      <c r="AL6" s="32">
        <v>600.0</v>
      </c>
      <c r="AM6" s="31"/>
      <c r="AN6" s="31"/>
      <c r="AO6" s="31"/>
      <c r="AP6" s="31"/>
      <c r="AQ6" s="31"/>
      <c r="AR6" s="31"/>
      <c r="AS6" s="31" t="s">
        <v>19</v>
      </c>
      <c r="AT6" s="31" t="s">
        <v>29</v>
      </c>
      <c r="AU6" s="31" t="s">
        <v>24</v>
      </c>
      <c r="AV6" s="31"/>
      <c r="AW6" s="31"/>
      <c r="AX6" s="31"/>
      <c r="AY6" s="31"/>
      <c r="AZ6" s="31"/>
      <c r="BA6" s="31" t="s">
        <v>30</v>
      </c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