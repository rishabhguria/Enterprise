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VerifyUnExpiredUnSettledGrid" sheetId="9" r:id="rId11"/>
  </sheets>
  <definedNames/>
  <calcPr/>
</workbook>
</file>

<file path=xl/sharedStrings.xml><?xml version="1.0" encoding="utf-8"?>
<sst xmlns="http://schemas.openxmlformats.org/spreadsheetml/2006/main" count="169" uniqueCount="54">
  <si>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</si>
  <si>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</si>
  <si>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</si>
  <si>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</si>
  <si>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</si>
  <si>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</si>
  <si>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</si>
  <si>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</si>
  <si>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</si>
  <si>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</si>
  <si>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</si>
  <si>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</si>
  <si>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</si>
  <si>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</si>
  <si>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</si>
  <si>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</si>
  <si>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</si>
  <si>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</si>
  <si>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</si>
  <si>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</si>
  <si>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</si>
  <si>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</si>
  <si>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</si>
  <si>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</si>
  <si>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Allocation1</t>
  </si>
  <si>
    <t>XLE</t>
  </si>
  <si>
    <t>ABM</t>
  </si>
  <si>
    <t>SAP</t>
  </si>
  <si>
    <t>Buy to Open</t>
  </si>
  <si>
    <t>Allocation2</t>
  </si>
  <si>
    <t>Allocation3</t>
  </si>
  <si>
    <t>Sell to Open</t>
  </si>
  <si>
    <t>DailyValuation</t>
  </si>
  <si>
    <t>GetMarkPriceData</t>
  </si>
  <si>
    <t>UpdateMarkPrice</t>
  </si>
  <si>
    <t>Closing</t>
  </si>
  <si>
    <t>GetDataClosing</t>
  </si>
  <si>
    <t>Current</t>
  </si>
  <si>
    <t>VerifyUnExpiredUnSettledGrid</t>
  </si>
  <si>
    <t>EquityOption</t>
  </si>
  <si>
    <t>RIG US 08/21/10 C75 Equity</t>
  </si>
  <si>
    <t>MS</t>
  </si>
  <si>
    <t>Auto</t>
  </si>
  <si>
    <t>Open</t>
  </si>
  <si>
    <t>USD</t>
  </si>
  <si>
    <t>Undefined</t>
  </si>
  <si>
    <t>OPTS</t>
  </si>
  <si>
    <t>M</t>
  </si>
  <si>
    <t>CALL</t>
  </si>
  <si>
    <t>OTM</t>
  </si>
  <si>
    <t>XLE US 06/19/10 P52 Equity</t>
  </si>
  <si>
    <t>PUT</t>
  </si>
  <si>
    <t>ITM</t>
  </si>
  <si>
    <t>ABM US 07/23/21 C100.00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</si>
</sst>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4" xfId="0" applyFont="1" applyNumberFormat="1"/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 t="shared" ref="C6:C9" si="1">today()+2</f>
        <v>44780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2">
        <f t="shared" si="1"/>
        <v>44780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si="1"/>
        <v>44780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2">
        <f t="shared" si="1"/>
        <v>44780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22</v>
      </c>
      <c r="C6" s="31" t="s">
        <v>23</v>
      </c>
      <c r="D6" s="37">
        <v>100.0</v>
      </c>
      <c r="E6" s="38">
        <v>100.0</v>
      </c>
      <c r="F6" s="39" t="s">
        <v>24</v>
      </c>
      <c r="G6" s="40"/>
      <c r="H6" s="40"/>
      <c r="I6" s="40"/>
      <c r="J6" s="38">
        <v>10.0</v>
      </c>
      <c r="K6" s="40"/>
      <c r="L6" s="40"/>
      <c r="M6" s="40"/>
      <c r="N6" s="32">
        <f t="shared" ref="N6:N9" si="1">today()-1</f>
        <v>44777</v>
      </c>
      <c r="O6" s="8"/>
    </row>
    <row r="7" ht="15.75" customHeight="1">
      <c r="A7" s="8"/>
      <c r="B7" s="36" t="s">
        <v>25</v>
      </c>
      <c r="C7" s="33" t="s">
        <v>23</v>
      </c>
      <c r="D7" s="41">
        <v>100.0</v>
      </c>
      <c r="E7" s="42">
        <v>100.0</v>
      </c>
      <c r="F7" s="43" t="s">
        <v>24</v>
      </c>
      <c r="G7" s="44"/>
      <c r="H7" s="44"/>
      <c r="I7" s="44"/>
      <c r="J7" s="42">
        <v>10.0</v>
      </c>
      <c r="K7" s="44"/>
      <c r="L7" s="44"/>
      <c r="M7" s="44"/>
      <c r="N7" s="45">
        <f t="shared" si="1"/>
        <v>44777</v>
      </c>
      <c r="O7" s="8"/>
    </row>
    <row r="8" ht="15.75" customHeight="1">
      <c r="A8" s="8"/>
      <c r="B8" s="36" t="s">
        <v>26</v>
      </c>
      <c r="C8" s="33" t="s">
        <v>23</v>
      </c>
      <c r="D8" s="46">
        <v>100.0</v>
      </c>
      <c r="E8" s="38">
        <v>100.0</v>
      </c>
      <c r="F8" s="46" t="s">
        <v>24</v>
      </c>
      <c r="G8" s="8"/>
      <c r="H8" s="8"/>
      <c r="I8" s="8"/>
      <c r="J8" s="42">
        <v>10.0</v>
      </c>
      <c r="K8" s="8"/>
      <c r="L8" s="8"/>
      <c r="M8" s="8"/>
      <c r="N8" s="45">
        <f t="shared" si="1"/>
        <v>44777</v>
      </c>
      <c r="O8" s="8"/>
    </row>
    <row r="9" ht="15.75" customHeight="1">
      <c r="A9" s="8"/>
      <c r="B9" s="36" t="s">
        <v>27</v>
      </c>
      <c r="C9" s="33" t="s">
        <v>23</v>
      </c>
      <c r="D9" s="46">
        <v>100.0</v>
      </c>
      <c r="E9" s="42">
        <v>100.0</v>
      </c>
      <c r="F9" s="46" t="s">
        <v>24</v>
      </c>
      <c r="G9" s="8"/>
      <c r="H9" s="8"/>
      <c r="I9" s="8"/>
      <c r="J9" s="42">
        <v>10.0</v>
      </c>
      <c r="K9" s="8"/>
      <c r="L9" s="8"/>
      <c r="M9" s="8"/>
      <c r="N9" s="45">
        <f t="shared" si="1"/>
        <v>44777</v>
      </c>
      <c r="O9" s="8"/>
    </row>
    <row r="10" ht="15.75" customHeight="1">
      <c r="A10" s="8"/>
      <c r="B10" s="44" t="s">
        <v>16</v>
      </c>
      <c r="C10" s="47" t="s">
        <v>28</v>
      </c>
      <c r="D10" s="42">
        <v>100.0</v>
      </c>
      <c r="E10" s="42">
        <v>100.0</v>
      </c>
      <c r="F10" s="48" t="s">
        <v>29</v>
      </c>
      <c r="G10" s="44"/>
      <c r="H10" s="44"/>
      <c r="I10" s="44"/>
      <c r="J10" s="42">
        <v>10.0</v>
      </c>
      <c r="K10" s="44"/>
      <c r="L10" s="44"/>
      <c r="M10" s="44"/>
      <c r="N10" s="45">
        <f t="shared" ref="N10:N13" si="2">today()</f>
        <v>44778</v>
      </c>
      <c r="O10" s="8"/>
    </row>
    <row r="11" ht="15.75" customHeight="1">
      <c r="A11" s="8"/>
      <c r="B11" s="40" t="s">
        <v>17</v>
      </c>
      <c r="C11" s="49" t="s">
        <v>28</v>
      </c>
      <c r="D11" s="38">
        <v>100.0</v>
      </c>
      <c r="E11" s="38">
        <v>100.0</v>
      </c>
      <c r="F11" s="50" t="s">
        <v>30</v>
      </c>
      <c r="G11" s="40"/>
      <c r="H11" s="40"/>
      <c r="I11" s="40"/>
      <c r="J11" s="38">
        <v>10.0</v>
      </c>
      <c r="K11" s="40"/>
      <c r="L11" s="40"/>
      <c r="M11" s="40"/>
      <c r="N11" s="32">
        <f t="shared" si="2"/>
        <v>44778</v>
      </c>
      <c r="O11" s="8"/>
    </row>
    <row r="12" ht="15.75" customHeight="1">
      <c r="A12" s="8"/>
      <c r="B12" s="31" t="s">
        <v>18</v>
      </c>
      <c r="C12" s="49" t="s">
        <v>31</v>
      </c>
      <c r="D12" s="38">
        <v>100.0</v>
      </c>
      <c r="E12" s="38">
        <v>100.0</v>
      </c>
      <c r="F12" s="39" t="s">
        <v>29</v>
      </c>
      <c r="G12" s="40"/>
      <c r="H12" s="40"/>
      <c r="I12" s="40"/>
      <c r="J12" s="38">
        <v>10.0</v>
      </c>
      <c r="K12" s="40"/>
      <c r="L12" s="40"/>
      <c r="M12" s="40"/>
      <c r="N12" s="32">
        <f t="shared" si="2"/>
        <v>44778</v>
      </c>
      <c r="O12" s="8"/>
    </row>
    <row r="13" ht="15.75" customHeight="1">
      <c r="A13" s="8"/>
      <c r="B13" s="31" t="s">
        <v>19</v>
      </c>
      <c r="C13" s="40" t="s">
        <v>31</v>
      </c>
      <c r="D13" s="38">
        <v>100.0</v>
      </c>
      <c r="E13" s="38">
        <v>100.0</v>
      </c>
      <c r="F13" s="31" t="s">
        <v>30</v>
      </c>
      <c r="G13" s="40"/>
      <c r="H13" s="40"/>
      <c r="I13" s="40"/>
      <c r="J13" s="38">
        <v>10.0</v>
      </c>
      <c r="K13" s="40"/>
      <c r="L13" s="40"/>
      <c r="M13" s="40"/>
      <c r="N13" s="32">
        <f t="shared" si="2"/>
        <v>44778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44777</v>
      </c>
      <c r="C6" s="32">
        <f>today()</f>
        <v>44778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22</v>
      </c>
      <c r="C6" s="51">
        <v>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52">
        <v>90.0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26</v>
      </c>
      <c r="C8" s="52">
        <v>90.0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27</v>
      </c>
      <c r="C9" s="52">
        <v>90.0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6.88"/>
    <col customWidth="1" min="11" max="11" width="15.25"/>
    <col customWidth="1" min="12" max="110" width="12.63"/>
    <col customWidth="1" min="111" max="111" width="17.88"/>
    <col customWidth="1" min="1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53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8"/>
      <c r="B6" s="54" t="s">
        <v>29</v>
      </c>
      <c r="C6" s="8"/>
      <c r="D6" s="8"/>
      <c r="E6" s="8" t="s">
        <v>39</v>
      </c>
      <c r="F6" s="8"/>
      <c r="G6" s="8"/>
      <c r="H6" s="8"/>
      <c r="I6" s="42">
        <v>10.0</v>
      </c>
      <c r="J6" s="54" t="s">
        <v>40</v>
      </c>
      <c r="K6" s="54" t="s">
        <v>41</v>
      </c>
      <c r="L6" s="44" t="s">
        <v>42</v>
      </c>
      <c r="M6" s="42">
        <v>0.0</v>
      </c>
      <c r="N6" s="8"/>
      <c r="O6" s="8"/>
      <c r="P6" s="42">
        <v>0.0</v>
      </c>
      <c r="R6" s="42">
        <v>0.0</v>
      </c>
      <c r="S6" s="42">
        <v>0.0</v>
      </c>
      <c r="U6" s="44" t="s">
        <v>43</v>
      </c>
      <c r="AE6" s="9" t="s">
        <v>44</v>
      </c>
      <c r="AG6" s="54" t="s">
        <v>45</v>
      </c>
      <c r="AH6" s="54" t="s">
        <v>45</v>
      </c>
      <c r="AI6" s="54" t="s">
        <v>45</v>
      </c>
      <c r="AJ6" s="54" t="s">
        <v>45</v>
      </c>
      <c r="AK6" s="54" t="s">
        <v>45</v>
      </c>
      <c r="AL6" s="54" t="s">
        <v>45</v>
      </c>
      <c r="AM6" s="54" t="s">
        <v>45</v>
      </c>
      <c r="AP6" s="44" t="s">
        <v>46</v>
      </c>
      <c r="AQ6" s="55">
        <v>100.0</v>
      </c>
      <c r="AT6" s="44" t="s">
        <v>47</v>
      </c>
      <c r="AU6" s="55">
        <v>1.0</v>
      </c>
      <c r="BK6" s="55">
        <v>0.0</v>
      </c>
      <c r="BO6" s="55">
        <v>100000.0</v>
      </c>
      <c r="BV6" s="54" t="s">
        <v>28</v>
      </c>
      <c r="BW6" s="56">
        <f t="shared" ref="BW6:BW9" si="1">TODAY()</f>
        <v>44778</v>
      </c>
      <c r="CD6" s="56">
        <f t="shared" ref="CD6:CD9" si="2">TODAY()</f>
        <v>44778</v>
      </c>
      <c r="CF6" s="44" t="s">
        <v>48</v>
      </c>
      <c r="CG6" s="57">
        <v>100.0</v>
      </c>
      <c r="CM6" s="58"/>
      <c r="DG6" s="59" t="s">
        <v>16</v>
      </c>
      <c r="ED6" s="54" t="s">
        <v>22</v>
      </c>
      <c r="EJ6" s="55">
        <v>10.0</v>
      </c>
      <c r="EM6" s="9" t="s">
        <v>49</v>
      </c>
      <c r="EN6" s="9">
        <v>2.0</v>
      </c>
      <c r="EO6" s="9">
        <v>-10.0</v>
      </c>
      <c r="EP6" s="9">
        <v>0.0</v>
      </c>
      <c r="EQ6" s="9">
        <v>-100000.0</v>
      </c>
    </row>
    <row r="7" ht="15.75" customHeight="1">
      <c r="A7" s="8"/>
      <c r="B7" s="54" t="s">
        <v>30</v>
      </c>
      <c r="C7" s="8"/>
      <c r="D7" s="8"/>
      <c r="E7" s="8" t="s">
        <v>39</v>
      </c>
      <c r="F7" s="8"/>
      <c r="G7" s="8"/>
      <c r="H7" s="8"/>
      <c r="I7" s="42">
        <v>10.0</v>
      </c>
      <c r="J7" s="54" t="s">
        <v>50</v>
      </c>
      <c r="K7" s="54" t="s">
        <v>41</v>
      </c>
      <c r="L7" s="44" t="s">
        <v>42</v>
      </c>
      <c r="M7" s="42">
        <v>0.0</v>
      </c>
      <c r="N7" s="8"/>
      <c r="O7" s="8"/>
      <c r="P7" s="42">
        <v>0.0</v>
      </c>
      <c r="R7" s="42">
        <v>0.0</v>
      </c>
      <c r="S7" s="42">
        <v>0.0</v>
      </c>
      <c r="U7" s="44" t="s">
        <v>43</v>
      </c>
      <c r="AE7" s="9" t="s">
        <v>44</v>
      </c>
      <c r="AG7" s="54" t="s">
        <v>45</v>
      </c>
      <c r="AH7" s="54" t="s">
        <v>45</v>
      </c>
      <c r="AI7" s="54" t="s">
        <v>45</v>
      </c>
      <c r="AJ7" s="54" t="s">
        <v>45</v>
      </c>
      <c r="AK7" s="54" t="s">
        <v>45</v>
      </c>
      <c r="AL7" s="54" t="s">
        <v>45</v>
      </c>
      <c r="AM7" s="54" t="s">
        <v>45</v>
      </c>
      <c r="AP7" s="44" t="s">
        <v>46</v>
      </c>
      <c r="AQ7" s="55">
        <v>100.0</v>
      </c>
      <c r="AT7" s="44" t="s">
        <v>47</v>
      </c>
      <c r="AU7" s="55">
        <v>1.0</v>
      </c>
      <c r="BK7" s="55">
        <v>0.0</v>
      </c>
      <c r="BO7" s="55">
        <v>100000.0</v>
      </c>
      <c r="BV7" s="54" t="s">
        <v>28</v>
      </c>
      <c r="BW7" s="56">
        <f t="shared" si="1"/>
        <v>44778</v>
      </c>
      <c r="CD7" s="56">
        <f t="shared" si="2"/>
        <v>44778</v>
      </c>
      <c r="CF7" s="44" t="s">
        <v>51</v>
      </c>
      <c r="CG7" s="57">
        <v>100.0</v>
      </c>
      <c r="DG7" s="59" t="s">
        <v>17</v>
      </c>
      <c r="ED7" s="54" t="s">
        <v>25</v>
      </c>
      <c r="EJ7" s="55">
        <v>10.0</v>
      </c>
      <c r="EM7" s="9" t="s">
        <v>52</v>
      </c>
      <c r="EN7" s="9">
        <v>2.0</v>
      </c>
      <c r="EO7" s="9">
        <v>10.0</v>
      </c>
      <c r="EP7" s="9">
        <v>10.0</v>
      </c>
      <c r="EQ7" s="9">
        <v>0.0</v>
      </c>
    </row>
    <row r="8" ht="15.75" customHeight="1">
      <c r="A8" s="8"/>
      <c r="B8" s="54" t="s">
        <v>29</v>
      </c>
      <c r="C8" s="8"/>
      <c r="D8" s="8"/>
      <c r="E8" s="8" t="s">
        <v>39</v>
      </c>
      <c r="F8" s="8"/>
      <c r="G8" s="8"/>
      <c r="H8" s="8"/>
      <c r="I8" s="42">
        <v>10.0</v>
      </c>
      <c r="J8" s="54" t="s">
        <v>53</v>
      </c>
      <c r="K8" s="54" t="s">
        <v>41</v>
      </c>
      <c r="L8" s="44" t="s">
        <v>42</v>
      </c>
      <c r="M8" s="42">
        <v>0.0</v>
      </c>
      <c r="N8" s="8"/>
      <c r="O8" s="8"/>
      <c r="P8" s="42">
        <v>0.0</v>
      </c>
      <c r="R8" s="42">
        <v>0.0</v>
      </c>
      <c r="S8" s="42">
        <v>0.0</v>
      </c>
      <c r="U8" s="44" t="s">
        <v>43</v>
      </c>
      <c r="AE8" s="9" t="s">
        <v>44</v>
      </c>
      <c r="AG8" s="54" t="s">
        <v>45</v>
      </c>
      <c r="AH8" s="54" t="s">
        <v>45</v>
      </c>
      <c r="AI8" s="54" t="s">
        <v>45</v>
      </c>
      <c r="AJ8" s="54" t="s">
        <v>45</v>
      </c>
      <c r="AK8" s="54" t="s">
        <v>45</v>
      </c>
      <c r="AL8" s="54" t="s">
        <v>45</v>
      </c>
      <c r="AM8" s="54" t="s">
        <v>45</v>
      </c>
      <c r="AP8" s="44" t="s">
        <v>46</v>
      </c>
      <c r="AQ8" s="55">
        <v>100.0</v>
      </c>
      <c r="AT8" s="44" t="s">
        <v>47</v>
      </c>
      <c r="AU8" s="55">
        <v>1.0</v>
      </c>
      <c r="BK8" s="55">
        <v>0.0</v>
      </c>
      <c r="BO8" s="55">
        <v>100000.0</v>
      </c>
      <c r="BV8" s="54" t="s">
        <v>31</v>
      </c>
      <c r="BW8" s="56">
        <f t="shared" si="1"/>
        <v>44778</v>
      </c>
      <c r="CD8" s="56">
        <f t="shared" si="2"/>
        <v>44778</v>
      </c>
      <c r="CF8" s="44" t="s">
        <v>48</v>
      </c>
      <c r="CG8" s="57">
        <v>100.0</v>
      </c>
      <c r="DG8" s="60" t="s">
        <v>18</v>
      </c>
      <c r="ED8" s="54" t="s">
        <v>26</v>
      </c>
      <c r="EJ8" s="55">
        <v>10.0</v>
      </c>
      <c r="EM8" s="9" t="s">
        <v>49</v>
      </c>
      <c r="EN8" s="9">
        <v>2.0</v>
      </c>
      <c r="EO8" s="9">
        <v>-10.0</v>
      </c>
      <c r="EP8" s="9">
        <v>0.0</v>
      </c>
      <c r="EQ8" s="9">
        <v>100000.0</v>
      </c>
    </row>
    <row r="9" ht="15.75" customHeight="1">
      <c r="A9" s="8"/>
      <c r="B9" s="61" t="s">
        <v>30</v>
      </c>
      <c r="C9" s="8"/>
      <c r="D9" s="8"/>
      <c r="E9" s="8" t="s">
        <v>39</v>
      </c>
      <c r="F9" s="8"/>
      <c r="G9" s="8"/>
      <c r="H9" s="8"/>
      <c r="I9" s="42">
        <v>10.0</v>
      </c>
      <c r="J9" s="8"/>
      <c r="K9" s="54" t="s">
        <v>41</v>
      </c>
      <c r="L9" s="44" t="s">
        <v>42</v>
      </c>
      <c r="M9" s="42">
        <v>0.0</v>
      </c>
      <c r="N9" s="8"/>
      <c r="O9" s="8"/>
      <c r="P9" s="42">
        <v>0.0</v>
      </c>
      <c r="R9" s="42">
        <v>0.0</v>
      </c>
      <c r="S9" s="42">
        <v>0.0</v>
      </c>
      <c r="U9" s="44" t="s">
        <v>43</v>
      </c>
      <c r="AE9" s="9" t="s">
        <v>44</v>
      </c>
      <c r="AG9" s="54" t="s">
        <v>45</v>
      </c>
      <c r="AH9" s="54" t="s">
        <v>45</v>
      </c>
      <c r="AI9" s="54" t="s">
        <v>45</v>
      </c>
      <c r="AJ9" s="54" t="s">
        <v>45</v>
      </c>
      <c r="AK9" s="54" t="s">
        <v>45</v>
      </c>
      <c r="AL9" s="54" t="s">
        <v>45</v>
      </c>
      <c r="AM9" s="54" t="s">
        <v>45</v>
      </c>
      <c r="AP9" s="44" t="s">
        <v>46</v>
      </c>
      <c r="AQ9" s="55">
        <v>100.0</v>
      </c>
      <c r="AT9" s="44" t="s">
        <v>47</v>
      </c>
      <c r="AU9" s="55">
        <v>1.0</v>
      </c>
      <c r="BK9" s="55">
        <v>0.0</v>
      </c>
      <c r="BO9" s="55">
        <v>100000.0</v>
      </c>
      <c r="BV9" s="54" t="s">
        <v>31</v>
      </c>
      <c r="BW9" s="56">
        <f t="shared" si="1"/>
        <v>44778</v>
      </c>
      <c r="CD9" s="56">
        <f t="shared" si="2"/>
        <v>44778</v>
      </c>
      <c r="CF9" s="44" t="s">
        <v>51</v>
      </c>
      <c r="CG9" s="57">
        <v>100.0</v>
      </c>
      <c r="DG9" s="60" t="s">
        <v>19</v>
      </c>
      <c r="ED9" s="54" t="s">
        <v>27</v>
      </c>
      <c r="EJ9" s="55">
        <v>10.0</v>
      </c>
      <c r="EM9" s="9" t="s">
        <v>52</v>
      </c>
      <c r="EN9" s="9">
        <v>2.0</v>
      </c>
      <c r="EO9" s="9">
        <v>10.0</v>
      </c>
      <c r="EP9" s="9">
        <v>10.0</v>
      </c>
      <c r="EQ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