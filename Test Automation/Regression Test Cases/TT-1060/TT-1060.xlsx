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LockUnlockModule" sheetId="4" r:id="rId6"/>
    <sheet state="visible" name="OpenModuleFromDock" sheetId="5" r:id="rId7"/>
    <sheet state="visible" name="CustomOrderTT" sheetId="6" r:id="rId8"/>
    <sheet state="visible" name="CalculatePTT" sheetId="7" r:id="rId9"/>
    <sheet state="visible" name="CustomOrderTT1" sheetId="8" r:id="rId10"/>
  </sheets>
  <definedNames/>
  <calcPr/>
</workbook>
</file>

<file path=xl/sharedStrings.xml><?xml version="1.0" encoding="utf-8"?>
<sst xmlns="http://schemas.openxmlformats.org/spreadsheetml/2006/main" count="69" uniqueCount="35">
  <si>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</si>
  <si>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</si>
  <si>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</si>
  <si>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</si>
  <si>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</si>
  <si>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</si>
  <si>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</si>
  <si>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</si>
  <si>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</si>
  <si>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</si>
  <si>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</si>
  <si>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</si>
  <si>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OpenFin</t>
  </si>
  <si>
    <t>LockUnlockModule</t>
  </si>
  <si>
    <t>Data Format</t>
  </si>
  <si>
    <t>Input Format</t>
  </si>
  <si>
    <t>Trading Ticket</t>
  </si>
  <si>
    <t>OpenModuleFromDock</t>
  </si>
  <si>
    <t>TradingTicket</t>
  </si>
  <si>
    <t>CustomOrderTT</t>
  </si>
  <si>
    <t>AAPL</t>
  </si>
  <si>
    <t>DoneAway</t>
  </si>
  <si>
    <t>Buy</t>
  </si>
  <si>
    <t>Test1</t>
  </si>
  <si>
    <t>Test2</t>
  </si>
  <si>
    <t>Test3</t>
  </si>
  <si>
    <t>Test4</t>
  </si>
  <si>
    <t>Test5</t>
  </si>
  <si>
    <t>Test6</t>
  </si>
  <si>
    <t>PTT</t>
  </si>
  <si>
    <t>CalculatePTT</t>
  </si>
  <si>
    <t>Increase</t>
  </si>
  <si>
    <t>Percentage</t>
  </si>
  <si>
    <t>Account</t>
  </si>
  <si>
    <t>Allocation1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</si>
</sst>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IFERROR(__xludf.DUMMYFUNCTION("IF(C3="""","""",Transpose(IMPORTRANGE('_Settings'!$B$3,C3&amp;""!A4:A1000"")))"),"CheckOpenFinWindowName")</f>
        <v>CheckOpenFinWindowName</v>
      </c>
      <c r="C4" s="25" t="str">
        <f>IFERROR(__xludf.DUMMYFUNCTION("""COMPUTED_VALUE"""),"OpenWindowFromSearch")</f>
        <v>OpenWindowFromSearch</v>
      </c>
      <c r="D4" s="25" t="str">
        <f>IFERROR(__xludf.DUMMYFUNCTION("""COMPUTED_VALUE"""),"VerifyColour")</f>
        <v>VerifyColour</v>
      </c>
      <c r="E4" s="25" t="str">
        <f>IFERROR(__xludf.DUMMYFUNCTION("""COMPUTED_VALUE"""),"OpenReleaseClient")</f>
        <v>OpenReleaseClient</v>
      </c>
      <c r="F4" s="25" t="str">
        <f>IFERROR(__xludf.DUMMYFUNCTION("""COMPUTED_VALUE"""),"ActionOnPageFromSearch")</f>
        <v>ActionOnPageFromSearch</v>
      </c>
      <c r="G4" s="25" t="str">
        <f>IFERROR(__xludf.DUMMYFUNCTION("""COMPUTED_VALUE"""),"SavePageView")</f>
        <v>SavePageView</v>
      </c>
      <c r="H4" s="25" t="str">
        <f>IFERROR(__xludf.DUMMYFUNCTION("""COMPUTED_VALUE"""),"ChangeThemeOnModule")</f>
        <v>ChangeThemeOnModule</v>
      </c>
      <c r="I4" s="25" t="str">
        <f>IFERROR(__xludf.DUMMYFUNCTION("""COMPUTED_VALUE"""),"CloseService")</f>
        <v>CloseService</v>
      </c>
      <c r="J4" s="25" t="str">
        <f>IFERROR(__xludf.DUMMYFUNCTION("""COMPUTED_VALUE"""),"LogOutSamsara")</f>
        <v>LogOutSamsara</v>
      </c>
      <c r="K4" s="25" t="str">
        <f>IFERROR(__xludf.DUMMYFUNCTION("""COMPUTED_VALUE"""),"ResizeEnsure")</f>
        <v>ResizeEnsure</v>
      </c>
      <c r="L4" s="25" t="str">
        <f>IFERROR(__xludf.DUMMYFUNCTION("""COMPUTED_VALUE"""),"VerifyNotification")</f>
        <v>VerifyNotification</v>
      </c>
      <c r="M4" s="25" t="str">
        <f>IFERROR(__xludf.DUMMYFUNCTION("""COMPUTED_VALUE"""),"LockUnlockModule")</f>
        <v>LockUnlockModule</v>
      </c>
      <c r="N4" s="25" t="str">
        <f>IFERROR(__xludf.DUMMYFUNCTION("""COMPUTED_VALUE"""),"OpenModuleFromDock")</f>
        <v>OpenModuleFromDock</v>
      </c>
      <c r="O4" s="25" t="str">
        <f>IFERROR(__xludf.DUMMYFUNCTION("""COMPUTED_VALUE"""),"SavePageRTPNL")</f>
        <v>SavePageRTPNL</v>
      </c>
      <c r="P4" s="26" t="str">
        <f>IFERROR(__xludf.DUMMYFUNCTION("""COMPUTED_VALUE"""),"VerifyToastMessage")</f>
        <v>VerifyToastMessage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IFERROR(__xludf.DUMMYFUNCTION("""COMPUTED_VALUE"""),"OpenWindow")</f>
        <v>OpenWindow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LockUnlockModule!$4:$4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IFERROR(__xludf.DUMMYFUNCTION("IF(C3="""","""",Transpose(IMPORTRANGE('_Settings'!$B$3,C3&amp;""!A4:A1000"")))"),"CheckOpenFinWindowName")</f>
        <v>CheckOpenFinWindowName</v>
      </c>
      <c r="C4" s="25" t="str">
        <f>IFERROR(__xludf.DUMMYFUNCTION("""COMPUTED_VALUE"""),"OpenWindowFromSearch")</f>
        <v>OpenWindowFromSearch</v>
      </c>
      <c r="D4" s="25" t="str">
        <f>IFERROR(__xludf.DUMMYFUNCTION("""COMPUTED_VALUE"""),"VerifyColour")</f>
        <v>VerifyColour</v>
      </c>
      <c r="E4" s="25" t="str">
        <f>IFERROR(__xludf.DUMMYFUNCTION("""COMPUTED_VALUE"""),"OpenReleaseClient")</f>
        <v>OpenReleaseClient</v>
      </c>
      <c r="F4" s="25" t="str">
        <f>IFERROR(__xludf.DUMMYFUNCTION("""COMPUTED_VALUE"""),"ActionOnPageFromSearch")</f>
        <v>ActionOnPageFromSearch</v>
      </c>
      <c r="G4" s="25" t="str">
        <f>IFERROR(__xludf.DUMMYFUNCTION("""COMPUTED_VALUE"""),"SavePageView")</f>
        <v>SavePageView</v>
      </c>
      <c r="H4" s="25" t="str">
        <f>IFERROR(__xludf.DUMMYFUNCTION("""COMPUTED_VALUE"""),"ChangeThemeOnModule")</f>
        <v>ChangeThemeOnModule</v>
      </c>
      <c r="I4" s="25" t="str">
        <f>IFERROR(__xludf.DUMMYFUNCTION("""COMPUTED_VALUE"""),"CloseService")</f>
        <v>CloseService</v>
      </c>
      <c r="J4" s="25" t="str">
        <f>IFERROR(__xludf.DUMMYFUNCTION("""COMPUTED_VALUE"""),"LogOutSamsara")</f>
        <v>LogOutSamsara</v>
      </c>
      <c r="K4" s="25" t="str">
        <f>IFERROR(__xludf.DUMMYFUNCTION("""COMPUTED_VALUE"""),"ResizeEnsure")</f>
        <v>ResizeEnsure</v>
      </c>
      <c r="L4" s="25" t="str">
        <f>IFERROR(__xludf.DUMMYFUNCTION("""COMPUTED_VALUE"""),"VerifyNotification")</f>
        <v>VerifyNotification</v>
      </c>
      <c r="M4" s="25" t="str">
        <f>IFERROR(__xludf.DUMMYFUNCTION("""COMPUTED_VALUE"""),"LockUnlockModule")</f>
        <v>LockUnlockModule</v>
      </c>
      <c r="N4" s="25" t="str">
        <f>IFERROR(__xludf.DUMMYFUNCTION("""COMPUTED_VALUE"""),"OpenModuleFromDock")</f>
        <v>OpenModuleFromDock</v>
      </c>
      <c r="O4" s="25" t="str">
        <f>IFERROR(__xludf.DUMMYFUNCTION("""COMPUTED_VALUE"""),"SavePageRTPNL")</f>
        <v>SavePageRTPNL</v>
      </c>
      <c r="P4" s="26" t="str">
        <f>IFERROR(__xludf.DUMMYFUNCTION("""COMPUTED_VALUE"""),"VerifyToastMessage")</f>
        <v>VerifyToastMessage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IFERROR(__xludf.DUMMYFUNCTION("""COMPUTED_VALUE"""),"OpenWindow")</f>
        <v>OpenWindow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OpenModuleFromDock!$4:$4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>
        <v>100.0</v>
      </c>
      <c r="D6" s="13">
        <v>10.0</v>
      </c>
      <c r="E6" s="13" t="s">
        <v>21</v>
      </c>
      <c r="F6" s="8"/>
      <c r="G6" s="8"/>
      <c r="H6" s="8"/>
      <c r="I6" s="8"/>
      <c r="J6" s="13" t="s">
        <v>22</v>
      </c>
      <c r="K6" s="8"/>
      <c r="L6" s="8"/>
      <c r="M6" s="8"/>
      <c r="N6" s="8"/>
      <c r="O6" s="8"/>
      <c r="AM6" s="9" t="s">
        <v>23</v>
      </c>
      <c r="AN6" s="9" t="s">
        <v>24</v>
      </c>
      <c r="AO6" s="9" t="s">
        <v>25</v>
      </c>
      <c r="AP6" s="9" t="s">
        <v>26</v>
      </c>
      <c r="AQ6" s="9" t="s">
        <v>27</v>
      </c>
      <c r="AR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20</v>
      </c>
      <c r="C6" s="34" t="s">
        <v>31</v>
      </c>
      <c r="D6" s="33" t="s">
        <v>32</v>
      </c>
      <c r="E6" s="35">
        <v>10.0</v>
      </c>
      <c r="F6" s="36"/>
      <c r="G6" s="36"/>
      <c r="H6" s="34" t="s">
        <v>33</v>
      </c>
      <c r="I6" s="34" t="s">
        <v>34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13" t="s">
        <v>21</v>
      </c>
      <c r="F6" s="8"/>
      <c r="G6" s="8"/>
      <c r="H6" s="8"/>
      <c r="I6" s="8"/>
      <c r="J6" s="8"/>
      <c r="K6" s="8"/>
      <c r="L6" s="8"/>
      <c r="M6" s="8"/>
      <c r="N6" s="8"/>
      <c r="O6" s="8"/>
      <c r="AM6" s="9" t="s">
        <v>23</v>
      </c>
      <c r="AN6" s="9" t="s">
        <v>24</v>
      </c>
      <c r="AO6" s="9" t="s">
        <v>25</v>
      </c>
      <c r="AP6" s="9" t="s">
        <v>26</v>
      </c>
      <c r="AQ6" s="9" t="s">
        <v>27</v>
      </c>
      <c r="AR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