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heckAllocatedGroups" sheetId="6" r:id="rId8"/>
    <sheet state="visible" name="CheckAllocatedTaxlots" sheetId="7" r:id="rId9"/>
  </sheets>
  <definedNames/>
  <calcPr/>
</workbook>
</file>

<file path=xl/sharedStrings.xml><?xml version="1.0" encoding="utf-8"?>
<sst xmlns="http://schemas.openxmlformats.org/spreadsheetml/2006/main" count="80" uniqueCount="36">
  <si>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</si>
  <si>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</si>
  <si>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</si>
  <si>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</si>
  <si>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</si>
  <si>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</si>
  <si>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</si>
  <si>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</si>
  <si>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</si>
  <si>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</si>
  <si>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</si>
  <si>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</si>
  <si>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</si>
  <si>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</si>
  <si>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</si>
  <si>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</si>
  <si>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AAA-VC</t>
  </si>
  <si>
    <t>Buy</t>
  </si>
  <si>
    <t>dik</t>
  </si>
  <si>
    <t>xy</t>
  </si>
  <si>
    <t>Allocation1,Allocation2</t>
  </si>
  <si>
    <t>30,70</t>
  </si>
  <si>
    <t>Allocation</t>
  </si>
  <si>
    <t>GetDataAllocation</t>
  </si>
  <si>
    <t>Current</t>
  </si>
  <si>
    <t>CheckAllocatedGroups</t>
  </si>
  <si>
    <t>Multiple</t>
  </si>
  <si>
    <t>Open</t>
  </si>
  <si>
    <t>CAD</t>
  </si>
  <si>
    <t>D</t>
  </si>
  <si>
    <t>Market</t>
  </si>
  <si>
    <t>CheckAllocatedTaxlots</t>
  </si>
  <si>
    <t/>
  </si>
  <si>
    <t>Allocation2</t>
  </si>
  <si>
    <t>Strategy Unallocated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</si>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</sst>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4" numFmtId="164" xfId="0" applyFont="1" applyNumberFormat="1"/>
    <xf borderId="0" fillId="0" fontId="1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IFERROR(__xludf.DUMMYFUNCTION("""COMPUTED_VALUE"""),"SetDefaultSymbology")</f>
        <v>SetDefaultSymbology</v>
      </c>
      <c r="C453" t="str">
        <f>IFERROR(__xludf.DUMMYFUNCTION("""COMPUTED_VALUE"""),"1b7zlTIVQjL2vZc0hUNmY0Nj3YpQi8BtYcWMr8_hvABw")</f>
        <v>1b7zlTIVQjL2vZc0hUNmY0Nj3YpQi8BtYcWMr8_hvABw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IFERROR(__xludf.DUMMYFUNCTION("""COMPUTED_VALUE"""),"EnterCustomAllocatePreference")</f>
        <v>EnterCustomAllocatePreference</v>
      </c>
      <c r="C454" t="str">
        <f>IFERROR(__xludf.DUMMYFUNCTION("""COMPUTED_VALUE"""),"1eNnQSyrPr_L4TcV7izBj89sySDQaYK6gNqNVbd2ChKE")</f>
        <v>1eNnQSyrPr_L4TcV7izBj89sySDQaYK6gNqNVbd2ChKE</v>
      </c>
    </row>
    <row r="455" ht="15.75" customHeight="1">
      <c r="A455" t="str">
        <f>IFERROR(__xludf.DUMMYFUNCTION("""COMPUTED_VALUE"""),"PTT")</f>
        <v>PTT</v>
      </c>
      <c r="B455" t="str">
        <f>IFERROR(__xludf.DUMMYFUNCTION("""COMPUTED_VALUE"""),"EditPTTAccountLevelWPF")</f>
        <v>EditPTTAccountLevelWPF</v>
      </c>
      <c r="C455" t="str">
        <f>IFERROR(__xludf.DUMMYFUNCTION("""COMPUTED_VALUE"""),"1lkoB4yg9KAzhNswvpJ9xWcz4YPaysGRGQuXBp7wigzQ")</f>
        <v>1lkoB4yg9KAzhNswvpJ9xWcz4YPaysGRGQuXBp7wigzQ</v>
      </c>
    </row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1000.0</v>
      </c>
      <c r="F6" s="8"/>
      <c r="G6" s="11" t="s">
        <v>18</v>
      </c>
      <c r="H6" s="8"/>
      <c r="I6" s="8"/>
      <c r="J6" s="11">
        <v>10.0</v>
      </c>
      <c r="K6" s="8"/>
      <c r="L6" s="8"/>
      <c r="M6" s="8"/>
      <c r="N6" s="8"/>
      <c r="O6" s="8"/>
      <c r="AB6" s="9" t="s">
        <v>19</v>
      </c>
      <c r="AK6" s="9" t="s">
        <v>20</v>
      </c>
      <c r="AL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26</v>
      </c>
      <c r="D6" s="32">
        <v>0.0</v>
      </c>
      <c r="E6" s="32">
        <v>1000.0</v>
      </c>
      <c r="F6" s="8"/>
      <c r="G6" s="8"/>
      <c r="H6" s="32">
        <v>0.0</v>
      </c>
      <c r="I6" s="32">
        <v>0.0</v>
      </c>
      <c r="J6" s="8"/>
      <c r="K6" s="32">
        <v>0.0</v>
      </c>
      <c r="L6" s="32">
        <v>10.0</v>
      </c>
      <c r="M6" s="8"/>
      <c r="N6" s="8"/>
      <c r="O6" s="8"/>
      <c r="R6" s="32">
        <v>10.0</v>
      </c>
      <c r="S6" s="33" t="s">
        <v>27</v>
      </c>
      <c r="T6" s="32">
        <v>5000.0</v>
      </c>
      <c r="U6" s="32">
        <v>5.0</v>
      </c>
      <c r="Z6" t="s">
        <v>28</v>
      </c>
      <c r="AE6" s="34">
        <v>1000.0</v>
      </c>
      <c r="AH6" s="33" t="s">
        <v>29</v>
      </c>
      <c r="AI6" s="32">
        <v>0.0</v>
      </c>
      <c r="AT6" s="32">
        <v>0.0</v>
      </c>
      <c r="AU6" s="32">
        <v>20020.0</v>
      </c>
      <c r="AW6" s="32">
        <v>0.0</v>
      </c>
      <c r="AY6" s="9" t="s">
        <v>30</v>
      </c>
      <c r="AZ6" s="32">
        <v>0.0</v>
      </c>
      <c r="BC6" s="34">
        <v>10.0</v>
      </c>
      <c r="BE6" s="32">
        <v>0.0</v>
      </c>
      <c r="BF6" s="32">
        <v>10000.0</v>
      </c>
      <c r="BJ6" s="34">
        <v>1000.0</v>
      </c>
      <c r="BK6" s="32">
        <v>0.0</v>
      </c>
      <c r="BO6" s="9" t="s">
        <v>17</v>
      </c>
      <c r="BP6" s="34">
        <v>5000.0</v>
      </c>
      <c r="BQ6" s="34">
        <v>5.0</v>
      </c>
      <c r="BT6" s="9" t="s">
        <v>16</v>
      </c>
      <c r="BU6" s="32">
        <v>0.0</v>
      </c>
      <c r="BV6" s="34">
        <v>10000.0</v>
      </c>
      <c r="BX6" s="34">
        <v>10.0</v>
      </c>
      <c r="CI6" s="9" t="s">
        <v>17</v>
      </c>
      <c r="CJ6" s="32">
        <v>0.0</v>
      </c>
    </row>
    <row r="7" ht="15.75" customHeight="1">
      <c r="A7" s="8"/>
      <c r="B7" s="33"/>
      <c r="C7" s="3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U7" s="33"/>
      <c r="AV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v>14014.0</v>
      </c>
      <c r="C6" s="32">
        <v>0.0</v>
      </c>
      <c r="D6" s="32">
        <v>7000.0</v>
      </c>
      <c r="E6" s="32">
        <v>0.0</v>
      </c>
      <c r="F6" s="33" t="s">
        <v>29</v>
      </c>
      <c r="G6" s="35"/>
      <c r="H6" s="33" t="s">
        <v>28</v>
      </c>
      <c r="I6" s="33" t="s">
        <v>32</v>
      </c>
      <c r="J6" s="33" t="s">
        <v>32</v>
      </c>
      <c r="K6" s="33" t="s">
        <v>32</v>
      </c>
      <c r="L6" s="33" t="s">
        <v>32</v>
      </c>
      <c r="M6" s="33" t="s">
        <v>32</v>
      </c>
      <c r="N6" s="33" t="s">
        <v>32</v>
      </c>
      <c r="O6" s="33" t="s">
        <v>33</v>
      </c>
      <c r="P6" s="33" t="s">
        <v>34</v>
      </c>
      <c r="Q6" s="35">
        <v>70.0</v>
      </c>
      <c r="R6" s="32">
        <v>700.0</v>
      </c>
      <c r="S6" s="32">
        <v>3500.0</v>
      </c>
      <c r="T6" s="32">
        <v>3500.0</v>
      </c>
      <c r="U6" s="32">
        <v>7.0</v>
      </c>
      <c r="V6" s="32">
        <v>7.0</v>
      </c>
      <c r="W6" s="32">
        <v>0.0</v>
      </c>
      <c r="X6" s="32">
        <v>0.0</v>
      </c>
      <c r="Y6" s="32">
        <v>0.0</v>
      </c>
      <c r="Z6" s="32">
        <v>0.0</v>
      </c>
      <c r="AA6" s="32">
        <v>0.0</v>
      </c>
      <c r="AB6" s="32">
        <v>0.0</v>
      </c>
      <c r="AC6" s="32">
        <v>0.0</v>
      </c>
      <c r="AD6" s="32">
        <v>0.0</v>
      </c>
      <c r="AE6" s="32">
        <v>0.0</v>
      </c>
      <c r="AF6" s="33" t="s">
        <v>27</v>
      </c>
      <c r="AG6" s="33" t="s">
        <v>32</v>
      </c>
      <c r="AH6" s="33" t="s">
        <v>32</v>
      </c>
      <c r="AI6" s="32">
        <v>0.0</v>
      </c>
      <c r="AJ6" s="32">
        <v>0.0</v>
      </c>
      <c r="AK6" s="32">
        <v>0.0</v>
      </c>
      <c r="AL6" s="32">
        <v>3.0</v>
      </c>
    </row>
    <row r="7" ht="15.75" customHeight="1">
      <c r="A7" s="8"/>
      <c r="B7" s="32">
        <v>6006.0</v>
      </c>
      <c r="C7" s="32">
        <v>0.0</v>
      </c>
      <c r="D7" s="32">
        <v>3000.0</v>
      </c>
      <c r="E7" s="32">
        <v>0.0</v>
      </c>
      <c r="F7" s="33" t="s">
        <v>29</v>
      </c>
      <c r="G7" s="35"/>
      <c r="H7" s="33" t="s">
        <v>28</v>
      </c>
      <c r="I7" s="33" t="s">
        <v>32</v>
      </c>
      <c r="J7" s="33" t="s">
        <v>32</v>
      </c>
      <c r="K7" s="33" t="s">
        <v>32</v>
      </c>
      <c r="L7" s="33" t="s">
        <v>32</v>
      </c>
      <c r="M7" s="33" t="s">
        <v>32</v>
      </c>
      <c r="N7" s="33" t="s">
        <v>32</v>
      </c>
      <c r="O7" s="33" t="s">
        <v>35</v>
      </c>
      <c r="P7" s="33" t="s">
        <v>34</v>
      </c>
      <c r="Q7" s="35">
        <v>30.0</v>
      </c>
      <c r="R7" s="32">
        <v>300.0</v>
      </c>
      <c r="S7" s="32">
        <v>1500.0</v>
      </c>
      <c r="T7" s="32">
        <v>1500.0</v>
      </c>
      <c r="U7" s="32">
        <v>3.0</v>
      </c>
      <c r="V7" s="32">
        <v>3.0</v>
      </c>
      <c r="W7" s="32">
        <v>0.0</v>
      </c>
      <c r="X7" s="32">
        <v>0.0</v>
      </c>
      <c r="Y7" s="32">
        <v>0.0</v>
      </c>
      <c r="Z7" s="32">
        <v>0.0</v>
      </c>
      <c r="AA7" s="32">
        <v>0.0</v>
      </c>
      <c r="AB7" s="32">
        <v>0.0</v>
      </c>
      <c r="AC7" s="32">
        <v>0.0</v>
      </c>
      <c r="AD7" s="32">
        <v>0.0</v>
      </c>
      <c r="AE7" s="32">
        <v>0.0</v>
      </c>
      <c r="AF7" s="33" t="s">
        <v>27</v>
      </c>
      <c r="AG7" s="33" t="s">
        <v>32</v>
      </c>
      <c r="AH7" s="33" t="s">
        <v>32</v>
      </c>
      <c r="AI7" s="32">
        <v>0.0</v>
      </c>
      <c r="AJ7" s="32">
        <v>0.0</v>
      </c>
      <c r="AK7" s="32">
        <v>0.0</v>
      </c>
      <c r="AL7" s="32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