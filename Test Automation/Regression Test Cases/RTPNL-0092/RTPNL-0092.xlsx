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CreateGroupingWidget" sheetId="6" r:id="rId8"/>
    <sheet state="visible" name="AddWidget1" sheetId="7" r:id="rId9"/>
    <sheet state="visible" name="CreateGroupingWidget1" sheetId="8" r:id="rId10"/>
    <sheet state="visible" name="CreateGroupingWidget3" sheetId="9" r:id="rId11"/>
    <sheet state="visible" name="LogOutSamsara" sheetId="10" r:id="rId12"/>
    <sheet state="visible" name="OpenRTPNL1" sheetId="11" r:id="rId13"/>
    <sheet state="visible" name="CreateGroupingWidget2" sheetId="12" r:id="rId14"/>
  </sheets>
  <definedNames/>
  <calcPr/>
</workbook>
</file>

<file path=xl/sharedStrings.xml><?xml version="1.0" encoding="utf-8"?>
<sst xmlns="http://schemas.openxmlformats.org/spreadsheetml/2006/main" count="104" uniqueCount="42">
  <si>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</si>
  <si>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</si>
  <si>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</si>
  <si>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</si>
  <si>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</si>
  <si>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</si>
  <si>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</si>
  <si>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</si>
  <si>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</si>
  <si>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</si>
  <si>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</si>
  <si>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</si>
  <si>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</si>
  <si>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</si>
  <si>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</si>
  <si>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</si>
  <si>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</si>
  <si>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yash</t>
  </si>
  <si>
    <t>AddWidget</t>
  </si>
  <si>
    <t>ABC123</t>
  </si>
  <si>
    <t>Grouping</t>
  </si>
  <si>
    <t>Symbol</t>
  </si>
  <si>
    <t>CreateGroupingWidget</t>
  </si>
  <si>
    <t>Symbol Fund</t>
  </si>
  <si>
    <t>Symbol Account</t>
  </si>
  <si>
    <t>Short Exposure</t>
  </si>
  <si>
    <t>Symbol,Symbol Fund,Symbol Account</t>
  </si>
  <si>
    <t>Reset</t>
  </si>
  <si>
    <t>DashboardName</t>
  </si>
  <si>
    <t>WidgetName</t>
  </si>
  <si>
    <t>ColumnsToAdd</t>
  </si>
  <si>
    <t>DashBoardType</t>
  </si>
  <si>
    <t>DashBoardLevel</t>
  </si>
  <si>
    <t>Verify WidgetName</t>
  </si>
  <si>
    <t>Custom Grouping</t>
  </si>
  <si>
    <t>Drag &amp; drop level 1 chip,Drag &amp; drop level 2 chip,Drag &amp; drop level 3 chip</t>
  </si>
  <si>
    <t>Analyst</t>
  </si>
  <si>
    <t>Back</t>
  </si>
  <si>
    <t>OpenFin</t>
  </si>
  <si>
    <t>LogOutSamsara</t>
  </si>
  <si>
    <t>Don’t Save</t>
  </si>
  <si>
    <t>Nirvana,yash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</si>
</sst>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Consolas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IFERROR(__xludf.DUMMYFUNCTION("""COMPUTED_VALUE"""),"EditAuecWindow")</f>
        <v>EditAuecWindow</v>
      </c>
      <c r="C921" t="str">
        <f>IFERROR(__xludf.DUMMYFUNCTION("""COMPUTED_VALUE"""),"1ottlNphVbp0AC-UFd-HlDpCLwOA2yWO1pN6eR3ML7vA")</f>
        <v>1ottlNphVbp0AC-UFd-HlDpCLwOA2yWO1pN6eR3ML7vA</v>
      </c>
    </row>
    <row r="922" ht="15.75" customHeight="1">
      <c r="A922" t="str">
        <f>IFERROR(__xludf.DUMMYFUNCTION("""COMPUTED_VALUE"""),"TradingTicket")</f>
        <v>TradingTicket</v>
      </c>
      <c r="B922" t="str">
        <f>IFERROR(__xludf.DUMMYFUNCTION("""COMPUTED_VALUE"""),"VerifyBrokerSummary")</f>
        <v>VerifyBrokerSummary</v>
      </c>
      <c r="C922" t="str">
        <f>IFERROR(__xludf.DUMMYFUNCTION("""COMPUTED_VALUE"""),"11hMxlfIQYwM8vPN2h--IGp7O02EDFbvJ4CSvjSfGsMY")</f>
        <v>11hMxlfIQYwM8vPN2h--IGp7O02EDFbvJ4CSvjSfGsMY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IFERROR(__xludf.DUMMYFUNCTION("""COMPUTED_VALUE"""),"EditAuecWindowQTT")</f>
        <v>EditAuecWindowQTT</v>
      </c>
      <c r="C923" t="str">
        <f>IFERROR(__xludf.DUMMYFUNCTION("""COMPUTED_VALUE"""),"1oI_WY3xKQgSjp5JN67BMHtm3zazX5ZiMATISa2ssGB0")</f>
        <v>1oI_WY3xKQgSjp5JN67BMHtm3zazX5ZiMATISa2ssGB0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IFERROR(__xludf.DUMMYFUNCTION("""COMPUTED_VALUE"""),"VerifyBrokerSummaryQTT")</f>
        <v>VerifyBrokerSummaryQTT</v>
      </c>
      <c r="C924" t="str">
        <f>IFERROR(__xludf.DUMMYFUNCTION("""COMPUTED_VALUE"""),"1O6-eqYsZqtvYR6DOH7UM2_Jwpq9pB9uyZvgh5vEhVAI")</f>
        <v>1O6-eqYsZqtvYR6DOH7UM2_Jwpq9pB9uyZvgh5vEhVAI</v>
      </c>
    </row>
    <row r="925" ht="15.75" customHeight="1">
      <c r="A925" t="str">
        <f>IFERROR(__xludf.DUMMYFUNCTION("""COMPUTED_VALUE"""),"QTT")</f>
        <v>QTT</v>
      </c>
      <c r="B925" t="str">
        <f>IFERROR(__xludf.DUMMYFUNCTION("""COMPUTED_VALUE"""),"SaveQTThotKey")</f>
        <v>SaveQTThotKey</v>
      </c>
      <c r="C925" t="str">
        <f>IFERROR(__xludf.DUMMYFUNCTION("""COMPUTED_VALUE"""),"Undefined")</f>
        <v>Undefined</v>
      </c>
    </row>
    <row r="926" ht="15.75" customHeight="1">
      <c r="A926" t="str">
        <f>IFERROR(__xludf.DUMMYFUNCTION("""COMPUTED_VALUE"""),"Blotter")</f>
        <v>Blotter</v>
      </c>
      <c r="B926" t="str">
        <f>IFERROR(__xludf.DUMMYFUNCTION("""COMPUTED_VALUE"""),"BlotterColumnChooser")</f>
        <v>BlotterColumnChooser</v>
      </c>
      <c r="C926" t="str">
        <f>IFERROR(__xludf.DUMMYFUNCTION("""COMPUTED_VALUE"""),"12428TbyucuJDD3KuN7QG-GyRYI3gcoyDNKTQ2UpgGMQ")</f>
        <v>12428TbyucuJDD3KuN7QG-GyRYI3gcoyDNKTQ2UpgGMQ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IFERROR(__xludf.DUMMYFUNCTION("""COMPUTED_VALUE"""),"CreateGroupingWidget")</f>
        <v>CreateGroupingWidget</v>
      </c>
      <c r="C927" t="str">
        <f>IFERROR(__xludf.DUMMYFUNCTION("""COMPUTED_VALUE"""),"1ctXhgvJgrqqe8ees0907Up0TKq9pCEhinMlZnRGqKdY")</f>
        <v>1ctXhgvJgrqqe8ees0907Up0TKq9pCEhinMlZnRGqKdY</v>
      </c>
    </row>
    <row r="928" ht="15.75" customHeight="1">
      <c r="A928" t="str">
        <f>IFERROR(__xludf.DUMMYFUNCTION("""COMPUTED_VALUE"""),"RTPNL")</f>
        <v>RTPNL</v>
      </c>
      <c r="B928" t="str">
        <f>IFERROR(__xludf.DUMMYFUNCTION("""COMPUTED_VALUE"""),"CheckGroupingWidget")</f>
        <v>CheckGroupingWidget</v>
      </c>
      <c r="C928" t="str">
        <f>IFERROR(__xludf.DUMMYFUNCTION("""COMPUTED_VALUE"""),"16mimyUFzQ0Ojogh0t4Evjy-tjzAJ67xgIrWeTNmBdw0")</f>
        <v>16mimyUFzQ0Ojogh0t4Evjy-tjzAJ67xgIrWeTNmBdw0</v>
      </c>
    </row>
    <row r="929" ht="15.75" customHeight="1">
      <c r="A929" t="str">
        <f>IFERROR(__xludf.DUMMYFUNCTION("""COMPUTED_VALUE"""),"TradingTicket")</f>
        <v>TradingTicket</v>
      </c>
      <c r="B929" t="str">
        <f>IFERROR(__xludf.DUMMYFUNCTION("""COMPUTED_VALUE"""),"QTTHamburg")</f>
        <v>QTTHamburg</v>
      </c>
      <c r="C929" t="str">
        <f>IFERROR(__xludf.DUMMYFUNCTION("""COMPUTED_VALUE"""),"1pdXDcLRWAl2b2L88lHCntj01OLBjVHaNAdGG8OHa4hA")</f>
        <v>1pdXDcLRWAl2b2L88lHCntj01OLBjVHaNAdGG8OHa4hA</v>
      </c>
    </row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19</v>
      </c>
      <c r="D6" s="30"/>
      <c r="E6" s="32" t="s">
        <v>20</v>
      </c>
      <c r="F6" s="32" t="s">
        <v>21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21</v>
      </c>
      <c r="C6" s="32" t="s">
        <v>23</v>
      </c>
      <c r="D6" s="35" t="s">
        <v>24</v>
      </c>
      <c r="E6" s="32"/>
      <c r="F6" s="32"/>
      <c r="G6" s="35" t="s">
        <v>25</v>
      </c>
      <c r="H6" s="36" t="s">
        <v>26</v>
      </c>
      <c r="I6" s="35" t="s">
        <v>27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CreateGroupingWidget!$4:$4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28</v>
      </c>
      <c r="C5" s="28" t="s">
        <v>29</v>
      </c>
      <c r="D5" s="28" t="s">
        <v>30</v>
      </c>
      <c r="E5" s="28" t="s">
        <v>31</v>
      </c>
      <c r="F5" s="28" t="s">
        <v>32</v>
      </c>
      <c r="G5" s="28" t="s">
        <v>33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4"/>
      <c r="D6" s="30"/>
      <c r="E6" s="32" t="s">
        <v>20</v>
      </c>
      <c r="F6" s="32" t="s">
        <v>21</v>
      </c>
      <c r="G6" s="32" t="s">
        <v>34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9" t="s">
        <v>35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 t="s">
        <v>36</v>
      </c>
      <c r="F6" s="32" t="s">
        <v>23</v>
      </c>
      <c r="G6" s="8"/>
      <c r="H6" s="8"/>
      <c r="I6" s="12" t="s">
        <v>37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">
        <v>40</v>
      </c>
      <c r="C6" s="39" t="b">
        <v>0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LogOutSamsara!$4:$4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41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 t="s">
        <v>23</v>
      </c>
      <c r="F6" s="32" t="s">
        <v>36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CreateGroupingWidget2!$4:$4</formula1>
    </dataValidation>
  </dataValidations>
  <drawing r:id="rId1"/>
</worksheet>
</file>