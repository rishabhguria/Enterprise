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<sst xmlns="http://schemas.openxmlformats.org/spreadsheetml/2006/main" count="139" uniqueCount="45">
  <si>
    <t>Modules Info</t>
  </si>
  <si>
    <t>Modules</t>
  </si>
  <si>
    <t>Settings</t>
  </si>
  <si>
    <t>Module Step Setting File</t>
  </si>
  <si>
    <t>1y3YLhlbU_UFoeJJpGnJwlbCmFvLBPAidMNttqXjTmqM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</si>
  <si>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</si>
  <si>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</si>
  <si>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</si>
  <si>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</si>
  <si>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</si>
  <si>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</si>
  <si>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</si>
  <si>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</si>
  <si>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</si>
  <si>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</si>
  <si>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</si>
  <si>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</si>
  <si>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</si>
  <si>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</si>
  <si>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</si>
  <si>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</si>
  <si>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</si>
  <si>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</si>
  <si>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AIG</t>
  </si>
  <si>
    <t>AXP</t>
  </si>
  <si>
    <t>IBM</t>
  </si>
  <si>
    <t>MSFT</t>
  </si>
  <si>
    <t>FB</t>
  </si>
  <si>
    <t>Allocation3</t>
  </si>
  <si>
    <t>PricingInput</t>
  </si>
  <si>
    <t>Rebalancer</t>
  </si>
  <si>
    <t>FetchAccountPositions</t>
  </si>
  <si>
    <t>Real-Time Positions</t>
  </si>
  <si>
    <t>AddCash</t>
  </si>
  <si>
    <t>Impact NAV</t>
  </si>
  <si>
    <t>Target Cash Negative</t>
  </si>
  <si>
    <t>RebalanceAcrossSecurities</t>
  </si>
  <si>
    <t>Check</t>
  </si>
  <si>
    <t>RunRebalance</t>
  </si>
  <si>
    <t>Nearest Round Off</t>
  </si>
  <si>
    <t>VerifyGridData</t>
  </si>
  <si>
    <t>Equity</t>
  </si>
  <si>
    <t>Long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</si>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</sst>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/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/>
      <top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2" fillId="0" fontId="5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45854</v>
      </c>
      <c r="C6" s="30">
        <f t="shared" si="1"/>
        <v>45854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108900.0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197.0</v>
      </c>
      <c r="E6" s="38">
        <v>197.0</v>
      </c>
      <c r="F6" s="39" t="s">
        <v>17</v>
      </c>
      <c r="G6" s="37"/>
      <c r="H6" s="37"/>
      <c r="I6" s="37"/>
      <c r="J6" s="40">
        <v>100.0</v>
      </c>
      <c r="K6" s="37"/>
      <c r="L6" s="37"/>
      <c r="M6" s="8"/>
      <c r="N6" s="8"/>
      <c r="O6" s="8"/>
    </row>
    <row r="7" ht="15.75" customHeight="1">
      <c r="A7" s="41"/>
      <c r="B7" s="42" t="s">
        <v>23</v>
      </c>
      <c r="C7" s="43" t="s">
        <v>22</v>
      </c>
      <c r="D7" s="44">
        <v>198.0</v>
      </c>
      <c r="E7" s="44">
        <v>198.0</v>
      </c>
      <c r="F7" s="42" t="s">
        <v>17</v>
      </c>
      <c r="G7" s="43"/>
      <c r="H7" s="43"/>
      <c r="I7" s="43"/>
      <c r="J7" s="45">
        <v>100.0</v>
      </c>
      <c r="K7" s="43"/>
      <c r="L7" s="43"/>
      <c r="M7" s="8"/>
      <c r="N7" s="8"/>
      <c r="O7" s="8"/>
    </row>
    <row r="8" ht="15.75" customHeight="1">
      <c r="A8" s="41"/>
      <c r="B8" s="42" t="s">
        <v>24</v>
      </c>
      <c r="C8" s="43" t="s">
        <v>22</v>
      </c>
      <c r="D8" s="44">
        <v>248.0</v>
      </c>
      <c r="E8" s="44">
        <v>248.0</v>
      </c>
      <c r="F8" s="42" t="s">
        <v>17</v>
      </c>
      <c r="G8" s="43"/>
      <c r="H8" s="43"/>
      <c r="I8" s="43"/>
      <c r="J8" s="45">
        <v>100.0</v>
      </c>
      <c r="K8" s="43"/>
      <c r="L8" s="43"/>
      <c r="M8" s="8"/>
      <c r="N8" s="8"/>
      <c r="O8" s="8"/>
    </row>
    <row r="9" ht="15.75" customHeight="1">
      <c r="A9" s="41"/>
      <c r="B9" s="42" t="s">
        <v>25</v>
      </c>
      <c r="C9" s="43" t="s">
        <v>22</v>
      </c>
      <c r="D9" s="46">
        <v>248.0</v>
      </c>
      <c r="E9" s="46">
        <v>248.0</v>
      </c>
      <c r="F9" s="42" t="s">
        <v>17</v>
      </c>
      <c r="G9" s="43"/>
      <c r="H9" s="43"/>
      <c r="I9" s="43"/>
      <c r="J9" s="45">
        <v>100.0</v>
      </c>
      <c r="K9" s="43"/>
      <c r="L9" s="43"/>
      <c r="M9" s="8"/>
      <c r="N9" s="8"/>
      <c r="O9" s="8"/>
    </row>
    <row r="10" ht="15.75" customHeight="1">
      <c r="A10" s="41"/>
      <c r="B10" s="42" t="s">
        <v>26</v>
      </c>
      <c r="C10" s="43" t="s">
        <v>22</v>
      </c>
      <c r="D10" s="44">
        <v>98.0</v>
      </c>
      <c r="E10" s="44">
        <v>98.0</v>
      </c>
      <c r="F10" s="42" t="s">
        <v>17</v>
      </c>
      <c r="G10" s="43"/>
      <c r="H10" s="43"/>
      <c r="I10" s="43"/>
      <c r="J10" s="45">
        <v>100.0</v>
      </c>
      <c r="K10" s="43"/>
      <c r="L10" s="43"/>
      <c r="M10" s="8"/>
      <c r="N10" s="8"/>
      <c r="O10" s="8"/>
    </row>
    <row r="11" ht="15.75" customHeight="1">
      <c r="A11" s="43"/>
      <c r="B11" s="43" t="s">
        <v>27</v>
      </c>
      <c r="C11" s="43" t="s">
        <v>22</v>
      </c>
      <c r="D11" s="46">
        <v>1.0</v>
      </c>
      <c r="E11" s="46">
        <v>1.0</v>
      </c>
      <c r="F11" s="42" t="s">
        <v>28</v>
      </c>
      <c r="G11" s="43"/>
      <c r="H11" s="43"/>
      <c r="I11" s="43"/>
      <c r="J11" s="45">
        <v>8.0</v>
      </c>
      <c r="K11" s="43"/>
      <c r="L11" s="43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IFERROR(__xludf.DUMMYFUNCTION("""COMPUTED_VALUE"""),"UncheckDividendYield")</f>
        <v>UncheckDividendYield</v>
      </c>
      <c r="E4" s="24" t="str">
        <f>IFERROR(__xludf.DUMMYFUNCTION("""COMPUTED_VALUE"""),"EODTPreferences")</f>
        <v>EODTPreferences</v>
      </c>
      <c r="F4" s="24" t="str">
        <f>IFERROR(__xludf.DUMMYFUNCTION("""COMPUTED_VALUE"""),"LiveData")</f>
        <v>LiveData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21</v>
      </c>
      <c r="C6" s="40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5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24</v>
      </c>
      <c r="C8" s="45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25</v>
      </c>
      <c r="C9" s="45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26</v>
      </c>
      <c r="C10" s="4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9" t="s">
        <v>27</v>
      </c>
      <c r="C11" s="45">
        <v>8.0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50" t="s">
        <v>32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10000.0</v>
      </c>
      <c r="C6" s="33" t="s">
        <v>34</v>
      </c>
      <c r="D6" s="32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11" t="s">
        <v>37</v>
      </c>
      <c r="H6" s="8"/>
      <c r="I6" s="11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IFERROR(__xludf.DUMMYFUNCTION("IF(C3="""","""",Transpose(IMPORTRANGE('_Settings'!$B$3,C3&amp;""!A4:A1000"")))"),"EditRebalanceGrid")</f>
        <v>EditRebalanceGrid</v>
      </c>
      <c r="C4" s="24" t="str">
        <f>IFERROR(__xludf.DUMMYFUNCTION("""COMPUTED_VALUE"""),"AddCustomCashUsingImport")</f>
        <v>AddCustomCashUsingImport</v>
      </c>
      <c r="D4" s="24" t="str">
        <f>IFERROR(__xludf.DUMMYFUNCTION("""COMPUTED_VALUE"""),"CloseRebalancer")</f>
        <v>CloseRebalancer</v>
      </c>
      <c r="E4" s="24" t="str">
        <f>IFERROR(__xludf.DUMMYFUNCTION("""COMPUTED_VALUE"""),"SymbologyChangeRB")</f>
        <v>SymbologyChangeRB</v>
      </c>
      <c r="F4" s="24" t="str">
        <f>IFERROR(__xludf.DUMMYFUNCTION("""COMPUTED_VALUE"""),"AddUserAdjustedNAV")</f>
        <v>AddUserAdjustedNAV</v>
      </c>
      <c r="G4" s="24" t="str">
        <f>IFERROR(__xludf.DUMMYFUNCTION("""COMPUTED_VALUE"""),"RebalanceViaBloomberg")</f>
        <v>RebalanceViaBloomberg</v>
      </c>
      <c r="H4" s="24" t="str">
        <f>IFERROR(__xludf.DUMMYFUNCTION("""COMPUTED_VALUE"""),"SendtoStaging")</f>
        <v>SendtoStaging</v>
      </c>
      <c r="I4" s="24" t="str">
        <f>IFERROR(__xludf.DUMMYFUNCTION("""COMPUTED_VALUE"""),"SendToStagingExport")</f>
        <v>SendToStagingExport</v>
      </c>
      <c r="J4" s="24" t="str">
        <f>IFERROR(__xludf.DUMMYFUNCTION("""COMPUTED_VALUE"""),"RefreshGridData")</f>
        <v>RefreshGridData</v>
      </c>
      <c r="K4" s="24" t="str">
        <f>IFERROR(__xludf.DUMMYFUNCTION("""COMPUTED_VALUE"""),"LockandUnlockGridData")</f>
        <v>LockandUnlockGridData</v>
      </c>
      <c r="L4" s="24" t="str">
        <f>IFERROR(__xludf.DUMMYFUNCTION("""COMPUTED_VALUE"""),"ModelPortfolio")</f>
        <v>ModelPortfolio</v>
      </c>
      <c r="M4" s="24" t="str">
        <f>IFERROR(__xludf.DUMMYFUNCTION("""COMPUTED_VALUE"""),"ModifyRebalance")</f>
        <v>ModifyRebalance</v>
      </c>
      <c r="N4" s="24" t="str">
        <f>IFERROR(__xludf.DUMMYFUNCTION("""COMPUTED_VALUE"""),"ClearCalculations")</f>
        <v>ClearCalculations</v>
      </c>
      <c r="O4" s="24" t="str">
        <f>IFERROR(__xludf.DUMMYFUNCTION("""COMPUTED_VALUE"""),"CheckBasketCompliance")</f>
        <v>CheckBasketCompliance</v>
      </c>
      <c r="P4" s="25" t="str">
        <f>IFERROR(__xludf.DUMMYFUNCTION("""COMPUTED_VALUE"""),"RebalanceAcrossSecurities")</f>
        <v>RebalanceAcrossSecurities</v>
      </c>
      <c r="Q4" s="25" t="str">
        <f>IFERROR(__xludf.DUMMYFUNCTION("""COMPUTED_VALUE"""),"ImportModelPortfolio")</f>
        <v>ImportModelPortfolio</v>
      </c>
      <c r="R4" s="25" t="str">
        <f>IFERROR(__xludf.DUMMYFUNCTION("""COMPUTED_VALUE"""),"RebalancePreference")</f>
        <v>RebalancePreference</v>
      </c>
      <c r="S4" s="25" t="str">
        <f>IFERROR(__xludf.DUMMYFUNCTION("""COMPUTED_VALUE"""),"EnableComplianceTab")</f>
        <v>EnableComplianceTab</v>
      </c>
      <c r="T4" s="25" t="str">
        <f>IFERROR(__xludf.DUMMYFUNCTION("""COMPUTED_VALUE"""),"RunRebalance")</f>
        <v>RunRebalance</v>
      </c>
      <c r="U4" s="25" t="str">
        <f>IFERROR(__xludf.DUMMYFUNCTION("""COMPUTED_VALUE"""),"VerifyGridData")</f>
        <v>VerifyGridData</v>
      </c>
      <c r="V4" s="25" t="str">
        <f>IFERROR(__xludf.DUMMYFUNCTION("""COMPUTED_VALUE"""),"AddCash")</f>
        <v>AddCash</v>
      </c>
      <c r="W4" s="25" t="str">
        <f>IFERROR(__xludf.DUMMYFUNCTION("""COMPUTED_VALUE"""),"FetchAccountPositions")</f>
        <v>FetchAccountPositions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17</v>
      </c>
      <c r="D6" s="51" t="s">
        <v>21</v>
      </c>
      <c r="E6" s="51" t="s">
        <v>41</v>
      </c>
      <c r="F6" s="51" t="s">
        <v>42</v>
      </c>
      <c r="G6" s="52">
        <v>100.0</v>
      </c>
      <c r="H6" s="52">
        <v>100.0</v>
      </c>
      <c r="I6" s="52">
        <v>1.0</v>
      </c>
      <c r="J6" s="53"/>
      <c r="K6" s="52">
        <v>197.0</v>
      </c>
      <c r="L6" s="52">
        <v>19700.0</v>
      </c>
      <c r="M6" s="52">
        <v>19700.0</v>
      </c>
      <c r="N6" s="8"/>
      <c r="O6" s="52">
        <v>254.0</v>
      </c>
      <c r="P6" s="52">
        <v>25400.0</v>
      </c>
      <c r="Q6" s="52">
        <v>25400.0</v>
      </c>
      <c r="R6" s="52">
        <v>57.0</v>
      </c>
      <c r="S6" s="54">
        <v>5700.0</v>
      </c>
    </row>
    <row r="7" ht="15.75" customHeight="1">
      <c r="A7" s="8"/>
      <c r="B7" s="8"/>
      <c r="C7" s="51" t="s">
        <v>17</v>
      </c>
      <c r="D7" s="51" t="s">
        <v>23</v>
      </c>
      <c r="E7" s="51" t="s">
        <v>41</v>
      </c>
      <c r="F7" s="51" t="s">
        <v>42</v>
      </c>
      <c r="G7" s="52">
        <v>100.0</v>
      </c>
      <c r="H7" s="52">
        <v>100.0</v>
      </c>
      <c r="I7" s="52">
        <v>1.0</v>
      </c>
      <c r="J7" s="53"/>
      <c r="K7" s="52">
        <v>198.0</v>
      </c>
      <c r="L7" s="52">
        <v>19800.0</v>
      </c>
      <c r="M7" s="52">
        <v>19800.0</v>
      </c>
      <c r="N7" s="8"/>
      <c r="O7" s="52">
        <v>210.0</v>
      </c>
      <c r="P7" s="52">
        <v>21000.0</v>
      </c>
      <c r="Q7" s="52">
        <v>21000.0</v>
      </c>
      <c r="R7" s="52">
        <v>12.0</v>
      </c>
      <c r="S7" s="54">
        <v>1200.0</v>
      </c>
    </row>
    <row r="8" ht="15.75" customHeight="1">
      <c r="A8" s="8"/>
      <c r="B8" s="8"/>
      <c r="C8" s="51" t="s">
        <v>17</v>
      </c>
      <c r="D8" s="51" t="s">
        <v>24</v>
      </c>
      <c r="E8" s="51" t="s">
        <v>41</v>
      </c>
      <c r="F8" s="51" t="s">
        <v>42</v>
      </c>
      <c r="G8" s="52">
        <v>100.0</v>
      </c>
      <c r="H8" s="52">
        <v>100.0</v>
      </c>
      <c r="I8" s="52">
        <v>1.0</v>
      </c>
      <c r="J8" s="53"/>
      <c r="K8" s="52">
        <v>248.0</v>
      </c>
      <c r="L8" s="52">
        <v>24800.0</v>
      </c>
      <c r="M8" s="52">
        <v>24800.0</v>
      </c>
      <c r="N8" s="8"/>
      <c r="O8" s="52">
        <v>270.0</v>
      </c>
      <c r="P8" s="52">
        <v>27000.0</v>
      </c>
      <c r="Q8" s="52">
        <v>27000.0</v>
      </c>
      <c r="R8" s="52">
        <v>22.0</v>
      </c>
      <c r="S8" s="54">
        <v>2200.0</v>
      </c>
    </row>
    <row r="9" ht="15.75" customHeight="1">
      <c r="A9" s="8"/>
      <c r="B9" s="8"/>
      <c r="C9" s="51" t="s">
        <v>17</v>
      </c>
      <c r="D9" s="51" t="s">
        <v>27</v>
      </c>
      <c r="E9" s="51" t="s">
        <v>41</v>
      </c>
      <c r="F9" s="51" t="s">
        <v>42</v>
      </c>
      <c r="G9" s="52">
        <v>8.0</v>
      </c>
      <c r="H9" s="52">
        <v>8.0</v>
      </c>
      <c r="I9" s="52">
        <v>1.0</v>
      </c>
      <c r="J9" s="53"/>
      <c r="K9" s="52">
        <v>0.0</v>
      </c>
      <c r="L9" s="52">
        <v>0.0</v>
      </c>
      <c r="M9" s="52">
        <v>0.0</v>
      </c>
      <c r="N9" s="8"/>
      <c r="O9" s="52">
        <v>0.0</v>
      </c>
      <c r="P9" s="52">
        <v>0.0</v>
      </c>
      <c r="Q9" s="52">
        <v>0.0</v>
      </c>
      <c r="R9" s="52">
        <v>0.0</v>
      </c>
      <c r="S9" s="54">
        <v>0.0</v>
      </c>
    </row>
    <row r="10" ht="15.75" customHeight="1">
      <c r="A10" s="8"/>
      <c r="B10" s="8"/>
      <c r="C10" s="51" t="s">
        <v>17</v>
      </c>
      <c r="D10" s="51" t="s">
        <v>25</v>
      </c>
      <c r="E10" s="51" t="s">
        <v>41</v>
      </c>
      <c r="F10" s="51" t="s">
        <v>42</v>
      </c>
      <c r="G10" s="52">
        <v>100.0</v>
      </c>
      <c r="H10" s="52">
        <v>100.0</v>
      </c>
      <c r="I10" s="52">
        <v>1.0</v>
      </c>
      <c r="J10" s="53"/>
      <c r="K10" s="52">
        <v>248.0</v>
      </c>
      <c r="L10" s="52">
        <v>24800.0</v>
      </c>
      <c r="M10" s="52">
        <v>24800.0</v>
      </c>
      <c r="N10" s="8"/>
      <c r="O10" s="52">
        <v>260.0</v>
      </c>
      <c r="P10" s="52">
        <v>26000.0</v>
      </c>
      <c r="Q10" s="52">
        <v>26000.0</v>
      </c>
      <c r="R10" s="52">
        <v>12.0</v>
      </c>
      <c r="S10" s="54">
        <v>1200.0</v>
      </c>
    </row>
    <row r="11" ht="15.75" customHeight="1">
      <c r="A11" s="8"/>
      <c r="B11" s="8"/>
      <c r="C11" s="51" t="s">
        <v>17</v>
      </c>
      <c r="D11" s="51" t="s">
        <v>26</v>
      </c>
      <c r="E11" s="51" t="s">
        <v>41</v>
      </c>
      <c r="F11" s="51" t="s">
        <v>42</v>
      </c>
      <c r="G11" s="52">
        <v>100.0</v>
      </c>
      <c r="H11" s="52">
        <v>100.0</v>
      </c>
      <c r="I11" s="52">
        <v>1.0</v>
      </c>
      <c r="J11" s="53"/>
      <c r="K11" s="52">
        <v>98.0</v>
      </c>
      <c r="L11" s="52">
        <v>9800.0</v>
      </c>
      <c r="M11" s="52">
        <v>9800.0</v>
      </c>
      <c r="N11" s="8"/>
      <c r="O11" s="52">
        <v>97.0</v>
      </c>
      <c r="P11" s="52">
        <v>9700.0</v>
      </c>
      <c r="Q11" s="52">
        <v>9700.0</v>
      </c>
      <c r="R11" s="52">
        <v>-1.0</v>
      </c>
      <c r="S11" s="54">
        <v>-100.0</v>
      </c>
    </row>
    <row r="12" ht="15.75" customHeight="1">
      <c r="A12" s="8"/>
      <c r="B12" s="8"/>
      <c r="C12" s="51" t="s">
        <v>17</v>
      </c>
      <c r="D12" s="51" t="s">
        <v>43</v>
      </c>
      <c r="E12" s="51" t="s">
        <v>43</v>
      </c>
      <c r="F12" s="51" t="s">
        <v>42</v>
      </c>
      <c r="G12" s="52">
        <v>1.0</v>
      </c>
      <c r="H12" s="52">
        <v>1.0</v>
      </c>
      <c r="I12" s="52">
        <v>1.0</v>
      </c>
      <c r="J12" s="8"/>
      <c r="K12" s="52">
        <v>0.0</v>
      </c>
      <c r="L12" s="52">
        <v>0.0</v>
      </c>
      <c r="M12" s="52">
        <v>0.0</v>
      </c>
      <c r="N12" s="8"/>
      <c r="O12" s="52">
        <v>0.0</v>
      </c>
      <c r="P12" s="52">
        <v>0.0</v>
      </c>
      <c r="Q12" s="52">
        <v>0.0</v>
      </c>
      <c r="R12" s="52">
        <v>0.0</v>
      </c>
      <c r="S12" s="52">
        <v>0.0</v>
      </c>
    </row>
    <row r="13" ht="15.75" customHeight="1">
      <c r="A13" s="8"/>
      <c r="B13" s="8"/>
      <c r="C13" s="51" t="s">
        <v>17</v>
      </c>
      <c r="D13" s="51" t="s">
        <v>44</v>
      </c>
      <c r="E13" s="51" t="s">
        <v>44</v>
      </c>
      <c r="F13" s="51" t="s">
        <v>42</v>
      </c>
      <c r="G13" s="52">
        <v>1.0</v>
      </c>
      <c r="H13" s="52">
        <v>1.0</v>
      </c>
      <c r="I13" s="52">
        <v>1.0</v>
      </c>
      <c r="J13" s="8"/>
      <c r="K13" s="52">
        <v>10000.0</v>
      </c>
      <c r="L13" s="52">
        <v>10000.0</v>
      </c>
      <c r="M13" s="52">
        <v>10000.0</v>
      </c>
      <c r="N13" s="8"/>
      <c r="O13" s="52">
        <v>9875.0</v>
      </c>
      <c r="P13" s="52">
        <v>9875.0</v>
      </c>
      <c r="Q13" s="52">
        <v>9875.0</v>
      </c>
      <c r="R13" s="52">
        <v>-125.0</v>
      </c>
      <c r="S13" s="52">
        <v>-125.0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