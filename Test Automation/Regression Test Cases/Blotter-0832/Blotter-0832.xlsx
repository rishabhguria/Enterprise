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SelectTrade" sheetId="5" r:id="rId8"/>
    <sheet state="visible" name="AcknowledgeTrade" sheetId="6" r:id="rId9"/>
    <sheet state="visible" name="ExecuteTrade" sheetId="7" r:id="rId10"/>
    <sheet state="visible" name="SelectTrade1" sheetId="8" r:id="rId11"/>
    <sheet state="visible" name="AcknowledgeTrade1" sheetId="9" r:id="rId12"/>
    <sheet state="visible" name="ExecuteTrade1" sheetId="10" r:id="rId13"/>
    <sheet state="visible" name="SelectTradeOnOrderGrid" sheetId="11" r:id="rId14"/>
    <sheet state="visible" name="VerifySubOrder" sheetId="12" r:id="rId15"/>
    <sheet state="visible" name="SelectTradeOnOrderGrid1" sheetId="13" r:id="rId16"/>
    <sheet state="visible" name="VerifySubOrder1" sheetId="14" r:id="rId17"/>
    <sheet state="visible" name="GetExecutionReportOrders" sheetId="15" r:id="rId18"/>
    <sheet state="visible" name="VerifyExecutionReport" sheetId="16" r:id="rId19"/>
  </sheets>
  <definedNames/>
  <calcPr/>
  <extLst>
    <ext uri="GoogleSheetsCustomDataVersion2">
      <go:sheetsCustomData xmlns:go="http://customooxmlschemas.google.com/" r:id="rId20" roundtripDataChecksum="HtoYfgyoeTOWaQuHnhc8e1yMmmonMm7EhwHesi8hPCc="/>
    </ext>
  </extLst>
</workbook>
</file>

<file path=xl/sharedStrings.xml><?xml version="1.0" encoding="utf-8"?>
<sst xmlns="http://schemas.openxmlformats.org/spreadsheetml/2006/main" count="174" uniqueCount="45">
  <si>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</si>
  <si>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</si>
  <si>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</si>
  <si>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</si>
  <si>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</si>
  <si>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</si>
  <si>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</si>
  <si>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</si>
  <si>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</si>
  <si>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</si>
  <si>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</si>
  <si>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</si>
  <si>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</si>
  <si>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</si>
  <si>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</si>
  <si>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</si>
  <si>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</si>
  <si>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Send</t>
  </si>
  <si>
    <t>Buy</t>
  </si>
  <si>
    <t>Good Till Date</t>
  </si>
  <si>
    <t>AAPL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</si>
  <si>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</si>
  <si>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</si>
  <si>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</si>
  <si>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</si>
  <si>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</si>
  <si>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</si>
  <si>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</si>
  <si>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VerifySubOrder</t>
  </si>
  <si>
    <t>AAPL US EQUITY</t>
  </si>
  <si>
    <t>NASDAQ</t>
  </si>
  <si>
    <t>jpearce</t>
  </si>
  <si>
    <t>GCCAP1</t>
  </si>
  <si>
    <t>USD</t>
  </si>
  <si>
    <t>NONE</t>
  </si>
  <si>
    <t>M</t>
  </si>
  <si>
    <t>Equity</t>
  </si>
  <si>
    <t>Filled</t>
  </si>
  <si>
    <t>MS</t>
  </si>
  <si>
    <t>Allocation1</t>
  </si>
  <si>
    <t>Market</t>
  </si>
  <si>
    <t>Manual</t>
  </si>
  <si>
    <t>MSFT US EQUITY</t>
  </si>
  <si>
    <t>GetExecutionReportOrders</t>
  </si>
  <si>
    <t>VerifyExecutionReport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</si>
</sst>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  <name val="Arial"/>
      <scheme val="minor"/>
    </font>
    <font>
      <color rgb="FFFFFFFF"/>
      <name val="Arial"/>
      <scheme val="minor"/>
    </font>
    <font>
      <color rgb="FFD9D9D9"/>
      <name val="Calibri"/>
    </font>
    <font>
      <color rgb="FFD9D9D9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6" numFmtId="0" xfId="0" applyFont="1"/>
    <xf borderId="0" fillId="0" fontId="6" numFmtId="0" xfId="0" applyFont="1"/>
    <xf borderId="1" fillId="2" fontId="7" numFmtId="0" xfId="0" applyAlignment="1" applyBorder="1" applyFont="1">
      <alignment horizontal="center" shrinkToFit="0" wrapText="0"/>
    </xf>
    <xf borderId="0" fillId="0" fontId="6" numFmtId="0" xfId="0" applyAlignment="1" applyFont="1">
      <alignment readingOrder="0"/>
    </xf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6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8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10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1"/>
      <c r="B5" s="6"/>
      <c r="C5" s="6"/>
    </row>
    <row r="6" ht="15.75" customHeight="1">
      <c r="A6" s="11"/>
      <c r="B6" s="6"/>
      <c r="C6" s="6"/>
    </row>
    <row r="7" ht="15.75" customHeight="1">
      <c r="A7" s="11"/>
      <c r="B7" s="6"/>
      <c r="C7" s="6"/>
    </row>
    <row r="8" ht="15.75" customHeight="1">
      <c r="A8" s="11"/>
      <c r="B8" s="6"/>
      <c r="C8" s="6"/>
    </row>
    <row r="9" ht="15.75" customHeight="1">
      <c r="A9" s="11"/>
      <c r="B9" s="6"/>
      <c r="C9" s="6"/>
    </row>
    <row r="10" ht="15.75" customHeight="1">
      <c r="A10" s="11"/>
      <c r="B10" s="6"/>
      <c r="C10" s="6"/>
    </row>
    <row r="11" ht="15.75" customHeight="1">
      <c r="A11" s="11"/>
      <c r="B11" s="6"/>
      <c r="C11" s="6"/>
    </row>
    <row r="12" ht="15.75" customHeight="1">
      <c r="A12" s="11"/>
      <c r="B12" s="6"/>
      <c r="C12" s="6"/>
    </row>
    <row r="13" ht="15.75" customHeight="1">
      <c r="A13" s="11"/>
      <c r="B13" s="6"/>
      <c r="C13" s="6"/>
    </row>
    <row r="14" ht="15.75" customHeight="1">
      <c r="A14" s="11"/>
      <c r="B14" s="6"/>
      <c r="C14" s="6"/>
    </row>
    <row r="15" ht="15.75" customHeight="1">
      <c r="A15" s="11"/>
      <c r="B15" s="6"/>
      <c r="C15" s="6"/>
    </row>
    <row r="16" ht="15.75" customHeight="1">
      <c r="A16" s="11"/>
      <c r="B16" s="6"/>
      <c r="C16" s="6"/>
    </row>
    <row r="17" ht="15.75" customHeight="1">
      <c r="A17" s="11"/>
      <c r="B17" s="6"/>
      <c r="C17" s="6"/>
    </row>
    <row r="18" ht="15.75" customHeight="1">
      <c r="A18" s="11"/>
      <c r="B18" s="6"/>
      <c r="C18" s="6"/>
    </row>
    <row r="19" ht="15.75" customHeight="1">
      <c r="A19" s="11"/>
      <c r="B19" s="6"/>
      <c r="C19" s="6"/>
    </row>
    <row r="20" ht="15.75" customHeight="1">
      <c r="A20" s="11"/>
      <c r="B20" s="6"/>
      <c r="C20" s="6"/>
    </row>
    <row r="21" ht="15.75" customHeight="1">
      <c r="A21" s="11"/>
      <c r="B21" s="6"/>
      <c r="C21" s="6"/>
    </row>
    <row r="22" ht="15.75" customHeight="1">
      <c r="A22" s="11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12</v>
      </c>
      <c r="D3" s="4" t="s">
        <v>9</v>
      </c>
      <c r="E3" s="11" t="s">
        <v>13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</row>
    <row r="4" ht="15.75" customHeight="1">
      <c r="A4" s="19"/>
      <c r="B4" s="19" t="str">
        <f>IFERROR(__xludf.DUMMYFUNCTION("IF(C3="""","""",Transpose(IMPORTRANGE('_Settings'!$B$3,C3&amp;""!A4:A1000"")))"),"OpenTTFromPST")</f>
        <v>OpenTTFromPST</v>
      </c>
      <c r="C4" s="19" t="str">
        <f>IFERROR(__xludf.DUMMYFUNCTION("""COMPUTED_VALUE"""),"EnterDetailsOnTT")</f>
        <v>EnterDetailsOnTT</v>
      </c>
      <c r="D4" s="19" t="str">
        <f>IFERROR(__xludf.DUMMYFUNCTION("""COMPUTED_VALUE"""),"ValidateSymbolTT")</f>
        <v>ValidateSymbolTT</v>
      </c>
      <c r="E4" s="19" t="str">
        <f>IFERROR(__xludf.DUMMYFUNCTION("""COMPUTED_VALUE"""),"VerifyDataTT")</f>
        <v>VerifyDataTT</v>
      </c>
      <c r="F4" s="19" t="str">
        <f>IFERROR(__xludf.DUMMYFUNCTION("""COMPUTED_VALUE"""),"SetUIPreferencesTT")</f>
        <v>SetUIPreferencesTT</v>
      </c>
      <c r="G4" s="19" t="str">
        <f>IFERROR(__xludf.DUMMYFUNCTION("""COMPUTED_VALUE"""),"SetBrokerWisePreferencesTT")</f>
        <v>SetBrokerWisePreferencesTT</v>
      </c>
      <c r="H4" s="19" t="str">
        <f>IFERROR(__xludf.DUMMYFUNCTION("""COMPUTED_VALUE"""),"VerifyComplianceOrder")</f>
        <v>VerifyComplianceOrder</v>
      </c>
      <c r="I4" s="19" t="str">
        <f>IFERROR(__xludf.DUMMYFUNCTION("""COMPUTED_VALUE"""),"TradeNewSub")</f>
        <v>TradeNewSub</v>
      </c>
      <c r="J4" s="19" t="str">
        <f>IFERROR(__xludf.DUMMYFUNCTION("""COMPUTED_VALUE"""),"CreateStageOrder")</f>
        <v>CreateStageOrder</v>
      </c>
      <c r="K4" s="19" t="str">
        <f>IFERROR(__xludf.DUMMYFUNCTION("""COMPUTED_VALUE"""),"CreateReplaceOrder")</f>
        <v>CreateReplaceOrder</v>
      </c>
      <c r="L4" s="19" t="str">
        <f>IFERROR(__xludf.DUMMYFUNCTION("""COMPUTED_VALUE"""),"SetGeneralPreference")</f>
        <v>SetGeneralPreference</v>
      </c>
      <c r="M4" s="19" t="str">
        <f>IFERROR(__xludf.DUMMYFUNCTION("""COMPUTED_VALUE"""),"CreateNewSubOrder")</f>
        <v>CreateNewSubOrder</v>
      </c>
      <c r="N4" s="19" t="str">
        <f>IFERROR(__xludf.DUMMYFUNCTION("""COMPUTED_VALUE"""),"TradeBloomberg")</f>
        <v>TradeBloomberg</v>
      </c>
      <c r="O4" s="19" t="str">
        <f>IFERROR(__xludf.DUMMYFUNCTION("""COMPUTED_VALUE"""),"ClickSymbolLookup")</f>
        <v>ClickSymbolLookup</v>
      </c>
      <c r="P4" s="20" t="str">
        <f>IFERROR(__xludf.DUMMYFUNCTION("""COMPUTED_VALUE"""),"VerifyTT")</f>
        <v>VerifyTT</v>
      </c>
      <c r="Q4" s="20" t="str">
        <f>IFERROR(__xludf.DUMMYFUNCTION("""COMPUTED_VALUE"""),"CreateLiveOrder")</f>
        <v>CreateLiveOrder</v>
      </c>
      <c r="R4" s="20" t="str">
        <f>IFERROR(__xludf.DUMMYFUNCTION("""COMPUTED_VALUE"""),"UpdateMasterFundOnTT")</f>
        <v>UpdateMasterFundOnTT</v>
      </c>
      <c r="S4" s="20" t="str">
        <f>IFERROR(__xludf.DUMMYFUNCTION("""COMPUTED_VALUE"""),"SetTTCompliancePreference")</f>
        <v>SetTTCompliancePreference</v>
      </c>
      <c r="T4" s="20" t="str">
        <f>IFERROR(__xludf.DUMMYFUNCTION("""COMPUTED_VALUE"""),"ImportSymbol")</f>
        <v>ImportSymbol</v>
      </c>
      <c r="U4" s="20" t="str">
        <f>IFERROR(__xludf.DUMMYFUNCTION("""COMPUTED_VALUE"""),"ExportSymbolFromRAList")</f>
        <v>ExportSymbolFromRAList</v>
      </c>
      <c r="V4" s="20" t="str">
        <f>IFERROR(__xludf.DUMMYFUNCTION("""COMPUTED_VALUE"""),"CheckPendingNewOrderAlert")</f>
        <v>CheckPendingNewOrderAlert</v>
      </c>
      <c r="W4" s="20" t="str">
        <f>IFERROR(__xludf.DUMMYFUNCTION("""COMPUTED_VALUE"""),"AddSymbolOnRAList")</f>
        <v>AddSymbolOnRAList</v>
      </c>
      <c r="X4" s="20" t="str">
        <f>IFERROR(__xludf.DUMMYFUNCTION("""COMPUTED_VALUE"""),"DeleteSymbolListFromRA")</f>
        <v>DeleteSymbolListFromRA</v>
      </c>
      <c r="Y4" s="20" t="str">
        <f>IFERROR(__xludf.DUMMYFUNCTION("""COMPUTED_VALUE"""),"RemoveSymbolFromRAList")</f>
        <v>RemoveSymbolFromRAList</v>
      </c>
      <c r="Z4" s="20" t="str">
        <f>IFERROR(__xludf.DUMMYFUNCTION("""COMPUTED_VALUE"""),"ToggleBlombergOnRA")</f>
        <v>ToggleBlombergOnRA</v>
      </c>
      <c r="AA4" s="20" t="str">
        <f>IFERROR(__xludf.DUMMYFUNCTION("""COMPUTED_VALUE"""),"CreateDoneAwayOrder")</f>
        <v>CreateDoneAwayOrder</v>
      </c>
      <c r="AB4" s="20" t="str">
        <f>IFERROR(__xludf.DUMMYFUNCTION("""COMPUTED_VALUE"""),"CreateComplianceOrder")</f>
        <v>CreateComplianceOrder</v>
      </c>
      <c r="AC4" s="20" t="str">
        <f>IFERROR(__xludf.DUMMYFUNCTION("""COMPUTED_VALUE"""),"AddOptionTrade")</f>
        <v>AddOptionTrade</v>
      </c>
      <c r="AD4" s="20" t="str">
        <f>IFERROR(__xludf.DUMMYFUNCTION("""COMPUTED_VALUE"""),"SendLiveBloomberg")</f>
        <v>SendLiveBloomberg</v>
      </c>
      <c r="AE4" s="20" t="str">
        <f>IFERROR(__xludf.DUMMYFUNCTION("""COMPUTED_VALUE"""),"ViewAllocation")</f>
        <v>ViewAllocation</v>
      </c>
      <c r="AF4" s="20" t="str">
        <f>IFERROR(__xludf.DUMMYFUNCTION("""COMPUTED_VALUE"""),"CreateReplaceLiveOrder")</f>
        <v>CreateReplaceLiveOrder</v>
      </c>
      <c r="AG4" s="20" t="str">
        <f>IFERROR(__xludf.DUMMYFUNCTION("""COMPUTED_VALUE"""),"CreateNewSubLiveOrder")</f>
        <v>CreateNewSubLiveOrder</v>
      </c>
      <c r="AH4" s="20" t="str">
        <f>IFERROR(__xludf.DUMMYFUNCTION("""COMPUTED_VALUE"""),"VerifyBasketExport")</f>
        <v>VerifyBasketExport</v>
      </c>
      <c r="AI4" s="20" t="str">
        <f>IFERROR(__xludf.DUMMYFUNCTION("""COMPUTED_VALUE"""),"VerifyCustomAllocationonTT")</f>
        <v>VerifyCustomAllocationonTT</v>
      </c>
      <c r="AJ4" s="20" t="str">
        <f>IFERROR(__xludf.DUMMYFUNCTION("""COMPUTED_VALUE"""),"CustomOrderTT")</f>
        <v>CustomOrderTT</v>
      </c>
      <c r="AK4" s="20" t="str">
        <f>IFERROR(__xludf.DUMMYFUNCTION("""COMPUTED_VALUE"""),"CheckStepSheet")</f>
        <v>CheckStepSheet</v>
      </c>
      <c r="AL4" s="20" t="str">
        <f>IFERROR(__xludf.DUMMYFUNCTION("""COMPUTED_VALUE"""),"OptionTradingThroughSecurity")</f>
        <v>OptionTradingThroughSecurity</v>
      </c>
      <c r="AM4" s="20" t="str">
        <f>IFERROR(__xludf.DUMMYFUNCTION("""COMPUTED_VALUE"""),"CreateTradeWithAlgoBroker")</f>
        <v>CreateTradeWithAlgoBroker</v>
      </c>
      <c r="AN4" s="20" t="str">
        <f>IFERROR(__xludf.DUMMYFUNCTION("""COMPUTED_VALUE"""),"VerifyOrderSide")</f>
        <v>VerifyOrderSide</v>
      </c>
      <c r="AO4" s="20" t="str">
        <f>IFERROR(__xludf.DUMMYFUNCTION("""COMPUTED_VALUE"""),"CreateOrEditSymbolTT")</f>
        <v>CreateOrEditSymbolTT</v>
      </c>
      <c r="AP4" s="20" t="str">
        <f>IFERROR(__xludf.DUMMYFUNCTION("""COMPUTED_VALUE"""),"VerifyTTNavLockPopup")</f>
        <v>VerifyTTNavLockPopup</v>
      </c>
      <c r="AQ4" s="20" t="str">
        <f>IFERROR(__xludf.DUMMYFUNCTION("""COMPUTED_VALUE"""),"VerifyCustomAllocationSecondUI")</f>
        <v>VerifyCustomAllocationSecondUI</v>
      </c>
      <c r="AR4" s="20" t="str">
        <f>IFERROR(__xludf.DUMMYFUNCTION("""COMPUTED_VALUE"""),"ShortLocateFromTT")</f>
        <v>ShortLocateFromTT</v>
      </c>
      <c r="AS4" s="20" t="str">
        <f>IFERROR(__xludf.DUMMYFUNCTION("""COMPUTED_VALUE"""),"ShortLocateFromTT")</f>
        <v>ShortLocateFromTT</v>
      </c>
      <c r="AT4" s="20" t="str">
        <f>IFERROR(__xludf.DUMMYFUNCTION("""COMPUTED_VALUE"""),"ShortLocateFromTT")</f>
        <v>ShortLocateFromTT</v>
      </c>
      <c r="AU4" s="20" t="str">
        <f>IFERROR(__xludf.DUMMYFUNCTION("""COMPUTED_VALUE"""),"VerifyShortLocateWindowOnTT")</f>
        <v>VerifyShortLocateWindowOnTT</v>
      </c>
      <c r="AV4" s="20" t="str">
        <f>IFERROR(__xludf.DUMMYFUNCTION("""COMPUTED_VALUE"""),"AlgoUIOperations")</f>
        <v>AlgoUIOperations</v>
      </c>
      <c r="AW4" s="20" t="str">
        <f>IFERROR(__xludf.DUMMYFUNCTION("""COMPUTED_VALUE"""),"UpdateShortLocateFromTT")</f>
        <v>UpdateShortLocateFromTT</v>
      </c>
      <c r="AX4" s="20" t="str">
        <f>IFERROR(__xludf.DUMMYFUNCTION("""COMPUTED_VALUE"""),"ResetTT")</f>
        <v>ResetTT</v>
      </c>
      <c r="AY4" s="20" t="str">
        <f>IFERROR(__xludf.DUMMYFUNCTION("""COMPUTED_VALUE"""),"MergeTT")</f>
        <v>MergeTT</v>
      </c>
      <c r="AZ4" s="20" t="str">
        <f>IFERROR(__xludf.DUMMYFUNCTION("""COMPUTED_VALUE"""),"ResizeEnsureTT")</f>
        <v>ResizeEnsureTT</v>
      </c>
      <c r="BA4" s="20" t="str">
        <f>IFERROR(__xludf.DUMMYFUNCTION("""COMPUTED_VALUE"""),"VerifyExecutionType")</f>
        <v>VerifyExecutionType</v>
      </c>
      <c r="BB4" s="20" t="str">
        <f>IFERROR(__xludf.DUMMYFUNCTION("""COMPUTED_VALUE"""),"VerifyPopupAlignment")</f>
        <v>VerifyPopupAlignment</v>
      </c>
      <c r="BC4" s="20" t="str">
        <f>IFERROR(__xludf.DUMMYFUNCTION("""COMPUTED_VALUE"""),"SelectET")</f>
        <v>SelectET</v>
      </c>
      <c r="BD4" s="20" t="str">
        <f>IFERROR(__xludf.DUMMYFUNCTION("""COMPUTED_VALUE"""),"SymbolSuggestionVerify")</f>
        <v>SymbolSuggestionVerify</v>
      </c>
      <c r="BE4" s="20" t="str">
        <f>IFERROR(__xludf.DUMMYFUNCTION("""COMPUTED_VALUE"""),"EditAuecWindow")</f>
        <v>EditAuecWindow</v>
      </c>
      <c r="BF4" s="20" t="str">
        <f>IFERROR(__xludf.DUMMYFUNCTION("""COMPUTED_VALUE"""),"VerifyBrokerSummary")</f>
        <v>VerifyBrokerSummary</v>
      </c>
      <c r="BG4" s="20" t="str">
        <f>IFERROR(__xludf.DUMMYFUNCTION("""COMPUTED_VALUE"""),"QTTHamburg")</f>
        <v>QTTHamburg</v>
      </c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IFERROR(__xludf.DUMMYFUNCTION("""COMPUTED_VALUE"""),"Quantity")</f>
        <v>Quantity</v>
      </c>
      <c r="D5" s="22" t="str">
        <f>IFERROR(__xludf.DUMMYFUNCTION("""COMPUTED_VALUE"""),"Price")</f>
        <v>Price</v>
      </c>
      <c r="E5" s="22" t="str">
        <f>IFERROR(__xludf.DUMMYFUNCTION("""COMPUTED_VALUE"""),"Order type button")</f>
        <v>Order type button</v>
      </c>
      <c r="F5" s="22" t="str">
        <f>IFERROR(__xludf.DUMMYFUNCTION("""COMPUTED_VALUE"""),"SharesOutstandingPopUp")</f>
        <v>SharesOutstandingPopUp</v>
      </c>
      <c r="G5" s="22" t="str">
        <f>IFERROR(__xludf.DUMMYFUNCTION("""COMPUTED_VALUE"""),"TT_Open")</f>
        <v>TT_Open</v>
      </c>
      <c r="H5" s="22" t="str">
        <f>IFERROR(__xludf.DUMMYFUNCTION("""COMPUTED_VALUE"""),"SharesOutstandingPopUpQty")</f>
        <v>SharesOutstandingPopUpQty</v>
      </c>
      <c r="I5" s="22" t="str">
        <f>IFERROR(__xludf.DUMMYFUNCTION("""COMPUTED_VALUE"""),"AllocationMethod")</f>
        <v>AllocationMethod</v>
      </c>
      <c r="J5" s="22" t="str">
        <f>IFERROR(__xludf.DUMMYFUNCTION("""COMPUTED_VALUE"""),"Order Side")</f>
        <v>Order Side</v>
      </c>
      <c r="K5" s="22" t="str">
        <f>IFERROR(__xludf.DUMMYFUNCTION("""COMPUTED_VALUE"""),"DB_Check")</f>
        <v>DB_Check</v>
      </c>
      <c r="L5" s="22" t="str">
        <f>IFERROR(__xludf.DUMMYFUNCTION("""COMPUTED_VALUE"""),"CommissionBasis")</f>
        <v>CommissionBasis</v>
      </c>
      <c r="M5" s="22" t="str">
        <f>IFERROR(__xludf.DUMMYFUNCTION("""COMPUTED_VALUE"""),"CommissionRate")</f>
        <v>CommissionRate</v>
      </c>
      <c r="N5" s="22" t="str">
        <f>IFERROR(__xludf.DUMMYFUNCTION("""COMPUTED_VALUE"""),"SoftBasis")</f>
        <v>SoftBasis</v>
      </c>
      <c r="O5" s="22" t="str">
        <f>IFERROR(__xludf.DUMMYFUNCTION("""COMPUTED_VALUE"""),"SoftRate")</f>
        <v>SoftRate</v>
      </c>
      <c r="P5" s="22" t="str">
        <f>IFERROR(__xludf.DUMMYFUNCTION("""COMPUTED_VALUE"""),"Account")</f>
        <v>Account</v>
      </c>
      <c r="Q5" s="22" t="str">
        <f>IFERROR(__xludf.DUMMYFUNCTION("""COMPUTED_VALUE"""),"Account %")</f>
        <v>Account %</v>
      </c>
      <c r="R5" s="22" t="str">
        <f>IFERROR(__xludf.DUMMYFUNCTION("""COMPUTED_VALUE"""),"VerifySuggestions")</f>
        <v>VerifySuggestions</v>
      </c>
      <c r="S5" s="22" t="str">
        <f>IFERROR(__xludf.DUMMYFUNCTION("""COMPUTED_VALUE"""),"SymbolToPickFromSuggesstions")</f>
        <v>SymbolToPickFromSuggesstions</v>
      </c>
      <c r="T5" s="23" t="str">
        <f>IFERROR(__xludf.DUMMYFUNCTION("""COMPUTED_VALUE"""),"TypedSymbolAvailableOnSuggestion")</f>
        <v>TypedSymbolAvailableOnSuggestion</v>
      </c>
      <c r="U5" s="23" t="str">
        <f>IFERROR(__xludf.DUMMYFUNCTION("""COMPUTED_VALUE"""),"TIF")</f>
        <v>TIF</v>
      </c>
      <c r="V5" s="23" t="str">
        <f>IFERROR(__xludf.DUMMYFUNCTION("""COMPUTED_VALUE"""),"Order Type")</f>
        <v>Order Type</v>
      </c>
      <c r="W5" s="23" t="str">
        <f>IFERROR(__xludf.DUMMYFUNCTION("""COMPUTED_VALUE"""),"Stop")</f>
        <v>Stop</v>
      </c>
      <c r="X5" s="23" t="str">
        <f>IFERROR(__xludf.DUMMYFUNCTION("""COMPUTED_VALUE"""),"Limit")</f>
        <v>Limit</v>
      </c>
      <c r="Y5" s="23" t="str">
        <f>IFERROR(__xludf.DUMMYFUNCTION("""COMPUTED_VALUE"""),"Expiration Date")</f>
        <v>Expiration Date</v>
      </c>
      <c r="Z5" s="23" t="str">
        <f>IFERROR(__xludf.DUMMYFUNCTION("""COMPUTED_VALUE"""),"Trade Date")</f>
        <v>Trade Date</v>
      </c>
      <c r="AA5" s="23" t="str">
        <f>IFERROR(__xludf.DUMMYFUNCTION("""COMPUTED_VALUE"""),"Broker")</f>
        <v>Broker</v>
      </c>
      <c r="AB5" s="23" t="str">
        <f>IFERROR(__xludf.DUMMYFUNCTION("""COMPUTED_VALUE"""),"Padlock Visiblity")</f>
        <v>Padlock Visiblity</v>
      </c>
      <c r="AC5" s="23" t="str">
        <f>IFERROR(__xludf.DUMMYFUNCTION("""COMPUTED_VALUE"""),"Padlock Unlock")</f>
        <v>Padlock Unlock</v>
      </c>
      <c r="AD5" s="23" t="str">
        <f>IFERROR(__xludf.DUMMYFUNCTION("""COMPUTED_VALUE"""),"Venue")</f>
        <v>Venue</v>
      </c>
      <c r="AE5" s="23" t="str">
        <f>IFERROR(__xludf.DUMMYFUNCTION("""COMPUTED_VALUE"""),"Fx Rate")</f>
        <v>Fx Rate</v>
      </c>
      <c r="AF5" s="23" t="str">
        <f>IFERROR(__xludf.DUMMYFUNCTION("""COMPUTED_VALUE"""),"Fx Operator")</f>
        <v>Fx Operator</v>
      </c>
      <c r="AG5" s="23" t="str">
        <f>IFERROR(__xludf.DUMMYFUNCTION("""COMPUTED_VALUE"""),"PendingApprovalPopUp")</f>
        <v>PendingApprovalPopUp</v>
      </c>
      <c r="AH5" s="23" t="str">
        <f>IFERROR(__xludf.DUMMYFUNCTION("""COMPUTED_VALUE"""),"TradeBy")</f>
        <v>TradeBy</v>
      </c>
      <c r="AI5" s="23" t="str">
        <f>IFERROR(__xludf.DUMMYFUNCTION("""COMPUTED_VALUE"""),"BookAsSwap")</f>
        <v>BookAsSwap</v>
      </c>
      <c r="AJ5" s="23" t="str">
        <f>IFERROR(__xludf.DUMMYFUNCTION("""COMPUTED_VALUE"""),"RoundLot")</f>
        <v>RoundLot</v>
      </c>
      <c r="AK5" s="23" t="str">
        <f>IFERROR(__xludf.DUMMYFUNCTION("""COMPUTED_VALUE"""),"Increment")</f>
        <v>Increment</v>
      </c>
      <c r="AL5" s="23" t="str">
        <f>IFERROR(__xludf.DUMMYFUNCTION("""COMPUTED_VALUE"""),"Decrement")</f>
        <v>Decrement</v>
      </c>
      <c r="AM5" s="23" t="str">
        <f>IFERROR(__xludf.DUMMYFUNCTION("""COMPUTED_VALUE"""),"Trade Attribute 01")</f>
        <v>Trade Attribute 01</v>
      </c>
      <c r="AN5" s="23" t="str">
        <f>IFERROR(__xludf.DUMMYFUNCTION("""COMPUTED_VALUE"""),"Trade Attribute 02")</f>
        <v>Trade Attribute 02</v>
      </c>
      <c r="AO5" s="23" t="str">
        <f>IFERROR(__xludf.DUMMYFUNCTION("""COMPUTED_VALUE"""),"Trade Attribute 03")</f>
        <v>Trade Attribute 03</v>
      </c>
      <c r="AP5" s="23" t="str">
        <f>IFERROR(__xludf.DUMMYFUNCTION("""COMPUTED_VALUE"""),"Trade Attribute 04")</f>
        <v>Trade Attribute 04</v>
      </c>
      <c r="AQ5" s="23" t="str">
        <f>IFERROR(__xludf.DUMMYFUNCTION("""COMPUTED_VALUE"""),"Trade Attribute 05")</f>
        <v>Trade Attribute 05</v>
      </c>
      <c r="AR5" s="23" t="str">
        <f>IFERROR(__xludf.DUMMYFUNCTION("""COMPUTED_VALUE"""),"Trade Attribute 06")</f>
        <v>Trade Attribute 06</v>
      </c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</row>
    <row r="6" ht="15.75" customHeight="1">
      <c r="A6" s="6"/>
      <c r="B6" s="24" t="s">
        <v>16</v>
      </c>
      <c r="C6" s="25">
        <v>1000.0</v>
      </c>
      <c r="D6" s="25">
        <v>10.0</v>
      </c>
      <c r="E6" s="24" t="s">
        <v>17</v>
      </c>
      <c r="F6" s="6"/>
      <c r="G6" s="6"/>
      <c r="H6" s="6"/>
      <c r="I6" s="6"/>
      <c r="J6" s="6" t="s">
        <v>18</v>
      </c>
      <c r="K6" s="6"/>
      <c r="L6" s="6"/>
      <c r="M6" s="6"/>
      <c r="N6" s="6"/>
      <c r="O6" s="6"/>
      <c r="U6" s="8" t="s">
        <v>19</v>
      </c>
      <c r="Y6" s="26">
        <f>today() + 2</f>
        <v>45813</v>
      </c>
    </row>
    <row r="7" ht="15.75" customHeight="1">
      <c r="A7" s="6"/>
      <c r="B7" s="24" t="s">
        <v>20</v>
      </c>
      <c r="C7" s="25">
        <v>1000.0</v>
      </c>
      <c r="D7" s="25">
        <v>10.0</v>
      </c>
      <c r="E7" s="24" t="s">
        <v>17</v>
      </c>
      <c r="F7" s="6"/>
      <c r="G7" s="6"/>
      <c r="H7" s="6"/>
      <c r="I7" s="6"/>
      <c r="J7" s="6" t="s">
        <v>18</v>
      </c>
      <c r="K7" s="6"/>
      <c r="L7" s="6"/>
      <c r="M7" s="6"/>
      <c r="N7" s="6"/>
      <c r="O7" s="6"/>
      <c r="U7" s="8" t="s">
        <v>21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18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24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18</v>
      </c>
      <c r="C6" s="6" t="s">
        <v>20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25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IFERROR(__xludf.DUMMYFUNCTION("""COMPUTED_VALUE"""),"Price")</f>
        <v>Price</v>
      </c>
      <c r="C5" s="22" t="str">
        <f>IFERROR(__xludf.DUMMYFUNCTION("""COMPUTED_VALUE"""),"Shares")</f>
        <v>Shares</v>
      </c>
      <c r="D5" s="22" t="str">
        <f>IFERROR(__xludf.DUMMYFUNCTION("""COMPUTED_VALUE"""),"ClearAllPrice")</f>
        <v>ClearAllPrice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>
        <v>10.0</v>
      </c>
      <c r="C6" s="25">
        <v>1000.0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23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18</v>
      </c>
      <c r="C6" s="6" t="s">
        <v>16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24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IFERROR(__xludf.DUMMYFUNCTION("""COMPUTED_VALUE"""),"Side")</f>
        <v>Side</v>
      </c>
      <c r="C5" s="22" t="str">
        <f>IFERROR(__xludf.DUMMYFUNCTION("""COMPUTED_VALUE"""),"Symbol")</f>
        <v>Symbol</v>
      </c>
      <c r="D5" s="22" t="str">
        <f>IFERROR(__xludf.DUMMYFUNCTION("""COMPUTED_VALUE"""),"Order Type")</f>
        <v>Order Type</v>
      </c>
      <c r="E5" s="22" t="str">
        <f>IFERROR(__xludf.DUMMYFUNCTION("""COMPUTED_VALUE"""),"Price")</f>
        <v>Price</v>
      </c>
      <c r="F5" s="22" t="str">
        <f>IFERROR(__xludf.DUMMYFUNCTION("""COMPUTED_VALUE"""),"AvgPrice")</f>
        <v>AvgPrice</v>
      </c>
      <c r="G5" s="22" t="str">
        <f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6" t="s">
        <v>18</v>
      </c>
      <c r="C6" s="6" t="s">
        <v>16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22</v>
      </c>
      <c r="D3" s="4" t="s">
        <v>9</v>
      </c>
      <c r="E3" s="11" t="s">
        <v>25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ht="15.75" customHeight="1">
      <c r="A4" s="19"/>
      <c r="B4" s="19" t="str">
        <f>IFERROR(__xludf.DUMMYFUNCTION("IF(C3="""","""",Transpose(IMPORTRANGE('_Settings'!$B$3,C3&amp;""!A4:A1000"")))"),"SelectTrade")</f>
        <v>SelectTrade</v>
      </c>
      <c r="C4" s="19" t="str">
        <f>IFERROR(__xludf.DUMMYFUNCTION("""COMPUTED_VALUE"""),"AcknowledgeTrade")</f>
        <v>AcknowledgeTrade</v>
      </c>
      <c r="D4" s="19" t="str">
        <f>IFERROR(__xludf.DUMMYFUNCTION("""COMPUTED_VALUE"""),"RejectTrade")</f>
        <v>RejectTrade</v>
      </c>
      <c r="E4" s="19" t="str">
        <f>IFERROR(__xludf.DUMMYFUNCTION("""COMPUTED_VALUE"""),"ExecuteTrade")</f>
        <v>ExecuteTrade</v>
      </c>
      <c r="F4" s="19" t="str">
        <f>IFERROR(__xludf.DUMMYFUNCTION("""COMPUTED_VALUE"""),"CancelTrade")</f>
        <v>CancelTrade</v>
      </c>
      <c r="G4" s="19" t="str">
        <f>IFERROR(__xludf.DUMMYFUNCTION("""COMPUTED_VALUE"""),"OpenLiveTT")</f>
        <v>OpenLiveTT</v>
      </c>
      <c r="H4" s="19" t="str">
        <f>IFERROR(__xludf.DUMMYFUNCTION("""COMPUTED_VALUE"""),"SetManualResponse")</f>
        <v>SetManualResponse</v>
      </c>
      <c r="I4" s="19" t="str">
        <f>IFERROR(__xludf.DUMMYFUNCTION("""COMPUTED_VALUE"""),"ClearUI")</f>
        <v>ClearUI</v>
      </c>
      <c r="J4" s="19" t="str">
        <f>IFERROR(__xludf.DUMMYFUNCTION("""COMPUTED_VALUE"""),"CloseSimulator")</f>
        <v>CloseSimulator</v>
      </c>
      <c r="K4" s="19" t="str">
        <f>IFERROR(__xludf.DUMMYFUNCTION("""COMPUTED_VALUE"""),"VerifyTrades")</f>
        <v>VerifyTrades</v>
      </c>
      <c r="L4" s="19" t="str">
        <f>IFERROR(__xludf.DUMMYFUNCTION("""COMPUTED_VALUE"""),"VerifyTagInAllFixLogs")</f>
        <v>VerifyTagInAllFixLogs</v>
      </c>
      <c r="M4" s="19" t="str">
        <f>IFERROR(__xludf.DUMMYFUNCTION("""COMPUTED_VALUE"""),"SetToAutomaticResponse")</f>
        <v>SetToAutomaticResponse</v>
      </c>
      <c r="N4" s="19" t="str">
        <f>IFERROR(__xludf.DUMMYFUNCTION("""COMPUTED_VALUE"""),"DoneForDay")</f>
        <v>DoneForDay</v>
      </c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IFERROR(__xludf.DUMMYFUNCTION("""COMPUTED_VALUE"""),"Price")</f>
        <v>Price</v>
      </c>
      <c r="C5" s="22" t="str">
        <f>IFERROR(__xludf.DUMMYFUNCTION("""COMPUTED_VALUE"""),"Shares")</f>
        <v>Shares</v>
      </c>
      <c r="D5" s="22" t="str">
        <f>IFERROR(__xludf.DUMMYFUNCTION("""COMPUTED_VALUE"""),"ClearAllPrice")</f>
        <v>ClearAllPrice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ht="15.75" customHeight="1">
      <c r="A6" s="6"/>
      <c r="B6" s="8">
        <v>10.0</v>
      </c>
      <c r="C6" s="25">
        <v>1000.0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26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IFERROR(__xludf.DUMMYFUNCTION("""COMPUTED_VALUE"""),"Avg Fill Price (Base)")</f>
        <v>Avg Fill Price (Base)</v>
      </c>
      <c r="C5" s="22" t="str">
        <f>IFERROR(__xludf.DUMMYFUNCTION("""COMPUTED_VALUE"""),"Transaction Time")</f>
        <v>Transaction Time</v>
      </c>
      <c r="D5" s="22" t="str">
        <f>IFERROR(__xludf.DUMMYFUNCTION("""COMPUTED_VALUE"""),"Symbol")</f>
        <v>Symbol</v>
      </c>
      <c r="E5" s="22" t="str">
        <f>IFERROR(__xludf.DUMMYFUNCTION("""COMPUTED_VALUE"""),"Algo")</f>
        <v>Algo</v>
      </c>
      <c r="F5" s="22" t="str">
        <f>IFERROR(__xludf.DUMMYFUNCTION("""COMPUTED_VALUE"""),"Side")</f>
        <v>Side</v>
      </c>
      <c r="G5" s="22" t="str">
        <f>IFERROR(__xludf.DUMMYFUNCTION("""COMPUTED_VALUE"""),"Status")</f>
        <v>Status</v>
      </c>
      <c r="H5" s="22" t="str">
        <f>IFERROR(__xludf.DUMMYFUNCTION("""COMPUTED_VALUE"""),"Target Qty")</f>
        <v>Target Qty</v>
      </c>
      <c r="I5" s="22" t="str">
        <f>IFERROR(__xludf.DUMMYFUNCTION("""COMPUTED_VALUE"""),"Total Executed Qty")</f>
        <v>Total Executed Qty</v>
      </c>
      <c r="J5" s="22" t="str">
        <f>IFERROR(__xludf.DUMMYFUNCTION("""COMPUTED_VALUE"""),"% Executed")</f>
        <v>% Executed</v>
      </c>
      <c r="K5" s="22" t="str">
        <f>IFERROR(__xludf.DUMMYFUNCTION("""COMPUTED_VALUE"""),"Day Executed Qty")</f>
        <v>Day Executed Qty</v>
      </c>
      <c r="L5" s="22" t="str">
        <f>IFERROR(__xludf.DUMMYFUNCTION("""COMPUTED_VALUE"""),"Uncommitted Qty")</f>
        <v>Uncommitted Qty</v>
      </c>
      <c r="M5" s="22" t="str">
        <f>IFERROR(__xludf.DUMMYFUNCTION("""COMPUTED_VALUE"""),"Limit Price")</f>
        <v>Limit Price</v>
      </c>
      <c r="N5" s="22" t="str">
        <f>IFERROR(__xludf.DUMMYFUNCTION("""COMPUTED_VALUE"""),"Last Fill Price (Local)")</f>
        <v>Last Fill Price (Local)</v>
      </c>
      <c r="O5" s="22" t="str">
        <f>IFERROR(__xludf.DUMMYFUNCTION("""COMPUTED_VALUE"""),"Stop Price")</f>
        <v>Stop Price</v>
      </c>
      <c r="P5" s="22" t="str">
        <f>IFERROR(__xludf.DUMMYFUNCTION("""COMPUTED_VALUE"""),"Avg Fill Price (Local)")</f>
        <v>Avg Fill Price (Local)</v>
      </c>
      <c r="Q5" s="22" t="str">
        <f>IFERROR(__xludf.DUMMYFUNCTION("""COMPUTED_VALUE"""),"Broker")</f>
        <v>Broker</v>
      </c>
      <c r="R5" s="22" t="str">
        <f>IFERROR(__xludf.DUMMYFUNCTION("""COMPUTED_VALUE"""),"Account")</f>
        <v>Account</v>
      </c>
      <c r="S5" s="22" t="str">
        <f>IFERROR(__xludf.DUMMYFUNCTION("""COMPUTED_VALUE"""),"OrderID")</f>
        <v>OrderID</v>
      </c>
      <c r="T5" s="23" t="str">
        <f>IFERROR(__xludf.DUMMYFUNCTION("""COMPUTED_VALUE"""),"Order Type")</f>
        <v>Order Type</v>
      </c>
      <c r="U5" s="23" t="str">
        <f>IFERROR(__xludf.DUMMYFUNCTION("""COMPUTED_VALUE"""),"Principal Amount (Local)")</f>
        <v>Principal Amount (Local)</v>
      </c>
      <c r="V5" s="23" t="str">
        <f>IFERROR(__xludf.DUMMYFUNCTION("""COMPUTED_VALUE"""),"Principal Amount (Base)")</f>
        <v>Principal Amount (Base)</v>
      </c>
      <c r="W5" s="23" t="str">
        <f>IFERROR(__xludf.DUMMYFUNCTION("""COMPUTED_VALUE"""),"Peg")</f>
        <v>Peg</v>
      </c>
      <c r="X5" s="23" t="str">
        <f>IFERROR(__xludf.DUMMYFUNCTION("""COMPUTED_VALUE"""),"ParentClOrderID")</f>
        <v>ParentClOrderID</v>
      </c>
      <c r="Y5" s="23" t="str">
        <f>IFERROR(__xludf.DUMMYFUNCTION("""COMPUTED_VALUE"""),"Strike Price")</f>
        <v>Strike Price</v>
      </c>
      <c r="Z5" s="23" t="str">
        <f>IFERROR(__xludf.DUMMYFUNCTION("""COMPUTED_VALUE"""),"Last Shares")</f>
        <v>Last Shares</v>
      </c>
      <c r="AA5" s="23" t="str">
        <f>IFERROR(__xludf.DUMMYFUNCTION("""COMPUTED_VALUE"""),"Working Qty")</f>
        <v>Working Qty</v>
      </c>
      <c r="AB5" s="23" t="str">
        <f>IFERROR(__xludf.DUMMYFUNCTION("""COMPUTED_VALUE"""),"Bloomberg Symbol")</f>
        <v>Bloomberg Symbol</v>
      </c>
      <c r="AC5" s="23" t="str">
        <f>IFERROR(__xludf.DUMMYFUNCTION("""COMPUTED_VALUE"""),"Imported File Name")</f>
        <v>Imported File Name</v>
      </c>
      <c r="AD5" s="23" t="str">
        <f>IFERROR(__xludf.DUMMYFUNCTION("""COMPUTED_VALUE"""),"Master Fund")</f>
        <v>Master Fund</v>
      </c>
      <c r="AE5" s="23" t="str">
        <f>IFERROR(__xludf.DUMMYFUNCTION("""COMPUTED_VALUE"""),"Day Average Price")</f>
        <v>Day Average Price</v>
      </c>
      <c r="AF5" s="23" t="str">
        <f>IFERROR(__xludf.DUMMYFUNCTION("""COMPUTED_VALUE"""),"Asset Class")</f>
        <v>Asset Class</v>
      </c>
      <c r="AG5" s="23" t="str">
        <f>IFERROR(__xludf.DUMMYFUNCTION("""COMPUTED_VALUE"""),"Underlying Country")</f>
        <v>Underlying Country</v>
      </c>
      <c r="AH5" s="23" t="str">
        <f>IFERROR(__xludf.DUMMYFUNCTION("""COMPUTED_VALUE"""),"Trader")</f>
        <v>Trader</v>
      </c>
      <c r="AI5" s="23" t="str">
        <f>IFERROR(__xludf.DUMMYFUNCTION("""COMPUTED_VALUE"""),"User")</f>
        <v>User</v>
      </c>
      <c r="AJ5" s="23" t="str">
        <f>IFERROR(__xludf.DUMMYFUNCTION("""COMPUTED_VALUE"""),"Venue")</f>
        <v>Venue</v>
      </c>
      <c r="AK5" s="23" t="str">
        <f>IFERROR(__xludf.DUMMYFUNCTION("""COMPUTED_VALUE"""),"Settlement Currency")</f>
        <v>Settlement Currency</v>
      </c>
      <c r="AL5" s="23" t="str">
        <f>IFERROR(__xludf.DUMMYFUNCTION("""COMPUTED_VALUE"""),"FX Conversion Operator")</f>
        <v>FX Conversion Operator</v>
      </c>
      <c r="AM5" s="23" t="str">
        <f>IFERROR(__xludf.DUMMYFUNCTION("""COMPUTED_VALUE"""),"Process Date")</f>
        <v>Process Date</v>
      </c>
      <c r="AN5" s="23" t="str">
        <f>IFERROR(__xludf.DUMMYFUNCTION("""COMPUTED_VALUE"""),"Underlying Symbol")</f>
        <v>Underlying Symbol</v>
      </c>
      <c r="AO5" s="23" t="str">
        <f>IFERROR(__xludf.DUMMYFUNCTION("""COMPUTED_VALUE"""),"Put/Call")</f>
        <v>Put/Call</v>
      </c>
      <c r="AP5" s="23" t="str">
        <f>IFERROR(__xludf.DUMMYFUNCTION("""COMPUTED_VALUE"""),"FX Rate")</f>
        <v>FX Rate</v>
      </c>
      <c r="AQ5" s="23" t="str">
        <f>IFERROR(__xludf.DUMMYFUNCTION("""COMPUTED_VALUE"""),"Trade Attribute 1")</f>
        <v>Trade Attribute 1</v>
      </c>
      <c r="AR5" s="23" t="str">
        <f>IFERROR(__xludf.DUMMYFUNCTION("""COMPUTED_VALUE"""),"Trade Attribute 2")</f>
        <v>Trade Attribute 2</v>
      </c>
      <c r="AS5" s="23" t="str">
        <f>IFERROR(__xludf.DUMMYFUNCTION("""COMPUTED_VALUE"""),"Trade Attribute 3")</f>
        <v>Trade Attribute 3</v>
      </c>
      <c r="AT5" s="23" t="str">
        <f>IFERROR(__xludf.DUMMYFUNCTION("""COMPUTED_VALUE"""),"Trade Attribute 4")</f>
        <v>Trade Attribute 4</v>
      </c>
      <c r="AU5" s="23" t="str">
        <f>IFERROR(__xludf.DUMMYFUNCTION("""COMPUTED_VALUE"""),"Trade Attribute 5")</f>
        <v>Trade Attribute 5</v>
      </c>
      <c r="AV5" s="23" t="str">
        <f>IFERROR(__xludf.DUMMYFUNCTION("""COMPUTED_VALUE"""),"Trade Attribute 6")</f>
        <v>Trade Attribute 6</v>
      </c>
      <c r="AW5" s="23" t="str">
        <f>IFERROR(__xludf.DUMMYFUNCTION("""COMPUTED_VALUE"""),"Internal Comments")</f>
        <v>Internal Comments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IFERROR(__xludf.DUMMYFUNCTION("""COMPUTED_VALUE"""),"CheckBox")</f>
        <v>CheckBox</v>
      </c>
      <c r="BB5" s="23" t="str">
        <f>IFERROR(__xludf.DUMMYFUNCTION("""COMPUTED_VALUE"""),"Action on toolbar")</f>
        <v>Action on toolbar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</row>
    <row r="6" ht="15.75" customHeight="1">
      <c r="A6" s="6"/>
      <c r="B6" s="6"/>
      <c r="C6" s="6"/>
      <c r="D6" s="6" t="s">
        <v>20</v>
      </c>
      <c r="E6" s="6"/>
      <c r="F6" s="6" t="s">
        <v>18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26</v>
      </c>
      <c r="D3" s="4" t="s">
        <v>9</v>
      </c>
      <c r="E3" s="11" t="s">
        <v>28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 t="str">
        <f>IFERROR(__xludf.DUMMYFUNCTION("""COMPUTED_VALUE"""),"Expiry Date")</f>
        <v>Expiry Date</v>
      </c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</row>
    <row r="6" ht="15.75" customHeight="1">
      <c r="A6" s="6"/>
      <c r="B6" s="6"/>
      <c r="C6" s="6"/>
      <c r="D6" s="6">
        <v>10.0</v>
      </c>
      <c r="E6" s="24" t="s">
        <v>29</v>
      </c>
      <c r="F6" s="6"/>
      <c r="G6" s="6"/>
      <c r="H6" s="24" t="s">
        <v>30</v>
      </c>
      <c r="I6" s="24" t="s">
        <v>31</v>
      </c>
      <c r="J6" s="24" t="s">
        <v>20</v>
      </c>
      <c r="K6" s="27"/>
      <c r="L6" s="24" t="s">
        <v>32</v>
      </c>
      <c r="M6" s="6"/>
      <c r="N6" s="6"/>
      <c r="O6" s="6"/>
      <c r="U6" s="28" t="s">
        <v>33</v>
      </c>
      <c r="V6" s="28" t="s">
        <v>34</v>
      </c>
      <c r="AD6" s="29">
        <v>1.0</v>
      </c>
      <c r="AE6" s="28"/>
      <c r="AF6" s="28" t="s">
        <v>35</v>
      </c>
      <c r="AG6" s="29">
        <v>10.0</v>
      </c>
      <c r="AH6" s="28" t="s">
        <v>36</v>
      </c>
      <c r="AI6" s="8" t="s">
        <v>20</v>
      </c>
      <c r="AJ6" s="8" t="s">
        <v>18</v>
      </c>
      <c r="AK6" s="10" t="s">
        <v>37</v>
      </c>
      <c r="AL6" s="8">
        <v>1000.0</v>
      </c>
      <c r="AM6" s="10">
        <v>1000.0</v>
      </c>
      <c r="AN6" s="10">
        <v>1000.0</v>
      </c>
      <c r="AO6" s="8">
        <v>10.0</v>
      </c>
      <c r="AP6" s="8">
        <v>10.0</v>
      </c>
      <c r="AQ6" s="8" t="s">
        <v>38</v>
      </c>
      <c r="AR6" s="8" t="s">
        <v>39</v>
      </c>
      <c r="AS6" s="8" t="s">
        <v>40</v>
      </c>
      <c r="AT6" s="10">
        <v>10000.0</v>
      </c>
      <c r="AU6" s="10">
        <v>10000.0</v>
      </c>
      <c r="AV6" s="28" t="s">
        <v>41</v>
      </c>
      <c r="AW6" s="30" t="s">
        <v>37</v>
      </c>
      <c r="AZ6" s="28" t="s">
        <v>31</v>
      </c>
      <c r="BA6" s="10">
        <v>100.0</v>
      </c>
    </row>
    <row r="7" ht="15.75" customHeight="1">
      <c r="A7" s="27"/>
      <c r="B7" s="27"/>
      <c r="C7" s="27"/>
      <c r="D7" s="25"/>
      <c r="E7" s="24"/>
      <c r="F7" s="27"/>
      <c r="G7" s="25"/>
      <c r="H7" s="24"/>
      <c r="I7" s="24"/>
      <c r="J7" s="24"/>
      <c r="K7" s="27"/>
      <c r="L7" s="24"/>
      <c r="M7" s="27"/>
      <c r="N7" s="27"/>
      <c r="O7" s="27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9"/>
      <c r="AC7" s="28"/>
      <c r="AD7" s="29"/>
      <c r="AE7" s="28"/>
      <c r="AF7" s="28"/>
      <c r="AG7" s="29"/>
      <c r="AH7" s="28"/>
      <c r="AI7" s="28"/>
      <c r="AJ7" s="28"/>
      <c r="AK7" s="28"/>
      <c r="AL7" s="29"/>
      <c r="AM7" s="29"/>
      <c r="AN7" s="29"/>
      <c r="AO7" s="29"/>
      <c r="AP7" s="29"/>
      <c r="AQ7" s="28"/>
      <c r="AR7" s="28"/>
      <c r="AS7" s="28"/>
      <c r="AT7" s="29"/>
      <c r="AU7" s="29"/>
      <c r="AV7" s="28"/>
      <c r="AW7" s="28"/>
      <c r="AX7" s="29"/>
      <c r="AY7" s="28"/>
      <c r="AZ7" s="28"/>
      <c r="BA7" s="29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26</v>
      </c>
      <c r="D3" s="4" t="s">
        <v>9</v>
      </c>
      <c r="E3" s="11" t="s">
        <v>27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IFERROR(__xludf.DUMMYFUNCTION("""COMPUTED_VALUE"""),"Avg Fill Price (Base)")</f>
        <v>Avg Fill Price (Base)</v>
      </c>
      <c r="C5" s="22" t="str">
        <f>IFERROR(__xludf.DUMMYFUNCTION("""COMPUTED_VALUE"""),"Transaction Time")</f>
        <v>Transaction Time</v>
      </c>
      <c r="D5" s="22" t="str">
        <f>IFERROR(__xludf.DUMMYFUNCTION("""COMPUTED_VALUE"""),"Symbol")</f>
        <v>Symbol</v>
      </c>
      <c r="E5" s="22" t="str">
        <f>IFERROR(__xludf.DUMMYFUNCTION("""COMPUTED_VALUE"""),"Algo")</f>
        <v>Algo</v>
      </c>
      <c r="F5" s="22" t="str">
        <f>IFERROR(__xludf.DUMMYFUNCTION("""COMPUTED_VALUE"""),"Side")</f>
        <v>Side</v>
      </c>
      <c r="G5" s="22" t="str">
        <f>IFERROR(__xludf.DUMMYFUNCTION("""COMPUTED_VALUE"""),"Status")</f>
        <v>Status</v>
      </c>
      <c r="H5" s="22" t="str">
        <f>IFERROR(__xludf.DUMMYFUNCTION("""COMPUTED_VALUE"""),"Target Qty")</f>
        <v>Target Qty</v>
      </c>
      <c r="I5" s="22" t="str">
        <f>IFERROR(__xludf.DUMMYFUNCTION("""COMPUTED_VALUE"""),"Total Executed Qty")</f>
        <v>Total Executed Qty</v>
      </c>
      <c r="J5" s="22" t="str">
        <f>IFERROR(__xludf.DUMMYFUNCTION("""COMPUTED_VALUE"""),"% Executed")</f>
        <v>% Executed</v>
      </c>
      <c r="K5" s="22" t="str">
        <f>IFERROR(__xludf.DUMMYFUNCTION("""COMPUTED_VALUE"""),"Day Executed Qty")</f>
        <v>Day Executed Qty</v>
      </c>
      <c r="L5" s="22" t="str">
        <f>IFERROR(__xludf.DUMMYFUNCTION("""COMPUTED_VALUE"""),"Uncommitted Qty")</f>
        <v>Uncommitted Qty</v>
      </c>
      <c r="M5" s="22" t="str">
        <f>IFERROR(__xludf.DUMMYFUNCTION("""COMPUTED_VALUE"""),"Limit Price")</f>
        <v>Limit Price</v>
      </c>
      <c r="N5" s="22" t="str">
        <f>IFERROR(__xludf.DUMMYFUNCTION("""COMPUTED_VALUE"""),"Last Fill Price (Local)")</f>
        <v>Last Fill Price (Local)</v>
      </c>
      <c r="O5" s="22" t="str">
        <f>IFERROR(__xludf.DUMMYFUNCTION("""COMPUTED_VALUE"""),"Stop Price")</f>
        <v>Stop Price</v>
      </c>
      <c r="P5" s="22" t="str">
        <f>IFERROR(__xludf.DUMMYFUNCTION("""COMPUTED_VALUE"""),"Avg Fill Price (Local)")</f>
        <v>Avg Fill Price (Local)</v>
      </c>
      <c r="Q5" s="22" t="str">
        <f>IFERROR(__xludf.DUMMYFUNCTION("""COMPUTED_VALUE"""),"Broker")</f>
        <v>Broker</v>
      </c>
      <c r="R5" s="22" t="str">
        <f>IFERROR(__xludf.DUMMYFUNCTION("""COMPUTED_VALUE"""),"Account")</f>
        <v>Account</v>
      </c>
      <c r="S5" s="22" t="str">
        <f>IFERROR(__xludf.DUMMYFUNCTION("""COMPUTED_VALUE"""),"OrderID")</f>
        <v>OrderID</v>
      </c>
      <c r="T5" s="23" t="str">
        <f>IFERROR(__xludf.DUMMYFUNCTION("""COMPUTED_VALUE"""),"Order Type")</f>
        <v>Order Type</v>
      </c>
      <c r="U5" s="23" t="str">
        <f>IFERROR(__xludf.DUMMYFUNCTION("""COMPUTED_VALUE"""),"Principal Amount (Local)")</f>
        <v>Principal Amount (Local)</v>
      </c>
      <c r="V5" s="23" t="str">
        <f>IFERROR(__xludf.DUMMYFUNCTION("""COMPUTED_VALUE"""),"Principal Amount (Base)")</f>
        <v>Principal Amount (Base)</v>
      </c>
      <c r="W5" s="23" t="str">
        <f>IFERROR(__xludf.DUMMYFUNCTION("""COMPUTED_VALUE"""),"Peg")</f>
        <v>Peg</v>
      </c>
      <c r="X5" s="23" t="str">
        <f>IFERROR(__xludf.DUMMYFUNCTION("""COMPUTED_VALUE"""),"ParentClOrderID")</f>
        <v>ParentClOrderID</v>
      </c>
      <c r="Y5" s="23" t="str">
        <f>IFERROR(__xludf.DUMMYFUNCTION("""COMPUTED_VALUE"""),"Strike Price")</f>
        <v>Strike Price</v>
      </c>
      <c r="Z5" s="23" t="str">
        <f>IFERROR(__xludf.DUMMYFUNCTION("""COMPUTED_VALUE"""),"Last Shares")</f>
        <v>Last Shares</v>
      </c>
      <c r="AA5" s="23" t="str">
        <f>IFERROR(__xludf.DUMMYFUNCTION("""COMPUTED_VALUE"""),"Working Qty")</f>
        <v>Working Qty</v>
      </c>
      <c r="AB5" s="23" t="str">
        <f>IFERROR(__xludf.DUMMYFUNCTION("""COMPUTED_VALUE"""),"Bloomberg Symbol")</f>
        <v>Bloomberg Symbol</v>
      </c>
      <c r="AC5" s="23" t="str">
        <f>IFERROR(__xludf.DUMMYFUNCTION("""COMPUTED_VALUE"""),"Imported File Name")</f>
        <v>Imported File Name</v>
      </c>
      <c r="AD5" s="23" t="str">
        <f>IFERROR(__xludf.DUMMYFUNCTION("""COMPUTED_VALUE"""),"Master Fund")</f>
        <v>Master Fund</v>
      </c>
      <c r="AE5" s="23" t="str">
        <f>IFERROR(__xludf.DUMMYFUNCTION("""COMPUTED_VALUE"""),"Day Average Price")</f>
        <v>Day Average Price</v>
      </c>
      <c r="AF5" s="23" t="str">
        <f>IFERROR(__xludf.DUMMYFUNCTION("""COMPUTED_VALUE"""),"Asset Class")</f>
        <v>Asset Class</v>
      </c>
      <c r="AG5" s="23" t="str">
        <f>IFERROR(__xludf.DUMMYFUNCTION("""COMPUTED_VALUE"""),"Underlying Country")</f>
        <v>Underlying Country</v>
      </c>
      <c r="AH5" s="23" t="str">
        <f>IFERROR(__xludf.DUMMYFUNCTION("""COMPUTED_VALUE"""),"Trader")</f>
        <v>Trader</v>
      </c>
      <c r="AI5" s="23" t="str">
        <f>IFERROR(__xludf.DUMMYFUNCTION("""COMPUTED_VALUE"""),"User")</f>
        <v>User</v>
      </c>
      <c r="AJ5" s="23" t="str">
        <f>IFERROR(__xludf.DUMMYFUNCTION("""COMPUTED_VALUE"""),"Venue")</f>
        <v>Venue</v>
      </c>
      <c r="AK5" s="23" t="str">
        <f>IFERROR(__xludf.DUMMYFUNCTION("""COMPUTED_VALUE"""),"Settlement Currency")</f>
        <v>Settlement Currency</v>
      </c>
      <c r="AL5" s="23" t="str">
        <f>IFERROR(__xludf.DUMMYFUNCTION("""COMPUTED_VALUE"""),"FX Conversion Operator")</f>
        <v>FX Conversion Operator</v>
      </c>
      <c r="AM5" s="23" t="str">
        <f>IFERROR(__xludf.DUMMYFUNCTION("""COMPUTED_VALUE"""),"Process Date")</f>
        <v>Process Date</v>
      </c>
      <c r="AN5" s="23" t="str">
        <f>IFERROR(__xludf.DUMMYFUNCTION("""COMPUTED_VALUE"""),"Underlying Symbol")</f>
        <v>Underlying Symbol</v>
      </c>
      <c r="AO5" s="23" t="str">
        <f>IFERROR(__xludf.DUMMYFUNCTION("""COMPUTED_VALUE"""),"Put/Call")</f>
        <v>Put/Call</v>
      </c>
      <c r="AP5" s="23" t="str">
        <f>IFERROR(__xludf.DUMMYFUNCTION("""COMPUTED_VALUE"""),"FX Rate")</f>
        <v>FX Rate</v>
      </c>
      <c r="AQ5" s="23" t="str">
        <f>IFERROR(__xludf.DUMMYFUNCTION("""COMPUTED_VALUE"""),"Trade Attribute 1")</f>
        <v>Trade Attribute 1</v>
      </c>
      <c r="AR5" s="23" t="str">
        <f>IFERROR(__xludf.DUMMYFUNCTION("""COMPUTED_VALUE"""),"Trade Attribute 2")</f>
        <v>Trade Attribute 2</v>
      </c>
      <c r="AS5" s="23" t="str">
        <f>IFERROR(__xludf.DUMMYFUNCTION("""COMPUTED_VALUE"""),"Trade Attribute 3")</f>
        <v>Trade Attribute 3</v>
      </c>
      <c r="AT5" s="23" t="str">
        <f>IFERROR(__xludf.DUMMYFUNCTION("""COMPUTED_VALUE"""),"Trade Attribute 4")</f>
        <v>Trade Attribute 4</v>
      </c>
      <c r="AU5" s="23" t="str">
        <f>IFERROR(__xludf.DUMMYFUNCTION("""COMPUTED_VALUE"""),"Trade Attribute 5")</f>
        <v>Trade Attribute 5</v>
      </c>
      <c r="AV5" s="23" t="str">
        <f>IFERROR(__xludf.DUMMYFUNCTION("""COMPUTED_VALUE"""),"Trade Attribute 6")</f>
        <v>Trade Attribute 6</v>
      </c>
      <c r="AW5" s="23" t="str">
        <f>IFERROR(__xludf.DUMMYFUNCTION("""COMPUTED_VALUE"""),"Internal Comments")</f>
        <v>Internal Comments</v>
      </c>
      <c r="AX5" s="23" t="str">
        <f>IFERROR(__xludf.DUMMYFUNCTION("""COMPUTED_VALUE"""),"Allocation Scheme Name")</f>
        <v>Allocation Scheme Name</v>
      </c>
      <c r="AY5" s="23" t="str">
        <f>IFERROR(__xludf.DUMMYFUNCTION("""COMPUTED_VALUE"""),"Start of Day Qty")</f>
        <v>Start of Day Qty</v>
      </c>
      <c r="AZ5" s="23" t="str">
        <f>IFERROR(__xludf.DUMMYFUNCTION("""COMPUTED_VALUE"""),"Leaves")</f>
        <v>Leaves</v>
      </c>
      <c r="BA5" s="23" t="str">
        <f>IFERROR(__xludf.DUMMYFUNCTION("""COMPUTED_VALUE"""),"CheckBox")</f>
        <v>CheckBox</v>
      </c>
      <c r="BB5" s="23" t="str">
        <f>IFERROR(__xludf.DUMMYFUNCTION("""COMPUTED_VALUE"""),"Action on toolbar")</f>
        <v>Action on toolbar</v>
      </c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</row>
    <row r="6" ht="15.75" customHeight="1">
      <c r="A6" s="6"/>
      <c r="B6" s="6"/>
      <c r="C6" s="6"/>
      <c r="D6" s="6" t="s">
        <v>16</v>
      </c>
      <c r="E6" s="6"/>
      <c r="F6" s="6" t="s">
        <v>18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26</v>
      </c>
      <c r="D3" s="4" t="s">
        <v>9</v>
      </c>
      <c r="E3" s="11" t="s">
        <v>28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IFERROR(__xludf.DUMMYFUNCTION("""COMPUTED_VALUE"""),"Transaction Time")</f>
        <v>Transaction Time</v>
      </c>
      <c r="C5" s="22" t="str">
        <f>IFERROR(__xludf.DUMMYFUNCTION("""COMPUTED_VALUE"""),"Algo")</f>
        <v>Algo</v>
      </c>
      <c r="D5" s="22" t="str">
        <f>IFERROR(__xludf.DUMMYFUNCTION("""COMPUTED_VALUE"""),"Avg Fill Price (Base)")</f>
        <v>Avg Fill Price (Base)</v>
      </c>
      <c r="E5" s="22" t="str">
        <f>IFERROR(__xludf.DUMMYFUNCTION("""COMPUTED_VALUE"""),"Bloomberg Symbol")</f>
        <v>Bloomberg Symbol</v>
      </c>
      <c r="F5" s="22" t="str">
        <f>IFERROR(__xludf.DUMMYFUNCTION("""COMPUTED_VALUE"""),"Limit Price")</f>
        <v>Limit Price</v>
      </c>
      <c r="G5" s="22" t="str">
        <f>IFERROR(__xludf.DUMMYFUNCTION("""COMPUTED_VALUE"""),"Working Qty")</f>
        <v>Working Qty</v>
      </c>
      <c r="H5" s="22" t="str">
        <f>IFERROR(__xludf.DUMMYFUNCTION("""COMPUTED_VALUE"""),"Venue")</f>
        <v>Venue</v>
      </c>
      <c r="I5" s="22" t="str">
        <f>IFERROR(__xludf.DUMMYFUNCTION("""COMPUTED_VALUE"""),"Current User")</f>
        <v>Current User</v>
      </c>
      <c r="J5" s="22" t="str">
        <f>IFERROR(__xludf.DUMMYFUNCTION("""COMPUTED_VALUE"""),"Underlying Symbol")</f>
        <v>Underlying Symbol</v>
      </c>
      <c r="K5" s="22" t="str">
        <f>IFERROR(__xludf.DUMMYFUNCTION("""COMPUTED_VALUE"""),"Underlying Country")</f>
        <v>Underlying Country</v>
      </c>
      <c r="L5" s="22" t="str">
        <f>IFERROR(__xludf.DUMMYFUNCTION("""COMPUTED_VALUE"""),"Trader")</f>
        <v>Trader</v>
      </c>
      <c r="M5" s="22" t="str">
        <f>IFERROR(__xludf.DUMMYFUNCTION("""COMPUTED_VALUE"""),"Trade Attribute 6")</f>
        <v>Trade Attribute 6</v>
      </c>
      <c r="N5" s="22" t="str">
        <f>IFERROR(__xludf.DUMMYFUNCTION("""COMPUTED_VALUE"""),"Trade Attribute 5")</f>
        <v>Trade Attribute 5</v>
      </c>
      <c r="O5" s="22" t="str">
        <f>IFERROR(__xludf.DUMMYFUNCTION("""COMPUTED_VALUE"""),"Trade Attribute 4")</f>
        <v>Trade Attribute 4</v>
      </c>
      <c r="P5" s="22" t="str">
        <f>IFERROR(__xludf.DUMMYFUNCTION("""COMPUTED_VALUE"""),"Trade Attribute 3")</f>
        <v>Trade Attribute 3</v>
      </c>
      <c r="Q5" s="22" t="str">
        <f>IFERROR(__xludf.DUMMYFUNCTION("""COMPUTED_VALUE"""),"Trade Attribute 2")</f>
        <v>Trade Attribute 2</v>
      </c>
      <c r="R5" s="22" t="str">
        <f>IFERROR(__xludf.DUMMYFUNCTION("""COMPUTED_VALUE"""),"Trade Attribute 1")</f>
        <v>Trade Attribute 1</v>
      </c>
      <c r="S5" s="22" t="str">
        <f>IFERROR(__xludf.DUMMYFUNCTION("""COMPUTED_VALUE"""),"Strike Price")</f>
        <v>Strike Price</v>
      </c>
      <c r="T5" s="23" t="str">
        <f>IFERROR(__xludf.DUMMYFUNCTION("""COMPUTED_VALUE"""),"Stop Price")</f>
        <v>Stop Price</v>
      </c>
      <c r="U5" s="23" t="str">
        <f>IFERROR(__xludf.DUMMYFUNCTION("""COMPUTED_VALUE"""),"Settlement Currency")</f>
        <v>Settlement Currency</v>
      </c>
      <c r="V5" s="23" t="str">
        <f>IFERROR(__xludf.DUMMYFUNCTION("""COMPUTED_VALUE"""),"Put/Call")</f>
        <v>Put/Call</v>
      </c>
      <c r="W5" s="23" t="str">
        <f>IFERROR(__xludf.DUMMYFUNCTION("""COMPUTED_VALUE"""),"Process Date")</f>
        <v>Process Date</v>
      </c>
      <c r="X5" s="23" t="str">
        <f>IFERROR(__xludf.DUMMYFUNCTION("""COMPUTED_VALUE"""),"Peg")</f>
        <v>Peg</v>
      </c>
      <c r="Y5" s="23" t="str">
        <f>IFERROR(__xludf.DUMMYFUNCTION("""COMPUTED_VALUE"""),"ParentClOrderID")</f>
        <v>ParentClOrderID</v>
      </c>
      <c r="Z5" s="23" t="str">
        <f>IFERROR(__xludf.DUMMYFUNCTION("""COMPUTED_VALUE"""),"OrderID")</f>
        <v>OrderID</v>
      </c>
      <c r="AA5" s="23" t="str">
        <f>IFERROR(__xludf.DUMMYFUNCTION("""COMPUTED_VALUE"""),"Master Fund")</f>
        <v>Master Fund</v>
      </c>
      <c r="AB5" s="23" t="str">
        <f>IFERROR(__xludf.DUMMYFUNCTION("""COMPUTED_VALUE"""),"Last Shares")</f>
        <v>Last Shares</v>
      </c>
      <c r="AC5" s="23" t="str">
        <f>IFERROR(__xludf.DUMMYFUNCTION("""COMPUTED_VALUE"""),"Internal Comments")</f>
        <v>Internal Comments</v>
      </c>
      <c r="AD5" s="23" t="str">
        <f>IFERROR(__xludf.DUMMYFUNCTION("""COMPUTED_VALUE"""),"FX Rate")</f>
        <v>FX Rate</v>
      </c>
      <c r="AE5" s="23" t="str">
        <f>IFERROR(__xludf.DUMMYFUNCTION("""COMPUTED_VALUE"""),"Imported File Name")</f>
        <v>Imported File Name</v>
      </c>
      <c r="AF5" s="23" t="str">
        <f>IFERROR(__xludf.DUMMYFUNCTION("""COMPUTED_VALUE"""),"FX Conversion Operator")</f>
        <v>FX Conversion Operator</v>
      </c>
      <c r="AG5" s="23" t="str">
        <f>IFERROR(__xludf.DUMMYFUNCTION("""COMPUTED_VALUE"""),"Day Average Price")</f>
        <v>Day Average Price</v>
      </c>
      <c r="AH5" s="23" t="str">
        <f>IFERROR(__xludf.DUMMYFUNCTION("""COMPUTED_VALUE"""),"Asset Class")</f>
        <v>Asset Class</v>
      </c>
      <c r="AI5" s="23" t="str">
        <f>IFERROR(__xludf.DUMMYFUNCTION("""COMPUTED_VALUE"""),"Symbol")</f>
        <v>Symbol</v>
      </c>
      <c r="AJ5" s="23" t="str">
        <f>IFERROR(__xludf.DUMMYFUNCTION("""COMPUTED_VALUE"""),"Side")</f>
        <v>Side</v>
      </c>
      <c r="AK5" s="23" t="str">
        <f>IFERROR(__xludf.DUMMYFUNCTION("""COMPUTED_VALUE"""),"Status")</f>
        <v>Status</v>
      </c>
      <c r="AL5" s="23" t="str">
        <f>IFERROR(__xludf.DUMMYFUNCTION("""COMPUTED_VALUE"""),"Quantity")</f>
        <v>Quantity</v>
      </c>
      <c r="AM5" s="23" t="str">
        <f>IFERROR(__xludf.DUMMYFUNCTION("""COMPUTED_VALUE"""),"Executed Qty")</f>
        <v>Executed Qty</v>
      </c>
      <c r="AN5" s="23" t="str">
        <f>IFERROR(__xludf.DUMMYFUNCTION("""COMPUTED_VALUE"""),"Day Executed Qty")</f>
        <v>Day Executed Qty</v>
      </c>
      <c r="AO5" s="23" t="str">
        <f>IFERROR(__xludf.DUMMYFUNCTION("""COMPUTED_VALUE"""),"Last Fill Price (Local)")</f>
        <v>Last Fill Price (Local)</v>
      </c>
      <c r="AP5" s="23" t="str">
        <f>IFERROR(__xludf.DUMMYFUNCTION("""COMPUTED_VALUE"""),"Avg Fill Price (Local)")</f>
        <v>Avg Fill Price (Local)</v>
      </c>
      <c r="AQ5" s="23" t="str">
        <f>IFERROR(__xludf.DUMMYFUNCTION("""COMPUTED_VALUE"""),"Broker")</f>
        <v>Broker</v>
      </c>
      <c r="AR5" s="23" t="str">
        <f>IFERROR(__xludf.DUMMYFUNCTION("""COMPUTED_VALUE"""),"Account")</f>
        <v>Account</v>
      </c>
      <c r="AS5" s="23" t="str">
        <f>IFERROR(__xludf.DUMMYFUNCTION("""COMPUTED_VALUE"""),"Order Type")</f>
        <v>Order Type</v>
      </c>
      <c r="AT5" s="23" t="str">
        <f>IFERROR(__xludf.DUMMYFUNCTION("""COMPUTED_VALUE"""),"Principal Amount (Local)")</f>
        <v>Principal Amount (Local)</v>
      </c>
      <c r="AU5" s="23" t="str">
        <f>IFERROR(__xludf.DUMMYFUNCTION("""COMPUTED_VALUE"""),"Principal Amount (Base)")</f>
        <v>Principal Amount (Base)</v>
      </c>
      <c r="AV5" s="23" t="str">
        <f>IFERROR(__xludf.DUMMYFUNCTION("""COMPUTED_VALUE"""),"Allocation Scheme Name")</f>
        <v>Allocation Scheme Name</v>
      </c>
      <c r="AW5" s="23" t="str">
        <f>IFERROR(__xludf.DUMMYFUNCTION("""COMPUTED_VALUE"""),"Status (With Rollover)")</f>
        <v>Status (With Rollover)</v>
      </c>
      <c r="AX5" s="23" t="str">
        <f>IFERROR(__xludf.DUMMYFUNCTION("""COMPUTED_VALUE"""),"Unexecuted Qty")</f>
        <v>Unexecuted Qty</v>
      </c>
      <c r="AY5" s="23" t="str">
        <f>IFERROR(__xludf.DUMMYFUNCTION("""COMPUTED_VALUE"""),"Strategy")</f>
        <v>Strategy</v>
      </c>
      <c r="AZ5" s="23" t="str">
        <f>IFERROR(__xludf.DUMMYFUNCTION("""COMPUTED_VALUE"""),"Actual User")</f>
        <v>Actual User</v>
      </c>
      <c r="BA5" s="23" t="str">
        <f>IFERROR(__xludf.DUMMYFUNCTION("""COMPUTED_VALUE"""),"% Completed")</f>
        <v>% Completed</v>
      </c>
      <c r="BB5" s="23" t="str">
        <f>IFERROR(__xludf.DUMMYFUNCTION("""COMPUTED_VALUE"""),"MandatoryColumn")</f>
        <v>MandatoryColumn</v>
      </c>
      <c r="BC5" s="23" t="str">
        <f>IFERROR(__xludf.DUMMYFUNCTION("""COMPUTED_VALUE"""),"Expiry Date")</f>
        <v>Expiry Date</v>
      </c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</row>
    <row r="6" ht="15.75" customHeight="1">
      <c r="A6" s="6"/>
      <c r="B6" s="6"/>
      <c r="C6" s="6"/>
      <c r="D6" s="6">
        <v>10.0</v>
      </c>
      <c r="E6" s="24" t="s">
        <v>42</v>
      </c>
      <c r="F6" s="6"/>
      <c r="G6" s="6"/>
      <c r="H6" s="24" t="s">
        <v>30</v>
      </c>
      <c r="I6" s="24" t="s">
        <v>31</v>
      </c>
      <c r="J6" s="24" t="s">
        <v>16</v>
      </c>
      <c r="K6" s="27"/>
      <c r="L6" s="24" t="s">
        <v>32</v>
      </c>
      <c r="M6" s="6"/>
      <c r="N6" s="6"/>
      <c r="O6" s="6"/>
      <c r="U6" s="28" t="s">
        <v>33</v>
      </c>
      <c r="V6" s="28" t="s">
        <v>34</v>
      </c>
      <c r="AD6" s="29">
        <v>1.0</v>
      </c>
      <c r="AE6" s="28"/>
      <c r="AF6" s="28" t="s">
        <v>35</v>
      </c>
      <c r="AG6" s="29">
        <v>10.0</v>
      </c>
      <c r="AH6" s="28" t="s">
        <v>36</v>
      </c>
      <c r="AI6" s="8" t="s">
        <v>16</v>
      </c>
      <c r="AJ6" s="8" t="s">
        <v>18</v>
      </c>
      <c r="AK6" s="10" t="s">
        <v>37</v>
      </c>
      <c r="AL6" s="8">
        <v>1000.0</v>
      </c>
      <c r="AM6" s="10">
        <v>1000.0</v>
      </c>
      <c r="AN6" s="31">
        <v>1000.0</v>
      </c>
      <c r="AO6" s="8">
        <v>10.0</v>
      </c>
      <c r="AP6" s="8">
        <v>10.0</v>
      </c>
      <c r="AQ6" s="8" t="s">
        <v>38</v>
      </c>
      <c r="AR6" s="8" t="s">
        <v>39</v>
      </c>
      <c r="AS6" s="8" t="s">
        <v>40</v>
      </c>
      <c r="AT6" s="10">
        <v>10000.0</v>
      </c>
      <c r="AU6" s="10">
        <v>10000.0</v>
      </c>
      <c r="AV6" s="28" t="s">
        <v>41</v>
      </c>
      <c r="AW6" s="30" t="s">
        <v>37</v>
      </c>
      <c r="AZ6" s="28" t="s">
        <v>31</v>
      </c>
      <c r="BA6" s="10">
        <v>100.0</v>
      </c>
    </row>
    <row r="7" ht="15.75" customHeight="1">
      <c r="A7" s="27"/>
      <c r="B7" s="27"/>
      <c r="C7" s="27"/>
      <c r="D7" s="25"/>
      <c r="E7" s="24"/>
      <c r="F7" s="27"/>
      <c r="G7" s="25"/>
      <c r="H7" s="6"/>
      <c r="I7" s="6"/>
      <c r="J7" s="6"/>
      <c r="K7" s="6"/>
      <c r="L7" s="6"/>
      <c r="M7" s="27"/>
      <c r="N7" s="27"/>
      <c r="O7" s="27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9"/>
      <c r="AC7" s="28"/>
      <c r="AD7" s="29"/>
      <c r="AE7" s="28"/>
      <c r="AF7" s="28"/>
      <c r="AG7" s="29"/>
      <c r="AH7" s="28"/>
      <c r="AI7" s="28"/>
      <c r="AJ7" s="28"/>
      <c r="AK7" s="28"/>
      <c r="AL7" s="29"/>
      <c r="AM7" s="29"/>
      <c r="AN7" s="29"/>
      <c r="AO7" s="29"/>
      <c r="AP7" s="29"/>
      <c r="AQ7" s="28"/>
      <c r="AR7" s="28"/>
      <c r="AS7" s="28"/>
      <c r="AT7" s="29"/>
      <c r="AU7" s="29"/>
      <c r="AX7" s="29"/>
      <c r="AY7" s="28"/>
      <c r="AZ7" s="28"/>
      <c r="BA7" s="29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26</v>
      </c>
      <c r="D3" s="4" t="s">
        <v>9</v>
      </c>
      <c r="E3" s="11" t="s">
        <v>43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IFERROR(__xludf.DUMMYFUNCTION("""COMPUTED_VALUE"""),"From Date")</f>
        <v>From Date</v>
      </c>
      <c r="C5" s="22" t="str">
        <f>IFERROR(__xludf.DUMMYFUNCTION("""COMPUTED_VALUE"""),"To Date")</f>
        <v>To Date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</row>
    <row r="6" ht="15.75" customHeight="1">
      <c r="A6" s="27"/>
      <c r="B6" s="26">
        <f>TODAY()</f>
        <v>45811</v>
      </c>
      <c r="C6" s="26">
        <f>today()</f>
        <v>45811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2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6" t="str">
        <f> VLOOKUP($E$3,'_MasterData'!B4:D1000,3,FALSE)</f>
        <v>#N/A</v>
      </c>
      <c r="K2" s="16"/>
      <c r="L2" s="6"/>
      <c r="M2" s="6"/>
      <c r="N2" s="6"/>
      <c r="O2" s="6"/>
    </row>
    <row r="3" ht="15.75" customHeight="1">
      <c r="A3" s="17"/>
      <c r="B3" s="4" t="s">
        <v>8</v>
      </c>
      <c r="C3" s="11" t="s">
        <v>26</v>
      </c>
      <c r="D3" s="4" t="s">
        <v>9</v>
      </c>
      <c r="E3" s="11" t="s">
        <v>44</v>
      </c>
      <c r="F3" s="4" t="s">
        <v>14</v>
      </c>
      <c r="G3" s="11" t="s">
        <v>15</v>
      </c>
      <c r="H3" s="4"/>
      <c r="I3" s="17"/>
      <c r="J3" s="17"/>
      <c r="K3" s="17"/>
      <c r="L3" s="17"/>
      <c r="M3" s="17"/>
      <c r="N3" s="17"/>
      <c r="O3" s="1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</row>
    <row r="4" ht="15.75" customHeight="1">
      <c r="A4" s="19"/>
      <c r="B4" s="19" t="str">
        <f>IFERROR(__xludf.DUMMYFUNCTION("IF(C3="""","""",Transpose(IMPORTRANGE('_Settings'!$B$3,C3&amp;""!A4:A1000"")))"),"ReplaceFillsOnBlotter")</f>
        <v>ReplaceFillsOnBlotter</v>
      </c>
      <c r="C4" s="19" t="str">
        <f>IFERROR(__xludf.DUMMYFUNCTION("""COMPUTED_VALUE"""),"CheckBlotter")</f>
        <v>CheckBlotter</v>
      </c>
      <c r="D4" s="19" t="str">
        <f>IFERROR(__xludf.DUMMYFUNCTION("""COMPUTED_VALUE"""),"BlotterFunctionalities")</f>
        <v>BlotterFunctionalities</v>
      </c>
      <c r="E4" s="19" t="str">
        <f>IFERROR(__xludf.DUMMYFUNCTION("""COMPUTED_VALUE"""),"TransferToUserWorkingSubs")</f>
        <v>TransferToUserWorkingSubs</v>
      </c>
      <c r="F4" s="19" t="str">
        <f>IFERROR(__xludf.DUMMYFUNCTION("""COMPUTED_VALUE"""),"CancelWorkingSubs")</f>
        <v>CancelWorkingSubs</v>
      </c>
      <c r="G4" s="19" t="str">
        <f>IFERROR(__xludf.DUMMYFUNCTION("""COMPUTED_VALUE"""),"ReplaceWorkingSubs")</f>
        <v>ReplaceWorkingSubs</v>
      </c>
      <c r="H4" s="19" t="str">
        <f>IFERROR(__xludf.DUMMYFUNCTION("""COMPUTED_VALUE"""),"ViewAllocationDetailsWorkingSub")</f>
        <v>ViewAllocationDetailsWorkingSub</v>
      </c>
      <c r="I4" s="19" t="str">
        <f>IFERROR(__xludf.DUMMYFUNCTION("""COMPUTED_VALUE"""),"SelectTradeOnOrderGrid")</f>
        <v>SelectTradeOnOrderGrid</v>
      </c>
      <c r="J4" s="19" t="str">
        <f>IFERROR(__xludf.DUMMYFUNCTION("""COMPUTED_VALUE"""),"ShowDetailsForAlgoTradeSubOrder")</f>
        <v>ShowDetailsForAlgoTradeSubOrder</v>
      </c>
      <c r="K4" s="19" t="str">
        <f>IFERROR(__xludf.DUMMYFUNCTION("""COMPUTED_VALUE"""),"SelectTradeOrderBlotter")</f>
        <v>SelectTradeOrderBlotter</v>
      </c>
      <c r="L4" s="19" t="str">
        <f>IFERROR(__xludf.DUMMYFUNCTION("""COMPUTED_VALUE"""),"AddFillsWorkingSubs")</f>
        <v>AddFillsWorkingSubs</v>
      </c>
      <c r="M4" s="19" t="str">
        <f>IFERROR(__xludf.DUMMYFUNCTION("""COMPUTED_VALUE"""),"EditAddFillsDetails")</f>
        <v>EditAddFillsDetails</v>
      </c>
      <c r="N4" s="19" t="str">
        <f>IFERROR(__xludf.DUMMYFUNCTION("""COMPUTED_VALUE"""),"ShowDetailsForAlgoTradeWorkingSubs")</f>
        <v>ShowDetailsForAlgoTradeWorkingSubs</v>
      </c>
      <c r="O4" s="19" t="str">
        <f>IFERROR(__xludf.DUMMYFUNCTION("""COMPUTED_VALUE"""),"VerifyWorkingSubs")</f>
        <v>VerifyWorkingSubs</v>
      </c>
      <c r="P4" s="20" t="str">
        <f>IFERROR(__xludf.DUMMYFUNCTION("""COMPUTED_VALUE"""),"TransferToUserOrder")</f>
        <v>TransferToUserOrder</v>
      </c>
      <c r="Q4" s="20" t="str">
        <f>IFERROR(__xludf.DUMMYFUNCTION("""COMPUTED_VALUE"""),"EditOrder")</f>
        <v>EditOrder</v>
      </c>
      <c r="R4" s="20" t="str">
        <f>IFERROR(__xludf.DUMMYFUNCTION("""COMPUTED_VALUE"""),"SelectTradeSubOrderBlotter")</f>
        <v>SelectTradeSubOrderBlotter</v>
      </c>
      <c r="S4" s="20" t="str">
        <f>IFERROR(__xludf.DUMMYFUNCTION("""COMPUTED_VALUE"""),"VerifyOrder")</f>
        <v>VerifyOrder</v>
      </c>
      <c r="T4" s="20" t="str">
        <f>IFERROR(__xludf.DUMMYFUNCTION("""COMPUTED_VALUE"""),"VerifySubOrder")</f>
        <v>VerifySubOrder</v>
      </c>
      <c r="U4" s="20" t="str">
        <f>IFERROR(__xludf.DUMMYFUNCTION("""COMPUTED_VALUE"""),"RemoveSelectedOrders")</f>
        <v>RemoveSelectedOrders</v>
      </c>
      <c r="V4" s="20" t="str">
        <f>IFERROR(__xludf.DUMMYFUNCTION("""COMPUTED_VALUE"""),"CancelAllSelectedSubs")</f>
        <v>CancelAllSelectedSubs</v>
      </c>
      <c r="W4" s="20" t="str">
        <f>IFERROR(__xludf.DUMMYFUNCTION("""COMPUTED_VALUE"""),"MultiTradingTicket")</f>
        <v>MultiTradingTicket</v>
      </c>
      <c r="X4" s="20" t="str">
        <f>IFERROR(__xludf.DUMMYFUNCTION("""COMPUTED_VALUE"""),"AuditTrailOrderBlotter")</f>
        <v>AuditTrailOrderBlotter</v>
      </c>
      <c r="Y4" s="20" t="str">
        <f>IFERROR(__xludf.DUMMYFUNCTION("""COMPUTED_VALUE"""),"TradeNewSubOrder")</f>
        <v>TradeNewSubOrder</v>
      </c>
      <c r="Z4" s="20" t="str">
        <f>IFERROR(__xludf.DUMMYFUNCTION("""COMPUTED_VALUE"""),"RemoveStageOrder")</f>
        <v>RemoveStageOrder</v>
      </c>
      <c r="AA4" s="20" t="str">
        <f>IFERROR(__xludf.DUMMYFUNCTION("""COMPUTED_VALUE"""),"TransferToUserSubOrder")</f>
        <v>TransferToUserSubOrder</v>
      </c>
      <c r="AB4" s="20" t="str">
        <f>IFERROR(__xludf.DUMMYFUNCTION("""COMPUTED_VALUE"""),"DetailsForAlgoTradeOrder")</f>
        <v>DetailsForAlgoTradeOrder</v>
      </c>
      <c r="AC4" s="20" t="str">
        <f>IFERROR(__xludf.DUMMYFUNCTION("""COMPUTED_VALUE"""),"AddFillsSubOrder")</f>
        <v>AddFillsSubOrder</v>
      </c>
      <c r="AD4" s="20" t="str">
        <f>IFERROR(__xludf.DUMMYFUNCTION("""COMPUTED_VALUE"""),"ViewAllocationDetailsSubOrder")</f>
        <v>ViewAllocationDetailsSubOrder</v>
      </c>
      <c r="AE4" s="20" t="str">
        <f>IFERROR(__xludf.DUMMYFUNCTION("""COMPUTED_VALUE"""),"CancelAllSubs")</f>
        <v>CancelAllSubs</v>
      </c>
      <c r="AF4" s="20" t="str">
        <f>IFERROR(__xludf.DUMMYFUNCTION("""COMPUTED_VALUE"""),"CancelSubOrder")</f>
        <v>CancelSubOrder</v>
      </c>
      <c r="AG4" s="20" t="str">
        <f>IFERROR(__xludf.DUMMYFUNCTION("""COMPUTED_VALUE"""),"EditStageOrder")</f>
        <v>EditStageOrder</v>
      </c>
      <c r="AH4" s="20" t="str">
        <f>IFERROR(__xludf.DUMMYFUNCTION("""COMPUTED_VALUE"""),"ReplaceSubOrder")</f>
        <v>ReplaceSubOrder</v>
      </c>
      <c r="AI4" s="20" t="str">
        <f>IFERROR(__xludf.DUMMYFUNCTION("""COMPUTED_VALUE"""),"SelectTradeWorkingSubsBlotter")</f>
        <v>SelectTradeWorkingSubsBlotter</v>
      </c>
      <c r="AJ4" s="20" t="str">
        <f>IFERROR(__xludf.DUMMYFUNCTION("""COMPUTED_VALUE"""),"VerifyAlgoDetails")</f>
        <v>VerifyAlgoDetails</v>
      </c>
      <c r="AK4" s="20" t="str">
        <f>IFERROR(__xludf.DUMMYFUNCTION("""COMPUTED_VALUE"""),"VerifyTransferToUserOrder")</f>
        <v>VerifyTransferToUserOrder</v>
      </c>
      <c r="AL4" s="20" t="str">
        <f>IFERROR(__xludf.DUMMYFUNCTION("""COMPUTED_VALUE"""),"VerifyTransferToUserSubOdr")</f>
        <v>VerifyTransferToUserSubOdr</v>
      </c>
      <c r="AM4" s="20" t="str">
        <f>IFERROR(__xludf.DUMMYFUNCTION("""COMPUTED_VALUE"""),"VerifyTransferToUserWorkSub")</f>
        <v>VerifyTransferToUserWorkSub</v>
      </c>
      <c r="AN4" s="20" t="str">
        <f>IFERROR(__xludf.DUMMYFUNCTION("""COMPUTED_VALUE"""),"SaveLayoutOrderGrid")</f>
        <v>SaveLayoutOrderGrid</v>
      </c>
      <c r="AO4" s="20" t="str">
        <f>IFERROR(__xludf.DUMMYFUNCTION("""COMPUTED_VALUE"""),"ReplaceStageOrder")</f>
        <v>ReplaceStageOrder</v>
      </c>
      <c r="AP4" s="20" t="str">
        <f>IFERROR(__xludf.DUMMYFUNCTION("""COMPUTED_VALUE"""),"MultiTradingTicketFromBlotter")</f>
        <v>MultiTradingTicketFromBlotter</v>
      </c>
      <c r="AQ4" s="20" t="str">
        <f>IFERROR(__xludf.DUMMYFUNCTION("""COMPUTED_VALUE"""),"VerifyViewAllocationDetails")</f>
        <v>VerifyViewAllocationDetails</v>
      </c>
      <c r="AR4" s="20" t="str">
        <f>IFERROR(__xludf.DUMMYFUNCTION("""COMPUTED_VALUE"""),"GoToAllocation")</f>
        <v>GoToAllocation</v>
      </c>
      <c r="AS4" s="20" t="str">
        <f>IFERROR(__xludf.DUMMYFUNCTION("""COMPUTED_VALUE"""),"VerifyRollover")</f>
        <v>VerifyRollover</v>
      </c>
      <c r="AT4" s="20" t="str">
        <f>IFERROR(__xludf.DUMMYFUNCTION("""COMPUTED_VALUE"""),"VerifySubOrderAfterRollover")</f>
        <v>VerifySubOrderAfterRollover</v>
      </c>
      <c r="AU4" s="20" t="str">
        <f>IFERROR(__xludf.DUMMYFUNCTION("""COMPUTED_VALUE"""),"OpenBlotter")</f>
        <v>OpenBlotter</v>
      </c>
      <c r="AV4" s="20" t="str">
        <f>IFERROR(__xludf.DUMMYFUNCTION("""COMPUTED_VALUE"""),"RemoveManualExecution")</f>
        <v>RemoveManualExecution</v>
      </c>
      <c r="AW4" s="20" t="str">
        <f>IFERROR(__xludf.DUMMYFUNCTION("""COMPUTED_VALUE"""),"RemoveExecutionWorkingSubs")</f>
        <v>RemoveExecutionWorkingSubs</v>
      </c>
      <c r="AX4" s="20" t="str">
        <f>IFERROR(__xludf.DUMMYFUNCTION("""COMPUTED_VALUE"""),"GetExecutionReportOrders")</f>
        <v>GetExecutionReportOrders</v>
      </c>
      <c r="AY4" s="20" t="str">
        <f>IFERROR(__xludf.DUMMYFUNCTION("""COMPUTED_VALUE"""),"GetExecutionReportDetails")</f>
        <v>GetExecutionReportDetails</v>
      </c>
      <c r="AZ4" s="20" t="str">
        <f>IFERROR(__xludf.DUMMYFUNCTION("""COMPUTED_VALUE"""),"ExportExecutionReportData")</f>
        <v>ExportExecutionReportData</v>
      </c>
      <c r="BA4" s="20" t="str">
        <f>IFERROR(__xludf.DUMMYFUNCTION("""COMPUTED_VALUE"""),"VerifyExecutionReport")</f>
        <v>VerifyExecutionReport</v>
      </c>
      <c r="BB4" s="20" t="str">
        <f>IFERROR(__xludf.DUMMYFUNCTION("""COMPUTED_VALUE"""),"BlotterExecutionReportSnapshot")</f>
        <v>BlotterExecutionReportSnapshot</v>
      </c>
      <c r="BC4" s="20" t="str">
        <f>IFERROR(__xludf.DUMMYFUNCTION("""COMPUTED_VALUE"""),"MultipleTradeTransferToUser")</f>
        <v>MultipleTradeTransferToUser</v>
      </c>
      <c r="BD4" s="20" t="str">
        <f>IFERROR(__xludf.DUMMYFUNCTION("""COMPUTED_VALUE"""),"ReloadOrderFromBlotter")</f>
        <v>ReloadOrderFromBlotter</v>
      </c>
      <c r="BE4" s="20" t="str">
        <f>IFERROR(__xludf.DUMMYFUNCTION("""COMPUTED_VALUE"""),"ReloadOrderFromSubOrder")</f>
        <v>ReloadOrderFromSubOrder</v>
      </c>
      <c r="BF4" s="20" t="str">
        <f>IFERROR(__xludf.DUMMYFUNCTION("""COMPUTED_VALUE"""),"ReloadOrderFromWorkingSubs")</f>
        <v>ReloadOrderFromWorkingSubs</v>
      </c>
      <c r="BG4" s="20" t="str">
        <f>IFERROR(__xludf.DUMMYFUNCTION("""COMPUTED_VALUE"""),"SelectFills")</f>
        <v>SelectFills</v>
      </c>
      <c r="BH4" s="20" t="str">
        <f>IFERROR(__xludf.DUMMYFUNCTION("""COMPUTED_VALUE"""),"ModifyFills")</f>
        <v>ModifyFills</v>
      </c>
      <c r="BI4" s="20" t="str">
        <f>IFERROR(__xludf.DUMMYFUNCTION("""COMPUTED_VALUE"""),"AllocateFromBlotter")</f>
        <v>AllocateFromBlotter</v>
      </c>
      <c r="BJ4" s="20" t="str">
        <f>IFERROR(__xludf.DUMMYFUNCTION("""COMPUTED_VALUE"""),"ViewPTTAllocationDetails")</f>
        <v>ViewPTTAllocationDetails</v>
      </c>
      <c r="BK4" s="20" t="str">
        <f>IFERROR(__xludf.DUMMYFUNCTION("""COMPUTED_VALUE"""),"MergeOrder")</f>
        <v>MergeOrder</v>
      </c>
      <c r="BL4" s="20" t="str">
        <f>IFERROR(__xludf.DUMMYFUNCTION("""COMPUTED_VALUE"""),"VerifyMergeOrder")</f>
        <v>VerifyMergeOrder</v>
      </c>
      <c r="BM4" s="20" t="str">
        <f>IFERROR(__xludf.DUMMYFUNCTION("""COMPUTED_VALUE"""),"AddTabBlotter")</f>
        <v>AddTabBlotter</v>
      </c>
      <c r="BN4" s="20" t="str">
        <f>IFERROR(__xludf.DUMMYFUNCTION("""COMPUTED_VALUE"""),"VerifyLowerStripBlotterUI")</f>
        <v>VerifyLowerStripBlotterUI</v>
      </c>
      <c r="BO4" s="20" t="str">
        <f>IFERROR(__xludf.DUMMYFUNCTION("""COMPUTED_VALUE"""),"SaveOrRemoveInSummaryTab")</f>
        <v>SaveOrRemoveInSummaryTab</v>
      </c>
      <c r="BP4" s="20" t="str">
        <f>IFERROR(__xludf.DUMMYFUNCTION("""COMPUTED_VALUE"""),"SaveOrRemoveInWorkingSubsTab")</f>
        <v>SaveOrRemoveInWorkingSubsTab</v>
      </c>
      <c r="BQ4" s="20" t="str">
        <f>IFERROR(__xludf.DUMMYFUNCTION("""COMPUTED_VALUE"""),"SelectCheckBoxOnOrderGrid")</f>
        <v>SelectCheckBoxOnOrderGrid</v>
      </c>
      <c r="BR4" s="20" t="str">
        <f>IFERROR(__xludf.DUMMYFUNCTION("""COMPUTED_VALUE"""),"ReAllocateFromBlotterByAllocate")</f>
        <v>ReAllocateFromBlotterByAllocate</v>
      </c>
      <c r="BS4" s="20" t="str">
        <f>IFERROR(__xludf.DUMMYFUNCTION("""COMPUTED_VALUE"""),"RemoveOrderFromCustomTab")</f>
        <v>RemoveOrderFromCustomTab</v>
      </c>
      <c r="BT4" s="20" t="str">
        <f>IFERROR(__xludf.DUMMYFUNCTION("""COMPUTED_VALUE"""),"ReloadFromSummary")</f>
        <v>ReloadFromSummary</v>
      </c>
      <c r="BU4" s="20" t="str">
        <f>IFERROR(__xludf.DUMMYFUNCTION("""COMPUTED_VALUE"""),"AllocateFromWorkingSubsBlotter")</f>
        <v>AllocateFromWorkingSubsBlotter</v>
      </c>
      <c r="BV4" s="20" t="str">
        <f>IFERROR(__xludf.DUMMYFUNCTION("""COMPUTED_VALUE"""),"EditOrderForMTT")</f>
        <v>EditOrderForMTT</v>
      </c>
      <c r="BW4" s="20" t="str">
        <f>IFERROR(__xludf.DUMMYFUNCTION("""COMPUTED_VALUE"""),"VerifyCustomTabs")</f>
        <v>VerifyCustomTabs</v>
      </c>
      <c r="BX4" s="20" t="str">
        <f>IFERROR(__xludf.DUMMYFUNCTION("""COMPUTED_VALUE"""),"SelectCheckBoxOnCustomTab")</f>
        <v>SelectCheckBoxOnCustomTab</v>
      </c>
      <c r="BY4" s="20" t="str">
        <f>IFERROR(__xludf.DUMMYFUNCTION("""COMPUTED_VALUE"""),"UploadStageOrder")</f>
        <v>UploadStageOrder</v>
      </c>
      <c r="BZ4" s="20" t="str">
        <f>IFERROR(__xludf.DUMMYFUNCTION("""COMPUTED_VALUE"""),"RefreshBlotter")</f>
        <v>RefreshBlotter</v>
      </c>
      <c r="CA4" s="20" t="str">
        <f>IFERROR(__xludf.DUMMYFUNCTION("""COMPUTED_VALUE"""),"CancelFromSummary")</f>
        <v>CancelFromSummary</v>
      </c>
      <c r="CB4" s="20" t="str">
        <f>IFERROR(__xludf.DUMMYFUNCTION("""COMPUTED_VALUE"""),"VerifyAuditTrail")</f>
        <v>VerifyAuditTrail</v>
      </c>
      <c r="CC4" s="20" t="str">
        <f>IFERROR(__xludf.DUMMYFUNCTION("""COMPUTED_VALUE"""),"AddOrRemoveColumnFromBlotter")</f>
        <v>AddOrRemoveColumnFromBlotter</v>
      </c>
      <c r="CD4" s="20" t="str">
        <f>IFERROR(__xludf.DUMMYFUNCTION("""COMPUTED_VALUE"""),"ApplyFilterOnBlotter")</f>
        <v>ApplyFilterOnBlotter</v>
      </c>
      <c r="CE4" s="20" t="str">
        <f>IFERROR(__xludf.DUMMYFUNCTION("""COMPUTED_VALUE"""),"SortGridOnBlotter")</f>
        <v>SortGridOnBlotter</v>
      </c>
      <c r="CF4" s="20" t="str">
        <f>IFERROR(__xludf.DUMMYFUNCTION("""COMPUTED_VALUE"""),"VerifyDataIndexWise")</f>
        <v>VerifyDataIndexWise</v>
      </c>
      <c r="CG4" s="20" t="str">
        <f>IFERROR(__xludf.DUMMYFUNCTION("""COMPUTED_VALUE"""),"ReplaceFillsOnBlotter")</f>
        <v>ReplaceFillsOnBlotter</v>
      </c>
      <c r="CH4" s="20" t="str">
        <f>IFERROR(__xludf.DUMMYFUNCTION("""COMPUTED_VALUE"""),"ReplaceFillsOnBlotter")</f>
        <v>ReplaceFillsOnBlotter</v>
      </c>
      <c r="CI4" s="20" t="str">
        <f>IFERROR(__xludf.DUMMYFUNCTION("""COMPUTED_VALUE"""),"SaveLayoutBlotter")</f>
        <v>SaveLayoutBlotter</v>
      </c>
      <c r="CJ4" s="20" t="str">
        <f>IFERROR(__xludf.DUMMYFUNCTION("""COMPUTED_VALUE"""),"VerifyBlotterNavLockPopup")</f>
        <v>VerifyBlotterNavLockPopup</v>
      </c>
      <c r="CK4" s="20" t="str">
        <f>IFERROR(__xludf.DUMMYFUNCTION("""COMPUTED_VALUE"""),"CustomTabActions")</f>
        <v>CustomTabActions</v>
      </c>
      <c r="CL4" s="20" t="str">
        <f>IFERROR(__xludf.DUMMYFUNCTION("""COMPUTED_VALUE"""),"VerifyAllocationWindow")</f>
        <v>VerifyAllocationWindow</v>
      </c>
      <c r="CM4" s="20" t="str">
        <f>IFERROR(__xludf.DUMMYFUNCTION("""COMPUTED_VALUE"""),"VerifyViewAllocationOrder")</f>
        <v>VerifyViewAllocationOrder</v>
      </c>
      <c r="CN4" s="20" t="str">
        <f>IFERROR(__xludf.DUMMYFUNCTION("""COMPUTED_VALUE"""),"ResizeEnsureBlotter")</f>
        <v>ResizeEnsureBlotter</v>
      </c>
      <c r="CO4" s="20" t="str">
        <f>IFERROR(__xludf.DUMMYFUNCTION("""COMPUTED_VALUE"""),"RightClickOperations")</f>
        <v>RightClickOperations</v>
      </c>
      <c r="CP4" s="20" t="str">
        <f>IFERROR(__xludf.DUMMYFUNCTION("""COMPUTED_VALUE"""),"BlotterToolBarAction")</f>
        <v>BlotterToolBarAction</v>
      </c>
      <c r="CQ4" s="20" t="str">
        <f>IFERROR(__xludf.DUMMYFUNCTION("""COMPUTED_VALUE"""),"SelectTradeOnBlotter")</f>
        <v>SelectTradeOnBlotter</v>
      </c>
      <c r="CR4" s="20" t="str">
        <f>IFERROR(__xludf.DUMMYFUNCTION("""COMPUTED_VALUE"""),"SelectTradeSummary")</f>
        <v>SelectTradeSummary</v>
      </c>
      <c r="CS4" s="20" t="str">
        <f>IFERROR(__xludf.DUMMYFUNCTION("""COMPUTED_VALUE"""),"MergeOrderMessage")</f>
        <v>MergeOrderMessage</v>
      </c>
      <c r="CT4" s="20" t="str">
        <f>IFERROR(__xludf.DUMMYFUNCTION("""COMPUTED_VALUE"""),"SwitchTabBlotter")</f>
        <v>SwitchTabBlotter</v>
      </c>
      <c r="CU4" s="20" t="str">
        <f>IFERROR(__xludf.DUMMYFUNCTION("""COMPUTED_VALUE"""),"AddTab")</f>
        <v>AddTab</v>
      </c>
      <c r="CV4" s="20" t="str">
        <f>IFERROR(__xludf.DUMMYFUNCTION("""COMPUTED_VALUE"""),"UploadStageOrders")</f>
        <v>UploadStageOrders</v>
      </c>
      <c r="CW4" s="20" t="str">
        <f>IFERROR(__xludf.DUMMYFUNCTION("""COMPUTED_VALUE"""),"AddTabToFav")</f>
        <v>AddTabToFav</v>
      </c>
      <c r="CX4" s="20" t="str">
        <f>IFERROR(__xludf.DUMMYFUNCTION("""COMPUTED_VALUE"""),"RollOverContextMenu")</f>
        <v>RollOverContextMenu</v>
      </c>
      <c r="CY4" s="20" t="str">
        <f>IFERROR(__xludf.DUMMYFUNCTION("""COMPUTED_VALUE"""),"BookAsSwap")</f>
        <v>BookAsSwap</v>
      </c>
      <c r="CZ4" s="20" t="str">
        <f>IFERROR(__xludf.DUMMYFUNCTION("""COMPUTED_VALUE"""),"ActionOnFloatingWindow")</f>
        <v>ActionOnFloatingWindow</v>
      </c>
      <c r="DA4" s="20" t="str">
        <f>IFERROR(__xludf.DUMMYFUNCTION("""COMPUTED_VALUE"""),"EnableOrVerifyHotButton")</f>
        <v>EnableOrVerifyHotButton</v>
      </c>
      <c r="DB4" s="20" t="str">
        <f>IFERROR(__xludf.DUMMYFUNCTION("""COMPUTED_VALUE"""),"VerifyFilterUiRC")</f>
        <v>VerifyFilterUiRC</v>
      </c>
      <c r="DC4" s="20" t="str">
        <f>IFERROR(__xludf.DUMMYFUNCTION("""COMPUTED_VALUE"""),"CreateHotButtonOnBlotter")</f>
        <v>CreateHotButtonOnBlotter</v>
      </c>
      <c r="DD4" s="20" t="str">
        <f>IFERROR(__xludf.DUMMYFUNCTION("""COMPUTED_VALUE"""),"FillHBdetailsOnBlotter")</f>
        <v>FillHBdetailsOnBlotter</v>
      </c>
      <c r="DE4" s="20" t="str">
        <f>IFERROR(__xludf.DUMMYFUNCTION("""COMPUTED_VALUE"""),"BlotterColumnChooser")</f>
        <v>BlotterColumnChooser</v>
      </c>
      <c r="DF4" s="20" t="str">
        <f>IFERROR(__xludf.DUMMYFUNCTION("""COMPUTED_VALUE"""),"CaptureHotButtonDetails")</f>
        <v>CaptureHotButtonDetails</v>
      </c>
      <c r="DG4" s="20" t="str">
        <f>IFERROR(__xludf.DUMMYFUNCTION("""COMPUTED_VALUE"""),"RightClickActionVerification")</f>
        <v>RightClickActionVerification</v>
      </c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</row>
    <row r="5" ht="15.75" customHeight="1">
      <c r="A5" s="21" t="str">
        <f>IFERROR(__xludf.DUMMYFUNCTION("TRANSPOSE(IMPORTRANGE(VLOOKUP($E$3,IMPORTRANGE('_Settings'!$B$3,$C$3&amp;""!A4:B1000""),2,FALSE),$G$3&amp;""!A4:A1000""))"),"")</f>
        <v/>
      </c>
      <c r="B5" s="22" t="str">
        <f>IFERROR(__xludf.DUMMYFUNCTION("""COMPUTED_VALUE"""),"Symbol")</f>
        <v>Symbol</v>
      </c>
      <c r="C5" s="22" t="str">
        <f>IFERROR(__xludf.DUMMYFUNCTION("""COMPUTED_VALUE"""),"Side")</f>
        <v>Side</v>
      </c>
      <c r="D5" s="22" t="str">
        <f>IFERROR(__xludf.DUMMYFUNCTION("""COMPUTED_VALUE"""),"Order Type")</f>
        <v>Order Type</v>
      </c>
      <c r="E5" s="22" t="str">
        <f>IFERROR(__xludf.DUMMYFUNCTION("""COMPUTED_VALUE"""),"Target Quantity")</f>
        <v>Target Quantity</v>
      </c>
      <c r="F5" s="22" t="str">
        <f>IFERROR(__xludf.DUMMYFUNCTION("""COMPUTED_VALUE"""),"Executed Qty")</f>
        <v>Executed Qty</v>
      </c>
      <c r="G5" s="22" t="str">
        <f>IFERROR(__xludf.DUMMYFUNCTION("""COMPUTED_VALUE"""),"Avg Price")</f>
        <v>Avg Price</v>
      </c>
      <c r="H5" s="22" t="str">
        <f>IFERROR(__xludf.DUMMYFUNCTION("""COMPUTED_VALUE"""),"Status")</f>
        <v>Status</v>
      </c>
      <c r="I5" s="22" t="str">
        <f>IFERROR(__xludf.DUMMYFUNCTION("""COMPUTED_VALUE"""),"Price")</f>
        <v>Price</v>
      </c>
      <c r="J5" s="22" t="str">
        <f>IFERROR(__xludf.DUMMYFUNCTION("""COMPUTED_VALUE"""),"OrderID")</f>
        <v>OrderID</v>
      </c>
      <c r="K5" s="22" t="str">
        <f>IFERROR(__xludf.DUMMYFUNCTION("""COMPUTED_VALUE"""),"CIOrderID")</f>
        <v>CIOrderID</v>
      </c>
      <c r="L5" s="22" t="str">
        <f>IFERROR(__xludf.DUMMYFUNCTION("""COMPUTED_VALUE"""),"Actual User")</f>
        <v>Actual User</v>
      </c>
      <c r="M5" s="22" t="str">
        <f>IFERROR(__xludf.DUMMYFUNCTION("""COMPUTED_VALUE"""),"Trader")</f>
        <v>Trader</v>
      </c>
      <c r="N5" s="22" t="str">
        <f>IFERROR(__xludf.DUMMYFUNCTION("""COMPUTED_VALUE"""),"Broker")</f>
        <v>Broker</v>
      </c>
      <c r="O5" s="22" t="str">
        <f>IFERROR(__xludf.DUMMYFUNCTION("""COMPUTED_VALUE"""),"Modified User")</f>
        <v>Modified User</v>
      </c>
      <c r="P5" s="22" t="str">
        <f>IFERROR(__xludf.DUMMYFUNCTION("""COMPUTED_VALUE"""),"Current User")</f>
        <v>Current User</v>
      </c>
      <c r="Q5" s="22" t="str">
        <f>IFERROR(__xludf.DUMMYFUNCTION("""COMPUTED_VALUE"""),"Avg Fx Rate")</f>
        <v>Avg Fx Rate</v>
      </c>
      <c r="R5" s="22" t="str">
        <f>IFERROR(__xludf.DUMMYFUNCTION("""COMPUTED_VALUE"""),"Account")</f>
        <v>Account</v>
      </c>
      <c r="S5" s="22" t="str">
        <f>IFERROR(__xludf.DUMMYFUNCTION("""COMPUTED_VALUE"""),"Process Date")</f>
        <v>Process Date</v>
      </c>
      <c r="T5" s="23" t="str">
        <f>IFERROR(__xludf.DUMMYFUNCTION("""COMPUTED_VALUE"""),"Last Shares")</f>
        <v>Last Shares</v>
      </c>
      <c r="U5" s="23" t="str">
        <f>IFERROR(__xludf.DUMMYFUNCTION("""COMPUTED_VALUE"""),"Last Price")</f>
        <v>Last Price</v>
      </c>
      <c r="V5" s="23" t="str">
        <f>IFERROR(__xludf.DUMMYFUNCTION("""COMPUTED_VALUE"""),"Exchange")</f>
        <v>Exchange</v>
      </c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</row>
    <row r="6" ht="15.75" customHeight="1">
      <c r="A6" s="27"/>
      <c r="B6" s="24" t="s">
        <v>20</v>
      </c>
      <c r="C6" s="24" t="s">
        <v>18</v>
      </c>
      <c r="D6" s="27"/>
      <c r="E6" s="27"/>
      <c r="F6" s="32">
        <v>1000.0</v>
      </c>
      <c r="G6" s="25">
        <v>10.0</v>
      </c>
      <c r="H6" s="30" t="s">
        <v>37</v>
      </c>
      <c r="I6" s="27"/>
      <c r="J6" s="27"/>
      <c r="K6" s="27"/>
      <c r="L6" s="33" t="s">
        <v>31</v>
      </c>
      <c r="M6" s="27"/>
      <c r="N6" s="24" t="s">
        <v>38</v>
      </c>
      <c r="O6" s="33" t="s">
        <v>31</v>
      </c>
      <c r="P6" s="34" t="s">
        <v>31</v>
      </c>
      <c r="Q6" s="28"/>
      <c r="R6" s="28" t="s">
        <v>39</v>
      </c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</row>
    <row r="7" ht="15.75" customHeight="1">
      <c r="A7" s="27"/>
      <c r="B7" s="24" t="s">
        <v>16</v>
      </c>
      <c r="C7" s="24" t="s">
        <v>18</v>
      </c>
      <c r="D7" s="27"/>
      <c r="E7" s="27"/>
      <c r="F7" s="32">
        <v>1000.0</v>
      </c>
      <c r="G7" s="25">
        <v>10.0</v>
      </c>
      <c r="H7" s="30" t="s">
        <v>37</v>
      </c>
      <c r="I7" s="27"/>
      <c r="J7" s="27"/>
      <c r="K7" s="27"/>
      <c r="L7" s="33" t="s">
        <v>31</v>
      </c>
      <c r="M7" s="27"/>
      <c r="N7" s="24" t="s">
        <v>38</v>
      </c>
      <c r="O7" s="33" t="s">
        <v>31</v>
      </c>
      <c r="P7" s="34" t="s">
        <v>31</v>
      </c>
      <c r="Q7" s="28"/>
      <c r="R7" s="28" t="s">
        <v>39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VerifyExecutionReport!$4:$4</formula1>
    </dataValidation>
  </dataValidations>
  <drawing r:id="rId1"/>
</worksheet>
</file>