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1" activeTab="14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DoneAwayOrder" sheetId="7" r:id="rId7"/>
    <sheet name="PricingInput" sheetId="8" r:id="rId8"/>
    <sheet name="CalculatePTT" sheetId="9" r:id="rId9"/>
    <sheet name="TradePTT" sheetId="10" r:id="rId10"/>
    <sheet name="CreateDoneAwayOrder1" sheetId="11" r:id="rId11"/>
    <sheet name="VerifyOrder" sheetId="12" r:id="rId12"/>
    <sheet name="GetDataAllocation" sheetId="13" r:id="rId13"/>
    <sheet name="CheckAllocatedGroups" sheetId="14" r:id="rId14"/>
    <sheet name="CheckPortfolioManagement" sheetId="15" r:id="rId15"/>
    <sheet name="VerifyPTT" sheetId="16" r:id="rId16"/>
  </sheets>
  <calcPr calcId="145621"/>
</workbook>
</file>

<file path=xl/calcChain.xml><?xml version="1.0" encoding="utf-8"?>
<calcChain xmlns="http://schemas.openxmlformats.org/spreadsheetml/2006/main">
  <c r="N6" i="7" l="1"/>
  <c r="C6" i="5"/>
  <c r="B6" i="5"/>
  <c r="BK5" i="15"/>
  <c r="R5" i="16"/>
  <c r="J5" i="16"/>
  <c r="B5" i="16"/>
  <c r="K4" i="16"/>
  <c r="C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S4" i="15"/>
  <c r="K4" i="15"/>
  <c r="C4" i="15"/>
  <c r="CN5" i="14"/>
  <c r="CF5" i="14"/>
  <c r="BX5" i="14"/>
  <c r="BP5" i="14"/>
  <c r="BH5" i="14"/>
  <c r="AZ5" i="14"/>
  <c r="AR5" i="14"/>
  <c r="AJ5" i="14"/>
  <c r="AB5" i="14"/>
  <c r="T5" i="14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BA5" i="12"/>
  <c r="AS5" i="12"/>
  <c r="AK5" i="12"/>
  <c r="AC5" i="12"/>
  <c r="U5" i="12"/>
  <c r="M5" i="12"/>
  <c r="E5" i="12"/>
  <c r="AU4" i="12"/>
  <c r="AM4" i="12"/>
  <c r="AE4" i="12"/>
  <c r="W4" i="12"/>
  <c r="O4" i="12"/>
  <c r="G4" i="12"/>
  <c r="AO5" i="11"/>
  <c r="AG5" i="11"/>
  <c r="Y5" i="11"/>
  <c r="Q5" i="11"/>
  <c r="I5" i="11"/>
  <c r="A5" i="11"/>
  <c r="T4" i="11"/>
  <c r="L4" i="11"/>
  <c r="D4" i="11"/>
  <c r="E5" i="10"/>
  <c r="N4" i="10"/>
  <c r="F4" i="10"/>
  <c r="H5" i="9"/>
  <c r="Q4" i="9"/>
  <c r="I4" i="9"/>
  <c r="M5" i="8"/>
  <c r="E5" i="8"/>
  <c r="B4" i="8"/>
  <c r="AK5" i="7"/>
  <c r="AC5" i="7"/>
  <c r="U5" i="7"/>
  <c r="M5" i="7"/>
  <c r="E5" i="7"/>
  <c r="X4" i="7"/>
  <c r="P4" i="7"/>
  <c r="H4" i="7"/>
  <c r="D5" i="6"/>
  <c r="AC4" i="6"/>
  <c r="U4" i="6"/>
  <c r="M4" i="6"/>
  <c r="E4" i="6"/>
  <c r="B5" i="5"/>
  <c r="AA4" i="5"/>
  <c r="Q5" i="16"/>
  <c r="I5" i="16"/>
  <c r="A5" i="16"/>
  <c r="J4" i="16"/>
  <c r="B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Z4" i="15"/>
  <c r="R4" i="15"/>
  <c r="J4" i="15"/>
  <c r="B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AZ5" i="12"/>
  <c r="AR5" i="12"/>
  <c r="AJ5" i="12"/>
  <c r="AB5" i="12"/>
  <c r="T5" i="12"/>
  <c r="L5" i="12"/>
  <c r="D5" i="12"/>
  <c r="AT4" i="12"/>
  <c r="AL4" i="12"/>
  <c r="AD4" i="12"/>
  <c r="V4" i="12"/>
  <c r="N4" i="12"/>
  <c r="F4" i="12"/>
  <c r="AN5" i="11"/>
  <c r="AF5" i="11"/>
  <c r="X5" i="11"/>
  <c r="P5" i="11"/>
  <c r="H5" i="11"/>
  <c r="AA4" i="11"/>
  <c r="S4" i="11"/>
  <c r="K4" i="11"/>
  <c r="C4" i="11"/>
  <c r="D5" i="10"/>
  <c r="M4" i="10"/>
  <c r="E4" i="10"/>
  <c r="G5" i="9"/>
  <c r="P4" i="9"/>
  <c r="H4" i="9"/>
  <c r="T5" i="8"/>
  <c r="L5" i="8"/>
  <c r="D5" i="8"/>
  <c r="AJ5" i="7"/>
  <c r="AB5" i="7"/>
  <c r="T5" i="7"/>
  <c r="L5" i="7"/>
  <c r="D5" i="7"/>
  <c r="W4" i="7"/>
  <c r="O4" i="7"/>
  <c r="G4" i="7"/>
  <c r="P5" i="16"/>
  <c r="H5" i="16"/>
  <c r="Q4" i="16"/>
  <c r="I4" i="16"/>
  <c r="EU5" i="15"/>
  <c r="EM5" i="15"/>
  <c r="EE5" i="15"/>
  <c r="DW5" i="15"/>
  <c r="DO5" i="15"/>
  <c r="DG5" i="15"/>
  <c r="CY5" i="15"/>
  <c r="CQ5" i="15"/>
  <c r="CI5" i="15"/>
  <c r="CA5" i="15"/>
  <c r="BS5" i="15"/>
  <c r="BC5" i="15"/>
  <c r="AU5" i="15"/>
  <c r="AM5" i="15"/>
  <c r="AE5" i="15"/>
  <c r="W5" i="15"/>
  <c r="O5" i="15"/>
  <c r="G5" i="15"/>
  <c r="Y4" i="15"/>
  <c r="Q4" i="15"/>
  <c r="I4" i="15"/>
  <c r="CL5" i="14"/>
  <c r="CD5" i="14"/>
  <c r="BV5" i="14"/>
  <c r="BN5" i="14"/>
  <c r="BF5" i="14"/>
  <c r="AX5" i="14"/>
  <c r="AP5" i="14"/>
  <c r="AH5" i="14"/>
  <c r="Z5" i="14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M5" i="13"/>
  <c r="E5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AY5" i="12"/>
  <c r="AQ5" i="12"/>
  <c r="AI5" i="12"/>
  <c r="AA5" i="12"/>
  <c r="S5" i="12"/>
  <c r="K5" i="12"/>
  <c r="C5" i="12"/>
  <c r="AS4" i="12"/>
  <c r="AK4" i="12"/>
  <c r="AC4" i="12"/>
  <c r="U4" i="12"/>
  <c r="M4" i="12"/>
  <c r="E4" i="12"/>
  <c r="AM5" i="11"/>
  <c r="AE5" i="11"/>
  <c r="W5" i="11"/>
  <c r="O5" i="11"/>
  <c r="G5" i="11"/>
  <c r="Z4" i="11"/>
  <c r="R4" i="11"/>
  <c r="J4" i="11"/>
  <c r="B4" i="11"/>
  <c r="C5" i="10"/>
  <c r="L4" i="10"/>
  <c r="D4" i="10"/>
  <c r="F5" i="9"/>
  <c r="O4" i="9"/>
  <c r="G4" i="9"/>
  <c r="S5" i="8"/>
  <c r="K5" i="8"/>
  <c r="C5" i="8"/>
  <c r="O5" i="16"/>
  <c r="G5" i="16"/>
  <c r="P4" i="16"/>
  <c r="H4" i="16"/>
  <c r="FB5" i="1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X4" i="15"/>
  <c r="P4" i="15"/>
  <c r="H4" i="15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AX5" i="12"/>
  <c r="AP5" i="12"/>
  <c r="AH5" i="12"/>
  <c r="Z5" i="12"/>
  <c r="R5" i="12"/>
  <c r="J5" i="12"/>
  <c r="B5" i="12"/>
  <c r="AR4" i="12"/>
  <c r="AJ4" i="12"/>
  <c r="AB4" i="12"/>
  <c r="T4" i="12"/>
  <c r="L4" i="12"/>
  <c r="D4" i="12"/>
  <c r="AL5" i="11"/>
  <c r="AD5" i="11"/>
  <c r="V5" i="11"/>
  <c r="N5" i="11"/>
  <c r="F5" i="11"/>
  <c r="Y4" i="11"/>
  <c r="Q4" i="11"/>
  <c r="I4" i="11"/>
  <c r="B5" i="10"/>
  <c r="K4" i="10"/>
  <c r="C4" i="10"/>
  <c r="E5" i="9"/>
  <c r="N4" i="9"/>
  <c r="F4" i="9"/>
  <c r="R5" i="8"/>
  <c r="J5" i="8"/>
  <c r="B5" i="8"/>
  <c r="AP5" i="7"/>
  <c r="AH5" i="7"/>
  <c r="Z5" i="7"/>
  <c r="R5" i="7"/>
  <c r="J5" i="7"/>
  <c r="B5" i="7"/>
  <c r="U4" i="7"/>
  <c r="M4" i="7"/>
  <c r="E4" i="7"/>
  <c r="A5" i="6"/>
  <c r="Z4" i="6"/>
  <c r="R4" i="6"/>
  <c r="J4" i="6"/>
  <c r="B4" i="6"/>
  <c r="AF4" i="5"/>
  <c r="X4" i="5"/>
  <c r="P4" i="5"/>
  <c r="H4" i="5"/>
  <c r="K5" i="4"/>
  <c r="C5" i="4"/>
  <c r="E4" i="4"/>
  <c r="A20" i="3"/>
  <c r="A18" i="3"/>
  <c r="A16" i="3"/>
  <c r="N5" i="16"/>
  <c r="F5" i="16"/>
  <c r="O4" i="16"/>
  <c r="G4" i="16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W4" i="15"/>
  <c r="O4" i="15"/>
  <c r="G4" i="15"/>
  <c r="CR5" i="14"/>
  <c r="CJ5" i="14"/>
  <c r="CB5" i="14"/>
  <c r="BT5" i="14"/>
  <c r="BL5" i="14"/>
  <c r="BD5" i="14"/>
  <c r="AV5" i="14"/>
  <c r="AN5" i="14"/>
  <c r="AF5" i="14"/>
  <c r="X5" i="14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AW5" i="12"/>
  <c r="AO5" i="12"/>
  <c r="AG5" i="12"/>
  <c r="Y5" i="12"/>
  <c r="Q5" i="12"/>
  <c r="I5" i="12"/>
  <c r="A5" i="12"/>
  <c r="AQ4" i="12"/>
  <c r="AI4" i="12"/>
  <c r="AA4" i="12"/>
  <c r="S4" i="12"/>
  <c r="K4" i="12"/>
  <c r="C4" i="12"/>
  <c r="AK5" i="11"/>
  <c r="AC5" i="11"/>
  <c r="U5" i="11"/>
  <c r="M5" i="11"/>
  <c r="E5" i="11"/>
  <c r="X4" i="11"/>
  <c r="P4" i="11"/>
  <c r="H4" i="11"/>
  <c r="I5" i="10"/>
  <c r="A5" i="10"/>
  <c r="J4" i="10"/>
  <c r="B4" i="10"/>
  <c r="D5" i="9"/>
  <c r="M4" i="9"/>
  <c r="E4" i="9"/>
  <c r="Q5" i="8"/>
  <c r="I5" i="8"/>
  <c r="A5" i="8"/>
  <c r="AO5" i="7"/>
  <c r="AG5" i="7"/>
  <c r="Y5" i="7"/>
  <c r="Q5" i="7"/>
  <c r="I5" i="7"/>
  <c r="A5" i="7"/>
  <c r="T4" i="7"/>
  <c r="L4" i="7"/>
  <c r="D4" i="7"/>
  <c r="L5" i="16"/>
  <c r="D5" i="16"/>
  <c r="M4" i="16"/>
  <c r="E4" i="16"/>
  <c r="EY5" i="15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U4" i="15"/>
  <c r="M4" i="15"/>
  <c r="E4" i="15"/>
  <c r="CP5" i="14"/>
  <c r="CH5" i="14"/>
  <c r="BZ5" i="14"/>
  <c r="BR5" i="14"/>
  <c r="BJ5" i="14"/>
  <c r="BB5" i="14"/>
  <c r="AT5" i="14"/>
  <c r="AL5" i="14"/>
  <c r="AD5" i="14"/>
  <c r="V5" i="14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AU5" i="12"/>
  <c r="AM5" i="12"/>
  <c r="AE5" i="12"/>
  <c r="W5" i="12"/>
  <c r="O5" i="12"/>
  <c r="G5" i="12"/>
  <c r="AW4" i="12"/>
  <c r="AO4" i="12"/>
  <c r="AG4" i="12"/>
  <c r="Y4" i="12"/>
  <c r="Q4" i="12"/>
  <c r="I4" i="12"/>
  <c r="AI5" i="11"/>
  <c r="AA5" i="11"/>
  <c r="S5" i="11"/>
  <c r="K5" i="11"/>
  <c r="C5" i="11"/>
  <c r="V4" i="11"/>
  <c r="N4" i="11"/>
  <c r="F4" i="11"/>
  <c r="G5" i="10"/>
  <c r="P4" i="10"/>
  <c r="H4" i="10"/>
  <c r="J5" i="9"/>
  <c r="B5" i="9"/>
  <c r="K4" i="9"/>
  <c r="C4" i="9"/>
  <c r="O5" i="8"/>
  <c r="G5" i="8"/>
  <c r="D4" i="8"/>
  <c r="AM5" i="7"/>
  <c r="AE5" i="7"/>
  <c r="W5" i="7"/>
  <c r="O5" i="7"/>
  <c r="G5" i="7"/>
  <c r="Z4" i="7"/>
  <c r="R4" i="7"/>
  <c r="J4" i="7"/>
  <c r="K5" i="16"/>
  <c r="C5" i="16"/>
  <c r="L4" i="16"/>
  <c r="D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T4" i="15"/>
  <c r="L4" i="15"/>
  <c r="D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AT5" i="12"/>
  <c r="AL5" i="12"/>
  <c r="AD5" i="12"/>
  <c r="V5" i="12"/>
  <c r="N5" i="12"/>
  <c r="F5" i="12"/>
  <c r="AV4" i="12"/>
  <c r="AN4" i="12"/>
  <c r="AF4" i="12"/>
  <c r="X4" i="12"/>
  <c r="P4" i="12"/>
  <c r="H4" i="12"/>
  <c r="AP5" i="11"/>
  <c r="AH5" i="11"/>
  <c r="Z5" i="11"/>
  <c r="R5" i="11"/>
  <c r="J5" i="11"/>
  <c r="B5" i="11"/>
  <c r="U4" i="11"/>
  <c r="M4" i="11"/>
  <c r="E4" i="11"/>
  <c r="F5" i="10"/>
  <c r="O4" i="10"/>
  <c r="G4" i="10"/>
  <c r="I5" i="9"/>
  <c r="A5" i="9"/>
  <c r="J4" i="9"/>
  <c r="B4" i="9"/>
  <c r="N5" i="8"/>
  <c r="F5" i="8"/>
  <c r="C4" i="8"/>
  <c r="AL5" i="7"/>
  <c r="AD5" i="7"/>
  <c r="V5" i="7"/>
  <c r="N5" i="7"/>
  <c r="F5" i="7"/>
  <c r="Y4" i="7"/>
  <c r="Q4" i="7"/>
  <c r="I4" i="7"/>
  <c r="AD4" i="6"/>
  <c r="V4" i="6"/>
  <c r="N4" i="6"/>
  <c r="M5" i="16"/>
  <c r="DT5" i="15"/>
  <c r="BH5" i="15"/>
  <c r="V4" i="15"/>
  <c r="BC5" i="14"/>
  <c r="DH4" i="14"/>
  <c r="AV4" i="14"/>
  <c r="B5" i="13"/>
  <c r="BG4" i="13"/>
  <c r="AV5" i="12"/>
  <c r="AH4" i="12"/>
  <c r="L5" i="11"/>
  <c r="AN5" i="7"/>
  <c r="H5" i="7"/>
  <c r="C4" i="7"/>
  <c r="AA4" i="6"/>
  <c r="O4" i="6"/>
  <c r="C4" i="6"/>
  <c r="AD4" i="5"/>
  <c r="T4" i="5"/>
  <c r="K4" i="5"/>
  <c r="B4" i="5"/>
  <c r="D5" i="4"/>
  <c r="D4" i="4"/>
  <c r="C19" i="3"/>
  <c r="B17" i="3"/>
  <c r="A15" i="3"/>
  <c r="A13" i="3"/>
  <c r="A11" i="3"/>
  <c r="A9" i="3"/>
  <c r="A7" i="3"/>
  <c r="A5" i="3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E5" i="16"/>
  <c r="DL5" i="15"/>
  <c r="AZ5" i="15"/>
  <c r="N4" i="15"/>
  <c r="AU5" i="14"/>
  <c r="CZ4" i="14"/>
  <c r="AN4" i="14"/>
  <c r="DK4" i="13"/>
  <c r="AY4" i="13"/>
  <c r="AN5" i="12"/>
  <c r="Z4" i="12"/>
  <c r="D5" i="11"/>
  <c r="C5" i="9"/>
  <c r="AI5" i="7"/>
  <c r="C5" i="7"/>
  <c r="B4" i="7"/>
  <c r="Y4" i="6"/>
  <c r="L4" i="6"/>
  <c r="AC4" i="5"/>
  <c r="S4" i="5"/>
  <c r="J4" i="5"/>
  <c r="B5" i="4"/>
  <c r="C4" i="4"/>
  <c r="B19" i="3"/>
  <c r="A17" i="3"/>
  <c r="D14" i="3"/>
  <c r="D12" i="3"/>
  <c r="D10" i="3"/>
  <c r="D8" i="3"/>
  <c r="D6" i="3"/>
  <c r="D4" i="3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N4" i="16"/>
  <c r="DD5" i="15"/>
  <c r="AR5" i="15"/>
  <c r="F4" i="15"/>
  <c r="AM5" i="14"/>
  <c r="CR4" i="14"/>
  <c r="AF4" i="14"/>
  <c r="DC4" i="13"/>
  <c r="AQ4" i="13"/>
  <c r="AF5" i="12"/>
  <c r="R4" i="12"/>
  <c r="W4" i="11"/>
  <c r="L4" i="9"/>
  <c r="AF5" i="7"/>
  <c r="AA4" i="7"/>
  <c r="C5" i="6"/>
  <c r="X4" i="6"/>
  <c r="K4" i="6"/>
  <c r="AB4" i="5"/>
  <c r="R4" i="5"/>
  <c r="I4" i="5"/>
  <c r="J5" i="4"/>
  <c r="A5" i="4"/>
  <c r="B4" i="4"/>
  <c r="A19" i="3"/>
  <c r="D16" i="3"/>
  <c r="C14" i="3"/>
  <c r="C12" i="3"/>
  <c r="C10" i="3"/>
  <c r="C8" i="3"/>
  <c r="C6" i="3"/>
  <c r="C4" i="3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ER5" i="15"/>
  <c r="CF5" i="15"/>
  <c r="T5" i="15"/>
  <c r="CA5" i="14"/>
  <c r="O5" i="14"/>
  <c r="BT4" i="14"/>
  <c r="H4" i="14"/>
  <c r="CE4" i="13"/>
  <c r="S4" i="13"/>
  <c r="H5" i="12"/>
  <c r="AJ5" i="11"/>
  <c r="H5" i="10"/>
  <c r="H5" i="8"/>
  <c r="S5" i="7"/>
  <c r="N4" i="7"/>
  <c r="AF4" i="6"/>
  <c r="S4" i="6"/>
  <c r="G4" i="6"/>
  <c r="A5" i="5"/>
  <c r="W4" i="5"/>
  <c r="N4" i="5"/>
  <c r="E4" i="5"/>
  <c r="G5" i="4"/>
  <c r="H4" i="4"/>
  <c r="C20" i="3"/>
  <c r="B18" i="3"/>
  <c r="D15" i="3"/>
  <c r="D13" i="3"/>
  <c r="D11" i="3"/>
  <c r="D9" i="3"/>
  <c r="D7" i="3"/>
  <c r="D5" i="3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F4" i="16"/>
  <c r="AJ5" i="15"/>
  <c r="AE5" i="14"/>
  <c r="X4" i="14"/>
  <c r="AI4" i="13"/>
  <c r="J4" i="12"/>
  <c r="D4" i="9"/>
  <c r="V4" i="7"/>
  <c r="W4" i="6"/>
  <c r="U4" i="5"/>
  <c r="C4" i="5"/>
  <c r="F4" i="4"/>
  <c r="C17" i="3"/>
  <c r="B13" i="3"/>
  <c r="B9" i="3"/>
  <c r="B5" i="3"/>
  <c r="B491" i="1"/>
  <c r="A486" i="1"/>
  <c r="C480" i="1"/>
  <c r="B475" i="1"/>
  <c r="A470" i="1"/>
  <c r="C464" i="1"/>
  <c r="B459" i="1"/>
  <c r="A454" i="1"/>
  <c r="C448" i="1"/>
  <c r="B443" i="1"/>
  <c r="A438" i="1"/>
  <c r="C432" i="1"/>
  <c r="B427" i="1"/>
  <c r="A422" i="1"/>
  <c r="C416" i="1"/>
  <c r="B411" i="1"/>
  <c r="A406" i="1"/>
  <c r="C400" i="1"/>
  <c r="B395" i="1"/>
  <c r="A390" i="1"/>
  <c r="C384" i="1"/>
  <c r="B379" i="1"/>
  <c r="A374" i="1"/>
  <c r="C368" i="1"/>
  <c r="B363" i="1"/>
  <c r="A358" i="1"/>
  <c r="C352" i="1"/>
  <c r="B347" i="1"/>
  <c r="A342" i="1"/>
  <c r="C336" i="1"/>
  <c r="B331" i="1"/>
  <c r="A326" i="1"/>
  <c r="C320" i="1"/>
  <c r="B315" i="1"/>
  <c r="A310" i="1"/>
  <c r="C304" i="1"/>
  <c r="B299" i="1"/>
  <c r="A294" i="1"/>
  <c r="C288" i="1"/>
  <c r="B283" i="1"/>
  <c r="A278" i="1"/>
  <c r="C272" i="1"/>
  <c r="B267" i="1"/>
  <c r="A262" i="1"/>
  <c r="C257" i="1"/>
  <c r="B253" i="1"/>
  <c r="A249" i="1"/>
  <c r="A245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CV5" i="15"/>
  <c r="CQ5" i="14"/>
  <c r="CJ4" i="14"/>
  <c r="CU4" i="13"/>
  <c r="X5" i="12"/>
  <c r="O4" i="11"/>
  <c r="AA5" i="7"/>
  <c r="B5" i="6"/>
  <c r="I4" i="6"/>
  <c r="AE4" i="5"/>
  <c r="L4" i="5"/>
  <c r="E5" i="4"/>
  <c r="D19" i="3"/>
  <c r="B15" i="3"/>
  <c r="B11" i="3"/>
  <c r="B7" i="3"/>
  <c r="A494" i="1"/>
  <c r="C488" i="1"/>
  <c r="B483" i="1"/>
  <c r="A478" i="1"/>
  <c r="C472" i="1"/>
  <c r="B467" i="1"/>
  <c r="A462" i="1"/>
  <c r="C456" i="1"/>
  <c r="B451" i="1"/>
  <c r="A446" i="1"/>
  <c r="C440" i="1"/>
  <c r="B435" i="1"/>
  <c r="A430" i="1"/>
  <c r="C424" i="1"/>
  <c r="B419" i="1"/>
  <c r="A414" i="1"/>
  <c r="C408" i="1"/>
  <c r="B403" i="1"/>
  <c r="A398" i="1"/>
  <c r="C392" i="1"/>
  <c r="B387" i="1"/>
  <c r="A382" i="1"/>
  <c r="C376" i="1"/>
  <c r="B371" i="1"/>
  <c r="A366" i="1"/>
  <c r="C360" i="1"/>
  <c r="B355" i="1"/>
  <c r="A350" i="1"/>
  <c r="C344" i="1"/>
  <c r="B339" i="1"/>
  <c r="A334" i="1"/>
  <c r="C328" i="1"/>
  <c r="B323" i="1"/>
  <c r="A318" i="1"/>
  <c r="C312" i="1"/>
  <c r="B307" i="1"/>
  <c r="A302" i="1"/>
  <c r="C296" i="1"/>
  <c r="B291" i="1"/>
  <c r="A286" i="1"/>
  <c r="C280" i="1"/>
  <c r="B275" i="1"/>
  <c r="A270" i="1"/>
  <c r="C264" i="1"/>
  <c r="C259" i="1"/>
  <c r="B255" i="1"/>
  <c r="B251" i="1"/>
  <c r="A247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N5" i="15"/>
  <c r="CI5" i="14"/>
  <c r="CB4" i="14"/>
  <c r="CM4" i="13"/>
  <c r="P5" i="12"/>
  <c r="G4" i="11"/>
  <c r="X5" i="7"/>
  <c r="AG4" i="6"/>
  <c r="H4" i="6"/>
  <c r="Z4" i="5"/>
  <c r="G4" i="5"/>
  <c r="J4" i="4"/>
  <c r="D18" i="3"/>
  <c r="B14" i="3"/>
  <c r="B10" i="3"/>
  <c r="B6" i="3"/>
  <c r="C492" i="1"/>
  <c r="B487" i="1"/>
  <c r="A482" i="1"/>
  <c r="C476" i="1"/>
  <c r="B471" i="1"/>
  <c r="A466" i="1"/>
  <c r="C460" i="1"/>
  <c r="B455" i="1"/>
  <c r="A450" i="1"/>
  <c r="C444" i="1"/>
  <c r="B439" i="1"/>
  <c r="A434" i="1"/>
  <c r="C428" i="1"/>
  <c r="B423" i="1"/>
  <c r="A418" i="1"/>
  <c r="C412" i="1"/>
  <c r="B407" i="1"/>
  <c r="A402" i="1"/>
  <c r="C396" i="1"/>
  <c r="B391" i="1"/>
  <c r="A386" i="1"/>
  <c r="C380" i="1"/>
  <c r="B375" i="1"/>
  <c r="A370" i="1"/>
  <c r="C364" i="1"/>
  <c r="B359" i="1"/>
  <c r="A354" i="1"/>
  <c r="C348" i="1"/>
  <c r="B343" i="1"/>
  <c r="A338" i="1"/>
  <c r="C332" i="1"/>
  <c r="B327" i="1"/>
  <c r="A322" i="1"/>
  <c r="C316" i="1"/>
  <c r="B311" i="1"/>
  <c r="A306" i="1"/>
  <c r="C300" i="1"/>
  <c r="B295" i="1"/>
  <c r="A290" i="1"/>
  <c r="C284" i="1"/>
  <c r="B279" i="1"/>
  <c r="A274" i="1"/>
  <c r="C268" i="1"/>
  <c r="B263" i="1"/>
  <c r="B259" i="1"/>
  <c r="A255" i="1"/>
  <c r="C250" i="1"/>
  <c r="B246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EZ5" i="15"/>
  <c r="BS5" i="14"/>
  <c r="R5" i="13"/>
  <c r="AP4" i="12"/>
  <c r="T4" i="6"/>
  <c r="AG4" i="5"/>
  <c r="I5" i="4"/>
  <c r="C18" i="3"/>
  <c r="A12" i="3"/>
  <c r="C5" i="3"/>
  <c r="A489" i="1"/>
  <c r="B479" i="1"/>
  <c r="A471" i="1"/>
  <c r="A463" i="1"/>
  <c r="B454" i="1"/>
  <c r="B446" i="1"/>
  <c r="C436" i="1"/>
  <c r="B428" i="1"/>
  <c r="B420" i="1"/>
  <c r="C411" i="1"/>
  <c r="C403" i="1"/>
  <c r="A394" i="1"/>
  <c r="C385" i="1"/>
  <c r="C377" i="1"/>
  <c r="A369" i="1"/>
  <c r="A361" i="1"/>
  <c r="B351" i="1"/>
  <c r="A343" i="1"/>
  <c r="A335" i="1"/>
  <c r="B326" i="1"/>
  <c r="B318" i="1"/>
  <c r="C308" i="1"/>
  <c r="B300" i="1"/>
  <c r="B292" i="1"/>
  <c r="C283" i="1"/>
  <c r="C275" i="1"/>
  <c r="A266" i="1"/>
  <c r="C258" i="1"/>
  <c r="B252" i="1"/>
  <c r="B245" i="1"/>
  <c r="A241" i="1"/>
  <c r="B236" i="1"/>
  <c r="A232" i="1"/>
  <c r="A228" i="1"/>
  <c r="C223" i="1"/>
  <c r="C219" i="1"/>
  <c r="A215" i="1"/>
  <c r="C210" i="1"/>
  <c r="C206" i="1"/>
  <c r="B202" i="1"/>
  <c r="B198" i="1"/>
  <c r="C193" i="1"/>
  <c r="B189" i="1"/>
  <c r="B185" i="1"/>
  <c r="A181" i="1"/>
  <c r="A177" i="1"/>
  <c r="B172" i="1"/>
  <c r="A168" i="1"/>
  <c r="A164" i="1"/>
  <c r="C159" i="1"/>
  <c r="C155" i="1"/>
  <c r="A151" i="1"/>
  <c r="C146" i="1"/>
  <c r="C142" i="1"/>
  <c r="B138" i="1"/>
  <c r="B134" i="1"/>
  <c r="C129" i="1"/>
  <c r="B125" i="1"/>
  <c r="B121" i="1"/>
  <c r="A117" i="1"/>
  <c r="A113" i="1"/>
  <c r="B108" i="1"/>
  <c r="A104" i="1"/>
  <c r="A100" i="1"/>
  <c r="C95" i="1"/>
  <c r="C91" i="1"/>
  <c r="A87" i="1"/>
  <c r="C82" i="1"/>
  <c r="A79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18" i="1"/>
  <c r="A8" i="1"/>
  <c r="C483" i="1"/>
  <c r="B406" i="1"/>
  <c r="B372" i="1"/>
  <c r="C355" i="1"/>
  <c r="A313" i="1"/>
  <c r="A287" i="1"/>
  <c r="B261" i="1"/>
  <c r="B229" i="1"/>
  <c r="B212" i="1"/>
  <c r="C186" i="1"/>
  <c r="B174" i="1"/>
  <c r="A153" i="1"/>
  <c r="A144" i="1"/>
  <c r="C118" i="1"/>
  <c r="A93" i="1"/>
  <c r="C68" i="1"/>
  <c r="A50" i="1"/>
  <c r="A26" i="1"/>
  <c r="B7" i="1"/>
  <c r="EJ5" i="15"/>
  <c r="BK5" i="14"/>
  <c r="J5" i="13"/>
  <c r="B4" i="12"/>
  <c r="P5" i="7"/>
  <c r="Q4" i="6"/>
  <c r="Y4" i="5"/>
  <c r="H5" i="4"/>
  <c r="D17" i="3"/>
  <c r="C11" i="3"/>
  <c r="B4" i="3"/>
  <c r="A487" i="1"/>
  <c r="A479" i="1"/>
  <c r="B470" i="1"/>
  <c r="B462" i="1"/>
  <c r="C452" i="1"/>
  <c r="B444" i="1"/>
  <c r="B436" i="1"/>
  <c r="C427" i="1"/>
  <c r="C419" i="1"/>
  <c r="A410" i="1"/>
  <c r="C401" i="1"/>
  <c r="C393" i="1"/>
  <c r="A385" i="1"/>
  <c r="A377" i="1"/>
  <c r="B367" i="1"/>
  <c r="A359" i="1"/>
  <c r="A351" i="1"/>
  <c r="B342" i="1"/>
  <c r="B334" i="1"/>
  <c r="C324" i="1"/>
  <c r="B316" i="1"/>
  <c r="B308" i="1"/>
  <c r="C299" i="1"/>
  <c r="C291" i="1"/>
  <c r="A282" i="1"/>
  <c r="C273" i="1"/>
  <c r="C265" i="1"/>
  <c r="A258" i="1"/>
  <c r="C251" i="1"/>
  <c r="C244" i="1"/>
  <c r="A240" i="1"/>
  <c r="A236" i="1"/>
  <c r="C231" i="1"/>
  <c r="C227" i="1"/>
  <c r="A223" i="1"/>
  <c r="C218" i="1"/>
  <c r="C214" i="1"/>
  <c r="B210" i="1"/>
  <c r="B206" i="1"/>
  <c r="C201" i="1"/>
  <c r="B197" i="1"/>
  <c r="B193" i="1"/>
  <c r="A189" i="1"/>
  <c r="A185" i="1"/>
  <c r="B180" i="1"/>
  <c r="A176" i="1"/>
  <c r="A172" i="1"/>
  <c r="C167" i="1"/>
  <c r="C163" i="1"/>
  <c r="A159" i="1"/>
  <c r="C154" i="1"/>
  <c r="C150" i="1"/>
  <c r="B146" i="1"/>
  <c r="B142" i="1"/>
  <c r="C137" i="1"/>
  <c r="B133" i="1"/>
  <c r="B129" i="1"/>
  <c r="A125" i="1"/>
  <c r="A121" i="1"/>
  <c r="B116" i="1"/>
  <c r="A112" i="1"/>
  <c r="A108" i="1"/>
  <c r="C103" i="1"/>
  <c r="C99" i="1"/>
  <c r="A95" i="1"/>
  <c r="C90" i="1"/>
  <c r="C86" i="1"/>
  <c r="B82" i="1"/>
  <c r="C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16" i="1"/>
  <c r="B5" i="1"/>
  <c r="A474" i="1"/>
  <c r="A423" i="1"/>
  <c r="B380" i="1"/>
  <c r="C329" i="1"/>
  <c r="B278" i="1"/>
  <c r="B238" i="1"/>
  <c r="A217" i="1"/>
  <c r="C182" i="1"/>
  <c r="B148" i="1"/>
  <c r="C122" i="1"/>
  <c r="B97" i="1"/>
  <c r="A77" i="1"/>
  <c r="B63" i="1"/>
  <c r="B47" i="1"/>
  <c r="C28" i="1"/>
  <c r="A18" i="1"/>
  <c r="EB5" i="15"/>
  <c r="W5" i="14"/>
  <c r="BW4" i="13"/>
  <c r="AB5" i="11"/>
  <c r="K5" i="7"/>
  <c r="P4" i="6"/>
  <c r="V4" i="5"/>
  <c r="F5" i="4"/>
  <c r="C16" i="3"/>
  <c r="A10" i="3"/>
  <c r="A4" i="3"/>
  <c r="B486" i="1"/>
  <c r="B478" i="1"/>
  <c r="C468" i="1"/>
  <c r="B460" i="1"/>
  <c r="B452" i="1"/>
  <c r="C443" i="1"/>
  <c r="C435" i="1"/>
  <c r="A426" i="1"/>
  <c r="C417" i="1"/>
  <c r="C409" i="1"/>
  <c r="A401" i="1"/>
  <c r="A393" i="1"/>
  <c r="B383" i="1"/>
  <c r="A375" i="1"/>
  <c r="A367" i="1"/>
  <c r="B358" i="1"/>
  <c r="B350" i="1"/>
  <c r="C340" i="1"/>
  <c r="B332" i="1"/>
  <c r="B324" i="1"/>
  <c r="C315" i="1"/>
  <c r="C307" i="1"/>
  <c r="A298" i="1"/>
  <c r="C289" i="1"/>
  <c r="C281" i="1"/>
  <c r="A273" i="1"/>
  <c r="A265" i="1"/>
  <c r="A257" i="1"/>
  <c r="A250" i="1"/>
  <c r="B244" i="1"/>
  <c r="C239" i="1"/>
  <c r="C235" i="1"/>
  <c r="A231" i="1"/>
  <c r="C226" i="1"/>
  <c r="C222" i="1"/>
  <c r="B218" i="1"/>
  <c r="B214" i="1"/>
  <c r="C209" i="1"/>
  <c r="B205" i="1"/>
  <c r="B201" i="1"/>
  <c r="A197" i="1"/>
  <c r="A193" i="1"/>
  <c r="B188" i="1"/>
  <c r="A184" i="1"/>
  <c r="A180" i="1"/>
  <c r="C175" i="1"/>
  <c r="C171" i="1"/>
  <c r="A167" i="1"/>
  <c r="C162" i="1"/>
  <c r="C158" i="1"/>
  <c r="B154" i="1"/>
  <c r="B150" i="1"/>
  <c r="C145" i="1"/>
  <c r="B141" i="1"/>
  <c r="B137" i="1"/>
  <c r="A133" i="1"/>
  <c r="A129" i="1"/>
  <c r="B124" i="1"/>
  <c r="A120" i="1"/>
  <c r="A116" i="1"/>
  <c r="C111" i="1"/>
  <c r="C107" i="1"/>
  <c r="A103" i="1"/>
  <c r="C98" i="1"/>
  <c r="C94" i="1"/>
  <c r="B90" i="1"/>
  <c r="B86" i="1"/>
  <c r="C81" i="1"/>
  <c r="B78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10" i="1"/>
  <c r="A8" i="3"/>
  <c r="C337" i="1"/>
  <c r="A248" i="1"/>
  <c r="A204" i="1"/>
  <c r="B165" i="1"/>
  <c r="A127" i="1"/>
  <c r="B84" i="1"/>
  <c r="C60" i="1"/>
  <c r="A42" i="1"/>
  <c r="B15" i="1"/>
  <c r="BX5" i="15"/>
  <c r="G5" i="14"/>
  <c r="BO4" i="13"/>
  <c r="T5" i="11"/>
  <c r="S4" i="7"/>
  <c r="F4" i="6"/>
  <c r="Q4" i="5"/>
  <c r="I4" i="4"/>
  <c r="B16" i="3"/>
  <c r="C9" i="3"/>
  <c r="B494" i="1"/>
  <c r="C484" i="1"/>
  <c r="B476" i="1"/>
  <c r="B468" i="1"/>
  <c r="C459" i="1"/>
  <c r="C451" i="1"/>
  <c r="A442" i="1"/>
  <c r="C433" i="1"/>
  <c r="C425" i="1"/>
  <c r="A417" i="1"/>
  <c r="A409" i="1"/>
  <c r="B399" i="1"/>
  <c r="A391" i="1"/>
  <c r="A383" i="1"/>
  <c r="B374" i="1"/>
  <c r="B366" i="1"/>
  <c r="C356" i="1"/>
  <c r="B348" i="1"/>
  <c r="B340" i="1"/>
  <c r="C331" i="1"/>
  <c r="C323" i="1"/>
  <c r="A314" i="1"/>
  <c r="C305" i="1"/>
  <c r="C297" i="1"/>
  <c r="A289" i="1"/>
  <c r="A281" i="1"/>
  <c r="B271" i="1"/>
  <c r="A263" i="1"/>
  <c r="C256" i="1"/>
  <c r="C249" i="1"/>
  <c r="C243" i="1"/>
  <c r="A239" i="1"/>
  <c r="C234" i="1"/>
  <c r="C230" i="1"/>
  <c r="B226" i="1"/>
  <c r="B222" i="1"/>
  <c r="C217" i="1"/>
  <c r="B213" i="1"/>
  <c r="B209" i="1"/>
  <c r="A205" i="1"/>
  <c r="A201" i="1"/>
  <c r="B196" i="1"/>
  <c r="A192" i="1"/>
  <c r="A188" i="1"/>
  <c r="C183" i="1"/>
  <c r="C179" i="1"/>
  <c r="A175" i="1"/>
  <c r="C170" i="1"/>
  <c r="C166" i="1"/>
  <c r="B162" i="1"/>
  <c r="B158" i="1"/>
  <c r="C153" i="1"/>
  <c r="B149" i="1"/>
  <c r="B145" i="1"/>
  <c r="A141" i="1"/>
  <c r="A137" i="1"/>
  <c r="B132" i="1"/>
  <c r="A128" i="1"/>
  <c r="A124" i="1"/>
  <c r="C119" i="1"/>
  <c r="C115" i="1"/>
  <c r="A111" i="1"/>
  <c r="C106" i="1"/>
  <c r="C102" i="1"/>
  <c r="B98" i="1"/>
  <c r="B94" i="1"/>
  <c r="C89" i="1"/>
  <c r="B85" i="1"/>
  <c r="B81" i="1"/>
  <c r="A78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B13" i="1"/>
  <c r="C491" i="1"/>
  <c r="C465" i="1"/>
  <c r="C457" i="1"/>
  <c r="A449" i="1"/>
  <c r="B431" i="1"/>
  <c r="A415" i="1"/>
  <c r="B398" i="1"/>
  <c r="C363" i="1"/>
  <c r="A321" i="1"/>
  <c r="A295" i="1"/>
  <c r="B270" i="1"/>
  <c r="B242" i="1"/>
  <c r="A221" i="1"/>
  <c r="A191" i="1"/>
  <c r="B161" i="1"/>
  <c r="C135" i="1"/>
  <c r="B110" i="1"/>
  <c r="A74" i="1"/>
  <c r="C52" i="1"/>
  <c r="A34" i="1"/>
  <c r="A10" i="1"/>
  <c r="BP5" i="15"/>
  <c r="DP4" i="14"/>
  <c r="AA4" i="13"/>
  <c r="Q4" i="10"/>
  <c r="K4" i="7"/>
  <c r="D4" i="6"/>
  <c r="O4" i="5"/>
  <c r="G4" i="4"/>
  <c r="C15" i="3"/>
  <c r="B8" i="3"/>
  <c r="B492" i="1"/>
  <c r="B484" i="1"/>
  <c r="C475" i="1"/>
  <c r="C467" i="1"/>
  <c r="A458" i="1"/>
  <c r="C449" i="1"/>
  <c r="C441" i="1"/>
  <c r="A433" i="1"/>
  <c r="A425" i="1"/>
  <c r="B415" i="1"/>
  <c r="A407" i="1"/>
  <c r="A399" i="1"/>
  <c r="B390" i="1"/>
  <c r="B382" i="1"/>
  <c r="C372" i="1"/>
  <c r="B364" i="1"/>
  <c r="B356" i="1"/>
  <c r="C347" i="1"/>
  <c r="C339" i="1"/>
  <c r="A330" i="1"/>
  <c r="C321" i="1"/>
  <c r="C313" i="1"/>
  <c r="A305" i="1"/>
  <c r="A297" i="1"/>
  <c r="B287" i="1"/>
  <c r="A279" i="1"/>
  <c r="A271" i="1"/>
  <c r="B262" i="1"/>
  <c r="A256" i="1"/>
  <c r="C248" i="1"/>
  <c r="C242" i="1"/>
  <c r="C238" i="1"/>
  <c r="B234" i="1"/>
  <c r="B230" i="1"/>
  <c r="C225" i="1"/>
  <c r="B221" i="1"/>
  <c r="B217" i="1"/>
  <c r="A213" i="1"/>
  <c r="A209" i="1"/>
  <c r="B204" i="1"/>
  <c r="A200" i="1"/>
  <c r="A196" i="1"/>
  <c r="C191" i="1"/>
  <c r="C187" i="1"/>
  <c r="A183" i="1"/>
  <c r="C178" i="1"/>
  <c r="C174" i="1"/>
  <c r="B170" i="1"/>
  <c r="B166" i="1"/>
  <c r="C161" i="1"/>
  <c r="B157" i="1"/>
  <c r="B153" i="1"/>
  <c r="A149" i="1"/>
  <c r="A145" i="1"/>
  <c r="B140" i="1"/>
  <c r="A136" i="1"/>
  <c r="A132" i="1"/>
  <c r="C127" i="1"/>
  <c r="C123" i="1"/>
  <c r="A119" i="1"/>
  <c r="C114" i="1"/>
  <c r="C110" i="1"/>
  <c r="B106" i="1"/>
  <c r="B102" i="1"/>
  <c r="C97" i="1"/>
  <c r="B93" i="1"/>
  <c r="B89" i="1"/>
  <c r="A85" i="1"/>
  <c r="A81" i="1"/>
  <c r="B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14" i="3"/>
  <c r="C388" i="1"/>
  <c r="A346" i="1"/>
  <c r="B303" i="1"/>
  <c r="B254" i="1"/>
  <c r="B225" i="1"/>
  <c r="A208" i="1"/>
  <c r="C195" i="1"/>
  <c r="B178" i="1"/>
  <c r="A157" i="1"/>
  <c r="A140" i="1"/>
  <c r="B114" i="1"/>
  <c r="A89" i="1"/>
  <c r="B71" i="1"/>
  <c r="B55" i="1"/>
  <c r="C36" i="1"/>
  <c r="C12" i="1"/>
  <c r="AB5" i="15"/>
  <c r="BL4" i="14"/>
  <c r="K4" i="13"/>
  <c r="I4" i="10"/>
  <c r="F4" i="7"/>
  <c r="M4" i="5"/>
  <c r="L5" i="15"/>
  <c r="BD4" i="14"/>
  <c r="C4" i="13"/>
  <c r="P5" i="8"/>
  <c r="AE4" i="6"/>
  <c r="F4" i="5"/>
  <c r="D20" i="3"/>
  <c r="C13" i="3"/>
  <c r="C7" i="3"/>
  <c r="A490" i="1"/>
  <c r="C481" i="1"/>
  <c r="C473" i="1"/>
  <c r="A465" i="1"/>
  <c r="A457" i="1"/>
  <c r="B447" i="1"/>
  <c r="A439" i="1"/>
  <c r="A431" i="1"/>
  <c r="B422" i="1"/>
  <c r="B414" i="1"/>
  <c r="C404" i="1"/>
  <c r="B396" i="1"/>
  <c r="B388" i="1"/>
  <c r="C379" i="1"/>
  <c r="C371" i="1"/>
  <c r="A362" i="1"/>
  <c r="C353" i="1"/>
  <c r="C345" i="1"/>
  <c r="A337" i="1"/>
  <c r="A329" i="1"/>
  <c r="B319" i="1"/>
  <c r="A311" i="1"/>
  <c r="A303" i="1"/>
  <c r="B294" i="1"/>
  <c r="B286" i="1"/>
  <c r="C276" i="1"/>
  <c r="B268" i="1"/>
  <c r="C260" i="1"/>
  <c r="A254" i="1"/>
  <c r="B247" i="1"/>
  <c r="C241" i="1"/>
  <c r="B237" i="1"/>
  <c r="B233" i="1"/>
  <c r="A229" i="1"/>
  <c r="A225" i="1"/>
  <c r="B220" i="1"/>
  <c r="A216" i="1"/>
  <c r="A212" i="1"/>
  <c r="C207" i="1"/>
  <c r="C203" i="1"/>
  <c r="A199" i="1"/>
  <c r="C194" i="1"/>
  <c r="C190" i="1"/>
  <c r="B186" i="1"/>
  <c r="B182" i="1"/>
  <c r="C177" i="1"/>
  <c r="B173" i="1"/>
  <c r="B169" i="1"/>
  <c r="A165" i="1"/>
  <c r="A161" i="1"/>
  <c r="B156" i="1"/>
  <c r="A152" i="1"/>
  <c r="A148" i="1"/>
  <c r="C143" i="1"/>
  <c r="C139" i="1"/>
  <c r="A135" i="1"/>
  <c r="C130" i="1"/>
  <c r="C126" i="1"/>
  <c r="B122" i="1"/>
  <c r="B118" i="1"/>
  <c r="C113" i="1"/>
  <c r="B109" i="1"/>
  <c r="B105" i="1"/>
  <c r="A101" i="1"/>
  <c r="A97" i="1"/>
  <c r="B92" i="1"/>
  <c r="A88" i="1"/>
  <c r="A84" i="1"/>
  <c r="A80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105" i="1"/>
  <c r="A58" i="1"/>
  <c r="B39" i="1"/>
  <c r="C20" i="1"/>
  <c r="D5" i="15"/>
  <c r="P4" i="14"/>
  <c r="AX4" i="12"/>
  <c r="E4" i="8"/>
  <c r="AB4" i="6"/>
  <c r="C5" i="5"/>
  <c r="D4" i="5"/>
  <c r="B20" i="3"/>
  <c r="B12" i="3"/>
  <c r="A6" i="3"/>
  <c r="C489" i="1"/>
  <c r="A481" i="1"/>
  <c r="A473" i="1"/>
  <c r="B463" i="1"/>
  <c r="A455" i="1"/>
  <c r="A447" i="1"/>
  <c r="B438" i="1"/>
  <c r="B430" i="1"/>
  <c r="C420" i="1"/>
  <c r="B412" i="1"/>
  <c r="B404" i="1"/>
  <c r="C395" i="1"/>
  <c r="C387" i="1"/>
  <c r="A378" i="1"/>
  <c r="C369" i="1"/>
  <c r="C361" i="1"/>
  <c r="A353" i="1"/>
  <c r="A345" i="1"/>
  <c r="B335" i="1"/>
  <c r="A327" i="1"/>
  <c r="A319" i="1"/>
  <c r="B310" i="1"/>
  <c r="B302" i="1"/>
  <c r="C292" i="1"/>
  <c r="B284" i="1"/>
  <c r="B276" i="1"/>
  <c r="C267" i="1"/>
  <c r="B260" i="1"/>
  <c r="C252" i="1"/>
  <c r="A246" i="1"/>
  <c r="B241" i="1"/>
  <c r="A237" i="1"/>
  <c r="A233" i="1"/>
  <c r="B228" i="1"/>
  <c r="A224" i="1"/>
  <c r="A220" i="1"/>
  <c r="C215" i="1"/>
  <c r="C211" i="1"/>
  <c r="A207" i="1"/>
  <c r="C202" i="1"/>
  <c r="C198" i="1"/>
  <c r="B194" i="1"/>
  <c r="B190" i="1"/>
  <c r="C185" i="1"/>
  <c r="B181" i="1"/>
  <c r="B177" i="1"/>
  <c r="A173" i="1"/>
  <c r="A169" i="1"/>
  <c r="B164" i="1"/>
  <c r="A160" i="1"/>
  <c r="A156" i="1"/>
  <c r="C151" i="1"/>
  <c r="C147" i="1"/>
  <c r="A143" i="1"/>
  <c r="C138" i="1"/>
  <c r="C134" i="1"/>
  <c r="B130" i="1"/>
  <c r="B126" i="1"/>
  <c r="C121" i="1"/>
  <c r="B117" i="1"/>
  <c r="B113" i="1"/>
  <c r="A109" i="1"/>
  <c r="A105" i="1"/>
  <c r="B100" i="1"/>
  <c r="A96" i="1"/>
  <c r="A92" i="1"/>
  <c r="C87" i="1"/>
  <c r="C83" i="1"/>
  <c r="C79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441" i="1"/>
  <c r="C233" i="1"/>
  <c r="C199" i="1"/>
  <c r="C169" i="1"/>
  <c r="C131" i="1"/>
  <c r="B101" i="1"/>
  <c r="C80" i="1"/>
  <c r="A66" i="1"/>
  <c r="C44" i="1"/>
  <c r="B31" i="1"/>
  <c r="B23" i="1"/>
  <c r="C4" i="1"/>
  <c r="J2" i="9" l="1"/>
  <c r="J2" i="8"/>
  <c r="J2" i="16"/>
  <c r="J2" i="15"/>
  <c r="J2" i="11"/>
  <c r="J2" i="14"/>
  <c r="J2" i="12"/>
  <c r="J2" i="13"/>
  <c r="J2" i="7"/>
  <c r="J2" i="10"/>
  <c r="J2" i="6"/>
  <c r="J2" i="5"/>
  <c r="J2" i="4"/>
</calcChain>
</file>

<file path=xl/sharedStrings.xml><?xml version="1.0" encoding="utf-8"?>
<sst xmlns="http://schemas.openxmlformats.org/spreadsheetml/2006/main" count="301" uniqueCount="72">
  <si>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</si>
  <si>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</si>
  <si>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</si>
  <si>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</si>
  <si>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</si>
  <si>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</si>
  <si>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</si>
  <si>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</si>
  <si>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</si>
  <si>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</si>
  <si>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</si>
  <si>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</si>
  <si>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</si>
  <si>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</si>
  <si>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</si>
  <si>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</si>
  <si>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</si>
  <si>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</si>
  <si>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</si>
  <si>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</si>
  <si>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</si>
  <si>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</si>
  <si>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</si>
  <si>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</si>
  <si>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</si>
  <si>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</si>
  <si>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</si>
  <si>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</si>
  <si>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</si>
  <si>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Increase</t>
  </si>
  <si>
    <t>Percentage</t>
  </si>
  <si>
    <t>No</t>
  </si>
  <si>
    <t>TradePTT</t>
  </si>
  <si>
    <t>Blotter</t>
  </si>
  <si>
    <t>VerifyOrder</t>
  </si>
  <si>
    <t>AAPL US EQUITY</t>
  </si>
  <si>
    <t>NASDAQ</t>
  </si>
  <si>
    <t>jpearce</t>
  </si>
  <si>
    <t>GCCAP1</t>
  </si>
  <si>
    <t>NONE</t>
  </si>
  <si>
    <t>NewMF</t>
  </si>
  <si>
    <t>M</t>
  </si>
  <si>
    <t>Equity</t>
  </si>
  <si>
    <t>Filled</t>
  </si>
  <si>
    <t>MS</t>
  </si>
  <si>
    <t>Market</t>
  </si>
  <si>
    <t>Manual</t>
  </si>
  <si>
    <t>DefaultNotes</t>
  </si>
  <si>
    <t>None</t>
  </si>
  <si>
    <t>Allocation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</si>
  <si>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</si>
  <si>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</si>
  <si>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</si>
  <si>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</si>
  <si>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</si>
  <si>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</si>
  <si>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</si>
  <si>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</si>
  <si>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</si>
  <si>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</si>
  <si>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</si>
  <si>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</si>
  <si>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BrokerNotes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</si>
  <si>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</si>
  <si>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</si>
  <si>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</si>
  <si>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</si>
  <si>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</si>
  <si>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</si>
  <si>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</si>
  <si>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</si>
  <si>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VerifyPTT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</si>
</sst>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\ AM/PM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63238"/>
      <name val="Roboto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0" borderId="0" xfId="0" applyFont="1" applyAlignment="1">
      <alignment horizontal="left"/>
    </xf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4" borderId="0" xfId="0" applyFont="1" applyFill="1" applyAlignment="1"/>
    <xf numFmtId="0" fontId="13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1" fillId="5" borderId="0" xfId="0" applyFont="1" applyFill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14" fontId="14" fillId="6" borderId="0" xfId="0" applyNumberFormat="1" applyFont="1" applyFill="1"/>
    <xf numFmtId="0" fontId="5" fillId="0" borderId="0" xfId="0" applyFont="1" applyAlignment="1"/>
    <xf numFmtId="0" fontId="5" fillId="0" borderId="0" xfId="0" applyFont="1" applyAlignment="1"/>
    <xf numFmtId="0" fontId="5" fillId="0" borderId="5" xfId="0" applyFont="1" applyBorder="1" applyAlignment="1"/>
    <xf numFmtId="164" fontId="2" fillId="0" borderId="0" xfId="0" applyNumberFormat="1" applyFont="1" applyAlignment="1"/>
    <xf numFmtId="14" fontId="2" fillId="0" borderId="0" xfId="0" applyNumberFormat="1" applyFont="1"/>
    <xf numFmtId="14" fontId="2" fillId="0" borderId="0" xfId="0" applyNumberFormat="1" applyFont="1" applyAlignme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E24" sqref="E24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2" t="s">
        <v>0</v>
      </c>
      <c r="B1" s="43"/>
      <c r="C1" s="43"/>
      <c r="D1" s="43"/>
      <c r="E1" s="43"/>
      <c r="F1" s="44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IFERROR(__xludf.DUMMYFUNCTION("""COMPUTED_VALUE"""),"ExeExecutor")</f>
        <v>ExeExecutor</v>
      </c>
      <c r="B491" t="str">
        <f ca="1">IFERROR(__xludf.DUMMYFUNCTION("""COMPUTED_VALUE"""),"CallExeExecutor")</f>
        <v>CallExeExecutor</v>
      </c>
      <c r="C491" t="str">
        <f ca="1">IFERROR(__xludf.DUMMYFUNCTION("""COMPUTED_VALUE"""),"1hwFwcZT2KkLMWXu0X968AjDc83QETRSutmtdbAtWjRQ")</f>
        <v>1hwFwcZT2KkLMWXu0X968AjDc83QETRSutmtdbAtWjRQ</v>
      </c>
    </row>
    <row r="492" spans="1:3" ht="15.75" customHeight="1">
      <c r="A492" t="str">
        <f ca="1">IFERROR(__xludf.DUMMYFUNCTION("""COMPUTED_VALUE"""),"TradingTicket")</f>
        <v>TradingTicket</v>
      </c>
      <c r="B492" t="str">
        <f ca="1">IFERROR(__xludf.DUMMYFUNCTION("""COMPUTED_VALUE"""),"ToggleBlombergOnRA")</f>
        <v>ToggleBlombergOnRA</v>
      </c>
      <c r="C492" t="str">
        <f ca="1">IFERROR(__xludf.DUMMYFUNCTION("""COMPUTED_VALUE"""),"1TNk3Ts3tA51Oj9qjpTVY3IDwk0Ro78g-6ZmRMY4-lHk")</f>
        <v>1TNk3Ts3tA51Oj9qjpTVY3IDwk0Ro78g-6ZmRMY4-lHk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IFERROR(__xludf.DUMMYFUNCTION("""COMPUTED_VALUE"""),"RemoveManualExecution")</f>
        <v>RemoveManualExecution</v>
      </c>
      <c r="C493" t="str">
        <f ca="1">IFERROR(__xludf.DUMMYFUNCTION("""COMPUTED_VALUE"""),"1jbkbbKX6sldAF_Pk73xVZ1gvRS_q8eEl9NbS6SSiFi8")</f>
        <v>1jbkbbKX6sldAF_Pk73xVZ1gvRS_q8eEl9NbS6SSiFi8</v>
      </c>
    </row>
    <row r="494" spans="1:3" ht="15.75" customHeight="1">
      <c r="A494" t="str">
        <f ca="1">IFERROR(__xludf.DUMMYFUNCTION("""COMPUTED_VALUE"""),"Blotter")</f>
        <v>Blotter</v>
      </c>
      <c r="B494" t="str">
        <f ca="1">IFERROR(__xludf.DUMMYFUNCTION("""COMPUTED_VALUE"""),"RemoveExecutionWorkingSubs")</f>
        <v>RemoveExecutionWorkingSubs</v>
      </c>
      <c r="C494" t="str">
        <f ca="1">IFERROR(__xludf.DUMMYFUNCTION("""COMPUTED_VALUE"""),"1xhQkfgYxnBj3SaiVD_XZo7TN5gmMtEEUIk-KMtc-Cug")</f>
        <v>1xhQkfgYxnBj3SaiVD_XZo7TN5gmMtEEUIk-KMtc-Cug</v>
      </c>
    </row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5" t="s">
        <v>2</v>
      </c>
      <c r="B1" s="43"/>
      <c r="C1" s="44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2" t="s">
        <v>7</v>
      </c>
      <c r="B1" s="43"/>
      <c r="C1" s="43"/>
      <c r="D1" s="43"/>
      <c r="E1" s="43"/>
      <c r="F1" s="4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IFERROR(__xludf.DUMMYFUNCTION("""COMPUTED_VALUE"""),"OverSellTradingRule")</f>
        <v>OverSellTradingRule</v>
      </c>
      <c r="C5" s="23" t="str">
        <f ca="1">IFERROR(__xludf.DUMMYFUNCTION("""COMPUTED_VALUE"""),"OverBuyTradingRule")</f>
        <v>OverBuyTradingRule</v>
      </c>
      <c r="D5" s="23" t="str">
        <f ca="1">IFERROR(__xludf.DUMMYFUNCTION("""COMPUTED_VALUE"""),"FatFingerTradingRule")</f>
        <v>FatFingerTradingRule</v>
      </c>
      <c r="E5" s="23" t="str">
        <f ca="1">IFERROR(__xludf.DUMMYFUNCTION("""COMPUTED_VALUE"""),"UnallocatedTradeAlert")</f>
        <v>UnallocatedTradeAlert</v>
      </c>
      <c r="F5" s="24" t="str">
        <f ca="1">IFERROR(__xludf.DUMMYFUNCTION("""COMPUTED_VALUE"""),"DuplicateTradeAlert")</f>
        <v>DuplicateTradeAlert</v>
      </c>
      <c r="G5" s="23" t="str">
        <f ca="1">IFERROR(__xludf.DUMMYFUNCTION("""COMPUTED_VALUE"""),"PendingNewOrderAlert")</f>
        <v>PendingNewOrderAlert</v>
      </c>
      <c r="H5" s="23" t="str">
        <f ca="1">IFERROR(__xludf.DUMMYFUNCTION("""COMPUTED_VALUE"""),"FatFingerPercent")</f>
        <v>FatFingerPercent</v>
      </c>
      <c r="I5" s="23" t="str">
        <f ca="1">IFERROR(__xludf.DUMMYFUNCTION("""COMPUTED_VALUE"""),"DuplicateTradeAlertTime")</f>
        <v>DuplicateTradeAlertTime</v>
      </c>
      <c r="J5" s="23" t="str">
        <f ca="1">IFERROR(__xludf.DUMMYFUNCTION("""COMPUTED_VALUE"""),"PendingNewOrderAlertTime")</f>
        <v>PendingNewOrderAlertTime</v>
      </c>
      <c r="K5" s="23" t="str">
        <f ca="1">IFERROR(__xludf.DUMMYFUNCTION("""COMPUTED_VALUE"""),"FatFingerAccountOrMasterFund")</f>
        <v>FatFingerAccountOrMasterFund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26" t="b">
        <v>1</v>
      </c>
      <c r="E6" s="27"/>
      <c r="F6" s="27"/>
      <c r="G6" s="27"/>
      <c r="H6" s="28">
        <v>10</v>
      </c>
      <c r="I6" s="5"/>
      <c r="J6" s="5"/>
      <c r="K6" s="9" t="s">
        <v>16</v>
      </c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Date")</f>
        <v>Select Date</v>
      </c>
      <c r="C5" s="23" t="str">
        <f ca="1">IFERROR(__xludf.DUMMYFUNCTION("""COMPUTED_VALUE"""),"Copy From")</f>
        <v>Copy From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9">
        <f t="shared" ref="B6:C6" ca="1" si="0">TODAY()-1</f>
        <v>44411</v>
      </c>
      <c r="C6" s="29">
        <f t="shared" ca="1" si="0"/>
        <v>44411</v>
      </c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IFERROR(__xludf.DUMMYFUNCTION("""COMPUTED_VALUE"""),"Local Currency")</f>
        <v>Local Currency</v>
      </c>
      <c r="D5" s="23" t="str">
        <f ca="1">IFERROR(__xludf.DUMMYFUNCTION("""COMPUTED_VALUE"""),"Cash Value Local")</f>
        <v>Cash Value Local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1" t="s">
        <v>20</v>
      </c>
      <c r="C6" s="32" t="s">
        <v>21</v>
      </c>
      <c r="D6" s="33">
        <v>300000</v>
      </c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22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24</v>
      </c>
      <c r="C6" s="9" t="s">
        <v>25</v>
      </c>
      <c r="D6" s="9">
        <v>100</v>
      </c>
      <c r="E6" s="9">
        <v>100</v>
      </c>
      <c r="F6" s="9" t="s">
        <v>20</v>
      </c>
      <c r="G6" s="5"/>
      <c r="H6" s="5"/>
      <c r="I6" s="5"/>
      <c r="J6" s="9">
        <v>10</v>
      </c>
      <c r="K6" s="5"/>
      <c r="L6" s="5"/>
      <c r="M6" s="5"/>
      <c r="N6" s="34">
        <f ca="1">TODAY()</f>
        <v>44412</v>
      </c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26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IFERROR(__xludf.DUMMYFUNCTION("IF(C3="""","""",Transpose(IMPORTRANGE('_Settings'!$B$3,C3&amp;""!A4:A1000"")))"),"PricingInput")</f>
        <v>PricingInput</v>
      </c>
      <c r="C4" s="20" t="str">
        <f ca="1">IFERROR(__xludf.DUMMYFUNCTION("""COMPUTED_VALUE"""),"UpdateSharesOutstanding")</f>
        <v>UpdateSharesOutstanding</v>
      </c>
      <c r="D4" s="20" t="str">
        <f ca="1">IFERROR(__xludf.DUMMYFUNCTION("""COMPUTED_VALUE"""),"EODTPreferences")</f>
        <v>EODTPreferences</v>
      </c>
      <c r="E4" s="20" t="str">
        <f ca="1">IFERROR(__xludf.DUMMYFUNCTION("""COMPUTED_VALUE"""),"LiveData")</f>
        <v>LiveData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IFERROR(__xludf.DUMMYFUNCTION("""COMPUTED_VALUE"""),"User Px")</f>
        <v>User Px</v>
      </c>
      <c r="D5" s="23" t="str">
        <f ca="1">IFERROR(__xludf.DUMMYFUNCTION("""COMPUTED_VALUE"""),"Asset Class")</f>
        <v>Asset Class</v>
      </c>
      <c r="E5" s="23" t="str">
        <f ca="1">IFERROR(__xludf.DUMMYFUNCTION("""COMPUTED_VALUE"""),"Volatility(%)")</f>
        <v>Volatility(%)</v>
      </c>
      <c r="F5" s="24" t="str">
        <f ca="1">IFERROR(__xludf.DUMMYFUNCTION("""COMPUTED_VALUE"""),"Historical Volatility")</f>
        <v>Historical Volatility</v>
      </c>
      <c r="G5" s="23" t="str">
        <f ca="1">IFERROR(__xludf.DUMMYFUNCTION("""COMPUTED_VALUE"""),"User Volatility")</f>
        <v>User Volatility</v>
      </c>
      <c r="H5" s="23" t="str">
        <f ca="1">IFERROR(__xludf.DUMMYFUNCTION("""COMPUTED_VALUE"""),"Interest Rate")</f>
        <v>Interest Rate</v>
      </c>
      <c r="I5" s="23" t="str">
        <f ca="1">IFERROR(__xludf.DUMMYFUNCTION("""COMPUTED_VALUE"""),"User Interest Rate")</f>
        <v>User Interest Rate</v>
      </c>
      <c r="J5" s="23" t="str">
        <f ca="1">IFERROR(__xludf.DUMMYFUNCTION("""COMPUTED_VALUE"""),"Dividend Yield")</f>
        <v>Dividend Yield</v>
      </c>
      <c r="K5" s="23" t="str">
        <f ca="1">IFERROR(__xludf.DUMMYFUNCTION("""COMPUTED_VALUE"""),"User Dividend Yield")</f>
        <v>User Dividend Yield</v>
      </c>
      <c r="L5" s="23" t="str">
        <f ca="1">IFERROR(__xludf.DUMMYFUNCTION("""COMPUTED_VALUE"""),"Actual Delta")</f>
        <v>Actual Delta</v>
      </c>
      <c r="M5" s="23" t="str">
        <f ca="1">IFERROR(__xludf.DUMMYFUNCTION("""COMPUTED_VALUE"""),"User Delta")</f>
        <v>User Delta</v>
      </c>
      <c r="N5" s="23" t="str">
        <f ca="1">IFERROR(__xludf.DUMMYFUNCTION("""COMPUTED_VALUE"""),"Selected Px")</f>
        <v>Selected Px</v>
      </c>
      <c r="O5" s="23" t="str">
        <f ca="1">IFERROR(__xludf.DUMMYFUNCTION("""COMPUTED_VALUE"""),"Forward Points")</f>
        <v>Forward Points</v>
      </c>
      <c r="P5" s="23" t="str">
        <f ca="1">IFERROR(__xludf.DUMMYFUNCTION("""COMPUTED_VALUE"""),"Shares Outstanding")</f>
        <v>Shares Outstanding</v>
      </c>
      <c r="Q5" s="23" t="str">
        <f ca="1">IFERROR(__xludf.DUMMYFUNCTION("""COMPUTED_VALUE"""),"User Shares Outstanding")</f>
        <v>User Shares Outstanding</v>
      </c>
      <c r="R5" s="23" t="str">
        <f ca="1">IFERROR(__xludf.DUMMYFUNCTION("""COMPUTED_VALUE"""),"LastPriceUsed")</f>
        <v>LastPriceUsed</v>
      </c>
      <c r="S5" s="23" t="str">
        <f ca="1">IFERROR(__xludf.DUMMYFUNCTION("""COMPUTED_VALUE"""),"VolatilityUsed")</f>
        <v>VolatilityUsed</v>
      </c>
      <c r="T5" s="25" t="str">
        <f ca="1">IFERROR(__xludf.DUMMYFUNCTION("""COMPUTED_VALUE"""),"IntRateUsed")</f>
        <v>IntRateUsed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24</v>
      </c>
      <c r="C6" s="9">
        <v>10</v>
      </c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27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IFERROR(__xludf.DUMMYFUNCTION("IF(C3="""","""",Transpose(IMPORTRANGE('_Settings'!$B$3,C3&amp;""!A4:A1000"")))"),"CalculatePTT")</f>
        <v>CalculatePTT</v>
      </c>
      <c r="C4" s="20" t="str">
        <f ca="1">IFERROR(__xludf.DUMMYFUNCTION("""COMPUTED_VALUE"""),"TradeUsingPTT")</f>
        <v>TradeUsingPTT</v>
      </c>
      <c r="D4" s="20" t="str">
        <f ca="1">IFERROR(__xludf.DUMMYFUNCTION("""COMPUTED_VALUE"""),"StageOrderUsingPTT")</f>
        <v>StageOrderUsingPTT</v>
      </c>
      <c r="E4" s="20" t="str">
        <f ca="1">IFERROR(__xludf.DUMMYFUNCTION("""COMPUTED_VALUE"""),"CreateOrderPTT")</f>
        <v>CreateOrderPTT</v>
      </c>
      <c r="F4" s="20" t="str">
        <f ca="1">IFERROR(__xludf.DUMMYFUNCTION("""COMPUTED_VALUE"""),"TradePTT")</f>
        <v>TradePTT</v>
      </c>
      <c r="G4" s="20" t="str">
        <f ca="1">IFERROR(__xludf.DUMMYFUNCTION("""COMPUTED_VALUE"""),"VerifyPTT")</f>
        <v>VerifyPTT</v>
      </c>
      <c r="H4" s="20" t="str">
        <f ca="1">IFERROR(__xludf.DUMMYFUNCTION("""COMPUTED_VALUE"""),"OpenMultiTTFromPTT")</f>
        <v>OpenMultiTTFromPTT</v>
      </c>
      <c r="I4" s="20" t="str">
        <f ca="1">IFERROR(__xludf.DUMMYFUNCTION("""COMPUTED_VALUE"""),"SelectMultiTT")</f>
        <v>SelectMultiTT</v>
      </c>
      <c r="J4" s="20" t="str">
        <f ca="1">IFERROR(__xludf.DUMMYFUNCTION("""COMPUTED_VALUE"""),"EditMultiTT")</f>
        <v>EditMultiTT</v>
      </c>
      <c r="K4" s="20" t="str">
        <f ca="1">IFERROR(__xludf.DUMMYFUNCTION("""COMPUTED_VALUE"""),"SetAccountFactor")</f>
        <v>SetAccountFactor</v>
      </c>
      <c r="L4" s="20" t="str">
        <f ca="1">IFERROR(__xludf.DUMMYFUNCTION("""COMPUTED_VALUE"""),"SetPTTPreference")</f>
        <v>SetPTTPreference</v>
      </c>
      <c r="M4" s="20" t="str">
        <f ca="1">IFERROR(__xludf.DUMMYFUNCTION("""COMPUTED_VALUE"""),"SetLongShortPTTPreference")</f>
        <v>SetLongShortPTTPreference</v>
      </c>
      <c r="N4" s="20" t="str">
        <f ca="1">IFERROR(__xludf.DUMMYFUNCTION("""COMPUTED_VALUE"""),"SelectPTTRecord")</f>
        <v>SelectPTTRecord</v>
      </c>
      <c r="O4" s="20" t="str">
        <f ca="1">IFERROR(__xludf.DUMMYFUNCTION("""COMPUTED_VALUE"""),"EditPTTRecord")</f>
        <v>EditPTTRecord</v>
      </c>
      <c r="P4" s="21" t="str">
        <f ca="1">IFERROR(__xludf.DUMMYFUNCTION("""COMPUTED_VALUE"""),"SetDefaultSymbology")</f>
        <v>SetDefaultSymbology</v>
      </c>
      <c r="Q4" s="21" t="str">
        <f ca="1">IFERROR(__xludf.DUMMYFUNCTION("""COMPUTED_VALUE"""),"EditPTTAccountLevelWPF")</f>
        <v>EditPTTAccountLevelWPF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IFERROR(__xludf.DUMMYFUNCTION("""COMPUTED_VALUE"""),"Ticker")</f>
        <v>Ticker</v>
      </c>
      <c r="C5" s="23" t="str">
        <f ca="1">IFERROR(__xludf.DUMMYFUNCTION("""COMPUTED_VALUE"""),"Add/Set")</f>
        <v>Add/Set</v>
      </c>
      <c r="D5" s="23" t="str">
        <f ca="1">IFERROR(__xludf.DUMMYFUNCTION("""COMPUTED_VALUE"""),"Type")</f>
        <v>Type</v>
      </c>
      <c r="E5" s="23" t="str">
        <f ca="1">IFERROR(__xludf.DUMMYFUNCTION("""COMPUTED_VALUE"""),"Target")</f>
        <v>Target</v>
      </c>
      <c r="F5" s="24" t="str">
        <f ca="1">IFERROR(__xludf.DUMMYFUNCTION("""COMPUTED_VALUE"""),"Price")</f>
        <v>Price</v>
      </c>
      <c r="G5" s="23" t="str">
        <f ca="1">IFERROR(__xludf.DUMMYFUNCTION("""COMPUTED_VALUE"""),"Combined Account Total")</f>
        <v>Combined Account Total</v>
      </c>
      <c r="H5" s="23" t="str">
        <f ca="1">IFERROR(__xludf.DUMMYFUNCTION("""COMPUTED_VALUE"""),"MasterFund/Account")</f>
        <v>MasterFund/Account</v>
      </c>
      <c r="I5" s="23" t="str">
        <f ca="1">IFERROR(__xludf.DUMMYFUNCTION("""COMPUTED_VALUE"""),"Accounts")</f>
        <v>Accounts</v>
      </c>
      <c r="J5" s="23" t="str">
        <f ca="1">IFERROR(__xludf.DUMMYFUNCTION("""COMPUTED_VALUE"""),"Master Funds")</f>
        <v>Master Funds</v>
      </c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24</v>
      </c>
      <c r="C6" s="35" t="s">
        <v>29</v>
      </c>
      <c r="D6" s="31" t="s">
        <v>30</v>
      </c>
      <c r="E6" s="9">
        <v>30</v>
      </c>
      <c r="F6" s="9">
        <v>50000</v>
      </c>
      <c r="G6" s="36" t="s">
        <v>31</v>
      </c>
      <c r="H6" s="32" t="s">
        <v>16</v>
      </c>
      <c r="I6" s="37" t="s">
        <v>20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27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IFERROR(__xludf.DUMMYFUNCTION("IF(C3="""","""",Transpose(IMPORTRANGE('_Settings'!$B$3,C3&amp;""!A4:A1000"")))"),"CalculatePTT")</f>
        <v>CalculatePTT</v>
      </c>
      <c r="C4" s="20" t="str">
        <f ca="1">IFERROR(__xludf.DUMMYFUNCTION("""COMPUTED_VALUE"""),"TradeUsingPTT")</f>
        <v>TradeUsingPTT</v>
      </c>
      <c r="D4" s="20" t="str">
        <f ca="1">IFERROR(__xludf.DUMMYFUNCTION("""COMPUTED_VALUE"""),"StageOrderUsingPTT")</f>
        <v>StageOrderUsingPTT</v>
      </c>
      <c r="E4" s="20" t="str">
        <f ca="1">IFERROR(__xludf.DUMMYFUNCTION("""COMPUTED_VALUE"""),"CreateOrderPTT")</f>
        <v>CreateOrderPTT</v>
      </c>
      <c r="F4" s="20" t="str">
        <f ca="1">IFERROR(__xludf.DUMMYFUNCTION("""COMPUTED_VALUE"""),"TradePTT")</f>
        <v>TradePTT</v>
      </c>
      <c r="G4" s="20" t="str">
        <f ca="1">IFERROR(__xludf.DUMMYFUNCTION("""COMPUTED_VALUE"""),"VerifyPTT")</f>
        <v>VerifyPTT</v>
      </c>
      <c r="H4" s="20" t="str">
        <f ca="1">IFERROR(__xludf.DUMMYFUNCTION("""COMPUTED_VALUE"""),"OpenMultiTTFromPTT")</f>
        <v>OpenMultiTTFromPTT</v>
      </c>
      <c r="I4" s="20" t="str">
        <f ca="1">IFERROR(__xludf.DUMMYFUNCTION("""COMPUTED_VALUE"""),"SelectMultiTT")</f>
        <v>SelectMultiTT</v>
      </c>
      <c r="J4" s="20" t="str">
        <f ca="1">IFERROR(__xludf.DUMMYFUNCTION("""COMPUTED_VALUE"""),"EditMultiTT")</f>
        <v>EditMultiTT</v>
      </c>
      <c r="K4" s="20" t="str">
        <f ca="1">IFERROR(__xludf.DUMMYFUNCTION("""COMPUTED_VALUE"""),"SetAccountFactor")</f>
        <v>SetAccountFactor</v>
      </c>
      <c r="L4" s="20" t="str">
        <f ca="1">IFERROR(__xludf.DUMMYFUNCTION("""COMPUTED_VALUE"""),"SetPTTPreference")</f>
        <v>SetPTTPreference</v>
      </c>
      <c r="M4" s="20" t="str">
        <f ca="1">IFERROR(__xludf.DUMMYFUNCTION("""COMPUTED_VALUE"""),"SetLongShortPTTPreference")</f>
        <v>SetLongShortPTTPreference</v>
      </c>
      <c r="N4" s="20" t="str">
        <f ca="1">IFERROR(__xludf.DUMMYFUNCTION("""COMPUTED_VALUE"""),"SelectPTTRecord")</f>
        <v>SelectPTTRecord</v>
      </c>
      <c r="O4" s="20" t="str">
        <f ca="1">IFERROR(__xludf.DUMMYFUNCTION("""COMPUTED_VALUE"""),"EditPTTRecord")</f>
        <v>EditPTTRecord</v>
      </c>
      <c r="P4" s="21" t="str">
        <f ca="1">IFERROR(__xludf.DUMMYFUNCTION("""COMPUTED_VALUE"""),"SetDefaultSymbology")</f>
        <v>SetDefaultSymbology</v>
      </c>
      <c r="Q4" s="21" t="str">
        <f ca="1">IFERROR(__xludf.DUMMYFUNCTION("""COMPUTED_VALUE"""),"EditPTTAccountLevelWPF")</f>
        <v>EditPTTAccountLevelWPF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IFERROR(__xludf.DUMMYFUNCTION("""COMPUTED_VALUE"""),"Ticker")</f>
        <v>Ticker</v>
      </c>
      <c r="C5" s="23" t="str">
        <f ca="1">IFERROR(__xludf.DUMMYFUNCTION("""COMPUTED_VALUE"""),"Add/Set")</f>
        <v>Add/Set</v>
      </c>
      <c r="D5" s="23" t="str">
        <f ca="1">IFERROR(__xludf.DUMMYFUNCTION("""COMPUTED_VALUE"""),"Type")</f>
        <v>Type</v>
      </c>
      <c r="E5" s="23" t="str">
        <f ca="1">IFERROR(__xludf.DUMMYFUNCTION("""COMPUTED_VALUE"""),"Target")</f>
        <v>Target</v>
      </c>
      <c r="F5" s="24" t="str">
        <f ca="1">IFERROR(__xludf.DUMMYFUNCTION("""COMPUTED_VALUE"""),"Price")</f>
        <v>Price</v>
      </c>
      <c r="G5" s="23" t="str">
        <f ca="1">IFERROR(__xludf.DUMMYFUNCTION("""COMPUTED_VALUE"""),"Combined Account Total")</f>
        <v>Combined Account Total</v>
      </c>
      <c r="H5" s="23" t="str">
        <f ca="1">IFERROR(__xludf.DUMMYFUNCTION("""COMPUTED_VALUE"""),"MasterFund/Account")</f>
        <v>MasterFund/Account</v>
      </c>
      <c r="I5" s="23" t="str">
        <f ca="1">IFERROR(__xludf.DUMMYFUNCTION("""COMPUTED_VALUE"""),"Accounts")</f>
        <v>Accounts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24</v>
      </c>
      <c r="C6" s="35" t="s">
        <v>29</v>
      </c>
      <c r="D6" s="31" t="s">
        <v>30</v>
      </c>
      <c r="E6" s="9">
        <v>30</v>
      </c>
      <c r="F6" s="9">
        <v>50000</v>
      </c>
      <c r="G6" s="36" t="s">
        <v>31</v>
      </c>
      <c r="H6" s="32" t="s">
        <v>16</v>
      </c>
      <c r="I6" s="37" t="s">
        <v>20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22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24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33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D6" s="6">
        <v>10</v>
      </c>
      <c r="E6" s="6" t="s">
        <v>35</v>
      </c>
      <c r="H6" s="6" t="s">
        <v>36</v>
      </c>
      <c r="I6" s="6" t="s">
        <v>37</v>
      </c>
      <c r="J6" s="6" t="s">
        <v>24</v>
      </c>
      <c r="L6" s="6" t="s">
        <v>38</v>
      </c>
      <c r="S6" s="6">
        <v>0</v>
      </c>
      <c r="T6" s="6">
        <v>0</v>
      </c>
      <c r="U6" s="6" t="s">
        <v>21</v>
      </c>
      <c r="V6" s="6" t="s">
        <v>39</v>
      </c>
      <c r="AA6" s="6" t="s">
        <v>40</v>
      </c>
      <c r="AD6" s="6">
        <v>1</v>
      </c>
      <c r="AF6" s="6" t="s">
        <v>41</v>
      </c>
      <c r="AG6" s="6">
        <v>10</v>
      </c>
      <c r="AH6" s="6" t="s">
        <v>42</v>
      </c>
      <c r="AI6" s="6" t="s">
        <v>24</v>
      </c>
      <c r="AJ6" s="6" t="s">
        <v>25</v>
      </c>
      <c r="AK6" s="6" t="s">
        <v>43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44</v>
      </c>
      <c r="AT6" s="6" t="s">
        <v>20</v>
      </c>
      <c r="AU6" s="6" t="s">
        <v>45</v>
      </c>
      <c r="AV6" s="6">
        <v>1000</v>
      </c>
      <c r="AW6" s="6">
        <v>1000</v>
      </c>
      <c r="AX6" s="6" t="s">
        <v>46</v>
      </c>
      <c r="AY6" s="6">
        <v>100</v>
      </c>
      <c r="BA6" s="6" t="s">
        <v>37</v>
      </c>
      <c r="BF6" s="6" t="s">
        <v>47</v>
      </c>
      <c r="BG6" s="6" t="s">
        <v>48</v>
      </c>
    </row>
    <row r="7" spans="1:154" ht="15.75" customHeight="1">
      <c r="A7" s="5"/>
      <c r="D7" s="6">
        <v>50000</v>
      </c>
      <c r="E7" s="6" t="s">
        <v>35</v>
      </c>
      <c r="H7" s="6" t="s">
        <v>36</v>
      </c>
      <c r="I7" s="6" t="s">
        <v>37</v>
      </c>
      <c r="J7" s="6" t="s">
        <v>24</v>
      </c>
      <c r="L7" s="6" t="s">
        <v>38</v>
      </c>
      <c r="S7" s="6">
        <v>0</v>
      </c>
      <c r="T7" s="6">
        <v>0</v>
      </c>
      <c r="U7" s="6" t="s">
        <v>21</v>
      </c>
      <c r="V7" s="6" t="s">
        <v>39</v>
      </c>
      <c r="AA7" s="6" t="s">
        <v>40</v>
      </c>
      <c r="AD7" s="6">
        <v>1</v>
      </c>
      <c r="AF7" s="6" t="s">
        <v>41</v>
      </c>
      <c r="AG7" s="6">
        <v>50000</v>
      </c>
      <c r="AH7" s="6" t="s">
        <v>42</v>
      </c>
      <c r="AI7" s="6" t="s">
        <v>24</v>
      </c>
      <c r="AJ7" s="6" t="s">
        <v>25</v>
      </c>
      <c r="AK7" s="6" t="s">
        <v>43</v>
      </c>
      <c r="AL7" s="6">
        <v>1</v>
      </c>
      <c r="AM7" s="6">
        <v>1</v>
      </c>
      <c r="AN7" s="6">
        <v>100</v>
      </c>
      <c r="AO7" s="6">
        <v>1</v>
      </c>
      <c r="AQ7" s="6">
        <v>50000</v>
      </c>
      <c r="AR7" s="6">
        <v>50000</v>
      </c>
      <c r="AS7" s="6" t="s">
        <v>44</v>
      </c>
      <c r="AT7" s="6" t="s">
        <v>20</v>
      </c>
      <c r="AU7" s="6" t="s">
        <v>45</v>
      </c>
      <c r="AV7" s="6">
        <v>50000</v>
      </c>
      <c r="AW7" s="6">
        <v>50000</v>
      </c>
      <c r="AX7" s="6" t="s">
        <v>46</v>
      </c>
      <c r="AY7" s="6">
        <v>1</v>
      </c>
      <c r="BA7" s="6" t="s">
        <v>37</v>
      </c>
      <c r="BG7" s="6" t="s">
        <v>27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49</v>
      </c>
      <c r="D3" s="2" t="s">
        <v>9</v>
      </c>
      <c r="E3" s="18" t="s">
        <v>50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51</v>
      </c>
      <c r="C6" s="5"/>
      <c r="D6" s="9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49</v>
      </c>
      <c r="D3" s="2" t="s">
        <v>9</v>
      </c>
      <c r="E3" s="18" t="s">
        <v>52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6" t="s">
        <v>20</v>
      </c>
      <c r="C6" s="5"/>
      <c r="D6" s="9"/>
      <c r="E6" s="6">
        <v>100</v>
      </c>
      <c r="F6" s="6" t="s">
        <v>46</v>
      </c>
      <c r="G6" s="6" t="s">
        <v>42</v>
      </c>
      <c r="H6" s="6">
        <v>4</v>
      </c>
      <c r="I6" s="9">
        <v>5</v>
      </c>
      <c r="J6" s="5"/>
      <c r="K6" s="6">
        <v>10</v>
      </c>
      <c r="L6" s="6">
        <v>10</v>
      </c>
      <c r="M6" s="6" t="s">
        <v>35</v>
      </c>
      <c r="N6" s="5"/>
      <c r="O6" s="6" t="s">
        <v>44</v>
      </c>
      <c r="R6" s="6">
        <v>0</v>
      </c>
      <c r="S6" s="6" t="s">
        <v>53</v>
      </c>
      <c r="T6" s="6">
        <v>0</v>
      </c>
      <c r="Z6" s="6" t="s">
        <v>21</v>
      </c>
      <c r="AD6" s="6" t="s">
        <v>36</v>
      </c>
      <c r="AE6" s="6">
        <v>100</v>
      </c>
      <c r="AH6" s="6" t="s">
        <v>41</v>
      </c>
      <c r="AN6" s="6" t="b">
        <v>0</v>
      </c>
      <c r="AQ6" s="6" t="b">
        <v>0</v>
      </c>
      <c r="AR6" s="6" t="b">
        <v>1</v>
      </c>
      <c r="AT6" s="6">
        <v>1014</v>
      </c>
      <c r="AU6" s="6">
        <v>1014</v>
      </c>
      <c r="AW6" s="6">
        <v>0</v>
      </c>
      <c r="AX6" s="6">
        <v>0</v>
      </c>
      <c r="AY6" s="6" t="s">
        <v>45</v>
      </c>
      <c r="AZ6" s="6">
        <v>0</v>
      </c>
      <c r="BC6" s="6">
        <v>0</v>
      </c>
      <c r="BE6" s="6">
        <v>1000</v>
      </c>
      <c r="BF6" s="6">
        <v>1000</v>
      </c>
      <c r="BJ6" s="6">
        <v>100</v>
      </c>
      <c r="BK6" s="6">
        <v>0</v>
      </c>
      <c r="BM6" s="6" t="s">
        <v>21</v>
      </c>
      <c r="BO6" s="6" t="s">
        <v>25</v>
      </c>
      <c r="BT6" s="6" t="s">
        <v>24</v>
      </c>
      <c r="BU6" s="6">
        <v>3</v>
      </c>
      <c r="BV6" s="6">
        <v>0</v>
      </c>
      <c r="BW6" s="6">
        <v>14</v>
      </c>
      <c r="BX6" s="6">
        <v>0</v>
      </c>
      <c r="CF6" s="6" t="s">
        <v>38</v>
      </c>
      <c r="CG6" s="6">
        <v>2</v>
      </c>
      <c r="CH6" s="6" t="s">
        <v>22</v>
      </c>
      <c r="CI6" s="6" t="s">
        <v>25</v>
      </c>
      <c r="CJ6" s="6">
        <v>0</v>
      </c>
      <c r="CK6" s="6" t="s">
        <v>54</v>
      </c>
      <c r="CM6" s="6" t="s">
        <v>24</v>
      </c>
      <c r="CN6" s="6" t="s">
        <v>37</v>
      </c>
      <c r="CO6" s="6" t="s">
        <v>36</v>
      </c>
      <c r="CP6" s="6" t="s">
        <v>39</v>
      </c>
    </row>
    <row r="7" spans="1:154" ht="15.75" customHeight="1">
      <c r="A7" s="5"/>
      <c r="B7" s="6" t="s">
        <v>20</v>
      </c>
      <c r="C7" s="5"/>
      <c r="D7" s="5"/>
      <c r="E7" s="6">
        <v>1</v>
      </c>
      <c r="F7" s="6" t="s">
        <v>46</v>
      </c>
      <c r="G7" s="6" t="s">
        <v>42</v>
      </c>
      <c r="H7" s="6">
        <v>4</v>
      </c>
      <c r="I7" s="9">
        <v>5</v>
      </c>
      <c r="J7" s="5"/>
      <c r="K7" s="6">
        <v>50000</v>
      </c>
      <c r="L7" s="6">
        <v>50000</v>
      </c>
      <c r="M7" s="6" t="s">
        <v>35</v>
      </c>
      <c r="N7" s="5"/>
      <c r="O7" s="6" t="s">
        <v>44</v>
      </c>
      <c r="R7" s="6">
        <v>0</v>
      </c>
      <c r="S7" s="6" t="s">
        <v>53</v>
      </c>
      <c r="T7" s="6">
        <v>0</v>
      </c>
      <c r="Z7" s="6" t="s">
        <v>21</v>
      </c>
      <c r="AD7" s="6" t="s">
        <v>36</v>
      </c>
      <c r="AE7" s="6">
        <v>1</v>
      </c>
      <c r="AH7" s="6" t="s">
        <v>41</v>
      </c>
      <c r="AN7" s="6" t="b">
        <v>0</v>
      </c>
      <c r="AQ7" s="6" t="b">
        <v>0</v>
      </c>
      <c r="AR7" s="6" t="b">
        <v>1</v>
      </c>
      <c r="AT7" s="6">
        <v>50014.03</v>
      </c>
      <c r="AU7" s="6">
        <v>50014.03</v>
      </c>
      <c r="AW7" s="6">
        <v>0</v>
      </c>
      <c r="AX7" s="6">
        <v>0</v>
      </c>
      <c r="AY7" s="6" t="s">
        <v>45</v>
      </c>
      <c r="AZ7" s="6">
        <v>0</v>
      </c>
      <c r="BC7" s="6">
        <v>0</v>
      </c>
      <c r="BE7" s="6">
        <v>50000</v>
      </c>
      <c r="BF7" s="6">
        <v>50000</v>
      </c>
      <c r="BJ7" s="6">
        <v>1</v>
      </c>
      <c r="BK7" s="6">
        <v>0</v>
      </c>
      <c r="BM7" s="6" t="s">
        <v>21</v>
      </c>
      <c r="BO7" s="6" t="s">
        <v>25</v>
      </c>
      <c r="BT7" s="6" t="s">
        <v>24</v>
      </c>
      <c r="BU7" s="6">
        <v>3</v>
      </c>
      <c r="BV7" s="6">
        <v>0</v>
      </c>
      <c r="BW7" s="6">
        <v>14.03</v>
      </c>
      <c r="BX7" s="6">
        <v>0</v>
      </c>
      <c r="CF7" s="6" t="s">
        <v>38</v>
      </c>
      <c r="CG7" s="6">
        <v>2</v>
      </c>
      <c r="CH7" s="6" t="s">
        <v>27</v>
      </c>
      <c r="CI7" s="6" t="s">
        <v>25</v>
      </c>
      <c r="CJ7" s="6">
        <v>0</v>
      </c>
      <c r="CK7" s="6" t="s">
        <v>54</v>
      </c>
      <c r="CM7" s="6" t="s">
        <v>24</v>
      </c>
      <c r="CN7" s="6" t="s">
        <v>37</v>
      </c>
      <c r="CO7" s="6" t="s">
        <v>36</v>
      </c>
      <c r="CP7" s="6" t="s">
        <v>39</v>
      </c>
    </row>
    <row r="8" spans="1:154" ht="15.75" customHeight="1">
      <c r="A8" s="5"/>
      <c r="B8" s="5"/>
      <c r="C8" s="5"/>
      <c r="D8" s="5"/>
      <c r="E8" s="5"/>
      <c r="F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H1" workbookViewId="0">
      <selection activeCell="BM13" sqref="BM13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0.140625" customWidth="1"/>
    <col min="64" max="168" width="14.42578125" customWidth="1"/>
  </cols>
  <sheetData>
    <row r="1" spans="1:168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55</v>
      </c>
      <c r="D3" s="2" t="s">
        <v>9</v>
      </c>
      <c r="E3" s="18" t="s">
        <v>56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6" t="s">
        <v>24</v>
      </c>
      <c r="D6" s="6">
        <v>100</v>
      </c>
      <c r="E6" s="6" t="s">
        <v>20</v>
      </c>
      <c r="F6" s="6" t="s">
        <v>40</v>
      </c>
      <c r="G6" s="6">
        <v>10</v>
      </c>
      <c r="H6" s="6" t="s">
        <v>57</v>
      </c>
      <c r="I6" s="6">
        <v>1000</v>
      </c>
      <c r="J6" s="6">
        <v>0</v>
      </c>
      <c r="K6" s="6">
        <v>1000</v>
      </c>
      <c r="L6" s="6">
        <v>1000</v>
      </c>
      <c r="M6" s="6">
        <v>1010</v>
      </c>
      <c r="N6" s="6">
        <v>0</v>
      </c>
      <c r="O6" s="6" t="s">
        <v>58</v>
      </c>
      <c r="P6" s="6" t="s">
        <v>59</v>
      </c>
      <c r="Q6" s="6">
        <v>0</v>
      </c>
      <c r="R6" s="6" t="s">
        <v>60</v>
      </c>
      <c r="S6" s="6" t="s">
        <v>61</v>
      </c>
      <c r="T6" s="6" t="s">
        <v>42</v>
      </c>
      <c r="U6" s="6" t="s">
        <v>54</v>
      </c>
      <c r="V6" s="6" t="s">
        <v>36</v>
      </c>
      <c r="W6" s="6" t="s">
        <v>21</v>
      </c>
      <c r="X6" s="6">
        <v>1</v>
      </c>
      <c r="Y6" s="6">
        <v>1</v>
      </c>
      <c r="AB6" s="6">
        <v>0</v>
      </c>
      <c r="AC6" s="6">
        <v>0</v>
      </c>
      <c r="AD6" s="6">
        <v>1000</v>
      </c>
      <c r="AE6" s="6">
        <v>1000</v>
      </c>
      <c r="AF6" s="6">
        <v>100</v>
      </c>
      <c r="AG6" s="6">
        <v>1000</v>
      </c>
      <c r="AH6" s="6">
        <v>1000</v>
      </c>
      <c r="AI6" s="6">
        <v>1000</v>
      </c>
      <c r="AJ6" s="6">
        <v>40</v>
      </c>
      <c r="AK6" s="6">
        <v>0</v>
      </c>
      <c r="AL6" s="6">
        <v>1</v>
      </c>
      <c r="AM6" s="6">
        <v>1</v>
      </c>
      <c r="AN6" s="6" t="s">
        <v>25</v>
      </c>
      <c r="AP6" s="6" t="s">
        <v>57</v>
      </c>
      <c r="AQ6" s="6" t="s">
        <v>24</v>
      </c>
      <c r="AR6" s="6">
        <v>10</v>
      </c>
      <c r="AS6" s="6">
        <v>1</v>
      </c>
      <c r="AT6" s="6" t="s">
        <v>62</v>
      </c>
      <c r="AU6" s="6" t="s">
        <v>47</v>
      </c>
      <c r="AV6" s="6">
        <v>1</v>
      </c>
      <c r="AW6" s="6">
        <v>0</v>
      </c>
      <c r="AX6" s="6">
        <v>0</v>
      </c>
      <c r="AY6" s="6">
        <v>0</v>
      </c>
      <c r="AZ6" s="6">
        <v>1000</v>
      </c>
      <c r="BA6" s="6">
        <v>0</v>
      </c>
      <c r="BC6" s="6">
        <v>1</v>
      </c>
      <c r="BD6" s="6">
        <v>-1000</v>
      </c>
      <c r="BE6" s="6" t="s">
        <v>42</v>
      </c>
      <c r="BF6" s="6" t="s">
        <v>63</v>
      </c>
      <c r="BG6" s="6" t="s">
        <v>64</v>
      </c>
      <c r="BH6" s="6" t="s">
        <v>59</v>
      </c>
      <c r="BI6" s="6">
        <v>5</v>
      </c>
      <c r="BJ6" s="6">
        <v>0</v>
      </c>
      <c r="BK6" s="6">
        <v>0</v>
      </c>
      <c r="BL6" s="6">
        <v>0</v>
      </c>
      <c r="BM6" s="6">
        <v>0</v>
      </c>
      <c r="BN6" s="38"/>
      <c r="BO6" s="6">
        <v>-1000</v>
      </c>
      <c r="BP6" s="6">
        <v>0</v>
      </c>
      <c r="BQ6" s="6" t="s">
        <v>37</v>
      </c>
      <c r="BR6" s="6" t="s">
        <v>44</v>
      </c>
      <c r="BS6" s="6">
        <v>0</v>
      </c>
      <c r="BT6" s="6">
        <v>0</v>
      </c>
      <c r="BU6" s="6" t="s">
        <v>42</v>
      </c>
      <c r="BW6" s="6">
        <v>0</v>
      </c>
      <c r="BX6" s="6">
        <v>1000</v>
      </c>
      <c r="BY6" s="6">
        <v>1000</v>
      </c>
      <c r="BZ6" s="6">
        <v>10</v>
      </c>
      <c r="CA6" s="6">
        <v>10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 t="b">
        <v>0</v>
      </c>
      <c r="CN6" s="6" t="s">
        <v>24</v>
      </c>
      <c r="CO6" s="6" t="s">
        <v>24</v>
      </c>
      <c r="CP6" s="6" t="s">
        <v>35</v>
      </c>
      <c r="CQ6" s="39"/>
      <c r="CR6" s="40"/>
      <c r="CS6" s="6">
        <v>10</v>
      </c>
      <c r="CY6" s="6" t="s">
        <v>65</v>
      </c>
      <c r="CZ6" s="6" t="s">
        <v>66</v>
      </c>
      <c r="DA6" s="6">
        <v>1000</v>
      </c>
      <c r="DB6" s="6">
        <v>0</v>
      </c>
      <c r="DD6" s="6">
        <v>100</v>
      </c>
      <c r="DE6" s="6">
        <v>0</v>
      </c>
      <c r="DF6" s="6">
        <v>0</v>
      </c>
      <c r="DG6" s="6">
        <v>0</v>
      </c>
      <c r="DH6" s="6" t="s">
        <v>59</v>
      </c>
      <c r="DI6" s="6">
        <v>0</v>
      </c>
      <c r="DJ6" s="6" t="s">
        <v>25</v>
      </c>
      <c r="DK6" s="6">
        <v>0</v>
      </c>
      <c r="DL6" s="6">
        <v>0</v>
      </c>
      <c r="DM6" s="6">
        <v>1</v>
      </c>
      <c r="DN6" s="6">
        <v>10</v>
      </c>
      <c r="DO6" s="41"/>
      <c r="DP6" s="6" t="s">
        <v>57</v>
      </c>
      <c r="DQ6" s="6" t="s">
        <v>67</v>
      </c>
      <c r="DR6" s="6" t="s">
        <v>68</v>
      </c>
      <c r="DS6" s="6" t="s">
        <v>67</v>
      </c>
      <c r="DT6" s="6" t="s">
        <v>67</v>
      </c>
      <c r="DU6" s="6" t="s">
        <v>69</v>
      </c>
      <c r="DV6" s="6" t="s">
        <v>67</v>
      </c>
      <c r="DW6" s="6" t="s">
        <v>67</v>
      </c>
      <c r="DX6" s="6" t="s">
        <v>67</v>
      </c>
      <c r="DY6" s="6" t="s">
        <v>67</v>
      </c>
      <c r="DZ6" s="6" t="s">
        <v>58</v>
      </c>
      <c r="EA6" s="6" t="s">
        <v>69</v>
      </c>
      <c r="EB6" s="6" t="s">
        <v>67</v>
      </c>
      <c r="EC6" s="6" t="s">
        <v>67</v>
      </c>
      <c r="ED6" s="6" t="s">
        <v>21</v>
      </c>
      <c r="EE6" s="6" t="s">
        <v>70</v>
      </c>
      <c r="EF6" s="6">
        <v>0</v>
      </c>
      <c r="EG6" s="6">
        <v>0.4</v>
      </c>
      <c r="EH6" s="6">
        <v>0.4</v>
      </c>
      <c r="EI6" s="6">
        <v>0.4</v>
      </c>
      <c r="EJ6" s="6">
        <v>0.4</v>
      </c>
      <c r="EK6" s="6">
        <v>0.4</v>
      </c>
      <c r="EL6" s="6" t="s">
        <v>57</v>
      </c>
      <c r="EM6" s="6">
        <v>1010</v>
      </c>
      <c r="EN6" s="6">
        <v>1010</v>
      </c>
      <c r="EO6" s="6">
        <v>0</v>
      </c>
      <c r="EP6" s="6">
        <v>300000</v>
      </c>
      <c r="EQ6" s="6">
        <v>0.4</v>
      </c>
      <c r="ER6" s="6">
        <v>1010</v>
      </c>
      <c r="ES6" s="6">
        <v>250010</v>
      </c>
      <c r="ET6" s="6">
        <v>0</v>
      </c>
      <c r="EU6" s="6">
        <v>0.4</v>
      </c>
      <c r="EV6" s="6" t="s">
        <v>57</v>
      </c>
      <c r="EW6" s="6">
        <v>250010</v>
      </c>
      <c r="EX6" s="6" t="b">
        <v>0</v>
      </c>
    </row>
    <row r="7" spans="1:168" ht="15.75" customHeight="1">
      <c r="A7" s="5"/>
      <c r="B7" s="5"/>
      <c r="C7" s="6" t="s">
        <v>24</v>
      </c>
      <c r="D7" s="6">
        <v>1</v>
      </c>
      <c r="E7" s="6" t="s">
        <v>20</v>
      </c>
      <c r="F7" s="6" t="s">
        <v>40</v>
      </c>
      <c r="G7" s="6">
        <v>50000</v>
      </c>
      <c r="H7" s="6" t="s">
        <v>57</v>
      </c>
      <c r="I7" s="6">
        <v>10</v>
      </c>
      <c r="J7" s="6">
        <v>-499900</v>
      </c>
      <c r="K7" s="6">
        <v>10</v>
      </c>
      <c r="L7" s="6">
        <v>10</v>
      </c>
      <c r="M7" s="6">
        <v>1010</v>
      </c>
      <c r="N7" s="6">
        <v>-49990</v>
      </c>
      <c r="O7" s="6" t="s">
        <v>58</v>
      </c>
      <c r="P7" s="6" t="s">
        <v>59</v>
      </c>
      <c r="Q7" s="6">
        <v>-49990</v>
      </c>
      <c r="R7" s="6" t="s">
        <v>60</v>
      </c>
      <c r="S7" s="6" t="s">
        <v>61</v>
      </c>
      <c r="T7" s="6" t="s">
        <v>42</v>
      </c>
      <c r="U7" s="6" t="s">
        <v>54</v>
      </c>
      <c r="V7" s="6" t="s">
        <v>36</v>
      </c>
      <c r="W7" s="6" t="s">
        <v>21</v>
      </c>
      <c r="X7" s="6">
        <v>1</v>
      </c>
      <c r="Y7" s="6">
        <v>1</v>
      </c>
      <c r="AB7" s="6">
        <v>0</v>
      </c>
      <c r="AC7" s="6">
        <v>0</v>
      </c>
      <c r="AD7" s="6">
        <v>10</v>
      </c>
      <c r="AE7" s="6">
        <v>10</v>
      </c>
      <c r="AF7" s="6">
        <v>1</v>
      </c>
      <c r="AG7" s="6">
        <v>10</v>
      </c>
      <c r="AH7" s="6">
        <v>10</v>
      </c>
      <c r="AI7" s="6">
        <v>10</v>
      </c>
      <c r="AJ7" s="6">
        <v>0.4</v>
      </c>
      <c r="AK7" s="6">
        <v>-49990</v>
      </c>
      <c r="AL7" s="6">
        <v>1</v>
      </c>
      <c r="AM7" s="6">
        <v>1</v>
      </c>
      <c r="AN7" s="6" t="s">
        <v>25</v>
      </c>
      <c r="AP7" s="6" t="s">
        <v>57</v>
      </c>
      <c r="AQ7" s="6" t="s">
        <v>24</v>
      </c>
      <c r="AR7" s="6">
        <v>10</v>
      </c>
      <c r="AS7" s="6">
        <v>1</v>
      </c>
      <c r="AT7" s="41"/>
      <c r="AU7" s="41"/>
      <c r="AV7" s="6">
        <v>1</v>
      </c>
      <c r="AW7" s="6">
        <v>-49990</v>
      </c>
      <c r="AX7" s="6">
        <v>0</v>
      </c>
      <c r="AY7" s="6">
        <v>0</v>
      </c>
      <c r="AZ7" s="6">
        <v>10</v>
      </c>
      <c r="BA7" s="6">
        <v>-99.98</v>
      </c>
      <c r="BC7" s="6">
        <v>1</v>
      </c>
      <c r="BD7" s="6">
        <v>-50000</v>
      </c>
      <c r="BE7" s="6" t="s">
        <v>42</v>
      </c>
      <c r="BF7" s="6" t="s">
        <v>63</v>
      </c>
      <c r="BG7" s="6" t="s">
        <v>64</v>
      </c>
      <c r="BH7" s="6" t="s">
        <v>59</v>
      </c>
      <c r="BI7" s="6">
        <v>5</v>
      </c>
      <c r="BJ7" s="6">
        <v>0</v>
      </c>
      <c r="BK7" s="6">
        <v>0</v>
      </c>
      <c r="BL7" s="6">
        <v>0</v>
      </c>
      <c r="BM7" s="6">
        <v>0</v>
      </c>
      <c r="BN7" s="38"/>
      <c r="BO7" s="6">
        <v>-50000</v>
      </c>
      <c r="BP7" s="6">
        <v>0</v>
      </c>
      <c r="BQ7" s="6" t="s">
        <v>37</v>
      </c>
      <c r="BR7" s="6" t="s">
        <v>44</v>
      </c>
      <c r="BS7" s="6">
        <v>0</v>
      </c>
      <c r="BT7" s="6">
        <v>0</v>
      </c>
      <c r="BU7" s="6" t="s">
        <v>42</v>
      </c>
      <c r="BW7" s="6">
        <v>0</v>
      </c>
      <c r="BX7" s="6">
        <v>10</v>
      </c>
      <c r="BY7" s="6">
        <v>10</v>
      </c>
      <c r="BZ7" s="6">
        <v>10</v>
      </c>
      <c r="CA7" s="6">
        <v>10</v>
      </c>
      <c r="CC7" s="6">
        <v>0</v>
      </c>
      <c r="CD7" s="6">
        <v>-49990</v>
      </c>
      <c r="CE7" s="6">
        <v>0</v>
      </c>
      <c r="CF7" s="6">
        <v>0</v>
      </c>
      <c r="CG7" s="6">
        <v>-49990</v>
      </c>
      <c r="CH7" s="6">
        <v>-99.98</v>
      </c>
      <c r="CI7" s="6">
        <v>0</v>
      </c>
      <c r="CJ7" s="6">
        <v>0</v>
      </c>
      <c r="CK7" s="6" t="b">
        <v>0</v>
      </c>
      <c r="CN7" s="6" t="s">
        <v>24</v>
      </c>
      <c r="CO7" s="6" t="s">
        <v>24</v>
      </c>
      <c r="CP7" s="6" t="s">
        <v>35</v>
      </c>
      <c r="CQ7" s="39"/>
      <c r="CR7" s="40"/>
      <c r="CS7" s="6">
        <v>50000</v>
      </c>
      <c r="CY7" s="6" t="s">
        <v>65</v>
      </c>
      <c r="CZ7" s="6" t="s">
        <v>66</v>
      </c>
      <c r="DA7" s="6">
        <v>10</v>
      </c>
      <c r="DB7" s="6">
        <v>-499900</v>
      </c>
      <c r="DD7" s="6">
        <v>1</v>
      </c>
      <c r="DE7" s="6">
        <v>0</v>
      </c>
      <c r="DF7" s="6">
        <v>0</v>
      </c>
      <c r="DG7" s="6">
        <v>0</v>
      </c>
      <c r="DH7" s="6" t="s">
        <v>59</v>
      </c>
      <c r="DI7" s="6">
        <v>0</v>
      </c>
      <c r="DJ7" s="6" t="s">
        <v>25</v>
      </c>
      <c r="DK7" s="6">
        <v>0</v>
      </c>
      <c r="DL7" s="6">
        <v>0</v>
      </c>
      <c r="DM7" s="6">
        <v>1</v>
      </c>
      <c r="DN7" s="6">
        <v>10</v>
      </c>
      <c r="DO7" s="41"/>
      <c r="DP7" s="6" t="s">
        <v>57</v>
      </c>
      <c r="DQ7" s="6" t="s">
        <v>67</v>
      </c>
      <c r="DR7" s="6" t="s">
        <v>68</v>
      </c>
      <c r="DS7" s="6" t="s">
        <v>67</v>
      </c>
      <c r="DT7" s="6" t="s">
        <v>67</v>
      </c>
      <c r="DU7" s="6" t="s">
        <v>69</v>
      </c>
      <c r="DV7" s="6" t="s">
        <v>67</v>
      </c>
      <c r="DW7" s="6" t="s">
        <v>67</v>
      </c>
      <c r="DX7" s="6" t="s">
        <v>67</v>
      </c>
      <c r="DY7" s="6" t="s">
        <v>67</v>
      </c>
      <c r="DZ7" s="6" t="s">
        <v>58</v>
      </c>
      <c r="EA7" s="6" t="s">
        <v>69</v>
      </c>
      <c r="EB7" s="6" t="s">
        <v>67</v>
      </c>
      <c r="EC7" s="6" t="s">
        <v>67</v>
      </c>
      <c r="ED7" s="6" t="s">
        <v>21</v>
      </c>
      <c r="EE7" s="6" t="s">
        <v>70</v>
      </c>
      <c r="EF7" s="6">
        <v>0</v>
      </c>
      <c r="EG7" s="6">
        <v>0</v>
      </c>
      <c r="EH7" s="6">
        <v>0</v>
      </c>
      <c r="EI7" s="6">
        <v>0</v>
      </c>
      <c r="EJ7" s="6">
        <v>0.4</v>
      </c>
      <c r="EK7" s="6">
        <v>0.4</v>
      </c>
      <c r="EL7" s="6" t="s">
        <v>57</v>
      </c>
      <c r="EM7" s="6">
        <v>1010</v>
      </c>
      <c r="EN7" s="6">
        <v>1010</v>
      </c>
      <c r="EO7" s="6">
        <v>-16.66</v>
      </c>
      <c r="EP7" s="6">
        <v>300000</v>
      </c>
      <c r="EQ7" s="6">
        <v>0</v>
      </c>
      <c r="ER7" s="6">
        <v>1010</v>
      </c>
      <c r="ES7" s="6">
        <v>250010</v>
      </c>
      <c r="ET7" s="6">
        <v>-20</v>
      </c>
      <c r="EU7" s="6">
        <v>0</v>
      </c>
      <c r="EV7" s="6" t="s">
        <v>57</v>
      </c>
      <c r="EW7" s="6">
        <v>250010</v>
      </c>
      <c r="EX7" s="6" t="b">
        <v>0</v>
      </c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27</v>
      </c>
      <c r="D3" s="2" t="s">
        <v>9</v>
      </c>
      <c r="E3" s="18" t="s">
        <v>71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IFERROR(__xludf.DUMMYFUNCTION("IF(C3="""","""",Transpose(IMPORTRANGE('_Settings'!$B$3,C3&amp;""!A4:A1000"")))"),"CalculatePTT")</f>
        <v>CalculatePTT</v>
      </c>
      <c r="C4" s="20" t="str">
        <f ca="1">IFERROR(__xludf.DUMMYFUNCTION("""COMPUTED_VALUE"""),"TradeUsingPTT")</f>
        <v>TradeUsingPTT</v>
      </c>
      <c r="D4" s="20" t="str">
        <f ca="1">IFERROR(__xludf.DUMMYFUNCTION("""COMPUTED_VALUE"""),"StageOrderUsingPTT")</f>
        <v>StageOrderUsingPTT</v>
      </c>
      <c r="E4" s="20" t="str">
        <f ca="1">IFERROR(__xludf.DUMMYFUNCTION("""COMPUTED_VALUE"""),"CreateOrderPTT")</f>
        <v>CreateOrderPTT</v>
      </c>
      <c r="F4" s="20" t="str">
        <f ca="1">IFERROR(__xludf.DUMMYFUNCTION("""COMPUTED_VALUE"""),"TradePTT")</f>
        <v>TradePTT</v>
      </c>
      <c r="G4" s="20" t="str">
        <f ca="1">IFERROR(__xludf.DUMMYFUNCTION("""COMPUTED_VALUE"""),"VerifyPTT")</f>
        <v>VerifyPTT</v>
      </c>
      <c r="H4" s="20" t="str">
        <f ca="1">IFERROR(__xludf.DUMMYFUNCTION("""COMPUTED_VALUE"""),"OpenMultiTTFromPTT")</f>
        <v>OpenMultiTTFromPTT</v>
      </c>
      <c r="I4" s="20" t="str">
        <f ca="1">IFERROR(__xludf.DUMMYFUNCTION("""COMPUTED_VALUE"""),"SelectMultiTT")</f>
        <v>SelectMultiTT</v>
      </c>
      <c r="J4" s="20" t="str">
        <f ca="1">IFERROR(__xludf.DUMMYFUNCTION("""COMPUTED_VALUE"""),"EditMultiTT")</f>
        <v>EditMultiTT</v>
      </c>
      <c r="K4" s="20" t="str">
        <f ca="1">IFERROR(__xludf.DUMMYFUNCTION("""COMPUTED_VALUE"""),"SetAccountFactor")</f>
        <v>SetAccountFactor</v>
      </c>
      <c r="L4" s="20" t="str">
        <f ca="1">IFERROR(__xludf.DUMMYFUNCTION("""COMPUTED_VALUE"""),"SetPTTPreference")</f>
        <v>SetPTTPreference</v>
      </c>
      <c r="M4" s="20" t="str">
        <f ca="1">IFERROR(__xludf.DUMMYFUNCTION("""COMPUTED_VALUE"""),"SetLongShortPTTPreference")</f>
        <v>SetLongShortPTTPreference</v>
      </c>
      <c r="N4" s="20" t="str">
        <f ca="1">IFERROR(__xludf.DUMMYFUNCTION("""COMPUTED_VALUE"""),"SelectPTTRecord")</f>
        <v>SelectPTTRecord</v>
      </c>
      <c r="O4" s="20" t="str">
        <f ca="1">IFERROR(__xludf.DUMMYFUNCTION("""COMPUTED_VALUE"""),"EditPTTRecord")</f>
        <v>EditPTTRecord</v>
      </c>
      <c r="P4" s="21" t="str">
        <f ca="1">IFERROR(__xludf.DUMMYFUNCTION("""COMPUTED_VALUE"""),"SetDefaultSymbology")</f>
        <v>SetDefaultSymbology</v>
      </c>
      <c r="Q4" s="21" t="str">
        <f ca="1">IFERROR(__xludf.DUMMYFUNCTION("""COMPUTED_VALUE"""),"EditPTTAccountLevelWPF")</f>
        <v>EditPTTAccountLevelWPF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IFERROR(__xludf.DUMMYFUNCTION("""COMPUTED_VALUE"""),"Account NAV")</f>
        <v>Account NAV</v>
      </c>
      <c r="D5" s="23" t="str">
        <f ca="1">IFERROR(__xludf.DUMMYFUNCTION("""COMPUTED_VALUE"""),"Starting Position")</f>
        <v>Starting Position</v>
      </c>
      <c r="E5" s="23" t="str">
        <f ca="1">IFERROR(__xludf.DUMMYFUNCTION("""COMPUTED_VALUE"""),"Starting Value")</f>
        <v>Starting Value</v>
      </c>
      <c r="F5" s="24" t="str">
        <f ca="1">IFERROR(__xludf.DUMMYFUNCTION("""COMPUTED_VALUE"""),"Starting %")</f>
        <v>Starting %</v>
      </c>
      <c r="G5" s="23" t="str">
        <f ca="1">IFERROR(__xludf.DUMMYFUNCTION("""COMPUTED_VALUE"""),"% Change")</f>
        <v>% Change</v>
      </c>
      <c r="H5" s="23" t="str">
        <f ca="1">IFERROR(__xludf.DUMMYFUNCTION("""COMPUTED_VALUE"""),"Ending %")</f>
        <v>Ending %</v>
      </c>
      <c r="I5" s="23" t="str">
        <f ca="1">IFERROR(__xludf.DUMMYFUNCTION("""COMPUTED_VALUE"""),"Trade Quantity")</f>
        <v>Trade Quantity</v>
      </c>
      <c r="J5" s="23" t="str">
        <f ca="1">IFERROR(__xludf.DUMMYFUNCTION("""COMPUTED_VALUE"""),"Ending Position")</f>
        <v>Ending Position</v>
      </c>
      <c r="K5" s="23" t="str">
        <f ca="1">IFERROR(__xludf.DUMMYFUNCTION("""COMPUTED_VALUE"""),"Ending Value")</f>
        <v>Ending Value</v>
      </c>
      <c r="L5" s="23" t="str">
        <f ca="1">IFERROR(__xludf.DUMMYFUNCTION("""COMPUTED_VALUE"""),"% Allocation")</f>
        <v>% Allocation</v>
      </c>
      <c r="M5" s="23" t="str">
        <f ca="1">IFERROR(__xludf.DUMMYFUNCTION("""COMPUTED_VALUE"""),"Fx Rate")</f>
        <v>Fx Rate</v>
      </c>
      <c r="N5" s="23" t="str">
        <f ca="1">IFERROR(__xludf.DUMMYFUNCTION("""COMPUTED_VALUE"""),"Starting BP")</f>
        <v>Starting BP</v>
      </c>
      <c r="O5" s="23" t="str">
        <f ca="1">IFERROR(__xludf.DUMMYFUNCTION("""COMPUTED_VALUE"""),"BP Change")</f>
        <v>BP Change</v>
      </c>
      <c r="P5" s="23" t="str">
        <f ca="1">IFERROR(__xludf.DUMMYFUNCTION("""COMPUTED_VALUE"""),"Ending BP")</f>
        <v>Ending BP</v>
      </c>
      <c r="Q5" s="23" t="str">
        <f ca="1">IFERROR(__xludf.DUMMYFUNCTION("""COMPUTED_VALUE"""),"MasterFund Name")</f>
        <v>MasterFund Name</v>
      </c>
      <c r="R5" s="23" t="str">
        <f ca="1">IFERROR(__xludf.DUMMYFUNCTION("""COMPUTED_VALUE"""),"MasterFund NAV")</f>
        <v>MasterFund NAV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6" t="s">
        <v>20</v>
      </c>
      <c r="C6" s="6">
        <v>300000</v>
      </c>
      <c r="D6" s="6">
        <v>100</v>
      </c>
      <c r="E6" s="6">
        <v>1000</v>
      </c>
      <c r="F6" s="6">
        <v>0.33</v>
      </c>
      <c r="G6" s="6">
        <v>1683</v>
      </c>
      <c r="H6" s="6">
        <v>1683.33</v>
      </c>
      <c r="I6" s="6">
        <v>1</v>
      </c>
      <c r="J6" s="6">
        <v>101</v>
      </c>
      <c r="K6" s="6">
        <v>5050000</v>
      </c>
      <c r="L6" s="6">
        <v>100</v>
      </c>
      <c r="M6" s="6">
        <v>1</v>
      </c>
      <c r="O6" s="5"/>
    </row>
    <row r="7" spans="1:154" ht="15.75" customHeight="1">
      <c r="A7" s="5"/>
      <c r="C7" s="6">
        <v>300000</v>
      </c>
      <c r="D7" s="6">
        <v>100</v>
      </c>
      <c r="E7" s="6">
        <v>1000</v>
      </c>
      <c r="I7" s="6">
        <v>1</v>
      </c>
      <c r="J7" s="6">
        <v>101</v>
      </c>
      <c r="K7" s="6">
        <v>5050000</v>
      </c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CreateDoneAwayOrder</vt:lpstr>
      <vt:lpstr>PricingInput</vt:lpstr>
      <vt:lpstr>CalculatePTT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  <vt:lpstr>VerifyPTT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2021-08-04T13:44:38Z</dcterms:modified>
</cp:coreProperties>
</file>