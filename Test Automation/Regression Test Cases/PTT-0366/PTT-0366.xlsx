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ustomOrderTT" sheetId="8" r:id="rId10"/>
    <sheet state="visible" name="CalculatePTT1" sheetId="9" r:id="rId11"/>
    <sheet state="visible" name="ReloadOrderFromBlotter" sheetId="10" r:id="rId12"/>
    <sheet state="visible" name="VerifyTT" sheetId="11" r:id="rId13"/>
    <sheet state="visible" name="ReloadOrderFromBlotter1" sheetId="12" r:id="rId14"/>
    <sheet state="visible" name="VerifyTT1" sheetId="13" r:id="rId15"/>
    <sheet state="visible" name="VerifyOrder" sheetId="14" r:id="rId16"/>
    <sheet state="visible" name="OpenRTPNL" sheetId="15" r:id="rId17"/>
    <sheet state="visible" name="CheckSymbolLevelAggregation" sheetId="16" r:id="rId18"/>
  </sheets>
  <definedNames/>
  <calcPr/>
</workbook>
</file>

<file path=xl/sharedStrings.xml><?xml version="1.0" encoding="utf-8"?>
<sst xmlns="http://schemas.openxmlformats.org/spreadsheetml/2006/main" count="149" uniqueCount="54">
  <si>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</si>
  <si>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</si>
  <si>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</si>
  <si>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</si>
  <si>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</si>
  <si>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</si>
  <si>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</si>
  <si>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</si>
  <si>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</si>
  <si>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</si>
  <si>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</si>
  <si>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</si>
  <si>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</si>
  <si>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</si>
  <si>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</si>
  <si>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</si>
  <si>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</si>
  <si>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</si>
  <si>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</si>
  <si>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</si>
  <si>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</si>
  <si>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</si>
  <si>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</si>
  <si>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</si>
  <si>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</si>
  <si>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</si>
  <si>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PTT</t>
  </si>
  <si>
    <t>CalculatePTT</t>
  </si>
  <si>
    <t>FRU-TC</t>
  </si>
  <si>
    <t>Set</t>
  </si>
  <si>
    <t>MasterFund</t>
  </si>
  <si>
    <t>NewMF,NewMF1</t>
  </si>
  <si>
    <t>TradingTicket</t>
  </si>
  <si>
    <t>CustomOrderTT</t>
  </si>
  <si>
    <t>DoneAway</t>
  </si>
  <si>
    <t xml:space="preserve"> GLE-LON</t>
  </si>
  <si>
    <t>Decrease</t>
  </si>
  <si>
    <t>CUSTOM GROUP</t>
  </si>
  <si>
    <t>Trial</t>
  </si>
  <si>
    <t>Blotter</t>
  </si>
  <si>
    <t>ReloadOrderFromBlotter</t>
  </si>
  <si>
    <t>VerifyTT</t>
  </si>
  <si>
    <t>VerifyOrder</t>
  </si>
  <si>
    <t>Buy</t>
  </si>
  <si>
    <t>Filled</t>
  </si>
  <si>
    <t>MS</t>
  </si>
  <si>
    <t>Multiple</t>
  </si>
  <si>
    <t>PST</t>
  </si>
  <si>
    <t>GLE-LON</t>
  </si>
  <si>
    <t>Sell short</t>
  </si>
  <si>
    <t>RTPNL</t>
  </si>
  <si>
    <t>OpenRTPNL</t>
  </si>
  <si>
    <t>Nirvana,PM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</si>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</sst>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  <font>
      <sz val="11.0"/>
      <color rgb="FFFE9F4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45929</v>
      </c>
      <c r="C6" s="35">
        <f>TODAY()</f>
        <v>45930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 t="s">
        <v>22</v>
      </c>
      <c r="D6" s="36">
        <v>500000.0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23</v>
      </c>
      <c r="C7" s="33" t="s">
        <v>22</v>
      </c>
      <c r="D7" s="37">
        <v>500000.0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3" t="s">
        <v>24</v>
      </c>
      <c r="C8" s="33" t="s">
        <v>22</v>
      </c>
      <c r="D8" s="37">
        <v>500000.0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 t="s">
        <v>25</v>
      </c>
      <c r="C9" s="33" t="s">
        <v>22</v>
      </c>
      <c r="D9" s="37">
        <v>500000.0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/>
      <c r="E6" s="13">
        <v>10.0</v>
      </c>
      <c r="F6" s="13">
        <v>10.0</v>
      </c>
      <c r="G6" s="8"/>
      <c r="H6" s="13" t="s">
        <v>30</v>
      </c>
      <c r="I6" s="8"/>
      <c r="J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34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36</v>
      </c>
      <c r="D6" s="13"/>
      <c r="E6" s="13">
        <v>10.0</v>
      </c>
      <c r="F6" s="13">
        <v>10.0</v>
      </c>
      <c r="G6" s="8"/>
      <c r="H6" s="13" t="s">
        <v>37</v>
      </c>
      <c r="I6" s="13" t="s">
        <v>38</v>
      </c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J6" s="9">
        <v>20000.0</v>
      </c>
      <c r="AQ6" s="9">
        <v>200000.0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J6" s="9">
        <v>-10000.0</v>
      </c>
      <c r="AP6" s="9">
        <v>0.0</v>
      </c>
      <c r="AQ6" s="9">
        <v>100000.0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28</v>
      </c>
      <c r="AJ6" s="40" t="s">
        <v>43</v>
      </c>
      <c r="AK6" s="41" t="s">
        <v>44</v>
      </c>
      <c r="AL6" s="42">
        <v>20000.0</v>
      </c>
      <c r="AS6" s="39" t="s">
        <v>45</v>
      </c>
      <c r="AT6" s="39" t="s">
        <v>46</v>
      </c>
      <c r="BG6" s="3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3" t="s">
        <v>48</v>
      </c>
      <c r="AJ7" s="44" t="s">
        <v>49</v>
      </c>
      <c r="AK7" s="45" t="s">
        <v>44</v>
      </c>
      <c r="AL7" s="46">
        <v>10000.0</v>
      </c>
      <c r="AS7" s="43" t="s">
        <v>45</v>
      </c>
      <c r="AT7" s="43" t="s">
        <v>46</v>
      </c>
      <c r="BG7" s="43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9" t="s">
        <v>28</v>
      </c>
      <c r="AJ8" s="40" t="s">
        <v>43</v>
      </c>
      <c r="AK8" s="41" t="s">
        <v>44</v>
      </c>
      <c r="AL8" s="42">
        <v>20000.0</v>
      </c>
      <c r="AS8" s="39" t="s">
        <v>45</v>
      </c>
      <c r="AT8" s="39" t="s">
        <v>46</v>
      </c>
      <c r="BG8" s="39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3" t="s">
        <v>48</v>
      </c>
      <c r="AJ9" s="47" t="s">
        <v>43</v>
      </c>
      <c r="AK9" s="45" t="s">
        <v>44</v>
      </c>
      <c r="AL9" s="46">
        <v>10000.0</v>
      </c>
      <c r="AS9" s="43" t="s">
        <v>45</v>
      </c>
      <c r="AT9" s="43" t="s">
        <v>46</v>
      </c>
      <c r="BG9" s="43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 t="str">
        <f>IFERROR(__xludf.DUMMYFUNCTION("""COMPUTED_VALUE"""),"Testing Type")</f>
        <v>Testing Type</v>
      </c>
      <c r="R5" s="28" t="str">
        <f>IFERROR(__xludf.DUMMYFUNCTION("""COMPUTED_VALUE"""),"Testing Column")</f>
        <v>Testing Column</v>
      </c>
      <c r="S5" s="28" t="str">
        <f>IFERROR(__xludf.DUMMYFUNCTION("""COMPUTED_VALUE"""),"Testing Col Value")</f>
        <v>Testing Col Value</v>
      </c>
      <c r="T5" s="30" t="str">
        <f>IFERROR(__xludf.DUMMYFUNCTION("""COMPUTED_VALUE"""),"DuplicateCountOnUI")</f>
        <v>DuplicateCountOnUI</v>
      </c>
      <c r="U5" s="30" t="str">
        <f>IFERROR(__xludf.DUMMYFUNCTION("""COMPUTED_VALUE"""),"DuplicateRow")</f>
        <v>DuplicateRow</v>
      </c>
      <c r="V5" s="30" t="str">
        <f>IFERROR(__xludf.DUMMYFUNCTION("""COMPUTED_VALUE"""),"Bloomberg Symbol")</f>
        <v>Bloomberg Symbol</v>
      </c>
      <c r="W5" s="30" t="str">
        <f>IFERROR(__xludf.DUMMYFUNCTION("""COMPUTED_VALUE"""),"TabName")</f>
        <v>TabName</v>
      </c>
      <c r="X5" s="30" t="str">
        <f>IFERROR(__xludf.DUMMYFUNCTION("""COMPUTED_VALUE"""),"GridDataWidgetName")</f>
        <v>GridDataWidgetName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>
        <v>40000.0</v>
      </c>
      <c r="E6" s="13">
        <v>400000.0</v>
      </c>
      <c r="F6" s="13">
        <v>200000.0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drawing r:id="rId1"/>
</worksheet>
</file>