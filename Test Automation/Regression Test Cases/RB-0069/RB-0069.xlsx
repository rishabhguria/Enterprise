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VerifyGridData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<sst xmlns="http://schemas.openxmlformats.org/spreadsheetml/2006/main" count="154" uniqueCount="52">
  <si>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</si>
  <si>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</si>
  <si>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</si>
  <si>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</si>
  <si>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</si>
  <si>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</si>
  <si>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</si>
  <si>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</si>
  <si>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</si>
  <si>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</si>
  <si>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</si>
  <si>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</si>
  <si>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</si>
  <si>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</si>
  <si>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</si>
  <si>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</si>
  <si>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</si>
  <si>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</si>
  <si>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</si>
  <si>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</si>
  <si>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</si>
  <si>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</si>
  <si>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</si>
  <si>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</si>
  <si>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</si>
  <si>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</si>
  <si>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</si>
  <si>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</si>
  <si>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</si>
  <si>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</si>
  <si>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</si>
  <si>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</si>
  <si>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</si>
  <si>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</si>
  <si>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</si>
  <si>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</si>
  <si>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</si>
  <si>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</si>
  <si>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</si>
  <si>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</si>
  <si>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RebalanceAcrossSecurities</t>
  </si>
  <si>
    <t>Set</t>
  </si>
  <si>
    <t>ModifyRebalance</t>
  </si>
  <si>
    <t>Yes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</si>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</sst>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IFERROR(__xludf.DUMMYFUNCTION("""COMPUTED_VALUE"""),"1SUF7VORSC5_3P1oCV70lOOtKhwqkfcNN6ZXkTWOpImU")</f>
        <v>1SUF7VORSC5_3P1oCV70lOOtKhwqkfcNN6ZXkTWOpImU</v>
      </c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22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9" si="1">today()-1</f>
        <v>44796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17</v>
      </c>
      <c r="C7" s="40" t="s">
        <v>22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44796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18</v>
      </c>
      <c r="C8" s="40" t="s">
        <v>23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44796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19</v>
      </c>
      <c r="C9" s="40" t="s">
        <v>22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44796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 t="shared" ref="B6:C6" si="1">today()-1</f>
        <v>44796</v>
      </c>
      <c r="C6" s="39">
        <f t="shared" si="1"/>
        <v>44796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29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32</v>
      </c>
      <c r="D6" s="36" t="s">
        <v>33</v>
      </c>
      <c r="E6" s="37" t="s">
        <v>34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>
        <v>16633.0</v>
      </c>
      <c r="C6" s="42" t="s">
        <v>36</v>
      </c>
      <c r="D6" s="36" t="s">
        <v>37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39</v>
      </c>
      <c r="C6" s="37"/>
      <c r="D6" s="43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41</v>
      </c>
      <c r="D6" s="13">
        <v>10.0</v>
      </c>
      <c r="E6" s="13" t="s">
        <v>28</v>
      </c>
      <c r="F6" s="8"/>
      <c r="G6" s="8"/>
      <c r="H6" s="8"/>
      <c r="I6" s="8"/>
      <c r="J6" s="13">
        <v>194.32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IFERROR(__xludf.DUMMYFUNCTION("""COMPUTED_VALUE"""),"Modify Rebalance")</f>
        <v>Modify Rebalance</v>
      </c>
      <c r="C5" s="28" t="str">
        <f>IFERROR(__xludf.DUMMYFUNCTION("""COMPUTED_VALUE"""),"AllowNegCash")</f>
        <v>AllowNegCash</v>
      </c>
      <c r="D5" s="28" t="str">
        <f>IFERROR(__xludf.DUMMYFUNCTION("""COMPUTED_VALUE"""),"SellToRaiseCash")</f>
        <v>SellToRaiseCash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28</v>
      </c>
      <c r="D6" s="45" t="s">
        <v>17</v>
      </c>
      <c r="E6" s="44" t="s">
        <v>45</v>
      </c>
      <c r="F6" s="44" t="s">
        <v>46</v>
      </c>
      <c r="G6" s="46">
        <v>94.51</v>
      </c>
      <c r="H6" s="46">
        <v>94.51</v>
      </c>
      <c r="I6" s="46">
        <v>1.0</v>
      </c>
      <c r="J6" s="46"/>
      <c r="K6" s="46">
        <v>100.0</v>
      </c>
      <c r="L6" s="46">
        <v>9451.0</v>
      </c>
      <c r="M6" s="46">
        <v>9451.0</v>
      </c>
      <c r="N6" s="8"/>
      <c r="O6" s="13">
        <v>100.0</v>
      </c>
      <c r="P6" s="9">
        <v>9451.0</v>
      </c>
      <c r="Q6" s="9">
        <v>9451.0</v>
      </c>
      <c r="R6" s="9">
        <v>0.0</v>
      </c>
      <c r="S6" s="9">
        <v>0.0</v>
      </c>
    </row>
    <row r="7" ht="15.75" customHeight="1">
      <c r="A7" s="8"/>
      <c r="B7" s="8"/>
      <c r="C7" s="47" t="s">
        <v>28</v>
      </c>
      <c r="D7" s="47" t="s">
        <v>16</v>
      </c>
      <c r="E7" s="47" t="s">
        <v>45</v>
      </c>
      <c r="F7" s="47" t="s">
        <v>46</v>
      </c>
      <c r="G7" s="48">
        <v>194.32</v>
      </c>
      <c r="H7" s="48">
        <v>194.32</v>
      </c>
      <c r="I7" s="48">
        <v>1.0</v>
      </c>
      <c r="J7" s="48"/>
      <c r="K7" s="48">
        <v>600.0</v>
      </c>
      <c r="L7" s="48">
        <v>116592.0</v>
      </c>
      <c r="M7" s="48">
        <v>116592.0</v>
      </c>
      <c r="N7" s="8"/>
      <c r="O7" s="13">
        <v>100.0</v>
      </c>
      <c r="P7" s="9">
        <v>19432.0</v>
      </c>
      <c r="Q7" s="9">
        <v>19432.0</v>
      </c>
      <c r="R7" s="9">
        <v>-500.0</v>
      </c>
      <c r="S7" s="49">
        <v>-97160.0</v>
      </c>
    </row>
    <row r="8" ht="15.75" customHeight="1">
      <c r="A8" s="8"/>
      <c r="B8" s="8"/>
      <c r="C8" s="47" t="s">
        <v>28</v>
      </c>
      <c r="D8" s="47" t="s">
        <v>19</v>
      </c>
      <c r="E8" s="47" t="s">
        <v>45</v>
      </c>
      <c r="F8" s="47" t="s">
        <v>46</v>
      </c>
      <c r="G8" s="48">
        <v>6.56</v>
      </c>
      <c r="H8" s="48">
        <v>6.56</v>
      </c>
      <c r="I8" s="48">
        <v>1.0</v>
      </c>
      <c r="J8" s="48"/>
      <c r="K8" s="48">
        <v>600.0</v>
      </c>
      <c r="L8" s="48">
        <v>3936.0</v>
      </c>
      <c r="M8" s="48">
        <v>3936.0</v>
      </c>
      <c r="N8" s="8"/>
      <c r="O8" s="13">
        <v>659.0</v>
      </c>
      <c r="P8" s="9">
        <v>4323.04</v>
      </c>
      <c r="Q8" s="9">
        <v>4323.04</v>
      </c>
      <c r="R8" s="9">
        <v>59.0</v>
      </c>
      <c r="S8" s="9">
        <v>387.0</v>
      </c>
    </row>
    <row r="9" ht="15.75" customHeight="1">
      <c r="A9" s="8"/>
      <c r="B9" s="8"/>
      <c r="C9" s="47" t="s">
        <v>28</v>
      </c>
      <c r="D9" s="47" t="s">
        <v>18</v>
      </c>
      <c r="E9" s="47" t="s">
        <v>45</v>
      </c>
      <c r="F9" s="47" t="s">
        <v>47</v>
      </c>
      <c r="G9" s="48">
        <v>36.48</v>
      </c>
      <c r="H9" s="48">
        <v>36.48</v>
      </c>
      <c r="I9" s="48">
        <v>1.0</v>
      </c>
      <c r="J9" s="48"/>
      <c r="K9" s="48">
        <v>100.0</v>
      </c>
      <c r="L9" s="48">
        <v>-3648.0</v>
      </c>
      <c r="M9" s="48">
        <v>-3648.0</v>
      </c>
      <c r="N9" s="8"/>
      <c r="O9" s="13">
        <v>100.0</v>
      </c>
      <c r="P9" s="9">
        <v>-3648.0</v>
      </c>
      <c r="Q9" s="9">
        <v>-3648.0</v>
      </c>
      <c r="R9" s="9">
        <v>0.0</v>
      </c>
      <c r="S9" s="9">
        <v>0.0</v>
      </c>
    </row>
    <row r="10" ht="15.75" customHeight="1">
      <c r="A10" s="8"/>
      <c r="B10" s="8"/>
      <c r="C10" s="47" t="s">
        <v>28</v>
      </c>
      <c r="D10" s="47" t="s">
        <v>48</v>
      </c>
      <c r="E10" s="47" t="s">
        <v>48</v>
      </c>
      <c r="F10" s="47" t="s">
        <v>46</v>
      </c>
      <c r="G10" s="48">
        <v>1.0</v>
      </c>
      <c r="H10" s="48">
        <v>1.0</v>
      </c>
      <c r="I10" s="48">
        <v>1.0</v>
      </c>
      <c r="J10" s="48"/>
      <c r="K10" s="48">
        <v>0.0</v>
      </c>
      <c r="L10" s="48">
        <v>0.0</v>
      </c>
      <c r="M10" s="48">
        <v>0.0</v>
      </c>
      <c r="N10" s="8"/>
      <c r="O10" s="13">
        <v>0.0</v>
      </c>
      <c r="P10" s="9">
        <v>0.0</v>
      </c>
      <c r="Q10" s="9">
        <v>0.0</v>
      </c>
      <c r="R10" s="9">
        <v>0.0</v>
      </c>
      <c r="S10" s="9">
        <v>0.0</v>
      </c>
    </row>
    <row r="11" ht="15.75" customHeight="1">
      <c r="A11" s="8"/>
      <c r="B11" s="8"/>
      <c r="C11" s="47" t="s">
        <v>28</v>
      </c>
      <c r="D11" s="47" t="s">
        <v>49</v>
      </c>
      <c r="E11" s="47" t="s">
        <v>49</v>
      </c>
      <c r="F11" s="47" t="s">
        <v>46</v>
      </c>
      <c r="G11" s="48">
        <v>1.0</v>
      </c>
      <c r="H11" s="48">
        <v>1.0</v>
      </c>
      <c r="I11" s="48">
        <v>1.0</v>
      </c>
      <c r="J11" s="48"/>
      <c r="K11" s="48">
        <v>40000.0</v>
      </c>
      <c r="L11" s="48">
        <v>40000.0</v>
      </c>
      <c r="M11" s="48">
        <v>40000.0</v>
      </c>
      <c r="N11" s="8"/>
      <c r="O11" s="13">
        <v>153405.0</v>
      </c>
      <c r="P11" s="9">
        <v>153405.0</v>
      </c>
      <c r="Q11" s="9">
        <v>153405.0</v>
      </c>
      <c r="R11" s="9">
        <v>113405.0</v>
      </c>
      <c r="S11" s="49">
        <v>113405.0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28</v>
      </c>
      <c r="C6" s="50" t="s">
        <v>51</v>
      </c>
      <c r="D6" s="50" t="s">
        <v>16</v>
      </c>
      <c r="E6" s="51">
        <v>500.0</v>
      </c>
      <c r="F6" s="51">
        <v>194.32</v>
      </c>
      <c r="G6" s="52">
        <v>-97160.0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0" t="s">
        <v>28</v>
      </c>
      <c r="C7" s="50" t="s">
        <v>22</v>
      </c>
      <c r="D7" s="50" t="s">
        <v>19</v>
      </c>
      <c r="E7" s="51">
        <v>59.0</v>
      </c>
      <c r="F7" s="51">
        <v>6.56</v>
      </c>
      <c r="G7" s="51">
        <v>387.0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