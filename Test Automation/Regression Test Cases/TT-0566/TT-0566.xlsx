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MarketDataProvider" sheetId="4" r:id="rId6"/>
    <sheet state="visible" name="SetGeneralPreference" sheetId="5" r:id="rId7"/>
    <sheet state="visible" name="CreateStageOrder" sheetId="6" r:id="rId8"/>
    <sheet state="visible" name="MultiTradingTicketFromBlotter" sheetId="7" r:id="rId9"/>
    <sheet state="visible" name="SelectTradeUsingMTT" sheetId="8" r:id="rId10"/>
    <sheet state="visible" name="EditTradeUsingMTT" sheetId="9" r:id="rId11"/>
    <sheet state="visible" name="SelectTradeUsingMTT1" sheetId="10" r:id="rId12"/>
    <sheet state="visible" name="EditTradeUsingMTT1" sheetId="11" r:id="rId13"/>
    <sheet state="visible" name="SendOrderUsingMTT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SelectTrade1" sheetId="16" r:id="rId18"/>
    <sheet state="visible" name="AcknowledgeTrade1" sheetId="17" r:id="rId19"/>
    <sheet state="visible" name="ExecuteTrade1" sheetId="18" r:id="rId20"/>
    <sheet state="visible" name="VerifyOrder" sheetId="19" r:id="rId21"/>
  </sheets>
  <definedNames/>
  <calcPr/>
</workbook>
</file>

<file path=xl/sharedStrings.xml><?xml version="1.0" encoding="utf-8"?>
<sst xmlns="http://schemas.openxmlformats.org/spreadsheetml/2006/main" count="171" uniqueCount="41">
  <si>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</si>
  <si>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</si>
  <si>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</si>
  <si>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</si>
  <si>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</si>
  <si>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</si>
  <si>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</si>
  <si>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</si>
  <si>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</si>
  <si>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</si>
  <si>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</si>
  <si>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</si>
  <si>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</si>
  <si>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SetMarketDataProvider</t>
  </si>
  <si>
    <t>Data Format</t>
  </si>
  <si>
    <t>Input Format</t>
  </si>
  <si>
    <t>ACTIV</t>
  </si>
  <si>
    <t>TradingTicket</t>
  </si>
  <si>
    <t>SetGeneralPreference</t>
  </si>
  <si>
    <t>Activ Symbol</t>
  </si>
  <si>
    <t>CreateStageOrder</t>
  </si>
  <si>
    <t>IPLY-US</t>
  </si>
  <si>
    <t>Buy</t>
  </si>
  <si>
    <t>FB-US</t>
  </si>
  <si>
    <t>Blotter</t>
  </si>
  <si>
    <t>MultiTradingTicketFromBlotter</t>
  </si>
  <si>
    <t>IPLY</t>
  </si>
  <si>
    <t>New</t>
  </si>
  <si>
    <t>MS</t>
  </si>
  <si>
    <t>Allocation1</t>
  </si>
  <si>
    <t>FB</t>
  </si>
  <si>
    <t>MultiTradingTicket</t>
  </si>
  <si>
    <t>SelectTradeUsingMTT</t>
  </si>
  <si>
    <t>EditTradeUsingMTT</t>
  </si>
  <si>
    <t>SendOrderUsingMTT</t>
  </si>
  <si>
    <t>Simulator</t>
  </si>
  <si>
    <t>SelectTrade</t>
  </si>
  <si>
    <t>AcknowledgeTrade</t>
  </si>
  <si>
    <t>ExecuteTrade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</si>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</sst>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6" fontId="15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IFERROR(__xludf.DUMMYFUNCTION("""COMPUTED_VALUE"""),"Market Type")</f>
        <v>Market Type</v>
      </c>
      <c r="C5" s="28" t="str">
        <f>IFERROR(__xludf.DUMMYFUNCTION("""COMPUTED_VALUE"""),"Block Data")</f>
        <v>Block Data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SetMarketDataProvider!$4:$4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1" t="s">
        <v>21</v>
      </c>
      <c r="C6" s="31" t="s">
        <v>22</v>
      </c>
      <c r="D6" s="35">
        <v>100.0</v>
      </c>
      <c r="E6" s="36"/>
      <c r="F6" s="36"/>
      <c r="G6" s="36"/>
      <c r="H6" s="36"/>
      <c r="I6" s="36"/>
      <c r="J6" s="35">
        <v>10.0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13" t="s">
        <v>23</v>
      </c>
      <c r="C7" s="13" t="s">
        <v>22</v>
      </c>
      <c r="D7" s="13">
        <v>200.0</v>
      </c>
      <c r="E7" s="8"/>
      <c r="F7" s="8"/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26</v>
      </c>
      <c r="AJ6" s="9" t="s">
        <v>22</v>
      </c>
      <c r="AK6" s="9" t="s">
        <v>27</v>
      </c>
      <c r="AL6" s="9">
        <v>100.0</v>
      </c>
      <c r="AS6" s="9" t="s">
        <v>28</v>
      </c>
      <c r="AT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13" t="s">
        <v>30</v>
      </c>
      <c r="AJ7" s="9" t="s">
        <v>22</v>
      </c>
      <c r="AK7" s="9" t="s">
        <v>27</v>
      </c>
      <c r="AL7" s="9">
        <v>200.0</v>
      </c>
      <c r="AS7" s="9" t="s">
        <v>28</v>
      </c>
      <c r="AT7" s="37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22</v>
      </c>
      <c r="D6" s="13">
        <v>100.0</v>
      </c>
      <c r="E6" s="32"/>
      <c r="F6" s="13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22</v>
      </c>
      <c r="D6" s="13"/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22</v>
      </c>
      <c r="D6" s="13">
        <v>200.0</v>
      </c>
      <c r="E6" s="32"/>
      <c r="F6" s="13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 t="s">
        <v>22</v>
      </c>
      <c r="D6" s="13">
        <v>200.0</v>
      </c>
      <c r="E6" s="32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 t="str">
        <f>IFERROR(__xludf.DUMMYFUNCTION("""COMPUTED_VALUE"""),"BulkEditUpdateFromMTT")</f>
        <v>BulkEditUpdateFromMTT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 t="str">
        <f>IFERROR(__xludf.DUMMYFUNCTION("""COMPUTED_VALUE"""),"RefreshPriceUsingMTT")</f>
        <v>RefreshPriceUsingMTT</v>
      </c>
      <c r="L4" s="25" t="str">
        <f>IFERROR(__xludf.DUMMYFUNCTION("""COMPUTED_VALUE"""),"VerifyMTT")</f>
        <v>VerifyMTT</v>
      </c>
      <c r="M4" s="25" t="str">
        <f>IFERROR(__xludf.DUMMYFUNCTION("""COMPUTED_VALUE"""),"AddOrRemoveColumn")</f>
        <v>AddOrRemoveColumn</v>
      </c>
      <c r="N4" s="25" t="str">
        <f>IFERROR(__xludf.DUMMYFUNCTION("""COMPUTED_VALUE"""),"SaveLayoutUsingMTT")</f>
        <v>SaveLayoutUsingMTT</v>
      </c>
      <c r="O4" s="25" t="str">
        <f>IFERROR(__xludf.DUMMYFUNCTION("""COMPUTED_VALUE"""),"ApplyFilterOnMTTGrid")</f>
        <v>ApplyFilterOnMTTGrid</v>
      </c>
      <c r="P4" s="26" t="str">
        <f>IFERROR(__xludf.DUMMYFUNCTION("""COMPUTED_VALUE"""),"VerifyMTTNavLockPopup")</f>
        <v>VerifyMTTNavLockPopup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IFERROR(__xludf.DUMMYFUNCTION("""COMPUTED_VALUE"""),"Click Commit &amp; Send/Review")</f>
        <v>Click Commit &amp; Send/Review</v>
      </c>
      <c r="AO5" s="30" t="str">
        <f>IFERROR(__xludf.DUMMYFUNCTION("""COMPUTED_VALUE"""),"VerifyUnclickabilityOutsidePopup")</f>
        <v>VerifyUnclickabilityOutsidePopup</v>
      </c>
      <c r="AP5" s="30" t="str">
        <f>IFERROR(__xludf.DUMMYFUNCTION("""COMPUTED_VALUE"""),"AllowTrade")</f>
        <v>AllowTrade</v>
      </c>
      <c r="AQ5" s="30" t="str">
        <f>IFERROR(__xludf.DUMMYFUNCTION("""COMPUTED_VALUE"""),"PendingApprovalPopup")</f>
        <v>PendingApprovalPopup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22</v>
      </c>
      <c r="D6" s="13">
        <v>100.0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30</v>
      </c>
      <c r="C7" s="13" t="s">
        <v>22</v>
      </c>
      <c r="D7" s="13">
        <v>200.0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26</v>
      </c>
      <c r="D6" s="13"/>
      <c r="E6" s="32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26</v>
      </c>
      <c r="D6" s="13"/>
      <c r="E6" s="32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30</v>
      </c>
      <c r="D6" s="13"/>
      <c r="E6" s="32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30</v>
      </c>
      <c r="D6" s="13"/>
      <c r="E6" s="32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22</v>
      </c>
      <c r="AK6" s="9" t="s">
        <v>40</v>
      </c>
      <c r="AL6" s="9">
        <v>100.0</v>
      </c>
      <c r="AS6" s="9" t="s">
        <v>28</v>
      </c>
      <c r="AT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30</v>
      </c>
      <c r="AJ7" s="9" t="s">
        <v>22</v>
      </c>
      <c r="AK7" s="9" t="s">
        <v>40</v>
      </c>
      <c r="AL7" s="9">
        <v>200.0</v>
      </c>
      <c r="AS7" s="9" t="s">
        <v>28</v>
      </c>
      <c r="AT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