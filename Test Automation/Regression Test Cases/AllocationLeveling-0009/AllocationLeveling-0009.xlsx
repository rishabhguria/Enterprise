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SelectUnallocatedGroup" sheetId="8" r:id="rId10"/>
    <sheet state="visible" name="EnterAllocatePreference" sheetId="9" r:id="rId11"/>
    <sheet state="visible" name="GetDataAllocation" sheetId="10" r:id="rId12"/>
    <sheet state="visible" name="CheckAllocatedGroups" sheetId="11" r:id="rId13"/>
    <sheet state="visible" name="GetDataClosing" sheetId="12" r:id="rId14"/>
    <sheet state="visible" name="VerifyLongPositionsGrid" sheetId="13" r:id="rId15"/>
    <sheet state="visible" name="GetActivityData" sheetId="14" r:id="rId16"/>
    <sheet state="visible" name="VerifyActivity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<sst xmlns="http://schemas.openxmlformats.org/spreadsheetml/2006/main" count="461" uniqueCount="73">
  <si>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</si>
  <si>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</si>
  <si>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</si>
  <si>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</si>
  <si>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</si>
  <si>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</si>
  <si>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</si>
  <si>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</si>
  <si>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</si>
  <si>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</si>
  <si>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</si>
  <si>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</si>
  <si>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</si>
  <si>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</si>
  <si>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</si>
  <si>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</si>
  <si>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</si>
  <si>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</si>
  <si>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</si>
  <si>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</si>
  <si>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</si>
  <si>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Unallocated</t>
  </si>
  <si>
    <t>MSFT</t>
  </si>
  <si>
    <t>Sell</t>
  </si>
  <si>
    <t>DailyValuation</t>
  </si>
  <si>
    <t>GetDailyCash</t>
  </si>
  <si>
    <t>UpdateMultipleDailyCash</t>
  </si>
  <si>
    <t>USD</t>
  </si>
  <si>
    <t>PricingInput</t>
  </si>
  <si>
    <t>Allocation</t>
  </si>
  <si>
    <t>SelectUnallocatedGroup</t>
  </si>
  <si>
    <t>EnterAllocatePreference</t>
  </si>
  <si>
    <t>Leveling</t>
  </si>
  <si>
    <t>Allocation1,Allocation2,Allocation3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</si>
  <si>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</si>
  <si>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</si>
  <si>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</si>
  <si>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</si>
  <si>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</si>
  <si>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</si>
  <si>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</si>
  <si>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</si>
  <si>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NASDAQ</t>
  </si>
  <si>
    <t>M</t>
  </si>
  <si>
    <t>InternalOrder</t>
  </si>
  <si>
    <t>US</t>
  </si>
  <si>
    <t>jpearce</t>
  </si>
  <si>
    <t>MSFT US EQUITY</t>
  </si>
  <si>
    <t>Closing</t>
  </si>
  <si>
    <t>GetDataClosing</t>
  </si>
  <si>
    <t>VerifyLongPositionsGrid</t>
  </si>
  <si>
    <t>Long</t>
  </si>
  <si>
    <t>APPLE</t>
  </si>
  <si>
    <t>Strategy Unallocated</t>
  </si>
  <si>
    <t>GeneralLedger</t>
  </si>
  <si>
    <t>GetActivityData</t>
  </si>
  <si>
    <t>SelectAll</t>
  </si>
  <si>
    <t>No</t>
  </si>
  <si>
    <t>Yes</t>
  </si>
  <si>
    <t>VerifyActivity</t>
  </si>
  <si>
    <t>EquityL</t>
  </si>
  <si>
    <t>Cash</t>
  </si>
  <si>
    <t>PortfolioManagement</t>
  </si>
  <si>
    <t>CheckPortfolioManagement</t>
  </si>
  <si>
    <t>NewMF</t>
  </si>
  <si>
    <t>FIMAT</t>
  </si>
  <si>
    <t>New Hedge</t>
  </si>
  <si>
    <t>Small Cap</t>
  </si>
  <si>
    <t>Short</t>
  </si>
  <si>
    <t>MICROSOFT INC</t>
  </si>
  <si>
    <t>Equity General</t>
  </si>
  <si>
    <t>Information Technology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</si>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</sst>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400.0</v>
      </c>
      <c r="E6" s="33">
        <v>400.0</v>
      </c>
      <c r="F6" s="34" t="s">
        <v>18</v>
      </c>
      <c r="G6" s="32"/>
      <c r="H6" s="32"/>
      <c r="I6" s="32"/>
      <c r="J6" s="35">
        <v>1.0</v>
      </c>
      <c r="K6" s="32"/>
      <c r="L6" s="32"/>
      <c r="M6" s="32"/>
      <c r="N6" s="36">
        <f t="shared" ref="N6:N10" si="1">TODAY()</f>
        <v>45033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1" t="s">
        <v>16</v>
      </c>
      <c r="C7" s="32" t="s">
        <v>17</v>
      </c>
      <c r="D7" s="37">
        <v>800.0</v>
      </c>
      <c r="E7" s="35">
        <v>800.0</v>
      </c>
      <c r="F7" s="32" t="s">
        <v>19</v>
      </c>
      <c r="G7" s="32"/>
      <c r="H7" s="32"/>
      <c r="I7" s="32"/>
      <c r="J7" s="35">
        <v>1.0</v>
      </c>
      <c r="K7" s="32"/>
      <c r="L7" s="32"/>
      <c r="M7" s="32"/>
      <c r="N7" s="36">
        <f t="shared" si="1"/>
        <v>45033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5">
        <v>801.0</v>
      </c>
      <c r="E8" s="35">
        <v>801.0</v>
      </c>
      <c r="F8" s="32" t="s">
        <v>20</v>
      </c>
      <c r="G8" s="32"/>
      <c r="H8" s="32"/>
      <c r="I8" s="32"/>
      <c r="J8" s="35">
        <v>1.0</v>
      </c>
      <c r="K8" s="32"/>
      <c r="L8" s="32"/>
      <c r="M8" s="32"/>
      <c r="N8" s="36">
        <f t="shared" si="1"/>
        <v>45033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5">
        <v>5000.0</v>
      </c>
      <c r="E9" s="35">
        <v>5000.0</v>
      </c>
      <c r="F9" s="32" t="s">
        <v>21</v>
      </c>
      <c r="G9" s="32"/>
      <c r="H9" s="32"/>
      <c r="I9" s="32"/>
      <c r="J9" s="35">
        <v>1.0</v>
      </c>
      <c r="K9" s="32"/>
      <c r="L9" s="32"/>
      <c r="M9" s="32"/>
      <c r="N9" s="36">
        <f t="shared" si="1"/>
        <v>45033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22</v>
      </c>
      <c r="C10" s="32" t="s">
        <v>23</v>
      </c>
      <c r="D10" s="35">
        <v>5000.0</v>
      </c>
      <c r="E10" s="35">
        <v>5000.0</v>
      </c>
      <c r="F10" s="32" t="s">
        <v>21</v>
      </c>
      <c r="G10" s="32"/>
      <c r="H10" s="32"/>
      <c r="I10" s="32"/>
      <c r="J10" s="35">
        <v>1.0</v>
      </c>
      <c r="K10" s="32"/>
      <c r="L10" s="32"/>
      <c r="M10" s="32"/>
      <c r="N10" s="36">
        <f t="shared" si="1"/>
        <v>45033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45032</v>
      </c>
      <c r="C6" s="36">
        <f>TODAY()</f>
        <v>45033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27</v>
      </c>
      <c r="D6" s="37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27</v>
      </c>
      <c r="D7" s="35">
        <v>15000.0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27</v>
      </c>
      <c r="D8" s="35">
        <v>17500.0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5">
        <v>1.0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7">
        <v>5000.0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23</v>
      </c>
      <c r="D7" s="35">
        <v>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8" t="b">
        <v>0</v>
      </c>
      <c r="E6" s="39" t="b">
        <v>0</v>
      </c>
      <c r="F6" s="32"/>
      <c r="G6" s="32"/>
      <c r="H6" s="32" t="s">
        <v>32</v>
      </c>
      <c r="I6" s="40" t="s">
        <v>33</v>
      </c>
      <c r="J6" s="32"/>
      <c r="K6" s="39" t="b">
        <v>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>
        <v>400.0</v>
      </c>
      <c r="F6" s="42" t="s">
        <v>37</v>
      </c>
      <c r="G6" s="42" t="s">
        <v>38</v>
      </c>
      <c r="H6" s="41">
        <v>4.0</v>
      </c>
      <c r="I6" s="41">
        <v>5.0</v>
      </c>
      <c r="J6" s="8"/>
      <c r="K6" s="41">
        <v>1.0</v>
      </c>
      <c r="L6" s="41">
        <v>1.0</v>
      </c>
      <c r="M6" s="42" t="s">
        <v>39</v>
      </c>
      <c r="N6" s="8"/>
      <c r="O6" s="42" t="s">
        <v>40</v>
      </c>
      <c r="S6" s="42" t="s">
        <v>41</v>
      </c>
      <c r="Z6" s="42" t="s">
        <v>27</v>
      </c>
      <c r="AD6" s="42" t="s">
        <v>42</v>
      </c>
      <c r="AE6" s="41">
        <v>400.0</v>
      </c>
      <c r="AH6" s="42" t="s">
        <v>43</v>
      </c>
      <c r="AI6" s="41">
        <v>1.0</v>
      </c>
      <c r="AN6" s="42" t="b">
        <v>0</v>
      </c>
      <c r="AP6" s="42" t="b">
        <v>1</v>
      </c>
      <c r="AQ6" s="42" t="b">
        <v>0</v>
      </c>
      <c r="AR6" s="42" t="b">
        <v>1</v>
      </c>
      <c r="AT6" s="41">
        <v>414.0002</v>
      </c>
      <c r="AU6" s="41">
        <v>414.0002</v>
      </c>
      <c r="BD6" s="42" t="s">
        <v>44</v>
      </c>
      <c r="BE6" s="41">
        <v>400.0</v>
      </c>
      <c r="BF6" s="41">
        <v>400.0</v>
      </c>
      <c r="BJ6" s="41">
        <v>400.0</v>
      </c>
      <c r="BM6" s="42" t="s">
        <v>27</v>
      </c>
      <c r="BO6" s="42" t="s">
        <v>17</v>
      </c>
      <c r="BT6" s="42" t="s">
        <v>16</v>
      </c>
      <c r="BU6" s="41">
        <v>3.0</v>
      </c>
      <c r="BW6" s="41">
        <v>14.0002</v>
      </c>
      <c r="CG6" s="41">
        <v>2.0</v>
      </c>
      <c r="CI6" s="42" t="s">
        <v>17</v>
      </c>
      <c r="CK6" s="42" t="s">
        <v>45</v>
      </c>
      <c r="CN6" s="42" t="s">
        <v>46</v>
      </c>
      <c r="CO6" s="42" t="s">
        <v>42</v>
      </c>
    </row>
    <row r="7" ht="15.75" customHeight="1">
      <c r="A7" s="8"/>
      <c r="B7" s="8"/>
      <c r="C7" s="8"/>
      <c r="D7" s="8"/>
      <c r="E7" s="41">
        <v>800.0</v>
      </c>
      <c r="F7" s="42" t="s">
        <v>37</v>
      </c>
      <c r="G7" s="42" t="s">
        <v>38</v>
      </c>
      <c r="H7" s="41">
        <v>4.0</v>
      </c>
      <c r="I7" s="41">
        <v>5.0</v>
      </c>
      <c r="J7" s="8"/>
      <c r="K7" s="41">
        <v>1.0</v>
      </c>
      <c r="L7" s="41">
        <v>1.0</v>
      </c>
      <c r="M7" s="42" t="s">
        <v>39</v>
      </c>
      <c r="N7" s="8"/>
      <c r="O7" s="42" t="s">
        <v>40</v>
      </c>
      <c r="S7" s="42" t="s">
        <v>41</v>
      </c>
      <c r="Z7" s="42" t="s">
        <v>27</v>
      </c>
      <c r="AD7" s="42" t="s">
        <v>42</v>
      </c>
      <c r="AE7" s="41">
        <v>800.0</v>
      </c>
      <c r="AH7" s="42" t="s">
        <v>43</v>
      </c>
      <c r="AI7" s="41">
        <v>1.0</v>
      </c>
      <c r="AN7" s="42" t="b">
        <v>0</v>
      </c>
      <c r="AP7" s="42" t="b">
        <v>1</v>
      </c>
      <c r="AQ7" s="42" t="b">
        <v>0</v>
      </c>
      <c r="AR7" s="42" t="b">
        <v>1</v>
      </c>
      <c r="AT7" s="41">
        <v>814.0004</v>
      </c>
      <c r="AU7" s="41">
        <v>814.0004</v>
      </c>
      <c r="BD7" s="42" t="s">
        <v>44</v>
      </c>
      <c r="BE7" s="41">
        <v>800.0</v>
      </c>
      <c r="BF7" s="41">
        <v>800.0</v>
      </c>
      <c r="BJ7" s="41">
        <v>800.0</v>
      </c>
      <c r="BM7" s="42" t="s">
        <v>27</v>
      </c>
      <c r="BO7" s="42" t="s">
        <v>17</v>
      </c>
      <c r="BT7" s="42" t="s">
        <v>16</v>
      </c>
      <c r="BU7" s="41">
        <v>3.0</v>
      </c>
      <c r="BW7" s="41">
        <v>14.0004</v>
      </c>
      <c r="CG7" s="41">
        <v>2.0</v>
      </c>
      <c r="CI7" s="42" t="s">
        <v>17</v>
      </c>
      <c r="CK7" s="42" t="s">
        <v>45</v>
      </c>
      <c r="CN7" s="42" t="s">
        <v>46</v>
      </c>
      <c r="CO7" s="42" t="s">
        <v>42</v>
      </c>
    </row>
    <row r="8" ht="15.75" customHeight="1">
      <c r="A8" s="8"/>
      <c r="B8" s="8"/>
      <c r="C8" s="8"/>
      <c r="D8" s="8"/>
      <c r="E8" s="41">
        <v>801.0</v>
      </c>
      <c r="F8" s="42" t="s">
        <v>37</v>
      </c>
      <c r="G8" s="42" t="s">
        <v>38</v>
      </c>
      <c r="H8" s="41">
        <v>4.0</v>
      </c>
      <c r="I8" s="41">
        <v>5.0</v>
      </c>
      <c r="J8" s="8"/>
      <c r="K8" s="41">
        <v>1.0</v>
      </c>
      <c r="L8" s="41">
        <v>1.0</v>
      </c>
      <c r="M8" s="42" t="s">
        <v>39</v>
      </c>
      <c r="N8" s="8"/>
      <c r="O8" s="42" t="s">
        <v>40</v>
      </c>
      <c r="S8" s="42" t="s">
        <v>41</v>
      </c>
      <c r="Z8" s="42" t="s">
        <v>27</v>
      </c>
      <c r="AD8" s="42" t="s">
        <v>42</v>
      </c>
      <c r="AE8" s="41">
        <v>801.0</v>
      </c>
      <c r="AH8" s="42" t="s">
        <v>43</v>
      </c>
      <c r="AI8" s="41">
        <v>1.0</v>
      </c>
      <c r="AN8" s="42" t="b">
        <v>0</v>
      </c>
      <c r="AP8" s="42" t="b">
        <v>1</v>
      </c>
      <c r="AQ8" s="42" t="b">
        <v>0</v>
      </c>
      <c r="AR8" s="42" t="b">
        <v>1</v>
      </c>
      <c r="AT8" s="41">
        <v>815.0004</v>
      </c>
      <c r="AU8" s="41">
        <v>815.0004</v>
      </c>
      <c r="BD8" s="42" t="s">
        <v>44</v>
      </c>
      <c r="BE8" s="41">
        <v>801.0</v>
      </c>
      <c r="BF8" s="41">
        <v>801.0</v>
      </c>
      <c r="BJ8" s="41">
        <v>801.0</v>
      </c>
      <c r="BM8" s="42" t="s">
        <v>27</v>
      </c>
      <c r="BO8" s="42" t="s">
        <v>17</v>
      </c>
      <c r="BT8" s="42" t="s">
        <v>16</v>
      </c>
      <c r="BU8" s="41">
        <v>3.0</v>
      </c>
      <c r="BW8" s="41">
        <v>14.0004</v>
      </c>
      <c r="CG8" s="41">
        <v>2.0</v>
      </c>
      <c r="CI8" s="42" t="s">
        <v>17</v>
      </c>
      <c r="CK8" s="42" t="s">
        <v>45</v>
      </c>
      <c r="CN8" s="42" t="s">
        <v>46</v>
      </c>
      <c r="CO8" s="42" t="s">
        <v>42</v>
      </c>
    </row>
    <row r="9" ht="15.75" customHeight="1">
      <c r="A9" s="8"/>
      <c r="B9" s="8"/>
      <c r="C9" s="8"/>
      <c r="D9" s="8"/>
      <c r="E9" s="43">
        <v>5000.0</v>
      </c>
      <c r="F9" s="42" t="s">
        <v>37</v>
      </c>
      <c r="G9" s="42" t="s">
        <v>38</v>
      </c>
      <c r="H9" s="41">
        <v>4.0</v>
      </c>
      <c r="I9" s="41">
        <v>5.0</v>
      </c>
      <c r="J9" s="8"/>
      <c r="K9" s="41">
        <v>1.0</v>
      </c>
      <c r="L9" s="41">
        <v>1.0</v>
      </c>
      <c r="M9" s="42" t="s">
        <v>39</v>
      </c>
      <c r="N9" s="8"/>
      <c r="O9" s="42" t="s">
        <v>40</v>
      </c>
      <c r="S9" s="42" t="s">
        <v>41</v>
      </c>
      <c r="Z9" s="42" t="s">
        <v>27</v>
      </c>
      <c r="AD9" s="42" t="s">
        <v>42</v>
      </c>
      <c r="AE9" s="43">
        <v>5000.0</v>
      </c>
      <c r="AH9" s="42" t="s">
        <v>43</v>
      </c>
      <c r="AI9" s="41">
        <v>1.0</v>
      </c>
      <c r="AN9" s="42" t="b">
        <v>0</v>
      </c>
      <c r="AP9" s="42" t="b">
        <v>1</v>
      </c>
      <c r="AQ9" s="42" t="b">
        <v>0</v>
      </c>
      <c r="AR9" s="42" t="b">
        <v>0</v>
      </c>
      <c r="AT9" s="43">
        <v>5014.0028</v>
      </c>
      <c r="AU9" s="43">
        <v>5014.0028</v>
      </c>
      <c r="BD9" s="42" t="s">
        <v>44</v>
      </c>
      <c r="BE9" s="43">
        <v>5000.0</v>
      </c>
      <c r="BF9" s="43">
        <v>5000.0</v>
      </c>
      <c r="BJ9" s="43">
        <v>5000.0</v>
      </c>
      <c r="BM9" s="42" t="s">
        <v>27</v>
      </c>
      <c r="BO9" s="42" t="s">
        <v>17</v>
      </c>
      <c r="BT9" s="42" t="s">
        <v>16</v>
      </c>
      <c r="BU9" s="41">
        <v>3.0</v>
      </c>
      <c r="BW9" s="41">
        <v>14.0028</v>
      </c>
      <c r="CG9" s="41">
        <v>2.0</v>
      </c>
      <c r="CI9" s="42" t="s">
        <v>17</v>
      </c>
      <c r="CK9" s="42" t="s">
        <v>45</v>
      </c>
      <c r="CN9" s="42" t="s">
        <v>46</v>
      </c>
      <c r="CO9" s="42" t="s">
        <v>42</v>
      </c>
    </row>
    <row r="10" ht="15.75" customHeight="1">
      <c r="A10" s="8"/>
      <c r="B10" s="8"/>
      <c r="C10" s="8"/>
      <c r="D10" s="8"/>
      <c r="E10" s="43">
        <v>5000.0</v>
      </c>
      <c r="F10" s="42" t="s">
        <v>37</v>
      </c>
      <c r="G10" s="42" t="s">
        <v>38</v>
      </c>
      <c r="H10" s="41">
        <v>4.0</v>
      </c>
      <c r="I10" s="41">
        <v>5.0</v>
      </c>
      <c r="J10" s="8"/>
      <c r="K10" s="41">
        <v>1.0</v>
      </c>
      <c r="L10" s="41">
        <v>1.0</v>
      </c>
      <c r="M10" s="42" t="s">
        <v>47</v>
      </c>
      <c r="N10" s="8"/>
      <c r="O10" s="42" t="s">
        <v>40</v>
      </c>
      <c r="S10" s="42" t="s">
        <v>41</v>
      </c>
      <c r="Z10" s="42" t="s">
        <v>27</v>
      </c>
      <c r="AD10" s="42" t="s">
        <v>42</v>
      </c>
      <c r="AE10" s="43">
        <v>5000.0</v>
      </c>
      <c r="AH10" s="42" t="s">
        <v>43</v>
      </c>
      <c r="AI10" s="41">
        <v>1.0</v>
      </c>
      <c r="AN10" s="42" t="b">
        <v>0</v>
      </c>
      <c r="AP10" s="42" t="b">
        <v>1</v>
      </c>
      <c r="AQ10" s="42" t="b">
        <v>0</v>
      </c>
      <c r="AR10" s="42" t="b">
        <v>0</v>
      </c>
      <c r="AT10" s="43">
        <v>4985.9972</v>
      </c>
      <c r="AU10" s="43">
        <v>4985.9972</v>
      </c>
      <c r="BD10" s="42" t="s">
        <v>44</v>
      </c>
      <c r="BE10" s="43">
        <v>5000.0</v>
      </c>
      <c r="BF10" s="43">
        <v>5000.0</v>
      </c>
      <c r="BJ10" s="43">
        <v>5000.0</v>
      </c>
      <c r="BM10" s="42" t="s">
        <v>27</v>
      </c>
      <c r="BO10" s="42" t="s">
        <v>23</v>
      </c>
      <c r="BT10" s="42" t="s">
        <v>22</v>
      </c>
      <c r="BU10" s="41">
        <v>3.0</v>
      </c>
      <c r="BW10" s="41">
        <v>14.0028</v>
      </c>
      <c r="CG10" s="41">
        <v>2.0</v>
      </c>
      <c r="CI10" s="42" t="s">
        <v>23</v>
      </c>
      <c r="CK10" s="42" t="s">
        <v>45</v>
      </c>
      <c r="CN10" s="42" t="s">
        <v>46</v>
      </c>
      <c r="CO10" s="42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CK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45" t="s">
        <v>38</v>
      </c>
      <c r="D6" s="46">
        <v>1.0</v>
      </c>
      <c r="E6" s="47"/>
      <c r="F6" s="45" t="b">
        <v>0</v>
      </c>
      <c r="G6" s="8"/>
      <c r="H6" s="8"/>
      <c r="I6" s="46">
        <v>1.0</v>
      </c>
      <c r="J6" s="8"/>
      <c r="K6" s="45" t="s">
        <v>51</v>
      </c>
      <c r="L6" s="8"/>
      <c r="M6" s="46">
        <v>400.0</v>
      </c>
      <c r="N6" s="45" t="s">
        <v>52</v>
      </c>
      <c r="O6" s="8"/>
      <c r="P6" s="45" t="s">
        <v>17</v>
      </c>
      <c r="Q6" s="45" t="s">
        <v>53</v>
      </c>
      <c r="R6" s="45" t="s">
        <v>16</v>
      </c>
      <c r="T6" s="46">
        <v>14.0002</v>
      </c>
      <c r="V6" s="45" t="s">
        <v>17</v>
      </c>
      <c r="W6" s="45" t="s">
        <v>45</v>
      </c>
      <c r="Z6" s="46">
        <v>1.0</v>
      </c>
    </row>
    <row r="7" ht="15.75" customHeight="1">
      <c r="A7" s="8"/>
      <c r="B7" s="45" t="s">
        <v>19</v>
      </c>
      <c r="C7" s="45" t="s">
        <v>38</v>
      </c>
      <c r="D7" s="46">
        <v>1.0</v>
      </c>
      <c r="E7" s="8"/>
      <c r="F7" s="45" t="b">
        <v>0</v>
      </c>
      <c r="G7" s="8"/>
      <c r="H7" s="8"/>
      <c r="I7" s="46">
        <v>1.0</v>
      </c>
      <c r="J7" s="8"/>
      <c r="K7" s="45" t="s">
        <v>51</v>
      </c>
      <c r="L7" s="8"/>
      <c r="M7" s="46">
        <v>800.0</v>
      </c>
      <c r="N7" s="45" t="s">
        <v>52</v>
      </c>
      <c r="O7" s="8"/>
      <c r="P7" s="45" t="s">
        <v>17</v>
      </c>
      <c r="Q7" s="45" t="s">
        <v>53</v>
      </c>
      <c r="R7" s="45" t="s">
        <v>16</v>
      </c>
      <c r="T7" s="46">
        <v>14.0004</v>
      </c>
      <c r="V7" s="45" t="s">
        <v>17</v>
      </c>
      <c r="W7" s="45" t="s">
        <v>45</v>
      </c>
      <c r="Z7" s="46">
        <v>1.0</v>
      </c>
    </row>
    <row r="8" ht="15.75" customHeight="1">
      <c r="A8" s="8"/>
      <c r="B8" s="45" t="s">
        <v>20</v>
      </c>
      <c r="C8" s="45" t="s">
        <v>38</v>
      </c>
      <c r="D8" s="46">
        <v>1.0</v>
      </c>
      <c r="E8" s="8"/>
      <c r="F8" s="45" t="b">
        <v>0</v>
      </c>
      <c r="G8" s="8"/>
      <c r="H8" s="8"/>
      <c r="I8" s="46">
        <v>1.0</v>
      </c>
      <c r="J8" s="8"/>
      <c r="K8" s="45" t="s">
        <v>51</v>
      </c>
      <c r="L8" s="8"/>
      <c r="M8" s="46">
        <v>801.0</v>
      </c>
      <c r="N8" s="45" t="s">
        <v>52</v>
      </c>
      <c r="O8" s="8"/>
      <c r="P8" s="45" t="s">
        <v>17</v>
      </c>
      <c r="Q8" s="45" t="s">
        <v>53</v>
      </c>
      <c r="R8" s="45" t="s">
        <v>16</v>
      </c>
      <c r="T8" s="46">
        <v>14.0004</v>
      </c>
      <c r="V8" s="45" t="s">
        <v>17</v>
      </c>
      <c r="W8" s="45" t="s">
        <v>45</v>
      </c>
      <c r="Z8" s="46">
        <v>1.0</v>
      </c>
    </row>
    <row r="9" ht="15.75" customHeight="1">
      <c r="A9" s="8"/>
      <c r="B9" s="45" t="s">
        <v>19</v>
      </c>
      <c r="C9" s="45" t="s">
        <v>38</v>
      </c>
      <c r="D9" s="46">
        <v>1.0</v>
      </c>
      <c r="E9" s="8"/>
      <c r="F9" s="45" t="b">
        <v>0</v>
      </c>
      <c r="G9" s="8"/>
      <c r="H9" s="8"/>
      <c r="I9" s="46">
        <v>1.0</v>
      </c>
      <c r="J9" s="8"/>
      <c r="K9" s="45" t="s">
        <v>51</v>
      </c>
      <c r="L9" s="8"/>
      <c r="M9" s="46">
        <v>1670.0</v>
      </c>
      <c r="N9" s="45" t="s">
        <v>52</v>
      </c>
      <c r="O9" s="8"/>
      <c r="P9" s="45" t="s">
        <v>17</v>
      </c>
      <c r="Q9" s="45" t="s">
        <v>53</v>
      </c>
      <c r="R9" s="45" t="s">
        <v>16</v>
      </c>
      <c r="T9" s="46">
        <v>4.6769352</v>
      </c>
      <c r="V9" s="45" t="s">
        <v>17</v>
      </c>
      <c r="W9" s="45" t="s">
        <v>45</v>
      </c>
      <c r="Z9" s="46">
        <v>1.0</v>
      </c>
    </row>
    <row r="10" ht="15.75" customHeight="1">
      <c r="A10" s="8"/>
      <c r="B10" s="45" t="s">
        <v>20</v>
      </c>
      <c r="C10" s="45" t="s">
        <v>38</v>
      </c>
      <c r="D10" s="46">
        <v>1.0</v>
      </c>
      <c r="E10" s="8"/>
      <c r="F10" s="45" t="b">
        <v>0</v>
      </c>
      <c r="G10" s="8"/>
      <c r="H10" s="8"/>
      <c r="I10" s="46">
        <v>1.0</v>
      </c>
      <c r="J10" s="8"/>
      <c r="K10" s="45" t="s">
        <v>51</v>
      </c>
      <c r="L10" s="8"/>
      <c r="M10" s="46">
        <v>2083.0</v>
      </c>
      <c r="N10" s="45" t="s">
        <v>52</v>
      </c>
      <c r="O10" s="8"/>
      <c r="P10" s="45" t="s">
        <v>17</v>
      </c>
      <c r="Q10" s="45" t="s">
        <v>53</v>
      </c>
      <c r="R10" s="45" t="s">
        <v>16</v>
      </c>
      <c r="T10" s="46">
        <v>5.83356648</v>
      </c>
      <c r="V10" s="45" t="s">
        <v>17</v>
      </c>
      <c r="W10" s="45" t="s">
        <v>45</v>
      </c>
      <c r="Z10" s="46">
        <v>1.0</v>
      </c>
    </row>
    <row r="11" ht="15.75" customHeight="1">
      <c r="A11" s="8"/>
      <c r="B11" s="45" t="s">
        <v>18</v>
      </c>
      <c r="C11" s="45" t="s">
        <v>38</v>
      </c>
      <c r="D11" s="46">
        <v>1.0</v>
      </c>
      <c r="E11" s="8"/>
      <c r="F11" s="45" t="b">
        <v>0</v>
      </c>
      <c r="G11" s="8"/>
      <c r="H11" s="8"/>
      <c r="I11" s="46">
        <v>1.0</v>
      </c>
      <c r="J11" s="8"/>
      <c r="K11" s="45" t="s">
        <v>51</v>
      </c>
      <c r="L11" s="8"/>
      <c r="M11" s="46">
        <v>1247.0</v>
      </c>
      <c r="N11" s="45" t="s">
        <v>52</v>
      </c>
      <c r="O11" s="8"/>
      <c r="P11" s="45" t="s">
        <v>17</v>
      </c>
      <c r="Q11" s="45" t="s">
        <v>53</v>
      </c>
      <c r="R11" s="45" t="s">
        <v>16</v>
      </c>
      <c r="T11" s="46">
        <v>3.49229832</v>
      </c>
      <c r="V11" s="45" t="s">
        <v>17</v>
      </c>
      <c r="W11" s="45" t="s">
        <v>45</v>
      </c>
      <c r="Z11" s="46">
        <v>1.0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4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 t="str">
        <f>IFERROR(__xludf.DUMMYFUNCTION("""COMPUTED_VALUE"""),"SettlementDate")</f>
        <v>SettlementDate</v>
      </c>
      <c r="G5" s="28" t="str">
        <f>IFERROR(__xludf.DUMMYFUNCTION("""COMPUTED_VALUE"""),"TradeDate")</f>
        <v>TradeDate</v>
      </c>
      <c r="H5" s="28" t="str">
        <f>IFERROR(__xludf.DUMMYFUNCTION("""COMPUTED_VALUE"""),"All")</f>
        <v>All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56</v>
      </c>
      <c r="C6" s="32" t="s">
        <v>33</v>
      </c>
      <c r="D6" s="36">
        <f t="shared" ref="D6:E6" si="1">TODAY()</f>
        <v>45033</v>
      </c>
      <c r="E6" s="36">
        <f t="shared" si="1"/>
        <v>45033</v>
      </c>
      <c r="F6" s="32" t="s">
        <v>57</v>
      </c>
      <c r="G6" s="32" t="s">
        <v>58</v>
      </c>
      <c r="H6" s="32" t="s">
        <v>57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IFERROR(__xludf.DUMMYFUNCTION("""COMPUTED_VALUE"""),"Activity Source")</f>
        <v>Activity Source</v>
      </c>
      <c r="D5" s="28" t="str">
        <f>IFERROR(__xludf.DUMMYFUNCTION("""COMPUTED_VALUE"""),"ActivityType")</f>
        <v>ActivityType</v>
      </c>
      <c r="E5" s="28" t="str">
        <f>IFERROR(__xludf.DUMMYFUNCTION("""COMPUTED_VALUE"""),"Net Amount(Local)")</f>
        <v>Net Amount(Local)</v>
      </c>
      <c r="F5" s="29" t="str">
        <f>IFERROR(__xludf.DUMMYFUNCTION("""COMPUTED_VALUE"""),"AUEC Fee1")</f>
        <v>AUEC Fee1</v>
      </c>
      <c r="G5" s="28" t="str">
        <f>IFERROR(__xludf.DUMMYFUNCTION("""COMPUTED_VALUE"""),"AUEC Fee2")</f>
        <v>AUEC Fee2</v>
      </c>
      <c r="H5" s="28" t="str">
        <f>IFERROR(__xludf.DUMMYFUNCTION("""COMPUTED_VALUE"""),"Balance Type")</f>
        <v>Balance Type</v>
      </c>
      <c r="I5" s="28" t="str">
        <f>IFERROR(__xludf.DUMMYFUNCTION("""COMPUTED_VALUE"""),"Clearing Broker Fees")</f>
        <v>Clearing Broker Fees</v>
      </c>
      <c r="J5" s="28" t="str">
        <f>IFERROR(__xludf.DUMMYFUNCTION("""COMPUTED_VALUE"""),"Commission")</f>
        <v>Commission</v>
      </c>
      <c r="K5" s="28" t="str">
        <f>IFERROR(__xludf.DUMMYFUNCTION("""COMPUTED_VALUE"""),"Currency")</f>
        <v>Currency</v>
      </c>
      <c r="L5" s="28" t="str">
        <f>IFERROR(__xludf.DUMMYFUNCTION("""COMPUTED_VALUE"""),"Description")</f>
        <v>Description</v>
      </c>
      <c r="M5" s="28" t="str">
        <f>IFERROR(__xludf.DUMMYFUNCTION("""COMPUTED_VALUE"""),"Entry Date")</f>
        <v>Entry Date</v>
      </c>
      <c r="N5" s="28" t="str">
        <f>IFERROR(__xludf.DUMMYFUNCTION("""COMPUTED_VALUE"""),"FX Conversion Method Operator")</f>
        <v>FX Conversion Method Operator</v>
      </c>
      <c r="O5" s="28" t="str">
        <f>IFERROR(__xludf.DUMMYFUNCTION("""COMPUTED_VALUE"""),"Fx Rate")</f>
        <v>Fx Rate</v>
      </c>
      <c r="P5" s="28" t="str">
        <f>IFERROR(__xludf.DUMMYFUNCTION("""COMPUTED_VALUE"""),"Lead Currency")</f>
        <v>Lead Currency</v>
      </c>
      <c r="Q5" s="28" t="str">
        <f>IFERROR(__xludf.DUMMYFUNCTION("""COMPUTED_VALUE"""),"Modify date")</f>
        <v>Modify date</v>
      </c>
      <c r="R5" s="28" t="str">
        <f>IFERROR(__xludf.DUMMYFUNCTION("""COMPUTED_VALUE"""),"OCC Fee")</f>
        <v>OCC Fee</v>
      </c>
      <c r="S5" s="28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8"/>
      <c r="D6" s="13" t="s">
        <v>60</v>
      </c>
      <c r="E6" s="13">
        <v>-414.0</v>
      </c>
      <c r="F6" s="8"/>
      <c r="G6" s="8"/>
      <c r="H6" s="13" t="s">
        <v>61</v>
      </c>
      <c r="I6" s="8"/>
      <c r="J6" s="8"/>
      <c r="K6" s="13" t="s">
        <v>27</v>
      </c>
      <c r="L6" s="8"/>
      <c r="M6" s="8"/>
      <c r="N6" s="8"/>
      <c r="O6" s="8"/>
      <c r="AB6" s="9" t="s">
        <v>16</v>
      </c>
    </row>
    <row r="7" ht="15.75" customHeight="1">
      <c r="A7" s="8"/>
      <c r="B7" s="45" t="s">
        <v>19</v>
      </c>
      <c r="C7" s="8"/>
      <c r="D7" s="13" t="s">
        <v>60</v>
      </c>
      <c r="E7" s="13">
        <v>-814.0</v>
      </c>
      <c r="F7" s="8"/>
      <c r="G7" s="8"/>
      <c r="H7" s="13" t="s">
        <v>61</v>
      </c>
      <c r="I7" s="8"/>
      <c r="J7" s="8"/>
      <c r="K7" s="13" t="s">
        <v>27</v>
      </c>
      <c r="L7" s="8"/>
      <c r="M7" s="8"/>
      <c r="N7" s="8"/>
      <c r="O7" s="8"/>
      <c r="AB7" s="9" t="s">
        <v>16</v>
      </c>
    </row>
    <row r="8" ht="15.75" customHeight="1">
      <c r="A8" s="8"/>
      <c r="B8" s="45" t="s">
        <v>20</v>
      </c>
      <c r="C8" s="8"/>
      <c r="D8" s="13" t="s">
        <v>60</v>
      </c>
      <c r="E8" s="13">
        <v>-815.0</v>
      </c>
      <c r="F8" s="8"/>
      <c r="G8" s="8"/>
      <c r="H8" s="13" t="s">
        <v>61</v>
      </c>
      <c r="I8" s="8"/>
      <c r="J8" s="8"/>
      <c r="K8" s="13" t="s">
        <v>27</v>
      </c>
      <c r="L8" s="8"/>
      <c r="M8" s="8"/>
      <c r="N8" s="8"/>
      <c r="O8" s="8"/>
      <c r="AB8" s="9" t="s">
        <v>16</v>
      </c>
    </row>
    <row r="9" ht="15.75" customHeight="1">
      <c r="A9" s="8"/>
      <c r="B9" s="45" t="s">
        <v>19</v>
      </c>
      <c r="C9" s="8"/>
      <c r="D9" s="13" t="s">
        <v>60</v>
      </c>
      <c r="E9" s="13">
        <v>-1674.68</v>
      </c>
      <c r="F9" s="8"/>
      <c r="G9" s="8"/>
      <c r="H9" s="13" t="s">
        <v>61</v>
      </c>
      <c r="I9" s="8"/>
      <c r="J9" s="8"/>
      <c r="K9" s="13" t="s">
        <v>27</v>
      </c>
      <c r="L9" s="8"/>
      <c r="M9" s="8"/>
      <c r="N9" s="8"/>
      <c r="O9" s="8"/>
      <c r="AB9" s="9" t="s">
        <v>16</v>
      </c>
    </row>
    <row r="10" ht="15.75" customHeight="1">
      <c r="A10" s="8"/>
      <c r="B10" s="45" t="s">
        <v>18</v>
      </c>
      <c r="C10" s="8"/>
      <c r="D10" s="13" t="s">
        <v>60</v>
      </c>
      <c r="E10" s="13">
        <v>-1250.49</v>
      </c>
      <c r="F10" s="8"/>
      <c r="G10" s="8"/>
      <c r="H10" s="13" t="s">
        <v>61</v>
      </c>
      <c r="I10" s="8"/>
      <c r="J10" s="8"/>
      <c r="K10" s="13" t="s">
        <v>27</v>
      </c>
      <c r="L10" s="8"/>
      <c r="M10" s="8"/>
      <c r="N10" s="8"/>
      <c r="O10" s="8"/>
      <c r="AB10" s="9" t="s">
        <v>16</v>
      </c>
    </row>
    <row r="11" ht="15.75" customHeight="1">
      <c r="A11" s="8"/>
      <c r="B11" s="45" t="s">
        <v>20</v>
      </c>
      <c r="C11" s="8"/>
      <c r="D11" s="13" t="s">
        <v>60</v>
      </c>
      <c r="E11" s="13">
        <v>-2088.83</v>
      </c>
      <c r="F11" s="8"/>
      <c r="G11" s="8"/>
      <c r="H11" s="13" t="s">
        <v>61</v>
      </c>
      <c r="I11" s="8"/>
      <c r="J11" s="8"/>
      <c r="K11" s="13" t="s">
        <v>27</v>
      </c>
      <c r="L11" s="8"/>
      <c r="M11" s="8"/>
      <c r="N11" s="8"/>
      <c r="O11" s="8"/>
      <c r="AB11" s="9" t="s">
        <v>16</v>
      </c>
    </row>
    <row r="12" ht="15.75" customHeight="1">
      <c r="A12" s="8"/>
      <c r="B12" s="45" t="s">
        <v>19</v>
      </c>
      <c r="C12" s="8"/>
      <c r="D12" s="13" t="s">
        <v>60</v>
      </c>
      <c r="E12" s="13">
        <v>1759.06</v>
      </c>
      <c r="F12" s="8"/>
      <c r="G12" s="8"/>
      <c r="H12" s="13" t="s">
        <v>61</v>
      </c>
      <c r="I12" s="8"/>
      <c r="J12" s="8"/>
      <c r="K12" s="13" t="s">
        <v>27</v>
      </c>
      <c r="L12" s="8"/>
      <c r="M12" s="8"/>
      <c r="N12" s="8"/>
      <c r="O12" s="8"/>
      <c r="AB12" s="9" t="s">
        <v>22</v>
      </c>
    </row>
    <row r="13" ht="15.75" customHeight="1">
      <c r="A13" s="8"/>
      <c r="B13" s="45" t="s">
        <v>18</v>
      </c>
      <c r="C13" s="8"/>
      <c r="D13" s="13" t="s">
        <v>60</v>
      </c>
      <c r="E13" s="13">
        <v>1172.71</v>
      </c>
      <c r="F13" s="8"/>
      <c r="G13" s="8"/>
      <c r="H13" s="13" t="s">
        <v>61</v>
      </c>
      <c r="I13" s="8"/>
      <c r="J13" s="8"/>
      <c r="K13" s="13" t="s">
        <v>27</v>
      </c>
      <c r="L13" s="8"/>
      <c r="M13" s="8"/>
      <c r="N13" s="8"/>
      <c r="O13" s="8"/>
      <c r="AB13" s="9" t="s">
        <v>22</v>
      </c>
    </row>
    <row r="14" ht="15.75" customHeight="1">
      <c r="A14" s="8"/>
      <c r="B14" s="45" t="s">
        <v>20</v>
      </c>
      <c r="C14" s="8"/>
      <c r="D14" s="13" t="s">
        <v>60</v>
      </c>
      <c r="E14" s="13">
        <v>2054.23</v>
      </c>
      <c r="F14" s="8"/>
      <c r="G14" s="8"/>
      <c r="H14" s="13" t="s">
        <v>61</v>
      </c>
      <c r="I14" s="8"/>
      <c r="J14" s="8"/>
      <c r="K14" s="13" t="s">
        <v>27</v>
      </c>
      <c r="L14" s="8"/>
      <c r="M14" s="8"/>
      <c r="N14" s="8"/>
      <c r="O14" s="8"/>
      <c r="AB14" s="9" t="s">
        <v>22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2" t="s">
        <v>16</v>
      </c>
      <c r="D6" s="41">
        <v>400.0</v>
      </c>
      <c r="E6" s="42" t="s">
        <v>18</v>
      </c>
      <c r="F6" s="42" t="s">
        <v>64</v>
      </c>
      <c r="G6" s="41">
        <v>1.0</v>
      </c>
      <c r="H6" s="42" t="s">
        <v>51</v>
      </c>
      <c r="I6" s="41">
        <v>400.0</v>
      </c>
      <c r="J6" s="8"/>
      <c r="K6" s="41">
        <v>400.0</v>
      </c>
      <c r="L6" s="8"/>
      <c r="M6" s="8"/>
      <c r="N6" s="8"/>
      <c r="O6" s="42" t="s">
        <v>52</v>
      </c>
      <c r="R6" s="42" t="s">
        <v>65</v>
      </c>
      <c r="S6" s="42" t="s">
        <v>53</v>
      </c>
      <c r="T6" s="42" t="s">
        <v>38</v>
      </c>
      <c r="U6" s="42" t="s">
        <v>45</v>
      </c>
      <c r="V6" s="42" t="s">
        <v>42</v>
      </c>
      <c r="W6" s="42" t="s">
        <v>27</v>
      </c>
      <c r="X6" s="41">
        <v>1.0</v>
      </c>
      <c r="Y6" s="41">
        <v>1.0</v>
      </c>
      <c r="AJ6" s="41">
        <v>94.12</v>
      </c>
      <c r="AN6" s="42" t="s">
        <v>17</v>
      </c>
      <c r="AP6" s="42" t="s">
        <v>51</v>
      </c>
      <c r="AQ6" s="42" t="s">
        <v>16</v>
      </c>
      <c r="AZ6" s="41">
        <v>400.0</v>
      </c>
      <c r="BF6" s="42" t="s">
        <v>66</v>
      </c>
      <c r="BG6" s="42" t="s">
        <v>67</v>
      </c>
    </row>
    <row r="7" ht="15.75" customHeight="1">
      <c r="A7" s="8"/>
      <c r="B7" s="8"/>
      <c r="C7" s="42" t="s">
        <v>16</v>
      </c>
      <c r="D7" s="49">
        <v>1247.0</v>
      </c>
      <c r="E7" s="42" t="s">
        <v>18</v>
      </c>
      <c r="F7" s="42" t="s">
        <v>64</v>
      </c>
      <c r="G7" s="41">
        <v>1.0</v>
      </c>
      <c r="H7" s="42" t="s">
        <v>51</v>
      </c>
      <c r="I7" s="49">
        <v>1247.0</v>
      </c>
      <c r="J7" s="8"/>
      <c r="K7" s="49">
        <v>1247.0</v>
      </c>
      <c r="L7" s="8"/>
      <c r="M7" s="8"/>
      <c r="N7" s="8"/>
      <c r="O7" s="42" t="s">
        <v>52</v>
      </c>
      <c r="R7" s="42" t="s">
        <v>65</v>
      </c>
      <c r="S7" s="42" t="s">
        <v>53</v>
      </c>
      <c r="T7" s="42" t="s">
        <v>38</v>
      </c>
      <c r="U7" s="42" t="s">
        <v>45</v>
      </c>
      <c r="V7" s="42" t="s">
        <v>42</v>
      </c>
      <c r="W7" s="42" t="s">
        <v>27</v>
      </c>
      <c r="X7" s="41">
        <v>1.0</v>
      </c>
      <c r="Y7" s="41">
        <v>1.0</v>
      </c>
      <c r="AJ7" s="41">
        <v>293.41</v>
      </c>
      <c r="AN7" s="42" t="s">
        <v>17</v>
      </c>
      <c r="AP7" s="42" t="s">
        <v>51</v>
      </c>
      <c r="AQ7" s="42" t="s">
        <v>16</v>
      </c>
      <c r="AZ7" s="49">
        <v>1247.0</v>
      </c>
      <c r="BF7" s="42" t="s">
        <v>66</v>
      </c>
      <c r="BG7" s="42" t="s">
        <v>67</v>
      </c>
    </row>
    <row r="8" ht="15.75" customHeight="1">
      <c r="A8" s="8"/>
      <c r="B8" s="8"/>
      <c r="C8" s="42" t="s">
        <v>22</v>
      </c>
      <c r="D8" s="49">
        <v>-1176.0</v>
      </c>
      <c r="E8" s="42" t="s">
        <v>18</v>
      </c>
      <c r="F8" s="42" t="s">
        <v>64</v>
      </c>
      <c r="G8" s="41">
        <v>1.0</v>
      </c>
      <c r="H8" s="42" t="s">
        <v>68</v>
      </c>
      <c r="I8" s="49">
        <v>-1176.0</v>
      </c>
      <c r="J8" s="8"/>
      <c r="K8" s="49">
        <v>-1176.0</v>
      </c>
      <c r="L8" s="8"/>
      <c r="M8" s="8"/>
      <c r="N8" s="8"/>
      <c r="O8" s="42" t="s">
        <v>69</v>
      </c>
      <c r="R8" s="42" t="s">
        <v>65</v>
      </c>
      <c r="S8" s="42" t="s">
        <v>53</v>
      </c>
      <c r="T8" s="42" t="s">
        <v>38</v>
      </c>
      <c r="U8" s="42" t="s">
        <v>45</v>
      </c>
      <c r="V8" s="42" t="s">
        <v>42</v>
      </c>
      <c r="W8" s="42" t="s">
        <v>27</v>
      </c>
      <c r="X8" s="41">
        <v>1.0</v>
      </c>
      <c r="Y8" s="41">
        <v>1.0</v>
      </c>
      <c r="AJ8" s="41">
        <v>-276.71</v>
      </c>
      <c r="AN8" s="42" t="s">
        <v>23</v>
      </c>
      <c r="AP8" s="42" t="s">
        <v>51</v>
      </c>
      <c r="AQ8" s="42" t="s">
        <v>22</v>
      </c>
      <c r="AZ8" s="49">
        <v>-1176.0</v>
      </c>
      <c r="BF8" s="42" t="s">
        <v>70</v>
      </c>
      <c r="BG8" s="42" t="s">
        <v>71</v>
      </c>
    </row>
    <row r="9" ht="15.75" customHeight="1">
      <c r="A9" s="8"/>
      <c r="B9" s="8"/>
      <c r="C9" s="42" t="s">
        <v>16</v>
      </c>
      <c r="D9" s="41">
        <v>800.0</v>
      </c>
      <c r="E9" s="42" t="s">
        <v>19</v>
      </c>
      <c r="F9" s="42" t="s">
        <v>72</v>
      </c>
      <c r="G9" s="41">
        <v>1.0</v>
      </c>
      <c r="H9" s="42" t="s">
        <v>51</v>
      </c>
      <c r="I9" s="41">
        <v>800.0</v>
      </c>
      <c r="J9" s="8"/>
      <c r="K9" s="41">
        <v>800.0</v>
      </c>
      <c r="L9" s="8"/>
      <c r="M9" s="8"/>
      <c r="N9" s="8"/>
      <c r="O9" s="42" t="s">
        <v>52</v>
      </c>
      <c r="R9" s="42" t="s">
        <v>40</v>
      </c>
      <c r="S9" s="42" t="s">
        <v>53</v>
      </c>
      <c r="T9" s="42" t="s">
        <v>38</v>
      </c>
      <c r="U9" s="42" t="s">
        <v>45</v>
      </c>
      <c r="V9" s="42" t="s">
        <v>42</v>
      </c>
      <c r="W9" s="42" t="s">
        <v>27</v>
      </c>
      <c r="X9" s="41">
        <v>1.0</v>
      </c>
      <c r="Y9" s="41">
        <v>1.0</v>
      </c>
      <c r="AJ9" s="41">
        <v>188.24</v>
      </c>
      <c r="AN9" s="42" t="s">
        <v>17</v>
      </c>
      <c r="AP9" s="42" t="s">
        <v>51</v>
      </c>
      <c r="AQ9" s="42" t="s">
        <v>16</v>
      </c>
      <c r="AZ9" s="41">
        <v>800.0</v>
      </c>
      <c r="BF9" s="42" t="s">
        <v>66</v>
      </c>
      <c r="BG9" s="42" t="s">
        <v>67</v>
      </c>
    </row>
    <row r="10" ht="15.75" customHeight="1">
      <c r="A10" s="8"/>
      <c r="B10" s="8"/>
      <c r="C10" s="42" t="s">
        <v>16</v>
      </c>
      <c r="D10" s="49">
        <v>1670.0</v>
      </c>
      <c r="E10" s="42" t="s">
        <v>19</v>
      </c>
      <c r="F10" s="42" t="s">
        <v>72</v>
      </c>
      <c r="G10" s="41">
        <v>1.0</v>
      </c>
      <c r="H10" s="42" t="s">
        <v>51</v>
      </c>
      <c r="I10" s="49">
        <v>1670.0</v>
      </c>
      <c r="J10" s="8"/>
      <c r="K10" s="49">
        <v>1670.0</v>
      </c>
      <c r="L10" s="8"/>
      <c r="M10" s="8"/>
      <c r="N10" s="8"/>
      <c r="O10" s="42" t="s">
        <v>52</v>
      </c>
      <c r="R10" s="42" t="s">
        <v>40</v>
      </c>
      <c r="S10" s="42" t="s">
        <v>53</v>
      </c>
      <c r="T10" s="42" t="s">
        <v>38</v>
      </c>
      <c r="U10" s="42" t="s">
        <v>45</v>
      </c>
      <c r="V10" s="42" t="s">
        <v>42</v>
      </c>
      <c r="W10" s="42" t="s">
        <v>27</v>
      </c>
      <c r="X10" s="41">
        <v>1.0</v>
      </c>
      <c r="Y10" s="41">
        <v>1.0</v>
      </c>
      <c r="AJ10" s="41">
        <v>392.94</v>
      </c>
      <c r="AN10" s="42" t="s">
        <v>17</v>
      </c>
      <c r="AP10" s="42" t="s">
        <v>51</v>
      </c>
      <c r="AQ10" s="42" t="s">
        <v>16</v>
      </c>
      <c r="AZ10" s="49">
        <v>1670.0</v>
      </c>
      <c r="BF10" s="42" t="s">
        <v>66</v>
      </c>
      <c r="BG10" s="42" t="s">
        <v>67</v>
      </c>
    </row>
    <row r="11" ht="15.75" customHeight="1">
      <c r="A11" s="8"/>
      <c r="B11" s="8"/>
      <c r="C11" s="42" t="s">
        <v>22</v>
      </c>
      <c r="D11" s="49">
        <v>-1764.0</v>
      </c>
      <c r="E11" s="42" t="s">
        <v>19</v>
      </c>
      <c r="F11" s="42" t="s">
        <v>72</v>
      </c>
      <c r="G11" s="41">
        <v>1.0</v>
      </c>
      <c r="H11" s="42" t="s">
        <v>68</v>
      </c>
      <c r="I11" s="49">
        <v>-1764.0</v>
      </c>
      <c r="J11" s="8"/>
      <c r="K11" s="49">
        <v>-1764.0</v>
      </c>
      <c r="L11" s="8"/>
      <c r="M11" s="8"/>
      <c r="N11" s="8"/>
      <c r="O11" s="42" t="s">
        <v>69</v>
      </c>
      <c r="R11" s="42" t="s">
        <v>40</v>
      </c>
      <c r="S11" s="42" t="s">
        <v>53</v>
      </c>
      <c r="T11" s="42" t="s">
        <v>38</v>
      </c>
      <c r="U11" s="42" t="s">
        <v>45</v>
      </c>
      <c r="V11" s="42" t="s">
        <v>42</v>
      </c>
      <c r="W11" s="42" t="s">
        <v>27</v>
      </c>
      <c r="X11" s="41">
        <v>1.0</v>
      </c>
      <c r="Y11" s="41">
        <v>1.0</v>
      </c>
      <c r="AJ11" s="41">
        <v>-415.06</v>
      </c>
      <c r="AN11" s="42" t="s">
        <v>23</v>
      </c>
      <c r="AP11" s="42" t="s">
        <v>51</v>
      </c>
      <c r="AQ11" s="42" t="s">
        <v>22</v>
      </c>
      <c r="AZ11" s="49">
        <v>-1764.0</v>
      </c>
      <c r="BF11" s="42" t="s">
        <v>70</v>
      </c>
      <c r="BG11" s="42" t="s">
        <v>71</v>
      </c>
    </row>
    <row r="12" ht="15.75" customHeight="1">
      <c r="A12" s="8"/>
      <c r="B12" s="8"/>
      <c r="C12" s="42" t="s">
        <v>16</v>
      </c>
      <c r="D12" s="41">
        <v>801.0</v>
      </c>
      <c r="E12" s="42" t="s">
        <v>20</v>
      </c>
      <c r="F12" s="42" t="s">
        <v>64</v>
      </c>
      <c r="G12" s="41">
        <v>1.0</v>
      </c>
      <c r="H12" s="42" t="s">
        <v>51</v>
      </c>
      <c r="I12" s="41">
        <v>801.0</v>
      </c>
      <c r="J12" s="8"/>
      <c r="K12" s="41">
        <v>801.0</v>
      </c>
      <c r="L12" s="8"/>
      <c r="M12" s="8"/>
      <c r="N12" s="8"/>
      <c r="O12" s="42" t="s">
        <v>52</v>
      </c>
      <c r="R12" s="42" t="s">
        <v>40</v>
      </c>
      <c r="S12" s="42" t="s">
        <v>53</v>
      </c>
      <c r="T12" s="42" t="s">
        <v>38</v>
      </c>
      <c r="U12" s="42" t="s">
        <v>45</v>
      </c>
      <c r="V12" s="42" t="s">
        <v>42</v>
      </c>
      <c r="W12" s="42" t="s">
        <v>27</v>
      </c>
      <c r="X12" s="41">
        <v>1.0</v>
      </c>
      <c r="Y12" s="41">
        <v>1.0</v>
      </c>
      <c r="AJ12" s="41">
        <v>188.47</v>
      </c>
      <c r="AN12" s="42" t="s">
        <v>17</v>
      </c>
      <c r="AP12" s="42" t="s">
        <v>51</v>
      </c>
      <c r="AQ12" s="42" t="s">
        <v>16</v>
      </c>
      <c r="AZ12" s="41">
        <v>801.0</v>
      </c>
      <c r="BF12" s="42" t="s">
        <v>66</v>
      </c>
      <c r="BG12" s="42" t="s">
        <v>67</v>
      </c>
    </row>
    <row r="13" ht="15.75" customHeight="1">
      <c r="A13" s="8"/>
      <c r="B13" s="8"/>
      <c r="C13" s="42" t="s">
        <v>16</v>
      </c>
      <c r="D13" s="49">
        <v>2083.0</v>
      </c>
      <c r="E13" s="42" t="s">
        <v>20</v>
      </c>
      <c r="F13" s="42" t="s">
        <v>64</v>
      </c>
      <c r="G13" s="41">
        <v>1.0</v>
      </c>
      <c r="H13" s="42" t="s">
        <v>51</v>
      </c>
      <c r="I13" s="49">
        <v>2083.0</v>
      </c>
      <c r="J13" s="8"/>
      <c r="K13" s="49">
        <v>2083.0</v>
      </c>
      <c r="L13" s="8"/>
      <c r="M13" s="8"/>
      <c r="N13" s="8"/>
      <c r="O13" s="42" t="s">
        <v>52</v>
      </c>
      <c r="R13" s="42" t="s">
        <v>40</v>
      </c>
      <c r="S13" s="42" t="s">
        <v>53</v>
      </c>
      <c r="T13" s="42" t="s">
        <v>38</v>
      </c>
      <c r="U13" s="42" t="s">
        <v>45</v>
      </c>
      <c r="V13" s="42" t="s">
        <v>42</v>
      </c>
      <c r="W13" s="42" t="s">
        <v>27</v>
      </c>
      <c r="X13" s="41">
        <v>1.0</v>
      </c>
      <c r="Y13" s="41">
        <v>1.0</v>
      </c>
      <c r="AJ13" s="41">
        <v>490.12</v>
      </c>
      <c r="AN13" s="42" t="s">
        <v>17</v>
      </c>
      <c r="AP13" s="42" t="s">
        <v>51</v>
      </c>
      <c r="AQ13" s="42" t="s">
        <v>16</v>
      </c>
      <c r="AZ13" s="49">
        <v>2083.0</v>
      </c>
      <c r="BF13" s="42" t="s">
        <v>66</v>
      </c>
      <c r="BG13" s="42" t="s">
        <v>67</v>
      </c>
    </row>
    <row r="14" ht="15.75" customHeight="1">
      <c r="A14" s="8"/>
      <c r="B14" s="8"/>
      <c r="C14" s="42" t="s">
        <v>22</v>
      </c>
      <c r="D14" s="49">
        <v>-2060.0</v>
      </c>
      <c r="E14" s="42" t="s">
        <v>20</v>
      </c>
      <c r="F14" s="42" t="s">
        <v>64</v>
      </c>
      <c r="G14" s="41">
        <v>1.0</v>
      </c>
      <c r="H14" s="42" t="s">
        <v>68</v>
      </c>
      <c r="I14" s="49">
        <v>-2060.0</v>
      </c>
      <c r="J14" s="8"/>
      <c r="K14" s="49">
        <v>-2060.0</v>
      </c>
      <c r="L14" s="8"/>
      <c r="M14" s="8"/>
      <c r="N14" s="8"/>
      <c r="O14" s="42" t="s">
        <v>69</v>
      </c>
      <c r="R14" s="42" t="s">
        <v>40</v>
      </c>
      <c r="S14" s="42" t="s">
        <v>53</v>
      </c>
      <c r="T14" s="42" t="s">
        <v>38</v>
      </c>
      <c r="U14" s="42" t="s">
        <v>45</v>
      </c>
      <c r="V14" s="42" t="s">
        <v>42</v>
      </c>
      <c r="W14" s="42" t="s">
        <v>27</v>
      </c>
      <c r="X14" s="41">
        <v>1.0</v>
      </c>
      <c r="Y14" s="41">
        <v>1.0</v>
      </c>
      <c r="AJ14" s="41">
        <v>-484.71</v>
      </c>
      <c r="AN14" s="42" t="s">
        <v>23</v>
      </c>
      <c r="AP14" s="42" t="s">
        <v>51</v>
      </c>
      <c r="AQ14" s="42" t="s">
        <v>22</v>
      </c>
      <c r="AZ14" s="49">
        <v>-2060.0</v>
      </c>
      <c r="BF14" s="42" t="s">
        <v>70</v>
      </c>
      <c r="BG14" s="42" t="s">
        <v>71</v>
      </c>
    </row>
    <row r="15" ht="15.75" customHeight="1">
      <c r="A15" s="8"/>
      <c r="B15" s="8"/>
      <c r="C15" s="8"/>
      <c r="D15" s="8"/>
      <c r="E15" s="8"/>
      <c r="F15" s="8"/>
      <c r="G15" s="44"/>
      <c r="H15" s="8"/>
      <c r="I15" s="8"/>
      <c r="J15" s="8"/>
      <c r="K15" s="8"/>
      <c r="L15" s="8"/>
      <c r="M15" s="8"/>
      <c r="N15" s="8"/>
      <c r="O15" s="8"/>
      <c r="R15" s="44"/>
      <c r="V15" s="44"/>
      <c r="W15" s="44"/>
      <c r="X15" s="44"/>
      <c r="AP15" s="44"/>
      <c r="AQ15" s="4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