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yEndCash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<sst xmlns="http://schemas.openxmlformats.org/spreadsheetml/2006/main" count="202" uniqueCount="56">
  <si>
    <t>Settings</t>
  </si>
  <si>
    <t>Modules Info</t>
  </si>
  <si>
    <t>Master Data Info</t>
  </si>
  <si>
    <t>Modules</t>
  </si>
  <si>
    <t>Module Step Setting File</t>
  </si>
  <si>
    <t>1sG6uB28jAaiyaldDeMtbboQN41jJ2tAmE2rg6U9qH5o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</si>
  <si>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</si>
  <si>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</si>
  <si>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</si>
  <si>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</si>
  <si>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</si>
  <si>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</si>
  <si>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</si>
  <si>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</si>
  <si>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</si>
  <si>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</si>
  <si>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</si>
  <si>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</si>
  <si>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EF828225</t>
  </si>
  <si>
    <t>Buy</t>
  </si>
  <si>
    <t>Allocation1</t>
  </si>
  <si>
    <t>Flat Amount</t>
  </si>
  <si>
    <t>EI431750</t>
  </si>
  <si>
    <t>UpdateMarkPrice</t>
  </si>
  <si>
    <t>GetForexConversion</t>
  </si>
  <si>
    <t>UpdateForexConversion</t>
  </si>
  <si>
    <t>AUD</t>
  </si>
  <si>
    <t>USD</t>
  </si>
  <si>
    <t>AUD AO-FX</t>
  </si>
  <si>
    <t>PricingInput</t>
  </si>
  <si>
    <t>EI060572</t>
  </si>
  <si>
    <t>GeneralLedger</t>
  </si>
  <si>
    <t>GetDayEndCash</t>
  </si>
  <si>
    <t>EP009370</t>
  </si>
  <si>
    <t>NewMF</t>
  </si>
  <si>
    <t>PortfolioManagement</t>
  </si>
  <si>
    <t>CheckPortfolioManagement</t>
  </si>
  <si>
    <t>Long</t>
  </si>
  <si>
    <t>FIMAT</t>
  </si>
  <si>
    <t>Strategy Unallocated</t>
  </si>
  <si>
    <t>FixedIncome</t>
  </si>
  <si>
    <t>EmergingDebt</t>
  </si>
  <si>
    <t>OTC</t>
  </si>
  <si>
    <t/>
  </si>
  <si>
    <t>BrokerNotes</t>
  </si>
  <si>
    <t>DefaultNotes</t>
  </si>
  <si>
    <t>Undefined</t>
  </si>
  <si>
    <t>jpearce</t>
  </si>
  <si>
    <t>MS</t>
  </si>
  <si>
    <t>NZFCND0004S9</t>
  </si>
  <si>
    <t>None</t>
  </si>
  <si>
    <t>Default</t>
  </si>
  <si>
    <t>UK</t>
  </si>
  <si>
    <t>NUFAU FLOAT 4/29/49</t>
  </si>
  <si>
    <t>Yes</t>
  </si>
  <si>
    <t>XS0549452992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</si>
</sst>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2" fontId="2" numFmtId="4" xfId="0" applyAlignment="1" applyFont="1" applyNumberFormat="1">
      <alignment horizontal="center" shrinkToFit="0" wrapText="0"/>
    </xf>
    <xf borderId="1" fillId="2" fontId="2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14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readingOrder="0" vertical="bottom"/>
    </xf>
    <xf borderId="0" fillId="0" fontId="14" numFmtId="4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9" t="s">
        <v>5</v>
      </c>
      <c r="C3" s="7"/>
    </row>
    <row r="4" ht="15.75" customHeight="1">
      <c r="A4" s="11" t="s">
        <v>6</v>
      </c>
      <c r="B4" s="9" t="s">
        <v>7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1" t="s">
        <v>8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1" t="s">
        <v>18</v>
      </c>
      <c r="C6" s="32" t="s">
        <v>19</v>
      </c>
      <c r="D6" s="33">
        <v>100000.0</v>
      </c>
      <c r="E6" s="30"/>
      <c r="F6" s="32" t="s">
        <v>20</v>
      </c>
      <c r="G6" s="7"/>
      <c r="H6" s="7"/>
      <c r="I6" s="7"/>
      <c r="J6" s="34">
        <v>5.0</v>
      </c>
      <c r="K6" s="7"/>
      <c r="L6" s="7"/>
      <c r="M6" s="7"/>
      <c r="N6" s="29">
        <f t="shared" ref="N6:N7" si="1">today()-1</f>
        <v>43752</v>
      </c>
      <c r="O6" s="9">
        <v>0.625</v>
      </c>
      <c r="R6" s="35" t="s">
        <v>21</v>
      </c>
      <c r="S6" s="34">
        <v>20.0</v>
      </c>
    </row>
    <row r="7" ht="15.75" customHeight="1">
      <c r="A7" s="7"/>
      <c r="B7" s="31" t="s">
        <v>22</v>
      </c>
      <c r="C7" s="31" t="s">
        <v>19</v>
      </c>
      <c r="D7" s="34">
        <v>100000.0</v>
      </c>
      <c r="E7" s="7"/>
      <c r="F7" s="32" t="s">
        <v>20</v>
      </c>
      <c r="G7" s="7"/>
      <c r="H7" s="7"/>
      <c r="I7" s="7"/>
      <c r="J7" s="34">
        <v>8.0</v>
      </c>
      <c r="K7" s="7"/>
      <c r="L7" s="7"/>
      <c r="M7" s="7"/>
      <c r="N7" s="29">
        <f t="shared" si="1"/>
        <v>43752</v>
      </c>
      <c r="O7" s="7"/>
      <c r="R7" s="35" t="s">
        <v>21</v>
      </c>
      <c r="S7" s="34">
        <v>26.0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17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f>today()-1</f>
        <v>43752</v>
      </c>
      <c r="C6" s="29">
        <f>today()</f>
        <v>43753</v>
      </c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1" t="s">
        <v>18</v>
      </c>
      <c r="C6" s="34">
        <v>6.0</v>
      </c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">
        <v>22</v>
      </c>
      <c r="C7" s="34">
        <v>7.0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24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f t="shared" ref="B6:C6" si="1">today()-1</f>
        <v>43752</v>
      </c>
      <c r="C6" s="29">
        <f t="shared" si="1"/>
        <v>43752</v>
      </c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16</v>
      </c>
      <c r="D3" s="8" t="s">
        <v>9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26</v>
      </c>
      <c r="C6" s="9" t="s">
        <v>27</v>
      </c>
      <c r="D6" s="9" t="s">
        <v>28</v>
      </c>
      <c r="E6" s="9">
        <v>0.626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29</v>
      </c>
      <c r="D3" s="8" t="s">
        <v>9</v>
      </c>
      <c r="E3" s="21" t="s">
        <v>29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6" t="s">
        <v>30</v>
      </c>
      <c r="C6" s="34">
        <v>7.0</v>
      </c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7" t="s">
        <v>33</v>
      </c>
      <c r="C7" s="34">
        <v>8.0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8</v>
      </c>
      <c r="C3" s="21" t="s">
        <v>31</v>
      </c>
      <c r="D3" s="8" t="s">
        <v>9</v>
      </c>
      <c r="E3" s="21" t="s">
        <v>32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34</v>
      </c>
      <c r="C6" s="9" t="s">
        <v>20</v>
      </c>
      <c r="D6" s="29">
        <v>43775.0</v>
      </c>
      <c r="E6" s="29">
        <v>43775.0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20.0"/>
    <col customWidth="1" min="11" max="11" width="17.43"/>
    <col customWidth="1" min="12" max="12" width="24.57"/>
    <col customWidth="1" min="13" max="13" width="33.0"/>
    <col customWidth="1" min="14" max="14" width="14.43"/>
    <col customWidth="1" min="15" max="15" width="24.57"/>
    <col customWidth="1" min="16" max="29" width="14.43"/>
    <col customWidth="1" min="30" max="30" width="20.0"/>
    <col customWidth="1" min="31" max="35" width="14.43"/>
    <col customWidth="1" min="36" max="36" width="25.29"/>
    <col customWidth="1" min="37" max="81" width="14.43"/>
    <col customWidth="1" min="82" max="82" width="17.0"/>
    <col customWidth="1" min="83" max="84" width="14.43"/>
    <col customWidth="1" min="85" max="85" width="22.57"/>
    <col customWidth="1" min="86" max="136" width="14.43"/>
    <col customWidth="1" min="137" max="137" width="31.29"/>
    <col customWidth="1" min="138" max="166" width="14.43"/>
  </cols>
  <sheetData>
    <row r="1" ht="15.75" customHeight="1">
      <c r="A1" s="38"/>
      <c r="B1" s="39" t="s">
        <v>11</v>
      </c>
      <c r="C1" s="4"/>
      <c r="D1" s="4"/>
      <c r="E1" s="4"/>
      <c r="F1" s="4"/>
      <c r="G1" s="4"/>
      <c r="H1" s="5"/>
      <c r="I1" s="38"/>
      <c r="J1" s="38"/>
      <c r="K1" s="38"/>
      <c r="L1" s="38"/>
      <c r="M1" s="38"/>
      <c r="N1" s="38"/>
      <c r="O1" s="38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</row>
    <row r="2" ht="15.75" customHeight="1">
      <c r="A2" s="41"/>
      <c r="B2" s="41"/>
      <c r="C2" s="41"/>
      <c r="D2" s="41"/>
      <c r="E2" s="41"/>
      <c r="F2" s="41"/>
      <c r="G2" s="41"/>
      <c r="H2" s="41"/>
      <c r="I2" s="41"/>
      <c r="J2" s="42" t="str">
        <f> VLOOKUP($E$3,'_MasterData'!B4:D1000,3,FALSE)</f>
        <v>#N/A</v>
      </c>
      <c r="K2" s="42"/>
      <c r="L2" s="41"/>
      <c r="M2" s="41"/>
      <c r="N2" s="41"/>
      <c r="O2" s="41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</row>
    <row r="3" ht="15.75" customHeight="1">
      <c r="A3" s="44"/>
      <c r="B3" s="45" t="s">
        <v>8</v>
      </c>
      <c r="C3" s="46" t="s">
        <v>35</v>
      </c>
      <c r="D3" s="45" t="s">
        <v>9</v>
      </c>
      <c r="E3" s="46" t="s">
        <v>36</v>
      </c>
      <c r="F3" s="45" t="s">
        <v>14</v>
      </c>
      <c r="G3" s="47" t="s">
        <v>15</v>
      </c>
      <c r="H3" s="45"/>
      <c r="I3" s="44"/>
      <c r="J3" s="44"/>
      <c r="K3" s="44"/>
      <c r="L3" s="44"/>
      <c r="M3" s="44"/>
      <c r="N3" s="44"/>
      <c r="O3" s="44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</row>
    <row r="4" ht="15.75" customHeight="1">
      <c r="A4" s="49"/>
      <c r="B4" s="49" t="str">
        <f>IFERROR(__xludf.DUMMYFUNCTION("IF(C3="""","""",Transpose(IMPORTRANGE('_Settings'!$B$3,C3&amp;""!A4:A1000"")))"),"CheckDashboardPM")</f>
        <v>CheckDashboardPM</v>
      </c>
      <c r="C4" s="49" t="str">
        <f>IFERROR(__xludf.DUMMYFUNCTION("""COMPUTED_VALUE"""),"CheckPortfolioManagement")</f>
        <v>CheckPortfolioManagement</v>
      </c>
      <c r="D4" s="49" t="str">
        <f>IFERROR(__xludf.DUMMYFUNCTION("""COMPUTED_VALUE"""),"OpenPSTFromPM")</f>
        <v>OpenPSTFromPM</v>
      </c>
      <c r="E4" s="49" t="str">
        <f>IFERROR(__xludf.DUMMYFUNCTION("""COMPUTED_VALUE"""),"ClosePM")</f>
        <v>ClosePM</v>
      </c>
      <c r="F4" s="49" t="str">
        <f>IFERROR(__xludf.DUMMYFUNCTION("""COMPUTED_VALUE"""),"FilterPM")</f>
        <v>FilterPM</v>
      </c>
      <c r="G4" s="49" t="str">
        <f>IFERROR(__xludf.DUMMYFUNCTION("""COMPUTED_VALUE"""),"GroupRowPM")</f>
        <v>GroupRowPM</v>
      </c>
      <c r="H4" s="49" t="str">
        <f>IFERROR(__xludf.DUMMYFUNCTION("""COMPUTED_VALUE"""),"CheckDashboardWithPM")</f>
        <v>CheckDashboardWithPM</v>
      </c>
      <c r="I4" s="49" t="str">
        <f>IFERROR(__xludf.DUMMYFUNCTION("""COMPUTED_VALUE"""),"RemoveFilterPM")</f>
        <v>RemoveFilterPM</v>
      </c>
      <c r="J4" s="49" t="str">
        <f>IFERROR(__xludf.DUMMYFUNCTION("""COMPUTED_VALUE"""),"CheckSummaryRowsPM")</f>
        <v>CheckSummaryRowsPM</v>
      </c>
      <c r="K4" s="49" t="str">
        <f>IFERROR(__xludf.DUMMYFUNCTION("""COMPUTED_VALUE"""),"OpenPTTFromPM")</f>
        <v>OpenPTTFromPM</v>
      </c>
      <c r="L4" s="49" t="str">
        <f>IFERROR(__xludf.DUMMYFUNCTION("""COMPUTED_VALUE"""),"OpenCreateTransactionFromPM")</f>
        <v>OpenCreateTransactionFromPM</v>
      </c>
      <c r="M4" s="49" t="str">
        <f>IFERROR(__xludf.DUMMYFUNCTION("""COMPUTED_VALUE"""),"OpenClosingFromPM")</f>
        <v>OpenClosingFromPM</v>
      </c>
      <c r="N4" s="49" t="str">
        <f>IFERROR(__xludf.DUMMYFUNCTION("""COMPUTED_VALUE"""),"OpenCorporateActionFromPM")</f>
        <v>OpenCorporateActionFromPM</v>
      </c>
      <c r="O4" s="49" t="str">
        <f>IFERROR(__xludf.DUMMYFUNCTION("""COMPUTED_VALUE"""),"OpenDailyValuationFromPM")</f>
        <v>OpenDailyValuationFromPM</v>
      </c>
      <c r="P4" s="50" t="str">
        <f>IFERROR(__xludf.DUMMYFUNCTION("""COMPUTED_VALUE"""),"ClosePositionFromPM")</f>
        <v>ClosePositionFromPM</v>
      </c>
      <c r="Q4" s="50" t="str">
        <f>IFERROR(__xludf.DUMMYFUNCTION("""COMPUTED_VALUE"""),"ShowSummaryToolFromPM")</f>
        <v>ShowSummaryToolFromPM</v>
      </c>
      <c r="R4" s="50" t="str">
        <f>IFERROR(__xludf.DUMMYFUNCTION("""COMPUTED_VALUE"""),"HideSummaryToolFromPM")</f>
        <v>HideSummaryToolFromPM</v>
      </c>
      <c r="S4" s="50" t="str">
        <f>IFERROR(__xludf.DUMMYFUNCTION("""COMPUTED_VALUE"""),"CloseAccountPositionFromPM")</f>
        <v>CloseAccountPositionFromPM</v>
      </c>
      <c r="T4" s="50" t="str">
        <f>IFERROR(__xludf.DUMMYFUNCTION("""COMPUTED_VALUE"""),"CloseSelectedTaxlotsFromPM")</f>
        <v>CloseSelectedTaxlotsFromPM</v>
      </c>
      <c r="U4" s="50" t="str">
        <f>IFERROR(__xludf.DUMMYFUNCTION("""COMPUTED_VALUE"""),"ExpandCollapsePM")</f>
        <v>ExpandCollapsePM</v>
      </c>
      <c r="V4" s="50" t="str">
        <f>IFERROR(__xludf.DUMMYFUNCTION("""COMPUTED_VALUE"""),"AddCustomViewPM")</f>
        <v>AddCustomViewPM</v>
      </c>
      <c r="W4" s="50" t="str">
        <f>IFERROR(__xludf.DUMMYFUNCTION("""COMPUTED_VALUE"""),"AddCustomViewRightClickPM")</f>
        <v>AddCustomViewRightClickPM</v>
      </c>
      <c r="X4" s="50" t="str">
        <f>IFERROR(__xludf.DUMMYFUNCTION("""COMPUTED_VALUE"""),"RenameCustomViewPM")</f>
        <v>RenameCustomViewPM</v>
      </c>
      <c r="Y4" s="50" t="str">
        <f>IFERROR(__xludf.DUMMYFUNCTION("""COMPUTED_VALUE"""),"DeleteCustomViewPM")</f>
        <v>DeleteCustomViewPM</v>
      </c>
      <c r="Z4" s="50" t="str">
        <f>IFERROR(__xludf.DUMMYFUNCTION("""COMPUTED_VALUE"""),"")</f>
        <v/>
      </c>
      <c r="AA4" s="50" t="str">
        <f>IFERROR(__xludf.DUMMYFUNCTION("""COMPUTED_VALUE"""),"")</f>
        <v/>
      </c>
      <c r="AB4" s="50" t="str">
        <f>IFERROR(__xludf.DUMMYFUNCTION("""COMPUTED_VALUE"""),"")</f>
        <v/>
      </c>
      <c r="AC4" s="50" t="str">
        <f>IFERROR(__xludf.DUMMYFUNCTION("""COMPUTED_VALUE"""),"")</f>
        <v/>
      </c>
      <c r="AD4" s="50" t="str">
        <f>IFERROR(__xludf.DUMMYFUNCTION("""COMPUTED_VALUE"""),"")</f>
        <v/>
      </c>
      <c r="AE4" s="50" t="str">
        <f>IFERROR(__xludf.DUMMYFUNCTION("""COMPUTED_VALUE"""),"")</f>
        <v/>
      </c>
      <c r="AF4" s="50" t="str">
        <f>IFERROR(__xludf.DUMMYFUNCTION("""COMPUTED_VALUE"""),"")</f>
        <v/>
      </c>
      <c r="AG4" s="50" t="str">
        <f>IFERROR(__xludf.DUMMYFUNCTION("""COMPUTED_VALUE"""),"")</f>
        <v/>
      </c>
      <c r="AH4" s="50" t="str">
        <f>IFERROR(__xludf.DUMMYFUNCTION("""COMPUTED_VALUE"""),"")</f>
        <v/>
      </c>
      <c r="AI4" s="50" t="str">
        <f>IFERROR(__xludf.DUMMYFUNCTION("""COMPUTED_VALUE"""),"")</f>
        <v/>
      </c>
      <c r="AJ4" s="50" t="str">
        <f>IFERROR(__xludf.DUMMYFUNCTION("""COMPUTED_VALUE"""),"")</f>
        <v/>
      </c>
      <c r="AK4" s="50" t="str">
        <f>IFERROR(__xludf.DUMMYFUNCTION("""COMPUTED_VALUE"""),"")</f>
        <v/>
      </c>
      <c r="AL4" s="50" t="str">
        <f>IFERROR(__xludf.DUMMYFUNCTION("""COMPUTED_VALUE"""),"")</f>
        <v/>
      </c>
      <c r="AM4" s="50" t="str">
        <f>IFERROR(__xludf.DUMMYFUNCTION("""COMPUTED_VALUE"""),"")</f>
        <v/>
      </c>
      <c r="AN4" s="50" t="str">
        <f>IFERROR(__xludf.DUMMYFUNCTION("""COMPUTED_VALUE"""),"")</f>
        <v/>
      </c>
      <c r="AO4" s="50" t="str">
        <f>IFERROR(__xludf.DUMMYFUNCTION("""COMPUTED_VALUE"""),"")</f>
        <v/>
      </c>
      <c r="AP4" s="50" t="str">
        <f>IFERROR(__xludf.DUMMYFUNCTION("""COMPUTED_VALUE"""),"")</f>
        <v/>
      </c>
      <c r="AQ4" s="50" t="str">
        <f>IFERROR(__xludf.DUMMYFUNCTION("""COMPUTED_VALUE"""),"")</f>
        <v/>
      </c>
      <c r="AR4" s="50" t="str">
        <f>IFERROR(__xludf.DUMMYFUNCTION("""COMPUTED_VALUE"""),"")</f>
        <v/>
      </c>
      <c r="AS4" s="50" t="str">
        <f>IFERROR(__xludf.DUMMYFUNCTION("""COMPUTED_VALUE"""),"")</f>
        <v/>
      </c>
      <c r="AT4" s="50" t="str">
        <f>IFERROR(__xludf.DUMMYFUNCTION("""COMPUTED_VALUE"""),"")</f>
        <v/>
      </c>
      <c r="AU4" s="50" t="str">
        <f>IFERROR(__xludf.DUMMYFUNCTION("""COMPUTED_VALUE"""),"")</f>
        <v/>
      </c>
      <c r="AV4" s="50" t="str">
        <f>IFERROR(__xludf.DUMMYFUNCTION("""COMPUTED_VALUE"""),"")</f>
        <v/>
      </c>
      <c r="AW4" s="50" t="str">
        <f>IFERROR(__xludf.DUMMYFUNCTION("""COMPUTED_VALUE"""),"")</f>
        <v/>
      </c>
      <c r="AX4" s="50" t="str">
        <f>IFERROR(__xludf.DUMMYFUNCTION("""COMPUTED_VALUE"""),"")</f>
        <v/>
      </c>
      <c r="AY4" s="50" t="str">
        <f>IFERROR(__xludf.DUMMYFUNCTION("""COMPUTED_VALUE"""),"")</f>
        <v/>
      </c>
      <c r="AZ4" s="50" t="str">
        <f>IFERROR(__xludf.DUMMYFUNCTION("""COMPUTED_VALUE"""),"")</f>
        <v/>
      </c>
      <c r="BA4" s="50" t="str">
        <f>IFERROR(__xludf.DUMMYFUNCTION("""COMPUTED_VALUE"""),"")</f>
        <v/>
      </c>
      <c r="BB4" s="50" t="str">
        <f>IFERROR(__xludf.DUMMYFUNCTION("""COMPUTED_VALUE"""),"")</f>
        <v/>
      </c>
      <c r="BC4" s="50" t="str">
        <f>IFERROR(__xludf.DUMMYFUNCTION("""COMPUTED_VALUE"""),"")</f>
        <v/>
      </c>
      <c r="BD4" s="50" t="str">
        <f>IFERROR(__xludf.DUMMYFUNCTION("""COMPUTED_VALUE"""),"")</f>
        <v/>
      </c>
      <c r="BE4" s="50" t="str">
        <f>IFERROR(__xludf.DUMMYFUNCTION("""COMPUTED_VALUE"""),"")</f>
        <v/>
      </c>
      <c r="BF4" s="50" t="str">
        <f>IFERROR(__xludf.DUMMYFUNCTION("""COMPUTED_VALUE"""),"")</f>
        <v/>
      </c>
      <c r="BG4" s="50" t="str">
        <f>IFERROR(__xludf.DUMMYFUNCTION("""COMPUTED_VALUE"""),"")</f>
        <v/>
      </c>
      <c r="BH4" s="50" t="str">
        <f>IFERROR(__xludf.DUMMYFUNCTION("""COMPUTED_VALUE"""),"")</f>
        <v/>
      </c>
      <c r="BI4" s="50" t="str">
        <f>IFERROR(__xludf.DUMMYFUNCTION("""COMPUTED_VALUE"""),"")</f>
        <v/>
      </c>
      <c r="BJ4" s="50" t="str">
        <f>IFERROR(__xludf.DUMMYFUNCTION("""COMPUTED_VALUE"""),"")</f>
        <v/>
      </c>
      <c r="BK4" s="50" t="str">
        <f>IFERROR(__xludf.DUMMYFUNCTION("""COMPUTED_VALUE"""),"")</f>
        <v/>
      </c>
      <c r="BL4" s="50" t="str">
        <f>IFERROR(__xludf.DUMMYFUNCTION("""COMPUTED_VALUE"""),"")</f>
        <v/>
      </c>
      <c r="BM4" s="50" t="str">
        <f>IFERROR(__xludf.DUMMYFUNCTION("""COMPUTED_VALUE"""),"")</f>
        <v/>
      </c>
      <c r="BN4" s="50" t="str">
        <f>IFERROR(__xludf.DUMMYFUNCTION("""COMPUTED_VALUE"""),"")</f>
        <v/>
      </c>
      <c r="BO4" s="50" t="str">
        <f>IFERROR(__xludf.DUMMYFUNCTION("""COMPUTED_VALUE"""),"")</f>
        <v/>
      </c>
      <c r="BP4" s="50" t="str">
        <f>IFERROR(__xludf.DUMMYFUNCTION("""COMPUTED_VALUE"""),"")</f>
        <v/>
      </c>
      <c r="BQ4" s="50" t="str">
        <f>IFERROR(__xludf.DUMMYFUNCTION("""COMPUTED_VALUE"""),"")</f>
        <v/>
      </c>
      <c r="BR4" s="50" t="str">
        <f>IFERROR(__xludf.DUMMYFUNCTION("""COMPUTED_VALUE"""),"")</f>
        <v/>
      </c>
      <c r="BS4" s="50" t="str">
        <f>IFERROR(__xludf.DUMMYFUNCTION("""COMPUTED_VALUE"""),"")</f>
        <v/>
      </c>
      <c r="BT4" s="50" t="str">
        <f>IFERROR(__xludf.DUMMYFUNCTION("""COMPUTED_VALUE"""),"")</f>
        <v/>
      </c>
      <c r="BU4" s="50" t="str">
        <f>IFERROR(__xludf.DUMMYFUNCTION("""COMPUTED_VALUE"""),"")</f>
        <v/>
      </c>
      <c r="BV4" s="50" t="str">
        <f>IFERROR(__xludf.DUMMYFUNCTION("""COMPUTED_VALUE"""),"")</f>
        <v/>
      </c>
      <c r="BW4" s="50" t="str">
        <f>IFERROR(__xludf.DUMMYFUNCTION("""COMPUTED_VALUE"""),"")</f>
        <v/>
      </c>
      <c r="BX4" s="50" t="str">
        <f>IFERROR(__xludf.DUMMYFUNCTION("""COMPUTED_VALUE"""),"")</f>
        <v/>
      </c>
      <c r="BY4" s="50" t="str">
        <f>IFERROR(__xludf.DUMMYFUNCTION("""COMPUTED_VALUE"""),"")</f>
        <v/>
      </c>
      <c r="BZ4" s="50" t="str">
        <f>IFERROR(__xludf.DUMMYFUNCTION("""COMPUTED_VALUE"""),"")</f>
        <v/>
      </c>
      <c r="CA4" s="50" t="str">
        <f>IFERROR(__xludf.DUMMYFUNCTION("""COMPUTED_VALUE"""),"")</f>
        <v/>
      </c>
      <c r="CB4" s="50" t="str">
        <f>IFERROR(__xludf.DUMMYFUNCTION("""COMPUTED_VALUE"""),"")</f>
        <v/>
      </c>
      <c r="CC4" s="50" t="str">
        <f>IFERROR(__xludf.DUMMYFUNCTION("""COMPUTED_VALUE"""),"")</f>
        <v/>
      </c>
      <c r="CD4" s="50" t="str">
        <f>IFERROR(__xludf.DUMMYFUNCTION("""COMPUTED_VALUE"""),"")</f>
        <v/>
      </c>
      <c r="CE4" s="50" t="str">
        <f>IFERROR(__xludf.DUMMYFUNCTION("""COMPUTED_VALUE"""),"")</f>
        <v/>
      </c>
      <c r="CF4" s="50" t="str">
        <f>IFERROR(__xludf.DUMMYFUNCTION("""COMPUTED_VALUE"""),"")</f>
        <v/>
      </c>
      <c r="CG4" s="50" t="str">
        <f>IFERROR(__xludf.DUMMYFUNCTION("""COMPUTED_VALUE"""),"")</f>
        <v/>
      </c>
      <c r="CH4" s="50" t="str">
        <f>IFERROR(__xludf.DUMMYFUNCTION("""COMPUTED_VALUE"""),"")</f>
        <v/>
      </c>
      <c r="CI4" s="50" t="str">
        <f>IFERROR(__xludf.DUMMYFUNCTION("""COMPUTED_VALUE"""),"")</f>
        <v/>
      </c>
      <c r="CJ4" s="50" t="str">
        <f>IFERROR(__xludf.DUMMYFUNCTION("""COMPUTED_VALUE"""),"")</f>
        <v/>
      </c>
      <c r="CK4" s="50" t="str">
        <f>IFERROR(__xludf.DUMMYFUNCTION("""COMPUTED_VALUE"""),"")</f>
        <v/>
      </c>
      <c r="CL4" s="50" t="str">
        <f>IFERROR(__xludf.DUMMYFUNCTION("""COMPUTED_VALUE"""),"")</f>
        <v/>
      </c>
      <c r="CM4" s="50" t="str">
        <f>IFERROR(__xludf.DUMMYFUNCTION("""COMPUTED_VALUE"""),"")</f>
        <v/>
      </c>
      <c r="CN4" s="50" t="str">
        <f>IFERROR(__xludf.DUMMYFUNCTION("""COMPUTED_VALUE"""),"")</f>
        <v/>
      </c>
      <c r="CO4" s="50" t="str">
        <f>IFERROR(__xludf.DUMMYFUNCTION("""COMPUTED_VALUE"""),"")</f>
        <v/>
      </c>
      <c r="CP4" s="50" t="str">
        <f>IFERROR(__xludf.DUMMYFUNCTION("""COMPUTED_VALUE"""),"")</f>
        <v/>
      </c>
      <c r="CQ4" s="50" t="str">
        <f>IFERROR(__xludf.DUMMYFUNCTION("""COMPUTED_VALUE"""),"")</f>
        <v/>
      </c>
      <c r="CR4" s="50" t="str">
        <f>IFERROR(__xludf.DUMMYFUNCTION("""COMPUTED_VALUE"""),"")</f>
        <v/>
      </c>
      <c r="CS4" s="50" t="str">
        <f>IFERROR(__xludf.DUMMYFUNCTION("""COMPUTED_VALUE"""),"")</f>
        <v/>
      </c>
      <c r="CT4" s="50" t="str">
        <f>IFERROR(__xludf.DUMMYFUNCTION("""COMPUTED_VALUE"""),"")</f>
        <v/>
      </c>
      <c r="CU4" s="50" t="str">
        <f>IFERROR(__xludf.DUMMYFUNCTION("""COMPUTED_VALUE"""),"")</f>
        <v/>
      </c>
      <c r="CV4" s="50" t="str">
        <f>IFERROR(__xludf.DUMMYFUNCTION("""COMPUTED_VALUE"""),"")</f>
        <v/>
      </c>
      <c r="CW4" s="50" t="str">
        <f>IFERROR(__xludf.DUMMYFUNCTION("""COMPUTED_VALUE"""),"")</f>
        <v/>
      </c>
      <c r="CX4" s="50" t="str">
        <f>IFERROR(__xludf.DUMMYFUNCTION("""COMPUTED_VALUE"""),"")</f>
        <v/>
      </c>
      <c r="CY4" s="50" t="str">
        <f>IFERROR(__xludf.DUMMYFUNCTION("""COMPUTED_VALUE"""),"")</f>
        <v/>
      </c>
      <c r="CZ4" s="50" t="str">
        <f>IFERROR(__xludf.DUMMYFUNCTION("""COMPUTED_VALUE"""),"")</f>
        <v/>
      </c>
      <c r="DA4" s="50" t="str">
        <f>IFERROR(__xludf.DUMMYFUNCTION("""COMPUTED_VALUE"""),"")</f>
        <v/>
      </c>
      <c r="DB4" s="50" t="str">
        <f>IFERROR(__xludf.DUMMYFUNCTION("""COMPUTED_VALUE"""),"")</f>
        <v/>
      </c>
      <c r="DC4" s="50" t="str">
        <f>IFERROR(__xludf.DUMMYFUNCTION("""COMPUTED_VALUE"""),"")</f>
        <v/>
      </c>
      <c r="DD4" s="50" t="str">
        <f>IFERROR(__xludf.DUMMYFUNCTION("""COMPUTED_VALUE"""),"")</f>
        <v/>
      </c>
      <c r="DE4" s="50" t="str">
        <f>IFERROR(__xludf.DUMMYFUNCTION("""COMPUTED_VALUE"""),"")</f>
        <v/>
      </c>
      <c r="DF4" s="50" t="str">
        <f>IFERROR(__xludf.DUMMYFUNCTION("""COMPUTED_VALUE"""),"")</f>
        <v/>
      </c>
      <c r="DG4" s="50" t="str">
        <f>IFERROR(__xludf.DUMMYFUNCTION("""COMPUTED_VALUE"""),"")</f>
        <v/>
      </c>
      <c r="DH4" s="50" t="str">
        <f>IFERROR(__xludf.DUMMYFUNCTION("""COMPUTED_VALUE"""),"")</f>
        <v/>
      </c>
      <c r="DI4" s="50" t="str">
        <f>IFERROR(__xludf.DUMMYFUNCTION("""COMPUTED_VALUE"""),"")</f>
        <v/>
      </c>
      <c r="DJ4" s="50" t="str">
        <f>IFERROR(__xludf.DUMMYFUNCTION("""COMPUTED_VALUE"""),"")</f>
        <v/>
      </c>
      <c r="DK4" s="50" t="str">
        <f>IFERROR(__xludf.DUMMYFUNCTION("""COMPUTED_VALUE"""),"")</f>
        <v/>
      </c>
      <c r="DL4" s="50" t="str">
        <f>IFERROR(__xludf.DUMMYFUNCTION("""COMPUTED_VALUE"""),"")</f>
        <v/>
      </c>
      <c r="DM4" s="50" t="str">
        <f>IFERROR(__xludf.DUMMYFUNCTION("""COMPUTED_VALUE"""),"")</f>
        <v/>
      </c>
      <c r="DN4" s="50" t="str">
        <f>IFERROR(__xludf.DUMMYFUNCTION("""COMPUTED_VALUE"""),"")</f>
        <v/>
      </c>
      <c r="DO4" s="50" t="str">
        <f>IFERROR(__xludf.DUMMYFUNCTION("""COMPUTED_VALUE"""),"")</f>
        <v/>
      </c>
      <c r="DP4" s="50" t="str">
        <f>IFERROR(__xludf.DUMMYFUNCTION("""COMPUTED_VALUE"""),"")</f>
        <v/>
      </c>
      <c r="DQ4" s="50" t="str">
        <f>IFERROR(__xludf.DUMMYFUNCTION("""COMPUTED_VALUE"""),"")</f>
        <v/>
      </c>
      <c r="DR4" s="50" t="str">
        <f>IFERROR(__xludf.DUMMYFUNCTION("""COMPUTED_VALUE"""),"")</f>
        <v/>
      </c>
      <c r="DS4" s="50" t="str">
        <f>IFERROR(__xludf.DUMMYFUNCTION("""COMPUTED_VALUE"""),"")</f>
        <v/>
      </c>
      <c r="DT4" s="50" t="str">
        <f>IFERROR(__xludf.DUMMYFUNCTION("""COMPUTED_VALUE"""),"")</f>
        <v/>
      </c>
      <c r="DU4" s="50" t="str">
        <f>IFERROR(__xludf.DUMMYFUNCTION("""COMPUTED_VALUE"""),"")</f>
        <v/>
      </c>
      <c r="DV4" s="50" t="str">
        <f>IFERROR(__xludf.DUMMYFUNCTION("""COMPUTED_VALUE"""),"")</f>
        <v/>
      </c>
      <c r="DW4" s="50" t="str">
        <f>IFERROR(__xludf.DUMMYFUNCTION("""COMPUTED_VALUE"""),"")</f>
        <v/>
      </c>
      <c r="DX4" s="50" t="str">
        <f>IFERROR(__xludf.DUMMYFUNCTION("""COMPUTED_VALUE"""),"")</f>
        <v/>
      </c>
      <c r="DY4" s="50" t="str">
        <f>IFERROR(__xludf.DUMMYFUNCTION("""COMPUTED_VALUE"""),"")</f>
        <v/>
      </c>
      <c r="DZ4" s="50" t="str">
        <f>IFERROR(__xludf.DUMMYFUNCTION("""COMPUTED_VALUE"""),"")</f>
        <v/>
      </c>
      <c r="EA4" s="50" t="str">
        <f>IFERROR(__xludf.DUMMYFUNCTION("""COMPUTED_VALUE"""),"")</f>
        <v/>
      </c>
      <c r="EB4" s="50" t="str">
        <f>IFERROR(__xludf.DUMMYFUNCTION("""COMPUTED_VALUE"""),"")</f>
        <v/>
      </c>
      <c r="EC4" s="50" t="str">
        <f>IFERROR(__xludf.DUMMYFUNCTION("""COMPUTED_VALUE"""),"")</f>
        <v/>
      </c>
      <c r="ED4" s="50" t="str">
        <f>IFERROR(__xludf.DUMMYFUNCTION("""COMPUTED_VALUE"""),"")</f>
        <v/>
      </c>
      <c r="EE4" s="50" t="str">
        <f>IFERROR(__xludf.DUMMYFUNCTION("""COMPUTED_VALUE"""),"")</f>
        <v/>
      </c>
      <c r="EF4" s="50" t="str">
        <f>IFERROR(__xludf.DUMMYFUNCTION("""COMPUTED_VALUE"""),"")</f>
        <v/>
      </c>
      <c r="EG4" s="50" t="str">
        <f>IFERROR(__xludf.DUMMYFUNCTION("""COMPUTED_VALUE"""),"")</f>
        <v/>
      </c>
      <c r="EH4" s="50" t="str">
        <f>IFERROR(__xludf.DUMMYFUNCTION("""COMPUTED_VALUE"""),"")</f>
        <v/>
      </c>
      <c r="EI4" s="50" t="str">
        <f>IFERROR(__xludf.DUMMYFUNCTION("""COMPUTED_VALUE"""),"")</f>
        <v/>
      </c>
      <c r="EJ4" s="50" t="str">
        <f>IFERROR(__xludf.DUMMYFUNCTION("""COMPUTED_VALUE"""),"")</f>
        <v/>
      </c>
      <c r="EK4" s="50" t="str">
        <f>IFERROR(__xludf.DUMMYFUNCTION("""COMPUTED_VALUE"""),"")</f>
        <v/>
      </c>
      <c r="EL4" s="50" t="str">
        <f>IFERROR(__xludf.DUMMYFUNCTION("""COMPUTED_VALUE"""),"")</f>
        <v/>
      </c>
      <c r="EM4" s="50" t="str">
        <f>IFERROR(__xludf.DUMMYFUNCTION("""COMPUTED_VALUE"""),"")</f>
        <v/>
      </c>
      <c r="EN4" s="50" t="str">
        <f>IFERROR(__xludf.DUMMYFUNCTION("""COMPUTED_VALUE"""),"")</f>
        <v/>
      </c>
      <c r="EO4" s="50" t="str">
        <f>IFERROR(__xludf.DUMMYFUNCTION("""COMPUTED_VALUE"""),"")</f>
        <v/>
      </c>
      <c r="EP4" s="50" t="str">
        <f>IFERROR(__xludf.DUMMYFUNCTION("""COMPUTED_VALUE"""),"")</f>
        <v/>
      </c>
      <c r="EQ4" s="50" t="str">
        <f>IFERROR(__xludf.DUMMYFUNCTION("""COMPUTED_VALUE"""),"")</f>
        <v/>
      </c>
      <c r="ER4" s="50" t="str">
        <f>IFERROR(__xludf.DUMMYFUNCTION("""COMPUTED_VALUE"""),"")</f>
        <v/>
      </c>
      <c r="ES4" s="50" t="str">
        <f>IFERROR(__xludf.DUMMYFUNCTION("""COMPUTED_VALUE"""),"")</f>
        <v/>
      </c>
      <c r="ET4" s="50" t="str">
        <f>IFERROR(__xludf.DUMMYFUNCTION("""COMPUTED_VALUE"""),"")</f>
        <v/>
      </c>
      <c r="EU4" s="50" t="str">
        <f>IFERROR(__xludf.DUMMYFUNCTION("""COMPUTED_VALUE"""),"")</f>
        <v/>
      </c>
      <c r="EV4" s="50" t="str">
        <f>IFERROR(__xludf.DUMMYFUNCTION("""COMPUTED_VALUE"""),"")</f>
        <v/>
      </c>
      <c r="EW4" s="50" t="str">
        <f>IFERROR(__xludf.DUMMYFUNCTION("""COMPUTED_VALUE"""),"")</f>
        <v/>
      </c>
      <c r="EX4" s="50" t="str">
        <f>IFERROR(__xludf.DUMMYFUNCTION("""COMPUTED_VALUE"""),"")</f>
        <v/>
      </c>
      <c r="EY4" s="50" t="str">
        <f>IFERROR(__xludf.DUMMYFUNCTION("""COMPUTED_VALUE"""),"")</f>
        <v/>
      </c>
      <c r="EZ4" s="50" t="str">
        <f>IFERROR(__xludf.DUMMYFUNCTION("""COMPUTED_VALUE"""),"")</f>
        <v/>
      </c>
      <c r="FA4" s="50" t="str">
        <f>IFERROR(__xludf.DUMMYFUNCTION("""COMPUTED_VALUE"""),"")</f>
        <v/>
      </c>
      <c r="FB4" s="50" t="str">
        <f>IFERROR(__xludf.DUMMYFUNCTION("""COMPUTED_VALUE"""),"")</f>
        <v/>
      </c>
      <c r="FC4" s="50" t="str">
        <f>IFERROR(__xludf.DUMMYFUNCTION("""COMPUTED_VALUE"""),"")</f>
        <v/>
      </c>
      <c r="FD4" s="50" t="str">
        <f>IFERROR(__xludf.DUMMYFUNCTION("""COMPUTED_VALUE"""),"")</f>
        <v/>
      </c>
      <c r="FE4" s="50" t="str">
        <f>IFERROR(__xludf.DUMMYFUNCTION("""COMPUTED_VALUE"""),"")</f>
        <v/>
      </c>
      <c r="FF4" s="50" t="str">
        <f>IFERROR(__xludf.DUMMYFUNCTION("""COMPUTED_VALUE"""),"")</f>
        <v/>
      </c>
      <c r="FG4" s="50" t="str">
        <f>IFERROR(__xludf.DUMMYFUNCTION("""COMPUTED_VALUE"""),"")</f>
        <v/>
      </c>
      <c r="FH4" s="50" t="str">
        <f>IFERROR(__xludf.DUMMYFUNCTION("""COMPUTED_VALUE"""),"")</f>
        <v/>
      </c>
      <c r="FI4" s="50" t="str">
        <f>IFERROR(__xludf.DUMMYFUNCTION("""COMPUTED_VALUE"""),"")</f>
        <v/>
      </c>
      <c r="FJ4" s="50" t="str">
        <f>IFERROR(__xludf.DUMMYFUNCTION("""COMPUTED_VALUE"""),"")</f>
        <v/>
      </c>
    </row>
    <row r="5" ht="15.75" customHeight="1">
      <c r="A5" s="51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IFERROR(__xludf.DUMMYFUNCTION("""COMPUTED_VALUE"""),"Trade Date")</f>
        <v>Trade Date</v>
      </c>
      <c r="C5" s="52" t="str">
        <f>IFERROR(__xludf.DUMMYFUNCTION("""COMPUTED_VALUE"""),"Symbol")</f>
        <v>Symbol</v>
      </c>
      <c r="D5" s="52" t="str">
        <f>IFERROR(__xludf.DUMMYFUNCTION("""COMPUTED_VALUE"""),"Position")</f>
        <v>Position</v>
      </c>
      <c r="E5" s="52" t="str">
        <f>IFERROR(__xludf.DUMMYFUNCTION("""COMPUTED_VALUE"""),"Account")</f>
        <v>Account</v>
      </c>
      <c r="F5" s="53" t="str">
        <f>IFERROR(__xludf.DUMMYFUNCTION("""COMPUTED_VALUE"""),"MasterFund")</f>
        <v>MasterFund</v>
      </c>
      <c r="G5" s="52" t="str">
        <f>IFERROR(__xludf.DUMMYFUNCTION("""COMPUTED_VALUE"""),"Cost Basis")</f>
        <v>Cost Basis</v>
      </c>
      <c r="H5" s="52" t="str">
        <f>IFERROR(__xludf.DUMMYFUNCTION("""COMPUTED_VALUE"""),"Position Side")</f>
        <v>Position Side</v>
      </c>
      <c r="I5" s="52" t="str">
        <f>IFERROR(__xludf.DUMMYFUNCTION("""COMPUTED_VALUE"""),"Market Value (Base)")</f>
        <v>Market Value (Base)</v>
      </c>
      <c r="J5" s="52" t="str">
        <f>IFERROR(__xludf.DUMMYFUNCTION("""COMPUTED_VALUE"""),"% Day P&amp;L (Gross MV)")</f>
        <v>% Day P&amp;L (Gross MV)</v>
      </c>
      <c r="K5" s="52" t="str">
        <f>IFERROR(__xludf.DUMMYFUNCTION("""COMPUTED_VALUE"""),"Net Exposure (Base)")</f>
        <v>Net Exposure (Base)</v>
      </c>
      <c r="L5" s="52" t="str">
        <f>IFERROR(__xludf.DUMMYFUNCTION("""COMPUTED_VALUE"""),"Beta Adj. Gross Exposure (Base)")</f>
        <v>Beta Adj. Gross Exposure (Base)</v>
      </c>
      <c r="M5" s="52" t="str">
        <f>IFERROR(__xludf.DUMMYFUNCTION("""COMPUTED_VALUE"""),"Beta Adj. Gross Exposure (Underlying) (Base)")</f>
        <v>Beta Adj. Gross Exposure (Underlying) (Base)</v>
      </c>
      <c r="N5" s="52" t="str">
        <f>IFERROR(__xludf.DUMMYFUNCTION("""COMPUTED_VALUE"""),"Day P&amp;L (Base)")</f>
        <v>Day P&amp;L (Base)</v>
      </c>
      <c r="O5" s="52" t="str">
        <f>IFERROR(__xludf.DUMMYFUNCTION("""COMPUTED_VALUE"""),"Security Name")</f>
        <v>Security Name</v>
      </c>
      <c r="P5" s="52" t="str">
        <f>IFERROR(__xludf.DUMMYFUNCTION("""COMPUTED_VALUE"""),"Closing Mark")</f>
        <v>Closing Mark</v>
      </c>
      <c r="Q5" s="52" t="str">
        <f>IFERROR(__xludf.DUMMYFUNCTION("""COMPUTED_VALUE"""),"Cost Basis P&amp;L (Base)")</f>
        <v>Cost Basis P&amp;L (Base)</v>
      </c>
      <c r="R5" s="52" t="str">
        <f>IFERROR(__xludf.DUMMYFUNCTION("""COMPUTED_VALUE"""),"Prime Broker")</f>
        <v>Prime Broker</v>
      </c>
      <c r="S5" s="52" t="str">
        <f>IFERROR(__xludf.DUMMYFUNCTION("""COMPUTED_VALUE"""),"Strategy")</f>
        <v>Strategy</v>
      </c>
      <c r="T5" s="54" t="str">
        <f>IFERROR(__xludf.DUMMYFUNCTION("""COMPUTED_VALUE"""),"Asset Class")</f>
        <v>Asset Class</v>
      </c>
      <c r="U5" s="54" t="str">
        <f>IFERROR(__xludf.DUMMYFUNCTION("""COMPUTED_VALUE"""),"Underlying")</f>
        <v>Underlying</v>
      </c>
      <c r="V5" s="54" t="str">
        <f>IFERROR(__xludf.DUMMYFUNCTION("""COMPUTED_VALUE"""),"Exchange")</f>
        <v>Exchange</v>
      </c>
      <c r="W5" s="54" t="str">
        <f>IFERROR(__xludf.DUMMYFUNCTION("""COMPUTED_VALUE"""),"Trade Currency")</f>
        <v>Trade Currency</v>
      </c>
      <c r="X5" s="54" t="str">
        <f>IFERROR(__xludf.DUMMYFUNCTION("""COMPUTED_VALUE"""),"Multiplier")</f>
        <v>Multiplier</v>
      </c>
      <c r="Y5" s="54" t="str">
        <f>IFERROR(__xludf.DUMMYFUNCTION("""COMPUTED_VALUE"""),"FX Rate")</f>
        <v>FX Rate</v>
      </c>
      <c r="Z5" s="54" t="str">
        <f>IFERROR(__xludf.DUMMYFUNCTION("""COMPUTED_VALUE"""),"Vs Currency")</f>
        <v>Vs Currency</v>
      </c>
      <c r="AA5" s="54" t="str">
        <f>IFERROR(__xludf.DUMMYFUNCTION("""COMPUTED_VALUE"""),"Lead Currency")</f>
        <v>Lead Currency</v>
      </c>
      <c r="AB5" s="54" t="str">
        <f>IFERROR(__xludf.DUMMYFUNCTION("""COMPUTED_VALUE"""),"Dividend Yield (%)")</f>
        <v>Dividend Yield (%)</v>
      </c>
      <c r="AC5" s="54" t="str">
        <f>IFERROR(__xludf.DUMMYFUNCTION("""COMPUTED_VALUE"""),"% Change")</f>
        <v>% Change</v>
      </c>
      <c r="AD5" s="54" t="str">
        <f>IFERROR(__xludf.DUMMYFUNCTION("""COMPUTED_VALUE"""),"Net Exposure (Local)")</f>
        <v>Net Exposure (Local)</v>
      </c>
      <c r="AE5" s="54" t="str">
        <f>IFERROR(__xludf.DUMMYFUNCTION("""COMPUTED_VALUE"""),"Exposure (Local)")</f>
        <v>Exposure (Local)</v>
      </c>
      <c r="AF5" s="54" t="str">
        <f>IFERROR(__xludf.DUMMYFUNCTION("""COMPUTED_VALUE"""),"Delta Adj. Position")</f>
        <v>Delta Adj. Position</v>
      </c>
      <c r="AG5" s="54" t="str">
        <f>IFERROR(__xludf.DUMMYFUNCTION("""COMPUTED_VALUE"""),"Exposure (Base)")</f>
        <v>Exposure (Base)</v>
      </c>
      <c r="AH5" s="54" t="str">
        <f>IFERROR(__xludf.DUMMYFUNCTION("""COMPUTED_VALUE"""),"Beta Adj. Exposure (Local)")</f>
        <v>Beta Adj. Exposure (Local)</v>
      </c>
      <c r="AI5" s="54" t="str">
        <f>IFERROR(__xludf.DUMMYFUNCTION("""COMPUTED_VALUE"""),"Beta Adj. Exposure (Base)")</f>
        <v>Beta Adj. Exposure (Base)</v>
      </c>
      <c r="AJ5" s="54" t="str">
        <f>IFERROR(__xludf.DUMMYFUNCTION("""COMPUTED_VALUE"""),"Exposure (BP)(Base)")</f>
        <v>Exposure (BP)(Base)</v>
      </c>
      <c r="AK5" s="54" t="str">
        <f>IFERROR(__xludf.DUMMYFUNCTION("""COMPUTED_VALUE"""),"Day P&amp;L (Local)")</f>
        <v>Day P&amp;L (Local)</v>
      </c>
      <c r="AL5" s="54" t="str">
        <f>IFERROR(__xludf.DUMMYFUNCTION("""COMPUTED_VALUE"""),"Delta")</f>
        <v>Delta</v>
      </c>
      <c r="AM5" s="54" t="str">
        <f>IFERROR(__xludf.DUMMYFUNCTION("""COMPUTED_VALUE"""),"Leveraged Factor")</f>
        <v>Leveraged Factor</v>
      </c>
      <c r="AN5" s="54" t="str">
        <f>IFERROR(__xludf.DUMMYFUNCTION("""COMPUTED_VALUE"""),"Order Side")</f>
        <v>Order Side</v>
      </c>
      <c r="AO5" s="54" t="str">
        <f>IFERROR(__xludf.DUMMYFUNCTION("""COMPUTED_VALUE"""),"Master Strategy")</f>
        <v>Master Strategy</v>
      </c>
      <c r="AP5" s="54" t="str">
        <f>IFERROR(__xludf.DUMMYFUNCTION("""COMPUTED_VALUE"""),"Transaction Side")</f>
        <v>Transaction Side</v>
      </c>
      <c r="AQ5" s="54" t="str">
        <f>IFERROR(__xludf.DUMMYFUNCTION("""COMPUTED_VALUE"""),"Underlying Symbol")</f>
        <v>Underlying Symbol</v>
      </c>
      <c r="AR5" s="54" t="str">
        <f>IFERROR(__xludf.DUMMYFUNCTION("""COMPUTED_VALUE"""),"Underlying Price")</f>
        <v>Underlying Price</v>
      </c>
      <c r="AS5" s="54" t="str">
        <f>IFERROR(__xludf.DUMMYFUNCTION("""COMPUTED_VALUE"""),"Side Multiplier")</f>
        <v>Side Multiplier</v>
      </c>
      <c r="AT5" s="54" t="str">
        <f>IFERROR(__xludf.DUMMYFUNCTION("""COMPUTED_VALUE"""),"Description")</f>
        <v>Description</v>
      </c>
      <c r="AU5" s="54" t="str">
        <f>IFERROR(__xludf.DUMMYFUNCTION("""COMPUTED_VALUE"""),"Internal Comments")</f>
        <v>Internal Comments</v>
      </c>
      <c r="AV5" s="54" t="str">
        <f>IFERROR(__xludf.DUMMYFUNCTION("""COMPUTED_VALUE"""),"FX Rate On Trade Date")</f>
        <v>FX Rate On Trade Date</v>
      </c>
      <c r="AW5" s="54" t="str">
        <f>IFERROR(__xludf.DUMMYFUNCTION("""COMPUTED_VALUE"""),"Cost Basis P&amp;L (Local)")</f>
        <v>Cost Basis P&amp;L (Local)</v>
      </c>
      <c r="AX5" s="54" t="str">
        <f>IFERROR(__xludf.DUMMYFUNCTION("""COMPUTED_VALUE"""),"Day Interest")</f>
        <v>Day Interest</v>
      </c>
      <c r="AY5" s="54" t="str">
        <f>IFERROR(__xludf.DUMMYFUNCTION("""COMPUTED_VALUE"""),"Total Interest")</f>
        <v>Total Interest</v>
      </c>
      <c r="AZ5" s="54" t="str">
        <f>IFERROR(__xludf.DUMMYFUNCTION("""COMPUTED_VALUE"""),"Market Value (Local)")</f>
        <v>Market Value (Local)</v>
      </c>
      <c r="BA5" s="54" t="str">
        <f>IFERROR(__xludf.DUMMYFUNCTION("""COMPUTED_VALUE"""),"% Gain/Loss Day")</f>
        <v>% Gain/Loss Day</v>
      </c>
      <c r="BB5" s="54" t="str">
        <f>IFERROR(__xludf.DUMMYFUNCTION("""COMPUTED_VALUE"""),"Update Time (Last Price)")</f>
        <v>Update Time (Last Price)</v>
      </c>
      <c r="BC5" s="54" t="str">
        <f>IFERROR(__xludf.DUMMYFUNCTION("""COMPUTED_VALUE"""),"Beta")</f>
        <v>Beta</v>
      </c>
      <c r="BD5" s="54" t="str">
        <f>IFERROR(__xludf.DUMMYFUNCTION("""COMPUTED_VALUE"""),"Cash Impact (Local)")</f>
        <v>Cash Impact (Local)</v>
      </c>
      <c r="BE5" s="54" t="str">
        <f>IFERROR(__xludf.DUMMYFUNCTION("""COMPUTED_VALUE"""),"User Asset")</f>
        <v>User Asset</v>
      </c>
      <c r="BF5" s="54" t="str">
        <f>IFERROR(__xludf.DUMMYFUNCTION("""COMPUTED_VALUE"""),"Security Type")</f>
        <v>Security Type</v>
      </c>
      <c r="BG5" s="54" t="str">
        <f>IFERROR(__xludf.DUMMYFUNCTION("""COMPUTED_VALUE"""),"Sector")</f>
        <v>Sector</v>
      </c>
      <c r="BH5" s="54" t="str">
        <f>IFERROR(__xludf.DUMMYFUNCTION("""COMPUTED_VALUE"""),"Sub Sector")</f>
        <v>Sub Sector</v>
      </c>
      <c r="BI5" s="54" t="str">
        <f>IFERROR(__xludf.DUMMYFUNCTION("""COMPUTED_VALUE"""),"Country")</f>
        <v>Country</v>
      </c>
      <c r="BJ5" s="54" t="str">
        <f>IFERROR(__xludf.DUMMYFUNCTION("""COMPUTED_VALUE"""),"Market Cap")</f>
        <v>Market Cap</v>
      </c>
      <c r="BK5" s="54" t="str">
        <f>IFERROR(__xludf.DUMMYFUNCTION("""COMPUTED_VALUE"""),"Shares Outstanding")</f>
        <v>Shares Outstanding</v>
      </c>
      <c r="BL5" s="54" t="str">
        <f>IFERROR(__xludf.DUMMYFUNCTION("""COMPUTED_VALUE"""),"Avg Volume 20 Day")</f>
        <v>Avg Volume 20 Day</v>
      </c>
      <c r="BM5" s="54" t="str">
        <f>IFERROR(__xludf.DUMMYFUNCTION("""COMPUTED_VALUE"""),"% Avg Volume (Delta Adj.)")</f>
        <v>% Avg Volume (Delta Adj.)</v>
      </c>
      <c r="BN5" s="54" t="str">
        <f>IFERROR(__xludf.DUMMYFUNCTION("""COMPUTED_VALUE"""),"Ex Dividend Date")</f>
        <v>Ex Dividend Date</v>
      </c>
      <c r="BO5" s="54" t="str">
        <f>IFERROR(__xludf.DUMMYFUNCTION("""COMPUTED_VALUE"""),"Cash Impact (Base)")</f>
        <v>Cash Impact (Base)</v>
      </c>
      <c r="BP5" s="54" t="str">
        <f>IFERROR(__xludf.DUMMYFUNCTION("""COMPUTED_VALUE"""),"Volatility (%)")</f>
        <v>Volatility (%)</v>
      </c>
      <c r="BQ5" s="54" t="str">
        <f>IFERROR(__xludf.DUMMYFUNCTION("""COMPUTED_VALUE"""),"User")</f>
        <v>User</v>
      </c>
      <c r="BR5" s="54" t="str">
        <f>IFERROR(__xludf.DUMMYFUNCTION("""COMPUTED_VALUE"""),"Broker")</f>
        <v>Broker</v>
      </c>
      <c r="BS5" s="54" t="str">
        <f>IFERROR(__xludf.DUMMYFUNCTION("""COMPUTED_VALUE"""),"Earned Dividend (Local)")</f>
        <v>Earned Dividend (Local)</v>
      </c>
      <c r="BT5" s="54" t="str">
        <f>IFERROR(__xludf.DUMMYFUNCTION("""COMPUTED_VALUE"""),"Earned Dividend (Base)")</f>
        <v>Earned Dividend (Base)</v>
      </c>
      <c r="BU5" s="54" t="str">
        <f>IFERROR(__xludf.DUMMYFUNCTION("""COMPUTED_VALUE"""),"Put/Call")</f>
        <v>Put/Call</v>
      </c>
      <c r="BV5" s="54" t="str">
        <f>IFERROR(__xludf.DUMMYFUNCTION("""COMPUTED_VALUE"""),"Expiration Date")</f>
        <v>Expiration Date</v>
      </c>
      <c r="BW5" s="54" t="str">
        <f>IFERROR(__xludf.DUMMYFUNCTION("""COMPUTED_VALUE"""),"Strike Price")</f>
        <v>Strike Price</v>
      </c>
      <c r="BX5" s="54" t="str">
        <f>IFERROR(__xludf.DUMMYFUNCTION("""COMPUTED_VALUE"""),"Gross Exposure (Base)")</f>
        <v>Gross Exposure (Base)</v>
      </c>
      <c r="BY5" s="54" t="str">
        <f>IFERROR(__xludf.DUMMYFUNCTION("""COMPUTED_VALUE"""),"Gross Market Value (Base)")</f>
        <v>Gross Market Value (Base)</v>
      </c>
      <c r="BZ5" s="54" t="str">
        <f>IFERROR(__xludf.DUMMYFUNCTION("""COMPUTED_VALUE"""),"Px Selected Feed (Local)")</f>
        <v>Px Selected Feed (Local)</v>
      </c>
      <c r="CA5" s="54" t="str">
        <f>IFERROR(__xludf.DUMMYFUNCTION("""COMPUTED_VALUE"""),"Px Selected Feed (Base)")</f>
        <v>Px Selected Feed (Base)</v>
      </c>
      <c r="CB5" s="54" t="str">
        <f>IFERROR(__xludf.DUMMYFUNCTION("""COMPUTED_VALUE"""),"Settlement Date")</f>
        <v>Settlement Date</v>
      </c>
      <c r="CC5" s="54" t="str">
        <f>IFERROR(__xludf.DUMMYFUNCTION("""COMPUTED_VALUE"""),"% Avg Volume")</f>
        <v>% Avg Volume</v>
      </c>
      <c r="CD5" s="54" t="str">
        <f>IFERROR(__xludf.DUMMYFUNCTION("""COMPUTED_VALUE"""),"Day P&amp;L (Base)(Price Gain)")</f>
        <v>Day P&amp;L (Base)(Price Gain)</v>
      </c>
      <c r="CE5" s="54" t="str">
        <f>IFERROR(__xludf.DUMMYFUNCTION("""COMPUTED_VALUE"""),"Day P&amp;L (Base)(FX Gain)")</f>
        <v>Day P&amp;L (Base)(FX Gain)</v>
      </c>
      <c r="CF5" s="54" t="str">
        <f>IFERROR(__xludf.DUMMYFUNCTION("""COMPUTED_VALUE"""),"Cost Basis P&amp;L (Base)(FX Gain)")</f>
        <v>Cost Basis P&amp;L (Base)(FX Gain)</v>
      </c>
      <c r="CG5" s="54" t="str">
        <f>IFERROR(__xludf.DUMMYFUNCTION("""COMPUTED_VALUE"""),"Cost Basis P&amp;L (Base)(Price Gain)")</f>
        <v>Cost Basis P&amp;L (Base)(Price Gain)</v>
      </c>
      <c r="CH5" s="54" t="str">
        <f>IFERROR(__xludf.DUMMYFUNCTION("""COMPUTED_VALUE"""),"% Gain/Loss Cost")</f>
        <v>% Gain/Loss Cost</v>
      </c>
      <c r="CI5" s="54" t="str">
        <f>IFERROR(__xludf.DUMMYFUNCTION("""COMPUTED_VALUE"""),"Underlying Value (Options)")</f>
        <v>Underlying Value (Options)</v>
      </c>
      <c r="CJ5" s="54" t="str">
        <f>IFERROR(__xludf.DUMMYFUNCTION("""COMPUTED_VALUE"""),"Avg Volume 20 Day (Underlying Symbol)")</f>
        <v>Avg Volume 20 Day (Underlying Symbol)</v>
      </c>
      <c r="CK5" s="54" t="str">
        <f>IFERROR(__xludf.DUMMYFUNCTION("""COMPUTED_VALUE"""),"IsStaleData")</f>
        <v>IsStaleData</v>
      </c>
      <c r="CL5" s="54" t="str">
        <f>IFERROR(__xludf.DUMMYFUNCTION("""COMPUTED_VALUE"""),"IDCO")</f>
        <v>IDCO</v>
      </c>
      <c r="CM5" s="54" t="str">
        <f>IFERROR(__xludf.DUMMYFUNCTION("""COMPUTED_VALUE"""),"OSI")</f>
        <v>OSI</v>
      </c>
      <c r="CN5" s="54" t="str">
        <f>IFERROR(__xludf.DUMMYFUNCTION("""COMPUTED_VALUE"""),"SEDOL")</f>
        <v>SEDOL</v>
      </c>
      <c r="CO5" s="54" t="str">
        <f>IFERROR(__xludf.DUMMYFUNCTION("""COMPUTED_VALUE"""),"CUSIP")</f>
        <v>CUSIP</v>
      </c>
      <c r="CP5" s="54" t="str">
        <f>IFERROR(__xludf.DUMMYFUNCTION("""COMPUTED_VALUE"""),"Bloomberg")</f>
        <v>Bloomberg</v>
      </c>
      <c r="CQ5" s="54" t="str">
        <f>IFERROR(__xludf.DUMMYFUNCTION("""COMPUTED_VALUE"""),"ISIN")</f>
        <v>ISIN</v>
      </c>
      <c r="CR5" s="54" t="str">
        <f>IFERROR(__xludf.DUMMYFUNCTION("""COMPUTED_VALUE"""),"Start Trade Date")</f>
        <v>Start Trade Date</v>
      </c>
      <c r="CS5" s="54" t="str">
        <f>IFERROR(__xludf.DUMMYFUNCTION("""COMPUTED_VALUE"""),"Cost Basis (Break Even)")</f>
        <v>Cost Basis (Break Even)</v>
      </c>
      <c r="CT5" s="54" t="str">
        <f>IFERROR(__xludf.DUMMYFUNCTION("""COMPUTED_VALUE"""),"Trade Attribute 3")</f>
        <v>Trade Attribute 3</v>
      </c>
      <c r="CU5" s="54" t="str">
        <f>IFERROR(__xludf.DUMMYFUNCTION("""COMPUTED_VALUE"""),"Trade Attribute 4")</f>
        <v>Trade Attribute 4</v>
      </c>
      <c r="CV5" s="54" t="str">
        <f>IFERROR(__xludf.DUMMYFUNCTION("""COMPUTED_VALUE"""),"Trade Attribute 5")</f>
        <v>Trade Attribute 5</v>
      </c>
      <c r="CW5" s="54" t="str">
        <f>IFERROR(__xludf.DUMMYFUNCTION("""COMPUTED_VALUE"""),"Trade Attribute 6")</f>
        <v>Trade Attribute 6</v>
      </c>
      <c r="CX5" s="54" t="str">
        <f>IFERROR(__xludf.DUMMYFUNCTION("""COMPUTED_VALUE"""),"Proxy Symbol")</f>
        <v>Proxy Symbol</v>
      </c>
      <c r="CY5" s="54" t="str">
        <f>IFERROR(__xludf.DUMMYFUNCTION("""COMPUTED_VALUE"""),"Pricing Source")</f>
        <v>Pricing Source</v>
      </c>
      <c r="CZ5" s="54" t="str">
        <f>IFERROR(__xludf.DUMMYFUNCTION("""COMPUTED_VALUE"""),"Delta Source")</f>
        <v>Delta Source</v>
      </c>
      <c r="DA5" s="54" t="str">
        <f>IFERROR(__xludf.DUMMYFUNCTION("""COMPUTED_VALUE"""),"Gross Exposure (Local)")</f>
        <v>Gross Exposure (Local)</v>
      </c>
      <c r="DB5" s="54" t="str">
        <f>IFERROR(__xludf.DUMMYFUNCTION("""COMPUTED_VALUE"""),"% Day P&amp;L (Net MV)")</f>
        <v>% Day P&amp;L (Net MV)</v>
      </c>
      <c r="DC5" s="54" t="str">
        <f>IFERROR(__xludf.DUMMYFUNCTION("""COMPUTED_VALUE"""),"Expiration Month")</f>
        <v>Expiration Month</v>
      </c>
      <c r="DD5" s="54" t="str">
        <f>IFERROR(__xludf.DUMMYFUNCTION("""COMPUTED_VALUE"""),"Delta Adj. Position (LME)")</f>
        <v>Delta Adj. Position (LME)</v>
      </c>
      <c r="DE5" s="54" t="str">
        <f>IFERROR(__xludf.DUMMYFUNCTION("""COMPUTED_VALUE"""),"Premium")</f>
        <v>Premium</v>
      </c>
      <c r="DF5" s="54" t="str">
        <f>IFERROR(__xludf.DUMMYFUNCTION("""COMPUTED_VALUE"""),"Premium $")</f>
        <v>Premium $</v>
      </c>
      <c r="DG5" s="54" t="str">
        <f>IFERROR(__xludf.DUMMYFUNCTION("""COMPUTED_VALUE"""),"Forward Points")</f>
        <v>Forward Points</v>
      </c>
      <c r="DH5" s="54" t="str">
        <f>IFERROR(__xludf.DUMMYFUNCTION("""COMPUTED_VALUE"""),"Closing Mark (Underlying)")</f>
        <v>Closing Mark (Underlying)</v>
      </c>
      <c r="DI5" s="54" t="str">
        <f>IFERROR(__xludf.DUMMYFUNCTION("""COMPUTED_VALUE"""),"% Change (Underlying Price)")</f>
        <v>% Change (Underlying Price)</v>
      </c>
      <c r="DJ5" s="54" t="str">
        <f>IFERROR(__xludf.DUMMYFUNCTION("""COMPUTED_VALUE"""),"Transaction Type")</f>
        <v>Transaction Type</v>
      </c>
      <c r="DK5" s="54" t="str">
        <f>IFERROR(__xludf.DUMMYFUNCTION("""COMPUTED_VALUE"""),"Closing Market Value (Local)")</f>
        <v>Closing Market Value (Local)</v>
      </c>
      <c r="DL5" s="54" t="str">
        <f>IFERROR(__xludf.DUMMYFUNCTION("""COMPUTED_VALUE"""),"Closing Market Value (Base)")</f>
        <v>Closing Market Value (Base)</v>
      </c>
      <c r="DM5" s="54" t="str">
        <f>IFERROR(__xludf.DUMMYFUNCTION("""COMPUTED_VALUE"""),"Closing FX Rate")</f>
        <v>Closing FX Rate</v>
      </c>
      <c r="DN5" s="54" t="str">
        <f>IFERROR(__xludf.DUMMYFUNCTION("""COMPUTED_VALUE"""),"Change In Underlying Price")</f>
        <v>Change In Underlying Price</v>
      </c>
      <c r="DO5" s="54" t="str">
        <f>IFERROR(__xludf.DUMMYFUNCTION("""COMPUTED_VALUE"""),"RIC")</f>
        <v>RIC</v>
      </c>
      <c r="DP5" s="54" t="str">
        <f>IFERROR(__xludf.DUMMYFUNCTION("""COMPUTED_VALUE"""),"Position Side Exposure (Boxed)")</f>
        <v>Position Side Exposure (Boxed)</v>
      </c>
      <c r="DQ5" s="54" t="str">
        <f>IFERROR(__xludf.DUMMYFUNCTION("""COMPUTED_VALUE"""),"Analyst")</f>
        <v>Analyst</v>
      </c>
      <c r="DR5" s="54" t="str">
        <f>IFERROR(__xludf.DUMMYFUNCTION("""COMPUTED_VALUE"""),"Country Of Risk")</f>
        <v>Country Of Risk</v>
      </c>
      <c r="DS5" s="54" t="str">
        <f>IFERROR(__xludf.DUMMYFUNCTION("""COMPUTED_VALUE"""),"Custom UDA1")</f>
        <v>Custom UDA1</v>
      </c>
      <c r="DT5" s="54" t="str">
        <f>IFERROR(__xludf.DUMMYFUNCTION("""COMPUTED_VALUE"""),"Custom UDA2")</f>
        <v>Custom UDA2</v>
      </c>
      <c r="DU5" s="54" t="str">
        <f>IFERROR(__xludf.DUMMYFUNCTION("""COMPUTED_VALUE"""),"Custom UDA3")</f>
        <v>Custom UDA3</v>
      </c>
      <c r="DV5" s="54" t="str">
        <f>IFERROR(__xludf.DUMMYFUNCTION("""COMPUTED_VALUE"""),"Custom UDA4")</f>
        <v>Custom UDA4</v>
      </c>
      <c r="DW5" s="54" t="str">
        <f>IFERROR(__xludf.DUMMYFUNCTION("""COMPUTED_VALUE"""),"Custom UDA5")</f>
        <v>Custom UDA5</v>
      </c>
      <c r="DX5" s="54" t="str">
        <f>IFERROR(__xludf.DUMMYFUNCTION("""COMPUTED_VALUE"""),"Custom UDA6")</f>
        <v>Custom UDA6</v>
      </c>
      <c r="DY5" s="54" t="str">
        <f>IFERROR(__xludf.DUMMYFUNCTION("""COMPUTED_VALUE"""),"Custom UDA7")</f>
        <v>Custom UDA7</v>
      </c>
      <c r="DZ5" s="54" t="str">
        <f>IFERROR(__xludf.DUMMYFUNCTION("""COMPUTED_VALUE"""),"Issuer")</f>
        <v>Issuer</v>
      </c>
      <c r="EA5" s="54" t="str">
        <f>IFERROR(__xludf.DUMMYFUNCTION("""COMPUTED_VALUE"""),"Liquid Tag")</f>
        <v>Liquid Tag</v>
      </c>
      <c r="EB5" s="54" t="str">
        <f>IFERROR(__xludf.DUMMYFUNCTION("""COMPUTED_VALUE"""),"Market Cap UDA")</f>
        <v>Market Cap UDA</v>
      </c>
      <c r="EC5" s="54" t="str">
        <f>IFERROR(__xludf.DUMMYFUNCTION("""COMPUTED_VALUE"""),"Region")</f>
        <v>Region</v>
      </c>
      <c r="ED5" s="54" t="str">
        <f>IFERROR(__xludf.DUMMYFUNCTION("""COMPUTED_VALUE"""),"Risk Currency")</f>
        <v>Risk Currency</v>
      </c>
      <c r="EE5" s="54" t="str">
        <f>IFERROR(__xludf.DUMMYFUNCTION("""COMPUTED_VALUE"""),"UCITS Eligible Tag")</f>
        <v>UCITS Eligible Tag</v>
      </c>
      <c r="EF5" s="54" t="str">
        <f>IFERROR(__xludf.DUMMYFUNCTION("""COMPUTED_VALUE"""),"FX Rate (Display)")</f>
        <v>FX Rate (Display)</v>
      </c>
      <c r="EG5" s="54" t="str">
        <f>IFERROR(__xludf.DUMMYFUNCTION("""COMPUTED_VALUE"""),"% Net Exposure (Base)")</f>
        <v>% Net Exposure (Base)</v>
      </c>
      <c r="EH5" s="54" t="str">
        <f>IFERROR(__xludf.DUMMYFUNCTION("""COMPUTED_VALUE"""),"% Gross Exposure (Base)")</f>
        <v>% Gross Exposure (Base)</v>
      </c>
      <c r="EI5" s="54" t="str">
        <f>IFERROR(__xludf.DUMMYFUNCTION("""COMPUTED_VALUE"""),"% Exposure (Base)")</f>
        <v>% Exposure (Base)</v>
      </c>
      <c r="EJ5" s="54" t="str">
        <f>IFERROR(__xludf.DUMMYFUNCTION("""COMPUTED_VALUE"""),"% Gross Exposure (Underlying) (Base)")</f>
        <v>% Gross Exposure (Underlying) (Base)</v>
      </c>
      <c r="EK5" s="54" t="str">
        <f>IFERROR(__xludf.DUMMYFUNCTION("""COMPUTED_VALUE"""),"% Beta Adj. Gross Exposure (Base)")</f>
        <v>% Beta Adj. Gross Exposure (Base)</v>
      </c>
      <c r="EL5" s="54" t="str">
        <f>IFERROR(__xludf.DUMMYFUNCTION("""COMPUTED_VALUE"""),"Position Side Exposure (Underlying)")</f>
        <v>Position Side Exposure (Underlying)</v>
      </c>
      <c r="EM5" s="54" t="str">
        <f>IFERROR(__xludf.DUMMYFUNCTION("""COMPUTED_VALUE"""),"Gross Exposure (Underlying) (Base)")</f>
        <v>Gross Exposure (Underlying) (Base)</v>
      </c>
      <c r="EN5" s="54" t="str">
        <f>IFERROR(__xludf.DUMMYFUNCTION("""COMPUTED_VALUE"""),"Gross Exposure (Underlying)")</f>
        <v>Gross Exposure (Underlying)</v>
      </c>
      <c r="EO5" s="54" t="str">
        <f>IFERROR(__xludf.DUMMYFUNCTION("""COMPUTED_VALUE"""),"Day Return")</f>
        <v>Day Return</v>
      </c>
      <c r="EP5" s="54" t="str">
        <f>IFERROR(__xludf.DUMMYFUNCTION("""COMPUTED_VALUE"""),"Start of Day NAV")</f>
        <v>Start of Day NAV</v>
      </c>
      <c r="EQ5" s="54" t="str">
        <f>IFERROR(__xludf.DUMMYFUNCTION("""COMPUTED_VALUE"""),"% Gross Market Value (Base)")</f>
        <v>% Gross Market Value (Base)</v>
      </c>
      <c r="ER5" s="54" t="str">
        <f>IFERROR(__xludf.DUMMYFUNCTION("""COMPUTED_VALUE"""),"Beta Adj. Gross Exposure (Underlying) (Local)")</f>
        <v>Beta Adj. Gross Exposure (Underlying) (Local)</v>
      </c>
      <c r="ES5" s="54" t="str">
        <f>IFERROR(__xludf.DUMMYFUNCTION("""COMPUTED_VALUE"""),"NAV")</f>
        <v>NAV</v>
      </c>
      <c r="ET5" s="54" t="str">
        <f>IFERROR(__xludf.DUMMYFUNCTION("""COMPUTED_VALUE"""),"% P&amp;L Contribution")</f>
        <v>% P&amp;L Contribution</v>
      </c>
      <c r="EU5" s="54" t="str">
        <f>IFERROR(__xludf.DUMMYFUNCTION("""COMPUTED_VALUE"""),"% Net Market Value (Base)")</f>
        <v>% Net Market Value (Base)</v>
      </c>
      <c r="EV5" s="54" t="str">
        <f>IFERROR(__xludf.DUMMYFUNCTION("""COMPUTED_VALUE"""),"Position Side Exposure")</f>
        <v>Position Side Exposure</v>
      </c>
      <c r="EW5" s="54" t="str">
        <f>IFERROR(__xludf.DUMMYFUNCTION("""COMPUTED_VALUE"""),"NAV (Touch)")</f>
        <v>NAV (Touch)</v>
      </c>
      <c r="EX5" s="54" t="str">
        <f>IFERROR(__xludf.DUMMYFUNCTION("""COMPUTED_VALUE"""),"IgnorePropertyChangeEvents")</f>
        <v>IgnorePropertyChangeEvents</v>
      </c>
      <c r="EY5" s="54" t="str">
        <f>IFERROR(__xludf.DUMMYFUNCTION("""COMPUTED_VALUE"""),"Trade Attribute 1")</f>
        <v>Trade Attribute 1</v>
      </c>
      <c r="EZ5" s="54" t="str">
        <f>IFERROR(__xludf.DUMMYFUNCTION("""COMPUTED_VALUE"""),"Trade Attribute 2")</f>
        <v>Trade Attribute 2</v>
      </c>
      <c r="FA5" s="54" t="str">
        <f>IFERROR(__xludf.DUMMYFUNCTION("""COMPUTED_VALUE"""),"")</f>
        <v/>
      </c>
      <c r="FB5" s="54" t="str">
        <f>IFERROR(__xludf.DUMMYFUNCTION("""COMPUTED_VALUE"""),"")</f>
        <v/>
      </c>
      <c r="FC5" s="54" t="str">
        <f>IFERROR(__xludf.DUMMYFUNCTION("""COMPUTED_VALUE"""),"")</f>
        <v/>
      </c>
      <c r="FD5" s="54" t="str">
        <f>IFERROR(__xludf.DUMMYFUNCTION("""COMPUTED_VALUE"""),"")</f>
        <v/>
      </c>
      <c r="FE5" s="54" t="str">
        <f>IFERROR(__xludf.DUMMYFUNCTION("""COMPUTED_VALUE"""),"")</f>
        <v/>
      </c>
      <c r="FF5" s="54" t="str">
        <f>IFERROR(__xludf.DUMMYFUNCTION("""COMPUTED_VALUE"""),"")</f>
        <v/>
      </c>
      <c r="FG5" s="54" t="str">
        <f>IFERROR(__xludf.DUMMYFUNCTION("""COMPUTED_VALUE"""),"")</f>
        <v/>
      </c>
      <c r="FH5" s="54" t="str">
        <f>IFERROR(__xludf.DUMMYFUNCTION("""COMPUTED_VALUE"""),"")</f>
        <v/>
      </c>
      <c r="FI5" s="54" t="str">
        <f>IFERROR(__xludf.DUMMYFUNCTION("""COMPUTED_VALUE"""),"")</f>
        <v/>
      </c>
      <c r="FJ5" s="54" t="str">
        <f>IFERROR(__xludf.DUMMYFUNCTION("""COMPUTED_VALUE"""),"")</f>
        <v/>
      </c>
    </row>
    <row r="6" ht="15.75" customHeight="1">
      <c r="A6" s="41"/>
      <c r="B6" s="41"/>
      <c r="C6" s="55" t="s">
        <v>18</v>
      </c>
      <c r="D6" s="56">
        <v>100000.0</v>
      </c>
      <c r="E6" s="55" t="s">
        <v>20</v>
      </c>
      <c r="F6" s="55" t="s">
        <v>34</v>
      </c>
      <c r="G6" s="56">
        <v>5.0</v>
      </c>
      <c r="H6" s="55" t="s">
        <v>37</v>
      </c>
      <c r="I6" s="56">
        <v>0.0</v>
      </c>
      <c r="J6" s="56">
        <v>0.0</v>
      </c>
      <c r="K6" s="56">
        <v>0.0</v>
      </c>
      <c r="L6" s="56">
        <v>0.0</v>
      </c>
      <c r="M6" s="56">
        <v>0.0</v>
      </c>
      <c r="N6" s="56">
        <v>-386868.0</v>
      </c>
      <c r="O6" s="55"/>
      <c r="P6" s="56">
        <v>6.0</v>
      </c>
      <c r="Q6" s="56">
        <v>-321875.0</v>
      </c>
      <c r="R6" s="55" t="s">
        <v>38</v>
      </c>
      <c r="S6" s="55" t="s">
        <v>39</v>
      </c>
      <c r="T6" s="55" t="s">
        <v>40</v>
      </c>
      <c r="U6" s="55" t="s">
        <v>41</v>
      </c>
      <c r="V6" s="55" t="s">
        <v>42</v>
      </c>
      <c r="W6" s="55" t="s">
        <v>26</v>
      </c>
      <c r="X6" s="56">
        <v>1.03</v>
      </c>
      <c r="Y6" s="57">
        <v>0.63</v>
      </c>
      <c r="Z6" s="55" t="s">
        <v>43</v>
      </c>
      <c r="AA6" s="55" t="s">
        <v>43</v>
      </c>
      <c r="AB6" s="56">
        <v>0.0</v>
      </c>
      <c r="AC6" s="56">
        <v>-100.0</v>
      </c>
      <c r="AD6" s="56">
        <v>0.0</v>
      </c>
      <c r="AE6" s="56">
        <v>0.0</v>
      </c>
      <c r="AF6" s="56">
        <v>103000.0</v>
      </c>
      <c r="AG6" s="56">
        <v>0.0</v>
      </c>
      <c r="AH6" s="56">
        <v>0.0</v>
      </c>
      <c r="AI6" s="56">
        <v>0.0</v>
      </c>
      <c r="AJ6" s="56">
        <v>0.0</v>
      </c>
      <c r="AK6" s="56">
        <v>-618000.0</v>
      </c>
      <c r="AL6" s="56">
        <v>1.0</v>
      </c>
      <c r="AM6" s="56">
        <v>1.0</v>
      </c>
      <c r="AN6" s="58" t="s">
        <v>19</v>
      </c>
      <c r="AO6" s="55"/>
      <c r="AP6" s="58" t="s">
        <v>37</v>
      </c>
      <c r="AQ6" s="56"/>
      <c r="AR6" s="56">
        <v>0.0</v>
      </c>
      <c r="AS6" s="56">
        <v>1.0</v>
      </c>
      <c r="AT6" s="55" t="s">
        <v>44</v>
      </c>
      <c r="AU6" s="55" t="s">
        <v>45</v>
      </c>
      <c r="AV6" s="57"/>
      <c r="AW6" s="56">
        <v>-515000.0</v>
      </c>
      <c r="AX6" s="56">
        <v>0.0</v>
      </c>
      <c r="AY6" s="56">
        <v>0.0</v>
      </c>
      <c r="AZ6" s="56">
        <v>0.0</v>
      </c>
      <c r="BA6" s="57">
        <v>-120.19</v>
      </c>
      <c r="BB6" s="55"/>
      <c r="BC6" s="56">
        <v>1.0</v>
      </c>
      <c r="BD6" s="56">
        <v>0.0</v>
      </c>
      <c r="BE6" s="55" t="s">
        <v>40</v>
      </c>
      <c r="BF6" s="55" t="s">
        <v>46</v>
      </c>
      <c r="BG6" s="55" t="s">
        <v>46</v>
      </c>
      <c r="BH6" s="55" t="s">
        <v>46</v>
      </c>
      <c r="BI6" s="55" t="s">
        <v>46</v>
      </c>
      <c r="BJ6" s="56"/>
      <c r="BK6" s="56"/>
      <c r="BL6" s="56"/>
      <c r="BM6" s="56">
        <v>0.0</v>
      </c>
      <c r="BN6" s="56"/>
      <c r="BO6" s="56">
        <v>0.0</v>
      </c>
      <c r="BP6" s="56">
        <v>0.0</v>
      </c>
      <c r="BQ6" s="55" t="s">
        <v>47</v>
      </c>
      <c r="BR6" s="55" t="s">
        <v>48</v>
      </c>
      <c r="BS6" s="56">
        <v>0.0</v>
      </c>
      <c r="BT6" s="56">
        <v>0.0</v>
      </c>
      <c r="BU6" s="55" t="s">
        <v>40</v>
      </c>
      <c r="BV6" s="56"/>
      <c r="BW6" s="56">
        <v>0.0</v>
      </c>
      <c r="BX6" s="56">
        <v>0.0</v>
      </c>
      <c r="BY6" s="56">
        <v>0.0</v>
      </c>
      <c r="BZ6" s="56">
        <v>0.0</v>
      </c>
      <c r="CA6" s="56">
        <v>0.0</v>
      </c>
      <c r="CB6" s="55"/>
      <c r="CC6" s="56">
        <v>0.0</v>
      </c>
      <c r="CD6" s="56">
        <v>-386868.0</v>
      </c>
      <c r="CE6" s="56">
        <v>0.0</v>
      </c>
      <c r="CF6" s="56">
        <v>515.0</v>
      </c>
      <c r="CG6" s="56">
        <v>-322390.0</v>
      </c>
      <c r="CH6" s="56">
        <v>-100.0</v>
      </c>
      <c r="CI6" s="56">
        <v>0.0</v>
      </c>
      <c r="CJ6" s="56">
        <v>0.0</v>
      </c>
      <c r="CK6" s="59" t="b">
        <v>0</v>
      </c>
      <c r="CL6" s="55" t="s">
        <v>43</v>
      </c>
      <c r="CM6" s="55" t="s">
        <v>43</v>
      </c>
      <c r="CN6" s="55" t="s">
        <v>43</v>
      </c>
      <c r="CO6" s="55" t="s">
        <v>43</v>
      </c>
      <c r="CP6" s="55" t="s">
        <v>18</v>
      </c>
      <c r="CQ6" s="55" t="s">
        <v>49</v>
      </c>
      <c r="CR6" s="56"/>
      <c r="CS6" s="56">
        <v>5.0</v>
      </c>
      <c r="CT6" s="55" t="s">
        <v>43</v>
      </c>
      <c r="CU6" s="55" t="s">
        <v>43</v>
      </c>
      <c r="CV6" s="55" t="s">
        <v>43</v>
      </c>
      <c r="CW6" s="55" t="s">
        <v>43</v>
      </c>
      <c r="CX6" s="55" t="s">
        <v>43</v>
      </c>
      <c r="CY6" s="55" t="s">
        <v>50</v>
      </c>
      <c r="CZ6" s="55" t="s">
        <v>51</v>
      </c>
      <c r="DA6" s="56"/>
      <c r="DB6" s="56">
        <v>0.0</v>
      </c>
      <c r="DC6" s="56"/>
      <c r="DD6" s="56">
        <v>103000.0</v>
      </c>
      <c r="DE6" s="56"/>
      <c r="DF6" s="56"/>
      <c r="DG6" s="56"/>
      <c r="DH6" s="56"/>
      <c r="DI6" s="56">
        <v>-100.0</v>
      </c>
      <c r="DJ6" s="55" t="s">
        <v>19</v>
      </c>
      <c r="DK6" s="56">
        <v>618000.0</v>
      </c>
      <c r="DL6" s="56">
        <v>386868.0</v>
      </c>
      <c r="DM6" s="57">
        <v>0.63</v>
      </c>
      <c r="DN6" s="56">
        <v>-6.0</v>
      </c>
      <c r="DO6" s="55" t="s">
        <v>43</v>
      </c>
      <c r="DP6" s="55" t="s">
        <v>37</v>
      </c>
      <c r="DQ6" s="55" t="s">
        <v>46</v>
      </c>
      <c r="DR6" s="55" t="s">
        <v>52</v>
      </c>
      <c r="DS6" s="55" t="s">
        <v>46</v>
      </c>
      <c r="DT6" s="55" t="s">
        <v>46</v>
      </c>
      <c r="DU6" s="55" t="s">
        <v>46</v>
      </c>
      <c r="DV6" s="55" t="s">
        <v>46</v>
      </c>
      <c r="DW6" s="55" t="s">
        <v>46</v>
      </c>
      <c r="DX6" s="55" t="s">
        <v>46</v>
      </c>
      <c r="DY6" s="55" t="s">
        <v>46</v>
      </c>
      <c r="DZ6" s="55" t="s">
        <v>53</v>
      </c>
      <c r="EA6" s="55" t="s">
        <v>54</v>
      </c>
      <c r="EB6" s="55" t="s">
        <v>46</v>
      </c>
      <c r="EC6" s="55" t="s">
        <v>46</v>
      </c>
      <c r="ED6" s="55" t="s">
        <v>26</v>
      </c>
      <c r="EE6" s="55" t="s">
        <v>54</v>
      </c>
      <c r="EF6" s="56"/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5" t="s">
        <v>37</v>
      </c>
      <c r="EM6" s="56">
        <v>0.0</v>
      </c>
      <c r="EN6" s="56">
        <v>0.0</v>
      </c>
      <c r="EO6" s="57">
        <v>-0.06</v>
      </c>
      <c r="EP6" s="56">
        <v>7.00386868E8</v>
      </c>
      <c r="EQ6" s="56">
        <v>0.0</v>
      </c>
      <c r="ER6" s="56">
        <v>0.0</v>
      </c>
      <c r="ES6" s="56">
        <v>0.0</v>
      </c>
      <c r="ET6" s="56">
        <v>0.0</v>
      </c>
      <c r="EU6" s="56">
        <v>0.0</v>
      </c>
      <c r="EV6" s="55" t="s">
        <v>37</v>
      </c>
      <c r="EW6" s="56">
        <v>0.0</v>
      </c>
      <c r="EX6" s="59" t="b">
        <v>0</v>
      </c>
      <c r="EY6" s="55" t="s">
        <v>43</v>
      </c>
      <c r="EZ6" s="55" t="s">
        <v>43</v>
      </c>
      <c r="FA6" s="55"/>
      <c r="FB6" s="43"/>
      <c r="FC6" s="43"/>
      <c r="FD6" s="43"/>
      <c r="FE6" s="43"/>
      <c r="FF6" s="43"/>
      <c r="FG6" s="43"/>
      <c r="FH6" s="43"/>
      <c r="FI6" s="43"/>
      <c r="FJ6" s="43"/>
    </row>
    <row r="7" ht="15.75" customHeight="1">
      <c r="A7" s="41"/>
      <c r="B7" s="41"/>
      <c r="C7" s="55" t="s">
        <v>22</v>
      </c>
      <c r="D7" s="56">
        <v>100000.0</v>
      </c>
      <c r="E7" s="55" t="s">
        <v>20</v>
      </c>
      <c r="F7" s="55" t="s">
        <v>34</v>
      </c>
      <c r="G7" s="56">
        <v>8.0</v>
      </c>
      <c r="H7" s="55" t="s">
        <v>37</v>
      </c>
      <c r="I7" s="56">
        <v>0.0</v>
      </c>
      <c r="J7" s="56">
        <v>0.0</v>
      </c>
      <c r="K7" s="56">
        <v>0.0</v>
      </c>
      <c r="L7" s="56">
        <v>0.0</v>
      </c>
      <c r="M7" s="56">
        <v>0.0</v>
      </c>
      <c r="N7" s="56">
        <v>-7.0E8</v>
      </c>
      <c r="O7" s="55"/>
      <c r="P7" s="56">
        <v>7.0</v>
      </c>
      <c r="Q7" s="56">
        <v>-8.0E8</v>
      </c>
      <c r="R7" s="55" t="s">
        <v>38</v>
      </c>
      <c r="S7" s="55" t="s">
        <v>39</v>
      </c>
      <c r="T7" s="55" t="s">
        <v>40</v>
      </c>
      <c r="U7" s="55" t="s">
        <v>41</v>
      </c>
      <c r="V7" s="55" t="s">
        <v>42</v>
      </c>
      <c r="W7" s="55" t="s">
        <v>27</v>
      </c>
      <c r="X7" s="56">
        <v>1000.0</v>
      </c>
      <c r="Y7" s="56">
        <v>1.0</v>
      </c>
      <c r="Z7" s="55" t="s">
        <v>43</v>
      </c>
      <c r="AA7" s="55" t="s">
        <v>43</v>
      </c>
      <c r="AB7" s="56">
        <v>0.0</v>
      </c>
      <c r="AC7" s="56">
        <v>-100.0</v>
      </c>
      <c r="AD7" s="56">
        <v>0.0</v>
      </c>
      <c r="AE7" s="56">
        <v>0.0</v>
      </c>
      <c r="AF7" s="56">
        <v>1.0E8</v>
      </c>
      <c r="AG7" s="56">
        <v>0.0</v>
      </c>
      <c r="AH7" s="56">
        <v>0.0</v>
      </c>
      <c r="AI7" s="56">
        <v>0.0</v>
      </c>
      <c r="AJ7" s="56">
        <v>0.0</v>
      </c>
      <c r="AK7" s="56">
        <v>-7.0E8</v>
      </c>
      <c r="AL7" s="56">
        <v>1.0</v>
      </c>
      <c r="AM7" s="56">
        <v>1.0</v>
      </c>
      <c r="AN7" s="58" t="s">
        <v>19</v>
      </c>
      <c r="AO7" s="55"/>
      <c r="AP7" s="58" t="s">
        <v>37</v>
      </c>
      <c r="AQ7" s="56"/>
      <c r="AR7" s="56">
        <v>0.0</v>
      </c>
      <c r="AS7" s="56">
        <v>1.0</v>
      </c>
      <c r="AT7" s="55" t="s">
        <v>44</v>
      </c>
      <c r="AU7" s="55" t="s">
        <v>45</v>
      </c>
      <c r="AV7" s="56"/>
      <c r="AW7" s="56">
        <v>-8.0E8</v>
      </c>
      <c r="AX7" s="56">
        <v>0.0</v>
      </c>
      <c r="AY7" s="56">
        <v>0.0</v>
      </c>
      <c r="AZ7" s="56">
        <v>0.0</v>
      </c>
      <c r="BA7" s="56">
        <v>-87.5</v>
      </c>
      <c r="BB7" s="55"/>
      <c r="BC7" s="56">
        <v>1.0</v>
      </c>
      <c r="BD7" s="56">
        <v>0.0</v>
      </c>
      <c r="BE7" s="55" t="s">
        <v>40</v>
      </c>
      <c r="BF7" s="55" t="s">
        <v>46</v>
      </c>
      <c r="BG7" s="55" t="s">
        <v>46</v>
      </c>
      <c r="BH7" s="55" t="s">
        <v>46</v>
      </c>
      <c r="BI7" s="55" t="s">
        <v>46</v>
      </c>
      <c r="BJ7" s="56"/>
      <c r="BK7" s="56"/>
      <c r="BL7" s="56"/>
      <c r="BM7" s="56">
        <v>0.0</v>
      </c>
      <c r="BN7" s="56"/>
      <c r="BO7" s="56">
        <v>0.0</v>
      </c>
      <c r="BP7" s="56">
        <v>0.0</v>
      </c>
      <c r="BQ7" s="55" t="s">
        <v>47</v>
      </c>
      <c r="BR7" s="55" t="s">
        <v>48</v>
      </c>
      <c r="BS7" s="56">
        <v>0.0</v>
      </c>
      <c r="BT7" s="56">
        <v>0.0</v>
      </c>
      <c r="BU7" s="55" t="s">
        <v>40</v>
      </c>
      <c r="BV7" s="56"/>
      <c r="BW7" s="56">
        <v>0.0</v>
      </c>
      <c r="BX7" s="56">
        <v>0.0</v>
      </c>
      <c r="BY7" s="56">
        <v>0.0</v>
      </c>
      <c r="BZ7" s="56">
        <v>0.0</v>
      </c>
      <c r="CA7" s="56">
        <v>0.0</v>
      </c>
      <c r="CB7" s="55"/>
      <c r="CC7" s="56">
        <v>0.0</v>
      </c>
      <c r="CD7" s="56">
        <v>-7.0E8</v>
      </c>
      <c r="CE7" s="56">
        <v>0.0</v>
      </c>
      <c r="CF7" s="56">
        <v>0.0</v>
      </c>
      <c r="CG7" s="56">
        <v>-8.0E8</v>
      </c>
      <c r="CH7" s="56">
        <v>-100.0</v>
      </c>
      <c r="CI7" s="56">
        <v>0.0</v>
      </c>
      <c r="CJ7" s="56">
        <v>0.0</v>
      </c>
      <c r="CK7" s="59" t="b">
        <v>0</v>
      </c>
      <c r="CL7" s="55" t="s">
        <v>43</v>
      </c>
      <c r="CM7" s="55" t="s">
        <v>43</v>
      </c>
      <c r="CN7" s="55" t="s">
        <v>43</v>
      </c>
      <c r="CO7" s="55" t="s">
        <v>43</v>
      </c>
      <c r="CP7" s="55" t="s">
        <v>22</v>
      </c>
      <c r="CQ7" s="55" t="s">
        <v>55</v>
      </c>
      <c r="CR7" s="56"/>
      <c r="CS7" s="56">
        <v>8.0</v>
      </c>
      <c r="CT7" s="55" t="s">
        <v>43</v>
      </c>
      <c r="CU7" s="55" t="s">
        <v>43</v>
      </c>
      <c r="CV7" s="55" t="s">
        <v>43</v>
      </c>
      <c r="CW7" s="55" t="s">
        <v>43</v>
      </c>
      <c r="CX7" s="55" t="s">
        <v>43</v>
      </c>
      <c r="CY7" s="55" t="s">
        <v>50</v>
      </c>
      <c r="CZ7" s="55" t="s">
        <v>51</v>
      </c>
      <c r="DA7" s="56"/>
      <c r="DB7" s="56">
        <v>0.0</v>
      </c>
      <c r="DC7" s="56"/>
      <c r="DD7" s="56">
        <v>1.0E8</v>
      </c>
      <c r="DE7" s="56"/>
      <c r="DF7" s="56"/>
      <c r="DG7" s="56"/>
      <c r="DH7" s="56"/>
      <c r="DI7" s="56">
        <v>-100.0</v>
      </c>
      <c r="DJ7" s="55" t="s">
        <v>19</v>
      </c>
      <c r="DK7" s="56">
        <v>7.0E8</v>
      </c>
      <c r="DL7" s="56">
        <v>7.0E8</v>
      </c>
      <c r="DM7" s="56">
        <v>1.0</v>
      </c>
      <c r="DN7" s="56">
        <v>-7.0</v>
      </c>
      <c r="DO7" s="55" t="s">
        <v>43</v>
      </c>
      <c r="DP7" s="55" t="s">
        <v>37</v>
      </c>
      <c r="DQ7" s="55" t="s">
        <v>46</v>
      </c>
      <c r="DR7" s="55" t="s">
        <v>52</v>
      </c>
      <c r="DS7" s="55" t="s">
        <v>46</v>
      </c>
      <c r="DT7" s="55" t="s">
        <v>46</v>
      </c>
      <c r="DU7" s="55" t="s">
        <v>46</v>
      </c>
      <c r="DV7" s="55" t="s">
        <v>46</v>
      </c>
      <c r="DW7" s="55" t="s">
        <v>46</v>
      </c>
      <c r="DX7" s="55" t="s">
        <v>46</v>
      </c>
      <c r="DY7" s="55" t="s">
        <v>46</v>
      </c>
      <c r="DZ7" s="55" t="s">
        <v>46</v>
      </c>
      <c r="EA7" s="55" t="s">
        <v>54</v>
      </c>
      <c r="EB7" s="55" t="s">
        <v>46</v>
      </c>
      <c r="EC7" s="55" t="s">
        <v>46</v>
      </c>
      <c r="ED7" s="55" t="s">
        <v>27</v>
      </c>
      <c r="EE7" s="55" t="s">
        <v>54</v>
      </c>
      <c r="EF7" s="56"/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55" t="s">
        <v>37</v>
      </c>
      <c r="EM7" s="56">
        <v>0.0</v>
      </c>
      <c r="EN7" s="56">
        <v>0.0</v>
      </c>
      <c r="EO7" s="57">
        <v>-99.94</v>
      </c>
      <c r="EP7" s="56">
        <v>7.00386868E8</v>
      </c>
      <c r="EQ7" s="56">
        <v>0.0</v>
      </c>
      <c r="ER7" s="56">
        <v>0.0</v>
      </c>
      <c r="ES7" s="56">
        <v>0.0</v>
      </c>
      <c r="ET7" s="56">
        <v>0.0</v>
      </c>
      <c r="EU7" s="56">
        <v>0.0</v>
      </c>
      <c r="EV7" s="55" t="s">
        <v>37</v>
      </c>
      <c r="EW7" s="56">
        <v>0.0</v>
      </c>
      <c r="EX7" s="59" t="b">
        <v>0</v>
      </c>
      <c r="EY7" s="55" t="s">
        <v>43</v>
      </c>
      <c r="EZ7" s="55" t="s">
        <v>43</v>
      </c>
      <c r="FA7" s="55"/>
      <c r="FB7" s="43"/>
      <c r="FC7" s="43"/>
      <c r="FD7" s="43"/>
      <c r="FE7" s="43"/>
      <c r="FF7" s="43"/>
      <c r="FG7" s="43"/>
      <c r="FH7" s="43"/>
      <c r="FI7" s="43"/>
      <c r="FJ7" s="43"/>
    </row>
    <row r="8" ht="15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60"/>
      <c r="AZ8" s="60"/>
      <c r="BA8" s="60"/>
      <c r="BB8" s="61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60"/>
      <c r="AZ9" s="60"/>
      <c r="BA9" s="60"/>
      <c r="BB9" s="60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43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43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43"/>
      <c r="EU91" s="43"/>
      <c r="EV91" s="43"/>
      <c r="EW91" s="43"/>
      <c r="EX91" s="43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