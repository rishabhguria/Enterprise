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missionRule" sheetId="4" r:id="rId6"/>
    <sheet state="visible" name="SetGeneralPreferences" sheetId="5" r:id="rId7"/>
    <sheet state="visible" name="CreateDoneAwayOrder" sheetId="6" r:id="rId8"/>
    <sheet state="visible" name="GetDataAllocation" sheetId="7" r:id="rId9"/>
    <sheet state="visible" name="CheckUnallocatedGroups" sheetId="8" r:id="rId10"/>
    <sheet state="visible" name="CheckAllocatedGroups" sheetId="9" r:id="rId11"/>
    <sheet state="visible" name="SelectTradeOnOrderGrid" sheetId="10" r:id="rId12"/>
    <sheet state="visible" name="AddFillsSubOrder" sheetId="11" r:id="rId13"/>
    <sheet state="visible" name="EditAddFillsDetails" sheetId="12" r:id="rId14"/>
    <sheet state="visible" name="SelectTradeOnOrderGrid1" sheetId="13" r:id="rId15"/>
    <sheet state="visible" name="AddFillsSubOrder1" sheetId="14" r:id="rId16"/>
    <sheet state="visible" name="EditAddFillsDetails1" sheetId="15" r:id="rId17"/>
    <sheet state="visible" name="CheckUnallocatedGroups1" sheetId="16" r:id="rId18"/>
    <sheet state="visible" name="CheckAllocatedGroups1" sheetId="17" r:id="rId19"/>
    <sheet state="visible" name="SelectAllocatedGroup" sheetId="18" r:id="rId20"/>
    <sheet state="visible" name="EnterAccountValuesToAllocate" sheetId="19" r:id="rId21"/>
    <sheet state="visible" name="AllocateWithPopUp" sheetId="20" r:id="rId22"/>
    <sheet state="visible" name="CheckAllocatedGroups2" sheetId="21" r:id="rId23"/>
    <sheet state="visible" name="SelectUnallocatedGroup" sheetId="22" r:id="rId24"/>
    <sheet state="visible" name="EditUnallocatedGridWPF" sheetId="23" r:id="rId25"/>
    <sheet state="visible" name="SelectAllocatedGroup1" sheetId="24" r:id="rId26"/>
    <sheet state="visible" name="EditAllocatedGridWPF" sheetId="25" r:id="rId27"/>
    <sheet state="visible" name="CheckUnallocatedGroups2" sheetId="26" r:id="rId28"/>
    <sheet state="visible" name="CheckAllocatedGroups3" sheetId="27" r:id="rId29"/>
    <sheet state="visible" name="EditAddFillsDetails2" sheetId="28" r:id="rId30"/>
    <sheet state="visible" name="EditAddFillsDetails3" sheetId="29" r:id="rId31"/>
    <sheet state="visible" name="CheckUnallocatedGroups3" sheetId="30" r:id="rId32"/>
    <sheet state="visible" name="CheckAllocatedGroups4" sheetId="31" r:id="rId33"/>
  </sheets>
  <definedNames/>
  <calcPr/>
</workbook>
</file>

<file path=xl/sharedStrings.xml><?xml version="1.0" encoding="utf-8"?>
<sst xmlns="http://schemas.openxmlformats.org/spreadsheetml/2006/main" count="868" uniqueCount="66">
  <si>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</si>
  <si>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</si>
  <si>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</si>
  <si>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</si>
  <si>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</si>
  <si>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</si>
  <si>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</si>
  <si>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</si>
  <si>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</si>
  <si>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</si>
  <si>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</si>
  <si>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</si>
  <si>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</si>
  <si>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SetCommissionRule</t>
  </si>
  <si>
    <t>Data Format</t>
  </si>
  <si>
    <t>Input Format</t>
  </si>
  <si>
    <t>PREALLOCATION</t>
  </si>
  <si>
    <t>Allocation</t>
  </si>
  <si>
    <t>SetGeneralPreferences</t>
  </si>
  <si>
    <t>Recalculate</t>
  </si>
  <si>
    <t>TradingTicket</t>
  </si>
  <si>
    <t>CreateDoneAwayOrder</t>
  </si>
  <si>
    <t>AAPL</t>
  </si>
  <si>
    <t>Buy</t>
  </si>
  <si>
    <t>Shares/Contracts</t>
  </si>
  <si>
    <t>Allocation1,Allocation2</t>
  </si>
  <si>
    <t>50,50</t>
  </si>
  <si>
    <t>MSFT</t>
  </si>
  <si>
    <t>Unallocated</t>
  </si>
  <si>
    <t>GetDataAllocation</t>
  </si>
  <si>
    <t>Current</t>
  </si>
  <si>
    <t>CheckUnallocatedGroups</t>
  </si>
  <si>
    <t>Equity</t>
  </si>
  <si>
    <t>MSFT US EQUITY</t>
  </si>
  <si>
    <t>MS</t>
  </si>
  <si>
    <t>USD</t>
  </si>
  <si>
    <t>M</t>
  </si>
  <si>
    <t>Market</t>
  </si>
  <si>
    <t>US</t>
  </si>
  <si>
    <t>jpearce</t>
  </si>
  <si>
    <t>NASDAQ</t>
  </si>
  <si>
    <t>CheckAllocatedGroups</t>
  </si>
  <si>
    <t>Multiple</t>
  </si>
  <si>
    <t/>
  </si>
  <si>
    <t>Open</t>
  </si>
  <si>
    <t>APPLE</t>
  </si>
  <si>
    <t>Strategy Unallocated</t>
  </si>
  <si>
    <t>NONE</t>
  </si>
  <si>
    <t>Blotter</t>
  </si>
  <si>
    <t>SelectTradeOnOrderGrid</t>
  </si>
  <si>
    <t>PartiallyFilled</t>
  </si>
  <si>
    <t>AddFillsSubOrder</t>
  </si>
  <si>
    <t>EditAddFillsDetails</t>
  </si>
  <si>
    <t>GCCAP1</t>
  </si>
  <si>
    <t>AAPL US EQUITY</t>
  </si>
  <si>
    <t>None</t>
  </si>
  <si>
    <t>SelectAllocatedGroup</t>
  </si>
  <si>
    <t>EnterAccountValuesToAllocate</t>
  </si>
  <si>
    <t>Allocation3</t>
  </si>
  <si>
    <t>AllocateWithPopUp</t>
  </si>
  <si>
    <t>Yes</t>
  </si>
  <si>
    <t>Manual</t>
  </si>
  <si>
    <t>SelectUnallocatedGroup</t>
  </si>
  <si>
    <t>EditUnallocatedGridWPF</t>
  </si>
  <si>
    <t>EditAllocatedGridWPF</t>
  </si>
  <si>
    <t>InternalOrder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</si>
</sst>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 H:mm:ss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5" fillId="0" fontId="3" numFmtId="0" xfId="0" applyAlignment="1" applyBorder="1" applyFont="1">
      <alignment horizontal="center"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5" numFmtId="0" xfId="0" applyAlignment="1" applyFont="1">
      <alignment shrinkToFit="0" wrapText="0"/>
    </xf>
    <xf borderId="0" fillId="0" fontId="3" numFmtId="0" xfId="0" applyAlignment="1" applyFont="1">
      <alignment horizontal="center" vertical="bottom"/>
    </xf>
    <xf borderId="0" fillId="0" fontId="3" numFmtId="164" xfId="0" applyAlignment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horizontal="right" vertical="bottom"/>
    </xf>
    <xf borderId="0" fillId="0" fontId="3" numFmtId="165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IFERROR(__xludf.DUMMYFUNCTION("""COMPUTED_VALUE"""),"CommissionCalculation")</f>
        <v>CommissionCalculation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9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SetCommissionRule!$4:$4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R6" s="32" t="b">
        <v>1</v>
      </c>
      <c r="S6" s="33" t="s">
        <v>19</v>
      </c>
      <c r="T6" s="34" t="b">
        <v>1</v>
      </c>
      <c r="U6" s="35" t="s">
        <v>19</v>
      </c>
      <c r="V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R7" s="35"/>
      <c r="S7" s="35"/>
      <c r="T7" s="35"/>
      <c r="U7" s="35"/>
      <c r="V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SetGeneralPreferences!$4:$4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" width="12.63"/>
    <col customWidth="1" min="18" max="18" width="17.75"/>
    <col customWidth="1" min="19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 t="s">
        <v>23</v>
      </c>
      <c r="D6" s="13">
        <v>100.0</v>
      </c>
      <c r="E6" s="13">
        <v>10.0</v>
      </c>
      <c r="F6" s="8"/>
      <c r="G6" s="8"/>
      <c r="H6" s="8"/>
      <c r="I6" s="13"/>
      <c r="J6" s="13">
        <v>10.0</v>
      </c>
      <c r="K6" s="8"/>
      <c r="L6" s="8"/>
      <c r="M6" s="8"/>
      <c r="N6" s="8"/>
      <c r="O6" s="8"/>
      <c r="R6" s="9" t="s">
        <v>24</v>
      </c>
      <c r="S6" s="9">
        <v>10.0</v>
      </c>
      <c r="AK6" s="9" t="s">
        <v>25</v>
      </c>
      <c r="AL6" s="9" t="s">
        <v>26</v>
      </c>
    </row>
    <row r="7" ht="15.75" customHeight="1">
      <c r="A7" s="8"/>
      <c r="B7" s="13" t="s">
        <v>27</v>
      </c>
      <c r="C7" s="13" t="s">
        <v>23</v>
      </c>
      <c r="D7" s="13">
        <v>100.0</v>
      </c>
      <c r="E7" s="13">
        <v>10.0</v>
      </c>
      <c r="F7" s="13" t="s">
        <v>28</v>
      </c>
      <c r="G7" s="8"/>
      <c r="H7" s="8"/>
      <c r="I7" s="8"/>
      <c r="J7" s="13">
        <v>10.0</v>
      </c>
      <c r="K7" s="8"/>
      <c r="L7" s="8"/>
      <c r="M7" s="8"/>
      <c r="N7" s="8"/>
      <c r="O7" s="8"/>
      <c r="R7" s="9" t="s">
        <v>24</v>
      </c>
      <c r="S7" s="9">
        <v>10.0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30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IFERROR(__xludf.DUMMYFUNCTION("""COMPUTED_VALUE"""),"Accrual Basis")</f>
        <v>Accrual Basis</v>
      </c>
      <c r="C5" s="28" t="str">
        <f>IFERROR(__xludf.DUMMYFUNCTION("""COMPUTED_VALUE"""),"Accrued Interest")</f>
        <v>Accrued Interest</v>
      </c>
      <c r="D5" s="28" t="str">
        <f>IFERROR(__xludf.DUMMYFUNCTION("""COMPUTED_VALUE"""),"Allocated Qty")</f>
        <v>Allocated Qty</v>
      </c>
      <c r="E5" s="28" t="str">
        <f>IFERROR(__xludf.DUMMYFUNCTION("""COMPUTED_VALUE"""),"Allocation Scheme Name")</f>
        <v>Allocation Scheme Name</v>
      </c>
      <c r="F5" s="29" t="str">
        <f>IFERROR(__xludf.DUMMYFUNCTION("""COMPUTED_VALUE"""),"Asset Category")</f>
        <v>Asset Category</v>
      </c>
      <c r="G5" s="28" t="str">
        <f>IFERROR(__xludf.DUMMYFUNCTION("""COMPUTED_VALUE"""),"AUEC Fee1")</f>
        <v>AUEC Fee1</v>
      </c>
      <c r="H5" s="28" t="str">
        <f>IFERROR(__xludf.DUMMYFUNCTION("""COMPUTED_VALUE"""),"AUEC Fee2")</f>
        <v>AUEC Fee2</v>
      </c>
      <c r="I5" s="28" t="str">
        <f>IFERROR(__xludf.DUMMYFUNCTION("""COMPUTED_VALUE"""),"AUECID")</f>
        <v>AUECID</v>
      </c>
      <c r="J5" s="28" t="str">
        <f>IFERROR(__xludf.DUMMYFUNCTION("""COMPUTED_VALUE"""),"Avg Price(Base)")</f>
        <v>Avg Price(Base)</v>
      </c>
      <c r="K5" s="28" t="str">
        <f>IFERROR(__xludf.DUMMYFUNCTION("""COMPUTED_VALUE"""),"Avg Price(Local)")</f>
        <v>Avg Price(Local)</v>
      </c>
      <c r="L5" s="28" t="str">
        <f>IFERROR(__xludf.DUMMYFUNCTION("""COMPUTED_VALUE"""),"Bloomberg")</f>
        <v>Bloomberg</v>
      </c>
      <c r="M5" s="28" t="str">
        <f>IFERROR(__xludf.DUMMYFUNCTION("""COMPUTED_VALUE"""),"Bond Type")</f>
        <v>Bond Type</v>
      </c>
      <c r="N5" s="28" t="str">
        <f>IFERROR(__xludf.DUMMYFUNCTION("""COMPUTED_VALUE"""),"Broker")</f>
        <v>Broker</v>
      </c>
      <c r="O5" s="28" t="str">
        <f>IFERROR(__xludf.DUMMYFUNCTION("""COMPUTED_VALUE"""),"Change Comment")</f>
        <v>Change Comment</v>
      </c>
      <c r="P5" s="28" t="str">
        <f>IFERROR(__xludf.DUMMYFUNCTION("""COMPUTED_VALUE"""),"Change Type")</f>
        <v>Change Type</v>
      </c>
      <c r="Q5" s="28" t="str">
        <f>IFERROR(__xludf.DUMMYFUNCTION("""COMPUTED_VALUE"""),"Clearing Broker Fee")</f>
        <v>Clearing Broker Fee</v>
      </c>
      <c r="R5" s="28" t="str">
        <f>IFERROR(__xludf.DUMMYFUNCTION("""COMPUTED_VALUE"""),"Closing Method")</f>
        <v>Closing Method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IFERROR(__xludf.DUMMYFUNCTION("""COMPUTED_VALUE"""),"Execution Time")</f>
        <v>Execution Time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IFERROR(__xludf.DUMMYFUNCTION("""COMPUTED_VALUE"""),"FX Rate")</f>
        <v>FX Rate</v>
      </c>
      <c r="AI5" s="30" t="str">
        <f>IFERROR(__xludf.DUMMYFUNCTION("""COMPUTED_VALUE"""),"Group Status")</f>
        <v>Group Status</v>
      </c>
      <c r="AJ5" s="30" t="str">
        <f>IFERROR(__xludf.DUMMYFUNCTION("""COMPUTED_VALUE"""),"GroupID")</f>
        <v>GroupID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IFERROR(__xludf.DUMMYFUNCTION("""COMPUTED_VALUE"""),"Symbol")</f>
        <v>Symbol</v>
      </c>
      <c r="BT5" s="30" t="str">
        <f>IFERROR(__xludf.DUMMYFUNCTION("""COMPUTED_VALUE"""),"Tax On Commissions")</f>
        <v>Tax On Commissions</v>
      </c>
      <c r="BU5" s="30" t="str">
        <f>IFERROR(__xludf.DUMMYFUNCTION("""COMPUTED_VALUE"""),"Total Commission")</f>
        <v>Total Commission</v>
      </c>
      <c r="BV5" s="30" t="str">
        <f>IFERROR(__xludf.DUMMYFUNCTION("""COMPUTED_VALUE"""),"Total Commission And Fee")</f>
        <v>Total Commission And Fee</v>
      </c>
      <c r="BW5" s="30" t="str">
        <f>IFERROR(__xludf.DUMMYFUNCTION("""COMPUTED_VALUE"""),"Total Commission Per Share")</f>
        <v>Total Commission Per Share</v>
      </c>
      <c r="BX5" s="30" t="str">
        <f>IFERROR(__xludf.DUMMYFUNCTION("""COMPUTED_VALUE"""),"Trade Attribute 1")</f>
        <v>Trade Attribute 1</v>
      </c>
      <c r="BY5" s="30" t="str">
        <f>IFERROR(__xludf.DUMMYFUNCTION("""COMPUTED_VALUE"""),"Trade Attribute 2")</f>
        <v>Trade Attribute 2</v>
      </c>
      <c r="BZ5" s="30" t="str">
        <f>IFERROR(__xludf.DUMMYFUNCTION("""COMPUTED_VALUE"""),"Trade Attribute 3")</f>
        <v>Trade Attribute 3</v>
      </c>
      <c r="CA5" s="30" t="str">
        <f>IFERROR(__xludf.DUMMYFUNCTION("""COMPUTED_VALUE"""),"Trade Attribute 4")</f>
        <v>Trade Attribute 4</v>
      </c>
      <c r="CB5" s="30" t="str">
        <f>IFERROR(__xludf.DUMMYFUNCTION("""COMPUTED_VALUE"""),"Trade Attribute 5")</f>
        <v>Trade Attribute 5</v>
      </c>
      <c r="CC5" s="30" t="str">
        <f>IFERROR(__xludf.DUMMYFUNCTION("""COMPUTED_VALUE"""),"Trade Attribute 6")</f>
        <v>Trade Attribute 6</v>
      </c>
      <c r="CD5" s="30" t="str">
        <f>IFERROR(__xludf.DUMMYFUNCTION("""COMPUTED_VALUE"""),"Trade Date")</f>
        <v>Trade Date</v>
      </c>
      <c r="CE5" s="30" t="str">
        <f>IFERROR(__xludf.DUMMYFUNCTION("""COMPUTED_VALUE"""),"Trading Account")</f>
        <v>Trading Account</v>
      </c>
      <c r="CF5" s="30" t="str">
        <f>IFERROR(__xludf.DUMMYFUNCTION("""COMPUTED_VALUE"""),"Transaction Levy")</f>
        <v>Transaction Levy</v>
      </c>
      <c r="CG5" s="30" t="str">
        <f>IFERROR(__xludf.DUMMYFUNCTION("""COMPUTED_VALUE"""),"Transaction Source")</f>
        <v>Transaction Source</v>
      </c>
      <c r="CH5" s="30" t="str">
        <f>IFERROR(__xludf.DUMMYFUNCTION("""COMPUTED_VALUE"""),"Transaction Type")</f>
        <v>Transaction Type</v>
      </c>
      <c r="CI5" s="30" t="str">
        <f>IFERROR(__xludf.DUMMYFUNCTION("""COMPUTED_VALUE"""),"UnAllocatedQty")</f>
        <v>UnAllocatedQty</v>
      </c>
      <c r="CJ5" s="30" t="str">
        <f>IFERROR(__xludf.DUMMYFUNCTION("""COMPUTED_VALUE"""),"Underlying")</f>
        <v>Underlying</v>
      </c>
      <c r="CK5" s="30" t="str">
        <f>IFERROR(__xludf.DUMMYFUNCTION("""COMPUTED_VALUE"""),"Underlying Delta")</f>
        <v>Underlying Delta</v>
      </c>
      <c r="CL5" s="30" t="str">
        <f>IFERROR(__xludf.DUMMYFUNCTION("""COMPUTED_VALUE"""),"Underlying Symbol")</f>
        <v>Underlying Symbol</v>
      </c>
      <c r="CM5" s="30" t="str">
        <f>IFERROR(__xludf.DUMMYFUNCTION("""COMPUTED_VALUE"""),"User")</f>
        <v>User</v>
      </c>
      <c r="CN5" s="30" t="str">
        <f>IFERROR(__xludf.DUMMYFUNCTION("""COMPUTED_VALUE"""),"Venue")</f>
        <v>Venue</v>
      </c>
      <c r="CO5" s="30" t="str">
        <f>IFERROR(__xludf.DUMMYFUNCTION("""COMPUTED_VALUE"""),"Closing Date")</f>
        <v>Closing Date</v>
      </c>
      <c r="CP5" s="30" t="str">
        <f>IFERROR(__xludf.DUMMYFUNCTION("""COMPUTED_VALUE"""),"Expiration Date")</f>
        <v>Expiration Date</v>
      </c>
      <c r="CQ5" s="30" t="str">
        <f>IFERROR(__xludf.DUMMYFUNCTION("""COMPUTED_VALUE"""),"Master Fund")</f>
        <v>Master Fund</v>
      </c>
      <c r="CR5" s="30" t="str">
        <f>IFERROR(__xludf.DUMMYFUNCTION("""COMPUTED_VALUE"""),"Borrow Broker")</f>
        <v>Borrow Broker</v>
      </c>
      <c r="CS5" s="30" t="str">
        <f>IFERROR(__xludf.DUMMYFUNCTION("""COMPUTED_VALUE"""),"MandatoryColumn")</f>
        <v>MandatoryColumn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13" t="s">
        <v>32</v>
      </c>
      <c r="G6" s="36">
        <v>4.0</v>
      </c>
      <c r="H6" s="36">
        <v>5.0</v>
      </c>
      <c r="I6" s="36">
        <v>1.0</v>
      </c>
      <c r="J6" s="36">
        <v>10.0</v>
      </c>
      <c r="K6" s="36">
        <v>10.0</v>
      </c>
      <c r="L6" s="33" t="s">
        <v>33</v>
      </c>
      <c r="M6" s="8"/>
      <c r="N6" s="33" t="s">
        <v>34</v>
      </c>
      <c r="O6" s="33"/>
      <c r="P6" s="36">
        <v>3.0</v>
      </c>
      <c r="Q6" s="36">
        <v>0.0</v>
      </c>
      <c r="R6" s="33"/>
      <c r="S6" s="37"/>
      <c r="T6" s="38">
        <v>100.0</v>
      </c>
      <c r="U6" s="9">
        <v>10.0</v>
      </c>
      <c r="Z6" s="9" t="s">
        <v>35</v>
      </c>
      <c r="AE6" s="9">
        <v>10.0</v>
      </c>
      <c r="AG6" s="9" t="s">
        <v>36</v>
      </c>
      <c r="AH6" s="9">
        <v>1.0</v>
      </c>
      <c r="AT6">
        <v>214.0001</v>
      </c>
      <c r="AU6">
        <v>214.0001</v>
      </c>
      <c r="AY6" s="9" t="s">
        <v>37</v>
      </c>
      <c r="BE6" s="9">
        <v>100.0</v>
      </c>
      <c r="BF6" s="9">
        <v>100.0</v>
      </c>
      <c r="BJ6" s="9">
        <v>100.0</v>
      </c>
      <c r="BO6" s="9" t="s">
        <v>23</v>
      </c>
      <c r="BS6" s="9" t="s">
        <v>27</v>
      </c>
      <c r="BT6">
        <v>3.0</v>
      </c>
      <c r="BU6">
        <v>100.0</v>
      </c>
      <c r="CH6" t="s">
        <v>23</v>
      </c>
      <c r="CI6">
        <v>10.0</v>
      </c>
      <c r="CJ6" t="s">
        <v>38</v>
      </c>
      <c r="CK6">
        <v>1.0</v>
      </c>
      <c r="CL6" t="s">
        <v>27</v>
      </c>
      <c r="CM6" t="s">
        <v>39</v>
      </c>
      <c r="CN6" t="s">
        <v>40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CheckUnallocatedGroups!$4:$4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6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 t="str">
        <f>IFERROR(__xludf.DUMMYFUNCTION("""COMPUTED_VALUE"""),"Testing Type")</f>
        <v>Testing Type</v>
      </c>
      <c r="DA5" s="30" t="str">
        <f>IFERROR(__xludf.DUMMYFUNCTION("""COMPUTED_VALUE"""),"Testing Column")</f>
        <v>Testing Column</v>
      </c>
      <c r="DB5" s="30" t="str">
        <f>IFERROR(__xludf.DUMMYFUNCTION("""COMPUTED_VALUE"""),"Testing Col Value")</f>
        <v>Testing Col Value</v>
      </c>
      <c r="DC5" s="30" t="str">
        <f>IFERROR(__xludf.DUMMYFUNCTION("""COMPUTED_VALUE"""),"DuplicateRow")</f>
        <v>DuplicateRow</v>
      </c>
      <c r="DD5" s="30" t="str">
        <f>IFERROR(__xludf.DUMMYFUNCTION("""COMPUTED_VALUE"""),"DuplicateCountOnUI")</f>
        <v>DuplicateCountOnUI</v>
      </c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</row>
    <row r="6" ht="15.75" customHeight="1">
      <c r="A6" s="13"/>
      <c r="B6" s="39" t="s">
        <v>42</v>
      </c>
      <c r="C6" s="8" t="s">
        <v>43</v>
      </c>
      <c r="D6" s="39">
        <v>0.0</v>
      </c>
      <c r="E6" s="8">
        <v>10.0</v>
      </c>
      <c r="F6" s="8"/>
      <c r="G6" s="8" t="s">
        <v>32</v>
      </c>
      <c r="H6" s="8">
        <v>4.0</v>
      </c>
      <c r="I6" s="8">
        <v>5.0</v>
      </c>
      <c r="J6" s="8">
        <v>1.0</v>
      </c>
      <c r="K6" s="8">
        <v>10.0</v>
      </c>
      <c r="L6" s="8">
        <v>10.0</v>
      </c>
      <c r="M6" s="8"/>
      <c r="N6" s="8" t="s">
        <v>43</v>
      </c>
      <c r="O6" s="8" t="s">
        <v>34</v>
      </c>
      <c r="Q6">
        <v>3.0</v>
      </c>
      <c r="R6">
        <v>0.0</v>
      </c>
      <c r="S6" t="s">
        <v>44</v>
      </c>
      <c r="T6">
        <v>100.0</v>
      </c>
      <c r="U6">
        <v>10.0</v>
      </c>
      <c r="V6" t="s">
        <v>45</v>
      </c>
      <c r="Y6" t="s">
        <v>43</v>
      </c>
      <c r="Z6" t="s">
        <v>35</v>
      </c>
      <c r="AA6" t="s">
        <v>22</v>
      </c>
      <c r="AE6">
        <v>10.0</v>
      </c>
      <c r="AF6" t="s">
        <v>43</v>
      </c>
      <c r="AH6" t="s">
        <v>36</v>
      </c>
      <c r="AI6">
        <v>1.0</v>
      </c>
      <c r="AN6" t="b">
        <v>0</v>
      </c>
      <c r="AT6">
        <v>214.0001</v>
      </c>
      <c r="AU6">
        <v>214.0001</v>
      </c>
      <c r="AW6">
        <v>0.0</v>
      </c>
      <c r="AX6">
        <v>0.0</v>
      </c>
      <c r="AY6" t="s">
        <v>37</v>
      </c>
      <c r="AZ6">
        <v>0.0</v>
      </c>
      <c r="BC6">
        <v>0.0</v>
      </c>
      <c r="BE6">
        <v>100.0</v>
      </c>
      <c r="BF6">
        <v>100.0</v>
      </c>
      <c r="BJ6">
        <v>100.0</v>
      </c>
      <c r="BK6">
        <v>0.0</v>
      </c>
      <c r="BL6" t="s">
        <v>43</v>
      </c>
      <c r="BM6" t="s">
        <v>35</v>
      </c>
      <c r="BO6" t="s">
        <v>23</v>
      </c>
      <c r="BP6">
        <v>0.0</v>
      </c>
      <c r="BQ6">
        <v>0.0</v>
      </c>
      <c r="BS6" t="s">
        <v>46</v>
      </c>
      <c r="BT6" t="s">
        <v>22</v>
      </c>
      <c r="BU6">
        <v>3.0</v>
      </c>
      <c r="BV6">
        <v>100.0</v>
      </c>
      <c r="CG6">
        <v>2.0</v>
      </c>
      <c r="CH6" t="s">
        <v>20</v>
      </c>
      <c r="CI6" t="s">
        <v>23</v>
      </c>
      <c r="CJ6">
        <v>0.0</v>
      </c>
      <c r="CK6" t="s">
        <v>38</v>
      </c>
      <c r="CL6">
        <v>1.0</v>
      </c>
      <c r="CM6" t="s">
        <v>22</v>
      </c>
      <c r="CN6" t="s">
        <v>39</v>
      </c>
      <c r="CO6" t="s">
        <v>40</v>
      </c>
      <c r="CP6" t="s">
        <v>47</v>
      </c>
      <c r="CS6" t="s">
        <v>43</v>
      </c>
      <c r="CU6" t="s">
        <v>43</v>
      </c>
      <c r="CV6" t="s">
        <v>43</v>
      </c>
      <c r="CW6" t="s">
        <v>43</v>
      </c>
      <c r="CX6" t="s">
        <v>43</v>
      </c>
      <c r="CY6" t="s">
        <v>43</v>
      </c>
      <c r="CZ6" t="s">
        <v>43</v>
      </c>
      <c r="DA6" t="s">
        <v>43</v>
      </c>
      <c r="DB6" t="s">
        <v>43</v>
      </c>
      <c r="DC6" t="s">
        <v>43</v>
      </c>
      <c r="DD6" t="s">
        <v>43</v>
      </c>
      <c r="DE6" t="s">
        <v>43</v>
      </c>
      <c r="DF6" t="s">
        <v>43</v>
      </c>
      <c r="DG6" t="s">
        <v>43</v>
      </c>
      <c r="DH6" t="s">
        <v>43</v>
      </c>
      <c r="DI6" t="s">
        <v>43</v>
      </c>
      <c r="DJ6" t="s">
        <v>43</v>
      </c>
      <c r="DK6" t="s">
        <v>43</v>
      </c>
      <c r="DL6" t="s">
        <v>43</v>
      </c>
      <c r="DM6" t="s">
        <v>43</v>
      </c>
      <c r="DN6" t="s">
        <v>43</v>
      </c>
      <c r="DO6" t="s">
        <v>43</v>
      </c>
      <c r="DP6" t="s">
        <v>43</v>
      </c>
      <c r="DQ6" t="s">
        <v>43</v>
      </c>
      <c r="DR6" t="s">
        <v>43</v>
      </c>
      <c r="DS6" t="s">
        <v>43</v>
      </c>
      <c r="DT6" t="s">
        <v>43</v>
      </c>
      <c r="DU6" t="s">
        <v>43</v>
      </c>
      <c r="DV6" t="s">
        <v>43</v>
      </c>
      <c r="DW6" t="s">
        <v>43</v>
      </c>
      <c r="DX6" t="s">
        <v>43</v>
      </c>
      <c r="DY6" t="s">
        <v>43</v>
      </c>
      <c r="DZ6" t="s">
        <v>43</v>
      </c>
      <c r="EA6" t="s">
        <v>43</v>
      </c>
      <c r="EB6" t="s">
        <v>43</v>
      </c>
      <c r="EC6" t="s">
        <v>43</v>
      </c>
      <c r="ED6" t="s">
        <v>43</v>
      </c>
      <c r="EE6" t="s">
        <v>43</v>
      </c>
      <c r="EF6" t="s">
        <v>43</v>
      </c>
      <c r="EG6" t="s">
        <v>43</v>
      </c>
      <c r="EH6" t="s">
        <v>43</v>
      </c>
      <c r="EI6" t="s">
        <v>43</v>
      </c>
      <c r="EJ6" t="s">
        <v>43</v>
      </c>
      <c r="EK6" t="s">
        <v>43</v>
      </c>
      <c r="EL6" t="s">
        <v>43</v>
      </c>
      <c r="EM6" t="s">
        <v>43</v>
      </c>
      <c r="EN6" t="s">
        <v>43</v>
      </c>
      <c r="EO6" t="s">
        <v>43</v>
      </c>
      <c r="EP6" t="s">
        <v>43</v>
      </c>
      <c r="EQ6" t="s">
        <v>43</v>
      </c>
      <c r="ER6" t="s">
        <v>43</v>
      </c>
      <c r="ES6" t="s">
        <v>43</v>
      </c>
      <c r="ET6" t="s">
        <v>43</v>
      </c>
      <c r="EU6" t="s">
        <v>43</v>
      </c>
      <c r="EV6" t="s">
        <v>43</v>
      </c>
      <c r="EW6" t="s">
        <v>43</v>
      </c>
      <c r="EX6" t="s">
        <v>43</v>
      </c>
      <c r="EY6" t="s">
        <v>43</v>
      </c>
      <c r="EZ6" t="s">
        <v>43</v>
      </c>
      <c r="FA6" t="s">
        <v>43</v>
      </c>
      <c r="FB6" t="s">
        <v>43</v>
      </c>
      <c r="FC6" t="s">
        <v>43</v>
      </c>
      <c r="FD6" t="s">
        <v>43</v>
      </c>
      <c r="FE6" t="s">
        <v>43</v>
      </c>
      <c r="FF6" t="s">
        <v>43</v>
      </c>
      <c r="FG6" t="s">
        <v>43</v>
      </c>
      <c r="FH6" t="s">
        <v>43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8"/>
      <c r="D6" s="13" t="s">
        <v>22</v>
      </c>
      <c r="E6" s="31"/>
      <c r="F6" s="13" t="s">
        <v>23</v>
      </c>
      <c r="G6" s="13" t="s">
        <v>50</v>
      </c>
      <c r="H6" s="13">
        <v>100.0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IFERROR(__xludf.DUMMYFUNCTION("""COMPUTED_VALUE"""),"Quantity")</f>
        <v>Quantity</v>
      </c>
      <c r="I5" s="28" t="str">
        <f>IFERROR(__xludf.DUMMYFUNCTION("""COMPUTED_VALUE"""),"Executed Qty")</f>
        <v>Executed Qty</v>
      </c>
      <c r="J5" s="28" t="str">
        <f>IFERROR(__xludf.DUMMYFUNCTION("""COMPUTED_VALUE"""),"Limit Price")</f>
        <v>Limit Price</v>
      </c>
      <c r="K5" s="28" t="str">
        <f>IFERROR(__xludf.DUMMYFUNCTION("""COMPUTED_VALUE"""),"Last Fill Price (Local)")</f>
        <v>Last Fill Price (Local)</v>
      </c>
      <c r="L5" s="28" t="str">
        <f>IFERROR(__xludf.DUMMYFUNCTION("""COMPUTED_VALUE"""),"Stop Price")</f>
        <v>Stop Price</v>
      </c>
      <c r="M5" s="28" t="str">
        <f>IFERROR(__xludf.DUMMYFUNCTION("""COMPUTED_VALUE"""),"Avg Fill Price (Local)")</f>
        <v>Avg Fill Price (Local)</v>
      </c>
      <c r="N5" s="28" t="str">
        <f>IFERROR(__xludf.DUMMYFUNCTION("""COMPUTED_VALUE"""),"Broker")</f>
        <v>Broker</v>
      </c>
      <c r="O5" s="28" t="str">
        <f>IFERROR(__xludf.DUMMYFUNCTION("""COMPUTED_VALUE"""),"Account")</f>
        <v>Account</v>
      </c>
      <c r="P5" s="28" t="str">
        <f>IFERROR(__xludf.DUMMYFUNCTION("""COMPUTED_VALUE"""),"OrderID")</f>
        <v>OrderID</v>
      </c>
      <c r="Q5" s="28" t="str">
        <f>IFERROR(__xludf.DUMMYFUNCTION("""COMPUTED_VALUE"""),"Order Type")</f>
        <v>Order Type</v>
      </c>
      <c r="R5" s="28" t="str">
        <f>IFERROR(__xludf.DUMMYFUNCTION("""COMPUTED_VALUE"""),"Principal Amount (Local)")</f>
        <v>Principal Amount (Local)</v>
      </c>
      <c r="S5" s="28" t="str">
        <f>IFERROR(__xludf.DUMMYFUNCTION("""COMPUTED_VALUE"""),"Principal Amount (Base)")</f>
        <v>Principal Amount (Base)</v>
      </c>
      <c r="T5" s="30" t="str">
        <f>IFERROR(__xludf.DUMMYFUNCTION("""COMPUTED_VALUE"""),"Peg")</f>
        <v>Peg</v>
      </c>
      <c r="U5" s="30" t="str">
        <f>IFERROR(__xludf.DUMMYFUNCTION("""COMPUTED_VALUE"""),"ParentClOrderID")</f>
        <v>ParentClOrderID</v>
      </c>
      <c r="V5" s="30" t="str">
        <f>IFERROR(__xludf.DUMMYFUNCTION("""COMPUTED_VALUE"""),"Strike Price")</f>
        <v>Strike Price</v>
      </c>
      <c r="W5" s="30" t="str">
        <f>IFERROR(__xludf.DUMMYFUNCTION("""COMPUTED_VALUE"""),"Last Shares")</f>
        <v>Last Shares</v>
      </c>
      <c r="X5" s="30" t="str">
        <f>IFERROR(__xludf.DUMMYFUNCTION("""COMPUTED_VALUE"""),"Working Qty")</f>
        <v>Working Qty</v>
      </c>
      <c r="Y5" s="30" t="str">
        <f>IFERROR(__xludf.DUMMYFUNCTION("""COMPUTED_VALUE"""),"Bloomberg Symbol")</f>
        <v>Bloomberg Symbol</v>
      </c>
      <c r="Z5" s="30" t="str">
        <f>IFERROR(__xludf.DUMMYFUNCTION("""COMPUTED_VALUE"""),"Imported File Name")</f>
        <v>Imported File Name</v>
      </c>
      <c r="AA5" s="30" t="str">
        <f>IFERROR(__xludf.DUMMYFUNCTION("""COMPUTED_VALUE"""),"Master Fund")</f>
        <v>Master Fund</v>
      </c>
      <c r="AB5" s="30" t="str">
        <f>IFERROR(__xludf.DUMMYFUNCTION("""COMPUTED_VALUE"""),"Asset Class")</f>
        <v>Asset Class</v>
      </c>
      <c r="AC5" s="30" t="str">
        <f>IFERROR(__xludf.DUMMYFUNCTION("""COMPUTED_VALUE"""),"Underlying Country")</f>
        <v>Underlying Country</v>
      </c>
      <c r="AD5" s="30" t="str">
        <f>IFERROR(__xludf.DUMMYFUNCTION("""COMPUTED_VALUE"""),"Trader")</f>
        <v>Trader</v>
      </c>
      <c r="AE5" s="30" t="str">
        <f>IFERROR(__xludf.DUMMYFUNCTION("""COMPUTED_VALUE"""),"User")</f>
        <v>User</v>
      </c>
      <c r="AF5" s="30" t="str">
        <f>IFERROR(__xludf.DUMMYFUNCTION("""COMPUTED_VALUE"""),"Venue")</f>
        <v>Venue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IFERROR(__xludf.DUMMYFUNCTION("""COMPUTED_VALUE"""),"Process Date")</f>
        <v>Process Date</v>
      </c>
      <c r="AJ5" s="30" t="str">
        <f>IFERROR(__xludf.DUMMYFUNCTION("""COMPUTED_VALUE"""),"Underlying Symbol")</f>
        <v>Underlying Symbol</v>
      </c>
      <c r="AK5" s="30" t="str">
        <f>IFERROR(__xludf.DUMMYFUNCTION("""COMPUTED_VALUE"""),"Put/Call")</f>
        <v>Put/Call</v>
      </c>
      <c r="AL5" s="30" t="str">
        <f>IFERROR(__xludf.DUMMYFUNCTION("""COMPUTED_VALUE"""),"FX Rate")</f>
        <v>FX Rate</v>
      </c>
      <c r="AM5" s="30" t="str">
        <f>IFERROR(__xludf.DUMMYFUNCTION("""COMPUTED_VALUE"""),"Trade Attribute 1")</f>
        <v>Trade Attribute 1</v>
      </c>
      <c r="AN5" s="30" t="str">
        <f>IFERROR(__xludf.DUMMYFUNCTION("""COMPUTED_VALUE"""),"Trade Attribute 2")</f>
        <v>Trade Attribute 2</v>
      </c>
      <c r="AO5" s="30" t="str">
        <f>IFERROR(__xludf.DUMMYFUNCTION("""COMPUTED_VALUE"""),"Trade Attribute 3")</f>
        <v>Trade Attribute 3</v>
      </c>
      <c r="AP5" s="30" t="str">
        <f>IFERROR(__xludf.DUMMYFUNCTION("""COMPUTED_VALUE"""),"Trade Attribute 4")</f>
        <v>Trade Attribute 4</v>
      </c>
      <c r="AQ5" s="30" t="str">
        <f>IFERROR(__xludf.DUMMYFUNCTION("""COMPUTED_VALUE"""),"Trade Attribute 5")</f>
        <v>Trade Attribute 5</v>
      </c>
      <c r="AR5" s="30" t="str">
        <f>IFERROR(__xludf.DUMMYFUNCTION("""COMPUTED_VALUE"""),"Trade Attribute 6")</f>
        <v>Trade Attribute 6</v>
      </c>
      <c r="AS5" s="30" t="str">
        <f>IFERROR(__xludf.DUMMYFUNCTION("""COMPUTED_VALUE"""),"Internal Comments")</f>
        <v>Internal Comments</v>
      </c>
      <c r="AT5" s="30" t="str">
        <f>IFERROR(__xludf.DUMMYFUNCTION("""COMPUTED_VALUE"""),"Allocation Scheme Name        ")</f>
        <v>Allocation Scheme Name        </v>
      </c>
      <c r="AU5" s="30" t="str">
        <f>IFERROR(__xludf.DUMMYFUNCTION("""COMPUTED_VALUE"""),"Status (With Rollover)")</f>
        <v>Status (With Rollover)</v>
      </c>
      <c r="AV5" s="30" t="str">
        <f>IFERROR(__xludf.DUMMYFUNCTION("""COMPUTED_VALUE"""),"Allocation Status")</f>
        <v>Allocation Status</v>
      </c>
      <c r="AW5" s="30" t="str">
        <f>IFERROR(__xludf.DUMMYFUNCTION("""COMPUTED_VALUE"""),"Source")</f>
        <v>Source</v>
      </c>
      <c r="AX5" s="30" t="str">
        <f>IFERROR(__xludf.DUMMYFUNCTION("""COMPUTED_VALUE"""),"Strategy")</f>
        <v>Strategy</v>
      </c>
      <c r="AY5" s="30" t="str">
        <f>IFERROR(__xludf.DUMMYFUNCTION("""COMPUTED_VALUE"""),"Unexecuted Qty")</f>
        <v>Unexecuted Qty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8"/>
      <c r="D6" s="13" t="s">
        <v>22</v>
      </c>
      <c r="E6" s="31"/>
      <c r="F6" s="13" t="s">
        <v>23</v>
      </c>
      <c r="G6" s="13" t="s">
        <v>50</v>
      </c>
      <c r="H6" s="13">
        <v>100.0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AddFillsSubOrder!$4:$4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IFERROR(__xludf.DUMMYFUNCTION("""COMPUTED_VALUE"""),"Fill")</f>
        <v>Fill</v>
      </c>
      <c r="C5" s="28" t="str">
        <f>IFERROR(__xludf.DUMMYFUNCTION("""COMPUTED_VALUE"""),"Last Fill Price (Local)")</f>
        <v>Last Fill Price (Local)</v>
      </c>
      <c r="D5" s="28" t="str">
        <f>IFERROR(__xludf.DUMMYFUNCTION("""COMPUTED_VALUE"""),"New")</f>
        <v>New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20.0</v>
      </c>
      <c r="C6" s="13">
        <v>10.0</v>
      </c>
      <c r="D6" s="13" t="b">
        <v>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EditAddFillsDetails!$4:$4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8"/>
      <c r="D6" s="13" t="s">
        <v>27</v>
      </c>
      <c r="E6" s="31"/>
      <c r="F6" s="13" t="s">
        <v>23</v>
      </c>
      <c r="G6" s="13" t="s">
        <v>50</v>
      </c>
      <c r="H6" s="13">
        <v>100.0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IFERROR(__xludf.DUMMYFUNCTION("""COMPUTED_VALUE"""),"Quantity")</f>
        <v>Quantity</v>
      </c>
      <c r="I5" s="28" t="str">
        <f>IFERROR(__xludf.DUMMYFUNCTION("""COMPUTED_VALUE"""),"Executed Qty")</f>
        <v>Executed Qty</v>
      </c>
      <c r="J5" s="28" t="str">
        <f>IFERROR(__xludf.DUMMYFUNCTION("""COMPUTED_VALUE"""),"Limit Price")</f>
        <v>Limit Price</v>
      </c>
      <c r="K5" s="28" t="str">
        <f>IFERROR(__xludf.DUMMYFUNCTION("""COMPUTED_VALUE"""),"Last Fill Price (Local)")</f>
        <v>Last Fill Price (Local)</v>
      </c>
      <c r="L5" s="28" t="str">
        <f>IFERROR(__xludf.DUMMYFUNCTION("""COMPUTED_VALUE"""),"Stop Price")</f>
        <v>Stop Price</v>
      </c>
      <c r="M5" s="28" t="str">
        <f>IFERROR(__xludf.DUMMYFUNCTION("""COMPUTED_VALUE"""),"Avg Fill Price (Local)")</f>
        <v>Avg Fill Price (Local)</v>
      </c>
      <c r="N5" s="28" t="str">
        <f>IFERROR(__xludf.DUMMYFUNCTION("""COMPUTED_VALUE"""),"Broker")</f>
        <v>Broker</v>
      </c>
      <c r="O5" s="28" t="str">
        <f>IFERROR(__xludf.DUMMYFUNCTION("""COMPUTED_VALUE"""),"Account")</f>
        <v>Account</v>
      </c>
      <c r="P5" s="28" t="str">
        <f>IFERROR(__xludf.DUMMYFUNCTION("""COMPUTED_VALUE"""),"OrderID")</f>
        <v>OrderID</v>
      </c>
      <c r="Q5" s="28" t="str">
        <f>IFERROR(__xludf.DUMMYFUNCTION("""COMPUTED_VALUE"""),"Order Type")</f>
        <v>Order Type</v>
      </c>
      <c r="R5" s="28" t="str">
        <f>IFERROR(__xludf.DUMMYFUNCTION("""COMPUTED_VALUE"""),"Principal Amount (Local)")</f>
        <v>Principal Amount (Local)</v>
      </c>
      <c r="S5" s="28" t="str">
        <f>IFERROR(__xludf.DUMMYFUNCTION("""COMPUTED_VALUE"""),"Principal Amount (Base)")</f>
        <v>Principal Amount (Base)</v>
      </c>
      <c r="T5" s="30" t="str">
        <f>IFERROR(__xludf.DUMMYFUNCTION("""COMPUTED_VALUE"""),"Peg")</f>
        <v>Peg</v>
      </c>
      <c r="U5" s="30" t="str">
        <f>IFERROR(__xludf.DUMMYFUNCTION("""COMPUTED_VALUE"""),"ParentClOrderID")</f>
        <v>ParentClOrderID</v>
      </c>
      <c r="V5" s="30" t="str">
        <f>IFERROR(__xludf.DUMMYFUNCTION("""COMPUTED_VALUE"""),"Strike Price")</f>
        <v>Strike Price</v>
      </c>
      <c r="W5" s="30" t="str">
        <f>IFERROR(__xludf.DUMMYFUNCTION("""COMPUTED_VALUE"""),"Last Shares")</f>
        <v>Last Shares</v>
      </c>
      <c r="X5" s="30" t="str">
        <f>IFERROR(__xludf.DUMMYFUNCTION("""COMPUTED_VALUE"""),"Working Qty")</f>
        <v>Working Qty</v>
      </c>
      <c r="Y5" s="30" t="str">
        <f>IFERROR(__xludf.DUMMYFUNCTION("""COMPUTED_VALUE"""),"Bloomberg Symbol")</f>
        <v>Bloomberg Symbol</v>
      </c>
      <c r="Z5" s="30" t="str">
        <f>IFERROR(__xludf.DUMMYFUNCTION("""COMPUTED_VALUE"""),"Imported File Name")</f>
        <v>Imported File Name</v>
      </c>
      <c r="AA5" s="30" t="str">
        <f>IFERROR(__xludf.DUMMYFUNCTION("""COMPUTED_VALUE"""),"Master Fund")</f>
        <v>Master Fund</v>
      </c>
      <c r="AB5" s="30" t="str">
        <f>IFERROR(__xludf.DUMMYFUNCTION("""COMPUTED_VALUE"""),"Asset Class")</f>
        <v>Asset Class</v>
      </c>
      <c r="AC5" s="30" t="str">
        <f>IFERROR(__xludf.DUMMYFUNCTION("""COMPUTED_VALUE"""),"Underlying Country")</f>
        <v>Underlying Country</v>
      </c>
      <c r="AD5" s="30" t="str">
        <f>IFERROR(__xludf.DUMMYFUNCTION("""COMPUTED_VALUE"""),"Trader")</f>
        <v>Trader</v>
      </c>
      <c r="AE5" s="30" t="str">
        <f>IFERROR(__xludf.DUMMYFUNCTION("""COMPUTED_VALUE"""),"User")</f>
        <v>User</v>
      </c>
      <c r="AF5" s="30" t="str">
        <f>IFERROR(__xludf.DUMMYFUNCTION("""COMPUTED_VALUE"""),"Venue")</f>
        <v>Venue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IFERROR(__xludf.DUMMYFUNCTION("""COMPUTED_VALUE"""),"Process Date")</f>
        <v>Process Date</v>
      </c>
      <c r="AJ5" s="30" t="str">
        <f>IFERROR(__xludf.DUMMYFUNCTION("""COMPUTED_VALUE"""),"Underlying Symbol")</f>
        <v>Underlying Symbol</v>
      </c>
      <c r="AK5" s="30" t="str">
        <f>IFERROR(__xludf.DUMMYFUNCTION("""COMPUTED_VALUE"""),"Put/Call")</f>
        <v>Put/Call</v>
      </c>
      <c r="AL5" s="30" t="str">
        <f>IFERROR(__xludf.DUMMYFUNCTION("""COMPUTED_VALUE"""),"FX Rate")</f>
        <v>FX Rate</v>
      </c>
      <c r="AM5" s="30" t="str">
        <f>IFERROR(__xludf.DUMMYFUNCTION("""COMPUTED_VALUE"""),"Trade Attribute 1")</f>
        <v>Trade Attribute 1</v>
      </c>
      <c r="AN5" s="30" t="str">
        <f>IFERROR(__xludf.DUMMYFUNCTION("""COMPUTED_VALUE"""),"Trade Attribute 2")</f>
        <v>Trade Attribute 2</v>
      </c>
      <c r="AO5" s="30" t="str">
        <f>IFERROR(__xludf.DUMMYFUNCTION("""COMPUTED_VALUE"""),"Trade Attribute 3")</f>
        <v>Trade Attribute 3</v>
      </c>
      <c r="AP5" s="30" t="str">
        <f>IFERROR(__xludf.DUMMYFUNCTION("""COMPUTED_VALUE"""),"Trade Attribute 4")</f>
        <v>Trade Attribute 4</v>
      </c>
      <c r="AQ5" s="30" t="str">
        <f>IFERROR(__xludf.DUMMYFUNCTION("""COMPUTED_VALUE"""),"Trade Attribute 5")</f>
        <v>Trade Attribute 5</v>
      </c>
      <c r="AR5" s="30" t="str">
        <f>IFERROR(__xludf.DUMMYFUNCTION("""COMPUTED_VALUE"""),"Trade Attribute 6")</f>
        <v>Trade Attribute 6</v>
      </c>
      <c r="AS5" s="30" t="str">
        <f>IFERROR(__xludf.DUMMYFUNCTION("""COMPUTED_VALUE"""),"Internal Comments")</f>
        <v>Internal Comments</v>
      </c>
      <c r="AT5" s="30" t="str">
        <f>IFERROR(__xludf.DUMMYFUNCTION("""COMPUTED_VALUE"""),"Allocation Scheme Name        ")</f>
        <v>Allocation Scheme Name        </v>
      </c>
      <c r="AU5" s="30" t="str">
        <f>IFERROR(__xludf.DUMMYFUNCTION("""COMPUTED_VALUE"""),"Status (With Rollover)")</f>
        <v>Status (With Rollover)</v>
      </c>
      <c r="AV5" s="30" t="str">
        <f>IFERROR(__xludf.DUMMYFUNCTION("""COMPUTED_VALUE"""),"Allocation Status")</f>
        <v>Allocation Status</v>
      </c>
      <c r="AW5" s="30" t="str">
        <f>IFERROR(__xludf.DUMMYFUNCTION("""COMPUTED_VALUE"""),"Source")</f>
        <v>Source</v>
      </c>
      <c r="AX5" s="30" t="str">
        <f>IFERROR(__xludf.DUMMYFUNCTION("""COMPUTED_VALUE"""),"Strategy")</f>
        <v>Strategy</v>
      </c>
      <c r="AY5" s="30" t="str">
        <f>IFERROR(__xludf.DUMMYFUNCTION("""COMPUTED_VALUE"""),"Unexecuted Qty")</f>
        <v>Unexecuted Qty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8"/>
      <c r="D6" s="13" t="s">
        <v>27</v>
      </c>
      <c r="E6" s="31"/>
      <c r="F6" s="13" t="s">
        <v>23</v>
      </c>
      <c r="G6" s="13" t="s">
        <v>50</v>
      </c>
      <c r="H6" s="13">
        <v>100.0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AddFillsSubOrder1!$4:$4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IFERROR(__xludf.DUMMYFUNCTION("""COMPUTED_VALUE"""),"Fill")</f>
        <v>Fill</v>
      </c>
      <c r="C5" s="28" t="str">
        <f>IFERROR(__xludf.DUMMYFUNCTION("""COMPUTED_VALUE"""),"Last Fill Price (Local)")</f>
        <v>Last Fill Price (Local)</v>
      </c>
      <c r="D5" s="28" t="str">
        <f>IFERROR(__xludf.DUMMYFUNCTION("""COMPUTED_VALUE"""),"New")</f>
        <v>New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20.0</v>
      </c>
      <c r="C6" s="13">
        <v>10.0</v>
      </c>
      <c r="D6" s="13" t="b">
        <v>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EditAddFillsDetails1!$4:$4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IFERROR(__xludf.DUMMYFUNCTION("""COMPUTED_VALUE"""),"Accrual Basis")</f>
        <v>Accrual Basis</v>
      </c>
      <c r="C5" s="28" t="str">
        <f>IFERROR(__xludf.DUMMYFUNCTION("""COMPUTED_VALUE"""),"Accrued Interest")</f>
        <v>Accrued Interest</v>
      </c>
      <c r="D5" s="28" t="str">
        <f>IFERROR(__xludf.DUMMYFUNCTION("""COMPUTED_VALUE"""),"Allocated Qty")</f>
        <v>Allocated Qty</v>
      </c>
      <c r="E5" s="28" t="str">
        <f>IFERROR(__xludf.DUMMYFUNCTION("""COMPUTED_VALUE"""),"Allocation Scheme Name")</f>
        <v>Allocation Scheme Name</v>
      </c>
      <c r="F5" s="29" t="str">
        <f>IFERROR(__xludf.DUMMYFUNCTION("""COMPUTED_VALUE"""),"Asset Category")</f>
        <v>Asset Category</v>
      </c>
      <c r="G5" s="28" t="str">
        <f>IFERROR(__xludf.DUMMYFUNCTION("""COMPUTED_VALUE"""),"AUEC Fee1")</f>
        <v>AUEC Fee1</v>
      </c>
      <c r="H5" s="28" t="str">
        <f>IFERROR(__xludf.DUMMYFUNCTION("""COMPUTED_VALUE"""),"AUEC Fee2")</f>
        <v>AUEC Fee2</v>
      </c>
      <c r="I5" s="28" t="str">
        <f>IFERROR(__xludf.DUMMYFUNCTION("""COMPUTED_VALUE"""),"AUECID")</f>
        <v>AUECID</v>
      </c>
      <c r="J5" s="28" t="str">
        <f>IFERROR(__xludf.DUMMYFUNCTION("""COMPUTED_VALUE"""),"Avg Price(Base)")</f>
        <v>Avg Price(Base)</v>
      </c>
      <c r="K5" s="28" t="str">
        <f>IFERROR(__xludf.DUMMYFUNCTION("""COMPUTED_VALUE"""),"Avg Price(Local)")</f>
        <v>Avg Price(Local)</v>
      </c>
      <c r="L5" s="28" t="str">
        <f>IFERROR(__xludf.DUMMYFUNCTION("""COMPUTED_VALUE"""),"Bloomberg")</f>
        <v>Bloomberg</v>
      </c>
      <c r="M5" s="28" t="str">
        <f>IFERROR(__xludf.DUMMYFUNCTION("""COMPUTED_VALUE"""),"Bond Type")</f>
        <v>Bond Type</v>
      </c>
      <c r="N5" s="28" t="str">
        <f>IFERROR(__xludf.DUMMYFUNCTION("""COMPUTED_VALUE"""),"Broker")</f>
        <v>Broker</v>
      </c>
      <c r="O5" s="28" t="str">
        <f>IFERROR(__xludf.DUMMYFUNCTION("""COMPUTED_VALUE"""),"Change Comment")</f>
        <v>Change Comment</v>
      </c>
      <c r="P5" s="28" t="str">
        <f>IFERROR(__xludf.DUMMYFUNCTION("""COMPUTED_VALUE"""),"Change Type")</f>
        <v>Change Type</v>
      </c>
      <c r="Q5" s="28" t="str">
        <f>IFERROR(__xludf.DUMMYFUNCTION("""COMPUTED_VALUE"""),"Clearing Broker Fee")</f>
        <v>Clearing Broker Fee</v>
      </c>
      <c r="R5" s="28" t="str">
        <f>IFERROR(__xludf.DUMMYFUNCTION("""COMPUTED_VALUE"""),"Closing Method")</f>
        <v>Closing Method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IFERROR(__xludf.DUMMYFUNCTION("""COMPUTED_VALUE"""),"Execution Time")</f>
        <v>Execution Time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IFERROR(__xludf.DUMMYFUNCTION("""COMPUTED_VALUE"""),"FX Rate")</f>
        <v>FX Rate</v>
      </c>
      <c r="AI5" s="30" t="str">
        <f>IFERROR(__xludf.DUMMYFUNCTION("""COMPUTED_VALUE"""),"Group Status")</f>
        <v>Group Status</v>
      </c>
      <c r="AJ5" s="30" t="str">
        <f>IFERROR(__xludf.DUMMYFUNCTION("""COMPUTED_VALUE"""),"GroupID")</f>
        <v>GroupID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IFERROR(__xludf.DUMMYFUNCTION("""COMPUTED_VALUE"""),"Symbol")</f>
        <v>Symbol</v>
      </c>
      <c r="BT5" s="30" t="str">
        <f>IFERROR(__xludf.DUMMYFUNCTION("""COMPUTED_VALUE"""),"Tax On Commissions")</f>
        <v>Tax On Commissions</v>
      </c>
      <c r="BU5" s="30" t="str">
        <f>IFERROR(__xludf.DUMMYFUNCTION("""COMPUTED_VALUE"""),"Total Commission")</f>
        <v>Total Commission</v>
      </c>
      <c r="BV5" s="30" t="str">
        <f>IFERROR(__xludf.DUMMYFUNCTION("""COMPUTED_VALUE"""),"Total Commission And Fee")</f>
        <v>Total Commission And Fee</v>
      </c>
      <c r="BW5" s="30" t="str">
        <f>IFERROR(__xludf.DUMMYFUNCTION("""COMPUTED_VALUE"""),"Total Commission Per Share")</f>
        <v>Total Commission Per Share</v>
      </c>
      <c r="BX5" s="30" t="str">
        <f>IFERROR(__xludf.DUMMYFUNCTION("""COMPUTED_VALUE"""),"Trade Attribute 1")</f>
        <v>Trade Attribute 1</v>
      </c>
      <c r="BY5" s="30" t="str">
        <f>IFERROR(__xludf.DUMMYFUNCTION("""COMPUTED_VALUE"""),"Trade Attribute 2")</f>
        <v>Trade Attribute 2</v>
      </c>
      <c r="BZ5" s="30" t="str">
        <f>IFERROR(__xludf.DUMMYFUNCTION("""COMPUTED_VALUE"""),"Trade Attribute 3")</f>
        <v>Trade Attribute 3</v>
      </c>
      <c r="CA5" s="30" t="str">
        <f>IFERROR(__xludf.DUMMYFUNCTION("""COMPUTED_VALUE"""),"Trade Attribute 4")</f>
        <v>Trade Attribute 4</v>
      </c>
      <c r="CB5" s="30" t="str">
        <f>IFERROR(__xludf.DUMMYFUNCTION("""COMPUTED_VALUE"""),"Trade Attribute 5")</f>
        <v>Trade Attribute 5</v>
      </c>
      <c r="CC5" s="30" t="str">
        <f>IFERROR(__xludf.DUMMYFUNCTION("""COMPUTED_VALUE"""),"Trade Attribute 6")</f>
        <v>Trade Attribute 6</v>
      </c>
      <c r="CD5" s="30" t="str">
        <f>IFERROR(__xludf.DUMMYFUNCTION("""COMPUTED_VALUE"""),"Trade Date")</f>
        <v>Trade Date</v>
      </c>
      <c r="CE5" s="30" t="str">
        <f>IFERROR(__xludf.DUMMYFUNCTION("""COMPUTED_VALUE"""),"Trading Account")</f>
        <v>Trading Account</v>
      </c>
      <c r="CF5" s="30" t="str">
        <f>IFERROR(__xludf.DUMMYFUNCTION("""COMPUTED_VALUE"""),"Transaction Levy")</f>
        <v>Transaction Levy</v>
      </c>
      <c r="CG5" s="30" t="str">
        <f>IFERROR(__xludf.DUMMYFUNCTION("""COMPUTED_VALUE"""),"Transaction Source")</f>
        <v>Transaction Source</v>
      </c>
      <c r="CH5" s="30" t="str">
        <f>IFERROR(__xludf.DUMMYFUNCTION("""COMPUTED_VALUE"""),"Transaction Type")</f>
        <v>Transaction Type</v>
      </c>
      <c r="CI5" s="30" t="str">
        <f>IFERROR(__xludf.DUMMYFUNCTION("""COMPUTED_VALUE"""),"UnAllocatedQty")</f>
        <v>UnAllocatedQty</v>
      </c>
      <c r="CJ5" s="30" t="str">
        <f>IFERROR(__xludf.DUMMYFUNCTION("""COMPUTED_VALUE"""),"Underlying")</f>
        <v>Underlying</v>
      </c>
      <c r="CK5" s="30" t="str">
        <f>IFERROR(__xludf.DUMMYFUNCTION("""COMPUTED_VALUE"""),"Underlying Delta")</f>
        <v>Underlying Delta</v>
      </c>
      <c r="CL5" s="30" t="str">
        <f>IFERROR(__xludf.DUMMYFUNCTION("""COMPUTED_VALUE"""),"Underlying Symbol")</f>
        <v>Underlying Symbol</v>
      </c>
      <c r="CM5" s="30" t="str">
        <f>IFERROR(__xludf.DUMMYFUNCTION("""COMPUTED_VALUE"""),"User")</f>
        <v>User</v>
      </c>
      <c r="CN5" s="30" t="str">
        <f>IFERROR(__xludf.DUMMYFUNCTION("""COMPUTED_VALUE"""),"Venue")</f>
        <v>Venue</v>
      </c>
      <c r="CO5" s="30" t="str">
        <f>IFERROR(__xludf.DUMMYFUNCTION("""COMPUTED_VALUE"""),"Closing Date")</f>
        <v>Closing Date</v>
      </c>
      <c r="CP5" s="30" t="str">
        <f>IFERROR(__xludf.DUMMYFUNCTION("""COMPUTED_VALUE"""),"Expiration Date")</f>
        <v>Expiration Date</v>
      </c>
      <c r="CQ5" s="30" t="str">
        <f>IFERROR(__xludf.DUMMYFUNCTION("""COMPUTED_VALUE"""),"Master Fund")</f>
        <v>Master Fund</v>
      </c>
      <c r="CR5" s="30" t="str">
        <f>IFERROR(__xludf.DUMMYFUNCTION("""COMPUTED_VALUE"""),"Borrow Broker")</f>
        <v>Borrow Broker</v>
      </c>
      <c r="CS5" s="30" t="str">
        <f>IFERROR(__xludf.DUMMYFUNCTION("""COMPUTED_VALUE"""),"MandatoryColumn")</f>
        <v>MandatoryColumn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>
        <v>0.0</v>
      </c>
      <c r="D6" s="39">
        <v>0.0</v>
      </c>
      <c r="E6" s="8"/>
      <c r="F6" s="8" t="s">
        <v>32</v>
      </c>
      <c r="G6" s="8">
        <v>4.0</v>
      </c>
      <c r="H6" s="8">
        <v>5.0</v>
      </c>
      <c r="I6" s="8">
        <v>1.0</v>
      </c>
      <c r="J6" s="8">
        <v>10.0</v>
      </c>
      <c r="K6" s="8">
        <v>10.0</v>
      </c>
      <c r="L6" s="8"/>
      <c r="M6" s="8"/>
      <c r="N6" s="33" t="s">
        <v>34</v>
      </c>
      <c r="O6" s="33"/>
      <c r="P6" s="36">
        <v>3.0</v>
      </c>
      <c r="Q6" s="36">
        <v>0.0</v>
      </c>
      <c r="S6" s="33" t="s">
        <v>44</v>
      </c>
      <c r="T6" s="37">
        <v>200.0</v>
      </c>
      <c r="U6" s="37">
        <v>10.0</v>
      </c>
      <c r="AD6" t="s">
        <v>40</v>
      </c>
      <c r="AE6">
        <v>20.0</v>
      </c>
      <c r="AF6" t="s">
        <v>43</v>
      </c>
      <c r="AG6" s="35" t="s">
        <v>36</v>
      </c>
      <c r="AH6" s="37">
        <v>1.0</v>
      </c>
      <c r="AI6" s="35"/>
      <c r="AJ6" s="35"/>
      <c r="AK6" s="35"/>
      <c r="AL6" s="35"/>
      <c r="AM6" s="40"/>
      <c r="AN6" s="35"/>
      <c r="AO6" s="40"/>
      <c r="AP6" s="40"/>
      <c r="AQ6" s="40"/>
      <c r="AR6" s="37"/>
      <c r="AS6" s="37"/>
      <c r="AT6" s="37">
        <v>414.0001</v>
      </c>
      <c r="AU6" s="37">
        <v>414.0001</v>
      </c>
      <c r="AV6" s="37"/>
      <c r="AW6" s="37">
        <v>0.0</v>
      </c>
      <c r="AX6" s="35">
        <v>0.0</v>
      </c>
      <c r="AY6" s="37" t="s">
        <v>37</v>
      </c>
      <c r="AZ6" s="41"/>
      <c r="BA6" s="35"/>
      <c r="BB6" s="37"/>
      <c r="BC6" s="35"/>
      <c r="BD6" s="37"/>
      <c r="BE6" s="37">
        <v>200.0</v>
      </c>
      <c r="BF6" s="38">
        <v>200.0</v>
      </c>
      <c r="BG6" s="35"/>
      <c r="BH6" s="35"/>
      <c r="BJ6">
        <v>100.0</v>
      </c>
      <c r="BK6">
        <v>0.0</v>
      </c>
      <c r="BL6" t="s">
        <v>43</v>
      </c>
      <c r="BM6" t="s">
        <v>35</v>
      </c>
      <c r="BO6" t="s">
        <v>23</v>
      </c>
      <c r="BP6">
        <v>0.0</v>
      </c>
      <c r="BQ6">
        <v>0.0</v>
      </c>
      <c r="BS6" s="9" t="s">
        <v>27</v>
      </c>
      <c r="BT6">
        <v>3.0</v>
      </c>
      <c r="BU6">
        <v>200.0</v>
      </c>
      <c r="CE6" t="s">
        <v>53</v>
      </c>
      <c r="CF6">
        <v>2.0</v>
      </c>
      <c r="CG6" t="s">
        <v>20</v>
      </c>
      <c r="CH6" t="s">
        <v>23</v>
      </c>
      <c r="CI6">
        <v>20.0</v>
      </c>
      <c r="CJ6" t="s">
        <v>38</v>
      </c>
      <c r="CK6">
        <v>1.0</v>
      </c>
      <c r="CL6" t="s">
        <v>27</v>
      </c>
      <c r="CM6" t="s">
        <v>39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F7" t="s">
        <v>43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CheckUnallocatedGroups1!$4:$4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6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 t="str">
        <f>IFERROR(__xludf.DUMMYFUNCTION("""COMPUTED_VALUE"""),"Testing Type")</f>
        <v>Testing Type</v>
      </c>
      <c r="DA5" s="30" t="str">
        <f>IFERROR(__xludf.DUMMYFUNCTION("""COMPUTED_VALUE"""),"Testing Column")</f>
        <v>Testing Column</v>
      </c>
      <c r="DB5" s="30" t="str">
        <f>IFERROR(__xludf.DUMMYFUNCTION("""COMPUTED_VALUE"""),"Testing Col Value")</f>
        <v>Testing Col Value</v>
      </c>
      <c r="DC5" s="30" t="str">
        <f>IFERROR(__xludf.DUMMYFUNCTION("""COMPUTED_VALUE"""),"DuplicateRow")</f>
        <v>DuplicateRow</v>
      </c>
      <c r="DD5" s="30" t="str">
        <f>IFERROR(__xludf.DUMMYFUNCTION("""COMPUTED_VALUE"""),"DuplicateCountOnUI")</f>
        <v>DuplicateCountOnUI</v>
      </c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</row>
    <row r="6" ht="15.75" customHeight="1">
      <c r="A6" s="13"/>
      <c r="B6" s="39" t="s">
        <v>42</v>
      </c>
      <c r="C6" s="8" t="s">
        <v>43</v>
      </c>
      <c r="D6" s="39">
        <v>0.0</v>
      </c>
      <c r="E6" s="8">
        <v>20.0</v>
      </c>
      <c r="F6" s="8"/>
      <c r="G6" s="8" t="s">
        <v>32</v>
      </c>
      <c r="H6" s="8">
        <v>4.0</v>
      </c>
      <c r="I6" s="8">
        <v>5.0</v>
      </c>
      <c r="J6" s="8">
        <v>1.0</v>
      </c>
      <c r="K6" s="8">
        <v>10.0</v>
      </c>
      <c r="L6" s="8">
        <v>10.0</v>
      </c>
      <c r="M6" s="8" t="s">
        <v>54</v>
      </c>
      <c r="N6" s="8" t="s">
        <v>43</v>
      </c>
      <c r="O6" s="8" t="s">
        <v>34</v>
      </c>
      <c r="Q6">
        <v>3.0</v>
      </c>
      <c r="R6">
        <v>0.0</v>
      </c>
      <c r="S6" t="s">
        <v>44</v>
      </c>
      <c r="T6">
        <v>200.0</v>
      </c>
      <c r="U6">
        <v>10.0</v>
      </c>
      <c r="V6" t="s">
        <v>45</v>
      </c>
      <c r="W6">
        <v>1.0</v>
      </c>
      <c r="X6" t="s">
        <v>43</v>
      </c>
      <c r="Y6" t="s">
        <v>43</v>
      </c>
      <c r="Z6" t="s">
        <v>35</v>
      </c>
      <c r="AA6" t="s">
        <v>22</v>
      </c>
      <c r="AB6">
        <v>1.0</v>
      </c>
      <c r="AD6" t="s">
        <v>40</v>
      </c>
      <c r="AE6">
        <v>20.0</v>
      </c>
      <c r="AF6" t="s">
        <v>43</v>
      </c>
      <c r="AH6" t="s">
        <v>36</v>
      </c>
      <c r="AI6">
        <v>1.0</v>
      </c>
      <c r="AJ6" t="s">
        <v>55</v>
      </c>
      <c r="AN6" t="b">
        <v>0</v>
      </c>
      <c r="AP6" t="b">
        <v>1</v>
      </c>
      <c r="AQ6" t="b">
        <v>0</v>
      </c>
      <c r="AR6" t="b">
        <v>1</v>
      </c>
      <c r="AT6">
        <v>414.0001</v>
      </c>
      <c r="AU6">
        <v>414.0001</v>
      </c>
      <c r="AW6">
        <v>0.0</v>
      </c>
      <c r="AX6">
        <v>0.0</v>
      </c>
      <c r="AY6" t="s">
        <v>37</v>
      </c>
      <c r="AZ6">
        <v>0.0</v>
      </c>
      <c r="BE6">
        <v>200.0</v>
      </c>
      <c r="BF6">
        <v>200.0</v>
      </c>
      <c r="BJ6">
        <v>100.0</v>
      </c>
      <c r="BK6">
        <v>0.0</v>
      </c>
      <c r="BL6" t="s">
        <v>43</v>
      </c>
      <c r="BM6" t="s">
        <v>35</v>
      </c>
      <c r="BO6" t="s">
        <v>23</v>
      </c>
      <c r="BP6">
        <v>0.0</v>
      </c>
      <c r="BQ6">
        <v>0.0</v>
      </c>
      <c r="BS6" t="s">
        <v>46</v>
      </c>
      <c r="BT6" t="s">
        <v>22</v>
      </c>
      <c r="BU6">
        <v>3.0</v>
      </c>
      <c r="BV6">
        <v>200.0</v>
      </c>
      <c r="CF6" t="s">
        <v>53</v>
      </c>
      <c r="CG6">
        <v>2.0</v>
      </c>
      <c r="CH6" t="s">
        <v>20</v>
      </c>
      <c r="CI6" t="s">
        <v>23</v>
      </c>
      <c r="CJ6">
        <v>0.0</v>
      </c>
      <c r="CK6" t="s">
        <v>38</v>
      </c>
      <c r="CL6">
        <v>1.0</v>
      </c>
      <c r="CM6" t="s">
        <v>22</v>
      </c>
      <c r="CN6" t="s">
        <v>39</v>
      </c>
      <c r="CO6" t="s">
        <v>40</v>
      </c>
      <c r="CP6" t="s">
        <v>47</v>
      </c>
      <c r="CS6" t="s">
        <v>43</v>
      </c>
      <c r="CU6" t="s">
        <v>43</v>
      </c>
      <c r="CV6" t="s">
        <v>43</v>
      </c>
      <c r="CW6" t="s">
        <v>43</v>
      </c>
      <c r="CX6" t="s">
        <v>43</v>
      </c>
      <c r="CY6" t="s">
        <v>43</v>
      </c>
      <c r="CZ6" t="s">
        <v>43</v>
      </c>
      <c r="DA6" t="s">
        <v>43</v>
      </c>
      <c r="DB6" t="s">
        <v>43</v>
      </c>
      <c r="DC6" t="s">
        <v>43</v>
      </c>
      <c r="DD6" t="s">
        <v>43</v>
      </c>
      <c r="DE6" t="s">
        <v>43</v>
      </c>
      <c r="DF6" t="s">
        <v>43</v>
      </c>
      <c r="DG6" t="s">
        <v>43</v>
      </c>
      <c r="DH6" t="s">
        <v>43</v>
      </c>
      <c r="DI6" t="s">
        <v>43</v>
      </c>
      <c r="DJ6" t="s">
        <v>43</v>
      </c>
      <c r="DK6" t="s">
        <v>43</v>
      </c>
      <c r="DL6" t="s">
        <v>43</v>
      </c>
      <c r="DM6" t="s">
        <v>43</v>
      </c>
      <c r="DN6" t="s">
        <v>43</v>
      </c>
      <c r="DO6" t="s">
        <v>43</v>
      </c>
      <c r="DP6" t="s">
        <v>43</v>
      </c>
      <c r="DQ6" t="s">
        <v>43</v>
      </c>
      <c r="DR6" t="s">
        <v>43</v>
      </c>
      <c r="DS6" t="s">
        <v>43</v>
      </c>
      <c r="DT6" t="s">
        <v>43</v>
      </c>
      <c r="DU6" t="s">
        <v>43</v>
      </c>
      <c r="DV6" t="s">
        <v>43</v>
      </c>
      <c r="DW6" t="s">
        <v>43</v>
      </c>
      <c r="DX6" t="s">
        <v>43</v>
      </c>
      <c r="DY6" t="s">
        <v>43</v>
      </c>
      <c r="DZ6" t="s">
        <v>43</v>
      </c>
      <c r="EA6" t="s">
        <v>43</v>
      </c>
      <c r="EB6" t="s">
        <v>43</v>
      </c>
      <c r="EC6" t="s">
        <v>43</v>
      </c>
      <c r="ED6" t="s">
        <v>43</v>
      </c>
      <c r="EE6" t="s">
        <v>43</v>
      </c>
      <c r="EF6" t="s">
        <v>43</v>
      </c>
      <c r="EG6" t="s">
        <v>43</v>
      </c>
      <c r="EH6" t="s">
        <v>43</v>
      </c>
      <c r="EI6" t="s">
        <v>43</v>
      </c>
      <c r="EJ6" t="s">
        <v>43</v>
      </c>
      <c r="EK6" t="s">
        <v>43</v>
      </c>
      <c r="EL6" t="s">
        <v>43</v>
      </c>
      <c r="EM6" t="s">
        <v>43</v>
      </c>
      <c r="EN6" t="s">
        <v>43</v>
      </c>
      <c r="EO6" t="s">
        <v>43</v>
      </c>
      <c r="EP6" t="s">
        <v>43</v>
      </c>
      <c r="EQ6" t="s">
        <v>43</v>
      </c>
      <c r="ER6" t="s">
        <v>43</v>
      </c>
      <c r="ES6" t="s">
        <v>43</v>
      </c>
      <c r="ET6" t="s">
        <v>43</v>
      </c>
      <c r="EU6" t="s">
        <v>43</v>
      </c>
      <c r="EV6" t="s">
        <v>43</v>
      </c>
      <c r="EW6" t="s">
        <v>43</v>
      </c>
      <c r="EX6" t="s">
        <v>43</v>
      </c>
      <c r="EY6" t="s">
        <v>43</v>
      </c>
      <c r="EZ6" t="s">
        <v>43</v>
      </c>
      <c r="FA6" t="s">
        <v>43</v>
      </c>
      <c r="FB6" t="s">
        <v>43</v>
      </c>
      <c r="FC6" t="s">
        <v>43</v>
      </c>
      <c r="FD6" t="s">
        <v>43</v>
      </c>
      <c r="FE6" t="s">
        <v>43</v>
      </c>
      <c r="FF6" t="s">
        <v>43</v>
      </c>
      <c r="FG6" t="s">
        <v>43</v>
      </c>
      <c r="FH6" t="s">
        <v>43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>
        <v>100.0</v>
      </c>
      <c r="D6" s="13"/>
      <c r="E6" s="13" t="s">
        <v>42</v>
      </c>
      <c r="F6" s="13" t="s">
        <v>23</v>
      </c>
      <c r="G6" s="8"/>
      <c r="H6" s="13">
        <v>10.0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58</v>
      </c>
      <c r="C6" s="13">
        <v>100.0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EnterAccountValuesToAllocate!$4:$4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IFERROR(__xludf.DUMMYFUNCTION("""COMPUTED_VALUE"""),"RecalculateCommPopUp")</f>
        <v>RecalculateCommPopUp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60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AllocateWithPopUp!$4:$4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6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 t="str">
        <f>IFERROR(__xludf.DUMMYFUNCTION("""COMPUTED_VALUE"""),"Testing Type")</f>
        <v>Testing Type</v>
      </c>
      <c r="DA5" s="30" t="str">
        <f>IFERROR(__xludf.DUMMYFUNCTION("""COMPUTED_VALUE"""),"Testing Column")</f>
        <v>Testing Column</v>
      </c>
      <c r="DB5" s="30" t="str">
        <f>IFERROR(__xludf.DUMMYFUNCTION("""COMPUTED_VALUE"""),"Testing Col Value")</f>
        <v>Testing Col Value</v>
      </c>
      <c r="DC5" s="30" t="str">
        <f>IFERROR(__xludf.DUMMYFUNCTION("""COMPUTED_VALUE"""),"DuplicateRow")</f>
        <v>DuplicateRow</v>
      </c>
      <c r="DD5" s="30" t="str">
        <f>IFERROR(__xludf.DUMMYFUNCTION("""COMPUTED_VALUE"""),"DuplicateCountOnUI")</f>
        <v>DuplicateCountOnUI</v>
      </c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</row>
    <row r="6" ht="15.75" customHeight="1">
      <c r="A6" s="13"/>
      <c r="B6" s="42" t="s">
        <v>58</v>
      </c>
      <c r="C6" s="33" t="s">
        <v>43</v>
      </c>
      <c r="D6" s="43">
        <v>0.0</v>
      </c>
      <c r="E6" s="36">
        <v>20.0</v>
      </c>
      <c r="F6" s="33" t="s">
        <v>61</v>
      </c>
      <c r="G6" s="33" t="s">
        <v>32</v>
      </c>
      <c r="H6" s="36">
        <v>4.0</v>
      </c>
      <c r="I6" s="36">
        <v>5.0</v>
      </c>
      <c r="J6" s="36">
        <v>1.0</v>
      </c>
      <c r="K6" s="36">
        <v>10.0</v>
      </c>
      <c r="L6" s="36">
        <v>10.0</v>
      </c>
      <c r="M6" s="33" t="s">
        <v>54</v>
      </c>
      <c r="N6" s="33" t="s">
        <v>43</v>
      </c>
      <c r="O6" s="33" t="s">
        <v>34</v>
      </c>
      <c r="P6" s="33"/>
      <c r="Q6" s="36">
        <v>3.0</v>
      </c>
      <c r="R6" s="36">
        <v>0.0</v>
      </c>
      <c r="S6" s="33" t="s">
        <v>44</v>
      </c>
      <c r="T6" s="37">
        <v>200.0</v>
      </c>
      <c r="U6" s="37">
        <v>10.0</v>
      </c>
      <c r="V6" s="35"/>
      <c r="W6" s="37"/>
      <c r="X6" s="35" t="s">
        <v>43</v>
      </c>
      <c r="Y6" s="35" t="s">
        <v>43</v>
      </c>
      <c r="Z6" s="35" t="s">
        <v>35</v>
      </c>
      <c r="AA6" s="35" t="s">
        <v>22</v>
      </c>
      <c r="AB6" s="37">
        <v>1.0</v>
      </c>
      <c r="AC6" s="35"/>
      <c r="AD6" s="35" t="s">
        <v>40</v>
      </c>
      <c r="AE6" s="37">
        <v>20.0</v>
      </c>
      <c r="AF6" s="35" t="s">
        <v>43</v>
      </c>
      <c r="AG6" s="41"/>
      <c r="AH6" s="35" t="s">
        <v>36</v>
      </c>
      <c r="AI6" s="37">
        <v>1.0</v>
      </c>
      <c r="AJ6" s="35"/>
      <c r="AK6" s="35"/>
      <c r="AL6" s="35"/>
      <c r="AM6" s="35"/>
      <c r="AN6" s="40"/>
      <c r="AO6" s="35"/>
      <c r="AP6" s="40" t="b">
        <v>1</v>
      </c>
      <c r="AQ6" s="40" t="b">
        <v>0</v>
      </c>
      <c r="AR6" s="40" t="b">
        <v>1</v>
      </c>
      <c r="AS6" s="37"/>
      <c r="AT6" s="37">
        <v>414.0001</v>
      </c>
      <c r="AU6" s="37">
        <v>414.0001</v>
      </c>
      <c r="AV6" s="44"/>
      <c r="AW6" s="37">
        <v>0.0</v>
      </c>
      <c r="AX6" s="37">
        <v>0.0</v>
      </c>
      <c r="AY6" s="35" t="s">
        <v>37</v>
      </c>
      <c r="AZ6" s="37">
        <v>0.0</v>
      </c>
      <c r="BA6" s="41"/>
      <c r="BB6" s="35"/>
      <c r="BC6" s="37"/>
      <c r="BD6" s="35"/>
      <c r="BE6" s="37">
        <v>200.0</v>
      </c>
      <c r="BF6" s="37">
        <v>200.0</v>
      </c>
      <c r="BG6" s="41"/>
      <c r="BH6" s="35"/>
      <c r="BI6" s="35"/>
      <c r="BJ6" s="37">
        <v>100.0</v>
      </c>
      <c r="BK6" s="37">
        <v>0.0</v>
      </c>
      <c r="BL6" s="35" t="s">
        <v>43</v>
      </c>
      <c r="BM6" s="35" t="s">
        <v>35</v>
      </c>
      <c r="BN6" s="41"/>
      <c r="BO6" s="35" t="s">
        <v>23</v>
      </c>
      <c r="BP6" s="37">
        <v>0.0</v>
      </c>
      <c r="BQ6" s="37">
        <v>0.0</v>
      </c>
      <c r="BR6" s="37"/>
      <c r="BS6" s="35"/>
      <c r="BT6" s="35" t="s">
        <v>22</v>
      </c>
      <c r="BU6" s="37">
        <v>3.0</v>
      </c>
      <c r="BV6" s="37">
        <v>200.0</v>
      </c>
      <c r="BW6" s="37">
        <v>214.0001</v>
      </c>
      <c r="BX6" s="37">
        <v>10.0</v>
      </c>
      <c r="BY6" s="35"/>
      <c r="BZ6" s="35"/>
      <c r="CA6" s="35"/>
      <c r="CB6" s="35"/>
      <c r="CC6" s="35"/>
      <c r="CD6" s="35"/>
      <c r="CE6" s="41"/>
      <c r="CF6" s="35" t="s">
        <v>53</v>
      </c>
      <c r="CG6" s="37">
        <v>2.0</v>
      </c>
      <c r="CH6" s="35" t="s">
        <v>20</v>
      </c>
      <c r="CI6" s="35" t="s">
        <v>23</v>
      </c>
      <c r="CJ6" s="37">
        <v>0.0</v>
      </c>
      <c r="CK6" s="35" t="s">
        <v>38</v>
      </c>
      <c r="CL6" s="37">
        <v>1.0</v>
      </c>
      <c r="CM6" s="35" t="s">
        <v>22</v>
      </c>
      <c r="CN6" s="35" t="s">
        <v>39</v>
      </c>
      <c r="CO6" s="35" t="s">
        <v>40</v>
      </c>
      <c r="CP6" s="35"/>
      <c r="CQ6" s="41"/>
      <c r="CR6" s="37"/>
      <c r="CS6" s="35" t="s">
        <v>43</v>
      </c>
      <c r="CT6" s="35"/>
      <c r="CU6" s="35" t="s">
        <v>43</v>
      </c>
      <c r="CV6" s="35" t="s">
        <v>43</v>
      </c>
      <c r="CW6" s="35" t="s">
        <v>43</v>
      </c>
      <c r="CX6" s="35" t="s">
        <v>43</v>
      </c>
      <c r="CY6" s="35" t="s">
        <v>43</v>
      </c>
      <c r="CZ6" s="35" t="s">
        <v>43</v>
      </c>
      <c r="DA6" s="35" t="s">
        <v>43</v>
      </c>
      <c r="DB6" s="35" t="s">
        <v>43</v>
      </c>
      <c r="DC6" s="35" t="s">
        <v>43</v>
      </c>
      <c r="DD6" s="35" t="s">
        <v>43</v>
      </c>
      <c r="DE6" s="35" t="s">
        <v>43</v>
      </c>
      <c r="DF6" s="35" t="s">
        <v>43</v>
      </c>
      <c r="DG6" s="35" t="s">
        <v>43</v>
      </c>
      <c r="DH6" s="35" t="s">
        <v>43</v>
      </c>
      <c r="DI6" s="35" t="s">
        <v>43</v>
      </c>
      <c r="DJ6" s="35" t="s">
        <v>43</v>
      </c>
      <c r="DK6" s="35" t="s">
        <v>43</v>
      </c>
      <c r="DL6" s="35" t="s">
        <v>43</v>
      </c>
      <c r="DM6" s="35" t="s">
        <v>43</v>
      </c>
      <c r="DN6" s="35" t="s">
        <v>43</v>
      </c>
      <c r="DO6" s="35" t="s">
        <v>43</v>
      </c>
      <c r="DP6" s="35" t="s">
        <v>43</v>
      </c>
      <c r="DQ6" s="35" t="s">
        <v>43</v>
      </c>
      <c r="DR6" s="35" t="s">
        <v>43</v>
      </c>
      <c r="DS6" s="35" t="s">
        <v>43</v>
      </c>
      <c r="DT6" s="35" t="s">
        <v>43</v>
      </c>
      <c r="DU6" s="35" t="s">
        <v>43</v>
      </c>
      <c r="DV6" s="35" t="s">
        <v>43</v>
      </c>
      <c r="DW6" s="35" t="s">
        <v>43</v>
      </c>
      <c r="DX6" s="35" t="s">
        <v>43</v>
      </c>
      <c r="DY6" s="35" t="s">
        <v>43</v>
      </c>
      <c r="DZ6" s="35" t="s">
        <v>43</v>
      </c>
      <c r="EA6" s="35" t="s">
        <v>43</v>
      </c>
      <c r="EB6" s="35" t="s">
        <v>43</v>
      </c>
      <c r="EC6" s="35" t="s">
        <v>43</v>
      </c>
      <c r="ED6" s="35" t="s">
        <v>43</v>
      </c>
      <c r="EE6" s="35" t="s">
        <v>43</v>
      </c>
      <c r="EF6" s="35" t="s">
        <v>43</v>
      </c>
      <c r="EG6" s="35" t="s">
        <v>43</v>
      </c>
      <c r="EH6" s="35" t="s">
        <v>43</v>
      </c>
      <c r="EI6" s="35" t="s">
        <v>43</v>
      </c>
      <c r="EJ6" s="35" t="s">
        <v>43</v>
      </c>
      <c r="EK6" s="35" t="s">
        <v>43</v>
      </c>
      <c r="EL6" s="35" t="s">
        <v>43</v>
      </c>
      <c r="EM6" s="35" t="s">
        <v>43</v>
      </c>
      <c r="EN6" s="35" t="s">
        <v>43</v>
      </c>
      <c r="EO6" s="35" t="s">
        <v>43</v>
      </c>
      <c r="EP6" s="35" t="s">
        <v>43</v>
      </c>
      <c r="EQ6" s="35" t="s">
        <v>43</v>
      </c>
      <c r="ER6" s="35" t="s">
        <v>43</v>
      </c>
      <c r="ES6" s="35" t="s">
        <v>43</v>
      </c>
      <c r="ET6" s="35" t="s">
        <v>43</v>
      </c>
      <c r="EU6" s="35" t="s">
        <v>43</v>
      </c>
      <c r="EV6" s="35" t="s">
        <v>43</v>
      </c>
      <c r="EW6" s="35" t="s">
        <v>43</v>
      </c>
      <c r="EX6" s="35" t="s">
        <v>43</v>
      </c>
      <c r="EY6" s="35" t="s">
        <v>43</v>
      </c>
      <c r="EZ6" s="35" t="s">
        <v>43</v>
      </c>
      <c r="FA6" s="35" t="s">
        <v>43</v>
      </c>
      <c r="FB6" s="35" t="s">
        <v>43</v>
      </c>
      <c r="FC6" s="35" t="s">
        <v>43</v>
      </c>
      <c r="FD6" s="35" t="s">
        <v>43</v>
      </c>
      <c r="FE6" s="35" t="s">
        <v>43</v>
      </c>
      <c r="FF6" s="35" t="s">
        <v>43</v>
      </c>
      <c r="FG6" s="35" t="s">
        <v>43</v>
      </c>
      <c r="FH6" s="33" t="s">
        <v>43</v>
      </c>
      <c r="FI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62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27</v>
      </c>
      <c r="C6" s="13" t="s">
        <v>23</v>
      </c>
      <c r="D6" s="13">
        <v>100.0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63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IFERROR(__xludf.DUMMYFUNCTION("""COMPUTED_VALUE"""),"Venue")</f>
        <v>Venue</v>
      </c>
      <c r="D5" s="28" t="str">
        <f>IFERROR(__xludf.DUMMYFUNCTION("""COMPUTED_VALUE"""),"Transaction Levy")</f>
        <v>Transaction Levy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IFERROR(__xludf.DUMMYFUNCTION("""COMPUTED_VALUE"""),"Process Date")</f>
        <v>Process Date</v>
      </c>
      <c r="H5" s="28" t="str">
        <f>IFERROR(__xludf.DUMMYFUNCTION("""COMPUTED_VALUE"""),"Original Purchase Date")</f>
        <v>Original Purchase Date</v>
      </c>
      <c r="I5" s="28" t="str">
        <f>IFERROR(__xludf.DUMMYFUNCTION("""COMPUTED_VALUE"""),"Settlement Date")</f>
        <v>Settlement Date</v>
      </c>
      <c r="J5" s="28" t="str">
        <f>IFERROR(__xludf.DUMMYFUNCTION("""COMPUTED_VALUE"""),"ISIN")</f>
        <v>ISIN</v>
      </c>
      <c r="K5" s="28" t="str">
        <f>IFERROR(__xludf.DUMMYFUNCTION("""COMPUTED_VALUE"""),"Internal Comments")</f>
        <v>Internal Comments</v>
      </c>
      <c r="L5" s="28" t="str">
        <f>IFERROR(__xludf.DUMMYFUNCTION("""COMPUTED_VALUE"""),"Accrued Interest")</f>
        <v>Accrued Interest</v>
      </c>
      <c r="M5" s="28" t="str">
        <f>IFERROR(__xludf.DUMMYFUNCTION("""COMPUTED_VALUE"""),"Broker")</f>
        <v>Broker</v>
      </c>
      <c r="N5" s="28" t="str">
        <f>IFERROR(__xludf.DUMMYFUNCTION("""COMPUTED_VALUE"""),"Transaction Type")</f>
        <v>Transaction Type</v>
      </c>
      <c r="O5" s="28" t="str">
        <f>IFERROR(__xludf.DUMMYFUNCTION("""COMPUTED_VALUE"""),"Trade Attribute 1")</f>
        <v>Trade Attribute 1</v>
      </c>
      <c r="P5" s="28" t="str">
        <f>IFERROR(__xludf.DUMMYFUNCTION("""COMPUTED_VALUE"""),"Trade Attribute 2")</f>
        <v>Trade Attribute 2</v>
      </c>
      <c r="Q5" s="28" t="str">
        <f>IFERROR(__xludf.DUMMYFUNCTION("""COMPUTED_VALUE"""),"Trade Attribute 3")</f>
        <v>Trade Attribute 3</v>
      </c>
      <c r="R5" s="28" t="str">
        <f>IFERROR(__xludf.DUMMYFUNCTION("""COMPUTED_VALUE"""),"Trade Attribute 4")</f>
        <v>Trade Attribute 4</v>
      </c>
      <c r="S5" s="28" t="str">
        <f>IFERROR(__xludf.DUMMYFUNCTION("""COMPUTED_VALUE"""),"Trade Attribute 5")</f>
        <v>Trade Attribute 5</v>
      </c>
      <c r="T5" s="30" t="str">
        <f>IFERROR(__xludf.DUMMYFUNCTION("""COMPUTED_VALUE"""),"Trade Attribute 6")</f>
        <v>Trade Attribute 6</v>
      </c>
      <c r="U5" s="30" t="str">
        <f>IFERROR(__xludf.DUMMYFUNCTION("""COMPUTED_VALUE"""),"Commission")</f>
        <v>Commission</v>
      </c>
      <c r="V5" s="30" t="str">
        <f>IFERROR(__xludf.DUMMYFUNCTION("""COMPUTED_VALUE"""),"Soft Commission")</f>
        <v>Soft Commission</v>
      </c>
      <c r="W5" s="30" t="str">
        <f>IFERROR(__xludf.DUMMYFUNCTION("""COMPUTED_VALUE"""),"Other Broker Fees")</f>
        <v>Other Broker Fees</v>
      </c>
      <c r="X5" s="30" t="str">
        <f>IFERROR(__xludf.DUMMYFUNCTION("""COMPUTED_VALUE"""),"Clearing Broker Fee")</f>
        <v>Clearing Broker Fee</v>
      </c>
      <c r="Y5" s="30" t="str">
        <f>IFERROR(__xludf.DUMMYFUNCTION("""COMPUTED_VALUE"""),"Stamp Duty")</f>
        <v>Stamp Duty</v>
      </c>
      <c r="Z5" s="30" t="str">
        <f>IFERROR(__xludf.DUMMYFUNCTION("""COMPUTED_VALUE"""),"AUEC Fee1")</f>
        <v>AUEC Fee1</v>
      </c>
      <c r="AA5" s="30" t="str">
        <f>IFERROR(__xludf.DUMMYFUNCTION("""COMPUTED_VALUE"""),"Tax On Commissions")</f>
        <v>Tax On Commissions</v>
      </c>
      <c r="AB5" s="30" t="str">
        <f>IFERROR(__xludf.DUMMYFUNCTION("""COMPUTED_VALUE"""),"AUEC Fee2")</f>
        <v>AUEC Fee2</v>
      </c>
      <c r="AC5" s="30" t="str">
        <f>IFERROR(__xludf.DUMMYFUNCTION("""COMPUTED_VALUE"""),"Avg Price(Local)")</f>
        <v>Avg Price(Local)</v>
      </c>
      <c r="AD5" s="30" t="str">
        <f>IFERROR(__xludf.DUMMYFUNCTION("""COMPUTED_VALUE"""),"OCC Fee")</f>
        <v>OCC Fee</v>
      </c>
      <c r="AE5" s="30" t="str">
        <f>IFERROR(__xludf.DUMMYFUNCTION("""COMPUTED_VALUE"""),"ORF Fee")</f>
        <v>ORF Fee</v>
      </c>
      <c r="AF5" s="30" t="str">
        <f>IFERROR(__xludf.DUMMYFUNCTION("""COMPUTED_VALUE"""),"Option Premium Adjustment")</f>
        <v>Option Premium Adjustment</v>
      </c>
      <c r="AG5" s="30" t="str">
        <f>IFERROR(__xludf.DUMMYFUNCTION("""COMPUTED_VALUE"""),"Change Comment")</f>
        <v>Change Comment</v>
      </c>
      <c r="AH5" s="30" t="str">
        <f>IFERROR(__xludf.DUMMYFUNCTION("""COMPUTED_VALUE"""),"SEC Fee")</f>
        <v>SEC Fee</v>
      </c>
      <c r="AI5" s="30" t="str">
        <f>IFERROR(__xludf.DUMMYFUNCTION("""COMPUTED_VALUE"""),"Nirvana Process Date")</f>
        <v>Nirvana Process Date</v>
      </c>
      <c r="AJ5" s="30" t="str">
        <f>IFERROR(__xludf.DUMMYFUNCTION("""COMPUTED_VALUE"""),"Closing Date")</f>
        <v>Closing Date</v>
      </c>
      <c r="AK5" s="30" t="str">
        <f>IFERROR(__xludf.DUMMYFUNCTION("""COMPUTED_VALUE"""),"Description")</f>
        <v>Description</v>
      </c>
      <c r="AL5" s="30" t="str">
        <f>IFERROR(__xludf.DUMMYFUNCTION("""COMPUTED_VALUE"""),"Coupon Rate")</f>
        <v>Coupon Rate</v>
      </c>
      <c r="AM5" s="30" t="str">
        <f>IFERROR(__xludf.DUMMYFUNCTION("""COMPUTED_VALUE"""),"Delta")</f>
        <v>Delta</v>
      </c>
      <c r="AN5" s="30" t="str">
        <f>IFERROR(__xludf.DUMMYFUNCTION("""COMPUTED_VALUE"""),"Symbol")</f>
        <v>Symbol</v>
      </c>
      <c r="AO5" s="30" t="str">
        <f>IFERROR(__xludf.DUMMYFUNCTION("""COMPUTED_VALUE"""),"Quantity")</f>
        <v>Quantity</v>
      </c>
      <c r="AP5" s="30" t="str">
        <f>IFERROR(__xludf.DUMMYFUNCTION("""COMPUTED_VALUE"""),"Avg Price(Base)")</f>
        <v>Avg Price(Base)</v>
      </c>
      <c r="AQ5" s="30" t="str">
        <f>IFERROR(__xludf.DUMMYFUNCTION("""COMPUTED_VALUE"""),"Sedol Symbol")</f>
        <v>Sedol Symbol</v>
      </c>
      <c r="AR5" s="30" t="str">
        <f>IFERROR(__xludf.DUMMYFUNCTION("""COMPUTED_VALUE"""),"Borrow Broker")</f>
        <v>Borrow Broker</v>
      </c>
      <c r="AS5" s="30" t="str">
        <f>IFERROR(__xludf.DUMMYFUNCTION("""COMPUTED_VALUE"""),"FX Rate")</f>
        <v>FX Rate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 t="s">
        <v>40</v>
      </c>
      <c r="D6" s="13"/>
      <c r="E6" s="31"/>
      <c r="F6" s="8"/>
      <c r="G6" s="8"/>
      <c r="H6" s="8"/>
      <c r="I6" s="8"/>
      <c r="J6" s="8"/>
      <c r="K6" s="8"/>
      <c r="L6" s="8"/>
      <c r="M6" s="13" t="s">
        <v>34</v>
      </c>
      <c r="N6" s="13" t="s">
        <v>23</v>
      </c>
      <c r="O6" s="8"/>
      <c r="U6" s="9">
        <v>300.0</v>
      </c>
      <c r="AH6" s="9">
        <v>10.0</v>
      </c>
      <c r="AN6" s="9" t="s">
        <v>27</v>
      </c>
      <c r="AO6" s="9">
        <v>100.0</v>
      </c>
      <c r="AP6" s="9">
        <v>10.0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EditUnallocatedGridWPF!$4:$4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>
        <v>100.0</v>
      </c>
      <c r="D6" s="13"/>
      <c r="E6" s="13" t="s">
        <v>58</v>
      </c>
      <c r="F6" s="13" t="s">
        <v>23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SelectAllocatedGroup1!$4:$4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64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IFERROR(__xludf.DUMMYFUNCTION("""COMPUTED_VALUE"""),"Accured Interest")</f>
        <v>Accured Interest</v>
      </c>
      <c r="C5" s="28" t="str">
        <f>IFERROR(__xludf.DUMMYFUNCTION("""COMPUTED_VALUE"""),"Broker")</f>
        <v>Broker</v>
      </c>
      <c r="D5" s="28" t="str">
        <f>IFERROR(__xludf.DUMMYFUNCTION("""COMPUTED_VALUE"""),"Transaction Type")</f>
        <v>Transaction Type</v>
      </c>
      <c r="E5" s="28" t="str">
        <f>IFERROR(__xludf.DUMMYFUNCTION("""COMPUTED_VALUE"""),"Trade Attribute 1")</f>
        <v>Trade Attribute 1</v>
      </c>
      <c r="F5" s="29" t="str">
        <f>IFERROR(__xludf.DUMMYFUNCTION("""COMPUTED_VALUE"""),"Trade Attribute 2")</f>
        <v>Trade Attribute 2</v>
      </c>
      <c r="G5" s="28" t="str">
        <f>IFERROR(__xludf.DUMMYFUNCTION("""COMPUTED_VALUE"""),"Trade Attribute 3")</f>
        <v>Trade Attribute 3</v>
      </c>
      <c r="H5" s="28" t="str">
        <f>IFERROR(__xludf.DUMMYFUNCTION("""COMPUTED_VALUE"""),"Trade Attribute 4")</f>
        <v>Trade Attribute 4</v>
      </c>
      <c r="I5" s="28" t="str">
        <f>IFERROR(__xludf.DUMMYFUNCTION("""COMPUTED_VALUE"""),"Trade Attribute 5")</f>
        <v>Trade Attribute 5</v>
      </c>
      <c r="J5" s="28" t="str">
        <f>IFERROR(__xludf.DUMMYFUNCTION("""COMPUTED_VALUE"""),"Trade Attribute 6")</f>
        <v>Trade Attribute 6</v>
      </c>
      <c r="K5" s="28" t="str">
        <f>IFERROR(__xludf.DUMMYFUNCTION("""COMPUTED_VALUE"""),"Commission")</f>
        <v>Commission</v>
      </c>
      <c r="L5" s="28" t="str">
        <f>IFERROR(__xludf.DUMMYFUNCTION("""COMPUTED_VALUE"""),"Soft Commission")</f>
        <v>Soft Commission</v>
      </c>
      <c r="M5" s="28" t="str">
        <f>IFERROR(__xludf.DUMMYFUNCTION("""COMPUTED_VALUE"""),"Other Broker Fees")</f>
        <v>Other Broker Fees</v>
      </c>
      <c r="N5" s="28" t="str">
        <f>IFERROR(__xludf.DUMMYFUNCTION("""COMPUTED_VALUE"""),"Clearing Broker Fee")</f>
        <v>Clearing Broker Fee</v>
      </c>
      <c r="O5" s="28" t="str">
        <f>IFERROR(__xludf.DUMMYFUNCTION("""COMPUTED_VALUE"""),"Stamp Duty")</f>
        <v>Stamp Duty</v>
      </c>
      <c r="P5" s="28" t="str">
        <f>IFERROR(__xludf.DUMMYFUNCTION("""COMPUTED_VALUE"""),"AUEC Fee1")</f>
        <v>AUEC Fee1</v>
      </c>
      <c r="Q5" s="28" t="str">
        <f>IFERROR(__xludf.DUMMYFUNCTION("""COMPUTED_VALUE"""),"Tax On Commissions")</f>
        <v>Tax On Commissions</v>
      </c>
      <c r="R5" s="28" t="str">
        <f>IFERROR(__xludf.DUMMYFUNCTION("""COMPUTED_VALUE"""),"AUEC Fee2")</f>
        <v>AUEC Fee2</v>
      </c>
      <c r="S5" s="28" t="str">
        <f>IFERROR(__xludf.DUMMYFUNCTION("""COMPUTED_VALUE"""),"SEC Fee")</f>
        <v>SEC Fee</v>
      </c>
      <c r="T5" s="30" t="str">
        <f>IFERROR(__xludf.DUMMYFUNCTION("""COMPUTED_VALUE"""),"OCC Fee")</f>
        <v>OCC Fee</v>
      </c>
      <c r="U5" s="30" t="str">
        <f>IFERROR(__xludf.DUMMYFUNCTION("""COMPUTED_VALUE"""),"ORF Fee")</f>
        <v>ORF Fee</v>
      </c>
      <c r="V5" s="30" t="str">
        <f>IFERROR(__xludf.DUMMYFUNCTION("""COMPUTED_VALUE"""),"Option Premium Adjustment")</f>
        <v>Option Premium Adjustment</v>
      </c>
      <c r="W5" s="30" t="str">
        <f>IFERROR(__xludf.DUMMYFUNCTION("""COMPUTED_VALUE"""),"Change Comment")</f>
        <v>Change Comment</v>
      </c>
      <c r="X5" s="30" t="str">
        <f>IFERROR(__xludf.DUMMYFUNCTION("""COMPUTED_VALUE"""),"Avg Price(Local)")</f>
        <v>Avg Price(Local)</v>
      </c>
      <c r="Y5" s="30" t="str">
        <f>IFERROR(__xludf.DUMMYFUNCTION("""COMPUTED_VALUE"""),"Nirvana Process Date")</f>
        <v>Nirvana Process Date</v>
      </c>
      <c r="Z5" s="30" t="str">
        <f>IFERROR(__xludf.DUMMYFUNCTION("""COMPUTED_VALUE"""),"Closing Date")</f>
        <v>Closing Date</v>
      </c>
      <c r="AA5" s="30" t="str">
        <f>IFERROR(__xludf.DUMMYFUNCTION("""COMPUTED_VALUE"""),"Description")</f>
        <v>Description</v>
      </c>
      <c r="AB5" s="30" t="str">
        <f>IFERROR(__xludf.DUMMYFUNCTION("""COMPUTED_VALUE"""),"Coupon Rate")</f>
        <v>Coupon Rate</v>
      </c>
      <c r="AC5" s="30" t="str">
        <f>IFERROR(__xludf.DUMMYFUNCTION("""COMPUTED_VALUE"""),"Delta")</f>
        <v>Delta</v>
      </c>
      <c r="AD5" s="30" t="str">
        <f>IFERROR(__xludf.DUMMYFUNCTION("""COMPUTED_VALUE"""),"Symbol")</f>
        <v>Symbol</v>
      </c>
      <c r="AE5" s="30" t="str">
        <f>IFERROR(__xludf.DUMMYFUNCTION("""COMPUTED_VALUE"""),"Quantity")</f>
        <v>Quantity</v>
      </c>
      <c r="AF5" s="30" t="str">
        <f>IFERROR(__xludf.DUMMYFUNCTION("""COMPUTED_VALUE"""),"Avg Price(Base)")</f>
        <v>Avg Price(Base)</v>
      </c>
      <c r="AG5" s="30" t="str">
        <f>IFERROR(__xludf.DUMMYFUNCTION("""COMPUTED_VALUE"""),"Transaction Levy")</f>
        <v>Transaction Levy</v>
      </c>
      <c r="AH5" s="30" t="str">
        <f>IFERROR(__xludf.DUMMYFUNCTION("""COMPUTED_VALUE"""),"Borrow Broker")</f>
        <v>Borrow Broker</v>
      </c>
      <c r="AI5" s="30" t="str">
        <f>IFERROR(__xludf.DUMMYFUNCTION("""COMPUTED_VALUE"""),"RecalculateCommPopUp")</f>
        <v>RecalculateCommPopUp</v>
      </c>
      <c r="AJ5" s="30" t="str">
        <f>IFERROR(__xludf.DUMMYFUNCTION("""COMPUTED_VALUE"""),"FX Rate")</f>
        <v>FX Rate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34</v>
      </c>
      <c r="D6" s="13" t="s">
        <v>23</v>
      </c>
      <c r="E6" s="31"/>
      <c r="F6" s="8"/>
      <c r="G6" s="8"/>
      <c r="H6" s="8"/>
      <c r="I6" s="8"/>
      <c r="J6" s="8"/>
      <c r="K6" s="13">
        <v>300.0</v>
      </c>
      <c r="L6" s="8"/>
      <c r="M6" s="8"/>
      <c r="N6" s="8"/>
      <c r="O6" s="8"/>
      <c r="AD6" s="9" t="s">
        <v>22</v>
      </c>
      <c r="AE6" s="9">
        <v>100.0</v>
      </c>
      <c r="AF6" s="9">
        <v>10.0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EditAllocatedGridWPF!$4:$4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6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IFERROR(__xludf.DUMMYFUNCTION("""COMPUTED_VALUE"""),"Accrual Basis")</f>
        <v>Accrual Basis</v>
      </c>
      <c r="C5" s="28" t="str">
        <f>IFERROR(__xludf.DUMMYFUNCTION("""COMPUTED_VALUE"""),"Accrued Interest")</f>
        <v>Accrued Interest</v>
      </c>
      <c r="D5" s="28" t="str">
        <f>IFERROR(__xludf.DUMMYFUNCTION("""COMPUTED_VALUE"""),"Allocated Qty")</f>
        <v>Allocated Qty</v>
      </c>
      <c r="E5" s="28" t="str">
        <f>IFERROR(__xludf.DUMMYFUNCTION("""COMPUTED_VALUE"""),"Allocation Scheme Name")</f>
        <v>Allocation Scheme Name</v>
      </c>
      <c r="F5" s="29" t="str">
        <f>IFERROR(__xludf.DUMMYFUNCTION("""COMPUTED_VALUE"""),"Asset Category")</f>
        <v>Asset Category</v>
      </c>
      <c r="G5" s="28" t="str">
        <f>IFERROR(__xludf.DUMMYFUNCTION("""COMPUTED_VALUE"""),"AUEC Fee1")</f>
        <v>AUEC Fee1</v>
      </c>
      <c r="H5" s="28" t="str">
        <f>IFERROR(__xludf.DUMMYFUNCTION("""COMPUTED_VALUE"""),"AUEC Fee2")</f>
        <v>AUEC Fee2</v>
      </c>
      <c r="I5" s="28" t="str">
        <f>IFERROR(__xludf.DUMMYFUNCTION("""COMPUTED_VALUE"""),"AUECID")</f>
        <v>AUECID</v>
      </c>
      <c r="J5" s="28" t="str">
        <f>IFERROR(__xludf.DUMMYFUNCTION("""COMPUTED_VALUE"""),"Avg Price(Base)")</f>
        <v>Avg Price(Base)</v>
      </c>
      <c r="K5" s="28" t="str">
        <f>IFERROR(__xludf.DUMMYFUNCTION("""COMPUTED_VALUE"""),"Avg Price(Local)")</f>
        <v>Avg Price(Local)</v>
      </c>
      <c r="L5" s="28" t="str">
        <f>IFERROR(__xludf.DUMMYFUNCTION("""COMPUTED_VALUE"""),"Bloomberg")</f>
        <v>Bloomberg</v>
      </c>
      <c r="M5" s="28" t="str">
        <f>IFERROR(__xludf.DUMMYFUNCTION("""COMPUTED_VALUE"""),"Bond Type")</f>
        <v>Bond Type</v>
      </c>
      <c r="N5" s="28" t="str">
        <f>IFERROR(__xludf.DUMMYFUNCTION("""COMPUTED_VALUE"""),"Broker")</f>
        <v>Broker</v>
      </c>
      <c r="O5" s="28" t="str">
        <f>IFERROR(__xludf.DUMMYFUNCTION("""COMPUTED_VALUE"""),"Change Comment")</f>
        <v>Change Comment</v>
      </c>
      <c r="P5" s="28" t="str">
        <f>IFERROR(__xludf.DUMMYFUNCTION("""COMPUTED_VALUE"""),"Change Type")</f>
        <v>Change Type</v>
      </c>
      <c r="Q5" s="28" t="str">
        <f>IFERROR(__xludf.DUMMYFUNCTION("""COMPUTED_VALUE"""),"Clearing Broker Fee")</f>
        <v>Clearing Broker Fee</v>
      </c>
      <c r="R5" s="28" t="str">
        <f>IFERROR(__xludf.DUMMYFUNCTION("""COMPUTED_VALUE"""),"Closing Method")</f>
        <v>Closing Method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IFERROR(__xludf.DUMMYFUNCTION("""COMPUTED_VALUE"""),"Execution Time")</f>
        <v>Execution Time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IFERROR(__xludf.DUMMYFUNCTION("""COMPUTED_VALUE"""),"FX Rate")</f>
        <v>FX Rate</v>
      </c>
      <c r="AI5" s="30" t="str">
        <f>IFERROR(__xludf.DUMMYFUNCTION("""COMPUTED_VALUE"""),"Group Status")</f>
        <v>Group Status</v>
      </c>
      <c r="AJ5" s="30" t="str">
        <f>IFERROR(__xludf.DUMMYFUNCTION("""COMPUTED_VALUE"""),"GroupID")</f>
        <v>GroupID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IFERROR(__xludf.DUMMYFUNCTION("""COMPUTED_VALUE"""),"Symbol")</f>
        <v>Symbol</v>
      </c>
      <c r="BT5" s="30" t="str">
        <f>IFERROR(__xludf.DUMMYFUNCTION("""COMPUTED_VALUE"""),"Tax On Commissions")</f>
        <v>Tax On Commissions</v>
      </c>
      <c r="BU5" s="30" t="str">
        <f>IFERROR(__xludf.DUMMYFUNCTION("""COMPUTED_VALUE"""),"Total Commission")</f>
        <v>Total Commission</v>
      </c>
      <c r="BV5" s="30" t="str">
        <f>IFERROR(__xludf.DUMMYFUNCTION("""COMPUTED_VALUE"""),"Total Commission And Fee")</f>
        <v>Total Commission And Fee</v>
      </c>
      <c r="BW5" s="30" t="str">
        <f>IFERROR(__xludf.DUMMYFUNCTION("""COMPUTED_VALUE"""),"Total Commission Per Share")</f>
        <v>Total Commission Per Share</v>
      </c>
      <c r="BX5" s="30" t="str">
        <f>IFERROR(__xludf.DUMMYFUNCTION("""COMPUTED_VALUE"""),"Trade Attribute 1")</f>
        <v>Trade Attribute 1</v>
      </c>
      <c r="BY5" s="30" t="str">
        <f>IFERROR(__xludf.DUMMYFUNCTION("""COMPUTED_VALUE"""),"Trade Attribute 2")</f>
        <v>Trade Attribute 2</v>
      </c>
      <c r="BZ5" s="30" t="str">
        <f>IFERROR(__xludf.DUMMYFUNCTION("""COMPUTED_VALUE"""),"Trade Attribute 3")</f>
        <v>Trade Attribute 3</v>
      </c>
      <c r="CA5" s="30" t="str">
        <f>IFERROR(__xludf.DUMMYFUNCTION("""COMPUTED_VALUE"""),"Trade Attribute 4")</f>
        <v>Trade Attribute 4</v>
      </c>
      <c r="CB5" s="30" t="str">
        <f>IFERROR(__xludf.DUMMYFUNCTION("""COMPUTED_VALUE"""),"Trade Attribute 5")</f>
        <v>Trade Attribute 5</v>
      </c>
      <c r="CC5" s="30" t="str">
        <f>IFERROR(__xludf.DUMMYFUNCTION("""COMPUTED_VALUE"""),"Trade Attribute 6")</f>
        <v>Trade Attribute 6</v>
      </c>
      <c r="CD5" s="30" t="str">
        <f>IFERROR(__xludf.DUMMYFUNCTION("""COMPUTED_VALUE"""),"Trade Date")</f>
        <v>Trade Date</v>
      </c>
      <c r="CE5" s="30" t="str">
        <f>IFERROR(__xludf.DUMMYFUNCTION("""COMPUTED_VALUE"""),"Trading Account")</f>
        <v>Trading Account</v>
      </c>
      <c r="CF5" s="30" t="str">
        <f>IFERROR(__xludf.DUMMYFUNCTION("""COMPUTED_VALUE"""),"Transaction Levy")</f>
        <v>Transaction Levy</v>
      </c>
      <c r="CG5" s="30" t="str">
        <f>IFERROR(__xludf.DUMMYFUNCTION("""COMPUTED_VALUE"""),"Transaction Source")</f>
        <v>Transaction Source</v>
      </c>
      <c r="CH5" s="30" t="str">
        <f>IFERROR(__xludf.DUMMYFUNCTION("""COMPUTED_VALUE"""),"Transaction Type")</f>
        <v>Transaction Type</v>
      </c>
      <c r="CI5" s="30" t="str">
        <f>IFERROR(__xludf.DUMMYFUNCTION("""COMPUTED_VALUE"""),"UnAllocatedQty")</f>
        <v>UnAllocatedQty</v>
      </c>
      <c r="CJ5" s="30" t="str">
        <f>IFERROR(__xludf.DUMMYFUNCTION("""COMPUTED_VALUE"""),"Underlying")</f>
        <v>Underlying</v>
      </c>
      <c r="CK5" s="30" t="str">
        <f>IFERROR(__xludf.DUMMYFUNCTION("""COMPUTED_VALUE"""),"Underlying Delta")</f>
        <v>Underlying Delta</v>
      </c>
      <c r="CL5" s="30" t="str">
        <f>IFERROR(__xludf.DUMMYFUNCTION("""COMPUTED_VALUE"""),"Underlying Symbol")</f>
        <v>Underlying Symbol</v>
      </c>
      <c r="CM5" s="30" t="str">
        <f>IFERROR(__xludf.DUMMYFUNCTION("""COMPUTED_VALUE"""),"User")</f>
        <v>User</v>
      </c>
      <c r="CN5" s="30" t="str">
        <f>IFERROR(__xludf.DUMMYFUNCTION("""COMPUTED_VALUE"""),"Venue")</f>
        <v>Venue</v>
      </c>
      <c r="CO5" s="30" t="str">
        <f>IFERROR(__xludf.DUMMYFUNCTION("""COMPUTED_VALUE"""),"Closing Date")</f>
        <v>Closing Date</v>
      </c>
      <c r="CP5" s="30" t="str">
        <f>IFERROR(__xludf.DUMMYFUNCTION("""COMPUTED_VALUE"""),"Expiration Date")</f>
        <v>Expiration Date</v>
      </c>
      <c r="CQ5" s="30" t="str">
        <f>IFERROR(__xludf.DUMMYFUNCTION("""COMPUTED_VALUE"""),"Master Fund")</f>
        <v>Master Fund</v>
      </c>
      <c r="CR5" s="30" t="str">
        <f>IFERROR(__xludf.DUMMYFUNCTION("""COMPUTED_VALUE"""),"Borrow Broker")</f>
        <v>Borrow Broker</v>
      </c>
      <c r="CS5" s="30" t="str">
        <f>IFERROR(__xludf.DUMMYFUNCTION("""COMPUTED_VALUE"""),"MandatoryColumn")</f>
        <v>MandatoryColumn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</row>
    <row r="6" ht="15.75" customHeight="1">
      <c r="A6" s="39" t="s">
        <v>43</v>
      </c>
      <c r="B6" s="39" t="s">
        <v>43</v>
      </c>
      <c r="C6" s="8">
        <v>0.0</v>
      </c>
      <c r="D6" s="39">
        <v>0.0</v>
      </c>
      <c r="E6" s="8"/>
      <c r="F6" s="8" t="s">
        <v>32</v>
      </c>
      <c r="G6" s="8">
        <v>4.0</v>
      </c>
      <c r="H6" s="8">
        <v>5.0</v>
      </c>
      <c r="I6" s="8">
        <v>1.0</v>
      </c>
      <c r="J6" s="8">
        <v>10.0</v>
      </c>
      <c r="K6" s="8">
        <v>10.0</v>
      </c>
      <c r="L6" s="8" t="s">
        <v>33</v>
      </c>
      <c r="M6" s="8" t="s">
        <v>43</v>
      </c>
      <c r="N6" s="8" t="s">
        <v>34</v>
      </c>
      <c r="O6" s="8"/>
      <c r="P6">
        <v>3.0</v>
      </c>
      <c r="Q6">
        <v>0.0</v>
      </c>
      <c r="S6" s="9" t="s">
        <v>44</v>
      </c>
      <c r="T6" s="9">
        <v>300.0</v>
      </c>
      <c r="U6">
        <v>15.0</v>
      </c>
      <c r="W6" t="s">
        <v>43</v>
      </c>
      <c r="X6" t="s">
        <v>43</v>
      </c>
      <c r="Z6" s="9" t="s">
        <v>35</v>
      </c>
      <c r="AD6" t="s">
        <v>40</v>
      </c>
      <c r="AE6" s="9">
        <v>20.0</v>
      </c>
      <c r="AG6" t="s">
        <v>36</v>
      </c>
      <c r="AH6">
        <v>1.0</v>
      </c>
      <c r="AI6" t="s">
        <v>55</v>
      </c>
      <c r="AT6">
        <v>514.0001</v>
      </c>
      <c r="AU6">
        <v>514.0001</v>
      </c>
      <c r="AY6" s="9" t="s">
        <v>37</v>
      </c>
      <c r="BE6">
        <v>200.0</v>
      </c>
      <c r="BF6">
        <v>200.0</v>
      </c>
      <c r="BJ6" s="9">
        <v>100.0</v>
      </c>
      <c r="BK6" t="s">
        <v>43</v>
      </c>
      <c r="BM6" t="s">
        <v>35</v>
      </c>
      <c r="BO6" t="s">
        <v>23</v>
      </c>
      <c r="BS6" t="s">
        <v>27</v>
      </c>
      <c r="CE6" t="s">
        <v>53</v>
      </c>
      <c r="CF6">
        <v>2.0</v>
      </c>
      <c r="CG6" t="s">
        <v>20</v>
      </c>
      <c r="CH6" t="s">
        <v>23</v>
      </c>
      <c r="CI6">
        <v>20.0</v>
      </c>
      <c r="CJ6" t="s">
        <v>38</v>
      </c>
      <c r="CL6" t="s">
        <v>27</v>
      </c>
      <c r="CM6" t="s">
        <v>39</v>
      </c>
      <c r="CN6" t="s">
        <v>40</v>
      </c>
      <c r="CR6" t="s">
        <v>43</v>
      </c>
      <c r="CT6" t="s">
        <v>43</v>
      </c>
      <c r="CU6" t="s">
        <v>43</v>
      </c>
      <c r="CV6" t="s">
        <v>43</v>
      </c>
      <c r="CW6" t="s">
        <v>43</v>
      </c>
      <c r="CX6" t="s">
        <v>43</v>
      </c>
      <c r="CY6" t="s">
        <v>43</v>
      </c>
      <c r="CZ6" t="s">
        <v>43</v>
      </c>
      <c r="DA6" t="s">
        <v>43</v>
      </c>
      <c r="DB6" t="s">
        <v>43</v>
      </c>
      <c r="DC6" t="s">
        <v>43</v>
      </c>
      <c r="DD6" t="s">
        <v>43</v>
      </c>
      <c r="DE6" t="s">
        <v>43</v>
      </c>
      <c r="DF6" t="s">
        <v>43</v>
      </c>
      <c r="DG6" t="s">
        <v>43</v>
      </c>
      <c r="DH6" t="s">
        <v>43</v>
      </c>
      <c r="DI6" t="s">
        <v>43</v>
      </c>
      <c r="DJ6" t="s">
        <v>43</v>
      </c>
      <c r="DK6" t="s">
        <v>43</v>
      </c>
      <c r="DL6" t="s">
        <v>43</v>
      </c>
      <c r="DM6" t="s">
        <v>43</v>
      </c>
      <c r="DN6" t="s">
        <v>43</v>
      </c>
      <c r="DO6" t="s">
        <v>43</v>
      </c>
      <c r="DP6" t="s">
        <v>43</v>
      </c>
      <c r="DQ6" t="s">
        <v>43</v>
      </c>
      <c r="DR6" t="s">
        <v>43</v>
      </c>
      <c r="DS6" t="s">
        <v>43</v>
      </c>
      <c r="DT6" t="s">
        <v>43</v>
      </c>
      <c r="DU6" t="s">
        <v>43</v>
      </c>
      <c r="DV6" t="s">
        <v>43</v>
      </c>
      <c r="DW6" t="s">
        <v>43</v>
      </c>
      <c r="DX6" t="s">
        <v>43</v>
      </c>
      <c r="DY6" t="s">
        <v>43</v>
      </c>
      <c r="DZ6" t="s">
        <v>43</v>
      </c>
      <c r="EA6" t="s">
        <v>43</v>
      </c>
      <c r="EB6" t="s">
        <v>43</v>
      </c>
      <c r="EC6" t="s">
        <v>43</v>
      </c>
      <c r="ED6" t="s">
        <v>43</v>
      </c>
      <c r="EE6" t="s">
        <v>43</v>
      </c>
      <c r="EF6" t="s">
        <v>43</v>
      </c>
      <c r="EG6" t="s">
        <v>43</v>
      </c>
      <c r="EH6" t="s">
        <v>43</v>
      </c>
      <c r="EI6" t="s">
        <v>43</v>
      </c>
      <c r="EJ6" t="s">
        <v>43</v>
      </c>
      <c r="EK6" t="s">
        <v>43</v>
      </c>
      <c r="EL6" t="s">
        <v>43</v>
      </c>
      <c r="EM6" t="s">
        <v>43</v>
      </c>
      <c r="EN6" t="s">
        <v>43</v>
      </c>
      <c r="EO6" t="s">
        <v>43</v>
      </c>
      <c r="EP6" t="s">
        <v>43</v>
      </c>
      <c r="EQ6" t="s">
        <v>43</v>
      </c>
      <c r="ER6" t="s">
        <v>43</v>
      </c>
      <c r="ES6" t="s">
        <v>43</v>
      </c>
      <c r="ET6" t="s">
        <v>43</v>
      </c>
      <c r="EU6" t="s">
        <v>43</v>
      </c>
      <c r="EV6" t="s">
        <v>43</v>
      </c>
      <c r="EW6" t="s">
        <v>43</v>
      </c>
      <c r="EX6" t="s">
        <v>43</v>
      </c>
      <c r="EY6" t="s">
        <v>43</v>
      </c>
      <c r="EZ6" t="s">
        <v>43</v>
      </c>
      <c r="FA6" t="s">
        <v>43</v>
      </c>
      <c r="FB6" t="s">
        <v>43</v>
      </c>
      <c r="FC6" t="s">
        <v>43</v>
      </c>
      <c r="FD6" t="s">
        <v>43</v>
      </c>
      <c r="FE6" t="s">
        <v>43</v>
      </c>
      <c r="FF6" t="s">
        <v>43</v>
      </c>
      <c r="FG6" t="s">
        <v>43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CheckUnallocatedGroups2!$4:$4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6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 t="str">
        <f>IFERROR(__xludf.DUMMYFUNCTION("""COMPUTED_VALUE"""),"Testing Type")</f>
        <v>Testing Type</v>
      </c>
      <c r="DA5" s="30" t="str">
        <f>IFERROR(__xludf.DUMMYFUNCTION("""COMPUTED_VALUE"""),"Testing Column")</f>
        <v>Testing Column</v>
      </c>
      <c r="DB5" s="30" t="str">
        <f>IFERROR(__xludf.DUMMYFUNCTION("""COMPUTED_VALUE"""),"Testing Col Value")</f>
        <v>Testing Col Value</v>
      </c>
      <c r="DC5" s="30" t="str">
        <f>IFERROR(__xludf.DUMMYFUNCTION("""COMPUTED_VALUE"""),"DuplicateRow")</f>
        <v>DuplicateRow</v>
      </c>
      <c r="DD5" s="30" t="str">
        <f>IFERROR(__xludf.DUMMYFUNCTION("""COMPUTED_VALUE"""),"DuplicateCountOnUI")</f>
        <v>DuplicateCountOnUI</v>
      </c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</row>
    <row r="6" ht="15.75" customHeight="1">
      <c r="A6" s="13"/>
      <c r="B6" s="39" t="s">
        <v>58</v>
      </c>
      <c r="C6" s="8" t="s">
        <v>43</v>
      </c>
      <c r="D6" s="39">
        <v>0.0</v>
      </c>
      <c r="E6" s="8">
        <v>20.0</v>
      </c>
      <c r="F6" s="8" t="s">
        <v>61</v>
      </c>
      <c r="G6" s="8" t="s">
        <v>32</v>
      </c>
      <c r="H6" s="8">
        <v>4.0</v>
      </c>
      <c r="I6" s="8">
        <v>5.0</v>
      </c>
      <c r="J6" s="8">
        <v>1.0</v>
      </c>
      <c r="K6" s="8">
        <v>10.0</v>
      </c>
      <c r="L6" s="8">
        <v>10.0</v>
      </c>
      <c r="M6" s="8" t="s">
        <v>54</v>
      </c>
      <c r="N6" s="8" t="s">
        <v>43</v>
      </c>
      <c r="O6" s="8" t="s">
        <v>34</v>
      </c>
      <c r="Q6">
        <v>3.0</v>
      </c>
      <c r="R6">
        <v>0.0</v>
      </c>
      <c r="S6" t="s">
        <v>44</v>
      </c>
      <c r="T6">
        <v>300.0</v>
      </c>
      <c r="U6">
        <v>15.0</v>
      </c>
      <c r="V6" t="s">
        <v>45</v>
      </c>
      <c r="W6">
        <v>1.0</v>
      </c>
      <c r="X6" t="s">
        <v>43</v>
      </c>
      <c r="Y6" t="s">
        <v>43</v>
      </c>
      <c r="Z6" t="s">
        <v>35</v>
      </c>
      <c r="AA6" t="s">
        <v>22</v>
      </c>
      <c r="AB6">
        <v>1.0</v>
      </c>
      <c r="AD6" t="s">
        <v>40</v>
      </c>
      <c r="AE6">
        <v>20.0</v>
      </c>
      <c r="AF6" t="s">
        <v>43</v>
      </c>
      <c r="AI6">
        <v>1.0</v>
      </c>
      <c r="AJ6" t="s">
        <v>55</v>
      </c>
      <c r="AQ6" t="b">
        <v>0</v>
      </c>
      <c r="AR6" t="b">
        <v>1</v>
      </c>
      <c r="AT6">
        <v>514.0001</v>
      </c>
      <c r="AU6">
        <v>514.0001</v>
      </c>
      <c r="AW6">
        <v>0.0</v>
      </c>
      <c r="AX6">
        <v>0.0</v>
      </c>
      <c r="AY6" t="s">
        <v>37</v>
      </c>
      <c r="BC6">
        <v>0.0</v>
      </c>
      <c r="BE6">
        <v>200.0</v>
      </c>
      <c r="BF6">
        <v>200.0</v>
      </c>
      <c r="BJ6">
        <v>100.0</v>
      </c>
      <c r="BK6">
        <v>0.0</v>
      </c>
      <c r="BL6" t="s">
        <v>43</v>
      </c>
      <c r="BM6" t="s">
        <v>35</v>
      </c>
      <c r="BO6" t="s">
        <v>23</v>
      </c>
      <c r="BP6">
        <v>0.0</v>
      </c>
      <c r="BQ6">
        <v>0.0</v>
      </c>
      <c r="BT6" t="s">
        <v>22</v>
      </c>
      <c r="BU6">
        <v>3.0</v>
      </c>
      <c r="BV6">
        <v>300.0</v>
      </c>
      <c r="CG6">
        <v>2.0</v>
      </c>
      <c r="CH6" t="s">
        <v>20</v>
      </c>
      <c r="CI6" t="s">
        <v>23</v>
      </c>
      <c r="CJ6">
        <v>0.0</v>
      </c>
      <c r="CK6" t="s">
        <v>38</v>
      </c>
      <c r="CL6">
        <v>1.0</v>
      </c>
      <c r="CM6" t="s">
        <v>22</v>
      </c>
      <c r="CN6" t="s">
        <v>39</v>
      </c>
      <c r="CO6" t="s">
        <v>40</v>
      </c>
      <c r="CS6" t="s">
        <v>43</v>
      </c>
      <c r="CU6" t="s">
        <v>43</v>
      </c>
      <c r="CV6" t="s">
        <v>43</v>
      </c>
      <c r="CW6" t="s">
        <v>43</v>
      </c>
      <c r="CX6" t="s">
        <v>43</v>
      </c>
      <c r="CY6" t="s">
        <v>43</v>
      </c>
      <c r="CZ6" t="s">
        <v>43</v>
      </c>
      <c r="DA6" t="s">
        <v>43</v>
      </c>
      <c r="DB6" t="s">
        <v>43</v>
      </c>
      <c r="DC6" t="s">
        <v>43</v>
      </c>
      <c r="DD6" t="s">
        <v>43</v>
      </c>
      <c r="DE6" t="s">
        <v>43</v>
      </c>
      <c r="DF6" t="s">
        <v>43</v>
      </c>
      <c r="DG6" t="s">
        <v>43</v>
      </c>
      <c r="DH6" t="s">
        <v>43</v>
      </c>
      <c r="DI6" t="s">
        <v>43</v>
      </c>
      <c r="DJ6" t="s">
        <v>43</v>
      </c>
      <c r="DK6" t="s">
        <v>43</v>
      </c>
      <c r="DL6" t="s">
        <v>43</v>
      </c>
      <c r="DM6" t="s">
        <v>43</v>
      </c>
      <c r="DN6" t="s">
        <v>43</v>
      </c>
      <c r="DO6" t="s">
        <v>43</v>
      </c>
      <c r="DP6" t="s">
        <v>43</v>
      </c>
      <c r="DQ6" t="s">
        <v>43</v>
      </c>
      <c r="DR6" t="s">
        <v>43</v>
      </c>
      <c r="DS6" t="s">
        <v>43</v>
      </c>
      <c r="DT6" t="s">
        <v>43</v>
      </c>
      <c r="DU6" t="s">
        <v>43</v>
      </c>
      <c r="DV6" t="s">
        <v>43</v>
      </c>
      <c r="DW6" t="s">
        <v>43</v>
      </c>
      <c r="DX6" t="s">
        <v>43</v>
      </c>
      <c r="DY6" t="s">
        <v>43</v>
      </c>
      <c r="DZ6" t="s">
        <v>43</v>
      </c>
      <c r="EA6" t="s">
        <v>43</v>
      </c>
      <c r="EB6" t="s">
        <v>43</v>
      </c>
      <c r="EC6" t="s">
        <v>43</v>
      </c>
      <c r="ED6" t="s">
        <v>43</v>
      </c>
      <c r="EE6" t="s">
        <v>43</v>
      </c>
      <c r="EF6" t="s">
        <v>43</v>
      </c>
      <c r="EG6" t="s">
        <v>43</v>
      </c>
      <c r="EH6" t="s">
        <v>43</v>
      </c>
      <c r="EI6" t="s">
        <v>43</v>
      </c>
      <c r="EJ6" t="s">
        <v>43</v>
      </c>
      <c r="EK6" t="s">
        <v>43</v>
      </c>
      <c r="EL6" t="s">
        <v>43</v>
      </c>
      <c r="EM6" t="s">
        <v>43</v>
      </c>
      <c r="EN6" t="s">
        <v>43</v>
      </c>
      <c r="EO6" t="s">
        <v>43</v>
      </c>
      <c r="EP6" t="s">
        <v>43</v>
      </c>
      <c r="EQ6" t="s">
        <v>43</v>
      </c>
      <c r="ER6" t="s">
        <v>43</v>
      </c>
      <c r="ES6" t="s">
        <v>43</v>
      </c>
      <c r="ET6" t="s">
        <v>43</v>
      </c>
      <c r="EU6" t="s">
        <v>43</v>
      </c>
      <c r="EV6" t="s">
        <v>43</v>
      </c>
      <c r="EW6" t="s">
        <v>43</v>
      </c>
      <c r="EX6" t="s">
        <v>43</v>
      </c>
      <c r="EY6" t="s">
        <v>43</v>
      </c>
      <c r="EZ6" t="s">
        <v>43</v>
      </c>
      <c r="FA6" t="s">
        <v>43</v>
      </c>
      <c r="FB6" t="s">
        <v>43</v>
      </c>
      <c r="FC6" t="s">
        <v>43</v>
      </c>
      <c r="FD6" t="s">
        <v>43</v>
      </c>
      <c r="FE6" t="s">
        <v>43</v>
      </c>
      <c r="FF6" t="s">
        <v>43</v>
      </c>
      <c r="FG6" t="s">
        <v>43</v>
      </c>
      <c r="FH6" t="s">
        <v>43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CheckAllocatedGroups3!$4:$4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IFERROR(__xludf.DUMMYFUNCTION("""COMPUTED_VALUE"""),"Fill")</f>
        <v>Fill</v>
      </c>
      <c r="C5" s="28" t="str">
        <f>IFERROR(__xludf.DUMMYFUNCTION("""COMPUTED_VALUE"""),"Last Fill Price (Local)")</f>
        <v>Last Fill Price (Local)</v>
      </c>
      <c r="D5" s="28" t="str">
        <f>IFERROR(__xludf.DUMMYFUNCTION("""COMPUTED_VALUE"""),"New")</f>
        <v>New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30.0</v>
      </c>
      <c r="C6" s="13">
        <v>10.0</v>
      </c>
      <c r="D6" s="13" t="b">
        <v>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EditAddFillsDetails2!$4:$4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IFERROR(__xludf.DUMMYFUNCTION("""COMPUTED_VALUE"""),"Fill")</f>
        <v>Fill</v>
      </c>
      <c r="C5" s="28" t="str">
        <f>IFERROR(__xludf.DUMMYFUNCTION("""COMPUTED_VALUE"""),"Last Fill Price (Local)")</f>
        <v>Last Fill Price (Local)</v>
      </c>
      <c r="D5" s="28" t="str">
        <f>IFERROR(__xludf.DUMMYFUNCTION("""COMPUTED_VALUE"""),"New")</f>
        <v>New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30.0</v>
      </c>
      <c r="C6" s="13">
        <v>10.0</v>
      </c>
      <c r="D6" s="13" t="b">
        <v>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EditAddFillsDetails3!$4:$4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IFERROR(__xludf.DUMMYFUNCTION("""COMPUTED_VALUE"""),"Accrual Basis")</f>
        <v>Accrual Basis</v>
      </c>
      <c r="C5" s="28" t="str">
        <f>IFERROR(__xludf.DUMMYFUNCTION("""COMPUTED_VALUE"""),"Accrued Interest")</f>
        <v>Accrued Interest</v>
      </c>
      <c r="D5" s="28" t="str">
        <f>IFERROR(__xludf.DUMMYFUNCTION("""COMPUTED_VALUE"""),"Allocated Qty")</f>
        <v>Allocated Qty</v>
      </c>
      <c r="E5" s="28" t="str">
        <f>IFERROR(__xludf.DUMMYFUNCTION("""COMPUTED_VALUE"""),"Allocation Scheme Name")</f>
        <v>Allocation Scheme Name</v>
      </c>
      <c r="F5" s="29" t="str">
        <f>IFERROR(__xludf.DUMMYFUNCTION("""COMPUTED_VALUE"""),"Asset Category")</f>
        <v>Asset Category</v>
      </c>
      <c r="G5" s="28" t="str">
        <f>IFERROR(__xludf.DUMMYFUNCTION("""COMPUTED_VALUE"""),"AUEC Fee1")</f>
        <v>AUEC Fee1</v>
      </c>
      <c r="H5" s="28" t="str">
        <f>IFERROR(__xludf.DUMMYFUNCTION("""COMPUTED_VALUE"""),"AUEC Fee2")</f>
        <v>AUEC Fee2</v>
      </c>
      <c r="I5" s="28" t="str">
        <f>IFERROR(__xludf.DUMMYFUNCTION("""COMPUTED_VALUE"""),"AUECID")</f>
        <v>AUECID</v>
      </c>
      <c r="J5" s="28" t="str">
        <f>IFERROR(__xludf.DUMMYFUNCTION("""COMPUTED_VALUE"""),"Avg Price(Base)")</f>
        <v>Avg Price(Base)</v>
      </c>
      <c r="K5" s="28" t="str">
        <f>IFERROR(__xludf.DUMMYFUNCTION("""COMPUTED_VALUE"""),"Avg Price(Local)")</f>
        <v>Avg Price(Local)</v>
      </c>
      <c r="L5" s="28" t="str">
        <f>IFERROR(__xludf.DUMMYFUNCTION("""COMPUTED_VALUE"""),"Bloomberg")</f>
        <v>Bloomberg</v>
      </c>
      <c r="M5" s="28" t="str">
        <f>IFERROR(__xludf.DUMMYFUNCTION("""COMPUTED_VALUE"""),"Bond Type")</f>
        <v>Bond Type</v>
      </c>
      <c r="N5" s="28" t="str">
        <f>IFERROR(__xludf.DUMMYFUNCTION("""COMPUTED_VALUE"""),"Broker")</f>
        <v>Broker</v>
      </c>
      <c r="O5" s="28" t="str">
        <f>IFERROR(__xludf.DUMMYFUNCTION("""COMPUTED_VALUE"""),"Change Comment")</f>
        <v>Change Comment</v>
      </c>
      <c r="P5" s="28" t="str">
        <f>IFERROR(__xludf.DUMMYFUNCTION("""COMPUTED_VALUE"""),"Change Type")</f>
        <v>Change Type</v>
      </c>
      <c r="Q5" s="28" t="str">
        <f>IFERROR(__xludf.DUMMYFUNCTION("""COMPUTED_VALUE"""),"Clearing Broker Fee")</f>
        <v>Clearing Broker Fee</v>
      </c>
      <c r="R5" s="28" t="str">
        <f>IFERROR(__xludf.DUMMYFUNCTION("""COMPUTED_VALUE"""),"Closing Method")</f>
        <v>Closing Method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IFERROR(__xludf.DUMMYFUNCTION("""COMPUTED_VALUE"""),"Execution Time")</f>
        <v>Execution Time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IFERROR(__xludf.DUMMYFUNCTION("""COMPUTED_VALUE"""),"FX Rate")</f>
        <v>FX Rate</v>
      </c>
      <c r="AI5" s="30" t="str">
        <f>IFERROR(__xludf.DUMMYFUNCTION("""COMPUTED_VALUE"""),"Group Status")</f>
        <v>Group Status</v>
      </c>
      <c r="AJ5" s="30" t="str">
        <f>IFERROR(__xludf.DUMMYFUNCTION("""COMPUTED_VALUE"""),"GroupID")</f>
        <v>GroupID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IFERROR(__xludf.DUMMYFUNCTION("""COMPUTED_VALUE"""),"Symbol")</f>
        <v>Symbol</v>
      </c>
      <c r="BT5" s="30" t="str">
        <f>IFERROR(__xludf.DUMMYFUNCTION("""COMPUTED_VALUE"""),"Tax On Commissions")</f>
        <v>Tax On Commissions</v>
      </c>
      <c r="BU5" s="30" t="str">
        <f>IFERROR(__xludf.DUMMYFUNCTION("""COMPUTED_VALUE"""),"Total Commission")</f>
        <v>Total Commission</v>
      </c>
      <c r="BV5" s="30" t="str">
        <f>IFERROR(__xludf.DUMMYFUNCTION("""COMPUTED_VALUE"""),"Total Commission And Fee")</f>
        <v>Total Commission And Fee</v>
      </c>
      <c r="BW5" s="30" t="str">
        <f>IFERROR(__xludf.DUMMYFUNCTION("""COMPUTED_VALUE"""),"Total Commission Per Share")</f>
        <v>Total Commission Per Share</v>
      </c>
      <c r="BX5" s="30" t="str">
        <f>IFERROR(__xludf.DUMMYFUNCTION("""COMPUTED_VALUE"""),"Trade Attribute 1")</f>
        <v>Trade Attribute 1</v>
      </c>
      <c r="BY5" s="30" t="str">
        <f>IFERROR(__xludf.DUMMYFUNCTION("""COMPUTED_VALUE"""),"Trade Attribute 2")</f>
        <v>Trade Attribute 2</v>
      </c>
      <c r="BZ5" s="30" t="str">
        <f>IFERROR(__xludf.DUMMYFUNCTION("""COMPUTED_VALUE"""),"Trade Attribute 3")</f>
        <v>Trade Attribute 3</v>
      </c>
      <c r="CA5" s="30" t="str">
        <f>IFERROR(__xludf.DUMMYFUNCTION("""COMPUTED_VALUE"""),"Trade Attribute 4")</f>
        <v>Trade Attribute 4</v>
      </c>
      <c r="CB5" s="30" t="str">
        <f>IFERROR(__xludf.DUMMYFUNCTION("""COMPUTED_VALUE"""),"Trade Attribute 5")</f>
        <v>Trade Attribute 5</v>
      </c>
      <c r="CC5" s="30" t="str">
        <f>IFERROR(__xludf.DUMMYFUNCTION("""COMPUTED_VALUE"""),"Trade Attribute 6")</f>
        <v>Trade Attribute 6</v>
      </c>
      <c r="CD5" s="30" t="str">
        <f>IFERROR(__xludf.DUMMYFUNCTION("""COMPUTED_VALUE"""),"Trade Date")</f>
        <v>Trade Date</v>
      </c>
      <c r="CE5" s="30" t="str">
        <f>IFERROR(__xludf.DUMMYFUNCTION("""COMPUTED_VALUE"""),"Trading Account")</f>
        <v>Trading Account</v>
      </c>
      <c r="CF5" s="30" t="str">
        <f>IFERROR(__xludf.DUMMYFUNCTION("""COMPUTED_VALUE"""),"Transaction Levy")</f>
        <v>Transaction Levy</v>
      </c>
      <c r="CG5" s="30" t="str">
        <f>IFERROR(__xludf.DUMMYFUNCTION("""COMPUTED_VALUE"""),"Transaction Source")</f>
        <v>Transaction Source</v>
      </c>
      <c r="CH5" s="30" t="str">
        <f>IFERROR(__xludf.DUMMYFUNCTION("""COMPUTED_VALUE"""),"Transaction Type")</f>
        <v>Transaction Type</v>
      </c>
      <c r="CI5" s="30" t="str">
        <f>IFERROR(__xludf.DUMMYFUNCTION("""COMPUTED_VALUE"""),"UnAllocatedQty")</f>
        <v>UnAllocatedQty</v>
      </c>
      <c r="CJ5" s="30" t="str">
        <f>IFERROR(__xludf.DUMMYFUNCTION("""COMPUTED_VALUE"""),"Underlying")</f>
        <v>Underlying</v>
      </c>
      <c r="CK5" s="30" t="str">
        <f>IFERROR(__xludf.DUMMYFUNCTION("""COMPUTED_VALUE"""),"Underlying Delta")</f>
        <v>Underlying Delta</v>
      </c>
      <c r="CL5" s="30" t="str">
        <f>IFERROR(__xludf.DUMMYFUNCTION("""COMPUTED_VALUE"""),"Underlying Symbol")</f>
        <v>Underlying Symbol</v>
      </c>
      <c r="CM5" s="30" t="str">
        <f>IFERROR(__xludf.DUMMYFUNCTION("""COMPUTED_VALUE"""),"User")</f>
        <v>User</v>
      </c>
      <c r="CN5" s="30" t="str">
        <f>IFERROR(__xludf.DUMMYFUNCTION("""COMPUTED_VALUE"""),"Venue")</f>
        <v>Venue</v>
      </c>
      <c r="CO5" s="30" t="str">
        <f>IFERROR(__xludf.DUMMYFUNCTION("""COMPUTED_VALUE"""),"Closing Date")</f>
        <v>Closing Date</v>
      </c>
      <c r="CP5" s="30" t="str">
        <f>IFERROR(__xludf.DUMMYFUNCTION("""COMPUTED_VALUE"""),"Expiration Date")</f>
        <v>Expiration Date</v>
      </c>
      <c r="CQ5" s="30" t="str">
        <f>IFERROR(__xludf.DUMMYFUNCTION("""COMPUTED_VALUE"""),"Master Fund")</f>
        <v>Master Fund</v>
      </c>
      <c r="CR5" s="30" t="str">
        <f>IFERROR(__xludf.DUMMYFUNCTION("""COMPUTED_VALUE"""),"Borrow Broker")</f>
        <v>Borrow Broker</v>
      </c>
      <c r="CS5" s="30" t="str">
        <f>IFERROR(__xludf.DUMMYFUNCTION("""COMPUTED_VALUE"""),"MandatoryColumn")</f>
        <v>MandatoryColumn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>
        <v>0.0</v>
      </c>
      <c r="D6" s="39">
        <v>0.0</v>
      </c>
      <c r="E6" s="8"/>
      <c r="F6" s="8" t="s">
        <v>32</v>
      </c>
      <c r="G6" s="8">
        <v>4.0</v>
      </c>
      <c r="H6" s="8">
        <v>5.0</v>
      </c>
      <c r="I6" s="8">
        <v>1.0</v>
      </c>
      <c r="J6" s="8">
        <v>10.0</v>
      </c>
      <c r="K6" s="8">
        <v>10.0</v>
      </c>
      <c r="L6" s="8" t="s">
        <v>33</v>
      </c>
      <c r="M6" s="8"/>
      <c r="N6" s="13" t="s">
        <v>34</v>
      </c>
      <c r="O6" s="8"/>
      <c r="P6" s="36">
        <v>3.0</v>
      </c>
      <c r="Q6" s="36">
        <v>0.0</v>
      </c>
      <c r="S6" s="33" t="s">
        <v>44</v>
      </c>
      <c r="T6" s="37">
        <v>300.0</v>
      </c>
      <c r="U6" s="37">
        <v>10.0</v>
      </c>
      <c r="V6" s="35"/>
      <c r="Z6" s="9" t="s">
        <v>35</v>
      </c>
      <c r="AD6" t="s">
        <v>40</v>
      </c>
      <c r="AE6">
        <v>30.0</v>
      </c>
      <c r="AG6" t="s">
        <v>36</v>
      </c>
      <c r="AH6">
        <v>1.0</v>
      </c>
      <c r="AI6" t="s">
        <v>55</v>
      </c>
      <c r="AP6" t="b">
        <v>1</v>
      </c>
      <c r="AQ6" t="b">
        <v>0</v>
      </c>
      <c r="AR6" t="b">
        <v>0</v>
      </c>
      <c r="AT6">
        <v>614.0002</v>
      </c>
      <c r="AU6">
        <v>614.0002</v>
      </c>
      <c r="AW6">
        <v>0.0</v>
      </c>
      <c r="AY6" t="s">
        <v>37</v>
      </c>
      <c r="AZ6">
        <v>0.0</v>
      </c>
      <c r="BC6">
        <v>0.0</v>
      </c>
      <c r="BE6">
        <v>300.0</v>
      </c>
      <c r="BF6">
        <v>300.0</v>
      </c>
      <c r="BJ6">
        <v>100.0</v>
      </c>
      <c r="BK6">
        <v>0.0</v>
      </c>
      <c r="BL6" t="s">
        <v>43</v>
      </c>
      <c r="BM6" t="s">
        <v>35</v>
      </c>
      <c r="BO6" t="s">
        <v>23</v>
      </c>
      <c r="BP6">
        <v>0.0</v>
      </c>
      <c r="BQ6">
        <v>0.0</v>
      </c>
      <c r="BS6" s="9" t="s">
        <v>27</v>
      </c>
      <c r="CE6" t="s">
        <v>53</v>
      </c>
      <c r="CF6">
        <v>2.0</v>
      </c>
      <c r="CG6" t="s">
        <v>20</v>
      </c>
      <c r="CH6" t="s">
        <v>23</v>
      </c>
      <c r="CI6">
        <v>30.0</v>
      </c>
      <c r="CJ6" t="s">
        <v>38</v>
      </c>
      <c r="CK6">
        <v>1.0</v>
      </c>
      <c r="CL6" t="s">
        <v>27</v>
      </c>
      <c r="CM6" t="s">
        <v>39</v>
      </c>
      <c r="CN6" t="s">
        <v>40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CheckUnallocatedGroups3!$4:$4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6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 t="str">
        <f>IFERROR(__xludf.DUMMYFUNCTION("""COMPUTED_VALUE"""),"Testing Type")</f>
        <v>Testing Type</v>
      </c>
      <c r="DA5" s="30" t="str">
        <f>IFERROR(__xludf.DUMMYFUNCTION("""COMPUTED_VALUE"""),"Testing Column")</f>
        <v>Testing Column</v>
      </c>
      <c r="DB5" s="30" t="str">
        <f>IFERROR(__xludf.DUMMYFUNCTION("""COMPUTED_VALUE"""),"Testing Col Value")</f>
        <v>Testing Col Value</v>
      </c>
      <c r="DC5" s="30" t="str">
        <f>IFERROR(__xludf.DUMMYFUNCTION("""COMPUTED_VALUE"""),"DuplicateRow")</f>
        <v>DuplicateRow</v>
      </c>
      <c r="DD5" s="30" t="str">
        <f>IFERROR(__xludf.DUMMYFUNCTION("""COMPUTED_VALUE"""),"DuplicateCountOnUI")</f>
        <v>DuplicateCountOnUI</v>
      </c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</row>
    <row r="6" ht="15.75" customHeight="1">
      <c r="A6" s="13"/>
      <c r="B6" s="39" t="s">
        <v>58</v>
      </c>
      <c r="C6" s="8" t="s">
        <v>43</v>
      </c>
      <c r="D6" s="39">
        <v>0.0</v>
      </c>
      <c r="E6" s="8">
        <v>30.0</v>
      </c>
      <c r="F6" s="8" t="s">
        <v>61</v>
      </c>
      <c r="G6" s="8" t="s">
        <v>32</v>
      </c>
      <c r="H6" s="8">
        <v>4.0</v>
      </c>
      <c r="I6" s="8">
        <v>5.0</v>
      </c>
      <c r="J6" s="8">
        <v>1.0</v>
      </c>
      <c r="K6" s="8">
        <v>10.0</v>
      </c>
      <c r="L6" s="8">
        <v>10.0</v>
      </c>
      <c r="M6" s="8" t="s">
        <v>54</v>
      </c>
      <c r="N6" s="8" t="s">
        <v>43</v>
      </c>
      <c r="O6" s="8" t="s">
        <v>34</v>
      </c>
      <c r="Q6">
        <v>3.0</v>
      </c>
      <c r="R6">
        <v>0.0</v>
      </c>
      <c r="S6" t="s">
        <v>44</v>
      </c>
      <c r="T6">
        <v>300.0</v>
      </c>
      <c r="U6">
        <v>10.0</v>
      </c>
      <c r="V6" t="s">
        <v>45</v>
      </c>
      <c r="W6">
        <v>1.0</v>
      </c>
      <c r="X6" t="s">
        <v>43</v>
      </c>
      <c r="Y6" t="s">
        <v>43</v>
      </c>
      <c r="Z6" t="s">
        <v>35</v>
      </c>
      <c r="AA6" t="s">
        <v>22</v>
      </c>
      <c r="AB6">
        <v>1.0</v>
      </c>
      <c r="AD6" t="s">
        <v>40</v>
      </c>
      <c r="AE6">
        <v>30.0</v>
      </c>
      <c r="AF6" t="s">
        <v>43</v>
      </c>
      <c r="AH6" t="s">
        <v>36</v>
      </c>
      <c r="AI6">
        <v>1.0</v>
      </c>
      <c r="AJ6" t="s">
        <v>55</v>
      </c>
      <c r="AN6" t="b">
        <v>0</v>
      </c>
      <c r="AP6" t="b">
        <v>1</v>
      </c>
      <c r="AQ6" t="b">
        <v>0</v>
      </c>
      <c r="AR6" t="b">
        <v>1</v>
      </c>
      <c r="AT6">
        <v>614.0002</v>
      </c>
      <c r="AU6">
        <v>614.0002</v>
      </c>
      <c r="AW6">
        <v>0.0</v>
      </c>
      <c r="AX6">
        <v>0.0</v>
      </c>
      <c r="AY6" t="s">
        <v>37</v>
      </c>
      <c r="AZ6">
        <v>0.0</v>
      </c>
      <c r="BC6">
        <v>0.0</v>
      </c>
      <c r="BD6" t="s">
        <v>65</v>
      </c>
      <c r="BE6">
        <v>300.0</v>
      </c>
      <c r="BF6">
        <v>300.0</v>
      </c>
      <c r="BJ6">
        <v>100.0</v>
      </c>
      <c r="BK6">
        <v>0.0</v>
      </c>
      <c r="BL6" t="s">
        <v>43</v>
      </c>
      <c r="BM6" t="s">
        <v>35</v>
      </c>
      <c r="BO6" t="s">
        <v>23</v>
      </c>
      <c r="BP6">
        <v>0.0</v>
      </c>
      <c r="BQ6">
        <v>0.0</v>
      </c>
      <c r="BS6" t="s">
        <v>46</v>
      </c>
      <c r="BT6" t="s">
        <v>22</v>
      </c>
      <c r="BU6">
        <v>3.0</v>
      </c>
      <c r="BV6">
        <v>300.0</v>
      </c>
      <c r="BX6">
        <v>10.0</v>
      </c>
      <c r="CG6">
        <v>2.0</v>
      </c>
      <c r="CH6" t="s">
        <v>20</v>
      </c>
      <c r="CI6" t="s">
        <v>23</v>
      </c>
      <c r="CJ6">
        <v>0.0</v>
      </c>
      <c r="CK6" t="s">
        <v>38</v>
      </c>
      <c r="CL6">
        <v>1.0</v>
      </c>
      <c r="CM6" t="s">
        <v>22</v>
      </c>
      <c r="CN6" t="s">
        <v>39</v>
      </c>
      <c r="CO6" t="s">
        <v>40</v>
      </c>
      <c r="CP6" t="s">
        <v>47</v>
      </c>
      <c r="CS6" t="s">
        <v>43</v>
      </c>
      <c r="CU6" t="s">
        <v>43</v>
      </c>
      <c r="CV6" t="s">
        <v>43</v>
      </c>
      <c r="CW6" t="s">
        <v>43</v>
      </c>
      <c r="CX6" t="s">
        <v>43</v>
      </c>
      <c r="CY6" t="s">
        <v>43</v>
      </c>
      <c r="CZ6" t="s">
        <v>43</v>
      </c>
      <c r="DA6" t="s">
        <v>43</v>
      </c>
      <c r="DB6" t="s">
        <v>43</v>
      </c>
      <c r="DC6" t="s">
        <v>43</v>
      </c>
      <c r="DD6" t="s">
        <v>43</v>
      </c>
      <c r="DE6" t="s">
        <v>43</v>
      </c>
      <c r="DF6" t="s">
        <v>43</v>
      </c>
      <c r="DG6" t="s">
        <v>43</v>
      </c>
      <c r="DH6" t="s">
        <v>43</v>
      </c>
      <c r="DI6" t="s">
        <v>43</v>
      </c>
      <c r="DJ6" t="s">
        <v>43</v>
      </c>
      <c r="DK6" t="s">
        <v>43</v>
      </c>
      <c r="DL6" t="s">
        <v>43</v>
      </c>
      <c r="DM6" t="s">
        <v>43</v>
      </c>
      <c r="DN6" t="s">
        <v>43</v>
      </c>
      <c r="DO6" t="s">
        <v>43</v>
      </c>
      <c r="DP6" t="s">
        <v>43</v>
      </c>
      <c r="DQ6" t="s">
        <v>43</v>
      </c>
      <c r="DR6" t="s">
        <v>43</v>
      </c>
      <c r="DS6" t="s">
        <v>43</v>
      </c>
      <c r="DT6" t="s">
        <v>43</v>
      </c>
      <c r="DU6" t="s">
        <v>43</v>
      </c>
      <c r="DV6" t="s">
        <v>43</v>
      </c>
      <c r="DW6" t="s">
        <v>43</v>
      </c>
      <c r="DX6" t="s">
        <v>43</v>
      </c>
      <c r="DY6" t="s">
        <v>43</v>
      </c>
      <c r="DZ6" t="s">
        <v>43</v>
      </c>
      <c r="EA6" t="s">
        <v>43</v>
      </c>
      <c r="EB6" t="s">
        <v>43</v>
      </c>
      <c r="EC6" t="s">
        <v>43</v>
      </c>
      <c r="ED6" t="s">
        <v>43</v>
      </c>
      <c r="EE6" t="s">
        <v>43</v>
      </c>
      <c r="EF6" t="s">
        <v>43</v>
      </c>
      <c r="EG6" t="s">
        <v>43</v>
      </c>
      <c r="EH6" t="s">
        <v>43</v>
      </c>
      <c r="EI6" t="s">
        <v>43</v>
      </c>
      <c r="EJ6" t="s">
        <v>43</v>
      </c>
      <c r="EK6" t="s">
        <v>43</v>
      </c>
      <c r="EL6" t="s">
        <v>43</v>
      </c>
      <c r="EM6" t="s">
        <v>43</v>
      </c>
      <c r="EN6" t="s">
        <v>43</v>
      </c>
      <c r="EO6" t="s">
        <v>43</v>
      </c>
      <c r="EP6" t="s">
        <v>43</v>
      </c>
      <c r="EQ6" t="s">
        <v>43</v>
      </c>
      <c r="ER6" t="s">
        <v>43</v>
      </c>
      <c r="ES6" t="s">
        <v>43</v>
      </c>
      <c r="ET6" t="s">
        <v>43</v>
      </c>
      <c r="EU6" t="s">
        <v>43</v>
      </c>
      <c r="EV6" t="s">
        <v>43</v>
      </c>
      <c r="EW6" t="s">
        <v>43</v>
      </c>
      <c r="EX6" t="s">
        <v>43</v>
      </c>
      <c r="EY6" t="s">
        <v>43</v>
      </c>
      <c r="EZ6" t="s">
        <v>43</v>
      </c>
      <c r="FA6" t="s">
        <v>43</v>
      </c>
      <c r="FB6" t="s">
        <v>43</v>
      </c>
      <c r="FC6" t="s">
        <v>43</v>
      </c>
      <c r="FD6" t="s">
        <v>43</v>
      </c>
      <c r="FE6" t="s">
        <v>43</v>
      </c>
      <c r="FF6" t="s">
        <v>43</v>
      </c>
      <c r="FG6" t="s">
        <v>43</v>
      </c>
      <c r="FH6" t="s">
        <v>43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