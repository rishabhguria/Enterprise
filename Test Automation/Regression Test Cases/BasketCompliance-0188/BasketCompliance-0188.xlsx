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ComplianceAlert" sheetId="4" r:id="rId6"/>
    <sheet state="visible" name="RestartReleasesAndServices" sheetId="5" r:id="rId7"/>
    <sheet state="visible" name="CreateDoneAwayOrder" sheetId="6" r:id="rId8"/>
    <sheet state="visible" name="PricingInput" sheetId="7" r:id="rId9"/>
    <sheet state="visible" name="GetForexConversion" sheetId="8" r:id="rId10"/>
    <sheet state="visible" name="UpdateForexConversion" sheetId="9" r:id="rId11"/>
    <sheet state="visible" name="GetDailyCash" sheetId="10" r:id="rId12"/>
    <sheet state="visible" name="UpdateMultipleDailyCash" sheetId="11" r:id="rId13"/>
    <sheet state="visible" name="FetchAccountPositions" sheetId="12" r:id="rId14"/>
    <sheet state="visible" name="AddCash" sheetId="13" r:id="rId15"/>
    <sheet state="visible" name="RunRebalance" sheetId="14" r:id="rId16"/>
    <sheet state="visible" name="CheckBasketCompliance" sheetId="15" r:id="rId17"/>
    <sheet state="visible" name="SendToStagingExport" sheetId="16" r:id="rId18"/>
    <sheet state="visible" name="SelectTradeOnOrderGrid" sheetId="17" r:id="rId19"/>
    <sheet state="visible" name="EditOrder" sheetId="18" r:id="rId20"/>
    <sheet state="visible" name="CreateComplianceOrder" sheetId="19" r:id="rId21"/>
    <sheet state="visible" name="VerifyComplianceOrder" sheetId="20" r:id="rId22"/>
  </sheets>
  <definedNames/>
  <calcPr/>
</workbook>
</file>

<file path=xl/sharedStrings.xml><?xml version="1.0" encoding="utf-8"?>
<sst xmlns="http://schemas.openxmlformats.org/spreadsheetml/2006/main" count="242" uniqueCount="67">
  <si>
    <t>Modules Info</t>
  </si>
  <si>
    <t>Modules</t>
  </si>
  <si>
    <t>Settings</t>
  </si>
  <si>
    <t>Module Step Setting File</t>
  </si>
  <si>
    <t>1-a9RTtZFODC_0n05aHtOszVfQ5dKJ7YpSep0EGjlOR8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</si>
  <si>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</si>
  <si>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</si>
  <si>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</si>
  <si>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</si>
  <si>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</si>
  <si>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</si>
  <si>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</si>
  <si>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</si>
  <si>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SetComplianceAlert</t>
  </si>
  <si>
    <t>Data Format</t>
  </si>
  <si>
    <t>Input Format</t>
  </si>
  <si>
    <t>Compliance</t>
  </si>
  <si>
    <t>RestartReleasesAndServices</t>
  </si>
  <si>
    <t>YES</t>
  </si>
  <si>
    <t>TradingTicket</t>
  </si>
  <si>
    <t>CreateDoneAwayOrder</t>
  </si>
  <si>
    <t>FRU-TC</t>
  </si>
  <si>
    <t>Buy</t>
  </si>
  <si>
    <t>Allocation1</t>
  </si>
  <si>
    <t>Yes</t>
  </si>
  <si>
    <t>IBM</t>
  </si>
  <si>
    <t>O:COP 14O62.50</t>
  </si>
  <si>
    <t>Buy to Open</t>
  </si>
  <si>
    <t>ES U2</t>
  </si>
  <si>
    <t>DBLSX</t>
  </si>
  <si>
    <t>Allocation2</t>
  </si>
  <si>
    <t>PricingInput</t>
  </si>
  <si>
    <t>COP</t>
  </si>
  <si>
    <t>DailyValuation</t>
  </si>
  <si>
    <t>GetForexConversion</t>
  </si>
  <si>
    <t>UpdateForexConversion</t>
  </si>
  <si>
    <t>USD</t>
  </si>
  <si>
    <t>CAD</t>
  </si>
  <si>
    <t>CAD AO-FX</t>
  </si>
  <si>
    <t>GetDailyCash</t>
  </si>
  <si>
    <t>UpdateMultipleDailyCash</t>
  </si>
  <si>
    <t>Rebalancer</t>
  </si>
  <si>
    <t>FetchAccountPositions</t>
  </si>
  <si>
    <t>Real-Time Positions</t>
  </si>
  <si>
    <t>Account</t>
  </si>
  <si>
    <t>Positions</t>
  </si>
  <si>
    <t>AddCash</t>
  </si>
  <si>
    <t>Impact NAV</t>
  </si>
  <si>
    <t>None</t>
  </si>
  <si>
    <t>RunRebalance</t>
  </si>
  <si>
    <t>Nearest Round Off</t>
  </si>
  <si>
    <t>CheckBasketCompliance</t>
  </si>
  <si>
    <t>Soft</t>
  </si>
  <si>
    <t>Global_GMV</t>
  </si>
  <si>
    <t>Enter Summary</t>
  </si>
  <si>
    <t>Global</t>
  </si>
  <si>
    <t>percentGrossMarketValueGlobal: 0.5387</t>
  </si>
  <si>
    <t>SendToStagingExport</t>
  </si>
  <si>
    <t>Blotter</t>
  </si>
  <si>
    <t>SelectTradeOnOrderGrid</t>
  </si>
  <si>
    <t>New</t>
  </si>
  <si>
    <t>MS</t>
  </si>
  <si>
    <t>EditOrder</t>
  </si>
  <si>
    <t>CreateComplianceOrder</t>
  </si>
  <si>
    <t>Replace</t>
  </si>
  <si>
    <t>VerifyComplianceOrder</t>
  </si>
  <si>
    <t>percentGrossMarketValueGlobal: 0.5467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</si>
</sst>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8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Arial"/>
    </font>
    <font>
      <sz val="9.0"/>
      <color rgb="FFFFFFFF"/>
      <name val="&quot;Segoe UI&quot;"/>
    </font>
    <font>
      <sz val="9.0"/>
      <color rgb="FF000000"/>
      <name val="&quot;Segoe UI&quot;"/>
    </font>
    <font>
      <sz val="11.0"/>
      <color rgb="FF000000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  <fill>
      <patternFill patternType="solid">
        <fgColor rgb="FF689C2E"/>
        <bgColor rgb="FF689C2E"/>
      </patternFill>
    </fill>
    <fill>
      <patternFill patternType="solid">
        <fgColor rgb="FFCBD6E0"/>
        <bgColor rgb="FFCBD6E0"/>
      </patternFill>
    </fill>
  </fills>
  <borders count="11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535353"/>
      </right>
    </border>
    <border>
      <right style="thin">
        <color rgb="FF535353"/>
      </right>
      <top style="thin">
        <color rgb="FF535353"/>
      </top>
      <bottom style="thin">
        <color rgb="FF535353"/>
      </bottom>
    </border>
    <border>
      <top style="thin">
        <color rgb="FF535353"/>
      </top>
      <bottom style="thin">
        <color rgb="FF535353"/>
      </bottom>
    </border>
  </borders>
  <cellStyleXfs count="1">
    <xf borderId="0" fillId="0" fontId="0" numFmtId="0" applyAlignment="1" applyFont="1"/>
  </cellStyleXfs>
  <cellXfs count="6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5" numFmtId="14" xfId="0" applyAlignment="1" applyFont="1" applyNumberFormat="1">
      <alignment horizontal="right" vertical="bottom"/>
    </xf>
    <xf borderId="0" fillId="0" fontId="5" numFmtId="0" xfId="0" applyAlignment="1" applyFont="1">
      <alignment vertical="bottom"/>
    </xf>
    <xf borderId="5" fillId="0" fontId="5" numFmtId="14" xfId="0" applyAlignment="1" applyBorder="1" applyFont="1" applyNumberFormat="1">
      <alignment horizontal="right" vertical="bottom"/>
    </xf>
    <xf borderId="6" fillId="0" fontId="5" numFmtId="14" xfId="0" applyAlignment="1" applyBorder="1" applyFont="1" applyNumberFormat="1">
      <alignment horizontal="right" vertical="bottom"/>
    </xf>
    <xf borderId="0" fillId="6" fontId="14" numFmtId="0" xfId="0" applyAlignment="1" applyFill="1" applyFont="1">
      <alignment horizontal="right" vertical="bottom"/>
    </xf>
    <xf borderId="6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6" fillId="0" fontId="5" numFmtId="0" xfId="0" applyAlignment="1" applyBorder="1" applyFont="1">
      <alignment horizontal="right" vertical="bottom"/>
    </xf>
    <xf borderId="7" fillId="0" fontId="5" numFmtId="0" xfId="0" applyAlignment="1" applyBorder="1" applyFont="1">
      <alignment shrinkToFit="0" vertical="bottom" wrapText="0"/>
    </xf>
    <xf borderId="8" fillId="0" fontId="3" numFmtId="0" xfId="0" applyAlignment="1" applyBorder="1" applyFont="1">
      <alignment vertical="bottom"/>
    </xf>
    <xf borderId="9" fillId="7" fontId="15" numFmtId="0" xfId="0" applyAlignment="1" applyBorder="1" applyFill="1" applyFont="1">
      <alignment vertical="top"/>
    </xf>
    <xf borderId="9" fillId="8" fontId="16" numFmtId="0" xfId="0" applyAlignment="1" applyBorder="1" applyFill="1" applyFont="1">
      <alignment vertical="top"/>
    </xf>
    <xf borderId="9" fillId="8" fontId="16" numFmtId="0" xfId="0" applyAlignment="1" applyBorder="1" applyFont="1">
      <alignment vertical="top"/>
    </xf>
    <xf borderId="10" fillId="8" fontId="16" numFmtId="0" xfId="0" applyAlignment="1" applyBorder="1" applyFont="1">
      <alignment shrinkToFit="0" vertical="top" wrapText="0"/>
    </xf>
    <xf borderId="9" fillId="8" fontId="3" numFmtId="0" xfId="0" applyAlignment="1" applyBorder="1" applyFont="1">
      <alignment vertical="top"/>
    </xf>
    <xf borderId="0" fillId="0" fontId="17" numFmtId="0" xfId="0" applyAlignment="1" applyFont="1">
      <alignment vertical="bottom"/>
    </xf>
    <xf borderId="0" fillId="0" fontId="17" numFmtId="0" xfId="0" applyAlignment="1" applyFont="1">
      <alignment vertical="bottom"/>
    </xf>
    <xf borderId="0" fillId="0" fontId="17" numFmtId="0" xfId="0" applyAlignment="1" applyFont="1">
      <alignment horizontal="right" vertical="bottom"/>
    </xf>
    <xf borderId="0" fillId="0" fontId="17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22" Type="http://schemas.openxmlformats.org/officeDocument/2006/relationships/worksheet" Target="worksheets/sheet20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IFERROR(__xludf.DUMMYFUNCTION("""COMPUTED_VALUE"""),"1Vq83gkZMMI1Nno_if1flIxv0iKrih-ths4OzYTya63g")</f>
        <v>1Vq83gkZMMI1Nno_if1flIxv0iKrih-ths4OzYTya63g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IFERROR(__xludf.DUMMYFUNCTION("""COMPUTED_VALUE"""),"1abQG9opjIiMJB8svr0o-Eb_RJr16g0niK_nuaKS7qpc")</f>
        <v>1abQG9opjIiMJB8svr0o-Eb_RJr16g0niK_nuaKS7qpc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IFERROR(__xludf.DUMMYFUNCTION("""COMPUTED_VALUE"""),"16vGHPpbvjKADI0ELsUMnsil9L4zXpQewyXXpGOR50e4")</f>
        <v>16vGHPpbvjKADI0ELsUMnsil9L4zXpQewyXXpGOR50e4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IFERROR(__xludf.DUMMYFUNCTION("""COMPUTED_VALUE"""),"1wm4OFdbzRVpfMu1QiZ75_PnC_AYuu9gYEOCRj5nxWrM")</f>
        <v>1wm4OFdbzRVpfMu1QiZ75_PnC_AYuu9gYEOCRj5nxWrM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IFERROR(__xludf.DUMMYFUNCTION("""COMPUTED_VALUE"""),"Closing")</f>
        <v>Closing</v>
      </c>
      <c r="B642" t="str">
        <f>IFERROR(__xludf.DUMMYFUNCTION("""COMPUTED_VALUE"""),"SelectCreateTransactions")</f>
        <v>SelectCreateTransactions</v>
      </c>
      <c r="C642" t="str">
        <f>IFERROR(__xludf.DUMMYFUNCTION("""COMPUTED_VALUE"""),"1H_lhrQblpnlyHkVDOXbhIVIhZoC9lIB9uTE29zuQhrM")</f>
        <v>1H_lhrQblpnlyHkVDOXbhIVIhZoC9lIB9uTE29zuQhrM</v>
      </c>
    </row>
    <row r="643" ht="15.75" customHeight="1">
      <c r="A643" t="str">
        <f>IFERROR(__xludf.DUMMYFUNCTION("""COMPUTED_VALUE"""),"Closing")</f>
        <v>Closing</v>
      </c>
      <c r="B643" t="str">
        <f>IFERROR(__xludf.DUMMYFUNCTION("""COMPUTED_VALUE"""),"EditClosingTransactions")</f>
        <v>EditClosingTransactions</v>
      </c>
      <c r="C643" t="str">
        <f>IFERROR(__xludf.DUMMYFUNCTION("""COMPUTED_VALUE"""),"15009hbvBY1YaqNloK72CjyPdL0kMpnEYl2EFB4TUG6g")</f>
        <v>15009hbvBY1YaqNloK72CjyPdL0kMpnEYl2EFB4TUG6g</v>
      </c>
    </row>
    <row r="644" ht="15.75" customHeight="1">
      <c r="A644" t="str">
        <f>IFERROR(__xludf.DUMMYFUNCTION("""COMPUTED_VALUE"""),"Admin")</f>
        <v>Admin</v>
      </c>
      <c r="B644" t="str">
        <f>IFERROR(__xludf.DUMMYFUNCTION("""COMPUTED_VALUE"""),"SetAllocationPreferences")</f>
        <v>SetAllocationPreferences</v>
      </c>
      <c r="C644" t="str">
        <f>IFERROR(__xludf.DUMMYFUNCTION("""COMPUTED_VALUE"""),"16PO4KGgITIDM3iQzFlyKHfXPBXba023pXOJQCBN_Elc")</f>
        <v>16PO4KGgITIDM3iQzFlyKHfXPBXba023pXOJQCBN_Elc</v>
      </c>
    </row>
    <row r="645" ht="15.75" customHeight="1">
      <c r="A645" t="str">
        <f>IFERROR(__xludf.DUMMYFUNCTION("""COMPUTED_VALUE"""),"Closing")</f>
        <v>Closing</v>
      </c>
      <c r="B645" t="str">
        <f>IFERROR(__xludf.DUMMYFUNCTION("""COMPUTED_VALUE"""),"AddDuplicateRow")</f>
        <v>AddDuplicateRow</v>
      </c>
      <c r="C645" t="str">
        <f>IFERROR(__xludf.DUMMYFUNCTION("""COMPUTED_VALUE"""),"Undefined")</f>
        <v>Undefined</v>
      </c>
    </row>
    <row r="646" ht="15.75" customHeight="1">
      <c r="A646" t="str">
        <f>IFERROR(__xludf.DUMMYFUNCTION("""COMPUTED_VALUE"""),"TradeServer")</f>
        <v>TradeServer</v>
      </c>
      <c r="B646" t="str">
        <f>IFERROR(__xludf.DUMMYFUNCTION("""COMPUTED_VALUE"""),"ConnectToSimAutoMan")</f>
        <v>ConnectToSimAutoMan</v>
      </c>
      <c r="C646" t="str">
        <f>IFERROR(__xludf.DUMMYFUNCTION("""COMPUTED_VALUE"""),"13IX3MrLRTuTJsyg3JaQ71o5MoHPrX4JeQ5EXnHjhkH8")</f>
        <v>13IX3MrLRTuTJsyg3JaQ71o5MoHPrX4JeQ5EXnHjhkH8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IFERROR(__xludf.DUMMYFUNCTION("""COMPUTED_VALUE"""),"NavImpactingComponent")</f>
        <v>NavImpactingComponent</v>
      </c>
      <c r="C647" t="str">
        <f>IFERROR(__xludf.DUMMYFUNCTION("""COMPUTED_VALUE"""),"1h8uyOI4WaUZMlwJvQlp6cezgxjyJ2SLa2OEiG81xpGE")</f>
        <v>1h8uyOI4WaUZMlwJvQlp6cezgxjyJ2SLa2OEiG81xpGE</v>
      </c>
    </row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 t="str">
        <f>IFERROR(__xludf.DUMMYFUNCTION("""COMPUTED_VALUE"""),"SetAllocationPreferences")</f>
        <v>SetAllocationPreferences</v>
      </c>
      <c r="AB4" s="26" t="str">
        <f>IFERROR(__xludf.DUMMYFUNCTION("""COMPUTED_VALUE"""),"SetMasterFundOnTT")</f>
        <v>SetMasterFundOnTT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IFERROR(__xludf.DUMMYFUNCTION("""COMPUTED_VALUE"""),"ImportExportPath")</f>
        <v>ImportExportPath</v>
      </c>
      <c r="C5" s="28" t="str">
        <f>IFERROR(__xludf.DUMMYFUNCTION("""COMPUTED_VALUE"""),"PrePostCrossImport")</f>
        <v>PrePostCrossImport</v>
      </c>
      <c r="D5" s="28" t="str">
        <f>IFERROR(__xludf.DUMMYFUNCTION("""COMPUTED_VALUE"""),"InMarket")</f>
        <v>InMarket</v>
      </c>
      <c r="E5" s="28" t="str">
        <f>IFERROR(__xludf.DUMMYFUNCTION("""COMPUTED_VALUE"""),"InStage")</f>
        <v>InStage</v>
      </c>
      <c r="F5" s="29" t="str">
        <f>IFERROR(__xludf.DUMMYFUNCTION("""COMPUTED_VALUE"""),"PostInMarket")</f>
        <v>PostInMarket</v>
      </c>
      <c r="G5" s="28" t="str">
        <f>IFERROR(__xludf.DUMMYFUNCTION("""COMPUTED_VALUE"""),"PostInStage")</f>
        <v>PostInStage</v>
      </c>
      <c r="H5" s="28" t="str">
        <f>IFERROR(__xludf.DUMMYFUNCTION("""COMPUTED_VALUE"""),"BlockTradeOnComplianceFaliure")</f>
        <v>BlockTradeOnComplianceFaliure</v>
      </c>
      <c r="I5" s="28" t="str">
        <f>IFERROR(__xludf.DUMMYFUNCTION("""COMPUTED_VALUE"""),"StageValueFromField")</f>
        <v>StageValueFromField</v>
      </c>
      <c r="J5" s="28" t="str">
        <f>IFERROR(__xludf.DUMMYFUNCTION("""COMPUTED_VALUE"""),"StageValueFromFieldString")</f>
        <v>StageValueFromFieldString</v>
      </c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3" t="b">
        <v>1</v>
      </c>
      <c r="E6" s="34" t="b">
        <v>0</v>
      </c>
      <c r="F6" s="34" t="b">
        <v>0</v>
      </c>
      <c r="G6" s="34" t="b">
        <v>0</v>
      </c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SetComplianceAlert!$4:$4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IFERROR(__xludf.DUMMYFUNCTION("IF(C3="""","""",Transpose(IMPORTRANGE('_Settings'!$B$3,C3&amp;""!A4:A1000"")))"),"RestartReleasesAndServices")</f>
        <v>RestartReleasesAndServices</v>
      </c>
      <c r="C4" s="25" t="str">
        <f>IFERROR(__xludf.DUMMYFUNCTION("""COMPUTED_VALUE"""),"ReplaceInterceptorFile")</f>
        <v>ReplaceInterceptorFile</v>
      </c>
      <c r="D4" s="25" t="str">
        <f>IFERROR(__xludf.DUMMYFUNCTION("""COMPUTED_VALUE"""),"EditInterceptorFile")</f>
        <v>EditInterceptorFile</v>
      </c>
      <c r="E4" s="25" t="str">
        <f>IFERROR(__xludf.DUMMYFUNCTION("""COMPUTED_VALUE"""),"VerifyAlertHistory")</f>
        <v>VerifyAlertHistory</v>
      </c>
      <c r="F4" s="25" t="str">
        <f>IFERROR(__xludf.DUMMYFUNCTION("""COMPUTED_VALUE"""),"ApproveorRejectpendingapproval")</f>
        <v>ApproveorRejectpendingapproval</v>
      </c>
      <c r="G4" s="25" t="str">
        <f>IFERROR(__xludf.DUMMYFUNCTION("""COMPUTED_VALUE"""),"VerifyAggAccountSymbolWithNav")</f>
        <v>VerifyAggAccountSymbolWithNav</v>
      </c>
      <c r="H4" s="25" t="str">
        <f>IFERROR(__xludf.DUMMYFUNCTION("""COMPUTED_VALUE"""),"RestartRuleMediator")</f>
        <v>RestartRuleMediator</v>
      </c>
      <c r="I4" s="25" t="str">
        <f>IFERROR(__xludf.DUMMYFUNCTION("""COMPUTED_VALUE"""),"VerifyMasterFundSymbolDivisorWindow")</f>
        <v>VerifyMasterFundSymbolDivisorWindow</v>
      </c>
      <c r="J4" s="25" t="str">
        <f>IFERROR(__xludf.DUMMYFUNCTION("""COMPUTED_VALUE"""),"VerifyMasterFundDivisorWindow")</f>
        <v>VerifyMasterFundDivisorWindow</v>
      </c>
      <c r="K4" s="25" t="str">
        <f>IFERROR(__xludf.DUMMYFUNCTION("""COMPUTED_VALUE"""),"VerifyGlobalDivisorWindow")</f>
        <v>VerifyGlobalDivisorWindow</v>
      </c>
      <c r="L4" s="25" t="str">
        <f>IFERROR(__xludf.DUMMYFUNCTION("""COMPUTED_VALUE"""),"VerifyAccrualForAccountWindow")</f>
        <v>VerifyAccrualForAccountWindow</v>
      </c>
      <c r="M4" s="25" t="str">
        <f>IFERROR(__xludf.DUMMYFUNCTION("""COMPUTED_VALUE"""),"VerifyGlobalDivisorWindow")</f>
        <v>VerifyGlobalDivisorWindow</v>
      </c>
      <c r="N4" s="25" t="str">
        <f>IFERROR(__xludf.DUMMYFUNCTION("""COMPUTED_VALUE"""),"VerifyAggregationGlobalWithNav")</f>
        <v>VerifyAggregationGlobalWithNav</v>
      </c>
      <c r="O4" s="25" t="str">
        <f>IFERROR(__xludf.DUMMYFUNCTION("""COMPUTED_VALUE"""),"VerifyAggregationGlobalWithNav")</f>
        <v>VerifyAggregationGlobalWithNav</v>
      </c>
      <c r="P4" s="26" t="str">
        <f>IFERROR(__xludf.DUMMYFUNCTION("""COMPUTED_VALUE"""),"VerifyAggregationSubSectorWithNav")</f>
        <v>VerifyAggregationSubSectorWithNav</v>
      </c>
      <c r="Q4" s="26" t="str">
        <f>IFERROR(__xludf.DUMMYFUNCTION("""COMPUTED_VALUE"""),"VerifyAggregationSymbolWithNav")</f>
        <v>VerifyAggregationSymbolWithNav</v>
      </c>
      <c r="R4" s="26" t="str">
        <f>IFERROR(__xludf.DUMMYFUNCTION("""COMPUTED_VALUE"""),"VerifyAggregationAssetWithNav")</f>
        <v>VerifyAggregationAssetWithNav</v>
      </c>
      <c r="S4" s="26" t="str">
        <f>IFERROR(__xludf.DUMMYFUNCTION("""COMPUTED_VALUE"""),"VerifyAggregationAccountUnderlyingSymbolWithNav")</f>
        <v>VerifyAggregationAccountUnderlyingSymbolWithNav</v>
      </c>
      <c r="T4" s="26" t="str">
        <f>IFERROR(__xludf.DUMMYFUNCTION("""COMPUTED_VALUE"""),"VerifyAccountNavPreferenceWindow")</f>
        <v>VerifyAccountNavPreferenceWindow</v>
      </c>
      <c r="U4" s="26" t="str">
        <f>IFERROR(__xludf.DUMMYFUNCTION("""COMPUTED_VALUE"""),"RestartEsper")</f>
        <v>RestartEsper</v>
      </c>
      <c r="V4" s="26" t="str">
        <f>IFERROR(__xludf.DUMMYFUNCTION("""COMPUTED_VALUE"""),"VerifyTaxlotWindow")</f>
        <v>VerifyTaxlotWindow</v>
      </c>
      <c r="W4" s="26" t="str">
        <f>IFERROR(__xludf.DUMMYFUNCTION("""COMPUTED_VALUE"""),"VerifySymbolDivisorWindow")</f>
        <v>VerifySymbolDivisorWindow</v>
      </c>
      <c r="X4" s="26" t="str">
        <f>IFERROR(__xludf.DUMMYFUNCTION("""COMPUTED_VALUE"""),"VerifySymbolDataWindow")</f>
        <v>VerifySymbolDataWindow</v>
      </c>
      <c r="Y4" s="26" t="str">
        <f>IFERROR(__xludf.DUMMYFUNCTION("""COMPUTED_VALUE"""),"VerifySecurityWindow")</f>
        <v>VerifySecurityWindow</v>
      </c>
      <c r="Z4" s="26" t="str">
        <f>IFERROR(__xludf.DUMMYFUNCTION("""COMPUTED_VALUE"""),"VerifyRowCalculationBaseWindow")</f>
        <v>VerifyRowCalculationBaseWindow</v>
      </c>
      <c r="AA4" s="26" t="str">
        <f>IFERROR(__xludf.DUMMYFUNCTION("""COMPUTED_VALUE"""),"VerifyPmCalculationPreferenceWindow")</f>
        <v>VerifyPmCalculationPreferenceWindow</v>
      </c>
      <c r="AB4" s="26" t="str">
        <f>IFERROR(__xludf.DUMMYFUNCTION("""COMPUTED_VALUE"""),"VerifyGlobalDivisorWindow")</f>
        <v>VerifyGlobalDivisorWindow</v>
      </c>
      <c r="AC4" s="26" t="str">
        <f>IFERROR(__xludf.DUMMYFUNCTION("""COMPUTED_VALUE"""),"VerifyDbNavWindow")</f>
        <v>VerifyDbNavWindow</v>
      </c>
      <c r="AD4" s="26" t="str">
        <f>IFERROR(__xludf.DUMMYFUNCTION("""COMPUTED_VALUE"""),"VerifyDayEndCashAccountWindow")</f>
        <v>VerifyDayEndCashAccountWindow</v>
      </c>
      <c r="AE4" s="26" t="str">
        <f>IFERROR(__xludf.DUMMYFUNCTION("""COMPUTED_VALUE"""),"VerifyCustomSymbolDataWindow")</f>
        <v>VerifyCustomSymbolDataWindow</v>
      </c>
      <c r="AF4" s="26" t="str">
        <f>IFERROR(__xludf.DUMMYFUNCTION("""COMPUTED_VALUE"""),"VerifyBetaWindow")</f>
        <v>VerifyBetaWindow</v>
      </c>
      <c r="AG4" s="26" t="str">
        <f>IFERROR(__xludf.DUMMYFUNCTION("""COMPUTED_VALUE"""),"VerifyAuecWindow")</f>
        <v>VerifyAuecWindow</v>
      </c>
      <c r="AH4" s="26" t="str">
        <f>IFERROR(__xludf.DUMMYFUNCTION("""COMPUTED_VALUE"""),"VerifyAggregationUnderlyingSymbolWithNav")</f>
        <v>VerifyAggregationUnderlyingSymbolWithNav</v>
      </c>
      <c r="AI4" s="26" t="str">
        <f>IFERROR(__xludf.DUMMYFUNCTION("""COMPUTED_VALUE"""),"VerifyAggregationSectorWithNav")</f>
        <v>VerifyAggregationSectorWithNav</v>
      </c>
      <c r="AJ4" s="26" t="str">
        <f>IFERROR(__xludf.DUMMYFUNCTION("""COMPUTED_VALUE"""),"VerifyAggregationMasterFundWithNav")</f>
        <v>VerifyAggregationMasterFundWithNav</v>
      </c>
      <c r="AK4" s="26" t="str">
        <f>IFERROR(__xludf.DUMMYFUNCTION("""COMPUTED_VALUE"""),"VerifyAggregationMasterFundUnderlyingSymbolWithNav")</f>
        <v>VerifyAggregationMasterFundUnderlyingSymbolWithNav</v>
      </c>
      <c r="AL4" s="26" t="str">
        <f>IFERROR(__xludf.DUMMYFUNCTION("""COMPUTED_VALUE"""),"VerifyAggregationMasterFundSymbolWithNav")</f>
        <v>VerifyAggregationMasterFundSymbolWithNav</v>
      </c>
      <c r="AM4" s="26" t="str">
        <f>IFERROR(__xludf.DUMMYFUNCTION("""COMPUTED_VALUE"""),"VerifyAggregationAccountWithNav")</f>
        <v>VerifyAggregationAccountWithNav</v>
      </c>
      <c r="AN4" s="26" t="str">
        <f>IFERROR(__xludf.DUMMYFUNCTION("""COMPUTED_VALUE"""),"VerifyAggregationAccountSymbolWithNav")</f>
        <v>VerifyAggregationAccountSymbolWithNav</v>
      </c>
      <c r="AO4" s="26" t="str">
        <f>IFERROR(__xludf.DUMMYFUNCTION("""COMPUTED_VALUE"""),"VerifyAccountSymbolDivisorWindow")</f>
        <v>VerifyAccountSymbolDivisorWindow</v>
      </c>
      <c r="AP4" s="26" t="str">
        <f>IFERROR(__xludf.DUMMYFUNCTION("""COMPUTED_VALUE"""),"VerifyAccountDivisorWindow")</f>
        <v>VerifyAccountDivisorWindow</v>
      </c>
      <c r="AQ4" s="26" t="str">
        <f>IFERROR(__xludf.DUMMYFUNCTION("""COMPUTED_VALUE"""),"CheckCompliance")</f>
        <v>CheckCompliance</v>
      </c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IFERROR(__xludf.DUMMYFUNCTION("""COMPUTED_VALUE"""),"Restart Basket")</f>
        <v>Restart Basket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18</v>
      </c>
      <c r="C6" s="32"/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RestartReleasesAndServices!$4:$4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21</v>
      </c>
      <c r="C6" s="32" t="s">
        <v>22</v>
      </c>
      <c r="D6" s="35">
        <v>100.0</v>
      </c>
      <c r="E6" s="36">
        <v>0.0</v>
      </c>
      <c r="F6" s="32" t="s">
        <v>23</v>
      </c>
      <c r="G6" s="32"/>
      <c r="H6" s="32"/>
      <c r="I6" s="32"/>
      <c r="J6" s="37">
        <v>10.0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 t="s">
        <v>24</v>
      </c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 t="s">
        <v>25</v>
      </c>
      <c r="C7" s="32" t="s">
        <v>22</v>
      </c>
      <c r="D7" s="37">
        <v>100.0</v>
      </c>
      <c r="E7" s="32"/>
      <c r="F7" s="32" t="s">
        <v>23</v>
      </c>
      <c r="G7" s="32"/>
      <c r="H7" s="32"/>
      <c r="I7" s="32"/>
      <c r="J7" s="37">
        <v>10.0</v>
      </c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 t="s">
        <v>24</v>
      </c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32"/>
      <c r="B8" s="32" t="s">
        <v>26</v>
      </c>
      <c r="C8" s="32" t="s">
        <v>27</v>
      </c>
      <c r="D8" s="37">
        <v>100.0</v>
      </c>
      <c r="E8" s="32"/>
      <c r="F8" s="32" t="s">
        <v>23</v>
      </c>
      <c r="G8" s="32"/>
      <c r="H8" s="32"/>
      <c r="I8" s="32"/>
      <c r="J8" s="37">
        <v>10.0</v>
      </c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 t="s">
        <v>24</v>
      </c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</row>
    <row r="9" ht="15.75" customHeight="1">
      <c r="A9" s="32"/>
      <c r="B9" s="32" t="s">
        <v>28</v>
      </c>
      <c r="C9" s="32" t="s">
        <v>22</v>
      </c>
      <c r="D9" s="37">
        <v>100.0</v>
      </c>
      <c r="E9" s="32"/>
      <c r="F9" s="32" t="s">
        <v>23</v>
      </c>
      <c r="G9" s="32"/>
      <c r="H9" s="32"/>
      <c r="I9" s="32"/>
      <c r="J9" s="37">
        <v>10.0</v>
      </c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 t="s">
        <v>24</v>
      </c>
      <c r="AR9" s="32"/>
      <c r="AS9" s="32"/>
      <c r="AT9" s="32"/>
      <c r="AU9" s="32"/>
      <c r="AV9" s="32"/>
      <c r="AW9" s="32"/>
      <c r="AX9" s="32"/>
      <c r="AY9" s="32"/>
      <c r="AZ9" s="32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2"/>
      <c r="BP9" s="32"/>
      <c r="BQ9" s="32"/>
      <c r="BR9" s="32"/>
      <c r="BS9" s="32"/>
      <c r="BT9" s="32"/>
      <c r="BU9" s="32"/>
      <c r="BV9" s="32"/>
      <c r="BW9" s="32"/>
      <c r="BX9" s="32"/>
      <c r="BY9" s="32"/>
      <c r="BZ9" s="32"/>
      <c r="CA9" s="32"/>
      <c r="CB9" s="32"/>
      <c r="CC9" s="32"/>
      <c r="CD9" s="32"/>
      <c r="CE9" s="32"/>
      <c r="CF9" s="32"/>
      <c r="CG9" s="32"/>
      <c r="CH9" s="32"/>
      <c r="CI9" s="32"/>
      <c r="CJ9" s="32"/>
      <c r="CK9" s="32"/>
      <c r="CL9" s="32"/>
      <c r="CM9" s="32"/>
      <c r="CN9" s="32"/>
      <c r="CO9" s="32"/>
      <c r="CP9" s="32"/>
      <c r="CQ9" s="32"/>
      <c r="CR9" s="32"/>
      <c r="CS9" s="32"/>
      <c r="CT9" s="32"/>
      <c r="CU9" s="32"/>
      <c r="CV9" s="32"/>
      <c r="CW9" s="32"/>
      <c r="CX9" s="32"/>
      <c r="CY9" s="32"/>
      <c r="CZ9" s="32"/>
      <c r="DA9" s="32"/>
      <c r="DB9" s="32"/>
      <c r="DC9" s="32"/>
      <c r="DD9" s="32"/>
      <c r="DE9" s="32"/>
      <c r="DF9" s="32"/>
      <c r="DG9" s="32"/>
      <c r="DH9" s="32"/>
      <c r="DI9" s="32"/>
      <c r="DJ9" s="32"/>
      <c r="DK9" s="32"/>
      <c r="DL9" s="32"/>
      <c r="DM9" s="32"/>
      <c r="DN9" s="32"/>
      <c r="DO9" s="32"/>
      <c r="DP9" s="32"/>
      <c r="DQ9" s="32"/>
      <c r="DR9" s="32"/>
      <c r="DS9" s="32"/>
      <c r="DT9" s="32"/>
      <c r="DU9" s="32"/>
      <c r="DV9" s="32"/>
      <c r="DW9" s="32"/>
      <c r="DX9" s="32"/>
      <c r="DY9" s="32"/>
      <c r="DZ9" s="32"/>
      <c r="EA9" s="32"/>
      <c r="EB9" s="32"/>
      <c r="EC9" s="32"/>
      <c r="ED9" s="32"/>
      <c r="EE9" s="32"/>
      <c r="EF9" s="32"/>
      <c r="EG9" s="32"/>
      <c r="EH9" s="32"/>
      <c r="EI9" s="32"/>
      <c r="EJ9" s="32"/>
      <c r="EK9" s="32"/>
      <c r="EL9" s="32"/>
      <c r="EM9" s="32"/>
      <c r="EN9" s="32"/>
      <c r="EO9" s="32"/>
      <c r="EP9" s="32"/>
      <c r="EQ9" s="32"/>
      <c r="ER9" s="32"/>
      <c r="ES9" s="32"/>
      <c r="ET9" s="32"/>
      <c r="EU9" s="32"/>
      <c r="EV9" s="32"/>
      <c r="EW9" s="32"/>
      <c r="EX9" s="32"/>
    </row>
    <row r="10" ht="15.75" customHeight="1">
      <c r="A10" s="32"/>
      <c r="B10" s="36">
        <v>1.23456789E8</v>
      </c>
      <c r="C10" s="32" t="s">
        <v>22</v>
      </c>
      <c r="D10" s="37">
        <v>100.0</v>
      </c>
      <c r="E10" s="32"/>
      <c r="F10" s="32" t="s">
        <v>23</v>
      </c>
      <c r="G10" s="32"/>
      <c r="H10" s="32"/>
      <c r="I10" s="32"/>
      <c r="J10" s="37">
        <v>10.0</v>
      </c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 t="s">
        <v>24</v>
      </c>
      <c r="AR10" s="32"/>
      <c r="AS10" s="32"/>
      <c r="AT10" s="32"/>
      <c r="AU10" s="32"/>
      <c r="AV10" s="32"/>
      <c r="AW10" s="32"/>
      <c r="AX10" s="32"/>
      <c r="AY10" s="32"/>
      <c r="AZ10" s="32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2"/>
      <c r="BP10" s="32"/>
      <c r="BQ10" s="32"/>
      <c r="BR10" s="32"/>
      <c r="BS10" s="32"/>
      <c r="BT10" s="32"/>
      <c r="BU10" s="32"/>
      <c r="BV10" s="32"/>
      <c r="BW10" s="32"/>
      <c r="BX10" s="32"/>
      <c r="BY10" s="32"/>
      <c r="BZ10" s="32"/>
      <c r="CA10" s="32"/>
      <c r="CB10" s="32"/>
      <c r="CC10" s="32"/>
      <c r="CD10" s="32"/>
      <c r="CE10" s="32"/>
      <c r="CF10" s="32"/>
      <c r="CG10" s="32"/>
      <c r="CH10" s="32"/>
      <c r="CI10" s="32"/>
      <c r="CJ10" s="32"/>
      <c r="CK10" s="32"/>
      <c r="CL10" s="32"/>
      <c r="CM10" s="32"/>
      <c r="CN10" s="32"/>
      <c r="CO10" s="32"/>
      <c r="CP10" s="32"/>
      <c r="CQ10" s="32"/>
      <c r="CR10" s="32"/>
      <c r="CS10" s="32"/>
      <c r="CT10" s="32"/>
      <c r="CU10" s="32"/>
      <c r="CV10" s="32"/>
      <c r="CW10" s="32"/>
      <c r="CX10" s="32"/>
      <c r="CY10" s="32"/>
      <c r="CZ10" s="32"/>
      <c r="DA10" s="32"/>
      <c r="DB10" s="32"/>
      <c r="DC10" s="32"/>
      <c r="DD10" s="32"/>
      <c r="DE10" s="32"/>
      <c r="DF10" s="32"/>
      <c r="DG10" s="32"/>
      <c r="DH10" s="32"/>
      <c r="DI10" s="32"/>
      <c r="DJ10" s="32"/>
      <c r="DK10" s="32"/>
      <c r="DL10" s="32"/>
      <c r="DM10" s="32"/>
      <c r="DN10" s="32"/>
      <c r="DO10" s="32"/>
      <c r="DP10" s="32"/>
      <c r="DQ10" s="32"/>
      <c r="DR10" s="32"/>
      <c r="DS10" s="32"/>
      <c r="DT10" s="32"/>
      <c r="DU10" s="32"/>
      <c r="DV10" s="32"/>
      <c r="DW10" s="32"/>
      <c r="DX10" s="32"/>
      <c r="DY10" s="32"/>
      <c r="DZ10" s="32"/>
      <c r="EA10" s="32"/>
      <c r="EB10" s="32"/>
      <c r="EC10" s="32"/>
      <c r="ED10" s="32"/>
      <c r="EE10" s="32"/>
      <c r="EF10" s="32"/>
      <c r="EG10" s="32"/>
      <c r="EH10" s="32"/>
      <c r="EI10" s="32"/>
      <c r="EJ10" s="32"/>
      <c r="EK10" s="32"/>
      <c r="EL10" s="32"/>
      <c r="EM10" s="32"/>
      <c r="EN10" s="32"/>
      <c r="EO10" s="32"/>
      <c r="EP10" s="32"/>
      <c r="EQ10" s="32"/>
      <c r="ER10" s="32"/>
      <c r="ES10" s="32"/>
      <c r="ET10" s="32"/>
      <c r="EU10" s="32"/>
      <c r="EV10" s="32"/>
      <c r="EW10" s="32"/>
      <c r="EX10" s="32"/>
    </row>
    <row r="11" ht="15.75" customHeight="1">
      <c r="A11" s="32"/>
      <c r="B11" s="32" t="s">
        <v>21</v>
      </c>
      <c r="C11" s="32" t="s">
        <v>22</v>
      </c>
      <c r="D11" s="37">
        <v>100.0</v>
      </c>
      <c r="E11" s="32"/>
      <c r="F11" s="32" t="s">
        <v>23</v>
      </c>
      <c r="G11" s="32"/>
      <c r="H11" s="32"/>
      <c r="I11" s="32"/>
      <c r="J11" s="37">
        <v>10.0</v>
      </c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 t="s">
        <v>24</v>
      </c>
      <c r="AR11" s="32"/>
      <c r="AS11" s="32"/>
      <c r="AT11" s="32"/>
      <c r="AU11" s="32"/>
      <c r="AV11" s="32"/>
      <c r="AW11" s="32"/>
      <c r="AX11" s="32"/>
      <c r="AY11" s="32"/>
      <c r="AZ11" s="32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2"/>
      <c r="BP11" s="32"/>
      <c r="BQ11" s="32"/>
      <c r="BR11" s="32"/>
      <c r="BS11" s="32"/>
      <c r="BT11" s="32"/>
      <c r="BU11" s="32"/>
      <c r="BV11" s="32"/>
      <c r="BW11" s="32"/>
      <c r="BX11" s="32"/>
      <c r="BY11" s="32"/>
      <c r="BZ11" s="32"/>
      <c r="CA11" s="32"/>
      <c r="CB11" s="32"/>
      <c r="CC11" s="32"/>
      <c r="CD11" s="32"/>
      <c r="CE11" s="32"/>
      <c r="CF11" s="32"/>
      <c r="CG11" s="32"/>
      <c r="CH11" s="32"/>
      <c r="CI11" s="32"/>
      <c r="CJ11" s="32"/>
      <c r="CK11" s="32"/>
      <c r="CL11" s="32"/>
      <c r="CM11" s="32"/>
      <c r="CN11" s="32"/>
      <c r="CO11" s="32"/>
      <c r="CP11" s="32"/>
      <c r="CQ11" s="32"/>
      <c r="CR11" s="32"/>
      <c r="CS11" s="32"/>
      <c r="CT11" s="32"/>
      <c r="CU11" s="32"/>
      <c r="CV11" s="32"/>
      <c r="CW11" s="32"/>
      <c r="CX11" s="32"/>
      <c r="CY11" s="32"/>
      <c r="CZ11" s="32"/>
      <c r="DA11" s="32"/>
      <c r="DB11" s="32"/>
      <c r="DC11" s="32"/>
      <c r="DD11" s="32"/>
      <c r="DE11" s="32"/>
      <c r="DF11" s="32"/>
      <c r="DG11" s="32"/>
      <c r="DH11" s="32"/>
      <c r="DI11" s="32"/>
      <c r="DJ11" s="32"/>
      <c r="DK11" s="32"/>
      <c r="DL11" s="32"/>
      <c r="DM11" s="32"/>
      <c r="DN11" s="32"/>
      <c r="DO11" s="32"/>
      <c r="DP11" s="32"/>
      <c r="DQ11" s="32"/>
      <c r="DR11" s="32"/>
      <c r="DS11" s="32"/>
      <c r="DT11" s="32"/>
      <c r="DU11" s="32"/>
      <c r="DV11" s="32"/>
      <c r="DW11" s="32"/>
      <c r="DX11" s="32"/>
      <c r="DY11" s="32"/>
      <c r="DZ11" s="32"/>
      <c r="EA11" s="32"/>
      <c r="EB11" s="32"/>
      <c r="EC11" s="32"/>
      <c r="ED11" s="32"/>
      <c r="EE11" s="32"/>
      <c r="EF11" s="32"/>
      <c r="EG11" s="32"/>
      <c r="EH11" s="32"/>
      <c r="EI11" s="32"/>
      <c r="EJ11" s="32"/>
      <c r="EK11" s="32"/>
      <c r="EL11" s="32"/>
      <c r="EM11" s="32"/>
      <c r="EN11" s="32"/>
      <c r="EO11" s="32"/>
      <c r="EP11" s="32"/>
      <c r="EQ11" s="32"/>
      <c r="ER11" s="32"/>
      <c r="ES11" s="32"/>
      <c r="ET11" s="32"/>
      <c r="EU11" s="32"/>
      <c r="EV11" s="32"/>
      <c r="EW11" s="32"/>
      <c r="EX11" s="32"/>
    </row>
    <row r="12" ht="15.75" customHeight="1">
      <c r="A12" s="32"/>
      <c r="B12" s="32" t="s">
        <v>29</v>
      </c>
      <c r="C12" s="32" t="s">
        <v>22</v>
      </c>
      <c r="D12" s="37">
        <v>100.0</v>
      </c>
      <c r="E12" s="32"/>
      <c r="F12" s="32" t="s">
        <v>23</v>
      </c>
      <c r="G12" s="32"/>
      <c r="H12" s="32"/>
      <c r="I12" s="32"/>
      <c r="J12" s="37">
        <v>10.0</v>
      </c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  <c r="AA12" s="32"/>
      <c r="AB12" s="32"/>
      <c r="AC12" s="32"/>
      <c r="AD12" s="32"/>
      <c r="AE12" s="32"/>
      <c r="AF12" s="32"/>
      <c r="AG12" s="32"/>
      <c r="AH12" s="32"/>
      <c r="AI12" s="32"/>
      <c r="AJ12" s="32"/>
      <c r="AK12" s="32"/>
      <c r="AL12" s="32"/>
      <c r="AM12" s="32"/>
      <c r="AN12" s="32"/>
      <c r="AO12" s="32"/>
      <c r="AP12" s="32"/>
      <c r="AQ12" s="32" t="s">
        <v>24</v>
      </c>
      <c r="AR12" s="32"/>
      <c r="AS12" s="32"/>
      <c r="AT12" s="32"/>
      <c r="AU12" s="32"/>
      <c r="AV12" s="32"/>
      <c r="AW12" s="32"/>
      <c r="AX12" s="32"/>
      <c r="AY12" s="32"/>
      <c r="AZ12" s="32"/>
      <c r="BA12" s="32"/>
      <c r="BB12" s="32"/>
      <c r="BC12" s="32"/>
      <c r="BD12" s="32"/>
      <c r="BE12" s="32"/>
      <c r="BF12" s="32"/>
      <c r="BG12" s="32"/>
      <c r="BH12" s="32"/>
      <c r="BI12" s="32"/>
      <c r="BJ12" s="32"/>
      <c r="BK12" s="32"/>
      <c r="BL12" s="32"/>
      <c r="BM12" s="32"/>
      <c r="BN12" s="32"/>
      <c r="BO12" s="32"/>
      <c r="BP12" s="32"/>
      <c r="BQ12" s="32"/>
      <c r="BR12" s="32"/>
      <c r="BS12" s="32"/>
      <c r="BT12" s="32"/>
      <c r="BU12" s="32"/>
      <c r="BV12" s="32"/>
      <c r="BW12" s="32"/>
      <c r="BX12" s="32"/>
      <c r="BY12" s="32"/>
      <c r="BZ12" s="32"/>
      <c r="CA12" s="32"/>
      <c r="CB12" s="32"/>
      <c r="CC12" s="32"/>
      <c r="CD12" s="32"/>
      <c r="CE12" s="32"/>
      <c r="CF12" s="32"/>
      <c r="CG12" s="32"/>
      <c r="CH12" s="32"/>
      <c r="CI12" s="32"/>
      <c r="CJ12" s="32"/>
      <c r="CK12" s="32"/>
      <c r="CL12" s="32"/>
      <c r="CM12" s="32"/>
      <c r="CN12" s="32"/>
      <c r="CO12" s="32"/>
      <c r="CP12" s="32"/>
      <c r="CQ12" s="32"/>
      <c r="CR12" s="32"/>
      <c r="CS12" s="32"/>
      <c r="CT12" s="32"/>
      <c r="CU12" s="32"/>
      <c r="CV12" s="32"/>
      <c r="CW12" s="32"/>
      <c r="CX12" s="32"/>
      <c r="CY12" s="32"/>
      <c r="CZ12" s="32"/>
      <c r="DA12" s="32"/>
      <c r="DB12" s="32"/>
      <c r="DC12" s="32"/>
      <c r="DD12" s="32"/>
      <c r="DE12" s="32"/>
      <c r="DF12" s="32"/>
      <c r="DG12" s="32"/>
      <c r="DH12" s="32"/>
      <c r="DI12" s="32"/>
      <c r="DJ12" s="32"/>
      <c r="DK12" s="32"/>
      <c r="DL12" s="32"/>
      <c r="DM12" s="32"/>
      <c r="DN12" s="32"/>
      <c r="DO12" s="32"/>
      <c r="DP12" s="32"/>
      <c r="DQ12" s="32"/>
      <c r="DR12" s="32"/>
      <c r="DS12" s="32"/>
      <c r="DT12" s="32"/>
      <c r="DU12" s="32"/>
      <c r="DV12" s="32"/>
      <c r="DW12" s="32"/>
      <c r="DX12" s="32"/>
      <c r="DY12" s="32"/>
      <c r="DZ12" s="32"/>
      <c r="EA12" s="32"/>
      <c r="EB12" s="32"/>
      <c r="EC12" s="32"/>
      <c r="ED12" s="32"/>
      <c r="EE12" s="32"/>
      <c r="EF12" s="32"/>
      <c r="EG12" s="32"/>
      <c r="EH12" s="32"/>
      <c r="EI12" s="32"/>
      <c r="EJ12" s="32"/>
      <c r="EK12" s="32"/>
      <c r="EL12" s="32"/>
      <c r="EM12" s="32"/>
      <c r="EN12" s="32"/>
      <c r="EO12" s="32"/>
      <c r="EP12" s="32"/>
      <c r="EQ12" s="32"/>
      <c r="ER12" s="32"/>
      <c r="ES12" s="32"/>
      <c r="ET12" s="32"/>
      <c r="EU12" s="32"/>
      <c r="EV12" s="32"/>
      <c r="EW12" s="32"/>
      <c r="EX12" s="32"/>
    </row>
    <row r="13" ht="15.75" customHeight="1">
      <c r="A13" s="32"/>
      <c r="B13" s="32" t="s">
        <v>21</v>
      </c>
      <c r="C13" s="32" t="s">
        <v>22</v>
      </c>
      <c r="D13" s="37">
        <v>100.0</v>
      </c>
      <c r="E13" s="36">
        <v>0.0</v>
      </c>
      <c r="F13" s="32" t="s">
        <v>30</v>
      </c>
      <c r="G13" s="32"/>
      <c r="H13" s="32"/>
      <c r="I13" s="32"/>
      <c r="J13" s="37">
        <v>10.0</v>
      </c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  <c r="AB13" s="32"/>
      <c r="AC13" s="32"/>
      <c r="AD13" s="32"/>
      <c r="AE13" s="32"/>
      <c r="AF13" s="32"/>
      <c r="AG13" s="32"/>
      <c r="AH13" s="32"/>
      <c r="AI13" s="32"/>
      <c r="AJ13" s="32"/>
      <c r="AK13" s="32"/>
      <c r="AL13" s="32"/>
      <c r="AM13" s="32"/>
      <c r="AN13" s="32"/>
      <c r="AO13" s="32"/>
      <c r="AP13" s="32"/>
      <c r="AQ13" s="32" t="s">
        <v>24</v>
      </c>
      <c r="AR13" s="32"/>
      <c r="AS13" s="32"/>
      <c r="AT13" s="32"/>
      <c r="AU13" s="32"/>
      <c r="AV13" s="32"/>
      <c r="AW13" s="32"/>
      <c r="AX13" s="32"/>
      <c r="AY13" s="32"/>
      <c r="AZ13" s="32"/>
      <c r="BA13" s="32"/>
      <c r="BB13" s="32"/>
      <c r="BC13" s="32"/>
      <c r="BD13" s="32"/>
      <c r="BE13" s="32"/>
      <c r="BF13" s="32"/>
      <c r="BG13" s="32"/>
      <c r="BH13" s="32"/>
      <c r="BI13" s="32"/>
      <c r="BJ13" s="32"/>
      <c r="BK13" s="32"/>
      <c r="BL13" s="32"/>
      <c r="BM13" s="32"/>
      <c r="BN13" s="32"/>
      <c r="BO13" s="32"/>
      <c r="BP13" s="32"/>
      <c r="BQ13" s="32"/>
      <c r="BR13" s="32"/>
      <c r="BS13" s="32"/>
      <c r="BT13" s="32"/>
      <c r="BU13" s="32"/>
      <c r="BV13" s="32"/>
      <c r="BW13" s="32"/>
      <c r="BX13" s="32"/>
      <c r="BY13" s="32"/>
      <c r="BZ13" s="32"/>
      <c r="CA13" s="32"/>
      <c r="CB13" s="32"/>
      <c r="CC13" s="32"/>
      <c r="CD13" s="32"/>
      <c r="CE13" s="32"/>
      <c r="CF13" s="32"/>
      <c r="CG13" s="32"/>
      <c r="CH13" s="32"/>
      <c r="CI13" s="32"/>
      <c r="CJ13" s="32"/>
      <c r="CK13" s="32"/>
      <c r="CL13" s="32"/>
      <c r="CM13" s="32"/>
      <c r="CN13" s="32"/>
      <c r="CO13" s="32"/>
      <c r="CP13" s="32"/>
      <c r="CQ13" s="32"/>
      <c r="CR13" s="32"/>
      <c r="CS13" s="32"/>
      <c r="CT13" s="32"/>
      <c r="CU13" s="32"/>
      <c r="CV13" s="32"/>
      <c r="CW13" s="32"/>
      <c r="CX13" s="32"/>
      <c r="CY13" s="32"/>
      <c r="CZ13" s="32"/>
      <c r="DA13" s="32"/>
      <c r="DB13" s="32"/>
      <c r="DC13" s="32"/>
      <c r="DD13" s="32"/>
      <c r="DE13" s="32"/>
      <c r="DF13" s="32"/>
      <c r="DG13" s="32"/>
      <c r="DH13" s="32"/>
      <c r="DI13" s="32"/>
      <c r="DJ13" s="32"/>
      <c r="DK13" s="32"/>
      <c r="DL13" s="32"/>
      <c r="DM13" s="32"/>
      <c r="DN13" s="32"/>
      <c r="DO13" s="32"/>
      <c r="DP13" s="32"/>
      <c r="DQ13" s="32"/>
      <c r="DR13" s="32"/>
      <c r="DS13" s="32"/>
      <c r="DT13" s="32"/>
      <c r="DU13" s="32"/>
      <c r="DV13" s="32"/>
      <c r="DW13" s="32"/>
      <c r="DX13" s="32"/>
      <c r="DY13" s="32"/>
      <c r="DZ13" s="32"/>
      <c r="EA13" s="32"/>
      <c r="EB13" s="32"/>
      <c r="EC13" s="32"/>
      <c r="ED13" s="32"/>
      <c r="EE13" s="32"/>
      <c r="EF13" s="32"/>
      <c r="EG13" s="32"/>
      <c r="EH13" s="32"/>
      <c r="EI13" s="32"/>
      <c r="EJ13" s="32"/>
      <c r="EK13" s="32"/>
      <c r="EL13" s="32"/>
      <c r="EM13" s="32"/>
      <c r="EN13" s="32"/>
      <c r="EO13" s="32"/>
      <c r="EP13" s="32"/>
      <c r="EQ13" s="32"/>
      <c r="ER13" s="32"/>
      <c r="ES13" s="32"/>
      <c r="ET13" s="32"/>
      <c r="EU13" s="32"/>
      <c r="EV13" s="32"/>
      <c r="EW13" s="32"/>
      <c r="EX13" s="32"/>
    </row>
    <row r="14" ht="15.75" customHeight="1">
      <c r="A14" s="32"/>
      <c r="B14" s="32" t="s">
        <v>25</v>
      </c>
      <c r="C14" s="32" t="s">
        <v>22</v>
      </c>
      <c r="D14" s="37">
        <v>100.0</v>
      </c>
      <c r="E14" s="32"/>
      <c r="F14" s="32" t="s">
        <v>30</v>
      </c>
      <c r="G14" s="32"/>
      <c r="H14" s="32"/>
      <c r="I14" s="32"/>
      <c r="J14" s="37">
        <v>10.0</v>
      </c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2"/>
      <c r="AH14" s="32"/>
      <c r="AI14" s="32"/>
      <c r="AJ14" s="32"/>
      <c r="AK14" s="32"/>
      <c r="AL14" s="32"/>
      <c r="AM14" s="32"/>
      <c r="AN14" s="32"/>
      <c r="AO14" s="32"/>
      <c r="AP14" s="32"/>
      <c r="AQ14" s="32" t="s">
        <v>24</v>
      </c>
      <c r="AR14" s="32"/>
      <c r="AS14" s="32"/>
      <c r="AT14" s="32"/>
      <c r="AU14" s="32"/>
      <c r="AV14" s="32"/>
      <c r="AW14" s="32"/>
      <c r="AX14" s="32"/>
      <c r="AY14" s="32"/>
      <c r="AZ14" s="32"/>
      <c r="BA14" s="32"/>
      <c r="BB14" s="32"/>
      <c r="BC14" s="32"/>
      <c r="BD14" s="32"/>
      <c r="BE14" s="32"/>
      <c r="BF14" s="32"/>
      <c r="BG14" s="32"/>
      <c r="BH14" s="32"/>
      <c r="BI14" s="32"/>
      <c r="BJ14" s="32"/>
      <c r="BK14" s="32"/>
      <c r="BL14" s="32"/>
      <c r="BM14" s="32"/>
      <c r="BN14" s="32"/>
      <c r="BO14" s="32"/>
      <c r="BP14" s="32"/>
      <c r="BQ14" s="32"/>
      <c r="BR14" s="32"/>
      <c r="BS14" s="32"/>
      <c r="BT14" s="32"/>
      <c r="BU14" s="32"/>
      <c r="BV14" s="32"/>
      <c r="BW14" s="32"/>
      <c r="BX14" s="32"/>
      <c r="BY14" s="32"/>
      <c r="BZ14" s="32"/>
      <c r="CA14" s="32"/>
      <c r="CB14" s="32"/>
      <c r="CC14" s="32"/>
      <c r="CD14" s="32"/>
      <c r="CE14" s="32"/>
      <c r="CF14" s="32"/>
      <c r="CG14" s="32"/>
      <c r="CH14" s="32"/>
      <c r="CI14" s="32"/>
      <c r="CJ14" s="32"/>
      <c r="CK14" s="32"/>
      <c r="CL14" s="32"/>
      <c r="CM14" s="32"/>
      <c r="CN14" s="32"/>
      <c r="CO14" s="32"/>
      <c r="CP14" s="32"/>
      <c r="CQ14" s="32"/>
      <c r="CR14" s="32"/>
      <c r="CS14" s="32"/>
      <c r="CT14" s="32"/>
      <c r="CU14" s="32"/>
      <c r="CV14" s="32"/>
      <c r="CW14" s="32"/>
      <c r="CX14" s="32"/>
      <c r="CY14" s="32"/>
      <c r="CZ14" s="32"/>
      <c r="DA14" s="32"/>
      <c r="DB14" s="32"/>
      <c r="DC14" s="32"/>
      <c r="DD14" s="32"/>
      <c r="DE14" s="32"/>
      <c r="DF14" s="32"/>
      <c r="DG14" s="32"/>
      <c r="DH14" s="32"/>
      <c r="DI14" s="32"/>
      <c r="DJ14" s="32"/>
      <c r="DK14" s="32"/>
      <c r="DL14" s="32"/>
      <c r="DM14" s="32"/>
      <c r="DN14" s="32"/>
      <c r="DO14" s="32"/>
      <c r="DP14" s="32"/>
      <c r="DQ14" s="32"/>
      <c r="DR14" s="32"/>
      <c r="DS14" s="32"/>
      <c r="DT14" s="32"/>
      <c r="DU14" s="32"/>
      <c r="DV14" s="32"/>
      <c r="DW14" s="32"/>
      <c r="DX14" s="32"/>
      <c r="DY14" s="32"/>
      <c r="DZ14" s="32"/>
      <c r="EA14" s="32"/>
      <c r="EB14" s="32"/>
      <c r="EC14" s="32"/>
      <c r="ED14" s="32"/>
      <c r="EE14" s="32"/>
      <c r="EF14" s="32"/>
      <c r="EG14" s="32"/>
      <c r="EH14" s="32"/>
      <c r="EI14" s="32"/>
      <c r="EJ14" s="32"/>
      <c r="EK14" s="32"/>
      <c r="EL14" s="32"/>
      <c r="EM14" s="32"/>
      <c r="EN14" s="32"/>
      <c r="EO14" s="32"/>
      <c r="EP14" s="32"/>
      <c r="EQ14" s="32"/>
      <c r="ER14" s="32"/>
      <c r="ES14" s="32"/>
      <c r="ET14" s="32"/>
      <c r="EU14" s="32"/>
      <c r="EV14" s="32"/>
      <c r="EW14" s="32"/>
      <c r="EX14" s="32"/>
    </row>
    <row r="15" ht="15.75" customHeight="1">
      <c r="A15" s="32"/>
      <c r="B15" s="32" t="s">
        <v>26</v>
      </c>
      <c r="C15" s="32" t="s">
        <v>27</v>
      </c>
      <c r="D15" s="37">
        <v>100.0</v>
      </c>
      <c r="E15" s="32"/>
      <c r="F15" s="32" t="s">
        <v>30</v>
      </c>
      <c r="G15" s="32"/>
      <c r="H15" s="32"/>
      <c r="I15" s="32"/>
      <c r="J15" s="37">
        <v>10.0</v>
      </c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/>
      <c r="AN15" s="32"/>
      <c r="AO15" s="32"/>
      <c r="AP15" s="32"/>
      <c r="AQ15" s="32" t="s">
        <v>24</v>
      </c>
      <c r="AR15" s="32"/>
      <c r="AS15" s="32"/>
      <c r="AT15" s="32"/>
      <c r="AU15" s="32"/>
      <c r="AV15" s="32"/>
      <c r="AW15" s="32"/>
      <c r="AX15" s="32"/>
      <c r="AY15" s="32"/>
      <c r="AZ15" s="32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2"/>
      <c r="BP15" s="32"/>
      <c r="BQ15" s="32"/>
      <c r="BR15" s="32"/>
      <c r="BS15" s="32"/>
      <c r="BT15" s="32"/>
      <c r="BU15" s="32"/>
      <c r="BV15" s="32"/>
      <c r="BW15" s="32"/>
      <c r="BX15" s="32"/>
      <c r="BY15" s="32"/>
      <c r="BZ15" s="32"/>
      <c r="CA15" s="32"/>
      <c r="CB15" s="32"/>
      <c r="CC15" s="32"/>
      <c r="CD15" s="32"/>
      <c r="CE15" s="32"/>
      <c r="CF15" s="32"/>
      <c r="CG15" s="32"/>
      <c r="CH15" s="32"/>
      <c r="CI15" s="32"/>
      <c r="CJ15" s="32"/>
      <c r="CK15" s="32"/>
      <c r="CL15" s="32"/>
      <c r="CM15" s="32"/>
      <c r="CN15" s="32"/>
      <c r="CO15" s="32"/>
      <c r="CP15" s="32"/>
      <c r="CQ15" s="32"/>
      <c r="CR15" s="32"/>
      <c r="CS15" s="32"/>
      <c r="CT15" s="32"/>
      <c r="CU15" s="32"/>
      <c r="CV15" s="32"/>
      <c r="CW15" s="32"/>
      <c r="CX15" s="32"/>
      <c r="CY15" s="32"/>
      <c r="CZ15" s="32"/>
      <c r="DA15" s="32"/>
      <c r="DB15" s="32"/>
      <c r="DC15" s="32"/>
      <c r="DD15" s="32"/>
      <c r="DE15" s="32"/>
      <c r="DF15" s="32"/>
      <c r="DG15" s="32"/>
      <c r="DH15" s="32"/>
      <c r="DI15" s="32"/>
      <c r="DJ15" s="32"/>
      <c r="DK15" s="32"/>
      <c r="DL15" s="32"/>
      <c r="DM15" s="32"/>
      <c r="DN15" s="32"/>
      <c r="DO15" s="32"/>
      <c r="DP15" s="32"/>
      <c r="DQ15" s="32"/>
      <c r="DR15" s="32"/>
      <c r="DS15" s="32"/>
      <c r="DT15" s="32"/>
      <c r="DU15" s="32"/>
      <c r="DV15" s="32"/>
      <c r="DW15" s="32"/>
      <c r="DX15" s="32"/>
      <c r="DY15" s="32"/>
      <c r="DZ15" s="32"/>
      <c r="EA15" s="32"/>
      <c r="EB15" s="32"/>
      <c r="EC15" s="32"/>
      <c r="ED15" s="32"/>
      <c r="EE15" s="32"/>
      <c r="EF15" s="32"/>
      <c r="EG15" s="32"/>
      <c r="EH15" s="32"/>
      <c r="EI15" s="32"/>
      <c r="EJ15" s="32"/>
      <c r="EK15" s="32"/>
      <c r="EL15" s="32"/>
      <c r="EM15" s="32"/>
      <c r="EN15" s="32"/>
      <c r="EO15" s="32"/>
      <c r="EP15" s="32"/>
      <c r="EQ15" s="32"/>
      <c r="ER15" s="32"/>
      <c r="ES15" s="32"/>
      <c r="ET15" s="32"/>
      <c r="EU15" s="32"/>
      <c r="EV15" s="32"/>
      <c r="EW15" s="32"/>
      <c r="EX15" s="32"/>
    </row>
    <row r="16" ht="15.75" customHeight="1">
      <c r="A16" s="32"/>
      <c r="B16" s="32" t="s">
        <v>28</v>
      </c>
      <c r="C16" s="32" t="s">
        <v>22</v>
      </c>
      <c r="D16" s="37">
        <v>100.0</v>
      </c>
      <c r="E16" s="32"/>
      <c r="F16" s="32" t="s">
        <v>30</v>
      </c>
      <c r="G16" s="32"/>
      <c r="H16" s="32"/>
      <c r="I16" s="32"/>
      <c r="J16" s="37">
        <v>10.0</v>
      </c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  <c r="AF16" s="32"/>
      <c r="AG16" s="32"/>
      <c r="AH16" s="32"/>
      <c r="AI16" s="32"/>
      <c r="AJ16" s="32"/>
      <c r="AK16" s="32"/>
      <c r="AL16" s="32"/>
      <c r="AM16" s="32"/>
      <c r="AN16" s="32"/>
      <c r="AO16" s="32"/>
      <c r="AP16" s="32"/>
      <c r="AQ16" s="32" t="s">
        <v>24</v>
      </c>
      <c r="AR16" s="32"/>
      <c r="AS16" s="32"/>
      <c r="AT16" s="32"/>
      <c r="AU16" s="32"/>
      <c r="AV16" s="32"/>
      <c r="AW16" s="32"/>
      <c r="AX16" s="32"/>
      <c r="AY16" s="32"/>
      <c r="AZ16" s="32"/>
      <c r="BA16" s="32"/>
      <c r="BB16" s="32"/>
      <c r="BC16" s="32"/>
      <c r="BD16" s="32"/>
      <c r="BE16" s="32"/>
      <c r="BF16" s="32"/>
      <c r="BG16" s="32"/>
      <c r="BH16" s="32"/>
      <c r="BI16" s="32"/>
      <c r="BJ16" s="32"/>
      <c r="BK16" s="32"/>
      <c r="BL16" s="32"/>
      <c r="BM16" s="32"/>
      <c r="BN16" s="32"/>
      <c r="BO16" s="32"/>
      <c r="BP16" s="32"/>
      <c r="BQ16" s="32"/>
      <c r="BR16" s="32"/>
      <c r="BS16" s="32"/>
      <c r="BT16" s="32"/>
      <c r="BU16" s="32"/>
      <c r="BV16" s="32"/>
      <c r="BW16" s="32"/>
      <c r="BX16" s="32"/>
      <c r="BY16" s="32"/>
      <c r="BZ16" s="32"/>
      <c r="CA16" s="32"/>
      <c r="CB16" s="32"/>
      <c r="CC16" s="32"/>
      <c r="CD16" s="32"/>
      <c r="CE16" s="32"/>
      <c r="CF16" s="32"/>
      <c r="CG16" s="32"/>
      <c r="CH16" s="32"/>
      <c r="CI16" s="32"/>
      <c r="CJ16" s="32"/>
      <c r="CK16" s="32"/>
      <c r="CL16" s="32"/>
      <c r="CM16" s="32"/>
      <c r="CN16" s="32"/>
      <c r="CO16" s="32"/>
      <c r="CP16" s="32"/>
      <c r="CQ16" s="32"/>
      <c r="CR16" s="32"/>
      <c r="CS16" s="32"/>
      <c r="CT16" s="32"/>
      <c r="CU16" s="32"/>
      <c r="CV16" s="32"/>
      <c r="CW16" s="32"/>
      <c r="CX16" s="32"/>
      <c r="CY16" s="32"/>
      <c r="CZ16" s="32"/>
      <c r="DA16" s="32"/>
      <c r="DB16" s="32"/>
      <c r="DC16" s="32"/>
      <c r="DD16" s="32"/>
      <c r="DE16" s="32"/>
      <c r="DF16" s="32"/>
      <c r="DG16" s="32"/>
      <c r="DH16" s="32"/>
      <c r="DI16" s="32"/>
      <c r="DJ16" s="32"/>
      <c r="DK16" s="32"/>
      <c r="DL16" s="32"/>
      <c r="DM16" s="32"/>
      <c r="DN16" s="32"/>
      <c r="DO16" s="32"/>
      <c r="DP16" s="32"/>
      <c r="DQ16" s="32"/>
      <c r="DR16" s="32"/>
      <c r="DS16" s="32"/>
      <c r="DT16" s="32"/>
      <c r="DU16" s="32"/>
      <c r="DV16" s="32"/>
      <c r="DW16" s="32"/>
      <c r="DX16" s="32"/>
      <c r="DY16" s="32"/>
      <c r="DZ16" s="32"/>
      <c r="EA16" s="32"/>
      <c r="EB16" s="32"/>
      <c r="EC16" s="32"/>
      <c r="ED16" s="32"/>
      <c r="EE16" s="32"/>
      <c r="EF16" s="32"/>
      <c r="EG16" s="32"/>
      <c r="EH16" s="32"/>
      <c r="EI16" s="32"/>
      <c r="EJ16" s="32"/>
      <c r="EK16" s="32"/>
      <c r="EL16" s="32"/>
      <c r="EM16" s="32"/>
      <c r="EN16" s="32"/>
      <c r="EO16" s="32"/>
      <c r="EP16" s="32"/>
      <c r="EQ16" s="32"/>
      <c r="ER16" s="32"/>
      <c r="ES16" s="32"/>
      <c r="ET16" s="32"/>
      <c r="EU16" s="32"/>
      <c r="EV16" s="32"/>
      <c r="EW16" s="32"/>
      <c r="EX16" s="32"/>
    </row>
    <row r="17" ht="15.75" customHeight="1">
      <c r="A17" s="32"/>
      <c r="B17" s="36">
        <v>1.23456789E8</v>
      </c>
      <c r="C17" s="32" t="s">
        <v>22</v>
      </c>
      <c r="D17" s="37">
        <v>100.0</v>
      </c>
      <c r="E17" s="32"/>
      <c r="F17" s="32" t="s">
        <v>30</v>
      </c>
      <c r="G17" s="32"/>
      <c r="H17" s="32"/>
      <c r="I17" s="32"/>
      <c r="J17" s="37">
        <v>10.0</v>
      </c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  <c r="AA17" s="32"/>
      <c r="AB17" s="32"/>
      <c r="AC17" s="32"/>
      <c r="AD17" s="32"/>
      <c r="AE17" s="32"/>
      <c r="AF17" s="32"/>
      <c r="AG17" s="32"/>
      <c r="AH17" s="32"/>
      <c r="AI17" s="32"/>
      <c r="AJ17" s="32"/>
      <c r="AK17" s="32"/>
      <c r="AL17" s="32"/>
      <c r="AM17" s="32"/>
      <c r="AN17" s="32"/>
      <c r="AO17" s="32"/>
      <c r="AP17" s="32"/>
      <c r="AQ17" s="32" t="s">
        <v>24</v>
      </c>
      <c r="AR17" s="32"/>
      <c r="AS17" s="32"/>
      <c r="AT17" s="32"/>
      <c r="AU17" s="32"/>
      <c r="AV17" s="32"/>
      <c r="AW17" s="32"/>
      <c r="AX17" s="32"/>
      <c r="AY17" s="32"/>
      <c r="AZ17" s="32"/>
      <c r="BA17" s="32"/>
      <c r="BB17" s="32"/>
      <c r="BC17" s="32"/>
      <c r="BD17" s="32"/>
      <c r="BE17" s="32"/>
      <c r="BF17" s="32"/>
      <c r="BG17" s="32"/>
      <c r="BH17" s="32"/>
      <c r="BI17" s="32"/>
      <c r="BJ17" s="32"/>
      <c r="BK17" s="32"/>
      <c r="BL17" s="32"/>
      <c r="BM17" s="32"/>
      <c r="BN17" s="32"/>
      <c r="BO17" s="32"/>
      <c r="BP17" s="32"/>
      <c r="BQ17" s="32"/>
      <c r="BR17" s="32"/>
      <c r="BS17" s="32"/>
      <c r="BT17" s="32"/>
      <c r="BU17" s="32"/>
      <c r="BV17" s="32"/>
      <c r="BW17" s="32"/>
      <c r="BX17" s="32"/>
      <c r="BY17" s="32"/>
      <c r="BZ17" s="32"/>
      <c r="CA17" s="32"/>
      <c r="CB17" s="32"/>
      <c r="CC17" s="32"/>
      <c r="CD17" s="32"/>
      <c r="CE17" s="32"/>
      <c r="CF17" s="32"/>
      <c r="CG17" s="32"/>
      <c r="CH17" s="32"/>
      <c r="CI17" s="32"/>
      <c r="CJ17" s="32"/>
      <c r="CK17" s="32"/>
      <c r="CL17" s="32"/>
      <c r="CM17" s="32"/>
      <c r="CN17" s="32"/>
      <c r="CO17" s="32"/>
      <c r="CP17" s="32"/>
      <c r="CQ17" s="32"/>
      <c r="CR17" s="32"/>
      <c r="CS17" s="32"/>
      <c r="CT17" s="32"/>
      <c r="CU17" s="32"/>
      <c r="CV17" s="32"/>
      <c r="CW17" s="32"/>
      <c r="CX17" s="32"/>
      <c r="CY17" s="32"/>
      <c r="CZ17" s="32"/>
      <c r="DA17" s="32"/>
      <c r="DB17" s="32"/>
      <c r="DC17" s="32"/>
      <c r="DD17" s="32"/>
      <c r="DE17" s="32"/>
      <c r="DF17" s="32"/>
      <c r="DG17" s="32"/>
      <c r="DH17" s="32"/>
      <c r="DI17" s="32"/>
      <c r="DJ17" s="32"/>
      <c r="DK17" s="32"/>
      <c r="DL17" s="32"/>
      <c r="DM17" s="32"/>
      <c r="DN17" s="32"/>
      <c r="DO17" s="32"/>
      <c r="DP17" s="32"/>
      <c r="DQ17" s="32"/>
      <c r="DR17" s="32"/>
      <c r="DS17" s="32"/>
      <c r="DT17" s="32"/>
      <c r="DU17" s="32"/>
      <c r="DV17" s="32"/>
      <c r="DW17" s="32"/>
      <c r="DX17" s="32"/>
      <c r="DY17" s="32"/>
      <c r="DZ17" s="32"/>
      <c r="EA17" s="32"/>
      <c r="EB17" s="32"/>
      <c r="EC17" s="32"/>
      <c r="ED17" s="32"/>
      <c r="EE17" s="32"/>
      <c r="EF17" s="32"/>
      <c r="EG17" s="32"/>
      <c r="EH17" s="32"/>
      <c r="EI17" s="32"/>
      <c r="EJ17" s="32"/>
      <c r="EK17" s="32"/>
      <c r="EL17" s="32"/>
      <c r="EM17" s="32"/>
      <c r="EN17" s="32"/>
      <c r="EO17" s="32"/>
      <c r="EP17" s="32"/>
      <c r="EQ17" s="32"/>
      <c r="ER17" s="32"/>
      <c r="ES17" s="32"/>
      <c r="ET17" s="32"/>
      <c r="EU17" s="32"/>
      <c r="EV17" s="32"/>
      <c r="EW17" s="32"/>
      <c r="EX17" s="32"/>
    </row>
    <row r="18" ht="15.75" customHeight="1">
      <c r="A18" s="32"/>
      <c r="B18" s="32" t="s">
        <v>21</v>
      </c>
      <c r="C18" s="32" t="s">
        <v>22</v>
      </c>
      <c r="D18" s="37">
        <v>100.0</v>
      </c>
      <c r="E18" s="32"/>
      <c r="F18" s="32" t="s">
        <v>30</v>
      </c>
      <c r="G18" s="32"/>
      <c r="H18" s="32"/>
      <c r="I18" s="32"/>
      <c r="J18" s="37">
        <v>10.0</v>
      </c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  <c r="AA18" s="32"/>
      <c r="AB18" s="32"/>
      <c r="AC18" s="32"/>
      <c r="AD18" s="32"/>
      <c r="AE18" s="32"/>
      <c r="AF18" s="32"/>
      <c r="AG18" s="32"/>
      <c r="AH18" s="32"/>
      <c r="AI18" s="32"/>
      <c r="AJ18" s="32"/>
      <c r="AK18" s="32"/>
      <c r="AL18" s="32"/>
      <c r="AM18" s="32"/>
      <c r="AN18" s="32"/>
      <c r="AO18" s="32"/>
      <c r="AP18" s="32"/>
      <c r="AQ18" s="32" t="s">
        <v>24</v>
      </c>
      <c r="AR18" s="32"/>
      <c r="AS18" s="32"/>
      <c r="AT18" s="32"/>
      <c r="AU18" s="32"/>
      <c r="AV18" s="32"/>
      <c r="AW18" s="32"/>
      <c r="AX18" s="32"/>
      <c r="AY18" s="32"/>
      <c r="AZ18" s="32"/>
      <c r="BA18" s="32"/>
      <c r="BB18" s="32"/>
      <c r="BC18" s="32"/>
      <c r="BD18" s="32"/>
      <c r="BE18" s="32"/>
      <c r="BF18" s="32"/>
      <c r="BG18" s="32"/>
      <c r="BH18" s="32"/>
      <c r="BI18" s="32"/>
      <c r="BJ18" s="32"/>
      <c r="BK18" s="32"/>
      <c r="BL18" s="32"/>
      <c r="BM18" s="32"/>
      <c r="BN18" s="32"/>
      <c r="BO18" s="32"/>
      <c r="BP18" s="32"/>
      <c r="BQ18" s="32"/>
      <c r="BR18" s="32"/>
      <c r="BS18" s="32"/>
      <c r="BT18" s="32"/>
      <c r="BU18" s="32"/>
      <c r="BV18" s="32"/>
      <c r="BW18" s="32"/>
      <c r="BX18" s="32"/>
      <c r="BY18" s="32"/>
      <c r="BZ18" s="32"/>
      <c r="CA18" s="32"/>
      <c r="CB18" s="32"/>
      <c r="CC18" s="32"/>
      <c r="CD18" s="32"/>
      <c r="CE18" s="32"/>
      <c r="CF18" s="32"/>
      <c r="CG18" s="32"/>
      <c r="CH18" s="32"/>
      <c r="CI18" s="32"/>
      <c r="CJ18" s="32"/>
      <c r="CK18" s="32"/>
      <c r="CL18" s="32"/>
      <c r="CM18" s="32"/>
      <c r="CN18" s="32"/>
      <c r="CO18" s="32"/>
      <c r="CP18" s="32"/>
      <c r="CQ18" s="32"/>
      <c r="CR18" s="32"/>
      <c r="CS18" s="32"/>
      <c r="CT18" s="32"/>
      <c r="CU18" s="32"/>
      <c r="CV18" s="32"/>
      <c r="CW18" s="32"/>
      <c r="CX18" s="32"/>
      <c r="CY18" s="32"/>
      <c r="CZ18" s="32"/>
      <c r="DA18" s="32"/>
      <c r="DB18" s="32"/>
      <c r="DC18" s="32"/>
      <c r="DD18" s="32"/>
      <c r="DE18" s="32"/>
      <c r="DF18" s="32"/>
      <c r="DG18" s="32"/>
      <c r="DH18" s="32"/>
      <c r="DI18" s="32"/>
      <c r="DJ18" s="32"/>
      <c r="DK18" s="32"/>
      <c r="DL18" s="32"/>
      <c r="DM18" s="32"/>
      <c r="DN18" s="32"/>
      <c r="DO18" s="32"/>
      <c r="DP18" s="32"/>
      <c r="DQ18" s="32"/>
      <c r="DR18" s="32"/>
      <c r="DS18" s="32"/>
      <c r="DT18" s="32"/>
      <c r="DU18" s="32"/>
      <c r="DV18" s="32"/>
      <c r="DW18" s="32"/>
      <c r="DX18" s="32"/>
      <c r="DY18" s="32"/>
      <c r="DZ18" s="32"/>
      <c r="EA18" s="32"/>
      <c r="EB18" s="32"/>
      <c r="EC18" s="32"/>
      <c r="ED18" s="32"/>
      <c r="EE18" s="32"/>
      <c r="EF18" s="32"/>
      <c r="EG18" s="32"/>
      <c r="EH18" s="32"/>
      <c r="EI18" s="32"/>
      <c r="EJ18" s="32"/>
      <c r="EK18" s="32"/>
      <c r="EL18" s="32"/>
      <c r="EM18" s="32"/>
      <c r="EN18" s="32"/>
      <c r="EO18" s="32"/>
      <c r="EP18" s="32"/>
      <c r="EQ18" s="32"/>
      <c r="ER18" s="32"/>
      <c r="ES18" s="32"/>
      <c r="ET18" s="32"/>
      <c r="EU18" s="32"/>
      <c r="EV18" s="32"/>
      <c r="EW18" s="32"/>
      <c r="EX18" s="32"/>
    </row>
    <row r="19" ht="15.75" customHeight="1">
      <c r="A19" s="32"/>
      <c r="B19" s="32" t="s">
        <v>29</v>
      </c>
      <c r="C19" s="32" t="s">
        <v>22</v>
      </c>
      <c r="D19" s="37">
        <v>100.0</v>
      </c>
      <c r="E19" s="32"/>
      <c r="F19" s="32" t="s">
        <v>30</v>
      </c>
      <c r="G19" s="32"/>
      <c r="H19" s="32"/>
      <c r="I19" s="32"/>
      <c r="J19" s="37">
        <v>10.0</v>
      </c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  <c r="AA19" s="32"/>
      <c r="AB19" s="32"/>
      <c r="AC19" s="32"/>
      <c r="AD19" s="32"/>
      <c r="AE19" s="32"/>
      <c r="AF19" s="32"/>
      <c r="AG19" s="32"/>
      <c r="AH19" s="32"/>
      <c r="AI19" s="32"/>
      <c r="AJ19" s="32"/>
      <c r="AK19" s="32"/>
      <c r="AL19" s="32"/>
      <c r="AM19" s="32"/>
      <c r="AN19" s="32"/>
      <c r="AO19" s="32"/>
      <c r="AP19" s="32"/>
      <c r="AQ19" s="32" t="s">
        <v>24</v>
      </c>
      <c r="AR19" s="32"/>
      <c r="AS19" s="32"/>
      <c r="AT19" s="32"/>
      <c r="AU19" s="32"/>
      <c r="AV19" s="32"/>
      <c r="AW19" s="32"/>
      <c r="AX19" s="32"/>
      <c r="AY19" s="32"/>
      <c r="AZ19" s="32"/>
      <c r="BA19" s="32"/>
      <c r="BB19" s="32"/>
      <c r="BC19" s="32"/>
      <c r="BD19" s="32"/>
      <c r="BE19" s="32"/>
      <c r="BF19" s="32"/>
      <c r="BG19" s="32"/>
      <c r="BH19" s="32"/>
      <c r="BI19" s="32"/>
      <c r="BJ19" s="32"/>
      <c r="BK19" s="32"/>
      <c r="BL19" s="32"/>
      <c r="BM19" s="32"/>
      <c r="BN19" s="32"/>
      <c r="BO19" s="32"/>
      <c r="BP19" s="32"/>
      <c r="BQ19" s="32"/>
      <c r="BR19" s="32"/>
      <c r="BS19" s="32"/>
      <c r="BT19" s="32"/>
      <c r="BU19" s="32"/>
      <c r="BV19" s="32"/>
      <c r="BW19" s="32"/>
      <c r="BX19" s="32"/>
      <c r="BY19" s="32"/>
      <c r="BZ19" s="32"/>
      <c r="CA19" s="32"/>
      <c r="CB19" s="32"/>
      <c r="CC19" s="32"/>
      <c r="CD19" s="32"/>
      <c r="CE19" s="32"/>
      <c r="CF19" s="32"/>
      <c r="CG19" s="32"/>
      <c r="CH19" s="32"/>
      <c r="CI19" s="32"/>
      <c r="CJ19" s="32"/>
      <c r="CK19" s="32"/>
      <c r="CL19" s="32"/>
      <c r="CM19" s="32"/>
      <c r="CN19" s="32"/>
      <c r="CO19" s="32"/>
      <c r="CP19" s="32"/>
      <c r="CQ19" s="32"/>
      <c r="CR19" s="32"/>
      <c r="CS19" s="32"/>
      <c r="CT19" s="32"/>
      <c r="CU19" s="32"/>
      <c r="CV19" s="32"/>
      <c r="CW19" s="32"/>
      <c r="CX19" s="32"/>
      <c r="CY19" s="32"/>
      <c r="CZ19" s="32"/>
      <c r="DA19" s="32"/>
      <c r="DB19" s="32"/>
      <c r="DC19" s="32"/>
      <c r="DD19" s="32"/>
      <c r="DE19" s="32"/>
      <c r="DF19" s="32"/>
      <c r="DG19" s="32"/>
      <c r="DH19" s="32"/>
      <c r="DI19" s="32"/>
      <c r="DJ19" s="32"/>
      <c r="DK19" s="32"/>
      <c r="DL19" s="32"/>
      <c r="DM19" s="32"/>
      <c r="DN19" s="32"/>
      <c r="DO19" s="32"/>
      <c r="DP19" s="32"/>
      <c r="DQ19" s="32"/>
      <c r="DR19" s="32"/>
      <c r="DS19" s="32"/>
      <c r="DT19" s="32"/>
      <c r="DU19" s="32"/>
      <c r="DV19" s="32"/>
      <c r="DW19" s="32"/>
      <c r="DX19" s="32"/>
      <c r="DY19" s="32"/>
      <c r="DZ19" s="32"/>
      <c r="EA19" s="32"/>
      <c r="EB19" s="32"/>
      <c r="EC19" s="32"/>
      <c r="ED19" s="32"/>
      <c r="EE19" s="32"/>
      <c r="EF19" s="32"/>
      <c r="EG19" s="32"/>
      <c r="EH19" s="32"/>
      <c r="EI19" s="32"/>
      <c r="EJ19" s="32"/>
      <c r="EK19" s="32"/>
      <c r="EL19" s="32"/>
      <c r="EM19" s="32"/>
      <c r="EN19" s="32"/>
      <c r="EO19" s="32"/>
      <c r="EP19" s="32"/>
      <c r="EQ19" s="32"/>
      <c r="ER19" s="32"/>
      <c r="ES19" s="32"/>
      <c r="ET19" s="32"/>
      <c r="EU19" s="32"/>
      <c r="EV19" s="32"/>
      <c r="EW19" s="32"/>
      <c r="EX19" s="32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IFERROR(__xludf.DUMMYFUNCTION("""COMPUTED_VALUE"""),"UncheckDividendYield")</f>
        <v>UncheckDividendYield</v>
      </c>
      <c r="E4" s="25" t="str">
        <f>IFERROR(__xludf.DUMMYFUNCTION("""COMPUTED_VALUE"""),"EODTPreferences")</f>
        <v>EODTPreferences</v>
      </c>
      <c r="F4" s="25" t="str">
        <f>IFERROR(__xludf.DUMMYFUNCTION("""COMPUTED_VALUE"""),"LiveData")</f>
        <v>LiveData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25</v>
      </c>
      <c r="C6" s="37">
        <v>20.0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 t="s">
        <v>26</v>
      </c>
      <c r="C7" s="37">
        <v>20.0</v>
      </c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32"/>
      <c r="B8" s="32" t="s">
        <v>28</v>
      </c>
      <c r="C8" s="37">
        <v>20.0</v>
      </c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</row>
    <row r="9" ht="15.75" customHeight="1">
      <c r="A9" s="32"/>
      <c r="B9" s="36">
        <v>1.23456789E8</v>
      </c>
      <c r="C9" s="37">
        <v>20.0</v>
      </c>
      <c r="D9" s="32"/>
      <c r="E9" s="32"/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2"/>
      <c r="AU9" s="32"/>
      <c r="AV9" s="32"/>
      <c r="AW9" s="32"/>
      <c r="AX9" s="32"/>
      <c r="AY9" s="32"/>
      <c r="AZ9" s="32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2"/>
      <c r="BP9" s="32"/>
      <c r="BQ9" s="32"/>
      <c r="BR9" s="32"/>
      <c r="BS9" s="32"/>
      <c r="BT9" s="32"/>
      <c r="BU9" s="32"/>
      <c r="BV9" s="32"/>
      <c r="BW9" s="32"/>
      <c r="BX9" s="32"/>
      <c r="BY9" s="32"/>
      <c r="BZ9" s="32"/>
      <c r="CA9" s="32"/>
      <c r="CB9" s="32"/>
      <c r="CC9" s="32"/>
      <c r="CD9" s="32"/>
      <c r="CE9" s="32"/>
      <c r="CF9" s="32"/>
      <c r="CG9" s="32"/>
      <c r="CH9" s="32"/>
      <c r="CI9" s="32"/>
      <c r="CJ9" s="32"/>
      <c r="CK9" s="32"/>
      <c r="CL9" s="32"/>
      <c r="CM9" s="32"/>
      <c r="CN9" s="32"/>
      <c r="CO9" s="32"/>
      <c r="CP9" s="32"/>
      <c r="CQ9" s="32"/>
      <c r="CR9" s="32"/>
      <c r="CS9" s="32"/>
      <c r="CT9" s="32"/>
      <c r="CU9" s="32"/>
      <c r="CV9" s="32"/>
      <c r="CW9" s="32"/>
      <c r="CX9" s="32"/>
      <c r="CY9" s="32"/>
      <c r="CZ9" s="32"/>
      <c r="DA9" s="32"/>
      <c r="DB9" s="32"/>
      <c r="DC9" s="32"/>
      <c r="DD9" s="32"/>
      <c r="DE9" s="32"/>
      <c r="DF9" s="32"/>
      <c r="DG9" s="32"/>
      <c r="DH9" s="32"/>
      <c r="DI9" s="32"/>
      <c r="DJ9" s="32"/>
      <c r="DK9" s="32"/>
      <c r="DL9" s="32"/>
      <c r="DM9" s="32"/>
      <c r="DN9" s="32"/>
      <c r="DO9" s="32"/>
      <c r="DP9" s="32"/>
      <c r="DQ9" s="32"/>
      <c r="DR9" s="32"/>
      <c r="DS9" s="32"/>
      <c r="DT9" s="32"/>
      <c r="DU9" s="32"/>
      <c r="DV9" s="32"/>
      <c r="DW9" s="32"/>
      <c r="DX9" s="32"/>
      <c r="DY9" s="32"/>
      <c r="DZ9" s="32"/>
      <c r="EA9" s="32"/>
      <c r="EB9" s="32"/>
      <c r="EC9" s="32"/>
      <c r="ED9" s="32"/>
      <c r="EE9" s="32"/>
      <c r="EF9" s="32"/>
      <c r="EG9" s="32"/>
      <c r="EH9" s="32"/>
      <c r="EI9" s="32"/>
      <c r="EJ9" s="32"/>
      <c r="EK9" s="32"/>
      <c r="EL9" s="32"/>
      <c r="EM9" s="32"/>
      <c r="EN9" s="32"/>
      <c r="EO9" s="32"/>
      <c r="EP9" s="32"/>
      <c r="EQ9" s="32"/>
      <c r="ER9" s="32"/>
      <c r="ES9" s="32"/>
      <c r="ET9" s="32"/>
      <c r="EU9" s="32"/>
      <c r="EV9" s="32"/>
      <c r="EW9" s="32"/>
      <c r="EX9" s="32"/>
    </row>
    <row r="10" ht="15.75" customHeight="1">
      <c r="A10" s="32"/>
      <c r="B10" s="32" t="s">
        <v>21</v>
      </c>
      <c r="C10" s="37">
        <v>20.0</v>
      </c>
      <c r="D10" s="32"/>
      <c r="E10" s="32"/>
      <c r="F10" s="32"/>
      <c r="G10" s="32"/>
      <c r="H10" s="32"/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2"/>
      <c r="AU10" s="32"/>
      <c r="AV10" s="32"/>
      <c r="AW10" s="32"/>
      <c r="AX10" s="32"/>
      <c r="AY10" s="32"/>
      <c r="AZ10" s="32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2"/>
      <c r="BP10" s="32"/>
      <c r="BQ10" s="32"/>
      <c r="BR10" s="32"/>
      <c r="BS10" s="32"/>
      <c r="BT10" s="32"/>
      <c r="BU10" s="32"/>
      <c r="BV10" s="32"/>
      <c r="BW10" s="32"/>
      <c r="BX10" s="32"/>
      <c r="BY10" s="32"/>
      <c r="BZ10" s="32"/>
      <c r="CA10" s="32"/>
      <c r="CB10" s="32"/>
      <c r="CC10" s="32"/>
      <c r="CD10" s="32"/>
      <c r="CE10" s="32"/>
      <c r="CF10" s="32"/>
      <c r="CG10" s="32"/>
      <c r="CH10" s="32"/>
      <c r="CI10" s="32"/>
      <c r="CJ10" s="32"/>
      <c r="CK10" s="32"/>
      <c r="CL10" s="32"/>
      <c r="CM10" s="32"/>
      <c r="CN10" s="32"/>
      <c r="CO10" s="32"/>
      <c r="CP10" s="32"/>
      <c r="CQ10" s="32"/>
      <c r="CR10" s="32"/>
      <c r="CS10" s="32"/>
      <c r="CT10" s="32"/>
      <c r="CU10" s="32"/>
      <c r="CV10" s="32"/>
      <c r="CW10" s="32"/>
      <c r="CX10" s="32"/>
      <c r="CY10" s="32"/>
      <c r="CZ10" s="32"/>
      <c r="DA10" s="32"/>
      <c r="DB10" s="32"/>
      <c r="DC10" s="32"/>
      <c r="DD10" s="32"/>
      <c r="DE10" s="32"/>
      <c r="DF10" s="32"/>
      <c r="DG10" s="32"/>
      <c r="DH10" s="32"/>
      <c r="DI10" s="32"/>
      <c r="DJ10" s="32"/>
      <c r="DK10" s="32"/>
      <c r="DL10" s="32"/>
      <c r="DM10" s="32"/>
      <c r="DN10" s="32"/>
      <c r="DO10" s="32"/>
      <c r="DP10" s="32"/>
      <c r="DQ10" s="32"/>
      <c r="DR10" s="32"/>
      <c r="DS10" s="32"/>
      <c r="DT10" s="32"/>
      <c r="DU10" s="32"/>
      <c r="DV10" s="32"/>
      <c r="DW10" s="32"/>
      <c r="DX10" s="32"/>
      <c r="DY10" s="32"/>
      <c r="DZ10" s="32"/>
      <c r="EA10" s="32"/>
      <c r="EB10" s="32"/>
      <c r="EC10" s="32"/>
      <c r="ED10" s="32"/>
      <c r="EE10" s="32"/>
      <c r="EF10" s="32"/>
      <c r="EG10" s="32"/>
      <c r="EH10" s="32"/>
      <c r="EI10" s="32"/>
      <c r="EJ10" s="32"/>
      <c r="EK10" s="32"/>
      <c r="EL10" s="32"/>
      <c r="EM10" s="32"/>
      <c r="EN10" s="32"/>
      <c r="EO10" s="32"/>
      <c r="EP10" s="32"/>
      <c r="EQ10" s="32"/>
      <c r="ER10" s="32"/>
      <c r="ES10" s="32"/>
      <c r="ET10" s="32"/>
      <c r="EU10" s="32"/>
      <c r="EV10" s="32"/>
      <c r="EW10" s="32"/>
      <c r="EX10" s="32"/>
    </row>
    <row r="11" ht="15.75" customHeight="1">
      <c r="A11" s="32"/>
      <c r="B11" s="32" t="s">
        <v>29</v>
      </c>
      <c r="C11" s="37">
        <v>20.0</v>
      </c>
      <c r="D11" s="32"/>
      <c r="E11" s="32"/>
      <c r="F11" s="32"/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2"/>
      <c r="AU11" s="32"/>
      <c r="AV11" s="32"/>
      <c r="AW11" s="32"/>
      <c r="AX11" s="32"/>
      <c r="AY11" s="32"/>
      <c r="AZ11" s="32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2"/>
      <c r="BP11" s="32"/>
      <c r="BQ11" s="32"/>
      <c r="BR11" s="32"/>
      <c r="BS11" s="32"/>
      <c r="BT11" s="32"/>
      <c r="BU11" s="32"/>
      <c r="BV11" s="32"/>
      <c r="BW11" s="32"/>
      <c r="BX11" s="32"/>
      <c r="BY11" s="32"/>
      <c r="BZ11" s="32"/>
      <c r="CA11" s="32"/>
      <c r="CB11" s="32"/>
      <c r="CC11" s="32"/>
      <c r="CD11" s="32"/>
      <c r="CE11" s="32"/>
      <c r="CF11" s="32"/>
      <c r="CG11" s="32"/>
      <c r="CH11" s="32"/>
      <c r="CI11" s="32"/>
      <c r="CJ11" s="32"/>
      <c r="CK11" s="32"/>
      <c r="CL11" s="32"/>
      <c r="CM11" s="32"/>
      <c r="CN11" s="32"/>
      <c r="CO11" s="32"/>
      <c r="CP11" s="32"/>
      <c r="CQ11" s="32"/>
      <c r="CR11" s="32"/>
      <c r="CS11" s="32"/>
      <c r="CT11" s="32"/>
      <c r="CU11" s="32"/>
      <c r="CV11" s="32"/>
      <c r="CW11" s="32"/>
      <c r="CX11" s="32"/>
      <c r="CY11" s="32"/>
      <c r="CZ11" s="32"/>
      <c r="DA11" s="32"/>
      <c r="DB11" s="32"/>
      <c r="DC11" s="32"/>
      <c r="DD11" s="32"/>
      <c r="DE11" s="32"/>
      <c r="DF11" s="32"/>
      <c r="DG11" s="32"/>
      <c r="DH11" s="32"/>
      <c r="DI11" s="32"/>
      <c r="DJ11" s="32"/>
      <c r="DK11" s="32"/>
      <c r="DL11" s="32"/>
      <c r="DM11" s="32"/>
      <c r="DN11" s="32"/>
      <c r="DO11" s="32"/>
      <c r="DP11" s="32"/>
      <c r="DQ11" s="32"/>
      <c r="DR11" s="32"/>
      <c r="DS11" s="32"/>
      <c r="DT11" s="32"/>
      <c r="DU11" s="32"/>
      <c r="DV11" s="32"/>
      <c r="DW11" s="32"/>
      <c r="DX11" s="32"/>
      <c r="DY11" s="32"/>
      <c r="DZ11" s="32"/>
      <c r="EA11" s="32"/>
      <c r="EB11" s="32"/>
      <c r="EC11" s="32"/>
      <c r="ED11" s="32"/>
      <c r="EE11" s="32"/>
      <c r="EF11" s="32"/>
      <c r="EG11" s="32"/>
      <c r="EH11" s="32"/>
      <c r="EI11" s="32"/>
      <c r="EJ11" s="32"/>
      <c r="EK11" s="32"/>
      <c r="EL11" s="32"/>
      <c r="EM11" s="32"/>
      <c r="EN11" s="32"/>
      <c r="EO11" s="32"/>
      <c r="EP11" s="32"/>
      <c r="EQ11" s="32"/>
      <c r="ER11" s="32"/>
      <c r="ES11" s="32"/>
      <c r="ET11" s="32"/>
      <c r="EU11" s="32"/>
      <c r="EV11" s="32"/>
      <c r="EW11" s="32"/>
      <c r="EX11" s="32"/>
    </row>
    <row r="12" ht="15.75" customHeight="1">
      <c r="A12" s="32"/>
      <c r="B12" s="38" t="s">
        <v>32</v>
      </c>
      <c r="C12" s="37">
        <v>20.0</v>
      </c>
      <c r="D12" s="32"/>
      <c r="E12" s="32"/>
      <c r="F12" s="32"/>
      <c r="G12" s="32"/>
      <c r="H12" s="32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  <c r="AA12" s="32"/>
      <c r="AB12" s="32"/>
      <c r="AC12" s="32"/>
      <c r="AD12" s="32"/>
      <c r="AE12" s="32"/>
      <c r="AF12" s="32"/>
      <c r="AG12" s="32"/>
      <c r="AH12" s="32"/>
      <c r="AI12" s="32"/>
      <c r="AJ12" s="32"/>
      <c r="AK12" s="32"/>
      <c r="AL12" s="32"/>
      <c r="AM12" s="32"/>
      <c r="AN12" s="32"/>
      <c r="AO12" s="32"/>
      <c r="AP12" s="32"/>
      <c r="AQ12" s="32"/>
      <c r="AR12" s="32"/>
      <c r="AS12" s="32"/>
      <c r="AT12" s="32"/>
      <c r="AU12" s="32"/>
      <c r="AV12" s="32"/>
      <c r="AW12" s="32"/>
      <c r="AX12" s="32"/>
      <c r="AY12" s="32"/>
      <c r="AZ12" s="32"/>
      <c r="BA12" s="32"/>
      <c r="BB12" s="32"/>
      <c r="BC12" s="32"/>
      <c r="BD12" s="32"/>
      <c r="BE12" s="32"/>
      <c r="BF12" s="32"/>
      <c r="BG12" s="32"/>
      <c r="BH12" s="32"/>
      <c r="BI12" s="32"/>
      <c r="BJ12" s="32"/>
      <c r="BK12" s="32"/>
      <c r="BL12" s="32"/>
      <c r="BM12" s="32"/>
      <c r="BN12" s="32"/>
      <c r="BO12" s="32"/>
      <c r="BP12" s="32"/>
      <c r="BQ12" s="32"/>
      <c r="BR12" s="32"/>
      <c r="BS12" s="32"/>
      <c r="BT12" s="32"/>
      <c r="BU12" s="32"/>
      <c r="BV12" s="32"/>
      <c r="BW12" s="32"/>
      <c r="BX12" s="32"/>
      <c r="BY12" s="32"/>
      <c r="BZ12" s="32"/>
      <c r="CA12" s="32"/>
      <c r="CB12" s="32"/>
      <c r="CC12" s="32"/>
      <c r="CD12" s="32"/>
      <c r="CE12" s="32"/>
      <c r="CF12" s="32"/>
      <c r="CG12" s="32"/>
      <c r="CH12" s="32"/>
      <c r="CI12" s="32"/>
      <c r="CJ12" s="32"/>
      <c r="CK12" s="32"/>
      <c r="CL12" s="32"/>
      <c r="CM12" s="32"/>
      <c r="CN12" s="32"/>
      <c r="CO12" s="32"/>
      <c r="CP12" s="32"/>
      <c r="CQ12" s="32"/>
      <c r="CR12" s="32"/>
      <c r="CS12" s="32"/>
      <c r="CT12" s="32"/>
      <c r="CU12" s="32"/>
      <c r="CV12" s="32"/>
      <c r="CW12" s="32"/>
      <c r="CX12" s="32"/>
      <c r="CY12" s="32"/>
      <c r="CZ12" s="32"/>
      <c r="DA12" s="32"/>
      <c r="DB12" s="32"/>
      <c r="DC12" s="32"/>
      <c r="DD12" s="32"/>
      <c r="DE12" s="32"/>
      <c r="DF12" s="32"/>
      <c r="DG12" s="32"/>
      <c r="DH12" s="32"/>
      <c r="DI12" s="32"/>
      <c r="DJ12" s="32"/>
      <c r="DK12" s="32"/>
      <c r="DL12" s="32"/>
      <c r="DM12" s="32"/>
      <c r="DN12" s="32"/>
      <c r="DO12" s="32"/>
      <c r="DP12" s="32"/>
      <c r="DQ12" s="32"/>
      <c r="DR12" s="32"/>
      <c r="DS12" s="32"/>
      <c r="DT12" s="32"/>
      <c r="DU12" s="32"/>
      <c r="DV12" s="32"/>
      <c r="DW12" s="32"/>
      <c r="DX12" s="32"/>
      <c r="DY12" s="32"/>
      <c r="DZ12" s="32"/>
      <c r="EA12" s="32"/>
      <c r="EB12" s="32"/>
      <c r="EC12" s="32"/>
      <c r="ED12" s="32"/>
      <c r="EE12" s="32"/>
      <c r="EF12" s="32"/>
      <c r="EG12" s="32"/>
      <c r="EH12" s="32"/>
      <c r="EI12" s="32"/>
      <c r="EJ12" s="32"/>
      <c r="EK12" s="32"/>
      <c r="EL12" s="32"/>
      <c r="EM12" s="32"/>
      <c r="EN12" s="32"/>
      <c r="EO12" s="32"/>
      <c r="EP12" s="32"/>
      <c r="EQ12" s="32"/>
      <c r="ER12" s="32"/>
      <c r="ES12" s="32"/>
      <c r="ET12" s="32"/>
      <c r="EU12" s="32"/>
      <c r="EV12" s="32"/>
      <c r="EW12" s="32"/>
      <c r="EX12" s="32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Date")</f>
        <v>Copy Date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9">
        <f t="shared" ref="B6:C6" si="1">today()-1</f>
        <v>45104</v>
      </c>
      <c r="C6" s="39">
        <f t="shared" si="1"/>
        <v>45104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GetForexConversion!$4:$4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IFERROR(__xludf.DUMMYFUNCTION("""COMPUTED_VALUE"""),"From Currency")</f>
        <v>From Currency</v>
      </c>
      <c r="C5" s="28" t="str">
        <f>IFERROR(__xludf.DUMMYFUNCTION("""COMPUTED_VALUE"""),"To Currency")</f>
        <v>To Currency</v>
      </c>
      <c r="D5" s="28" t="str">
        <f>IFERROR(__xludf.DUMMYFUNCTION("""COMPUTED_VALUE"""),"Symbol")</f>
        <v>Symbol</v>
      </c>
      <c r="E5" s="28" t="str">
        <f>IFERROR(__xludf.DUMMYFUNCTION("""COMPUTED_VALUE"""),"Price")</f>
        <v>Price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0" t="s">
        <v>36</v>
      </c>
      <c r="C6" s="38" t="s">
        <v>37</v>
      </c>
      <c r="D6" s="31" t="s">
        <v>38</v>
      </c>
      <c r="E6" s="37">
        <v>1.2</v>
      </c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UpdateForexConversion!$4:$4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1">
        <f t="shared" ref="B6:C6" si="1">today()-1</f>
        <v>45104</v>
      </c>
      <c r="C6" s="42">
        <f t="shared" si="1"/>
        <v>45104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0" t="s">
        <v>23</v>
      </c>
      <c r="C6" s="38" t="s">
        <v>36</v>
      </c>
      <c r="D6" s="43">
        <v>1.9694313E7</v>
      </c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UpdateMultipleDailyCash!$4:$4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41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 t="str">
        <f>IFERROR(__xludf.DUMMYFUNCTION("""COMPUTED_VALUE"""),"NavImpactingComponent")</f>
        <v>NavImpactingComponent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IFERROR(__xludf.DUMMYFUNCTION("""COMPUTED_VALUE"""),"Account/Groups")</f>
        <v>Account/Groups</v>
      </c>
      <c r="C5" s="28" t="str">
        <f>IFERROR(__xludf.DUMMYFUNCTION("""COMPUTED_VALUE"""),"Account Positions")</f>
        <v>Account Positions</v>
      </c>
      <c r="D5" s="28" t="str">
        <f>IFERROR(__xludf.DUMMYFUNCTION("""COMPUTED_VALUE"""),"Calculation Level")</f>
        <v>Calculation Level</v>
      </c>
      <c r="E5" s="28" t="str">
        <f>IFERROR(__xludf.DUMMYFUNCTION("""COMPUTED_VALUE"""),"Refresh")</f>
        <v>Refresh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4" t="s">
        <v>23</v>
      </c>
      <c r="C6" s="45" t="s">
        <v>43</v>
      </c>
      <c r="D6" s="44" t="s">
        <v>44</v>
      </c>
      <c r="E6" s="45" t="s">
        <v>45</v>
      </c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FetchAccountPositions!$4:$4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41</v>
      </c>
      <c r="D3" s="5" t="s">
        <v>9</v>
      </c>
      <c r="E3" s="23" t="s">
        <v>46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 t="str">
        <f>IFERROR(__xludf.DUMMYFUNCTION("""COMPUTED_VALUE"""),"NavImpactingComponent")</f>
        <v>NavImpactingComponent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IFERROR(__xludf.DUMMYFUNCTION("""COMPUTED_VALUE"""),"Cash Flow(USD)")</f>
        <v>Cash Flow(USD)</v>
      </c>
      <c r="C5" s="28" t="str">
        <f>IFERROR(__xludf.DUMMYFUNCTION("""COMPUTED_VALUE"""),"Cash Flow Impact on NAV")</f>
        <v>Cash Flow Impact on NAV</v>
      </c>
      <c r="D5" s="28" t="str">
        <f>IFERROR(__xludf.DUMMYFUNCTION("""COMPUTED_VALUE"""),"Select Model")</f>
        <v>Select Model</v>
      </c>
      <c r="E5" s="28" t="str">
        <f>IFERROR(__xludf.DUMMYFUNCTION("""COMPUTED_VALUE"""),"Custom Cash Flow")</f>
        <v>Custom Cash Flow</v>
      </c>
      <c r="F5" s="29" t="str">
        <f>IFERROR(__xludf.DUMMYFUNCTION("""COMPUTED_VALUE"""),"MasterFund Groups")</f>
        <v>MasterFund Groups</v>
      </c>
      <c r="G5" s="28" t="str">
        <f>IFERROR(__xludf.DUMMYFUNCTION("""COMPUTED_VALUE"""),"Accounts")</f>
        <v>Accounts</v>
      </c>
      <c r="H5" s="28" t="str">
        <f>IFERROR(__xludf.DUMMYFUNCTION("""COMPUTED_VALUE"""),"Cash Flow Account Wise")</f>
        <v>Cash Flow Account Wise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6"/>
      <c r="B6" s="47">
        <v>100000.0</v>
      </c>
      <c r="C6" s="45" t="s">
        <v>47</v>
      </c>
      <c r="D6" s="44" t="s">
        <v>48</v>
      </c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41</v>
      </c>
      <c r="D3" s="5" t="s">
        <v>9</v>
      </c>
      <c r="E3" s="23" t="s">
        <v>49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 t="str">
        <f>IFERROR(__xludf.DUMMYFUNCTION("""COMPUTED_VALUE"""),"NavImpactingComponent")</f>
        <v>NavImpactingComponent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IFERROR(__xludf.DUMMYFUNCTION("""COMPUTED_VALUE"""),"Rounding Type")</f>
        <v>Rounding Type</v>
      </c>
      <c r="C5" s="28" t="str">
        <f>IFERROR(__xludf.DUMMYFUNCTION("""COMPUTED_VALUE"""),"Rebalance")</f>
        <v>Rebalance</v>
      </c>
      <c r="D5" s="28" t="str">
        <f>IFERROR(__xludf.DUMMYFUNCTION("""COMPUTED_VALUE"""),"Round Lot")</f>
        <v>Round Lot</v>
      </c>
      <c r="E5" s="28" t="str">
        <f>IFERROR(__xludf.DUMMYFUNCTION("""COMPUTED_VALUE"""),"AllowNegCash")</f>
        <v>AllowNegCash</v>
      </c>
      <c r="F5" s="29" t="str">
        <f>IFERROR(__xludf.DUMMYFUNCTION("""COMPUTED_VALUE"""),"SellToRaiseCash")</f>
        <v>SellToRaiseCash</v>
      </c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8" t="s">
        <v>50</v>
      </c>
      <c r="C6" s="32"/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RunRebalance!$4:$4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41</v>
      </c>
      <c r="D3" s="5" t="s">
        <v>9</v>
      </c>
      <c r="E3" s="23" t="s">
        <v>51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 t="str">
        <f>IFERROR(__xludf.DUMMYFUNCTION("""COMPUTED_VALUE"""),"NavImpactingComponent")</f>
        <v>NavImpactingComponent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IFERROR(__xludf.DUMMYFUNCTION("""COMPUTED_VALUE"""),"Alert Type")</f>
        <v>Alert Type</v>
      </c>
      <c r="C5" s="28" t="str">
        <f>IFERROR(__xludf.DUMMYFUNCTION("""COMPUTED_VALUE"""),"Rule Name")</f>
        <v>Rule Name</v>
      </c>
      <c r="D5" s="28" t="str">
        <f>IFERROR(__xludf.DUMMYFUNCTION("""COMPUTED_VALUE"""),"Description of Rule")</f>
        <v>Description of Rule</v>
      </c>
      <c r="E5" s="28" t="str">
        <f>IFERROR(__xludf.DUMMYFUNCTION("""COMPUTED_VALUE"""),"Dimensions")</f>
        <v>Dimensions</v>
      </c>
      <c r="F5" s="29" t="str">
        <f>IFERROR(__xludf.DUMMYFUNCTION("""COMPUTED_VALUE"""),"Threshold")</f>
        <v>Threshold</v>
      </c>
      <c r="G5" s="28" t="str">
        <f>IFERROR(__xludf.DUMMYFUNCTION("""COMPUTED_VALUE"""),"Actual Result")</f>
        <v>Actual Result</v>
      </c>
      <c r="H5" s="28" t="str">
        <f>IFERROR(__xludf.DUMMYFUNCTION("""COMPUTED_VALUE"""),"Comments")</f>
        <v>Comments</v>
      </c>
      <c r="I5" s="28" t="str">
        <f>IFERROR(__xludf.DUMMYFUNCTION("""COMPUTED_VALUE"""),"User Notes")</f>
        <v>User Notes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9"/>
      <c r="B6" s="50" t="s">
        <v>52</v>
      </c>
      <c r="C6" s="51" t="s">
        <v>53</v>
      </c>
      <c r="D6" s="52" t="s">
        <v>54</v>
      </c>
      <c r="E6" s="51" t="s">
        <v>55</v>
      </c>
      <c r="F6" s="51">
        <v>-10.0</v>
      </c>
      <c r="G6" s="51">
        <v>0.54</v>
      </c>
      <c r="H6" s="53" t="s">
        <v>56</v>
      </c>
      <c r="I6" s="54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CheckBasketCompliance!$4:$4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41</v>
      </c>
      <c r="D3" s="5" t="s">
        <v>9</v>
      </c>
      <c r="E3" s="23" t="s">
        <v>57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 t="str">
        <f>IFERROR(__xludf.DUMMYFUNCTION("""COMPUTED_VALUE"""),"NavImpactingComponent")</f>
        <v>NavImpactingComponent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IFERROR(__xludf.DUMMYFUNCTION("""COMPUTED_VALUE"""),"Side")</f>
        <v>Side</v>
      </c>
      <c r="D5" s="28" t="str">
        <f>IFERROR(__xludf.DUMMYFUNCTION("""COMPUTED_VALUE"""),"Symbol")</f>
        <v>Symbol</v>
      </c>
      <c r="E5" s="28" t="str">
        <f>IFERROR(__xludf.DUMMYFUNCTION("""COMPUTED_VALUE"""),"Quantity")</f>
        <v>Quantity</v>
      </c>
      <c r="F5" s="29" t="str">
        <f>IFERROR(__xludf.DUMMYFUNCTION("""COMPUTED_VALUE"""),"Price (Local)")</f>
        <v>Price (Local)</v>
      </c>
      <c r="G5" s="28" t="str">
        <f>IFERROR(__xludf.DUMMYFUNCTION("""COMPUTED_VALUE"""),"Buy/Sell Value (Base)")</f>
        <v>Buy/Sell Value (Base)</v>
      </c>
      <c r="H5" s="28" t="str">
        <f>IFERROR(__xludf.DUMMYFUNCTION("""COMPUTED_VALUE"""),"Comments")</f>
        <v>Comments</v>
      </c>
      <c r="I5" s="28" t="str">
        <f>IFERROR(__xludf.DUMMYFUNCTION("""COMPUTED_VALUE"""),"AllowTrade")</f>
        <v>AllowTrade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55" t="s">
        <v>23</v>
      </c>
      <c r="C6" s="56" t="s">
        <v>22</v>
      </c>
      <c r="D6" s="57">
        <v>1.23456789E8</v>
      </c>
      <c r="E6" s="58">
        <v>1.0</v>
      </c>
      <c r="F6" s="58">
        <v>20.0</v>
      </c>
      <c r="G6" s="58">
        <v>0.0</v>
      </c>
      <c r="H6" s="32"/>
      <c r="I6" s="38" t="s">
        <v>24</v>
      </c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56" t="s">
        <v>23</v>
      </c>
      <c r="C7" s="56" t="s">
        <v>22</v>
      </c>
      <c r="D7" s="56" t="s">
        <v>29</v>
      </c>
      <c r="E7" s="58">
        <v>1.0</v>
      </c>
      <c r="F7" s="58">
        <v>20.0</v>
      </c>
      <c r="G7" s="58">
        <v>20.0</v>
      </c>
      <c r="H7" s="32"/>
      <c r="I7" s="38" t="s">
        <v>24</v>
      </c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32"/>
      <c r="B8" s="56" t="s">
        <v>23</v>
      </c>
      <c r="C8" s="56" t="s">
        <v>22</v>
      </c>
      <c r="D8" s="56" t="s">
        <v>21</v>
      </c>
      <c r="E8" s="58">
        <v>1.0</v>
      </c>
      <c r="F8" s="58">
        <v>20.0</v>
      </c>
      <c r="G8" s="58">
        <v>17.0</v>
      </c>
      <c r="H8" s="32"/>
      <c r="I8" s="38" t="s">
        <v>24</v>
      </c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</row>
    <row r="9" ht="15.75" customHeight="1">
      <c r="A9" s="32"/>
      <c r="B9" s="56" t="s">
        <v>23</v>
      </c>
      <c r="C9" s="56" t="s">
        <v>22</v>
      </c>
      <c r="D9" s="56" t="s">
        <v>25</v>
      </c>
      <c r="E9" s="58">
        <v>1.0</v>
      </c>
      <c r="F9" s="58">
        <v>20.0</v>
      </c>
      <c r="G9" s="58">
        <v>20.0</v>
      </c>
      <c r="H9" s="32"/>
      <c r="I9" s="38" t="s">
        <v>24</v>
      </c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2"/>
      <c r="AU9" s="32"/>
      <c r="AV9" s="32"/>
      <c r="AW9" s="32"/>
      <c r="AX9" s="32"/>
      <c r="AY9" s="32"/>
      <c r="AZ9" s="32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2"/>
      <c r="BP9" s="32"/>
      <c r="BQ9" s="32"/>
      <c r="BR9" s="32"/>
      <c r="BS9" s="32"/>
      <c r="BT9" s="32"/>
      <c r="BU9" s="32"/>
      <c r="BV9" s="32"/>
      <c r="BW9" s="32"/>
      <c r="BX9" s="32"/>
      <c r="BY9" s="32"/>
      <c r="BZ9" s="32"/>
      <c r="CA9" s="32"/>
      <c r="CB9" s="32"/>
      <c r="CC9" s="32"/>
      <c r="CD9" s="32"/>
      <c r="CE9" s="32"/>
      <c r="CF9" s="32"/>
      <c r="CG9" s="32"/>
      <c r="CH9" s="32"/>
      <c r="CI9" s="32"/>
      <c r="CJ9" s="32"/>
      <c r="CK9" s="32"/>
      <c r="CL9" s="32"/>
      <c r="CM9" s="32"/>
      <c r="CN9" s="32"/>
      <c r="CO9" s="32"/>
      <c r="CP9" s="32"/>
      <c r="CQ9" s="32"/>
      <c r="CR9" s="32"/>
      <c r="CS9" s="32"/>
      <c r="CT9" s="32"/>
      <c r="CU9" s="32"/>
      <c r="CV9" s="32"/>
      <c r="CW9" s="32"/>
      <c r="CX9" s="32"/>
      <c r="CY9" s="32"/>
      <c r="CZ9" s="32"/>
      <c r="DA9" s="32"/>
      <c r="DB9" s="32"/>
      <c r="DC9" s="32"/>
      <c r="DD9" s="32"/>
      <c r="DE9" s="32"/>
      <c r="DF9" s="32"/>
      <c r="DG9" s="32"/>
      <c r="DH9" s="32"/>
      <c r="DI9" s="32"/>
      <c r="DJ9" s="32"/>
      <c r="DK9" s="32"/>
      <c r="DL9" s="32"/>
      <c r="DM9" s="32"/>
      <c r="DN9" s="32"/>
      <c r="DO9" s="32"/>
      <c r="DP9" s="32"/>
      <c r="DQ9" s="32"/>
      <c r="DR9" s="32"/>
      <c r="DS9" s="32"/>
      <c r="DT9" s="32"/>
      <c r="DU9" s="32"/>
      <c r="DV9" s="32"/>
      <c r="DW9" s="32"/>
      <c r="DX9" s="32"/>
      <c r="DY9" s="32"/>
      <c r="DZ9" s="32"/>
      <c r="EA9" s="32"/>
      <c r="EB9" s="32"/>
      <c r="EC9" s="32"/>
      <c r="ED9" s="32"/>
      <c r="EE9" s="32"/>
      <c r="EF9" s="32"/>
      <c r="EG9" s="32"/>
      <c r="EH9" s="32"/>
      <c r="EI9" s="32"/>
      <c r="EJ9" s="32"/>
      <c r="EK9" s="32"/>
      <c r="EL9" s="32"/>
      <c r="EM9" s="32"/>
      <c r="EN9" s="32"/>
      <c r="EO9" s="32"/>
      <c r="EP9" s="32"/>
      <c r="EQ9" s="32"/>
      <c r="ER9" s="32"/>
      <c r="ES9" s="32"/>
      <c r="ET9" s="32"/>
      <c r="EU9" s="32"/>
      <c r="EV9" s="32"/>
      <c r="EW9" s="32"/>
      <c r="EX9" s="32"/>
    </row>
    <row r="10" ht="15.75" customHeight="1">
      <c r="A10" s="32"/>
      <c r="B10" s="32"/>
      <c r="C10" s="32"/>
      <c r="D10" s="32"/>
      <c r="E10" s="32"/>
      <c r="F10" s="32"/>
      <c r="G10" s="32"/>
      <c r="H10" s="32"/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2"/>
      <c r="AU10" s="32"/>
      <c r="AV10" s="32"/>
      <c r="AW10" s="32"/>
      <c r="AX10" s="32"/>
      <c r="AY10" s="32"/>
      <c r="AZ10" s="32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2"/>
      <c r="BP10" s="32"/>
      <c r="BQ10" s="32"/>
      <c r="BR10" s="32"/>
      <c r="BS10" s="32"/>
      <c r="BT10" s="32"/>
      <c r="BU10" s="32"/>
      <c r="BV10" s="32"/>
      <c r="BW10" s="32"/>
      <c r="BX10" s="32"/>
      <c r="BY10" s="32"/>
      <c r="BZ10" s="32"/>
      <c r="CA10" s="32"/>
      <c r="CB10" s="32"/>
      <c r="CC10" s="32"/>
      <c r="CD10" s="32"/>
      <c r="CE10" s="32"/>
      <c r="CF10" s="32"/>
      <c r="CG10" s="32"/>
      <c r="CH10" s="32"/>
      <c r="CI10" s="32"/>
      <c r="CJ10" s="32"/>
      <c r="CK10" s="32"/>
      <c r="CL10" s="32"/>
      <c r="CM10" s="32"/>
      <c r="CN10" s="32"/>
      <c r="CO10" s="32"/>
      <c r="CP10" s="32"/>
      <c r="CQ10" s="32"/>
      <c r="CR10" s="32"/>
      <c r="CS10" s="32"/>
      <c r="CT10" s="32"/>
      <c r="CU10" s="32"/>
      <c r="CV10" s="32"/>
      <c r="CW10" s="32"/>
      <c r="CX10" s="32"/>
      <c r="CY10" s="32"/>
      <c r="CZ10" s="32"/>
      <c r="DA10" s="32"/>
      <c r="DB10" s="32"/>
      <c r="DC10" s="32"/>
      <c r="DD10" s="32"/>
      <c r="DE10" s="32"/>
      <c r="DF10" s="32"/>
      <c r="DG10" s="32"/>
      <c r="DH10" s="32"/>
      <c r="DI10" s="32"/>
      <c r="DJ10" s="32"/>
      <c r="DK10" s="32"/>
      <c r="DL10" s="32"/>
      <c r="DM10" s="32"/>
      <c r="DN10" s="32"/>
      <c r="DO10" s="32"/>
      <c r="DP10" s="32"/>
      <c r="DQ10" s="32"/>
      <c r="DR10" s="32"/>
      <c r="DS10" s="32"/>
      <c r="DT10" s="32"/>
      <c r="DU10" s="32"/>
      <c r="DV10" s="32"/>
      <c r="DW10" s="32"/>
      <c r="DX10" s="32"/>
      <c r="DY10" s="32"/>
      <c r="DZ10" s="32"/>
      <c r="EA10" s="32"/>
      <c r="EB10" s="32"/>
      <c r="EC10" s="32"/>
      <c r="ED10" s="32"/>
      <c r="EE10" s="32"/>
      <c r="EF10" s="32"/>
      <c r="EG10" s="32"/>
      <c r="EH10" s="32"/>
      <c r="EI10" s="32"/>
      <c r="EJ10" s="32"/>
      <c r="EK10" s="32"/>
      <c r="EL10" s="32"/>
      <c r="EM10" s="32"/>
      <c r="EN10" s="32"/>
      <c r="EO10" s="32"/>
      <c r="EP10" s="32"/>
      <c r="EQ10" s="32"/>
      <c r="ER10" s="32"/>
      <c r="ES10" s="32"/>
      <c r="ET10" s="32"/>
      <c r="EU10" s="32"/>
      <c r="EV10" s="32"/>
      <c r="EW10" s="32"/>
      <c r="EX10" s="32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SendToStagingExport!$4:$4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58</v>
      </c>
      <c r="D3" s="5" t="s">
        <v>9</v>
      </c>
      <c r="E3" s="23" t="s">
        <v>59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IFERROR(__xludf.DUMMYFUNCTION("""COMPUTED_VALUE"""),"ReAllocateFromBlotterByAllocate")</f>
        <v>ReAllocateFromBlotterByAllocate</v>
      </c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59" t="s">
        <v>21</v>
      </c>
      <c r="E6" s="32"/>
      <c r="F6" s="32" t="s">
        <v>22</v>
      </c>
      <c r="G6" s="32" t="s">
        <v>60</v>
      </c>
      <c r="H6" s="37">
        <v>1.0</v>
      </c>
      <c r="I6" s="32"/>
      <c r="J6" s="32"/>
      <c r="K6" s="32"/>
      <c r="L6" s="32"/>
      <c r="M6" s="32"/>
      <c r="N6" s="32"/>
      <c r="O6" s="32"/>
      <c r="P6" s="32"/>
      <c r="Q6" s="32" t="s">
        <v>61</v>
      </c>
      <c r="R6" s="32" t="s">
        <v>23</v>
      </c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58</v>
      </c>
      <c r="D3" s="5" t="s">
        <v>9</v>
      </c>
      <c r="E3" s="23" t="s">
        <v>62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IFERROR(__xludf.DUMMYFUNCTION("""COMPUTED_VALUE"""),"ReAllocateFromBlotterByAllocate")</f>
        <v>ReAllocateFromBlotterByAllocate</v>
      </c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59" t="s">
        <v>21</v>
      </c>
      <c r="AJ6" s="32" t="s">
        <v>22</v>
      </c>
      <c r="AK6" s="32" t="s">
        <v>60</v>
      </c>
      <c r="AL6" s="36">
        <v>1.0</v>
      </c>
      <c r="AM6" s="32"/>
      <c r="AN6" s="32"/>
      <c r="AO6" s="32"/>
      <c r="AP6" s="32"/>
      <c r="AQ6" s="32"/>
      <c r="AR6" s="32"/>
      <c r="AS6" s="32" t="s">
        <v>61</v>
      </c>
      <c r="AT6" s="32" t="s">
        <v>23</v>
      </c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EditOrder!$4:$4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63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IFERROR(__xludf.DUMMYFUNCTION("""COMPUTED_VALUE"""),"Button")</f>
        <v>Button</v>
      </c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5">
        <v>100.0</v>
      </c>
      <c r="E6" s="32"/>
      <c r="F6" s="32"/>
      <c r="G6" s="32"/>
      <c r="H6" s="32"/>
      <c r="I6" s="32"/>
      <c r="J6" s="37">
        <v>20.0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 t="s">
        <v>24</v>
      </c>
      <c r="AR6" s="32"/>
      <c r="AS6" s="32"/>
      <c r="AT6" s="32"/>
      <c r="AU6" s="32"/>
      <c r="AV6" s="32"/>
      <c r="AW6" s="32"/>
      <c r="AX6" s="32" t="s">
        <v>64</v>
      </c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CreateComplianceOrder!$4:$4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65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IFERROR(__xludf.DUMMYFUNCTION("""COMPUTED_VALUE"""),"Alert Type")</f>
        <v>Alert Type</v>
      </c>
      <c r="C5" s="28" t="str">
        <f>IFERROR(__xludf.DUMMYFUNCTION("""COMPUTED_VALUE"""),"Rule Name")</f>
        <v>Rule Name</v>
      </c>
      <c r="D5" s="28" t="str">
        <f>IFERROR(__xludf.DUMMYFUNCTION("""COMPUTED_VALUE"""),"Description of Rule")</f>
        <v>Description of Rule</v>
      </c>
      <c r="E5" s="28" t="str">
        <f>IFERROR(__xludf.DUMMYFUNCTION("""COMPUTED_VALUE"""),"Dimensions")</f>
        <v>Dimensions</v>
      </c>
      <c r="F5" s="29" t="str">
        <f>IFERROR(__xludf.DUMMYFUNCTION("""COMPUTED_VALUE"""),"Threshold")</f>
        <v>Threshold</v>
      </c>
      <c r="G5" s="28" t="str">
        <f>IFERROR(__xludf.DUMMYFUNCTION("""COMPUTED_VALUE"""),"Actual Result")</f>
        <v>Actual Result</v>
      </c>
      <c r="H5" s="28" t="str">
        <f>IFERROR(__xludf.DUMMYFUNCTION("""COMPUTED_VALUE"""),"Comments")</f>
        <v>Comments</v>
      </c>
      <c r="I5" s="28" t="str">
        <f>IFERROR(__xludf.DUMMYFUNCTION("""COMPUTED_VALUE"""),"User Notes")</f>
        <v>User Notes</v>
      </c>
      <c r="J5" s="28" t="str">
        <f>IFERROR(__xludf.DUMMYFUNCTION("""COMPUTED_VALUE"""),"Write UserNote")</f>
        <v>Write UserNote</v>
      </c>
      <c r="K5" s="28" t="str">
        <f>IFERROR(__xludf.DUMMYFUNCTION("""COMPUTED_VALUE"""),"AllowTrade")</f>
        <v>AllowTrade</v>
      </c>
      <c r="L5" s="28" t="str">
        <f>IFERROR(__xludf.DUMMYFUNCTION("""COMPUTED_VALUE"""),"ClickonMultiple")</f>
        <v>ClickonMultiple</v>
      </c>
      <c r="M5" s="28" t="str">
        <f>IFERROR(__xludf.DUMMYFUNCTION("""COMPUTED_VALUE"""),"Trade")</f>
        <v>Trade</v>
      </c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9"/>
      <c r="B6" s="50" t="s">
        <v>52</v>
      </c>
      <c r="C6" s="51" t="s">
        <v>53</v>
      </c>
      <c r="D6" s="52" t="s">
        <v>54</v>
      </c>
      <c r="E6" s="51" t="s">
        <v>55</v>
      </c>
      <c r="F6" s="51">
        <v>-10.0</v>
      </c>
      <c r="G6" s="51">
        <v>0.55</v>
      </c>
      <c r="H6" s="53" t="s">
        <v>66</v>
      </c>
      <c r="I6" s="54"/>
      <c r="J6" s="32"/>
      <c r="K6" s="38" t="s">
        <v>24</v>
      </c>
      <c r="L6" s="32"/>
      <c r="M6" s="38" t="s">
        <v>64</v>
      </c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VerifyComplianceOrder!$4:$4</formula1>
    </dataValidation>
  </dataValidations>
  <drawing r:id="rId1"/>
</worksheet>
</file>