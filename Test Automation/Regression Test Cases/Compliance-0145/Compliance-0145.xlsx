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SelectTradeOnOrderGrid" sheetId="9" r:id="rId11"/>
    <sheet state="visible" name="AddFillsSubOrder" sheetId="10" r:id="rId12"/>
    <sheet state="visible" name="EditAddFillsDetails" sheetId="11" r:id="rId13"/>
    <sheet state="visible" name="SelectTradeOnOrderGrid1" sheetId="12" r:id="rId14"/>
    <sheet state="visible" name="AddFillsSubOrder1" sheetId="13" r:id="rId15"/>
    <sheet state="visible" name="EditAddFillsDetails1" sheetId="14" r:id="rId16"/>
    <sheet state="visible" name="SelectTradeOnOrderGrid2" sheetId="15" r:id="rId17"/>
    <sheet state="visible" name="AddFillsSubOrder2" sheetId="16" r:id="rId18"/>
    <sheet state="visible" name="EditAddFillsDetails2" sheetId="17" r:id="rId19"/>
    <sheet state="visible" name="SelectTradeOnOrderGrid4" sheetId="18" r:id="rId20"/>
    <sheet state="visible" name="ReplaceSubOrder" sheetId="19" r:id="rId21"/>
    <sheet state="visible" name="CreateReplaceOrder" sheetId="20" r:id="rId22"/>
    <sheet state="visible" name="VerifyRowCalculationBaseWindow" sheetId="21" r:id="rId23"/>
    <sheet state="visible" name="SelectTradeOnOrderGrid3" sheetId="22" r:id="rId24"/>
    <sheet state="visible" name="RemoveManualExecution" sheetId="23" r:id="rId25"/>
    <sheet state="visible" name="RemoveStageOrder" sheetId="24" r:id="rId26"/>
    <sheet state="visible" name="CreateDoneAwayOrder1" sheetId="25" r:id="rId27"/>
    <sheet state="visible" name="VerifyRowCalculationBaseWindow1" sheetId="26" r:id="rId28"/>
  </sheets>
  <definedNames/>
  <calcPr/>
</workbook>
</file>

<file path=xl/sharedStrings.xml><?xml version="1.0" encoding="utf-8"?>
<sst xmlns="http://schemas.openxmlformats.org/spreadsheetml/2006/main" count="357" uniqueCount="52">
  <si>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</si>
  <si>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</si>
  <si>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</si>
  <si>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</si>
  <si>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</si>
  <si>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</si>
  <si>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</si>
  <si>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</si>
  <si>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</si>
  <si>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</si>
  <si>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</si>
  <si>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</si>
  <si>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</si>
  <si>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</si>
  <si>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</si>
  <si>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</si>
  <si>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</si>
  <si>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</si>
  <si>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</si>
  <si>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</si>
  <si>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</si>
  <si>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</si>
  <si>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</si>
  <si>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</si>
  <si>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</si>
  <si>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</si>
  <si>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</si>
  <si>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</si>
  <si>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TY</t>
  </si>
  <si>
    <t>Buy</t>
  </si>
  <si>
    <t>Yes</t>
  </si>
  <si>
    <t>Blotter</t>
  </si>
  <si>
    <t>SelectTradeOnOrderGrid</t>
  </si>
  <si>
    <t>New</t>
  </si>
  <si>
    <t>Multiple</t>
  </si>
  <si>
    <t>Market</t>
  </si>
  <si>
    <t>AddFillsSubOrder</t>
  </si>
  <si>
    <t>EditAddFillsDetails</t>
  </si>
  <si>
    <t>PartiallyFilled</t>
  </si>
  <si>
    <t>ReplaceSubOrder</t>
  </si>
  <si>
    <t>CreateReplaceOrder</t>
  </si>
  <si>
    <t>Compliance</t>
  </si>
  <si>
    <t>VerifyRowCalculationBaseWindow</t>
  </si>
  <si>
    <t>InTradeMarket</t>
  </si>
  <si>
    <t>NewMF</t>
  </si>
  <si>
    <t>Equity</t>
  </si>
  <si>
    <t>NASDAQ</t>
  </si>
  <si>
    <t>NewMF1</t>
  </si>
  <si>
    <t>Post</t>
  </si>
  <si>
    <t>RemoveManualExecution</t>
  </si>
  <si>
    <t>Replaced</t>
  </si>
  <si>
    <t>RemoveStageOrder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</si>
</sst>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4" numFmtId="0" xfId="0" applyAlignment="1" applyBorder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6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16</v>
      </c>
      <c r="C6" s="32" t="s">
        <v>18</v>
      </c>
      <c r="D6" s="33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34" t="s">
        <v>19</v>
      </c>
      <c r="D7" s="3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IFERROR(__xludf.DUMMYFUNCTION("""COMPUTED_VALUE"""),"StrategyName")</f>
        <v>StrategyName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16</v>
      </c>
      <c r="C6" s="32" t="s">
        <v>18</v>
      </c>
      <c r="D6" s="32" t="s">
        <v>21</v>
      </c>
      <c r="E6" s="33">
        <v>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16</v>
      </c>
      <c r="C7" s="38" t="s">
        <v>18</v>
      </c>
      <c r="D7" s="34" t="s">
        <v>22</v>
      </c>
      <c r="E7" s="35">
        <v>25.0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16</v>
      </c>
      <c r="C8" s="34" t="s">
        <v>19</v>
      </c>
      <c r="D8" s="34" t="s">
        <v>21</v>
      </c>
      <c r="E8" s="35">
        <v>50.0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16</v>
      </c>
      <c r="C9" s="34" t="s">
        <v>19</v>
      </c>
      <c r="D9" s="34" t="s">
        <v>22</v>
      </c>
      <c r="E9" s="35">
        <v>50.0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9"/>
      <c r="B6" s="32" t="s">
        <v>24</v>
      </c>
      <c r="C6" s="32"/>
      <c r="D6" s="40" t="s">
        <v>25</v>
      </c>
      <c r="E6" s="32"/>
      <c r="F6" s="32"/>
      <c r="G6" s="41" t="b">
        <v>0</v>
      </c>
      <c r="H6" s="4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4"/>
      <c r="B6" s="34" t="s">
        <v>28</v>
      </c>
      <c r="C6" s="34" t="s">
        <v>29</v>
      </c>
      <c r="D6" s="35">
        <v>100.0</v>
      </c>
      <c r="E6" s="43">
        <v>0.0</v>
      </c>
      <c r="F6" s="34" t="s">
        <v>16</v>
      </c>
      <c r="G6" s="34"/>
      <c r="H6" s="34"/>
      <c r="I6" s="34"/>
      <c r="J6" s="35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30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0.0</v>
      </c>
      <c r="C6" s="8"/>
      <c r="D6" s="13" t="s">
        <v>28</v>
      </c>
      <c r="E6" s="8"/>
      <c r="F6" s="13" t="s">
        <v>29</v>
      </c>
      <c r="G6" s="13" t="s">
        <v>33</v>
      </c>
      <c r="H6" s="13">
        <v>100.0</v>
      </c>
      <c r="I6" s="13"/>
      <c r="J6" s="8"/>
      <c r="K6" s="8"/>
      <c r="L6" s="8"/>
      <c r="M6" s="8"/>
      <c r="N6" s="8"/>
      <c r="O6" s="8"/>
      <c r="R6" s="9" t="s">
        <v>34</v>
      </c>
      <c r="T6" s="9" t="s">
        <v>35</v>
      </c>
      <c r="A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IFERROR(__xludf.DUMMYFUNCTION("""COMPUTED_VALUE"""),"Quantity")</f>
        <v>Quantity</v>
      </c>
      <c r="I5" s="29" t="str">
        <f>IFERROR(__xludf.DUMMYFUNCTION("""COMPUTED_VALUE"""),"Executed Qty")</f>
        <v>Executed Qty</v>
      </c>
      <c r="J5" s="29" t="str">
        <f>IFERROR(__xludf.DUMMYFUNCTION("""COMPUTED_VALUE"""),"Limit Price")</f>
        <v>Limit Price</v>
      </c>
      <c r="K5" s="29" t="str">
        <f>IFERROR(__xludf.DUMMYFUNCTION("""COMPUTED_VALUE"""),"Last Fill Price (Local)")</f>
        <v>Last Fill Price (Local)</v>
      </c>
      <c r="L5" s="29" t="str">
        <f>IFERROR(__xludf.DUMMYFUNCTION("""COMPUTED_VALUE"""),"Stop Price")</f>
        <v>Stop Price</v>
      </c>
      <c r="M5" s="29" t="str">
        <f>IFERROR(__xludf.DUMMYFUNCTION("""COMPUTED_VALUE"""),"Avg Fill Price (Local)")</f>
        <v>Avg Fill Price (Local)</v>
      </c>
      <c r="N5" s="29" t="str">
        <f>IFERROR(__xludf.DUMMYFUNCTION("""COMPUTED_VALUE"""),"Broker")</f>
        <v>Broker</v>
      </c>
      <c r="O5" s="29" t="str">
        <f>IFERROR(__xludf.DUMMYFUNCTION("""COMPUTED_VALUE"""),"Account")</f>
        <v>Account</v>
      </c>
      <c r="P5" s="29" t="str">
        <f>IFERROR(__xludf.DUMMYFUNCTION("""COMPUTED_VALUE"""),"OrderID")</f>
        <v>OrderID</v>
      </c>
      <c r="Q5" s="29" t="str">
        <f>IFERROR(__xludf.DUMMYFUNCTION("""COMPUTED_VALUE"""),"Order Type")</f>
        <v>Order Type</v>
      </c>
      <c r="R5" s="29" t="str">
        <f>IFERROR(__xludf.DUMMYFUNCTION("""COMPUTED_VALUE"""),"Principal Amount (Local)")</f>
        <v>Principal Amount (Local)</v>
      </c>
      <c r="S5" s="29" t="str">
        <f>IFERROR(__xludf.DUMMYFUNCTION("""COMPUTED_VALUE"""),"Principal Amount (Base)")</f>
        <v>Principal Amount (Base)</v>
      </c>
      <c r="T5" s="31" t="str">
        <f>IFERROR(__xludf.DUMMYFUNCTION("""COMPUTED_VALUE"""),"Peg")</f>
        <v>Peg</v>
      </c>
      <c r="U5" s="31" t="str">
        <f>IFERROR(__xludf.DUMMYFUNCTION("""COMPUTED_VALUE"""),"ParentClOrderID")</f>
        <v>ParentClOrderID</v>
      </c>
      <c r="V5" s="31" t="str">
        <f>IFERROR(__xludf.DUMMYFUNCTION("""COMPUTED_VALUE"""),"Strike Price")</f>
        <v>Strike Price</v>
      </c>
      <c r="W5" s="31" t="str">
        <f>IFERROR(__xludf.DUMMYFUNCTION("""COMPUTED_VALUE"""),"Last Shares")</f>
        <v>Last Shares</v>
      </c>
      <c r="X5" s="31" t="str">
        <f>IFERROR(__xludf.DUMMYFUNCTION("""COMPUTED_VALUE"""),"Working Qty")</f>
        <v>Working Qty</v>
      </c>
      <c r="Y5" s="31" t="str">
        <f>IFERROR(__xludf.DUMMYFUNCTION("""COMPUTED_VALUE"""),"Bloomberg Symbol")</f>
        <v>Bloomberg Symbol</v>
      </c>
      <c r="Z5" s="31" t="str">
        <f>IFERROR(__xludf.DUMMYFUNCTION("""COMPUTED_VALUE"""),"Imported File Name")</f>
        <v>Imported File Name</v>
      </c>
      <c r="AA5" s="31" t="str">
        <f>IFERROR(__xludf.DUMMYFUNCTION("""COMPUTED_VALUE"""),"Master Fund")</f>
        <v>Master Fund</v>
      </c>
      <c r="AB5" s="31" t="str">
        <f>IFERROR(__xludf.DUMMYFUNCTION("""COMPUTED_VALUE"""),"Asset Class")</f>
        <v>Asset Class</v>
      </c>
      <c r="AC5" s="31" t="str">
        <f>IFERROR(__xludf.DUMMYFUNCTION("""COMPUTED_VALUE"""),"Underlying Country")</f>
        <v>Underlying Country</v>
      </c>
      <c r="AD5" s="31" t="str">
        <f>IFERROR(__xludf.DUMMYFUNCTION("""COMPUTED_VALUE"""),"Trader")</f>
        <v>Trader</v>
      </c>
      <c r="AE5" s="31" t="str">
        <f>IFERROR(__xludf.DUMMYFUNCTION("""COMPUTED_VALUE"""),"User")</f>
        <v>User</v>
      </c>
      <c r="AF5" s="31" t="str">
        <f>IFERROR(__xludf.DUMMYFUNCTION("""COMPUTED_VALUE"""),"Venue")</f>
        <v>Venue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IFERROR(__xludf.DUMMYFUNCTION("""COMPUTED_VALUE"""),"Process Date")</f>
        <v>Process Date</v>
      </c>
      <c r="AJ5" s="31" t="str">
        <f>IFERROR(__xludf.DUMMYFUNCTION("""COMPUTED_VALUE"""),"Underlying Symbol")</f>
        <v>Underlying Symbol</v>
      </c>
      <c r="AK5" s="31" t="str">
        <f>IFERROR(__xludf.DUMMYFUNCTION("""COMPUTED_VALUE"""),"Put/Call")</f>
        <v>Put/Call</v>
      </c>
      <c r="AL5" s="31" t="str">
        <f>IFERROR(__xludf.DUMMYFUNCTION("""COMPUTED_VALUE"""),"FX Rate")</f>
        <v>FX Rate</v>
      </c>
      <c r="AM5" s="31" t="str">
        <f>IFERROR(__xludf.DUMMYFUNCTION("""COMPUTED_VALUE"""),"Trade Attribute 1")</f>
        <v>Trade Attribute 1</v>
      </c>
      <c r="AN5" s="31" t="str">
        <f>IFERROR(__xludf.DUMMYFUNCTION("""COMPUTED_VALUE"""),"Trade Attribute 2")</f>
        <v>Trade Attribute 2</v>
      </c>
      <c r="AO5" s="31" t="str">
        <f>IFERROR(__xludf.DUMMYFUNCTION("""COMPUTED_VALUE"""),"Trade Attribute 3")</f>
        <v>Trade Attribute 3</v>
      </c>
      <c r="AP5" s="31" t="str">
        <f>IFERROR(__xludf.DUMMYFUNCTION("""COMPUTED_VALUE"""),"Trade Attribute 4")</f>
        <v>Trade Attribute 4</v>
      </c>
      <c r="AQ5" s="31" t="str">
        <f>IFERROR(__xludf.DUMMYFUNCTION("""COMPUTED_VALUE"""),"Trade Attribute 5")</f>
        <v>Trade Attribute 5</v>
      </c>
      <c r="AR5" s="31" t="str">
        <f>IFERROR(__xludf.DUMMYFUNCTION("""COMPUTED_VALUE"""),"Trade Attribute 6")</f>
        <v>Trade Attribute 6</v>
      </c>
      <c r="AS5" s="31" t="str">
        <f>IFERROR(__xludf.DUMMYFUNCTION("""COMPUTED_VALUE"""),"Internal Comments")</f>
        <v>Internal Comments</v>
      </c>
      <c r="AT5" s="31" t="str">
        <f>IFERROR(__xludf.DUMMYFUNCTION("""COMPUTED_VALUE"""),"Allocation Scheme Name        ")</f>
        <v>Allocation Scheme Name        </v>
      </c>
      <c r="AU5" s="31" t="str">
        <f>IFERROR(__xludf.DUMMYFUNCTION("""COMPUTED_VALUE"""),"Status (With Rollover)")</f>
        <v>Status (With Rollover)</v>
      </c>
      <c r="AV5" s="31" t="str">
        <f>IFERROR(__xludf.DUMMYFUNCTION("""COMPUTED_VALUE"""),"Allocation Status")</f>
        <v>Allocation Status</v>
      </c>
      <c r="AW5" s="31" t="str">
        <f>IFERROR(__xludf.DUMMYFUNCTION("""COMPUTED_VALUE"""),"Source")</f>
        <v>Source</v>
      </c>
      <c r="AX5" s="31" t="str">
        <f>IFERROR(__xludf.DUMMYFUNCTION("""COMPUTED_VALUE"""),"Strategy")</f>
        <v>Strategy</v>
      </c>
      <c r="AY5" s="31" t="str">
        <f>IFERROR(__xludf.DUMMYFUNCTION("""COMPUTED_VALUE"""),"Unexecuted Qty")</f>
        <v>Unexecuted Qty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0.0</v>
      </c>
      <c r="C6" s="8"/>
      <c r="D6" s="13" t="s">
        <v>28</v>
      </c>
      <c r="E6" s="8"/>
      <c r="F6" s="13" t="s">
        <v>29</v>
      </c>
      <c r="G6" s="13" t="s">
        <v>33</v>
      </c>
      <c r="H6" s="13">
        <v>100.0</v>
      </c>
      <c r="I6" s="13"/>
      <c r="J6" s="8"/>
      <c r="K6" s="8"/>
      <c r="L6" s="8"/>
      <c r="M6" s="8"/>
      <c r="N6" s="8"/>
      <c r="O6" s="9" t="s">
        <v>34</v>
      </c>
      <c r="Q6" s="9" t="s">
        <v>35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10.0</v>
      </c>
      <c r="C6" s="13">
        <v>1.0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1.0</v>
      </c>
      <c r="C6" s="8"/>
      <c r="D6" s="13" t="s">
        <v>28</v>
      </c>
      <c r="E6" s="8"/>
      <c r="F6" s="13" t="s">
        <v>29</v>
      </c>
      <c r="G6" s="13" t="s">
        <v>38</v>
      </c>
      <c r="H6" s="13">
        <v>100.0</v>
      </c>
      <c r="I6" s="13">
        <v>10.0</v>
      </c>
      <c r="J6" s="8"/>
      <c r="K6" s="8"/>
      <c r="L6" s="8"/>
      <c r="M6" s="8"/>
      <c r="N6" s="8"/>
      <c r="O6" s="8"/>
      <c r="R6" s="9" t="s">
        <v>34</v>
      </c>
      <c r="T6" s="9" t="s">
        <v>35</v>
      </c>
      <c r="AA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IFERROR(__xludf.DUMMYFUNCTION("""COMPUTED_VALUE"""),"Quantity")</f>
        <v>Quantity</v>
      </c>
      <c r="I5" s="29" t="str">
        <f>IFERROR(__xludf.DUMMYFUNCTION("""COMPUTED_VALUE"""),"Executed Qty")</f>
        <v>Executed Qty</v>
      </c>
      <c r="J5" s="29" t="str">
        <f>IFERROR(__xludf.DUMMYFUNCTION("""COMPUTED_VALUE"""),"Limit Price")</f>
        <v>Limit Price</v>
      </c>
      <c r="K5" s="29" t="str">
        <f>IFERROR(__xludf.DUMMYFUNCTION("""COMPUTED_VALUE"""),"Last Fill Price (Local)")</f>
        <v>Last Fill Price (Local)</v>
      </c>
      <c r="L5" s="29" t="str">
        <f>IFERROR(__xludf.DUMMYFUNCTION("""COMPUTED_VALUE"""),"Stop Price")</f>
        <v>Stop Price</v>
      </c>
      <c r="M5" s="29" t="str">
        <f>IFERROR(__xludf.DUMMYFUNCTION("""COMPUTED_VALUE"""),"Avg Fill Price (Local)")</f>
        <v>Avg Fill Price (Local)</v>
      </c>
      <c r="N5" s="29" t="str">
        <f>IFERROR(__xludf.DUMMYFUNCTION("""COMPUTED_VALUE"""),"Broker")</f>
        <v>Broker</v>
      </c>
      <c r="O5" s="29" t="str">
        <f>IFERROR(__xludf.DUMMYFUNCTION("""COMPUTED_VALUE"""),"Account")</f>
        <v>Account</v>
      </c>
      <c r="P5" s="29" t="str">
        <f>IFERROR(__xludf.DUMMYFUNCTION("""COMPUTED_VALUE"""),"OrderID")</f>
        <v>OrderID</v>
      </c>
      <c r="Q5" s="29" t="str">
        <f>IFERROR(__xludf.DUMMYFUNCTION("""COMPUTED_VALUE"""),"Order Type")</f>
        <v>Order Type</v>
      </c>
      <c r="R5" s="29" t="str">
        <f>IFERROR(__xludf.DUMMYFUNCTION("""COMPUTED_VALUE"""),"Principal Amount (Local)")</f>
        <v>Principal Amount (Local)</v>
      </c>
      <c r="S5" s="29" t="str">
        <f>IFERROR(__xludf.DUMMYFUNCTION("""COMPUTED_VALUE"""),"Principal Amount (Base)")</f>
        <v>Principal Amount (Base)</v>
      </c>
      <c r="T5" s="31" t="str">
        <f>IFERROR(__xludf.DUMMYFUNCTION("""COMPUTED_VALUE"""),"Peg")</f>
        <v>Peg</v>
      </c>
      <c r="U5" s="31" t="str">
        <f>IFERROR(__xludf.DUMMYFUNCTION("""COMPUTED_VALUE"""),"ParentClOrderID")</f>
        <v>ParentClOrderID</v>
      </c>
      <c r="V5" s="31" t="str">
        <f>IFERROR(__xludf.DUMMYFUNCTION("""COMPUTED_VALUE"""),"Strike Price")</f>
        <v>Strike Price</v>
      </c>
      <c r="W5" s="31" t="str">
        <f>IFERROR(__xludf.DUMMYFUNCTION("""COMPUTED_VALUE"""),"Last Shares")</f>
        <v>Last Shares</v>
      </c>
      <c r="X5" s="31" t="str">
        <f>IFERROR(__xludf.DUMMYFUNCTION("""COMPUTED_VALUE"""),"Working Qty")</f>
        <v>Working Qty</v>
      </c>
      <c r="Y5" s="31" t="str">
        <f>IFERROR(__xludf.DUMMYFUNCTION("""COMPUTED_VALUE"""),"Bloomberg Symbol")</f>
        <v>Bloomberg Symbol</v>
      </c>
      <c r="Z5" s="31" t="str">
        <f>IFERROR(__xludf.DUMMYFUNCTION("""COMPUTED_VALUE"""),"Imported File Name")</f>
        <v>Imported File Name</v>
      </c>
      <c r="AA5" s="31" t="str">
        <f>IFERROR(__xludf.DUMMYFUNCTION("""COMPUTED_VALUE"""),"Master Fund")</f>
        <v>Master Fund</v>
      </c>
      <c r="AB5" s="31" t="str">
        <f>IFERROR(__xludf.DUMMYFUNCTION("""COMPUTED_VALUE"""),"Asset Class")</f>
        <v>Asset Class</v>
      </c>
      <c r="AC5" s="31" t="str">
        <f>IFERROR(__xludf.DUMMYFUNCTION("""COMPUTED_VALUE"""),"Underlying Country")</f>
        <v>Underlying Country</v>
      </c>
      <c r="AD5" s="31" t="str">
        <f>IFERROR(__xludf.DUMMYFUNCTION("""COMPUTED_VALUE"""),"Trader")</f>
        <v>Trader</v>
      </c>
      <c r="AE5" s="31" t="str">
        <f>IFERROR(__xludf.DUMMYFUNCTION("""COMPUTED_VALUE"""),"User")</f>
        <v>User</v>
      </c>
      <c r="AF5" s="31" t="str">
        <f>IFERROR(__xludf.DUMMYFUNCTION("""COMPUTED_VALUE"""),"Venue")</f>
        <v>Venue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IFERROR(__xludf.DUMMYFUNCTION("""COMPUTED_VALUE"""),"Process Date")</f>
        <v>Process Date</v>
      </c>
      <c r="AJ5" s="31" t="str">
        <f>IFERROR(__xludf.DUMMYFUNCTION("""COMPUTED_VALUE"""),"Underlying Symbol")</f>
        <v>Underlying Symbol</v>
      </c>
      <c r="AK5" s="31" t="str">
        <f>IFERROR(__xludf.DUMMYFUNCTION("""COMPUTED_VALUE"""),"Put/Call")</f>
        <v>Put/Call</v>
      </c>
      <c r="AL5" s="31" t="str">
        <f>IFERROR(__xludf.DUMMYFUNCTION("""COMPUTED_VALUE"""),"FX Rate")</f>
        <v>FX Rate</v>
      </c>
      <c r="AM5" s="31" t="str">
        <f>IFERROR(__xludf.DUMMYFUNCTION("""COMPUTED_VALUE"""),"Trade Attribute 1")</f>
        <v>Trade Attribute 1</v>
      </c>
      <c r="AN5" s="31" t="str">
        <f>IFERROR(__xludf.DUMMYFUNCTION("""COMPUTED_VALUE"""),"Trade Attribute 2")</f>
        <v>Trade Attribute 2</v>
      </c>
      <c r="AO5" s="31" t="str">
        <f>IFERROR(__xludf.DUMMYFUNCTION("""COMPUTED_VALUE"""),"Trade Attribute 3")</f>
        <v>Trade Attribute 3</v>
      </c>
      <c r="AP5" s="31" t="str">
        <f>IFERROR(__xludf.DUMMYFUNCTION("""COMPUTED_VALUE"""),"Trade Attribute 4")</f>
        <v>Trade Attribute 4</v>
      </c>
      <c r="AQ5" s="31" t="str">
        <f>IFERROR(__xludf.DUMMYFUNCTION("""COMPUTED_VALUE"""),"Trade Attribute 5")</f>
        <v>Trade Attribute 5</v>
      </c>
      <c r="AR5" s="31" t="str">
        <f>IFERROR(__xludf.DUMMYFUNCTION("""COMPUTED_VALUE"""),"Trade Attribute 6")</f>
        <v>Trade Attribute 6</v>
      </c>
      <c r="AS5" s="31" t="str">
        <f>IFERROR(__xludf.DUMMYFUNCTION("""COMPUTED_VALUE"""),"Internal Comments")</f>
        <v>Internal Comments</v>
      </c>
      <c r="AT5" s="31" t="str">
        <f>IFERROR(__xludf.DUMMYFUNCTION("""COMPUTED_VALUE"""),"Allocation Scheme Name        ")</f>
        <v>Allocation Scheme Name        </v>
      </c>
      <c r="AU5" s="31" t="str">
        <f>IFERROR(__xludf.DUMMYFUNCTION("""COMPUTED_VALUE"""),"Status (With Rollover)")</f>
        <v>Status (With Rollover)</v>
      </c>
      <c r="AV5" s="31" t="str">
        <f>IFERROR(__xludf.DUMMYFUNCTION("""COMPUTED_VALUE"""),"Allocation Status")</f>
        <v>Allocation Status</v>
      </c>
      <c r="AW5" s="31" t="str">
        <f>IFERROR(__xludf.DUMMYFUNCTION("""COMPUTED_VALUE"""),"Source")</f>
        <v>Source</v>
      </c>
      <c r="AX5" s="31" t="str">
        <f>IFERROR(__xludf.DUMMYFUNCTION("""COMPUTED_VALUE"""),"Strategy")</f>
        <v>Strategy</v>
      </c>
      <c r="AY5" s="31" t="str">
        <f>IFERROR(__xludf.DUMMYFUNCTION("""COMPUTED_VALUE"""),"Unexecuted Qty")</f>
        <v>Unexecuted Qty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1.0</v>
      </c>
      <c r="C6" s="8"/>
      <c r="D6" s="13" t="s">
        <v>28</v>
      </c>
      <c r="E6" s="8"/>
      <c r="F6" s="13" t="s">
        <v>29</v>
      </c>
      <c r="G6" s="13" t="s">
        <v>38</v>
      </c>
      <c r="H6" s="13">
        <v>100.0</v>
      </c>
      <c r="I6" s="13">
        <v>10.0</v>
      </c>
      <c r="J6" s="8"/>
      <c r="K6" s="8"/>
      <c r="L6" s="8"/>
      <c r="M6" s="8"/>
      <c r="N6" s="8"/>
      <c r="O6" s="9" t="s">
        <v>34</v>
      </c>
      <c r="Q6" s="9" t="s">
        <v>35</v>
      </c>
      <c r="X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20.0</v>
      </c>
      <c r="C6" s="13">
        <v>1.0</v>
      </c>
      <c r="D6" s="13" t="b">
        <v>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1.0</v>
      </c>
      <c r="C6" s="8"/>
      <c r="D6" s="13" t="s">
        <v>28</v>
      </c>
      <c r="E6" s="8"/>
      <c r="F6" s="13" t="s">
        <v>29</v>
      </c>
      <c r="G6" s="13" t="s">
        <v>38</v>
      </c>
      <c r="H6" s="13">
        <v>100.0</v>
      </c>
      <c r="I6" s="13">
        <v>20.0</v>
      </c>
      <c r="J6" s="8"/>
      <c r="K6" s="8"/>
      <c r="L6" s="8"/>
      <c r="M6" s="8"/>
      <c r="N6" s="8"/>
      <c r="O6" s="8"/>
      <c r="P6" s="9">
        <v>1.0</v>
      </c>
      <c r="R6" s="9" t="s">
        <v>34</v>
      </c>
      <c r="T6" s="9" t="s">
        <v>35</v>
      </c>
      <c r="U6" s="9">
        <v>20.0</v>
      </c>
      <c r="AA6" s="9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IFERROR(__xludf.DUMMYFUNCTION("""COMPUTED_VALUE"""),"Quantity")</f>
        <v>Quantity</v>
      </c>
      <c r="I5" s="29" t="str">
        <f>IFERROR(__xludf.DUMMYFUNCTION("""COMPUTED_VALUE"""),"Executed Qty")</f>
        <v>Executed Qty</v>
      </c>
      <c r="J5" s="29" t="str">
        <f>IFERROR(__xludf.DUMMYFUNCTION("""COMPUTED_VALUE"""),"Limit Price")</f>
        <v>Limit Price</v>
      </c>
      <c r="K5" s="29" t="str">
        <f>IFERROR(__xludf.DUMMYFUNCTION("""COMPUTED_VALUE"""),"Last Fill Price (Local)")</f>
        <v>Last Fill Price (Local)</v>
      </c>
      <c r="L5" s="29" t="str">
        <f>IFERROR(__xludf.DUMMYFUNCTION("""COMPUTED_VALUE"""),"Stop Price")</f>
        <v>Stop Price</v>
      </c>
      <c r="M5" s="29" t="str">
        <f>IFERROR(__xludf.DUMMYFUNCTION("""COMPUTED_VALUE"""),"Avg Fill Price (Local)")</f>
        <v>Avg Fill Price (Local)</v>
      </c>
      <c r="N5" s="29" t="str">
        <f>IFERROR(__xludf.DUMMYFUNCTION("""COMPUTED_VALUE"""),"Broker")</f>
        <v>Broker</v>
      </c>
      <c r="O5" s="29" t="str">
        <f>IFERROR(__xludf.DUMMYFUNCTION("""COMPUTED_VALUE"""),"Account")</f>
        <v>Account</v>
      </c>
      <c r="P5" s="29" t="str">
        <f>IFERROR(__xludf.DUMMYFUNCTION("""COMPUTED_VALUE"""),"OrderID")</f>
        <v>OrderID</v>
      </c>
      <c r="Q5" s="29" t="str">
        <f>IFERROR(__xludf.DUMMYFUNCTION("""COMPUTED_VALUE"""),"Order Type")</f>
        <v>Order Type</v>
      </c>
      <c r="R5" s="29" t="str">
        <f>IFERROR(__xludf.DUMMYFUNCTION("""COMPUTED_VALUE"""),"Principal Amount (Local)")</f>
        <v>Principal Amount (Local)</v>
      </c>
      <c r="S5" s="29" t="str">
        <f>IFERROR(__xludf.DUMMYFUNCTION("""COMPUTED_VALUE"""),"Principal Amount (Base)")</f>
        <v>Principal Amount (Base)</v>
      </c>
      <c r="T5" s="31" t="str">
        <f>IFERROR(__xludf.DUMMYFUNCTION("""COMPUTED_VALUE"""),"Peg")</f>
        <v>Peg</v>
      </c>
      <c r="U5" s="31" t="str">
        <f>IFERROR(__xludf.DUMMYFUNCTION("""COMPUTED_VALUE"""),"ParentClOrderID")</f>
        <v>ParentClOrderID</v>
      </c>
      <c r="V5" s="31" t="str">
        <f>IFERROR(__xludf.DUMMYFUNCTION("""COMPUTED_VALUE"""),"Strike Price")</f>
        <v>Strike Price</v>
      </c>
      <c r="W5" s="31" t="str">
        <f>IFERROR(__xludf.DUMMYFUNCTION("""COMPUTED_VALUE"""),"Last Shares")</f>
        <v>Last Shares</v>
      </c>
      <c r="X5" s="31" t="str">
        <f>IFERROR(__xludf.DUMMYFUNCTION("""COMPUTED_VALUE"""),"Working Qty")</f>
        <v>Working Qty</v>
      </c>
      <c r="Y5" s="31" t="str">
        <f>IFERROR(__xludf.DUMMYFUNCTION("""COMPUTED_VALUE"""),"Bloomberg Symbol")</f>
        <v>Bloomberg Symbol</v>
      </c>
      <c r="Z5" s="31" t="str">
        <f>IFERROR(__xludf.DUMMYFUNCTION("""COMPUTED_VALUE"""),"Imported File Name")</f>
        <v>Imported File Name</v>
      </c>
      <c r="AA5" s="31" t="str">
        <f>IFERROR(__xludf.DUMMYFUNCTION("""COMPUTED_VALUE"""),"Master Fund")</f>
        <v>Master Fund</v>
      </c>
      <c r="AB5" s="31" t="str">
        <f>IFERROR(__xludf.DUMMYFUNCTION("""COMPUTED_VALUE"""),"Asset Class")</f>
        <v>Asset Class</v>
      </c>
      <c r="AC5" s="31" t="str">
        <f>IFERROR(__xludf.DUMMYFUNCTION("""COMPUTED_VALUE"""),"Underlying Country")</f>
        <v>Underlying Country</v>
      </c>
      <c r="AD5" s="31" t="str">
        <f>IFERROR(__xludf.DUMMYFUNCTION("""COMPUTED_VALUE"""),"Trader")</f>
        <v>Trader</v>
      </c>
      <c r="AE5" s="31" t="str">
        <f>IFERROR(__xludf.DUMMYFUNCTION("""COMPUTED_VALUE"""),"User")</f>
        <v>User</v>
      </c>
      <c r="AF5" s="31" t="str">
        <f>IFERROR(__xludf.DUMMYFUNCTION("""COMPUTED_VALUE"""),"Venue")</f>
        <v>Venue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IFERROR(__xludf.DUMMYFUNCTION("""COMPUTED_VALUE"""),"Process Date")</f>
        <v>Process Date</v>
      </c>
      <c r="AJ5" s="31" t="str">
        <f>IFERROR(__xludf.DUMMYFUNCTION("""COMPUTED_VALUE"""),"Underlying Symbol")</f>
        <v>Underlying Symbol</v>
      </c>
      <c r="AK5" s="31" t="str">
        <f>IFERROR(__xludf.DUMMYFUNCTION("""COMPUTED_VALUE"""),"Put/Call")</f>
        <v>Put/Call</v>
      </c>
      <c r="AL5" s="31" t="str">
        <f>IFERROR(__xludf.DUMMYFUNCTION("""COMPUTED_VALUE"""),"FX Rate")</f>
        <v>FX Rate</v>
      </c>
      <c r="AM5" s="31" t="str">
        <f>IFERROR(__xludf.DUMMYFUNCTION("""COMPUTED_VALUE"""),"Trade Attribute 1")</f>
        <v>Trade Attribute 1</v>
      </c>
      <c r="AN5" s="31" t="str">
        <f>IFERROR(__xludf.DUMMYFUNCTION("""COMPUTED_VALUE"""),"Trade Attribute 2")</f>
        <v>Trade Attribute 2</v>
      </c>
      <c r="AO5" s="31" t="str">
        <f>IFERROR(__xludf.DUMMYFUNCTION("""COMPUTED_VALUE"""),"Trade Attribute 3")</f>
        <v>Trade Attribute 3</v>
      </c>
      <c r="AP5" s="31" t="str">
        <f>IFERROR(__xludf.DUMMYFUNCTION("""COMPUTED_VALUE"""),"Trade Attribute 4")</f>
        <v>Trade Attribute 4</v>
      </c>
      <c r="AQ5" s="31" t="str">
        <f>IFERROR(__xludf.DUMMYFUNCTION("""COMPUTED_VALUE"""),"Trade Attribute 5")</f>
        <v>Trade Attribute 5</v>
      </c>
      <c r="AR5" s="31" t="str">
        <f>IFERROR(__xludf.DUMMYFUNCTION("""COMPUTED_VALUE"""),"Trade Attribute 6")</f>
        <v>Trade Attribute 6</v>
      </c>
      <c r="AS5" s="31" t="str">
        <f>IFERROR(__xludf.DUMMYFUNCTION("""COMPUTED_VALUE"""),"Internal Comments")</f>
        <v>Internal Comments</v>
      </c>
      <c r="AT5" s="31" t="str">
        <f>IFERROR(__xludf.DUMMYFUNCTION("""COMPUTED_VALUE"""),"Allocation Scheme Name        ")</f>
        <v>Allocation Scheme Name        </v>
      </c>
      <c r="AU5" s="31" t="str">
        <f>IFERROR(__xludf.DUMMYFUNCTION("""COMPUTED_VALUE"""),"Status (With Rollover)")</f>
        <v>Status (With Rollover)</v>
      </c>
      <c r="AV5" s="31" t="str">
        <f>IFERROR(__xludf.DUMMYFUNCTION("""COMPUTED_VALUE"""),"Allocation Status")</f>
        <v>Allocation Status</v>
      </c>
      <c r="AW5" s="31" t="str">
        <f>IFERROR(__xludf.DUMMYFUNCTION("""COMPUTED_VALUE"""),"Source")</f>
        <v>Source</v>
      </c>
      <c r="AX5" s="31" t="str">
        <f>IFERROR(__xludf.DUMMYFUNCTION("""COMPUTED_VALUE"""),"Strategy")</f>
        <v>Strategy</v>
      </c>
      <c r="AY5" s="31" t="str">
        <f>IFERROR(__xludf.DUMMYFUNCTION("""COMPUTED_VALUE"""),"Unexecuted Qty")</f>
        <v>Unexecuted Qty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1.0</v>
      </c>
      <c r="C6" s="8"/>
      <c r="D6" s="13" t="s">
        <v>28</v>
      </c>
      <c r="E6" s="8"/>
      <c r="F6" s="13" t="s">
        <v>29</v>
      </c>
      <c r="G6" s="13" t="s">
        <v>38</v>
      </c>
      <c r="H6" s="13">
        <v>100.0</v>
      </c>
      <c r="I6" s="13">
        <v>20.0</v>
      </c>
      <c r="J6" s="8"/>
      <c r="K6" s="8"/>
      <c r="L6" s="8"/>
      <c r="M6" s="8"/>
      <c r="N6" s="8"/>
      <c r="O6" s="9" t="s">
        <v>34</v>
      </c>
      <c r="Q6" s="9" t="s">
        <v>35</v>
      </c>
      <c r="X6" s="9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IFERROR(__xludf.DUMMYFUNCTION("""COMPUTED_VALUE"""),"Fill")</f>
        <v>Fill</v>
      </c>
      <c r="C5" s="29" t="str">
        <f>IFERROR(__xludf.DUMMYFUNCTION("""COMPUTED_VALUE"""),"Last Fill Price (Local)")</f>
        <v>Last Fill Price (Local)</v>
      </c>
      <c r="D5" s="29" t="str">
        <f>IFERROR(__xludf.DUMMYFUNCTION("""COMPUTED_VALUE"""),"New")</f>
        <v>New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80.0</v>
      </c>
      <c r="C6" s="13">
        <v>1.0</v>
      </c>
      <c r="D6" s="13" t="b"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1.0</v>
      </c>
      <c r="C6" s="8"/>
      <c r="D6" s="13" t="s">
        <v>28</v>
      </c>
      <c r="E6" s="8"/>
      <c r="F6" s="13" t="s">
        <v>29</v>
      </c>
      <c r="G6" s="13" t="s">
        <v>38</v>
      </c>
      <c r="H6" s="13">
        <v>100.0</v>
      </c>
      <c r="I6" s="13">
        <v>80.0</v>
      </c>
      <c r="J6" s="8"/>
      <c r="K6" s="8"/>
      <c r="L6" s="8"/>
      <c r="M6" s="8"/>
      <c r="N6" s="8"/>
      <c r="O6" s="8"/>
      <c r="R6" s="9" t="s">
        <v>34</v>
      </c>
      <c r="T6" s="9" t="s">
        <v>35</v>
      </c>
      <c r="AA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8"/>
      <c r="D6" s="8"/>
      <c r="E6" s="8"/>
      <c r="F6" s="8"/>
      <c r="G6" s="13">
        <v>20.0</v>
      </c>
      <c r="H6" s="8"/>
      <c r="I6" s="8"/>
      <c r="J6" s="8"/>
      <c r="K6" s="8"/>
      <c r="L6" s="8"/>
      <c r="M6" s="8"/>
      <c r="N6" s="8"/>
      <c r="O6" s="8"/>
      <c r="AJ6" s="9" t="s">
        <v>28</v>
      </c>
      <c r="AK6" s="9" t="s">
        <v>29</v>
      </c>
      <c r="AL6" s="9" t="s">
        <v>38</v>
      </c>
      <c r="AM6" s="9">
        <v>100.0</v>
      </c>
      <c r="AN6" s="9">
        <v>80.0</v>
      </c>
      <c r="AU6" s="9" t="s">
        <v>34</v>
      </c>
      <c r="AV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IFERROR(__xludf.DUMMYFUNCTION("""COMPUTED_VALUE"""),"MasterFund")</f>
        <v>MasterFund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IFERROR(__xludf.DUMMYFUNCTION("""COMPUTED_VALUE"""),"SharesOutstandingPopUp")</f>
        <v>SharesOutstandingPopUp</v>
      </c>
      <c r="AQ5" s="31" t="str">
        <f>IFERROR(__xludf.DUMMYFUNCTION("""COMPUTED_VALUE"""),"Interest Rate")</f>
        <v>Interest Rate</v>
      </c>
      <c r="AR5" s="31" t="str">
        <f>IFERROR(__xludf.DUMMYFUNCTION("""COMPUTED_VALUE"""),"SelectAlgoStrategy")</f>
        <v>SelectAlgoStrategy</v>
      </c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9" t="s">
        <v>28</v>
      </c>
      <c r="C6" s="13" t="s">
        <v>29</v>
      </c>
      <c r="D6" s="13">
        <v>200.0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IFERROR(__xludf.DUMMYFUNCTION("""COMPUTED_VALUE"""),"basketId")</f>
        <v>basketId</v>
      </c>
      <c r="C5" s="29" t="str">
        <f>IFERROR(__xludf.DUMMYFUNCTION("""COMPUTED_VALUE"""),"tradeDate")</f>
        <v>tradeDate</v>
      </c>
      <c r="D5" s="29" t="str">
        <f>IFERROR(__xludf.DUMMYFUNCTION("""COMPUTED_VALUE"""),"taxlotState")</f>
        <v>taxlotState</v>
      </c>
      <c r="E5" s="29" t="str">
        <f>IFERROR(__xludf.DUMMYFUNCTION("""COMPUTED_VALUE"""),"taxlotId")</f>
        <v>taxlotId</v>
      </c>
      <c r="F5" s="30" t="str">
        <f>IFERROR(__xludf.DUMMYFUNCTION("""COMPUTED_VALUE"""),"userId")</f>
        <v>userId</v>
      </c>
      <c r="G5" s="29" t="str">
        <f>IFERROR(__xludf.DUMMYFUNCTION("""COMPUTED_VALUE"""),"clOrderId")</f>
        <v>clOrderId</v>
      </c>
      <c r="H5" s="29" t="str">
        <f>IFERROR(__xludf.DUMMYFUNCTION("""COMPUTED_VALUE"""),"symbol")</f>
        <v>symbol</v>
      </c>
      <c r="I5" s="29" t="str">
        <f>IFERROR(__xludf.DUMMYFUNCTION("""COMPUTED_VALUE"""),"todayShortTradeQuantity")</f>
        <v>todayShortTradeQuantity</v>
      </c>
      <c r="J5" s="29" t="str">
        <f>IFERROR(__xludf.DUMMYFUNCTION("""COMPUTED_VALUE"""),"todayLongTradeQuantity")</f>
        <v>todayLongTradeQuantity</v>
      </c>
      <c r="K5" s="29" t="str">
        <f>IFERROR(__xludf.DUMMYFUNCTION("""COMPUTED_VALUE"""),"todayAbsTradeQuantity")</f>
        <v>todayAbsTradeQuantity</v>
      </c>
      <c r="L5" s="29" t="str">
        <f>IFERROR(__xludf.DUMMYFUNCTION("""COMPUTED_VALUE"""),"quantity")</f>
        <v>quantity</v>
      </c>
      <c r="M5" s="29" t="str">
        <f>IFERROR(__xludf.DUMMYFUNCTION("""COMPUTED_VALUE"""),"taxlotType")</f>
        <v>taxlotType</v>
      </c>
      <c r="N5" s="29" t="str">
        <f>IFERROR(__xludf.DUMMYFUNCTION("""COMPUTED_VALUE"""),"accountId")</f>
        <v>accountId</v>
      </c>
      <c r="O5" s="29" t="str">
        <f>IFERROR(__xludf.DUMMYFUNCTION("""COMPUTED_VALUE"""),"orderSide")</f>
        <v>orderSide</v>
      </c>
      <c r="P5" s="29" t="str">
        <f>IFERROR(__xludf.DUMMYFUNCTION("""COMPUTED_VALUE"""),"masterFundId")</f>
        <v>masterFundId</v>
      </c>
      <c r="Q5" s="29" t="str">
        <f>IFERROR(__xludf.DUMMYFUNCTION("""COMPUTED_VALUE"""),"underlyingSymbol")</f>
        <v>underlyingSymbol</v>
      </c>
      <c r="R5" s="29" t="str">
        <f>IFERROR(__xludf.DUMMYFUNCTION("""COMPUTED_VALUE"""),"masterFundName")</f>
        <v>masterFundName</v>
      </c>
      <c r="S5" s="29" t="str">
        <f>IFERROR(__xludf.DUMMYFUNCTION("""COMPUTED_VALUE"""),"multiplier")</f>
        <v>multiplier</v>
      </c>
      <c r="T5" s="31" t="str">
        <f>IFERROR(__xludf.DUMMYFUNCTION("""COMPUTED_VALUE"""),"accountShortName")</f>
        <v>accountShortName</v>
      </c>
      <c r="U5" s="31" t="str">
        <f>IFERROR(__xludf.DUMMYFUNCTION("""COMPUTED_VALUE"""),"accountLongName")</f>
        <v>accountLongName</v>
      </c>
      <c r="V5" s="31" t="str">
        <f>IFERROR(__xludf.DUMMYFUNCTION("""COMPUTED_VALUE"""),"isSwapped")</f>
        <v>isSwapped</v>
      </c>
      <c r="W5" s="31" t="str">
        <f>IFERROR(__xludf.DUMMYFUNCTION("""COMPUTED_VALUE"""),"masterStrategyId")</f>
        <v>masterStrategyId</v>
      </c>
      <c r="X5" s="31" t="str">
        <f>IFERROR(__xludf.DUMMYFUNCTION("""COMPUTED_VALUE"""),"isTodayTrade")</f>
        <v>isTodayTrade</v>
      </c>
      <c r="Y5" s="31" t="str">
        <f>IFERROR(__xludf.DUMMYFUNCTION("""COMPUTED_VALUE"""),"masterStrategyName")</f>
        <v>masterStrategyName</v>
      </c>
      <c r="Z5" s="31" t="str">
        <f>IFERROR(__xludf.DUMMYFUNCTION("""COMPUTED_VALUE"""),"strategyId")</f>
        <v>strategyId</v>
      </c>
      <c r="AA5" s="31" t="str">
        <f>IFERROR(__xludf.DUMMYFUNCTION("""COMPUTED_VALUE"""),"strategyName")</f>
        <v>strategyName</v>
      </c>
      <c r="AB5" s="31" t="str">
        <f>IFERROR(__xludf.DUMMYFUNCTION("""COMPUTED_VALUE"""),"todayNetNotionalBase")</f>
        <v>todayNetNotionalBase</v>
      </c>
      <c r="AC5" s="31" t="str">
        <f>IFERROR(__xludf.DUMMYFUNCTION("""COMPUTED_VALUE"""),"strategyFullName")</f>
        <v>strategyFullName</v>
      </c>
      <c r="AD5" s="31" t="str">
        <f>IFERROR(__xludf.DUMMYFUNCTION("""COMPUTED_VALUE"""),"todayLongNotionalBase")</f>
        <v>todayLongNotionalBase</v>
      </c>
      <c r="AE5" s="31" t="str">
        <f>IFERROR(__xludf.DUMMYFUNCTION("""COMPUTED_VALUE"""),"todayShortNotionalBase")</f>
        <v>todayShortNotionalBase</v>
      </c>
      <c r="AF5" s="31" t="str">
        <f>IFERROR(__xludf.DUMMYFUNCTION("""COMPUTED_VALUE"""),"isMonthTrade")</f>
        <v>isMonthTrade</v>
      </c>
      <c r="AG5" s="31" t="str">
        <f>IFERROR(__xludf.DUMMYFUNCTION("""COMPUTED_VALUE"""),"monthAbsQuantity")</f>
        <v>monthAbsQuantity</v>
      </c>
      <c r="AH5" s="31" t="str">
        <f>IFERROR(__xludf.DUMMYFUNCTION("""COMPUTED_VALUE"""),"monthNetNotional")</f>
        <v>monthNetNotional</v>
      </c>
      <c r="AI5" s="31" t="str">
        <f>IFERROR(__xludf.DUMMYFUNCTION("""COMPUTED_VALUE"""),"modificationType")</f>
        <v>modificationType</v>
      </c>
      <c r="AJ5" s="31" t="str">
        <f>IFERROR(__xludf.DUMMYFUNCTION("""COMPUTED_VALUE"""),"asset")</f>
        <v>asset</v>
      </c>
      <c r="AK5" s="31" t="str">
        <f>IFERROR(__xludf.DUMMYFUNCTION("""COMPUTED_VALUE"""),"underlyingAsset")</f>
        <v>underlyingAsset</v>
      </c>
      <c r="AL5" s="31" t="str">
        <f>IFERROR(__xludf.DUMMYFUNCTION("""COMPUTED_VALUE"""),"assetId")</f>
        <v>assetId</v>
      </c>
      <c r="AM5" s="31" t="str">
        <f>IFERROR(__xludf.DUMMYFUNCTION("""COMPUTED_VALUE"""),"auecId")</f>
        <v>auecId</v>
      </c>
      <c r="AN5" s="31" t="str">
        <f>IFERROR(__xludf.DUMMYFUNCTION("""COMPUTED_VALUE"""),"fxSymbol")</f>
        <v>fxSymbol</v>
      </c>
      <c r="AO5" s="31" t="str">
        <f>IFERROR(__xludf.DUMMYFUNCTION("""COMPUTED_VALUE"""),"sector")</f>
        <v>sector</v>
      </c>
      <c r="AP5" s="31" t="str">
        <f>IFERROR(__xludf.DUMMYFUNCTION("""COMPUTED_VALUE"""),"subSector")</f>
        <v>subSector</v>
      </c>
      <c r="AQ5" s="31" t="str">
        <f>IFERROR(__xludf.DUMMYFUNCTION("""COMPUTED_VALUE"""),"udaAsset")</f>
        <v>udaAsset</v>
      </c>
      <c r="AR5" s="31" t="str">
        <f>IFERROR(__xludf.DUMMYFUNCTION("""COMPUTED_VALUE"""),"udaSecurityType")</f>
        <v>udaSecurityType</v>
      </c>
      <c r="AS5" s="31" t="str">
        <f>IFERROR(__xludf.DUMMYFUNCTION("""COMPUTED_VALUE"""),"udaCountry")</f>
        <v>udaCountry</v>
      </c>
      <c r="AT5" s="31" t="str">
        <f>IFERROR(__xludf.DUMMYFUNCTION("""COMPUTED_VALUE"""),"underlyingCountry")</f>
        <v>underlyingCountry</v>
      </c>
      <c r="AU5" s="31" t="str">
        <f>IFERROR(__xludf.DUMMYFUNCTION("""COMPUTED_VALUE"""),"exchange")</f>
        <v>exchange</v>
      </c>
      <c r="AV5" s="31" t="str">
        <f>IFERROR(__xludf.DUMMYFUNCTION("""COMPUTED_VALUE"""),"orderType")</f>
        <v>orderType</v>
      </c>
      <c r="AW5" s="31" t="str">
        <f>IFERROR(__xludf.DUMMYFUNCTION("""COMPUTED_VALUE"""),"currency")</f>
        <v>currency</v>
      </c>
      <c r="AX5" s="31" t="str">
        <f>IFERROR(__xludf.DUMMYFUNCTION("""COMPUTED_VALUE"""),"putOrCall")</f>
        <v>putOrCall</v>
      </c>
      <c r="AY5" s="31" t="str">
        <f>IFERROR(__xludf.DUMMYFUNCTION("""COMPUTED_VALUE"""),"strikePrice")</f>
        <v>strikePrice</v>
      </c>
      <c r="AZ5" s="31" t="str">
        <f>IFERROR(__xludf.DUMMYFUNCTION("""COMPUTED_VALUE"""),"venue")</f>
        <v>venue</v>
      </c>
      <c r="BA5" s="31" t="str">
        <f>IFERROR(__xludf.DUMMYFUNCTION("""COMPUTED_VALUE"""),"riskCurrency")</f>
        <v>riskCurrency</v>
      </c>
      <c r="BB5" s="31" t="str">
        <f>IFERROR(__xludf.DUMMYFUNCTION("""COMPUTED_VALUE"""),"issuer")</f>
        <v>issuer</v>
      </c>
      <c r="BC5" s="31" t="str">
        <f>IFERROR(__xludf.DUMMYFUNCTION("""COMPUTED_VALUE"""),"countryOfRisk")</f>
        <v>countryOfRisk</v>
      </c>
      <c r="BD5" s="31" t="str">
        <f>IFERROR(__xludf.DUMMYFUNCTION("""COMPUTED_VALUE"""),"region")</f>
        <v>region</v>
      </c>
      <c r="BE5" s="31" t="str">
        <f>IFERROR(__xludf.DUMMYFUNCTION("""COMPUTED_VALUE"""),"analyst")</f>
        <v>analyst</v>
      </c>
      <c r="BF5" s="31" t="str">
        <f>IFERROR(__xludf.DUMMYFUNCTION("""COMPUTED_VALUE"""),"ucitsEligibleTag")</f>
        <v>ucitsEligibleTag</v>
      </c>
      <c r="BG5" s="31" t="str">
        <f>IFERROR(__xludf.DUMMYFUNCTION("""COMPUTED_VALUE"""),"liquidTag")</f>
        <v>liquidTag</v>
      </c>
      <c r="BH5" s="31" t="str">
        <f>IFERROR(__xludf.DUMMYFUNCTION("""COMPUTED_VALUE"""),"marketCap")</f>
        <v>marketCap</v>
      </c>
      <c r="BI5" s="31" t="str">
        <f>IFERROR(__xludf.DUMMYFUNCTION("""COMPUTED_VALUE"""),"customUDA1")</f>
        <v>customUDA1</v>
      </c>
      <c r="BJ5" s="31" t="str">
        <f>IFERROR(__xludf.DUMMYFUNCTION("""COMPUTED_VALUE"""),"customUDA2")</f>
        <v>customUDA2</v>
      </c>
      <c r="BK5" s="31" t="str">
        <f>IFERROR(__xludf.DUMMYFUNCTION("""COMPUTED_VALUE"""),"customUDA3")</f>
        <v>customUDA3</v>
      </c>
      <c r="BL5" s="31" t="str">
        <f>IFERROR(__xludf.DUMMYFUNCTION("""COMPUTED_VALUE"""),"counterParty")</f>
        <v>counterParty</v>
      </c>
      <c r="BM5" s="31" t="str">
        <f>IFERROR(__xludf.DUMMYFUNCTION("""COMPUTED_VALUE"""),"customUDA4")</f>
        <v>customUDA4</v>
      </c>
      <c r="BN5" s="31" t="str">
        <f>IFERROR(__xludf.DUMMYFUNCTION("""COMPUTED_VALUE"""),"customUDA5")</f>
        <v>customUDA5</v>
      </c>
      <c r="BO5" s="31" t="str">
        <f>IFERROR(__xludf.DUMMYFUNCTION("""COMPUTED_VALUE"""),"customUDA6")</f>
        <v>customUDA6</v>
      </c>
      <c r="BP5" s="31" t="str">
        <f>IFERROR(__xludf.DUMMYFUNCTION("""COMPUTED_VALUE"""),"customUDA7")</f>
        <v>customUDA7</v>
      </c>
      <c r="BQ5" s="31" t="str">
        <f>IFERROR(__xludf.DUMMYFUNCTION("""COMPUTED_VALUE"""),"currentFxRate")</f>
        <v>currentFxRate</v>
      </c>
      <c r="BR5" s="31" t="str">
        <f>IFERROR(__xludf.DUMMYFUNCTION("""COMPUTED_VALUE"""),"yesterdayFxRate")</f>
        <v>yesterdayFxRate</v>
      </c>
      <c r="BS5" s="31" t="str">
        <f>IFERROR(__xludf.DUMMYFUNCTION("""COMPUTED_VALUE"""),"fxConversionMethod")</f>
        <v>fxConversionMethod</v>
      </c>
      <c r="BT5" s="31" t="str">
        <f>IFERROR(__xludf.DUMMYFUNCTION("""COMPUTED_VALUE"""),"taxlotFxRate")</f>
        <v>taxlotFxRate</v>
      </c>
      <c r="BU5" s="31" t="str">
        <f>IFERROR(__xludf.DUMMYFUNCTION("""COMPUTED_VALUE"""),"taxlotFxConversionMethod")</f>
        <v>taxlotFxConversionMethod</v>
      </c>
      <c r="BV5" s="31" t="str">
        <f>IFERROR(__xludf.DUMMYFUNCTION("""COMPUTED_VALUE"""),"avgPrice")</f>
        <v>avgPrice</v>
      </c>
      <c r="BW5" s="31" t="str">
        <f>IFERROR(__xludf.DUMMYFUNCTION("""COMPUTED_VALUE"""),"askPrice")</f>
        <v>askPrice</v>
      </c>
      <c r="BX5" s="31" t="str">
        <f>IFERROR(__xludf.DUMMYFUNCTION("""COMPUTED_VALUE"""),"bidPrice")</f>
        <v>bidPrice</v>
      </c>
      <c r="BY5" s="31" t="str">
        <f>IFERROR(__xludf.DUMMYFUNCTION("""COMPUTED_VALUE"""),"lowPrice")</f>
        <v>lowPrice</v>
      </c>
      <c r="BZ5" s="31" t="str">
        <f>IFERROR(__xludf.DUMMYFUNCTION("""COMPUTED_VALUE"""),"highPrice")</f>
        <v>highPrice</v>
      </c>
      <c r="CA5" s="31" t="str">
        <f>IFERROR(__xludf.DUMMYFUNCTION("""COMPUTED_VALUE"""),"openPrice")</f>
        <v>openPrice</v>
      </c>
      <c r="CB5" s="31" t="str">
        <f>IFERROR(__xludf.DUMMYFUNCTION("""COMPUTED_VALUE"""),"closePrice")</f>
        <v>closePrice</v>
      </c>
      <c r="CC5" s="31" t="str">
        <f>IFERROR(__xludf.DUMMYFUNCTION("""COMPUTED_VALUE"""),"lastPrice")</f>
        <v>lastPrice</v>
      </c>
      <c r="CD5" s="31" t="str">
        <f>IFERROR(__xludf.DUMMYFUNCTION("""COMPUTED_VALUE"""),"markPrice")</f>
        <v>markPrice</v>
      </c>
      <c r="CE5" s="31" t="str">
        <f>IFERROR(__xludf.DUMMYFUNCTION("""COMPUTED_VALUE"""),"delta")</f>
        <v>delta</v>
      </c>
      <c r="CF5" s="31" t="str">
        <f>IFERROR(__xludf.DUMMYFUNCTION("""COMPUTED_VALUE"""),"leveragedFactor")</f>
        <v>leveragedFactor</v>
      </c>
      <c r="CG5" s="31" t="str">
        <f>IFERROR(__xludf.DUMMYFUNCTION("""COMPUTED_VALUE"""),"beta5YearMonthly")</f>
        <v>beta5YearMonthly</v>
      </c>
      <c r="CH5" s="31" t="str">
        <f>IFERROR(__xludf.DUMMYFUNCTION("""COMPUTED_VALUE"""),"selectedFeedPrice")</f>
        <v>selectedFeedPrice</v>
      </c>
      <c r="CI5" s="31" t="str">
        <f>IFERROR(__xludf.DUMMYFUNCTION("""COMPUTED_VALUE"""),"openInterest")</f>
        <v>openInterest</v>
      </c>
      <c r="CJ5" s="31" t="str">
        <f>IFERROR(__xludf.DUMMYFUNCTION("""COMPUTED_VALUE"""),"underlyingPrice")</f>
        <v>underlyingPrice</v>
      </c>
      <c r="CK5" s="31" t="str">
        <f>IFERROR(__xludf.DUMMYFUNCTION("""COMPUTED_VALUE"""),"avgVolume20Days")</f>
        <v>avgVolume20Days</v>
      </c>
      <c r="CL5" s="31" t="str">
        <f>IFERROR(__xludf.DUMMYFUNCTION("""COMPUTED_VALUE"""),"sharesOutstanding")</f>
        <v>sharesOutstanding</v>
      </c>
      <c r="CM5" s="31" t="str">
        <f>IFERROR(__xludf.DUMMYFUNCTION("""COMPUTED_VALUE"""),"underlyingSharesOutstanding")</f>
        <v>underlyingSharesOutstanding</v>
      </c>
      <c r="CN5" s="31" t="str">
        <f>IFERROR(__xludf.DUMMYFUNCTION("""COMPUTED_VALUE"""),"marketCapitalization")</f>
        <v>marketCapitalization</v>
      </c>
      <c r="CO5" s="31" t="str">
        <f>IFERROR(__xludf.DUMMYFUNCTION("""COMPUTED_VALUE"""),"underlyingMarketCapitalization")</f>
        <v>underlyingMarketCapitalization</v>
      </c>
      <c r="CP5" s="31" t="str">
        <f>IFERROR(__xludf.DUMMYFUNCTION("""COMPUTED_VALUE"""),"avgVolume")</f>
        <v>avgVolume</v>
      </c>
      <c r="CQ5" s="31" t="str">
        <f>IFERROR(__xludf.DUMMYFUNCTION("""COMPUTED_VALUE"""),"netMarketValueLocal")</f>
        <v>netMarketValueLocal</v>
      </c>
      <c r="CR5" s="31" t="str">
        <f>IFERROR(__xludf.DUMMYFUNCTION("""COMPUTED_VALUE"""),"yesterdayMarketValueLocal")</f>
        <v>yesterdayMarketValueLocal</v>
      </c>
      <c r="CS5" s="31" t="str">
        <f>IFERROR(__xludf.DUMMYFUNCTION("""COMPUTED_VALUE"""),"grossMarketValueLocal")</f>
        <v>grossMarketValueLocal</v>
      </c>
      <c r="CT5" s="31" t="str">
        <f>IFERROR(__xludf.DUMMYFUNCTION("""COMPUTED_VALUE"""),"netMarketValueBase")</f>
        <v>netMarketValueBase</v>
      </c>
      <c r="CU5" s="31" t="str">
        <f>IFERROR(__xludf.DUMMYFUNCTION("""COMPUTED_VALUE"""),"yesterdayMarketValueBase")</f>
        <v>yesterdayMarketValueBase</v>
      </c>
      <c r="CV5" s="31" t="str">
        <f>IFERROR(__xludf.DUMMYFUNCTION("""COMPUTED_VALUE"""),"grossMarketValueBase")</f>
        <v>grossMarketValueBase</v>
      </c>
      <c r="CW5" s="31" t="str">
        <f>IFERROR(__xludf.DUMMYFUNCTION("""COMPUTED_VALUE"""),"notionalLocal")</f>
        <v>notionalLocal</v>
      </c>
      <c r="CX5" s="31" t="str">
        <f>IFERROR(__xludf.DUMMYFUNCTION("""COMPUTED_VALUE"""),"cashImpactLocal")</f>
        <v>cashImpactLocal</v>
      </c>
      <c r="CY5" s="31" t="str">
        <f>IFERROR(__xludf.DUMMYFUNCTION("""COMPUTED_VALUE"""),"cashInflowLocal")</f>
        <v>cashInflowLocal</v>
      </c>
      <c r="CZ5" s="31" t="str">
        <f>IFERROR(__xludf.DUMMYFUNCTION("""COMPUTED_VALUE"""),"cashOutflowLocal")</f>
        <v>cashOutflowLocal</v>
      </c>
      <c r="DA5" s="31" t="str">
        <f>IFERROR(__xludf.DUMMYFUNCTION("""COMPUTED_VALUE"""),"equityHaircutLocal")</f>
        <v>equityHaircutLocal</v>
      </c>
      <c r="DB5" s="31" t="str">
        <f>IFERROR(__xludf.DUMMYFUNCTION("""COMPUTED_VALUE"""),"indexHaircutLocal")</f>
        <v>indexHaircutLocal</v>
      </c>
      <c r="DC5" s="31" t="str">
        <f>IFERROR(__xludf.DUMMYFUNCTION("""COMPUTED_VALUE"""),"notionalBase")</f>
        <v>notionalBase</v>
      </c>
      <c r="DD5" s="31" t="str">
        <f>IFERROR(__xludf.DUMMYFUNCTION("""COMPUTED_VALUE"""),"cashImpactBase")</f>
        <v>cashImpactBase</v>
      </c>
      <c r="DE5" s="31" t="str">
        <f>IFERROR(__xludf.DUMMYFUNCTION("""COMPUTED_VALUE"""),"cashInflowBase")</f>
        <v>cashInflowBase</v>
      </c>
      <c r="DF5" s="31" t="str">
        <f>IFERROR(__xludf.DUMMYFUNCTION("""COMPUTED_VALUE"""),"cashOutflowBase")</f>
        <v>cashOutflowBase</v>
      </c>
      <c r="DG5" s="31" t="str">
        <f>IFERROR(__xludf.DUMMYFUNCTION("""COMPUTED_VALUE"""),"equityHaircutBase")</f>
        <v>equityHaircutBase</v>
      </c>
      <c r="DH5" s="31" t="str">
        <f>IFERROR(__xludf.DUMMYFUNCTION("""COMPUTED_VALUE"""),"indexHaircutBase")</f>
        <v>indexHaircutBase</v>
      </c>
      <c r="DI5" s="31" t="str">
        <f>IFERROR(__xludf.DUMMYFUNCTION("""COMPUTED_VALUE"""),"underlyingValueForOptionsLocal")</f>
        <v>underlyingValueForOptionsLocal</v>
      </c>
      <c r="DJ5" s="31" t="str">
        <f>IFERROR(__xludf.DUMMYFUNCTION("""COMPUTED_VALUE"""),"dayPnLLocal")</f>
        <v>dayPnLLocal</v>
      </c>
      <c r="DK5" s="31" t="str">
        <f>IFERROR(__xludf.DUMMYFUNCTION("""COMPUTED_VALUE"""),"costBasisPnLLocal")</f>
        <v>costBasisPnLLocal</v>
      </c>
      <c r="DL5" s="31" t="str">
        <f>IFERROR(__xludf.DUMMYFUNCTION("""COMPUTED_VALUE"""),"liquidationPnlLocal")</f>
        <v>liquidationPnlLocal</v>
      </c>
      <c r="DM5" s="31" t="str">
        <f>IFERROR(__xludf.DUMMYFUNCTION("""COMPUTED_VALUE"""),"underlyingValueForOptionsBase")</f>
        <v>underlyingValueForOptionsBase</v>
      </c>
      <c r="DN5" s="31" t="str">
        <f>IFERROR(__xludf.DUMMYFUNCTION("""COMPUTED_VALUE"""),"dayPnLBase")</f>
        <v>dayPnLBase</v>
      </c>
      <c r="DO5" s="31" t="str">
        <f>IFERROR(__xludf.DUMMYFUNCTION("""COMPUTED_VALUE"""),"costBasisPnLBase")</f>
        <v>costBasisPnLBase</v>
      </c>
      <c r="DP5" s="31" t="str">
        <f>IFERROR(__xludf.DUMMYFUNCTION("""COMPUTED_VALUE"""),"liquidationPnlBase")</f>
        <v>liquidationPnlBase</v>
      </c>
      <c r="DQ5" s="31" t="str">
        <f>IFERROR(__xludf.DUMMYFUNCTION("""COMPUTED_VALUE"""),"netExposureLocal")</f>
        <v>netExposureLocal</v>
      </c>
      <c r="DR5" s="31" t="str">
        <f>IFERROR(__xludf.DUMMYFUNCTION("""COMPUTED_VALUE"""),"grossExposureLocal")</f>
        <v>grossExposureLocal</v>
      </c>
      <c r="DS5" s="31" t="str">
        <f>IFERROR(__xludf.DUMMYFUNCTION("""COMPUTED_VALUE"""),"betaAdjustedExposureLocal")</f>
        <v>betaAdjustedExposureLocal</v>
      </c>
      <c r="DT5" s="31" t="str">
        <f>IFERROR(__xludf.DUMMYFUNCTION("""COMPUTED_VALUE"""),"netExposureBase")</f>
        <v>netExposureBase</v>
      </c>
      <c r="DU5" s="31" t="str">
        <f>IFERROR(__xludf.DUMMYFUNCTION("""COMPUTED_VALUE"""),"grossExposureBase")</f>
        <v>grossExposureBase</v>
      </c>
      <c r="DV5" s="31" t="str">
        <f>IFERROR(__xludf.DUMMYFUNCTION("""COMPUTED_VALUE"""),"betaAdjustedExposureBase")</f>
        <v>betaAdjustedExposureBase</v>
      </c>
      <c r="DW5" s="31" t="str">
        <f>IFERROR(__xludf.DUMMYFUNCTION("""COMPUTED_VALUE"""),"deltaAdjPosition")</f>
        <v>deltaAdjPosition</v>
      </c>
      <c r="DX5" s="31" t="str">
        <f>IFERROR(__xludf.DUMMYFUNCTION("""COMPUTED_VALUE"""),"dayDiff")</f>
        <v>dayDiff</v>
      </c>
      <c r="DY5" s="31" t="str">
        <f>IFERROR(__xludf.DUMMYFUNCTION("""COMPUTED_VALUE"""),"dayInterestLocal")</f>
        <v>dayInterestLocal</v>
      </c>
      <c r="DZ5" s="31" t="str">
        <f>IFERROR(__xludf.DUMMYFUNCTION("""COMPUTED_VALUE"""),"totalInterestLocal")</f>
        <v>totalInterestLocal</v>
      </c>
      <c r="EA5" s="31" t="str">
        <f>IFERROR(__xludf.DUMMYFUNCTION("""COMPUTED_VALUE"""),"dayInterestBase")</f>
        <v>dayInterestBase</v>
      </c>
      <c r="EB5" s="31" t="str">
        <f>IFERROR(__xludf.DUMMYFUNCTION("""COMPUTED_VALUE"""),"totalInterestBase")</f>
        <v>totalInterestBase</v>
      </c>
      <c r="EC5" s="31" t="str">
        <f>IFERROR(__xludf.DUMMYFUNCTION("""COMPUTED_VALUE"""),"percentAvgVolume")</f>
        <v>percentAvgVolume</v>
      </c>
      <c r="ED5" s="31" t="str">
        <f>IFERROR(__xludf.DUMMYFUNCTION("""COMPUTED_VALUE"""),"businessDaysToExpire")</f>
        <v>businessDaysToExpire</v>
      </c>
      <c r="EE5" s="31" t="str">
        <f>IFERROR(__xludf.DUMMYFUNCTION("""COMPUTED_VALUE"""),"actualDaysToExpire")</f>
        <v>actualDaysToExpire</v>
      </c>
      <c r="EF5" s="31" t="str">
        <f>IFERROR(__xludf.DUMMYFUNCTION("""COMPUTED_VALUE"""),"longDebitBalance")</f>
        <v>longDebitBalance</v>
      </c>
      <c r="EG5" s="31" t="str">
        <f>IFERROR(__xludf.DUMMYFUNCTION("""COMPUTED_VALUE"""),"shortCreditBalance")</f>
        <v>shortCreditBalance</v>
      </c>
      <c r="EH5" s="31" t="str">
        <f>IFERROR(__xludf.DUMMYFUNCTION("""COMPUTED_VALUE"""),"roundLot")</f>
        <v>roundLot</v>
      </c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8"/>
      <c r="D6" s="8"/>
      <c r="E6" s="8"/>
      <c r="F6" s="8"/>
      <c r="G6" s="8"/>
      <c r="H6" s="9" t="s">
        <v>28</v>
      </c>
      <c r="I6" s="13"/>
      <c r="J6" s="9">
        <v>30.0</v>
      </c>
      <c r="K6" s="8"/>
      <c r="L6" s="9">
        <v>30.0</v>
      </c>
      <c r="M6" s="9" t="s">
        <v>43</v>
      </c>
      <c r="N6" s="8"/>
      <c r="O6" s="13" t="s">
        <v>29</v>
      </c>
      <c r="Q6" s="13" t="s">
        <v>28</v>
      </c>
      <c r="R6" s="9" t="s">
        <v>44</v>
      </c>
      <c r="T6" s="9" t="s">
        <v>19</v>
      </c>
      <c r="U6" s="9" t="s">
        <v>19</v>
      </c>
      <c r="AQ6" s="9" t="s">
        <v>45</v>
      </c>
      <c r="AZ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9" t="s">
        <v>28</v>
      </c>
      <c r="I7" s="13"/>
      <c r="J7" s="9">
        <v>30.0</v>
      </c>
      <c r="K7" s="8"/>
      <c r="L7" s="9">
        <v>30.0</v>
      </c>
      <c r="M7" s="9" t="s">
        <v>43</v>
      </c>
      <c r="N7" s="8"/>
      <c r="O7" s="13" t="s">
        <v>29</v>
      </c>
      <c r="Q7" s="13" t="s">
        <v>28</v>
      </c>
      <c r="R7" s="9" t="s">
        <v>44</v>
      </c>
      <c r="T7" s="9" t="s">
        <v>19</v>
      </c>
      <c r="U7" s="9" t="s">
        <v>19</v>
      </c>
      <c r="AQ7" s="9" t="s">
        <v>45</v>
      </c>
      <c r="AZ7" s="9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9" t="s">
        <v>28</v>
      </c>
      <c r="I8" s="13"/>
      <c r="J8" s="9">
        <v>15.0</v>
      </c>
      <c r="K8" s="8"/>
      <c r="L8" s="9">
        <v>15.0</v>
      </c>
      <c r="M8" s="9" t="s">
        <v>43</v>
      </c>
      <c r="N8" s="8"/>
      <c r="O8" s="13" t="s">
        <v>29</v>
      </c>
      <c r="Q8" s="13" t="s">
        <v>28</v>
      </c>
      <c r="R8" s="9" t="s">
        <v>47</v>
      </c>
      <c r="T8" s="9" t="s">
        <v>18</v>
      </c>
      <c r="U8" s="9" t="s">
        <v>18</v>
      </c>
      <c r="AQ8" s="9" t="s">
        <v>45</v>
      </c>
      <c r="AZ8" s="9" t="s">
        <v>46</v>
      </c>
    </row>
    <row r="9" ht="15.75" customHeight="1">
      <c r="A9" s="8"/>
      <c r="B9" s="8"/>
      <c r="C9" s="8"/>
      <c r="D9" s="8"/>
      <c r="E9" s="8"/>
      <c r="F9" s="8"/>
      <c r="G9" s="8"/>
      <c r="H9" s="9" t="s">
        <v>28</v>
      </c>
      <c r="I9" s="13"/>
      <c r="J9" s="9">
        <v>45.0</v>
      </c>
      <c r="K9" s="8"/>
      <c r="L9" s="9">
        <v>45.0</v>
      </c>
      <c r="M9" s="9" t="s">
        <v>43</v>
      </c>
      <c r="N9" s="8"/>
      <c r="O9" s="13" t="s">
        <v>29</v>
      </c>
      <c r="Q9" s="9" t="s">
        <v>28</v>
      </c>
      <c r="R9" s="9" t="s">
        <v>47</v>
      </c>
      <c r="T9" s="9" t="s">
        <v>18</v>
      </c>
      <c r="U9" s="9" t="s">
        <v>18</v>
      </c>
      <c r="AQ9" s="9" t="s">
        <v>45</v>
      </c>
      <c r="AZ9" s="9" t="s">
        <v>46</v>
      </c>
    </row>
    <row r="10" ht="15.75" customHeight="1">
      <c r="A10" s="8"/>
      <c r="B10" s="8"/>
      <c r="C10" s="8"/>
      <c r="D10" s="8"/>
      <c r="E10" s="8"/>
      <c r="F10" s="8"/>
      <c r="G10" s="8"/>
      <c r="H10" s="9" t="s">
        <v>28</v>
      </c>
      <c r="I10" s="13"/>
      <c r="J10" s="9">
        <v>30.0</v>
      </c>
      <c r="K10" s="8"/>
      <c r="L10" s="9">
        <v>30.0</v>
      </c>
      <c r="M10" s="9" t="s">
        <v>48</v>
      </c>
      <c r="N10" s="8"/>
      <c r="O10" s="13" t="s">
        <v>29</v>
      </c>
      <c r="Q10" s="9" t="s">
        <v>28</v>
      </c>
      <c r="R10" s="9" t="s">
        <v>47</v>
      </c>
      <c r="T10" s="9" t="s">
        <v>18</v>
      </c>
      <c r="U10" s="9" t="s">
        <v>18</v>
      </c>
      <c r="AQ10" s="9" t="s">
        <v>45</v>
      </c>
      <c r="AZ10" s="9" t="s">
        <v>46</v>
      </c>
    </row>
    <row r="11" ht="15.75" customHeight="1">
      <c r="A11" s="8"/>
      <c r="B11" s="8"/>
      <c r="C11" s="8"/>
      <c r="D11" s="8"/>
      <c r="E11" s="8"/>
      <c r="F11" s="8"/>
      <c r="G11" s="8"/>
      <c r="H11" s="9" t="s">
        <v>28</v>
      </c>
      <c r="I11" s="13"/>
      <c r="J11" s="9">
        <v>10.0</v>
      </c>
      <c r="K11" s="8"/>
      <c r="L11" s="9">
        <v>10.0</v>
      </c>
      <c r="M11" s="9" t="s">
        <v>48</v>
      </c>
      <c r="N11" s="8"/>
      <c r="O11" s="13" t="s">
        <v>29</v>
      </c>
      <c r="Q11" s="9" t="s">
        <v>28</v>
      </c>
      <c r="R11" s="9" t="s">
        <v>47</v>
      </c>
      <c r="T11" s="9" t="s">
        <v>18</v>
      </c>
      <c r="U11" s="9" t="s">
        <v>18</v>
      </c>
      <c r="AQ11" s="9" t="s">
        <v>45</v>
      </c>
      <c r="AZ11" s="9" t="s">
        <v>46</v>
      </c>
    </row>
    <row r="12" ht="15.75" customHeight="1">
      <c r="A12" s="8"/>
      <c r="B12" s="8"/>
      <c r="C12" s="8"/>
      <c r="D12" s="8"/>
      <c r="E12" s="8"/>
      <c r="F12" s="8"/>
      <c r="G12" s="8"/>
      <c r="H12" s="9" t="s">
        <v>28</v>
      </c>
      <c r="I12" s="13"/>
      <c r="J12" s="9">
        <v>20.0</v>
      </c>
      <c r="K12" s="8"/>
      <c r="L12" s="9">
        <v>20.0</v>
      </c>
      <c r="M12" s="9" t="s">
        <v>48</v>
      </c>
      <c r="N12" s="8"/>
      <c r="O12" s="13" t="s">
        <v>29</v>
      </c>
      <c r="Q12" s="9" t="s">
        <v>28</v>
      </c>
      <c r="R12" s="9" t="s">
        <v>44</v>
      </c>
      <c r="T12" s="9" t="s">
        <v>19</v>
      </c>
      <c r="U12" s="9" t="s">
        <v>19</v>
      </c>
      <c r="AQ12" s="9" t="s">
        <v>45</v>
      </c>
      <c r="AZ12" s="9" t="s">
        <v>46</v>
      </c>
    </row>
    <row r="13" ht="15.75" customHeight="1">
      <c r="A13" s="8"/>
      <c r="B13" s="8"/>
      <c r="C13" s="8"/>
      <c r="D13" s="8"/>
      <c r="E13" s="8"/>
      <c r="F13" s="8"/>
      <c r="G13" s="8"/>
      <c r="H13" s="9" t="s">
        <v>28</v>
      </c>
      <c r="I13" s="13"/>
      <c r="J13" s="9">
        <v>20.0</v>
      </c>
      <c r="K13" s="8"/>
      <c r="L13" s="9">
        <v>20.0</v>
      </c>
      <c r="M13" s="9" t="s">
        <v>48</v>
      </c>
      <c r="N13" s="8"/>
      <c r="O13" s="13" t="s">
        <v>29</v>
      </c>
      <c r="Q13" s="9" t="s">
        <v>28</v>
      </c>
      <c r="R13" s="9" t="s">
        <v>44</v>
      </c>
      <c r="T13" s="9" t="s">
        <v>19</v>
      </c>
      <c r="U13" s="9" t="s">
        <v>19</v>
      </c>
      <c r="AQ13" s="9" t="s">
        <v>45</v>
      </c>
      <c r="AZ13" s="9" t="s">
        <v>46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>
        <v>1.0</v>
      </c>
      <c r="C6" s="8"/>
      <c r="D6" s="13" t="s">
        <v>28</v>
      </c>
      <c r="E6" s="8"/>
      <c r="F6" s="13" t="s">
        <v>29</v>
      </c>
      <c r="G6" s="13"/>
      <c r="H6" s="13">
        <v>200.0</v>
      </c>
      <c r="I6" s="13">
        <v>80.0</v>
      </c>
      <c r="J6" s="8"/>
      <c r="K6" s="8"/>
      <c r="L6" s="8"/>
      <c r="M6" s="8"/>
      <c r="N6" s="8"/>
      <c r="O6" s="8"/>
      <c r="P6" s="9">
        <v>1.0</v>
      </c>
      <c r="R6" s="9" t="s">
        <v>34</v>
      </c>
      <c r="T6" s="9" t="s">
        <v>35</v>
      </c>
      <c r="AA6" s="9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IFERROR(__xludf.DUMMYFUNCTION("""COMPUTED_VALUE"""),"Quantity")</f>
        <v>Quantity</v>
      </c>
      <c r="AM5" s="31" t="str">
        <f>IFERROR(__xludf.DUMMYFUNCTION("""COMPUTED_VALUE"""),"Executed Qty")</f>
        <v>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IFERROR(__xludf.DUMMYFUNCTION("""COMPUTED_VALUE"""),"Remaining Qty")</f>
        <v>Remaining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8"/>
      <c r="D6" s="8"/>
      <c r="E6" s="8"/>
      <c r="F6" s="8"/>
      <c r="G6" s="13">
        <v>120.0</v>
      </c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29</v>
      </c>
      <c r="AK6" s="9" t="s">
        <v>50</v>
      </c>
      <c r="AL6" s="9">
        <v>200.0</v>
      </c>
      <c r="AM6" s="9">
        <v>80.0</v>
      </c>
      <c r="AT6" s="9" t="s">
        <v>34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IFERROR(__xludf.DUMMYFUNCTION("""COMPUTED_VALUE"""),"Remaining Qty")</f>
        <v>Remaining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8"/>
      <c r="D6" s="8"/>
      <c r="E6" s="8"/>
      <c r="F6" s="8"/>
      <c r="G6" s="13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29</v>
      </c>
      <c r="AK6" s="9" t="s">
        <v>33</v>
      </c>
      <c r="AL6" s="9">
        <v>100.0</v>
      </c>
      <c r="AT6" s="9" t="s">
        <v>34</v>
      </c>
      <c r="AU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4"/>
      <c r="B6" s="34" t="s">
        <v>28</v>
      </c>
      <c r="C6" s="34" t="s">
        <v>29</v>
      </c>
      <c r="D6" s="44">
        <v>400.0</v>
      </c>
      <c r="E6" s="43"/>
      <c r="F6" s="34" t="s">
        <v>16</v>
      </c>
      <c r="G6" s="34"/>
      <c r="H6" s="34"/>
      <c r="I6" s="34"/>
      <c r="J6" s="35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30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IFERROR(__xludf.DUMMYFUNCTION("""COMPUTED_VALUE"""),"basketId")</f>
        <v>basketId</v>
      </c>
      <c r="C5" s="29" t="str">
        <f>IFERROR(__xludf.DUMMYFUNCTION("""COMPUTED_VALUE"""),"tradeDate")</f>
        <v>tradeDate</v>
      </c>
      <c r="D5" s="29" t="str">
        <f>IFERROR(__xludf.DUMMYFUNCTION("""COMPUTED_VALUE"""),"taxlotState")</f>
        <v>taxlotState</v>
      </c>
      <c r="E5" s="29" t="str">
        <f>IFERROR(__xludf.DUMMYFUNCTION("""COMPUTED_VALUE"""),"taxlotId")</f>
        <v>taxlotId</v>
      </c>
      <c r="F5" s="30" t="str">
        <f>IFERROR(__xludf.DUMMYFUNCTION("""COMPUTED_VALUE"""),"userId")</f>
        <v>userId</v>
      </c>
      <c r="G5" s="29" t="str">
        <f>IFERROR(__xludf.DUMMYFUNCTION("""COMPUTED_VALUE"""),"clOrderId")</f>
        <v>clOrderId</v>
      </c>
      <c r="H5" s="29" t="str">
        <f>IFERROR(__xludf.DUMMYFUNCTION("""COMPUTED_VALUE"""),"symbol")</f>
        <v>symbol</v>
      </c>
      <c r="I5" s="29" t="str">
        <f>IFERROR(__xludf.DUMMYFUNCTION("""COMPUTED_VALUE"""),"todayShortTradeQuantity")</f>
        <v>todayShortTradeQuantity</v>
      </c>
      <c r="J5" s="29" t="str">
        <f>IFERROR(__xludf.DUMMYFUNCTION("""COMPUTED_VALUE"""),"todayLongTradeQuantity")</f>
        <v>todayLongTradeQuantity</v>
      </c>
      <c r="K5" s="29" t="str">
        <f>IFERROR(__xludf.DUMMYFUNCTION("""COMPUTED_VALUE"""),"todayAbsTradeQuantity")</f>
        <v>todayAbsTradeQuantity</v>
      </c>
      <c r="L5" s="29" t="str">
        <f>IFERROR(__xludf.DUMMYFUNCTION("""COMPUTED_VALUE"""),"quantity")</f>
        <v>quantity</v>
      </c>
      <c r="M5" s="29" t="str">
        <f>IFERROR(__xludf.DUMMYFUNCTION("""COMPUTED_VALUE"""),"taxlotType")</f>
        <v>taxlotType</v>
      </c>
      <c r="N5" s="29" t="str">
        <f>IFERROR(__xludf.DUMMYFUNCTION("""COMPUTED_VALUE"""),"accountId")</f>
        <v>accountId</v>
      </c>
      <c r="O5" s="29" t="str">
        <f>IFERROR(__xludf.DUMMYFUNCTION("""COMPUTED_VALUE"""),"orderSide")</f>
        <v>orderSide</v>
      </c>
      <c r="P5" s="29" t="str">
        <f>IFERROR(__xludf.DUMMYFUNCTION("""COMPUTED_VALUE"""),"masterFundId")</f>
        <v>masterFundId</v>
      </c>
      <c r="Q5" s="29" t="str">
        <f>IFERROR(__xludf.DUMMYFUNCTION("""COMPUTED_VALUE"""),"underlyingSymbol")</f>
        <v>underlyingSymbol</v>
      </c>
      <c r="R5" s="29" t="str">
        <f>IFERROR(__xludf.DUMMYFUNCTION("""COMPUTED_VALUE"""),"masterFundName")</f>
        <v>masterFundName</v>
      </c>
      <c r="S5" s="29" t="str">
        <f>IFERROR(__xludf.DUMMYFUNCTION("""COMPUTED_VALUE"""),"multiplier")</f>
        <v>multiplier</v>
      </c>
      <c r="T5" s="31" t="str">
        <f>IFERROR(__xludf.DUMMYFUNCTION("""COMPUTED_VALUE"""),"accountShortName")</f>
        <v>accountShortName</v>
      </c>
      <c r="U5" s="31" t="str">
        <f>IFERROR(__xludf.DUMMYFUNCTION("""COMPUTED_VALUE"""),"accountLongName")</f>
        <v>accountLongName</v>
      </c>
      <c r="V5" s="31" t="str">
        <f>IFERROR(__xludf.DUMMYFUNCTION("""COMPUTED_VALUE"""),"isSwapped")</f>
        <v>isSwapped</v>
      </c>
      <c r="W5" s="31" t="str">
        <f>IFERROR(__xludf.DUMMYFUNCTION("""COMPUTED_VALUE"""),"masterStrategyId")</f>
        <v>masterStrategyId</v>
      </c>
      <c r="X5" s="31" t="str">
        <f>IFERROR(__xludf.DUMMYFUNCTION("""COMPUTED_VALUE"""),"isTodayTrade")</f>
        <v>isTodayTrade</v>
      </c>
      <c r="Y5" s="31" t="str">
        <f>IFERROR(__xludf.DUMMYFUNCTION("""COMPUTED_VALUE"""),"masterStrategyName")</f>
        <v>masterStrategyName</v>
      </c>
      <c r="Z5" s="31" t="str">
        <f>IFERROR(__xludf.DUMMYFUNCTION("""COMPUTED_VALUE"""),"strategyId")</f>
        <v>strategyId</v>
      </c>
      <c r="AA5" s="31" t="str">
        <f>IFERROR(__xludf.DUMMYFUNCTION("""COMPUTED_VALUE"""),"strategyName")</f>
        <v>strategyName</v>
      </c>
      <c r="AB5" s="31" t="str">
        <f>IFERROR(__xludf.DUMMYFUNCTION("""COMPUTED_VALUE"""),"todayNetNotionalBase")</f>
        <v>todayNetNotionalBase</v>
      </c>
      <c r="AC5" s="31" t="str">
        <f>IFERROR(__xludf.DUMMYFUNCTION("""COMPUTED_VALUE"""),"strategyFullName")</f>
        <v>strategyFullName</v>
      </c>
      <c r="AD5" s="31" t="str">
        <f>IFERROR(__xludf.DUMMYFUNCTION("""COMPUTED_VALUE"""),"todayLongNotionalBase")</f>
        <v>todayLongNotionalBase</v>
      </c>
      <c r="AE5" s="31" t="str">
        <f>IFERROR(__xludf.DUMMYFUNCTION("""COMPUTED_VALUE"""),"todayShortNotionalBase")</f>
        <v>todayShortNotionalBase</v>
      </c>
      <c r="AF5" s="31" t="str">
        <f>IFERROR(__xludf.DUMMYFUNCTION("""COMPUTED_VALUE"""),"isMonthTrade")</f>
        <v>isMonthTrade</v>
      </c>
      <c r="AG5" s="31" t="str">
        <f>IFERROR(__xludf.DUMMYFUNCTION("""COMPUTED_VALUE"""),"monthAbsQuantity")</f>
        <v>monthAbsQuantity</v>
      </c>
      <c r="AH5" s="31" t="str">
        <f>IFERROR(__xludf.DUMMYFUNCTION("""COMPUTED_VALUE"""),"monthNetNotional")</f>
        <v>monthNetNotional</v>
      </c>
      <c r="AI5" s="31" t="str">
        <f>IFERROR(__xludf.DUMMYFUNCTION("""COMPUTED_VALUE"""),"modificationType")</f>
        <v>modificationType</v>
      </c>
      <c r="AJ5" s="31" t="str">
        <f>IFERROR(__xludf.DUMMYFUNCTION("""COMPUTED_VALUE"""),"asset")</f>
        <v>asset</v>
      </c>
      <c r="AK5" s="31" t="str">
        <f>IFERROR(__xludf.DUMMYFUNCTION("""COMPUTED_VALUE"""),"underlyingAsset")</f>
        <v>underlyingAsset</v>
      </c>
      <c r="AL5" s="31" t="str">
        <f>IFERROR(__xludf.DUMMYFUNCTION("""COMPUTED_VALUE"""),"assetId")</f>
        <v>assetId</v>
      </c>
      <c r="AM5" s="31" t="str">
        <f>IFERROR(__xludf.DUMMYFUNCTION("""COMPUTED_VALUE"""),"auecId")</f>
        <v>auecId</v>
      </c>
      <c r="AN5" s="31" t="str">
        <f>IFERROR(__xludf.DUMMYFUNCTION("""COMPUTED_VALUE"""),"fxSymbol")</f>
        <v>fxSymbol</v>
      </c>
      <c r="AO5" s="31" t="str">
        <f>IFERROR(__xludf.DUMMYFUNCTION("""COMPUTED_VALUE"""),"sector")</f>
        <v>sector</v>
      </c>
      <c r="AP5" s="31" t="str">
        <f>IFERROR(__xludf.DUMMYFUNCTION("""COMPUTED_VALUE"""),"subSector")</f>
        <v>subSector</v>
      </c>
      <c r="AQ5" s="31" t="str">
        <f>IFERROR(__xludf.DUMMYFUNCTION("""COMPUTED_VALUE"""),"udaAsset")</f>
        <v>udaAsset</v>
      </c>
      <c r="AR5" s="31" t="str">
        <f>IFERROR(__xludf.DUMMYFUNCTION("""COMPUTED_VALUE"""),"udaSecurityType")</f>
        <v>udaSecurityType</v>
      </c>
      <c r="AS5" s="31" t="str">
        <f>IFERROR(__xludf.DUMMYFUNCTION("""COMPUTED_VALUE"""),"udaCountry")</f>
        <v>udaCountry</v>
      </c>
      <c r="AT5" s="31" t="str">
        <f>IFERROR(__xludf.DUMMYFUNCTION("""COMPUTED_VALUE"""),"underlyingCountry")</f>
        <v>underlyingCountry</v>
      </c>
      <c r="AU5" s="31" t="str">
        <f>IFERROR(__xludf.DUMMYFUNCTION("""COMPUTED_VALUE"""),"exchange")</f>
        <v>exchange</v>
      </c>
      <c r="AV5" s="31" t="str">
        <f>IFERROR(__xludf.DUMMYFUNCTION("""COMPUTED_VALUE"""),"orderType")</f>
        <v>orderType</v>
      </c>
      <c r="AW5" s="31" t="str">
        <f>IFERROR(__xludf.DUMMYFUNCTION("""COMPUTED_VALUE"""),"currency")</f>
        <v>currency</v>
      </c>
      <c r="AX5" s="31" t="str">
        <f>IFERROR(__xludf.DUMMYFUNCTION("""COMPUTED_VALUE"""),"putOrCall")</f>
        <v>putOrCall</v>
      </c>
      <c r="AY5" s="31" t="str">
        <f>IFERROR(__xludf.DUMMYFUNCTION("""COMPUTED_VALUE"""),"strikePrice")</f>
        <v>strikePrice</v>
      </c>
      <c r="AZ5" s="31" t="str">
        <f>IFERROR(__xludf.DUMMYFUNCTION("""COMPUTED_VALUE"""),"venue")</f>
        <v>venue</v>
      </c>
      <c r="BA5" s="31" t="str">
        <f>IFERROR(__xludf.DUMMYFUNCTION("""COMPUTED_VALUE"""),"riskCurrency")</f>
        <v>riskCurrency</v>
      </c>
      <c r="BB5" s="31" t="str">
        <f>IFERROR(__xludf.DUMMYFUNCTION("""COMPUTED_VALUE"""),"issuer")</f>
        <v>issuer</v>
      </c>
      <c r="BC5" s="31" t="str">
        <f>IFERROR(__xludf.DUMMYFUNCTION("""COMPUTED_VALUE"""),"countryOfRisk")</f>
        <v>countryOfRisk</v>
      </c>
      <c r="BD5" s="31" t="str">
        <f>IFERROR(__xludf.DUMMYFUNCTION("""COMPUTED_VALUE"""),"region")</f>
        <v>region</v>
      </c>
      <c r="BE5" s="31" t="str">
        <f>IFERROR(__xludf.DUMMYFUNCTION("""COMPUTED_VALUE"""),"analyst")</f>
        <v>analyst</v>
      </c>
      <c r="BF5" s="31" t="str">
        <f>IFERROR(__xludf.DUMMYFUNCTION("""COMPUTED_VALUE"""),"ucitsEligibleTag")</f>
        <v>ucitsEligibleTag</v>
      </c>
      <c r="BG5" s="31" t="str">
        <f>IFERROR(__xludf.DUMMYFUNCTION("""COMPUTED_VALUE"""),"liquidTag")</f>
        <v>liquidTag</v>
      </c>
      <c r="BH5" s="31" t="str">
        <f>IFERROR(__xludf.DUMMYFUNCTION("""COMPUTED_VALUE"""),"marketCap")</f>
        <v>marketCap</v>
      </c>
      <c r="BI5" s="31" t="str">
        <f>IFERROR(__xludf.DUMMYFUNCTION("""COMPUTED_VALUE"""),"customUDA1")</f>
        <v>customUDA1</v>
      </c>
      <c r="BJ5" s="31" t="str">
        <f>IFERROR(__xludf.DUMMYFUNCTION("""COMPUTED_VALUE"""),"customUDA2")</f>
        <v>customUDA2</v>
      </c>
      <c r="BK5" s="31" t="str">
        <f>IFERROR(__xludf.DUMMYFUNCTION("""COMPUTED_VALUE"""),"customUDA3")</f>
        <v>customUDA3</v>
      </c>
      <c r="BL5" s="31" t="str">
        <f>IFERROR(__xludf.DUMMYFUNCTION("""COMPUTED_VALUE"""),"counterParty")</f>
        <v>counterParty</v>
      </c>
      <c r="BM5" s="31" t="str">
        <f>IFERROR(__xludf.DUMMYFUNCTION("""COMPUTED_VALUE"""),"customUDA4")</f>
        <v>customUDA4</v>
      </c>
      <c r="BN5" s="31" t="str">
        <f>IFERROR(__xludf.DUMMYFUNCTION("""COMPUTED_VALUE"""),"customUDA5")</f>
        <v>customUDA5</v>
      </c>
      <c r="BO5" s="31" t="str">
        <f>IFERROR(__xludf.DUMMYFUNCTION("""COMPUTED_VALUE"""),"customUDA6")</f>
        <v>customUDA6</v>
      </c>
      <c r="BP5" s="31" t="str">
        <f>IFERROR(__xludf.DUMMYFUNCTION("""COMPUTED_VALUE"""),"customUDA7")</f>
        <v>customUDA7</v>
      </c>
      <c r="BQ5" s="31" t="str">
        <f>IFERROR(__xludf.DUMMYFUNCTION("""COMPUTED_VALUE"""),"currentFxRate")</f>
        <v>currentFxRate</v>
      </c>
      <c r="BR5" s="31" t="str">
        <f>IFERROR(__xludf.DUMMYFUNCTION("""COMPUTED_VALUE"""),"yesterdayFxRate")</f>
        <v>yesterdayFxRate</v>
      </c>
      <c r="BS5" s="31" t="str">
        <f>IFERROR(__xludf.DUMMYFUNCTION("""COMPUTED_VALUE"""),"fxConversionMethod")</f>
        <v>fxConversionMethod</v>
      </c>
      <c r="BT5" s="31" t="str">
        <f>IFERROR(__xludf.DUMMYFUNCTION("""COMPUTED_VALUE"""),"taxlotFxRate")</f>
        <v>taxlotFxRate</v>
      </c>
      <c r="BU5" s="31" t="str">
        <f>IFERROR(__xludf.DUMMYFUNCTION("""COMPUTED_VALUE"""),"taxlotFxConversionMethod")</f>
        <v>taxlotFxConversionMethod</v>
      </c>
      <c r="BV5" s="31" t="str">
        <f>IFERROR(__xludf.DUMMYFUNCTION("""COMPUTED_VALUE"""),"avgPrice")</f>
        <v>avgPrice</v>
      </c>
      <c r="BW5" s="31" t="str">
        <f>IFERROR(__xludf.DUMMYFUNCTION("""COMPUTED_VALUE"""),"askPrice")</f>
        <v>askPrice</v>
      </c>
      <c r="BX5" s="31" t="str">
        <f>IFERROR(__xludf.DUMMYFUNCTION("""COMPUTED_VALUE"""),"bidPrice")</f>
        <v>bidPrice</v>
      </c>
      <c r="BY5" s="31" t="str">
        <f>IFERROR(__xludf.DUMMYFUNCTION("""COMPUTED_VALUE"""),"lowPrice")</f>
        <v>lowPrice</v>
      </c>
      <c r="BZ5" s="31" t="str">
        <f>IFERROR(__xludf.DUMMYFUNCTION("""COMPUTED_VALUE"""),"highPrice")</f>
        <v>highPrice</v>
      </c>
      <c r="CA5" s="31" t="str">
        <f>IFERROR(__xludf.DUMMYFUNCTION("""COMPUTED_VALUE"""),"openPrice")</f>
        <v>openPrice</v>
      </c>
      <c r="CB5" s="31" t="str">
        <f>IFERROR(__xludf.DUMMYFUNCTION("""COMPUTED_VALUE"""),"closePrice")</f>
        <v>closePrice</v>
      </c>
      <c r="CC5" s="31" t="str">
        <f>IFERROR(__xludf.DUMMYFUNCTION("""COMPUTED_VALUE"""),"lastPrice")</f>
        <v>lastPrice</v>
      </c>
      <c r="CD5" s="31" t="str">
        <f>IFERROR(__xludf.DUMMYFUNCTION("""COMPUTED_VALUE"""),"markPrice")</f>
        <v>markPrice</v>
      </c>
      <c r="CE5" s="31" t="str">
        <f>IFERROR(__xludf.DUMMYFUNCTION("""COMPUTED_VALUE"""),"delta")</f>
        <v>delta</v>
      </c>
      <c r="CF5" s="31" t="str">
        <f>IFERROR(__xludf.DUMMYFUNCTION("""COMPUTED_VALUE"""),"leveragedFactor")</f>
        <v>leveragedFactor</v>
      </c>
      <c r="CG5" s="31" t="str">
        <f>IFERROR(__xludf.DUMMYFUNCTION("""COMPUTED_VALUE"""),"beta5YearMonthly")</f>
        <v>beta5YearMonthly</v>
      </c>
      <c r="CH5" s="31" t="str">
        <f>IFERROR(__xludf.DUMMYFUNCTION("""COMPUTED_VALUE"""),"selectedFeedPrice")</f>
        <v>selectedFeedPrice</v>
      </c>
      <c r="CI5" s="31" t="str">
        <f>IFERROR(__xludf.DUMMYFUNCTION("""COMPUTED_VALUE"""),"openInterest")</f>
        <v>openInterest</v>
      </c>
      <c r="CJ5" s="31" t="str">
        <f>IFERROR(__xludf.DUMMYFUNCTION("""COMPUTED_VALUE"""),"underlyingPrice")</f>
        <v>underlyingPrice</v>
      </c>
      <c r="CK5" s="31" t="str">
        <f>IFERROR(__xludf.DUMMYFUNCTION("""COMPUTED_VALUE"""),"avgVolume20Days")</f>
        <v>avgVolume20Days</v>
      </c>
      <c r="CL5" s="31" t="str">
        <f>IFERROR(__xludf.DUMMYFUNCTION("""COMPUTED_VALUE"""),"sharesOutstanding")</f>
        <v>sharesOutstanding</v>
      </c>
      <c r="CM5" s="31" t="str">
        <f>IFERROR(__xludf.DUMMYFUNCTION("""COMPUTED_VALUE"""),"underlyingSharesOutstanding")</f>
        <v>underlyingSharesOutstanding</v>
      </c>
      <c r="CN5" s="31" t="str">
        <f>IFERROR(__xludf.DUMMYFUNCTION("""COMPUTED_VALUE"""),"marketCapitalization")</f>
        <v>marketCapitalization</v>
      </c>
      <c r="CO5" s="31" t="str">
        <f>IFERROR(__xludf.DUMMYFUNCTION("""COMPUTED_VALUE"""),"underlyingMarketCapitalization")</f>
        <v>underlyingMarketCapitalization</v>
      </c>
      <c r="CP5" s="31" t="str">
        <f>IFERROR(__xludf.DUMMYFUNCTION("""COMPUTED_VALUE"""),"avgVolume")</f>
        <v>avgVolume</v>
      </c>
      <c r="CQ5" s="31" t="str">
        <f>IFERROR(__xludf.DUMMYFUNCTION("""COMPUTED_VALUE"""),"netMarketValueLocal")</f>
        <v>netMarketValueLocal</v>
      </c>
      <c r="CR5" s="31" t="str">
        <f>IFERROR(__xludf.DUMMYFUNCTION("""COMPUTED_VALUE"""),"yesterdayMarketValueLocal")</f>
        <v>yesterdayMarketValueLocal</v>
      </c>
      <c r="CS5" s="31" t="str">
        <f>IFERROR(__xludf.DUMMYFUNCTION("""COMPUTED_VALUE"""),"grossMarketValueLocal")</f>
        <v>grossMarketValueLocal</v>
      </c>
      <c r="CT5" s="31" t="str">
        <f>IFERROR(__xludf.DUMMYFUNCTION("""COMPUTED_VALUE"""),"netMarketValueBase")</f>
        <v>netMarketValueBase</v>
      </c>
      <c r="CU5" s="31" t="str">
        <f>IFERROR(__xludf.DUMMYFUNCTION("""COMPUTED_VALUE"""),"yesterdayMarketValueBase")</f>
        <v>yesterdayMarketValueBase</v>
      </c>
      <c r="CV5" s="31" t="str">
        <f>IFERROR(__xludf.DUMMYFUNCTION("""COMPUTED_VALUE"""),"grossMarketValueBase")</f>
        <v>grossMarketValueBase</v>
      </c>
      <c r="CW5" s="31" t="str">
        <f>IFERROR(__xludf.DUMMYFUNCTION("""COMPUTED_VALUE"""),"notionalLocal")</f>
        <v>notionalLocal</v>
      </c>
      <c r="CX5" s="31" t="str">
        <f>IFERROR(__xludf.DUMMYFUNCTION("""COMPUTED_VALUE"""),"cashImpactLocal")</f>
        <v>cashImpactLocal</v>
      </c>
      <c r="CY5" s="31" t="str">
        <f>IFERROR(__xludf.DUMMYFUNCTION("""COMPUTED_VALUE"""),"cashInflowLocal")</f>
        <v>cashInflowLocal</v>
      </c>
      <c r="CZ5" s="31" t="str">
        <f>IFERROR(__xludf.DUMMYFUNCTION("""COMPUTED_VALUE"""),"cashOutflowLocal")</f>
        <v>cashOutflowLocal</v>
      </c>
      <c r="DA5" s="31" t="str">
        <f>IFERROR(__xludf.DUMMYFUNCTION("""COMPUTED_VALUE"""),"equityHaircutLocal")</f>
        <v>equityHaircutLocal</v>
      </c>
      <c r="DB5" s="31" t="str">
        <f>IFERROR(__xludf.DUMMYFUNCTION("""COMPUTED_VALUE"""),"indexHaircutLocal")</f>
        <v>indexHaircutLocal</v>
      </c>
      <c r="DC5" s="31" t="str">
        <f>IFERROR(__xludf.DUMMYFUNCTION("""COMPUTED_VALUE"""),"notionalBase")</f>
        <v>notionalBase</v>
      </c>
      <c r="DD5" s="31" t="str">
        <f>IFERROR(__xludf.DUMMYFUNCTION("""COMPUTED_VALUE"""),"cashImpactBase")</f>
        <v>cashImpactBase</v>
      </c>
      <c r="DE5" s="31" t="str">
        <f>IFERROR(__xludf.DUMMYFUNCTION("""COMPUTED_VALUE"""),"cashInflowBase")</f>
        <v>cashInflowBase</v>
      </c>
      <c r="DF5" s="31" t="str">
        <f>IFERROR(__xludf.DUMMYFUNCTION("""COMPUTED_VALUE"""),"cashOutflowBase")</f>
        <v>cashOutflowBase</v>
      </c>
      <c r="DG5" s="31" t="str">
        <f>IFERROR(__xludf.DUMMYFUNCTION("""COMPUTED_VALUE"""),"equityHaircutBase")</f>
        <v>equityHaircutBase</v>
      </c>
      <c r="DH5" s="31" t="str">
        <f>IFERROR(__xludf.DUMMYFUNCTION("""COMPUTED_VALUE"""),"indexHaircutBase")</f>
        <v>indexHaircutBase</v>
      </c>
      <c r="DI5" s="31" t="str">
        <f>IFERROR(__xludf.DUMMYFUNCTION("""COMPUTED_VALUE"""),"underlyingValueForOptionsLocal")</f>
        <v>underlyingValueForOptionsLocal</v>
      </c>
      <c r="DJ5" s="31" t="str">
        <f>IFERROR(__xludf.DUMMYFUNCTION("""COMPUTED_VALUE"""),"dayPnLLocal")</f>
        <v>dayPnLLocal</v>
      </c>
      <c r="DK5" s="31" t="str">
        <f>IFERROR(__xludf.DUMMYFUNCTION("""COMPUTED_VALUE"""),"costBasisPnLLocal")</f>
        <v>costBasisPnLLocal</v>
      </c>
      <c r="DL5" s="31" t="str">
        <f>IFERROR(__xludf.DUMMYFUNCTION("""COMPUTED_VALUE"""),"liquidationPnlLocal")</f>
        <v>liquidationPnlLocal</v>
      </c>
      <c r="DM5" s="31" t="str">
        <f>IFERROR(__xludf.DUMMYFUNCTION("""COMPUTED_VALUE"""),"underlyingValueForOptionsBase")</f>
        <v>underlyingValueForOptionsBase</v>
      </c>
      <c r="DN5" s="31" t="str">
        <f>IFERROR(__xludf.DUMMYFUNCTION("""COMPUTED_VALUE"""),"dayPnLBase")</f>
        <v>dayPnLBase</v>
      </c>
      <c r="DO5" s="31" t="str">
        <f>IFERROR(__xludf.DUMMYFUNCTION("""COMPUTED_VALUE"""),"costBasisPnLBase")</f>
        <v>costBasisPnLBase</v>
      </c>
      <c r="DP5" s="31" t="str">
        <f>IFERROR(__xludf.DUMMYFUNCTION("""COMPUTED_VALUE"""),"liquidationPnlBase")</f>
        <v>liquidationPnlBase</v>
      </c>
      <c r="DQ5" s="31" t="str">
        <f>IFERROR(__xludf.DUMMYFUNCTION("""COMPUTED_VALUE"""),"netExposureLocal")</f>
        <v>netExposureLocal</v>
      </c>
      <c r="DR5" s="31" t="str">
        <f>IFERROR(__xludf.DUMMYFUNCTION("""COMPUTED_VALUE"""),"grossExposureLocal")</f>
        <v>grossExposureLocal</v>
      </c>
      <c r="DS5" s="31" t="str">
        <f>IFERROR(__xludf.DUMMYFUNCTION("""COMPUTED_VALUE"""),"betaAdjustedExposureLocal")</f>
        <v>betaAdjustedExposureLocal</v>
      </c>
      <c r="DT5" s="31" t="str">
        <f>IFERROR(__xludf.DUMMYFUNCTION("""COMPUTED_VALUE"""),"netExposureBase")</f>
        <v>netExposureBase</v>
      </c>
      <c r="DU5" s="31" t="str">
        <f>IFERROR(__xludf.DUMMYFUNCTION("""COMPUTED_VALUE"""),"grossExposureBase")</f>
        <v>grossExposureBase</v>
      </c>
      <c r="DV5" s="31" t="str">
        <f>IFERROR(__xludf.DUMMYFUNCTION("""COMPUTED_VALUE"""),"betaAdjustedExposureBase")</f>
        <v>betaAdjustedExposureBase</v>
      </c>
      <c r="DW5" s="31" t="str">
        <f>IFERROR(__xludf.DUMMYFUNCTION("""COMPUTED_VALUE"""),"deltaAdjPosition")</f>
        <v>deltaAdjPosition</v>
      </c>
      <c r="DX5" s="31" t="str">
        <f>IFERROR(__xludf.DUMMYFUNCTION("""COMPUTED_VALUE"""),"dayDiff")</f>
        <v>dayDiff</v>
      </c>
      <c r="DY5" s="31" t="str">
        <f>IFERROR(__xludf.DUMMYFUNCTION("""COMPUTED_VALUE"""),"dayInterestLocal")</f>
        <v>dayInterestLocal</v>
      </c>
      <c r="DZ5" s="31" t="str">
        <f>IFERROR(__xludf.DUMMYFUNCTION("""COMPUTED_VALUE"""),"totalInterestLocal")</f>
        <v>totalInterestLocal</v>
      </c>
      <c r="EA5" s="31" t="str">
        <f>IFERROR(__xludf.DUMMYFUNCTION("""COMPUTED_VALUE"""),"dayInterestBase")</f>
        <v>dayInterestBase</v>
      </c>
      <c r="EB5" s="31" t="str">
        <f>IFERROR(__xludf.DUMMYFUNCTION("""COMPUTED_VALUE"""),"totalInterestBase")</f>
        <v>totalInterestBase</v>
      </c>
      <c r="EC5" s="31" t="str">
        <f>IFERROR(__xludf.DUMMYFUNCTION("""COMPUTED_VALUE"""),"percentAvgVolume")</f>
        <v>percentAvgVolume</v>
      </c>
      <c r="ED5" s="31" t="str">
        <f>IFERROR(__xludf.DUMMYFUNCTION("""COMPUTED_VALUE"""),"businessDaysToExpire")</f>
        <v>businessDaysToExpire</v>
      </c>
      <c r="EE5" s="31" t="str">
        <f>IFERROR(__xludf.DUMMYFUNCTION("""COMPUTED_VALUE"""),"actualDaysToExpire")</f>
        <v>actualDaysToExpire</v>
      </c>
      <c r="EF5" s="31" t="str">
        <f>IFERROR(__xludf.DUMMYFUNCTION("""COMPUTED_VALUE"""),"longDebitBalance")</f>
        <v>longDebitBalance</v>
      </c>
      <c r="EG5" s="31" t="str">
        <f>IFERROR(__xludf.DUMMYFUNCTION("""COMPUTED_VALUE"""),"shortCreditBalance")</f>
        <v>shortCreditBalance</v>
      </c>
      <c r="EH5" s="31" t="str">
        <f>IFERROR(__xludf.DUMMYFUNCTION("""COMPUTED_VALUE"""),"roundLot")</f>
        <v>roundLot</v>
      </c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8"/>
      <c r="D6" s="8"/>
      <c r="E6" s="8"/>
      <c r="F6" s="8"/>
      <c r="G6" s="8"/>
      <c r="H6" s="13" t="s">
        <v>28</v>
      </c>
      <c r="I6" s="45">
        <v>0.0</v>
      </c>
      <c r="J6" s="9">
        <v>100.0</v>
      </c>
      <c r="K6" s="8"/>
      <c r="L6" s="9">
        <v>100.0</v>
      </c>
      <c r="M6" s="9" t="s">
        <v>48</v>
      </c>
      <c r="N6" s="8"/>
      <c r="O6" s="13" t="s">
        <v>29</v>
      </c>
      <c r="Q6" s="13" t="s">
        <v>28</v>
      </c>
      <c r="R6" s="13" t="s">
        <v>44</v>
      </c>
      <c r="T6" s="13" t="s">
        <v>19</v>
      </c>
      <c r="U6" s="13" t="s">
        <v>19</v>
      </c>
      <c r="BV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28</v>
      </c>
      <c r="I7" s="45">
        <v>0.0</v>
      </c>
      <c r="J7" s="9">
        <v>50.0</v>
      </c>
      <c r="K7" s="8"/>
      <c r="L7" s="9">
        <v>50.0</v>
      </c>
      <c r="M7" s="9" t="s">
        <v>48</v>
      </c>
      <c r="N7" s="8"/>
      <c r="O7" s="13" t="s">
        <v>29</v>
      </c>
      <c r="Q7" s="13" t="s">
        <v>28</v>
      </c>
      <c r="R7" s="13" t="s">
        <v>47</v>
      </c>
      <c r="T7" s="13" t="s">
        <v>18</v>
      </c>
      <c r="U7" s="13" t="s">
        <v>18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9" t="s">
        <v>28</v>
      </c>
      <c r="I8" s="45">
        <v>0.0</v>
      </c>
      <c r="J8" s="9">
        <v>100.0</v>
      </c>
      <c r="K8" s="8"/>
      <c r="L8" s="9">
        <v>100.0</v>
      </c>
      <c r="M8" s="9" t="s">
        <v>48</v>
      </c>
      <c r="N8" s="8"/>
      <c r="O8" s="13" t="s">
        <v>29</v>
      </c>
      <c r="Q8" s="9" t="s">
        <v>28</v>
      </c>
      <c r="R8" s="9" t="s">
        <v>44</v>
      </c>
      <c r="T8" s="9" t="s">
        <v>19</v>
      </c>
      <c r="U8" s="9" t="s">
        <v>19</v>
      </c>
      <c r="BV8" s="9">
        <v>1.0</v>
      </c>
    </row>
    <row r="9" ht="15.75" customHeight="1">
      <c r="A9" s="8"/>
      <c r="B9" s="8"/>
      <c r="C9" s="8"/>
      <c r="D9" s="8"/>
      <c r="E9" s="8"/>
      <c r="F9" s="8"/>
      <c r="G9" s="8"/>
      <c r="H9" s="9" t="s">
        <v>28</v>
      </c>
      <c r="I9" s="45">
        <v>0.0</v>
      </c>
      <c r="J9" s="9">
        <v>150.0</v>
      </c>
      <c r="K9" s="8"/>
      <c r="L9" s="9">
        <v>150.0</v>
      </c>
      <c r="M9" s="9" t="s">
        <v>48</v>
      </c>
      <c r="N9" s="8"/>
      <c r="O9" s="13" t="s">
        <v>29</v>
      </c>
      <c r="Q9" s="9" t="s">
        <v>28</v>
      </c>
      <c r="R9" s="9" t="s">
        <v>47</v>
      </c>
      <c r="T9" s="9" t="s">
        <v>18</v>
      </c>
      <c r="U9" s="9" t="s">
        <v>18</v>
      </c>
      <c r="BV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