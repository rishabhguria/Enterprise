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ComplianceOrder1" sheetId="18" r:id="rId20"/>
    <sheet state="visible" name="VerifyComplianceOrder1" sheetId="19" r:id="rId21"/>
    <sheet state="visible" name="CancelSubOrder" sheetId="20" r:id="rId22"/>
    <sheet state="visible" name="VerifyComplianceOrder2" sheetId="21" r:id="rId23"/>
    <sheet state="visible" name="OpenRTPNL" sheetId="22" r:id="rId24"/>
    <sheet state="visible" name="LoginClient" sheetId="23" r:id="rId25"/>
    <sheet state="visible" name="CheckRealTimeSymAccountMonitor" sheetId="24" r:id="rId26"/>
    <sheet state="visible" name="SelectTradeOnBlotter" sheetId="25" r:id="rId27"/>
  </sheets>
  <definedNames/>
  <calcPr/>
</workbook>
</file>

<file path=xl/sharedStrings.xml><?xml version="1.0" encoding="utf-8"?>
<sst xmlns="http://schemas.openxmlformats.org/spreadsheetml/2006/main" count="343" uniqueCount="122">
  <si>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</si>
  <si>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</si>
  <si>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</si>
  <si>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</si>
  <si>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</si>
  <si>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</si>
  <si>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</si>
  <si>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</si>
  <si>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</si>
  <si>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</si>
  <si>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</si>
  <si>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</si>
  <si>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</si>
  <si>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</si>
  <si>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</si>
  <si>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</si>
  <si>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</si>
  <si>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</si>
  <si>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</si>
  <si>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</si>
  <si>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</si>
  <si>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Buy</t>
  </si>
  <si>
    <t>Allocation1</t>
  </si>
  <si>
    <t>DBLSX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</si>
  <si>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</si>
  <si>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</si>
  <si>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</si>
  <si>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</si>
  <si>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</si>
  <si>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</si>
  <si>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</si>
  <si>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</si>
  <si>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New</t>
  </si>
  <si>
    <t>Send</t>
  </si>
  <si>
    <t>VerifyComplianceOrder</t>
  </si>
  <si>
    <t>Soft</t>
  </si>
  <si>
    <t>Rule_Set</t>
  </si>
  <si>
    <t>Enter Summary</t>
  </si>
  <si>
    <t>Allocation1-DBLSX</t>
  </si>
  <si>
    <t>Multiple</t>
  </si>
  <si>
    <t>percentNetMarketValueAccount: 3.4043, percentGrossMarketValueAccount: 3.4043, percentNetExposureAccount: 3.4043, percentGrossExposureAccount: 3.4043, AccountShortName: Allocation1, Symbol: DBLSX</t>
  </si>
  <si>
    <t>RuleSet_Global</t>
  </si>
  <si>
    <t>Global</t>
  </si>
  <si>
    <t>percentNetExposureGlobal: 2.406, percentNetMarketValueGlobal: 2.406, percentGrossExposureGlobal: 2.406, percentGrossMarketValueGlobal: 2.406</t>
  </si>
  <si>
    <t>RuleSet_MF</t>
  </si>
  <si>
    <t>NewMF</t>
  </si>
  <si>
    <t>percentNetMarketValueMasterFund: 2.406, percentNetExposureMasterFund: 2.406, percentGrossExposureMasterFund: 2.406, percentGrossMarketValueMasterFund: 2.406, MasterFundName: NewMF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</si>
  <si>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</si>
  <si>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</si>
  <si>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</si>
  <si>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</si>
  <si>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</si>
  <si>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</si>
  <si>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</si>
  <si>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</si>
  <si>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percentNetMarketValueAccount: 4.2553, percentGrossMarketValueAccount: 4.2553, percentNetExposureAccount: 4.2553, percentGrossExposureAccount: 4.2553, AccountShortName: Allocation1, Symbol: DBLSX</t>
  </si>
  <si>
    <t>percentNetExposureGlobal: 3.003, percentNetMarketValueGlobal: 3.003, percentGrossExposureGlobal: 3.003, percentGrossMarketValueGlobal: 3.003</t>
  </si>
  <si>
    <t>percentNetMarketValueMasterFund: 3.003, percentNetExposureMasterFund: 3.003, percentGrossExposureMasterFund: 3.003, percentGrossMarketValueMasterFund: 3.003, MasterFundName: NewMF</t>
  </si>
  <si>
    <t>CancelSubOrder</t>
  </si>
  <si>
    <t>RTPNL</t>
  </si>
  <si>
    <t>OpenRTPNL</t>
  </si>
  <si>
    <t>Nirvana,PM</t>
  </si>
  <si>
    <t>SummaryDashboard</t>
  </si>
  <si>
    <t>PranaClient</t>
  </si>
  <si>
    <t>LoginClient</t>
  </si>
  <si>
    <t>Support6</t>
  </si>
  <si>
    <t>Nirvana@1</t>
  </si>
  <si>
    <t>CheckRealTimeSymAccountMonitor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</si>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</sst>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11.0"/>
      <color rgb="FFFFFFFF"/>
      <name val="Calibri"/>
    </font>
    <font>
      <sz val="9.0"/>
      <color rgb="FF000000"/>
      <name val="&quot;Segoe UI&quot;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24262A"/>
        <bgColor rgb="FF24262A"/>
      </patternFill>
    </fill>
    <fill>
      <patternFill patternType="solid">
        <fgColor rgb="FFE7E8E9"/>
        <bgColor rgb="FFE7E8E9"/>
      </patternFill>
    </fill>
    <fill>
      <patternFill patternType="solid">
        <fgColor rgb="FF1E1F23"/>
        <bgColor rgb="FF1E1F23"/>
      </patternFill>
    </fill>
    <fill>
      <patternFill patternType="solid">
        <fgColor rgb="FFCBD6E0"/>
        <bgColor rgb="FFCBD6E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readingOrder="0" vertical="top"/>
    </xf>
    <xf borderId="12" fillId="7" fontId="14" numFmtId="0" xfId="0" applyAlignment="1" applyBorder="1" applyFill="1" applyFont="1">
      <alignment readingOrder="0" shrinkToFit="0" vertical="bottom" wrapText="0"/>
    </xf>
    <xf borderId="13" fillId="8" fontId="3" numFmtId="0" xfId="0" applyAlignment="1" applyBorder="1" applyFill="1" applyFont="1">
      <alignment vertical="top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4" fillId="6" fontId="13" numFmtId="0" xfId="0" applyAlignment="1" applyBorder="1" applyFont="1">
      <alignment readingOrder="0" vertical="top"/>
    </xf>
    <xf borderId="12" fillId="9" fontId="14" numFmtId="0" xfId="0" applyAlignment="1" applyBorder="1" applyFill="1" applyFont="1">
      <alignment readingOrder="0" shrinkToFit="0" vertical="bottom" wrapText="0"/>
    </xf>
    <xf borderId="15" fillId="10" fontId="3" numFmtId="0" xfId="0" applyAlignment="1" applyBorder="1" applyFill="1" applyFont="1">
      <alignment vertical="top"/>
    </xf>
    <xf borderId="15" fillId="8" fontId="3" numFmtId="0" xfId="0" applyAlignment="1" applyBorder="1" applyFont="1">
      <alignment vertical="top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Font="1"/>
    <xf borderId="0" fillId="0" fontId="3" numFmtId="0" xfId="0" applyAlignment="1" applyFont="1">
      <alignment horizontal="right" vertical="bottom"/>
    </xf>
    <xf borderId="11" fillId="6" fontId="13" numFmtId="0" xfId="0" applyAlignment="1" applyBorder="1" applyFont="1">
      <alignment vertical="top"/>
    </xf>
    <xf borderId="11" fillId="8" fontId="15" numFmtId="0" xfId="0" applyAlignment="1" applyBorder="1" applyFont="1">
      <alignment vertical="top"/>
    </xf>
    <xf borderId="11" fillId="8" fontId="15" numFmtId="0" xfId="0" applyAlignment="1" applyBorder="1" applyFont="1">
      <alignment vertical="top"/>
    </xf>
    <xf borderId="13" fillId="8" fontId="15" numFmtId="0" xfId="0" applyAlignment="1" applyBorder="1" applyFont="1">
      <alignment shrinkToFit="0" vertical="top" wrapText="0"/>
    </xf>
    <xf borderId="14" fillId="6" fontId="13" numFmtId="0" xfId="0" applyAlignment="1" applyBorder="1" applyFont="1">
      <alignment vertical="top"/>
    </xf>
    <xf borderId="14" fillId="10" fontId="15" numFmtId="0" xfId="0" applyAlignment="1" applyBorder="1" applyFont="1">
      <alignment vertical="top"/>
    </xf>
    <xf borderId="15" fillId="10" fontId="15" numFmtId="0" xfId="0" applyAlignment="1" applyBorder="1" applyFont="1">
      <alignment shrinkToFit="0" vertical="top" wrapText="0"/>
    </xf>
    <xf borderId="14" fillId="8" fontId="15" numFmtId="0" xfId="0" applyAlignment="1" applyBorder="1" applyFont="1">
      <alignment vertical="top"/>
    </xf>
    <xf borderId="15" fillId="8" fontId="15" numFmtId="0" xfId="0" applyAlignment="1" applyBorder="1" applyFont="1">
      <alignment shrinkToFit="0" vertical="top" wrapText="0"/>
    </xf>
    <xf borderId="0" fillId="0" fontId="5" numFmtId="0" xfId="0" applyAlignment="1" applyFont="1">
      <alignment readingOrder="0" shrinkToFit="0" vertical="bottom" wrapText="0"/>
    </xf>
    <xf borderId="16" fillId="0" fontId="3" numFmtId="0" xfId="0" applyAlignment="1" applyBorder="1" applyFont="1">
      <alignment readingOrder="0" vertical="bottom"/>
    </xf>
    <xf borderId="0" fillId="0" fontId="16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 t="str">
        <f>IFERROR(__xludf.DUMMYFUNCTION("""COMPUTED_VALUE"""),"AuecVenueExchange")</f>
        <v>AuecVenueExchange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10.0</v>
      </c>
      <c r="K6" s="3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8">
        <v>1.23456789E8</v>
      </c>
      <c r="C7" s="39" t="s">
        <v>21</v>
      </c>
      <c r="D7" s="40">
        <v>100.0</v>
      </c>
      <c r="E7" s="38">
        <v>0.0</v>
      </c>
      <c r="F7" s="41" t="s">
        <v>22</v>
      </c>
      <c r="G7" s="39"/>
      <c r="H7" s="39"/>
      <c r="I7" s="39"/>
      <c r="J7" s="36">
        <v>10.0</v>
      </c>
      <c r="K7" s="3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18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2"/>
      <c r="B8" s="39" t="s">
        <v>23</v>
      </c>
      <c r="C8" s="39" t="s">
        <v>21</v>
      </c>
      <c r="D8" s="40">
        <v>100.0</v>
      </c>
      <c r="E8" s="39"/>
      <c r="F8" s="35" t="s">
        <v>22</v>
      </c>
      <c r="G8" s="39"/>
      <c r="H8" s="39"/>
      <c r="I8" s="39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 t="s">
        <v>18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2"/>
      <c r="B9" s="39" t="s">
        <v>23</v>
      </c>
      <c r="C9" s="39" t="s">
        <v>21</v>
      </c>
      <c r="D9" s="40">
        <v>100.0</v>
      </c>
      <c r="E9" s="38">
        <v>0.0</v>
      </c>
      <c r="F9" s="41" t="s">
        <v>22</v>
      </c>
      <c r="G9" s="39"/>
      <c r="H9" s="39"/>
      <c r="I9" s="39"/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 t="s">
        <v>18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v>1.23456789E8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10.0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2"/>
      <c r="B7" s="39" t="s">
        <v>23</v>
      </c>
      <c r="C7" s="39" t="s">
        <v>21</v>
      </c>
      <c r="D7" s="40">
        <v>100.0</v>
      </c>
      <c r="E7" s="39"/>
      <c r="F7" s="35" t="s">
        <v>22</v>
      </c>
      <c r="G7" s="39"/>
      <c r="H7" s="39"/>
      <c r="I7" s="39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4">
        <v>1.23456789E8</v>
      </c>
      <c r="C6" s="36">
        <v>20.0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5" t="s">
        <v>23</v>
      </c>
      <c r="C7" s="36">
        <v>20.0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6">
        <f t="shared" ref="B6:C6" si="1">today()-1</f>
        <v>45903</v>
      </c>
      <c r="C6" s="47">
        <f t="shared" si="1"/>
        <v>45903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8" t="s">
        <v>22</v>
      </c>
      <c r="C6" s="49" t="s">
        <v>29</v>
      </c>
      <c r="D6" s="50">
        <v>233990.0</v>
      </c>
      <c r="E6" s="33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51" t="s">
        <v>30</v>
      </c>
      <c r="C7" s="52" t="s">
        <v>29</v>
      </c>
      <c r="D7" s="53">
        <v>100000.0</v>
      </c>
      <c r="E7" s="39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23</v>
      </c>
      <c r="C6" s="33" t="s">
        <v>21</v>
      </c>
      <c r="D6" s="34">
        <v>100.0</v>
      </c>
      <c r="E6" s="33"/>
      <c r="F6" s="35" t="s">
        <v>22</v>
      </c>
      <c r="G6" s="33"/>
      <c r="H6" s="33"/>
      <c r="I6" s="33"/>
      <c r="J6" s="36">
        <v>20.0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54" t="s">
        <v>32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54" t="s">
        <v>33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67.38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35</v>
      </c>
      <c r="C6" s="57" t="s">
        <v>36</v>
      </c>
      <c r="D6" s="57" t="s">
        <v>37</v>
      </c>
      <c r="E6" s="57" t="s">
        <v>38</v>
      </c>
      <c r="F6" s="57" t="s">
        <v>39</v>
      </c>
      <c r="G6" s="57" t="s">
        <v>39</v>
      </c>
      <c r="H6" s="57" t="s">
        <v>40</v>
      </c>
      <c r="I6" s="58"/>
      <c r="J6" s="35"/>
      <c r="K6" s="45" t="s">
        <v>18</v>
      </c>
      <c r="L6" s="35"/>
      <c r="M6" s="59" t="s">
        <v>33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0"/>
      <c r="B7" s="61" t="s">
        <v>35</v>
      </c>
      <c r="C7" s="62" t="s">
        <v>41</v>
      </c>
      <c r="D7" s="62" t="s">
        <v>37</v>
      </c>
      <c r="E7" s="62" t="s">
        <v>42</v>
      </c>
      <c r="F7" s="62" t="s">
        <v>39</v>
      </c>
      <c r="G7" s="62" t="s">
        <v>39</v>
      </c>
      <c r="H7" s="62" t="s">
        <v>43</v>
      </c>
      <c r="I7" s="63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60"/>
      <c r="B8" s="61" t="s">
        <v>35</v>
      </c>
      <c r="C8" s="62" t="s">
        <v>44</v>
      </c>
      <c r="D8" s="62" t="s">
        <v>37</v>
      </c>
      <c r="E8" s="62" t="s">
        <v>45</v>
      </c>
      <c r="F8" s="62" t="s">
        <v>39</v>
      </c>
      <c r="G8" s="62" t="s">
        <v>39</v>
      </c>
      <c r="H8" s="62" t="s">
        <v>46</v>
      </c>
      <c r="I8" s="6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5"/>
      <c r="B6" s="65" t="s">
        <v>21</v>
      </c>
      <c r="C6" s="31" t="s">
        <v>23</v>
      </c>
      <c r="D6" s="65"/>
      <c r="E6" s="66"/>
      <c r="F6" s="4"/>
      <c r="G6" s="4"/>
      <c r="H6" s="4"/>
      <c r="I6" s="4"/>
      <c r="J6" s="4"/>
      <c r="K6" s="4"/>
      <c r="L6" s="4"/>
      <c r="M6" s="4"/>
      <c r="N6" s="4"/>
      <c r="O6" s="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65"/>
      <c r="B6" s="65" t="s">
        <v>21</v>
      </c>
      <c r="C6" s="31" t="s">
        <v>23</v>
      </c>
      <c r="D6" s="65"/>
      <c r="E6" s="66"/>
      <c r="F6" s="4"/>
      <c r="G6" s="4"/>
      <c r="H6" s="4"/>
      <c r="I6" s="4"/>
      <c r="J6" s="4"/>
      <c r="K6" s="4"/>
      <c r="L6" s="4"/>
      <c r="M6" s="4"/>
      <c r="N6" s="4"/>
      <c r="O6" s="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  <c r="BV6" s="67"/>
      <c r="BW6" s="67"/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  <c r="DK6" s="67"/>
      <c r="DL6" s="67"/>
      <c r="DM6" s="67"/>
      <c r="DN6" s="67"/>
      <c r="DO6" s="67"/>
      <c r="DP6" s="67"/>
      <c r="DQ6" s="67"/>
      <c r="DR6" s="67"/>
      <c r="DS6" s="67"/>
      <c r="DT6" s="67"/>
      <c r="DU6" s="67"/>
      <c r="DV6" s="67"/>
      <c r="DW6" s="67"/>
      <c r="DX6" s="67"/>
      <c r="DY6" s="67"/>
      <c r="DZ6" s="67"/>
      <c r="EA6" s="67"/>
      <c r="EB6" s="67"/>
      <c r="EC6" s="67"/>
      <c r="ED6" s="67"/>
      <c r="EE6" s="67"/>
      <c r="EF6" s="67"/>
      <c r="EG6" s="67"/>
      <c r="EH6" s="67"/>
      <c r="EI6" s="67"/>
      <c r="EJ6" s="67"/>
      <c r="EK6" s="67"/>
      <c r="EL6" s="67"/>
      <c r="EM6" s="67"/>
      <c r="EN6" s="67"/>
      <c r="EO6" s="67"/>
      <c r="EP6" s="67"/>
      <c r="EQ6" s="67"/>
      <c r="ER6" s="67"/>
      <c r="ES6" s="67"/>
      <c r="ET6" s="67"/>
      <c r="EU6" s="67"/>
      <c r="EV6" s="67"/>
      <c r="EW6" s="67"/>
      <c r="EX6" s="6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 t="str">
        <f>IFERROR(__xludf.DUMMYFUNCTION("""COMPUTED_VALUE"""),"SaveTradeData")</f>
        <v>SaveTradeData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4"/>
      <c r="C6" s="35"/>
      <c r="D6" s="31" t="s">
        <v>23</v>
      </c>
      <c r="E6" s="35"/>
      <c r="F6" s="45" t="s">
        <v>21</v>
      </c>
      <c r="G6" s="45"/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54" t="s">
        <v>32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/>
      <c r="C6" s="35"/>
      <c r="D6" s="4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9" t="s">
        <v>23</v>
      </c>
      <c r="AK6" s="35" t="s">
        <v>21</v>
      </c>
      <c r="AL6" s="35"/>
      <c r="AM6" s="68">
        <v>100.0</v>
      </c>
      <c r="AN6" s="35"/>
      <c r="AO6" s="35"/>
      <c r="AP6" s="35"/>
      <c r="AQ6" s="35"/>
      <c r="AR6" s="35"/>
      <c r="AS6" s="68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1" t="s">
        <v>23</v>
      </c>
      <c r="C6" s="54" t="s">
        <v>21</v>
      </c>
      <c r="D6" s="44">
        <v>200.0</v>
      </c>
      <c r="E6" s="35"/>
      <c r="F6" s="35"/>
      <c r="G6" s="35"/>
      <c r="H6" s="35"/>
      <c r="I6" s="35"/>
      <c r="J6" s="36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 t="s">
        <v>54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153.1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69" t="s">
        <v>35</v>
      </c>
      <c r="C6" s="70" t="s">
        <v>36</v>
      </c>
      <c r="D6" s="71" t="s">
        <v>37</v>
      </c>
      <c r="E6" s="70" t="s">
        <v>38</v>
      </c>
      <c r="F6" s="70" t="s">
        <v>39</v>
      </c>
      <c r="G6" s="70" t="s">
        <v>39</v>
      </c>
      <c r="H6" s="72" t="s">
        <v>55</v>
      </c>
      <c r="I6" s="58"/>
      <c r="J6" s="35"/>
      <c r="K6" s="45" t="s">
        <v>18</v>
      </c>
      <c r="L6" s="35"/>
      <c r="M6" s="45" t="s">
        <v>54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0"/>
      <c r="B7" s="73" t="s">
        <v>35</v>
      </c>
      <c r="C7" s="74" t="s">
        <v>41</v>
      </c>
      <c r="D7" s="74" t="s">
        <v>37</v>
      </c>
      <c r="E7" s="74" t="s">
        <v>42</v>
      </c>
      <c r="F7" s="74" t="s">
        <v>39</v>
      </c>
      <c r="G7" s="74" t="s">
        <v>39</v>
      </c>
      <c r="H7" s="75" t="s">
        <v>56</v>
      </c>
      <c r="I7" s="63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60"/>
      <c r="B8" s="73" t="s">
        <v>35</v>
      </c>
      <c r="C8" s="76" t="s">
        <v>44</v>
      </c>
      <c r="D8" s="76" t="s">
        <v>37</v>
      </c>
      <c r="E8" s="76" t="s">
        <v>45</v>
      </c>
      <c r="F8" s="76" t="s">
        <v>39</v>
      </c>
      <c r="G8" s="76" t="s">
        <v>39</v>
      </c>
      <c r="H8" s="77" t="s">
        <v>57</v>
      </c>
      <c r="I8" s="6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/>
      <c r="C6" s="35"/>
      <c r="D6" s="4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9" t="s">
        <v>23</v>
      </c>
      <c r="AJ6" s="35" t="s">
        <v>21</v>
      </c>
      <c r="AK6" s="35"/>
      <c r="AL6" s="68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69" t="s">
        <v>35</v>
      </c>
      <c r="C6" s="70" t="s">
        <v>36</v>
      </c>
      <c r="D6" s="71" t="s">
        <v>37</v>
      </c>
      <c r="E6" s="70" t="s">
        <v>38</v>
      </c>
      <c r="F6" s="70" t="s">
        <v>39</v>
      </c>
      <c r="G6" s="70" t="s">
        <v>39</v>
      </c>
      <c r="H6" s="72" t="s">
        <v>55</v>
      </c>
      <c r="I6" s="35"/>
      <c r="J6" s="35"/>
      <c r="K6" s="45" t="s">
        <v>18</v>
      </c>
      <c r="L6" s="35"/>
      <c r="M6" s="59" t="s">
        <v>33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0"/>
      <c r="B7" s="73" t="s">
        <v>35</v>
      </c>
      <c r="C7" s="74" t="s">
        <v>41</v>
      </c>
      <c r="D7" s="74" t="s">
        <v>37</v>
      </c>
      <c r="E7" s="74" t="s">
        <v>42</v>
      </c>
      <c r="F7" s="74" t="s">
        <v>39</v>
      </c>
      <c r="G7" s="74" t="s">
        <v>39</v>
      </c>
      <c r="H7" s="75" t="s">
        <v>56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60"/>
      <c r="B8" s="73" t="s">
        <v>35</v>
      </c>
      <c r="C8" s="76" t="s">
        <v>44</v>
      </c>
      <c r="D8" s="76" t="s">
        <v>37</v>
      </c>
      <c r="E8" s="76" t="s">
        <v>45</v>
      </c>
      <c r="F8" s="76" t="s">
        <v>39</v>
      </c>
      <c r="G8" s="76" t="s">
        <v>39</v>
      </c>
      <c r="H8" s="77" t="s">
        <v>57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59" t="s">
        <v>61</v>
      </c>
      <c r="C6" s="78" t="s">
        <v>62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59" t="s">
        <v>65</v>
      </c>
      <c r="C6" s="78" t="s">
        <v>66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79" t="s">
        <v>23</v>
      </c>
      <c r="C6" s="35"/>
      <c r="D6" s="59" t="s">
        <v>45</v>
      </c>
      <c r="E6" s="80" t="s">
        <v>22</v>
      </c>
      <c r="F6" s="35"/>
      <c r="G6" s="81">
        <v>300.0</v>
      </c>
      <c r="H6" s="35"/>
      <c r="I6" s="81">
        <v>20.0</v>
      </c>
      <c r="J6" s="81">
        <v>20.0</v>
      </c>
      <c r="K6" s="35"/>
      <c r="L6" s="35"/>
      <c r="M6" s="35"/>
      <c r="N6" s="35"/>
      <c r="O6" s="82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51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69</v>
      </c>
      <c r="C5" s="28" t="s">
        <v>70</v>
      </c>
      <c r="D5" s="28" t="s">
        <v>71</v>
      </c>
      <c r="E5" s="28" t="s">
        <v>72</v>
      </c>
      <c r="F5" s="28" t="s">
        <v>73</v>
      </c>
      <c r="G5" s="28" t="s">
        <v>74</v>
      </c>
      <c r="H5" s="28" t="s">
        <v>75</v>
      </c>
      <c r="I5" s="28" t="s">
        <v>76</v>
      </c>
      <c r="J5" s="28" t="s">
        <v>77</v>
      </c>
      <c r="K5" s="28" t="s">
        <v>78</v>
      </c>
      <c r="L5" s="28" t="s">
        <v>79</v>
      </c>
      <c r="M5" s="28" t="s">
        <v>80</v>
      </c>
      <c r="N5" s="28" t="s">
        <v>81</v>
      </c>
      <c r="O5" s="28" t="s">
        <v>82</v>
      </c>
      <c r="P5" s="28" t="s">
        <v>83</v>
      </c>
      <c r="Q5" s="28" t="s">
        <v>84</v>
      </c>
      <c r="R5" s="28" t="s">
        <v>85</v>
      </c>
      <c r="S5" s="28" t="s">
        <v>86</v>
      </c>
      <c r="T5" s="83" t="s">
        <v>87</v>
      </c>
      <c r="U5" s="83" t="s">
        <v>88</v>
      </c>
      <c r="V5" s="83" t="s">
        <v>89</v>
      </c>
      <c r="W5" s="83" t="s">
        <v>90</v>
      </c>
      <c r="X5" s="83" t="s">
        <v>91</v>
      </c>
      <c r="Y5" s="83" t="s">
        <v>92</v>
      </c>
      <c r="Z5" s="83" t="s">
        <v>93</v>
      </c>
      <c r="AA5" s="83" t="s">
        <v>94</v>
      </c>
      <c r="AB5" s="83" t="s">
        <v>95</v>
      </c>
      <c r="AC5" s="83" t="s">
        <v>96</v>
      </c>
      <c r="AD5" s="83" t="s">
        <v>97</v>
      </c>
      <c r="AE5" s="83" t="s">
        <v>98</v>
      </c>
      <c r="AF5" s="83" t="s">
        <v>99</v>
      </c>
      <c r="AG5" s="83" t="s">
        <v>100</v>
      </c>
      <c r="AH5" s="83" t="s">
        <v>101</v>
      </c>
      <c r="AI5" s="83" t="s">
        <v>102</v>
      </c>
      <c r="AJ5" s="83" t="s">
        <v>103</v>
      </c>
      <c r="AK5" s="83" t="s">
        <v>104</v>
      </c>
      <c r="AL5" s="83" t="s">
        <v>105</v>
      </c>
      <c r="AM5" s="83" t="s">
        <v>106</v>
      </c>
      <c r="AN5" s="83" t="s">
        <v>107</v>
      </c>
      <c r="AO5" s="83" t="s">
        <v>108</v>
      </c>
      <c r="AP5" s="83" t="s">
        <v>109</v>
      </c>
      <c r="AQ5" s="83" t="s">
        <v>110</v>
      </c>
      <c r="AR5" s="83" t="s">
        <v>111</v>
      </c>
      <c r="AS5" s="83" t="s">
        <v>112</v>
      </c>
      <c r="AT5" s="83" t="s">
        <v>113</v>
      </c>
      <c r="AU5" s="83" t="s">
        <v>114</v>
      </c>
      <c r="AV5" s="83" t="s">
        <v>115</v>
      </c>
      <c r="AW5" s="83" t="s">
        <v>116</v>
      </c>
      <c r="AX5" s="83" t="s">
        <v>117</v>
      </c>
      <c r="AY5" s="83" t="s">
        <v>118</v>
      </c>
      <c r="AZ5" s="83" t="s">
        <v>119</v>
      </c>
      <c r="BA5" s="83" t="s">
        <v>120</v>
      </c>
      <c r="BB5" s="83" t="s">
        <v>121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/>
      <c r="C6" s="35"/>
      <c r="D6" s="31" t="s">
        <v>23</v>
      </c>
      <c r="E6" s="35"/>
      <c r="F6" s="45" t="s">
        <v>21</v>
      </c>
      <c r="G6" s="45"/>
      <c r="H6" s="36"/>
      <c r="I6" s="8"/>
      <c r="J6" s="8"/>
      <c r="K6" s="8"/>
      <c r="L6" s="8"/>
      <c r="M6" s="8"/>
      <c r="N6" s="8"/>
      <c r="O6" s="8"/>
      <c r="AQ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