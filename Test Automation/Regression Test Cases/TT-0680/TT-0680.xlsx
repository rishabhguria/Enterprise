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ickSymbolLookup" sheetId="4" r:id="rId6"/>
    <sheet state="visible" name="AddSymbol" sheetId="5" r:id="rId7"/>
    <sheet state="visible" name="CreateDoneAwayOrder" sheetId="6" r:id="rId8"/>
    <sheet state="visible" name="VerifyOrder" sheetId="7" r:id="rId9"/>
    <sheet state="visible" name="Copy of Data" sheetId="8" r:id="rId10"/>
  </sheets>
  <definedNames/>
  <calcPr/>
</workbook>
</file>

<file path=xl/sharedStrings.xml><?xml version="1.0" encoding="utf-8"?>
<sst xmlns="http://schemas.openxmlformats.org/spreadsheetml/2006/main" count="188" uniqueCount="43">
  <si>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</si>
  <si>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</si>
  <si>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</si>
  <si>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</si>
  <si>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</si>
  <si>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</si>
  <si>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</si>
  <si>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</si>
  <si>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</si>
  <si>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</si>
  <si>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</si>
  <si>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</si>
  <si>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</si>
  <si>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ClickSymbolLookup</t>
  </si>
  <si>
    <t>Data Format</t>
  </si>
  <si>
    <t>Input Format</t>
  </si>
  <si>
    <t>O:VXX 16H9.50D19</t>
  </si>
  <si>
    <t>SymbolLookup</t>
  </si>
  <si>
    <t>AddSymbol</t>
  </si>
  <si>
    <t>OPTS-EquityOption</t>
  </si>
  <si>
    <t>USD</t>
  </si>
  <si>
    <t>VXX</t>
  </si>
  <si>
    <t>CreateDoneAwayOrder</t>
  </si>
  <si>
    <t>Buy to Open</t>
  </si>
  <si>
    <t>Allocation1</t>
  </si>
  <si>
    <t>MS</t>
  </si>
  <si>
    <t>Blotter</t>
  </si>
  <si>
    <t>VerifyOrder</t>
  </si>
  <si>
    <t/>
  </si>
  <si>
    <t>NASDAQ</t>
  </si>
  <si>
    <t>jpearce</t>
  </si>
  <si>
    <t>US</t>
  </si>
  <si>
    <t>GCCAP1</t>
  </si>
  <si>
    <t>PUT</t>
  </si>
  <si>
    <t>NewMF</t>
  </si>
  <si>
    <t>DefaultNotes</t>
  </si>
  <si>
    <t>EquityOption</t>
  </si>
  <si>
    <t>Filled</t>
  </si>
  <si>
    <t>Market</t>
  </si>
  <si>
    <t>Manual</t>
  </si>
  <si>
    <t>Day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</si>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</sst>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vertical="bottom"/>
    </xf>
    <xf borderId="0" fillId="0" fontId="5" numFmtId="165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ClickSymbolLookup!$4:$4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IFERROR(__xludf.DUMMYFUNCTION("""COMPUTED_VALUE"""),"ExchangeIdentifier")</f>
        <v>ExchangeIdentifier</v>
      </c>
      <c r="C5" s="27" t="str">
        <f>IFERROR(__xludf.DUMMYFUNCTION("""COMPUTED_VALUE"""),"Symbol")</f>
        <v>Symbol</v>
      </c>
      <c r="D5" s="27" t="str">
        <f>IFERROR(__xludf.DUMMYFUNCTION("""COMPUTED_VALUE"""),"Currency")</f>
        <v>Currency</v>
      </c>
      <c r="E5" s="27" t="str">
        <f>IFERROR(__xludf.DUMMYFUNCTION("""COMPUTED_VALUE"""),"Multiplier")</f>
        <v>Multiplier</v>
      </c>
      <c r="F5" s="28" t="str">
        <f>IFERROR(__xludf.DUMMYFUNCTION("""COMPUTED_VALUE"""),"UnderLyingName")</f>
        <v>UnderLyingName</v>
      </c>
      <c r="G5" s="27" t="str">
        <f>IFERROR(__xludf.DUMMYFUNCTION("""COMPUTED_VALUE"""),"Bloomberg Symbol")</f>
        <v>Bloomberg Symbol</v>
      </c>
      <c r="H5" s="27" t="str">
        <f>IFERROR(__xludf.DUMMYFUNCTION("""COMPUTED_VALUE"""),"Description")</f>
        <v>Description</v>
      </c>
      <c r="I5" s="27" t="str">
        <f>IFERROR(__xludf.DUMMYFUNCTION("""COMPUTED_VALUE"""),"Expiration Date")</f>
        <v>Expiration Date</v>
      </c>
      <c r="J5" s="27" t="str">
        <f>IFERROR(__xludf.DUMMYFUNCTION("""COMPUTED_VALUE"""),"Put/Call")</f>
        <v>Put/Call</v>
      </c>
      <c r="K5" s="27" t="str">
        <f>IFERROR(__xludf.DUMMYFUNCTION("""COMPUTED_VALUE"""),"Strike Price")</f>
        <v>Strike Price</v>
      </c>
      <c r="L5" s="27" t="str">
        <f>IFERROR(__xludf.DUMMYFUNCTION("""COMPUTED_VALUE"""),"Issue Date")</f>
        <v>Issue Date</v>
      </c>
      <c r="M5" s="27" t="str">
        <f>IFERROR(__xludf.DUMMYFUNCTION("""COMPUTED_VALUE"""),"Accrual Basis")</f>
        <v>Accrual Basis</v>
      </c>
      <c r="N5" s="27" t="str">
        <f>IFERROR(__xludf.DUMMYFUNCTION("""COMPUTED_VALUE"""),"Coupon Frequency")</f>
        <v>Coupon Frequency</v>
      </c>
      <c r="O5" s="27" t="str">
        <f>IFERROR(__xludf.DUMMYFUNCTION("""COMPUTED_VALUE"""),"Coupon")</f>
        <v>Coupon</v>
      </c>
      <c r="P5" s="27" t="str">
        <f>IFERROR(__xludf.DUMMYFUNCTION("""COMPUTED_VALUE"""),"Bond Type")</f>
        <v>Bond Type</v>
      </c>
      <c r="Q5" s="27" t="str">
        <f>IFERROR(__xludf.DUMMYFUNCTION("""COMPUTED_VALUE"""),"First Coupan Date")</f>
        <v>First Coupan Date</v>
      </c>
      <c r="R5" s="27" t="str">
        <f>IFERROR(__xludf.DUMMYFUNCTION("""COMPUTED_VALUE"""),"Days To Settlement")</f>
        <v>Days To Settlement</v>
      </c>
      <c r="S5" s="27" t="str">
        <f>IFERROR(__xludf.DUMMYFUNCTION("""COMPUTED_VALUE"""),"IsZero")</f>
        <v>IsZero</v>
      </c>
      <c r="T5" s="29" t="str">
        <f>IFERROR(__xludf.DUMMYFUNCTION("""COMPUTED_VALUE"""),"Collateral Type")</f>
        <v>Collateral Type</v>
      </c>
      <c r="U5" s="29" t="str">
        <f>IFERROR(__xludf.DUMMYFUNCTION("""COMPUTED_VALUE"""),"RoundLots")</f>
        <v>RoundLots</v>
      </c>
      <c r="V5" s="29" t="str">
        <f>IFERROR(__xludf.DUMMYFUNCTION("""COMPUTED_VALUE"""),"LeveragedFactor")</f>
        <v>LeveragedFactor</v>
      </c>
      <c r="W5" s="29" t="str">
        <f>IFERROR(__xludf.DUMMYFUNCTION("""COMPUTED_VALUE"""),"Strike Price Multiplier")</f>
        <v>Strike Price Multiplier</v>
      </c>
      <c r="X5" s="29" t="str">
        <f>IFERROR(__xludf.DUMMYFUNCTION("""COMPUTED_VALUE"""),"Sedol Symbol")</f>
        <v>Sedol Symbol</v>
      </c>
      <c r="Y5" s="29" t="str">
        <f>IFERROR(__xludf.DUMMYFUNCTION("""COMPUTED_VALUE"""),"Cusip Symbol")</f>
        <v>Cusip Symbol</v>
      </c>
      <c r="Z5" s="29" t="str">
        <f>IFERROR(__xludf.DUMMYFUNCTION("""COMPUTED_VALUE"""),"ISIN Symbol")</f>
        <v>ISIN Symbol</v>
      </c>
      <c r="AA5" s="29" t="str">
        <f>IFERROR(__xludf.DUMMYFUNCTION("""COMPUTED_VALUE"""),"IDCOOption-22")</f>
        <v>IDCOOption-22</v>
      </c>
      <c r="AB5" s="29" t="str">
        <f>IFERROR(__xludf.DUMMYFUNCTION("""COMPUTED_VALUE"""),"OSIOption-21")</f>
        <v>OSIOption-21</v>
      </c>
      <c r="AC5" s="29" t="str">
        <f>IFERROR(__xludf.DUMMYFUNCTION("""COMPUTED_VALUE"""),"Comments")</f>
        <v>Comments</v>
      </c>
      <c r="AD5" s="29" t="str">
        <f>IFERROR(__xludf.DUMMYFUNCTION("""COMPUTED_VALUE"""),"Shares Outstanding")</f>
        <v>Shares Outstanding</v>
      </c>
      <c r="AE5" s="29" t="str">
        <f>IFERROR(__xludf.DUMMYFUNCTION("""COMPUTED_VALUE"""),"FactSet Symbol")</f>
        <v>FactSet Symbol</v>
      </c>
      <c r="AF5" s="29" t="str">
        <f>IFERROR(__xludf.DUMMYFUNCTION("""COMPUTED_VALUE"""),"ACTIV Symbol")</f>
        <v>ACTIV Symbol</v>
      </c>
      <c r="AG5" s="29" t="str">
        <f>IFERROR(__xludf.DUMMYFUNCTION("""COMPUTED_VALUE"""),"UDA Security Type")</f>
        <v>UDA Security Type</v>
      </c>
      <c r="AH5" s="29" t="str">
        <f>IFERROR(__xludf.DUMMYFUNCTION("""COMPUTED_VALUE"""),"UDA Country")</f>
        <v>UDA Country</v>
      </c>
      <c r="AI5" s="29" t="str">
        <f>IFERROR(__xludf.DUMMYFUNCTION("""COMPUTED_VALUE"""),"UDA Asset Class")</f>
        <v>UDA Asset Class</v>
      </c>
      <c r="AJ5" s="29" t="str">
        <f>IFERROR(__xludf.DUMMYFUNCTION("""COMPUTED_VALUE"""),"UDA Sector")</f>
        <v>UDA Sector</v>
      </c>
      <c r="AK5" s="29" t="str">
        <f>IFERROR(__xludf.DUMMYFUNCTION("""COMPUTED_VALUE"""),"UDA Sub Sector")</f>
        <v>UDA Sub Sector</v>
      </c>
      <c r="AL5" s="29" t="str">
        <f>IFERROR(__xludf.DUMMYFUNCTION("""COMPUTED_VALUE"""),"Proxy Symbol")</f>
        <v>Proxy Symbol</v>
      </c>
      <c r="AM5" s="29" t="str">
        <f>IFERROR(__xludf.DUMMYFUNCTION("""COMPUTED_VALUE"""),"FromTT?")</f>
        <v>FromTT?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/>
      <c r="D6" s="12" t="s">
        <v>20</v>
      </c>
      <c r="E6" s="12">
        <v>1.0</v>
      </c>
      <c r="F6" s="12" t="s">
        <v>21</v>
      </c>
      <c r="G6" s="8"/>
      <c r="H6" s="12" t="s">
        <v>21</v>
      </c>
      <c r="I6" s="31">
        <f>today()+20</f>
        <v>45361</v>
      </c>
      <c r="J6" s="8"/>
      <c r="K6" s="12">
        <v>50.0</v>
      </c>
      <c r="L6" s="8"/>
      <c r="M6" s="8"/>
      <c r="N6" s="8"/>
      <c r="O6" s="8"/>
      <c r="AL6" s="12" t="s">
        <v>16</v>
      </c>
      <c r="AM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AddSymbol!$4:$4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9" t="s">
        <v>23</v>
      </c>
      <c r="D6" s="12">
        <v>100.0</v>
      </c>
      <c r="E6" s="12"/>
      <c r="F6" s="12" t="s">
        <v>24</v>
      </c>
      <c r="G6" s="12" t="s">
        <v>25</v>
      </c>
      <c r="H6" s="12"/>
      <c r="I6" s="32"/>
      <c r="J6" s="12">
        <v>10.0</v>
      </c>
      <c r="K6" s="12"/>
      <c r="L6" s="8"/>
      <c r="M6" s="8"/>
      <c r="N6" s="8"/>
      <c r="O6" s="8"/>
      <c r="AL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28</v>
      </c>
      <c r="B6" s="33"/>
      <c r="C6" s="8"/>
      <c r="D6" s="33">
        <v>10.0</v>
      </c>
      <c r="E6" s="8"/>
      <c r="F6" s="8"/>
      <c r="G6" s="8"/>
      <c r="H6" s="8" t="s">
        <v>29</v>
      </c>
      <c r="I6" s="8" t="s">
        <v>30</v>
      </c>
      <c r="J6" s="8" t="s">
        <v>21</v>
      </c>
      <c r="K6" s="8" t="s">
        <v>31</v>
      </c>
      <c r="L6" s="8" t="s">
        <v>32</v>
      </c>
      <c r="M6" s="8"/>
      <c r="N6" s="8"/>
      <c r="O6" s="8"/>
      <c r="S6">
        <v>50.0</v>
      </c>
      <c r="U6" t="s">
        <v>20</v>
      </c>
      <c r="V6" t="s">
        <v>33</v>
      </c>
      <c r="AA6" t="s">
        <v>34</v>
      </c>
      <c r="AB6">
        <v>100.0</v>
      </c>
      <c r="AC6" t="s">
        <v>35</v>
      </c>
      <c r="AG6">
        <v>10.0</v>
      </c>
      <c r="AH6" t="s">
        <v>36</v>
      </c>
      <c r="AI6" t="s">
        <v>16</v>
      </c>
      <c r="AJ6" t="s">
        <v>23</v>
      </c>
      <c r="AK6" t="s">
        <v>37</v>
      </c>
      <c r="AL6">
        <v>100.0</v>
      </c>
      <c r="AM6">
        <v>100.0</v>
      </c>
      <c r="AN6">
        <v>100.0</v>
      </c>
      <c r="AO6">
        <v>100.0</v>
      </c>
      <c r="AQ6">
        <v>10.0</v>
      </c>
      <c r="AR6">
        <v>10.0</v>
      </c>
      <c r="AS6" t="s">
        <v>25</v>
      </c>
      <c r="AT6" t="s">
        <v>24</v>
      </c>
      <c r="AU6" t="s">
        <v>38</v>
      </c>
      <c r="AV6">
        <v>1000.0</v>
      </c>
      <c r="AW6">
        <v>1000.0</v>
      </c>
      <c r="AX6" t="s">
        <v>39</v>
      </c>
      <c r="AY6" t="s">
        <v>28</v>
      </c>
      <c r="BA6" t="s">
        <v>30</v>
      </c>
      <c r="BB6" t="s">
        <v>28</v>
      </c>
      <c r="BC6" t="s">
        <v>28</v>
      </c>
      <c r="BD6" t="s">
        <v>28</v>
      </c>
      <c r="BE6" t="s">
        <v>28</v>
      </c>
      <c r="BF6" t="s">
        <v>28</v>
      </c>
      <c r="BH6" t="s">
        <v>40</v>
      </c>
      <c r="BK6" t="s">
        <v>28</v>
      </c>
      <c r="BP6" t="s">
        <v>28</v>
      </c>
      <c r="BQ6" t="s">
        <v>28</v>
      </c>
      <c r="BR6" t="s">
        <v>28</v>
      </c>
      <c r="BS6" t="s">
        <v>28</v>
      </c>
      <c r="BT6" t="s">
        <v>28</v>
      </c>
      <c r="BU6" t="s">
        <v>28</v>
      </c>
      <c r="BV6" t="s">
        <v>28</v>
      </c>
      <c r="BW6" t="s">
        <v>28</v>
      </c>
      <c r="BX6" t="s">
        <v>28</v>
      </c>
      <c r="BY6" t="s">
        <v>28</v>
      </c>
      <c r="BZ6" t="s">
        <v>28</v>
      </c>
      <c r="CA6" t="s">
        <v>28</v>
      </c>
      <c r="CB6" t="s">
        <v>28</v>
      </c>
      <c r="CC6" t="s">
        <v>28</v>
      </c>
      <c r="CD6" t="s">
        <v>28</v>
      </c>
      <c r="CE6" t="s">
        <v>28</v>
      </c>
      <c r="CF6" t="s">
        <v>28</v>
      </c>
      <c r="CG6" t="s">
        <v>28</v>
      </c>
      <c r="CH6" t="s">
        <v>28</v>
      </c>
      <c r="CI6" t="s">
        <v>28</v>
      </c>
      <c r="CJ6" t="s">
        <v>28</v>
      </c>
      <c r="CK6" t="s">
        <v>28</v>
      </c>
      <c r="CL6" t="s">
        <v>28</v>
      </c>
      <c r="CM6" t="s">
        <v>28</v>
      </c>
      <c r="CN6" t="s">
        <v>28</v>
      </c>
      <c r="CO6" t="s">
        <v>28</v>
      </c>
      <c r="CP6" t="s">
        <v>28</v>
      </c>
      <c r="CQ6" t="s">
        <v>28</v>
      </c>
      <c r="CR6" t="s">
        <v>28</v>
      </c>
      <c r="CS6" t="s">
        <v>28</v>
      </c>
      <c r="CT6" t="s">
        <v>28</v>
      </c>
      <c r="CU6" t="s">
        <v>28</v>
      </c>
      <c r="CV6" t="s">
        <v>28</v>
      </c>
      <c r="CW6" t="s">
        <v>28</v>
      </c>
      <c r="CX6" t="s">
        <v>28</v>
      </c>
      <c r="CY6" t="s">
        <v>28</v>
      </c>
      <c r="CZ6" t="s">
        <v>28</v>
      </c>
      <c r="DA6" t="s">
        <v>28</v>
      </c>
      <c r="DB6" t="s">
        <v>28</v>
      </c>
      <c r="DC6" t="s">
        <v>28</v>
      </c>
      <c r="DD6" t="s">
        <v>28</v>
      </c>
      <c r="DE6" t="s">
        <v>28</v>
      </c>
      <c r="DF6" t="s">
        <v>28</v>
      </c>
      <c r="DG6" t="s">
        <v>28</v>
      </c>
      <c r="DH6" t="s">
        <v>28</v>
      </c>
      <c r="DI6" t="s">
        <v>28</v>
      </c>
      <c r="DJ6" t="s">
        <v>28</v>
      </c>
      <c r="DK6" t="s">
        <v>28</v>
      </c>
      <c r="DL6" t="s">
        <v>28</v>
      </c>
      <c r="DM6" t="s">
        <v>28</v>
      </c>
      <c r="DN6" t="s">
        <v>28</v>
      </c>
      <c r="DO6" t="s">
        <v>28</v>
      </c>
      <c r="DP6" t="s">
        <v>28</v>
      </c>
      <c r="DQ6" t="s">
        <v>28</v>
      </c>
      <c r="DR6" t="s">
        <v>28</v>
      </c>
      <c r="DS6" t="s">
        <v>28</v>
      </c>
      <c r="DT6" t="s">
        <v>28</v>
      </c>
      <c r="DU6" t="s">
        <v>28</v>
      </c>
      <c r="DV6" t="s">
        <v>28</v>
      </c>
      <c r="DW6" t="s">
        <v>28</v>
      </c>
      <c r="DX6" t="s">
        <v>28</v>
      </c>
      <c r="DY6" t="s">
        <v>28</v>
      </c>
      <c r="DZ6" t="s">
        <v>28</v>
      </c>
      <c r="EA6" t="s">
        <v>28</v>
      </c>
      <c r="EB6" t="s">
        <v>28</v>
      </c>
      <c r="EC6" t="s">
        <v>28</v>
      </c>
      <c r="ED6" t="s">
        <v>28</v>
      </c>
      <c r="EE6" t="s">
        <v>28</v>
      </c>
      <c r="EF6" t="s">
        <v>28</v>
      </c>
      <c r="EG6" t="s">
        <v>28</v>
      </c>
      <c r="EH6" t="s">
        <v>28</v>
      </c>
      <c r="EI6" t="s">
        <v>28</v>
      </c>
      <c r="EJ6" t="s">
        <v>28</v>
      </c>
      <c r="EK6" t="s">
        <v>28</v>
      </c>
      <c r="EL6" t="s">
        <v>28</v>
      </c>
      <c r="EM6" t="s">
        <v>28</v>
      </c>
      <c r="EN6" t="s">
        <v>28</v>
      </c>
      <c r="EO6" t="s">
        <v>28</v>
      </c>
      <c r="EP6" t="s">
        <v>28</v>
      </c>
      <c r="EQ6" t="s">
        <v>28</v>
      </c>
      <c r="ER6" t="s">
        <v>28</v>
      </c>
      <c r="ES6" t="s">
        <v>28</v>
      </c>
      <c r="ET6" t="s">
        <v>28</v>
      </c>
      <c r="EU6" t="s">
        <v>28</v>
      </c>
      <c r="EV6" t="s">
        <v>28</v>
      </c>
      <c r="EW6" t="s">
        <v>28</v>
      </c>
      <c r="EX6" t="s">
        <v>28</v>
      </c>
      <c r="FA6" t="s">
        <v>28</v>
      </c>
      <c r="FB6" t="s">
        <v>28</v>
      </c>
      <c r="FC6" t="s">
        <v>28</v>
      </c>
      <c r="FD6" t="s">
        <v>28</v>
      </c>
      <c r="FE6" t="s">
        <v>28</v>
      </c>
      <c r="FF6" t="s">
        <v>28</v>
      </c>
      <c r="FG6" t="s">
        <v>28</v>
      </c>
      <c r="FH6" t="s">
        <v>28</v>
      </c>
      <c r="FI6" t="s">
        <v>28</v>
      </c>
      <c r="FK6" t="s">
        <v>28</v>
      </c>
      <c r="FL6" t="s">
        <v>28</v>
      </c>
      <c r="FM6" t="s">
        <v>28</v>
      </c>
      <c r="FN6" t="s">
        <v>28</v>
      </c>
      <c r="FO6" t="s">
        <v>28</v>
      </c>
      <c r="FP6" t="s">
        <v>28</v>
      </c>
      <c r="FQ6" t="s">
        <v>28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8"/>
      <c r="D6" s="12" t="s">
        <v>42</v>
      </c>
      <c r="E6" s="30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