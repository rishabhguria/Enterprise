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5" activeTab="6"/>
  </bookViews>
  <sheets>
    <sheet name="_Modules" sheetId="1" r:id="rId1"/>
    <sheet name="_Settings" sheetId="2" r:id="rId2"/>
    <sheet name="_MasterData" sheetId="3" r:id="rId3"/>
    <sheet name="CreateDoneAwayOrder" sheetId="4" r:id="rId4"/>
    <sheet name="VerifyWorkingSubs" sheetId="5" r:id="rId5"/>
    <sheet name="VerifyOrder" sheetId="6" r:id="rId6"/>
    <sheet name="CheckPortfolioManagement" sheetId="7" r:id="rId7"/>
    <sheet name="GetDataAllocation" sheetId="8" r:id="rId8"/>
    <sheet name="CheckUnallocatedGroups" sheetId="9" r:id="rId9"/>
  </sheets>
  <calcPr calcId="145621"/>
</workbook>
</file>

<file path=xl/calcChain.xml><?xml version="1.0" encoding="utf-8"?>
<calcChain xmlns="http://schemas.openxmlformats.org/spreadsheetml/2006/main">
  <c r="BK5" i="7" l="1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GB5" i="7"/>
  <c r="FT5" i="7"/>
  <c r="FL5" i="7"/>
  <c r="FD5" i="7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GB4" i="7"/>
  <c r="FT4" i="7"/>
  <c r="FL4" i="7"/>
  <c r="FD4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GA5" i="7"/>
  <c r="FS5" i="7"/>
  <c r="FK5" i="7"/>
  <c r="FC5" i="7"/>
  <c r="EU5" i="7"/>
  <c r="EM5" i="7"/>
  <c r="EE5" i="7"/>
  <c r="DW5" i="7"/>
  <c r="DO5" i="7"/>
  <c r="DG5" i="7"/>
  <c r="CY5" i="7"/>
  <c r="CQ5" i="7"/>
  <c r="CI5" i="7"/>
  <c r="CA5" i="7"/>
  <c r="BS5" i="7"/>
  <c r="BC5" i="7"/>
  <c r="AU5" i="7"/>
  <c r="AM5" i="7"/>
  <c r="AE5" i="7"/>
  <c r="W5" i="7"/>
  <c r="O5" i="7"/>
  <c r="G5" i="7"/>
  <c r="GA4" i="7"/>
  <c r="FS4" i="7"/>
  <c r="FK4" i="7"/>
  <c r="FC4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FZ5" i="7"/>
  <c r="FR5" i="7"/>
  <c r="FJ5" i="7"/>
  <c r="FB5" i="7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FZ4" i="7"/>
  <c r="FR4" i="7"/>
  <c r="FJ4" i="7"/>
  <c r="FB4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FY5" i="7"/>
  <c r="FQ5" i="7"/>
  <c r="FI5" i="7"/>
  <c r="FA5" i="7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FX5" i="7"/>
  <c r="FP5" i="7"/>
  <c r="FH5" i="7"/>
  <c r="EZ5" i="7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FX4" i="7"/>
  <c r="FP4" i="7"/>
  <c r="FH4" i="7"/>
  <c r="EZ4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FW5" i="7"/>
  <c r="FO5" i="7"/>
  <c r="FG5" i="7"/>
  <c r="EY5" i="7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FW4" i="7"/>
  <c r="FO4" i="7"/>
  <c r="FG4" i="7"/>
  <c r="EY4" i="7"/>
  <c r="EQ4" i="7"/>
  <c r="EI4" i="7"/>
  <c r="EA4" i="7"/>
  <c r="DS4" i="7"/>
  <c r="DK4" i="7"/>
  <c r="DC4" i="7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FV5" i="7"/>
  <c r="FN5" i="7"/>
  <c r="FF5" i="7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FV4" i="7"/>
  <c r="FN4" i="7"/>
  <c r="FF4" i="7"/>
  <c r="EX4" i="7"/>
  <c r="EP4" i="7"/>
  <c r="EH4" i="7"/>
  <c r="DZ4" i="7"/>
  <c r="DR4" i="7"/>
  <c r="DJ4" i="7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FU5" i="7"/>
  <c r="FM5" i="7"/>
  <c r="FE5" i="7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FU4" i="7"/>
  <c r="FM4" i="7"/>
  <c r="FE4" i="7"/>
  <c r="EW4" i="7"/>
  <c r="EO4" i="7"/>
  <c r="EG4" i="7"/>
  <c r="DY4" i="7"/>
  <c r="DQ4" i="7"/>
  <c r="DI4" i="7"/>
  <c r="DA4" i="7"/>
  <c r="M5" i="7"/>
  <c r="EC4" i="7"/>
  <c r="CS4" i="7"/>
  <c r="CC4" i="7"/>
  <c r="BM4" i="7"/>
  <c r="AW4" i="7"/>
  <c r="AG4" i="7"/>
  <c r="S4" i="7"/>
  <c r="F4" i="7"/>
  <c r="ER5" i="6"/>
  <c r="EG5" i="6"/>
  <c r="DW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E5" i="7"/>
  <c r="DU4" i="7"/>
  <c r="CO4" i="7"/>
  <c r="BY4" i="7"/>
  <c r="BI4" i="7"/>
  <c r="AS4" i="7"/>
  <c r="AD4" i="7"/>
  <c r="R4" i="7"/>
  <c r="E4" i="7"/>
  <c r="EQ5" i="6"/>
  <c r="EF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FY4" i="7"/>
  <c r="DM4" i="7"/>
  <c r="CM4" i="7"/>
  <c r="BW4" i="7"/>
  <c r="BG4" i="7"/>
  <c r="AQ4" i="7"/>
  <c r="AC4" i="7"/>
  <c r="Q4" i="7"/>
  <c r="C4" i="7"/>
  <c r="EO5" i="6"/>
  <c r="EE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FQ4" i="7"/>
  <c r="DE4" i="7"/>
  <c r="CL4" i="7"/>
  <c r="BV4" i="7"/>
  <c r="BF4" i="7"/>
  <c r="AP4" i="7"/>
  <c r="AA4" i="7"/>
  <c r="N4" i="7"/>
  <c r="B4" i="7"/>
  <c r="EN5" i="6"/>
  <c r="EC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FI4" i="7"/>
  <c r="DB4" i="7"/>
  <c r="CK4" i="7"/>
  <c r="BU4" i="7"/>
  <c r="BE4" i="7"/>
  <c r="AO4" i="7"/>
  <c r="Z4" i="7"/>
  <c r="M4" i="7"/>
  <c r="EM5" i="6"/>
  <c r="EB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FA4" i="7"/>
  <c r="CW4" i="7"/>
  <c r="CG4" i="7"/>
  <c r="BQ4" i="7"/>
  <c r="BA4" i="7"/>
  <c r="AK4" i="7"/>
  <c r="Y4" i="7"/>
  <c r="K4" i="7"/>
  <c r="EV5" i="6"/>
  <c r="EK5" i="6"/>
  <c r="EA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ES4" i="7"/>
  <c r="CU4" i="7"/>
  <c r="CE4" i="7"/>
  <c r="BO4" i="7"/>
  <c r="AY4" i="7"/>
  <c r="AI4" i="7"/>
  <c r="V4" i="7"/>
  <c r="J4" i="7"/>
  <c r="EU5" i="6"/>
  <c r="EJ5" i="6"/>
  <c r="DY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EK4" i="7"/>
  <c r="CT4" i="7"/>
  <c r="CD4" i="7"/>
  <c r="BN4" i="7"/>
  <c r="AX4" i="7"/>
  <c r="AH4" i="7"/>
  <c r="U4" i="7"/>
  <c r="I4" i="7"/>
  <c r="ES5" i="6"/>
  <c r="EI5" i="6"/>
  <c r="DX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I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D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C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B999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A999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L916" i="3"/>
  <c r="F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J916" i="3"/>
  <c r="A915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916" i="3"/>
  <c r="L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C916" i="3"/>
  <c r="K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B916" i="3"/>
  <c r="J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I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K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J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F748" i="3"/>
  <c r="A747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E748" i="3"/>
  <c r="L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D748" i="3"/>
  <c r="I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J747" i="3"/>
  <c r="F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I747" i="3"/>
  <c r="E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H747" i="3"/>
  <c r="D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E747" i="3"/>
  <c r="A746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B747" i="3"/>
  <c r="L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A662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J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I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J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I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K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J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L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K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I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H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F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A99" i="3"/>
  <c r="D94" i="3"/>
  <c r="H91" i="3"/>
  <c r="L88" i="3"/>
  <c r="D86" i="3"/>
  <c r="D85" i="3"/>
  <c r="G84" i="3"/>
  <c r="I83" i="3"/>
  <c r="L82" i="3"/>
  <c r="C82" i="3"/>
  <c r="F81" i="3"/>
  <c r="I80" i="3"/>
  <c r="L79" i="3"/>
  <c r="C79" i="3"/>
  <c r="E78" i="3"/>
  <c r="H77" i="3"/>
  <c r="K76" i="3"/>
  <c r="B76" i="3"/>
  <c r="E75" i="3"/>
  <c r="H74" i="3"/>
  <c r="K73" i="3"/>
  <c r="A73" i="3"/>
  <c r="D72" i="3"/>
  <c r="G71" i="3"/>
  <c r="J70" i="3"/>
  <c r="A70" i="3"/>
  <c r="D69" i="3"/>
  <c r="G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921" i="1"/>
  <c r="B921" i="1"/>
  <c r="F920" i="1"/>
  <c r="J919" i="1"/>
  <c r="B919" i="1"/>
  <c r="F918" i="1"/>
  <c r="J917" i="1"/>
  <c r="B917" i="1"/>
  <c r="F916" i="1"/>
  <c r="J915" i="1"/>
  <c r="B915" i="1"/>
  <c r="F914" i="1"/>
  <c r="J913" i="1"/>
  <c r="B913" i="1"/>
  <c r="F912" i="1"/>
  <c r="J911" i="1"/>
  <c r="B911" i="1"/>
  <c r="F910" i="1"/>
  <c r="J909" i="1"/>
  <c r="B909" i="1"/>
  <c r="F908" i="1"/>
  <c r="J907" i="1"/>
  <c r="B907" i="1"/>
  <c r="F906" i="1"/>
  <c r="J905" i="1"/>
  <c r="B905" i="1"/>
  <c r="F904" i="1"/>
  <c r="J903" i="1"/>
  <c r="B903" i="1"/>
  <c r="F902" i="1"/>
  <c r="J901" i="1"/>
  <c r="B901" i="1"/>
  <c r="F900" i="1"/>
  <c r="J899" i="1"/>
  <c r="B899" i="1"/>
  <c r="F898" i="1"/>
  <c r="J897" i="1"/>
  <c r="B897" i="1"/>
  <c r="F896" i="1"/>
  <c r="J895" i="1"/>
  <c r="B895" i="1"/>
  <c r="F894" i="1"/>
  <c r="J893" i="1"/>
  <c r="B893" i="1"/>
  <c r="F892" i="1"/>
  <c r="J891" i="1"/>
  <c r="B891" i="1"/>
  <c r="F890" i="1"/>
  <c r="J889" i="1"/>
  <c r="B889" i="1"/>
  <c r="F888" i="1"/>
  <c r="J887" i="1"/>
  <c r="B887" i="1"/>
  <c r="F886" i="1"/>
  <c r="J885" i="1"/>
  <c r="B885" i="1"/>
  <c r="F884" i="1"/>
  <c r="J883" i="1"/>
  <c r="B883" i="1"/>
  <c r="F882" i="1"/>
  <c r="J881" i="1"/>
  <c r="B881" i="1"/>
  <c r="F880" i="1"/>
  <c r="J879" i="1"/>
  <c r="B879" i="1"/>
  <c r="F878" i="1"/>
  <c r="J877" i="1"/>
  <c r="B877" i="1"/>
  <c r="F876" i="1"/>
  <c r="J875" i="1"/>
  <c r="B875" i="1"/>
  <c r="F874" i="1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E98" i="3"/>
  <c r="I93" i="3"/>
  <c r="A91" i="3"/>
  <c r="E88" i="3"/>
  <c r="B86" i="3"/>
  <c r="C85" i="3"/>
  <c r="E84" i="3"/>
  <c r="H83" i="3"/>
  <c r="K82" i="3"/>
  <c r="B82" i="3"/>
  <c r="E81" i="3"/>
  <c r="H80" i="3"/>
  <c r="K79" i="3"/>
  <c r="A79" i="3"/>
  <c r="D78" i="3"/>
  <c r="G77" i="3"/>
  <c r="J76" i="3"/>
  <c r="A76" i="3"/>
  <c r="D75" i="3"/>
  <c r="G74" i="3"/>
  <c r="I73" i="3"/>
  <c r="L72" i="3"/>
  <c r="C72" i="3"/>
  <c r="F71" i="3"/>
  <c r="I70" i="3"/>
  <c r="L69" i="3"/>
  <c r="C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921" i="1"/>
  <c r="A921" i="1"/>
  <c r="E920" i="1"/>
  <c r="I919" i="1"/>
  <c r="A919" i="1"/>
  <c r="E918" i="1"/>
  <c r="I917" i="1"/>
  <c r="A917" i="1"/>
  <c r="E916" i="1"/>
  <c r="I915" i="1"/>
  <c r="A915" i="1"/>
  <c r="E914" i="1"/>
  <c r="I913" i="1"/>
  <c r="A913" i="1"/>
  <c r="E912" i="1"/>
  <c r="I911" i="1"/>
  <c r="A911" i="1"/>
  <c r="E910" i="1"/>
  <c r="I909" i="1"/>
  <c r="A909" i="1"/>
  <c r="E908" i="1"/>
  <c r="I907" i="1"/>
  <c r="A907" i="1"/>
  <c r="E906" i="1"/>
  <c r="I905" i="1"/>
  <c r="A905" i="1"/>
  <c r="E904" i="1"/>
  <c r="I903" i="1"/>
  <c r="A903" i="1"/>
  <c r="E902" i="1"/>
  <c r="I901" i="1"/>
  <c r="A901" i="1"/>
  <c r="E900" i="1"/>
  <c r="I899" i="1"/>
  <c r="A899" i="1"/>
  <c r="E898" i="1"/>
  <c r="I897" i="1"/>
  <c r="A897" i="1"/>
  <c r="E896" i="1"/>
  <c r="I895" i="1"/>
  <c r="A895" i="1"/>
  <c r="E894" i="1"/>
  <c r="I893" i="1"/>
  <c r="A893" i="1"/>
  <c r="E892" i="1"/>
  <c r="I891" i="1"/>
  <c r="A891" i="1"/>
  <c r="E890" i="1"/>
  <c r="I889" i="1"/>
  <c r="A889" i="1"/>
  <c r="E888" i="1"/>
  <c r="I887" i="1"/>
  <c r="A887" i="1"/>
  <c r="E886" i="1"/>
  <c r="I885" i="1"/>
  <c r="A885" i="1"/>
  <c r="E884" i="1"/>
  <c r="I883" i="1"/>
  <c r="A883" i="1"/>
  <c r="E882" i="1"/>
  <c r="I881" i="1"/>
  <c r="A881" i="1"/>
  <c r="E880" i="1"/>
  <c r="I879" i="1"/>
  <c r="A879" i="1"/>
  <c r="E878" i="1"/>
  <c r="I877" i="1"/>
  <c r="A877" i="1"/>
  <c r="E876" i="1"/>
  <c r="I875" i="1"/>
  <c r="A875" i="1"/>
  <c r="E874" i="1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97" i="3"/>
  <c r="H93" i="3"/>
  <c r="L90" i="3"/>
  <c r="D88" i="3"/>
  <c r="A86" i="3"/>
  <c r="A85" i="3"/>
  <c r="D84" i="3"/>
  <c r="G83" i="3"/>
  <c r="J82" i="3"/>
  <c r="A82" i="3"/>
  <c r="D81" i="3"/>
  <c r="G80" i="3"/>
  <c r="I79" i="3"/>
  <c r="L78" i="3"/>
  <c r="C78" i="3"/>
  <c r="F77" i="3"/>
  <c r="I76" i="3"/>
  <c r="L75" i="3"/>
  <c r="C75" i="3"/>
  <c r="E74" i="3"/>
  <c r="H73" i="3"/>
  <c r="K72" i="3"/>
  <c r="B72" i="3"/>
  <c r="E71" i="3"/>
  <c r="H70" i="3"/>
  <c r="K69" i="3"/>
  <c r="A69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921" i="1"/>
  <c r="L920" i="1"/>
  <c r="D920" i="1"/>
  <c r="H919" i="1"/>
  <c r="L918" i="1"/>
  <c r="D918" i="1"/>
  <c r="H917" i="1"/>
  <c r="L916" i="1"/>
  <c r="D916" i="1"/>
  <c r="H915" i="1"/>
  <c r="L914" i="1"/>
  <c r="D914" i="1"/>
  <c r="H913" i="1"/>
  <c r="L912" i="1"/>
  <c r="D912" i="1"/>
  <c r="H911" i="1"/>
  <c r="L910" i="1"/>
  <c r="D910" i="1"/>
  <c r="H909" i="1"/>
  <c r="L908" i="1"/>
  <c r="D908" i="1"/>
  <c r="H907" i="1"/>
  <c r="L906" i="1"/>
  <c r="D906" i="1"/>
  <c r="H905" i="1"/>
  <c r="L904" i="1"/>
  <c r="D904" i="1"/>
  <c r="H903" i="1"/>
  <c r="L902" i="1"/>
  <c r="D902" i="1"/>
  <c r="H901" i="1"/>
  <c r="L900" i="1"/>
  <c r="D900" i="1"/>
  <c r="H899" i="1"/>
  <c r="L898" i="1"/>
  <c r="D898" i="1"/>
  <c r="H897" i="1"/>
  <c r="L896" i="1"/>
  <c r="D896" i="1"/>
  <c r="H895" i="1"/>
  <c r="L894" i="1"/>
  <c r="D894" i="1"/>
  <c r="H893" i="1"/>
  <c r="L892" i="1"/>
  <c r="D892" i="1"/>
  <c r="H891" i="1"/>
  <c r="L890" i="1"/>
  <c r="D890" i="1"/>
  <c r="H889" i="1"/>
  <c r="L888" i="1"/>
  <c r="D888" i="1"/>
  <c r="H887" i="1"/>
  <c r="L886" i="1"/>
  <c r="D886" i="1"/>
  <c r="H885" i="1"/>
  <c r="L884" i="1"/>
  <c r="D884" i="1"/>
  <c r="H883" i="1"/>
  <c r="L882" i="1"/>
  <c r="D882" i="1"/>
  <c r="H881" i="1"/>
  <c r="L880" i="1"/>
  <c r="D880" i="1"/>
  <c r="H879" i="1"/>
  <c r="L878" i="1"/>
  <c r="D878" i="1"/>
  <c r="H877" i="1"/>
  <c r="L876" i="1"/>
  <c r="D876" i="1"/>
  <c r="H875" i="1"/>
  <c r="L874" i="1"/>
  <c r="D874" i="1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A97" i="3"/>
  <c r="A93" i="3"/>
  <c r="E90" i="3"/>
  <c r="I87" i="3"/>
  <c r="I85" i="3"/>
  <c r="L84" i="3"/>
  <c r="C84" i="3"/>
  <c r="F83" i="3"/>
  <c r="I82" i="3"/>
  <c r="L81" i="3"/>
  <c r="C81" i="3"/>
  <c r="E80" i="3"/>
  <c r="H79" i="3"/>
  <c r="K78" i="3"/>
  <c r="B78" i="3"/>
  <c r="E77" i="3"/>
  <c r="H76" i="3"/>
  <c r="K75" i="3"/>
  <c r="A75" i="3"/>
  <c r="D74" i="3"/>
  <c r="G73" i="3"/>
  <c r="J72" i="3"/>
  <c r="A72" i="3"/>
  <c r="D71" i="3"/>
  <c r="G70" i="3"/>
  <c r="I69" i="3"/>
  <c r="L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921" i="1"/>
  <c r="K920" i="1"/>
  <c r="C920" i="1"/>
  <c r="G919" i="1"/>
  <c r="K918" i="1"/>
  <c r="C918" i="1"/>
  <c r="G917" i="1"/>
  <c r="K916" i="1"/>
  <c r="C916" i="1"/>
  <c r="G915" i="1"/>
  <c r="K914" i="1"/>
  <c r="C914" i="1"/>
  <c r="G913" i="1"/>
  <c r="K912" i="1"/>
  <c r="C912" i="1"/>
  <c r="G911" i="1"/>
  <c r="K910" i="1"/>
  <c r="C910" i="1"/>
  <c r="G909" i="1"/>
  <c r="K908" i="1"/>
  <c r="C908" i="1"/>
  <c r="G907" i="1"/>
  <c r="K906" i="1"/>
  <c r="C906" i="1"/>
  <c r="G905" i="1"/>
  <c r="K904" i="1"/>
  <c r="C904" i="1"/>
  <c r="G903" i="1"/>
  <c r="K902" i="1"/>
  <c r="C902" i="1"/>
  <c r="G901" i="1"/>
  <c r="K900" i="1"/>
  <c r="C900" i="1"/>
  <c r="G899" i="1"/>
  <c r="K898" i="1"/>
  <c r="C898" i="1"/>
  <c r="G897" i="1"/>
  <c r="K896" i="1"/>
  <c r="C896" i="1"/>
  <c r="G895" i="1"/>
  <c r="K894" i="1"/>
  <c r="C894" i="1"/>
  <c r="G893" i="1"/>
  <c r="K892" i="1"/>
  <c r="C892" i="1"/>
  <c r="G891" i="1"/>
  <c r="K890" i="1"/>
  <c r="C890" i="1"/>
  <c r="G889" i="1"/>
  <c r="K888" i="1"/>
  <c r="C888" i="1"/>
  <c r="G887" i="1"/>
  <c r="K886" i="1"/>
  <c r="C886" i="1"/>
  <c r="G885" i="1"/>
  <c r="K884" i="1"/>
  <c r="C884" i="1"/>
  <c r="G883" i="1"/>
  <c r="K882" i="1"/>
  <c r="C882" i="1"/>
  <c r="G881" i="1"/>
  <c r="K880" i="1"/>
  <c r="C880" i="1"/>
  <c r="G879" i="1"/>
  <c r="K878" i="1"/>
  <c r="C878" i="1"/>
  <c r="G877" i="1"/>
  <c r="K876" i="1"/>
  <c r="C876" i="1"/>
  <c r="G875" i="1"/>
  <c r="K874" i="1"/>
  <c r="C874" i="1"/>
  <c r="G873" i="1"/>
  <c r="K872" i="1"/>
  <c r="C872" i="1"/>
  <c r="G871" i="1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E96" i="3"/>
  <c r="L92" i="3"/>
  <c r="D90" i="3"/>
  <c r="H87" i="3"/>
  <c r="H85" i="3"/>
  <c r="K84" i="3"/>
  <c r="B84" i="3"/>
  <c r="E83" i="3"/>
  <c r="H82" i="3"/>
  <c r="K81" i="3"/>
  <c r="A81" i="3"/>
  <c r="D80" i="3"/>
  <c r="G79" i="3"/>
  <c r="J78" i="3"/>
  <c r="A78" i="3"/>
  <c r="D77" i="3"/>
  <c r="G76" i="3"/>
  <c r="I75" i="3"/>
  <c r="L74" i="3"/>
  <c r="C74" i="3"/>
  <c r="F73" i="3"/>
  <c r="I72" i="3"/>
  <c r="L71" i="3"/>
  <c r="C71" i="3"/>
  <c r="E70" i="3"/>
  <c r="H69" i="3"/>
  <c r="K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921" i="1"/>
  <c r="J920" i="1"/>
  <c r="B920" i="1"/>
  <c r="F919" i="1"/>
  <c r="J918" i="1"/>
  <c r="B918" i="1"/>
  <c r="F917" i="1"/>
  <c r="J916" i="1"/>
  <c r="B916" i="1"/>
  <c r="F915" i="1"/>
  <c r="J914" i="1"/>
  <c r="B914" i="1"/>
  <c r="F913" i="1"/>
  <c r="J912" i="1"/>
  <c r="B912" i="1"/>
  <c r="F911" i="1"/>
  <c r="J910" i="1"/>
  <c r="B910" i="1"/>
  <c r="F909" i="1"/>
  <c r="J908" i="1"/>
  <c r="B908" i="1"/>
  <c r="F907" i="1"/>
  <c r="J906" i="1"/>
  <c r="B906" i="1"/>
  <c r="F905" i="1"/>
  <c r="J904" i="1"/>
  <c r="B904" i="1"/>
  <c r="F903" i="1"/>
  <c r="J902" i="1"/>
  <c r="B902" i="1"/>
  <c r="F901" i="1"/>
  <c r="J900" i="1"/>
  <c r="B900" i="1"/>
  <c r="F899" i="1"/>
  <c r="J898" i="1"/>
  <c r="B898" i="1"/>
  <c r="F897" i="1"/>
  <c r="J896" i="1"/>
  <c r="B896" i="1"/>
  <c r="F895" i="1"/>
  <c r="J894" i="1"/>
  <c r="B894" i="1"/>
  <c r="F893" i="1"/>
  <c r="J892" i="1"/>
  <c r="B892" i="1"/>
  <c r="F891" i="1"/>
  <c r="J890" i="1"/>
  <c r="B890" i="1"/>
  <c r="F889" i="1"/>
  <c r="J888" i="1"/>
  <c r="B888" i="1"/>
  <c r="F887" i="1"/>
  <c r="J886" i="1"/>
  <c r="B886" i="1"/>
  <c r="F885" i="1"/>
  <c r="J884" i="1"/>
  <c r="B884" i="1"/>
  <c r="F883" i="1"/>
  <c r="J882" i="1"/>
  <c r="B882" i="1"/>
  <c r="F881" i="1"/>
  <c r="J880" i="1"/>
  <c r="B880" i="1"/>
  <c r="F879" i="1"/>
  <c r="J878" i="1"/>
  <c r="B878" i="1"/>
  <c r="F877" i="1"/>
  <c r="J876" i="1"/>
  <c r="B876" i="1"/>
  <c r="F875" i="1"/>
  <c r="J874" i="1"/>
  <c r="B874" i="1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I95" i="3"/>
  <c r="E92" i="3"/>
  <c r="I89" i="3"/>
  <c r="A87" i="3"/>
  <c r="G85" i="3"/>
  <c r="J84" i="3"/>
  <c r="A84" i="3"/>
  <c r="D83" i="3"/>
  <c r="G82" i="3"/>
  <c r="I81" i="3"/>
  <c r="L80" i="3"/>
  <c r="C80" i="3"/>
  <c r="F79" i="3"/>
  <c r="I78" i="3"/>
  <c r="L77" i="3"/>
  <c r="C77" i="3"/>
  <c r="E76" i="3"/>
  <c r="H75" i="3"/>
  <c r="K74" i="3"/>
  <c r="B74" i="3"/>
  <c r="E73" i="3"/>
  <c r="H72" i="3"/>
  <c r="K71" i="3"/>
  <c r="A71" i="3"/>
  <c r="D70" i="3"/>
  <c r="G69" i="3"/>
  <c r="J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921" i="1"/>
  <c r="I920" i="1"/>
  <c r="A920" i="1"/>
  <c r="E919" i="1"/>
  <c r="I918" i="1"/>
  <c r="A918" i="1"/>
  <c r="E917" i="1"/>
  <c r="I916" i="1"/>
  <c r="A916" i="1"/>
  <c r="E915" i="1"/>
  <c r="I914" i="1"/>
  <c r="A914" i="1"/>
  <c r="E913" i="1"/>
  <c r="I912" i="1"/>
  <c r="A912" i="1"/>
  <c r="E911" i="1"/>
  <c r="I910" i="1"/>
  <c r="A910" i="1"/>
  <c r="E909" i="1"/>
  <c r="I908" i="1"/>
  <c r="A908" i="1"/>
  <c r="E907" i="1"/>
  <c r="I906" i="1"/>
  <c r="A906" i="1"/>
  <c r="E905" i="1"/>
  <c r="I904" i="1"/>
  <c r="A904" i="1"/>
  <c r="E903" i="1"/>
  <c r="I902" i="1"/>
  <c r="A902" i="1"/>
  <c r="E901" i="1"/>
  <c r="I900" i="1"/>
  <c r="A900" i="1"/>
  <c r="E899" i="1"/>
  <c r="I898" i="1"/>
  <c r="A898" i="1"/>
  <c r="E897" i="1"/>
  <c r="I896" i="1"/>
  <c r="A896" i="1"/>
  <c r="E895" i="1"/>
  <c r="I894" i="1"/>
  <c r="A894" i="1"/>
  <c r="E893" i="1"/>
  <c r="I892" i="1"/>
  <c r="A892" i="1"/>
  <c r="E891" i="1"/>
  <c r="I890" i="1"/>
  <c r="A890" i="1"/>
  <c r="E889" i="1"/>
  <c r="I888" i="1"/>
  <c r="A888" i="1"/>
  <c r="E887" i="1"/>
  <c r="I886" i="1"/>
  <c r="A886" i="1"/>
  <c r="E885" i="1"/>
  <c r="I884" i="1"/>
  <c r="A884" i="1"/>
  <c r="E883" i="1"/>
  <c r="I882" i="1"/>
  <c r="A882" i="1"/>
  <c r="E881" i="1"/>
  <c r="I880" i="1"/>
  <c r="A880" i="1"/>
  <c r="E879" i="1"/>
  <c r="I878" i="1"/>
  <c r="A878" i="1"/>
  <c r="E877" i="1"/>
  <c r="I876" i="1"/>
  <c r="A876" i="1"/>
  <c r="E875" i="1"/>
  <c r="I874" i="1"/>
  <c r="A874" i="1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95" i="3"/>
  <c r="D92" i="3"/>
  <c r="H89" i="3"/>
  <c r="L86" i="3"/>
  <c r="F85" i="3"/>
  <c r="I84" i="3"/>
  <c r="L83" i="3"/>
  <c r="C83" i="3"/>
  <c r="E82" i="3"/>
  <c r="H81" i="3"/>
  <c r="K80" i="3"/>
  <c r="B80" i="3"/>
  <c r="E79" i="3"/>
  <c r="H78" i="3"/>
  <c r="K77" i="3"/>
  <c r="A77" i="3"/>
  <c r="D76" i="3"/>
  <c r="G75" i="3"/>
  <c r="J74" i="3"/>
  <c r="A74" i="3"/>
  <c r="D73" i="3"/>
  <c r="G72" i="3"/>
  <c r="I71" i="3"/>
  <c r="L70" i="3"/>
  <c r="C70" i="3"/>
  <c r="F69" i="3"/>
  <c r="I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921" i="1"/>
  <c r="D921" i="1"/>
  <c r="H920" i="1"/>
  <c r="L919" i="1"/>
  <c r="D919" i="1"/>
  <c r="H918" i="1"/>
  <c r="L917" i="1"/>
  <c r="D917" i="1"/>
  <c r="H916" i="1"/>
  <c r="L915" i="1"/>
  <c r="D915" i="1"/>
  <c r="H914" i="1"/>
  <c r="L913" i="1"/>
  <c r="D913" i="1"/>
  <c r="H912" i="1"/>
  <c r="L911" i="1"/>
  <c r="D911" i="1"/>
  <c r="H910" i="1"/>
  <c r="L909" i="1"/>
  <c r="D909" i="1"/>
  <c r="H908" i="1"/>
  <c r="L907" i="1"/>
  <c r="D907" i="1"/>
  <c r="H906" i="1"/>
  <c r="L905" i="1"/>
  <c r="D905" i="1"/>
  <c r="H904" i="1"/>
  <c r="L903" i="1"/>
  <c r="D903" i="1"/>
  <c r="H902" i="1"/>
  <c r="L901" i="1"/>
  <c r="D901" i="1"/>
  <c r="H900" i="1"/>
  <c r="L899" i="1"/>
  <c r="D899" i="1"/>
  <c r="H898" i="1"/>
  <c r="L897" i="1"/>
  <c r="D897" i="1"/>
  <c r="H896" i="1"/>
  <c r="L895" i="1"/>
  <c r="D895" i="1"/>
  <c r="H894" i="1"/>
  <c r="L893" i="1"/>
  <c r="D893" i="1"/>
  <c r="H892" i="1"/>
  <c r="L891" i="1"/>
  <c r="D891" i="1"/>
  <c r="H890" i="1"/>
  <c r="L889" i="1"/>
  <c r="D889" i="1"/>
  <c r="H888" i="1"/>
  <c r="L887" i="1"/>
  <c r="D887" i="1"/>
  <c r="H886" i="1"/>
  <c r="L885" i="1"/>
  <c r="D885" i="1"/>
  <c r="H884" i="1"/>
  <c r="L883" i="1"/>
  <c r="D883" i="1"/>
  <c r="H882" i="1"/>
  <c r="L881" i="1"/>
  <c r="D881" i="1"/>
  <c r="H880" i="1"/>
  <c r="L879" i="1"/>
  <c r="D879" i="1"/>
  <c r="H878" i="1"/>
  <c r="L877" i="1"/>
  <c r="D877" i="1"/>
  <c r="H876" i="1"/>
  <c r="L875" i="1"/>
  <c r="D875" i="1"/>
  <c r="H874" i="1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E94" i="3"/>
  <c r="I91" i="3"/>
  <c r="A89" i="3"/>
  <c r="E86" i="3"/>
  <c r="E85" i="3"/>
  <c r="H84" i="3"/>
  <c r="K83" i="3"/>
  <c r="A83" i="3"/>
  <c r="D82" i="3"/>
  <c r="G81" i="3"/>
  <c r="J80" i="3"/>
  <c r="A80" i="3"/>
  <c r="D79" i="3"/>
  <c r="G78" i="3"/>
  <c r="I77" i="3"/>
  <c r="L76" i="3"/>
  <c r="C76" i="3"/>
  <c r="F75" i="3"/>
  <c r="I74" i="3"/>
  <c r="L73" i="3"/>
  <c r="C73" i="3"/>
  <c r="E72" i="3"/>
  <c r="H71" i="3"/>
  <c r="K70" i="3"/>
  <c r="B70" i="3"/>
  <c r="E69" i="3"/>
  <c r="H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921" i="1"/>
  <c r="C921" i="1"/>
  <c r="G920" i="1"/>
  <c r="K919" i="1"/>
  <c r="C919" i="1"/>
  <c r="G918" i="1"/>
  <c r="K917" i="1"/>
  <c r="C917" i="1"/>
  <c r="G916" i="1"/>
  <c r="K915" i="1"/>
  <c r="C915" i="1"/>
  <c r="G914" i="1"/>
  <c r="K913" i="1"/>
  <c r="C913" i="1"/>
  <c r="G912" i="1"/>
  <c r="K911" i="1"/>
  <c r="C911" i="1"/>
  <c r="G910" i="1"/>
  <c r="K909" i="1"/>
  <c r="C909" i="1"/>
  <c r="G908" i="1"/>
  <c r="K907" i="1"/>
  <c r="C907" i="1"/>
  <c r="G906" i="1"/>
  <c r="K905" i="1"/>
  <c r="C905" i="1"/>
  <c r="G904" i="1"/>
  <c r="K903" i="1"/>
  <c r="C903" i="1"/>
  <c r="G902" i="1"/>
  <c r="K901" i="1"/>
  <c r="C901" i="1"/>
  <c r="G900" i="1"/>
  <c r="K899" i="1"/>
  <c r="C899" i="1"/>
  <c r="G898" i="1"/>
  <c r="K897" i="1"/>
  <c r="C897" i="1"/>
  <c r="G896" i="1"/>
  <c r="K895" i="1"/>
  <c r="C895" i="1"/>
  <c r="G894" i="1"/>
  <c r="K893" i="1"/>
  <c r="C893" i="1"/>
  <c r="G892" i="1"/>
  <c r="K891" i="1"/>
  <c r="C891" i="1"/>
  <c r="G890" i="1"/>
  <c r="K889" i="1"/>
  <c r="C889" i="1"/>
  <c r="G888" i="1"/>
  <c r="K887" i="1"/>
  <c r="C887" i="1"/>
  <c r="G886" i="1"/>
  <c r="K885" i="1"/>
  <c r="C885" i="1"/>
  <c r="G884" i="1"/>
  <c r="K883" i="1"/>
  <c r="C883" i="1"/>
  <c r="G882" i="1"/>
  <c r="K881" i="1"/>
  <c r="C881" i="1"/>
  <c r="G880" i="1"/>
  <c r="K879" i="1"/>
  <c r="C879" i="1"/>
  <c r="G878" i="1"/>
  <c r="K877" i="1"/>
  <c r="C877" i="1"/>
  <c r="G876" i="1"/>
  <c r="K875" i="1"/>
  <c r="C875" i="1"/>
  <c r="G874" i="1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C667" i="1"/>
  <c r="G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G666" i="1"/>
  <c r="F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K665" i="1"/>
  <c r="E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C665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B665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A665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K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J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F499" i="1"/>
  <c r="G498" i="1"/>
  <c r="J497" i="1"/>
  <c r="A497" i="1"/>
  <c r="D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E499" i="1"/>
  <c r="F498" i="1"/>
  <c r="I497" i="1"/>
  <c r="L496" i="1"/>
  <c r="B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C499" i="1"/>
  <c r="E498" i="1"/>
  <c r="H497" i="1"/>
  <c r="J496" i="1"/>
  <c r="A496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B499" i="1"/>
  <c r="D498" i="1"/>
  <c r="F497" i="1"/>
  <c r="I496" i="1"/>
  <c r="L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A499" i="1"/>
  <c r="B498" i="1"/>
  <c r="E497" i="1"/>
  <c r="H496" i="1"/>
  <c r="K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498" i="1"/>
  <c r="A498" i="1"/>
  <c r="D497" i="1"/>
  <c r="G496" i="1"/>
  <c r="J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I498" i="1"/>
  <c r="L497" i="1"/>
  <c r="C497" i="1"/>
  <c r="F496" i="1"/>
  <c r="I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H498" i="1"/>
  <c r="K497" i="1"/>
  <c r="B497" i="1"/>
  <c r="E496" i="1"/>
  <c r="H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E328" i="1"/>
  <c r="C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B328" i="1"/>
  <c r="B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A328" i="1"/>
  <c r="A327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J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A4" i="1"/>
  <c r="I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F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E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D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J2" i="9" l="1"/>
  <c r="J2" i="8"/>
  <c r="J2" i="5"/>
  <c r="J2" i="7"/>
  <c r="J2" i="6"/>
  <c r="J2" i="4"/>
</calcChain>
</file>

<file path=xl/sharedStrings.xml><?xml version="1.0" encoding="utf-8"?>
<sst xmlns="http://schemas.openxmlformats.org/spreadsheetml/2006/main" count="118" uniqueCount="33">
  <si>
    <t>Settings</t>
  </si>
  <si>
    <t>Master Data Info</t>
  </si>
  <si>
    <t>Modules Info</t>
  </si>
  <si>
    <t>Modules</t>
  </si>
  <si>
    <t>Module Step Setting File</t>
  </si>
  <si>
    <t>1eFq-0rBBBruaRgYp8Plf3EAV1IQUFSYg9ee_wKGGGko</t>
  </si>
  <si>
    <t>Master Data Settings File</t>
  </si>
  <si>
    <t>1Nt_rf5DtgjbN9Ag4AMMlUkZYROxKZLH5m54YOl7tRT0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</si>
  <si>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</si>
  <si>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</si>
  <si>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</si>
  <si>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</si>
  <si>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</si>
  <si>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</si>
  <si>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</si>
  <si>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</si>
  <si>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O:ABM 10D20.00</t>
  </si>
  <si>
    <t>Buy to Close</t>
  </si>
  <si>
    <t>Unallocated</t>
  </si>
  <si>
    <t>Market</t>
  </si>
  <si>
    <t>Sell to Open</t>
  </si>
  <si>
    <t>Buy to Open</t>
  </si>
  <si>
    <t>Sell to Close</t>
  </si>
  <si>
    <t>Blotter</t>
  </si>
  <si>
    <t>VerifyWorkingSubs</t>
  </si>
  <si>
    <t>Filled</t>
  </si>
  <si>
    <t>VerifyOrder</t>
  </si>
  <si>
    <t>PortfolioManagement</t>
  </si>
  <si>
    <t>CheckPortfolioManagement</t>
  </si>
  <si>
    <t>Allocation</t>
  </si>
  <si>
    <t>GetDataAllocation</t>
  </si>
  <si>
    <t>Current</t>
  </si>
  <si>
    <t>CheckUnallocatedGroups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</si>
</sst>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0"/>
      <color rgb="FF000000"/>
      <name val="Arial"/>
    </font>
    <font>
      <sz val="14"/>
      <color rgb="FFFFFFFF"/>
      <name val="Calibri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263238"/>
      <name val="Roboto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7" fillId="0" borderId="0" xfId="0" applyFont="1" applyAlignment="1"/>
    <xf numFmtId="0" fontId="6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4" fillId="0" borderId="0" xfId="0" applyFont="1" applyAlignment="1"/>
    <xf numFmtId="0" fontId="13" fillId="0" borderId="0" xfId="0" applyFont="1" applyAlignment="1">
      <alignment horizontal="left"/>
    </xf>
    <xf numFmtId="0" fontId="5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5" fillId="0" borderId="0" xfId="0" applyFont="1" applyAlignment="1"/>
    <xf numFmtId="0" fontId="5" fillId="0" borderId="0" xfId="0" applyFont="1" applyAlignment="1">
      <alignment horizontal="right"/>
    </xf>
    <xf numFmtId="0" fontId="4" fillId="0" borderId="0" xfId="0" applyFont="1" applyAlignment="1"/>
    <xf numFmtId="0" fontId="5" fillId="0" borderId="0" xfId="0" applyFont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35" t="s">
        <v>2</v>
      </c>
      <c r="B1" s="36"/>
      <c r="C1" s="36"/>
      <c r="D1" s="36"/>
      <c r="E1" s="36"/>
      <c r="F1" s="37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3" t="s">
        <v>3</v>
      </c>
      <c r="B3" s="4"/>
      <c r="C3" s="6"/>
      <c r="D3" s="6"/>
      <c r="E3" s="6"/>
      <c r="F3" s="6"/>
    </row>
    <row r="4" spans="1:12" ht="15.75" customHeight="1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27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/>
    <row r="923" spans="1:12" ht="15.75" customHeight="1"/>
    <row r="924" spans="1:12" ht="15.75" customHeight="1"/>
    <row r="925" spans="1:12" ht="15.75" customHeight="1"/>
    <row r="926" spans="1:12" ht="15.75" customHeight="1"/>
    <row r="927" spans="1:12" ht="15.75" customHeight="1"/>
    <row r="928" spans="1:12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8" t="s">
        <v>0</v>
      </c>
      <c r="B1" s="36"/>
      <c r="C1" s="37"/>
    </row>
    <row r="2" spans="1:3" ht="15.75" customHeight="1">
      <c r="A2" s="2"/>
      <c r="B2" s="2"/>
      <c r="C2" s="2"/>
    </row>
    <row r="3" spans="1:3" ht="15.75" customHeight="1">
      <c r="A3" s="3" t="s">
        <v>4</v>
      </c>
      <c r="B3" s="5" t="s">
        <v>5</v>
      </c>
      <c r="C3" s="2"/>
    </row>
    <row r="4" spans="1:3" ht="15.75" customHeight="1">
      <c r="A4" s="7" t="s">
        <v>6</v>
      </c>
      <c r="B4" s="5" t="s">
        <v>7</v>
      </c>
      <c r="C4" s="2"/>
    </row>
    <row r="5" spans="1:3" ht="15.75" customHeight="1">
      <c r="A5" s="8"/>
      <c r="B5" s="2"/>
      <c r="C5" s="2"/>
    </row>
    <row r="6" spans="1:3" ht="15.75" customHeight="1">
      <c r="A6" s="8"/>
      <c r="B6" s="2"/>
      <c r="C6" s="2"/>
    </row>
    <row r="7" spans="1:3" ht="15.75" customHeight="1">
      <c r="A7" s="8"/>
      <c r="B7" s="2"/>
      <c r="C7" s="2"/>
    </row>
    <row r="8" spans="1:3" ht="15.75" customHeight="1">
      <c r="A8" s="8"/>
      <c r="B8" s="2"/>
      <c r="C8" s="2"/>
    </row>
    <row r="9" spans="1:3" ht="15.75" customHeight="1">
      <c r="A9" s="8"/>
      <c r="B9" s="2"/>
      <c r="C9" s="2"/>
    </row>
    <row r="10" spans="1:3" ht="15.75" customHeight="1">
      <c r="A10" s="8"/>
      <c r="B10" s="2"/>
      <c r="C10" s="2"/>
    </row>
    <row r="11" spans="1:3" ht="15.75" customHeight="1">
      <c r="A11" s="8"/>
      <c r="B11" s="2"/>
      <c r="C11" s="2"/>
    </row>
    <row r="12" spans="1:3" ht="15.75" customHeight="1">
      <c r="A12" s="8"/>
      <c r="B12" s="2"/>
      <c r="C12" s="2"/>
    </row>
    <row r="13" spans="1:3" ht="15.75" customHeight="1">
      <c r="A13" s="8"/>
      <c r="B13" s="2"/>
      <c r="C13" s="2"/>
    </row>
    <row r="14" spans="1:3" ht="15.75" customHeight="1">
      <c r="A14" s="8"/>
      <c r="B14" s="2"/>
      <c r="C14" s="2"/>
    </row>
    <row r="15" spans="1:3" ht="15.75" customHeight="1">
      <c r="A15" s="8"/>
      <c r="B15" s="2"/>
      <c r="C15" s="2"/>
    </row>
    <row r="16" spans="1:3" ht="15.75" customHeight="1">
      <c r="A16" s="8"/>
      <c r="B16" s="2"/>
      <c r="C16" s="2"/>
    </row>
    <row r="17" spans="1:3" ht="15.75" customHeight="1">
      <c r="A17" s="8"/>
      <c r="B17" s="2"/>
      <c r="C17" s="2"/>
    </row>
    <row r="18" spans="1:3" ht="15.75" customHeight="1">
      <c r="A18" s="8"/>
      <c r="B18" s="2"/>
      <c r="C18" s="2"/>
    </row>
    <row r="19" spans="1:3" ht="15.75" customHeight="1">
      <c r="A19" s="8"/>
      <c r="B19" s="2"/>
      <c r="C19" s="2"/>
    </row>
    <row r="20" spans="1:3" ht="15.75" customHeight="1">
      <c r="A20" s="8"/>
      <c r="B20" s="2"/>
      <c r="C20" s="2"/>
    </row>
    <row r="21" spans="1:3" ht="15.75" customHeight="1">
      <c r="A21" s="8"/>
      <c r="B21" s="2"/>
      <c r="C21" s="2"/>
    </row>
    <row r="22" spans="1:3" ht="15.75" customHeight="1">
      <c r="A22" s="8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5" t="s">
        <v>1</v>
      </c>
      <c r="B1" s="36"/>
      <c r="C1" s="36"/>
      <c r="D1" s="36"/>
      <c r="E1" s="36"/>
      <c r="F1" s="37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7" t="s">
        <v>8</v>
      </c>
      <c r="B3" s="9" t="s">
        <v>9</v>
      </c>
      <c r="C3" s="9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2" width="31.140625" customWidth="1"/>
    <col min="3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1b5S4Xpp4fgZ1ez6cK92QFnVBylqz8jhwxdAyEvwDqUI</v>
      </c>
      <c r="K2" s="14"/>
      <c r="L2" s="2"/>
      <c r="M2" s="2"/>
      <c r="N2" s="2"/>
      <c r="O2" s="2"/>
    </row>
    <row r="3" spans="1:154" ht="15.75" customHeight="1">
      <c r="A3" s="15"/>
      <c r="B3" s="3" t="s">
        <v>8</v>
      </c>
      <c r="C3" s="16" t="s">
        <v>12</v>
      </c>
      <c r="D3" s="3" t="s">
        <v>9</v>
      </c>
      <c r="E3" s="16" t="s">
        <v>13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IFERROR(__xludf.DUMMYFUNCTION("""COMPUTED_VALUE"""),"ShowMasterFundOnTT")</f>
        <v>ShowMasterFundOnTT</v>
      </c>
      <c r="S4" s="19" t="str">
        <f ca="1">IFERROR(__xludf.DUMMYFUNCTION("""COMPUTED_VALUE"""),"UpdateMasterFundOnTT")</f>
        <v>UpdateMasterFundOnTT</v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s">
        <v>16</v>
      </c>
      <c r="C6" s="26" t="s">
        <v>17</v>
      </c>
      <c r="D6" s="27">
        <v>500</v>
      </c>
      <c r="E6" s="27">
        <v>500</v>
      </c>
      <c r="F6" s="26" t="s">
        <v>18</v>
      </c>
      <c r="G6" s="28"/>
      <c r="H6" s="28"/>
      <c r="I6" s="26" t="s">
        <v>19</v>
      </c>
      <c r="J6" s="29">
        <v>50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</row>
    <row r="7" spans="1:154" ht="15.75" customHeight="1">
      <c r="A7" s="28"/>
      <c r="B7" s="30" t="s">
        <v>16</v>
      </c>
      <c r="C7" s="26" t="s">
        <v>20</v>
      </c>
      <c r="D7" s="27">
        <v>500</v>
      </c>
      <c r="E7" s="27">
        <v>500</v>
      </c>
      <c r="F7" s="26" t="s">
        <v>18</v>
      </c>
      <c r="G7" s="28"/>
      <c r="H7" s="28"/>
      <c r="I7" s="26" t="s">
        <v>19</v>
      </c>
      <c r="J7" s="29">
        <v>50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</row>
    <row r="8" spans="1:154" ht="15.75" customHeight="1">
      <c r="A8" s="28"/>
      <c r="B8" s="30" t="s">
        <v>16</v>
      </c>
      <c r="C8" s="26" t="s">
        <v>21</v>
      </c>
      <c r="D8" s="27">
        <v>500</v>
      </c>
      <c r="E8" s="27">
        <v>500</v>
      </c>
      <c r="F8" s="26" t="s">
        <v>18</v>
      </c>
      <c r="G8" s="28"/>
      <c r="H8" s="28"/>
      <c r="I8" s="26" t="s">
        <v>19</v>
      </c>
      <c r="J8" s="29">
        <v>50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</row>
    <row r="9" spans="1:154" ht="15.75" customHeight="1">
      <c r="A9" s="28"/>
      <c r="B9" s="30" t="s">
        <v>16</v>
      </c>
      <c r="C9" s="26" t="s">
        <v>22</v>
      </c>
      <c r="D9" s="27">
        <v>500</v>
      </c>
      <c r="E9" s="27">
        <v>500</v>
      </c>
      <c r="F9" s="26" t="s">
        <v>18</v>
      </c>
      <c r="G9" s="28"/>
      <c r="H9" s="28"/>
      <c r="I9" s="26" t="s">
        <v>19</v>
      </c>
      <c r="J9" s="29">
        <v>50</v>
      </c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8</v>
      </c>
      <c r="C3" s="16" t="s">
        <v>23</v>
      </c>
      <c r="D3" s="3" t="s">
        <v>9</v>
      </c>
      <c r="E3" s="16" t="s">
        <v>24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IFERROR(__xludf.DUMMYFUNCTION("""COMPUTED_VALUE"""),"Side")</f>
        <v>Side</v>
      </c>
      <c r="D5" s="21" t="str">
        <f ca="1">IFERROR(__xludf.DUMMYFUNCTION("""COMPUTED_VALUE"""),"Quantity")</f>
        <v>Quantity</v>
      </c>
      <c r="E5" s="21" t="str">
        <f ca="1">IFERROR(__xludf.DUMMYFUNCTION("""COMPUTED_VALUE"""),"Executed Qty")</f>
        <v>Executed Qty</v>
      </c>
      <c r="F5" s="22" t="str">
        <f ca="1">IFERROR(__xludf.DUMMYFUNCTION("""COMPUTED_VALUE"""),"Unexecuted Qty")</f>
        <v>Unexecuted Qty</v>
      </c>
      <c r="G5" s="21" t="str">
        <f ca="1">IFERROR(__xludf.DUMMYFUNCTION("""COMPUTED_VALUE"""),"Status")</f>
        <v>Status</v>
      </c>
      <c r="H5" s="21" t="str">
        <f ca="1">IFERROR(__xludf.DUMMYFUNCTION("""COMPUTED_VALUE"""),"Last Shares")</f>
        <v>Last Shares</v>
      </c>
      <c r="I5" s="21" t="str">
        <f ca="1">IFERROR(__xludf.DUMMYFUNCTION("""COMPUTED_VALUE"""),"Last Fill Price (Local)")</f>
        <v>Last Fill Price (Local)</v>
      </c>
      <c r="J5" s="21" t="str">
        <f ca="1">IFERROR(__xludf.DUMMYFUNCTION("""COMPUTED_VALUE"""),"Avg Fill Price (Local)")</f>
        <v>Avg Fill Price (Local)</v>
      </c>
      <c r="K5" s="21" t="str">
        <f ca="1">IFERROR(__xludf.DUMMYFUNCTION("""COMPUTED_VALUE"""),"Broker")</f>
        <v>Broker</v>
      </c>
      <c r="L5" s="21" t="str">
        <f ca="1">IFERROR(__xludf.DUMMYFUNCTION("""COMPUTED_VALUE"""),"Account")</f>
        <v>Account</v>
      </c>
      <c r="M5" s="21" t="str">
        <f ca="1">IFERROR(__xludf.DUMMYFUNCTION("""COMPUTED_VALUE"""),"Order Type")</f>
        <v>Order Type</v>
      </c>
      <c r="N5" s="21" t="str">
        <f ca="1">IFERROR(__xludf.DUMMYFUNCTION("""COMPUTED_VALUE"""),"OrderStatus")</f>
        <v>OrderStatus</v>
      </c>
      <c r="O5" s="21" t="str">
        <f ca="1">IFERROR(__xludf.DUMMYFUNCTION("""COMPUTED_VALUE"""),"Avg Fill Price (Base)")</f>
        <v>Avg Fill Price (Base)</v>
      </c>
      <c r="P5" s="21" t="str">
        <f ca="1">IFERROR(__xludf.DUMMYFUNCTION("""COMPUTED_VALUE"""),"Limit Price")</f>
        <v>Limit Price</v>
      </c>
      <c r="Q5" s="21" t="str">
        <f ca="1">IFERROR(__xludf.DUMMYFUNCTION("""COMPUTED_VALUE"""),"Stop Price")</f>
        <v>Stop Price</v>
      </c>
      <c r="R5" s="21" t="str">
        <f ca="1">IFERROR(__xludf.DUMMYFUNCTION("""COMPUTED_VALUE"""),"User")</f>
        <v>User</v>
      </c>
      <c r="S5" s="21" t="str">
        <f ca="1">IFERROR(__xludf.DUMMYFUNCTION("""COMPUTED_VALUE"""),"Bloomberg Symbol")</f>
        <v>Bloomberg Symbol</v>
      </c>
      <c r="T5" s="23" t="str">
        <f ca="1">IFERROR(__xludf.DUMMYFUNCTION("""COMPUTED_VALUE"""),"Algo")</f>
        <v>Algo</v>
      </c>
      <c r="U5" s="23" t="str">
        <f ca="1">IFERROR(__xludf.DUMMYFUNCTION("""COMPUTED_VALUE"""),"Allocation Scheme Name")</f>
        <v>Allocation Scheme Name</v>
      </c>
      <c r="V5" s="23" t="str">
        <f ca="1">IFERROR(__xludf.DUMMYFUNCTION("""COMPUTED_VALUE"""),"Allocation Status")</f>
        <v>Allocation Status</v>
      </c>
      <c r="W5" s="23" t="str">
        <f ca="1">IFERROR(__xludf.DUMMYFUNCTION("""COMPUTED_VALUE"""),"Asset Class")</f>
        <v>Asset Class</v>
      </c>
      <c r="X5" s="23" t="str">
        <f ca="1">IFERROR(__xludf.DUMMYFUNCTION("""COMPUTED_VALUE"""),"FX Conversion Operator")</f>
        <v>FX Conversion Operator</v>
      </c>
      <c r="Y5" s="23" t="str">
        <f ca="1">IFERROR(__xludf.DUMMYFUNCTION("""COMPUTED_VALUE"""),"FX Rate")</f>
        <v>FX Rate</v>
      </c>
      <c r="Z5" s="23" t="str">
        <f ca="1">IFERROR(__xludf.DUMMYFUNCTION("""COMPUTED_VALUE"""),"Imported File Name")</f>
        <v>Imported File Name</v>
      </c>
      <c r="AA5" s="23" t="str">
        <f ca="1">IFERROR(__xludf.DUMMYFUNCTION("""COMPUTED_VALUE"""),"Internal Comments")</f>
        <v>Internal Comments</v>
      </c>
      <c r="AB5" s="23" t="str">
        <f ca="1">IFERROR(__xludf.DUMMYFUNCTION("""COMPUTED_VALUE"""),"Peg")</f>
        <v>Peg</v>
      </c>
      <c r="AC5" s="23" t="str">
        <f ca="1">IFERROR(__xludf.DUMMYFUNCTION("""COMPUTED_VALUE"""),"Principal Amount (Base)")</f>
        <v>Principal Amount (Base)</v>
      </c>
      <c r="AD5" s="23" t="str">
        <f ca="1">IFERROR(__xludf.DUMMYFUNCTION("""COMPUTED_VALUE"""),"Principal Amount (Local)")</f>
        <v>Principal Amount (Local)</v>
      </c>
      <c r="AE5" s="23" t="str">
        <f ca="1">IFERROR(__xludf.DUMMYFUNCTION("""COMPUTED_VALUE"""),"Process Date")</f>
        <v>Process Date</v>
      </c>
      <c r="AF5" s="23" t="str">
        <f ca="1">IFERROR(__xludf.DUMMYFUNCTION("""COMPUTED_VALUE"""),"Put/Call")</f>
        <v>Put/Call</v>
      </c>
      <c r="AG5" s="23" t="str">
        <f ca="1">IFERROR(__xludf.DUMMYFUNCTION("""COMPUTED_VALUE"""),"Settlement Currency")</f>
        <v>Settlement Currency</v>
      </c>
      <c r="AH5" s="23" t="str">
        <f ca="1">IFERROR(__xludf.DUMMYFUNCTION("""COMPUTED_VALUE"""),"Source")</f>
        <v>Source</v>
      </c>
      <c r="AI5" s="23" t="str">
        <f ca="1">IFERROR(__xludf.DUMMYFUNCTION("""COMPUTED_VALUE"""),"Status (With Rollover)")</f>
        <v>Status (With Rollover)</v>
      </c>
      <c r="AJ5" s="23" t="str">
        <f ca="1">IFERROR(__xludf.DUMMYFUNCTION("""COMPUTED_VALUE"""),"Strategy")</f>
        <v>Strategy</v>
      </c>
      <c r="AK5" s="23" t="str">
        <f ca="1">IFERROR(__xludf.DUMMYFUNCTION("""COMPUTED_VALUE"""),"Strike Price")</f>
        <v>Strike Price</v>
      </c>
      <c r="AL5" s="23" t="str">
        <f ca="1">IFERROR(__xludf.DUMMYFUNCTION("""COMPUTED_VALUE"""),"Trade Attribute 1")</f>
        <v>Trade Attribute 1</v>
      </c>
      <c r="AM5" s="23" t="str">
        <f ca="1">IFERROR(__xludf.DUMMYFUNCTION("""COMPUTED_VALUE"""),"Trade Attribute 2")</f>
        <v>Trade Attribute 2</v>
      </c>
      <c r="AN5" s="23" t="str">
        <f ca="1">IFERROR(__xludf.DUMMYFUNCTION("""COMPUTED_VALUE"""),"Trade Attribute 3")</f>
        <v>Trade Attribute 3</v>
      </c>
      <c r="AO5" s="23" t="str">
        <f ca="1">IFERROR(__xludf.DUMMYFUNCTION("""COMPUTED_VALUE"""),"Trade Attribute 4")</f>
        <v>Trade Attribute 4</v>
      </c>
      <c r="AP5" s="23" t="str">
        <f ca="1">IFERROR(__xludf.DUMMYFUNCTION("""COMPUTED_VALUE"""),"Trade Attribute 5")</f>
        <v>Trade Attribute 5</v>
      </c>
      <c r="AQ5" s="23" t="str">
        <f ca="1">IFERROR(__xludf.DUMMYFUNCTION("""COMPUTED_VALUE"""),"Trade Attribute 6")</f>
        <v>Trade Attribute 6</v>
      </c>
      <c r="AR5" s="23" t="str">
        <f ca="1">IFERROR(__xludf.DUMMYFUNCTION("""COMPUTED_VALUE"""),"Trader")</f>
        <v>Trader</v>
      </c>
      <c r="AS5" s="23" t="str">
        <f ca="1">IFERROR(__xludf.DUMMYFUNCTION("""COMPUTED_VALUE"""),"Transaction Time")</f>
        <v>Transaction Time</v>
      </c>
      <c r="AT5" s="23" t="str">
        <f ca="1">IFERROR(__xludf.DUMMYFUNCTION("""COMPUTED_VALUE"""),"Underlying Country")</f>
        <v>Underlying Country</v>
      </c>
      <c r="AU5" s="23" t="str">
        <f ca="1">IFERROR(__xludf.DUMMYFUNCTION("""COMPUTED_VALUE"""),"Underlying Symbol")</f>
        <v>Underlying Symbol</v>
      </c>
      <c r="AV5" s="23" t="str">
        <f ca="1">IFERROR(__xludf.DUMMYFUNCTION("""COMPUTED_VALUE"""),"Venue")</f>
        <v>Venue</v>
      </c>
      <c r="AW5" s="23" t="str">
        <f ca="1">IFERROR(__xludf.DUMMYFUNCTION("""COMPUTED_VALUE"""),"Working Qty")</f>
        <v>Working Qty</v>
      </c>
      <c r="AX5" s="23" t="str">
        <f ca="1">IFERROR(__xludf.DUMMYFUNCTION("""COMPUTED_VALUE"""),"Client")</f>
        <v>Client</v>
      </c>
      <c r="AY5" s="23" t="str">
        <f ca="1">IFERROR(__xludf.DUMMYFUNCTION("""COMPUTED_VALUE"""),"OrderID")</f>
        <v>OrderID</v>
      </c>
      <c r="AZ5" s="23" t="str">
        <f ca="1">IFERROR(__xludf.DUMMYFUNCTION("""COMPUTED_VALUE"""),"ParentClOrderID")</f>
        <v>ParentClOrderID</v>
      </c>
      <c r="BA5" s="23" t="str">
        <f ca="1">IFERROR(__xludf.DUMMYFUNCTION("""COMPUTED_VALUE"""),"Master Fund")</f>
        <v>Master Fund</v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30" t="s">
        <v>16</v>
      </c>
      <c r="C6" s="31" t="s">
        <v>17</v>
      </c>
      <c r="D6" s="32">
        <v>500</v>
      </c>
      <c r="E6" s="29">
        <v>500</v>
      </c>
      <c r="F6" s="33"/>
      <c r="G6" s="33" t="s">
        <v>25</v>
      </c>
      <c r="H6" s="28"/>
      <c r="I6" s="29">
        <v>50</v>
      </c>
      <c r="J6" s="29">
        <v>50</v>
      </c>
      <c r="K6" s="28"/>
      <c r="L6" s="28"/>
      <c r="M6" s="26" t="s">
        <v>19</v>
      </c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</row>
    <row r="7" spans="1:154" ht="15.75" customHeight="1">
      <c r="A7" s="28"/>
      <c r="B7" s="30" t="s">
        <v>16</v>
      </c>
      <c r="C7" s="26" t="s">
        <v>20</v>
      </c>
      <c r="D7" s="29">
        <v>500</v>
      </c>
      <c r="E7" s="29">
        <v>500</v>
      </c>
      <c r="F7" s="33"/>
      <c r="G7" s="33" t="s">
        <v>25</v>
      </c>
      <c r="H7" s="28"/>
      <c r="I7" s="29">
        <v>50</v>
      </c>
      <c r="J7" s="29">
        <v>50</v>
      </c>
      <c r="K7" s="28"/>
      <c r="L7" s="28"/>
      <c r="M7" s="26" t="s">
        <v>19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</row>
    <row r="8" spans="1:154" ht="15.75" customHeight="1">
      <c r="A8" s="28"/>
      <c r="B8" s="30" t="s">
        <v>16</v>
      </c>
      <c r="C8" s="26" t="s">
        <v>21</v>
      </c>
      <c r="D8" s="29">
        <v>500</v>
      </c>
      <c r="E8" s="29">
        <v>500</v>
      </c>
      <c r="F8" s="33"/>
      <c r="G8" s="33" t="s">
        <v>25</v>
      </c>
      <c r="H8" s="28"/>
      <c r="I8" s="29">
        <v>50</v>
      </c>
      <c r="J8" s="29">
        <v>50</v>
      </c>
      <c r="K8" s="28"/>
      <c r="L8" s="28"/>
      <c r="M8" s="26" t="s">
        <v>19</v>
      </c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</row>
    <row r="9" spans="1:154" ht="15.75" customHeight="1">
      <c r="A9" s="28"/>
      <c r="B9" s="30" t="s">
        <v>16</v>
      </c>
      <c r="C9" s="26" t="s">
        <v>22</v>
      </c>
      <c r="D9" s="29">
        <v>500</v>
      </c>
      <c r="E9" s="29">
        <v>500</v>
      </c>
      <c r="F9" s="33"/>
      <c r="G9" s="33" t="s">
        <v>25</v>
      </c>
      <c r="H9" s="28"/>
      <c r="I9" s="29">
        <v>50</v>
      </c>
      <c r="J9" s="29">
        <v>50</v>
      </c>
      <c r="K9" s="28"/>
      <c r="L9" s="28"/>
      <c r="M9" s="26" t="s">
        <v>19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8</v>
      </c>
      <c r="C3" s="16" t="s">
        <v>23</v>
      </c>
      <c r="D3" s="3" t="s">
        <v>9</v>
      </c>
      <c r="E3" s="16" t="s">
        <v>26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IFERROR(__xludf.DUMMYFUNCTION("""COMPUTED_VALUE"""),"Transaction Time")</f>
        <v>Transaction Time</v>
      </c>
      <c r="C5" s="21" t="str">
        <f ca="1">IFERROR(__xludf.DUMMYFUNCTION("""COMPUTED_VALUE"""),"Algo")</f>
        <v>Algo</v>
      </c>
      <c r="D5" s="21" t="str">
        <f ca="1">IFERROR(__xludf.DUMMYFUNCTION("""COMPUTED_VALUE"""),"Avg Fill Price (Base)")</f>
        <v>Avg Fill Price (Base)</v>
      </c>
      <c r="E5" s="21" t="str">
        <f ca="1">IFERROR(__xludf.DUMMYFUNCTION("""COMPUTED_VALUE"""),"Bloomberg Symbol")</f>
        <v>Bloomberg Symbol</v>
      </c>
      <c r="F5" s="22" t="str">
        <f ca="1">IFERROR(__xludf.DUMMYFUNCTION("""COMPUTED_VALUE"""),"Limit Price")</f>
        <v>Limit Price</v>
      </c>
      <c r="G5" s="21" t="str">
        <f ca="1">IFERROR(__xludf.DUMMYFUNCTION("""COMPUTED_VALUE"""),"Working Qty")</f>
        <v>Working Qty</v>
      </c>
      <c r="H5" s="21" t="str">
        <f ca="1">IFERROR(__xludf.DUMMYFUNCTION("""COMPUTED_VALUE"""),"Venue")</f>
        <v>Venue</v>
      </c>
      <c r="I5" s="21" t="str">
        <f ca="1">IFERROR(__xludf.DUMMYFUNCTION("""COMPUTED_VALUE"""),"User")</f>
        <v>User</v>
      </c>
      <c r="J5" s="21" t="str">
        <f ca="1">IFERROR(__xludf.DUMMYFUNCTION("""COMPUTED_VALUE"""),"Underlying Symbol")</f>
        <v>Underlying Symbol</v>
      </c>
      <c r="K5" s="21" t="str">
        <f ca="1">IFERROR(__xludf.DUMMYFUNCTION("""COMPUTED_VALUE"""),"Underlying Country")</f>
        <v>Underlying Country</v>
      </c>
      <c r="L5" s="21" t="str">
        <f ca="1">IFERROR(__xludf.DUMMYFUNCTION("""COMPUTED_VALUE"""),"Trader")</f>
        <v>Trader</v>
      </c>
      <c r="M5" s="21" t="str">
        <f ca="1">IFERROR(__xludf.DUMMYFUNCTION("""COMPUTED_VALUE"""),"Trade Attribute 6")</f>
        <v>Trade Attribute 6</v>
      </c>
      <c r="N5" s="21" t="str">
        <f ca="1">IFERROR(__xludf.DUMMYFUNCTION("""COMPUTED_VALUE"""),"Trade Attribute 5")</f>
        <v>Trade Attribute 5</v>
      </c>
      <c r="O5" s="21" t="str">
        <f ca="1">IFERROR(__xludf.DUMMYFUNCTION("""COMPUTED_VALUE"""),"Trade Attribute 4")</f>
        <v>Trade Attribute 4</v>
      </c>
      <c r="P5" s="21" t="str">
        <f ca="1">IFERROR(__xludf.DUMMYFUNCTION("""COMPUTED_VALUE"""),"Trade Attribute 3")</f>
        <v>Trade Attribute 3</v>
      </c>
      <c r="Q5" s="21" t="str">
        <f ca="1">IFERROR(__xludf.DUMMYFUNCTION("""COMPUTED_VALUE"""),"Trade Attribute 1")</f>
        <v>Trade Attribute 1</v>
      </c>
      <c r="R5" s="21" t="str">
        <f ca="1">IFERROR(__xludf.DUMMYFUNCTION("""COMPUTED_VALUE"""),"Trade Attribute 2")</f>
        <v>Trade Attribute 2</v>
      </c>
      <c r="S5" s="21" t="str">
        <f ca="1">IFERROR(__xludf.DUMMYFUNCTION("""COMPUTED_VALUE"""),"Strike Price")</f>
        <v>Strike Price</v>
      </c>
      <c r="T5" s="23" t="str">
        <f ca="1">IFERROR(__xludf.DUMMYFUNCTION("""COMPUTED_VALUE"""),"Stop Price")</f>
        <v>Stop Price</v>
      </c>
      <c r="U5" s="23" t="str">
        <f ca="1">IFERROR(__xludf.DUMMYFUNCTION("""COMPUTED_VALUE"""),"Settlement Currency")</f>
        <v>Settlement Currency</v>
      </c>
      <c r="V5" s="23" t="str">
        <f ca="1">IFERROR(__xludf.DUMMYFUNCTION("""COMPUTED_VALUE"""),"Put/Call")</f>
        <v>Put/Call</v>
      </c>
      <c r="W5" s="23" t="str">
        <f ca="1">IFERROR(__xludf.DUMMYFUNCTION("""COMPUTED_VALUE"""),"Process Date")</f>
        <v>Process Date</v>
      </c>
      <c r="X5" s="23" t="str">
        <f ca="1">IFERROR(__xludf.DUMMYFUNCTION("""COMPUTED_VALUE"""),"Peg")</f>
        <v>Peg</v>
      </c>
      <c r="Y5" s="23" t="str">
        <f ca="1">IFERROR(__xludf.DUMMYFUNCTION("""COMPUTED_VALUE"""),"ParentClOrderID")</f>
        <v>ParentClOrderID</v>
      </c>
      <c r="Z5" s="23" t="str">
        <f ca="1">IFERROR(__xludf.DUMMYFUNCTION("""COMPUTED_VALUE"""),"OrderID")</f>
        <v>OrderID</v>
      </c>
      <c r="AA5" s="23" t="str">
        <f ca="1">IFERROR(__xludf.DUMMYFUNCTION("""COMPUTED_VALUE"""),"Master Fund")</f>
        <v>Master Fund</v>
      </c>
      <c r="AB5" s="23" t="str">
        <f ca="1">IFERROR(__xludf.DUMMYFUNCTION("""COMPUTED_VALUE"""),"Last Shares")</f>
        <v>Last Shares</v>
      </c>
      <c r="AC5" s="23" t="str">
        <f ca="1">IFERROR(__xludf.DUMMYFUNCTION("""COMPUTED_VALUE"""),"Internal Comments")</f>
        <v>Internal Comments</v>
      </c>
      <c r="AD5" s="23" t="str">
        <f ca="1">IFERROR(__xludf.DUMMYFUNCTION("""COMPUTED_VALUE"""),"FX Rate")</f>
        <v>FX Rate</v>
      </c>
      <c r="AE5" s="23" t="str">
        <f ca="1">IFERROR(__xludf.DUMMYFUNCTION("""COMPUTED_VALUE"""),"Imported File Name")</f>
        <v>Imported File Name</v>
      </c>
      <c r="AF5" s="23" t="str">
        <f ca="1">IFERROR(__xludf.DUMMYFUNCTION("""COMPUTED_VALUE"""),"FX Conversion Operator")</f>
        <v>FX Conversion Operator</v>
      </c>
      <c r="AG5" s="23" t="str">
        <f ca="1">IFERROR(__xludf.DUMMYFUNCTION("""COMPUTED_VALUE"""),"Day Average Price")</f>
        <v>Day Average Price</v>
      </c>
      <c r="AH5" s="23" t="str">
        <f ca="1">IFERROR(__xludf.DUMMYFUNCTION("""COMPUTED_VALUE"""),"Asset Class")</f>
        <v>Asset Class</v>
      </c>
      <c r="AI5" s="23" t="str">
        <f ca="1">IFERROR(__xludf.DUMMYFUNCTION("""COMPUTED_VALUE"""),"Symbol")</f>
        <v>Symbol</v>
      </c>
      <c r="AJ5" s="23" t="str">
        <f ca="1">IFERROR(__xludf.DUMMYFUNCTION("""COMPUTED_VALUE"""),"Side")</f>
        <v>Side</v>
      </c>
      <c r="AK5" s="23" t="str">
        <f ca="1">IFERROR(__xludf.DUMMYFUNCTION("""COMPUTED_VALUE"""),"Status")</f>
        <v>Status</v>
      </c>
      <c r="AL5" s="23" t="str">
        <f ca="1">IFERROR(__xludf.DUMMYFUNCTION("""COMPUTED_VALUE"""),"Target Qty")</f>
        <v>Target Qty</v>
      </c>
      <c r="AM5" s="23" t="str">
        <f ca="1">IFERROR(__xludf.DUMMYFUNCTION("""COMPUTED_VALUE"""),"Total Executed Qty")</f>
        <v>Total Executed Qty</v>
      </c>
      <c r="AN5" s="23" t="str">
        <f ca="1">IFERROR(__xludf.DUMMYFUNCTION("""COMPUTED_VALUE"""),"% Executed")</f>
        <v>% Executed</v>
      </c>
      <c r="AO5" s="23" t="str">
        <f ca="1">IFERROR(__xludf.DUMMYFUNCTION("""COMPUTED_VALUE"""),"Day Executed Qty")</f>
        <v>Day Executed Qty</v>
      </c>
      <c r="AP5" s="23" t="str">
        <f ca="1">IFERROR(__xludf.DUMMYFUNCTION("""COMPUTED_VALUE"""),"Uncommitted Qty")</f>
        <v>Uncommitted Qty</v>
      </c>
      <c r="AQ5" s="23" t="str">
        <f ca="1">IFERROR(__xludf.DUMMYFUNCTION("""COMPUTED_VALUE"""),"Last Fill Price (Local)")</f>
        <v>Last Fill Price (Local)</v>
      </c>
      <c r="AR5" s="23" t="str">
        <f ca="1">IFERROR(__xludf.DUMMYFUNCTION("""COMPUTED_VALUE"""),"Avg Fill Price (Local)")</f>
        <v>Avg Fill Price (Local)</v>
      </c>
      <c r="AS5" s="23" t="str">
        <f ca="1">IFERROR(__xludf.DUMMYFUNCTION("""COMPUTED_VALUE"""),"Broker")</f>
        <v>Broker</v>
      </c>
      <c r="AT5" s="23" t="str">
        <f ca="1">IFERROR(__xludf.DUMMYFUNCTION("""COMPUTED_VALUE"""),"Account")</f>
        <v>Account</v>
      </c>
      <c r="AU5" s="23" t="str">
        <f ca="1">IFERROR(__xludf.DUMMYFUNCTION("""COMPUTED_VALUE"""),"Order Type")</f>
        <v>Order Type</v>
      </c>
      <c r="AV5" s="23" t="str">
        <f ca="1">IFERROR(__xludf.DUMMYFUNCTION("""COMPUTED_VALUE"""),"Principal Amount (Local)")</f>
        <v>Principal Amount (Local)</v>
      </c>
      <c r="AW5" s="23" t="str">
        <f ca="1">IFERROR(__xludf.DUMMYFUNCTION("""COMPUTED_VALUE"""),"Principal Amount (Base)")</f>
        <v>Principal Amount (Base)</v>
      </c>
      <c r="AX5" s="23" t="str">
        <f ca="1">IFERROR(__xludf.DUMMYFUNCTION("""COMPUTED_VALUE"""),"Allocation Scheme Name")</f>
        <v>Allocation Scheme Name</v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4"/>
      <c r="E6" s="28"/>
      <c r="F6" s="28"/>
      <c r="G6" s="33"/>
      <c r="H6" s="28"/>
      <c r="I6" s="28"/>
      <c r="J6" s="28"/>
      <c r="K6" s="28"/>
      <c r="L6" s="28"/>
      <c r="M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30" t="s">
        <v>16</v>
      </c>
      <c r="AJ6" s="31" t="s">
        <v>17</v>
      </c>
      <c r="AK6" s="33" t="s">
        <v>25</v>
      </c>
      <c r="AL6" s="33">
        <v>500</v>
      </c>
      <c r="AM6" s="33">
        <v>500</v>
      </c>
      <c r="AN6" s="33">
        <v>100</v>
      </c>
      <c r="AO6" s="28"/>
      <c r="AP6" s="28"/>
      <c r="AQ6" s="33">
        <v>50</v>
      </c>
      <c r="AR6" s="33">
        <v>50</v>
      </c>
      <c r="AS6" s="28"/>
      <c r="AT6" s="28"/>
      <c r="AU6" s="26" t="s">
        <v>19</v>
      </c>
      <c r="AV6" s="28"/>
      <c r="AW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</row>
    <row r="7" spans="1:154" ht="15.75" customHeight="1">
      <c r="A7" s="28"/>
      <c r="B7" s="28"/>
      <c r="E7" s="28"/>
      <c r="F7" s="28"/>
      <c r="G7" s="33"/>
      <c r="H7" s="28"/>
      <c r="I7" s="28"/>
      <c r="J7" s="28"/>
      <c r="K7" s="28"/>
      <c r="L7" s="28"/>
      <c r="M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30" t="s">
        <v>16</v>
      </c>
      <c r="AJ7" s="26" t="s">
        <v>20</v>
      </c>
      <c r="AK7" s="33" t="s">
        <v>25</v>
      </c>
      <c r="AL7" s="33">
        <v>500</v>
      </c>
      <c r="AM7" s="33">
        <v>500</v>
      </c>
      <c r="AN7" s="33">
        <v>100</v>
      </c>
      <c r="AO7" s="28"/>
      <c r="AP7" s="28"/>
      <c r="AQ7" s="33">
        <v>50</v>
      </c>
      <c r="AR7" s="33">
        <v>50</v>
      </c>
      <c r="AS7" s="28"/>
      <c r="AT7" s="28"/>
      <c r="AU7" s="26" t="s">
        <v>19</v>
      </c>
      <c r="AV7" s="28"/>
      <c r="AW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</row>
    <row r="8" spans="1:154" ht="15.75" customHeight="1">
      <c r="A8" s="28"/>
      <c r="B8" s="28"/>
      <c r="E8" s="28"/>
      <c r="F8" s="28"/>
      <c r="G8" s="33"/>
      <c r="H8" s="28"/>
      <c r="I8" s="28"/>
      <c r="J8" s="28"/>
      <c r="K8" s="28"/>
      <c r="L8" s="28"/>
      <c r="M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30" t="s">
        <v>16</v>
      </c>
      <c r="AJ8" s="26" t="s">
        <v>21</v>
      </c>
      <c r="AK8" s="33" t="s">
        <v>25</v>
      </c>
      <c r="AL8" s="33">
        <v>500</v>
      </c>
      <c r="AM8" s="33">
        <v>500</v>
      </c>
      <c r="AN8" s="33">
        <v>100</v>
      </c>
      <c r="AO8" s="28"/>
      <c r="AP8" s="28"/>
      <c r="AQ8" s="33">
        <v>50</v>
      </c>
      <c r="AR8" s="33">
        <v>50</v>
      </c>
      <c r="AS8" s="28"/>
      <c r="AT8" s="28"/>
      <c r="AU8" s="26" t="s">
        <v>19</v>
      </c>
      <c r="AV8" s="28"/>
      <c r="AW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</row>
    <row r="9" spans="1:154" ht="15.75" customHeight="1">
      <c r="A9" s="28"/>
      <c r="B9" s="28"/>
      <c r="E9" s="28"/>
      <c r="F9" s="28"/>
      <c r="G9" s="33"/>
      <c r="H9" s="28"/>
      <c r="I9" s="28"/>
      <c r="J9" s="28"/>
      <c r="K9" s="28"/>
      <c r="L9" s="28"/>
      <c r="M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30" t="s">
        <v>16</v>
      </c>
      <c r="AJ9" s="26" t="s">
        <v>22</v>
      </c>
      <c r="AK9" s="33" t="s">
        <v>25</v>
      </c>
      <c r="AL9" s="33">
        <v>500</v>
      </c>
      <c r="AM9" s="33">
        <v>500</v>
      </c>
      <c r="AN9" s="33">
        <v>100</v>
      </c>
      <c r="AO9" s="28"/>
      <c r="AP9" s="28"/>
      <c r="AQ9" s="33">
        <v>50</v>
      </c>
      <c r="AR9" s="33">
        <v>50</v>
      </c>
      <c r="AS9" s="28"/>
      <c r="AT9" s="28"/>
      <c r="AU9" s="26" t="s">
        <v>19</v>
      </c>
      <c r="AV9" s="28"/>
      <c r="AW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B100"/>
  <sheetViews>
    <sheetView tabSelected="1" topLeftCell="BA1" workbookViewId="0">
      <selection activeCell="BI9" sqref="BI9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84" ht="15.75" customHeight="1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</row>
    <row r="2" spans="1:18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84" ht="15.75" customHeight="1">
      <c r="A3" s="15"/>
      <c r="B3" s="3" t="s">
        <v>8</v>
      </c>
      <c r="C3" s="16" t="s">
        <v>27</v>
      </c>
      <c r="D3" s="3" t="s">
        <v>9</v>
      </c>
      <c r="E3" s="16" t="s">
        <v>28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</row>
    <row r="4" spans="1:184" ht="15.75" customHeight="1">
      <c r="A4" s="18"/>
      <c r="B4" s="18" t="str">
        <f ca="1">IFERROR(__xludf.DUMMYFUNCTION("IF(C3="""","""",Transpose(IMPORTRANGE('_Settings'!$B$3,C3&amp;""!A4:A1000"")))"),"CheckDashboardPM")</f>
        <v>CheckDashboardPM</v>
      </c>
      <c r="C4" s="18" t="str">
        <f ca="1">IFERROR(__xludf.DUMMYFUNCTION("""COMPUTED_VALUE"""),"CheckPortfolioManagement")</f>
        <v>CheckPortfolioManagement</v>
      </c>
      <c r="D4" s="18" t="str">
        <f ca="1">IFERROR(__xludf.DUMMYFUNCTION("""COMPUTED_VALUE"""),"OpenPSTFromPM")</f>
        <v>OpenPSTFromPM</v>
      </c>
      <c r="E4" s="18" t="str">
        <f ca="1">IFERROR(__xludf.DUMMYFUNCTION("""COMPUTED_VALUE"""),"ClosePM")</f>
        <v>ClosePM</v>
      </c>
      <c r="F4" s="18" t="str">
        <f ca="1">IFERROR(__xludf.DUMMYFUNCTION("""COMPUTED_VALUE"""),"FilterPM")</f>
        <v>FilterPM</v>
      </c>
      <c r="G4" s="18" t="str">
        <f ca="1">IFERROR(__xludf.DUMMYFUNCTION("""COMPUTED_VALUE"""),"GroupRowPM")</f>
        <v>GroupRowPM</v>
      </c>
      <c r="H4" s="18" t="str">
        <f ca="1">IFERROR(__xludf.DUMMYFUNCTION("""COMPUTED_VALUE"""),"CheckDashboardWithPM")</f>
        <v>CheckDashboardWithPM</v>
      </c>
      <c r="I4" s="18" t="str">
        <f ca="1">IFERROR(__xludf.DUMMYFUNCTION("""COMPUTED_VALUE"""),"RemoveFilterPM")</f>
        <v>RemoveFilterPM</v>
      </c>
      <c r="J4" s="18" t="str">
        <f ca="1">IFERROR(__xludf.DUMMYFUNCTION("""COMPUTED_VALUE"""),"CheckSummaryRowsPM")</f>
        <v>CheckSummaryRowsPM</v>
      </c>
      <c r="K4" s="18" t="str">
        <f ca="1">IFERROR(__xludf.DUMMYFUNCTION("""COMPUTED_VALUE"""),"OpenPTTFromPM")</f>
        <v>OpenPTTFromPM</v>
      </c>
      <c r="L4" s="18" t="str">
        <f ca="1">IFERROR(__xludf.DUMMYFUNCTION("""COMPUTED_VALUE"""),"OpenCreateTransactionFromPM")</f>
        <v>OpenCreateTransactionFromPM</v>
      </c>
      <c r="M4" s="18" t="str">
        <f ca="1">IFERROR(__xludf.DUMMYFUNCTION("""COMPUTED_VALUE"""),"OpenClosingFromPM")</f>
        <v>OpenClosingFromPM</v>
      </c>
      <c r="N4" s="18" t="str">
        <f ca="1">IFERROR(__xludf.DUMMYFUNCTION("""COMPUTED_VALUE"""),"OpenCorporateActionFromPM")</f>
        <v>OpenCorporateActionFromPM</v>
      </c>
      <c r="O4" s="18" t="str">
        <f ca="1">IFERROR(__xludf.DUMMYFUNCTION("""COMPUTED_VALUE"""),"OpenDailyValuationFromPM")</f>
        <v>OpenDailyValuationFromPM</v>
      </c>
      <c r="P4" s="19" t="str">
        <f ca="1">IFERROR(__xludf.DUMMYFUNCTION("""COMPUTED_VALUE"""),"ClosePositionFromPM")</f>
        <v>ClosePositionFromPM</v>
      </c>
      <c r="Q4" s="19" t="str">
        <f ca="1">IFERROR(__xludf.DUMMYFUNCTION("""COMPUTED_VALUE"""),"ShowSummaryToolFromPM")</f>
        <v>ShowSummaryToolFromPM</v>
      </c>
      <c r="R4" s="19" t="str">
        <f ca="1">IFERROR(__xludf.DUMMYFUNCTION("""COMPUTED_VALUE"""),"HideSummaryToolFromPM")</f>
        <v>HideSummaryToolFromPM</v>
      </c>
      <c r="S4" s="19" t="str">
        <f ca="1">IFERROR(__xludf.DUMMYFUNCTION("""COMPUTED_VALUE"""),"CloseAccountPositionFromPM")</f>
        <v>CloseAccountPositionFromPM</v>
      </c>
      <c r="T4" s="19" t="str">
        <f ca="1">IFERROR(__xludf.DUMMYFUNCTION("""COMPUTED_VALUE"""),"CloseSelectedTaxlotsFromPM")</f>
        <v>CloseSelectedTaxlotsFromPM</v>
      </c>
      <c r="U4" s="19" t="str">
        <f ca="1">IFERROR(__xludf.DUMMYFUNCTION("""COMPUTED_VALUE"""),"ExpandCollapsePM")</f>
        <v>ExpandCollapsePM</v>
      </c>
      <c r="V4" s="19" t="str">
        <f ca="1">IFERROR(__xludf.DUMMYFUNCTION("""COMPUTED_VALUE"""),"AddCustomViewPM")</f>
        <v>AddCustomViewPM</v>
      </c>
      <c r="W4" s="19" t="str">
        <f ca="1">IFERROR(__xludf.DUMMYFUNCTION("""COMPUTED_VALUE"""),"AddCustomViewRightClickPM")</f>
        <v>AddCustomViewRightClickPM</v>
      </c>
      <c r="X4" s="19" t="str">
        <f ca="1">IFERROR(__xludf.DUMMYFUNCTION("""COMPUTED_VALUE"""),"RenameCustomViewPM")</f>
        <v>RenameCustomViewPM</v>
      </c>
      <c r="Y4" s="19" t="str">
        <f ca="1">IFERROR(__xludf.DUMMYFUNCTION("""COMPUTED_VALUE"""),"DeleteCustomViewPM")</f>
        <v>DeleteCustomViewPM</v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  <c r="EY4" s="19" t="str">
        <f ca="1">IFERROR(__xludf.DUMMYFUNCTION("""COMPUTED_VALUE"""),"")</f>
        <v/>
      </c>
      <c r="EZ4" s="19" t="str">
        <f ca="1">IFERROR(__xludf.DUMMYFUNCTION("""COMPUTED_VALUE"""),"")</f>
        <v/>
      </c>
      <c r="FA4" s="19" t="str">
        <f ca="1">IFERROR(__xludf.DUMMYFUNCTION("""COMPUTED_VALUE"""),"")</f>
        <v/>
      </c>
      <c r="FB4" s="19" t="str">
        <f ca="1">IFERROR(__xludf.DUMMYFUNCTION("""COMPUTED_VALUE"""),"")</f>
        <v/>
      </c>
      <c r="FC4" s="19" t="str">
        <f ca="1">IFERROR(__xludf.DUMMYFUNCTION("""COMPUTED_VALUE"""),"")</f>
        <v/>
      </c>
      <c r="FD4" s="19" t="str">
        <f ca="1">IFERROR(__xludf.DUMMYFUNCTION("""COMPUTED_VALUE"""),"")</f>
        <v/>
      </c>
      <c r="FE4" s="19" t="str">
        <f ca="1">IFERROR(__xludf.DUMMYFUNCTION("""COMPUTED_VALUE"""),"")</f>
        <v/>
      </c>
      <c r="FF4" s="19" t="str">
        <f ca="1">IFERROR(__xludf.DUMMYFUNCTION("""COMPUTED_VALUE"""),"")</f>
        <v/>
      </c>
      <c r="FG4" s="19" t="str">
        <f ca="1">IFERROR(__xludf.DUMMYFUNCTION("""COMPUTED_VALUE"""),"")</f>
        <v/>
      </c>
      <c r="FH4" s="19" t="str">
        <f ca="1">IFERROR(__xludf.DUMMYFUNCTION("""COMPUTED_VALUE"""),"")</f>
        <v/>
      </c>
      <c r="FI4" s="19" t="str">
        <f ca="1">IFERROR(__xludf.DUMMYFUNCTION("""COMPUTED_VALUE"""),"")</f>
        <v/>
      </c>
      <c r="FJ4" s="19" t="str">
        <f ca="1">IFERROR(__xludf.DUMMYFUNCTION("""COMPUTED_VALUE"""),"")</f>
        <v/>
      </c>
      <c r="FK4" s="19" t="str">
        <f ca="1">IFERROR(__xludf.DUMMYFUNCTION("""COMPUTED_VALUE"""),"")</f>
        <v/>
      </c>
      <c r="FL4" s="19" t="str">
        <f ca="1">IFERROR(__xludf.DUMMYFUNCTION("""COMPUTED_VALUE"""),"")</f>
        <v/>
      </c>
      <c r="FM4" s="19" t="str">
        <f ca="1">IFERROR(__xludf.DUMMYFUNCTION("""COMPUTED_VALUE"""),"")</f>
        <v/>
      </c>
      <c r="FN4" t="str">
        <f ca="1">IFERROR(__xludf.DUMMYFUNCTION("""COMPUTED_VALUE"""),"")</f>
        <v/>
      </c>
      <c r="FO4" t="str">
        <f ca="1">IFERROR(__xludf.DUMMYFUNCTION("""COMPUTED_VALUE"""),"")</f>
        <v/>
      </c>
      <c r="FP4" t="str">
        <f ca="1">IFERROR(__xludf.DUMMYFUNCTION("""COMPUTED_VALUE"""),"")</f>
        <v/>
      </c>
      <c r="FQ4" t="str">
        <f ca="1">IFERROR(__xludf.DUMMYFUNCTION("""COMPUTED_VALUE"""),"")</f>
        <v/>
      </c>
      <c r="FR4" t="str">
        <f ca="1">IFERROR(__xludf.DUMMYFUNCTION("""COMPUTED_VALUE"""),"")</f>
        <v/>
      </c>
      <c r="FS4" t="str">
        <f ca="1">IFERROR(__xludf.DUMMYFUNCTION("""COMPUTED_VALUE"""),"")</f>
        <v/>
      </c>
      <c r="FT4" t="str">
        <f ca="1">IFERROR(__xludf.DUMMYFUNCTION("""COMPUTED_VALUE"""),"")</f>
        <v/>
      </c>
      <c r="FU4" t="str">
        <f ca="1">IFERROR(__xludf.DUMMYFUNCTION("""COMPUTED_VALUE"""),"")</f>
        <v/>
      </c>
      <c r="FV4" t="str">
        <f ca="1">IFERROR(__xludf.DUMMYFUNCTION("""COMPUTED_VALUE"""),"")</f>
        <v/>
      </c>
      <c r="FW4" t="str">
        <f ca="1">IFERROR(__xludf.DUMMYFUNCTION("""COMPUTED_VALUE"""),"")</f>
        <v/>
      </c>
      <c r="FX4" t="str">
        <f ca="1">IFERROR(__xludf.DUMMYFUNCTION("""COMPUTED_VALUE"""),"")</f>
        <v/>
      </c>
      <c r="FY4" t="str">
        <f ca="1">IFERROR(__xludf.DUMMYFUNCTION("""COMPUTED_VALUE"""),"")</f>
        <v/>
      </c>
      <c r="FZ4" t="str">
        <f ca="1">IFERROR(__xludf.DUMMYFUNCTION("""COMPUTED_VALUE"""),"")</f>
        <v/>
      </c>
      <c r="GA4" t="str">
        <f ca="1">IFERROR(__xludf.DUMMYFUNCTION("""COMPUTED_VALUE"""),"")</f>
        <v/>
      </c>
      <c r="GB4" t="str">
        <f ca="1">IFERROR(__xludf.DUMMYFUNCTION("""COMPUTED_VALUE"""),"")</f>
        <v/>
      </c>
    </row>
    <row r="5" spans="1:18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IFERROR(__xludf.DUMMYFUNCTION("""COMPUTED_VALUE"""),"Trade Date")</f>
        <v>Trade Date</v>
      </c>
      <c r="C5" s="21" t="str">
        <f ca="1">IFERROR(__xludf.DUMMYFUNCTION("""COMPUTED_VALUE"""),"Symbol")</f>
        <v>Symbol</v>
      </c>
      <c r="D5" s="21" t="str">
        <f ca="1">IFERROR(__xludf.DUMMYFUNCTION("""COMPUTED_VALUE"""),"Position")</f>
        <v>Position</v>
      </c>
      <c r="E5" s="21" t="str">
        <f ca="1">IFERROR(__xludf.DUMMYFUNCTION("""COMPUTED_VALUE"""),"Account")</f>
        <v>Account</v>
      </c>
      <c r="F5" s="22" t="str">
        <f ca="1">IFERROR(__xludf.DUMMYFUNCTION("""COMPUTED_VALUE"""),"MasterFund")</f>
        <v>MasterFund</v>
      </c>
      <c r="G5" s="21" t="str">
        <f ca="1">IFERROR(__xludf.DUMMYFUNCTION("""COMPUTED_VALUE"""),"Cost Basis")</f>
        <v>Cost Basis</v>
      </c>
      <c r="H5" s="21" t="str">
        <f ca="1">IFERROR(__xludf.DUMMYFUNCTION("""COMPUTED_VALUE"""),"Position Side")</f>
        <v>Position Side</v>
      </c>
      <c r="I5" s="21" t="str">
        <f ca="1">IFERROR(__xludf.DUMMYFUNCTION("""COMPUTED_VALUE"""),"Market Value (Base)")</f>
        <v>Market Value (Base)</v>
      </c>
      <c r="J5" s="21" t="str">
        <f ca="1">IFERROR(__xludf.DUMMYFUNCTION("""COMPUTED_VALUE"""),"% Day P&amp;L (Gross MV)")</f>
        <v>% Day P&amp;L (Gross MV)</v>
      </c>
      <c r="K5" s="21" t="str">
        <f ca="1">IFERROR(__xludf.DUMMYFUNCTION("""COMPUTED_VALUE"""),"Net Exposure (Base)")</f>
        <v>Net Exposure (Base)</v>
      </c>
      <c r="L5" s="21" t="str">
        <f ca="1">IFERROR(__xludf.DUMMYFUNCTION("""COMPUTED_VALUE"""),"Beta Adj. Gross Exposure (Base)")</f>
        <v>Beta Adj. Gross Exposure (Base)</v>
      </c>
      <c r="M5" s="21" t="str">
        <f ca="1">IFERROR(__xludf.DUMMYFUNCTION("""COMPUTED_VALUE"""),"Beta Adj. Gross Exposure (Underlying) (Base)")</f>
        <v>Beta Adj. Gross Exposure (Underlying) (Base)</v>
      </c>
      <c r="N5" s="21" t="str">
        <f ca="1">IFERROR(__xludf.DUMMYFUNCTION("""COMPUTED_VALUE"""),"Day P&amp;L (Base)")</f>
        <v>Day P&amp;L (Base)</v>
      </c>
      <c r="O5" s="21" t="str">
        <f ca="1">IFERROR(__xludf.DUMMYFUNCTION("""COMPUTED_VALUE"""),"Security Name")</f>
        <v>Security Name</v>
      </c>
      <c r="P5" s="21" t="str">
        <f ca="1">IFERROR(__xludf.DUMMYFUNCTION("""COMPUTED_VALUE"""),"Closing Mark")</f>
        <v>Closing Mark</v>
      </c>
      <c r="Q5" s="21" t="str">
        <f ca="1">IFERROR(__xludf.DUMMYFUNCTION("""COMPUTED_VALUE"""),"Cost Basis P&amp;L (Base)")</f>
        <v>Cost Basis P&amp;L (Base)</v>
      </c>
      <c r="R5" s="21" t="str">
        <f ca="1">IFERROR(__xludf.DUMMYFUNCTION("""COMPUTED_VALUE"""),"Prime Broker")</f>
        <v>Prime Broker</v>
      </c>
      <c r="S5" s="21" t="str">
        <f ca="1">IFERROR(__xludf.DUMMYFUNCTION("""COMPUTED_VALUE"""),"Strategy")</f>
        <v>Strategy</v>
      </c>
      <c r="T5" s="23" t="str">
        <f ca="1">IFERROR(__xludf.DUMMYFUNCTION("""COMPUTED_VALUE"""),"Asset Class")</f>
        <v>Asset Class</v>
      </c>
      <c r="U5" s="23" t="str">
        <f ca="1">IFERROR(__xludf.DUMMYFUNCTION("""COMPUTED_VALUE"""),"Underlying")</f>
        <v>Underlying</v>
      </c>
      <c r="V5" s="23" t="str">
        <f ca="1">IFERROR(__xludf.DUMMYFUNCTION("""COMPUTED_VALUE"""),"Exchange")</f>
        <v>Exchange</v>
      </c>
      <c r="W5" s="23" t="str">
        <f ca="1">IFERROR(__xludf.DUMMYFUNCTION("""COMPUTED_VALUE"""),"Trade Currency")</f>
        <v>Trade Currency</v>
      </c>
      <c r="X5" s="23" t="str">
        <f ca="1">IFERROR(__xludf.DUMMYFUNCTION("""COMPUTED_VALUE"""),"Multiplier")</f>
        <v>Multiplier</v>
      </c>
      <c r="Y5" s="23" t="str">
        <f ca="1">IFERROR(__xludf.DUMMYFUNCTION("""COMPUTED_VALUE"""),"FX Rate")</f>
        <v>FX Rate</v>
      </c>
      <c r="Z5" s="23" t="str">
        <f ca="1">IFERROR(__xludf.DUMMYFUNCTION("""COMPUTED_VALUE"""),"Vs Currency")</f>
        <v>Vs Currency</v>
      </c>
      <c r="AA5" s="23" t="str">
        <f ca="1">IFERROR(__xludf.DUMMYFUNCTION("""COMPUTED_VALUE"""),"Lead Currency")</f>
        <v>Lead Currency</v>
      </c>
      <c r="AB5" s="23" t="str">
        <f ca="1">IFERROR(__xludf.DUMMYFUNCTION("""COMPUTED_VALUE"""),"Dividend Yield (%)")</f>
        <v>Dividend Yield (%)</v>
      </c>
      <c r="AC5" s="23" t="str">
        <f ca="1">IFERROR(__xludf.DUMMYFUNCTION("""COMPUTED_VALUE"""),"% Change")</f>
        <v>% Change</v>
      </c>
      <c r="AD5" s="23" t="str">
        <f ca="1">IFERROR(__xludf.DUMMYFUNCTION("""COMPUTED_VALUE"""),"Net Exposure (Local)")</f>
        <v>Net Exposure (Local)</v>
      </c>
      <c r="AE5" s="23" t="str">
        <f ca="1">IFERROR(__xludf.DUMMYFUNCTION("""COMPUTED_VALUE"""),"Exposure (Local)")</f>
        <v>Exposure (Local)</v>
      </c>
      <c r="AF5" s="23" t="str">
        <f ca="1">IFERROR(__xludf.DUMMYFUNCTION("""COMPUTED_VALUE"""),"Delta Adj. Position")</f>
        <v>Delta Adj. Position</v>
      </c>
      <c r="AG5" s="23" t="str">
        <f ca="1">IFERROR(__xludf.DUMMYFUNCTION("""COMPUTED_VALUE"""),"Exposure (Base)")</f>
        <v>Exposure (Base)</v>
      </c>
      <c r="AH5" s="23" t="str">
        <f ca="1">IFERROR(__xludf.DUMMYFUNCTION("""COMPUTED_VALUE"""),"Beta Adj. Exposure (Local)")</f>
        <v>Beta Adj. Exposure (Local)</v>
      </c>
      <c r="AI5" s="23" t="str">
        <f ca="1">IFERROR(__xludf.DUMMYFUNCTION("""COMPUTED_VALUE"""),"Beta Adj. Exposure (Base)")</f>
        <v>Beta Adj. Exposure (Base)</v>
      </c>
      <c r="AJ5" s="23" t="str">
        <f ca="1">IFERROR(__xludf.DUMMYFUNCTION("""COMPUTED_VALUE"""),"Exposure (BP)(Base)")</f>
        <v>Exposure (BP)(Base)</v>
      </c>
      <c r="AK5" s="23" t="str">
        <f ca="1">IFERROR(__xludf.DUMMYFUNCTION("""COMPUTED_VALUE"""),"Day P&amp;L (Local)")</f>
        <v>Day P&amp;L (Local)</v>
      </c>
      <c r="AL5" s="23" t="str">
        <f ca="1">IFERROR(__xludf.DUMMYFUNCTION("""COMPUTED_VALUE"""),"Delta")</f>
        <v>Delta</v>
      </c>
      <c r="AM5" s="23" t="str">
        <f ca="1">IFERROR(__xludf.DUMMYFUNCTION("""COMPUTED_VALUE"""),"Leveraged Factor")</f>
        <v>Leveraged Factor</v>
      </c>
      <c r="AN5" s="23" t="str">
        <f ca="1">IFERROR(__xludf.DUMMYFUNCTION("""COMPUTED_VALUE"""),"Order Side")</f>
        <v>Order Side</v>
      </c>
      <c r="AO5" s="23" t="str">
        <f ca="1">IFERROR(__xludf.DUMMYFUNCTION("""COMPUTED_VALUE"""),"Master Strategy")</f>
        <v>Master Strategy</v>
      </c>
      <c r="AP5" s="23" t="str">
        <f ca="1">IFERROR(__xludf.DUMMYFUNCTION("""COMPUTED_VALUE"""),"Transaction Side")</f>
        <v>Transaction Side</v>
      </c>
      <c r="AQ5" s="23" t="str">
        <f ca="1">IFERROR(__xludf.DUMMYFUNCTION("""COMPUTED_VALUE"""),"Underlying Symbol")</f>
        <v>Underlying Symbol</v>
      </c>
      <c r="AR5" s="23" t="str">
        <f ca="1">IFERROR(__xludf.DUMMYFUNCTION("""COMPUTED_VALUE"""),"Underlying Price")</f>
        <v>Underlying Price</v>
      </c>
      <c r="AS5" s="23" t="str">
        <f ca="1">IFERROR(__xludf.DUMMYFUNCTION("""COMPUTED_VALUE"""),"Side Multiplier")</f>
        <v>Side Multiplier</v>
      </c>
      <c r="AT5" s="23" t="str">
        <f ca="1">IFERROR(__xludf.DUMMYFUNCTION("""COMPUTED_VALUE"""),"Description")</f>
        <v>Description</v>
      </c>
      <c r="AU5" s="23" t="str">
        <f ca="1">IFERROR(__xludf.DUMMYFUNCTION("""COMPUTED_VALUE"""),"Internal Comments")</f>
        <v>Internal Comments</v>
      </c>
      <c r="AV5" s="23" t="str">
        <f ca="1">IFERROR(__xludf.DUMMYFUNCTION("""COMPUTED_VALUE"""),"FX Rate On Trade Date")</f>
        <v>FX Rate On Trade Date</v>
      </c>
      <c r="AW5" s="23" t="str">
        <f ca="1">IFERROR(__xludf.DUMMYFUNCTION("""COMPUTED_VALUE"""),"Cost Basis P&amp;L (Local)")</f>
        <v>Cost Basis P&amp;L (Local)</v>
      </c>
      <c r="AX5" s="23" t="str">
        <f ca="1">IFERROR(__xludf.DUMMYFUNCTION("""COMPUTED_VALUE"""),"Day Interest")</f>
        <v>Day Interest</v>
      </c>
      <c r="AY5" s="23" t="str">
        <f ca="1">IFERROR(__xludf.DUMMYFUNCTION("""COMPUTED_VALUE"""),"Total Interest")</f>
        <v>Total Interest</v>
      </c>
      <c r="AZ5" s="23" t="str">
        <f ca="1">IFERROR(__xludf.DUMMYFUNCTION("""COMPUTED_VALUE"""),"Market Value (Local)")</f>
        <v>Market Value (Local)</v>
      </c>
      <c r="BA5" s="23" t="str">
        <f ca="1">IFERROR(__xludf.DUMMYFUNCTION("""COMPUTED_VALUE"""),"% Gain/Loss Day")</f>
        <v>% Gain/Loss Day</v>
      </c>
      <c r="BB5" s="23" t="str">
        <f ca="1">IFERROR(__xludf.DUMMYFUNCTION("""COMPUTED_VALUE"""),"Update Time (Last Price)")</f>
        <v>Update Time (Last Price)</v>
      </c>
      <c r="BC5" s="23" t="str">
        <f ca="1">IFERROR(__xludf.DUMMYFUNCTION("""COMPUTED_VALUE"""),"Beta")</f>
        <v>Beta</v>
      </c>
      <c r="BD5" s="23" t="str">
        <f ca="1">IFERROR(__xludf.DUMMYFUNCTION("""COMPUTED_VALUE"""),"Cash Impact (Local)")</f>
        <v>Cash Impact (Local)</v>
      </c>
      <c r="BE5" s="23" t="str">
        <f ca="1">IFERROR(__xludf.DUMMYFUNCTION("""COMPUTED_VALUE"""),"User Asset")</f>
        <v>User Asset</v>
      </c>
      <c r="BF5" s="23" t="str">
        <f ca="1">IFERROR(__xludf.DUMMYFUNCTION("""COMPUTED_VALUE"""),"Security Type")</f>
        <v>Security Type</v>
      </c>
      <c r="BG5" s="23" t="str">
        <f ca="1">IFERROR(__xludf.DUMMYFUNCTION("""COMPUTED_VALUE"""),"Sector")</f>
        <v>Sector</v>
      </c>
      <c r="BH5" s="23" t="str">
        <f ca="1">IFERROR(__xludf.DUMMYFUNCTION("""COMPUTED_VALUE"""),"Sub Sector")</f>
        <v>Sub Sector</v>
      </c>
      <c r="BI5" s="23" t="str">
        <f ca="1">IFERROR(__xludf.DUMMYFUNCTION("""COMPUTED_VALUE"""),"Country")</f>
        <v>Country</v>
      </c>
      <c r="BJ5" s="23" t="str">
        <f ca="1">IFERROR(__xludf.DUMMYFUNCTION("""COMPUTED_VALUE"""),"Market Cap")</f>
        <v>Market Cap</v>
      </c>
      <c r="BK5" s="23" t="str">
        <f ca="1">IFERROR(__xludf.DUMMYFUNCTION("""COMPUTED_VALUE"""),"Shares Outstanding (MM)")</f>
        <v>Shares Outstanding (MM)</v>
      </c>
      <c r="BL5" s="23" t="str">
        <f ca="1">IFERROR(__xludf.DUMMYFUNCTION("""COMPUTED_VALUE"""),"Avg Volume 20 Day")</f>
        <v>Avg Volume 20 Day</v>
      </c>
      <c r="BM5" s="23" t="str">
        <f ca="1">IFERROR(__xludf.DUMMYFUNCTION("""COMPUTED_VALUE"""),"% Avg Volume (Delta Adj.)")</f>
        <v>% Avg Volume (Delta Adj.)</v>
      </c>
      <c r="BN5" s="23" t="str">
        <f ca="1">IFERROR(__xludf.DUMMYFUNCTION("""COMPUTED_VALUE"""),"Ex Dividend Date")</f>
        <v>Ex Dividend Date</v>
      </c>
      <c r="BO5" s="23" t="str">
        <f ca="1">IFERROR(__xludf.DUMMYFUNCTION("""COMPUTED_VALUE"""),"Cash Impact (Base)")</f>
        <v>Cash Impact (Base)</v>
      </c>
      <c r="BP5" s="23" t="str">
        <f ca="1">IFERROR(__xludf.DUMMYFUNCTION("""COMPUTED_VALUE"""),"Volatility (%)")</f>
        <v>Volatility (%)</v>
      </c>
      <c r="BQ5" s="23" t="str">
        <f ca="1">IFERROR(__xludf.DUMMYFUNCTION("""COMPUTED_VALUE"""),"User")</f>
        <v>User</v>
      </c>
      <c r="BR5" s="23" t="str">
        <f ca="1">IFERROR(__xludf.DUMMYFUNCTION("""COMPUTED_VALUE"""),"Broker")</f>
        <v>Broker</v>
      </c>
      <c r="BS5" s="23" t="str">
        <f ca="1">IFERROR(__xludf.DUMMYFUNCTION("""COMPUTED_VALUE"""),"Earned Dividend (Local)")</f>
        <v>Earned Dividend (Local)</v>
      </c>
      <c r="BT5" s="23" t="str">
        <f ca="1">IFERROR(__xludf.DUMMYFUNCTION("""COMPUTED_VALUE"""),"Earned Dividend (Base)")</f>
        <v>Earned Dividend (Base)</v>
      </c>
      <c r="BU5" s="23" t="str">
        <f ca="1">IFERROR(__xludf.DUMMYFUNCTION("""COMPUTED_VALUE"""),"Put/Call")</f>
        <v>Put/Call</v>
      </c>
      <c r="BV5" s="23" t="str">
        <f ca="1">IFERROR(__xludf.DUMMYFUNCTION("""COMPUTED_VALUE"""),"Expiration Date")</f>
        <v>Expiration Date</v>
      </c>
      <c r="BW5" s="23" t="str">
        <f ca="1">IFERROR(__xludf.DUMMYFUNCTION("""COMPUTED_VALUE"""),"Strike Price")</f>
        <v>Strike Price</v>
      </c>
      <c r="BX5" s="23" t="str">
        <f ca="1">IFERROR(__xludf.DUMMYFUNCTION("""COMPUTED_VALUE"""),"Gross Exposure (Base)")</f>
        <v>Gross Exposure (Base)</v>
      </c>
      <c r="BY5" s="23" t="str">
        <f ca="1">IFERROR(__xludf.DUMMYFUNCTION("""COMPUTED_VALUE"""),"Gross Market Value (Base)")</f>
        <v>Gross Market Value (Base)</v>
      </c>
      <c r="BZ5" s="23" t="str">
        <f ca="1">IFERROR(__xludf.DUMMYFUNCTION("""COMPUTED_VALUE"""),"Px Selected Feed (Local)")</f>
        <v>Px Selected Feed (Local)</v>
      </c>
      <c r="CA5" s="23" t="str">
        <f ca="1">IFERROR(__xludf.DUMMYFUNCTION("""COMPUTED_VALUE"""),"Px Selected Feed (Base)")</f>
        <v>Px Selected Feed (Base)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IFERROR(__xludf.DUMMYFUNCTION("""COMPUTED_VALUE"""),"% Avg Volume")</f>
        <v>% Avg Volume</v>
      </c>
      <c r="CD5" s="23" t="str">
        <f ca="1">IFERROR(__xludf.DUMMYFUNCTION("""COMPUTED_VALUE"""),"Day P&amp;L (Base)(Price Gain)")</f>
        <v>Day P&amp;L (Base)(Price Gain)</v>
      </c>
      <c r="CE5" s="23" t="str">
        <f ca="1">IFERROR(__xludf.DUMMYFUNCTION("""COMPUTED_VALUE"""),"Day P&amp;L (Base)(FX Gain)")</f>
        <v>Day P&amp;L (Base)(FX Gain)</v>
      </c>
      <c r="CF5" s="23" t="str">
        <f ca="1">IFERROR(__xludf.DUMMYFUNCTION("""COMPUTED_VALUE"""),"Cost Basis P&amp;L (Base)(FX Gain)")</f>
        <v>Cost Basis P&amp;L (Base)(FX Gain)</v>
      </c>
      <c r="CG5" s="23" t="str">
        <f ca="1">IFERROR(__xludf.DUMMYFUNCTION("""COMPUTED_VALUE"""),"Cost Basis P&amp;L (Base)(Price Gain)")</f>
        <v>Cost Basis P&amp;L (Base)(Price Gain)</v>
      </c>
      <c r="CH5" s="23" t="str">
        <f ca="1">IFERROR(__xludf.DUMMYFUNCTION("""COMPUTED_VALUE"""),"% Gain/Loss Cost")</f>
        <v>% Gain/Loss Cost</v>
      </c>
      <c r="CI5" s="23" t="str">
        <f ca="1">IFERROR(__xludf.DUMMYFUNCTION("""COMPUTED_VALUE"""),"Underlying Value (Options)")</f>
        <v>Underlying Value (Options)</v>
      </c>
      <c r="CJ5" s="23" t="str">
        <f ca="1">IFERROR(__xludf.DUMMYFUNCTION("""COMPUTED_VALUE"""),"Avg Volume 20 Day (Underlying Symbol)")</f>
        <v>Avg Volume 20 Day (Underlying Symbol)</v>
      </c>
      <c r="CK5" s="23" t="str">
        <f ca="1">IFERROR(__xludf.DUMMYFUNCTION("""COMPUTED_VALUE"""),"IsStaleData")</f>
        <v>IsStaleData</v>
      </c>
      <c r="CL5" s="23" t="str">
        <f ca="1">IFERROR(__xludf.DUMMYFUNCTION("""COMPUTED_VALUE"""),"IDCO")</f>
        <v>IDCO</v>
      </c>
      <c r="CM5" s="23" t="str">
        <f ca="1">IFERROR(__xludf.DUMMYFUNCTION("""COMPUTED_VALUE"""),"OSI")</f>
        <v>OSI</v>
      </c>
      <c r="CN5" s="23" t="str">
        <f ca="1">IFERROR(__xludf.DUMMYFUNCTION("""COMPUTED_VALUE"""),"SEDOL")</f>
        <v>SEDOL</v>
      </c>
      <c r="CO5" s="23" t="str">
        <f ca="1">IFERROR(__xludf.DUMMYFUNCTION("""COMPUTED_VALUE"""),"CUSIP")</f>
        <v>CUSIP</v>
      </c>
      <c r="CP5" s="23" t="str">
        <f ca="1">IFERROR(__xludf.DUMMYFUNCTION("""COMPUTED_VALUE"""),"Bloomberg")</f>
        <v>Bloomberg</v>
      </c>
      <c r="CQ5" s="23" t="str">
        <f ca="1">IFERROR(__xludf.DUMMYFUNCTION("""COMPUTED_VALUE"""),"ISIN")</f>
        <v>ISIN</v>
      </c>
      <c r="CR5" s="23" t="str">
        <f ca="1">IFERROR(__xludf.DUMMYFUNCTION("""COMPUTED_VALUE"""),"Start Trade Date")</f>
        <v>Start Trade Date</v>
      </c>
      <c r="CS5" s="23" t="str">
        <f ca="1">IFERROR(__xludf.DUMMYFUNCTION("""COMPUTED_VALUE"""),"Cost Basis (Break Even)")</f>
        <v>Cost Basis (Break Even)</v>
      </c>
      <c r="CT5" s="23" t="str">
        <f ca="1">IFERROR(__xludf.DUMMYFUNCTION("""COMPUTED_VALUE"""),"Trade Attribute 3")</f>
        <v>Trade Attribute 3</v>
      </c>
      <c r="CU5" s="23" t="str">
        <f ca="1">IFERROR(__xludf.DUMMYFUNCTION("""COMPUTED_VALUE"""),"Trade Attribute 4")</f>
        <v>Trade Attribute 4</v>
      </c>
      <c r="CV5" s="23" t="str">
        <f ca="1">IFERROR(__xludf.DUMMYFUNCTION("""COMPUTED_VALUE"""),"Trade Attribute 5")</f>
        <v>Trade Attribute 5</v>
      </c>
      <c r="CW5" s="23" t="str">
        <f ca="1">IFERROR(__xludf.DUMMYFUNCTION("""COMPUTED_VALUE"""),"Trade Attribute 6")</f>
        <v>Trade Attribute 6</v>
      </c>
      <c r="CX5" s="23" t="str">
        <f ca="1">IFERROR(__xludf.DUMMYFUNCTION("""COMPUTED_VALUE"""),"Proxy Symbol")</f>
        <v>Proxy Symbol</v>
      </c>
      <c r="CY5" s="23" t="str">
        <f ca="1">IFERROR(__xludf.DUMMYFUNCTION("""COMPUTED_VALUE"""),"Pricing Source")</f>
        <v>Pricing Source</v>
      </c>
      <c r="CZ5" s="23" t="str">
        <f ca="1">IFERROR(__xludf.DUMMYFUNCTION("""COMPUTED_VALUE"""),"Delta Source")</f>
        <v>Delta Source</v>
      </c>
      <c r="DA5" s="23" t="str">
        <f ca="1">IFERROR(__xludf.DUMMYFUNCTION("""COMPUTED_VALUE"""),"Gross Exposure (Local)")</f>
        <v>Gross Exposure (Local)</v>
      </c>
      <c r="DB5" s="23" t="str">
        <f ca="1">IFERROR(__xludf.DUMMYFUNCTION("""COMPUTED_VALUE"""),"% Day P&amp;L (Net MV)")</f>
        <v>% Day P&amp;L (Net MV)</v>
      </c>
      <c r="DC5" s="23" t="str">
        <f ca="1">IFERROR(__xludf.DUMMYFUNCTION("""COMPUTED_VALUE"""),"Expiration Month")</f>
        <v>Expiration Month</v>
      </c>
      <c r="DD5" s="23" t="str">
        <f ca="1">IFERROR(__xludf.DUMMYFUNCTION("""COMPUTED_VALUE"""),"Delta Adj. Position (LME)")</f>
        <v>Delta Adj. Position (LME)</v>
      </c>
      <c r="DE5" s="23" t="str">
        <f ca="1">IFERROR(__xludf.DUMMYFUNCTION("""COMPUTED_VALUE"""),"Premium")</f>
        <v>Premium</v>
      </c>
      <c r="DF5" s="23" t="str">
        <f ca="1">IFERROR(__xludf.DUMMYFUNCTION("""COMPUTED_VALUE"""),"Premium $")</f>
        <v>Premium $</v>
      </c>
      <c r="DG5" s="23" t="str">
        <f ca="1">IFERROR(__xludf.DUMMYFUNCTION("""COMPUTED_VALUE"""),"Forward Points")</f>
        <v>Forward Points</v>
      </c>
      <c r="DH5" s="23" t="str">
        <f ca="1">IFERROR(__xludf.DUMMYFUNCTION("""COMPUTED_VALUE"""),"Closing Mark (Underlying)")</f>
        <v>Closing Mark (Underlying)</v>
      </c>
      <c r="DI5" s="23" t="str">
        <f ca="1">IFERROR(__xludf.DUMMYFUNCTION("""COMPUTED_VALUE"""),"% Change (Underlying Price)")</f>
        <v>% Change (Underlying Price)</v>
      </c>
      <c r="DJ5" s="23" t="str">
        <f ca="1">IFERROR(__xludf.DUMMYFUNCTION("""COMPUTED_VALUE"""),"Transaction Type")</f>
        <v>Transaction Type</v>
      </c>
      <c r="DK5" s="23" t="str">
        <f ca="1">IFERROR(__xludf.DUMMYFUNCTION("""COMPUTED_VALUE"""),"Closing Market Value (Local)")</f>
        <v>Closing Market Value (Local)</v>
      </c>
      <c r="DL5" s="23" t="str">
        <f ca="1">IFERROR(__xludf.DUMMYFUNCTION("""COMPUTED_VALUE"""),"Closing Market Value (Base)")</f>
        <v>Closing Market Value (Base)</v>
      </c>
      <c r="DM5" s="23" t="str">
        <f ca="1">IFERROR(__xludf.DUMMYFUNCTION("""COMPUTED_VALUE"""),"Closing FX Rate")</f>
        <v>Closing FX Rate</v>
      </c>
      <c r="DN5" s="23" t="str">
        <f ca="1">IFERROR(__xludf.DUMMYFUNCTION("""COMPUTED_VALUE"""),"Change In Underlying Price")</f>
        <v>Change In Underlying Price</v>
      </c>
      <c r="DO5" s="23" t="str">
        <f ca="1">IFERROR(__xludf.DUMMYFUNCTION("""COMPUTED_VALUE"""),"RIC")</f>
        <v>RIC</v>
      </c>
      <c r="DP5" s="23" t="str">
        <f ca="1">IFERROR(__xludf.DUMMYFUNCTION("""COMPUTED_VALUE"""),"Position Side Exposure (Boxed)")</f>
        <v>Position Side Exposure (Boxed)</v>
      </c>
      <c r="DQ5" s="23" t="str">
        <f ca="1">IFERROR(__xludf.DUMMYFUNCTION("""COMPUTED_VALUE"""),"Analyst")</f>
        <v>Analyst</v>
      </c>
      <c r="DR5" s="23" t="str">
        <f ca="1">IFERROR(__xludf.DUMMYFUNCTION("""COMPUTED_VALUE"""),"Country Of Risk")</f>
        <v>Country Of Risk</v>
      </c>
      <c r="DS5" s="23" t="str">
        <f ca="1">IFERROR(__xludf.DUMMYFUNCTION("""COMPUTED_VALUE"""),"Custom UDA1")</f>
        <v>Custom UDA1</v>
      </c>
      <c r="DT5" s="23" t="str">
        <f ca="1">IFERROR(__xludf.DUMMYFUNCTION("""COMPUTED_VALUE"""),"Custom UDA2")</f>
        <v>Custom UDA2</v>
      </c>
      <c r="DU5" s="23" t="str">
        <f ca="1">IFERROR(__xludf.DUMMYFUNCTION("""COMPUTED_VALUE"""),"Custom UDA3")</f>
        <v>Custom UDA3</v>
      </c>
      <c r="DV5" s="23" t="str">
        <f ca="1">IFERROR(__xludf.DUMMYFUNCTION("""COMPUTED_VALUE"""),"Custom UDA4")</f>
        <v>Custom UDA4</v>
      </c>
      <c r="DW5" s="23" t="str">
        <f ca="1">IFERROR(__xludf.DUMMYFUNCTION("""COMPUTED_VALUE"""),"Custom UDA5")</f>
        <v>Custom UDA5</v>
      </c>
      <c r="DX5" s="23" t="str">
        <f ca="1">IFERROR(__xludf.DUMMYFUNCTION("""COMPUTED_VALUE"""),"Custom UDA6")</f>
        <v>Custom UDA6</v>
      </c>
      <c r="DY5" s="23" t="str">
        <f ca="1">IFERROR(__xludf.DUMMYFUNCTION("""COMPUTED_VALUE"""),"Custom UDA7")</f>
        <v>Custom UDA7</v>
      </c>
      <c r="DZ5" s="23" t="str">
        <f ca="1">IFERROR(__xludf.DUMMYFUNCTION("""COMPUTED_VALUE"""),"Issuer")</f>
        <v>Issuer</v>
      </c>
      <c r="EA5" s="23" t="str">
        <f ca="1">IFERROR(__xludf.DUMMYFUNCTION("""COMPUTED_VALUE"""),"Liquid Tag")</f>
        <v>Liquid Tag</v>
      </c>
      <c r="EB5" s="23" t="str">
        <f ca="1">IFERROR(__xludf.DUMMYFUNCTION("""COMPUTED_VALUE"""),"Market Cap UDA")</f>
        <v>Market Cap UDA</v>
      </c>
      <c r="EC5" s="23" t="str">
        <f ca="1">IFERROR(__xludf.DUMMYFUNCTION("""COMPUTED_VALUE"""),"Region")</f>
        <v>Region</v>
      </c>
      <c r="ED5" s="23" t="str">
        <f ca="1">IFERROR(__xludf.DUMMYFUNCTION("""COMPUTED_VALUE"""),"Risk Currency")</f>
        <v>Risk Currency</v>
      </c>
      <c r="EE5" s="23" t="str">
        <f ca="1">IFERROR(__xludf.DUMMYFUNCTION("""COMPUTED_VALUE"""),"UCITS Eligible Tag")</f>
        <v>UCITS Eligible Tag</v>
      </c>
      <c r="EF5" s="23" t="str">
        <f ca="1">IFERROR(__xludf.DUMMYFUNCTION("""COMPUTED_VALUE"""),"FX Rate (Display)")</f>
        <v>FX Rate (Display)</v>
      </c>
      <c r="EG5" s="23" t="str">
        <f ca="1">IFERROR(__xludf.DUMMYFUNCTION("""COMPUTED_VALUE"""),"% Net Exposure (Base)")</f>
        <v>% Net Exposure (Base)</v>
      </c>
      <c r="EH5" s="23" t="str">
        <f ca="1">IFERROR(__xludf.DUMMYFUNCTION("""COMPUTED_VALUE"""),"% Gross Exposure (Base)")</f>
        <v>% Gross Exposure (Base)</v>
      </c>
      <c r="EI5" s="23" t="str">
        <f ca="1">IFERROR(__xludf.DUMMYFUNCTION("""COMPUTED_VALUE"""),"% Exposure (Base)")</f>
        <v>% Exposure (Base)</v>
      </c>
      <c r="EJ5" s="23" t="str">
        <f ca="1">IFERROR(__xludf.DUMMYFUNCTION("""COMPUTED_VALUE"""),"% Gross Exposure (Underlying) (Base)")</f>
        <v>% Gross Exposure (Underlying) (Base)</v>
      </c>
      <c r="EK5" s="23" t="str">
        <f ca="1">IFERROR(__xludf.DUMMYFUNCTION("""COMPUTED_VALUE"""),"% Beta Adj. Gross Exposure (Base)")</f>
        <v>% Beta Adj. Gross Exposure (Base)</v>
      </c>
      <c r="EL5" s="23" t="str">
        <f ca="1">IFERROR(__xludf.DUMMYFUNCTION("""COMPUTED_VALUE"""),"Position Side Exposure (Underlying)")</f>
        <v>Position Side Exposure (Underlying)</v>
      </c>
      <c r="EM5" s="23" t="str">
        <f ca="1">IFERROR(__xludf.DUMMYFUNCTION("""COMPUTED_VALUE"""),"Gross Exposure (Underlying) (Base)")</f>
        <v>Gross Exposure (Underlying) (Base)</v>
      </c>
      <c r="EN5" s="23" t="str">
        <f ca="1">IFERROR(__xludf.DUMMYFUNCTION("""COMPUTED_VALUE"""),"Gross Exposure (Underlying)")</f>
        <v>Gross Exposure (Underlying)</v>
      </c>
      <c r="EO5" s="23" t="str">
        <f ca="1">IFERROR(__xludf.DUMMYFUNCTION("""COMPUTED_VALUE"""),"Day Return")</f>
        <v>Day Return</v>
      </c>
      <c r="EP5" s="23" t="str">
        <f ca="1">IFERROR(__xludf.DUMMYFUNCTION("""COMPUTED_VALUE"""),"Start of Day NAV")</f>
        <v>Start of Day NAV</v>
      </c>
      <c r="EQ5" s="23" t="str">
        <f ca="1">IFERROR(__xludf.DUMMYFUNCTION("""COMPUTED_VALUE"""),"% Gross Market Value (Base)")</f>
        <v>% Gross Market Value (Base)</v>
      </c>
      <c r="ER5" s="23" t="str">
        <f ca="1">IFERROR(__xludf.DUMMYFUNCTION("""COMPUTED_VALUE"""),"Beta Adj. Gross Exposure (Underlying) (Local)")</f>
        <v>Beta Adj. Gross Exposure (Underlying) (Local)</v>
      </c>
      <c r="ES5" s="23" t="str">
        <f ca="1">IFERROR(__xludf.DUMMYFUNCTION("""COMPUTED_VALUE"""),"NAV")</f>
        <v>NAV</v>
      </c>
      <c r="ET5" s="23" t="str">
        <f ca="1">IFERROR(__xludf.DUMMYFUNCTION("""COMPUTED_VALUE"""),"% P&amp;L Contribution")</f>
        <v>% P&amp;L Contribution</v>
      </c>
      <c r="EU5" s="23" t="str">
        <f ca="1">IFERROR(__xludf.DUMMYFUNCTION("""COMPUTED_VALUE"""),"% Net Market Value (Base)")</f>
        <v>% Net Market Value (Base)</v>
      </c>
      <c r="EV5" s="23" t="str">
        <f ca="1">IFERROR(__xludf.DUMMYFUNCTION("""COMPUTED_VALUE"""),"Position Side Exposure")</f>
        <v>Position Side Exposure</v>
      </c>
      <c r="EW5" s="23" t="str">
        <f ca="1">IFERROR(__xludf.DUMMYFUNCTION("""COMPUTED_VALUE"""),"NAV (Touch)")</f>
        <v>NAV (Touch)</v>
      </c>
      <c r="EX5" s="23" t="str">
        <f ca="1">IFERROR(__xludf.DUMMYFUNCTION("""COMPUTED_VALUE"""),"IgnorePropertyChangeEvents")</f>
        <v>IgnorePropertyChangeEvents</v>
      </c>
      <c r="EY5" s="23" t="str">
        <f ca="1">IFERROR(__xludf.DUMMYFUNCTION("""COMPUTED_VALUE"""),"Trade Attribute 1")</f>
        <v>Trade Attribute 1</v>
      </c>
      <c r="EZ5" s="23" t="str">
        <f ca="1">IFERROR(__xludf.DUMMYFUNCTION("""COMPUTED_VALUE"""),"Trade Attribute 2")</f>
        <v>Trade Attribute 2</v>
      </c>
      <c r="FA5" s="23" t="str">
        <f ca="1">IFERROR(__xludf.DUMMYFUNCTION("""COMPUTED_VALUE"""),"Client")</f>
        <v>Client</v>
      </c>
      <c r="FB5" s="23" t="str">
        <f ca="1">IFERROR(__xludf.DUMMYFUNCTION("""COMPUTED_VALUE"""),"")</f>
        <v/>
      </c>
      <c r="FC5" s="23" t="str">
        <f ca="1">IFERROR(__xludf.DUMMYFUNCTION("""COMPUTED_VALUE"""),"")</f>
        <v/>
      </c>
      <c r="FD5" s="23" t="str">
        <f ca="1">IFERROR(__xludf.DUMMYFUNCTION("""COMPUTED_VALUE"""),"")</f>
        <v/>
      </c>
      <c r="FE5" s="23" t="str">
        <f ca="1">IFERROR(__xludf.DUMMYFUNCTION("""COMPUTED_VALUE"""),"")</f>
        <v/>
      </c>
      <c r="FF5" s="23" t="str">
        <f ca="1">IFERROR(__xludf.DUMMYFUNCTION("""COMPUTED_VALUE"""),"")</f>
        <v/>
      </c>
      <c r="FG5" s="23" t="str">
        <f ca="1">IFERROR(__xludf.DUMMYFUNCTION("""COMPUTED_VALUE"""),"")</f>
        <v/>
      </c>
      <c r="FH5" s="23" t="str">
        <f ca="1">IFERROR(__xludf.DUMMYFUNCTION("""COMPUTED_VALUE"""),"")</f>
        <v/>
      </c>
      <c r="FI5" s="23" t="str">
        <f ca="1">IFERROR(__xludf.DUMMYFUNCTION("""COMPUTED_VALUE"""),"")</f>
        <v/>
      </c>
      <c r="FJ5" s="23" t="str">
        <f ca="1">IFERROR(__xludf.DUMMYFUNCTION("""COMPUTED_VALUE"""),"")</f>
        <v/>
      </c>
      <c r="FK5" s="23" t="str">
        <f ca="1">IFERROR(__xludf.DUMMYFUNCTION("""COMPUTED_VALUE"""),"")</f>
        <v/>
      </c>
      <c r="FL5" s="23" t="str">
        <f ca="1">IFERROR(__xludf.DUMMYFUNCTION("""COMPUTED_VALUE"""),"")</f>
        <v/>
      </c>
      <c r="FM5" s="23" t="str">
        <f ca="1">IFERROR(__xludf.DUMMYFUNCTION("""COMPUTED_VALUE"""),"")</f>
        <v/>
      </c>
      <c r="FN5" t="str">
        <f ca="1">IFERROR(__xludf.DUMMYFUNCTION("""COMPUTED_VALUE"""),"")</f>
        <v/>
      </c>
      <c r="FO5" t="str">
        <f ca="1">IFERROR(__xludf.DUMMYFUNCTION("""COMPUTED_VALUE"""),"")</f>
        <v/>
      </c>
      <c r="FP5" t="str">
        <f ca="1">IFERROR(__xludf.DUMMYFUNCTION("""COMPUTED_VALUE"""),"")</f>
        <v/>
      </c>
      <c r="FQ5" t="str">
        <f ca="1">IFERROR(__xludf.DUMMYFUNCTION("""COMPUTED_VALUE"""),"")</f>
        <v/>
      </c>
      <c r="FR5" t="str">
        <f ca="1">IFERROR(__xludf.DUMMYFUNCTION("""COMPUTED_VALUE"""),"")</f>
        <v/>
      </c>
      <c r="FS5" t="str">
        <f ca="1">IFERROR(__xludf.DUMMYFUNCTION("""COMPUTED_VALUE"""),"")</f>
        <v/>
      </c>
      <c r="FT5" t="str">
        <f ca="1">IFERROR(__xludf.DUMMYFUNCTION("""COMPUTED_VALUE"""),"")</f>
        <v/>
      </c>
      <c r="FU5" t="str">
        <f ca="1">IFERROR(__xludf.DUMMYFUNCTION("""COMPUTED_VALUE"""),"")</f>
        <v/>
      </c>
      <c r="FV5" t="str">
        <f ca="1">IFERROR(__xludf.DUMMYFUNCTION("""COMPUTED_VALUE"""),"")</f>
        <v/>
      </c>
      <c r="FW5" t="str">
        <f ca="1">IFERROR(__xludf.DUMMYFUNCTION("""COMPUTED_VALUE"""),"")</f>
        <v/>
      </c>
      <c r="FX5" t="str">
        <f ca="1">IFERROR(__xludf.DUMMYFUNCTION("""COMPUTED_VALUE"""),"")</f>
        <v/>
      </c>
      <c r="FY5" t="str">
        <f ca="1">IFERROR(__xludf.DUMMYFUNCTION("""COMPUTED_VALUE"""),"")</f>
        <v/>
      </c>
      <c r="FZ5" t="str">
        <f ca="1">IFERROR(__xludf.DUMMYFUNCTION("""COMPUTED_VALUE"""),"")</f>
        <v/>
      </c>
      <c r="GA5" t="str">
        <f ca="1">IFERROR(__xludf.DUMMYFUNCTION("""COMPUTED_VALUE"""),"")</f>
        <v/>
      </c>
      <c r="GB5" t="str">
        <f ca="1">IFERROR(__xludf.DUMMYFUNCTION("""COMPUTED_VALUE"""),"")</f>
        <v/>
      </c>
    </row>
    <row r="6" spans="1:184" ht="15.75" customHeight="1">
      <c r="A6" s="24"/>
      <c r="B6" s="24"/>
      <c r="C6" s="30" t="s">
        <v>16</v>
      </c>
      <c r="D6" s="24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6" t="s">
        <v>17</v>
      </c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</row>
    <row r="7" spans="1:184" ht="15.75" customHeight="1">
      <c r="A7" s="28"/>
      <c r="B7" s="28"/>
      <c r="C7" s="30" t="s">
        <v>16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6" t="s">
        <v>20</v>
      </c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</row>
    <row r="8" spans="1:184" ht="15.75" customHeight="1">
      <c r="A8" s="28"/>
      <c r="B8" s="28"/>
      <c r="C8" s="30" t="s">
        <v>16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6" t="s">
        <v>21</v>
      </c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</row>
    <row r="9" spans="1:184" ht="15.75" customHeight="1">
      <c r="A9" s="28"/>
      <c r="B9" s="28"/>
      <c r="C9" s="30" t="s">
        <v>16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6" t="s">
        <v>22</v>
      </c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</row>
    <row r="10" spans="1:18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8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8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8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8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8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8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8</v>
      </c>
      <c r="C3" s="16" t="s">
        <v>29</v>
      </c>
      <c r="D3" s="3" t="s">
        <v>9</v>
      </c>
      <c r="E3" s="16" t="s">
        <v>30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5" t="s">
        <v>31</v>
      </c>
      <c r="C6" s="2"/>
      <c r="D6" s="5"/>
      <c r="E6" s="34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1c7aP-E18Fb8lEVGiXac03BLoNVdUNRzodD2Xjn-9pzU</v>
      </c>
      <c r="K2" s="14"/>
      <c r="L2" s="2"/>
      <c r="M2" s="2"/>
      <c r="N2" s="2"/>
      <c r="O2" s="2"/>
    </row>
    <row r="3" spans="1:154" ht="15.75" customHeight="1">
      <c r="A3" s="15"/>
      <c r="B3" s="3" t="s">
        <v>8</v>
      </c>
      <c r="C3" s="16" t="s">
        <v>29</v>
      </c>
      <c r="D3" s="3" t="s">
        <v>9</v>
      </c>
      <c r="E3" s="16" t="s">
        <v>32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IFERROR(__xludf.DUMMYFUNCTION("""COMPUTED_VALUE"""),"Accrual Basis")</f>
        <v>Accrual Basis</v>
      </c>
      <c r="C5" s="21" t="str">
        <f ca="1">IFERROR(__xludf.DUMMYFUNCTION("""COMPUTED_VALUE"""),"Accrued Interest")</f>
        <v>Accrued Interest</v>
      </c>
      <c r="D5" s="21" t="str">
        <f ca="1">IFERROR(__xludf.DUMMYFUNCTION("""COMPUTED_VALUE"""),"Allocated Qty")</f>
        <v>Allocated Qty</v>
      </c>
      <c r="E5" s="21" t="str">
        <f ca="1">IFERROR(__xludf.DUMMYFUNCTION("""COMPUTED_VALUE"""),"Allocation Scheme Name")</f>
        <v>Allocation Scheme Name</v>
      </c>
      <c r="F5" s="22" t="str">
        <f ca="1">IFERROR(__xludf.DUMMYFUNCTION("""COMPUTED_VALUE"""),"Asset Category")</f>
        <v>Asset Category</v>
      </c>
      <c r="G5" s="21" t="str">
        <f ca="1">IFERROR(__xludf.DUMMYFUNCTION("""COMPUTED_VALUE"""),"AUEC Fee1")</f>
        <v>AUEC Fee1</v>
      </c>
      <c r="H5" s="21" t="str">
        <f ca="1">IFERROR(__xludf.DUMMYFUNCTION("""COMPUTED_VALUE"""),"AUEC Fee2")</f>
        <v>AUEC Fee2</v>
      </c>
      <c r="I5" s="21" t="str">
        <f ca="1">IFERROR(__xludf.DUMMYFUNCTION("""COMPUTED_VALUE"""),"AUECID")</f>
        <v>AUECID</v>
      </c>
      <c r="J5" s="21" t="str">
        <f ca="1">IFERROR(__xludf.DUMMYFUNCTION("""COMPUTED_VALUE"""),"Avg Price(Base)")</f>
        <v>Avg Price(Base)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IFERROR(__xludf.DUMMYFUNCTION("""COMPUTED_VALUE"""),"Bloomberg")</f>
        <v>Bloomberg</v>
      </c>
      <c r="M5" s="21" t="str">
        <f ca="1">IFERROR(__xludf.DUMMYFUNCTION("""COMPUTED_VALUE"""),"Bond Type")</f>
        <v>Bond Type</v>
      </c>
      <c r="N5" s="21" t="str">
        <f ca="1">IFERROR(__xludf.DUMMYFUNCTION("""COMPUTED_VALUE"""),"Broker")</f>
        <v>Broker</v>
      </c>
      <c r="O5" s="21" t="str">
        <f ca="1">IFERROR(__xludf.DUMMYFUNCTION("""COMPUTED_VALUE"""),"Change Comment")</f>
        <v>Change Comment</v>
      </c>
      <c r="P5" s="21" t="str">
        <f ca="1">IFERROR(__xludf.DUMMYFUNCTION("""COMPUTED_VALUE"""),"Change Type")</f>
        <v>Change Type</v>
      </c>
      <c r="Q5" s="21" t="str">
        <f ca="1">IFERROR(__xludf.DUMMYFUNCTION("""COMPUTED_VALUE"""),"Clearing Broker Fee")</f>
        <v>Clearing Broker Fee</v>
      </c>
      <c r="R5" s="21" t="str">
        <f ca="1">IFERROR(__xludf.DUMMYFUNCTION("""COMPUTED_VALUE"""),"Closing Method")</f>
        <v>Closing Method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IFERROR(__xludf.DUMMYFUNCTION("""COMPUTED_VALUE"""),"Execution Time")</f>
        <v>Execution Time</v>
      </c>
      <c r="AG5" s="23" t="str">
        <f ca="1">IFERROR(__xludf.DUMMYFUNCTION("""COMPUTED_VALUE"""),"FX Conversion Operator")</f>
        <v>FX Conversion Operator</v>
      </c>
      <c r="AH5" s="23" t="str">
        <f ca="1">IFERROR(__xludf.DUMMYFUNCTION("""COMPUTED_VALUE"""),"FX Rate")</f>
        <v>FX Rate</v>
      </c>
      <c r="AI5" s="23" t="str">
        <f ca="1">IFERROR(__xludf.DUMMYFUNCTION("""COMPUTED_VALUE"""),"Group Status")</f>
        <v>Group Status</v>
      </c>
      <c r="AJ5" s="23" t="str">
        <f ca="1">IFERROR(__xludf.DUMMYFUNCTION("""COMPUTED_VALUE"""),"GroupID")</f>
        <v>GroupID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 Group")</f>
        <v>IsManual 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IFERROR(__xludf.DUMMYFUNCTION("""COMPUTED_VALUE"""),"Symbol")</f>
        <v>Symbol</v>
      </c>
      <c r="BT5" s="23" t="str">
        <f ca="1">IFERROR(__xludf.DUMMYFUNCTION("""COMPUTED_VALUE"""),"Tax On Commissions")</f>
        <v>Tax On Commissions</v>
      </c>
      <c r="BU5" s="23" t="str">
        <f ca="1">IFERROR(__xludf.DUMMYFUNCTION("""COMPUTED_VALUE"""),"Total Commission")</f>
        <v>Total Commission</v>
      </c>
      <c r="BV5" s="23" t="str">
        <f ca="1">IFERROR(__xludf.DUMMYFUNCTION("""COMPUTED_VALUE"""),"Total Commission And Fee")</f>
        <v>Total Commission And Fee</v>
      </c>
      <c r="BW5" s="23" t="str">
        <f ca="1">IFERROR(__xludf.DUMMYFUNCTION("""COMPUTED_VALUE"""),"Total Commission Per Share")</f>
        <v>Total Commission Per Share</v>
      </c>
      <c r="BX5" s="23" t="str">
        <f ca="1">IFERROR(__xludf.DUMMYFUNCTION("""COMPUTED_VALUE"""),"Trade Attribute 1")</f>
        <v>Trade Attribute 1</v>
      </c>
      <c r="BY5" s="23" t="str">
        <f ca="1">IFERROR(__xludf.DUMMYFUNCTION("""COMPUTED_VALUE"""),"Trade Attribute 2")</f>
        <v>Trade Attribute 2</v>
      </c>
      <c r="BZ5" s="23" t="str">
        <f ca="1">IFERROR(__xludf.DUMMYFUNCTION("""COMPUTED_VALUE"""),"Trade Attribute 3")</f>
        <v>Trade Attribute 3</v>
      </c>
      <c r="CA5" s="23" t="str">
        <f ca="1">IFERROR(__xludf.DUMMYFUNCTION("""COMPUTED_VALUE"""),"Trade Attribute 4")</f>
        <v>Trade Attribute 4</v>
      </c>
      <c r="CB5" s="23" t="str">
        <f ca="1">IFERROR(__xludf.DUMMYFUNCTION("""COMPUTED_VALUE"""),"Trade Attribute 5")</f>
        <v>Trade Attribute 5</v>
      </c>
      <c r="CC5" s="23" t="str">
        <f ca="1">IFERROR(__xludf.DUMMYFUNCTION("""COMPUTED_VALUE"""),"Trade Attribute 6")</f>
        <v>Trade Attribute 6</v>
      </c>
      <c r="CD5" s="23" t="str">
        <f ca="1">IFERROR(__xludf.DUMMYFUNCTION("""COMPUTED_VALUE"""),"Trade Date")</f>
        <v>Trade Date</v>
      </c>
      <c r="CE5" s="23" t="str">
        <f ca="1">IFERROR(__xludf.DUMMYFUNCTION("""COMPUTED_VALUE"""),"Trading Account")</f>
        <v>Trading Account</v>
      </c>
      <c r="CF5" s="23" t="str">
        <f ca="1">IFERROR(__xludf.DUMMYFUNCTION("""COMPUTED_VALUE"""),"Transaction Levy")</f>
        <v>Transaction Levy</v>
      </c>
      <c r="CG5" s="23" t="str">
        <f ca="1">IFERROR(__xludf.DUMMYFUNCTION("""COMPUTED_VALUE"""),"Transaction Source")</f>
        <v>Transaction Source</v>
      </c>
      <c r="CH5" s="23" t="str">
        <f ca="1">IFERROR(__xludf.DUMMYFUNCTION("""COMPUTED_VALUE"""),"Transaction Type")</f>
        <v>Transaction Type</v>
      </c>
      <c r="CI5" s="23" t="str">
        <f ca="1">IFERROR(__xludf.DUMMYFUNCTION("""COMPUTED_VALUE"""),"UnAllocatedQty")</f>
        <v>UnAllocatedQty</v>
      </c>
      <c r="CJ5" s="23" t="str">
        <f ca="1">IFERROR(__xludf.DUMMYFUNCTION("""COMPUTED_VALUE"""),"Underlying")</f>
        <v>Underlying</v>
      </c>
      <c r="CK5" s="23" t="str">
        <f ca="1">IFERROR(__xludf.DUMMYFUNCTION("""COMPUTED_VALUE"""),"Underlying Delta")</f>
        <v>Underlying Delta</v>
      </c>
      <c r="CL5" s="23" t="str">
        <f ca="1">IFERROR(__xludf.DUMMYFUNCTION("""COMPUTED_VALUE"""),"Underlying Symbol")</f>
        <v>Underlying Symbol</v>
      </c>
      <c r="CM5" s="23" t="str">
        <f ca="1">IFERROR(__xludf.DUMMYFUNCTION("""COMPUTED_VALUE"""),"User")</f>
        <v>User</v>
      </c>
      <c r="CN5" s="23" t="str">
        <f ca="1">IFERROR(__xludf.DUMMYFUNCTION("""COMPUTED_VALUE"""),"Venue")</f>
        <v>Venue</v>
      </c>
      <c r="CO5" s="23" t="str">
        <f ca="1">IFERROR(__xludf.DUMMYFUNCTION("""COMPUTED_VALUE"""),"Closing Date")</f>
        <v>Closing Date</v>
      </c>
      <c r="CP5" s="23" t="str">
        <f ca="1">IFERROR(__xludf.DUMMYFUNCTION("""COMPUTED_VALUE"""),"Expiration Date")</f>
        <v>Expiration Date</v>
      </c>
      <c r="CQ5" s="23" t="str">
        <f ca="1">IFERROR(__xludf.DUMMYFUNCTION("""COMPUTED_VALUE"""),"Master Fund")</f>
        <v>Master Fund</v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5"/>
      <c r="C6" s="2"/>
      <c r="D6" s="5"/>
      <c r="E6" s="34"/>
      <c r="F6" s="2"/>
      <c r="G6" s="2"/>
      <c r="H6" s="2"/>
      <c r="I6" s="2"/>
      <c r="J6" s="5">
        <v>50</v>
      </c>
      <c r="K6" s="5">
        <v>50</v>
      </c>
      <c r="L6" s="2"/>
      <c r="M6" s="2"/>
      <c r="N6" s="2"/>
      <c r="O6" s="2"/>
      <c r="AE6" s="27">
        <v>500</v>
      </c>
      <c r="BJ6" s="27">
        <v>500</v>
      </c>
      <c r="BO6" s="26" t="s">
        <v>17</v>
      </c>
      <c r="BS6" s="25" t="s">
        <v>16</v>
      </c>
      <c r="BW6" s="26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5">
        <v>50</v>
      </c>
      <c r="K7" s="5">
        <v>50</v>
      </c>
      <c r="L7" s="2"/>
      <c r="M7" s="2"/>
      <c r="N7" s="2"/>
      <c r="O7" s="2"/>
      <c r="AE7" s="27">
        <v>500</v>
      </c>
      <c r="BJ7" s="27">
        <v>500</v>
      </c>
      <c r="BO7" s="26" t="s">
        <v>20</v>
      </c>
      <c r="BS7" s="30" t="s">
        <v>16</v>
      </c>
      <c r="BW7" s="26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5">
        <v>50</v>
      </c>
      <c r="K8" s="5">
        <v>50</v>
      </c>
      <c r="L8" s="2"/>
      <c r="M8" s="2"/>
      <c r="N8" s="2"/>
      <c r="O8" s="2"/>
      <c r="AE8" s="27">
        <v>500</v>
      </c>
      <c r="BJ8" s="27">
        <v>500</v>
      </c>
      <c r="BO8" s="26" t="s">
        <v>21</v>
      </c>
      <c r="BS8" s="30" t="s">
        <v>16</v>
      </c>
      <c r="BW8" s="26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5">
        <v>50</v>
      </c>
      <c r="K9" s="5">
        <v>50</v>
      </c>
      <c r="L9" s="2"/>
      <c r="M9" s="2"/>
      <c r="N9" s="2"/>
      <c r="O9" s="2"/>
      <c r="AE9" s="27">
        <v>500</v>
      </c>
      <c r="BJ9" s="27">
        <v>500</v>
      </c>
      <c r="BO9" s="26" t="s">
        <v>22</v>
      </c>
      <c r="BS9" s="30" t="s">
        <v>16</v>
      </c>
      <c r="BW9" s="26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_Modules</vt:lpstr>
      <vt:lpstr>_Settings</vt:lpstr>
      <vt:lpstr>_MasterData</vt:lpstr>
      <vt:lpstr>CreateDoneAwayOrder</vt:lpstr>
      <vt:lpstr>VerifyWorkingSubs</vt:lpstr>
      <vt:lpstr>VerifyOrder</vt:lpstr>
      <vt:lpstr>CheckPortfolioManagement</vt:lpstr>
      <vt:lpstr>GetDataAllocation</vt:lpstr>
      <vt:lpstr>CheckUnallocatedGroups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2021-08-04T09:59:00Z</dcterms:modified>
</cp:coreProperties>
</file>