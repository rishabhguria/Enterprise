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CalculatePTT" sheetId="9" r:id="rId11"/>
    <sheet state="visible" name="VerifyPTT" sheetId="10" r:id="rId12"/>
    <sheet state="visible" name="TradePTT" sheetId="11" r:id="rId13"/>
    <sheet state="visible" name="CreateLiveOrder" sheetId="12" r:id="rId14"/>
    <sheet state="visible" name="CheckPendingNewOrderAlert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<sst xmlns="http://schemas.openxmlformats.org/spreadsheetml/2006/main" count="130" uniqueCount="43">
  <si>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</si>
  <si>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</si>
  <si>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</si>
  <si>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</si>
  <si>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</si>
  <si>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</si>
  <si>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</si>
  <si>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</si>
  <si>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</si>
  <si>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</si>
  <si>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</si>
  <si>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</si>
  <si>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</si>
  <si>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</si>
  <si>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</si>
  <si>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</si>
  <si>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</si>
  <si>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</si>
  <si>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</si>
  <si>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</si>
  <si>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</si>
  <si>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TradingTicket</t>
  </si>
  <si>
    <t>CreateDoneAwayOrder</t>
  </si>
  <si>
    <t>IBM</t>
  </si>
  <si>
    <t>Sell short</t>
  </si>
  <si>
    <t>Yes</t>
  </si>
  <si>
    <t>PricingInput</t>
  </si>
  <si>
    <t>PTT</t>
  </si>
  <si>
    <t>CalculatePTT</t>
  </si>
  <si>
    <t>Increase</t>
  </si>
  <si>
    <t>Percentage</t>
  </si>
  <si>
    <t>No</t>
  </si>
  <si>
    <t>Account</t>
  </si>
  <si>
    <t>VerifyPTT</t>
  </si>
  <si>
    <t>TradePTT</t>
  </si>
  <si>
    <t>CheckPendingNewOrderAlert</t>
  </si>
  <si>
    <t>Blotter</t>
  </si>
  <si>
    <t>VerifyOrder</t>
  </si>
  <si>
    <t>Equity</t>
  </si>
  <si>
    <t>New</t>
  </si>
  <si>
    <t>MS</t>
  </si>
  <si>
    <t>Market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</si>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</sst>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 t="b">
        <v>1</v>
      </c>
      <c r="H6" s="8"/>
      <c r="I6" s="8"/>
      <c r="J6" s="11">
        <v>60.0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45896</v>
      </c>
      <c r="C6" s="32">
        <f t="shared" si="1"/>
        <v>45896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IFERROR(__xludf.DUMMYFUNCTION("""COMPUTED_VALUE"""),"UpdateMultipleDailyCash")</f>
        <v>UpdateMultipleDailyCash</v>
      </c>
      <c r="AI4" s="25" t="str">
        <f>IFERROR(__xludf.DUMMYFUNCTION("""COMPUTED_VALUE"""),"IsDefaultFilterToShowAccountWiseDataOnDailyValuation")</f>
        <v>IsDefaultFilterToShowAccountWiseDataOnDailyValuation</v>
      </c>
      <c r="AJ4" s="25" t="str">
        <f>IFERROR(__xludf.DUMMYFUNCTION("""COMPUTED_VALUE"""),"EnableBlankMarkPrices")</f>
        <v>EnableBlankMarkPrices</v>
      </c>
      <c r="AK4" s="25" t="str">
        <f>IFERROR(__xludf.DUMMYFUNCTION("""COMPUTED_VALUE"""),"EnableBlankMarkPrices")</f>
        <v>EnableBlankMarkPrices</v>
      </c>
      <c r="AL4" s="25" t="str">
        <f>IFERROR(__xludf.DUMMYFUNCTION("""COMPUTED_VALUE"""),"UpateSymbolAndMarkPrice")</f>
        <v>UpateSymbolAndMarkPrice</v>
      </c>
      <c r="AM4" s="25" t="str">
        <f>IFERROR(__xludf.DUMMYFUNCTION("""COMPUTED_VALUE"""),"UpateSymbolBlankMP")</f>
        <v>UpateSymbolBlankMP</v>
      </c>
      <c r="AN4" s="25" t="str">
        <f>IFERROR(__xludf.DUMMYFUNCTION("""COMPUTED_VALUE"""),"UpdateBlankMP")</f>
        <v>UpdateBlankMP</v>
      </c>
      <c r="AO4" s="25" t="str">
        <f>IFERROR(__xludf.DUMMYFUNCTION("""COMPUTED_VALUE"""),"FilterBlankMP")</f>
        <v>FilterBlankMP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33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11">
        <v>1000.0</v>
      </c>
      <c r="E6" s="11">
        <v>1000.0</v>
      </c>
      <c r="F6" s="11" t="s">
        <v>19</v>
      </c>
      <c r="G6" s="8"/>
      <c r="H6" s="8"/>
      <c r="I6" s="8"/>
      <c r="J6" s="11">
        <v>10.0</v>
      </c>
      <c r="K6" s="8"/>
      <c r="L6" s="8"/>
      <c r="M6" s="8"/>
      <c r="N6" s="8"/>
      <c r="O6" s="8"/>
      <c r="AQ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>
        <v>10.0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IFERROR(__xludf.DUMMYFUNCTION("""COMPUTED_VALUE"""),"VerifyPTTCompliance")</f>
        <v>VerifyPTTCompliance</v>
      </c>
      <c r="S4" s="25" t="str">
        <f>IFERROR(__xludf.DUMMYFUNCTION("""COMPUTED_VALUE"""),"CreateOrderAfterEditPTT")</f>
        <v>CreateOrderAfterEditPTT</v>
      </c>
      <c r="T4" s="25" t="str">
        <f>IFERROR(__xludf.DUMMYFUNCTION("""COMPUTED_VALUE"""),"EditPTTWPFGrid")</f>
        <v>EditPTTWPFGrid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29</v>
      </c>
      <c r="D6" s="11" t="s">
        <v>30</v>
      </c>
      <c r="E6" s="11">
        <v>5.0</v>
      </c>
      <c r="F6" s="11">
        <v>10.0</v>
      </c>
      <c r="G6" s="11" t="s">
        <v>31</v>
      </c>
      <c r="H6" s="11" t="s">
        <v>32</v>
      </c>
      <c r="I6" s="11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IFERROR(__xludf.DUMMYFUNCTION("""COMPUTED_VALUE"""),"VerifyPTTCompliance")</f>
        <v>VerifyPTTCompliance</v>
      </c>
      <c r="S4" s="25" t="str">
        <f>IFERROR(__xludf.DUMMYFUNCTION("""COMPUTED_VALUE"""),"CreateOrderAfterEditPTT")</f>
        <v>CreateOrderAfterEditPTT</v>
      </c>
      <c r="T4" s="25" t="str">
        <f>IFERROR(__xludf.DUMMYFUNCTION("""COMPUTED_VALUE"""),"EditPTTWPFGrid")</f>
        <v>EditPTTWPFGrid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33">
        <v>10000.0</v>
      </c>
      <c r="D6" s="33">
        <v>-1000.0</v>
      </c>
      <c r="E6" s="33"/>
      <c r="F6" s="11">
        <v>100.0</v>
      </c>
      <c r="G6" s="11">
        <v>5.0</v>
      </c>
      <c r="H6" s="11">
        <v>105.0</v>
      </c>
      <c r="I6" s="34">
        <v>50.0</v>
      </c>
      <c r="J6" s="33">
        <v>-1050.0</v>
      </c>
      <c r="K6" s="33">
        <v>10500.0</v>
      </c>
      <c r="L6" s="11">
        <v>100.0</v>
      </c>
      <c r="M6" s="11">
        <v>1.0</v>
      </c>
      <c r="N6" s="8"/>
      <c r="O6" s="8"/>
      <c r="R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 t="str">
        <f>IFERROR(__xludf.DUMMYFUNCTION("""COMPUTED_VALUE"""),"VerifyPTTCompliance")</f>
        <v>VerifyPTTCompliance</v>
      </c>
      <c r="S4" s="25" t="str">
        <f>IFERROR(__xludf.DUMMYFUNCTION("""COMPUTED_VALUE"""),"CreateOrderAfterEditPTT")</f>
        <v>CreateOrderAfterEditPTT</v>
      </c>
      <c r="T4" s="25" t="str">
        <f>IFERROR(__xludf.DUMMYFUNCTION("""COMPUTED_VALUE"""),"EditPTTWPFGrid")</f>
        <v>EditPTTWPFGrid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29</v>
      </c>
      <c r="D6" s="11" t="s">
        <v>30</v>
      </c>
      <c r="E6" s="11">
        <v>5.0</v>
      </c>
      <c r="F6" s="11">
        <v>10.0</v>
      </c>
      <c r="G6" s="11" t="s">
        <v>31</v>
      </c>
      <c r="H6" s="11" t="s">
        <v>32</v>
      </c>
      <c r="I6" s="11" t="s">
        <v>19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33">
        <v>50.0</v>
      </c>
      <c r="E6" s="33">
        <v>50.0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Q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IFERROR(__xludf.DUMMYFUNCTION("""COMPUTED_VALUE"""),"PendingNewOrderAlertTime")</f>
        <v>PendingNewOrderAlertTime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60.0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CheckPendingNewOrderAlert!$4:$4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11">
        <v>50.0</v>
      </c>
      <c r="H6" s="8"/>
      <c r="I6" s="8"/>
      <c r="J6" s="11" t="s">
        <v>23</v>
      </c>
      <c r="K6" s="8"/>
      <c r="L6" s="8"/>
      <c r="M6" s="8"/>
      <c r="N6" s="8"/>
      <c r="O6" s="8"/>
      <c r="S6" s="9">
        <v>0.0</v>
      </c>
      <c r="U6" s="9" t="s">
        <v>20</v>
      </c>
      <c r="AD6" s="9">
        <v>1.0</v>
      </c>
      <c r="AH6" s="9" t="s">
        <v>38</v>
      </c>
      <c r="AI6" s="9" t="s">
        <v>23</v>
      </c>
      <c r="AJ6" s="9" t="s">
        <v>24</v>
      </c>
      <c r="AK6" s="9" t="s">
        <v>39</v>
      </c>
      <c r="AL6" s="34">
        <v>50.0</v>
      </c>
      <c r="AQ6" s="9">
        <v>0.0</v>
      </c>
      <c r="AR6" s="9">
        <v>0.0</v>
      </c>
      <c r="AS6" s="9" t="s">
        <v>40</v>
      </c>
      <c r="AT6" s="9" t="s">
        <v>19</v>
      </c>
      <c r="AU6" s="9" t="s">
        <v>41</v>
      </c>
      <c r="AV6" s="9">
        <v>0.0</v>
      </c>
      <c r="AW6" s="9">
        <v>0.0</v>
      </c>
      <c r="AY6" s="34">
        <v>50.0</v>
      </c>
      <c r="AZ6" s="9">
        <v>50.0</v>
      </c>
    </row>
    <row r="7" ht="15.75" customHeight="1">
      <c r="A7" s="8"/>
      <c r="B7" s="8"/>
      <c r="C7" s="8"/>
      <c r="D7" s="11">
        <v>10.0</v>
      </c>
      <c r="E7" s="8"/>
      <c r="F7" s="8"/>
      <c r="G7" s="33"/>
      <c r="H7" s="8"/>
      <c r="I7" s="8"/>
      <c r="J7" s="11" t="s">
        <v>23</v>
      </c>
      <c r="K7" s="8"/>
      <c r="L7" s="8"/>
      <c r="M7" s="8"/>
      <c r="N7" s="8"/>
      <c r="O7" s="8"/>
      <c r="S7" s="9">
        <v>0.0</v>
      </c>
      <c r="U7" s="9" t="s">
        <v>20</v>
      </c>
      <c r="AD7" s="9">
        <v>1.0</v>
      </c>
      <c r="AH7" s="9" t="s">
        <v>38</v>
      </c>
      <c r="AI7" s="9" t="s">
        <v>23</v>
      </c>
      <c r="AJ7" s="9" t="s">
        <v>24</v>
      </c>
      <c r="AK7" s="9" t="s">
        <v>42</v>
      </c>
      <c r="AL7" s="34">
        <v>1000.0</v>
      </c>
      <c r="AM7" s="9">
        <v>1000.0</v>
      </c>
      <c r="AN7" s="9">
        <v>100.0</v>
      </c>
      <c r="AO7" s="34">
        <v>1000.0</v>
      </c>
      <c r="AQ7" s="9">
        <v>10.0</v>
      </c>
      <c r="AR7" s="9">
        <v>10.0</v>
      </c>
      <c r="AS7" s="9" t="s">
        <v>40</v>
      </c>
      <c r="AT7" s="9" t="s">
        <v>19</v>
      </c>
      <c r="AU7" s="9" t="s">
        <v>41</v>
      </c>
      <c r="AV7" s="34">
        <v>-10000.0</v>
      </c>
      <c r="AW7" s="34">
        <v>-10000.0</v>
      </c>
      <c r="AY7" s="34">
        <v>1000.0</v>
      </c>
      <c r="AZ7" s="34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