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AutoGroupingPreferences" sheetId="4" r:id="rId6"/>
    <sheet name="SetAutoGroupingAccount" sheetId="5" r:id="rId7"/>
    <sheet name="CreateLiveOrder" sheetId="6" r:id="rId8"/>
    <sheet name="AcknowledgeTrade" sheetId="7" r:id="rId9"/>
    <sheet name="SelectTrade" sheetId="8" r:id="rId10"/>
    <sheet name="ExecuteTrade" sheetId="9" r:id="rId11"/>
    <sheet name="SelectTrade1" sheetId="10" r:id="rId12"/>
    <sheet name="AcknowledgeTrade1" sheetId="11" r:id="rId13"/>
    <sheet name="ExecuteTrade1" sheetId="12" r:id="rId14"/>
    <sheet name="VerifyOrder" sheetId="13" r:id="rId15"/>
    <sheet name="GetDataAllocation" sheetId="14" r:id="rId16"/>
    <sheet name="CheckAllocatedGroups" sheetId="15" r:id="rId17"/>
    <sheet name="Unallocate" sheetId="16" r:id="rId18"/>
    <sheet name="SelectUnallocatedGroup" sheetId="17" r:id="rId19"/>
    <sheet name="UngroupTrades" sheetId="18" r:id="rId20"/>
    <sheet name="GroupTrades" sheetId="19" r:id="rId21"/>
    <sheet name="EnterAllocatePreference" sheetId="20" r:id="rId22"/>
    <sheet name="SelectUnallocatedGroup1" sheetId="21" r:id="rId23"/>
    <sheet name="EnterAccountValuesToAllocate" sheetId="22" r:id="rId24"/>
    <sheet name="CreateLiveOrder1" sheetId="23" r:id="rId25"/>
    <sheet name="AcknowledgeTrade2" sheetId="24" r:id="rId26"/>
    <sheet name="SelectTrade2" sheetId="25" r:id="rId27"/>
    <sheet name="ExecuteTrade2" sheetId="26" r:id="rId28"/>
    <sheet name="CheckAllocatedGroups1" sheetId="27" r:id="rId29"/>
    <sheet name="CheckPortfolioManagement" sheetId="28" r:id="rId30"/>
  </sheets>
  <calcPr fullCalcOnLoad="1"/>
</workbook>
</file>

<file path=xl/sharedStrings.xml><?xml version="1.0" encoding="utf-8"?>
<sst xmlns="http://schemas.openxmlformats.org/spreadsheetml/2006/main" count="53" uniqueCount="53">
  <si>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</si>
  <si>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</si>
  <si>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</si>
  <si>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</si>
  <si>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</si>
  <si>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</si>
  <si>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</si>
  <si>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</si>
  <si>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</si>
  <si>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</si>
  <si>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</si>
  <si>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</si>
  <si>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</si>
  <si>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</si>
  <si>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</si>
  <si>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</si>
  <si>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</si>
  <si>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</si>
  <si>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LP C/O</t>
  </si>
  <si>
    <t>Allocation2</t>
  </si>
  <si>
    <t>Allocation3</t>
  </si>
  <si>
    <t>Allocation1</t>
  </si>
  <si>
    <t>rt</t>
  </si>
  <si>
    <t>Allocation4</t>
  </si>
  <si>
    <t>Unallocated</t>
  </si>
  <si>
    <t>TradingTicket</t>
  </si>
  <si>
    <t>CreateLiveOrder</t>
  </si>
  <si>
    <t>MSFT</t>
  </si>
  <si>
    <t>Buy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</si>
  <si>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</si>
  <si>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</si>
  <si>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</si>
  <si>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</si>
  <si>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</si>
  <si>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</si>
  <si>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</si>
  <si>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</si>
  <si>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</si>
  <si>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</si>
  <si>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</si>
  <si>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</si>
  <si>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</si>
  <si>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Open</t>
  </si>
  <si>
    <t>Unallocate</t>
  </si>
  <si>
    <t>SelectUnallocatedGroup</t>
  </si>
  <si>
    <t>UngroupTrades</t>
  </si>
  <si>
    <t>GroupTrades</t>
  </si>
  <si>
    <t>EnterAllocatePreference</t>
  </si>
  <si>
    <t>Calculated</t>
  </si>
  <si>
    <t>EnterAccountValuesToAllocate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</si>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</sst>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fontId="5" applyFont="1" fillId="0" applyFill="1" borderId="5" applyBorder="1" xfId="0"/>
    <xf fontId="5" applyFont="1" fillId="0" applyFill="1" borderId="0" applyBorder="1" xfId="0"/>
    <xf numFmtId="3" applyNumberFormat="1" fontId="2" applyFont="1" fillId="0" applyFill="1" borderId="0" applyBorder="1" xfId="0"/>
    <xf fontId="3" applyFont="1" fillId="0" applyFill="1" borderId="0" applyBorder="1" xfId="0"/>
    <xf numFmtId="2" applyNumberFormat="1" fontId="5" applyFont="1" fillId="0" applyFill="1" borderId="0" applyBorder="1" xfId="0"/>
    <xf numFmtId="3" applyNumberFormat="1" fontId="5" applyFont="1" fillId="0" applyFill="1" borderId="0" applyBorder="1" xfId="0"/>
    <xf numFmtId="2" applyNumberFormat="1" fontId="13" applyFont="1" fillId="0" applyFill="1" borderId="0" applyBorder="1" xfId="0">
      <alignment horizontal="right"/>
    </xf>
    <xf numFmtId="2" applyNumberFormat="1" fontId="3" applyFont="1" fillId="0" applyFill="1" borderId="5" applyBorder="1" xfId="0">
      <alignment horizontal="right"/>
    </xf>
    <xf fontId="3" applyFont="1" fillId="0" applyFill="1" borderId="5" applyBorder="1" xfId="0"/>
    <xf numFmtId="2" applyNumberFormat="1" fontId="3" applyFont="1" fillId="0" applyFill="1" borderId="0" applyBorder="1" xfId="0">
      <alignment horizontal="right"/>
    </xf>
    <xf numFmtId="164" applyNumberFormat="1" fontId="13" applyFont="1" fillId="0" applyFill="1" borderId="0" applyBorder="1" xfId="0">
      <alignment horizontal="right"/>
    </xf>
    <xf fontId="3" applyFont="1" fillId="0" applyFill="1" borderId="0" applyBorder="1" xfId="0"/>
    <xf numFmtId="2" applyNumberFormat="1" fontId="2" applyFont="1" fillId="0" applyFill="1" borderId="0" applyBorder="1" xfId="0"/>
    <xf numFmtId="4" applyNumberFormat="1" fontId="13" applyFont="1" fillId="0" applyFill="1" borderId="0" applyBorder="1" xfId="0">
      <alignment horizontal="right"/>
    </xf>
    <xf numFmtId="4" applyNumberFormat="1" fontId="2" applyFont="1" fillId="0" applyFill="1" borderId="0" applyBorder="1" xfId="0"/>
    <xf fontId="13" applyFont="1" fillId="0" applyFill="1" borderId="0" applyBorder="1" xfId="0">
      <alignment horizontal="right"/>
    </xf>
    <xf numFmtId="4" applyNumberFormat="1" fontId="5" applyFont="1" fillId="0" applyFill="1" borderId="0" applyBorder="1" xfId="0"/>
    <xf numFmtId="164" applyNumberFormat="1" fontId="2" applyFont="1" fillId="0" applyFill="1" borderId="0" applyBorder="1" xfId="0"/>
    <xf numFmtId="165" applyNumberFormat="1"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54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IFERROR(__xludf.DUMMYFUNCTION("""COMPUTED_VALUE"""),"GetSymbol")</f>
        <v>GetSymbol</v>
      </c>
      <c r="C34" s="0" t="str">
        <f>IFERROR(__xludf.DUMMYFUNCTION("""COMPUTED_VALUE"""),"1dif0H2pSx6MyuJJaFo3yMy9Wk3FCmwjhqFUYJ2ddE_U")</f>
        <v>1dif0H2pSx6MyuJJaFo3yMy9Wk3FCmwjhqFUYJ2ddE_U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IFERROR(__xludf.DUMMYFUNCTION("""COMPUTED_VALUE"""),"GetDataSymbolLookup")</f>
        <v>GetDataSymbolLookup</v>
      </c>
      <c r="C35" s="0" t="str">
        <f>IFERROR(__xludf.DUMMYFUNCTION("""COMPUTED_VALUE"""),"1yyYt9T19EoP8LoCWHfuC6030yvu3xeuFdL76BzHEg-w")</f>
        <v>1yyYt9T19EoP8LoCWHfuC6030yvu3xeuFdL76BzHEg-w</v>
      </c>
    </row>
    <row r="36" ht="15.75" customHeight="1">
      <c r="A36" s="0" t="str">
        <f>IFERROR(__xludf.DUMMYFUNCTION("""COMPUTED_VALUE"""),"ThirdParty")</f>
        <v>ThirdParty</v>
      </c>
      <c r="B36" s="0" t="str">
        <f>IFERROR(__xludf.DUMMYFUNCTION("""COMPUTED_VALUE"""),"GenerateThirdParty")</f>
        <v>GenerateThirdParty</v>
      </c>
      <c r="C36" s="0" t="str">
        <f>IFERROR(__xludf.DUMMYFUNCTION("""COMPUTED_VALUE"""),"1HZrcr_WdBT1EQ4GhHDXyM17ms7JDfsPpIGlJKkgrmq8")</f>
        <v>1HZrcr_WdBT1EQ4GhHDXyM17ms7JDfsPpIGlJKkgrmq8</v>
      </c>
    </row>
    <row r="37" ht="15.75" customHeight="1">
      <c r="A37" s="0" t="str">
        <f>IFERROR(__xludf.DUMMYFUNCTION("""COMPUTED_VALUE"""),"ThirdParty")</f>
        <v>ThirdParty</v>
      </c>
      <c r="B37" s="0" t="str">
        <f>IFERROR(__xludf.DUMMYFUNCTION("""COMPUTED_VALUE"""),"SendThirdParty")</f>
        <v>SendThirdParty</v>
      </c>
      <c r="C37" s="0" t="str">
        <f>IFERROR(__xludf.DUMMYFUNCTION("""COMPUTED_VALUE"""),"1cffrrRSmuiuoUyakOnIguFzrQ7nNvPrbSqLosFmTWwE")</f>
        <v>1cffrrRSmuiuoUyakOnIguFzrQ7nNvPrbSqLosFmTWwE</v>
      </c>
    </row>
    <row r="38" ht="15.75" customHeight="1">
      <c r="A38" s="0" t="str">
        <f>IFERROR(__xludf.DUMMYFUNCTION("""COMPUTED_VALUE"""),"ThirdParty")</f>
        <v>ThirdParty</v>
      </c>
      <c r="B38" s="0" t="str">
        <f>IFERROR(__xludf.DUMMYFUNCTION("""COMPUTED_VALUE"""),"ViewThirdParty")</f>
        <v>ViewThirdParty</v>
      </c>
      <c r="C38" s="0" t="str">
        <f>IFERROR(__xludf.DUMMYFUNCTION("""COMPUTED_VALUE"""),"1ZfIgMPS9NpuMtE47suVwo-kA1KXMaKf-ADsjK3-OiFk")</f>
        <v>1ZfIgMPS9NpuMtE47suVwo-kA1KXMaKf-ADsjK3-OiFk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IFERROR(__xludf.DUMMYFUNCTION("""COMPUTED_VALUE"""),"SelectThirdPartyName")</f>
        <v>SelectThirdPartyName</v>
      </c>
      <c r="C39" s="0" t="str">
        <f>IFERROR(__xludf.DUMMYFUNCTION("""COMPUTED_VALUE"""),"1lg0qbs6p5xqUSr7LDug4K3vG1m9N739nMZUVLjObX4A")</f>
        <v>1lg0qbs6p5xqUSr7LDug4K3vG1m9N739nMZUVLjObX4A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IFERROR(__xludf.DUMMYFUNCTION("""COMPUTED_VALUE"""),"VerifyThirdPartyData")</f>
        <v>VerifyThirdPartyData</v>
      </c>
      <c r="C40" s="0" t="str">
        <f>IFERROR(__xludf.DUMMYFUNCTION("""COMPUTED_VALUE"""),"1jAOYY9bW9KnKph1c40HVkfDUBh6ICZ5j3laR_Nfw-EY")</f>
        <v>1jAOYY9bW9KnKph1c40HVkfDUBh6ICZ5j3laR_Nfw-EY</v>
      </c>
    </row>
    <row r="41" ht="15.75" customHeight="1">
      <c r="A41" s="0" t="str">
        <f>IFERROR(__xludf.DUMMYFUNCTION("""COMPUTED_VALUE"""),"CorporateAction")</f>
        <v>CorporateAction</v>
      </c>
      <c r="B41" s="0" t="str">
        <f>IFERROR(__xludf.DUMMYFUNCTION("""COMPUTED_VALUE"""),"CleanUp")</f>
        <v>CleanUp</v>
      </c>
      <c r="C41" s="0" t="str">
        <f>IFERROR(__xludf.DUMMYFUNCTION("""COMPUTED_VALUE"""),"undefined")</f>
        <v>undefined</v>
      </c>
    </row>
    <row r="42" ht="15.75" customHeight="1">
      <c r="A42" s="0" t="str">
        <f>IFERROR(__xludf.DUMMYFUNCTION("""COMPUTED_VALUE"""),"PST")</f>
        <v>PST</v>
      </c>
      <c r="B42" s="0" t="str">
        <f>IFERROR(__xludf.DUMMYFUNCTION("""COMPUTED_VALUE"""),"RunPST")</f>
        <v>RunPST</v>
      </c>
      <c r="C42" s="0" t="str">
        <f>IFERROR(__xludf.DUMMYFUNCTION("""COMPUTED_VALUE"""),"1A0xAaBFDf7biWsKuUhbcuji1EhTqQ4YA19pe1eIhgPQ")</f>
        <v>1A0xAaBFDf7biWsKuUhbcuji1EhTqQ4YA19pe1eIhgPQ</v>
      </c>
    </row>
    <row r="43" ht="15.75" customHeight="1">
      <c r="A43" s="0" t="str">
        <f>IFERROR(__xludf.DUMMYFUNCTION("""COMPUTED_VALUE"""),"PST")</f>
        <v>PST</v>
      </c>
      <c r="B43" s="0" t="str">
        <f>IFERROR(__xludf.DUMMYFUNCTION("""COMPUTED_VALUE"""),"PSTInputData")</f>
        <v>PSTInputData</v>
      </c>
      <c r="C43" s="0" t="str">
        <f>IFERROR(__xludf.DUMMYFUNCTION("""COMPUTED_VALUE"""),"1AjthyKZG60SFOO_oG5D4uAVdcMlvnmNeOIBuZzfu9Zc")</f>
        <v>1AjthyKZG60SFOO_oG5D4uAVdcMlvnmNeOIBuZzfu9Zc</v>
      </c>
    </row>
    <row r="44" ht="15.75" customHeight="1">
      <c r="A44" s="0" t="str">
        <f>IFERROR(__xludf.DUMMYFUNCTION("""COMPUTED_VALUE"""),"PST")</f>
        <v>PST</v>
      </c>
      <c r="B44" s="0" t="str">
        <f>IFERROR(__xludf.DUMMYFUNCTION("""COMPUTED_VALUE"""),"PSTVerifyData")</f>
        <v>PSTVerifyData</v>
      </c>
      <c r="C44" s="0" t="str">
        <f>IFERROR(__xludf.DUMMYFUNCTION("""COMPUTED_VALUE"""),"1hwVNf3Bz_kRxkr47npaHLD4RFYfHlCWjpAVEp3p0Tv0")</f>
        <v>1hwVNf3Bz_kRxkr47npaHLD4RFYfHlCWjpAVEp3p0Tv0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IFERROR(__xludf.DUMMYFUNCTION("""COMPUTED_VALUE"""),"PSTFunctionalities")</f>
        <v>PSTFunctionalities</v>
      </c>
      <c r="C45" s="0" t="str">
        <f>IFERROR(__xludf.DUMMYFUNCTION("""COMPUTED_VALUE"""),"1YNyk8pT-yjAygOSu8ntnhSz0mlyLVTKf5ZElZkGlRAk")</f>
        <v>1YNyk8pT-yjAygOSu8ntnhSz0mlyLVTKf5ZElZkGlRAk</v>
      </c>
    </row>
    <row r="46" ht="15.75" customHeight="1">
      <c r="A46" s="0" t="str">
        <f>IFERROR(__xludf.DUMMYFUNCTION("""COMPUTED_VALUE"""),"PortfolioManagement")</f>
        <v>PortfolioManagement</v>
      </c>
      <c r="B46" s="0" t="str">
        <f>IFERROR(__xludf.DUMMYFUNCTION("""COMPUTED_VALUE"""),"OpenPSTFromPM")</f>
        <v>OpenPSTFromPM</v>
      </c>
      <c r="C46" s="0" t="str">
        <f>IFERROR(__xludf.DUMMYFUNCTION("""COMPUTED_VALUE"""),"1e_Wdtbtw83ryT5L0L8pewVQPI8LIJvnU1qbvQEuQTWA")</f>
        <v>1e_Wdtbtw83ryT5L0L8pewVQPI8LIJvnU1qbvQEuQTWA</v>
      </c>
    </row>
    <row r="47" ht="15.75" customHeight="1">
      <c r="A47" s="0" t="str">
        <f>IFERROR(__xludf.DUMMYFUNCTION("""COMPUTED_VALUE"""),"TradingTicket")</f>
        <v>TradingTicket</v>
      </c>
      <c r="B47" s="0" t="str">
        <f>IFERROR(__xludf.DUMMYFUNCTION("""COMPUTED_VALUE"""),"OpenTTFromPST")</f>
        <v>OpenTTFromPST</v>
      </c>
      <c r="C47" s="0" t="str">
        <f>IFERROR(__xludf.DUMMYFUNCTION("""COMPUTED_VALUE"""),"1s-2AvOwlucwT40O8TI72EGsH95mesUqNXS7T87p_cjk")</f>
        <v>1s-2AvOwlucwT40O8TI72EGsH95mesUqNXS7T87p_cjk</v>
      </c>
    </row>
    <row r="48" ht="15.75" customHeight="1">
      <c r="A48" s="0" t="str">
        <f>IFERROR(__xludf.DUMMYFUNCTION("""COMPUTED_VALUE"""),"CorporateAction")</f>
        <v>CorporateAction</v>
      </c>
      <c r="B48" s="0" t="str">
        <f>IFERROR(__xludf.DUMMYFUNCTION("""COMPUTED_VALUE"""),"CashDividend")</f>
        <v>CashDividend</v>
      </c>
      <c r="C48" s="0" t="str">
        <f>IFERROR(__xludf.DUMMYFUNCTION("""COMPUTED_VALUE"""),"undefined")</f>
        <v>undefined</v>
      </c>
    </row>
    <row r="49" ht="15.75" customHeight="1">
      <c r="A49" s="0" t="str">
        <f>IFERROR(__xludf.DUMMYFUNCTION("""COMPUTED_VALUE"""),"CorporateAction")</f>
        <v>CorporateAction</v>
      </c>
      <c r="B49" s="0" t="str">
        <f>IFERROR(__xludf.DUMMYFUNCTION("""COMPUTED_VALUE"""),"Exchange")</f>
        <v>Exchange</v>
      </c>
      <c r="C49" s="0" t="str">
        <f>IFERROR(__xludf.DUMMYFUNCTION("""COMPUTED_VALUE"""),"undefined")</f>
        <v>undefined</v>
      </c>
    </row>
    <row r="50" ht="15.75" customHeight="1">
      <c r="A50" s="0" t="str">
        <f>IFERROR(__xludf.DUMMYFUNCTION("""COMPUTED_VALUE"""),"CorporateAction")</f>
        <v>CorporateAction</v>
      </c>
      <c r="B50" s="0" t="str">
        <f>IFERROR(__xludf.DUMMYFUNCTION("""COMPUTED_VALUE"""),"Merger")</f>
        <v>Merger</v>
      </c>
      <c r="C50" s="0" t="str">
        <f>IFERROR(__xludf.DUMMYFUNCTION("""COMPUTED_VALUE"""),"undefined")</f>
        <v>undefined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IFERROR(__xludf.DUMMYFUNCTION("""COMPUTED_VALUE"""),"NameChange")</f>
        <v>NameChange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IFERROR(__xludf.DUMMYFUNCTION("""COMPUTED_VALUE"""),"SpinOff")</f>
        <v>SpinOff</v>
      </c>
      <c r="C52" s="0" t="str">
        <f>IFERROR(__xludf.DUMMYFUNCTION("""COMPUTED_VALUE"""),"12NHD4_EIq5g0C_fIQVy3RpmKC95ayNQ1iXyceR4Wo-I")</f>
        <v>12NHD4_EIq5g0C_fIQVy3RpmKC95ayNQ1iXyceR4Wo-I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IFERROR(__xludf.DUMMYFUNCTION("""COMPUTED_VALUE"""),"Split")</f>
        <v>Split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IFERROR(__xludf.DUMMYFUNCTION("""COMPUTED_VALUE"""),"StockDividend")</f>
        <v>StockDividend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IFERROR(__xludf.DUMMYFUNCTION("""COMPUTED_VALUE"""),"TradingTicket")</f>
        <v>TradingTicket</v>
      </c>
      <c r="B55" s="0" t="str">
        <f>IFERROR(__xludf.DUMMYFUNCTION("""COMPUTED_VALUE"""),"EnterDetailsOnTT")</f>
        <v>EnterDetailsOnTT</v>
      </c>
      <c r="C55" s="0" t="str">
        <f>IFERROR(__xludf.DUMMYFUNCTION("""COMPUTED_VALUE"""),"1MmUcBXbxfb38HOE1cHEKyuIz8n3EosbGD7Apj5fCCyI")</f>
        <v>1MmUcBXbxfb38HOE1cHEKyuIz8n3EosbGD7Apj5fCCyI</v>
      </c>
    </row>
    <row r="56" ht="15.75" customHeight="1">
      <c r="A56" s="0" t="str">
        <f>IFERROR(__xludf.DUMMYFUNCTION("""COMPUTED_VALUE"""),"DailyValuation")</f>
        <v>DailyValuation</v>
      </c>
      <c r="B56" s="0" t="str">
        <f>IFERROR(__xludf.DUMMYFUNCTION("""COMPUTED_VALUE"""),"CleanUp")</f>
        <v>CleanUp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IFERROR(__xludf.DUMMYFUNCTION("""COMPUTED_VALUE"""),"Allocation")</f>
        <v>Allocation</v>
      </c>
      <c r="B57" s="0" t="str">
        <f>IFERROR(__xludf.DUMMYFUNCTION("""COMPUTED_VALUE"""),"EditUnallocatedGroupSidePanel")</f>
        <v>EditUnallocatedGroupSidePanel</v>
      </c>
      <c r="C57" s="0" t="str">
        <f>IFERROR(__xludf.DUMMYFUNCTION("""COMPUTED_VALUE"""),"1I3vKgbFVmpKcE4CquiIjVUNQQng6mCvIX8Nb6O3tYSM")</f>
        <v>1I3vKgbFVmpKcE4CquiIjVUNQQng6mCvIX8Nb6O3tYSM</v>
      </c>
    </row>
    <row r="58" ht="15.75" customHeight="1">
      <c r="A58" s="0" t="str">
        <f>IFERROR(__xludf.DUMMYFUNCTION("""COMPUTED_VALUE"""),"Allocation")</f>
        <v>Allocation</v>
      </c>
      <c r="B58" s="0" t="str">
        <f>IFERROR(__xludf.DUMMYFUNCTION("""COMPUTED_VALUE"""),"TradeAttributeBulkChange")</f>
        <v>TradeAttributeBulkChange</v>
      </c>
      <c r="C58" s="0" t="str">
        <f>IFERROR(__xludf.DUMMYFUNCTION("""COMPUTED_VALUE"""),"1X1pt4p00mNPwCJcz91pYRbRgzeh7fysIjHER0IOdjZc")</f>
        <v>1X1pt4p00mNPwCJcz91pYRbRgzeh7fysIjHER0IOdjZc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IFERROR(__xludf.DUMMYFUNCTION("""COMPUTED_VALUE"""),"ApplyBulkUpdateOnGroups")</f>
        <v>ApplyBulkUpdateOnGroups</v>
      </c>
      <c r="C59" s="0" t="str">
        <f>IFERROR(__xludf.DUMMYFUNCTION("""COMPUTED_VALUE"""),"1EXHDEnb-AqeKckyKJ2AQIPPFYOz1qJ0NXgdSnRlwd_8")</f>
        <v>1EXHDEnb-AqeKckyKJ2AQIPPFYOz1qJ0NXgdSnRlwd_8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IFERROR(__xludf.DUMMYFUNCTION("""COMPUTED_VALUE"""),"ApplyPrefetchFilters")</f>
        <v>ApplyPrefetchFilters</v>
      </c>
      <c r="C60" s="0" t="str">
        <f>IFERROR(__xludf.DUMMYFUNCTION("""COMPUTED_VALUE"""),"1NbR7ZH2mQ_UhhsVJW1kvt8h2b6ar1yEiIRP11pLNMCA")</f>
        <v>1NbR7ZH2mQ_UhhsVJW1kvt8h2b6ar1yEiIRP11pLNMCA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IFERROR(__xludf.DUMMYFUNCTION("""COMPUTED_VALUE"""),"GeneralPreferencesDefaultRule")</f>
        <v>GeneralPreferencesDefaultRule</v>
      </c>
      <c r="C61" s="0" t="str">
        <f>IFERROR(__xludf.DUMMYFUNCTION("""COMPUTED_VALUE"""),"1X6zGMIbPMGDNJBFVyEbhy8JzB-DF3VL8Ecx1KZsTvww")</f>
        <v>1X6zGMIbPMGDNJBFVyEbhy8JzB-DF3VL8Ecx1KZsTvww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IFERROR(__xludf.DUMMYFUNCTION("""COMPUTED_VALUE"""),"GeneralPrefCompanyUserWise")</f>
        <v>GeneralPrefCompanyUserWise</v>
      </c>
      <c r="C62" s="0" t="str">
        <f>IFERROR(__xludf.DUMMYFUNCTION("""COMPUTED_VALUE"""),"1DwoiiMTfEI25sIuSyzjcNHieJZZSgvmRbbztMJektzw")</f>
        <v>1DwoiiMTfEI25sIuSyzjcNHieJZZSgvmRbbztMJektzw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IFERROR(__xludf.DUMMYFUNCTION("""COMPUTED_VALUE"""),"RenameTradeAttributes")</f>
        <v>RenameTradeAttributes</v>
      </c>
      <c r="C63" s="0" t="str">
        <f>IFERROR(__xludf.DUMMYFUNCTION("""COMPUTED_VALUE"""),"10Wi9aLWsES9e12Jsk7J5zbAdCX0LcFslEPqxr6NuGao")</f>
        <v>10Wi9aLWsES9e12Jsk7J5zbAdCX0LcFslEPqxr6NuGao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IFERROR(__xludf.DUMMYFUNCTION("""COMPUTED_VALUE"""),"SetGroupingRules")</f>
        <v>SetGroupingRules</v>
      </c>
      <c r="C64" s="0" t="str">
        <f>IFERROR(__xludf.DUMMYFUNCTION("""COMPUTED_VALUE"""),"1BpgmUI6OY9ROYfJW7yhtd3v_H2DoCND4DfDkif1fTnE")</f>
        <v>1BpgmUI6OY9ROYfJW7yhtd3v_H2DoCND4DfDkif1fTnE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IFERROR(__xludf.DUMMYFUNCTION("""COMPUTED_VALUE"""),"SetMasterFundRatio")</f>
        <v>SetMasterFundRatio</v>
      </c>
      <c r="C65" s="0" t="str">
        <f>IFERROR(__xludf.DUMMYFUNCTION("""COMPUTED_VALUE"""),"1A4Zcxi0xYN4fi6cUaxJyYATjWcFN9ph5TOCiIwYlDx4")</f>
        <v>1A4Zcxi0xYN4fi6cUaxJyYATjWcFN9ph5TOCiIwYlDx4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IFERROR(__xludf.DUMMYFUNCTION("""COMPUTED_VALUE"""),"CheckFixedPreference")</f>
        <v>CheckFixedPreference</v>
      </c>
      <c r="C66" s="0" t="str">
        <f>IFERROR(__xludf.DUMMYFUNCTION("""COMPUTED_VALUE"""),"1d74faC5HiET8v5WuA0k4mDVxwUlRgwb7jwKIuaw0hrA")</f>
        <v>1d74faC5HiET8v5WuA0k4mDVxwUlRgwb7jwKIuaw0hrA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IFERROR(__xludf.DUMMYFUNCTION("""COMPUTED_VALUE"""),"GetFixedPreference")</f>
        <v>GetFixedPreference</v>
      </c>
      <c r="C67" s="0" t="str">
        <f>IFERROR(__xludf.DUMMYFUNCTION("""COMPUTED_VALUE"""),"1DAAkn_hOGEgqSEZMlHZCgTAE2AkAscU0wBpmiODj7LM")</f>
        <v>1DAAkn_hOGEgqSEZMlHZCgTAE2AkAscU0wBpmiODj7LM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IFERROR(__xludf.DUMMYFUNCTION("""COMPUTED_VALUE"""),"AddCalculatedPreferences")</f>
        <v>AddCalculatedPreferences</v>
      </c>
      <c r="C68" s="0" t="str">
        <f>IFERROR(__xludf.DUMMYFUNCTION("""COMPUTED_VALUE"""),"1AaR_RyCJodiVQTw2a8Tr7ixTHn3k5JcJErdCIP0TnWU")</f>
        <v>1AaR_RyCJodiVQTw2a8Tr7ixTHn3k5JcJErdCIP0TnWU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IFERROR(__xludf.DUMMYFUNCTION("""COMPUTED_VALUE"""),"BulkChangeCalculatedPreferences")</f>
        <v>BulkChangeCalculatedPreferences</v>
      </c>
      <c r="C69" s="0" t="str">
        <f>IFERROR(__xludf.DUMMYFUNCTION("""COMPUTED_VALUE"""),"1Bn5ufuuddBVWtP0XJckkEgs1Q8qPNBXf3Q3UoOlAdmo")</f>
        <v>1Bn5ufuuddBVWtP0XJckkEgs1Q8qPNBXf3Q3UoOlAdmo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IFERROR(__xludf.DUMMYFUNCTION("""COMPUTED_VALUE"""),"DeleteCalculatedPreferences")</f>
        <v>DeleteCalculatedPreferences</v>
      </c>
      <c r="C70" s="0" t="str">
        <f>IFERROR(__xludf.DUMMYFUNCTION("""COMPUTED_VALUE"""),"1oScszM1N5AICz6efQqqcZ9rMBX6viS3Dv4Ye34RXN78")</f>
        <v>1oScszM1N5AICz6efQqqcZ9rMBX6viS3Dv4Ye34RXN78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IFERROR(__xludf.DUMMYFUNCTION("""COMPUTED_VALUE"""),"RenameCalculatedPreferences")</f>
        <v>RenameCalculatedPreferences</v>
      </c>
      <c r="C71" s="0" t="str">
        <f>IFERROR(__xludf.DUMMYFUNCTION("""COMPUTED_VALUE"""),"1DfGmIk1AC9u6iD7HJ5eoIhkH2zXKH6qkYG72ke3Qm8s")</f>
        <v>1DfGmIk1AC9u6iD7HJ5eoIhkH2zXKH6qkYG72ke3Qm8s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IFERROR(__xludf.DUMMYFUNCTION("""COMPUTED_VALUE"""),"CopyCalculatedPreferences")</f>
        <v>CopyCalculatedPreferences</v>
      </c>
      <c r="C72" s="0" t="str">
        <f>IFERROR(__xludf.DUMMYFUNCTION("""COMPUTED_VALUE"""),"1camqMJj9T6DujVoKWjLCRM_t5c9Gjas2RvonTiEIeqc")</f>
        <v>1camqMJj9T6DujVoKWjLCRM_t5c9Gjas2RvonTiEIeqc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IFERROR(__xludf.DUMMYFUNCTION("""COMPUTED_VALUE"""),"RunAutoGroup")</f>
        <v>RunAutoGroup</v>
      </c>
      <c r="C73" s="0" t="str">
        <f>IFERROR(__xludf.DUMMYFUNCTION("""COMPUTED_VALUE"""),"15eV6FwmLzaX2dpXX8JvKiyeHioNqbWSErNbij1TUs3U")</f>
        <v>15eV6FwmLzaX2dpXX8JvKiyeHioNqbWSErNbij1TUs3U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IFERROR(__xludf.DUMMYFUNCTION("""COMPUTED_VALUE"""),"BookOrUpdateSwap")</f>
        <v>BookOrUpdateSwap</v>
      </c>
      <c r="C74" s="0" t="str">
        <f>IFERROR(__xludf.DUMMYFUNCTION("""COMPUTED_VALUE"""),"1WGyYC9JD2kkJ7R-DfYfXWJbxk7gGthQxpZL5FZDts-Y")</f>
        <v>1WGyYC9JD2kkJ7R-DfYfXWJbxk7gGthQxpZL5FZDts-Y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IFERROR(__xludf.DUMMYFUNCTION("""COMPUTED_VALUE"""),"RunProrata")</f>
        <v>RunProrata</v>
      </c>
      <c r="C75" s="0" t="str">
        <f>IFERROR(__xludf.DUMMYFUNCTION("""COMPUTED_VALUE"""),"1-1uFNoTRPBEA8enYV9Nnn2-zdmLXS4X3BoS5v7Ex68Q")</f>
        <v>1-1uFNoTRPBEA8enYV9Nnn2-zdmLXS4X3BoS5v7Ex68Q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IFERROR(__xludf.DUMMYFUNCTION("""COMPUTED_VALUE"""),"SetDefaultRuleCalculatedPref")</f>
        <v>SetDefaultRuleCalculatedPref</v>
      </c>
      <c r="C76" s="0" t="str">
        <f>IFERROR(__xludf.DUMMYFUNCTION("""COMPUTED_VALUE"""),"1NuKdFiqCo2nzr6TUap0D2JZ2tFl3idlS8OadDR3jAoA")</f>
        <v>1NuKdFiqCo2nzr6TUap0D2JZ2tFl3idlS8OadDR3jAoA</v>
      </c>
    </row>
    <row r="77" ht="15.75" customHeight="1">
      <c r="A77" s="0" t="str">
        <f>IFERROR(__xludf.DUMMYFUNCTION("""COMPUTED_VALUE"""),"Admin")</f>
        <v>Admin</v>
      </c>
      <c r="B77" s="0" t="str">
        <f>IFERROR(__xludf.DUMMYFUNCTION("""COMPUTED_VALUE"""),"SetTTUIPreferences")</f>
        <v>SetTTUIPreferences</v>
      </c>
      <c r="C77" s="0" t="str">
        <f>IFERROR(__xludf.DUMMYFUNCTION("""COMPUTED_VALUE"""),"1gDmo_2KemfqbOwUv5B7uMrGycNq8KZk_nAt9ZH3GqFc")</f>
        <v>1gDmo_2KemfqbOwUv5B7uMrGycNq8KZk_nAt9ZH3GqFc</v>
      </c>
    </row>
    <row r="78" ht="15.75" customHeight="1">
      <c r="A78" s="0" t="str">
        <f>IFERROR(__xludf.DUMMYFUNCTION("""COMPUTED_VALUE"""),"Admin")</f>
        <v>Admin</v>
      </c>
      <c r="B78" s="0" t="str">
        <f>IFERROR(__xludf.DUMMYFUNCTION("""COMPUTED_VALUE"""),"TTPermissionLevel")</f>
        <v>TTPermissionLevel</v>
      </c>
      <c r="C78" s="0" t="str">
        <f>IFERROR(__xludf.DUMMYFUNCTION("""COMPUTED_VALUE"""),"1Wlib1X9xwZWLV6LdliEcdluK6uREPBsHMLu5IpRcpNU")</f>
        <v>1Wlib1X9xwZWLV6LdliEcdluK6uREPBsHMLu5IpRcpNU</v>
      </c>
    </row>
    <row r="79" ht="15.75" customHeight="1">
      <c r="A79" s="0" t="str">
        <f>IFERROR(__xludf.DUMMYFUNCTION("""COMPUTED_VALUE"""),"TradingTicket")</f>
        <v>TradingTicket</v>
      </c>
      <c r="B79" s="0" t="str">
        <f>IFERROR(__xludf.DUMMYFUNCTION("""COMPUTED_VALUE"""),"ValidateSymbolTT")</f>
        <v>ValidateSymbolTT</v>
      </c>
      <c r="C79" s="0" t="str">
        <f>IFERROR(__xludf.DUMMYFUNCTION("""COMPUTED_VALUE"""),"1qKU4yNOCU3BJyg8bfwbgEKR_FyiCXmF0ZgLSrokFASY")</f>
        <v>1qKU4yNOCU3BJyg8bfwbgEKR_FyiCXmF0ZgLSrokFASY</v>
      </c>
    </row>
    <row r="80" ht="15.75" customHeight="1">
      <c r="A80" s="0" t="str">
        <f>IFERROR(__xludf.DUMMYFUNCTION("""COMPUTED_VALUE"""),"TradingTicket")</f>
        <v>TradingTicket</v>
      </c>
      <c r="B80" s="0" t="str">
        <f>IFERROR(__xludf.DUMMYFUNCTION("""COMPUTED_VALUE"""),"VerifyDataTT")</f>
        <v>VerifyDataTT</v>
      </c>
      <c r="C80" s="0" t="str">
        <f>IFERROR(__xludf.DUMMYFUNCTION("""COMPUTED_VALUE"""),"undefined")</f>
        <v>undefined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IFERROR(__xludf.DUMMYFUNCTION("""COMPUTED_VALUE"""),"SetUIPreferencesTT")</f>
        <v>SetUIPreferencesTT</v>
      </c>
      <c r="C81" s="0" t="str">
        <f>IFERROR(__xludf.DUMMYFUNCTION("""COMPUTED_VALUE"""),"15PfVFcRxvxjCBZUN8HsjX4ev7xsG4SuA5Qr4_S-nChE")</f>
        <v>15PfVFcRxvxjCBZUN8HsjX4ev7xsG4SuA5Qr4_S-nChE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IFERROR(__xludf.DUMMYFUNCTION("""COMPUTED_VALUE"""),"SetBrokerWisePreferencesTT")</f>
        <v>SetBrokerWisePreferencesTT</v>
      </c>
      <c r="C82" s="0" t="str">
        <f>IFERROR(__xludf.DUMMYFUNCTION("""COMPUTED_VALUE"""),"1NJR9Eau1YPKGjqptQlj-xOtU0oQWuvCcy7rkAGtHcZA")</f>
        <v>1NJR9Eau1YPKGjqptQlj-xOtU0oQWuvCcy7rkAGtHcZA</v>
      </c>
    </row>
    <row r="83" ht="15.75" customHeight="1">
      <c r="A83" s="0" t="str">
        <f>IFERROR(__xludf.DUMMYFUNCTION("""COMPUTED_VALUE"""),"Blotter")</f>
        <v>Blotter</v>
      </c>
      <c r="B83" s="0" t="str">
        <f>IFERROR(__xludf.DUMMYFUNCTION("""COMPUTED_VALUE"""),"BlotterFunctionalities")</f>
        <v>BlotterFunctionalities</v>
      </c>
      <c r="C83" s="0" t="str">
        <f>IFERROR(__xludf.DUMMYFUNCTION("""COMPUTED_VALUE"""),"1RevbrhSlj1b6tvF2zO-7JRLXGmCZ8Amkw_CKqIoz_f4")</f>
        <v>1RevbrhSlj1b6tvF2zO-7JRLXGmCZ8Amkw_CKqIoz_f4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IFERROR(__xludf.DUMMYFUNCTION("""COMPUTED_VALUE"""),"TradeNewSub")</f>
        <v>TradeNewSub</v>
      </c>
      <c r="C84" s="0" t="str">
        <f>IFERROR(__xludf.DUMMYFUNCTION("""COMPUTED_VALUE"""),"1MSOnvrmTBiNZezoksqc-GDtZpuomkT2J8b0SHsautEA")</f>
        <v>1MSOnvrmTBiNZezoksqc-GDtZpuomkT2J8b0SHsautEA</v>
      </c>
    </row>
    <row r="85" ht="15.75" customHeight="1">
      <c r="A85" s="0" t="str">
        <f>IFERROR(__xludf.DUMMYFUNCTION("""COMPUTED_VALUE"""),"GeneralLedger")</f>
        <v>GeneralLedger</v>
      </c>
      <c r="B85" s="0" t="str">
        <f>IFERROR(__xludf.DUMMYFUNCTION("""COMPUTED_VALUE"""),"GetTradingTransaction")</f>
        <v>GetTradingTransaction</v>
      </c>
      <c r="C85" s="0" t="str">
        <f>IFERROR(__xludf.DUMMYFUNCTION("""COMPUTED_VALUE"""),"109Go2V2YwfSKfHYvonDAK1uj_VR1VOufaT_bCzMIvzo")</f>
        <v>109Go2V2YwfSKfHYvonDAK1uj_VR1VOufaT_bCzMIvzo</v>
      </c>
    </row>
    <row r="86" ht="15.75" customHeight="1">
      <c r="A86" s="0" t="str">
        <f>IFERROR(__xludf.DUMMYFUNCTION("""COMPUTED_VALUE"""),"GeneralLedger")</f>
        <v>GeneralLedger</v>
      </c>
      <c r="B86" s="0" t="str">
        <f>IFERROR(__xludf.DUMMYFUNCTION("""COMPUTED_VALUE"""),"GetActivityData")</f>
        <v>GetActivityData</v>
      </c>
      <c r="C86" s="0" t="str">
        <f>IFERROR(__xludf.DUMMYFUNCTION("""COMPUTED_VALUE"""),"1Ln-U03mETPrqNnkYuxQ6h11p3QV_Z1JnLi1E4j-w3NA")</f>
        <v>1Ln-U03mETPrqNnkYuxQ6h11p3QV_Z1JnLi1E4j-w3NA</v>
      </c>
    </row>
    <row r="87" ht="15.75" customHeight="1">
      <c r="A87" s="0" t="str">
        <f>IFERROR(__xludf.DUMMYFUNCTION("""COMPUTED_VALUE"""),"Allocation")</f>
        <v>Allocation</v>
      </c>
      <c r="B87" s="0" t="str">
        <f>IFERROR(__xludf.DUMMYFUNCTION("""COMPUTED_VALUE"""),"SetAccountValueCalculatedPref")</f>
        <v>SetAccountValueCalculatedPref</v>
      </c>
      <c r="C87" s="0" t="str">
        <f>IFERROR(__xludf.DUMMYFUNCTION("""COMPUTED_VALUE"""),"1XKiYhfC16nqn0tutfxlX4Z1y5h_i5-gFnMM1Bf2O5tQ")</f>
        <v>1XKiYhfC16nqn0tutfxlX4Z1y5h_i5-gFnMM1Bf2O5tQ</v>
      </c>
    </row>
    <row r="88" ht="15.75" customHeight="1">
      <c r="A88" s="0" t="str">
        <f>IFERROR(__xludf.DUMMYFUNCTION("""COMPUTED_VALUE"""),"Allocation")</f>
        <v>Allocation</v>
      </c>
      <c r="B88" s="0" t="str">
        <f>IFERROR(__xludf.DUMMYFUNCTION("""COMPUTED_VALUE"""),"TradeAttributeBulkChangeGroups")</f>
        <v>TradeAttributeBulkChangeGroups</v>
      </c>
      <c r="C88" s="0" t="str">
        <f>IFERROR(__xludf.DUMMYFUNCTION("""COMPUTED_VALUE"""),"1rGT3yXke_M8OcDUPaTifbDDANsxMS_IVwXClwqyIWkk")</f>
        <v>1rGT3yXke_M8OcDUPaTifbDDANsxMS_IVwXClwqyIWkk</v>
      </c>
    </row>
    <row r="89" ht="15.75" customHeight="1">
      <c r="A89" s="0" t="str">
        <f>IFERROR(__xludf.DUMMYFUNCTION("""COMPUTED_VALUE"""),"Allocation")</f>
        <v>Allocation</v>
      </c>
      <c r="B89" s="0" t="str">
        <f>IFERROR(__xludf.DUMMYFUNCTION("""COMPUTED_VALUE"""),"TradeAttributeBulkChangeTaxlots")</f>
        <v>TradeAttributeBulkChangeTaxlots</v>
      </c>
      <c r="C89" s="0" t="str">
        <f>IFERROR(__xludf.DUMMYFUNCTION("""COMPUTED_VALUE"""),"1aUOpv7tAA0Tsw-vGOZVTd6Huv3VM_XnIj2_z2iXivNw")</f>
        <v>1aUOpv7tAA0Tsw-vGOZVTd6Huv3VM_XnIj2_z2iXivNw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IFERROR(__xludf.DUMMYFUNCTION("""COMPUTED_VALUE"""),"AddCalculatedPreferenceToolbar")</f>
        <v>AddCalculatedPreferenceToolbar</v>
      </c>
      <c r="C90" s="0" t="str">
        <f>IFERROR(__xludf.DUMMYFUNCTION("""COMPUTED_VALUE"""),"18EbIbeJ3rxi7HxmLURD_Cvf8ojc3lGGfTxVrpwYiWl0")</f>
        <v>18EbIbeJ3rxi7HxmLURD_Cvf8ojc3lGGfTxVrpwYiWl0</v>
      </c>
    </row>
    <row r="91" ht="15.75" customHeight="1">
      <c r="A91" s="0" t="str">
        <f>IFERROR(__xludf.DUMMYFUNCTION("""COMPUTED_VALUE"""),"GeneralLedger")</f>
        <v>GeneralLedger</v>
      </c>
      <c r="B91" s="0" t="str">
        <f>IFERROR(__xludf.DUMMYFUNCTION("""COMPUTED_VALUE"""),"GetRevaluationData")</f>
        <v>GetRevaluationData</v>
      </c>
      <c r="C91" s="0" t="str">
        <f>IFERROR(__xludf.DUMMYFUNCTION("""COMPUTED_VALUE"""),"1Falj7RLDHYNIdqRp7f6PqgSPQ2YuSu2fiBV79INXS5w")</f>
        <v>1Falj7RLDHYNIdqRp7f6PqgSPQ2YuSu2fiBV79INXS5w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IFERROR(__xludf.DUMMYFUNCTION("""COMPUTED_VALUE"""),"SetStrategyValueCalculatedPref")</f>
        <v>SetStrategyValueCalculatedPref</v>
      </c>
      <c r="C92" s="0" t="str">
        <f>IFERROR(__xludf.DUMMYFUNCTION("""COMPUTED_VALUE"""),"1_JOfNQ-ZrOdSeM3rD-_yZHrf2uNlO2rttEJ1uHh18Xc")</f>
        <v>1_JOfNQ-ZrOdSeM3rD-_yZHrf2uNlO2rttEJ1uHh18Xc</v>
      </c>
    </row>
    <row r="93" ht="15.75" customHeight="1">
      <c r="A93" s="0" t="str">
        <f>IFERROR(__xludf.DUMMYFUNCTION("""COMPUTED_VALUE"""),"GeneralLedger")</f>
        <v>GeneralLedger</v>
      </c>
      <c r="B93" s="0" t="str">
        <f>IFERROR(__xludf.DUMMYFUNCTION("""COMPUTED_VALUE"""),"GetAccountDetails")</f>
        <v>GetAccountDetails</v>
      </c>
      <c r="C93" s="0" t="str">
        <f>IFERROR(__xludf.DUMMYFUNCTION("""COMPUTED_VALUE"""),"1x2kiQWm0s39VQr6bQ-OVrzt3FcLQTY2DLkVd69g27u0")</f>
        <v>1x2kiQWm0s39VQr6bQ-OVrzt3FcLQTY2DLkVd69g27u0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IFERROR(__xludf.DUMMYFUNCTION("""COMPUTED_VALUE"""),"ApplyBulkUpdateOnTaxlots")</f>
        <v>ApplyBulkUpdateOnTaxlots</v>
      </c>
      <c r="C94" s="0" t="str">
        <f>IFERROR(__xludf.DUMMYFUNCTION("""COMPUTED_VALUE"""),"1lFN67Trddb_gO0N5EMToTpn1Xc1W8qN9I2LPO6sj00c")</f>
        <v>1lFN67Trddb_gO0N5EMToTpn1Xc1W8qN9I2LPO6sj00c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IFERROR(__xludf.DUMMYFUNCTION("""COMPUTED_VALUE"""),"GetNonTradingTransaction")</f>
        <v>GetNonTradingTransaction</v>
      </c>
      <c r="C95" s="0" t="str">
        <f>IFERROR(__xludf.DUMMYFUNCTION("""COMPUTED_VALUE"""),"1iBu56wQyfSyw3QYU3BXabV7ZYAC_HtWKcOfyFdtHsbQ")</f>
        <v>1iBu56wQyfSyw3QYU3BXabV7ZYAC_HtWKcOfyFdtHsbQ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IFERROR(__xludf.DUMMYFUNCTION("""COMPUTED_VALUE"""),"CommissionBulkChangeOnGroups")</f>
        <v>CommissionBulkChangeOnGroups</v>
      </c>
      <c r="C96" s="0" t="str">
        <f>IFERROR(__xludf.DUMMYFUNCTION("""COMPUTED_VALUE"""),"1LUyDKHoCZOWXqpzm3WjlGPHceDFNX86Y30-jd1ZjMuc")</f>
        <v>1LUyDKHoCZOWXqpzm3WjlGPHceDFNX86Y30-jd1ZjMuc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IFERROR(__xludf.DUMMYFUNCTION("""COMPUTED_VALUE"""),"GetDividendData")</f>
        <v>GetDividendData</v>
      </c>
      <c r="C97" s="0" t="str">
        <f>IFERROR(__xludf.DUMMYFUNCTION("""COMPUTED_VALUE"""),"1zrbru5N141eVCqtHIZr12j2foO7MIasWPLZK3i5Q1Vo")</f>
        <v>1zrbru5N141eVCqtHIZr12j2foO7MIasWPLZK3i5Q1Vo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IFERROR(__xludf.DUMMYFUNCTION("""COMPUTED_VALUE"""),"CommissionBulkChangeOnTaxlots")</f>
        <v>CommissionBulkChangeOnTaxlots</v>
      </c>
      <c r="C98" s="0" t="str">
        <f>IFERROR(__xludf.DUMMYFUNCTION("""COMPUTED_VALUE"""),"1Sy9_GuITxTVwRhLFyTVa06wA5il658xOrEEqX_satKM")</f>
        <v>1Sy9_GuITxTVwRhLFyTVa06wA5il658xOrEEqX_satKM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IFERROR(__xludf.DUMMYFUNCTION("""COMPUTED_VALUE"""),"VerifyNonTradingTransaction")</f>
        <v>VerifyNonTradingTransaction</v>
      </c>
      <c r="C99" s="0" t="str">
        <f>IFERROR(__xludf.DUMMYFUNCTION("""COMPUTED_VALUE"""),"1HmbyBzi3LJNAYcYyEuR5dCc7c2551Lq78DrEgBDWmlQ")</f>
        <v>1HmbyBzi3LJNAYcYyEuR5dCc7c2551Lq78DrEgBDWmlQ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IFERROR(__xludf.DUMMYFUNCTION("""COMPUTED_VALUE"""),"SelectUnallocatedGroup")</f>
        <v>SelectUnallocatedGroup</v>
      </c>
      <c r="C100" s="0" t="str">
        <f>IFERROR(__xludf.DUMMYFUNCTION("""COMPUTED_VALUE"""),"1qZ0PLkGqvsAvGy_byCEHcoZ5j19-2TqZ7lUj_ZMWp2Y")</f>
        <v>1qZ0PLkGqvsAvGy_byCEHcoZ5j19-2TqZ7lUj_ZMWp2Y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IFERROR(__xludf.DUMMYFUNCTION("""COMPUTED_VALUE"""),"VerifyDividend")</f>
        <v>VerifyDividend</v>
      </c>
      <c r="C101" s="0" t="str">
        <f>IFERROR(__xludf.DUMMYFUNCTION("""COMPUTED_VALUE"""),"183aFv-FjM5kO1GZzBKJEnefZpvKTD2al_8jxj57A74I")</f>
        <v>183aFv-FjM5kO1GZzBKJEnefZpvKTD2al_8jxj57A74I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IFERROR(__xludf.DUMMYFUNCTION("""COMPUTED_VALUE"""),"EnterAccountValuesToAllocate")</f>
        <v>EnterAccountValuesToAllocate</v>
      </c>
      <c r="C102" s="0" t="str">
        <f>IFERROR(__xludf.DUMMYFUNCTION("""COMPUTED_VALUE"""),"1zvUXhUtasv68F_5jqPPfi5PZjybFsZtVFeNt7Wcbak0")</f>
        <v>1zvUXhUtasv68F_5jqPPfi5PZjybFsZtVFeNt7Wcbak0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IFERROR(__xludf.DUMMYFUNCTION("""COMPUTED_VALUE"""),"GetOpeningBalanceData")</f>
        <v>GetOpeningBalanceData</v>
      </c>
      <c r="C103" s="0" t="str">
        <f>IFERROR(__xludf.DUMMYFUNCTION("""COMPUTED_VALUE"""),"13JxrHcuIEL34cY8bWhcwkysiatDmxBrbggzvueoDRpA")</f>
        <v>13JxrHcuIEL34cY8bWhcwkysiatDmxBrbggzvueoDRpA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IFERROR(__xludf.DUMMYFUNCTION("""COMPUTED_VALUE"""),"EnterAllocatePreference")</f>
        <v>EnterAllocatePreference</v>
      </c>
      <c r="C104" s="0" t="str">
        <f>IFERROR(__xludf.DUMMYFUNCTION("""COMPUTED_VALUE"""),"1ueJPlmKs0VCty9rqy3bof7OwkTE6pIF5M06JcL_bc-8")</f>
        <v>1ueJPlmKs0VCty9rqy3bof7OwkTE6pIF5M06JcL_bc-8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IFERROR(__xludf.DUMMYFUNCTION("""COMPUTED_VALUE"""),"GetAccountBalance")</f>
        <v>GetAccountBalance</v>
      </c>
      <c r="C105" s="0" t="str">
        <f>IFERROR(__xludf.DUMMYFUNCTION("""COMPUTED_VALUE"""),"1yuc7DZkXEgHVIHU4UmYY87IPbtWqR3MjoIMrjfrGfas")</f>
        <v>1yuc7DZkXEgHVIHU4UmYY87IPbtWqR3MjoIMrjfrGfas</v>
      </c>
    </row>
    <row r="106" ht="15.75" customHeight="1">
      <c r="A106" s="0" t="str">
        <f>IFERROR(__xludf.DUMMYFUNCTION("""COMPUTED_VALUE"""),"Expnl")</f>
        <v>Expnl</v>
      </c>
      <c r="B106" s="0" t="str">
        <f>IFERROR(__xludf.DUMMYFUNCTION("""COMPUTED_VALUE"""),"RestartExpnl")</f>
        <v>RestartExpnl</v>
      </c>
      <c r="C106" s="0" t="str">
        <f>IFERROR(__xludf.DUMMYFUNCTION("""COMPUTED_VALUE"""),"19BOmuUEhcyH_577PjpNKNdTn_MisNEkIkn9rDB9B_WM")</f>
        <v>19BOmuUEhcyH_577PjpNKNdTn_MisNEkIkn9rDB9B_WM</v>
      </c>
    </row>
    <row r="107" ht="15.75" customHeight="1">
      <c r="A107" s="0" t="str">
        <f>IFERROR(__xludf.DUMMYFUNCTION("""COMPUTED_VALUE"""),"PortfolioManagement")</f>
        <v>PortfolioManagement</v>
      </c>
      <c r="B107" s="0" t="str">
        <f>IFERROR(__xludf.DUMMYFUNCTION("""COMPUTED_VALUE"""),"ClosePM")</f>
        <v>ClosePM</v>
      </c>
      <c r="C107" s="0" t="str">
        <f>IFERROR(__xludf.DUMMYFUNCTION("""COMPUTED_VALUE"""),"undefined")</f>
        <v>undefined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IFERROR(__xludf.DUMMYFUNCTION("""COMPUTED_VALUE"""),"EnterStrategyValuesToAllocate")</f>
        <v>EnterStrategyValuesToAllocate</v>
      </c>
      <c r="C108" s="0" t="str">
        <f>IFERROR(__xludf.DUMMYFUNCTION("""COMPUTED_VALUE"""),"1rYld2OwIVg_rNpqCSkF4qBjswgUc0VyMTMBp_Fby-BQ")</f>
        <v>1rYld2OwIVg_rNpqCSkF4qBjswgUc0VyMTMBp_Fby-BQ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IFERROR(__xludf.DUMMYFUNCTION("""COMPUTED_VALUE"""),"SelectNonTradingTransaction")</f>
        <v>SelectNonTradingTransaction</v>
      </c>
      <c r="C109" s="0" t="str">
        <f>IFERROR(__xludf.DUMMYFUNCTION("""COMPUTED_VALUE"""),"156kazERWxtkEF970K6P2WK7faWBTZ-C0sOqejHpzIx4")</f>
        <v>156kazERWxtkEF970K6P2WK7faWBTZ-C0sOqejHpzIx4</v>
      </c>
    </row>
    <row r="110" ht="15.75" customHeight="1">
      <c r="A110" s="0" t="str">
        <f>IFERROR(__xludf.DUMMYFUNCTION("""COMPUTED_VALUE"""),"GeneralLedger")</f>
        <v>GeneralLedger</v>
      </c>
      <c r="B110" s="0" t="str">
        <f>IFERROR(__xludf.DUMMYFUNCTION("""COMPUTED_VALUE"""),"SelectNonTradingTranItem")</f>
        <v>SelectNonTradingTranItem</v>
      </c>
      <c r="C110" s="0" t="str">
        <f>IFERROR(__xludf.DUMMYFUNCTION("""COMPUTED_VALUE"""),"1iEACuwmKMC6ArJAAAaSMwW0omralf4T3B9CCBWEN4rI")</f>
        <v>1iEACuwmKMC6ArJAAAaSMwW0omralf4T3B9CCBWEN4rI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IFERROR(__xludf.DUMMYFUNCTION("""COMPUTED_VALUE"""),"CopyCalculatedPreferenceToolbar")</f>
        <v>CopyCalculatedPreferenceToolbar</v>
      </c>
      <c r="C111" s="0" t="str">
        <f>IFERROR(__xludf.DUMMYFUNCTION("""COMPUTED_VALUE"""),"1wykeQebkUjjXVgIljYXtFNMq64V4Q7hecCH_Nwn9t-8")</f>
        <v>1wykeQebkUjjXVgIljYXtFNMq64V4Q7hecCH_Nwn9t-8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IFERROR(__xludf.DUMMYFUNCTION("""COMPUTED_VALUE"""),"SetGeneralRuleCalculatedPref")</f>
        <v>SetGeneralRuleCalculatedPref</v>
      </c>
      <c r="C112" s="0" t="str">
        <f>IFERROR(__xludf.DUMMYFUNCTION("""COMPUTED_VALUE"""),"1kSDMTHsH0NdwDZXP8SX7lbTFzx3hjjjUfAhRUG8vOtM")</f>
        <v>1kSDMTHsH0NdwDZXP8SX7lbTFzx3hjjjUfAhRUG8vOtM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IFERROR(__xludf.DUMMYFUNCTION("""COMPUTED_VALUE"""),"DeleteNonTradingTransaction")</f>
        <v>DeleteNonTradingTransaction</v>
      </c>
      <c r="C113" s="0" t="str">
        <f>IFERROR(__xludf.DUMMYFUNCTION("""COMPUTED_VALUE"""),"19ZFvXx_RoHoOsSB6TeydqIKZBiC2XS1c5e_oEpNdp1c")</f>
        <v>19ZFvXx_RoHoOsSB6TeydqIKZBiC2XS1c5e_oEpNdp1c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IFERROR(__xludf.DUMMYFUNCTION("""COMPUTED_VALUE"""),"DeleteNonTradingTranItem")</f>
        <v>DeleteNonTradingTranItem</v>
      </c>
      <c r="C114" s="0" t="str">
        <f>IFERROR(__xludf.DUMMYFUNCTION("""COMPUTED_VALUE"""),"1bImpGl2YZz3w_D5Fl_EkwuQUAufBZpjwndJVqWd_JNs")</f>
        <v>1bImpGl2YZz3w_D5Fl_EkwuQUAufBZpjwndJVqWd_JNs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IFERROR(__xludf.DUMMYFUNCTION("""COMPUTED_VALUE"""),"ExportAllCalculatedPreferences")</f>
        <v>ExportAllCalculatedPreferences</v>
      </c>
      <c r="C115" s="0" t="str">
        <f>IFERROR(__xludf.DUMMYFUNCTION("""COMPUTED_VALUE"""),"1akCKlMIVAD1ZKQkcud9brqjjb1oKR18AWsFwWat-RD4")</f>
        <v>1akCKlMIVAD1ZKQkcud9brqjjb1oKR18AWsFwWat-RD4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IFERROR(__xludf.DUMMYFUNCTION("""COMPUTED_VALUE"""),"AddNonTradingTransaction")</f>
        <v>AddNonTradingTransaction</v>
      </c>
      <c r="C116" s="0" t="str">
        <f>IFERROR(__xludf.DUMMYFUNCTION("""COMPUTED_VALUE"""),"1651Q6t8B_K2B_3NiVnMG8yw2HgQ1FHfSIxFGnGFWArM")</f>
        <v>1651Q6t8B_K2B_3NiVnMG8yw2HgQ1FHfSIxFGnGFWArM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IFERROR(__xludf.DUMMYFUNCTION("""COMPUTED_VALUE"""),"AddNonTradingTranItem")</f>
        <v>AddNonTradingTranItem</v>
      </c>
      <c r="C117" s="0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IFERROR(__xludf.DUMMYFUNCTION("""COMPUTED_VALUE"""),"SaveCalculatedPreferences")</f>
        <v>SaveCalculatedPreferences</v>
      </c>
      <c r="C118" s="0" t="str">
        <f>IFERROR(__xludf.DUMMYFUNCTION("""COMPUTED_VALUE"""),"udefined")</f>
        <v>udefined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IFERROR(__xludf.DUMMYFUNCTION("""COMPUTED_VALUE"""),"VerifyOpeningBalanceData")</f>
        <v>VerifyOpeningBalanceData</v>
      </c>
      <c r="C119" s="0" t="str">
        <f>IFERROR(__xludf.DUMMYFUNCTION("""COMPUTED_VALUE"""),"1I1BEPw4MXvOJiKqrL7gZCYickKmcFPcTWcI3aTuykAM")</f>
        <v>1I1BEPw4MXvOJiKqrL7gZCYickKmcFPcTWcI3aTuykAM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IFERROR(__xludf.DUMMYFUNCTION("""COMPUTED_VALUE"""),"SelectOpeningBalanceTransaction")</f>
        <v>SelectOpeningBalanceTransaction</v>
      </c>
      <c r="C120" s="0" t="str">
        <f>IFERROR(__xludf.DUMMYFUNCTION("""COMPUTED_VALUE"""),"1-8gtRm7KdwXxY17qAqiHpJVHZ2RNImft-xqX_LrF1dc")</f>
        <v>1-8gtRm7KdwXxY17qAqiHpJVHZ2RNImft-xqX_LrF1dc</v>
      </c>
    </row>
    <row r="121" ht="15.75" customHeight="1">
      <c r="A121" s="0" t="str">
        <f>IFERROR(__xludf.DUMMYFUNCTION("""COMPUTED_VALUE"""),"TradingTicket")</f>
        <v>TradingTicket</v>
      </c>
      <c r="B121" s="0" t="str">
        <f>IFERROR(__xludf.DUMMYFUNCTION("""COMPUTED_VALUE"""),"CreateStageOrder ")</f>
        <v>CreateStageOrder </v>
      </c>
      <c r="C121" s="0" t="str">
        <f>IFERROR(__xludf.DUMMYFUNCTION("""COMPUTED_VALUE"""),"19pPwXNzv9n5s3VxqHrFkTa5-sTx9CsDdmcEpXBg_h-E")</f>
        <v>19pPwXNzv9n5s3VxqHrFkTa5-sTx9CsDdmcEpXBg_h-E</v>
      </c>
    </row>
    <row r="122" ht="15.75" customHeight="1">
      <c r="A122" s="0" t="str">
        <f>IFERROR(__xludf.DUMMYFUNCTION("""COMPUTED_VALUE"""),"Blotter")</f>
        <v>Blotter</v>
      </c>
      <c r="B122" s="0" t="str">
        <f>IFERROR(__xludf.DUMMYFUNCTION("""COMPUTED_VALUE"""),"TransferToUserWorkingSubs")</f>
        <v>TransferToUserWorkingSubs</v>
      </c>
      <c r="C122" s="0" t="str">
        <f>IFERROR(__xludf.DUMMYFUNCTION("""COMPUTED_VALUE"""),"1CUK_ZAXi6kJC96I3_00exdznJ4Oeo2U-xkOPfNnEZ8M")</f>
        <v>1CUK_ZAXi6kJC96I3_00exdznJ4Oeo2U-xkOPfNnEZ8M</v>
      </c>
    </row>
    <row r="123" ht="15.75" customHeight="1">
      <c r="A123" s="0" t="str">
        <f>IFERROR(__xludf.DUMMYFUNCTION("""COMPUTED_VALUE"""),"Blotter")</f>
        <v>Blotter</v>
      </c>
      <c r="B123" s="0" t="str">
        <f>IFERROR(__xludf.DUMMYFUNCTION("""COMPUTED_VALUE"""),"CancelWorkingSubs")</f>
        <v>CancelWorkingSubs</v>
      </c>
      <c r="C123" s="0" t="str">
        <f>IFERROR(__xludf.DUMMYFUNCTION("""COMPUTED_VALUE"""),"1Fh4UjwxY8P8SUCZ4If7xTCvJ-n5eluHKowOpmnufius")</f>
        <v>1Fh4UjwxY8P8SUCZ4If7xTCvJ-n5eluHKowOpmnufius</v>
      </c>
    </row>
    <row r="124" ht="15.75" customHeight="1">
      <c r="A124" s="0" t="str">
        <f>IFERROR(__xludf.DUMMYFUNCTION("""COMPUTED_VALUE"""),"Blotter")</f>
        <v>Blotter</v>
      </c>
      <c r="B124" s="0" t="str">
        <f>IFERROR(__xludf.DUMMYFUNCTION("""COMPUTED_VALUE"""),"ReplaceWorkingSubs")</f>
        <v>ReplaceWorkingSubs</v>
      </c>
      <c r="C124" s="0" t="str">
        <f>IFERROR(__xludf.DUMMYFUNCTION("""COMPUTED_VALUE"""),"19CQJlgjKT5Lwtf6Dbm862WLoOU4cUuDcsuWNOK_3KM0")</f>
        <v>19CQJlgjKT5Lwtf6Dbm862WLoOU4cUuDcsuWNOK_3KM0</v>
      </c>
    </row>
    <row r="125" ht="15.75" customHeight="1">
      <c r="A125" s="0" t="str">
        <f>IFERROR(__xludf.DUMMYFUNCTION("""COMPUTED_VALUE"""),"Expnl")</f>
        <v>Expnl</v>
      </c>
      <c r="B125" s="0" t="str">
        <f>IFERROR(__xludf.DUMMYFUNCTION("""COMPUTED_VALUE"""),"UpdateExpnlConfig")</f>
        <v>UpdateExpnlConfig</v>
      </c>
      <c r="C125" s="0" t="str">
        <f>IFERROR(__xludf.DUMMYFUNCTION("""COMPUTED_VALUE"""),"1ALtyniAAP6ahYROdYlvK0FprtGuU8NbeHdecFNpHnow")</f>
        <v>1ALtyniAAP6ahYROdYlvK0FprtGuU8NbeHdecFNpHnow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IFERROR(__xludf.DUMMYFUNCTION("""COMPUTED_VALUE"""),"ViewAllocationDetailsWorkingSub")</f>
        <v>ViewAllocationDetailsWorkingSub</v>
      </c>
      <c r="C126" s="0" t="str">
        <f>IFERROR(__xludf.DUMMYFUNCTION("""COMPUTED_VALUE"""),"1hhoDSGwPzwNc_Ry_yrM3PRgBE8omobwG-cC28I4a8E4")</f>
        <v>1hhoDSGwPzwNc_Ry_yrM3PRgBE8omobwG-cC28I4a8E4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IFERROR(__xludf.DUMMYFUNCTION("""COMPUTED_VALUE"""),"SelectTradeOnOrderGrid")</f>
        <v>SelectTradeOnOrderGrid</v>
      </c>
      <c r="C127" s="0" t="str">
        <f>IFERROR(__xludf.DUMMYFUNCTION("""COMPUTED_VALUE"""),"1WzMWGdAjFGlmoqlWMu9CkwyjPz5rsP4p9iM2TrdSYAg")</f>
        <v>1WzMWGdAjFGlmoqlWMu9CkwyjPz5rsP4p9iM2TrdSYAg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IFERROR(__xludf.DUMMYFUNCTION("""COMPUTED_VALUE"""),"ShowDetailsForAlgoTradeSubOrder")</f>
        <v>ShowDetailsForAlgoTradeSubOrder</v>
      </c>
      <c r="C128" s="0" t="str">
        <f>IFERROR(__xludf.DUMMYFUNCTION("""COMPUTED_VALUE"""),"162Te7eWeyaqrl5jT2DPhynk193PZ4hkFEO4DJKzrLfY")</f>
        <v>162Te7eWeyaqrl5jT2DPhynk193PZ4hkFEO4DJKzrLfY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IFERROR(__xludf.DUMMYFUNCTION("""COMPUTED_VALUE"""),"SelectTradeOrderBlotter")</f>
        <v>SelectTradeOrderBlotter</v>
      </c>
      <c r="C129" s="0" t="str">
        <f>IFERROR(__xludf.DUMMYFUNCTION("""COMPUTED_VALUE"""),"146-eh2wv-YJ49kR7Vy_mnqUYnl9sBIflrTQV86OVEs4")</f>
        <v>146-eh2wv-YJ49kR7Vy_mnqUYnl9sBIflrTQV86OVEs4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IFERROR(__xludf.DUMMYFUNCTION("""COMPUTED_VALUE"""),"AddFillsWorkingSubs")</f>
        <v>AddFillsWorkingSubs</v>
      </c>
      <c r="C130" s="0" t="str">
        <f>IFERROR(__xludf.DUMMYFUNCTION("""COMPUTED_VALUE"""),"1mMQYKI9Rq6DghoV4QOgsQKOk1BLLKkoJGiMO3Pw1Btg")</f>
        <v>1mMQYKI9Rq6DghoV4QOgsQKOk1BLLKkoJGiMO3Pw1Btg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IFERROR(__xludf.DUMMYFUNCTION("""COMPUTED_VALUE"""),"EditAddFillsDetails")</f>
        <v>EditAddFillsDetails</v>
      </c>
      <c r="C131" s="0" t="str">
        <f>IFERROR(__xludf.DUMMYFUNCTION("""COMPUTED_VALUE"""),"1F034atMzxswvWV7pPfWfg9ZIq9rYRAjVEefWj9gTyQ0")</f>
        <v>1F034atMzxswvWV7pPfWfg9ZIq9rYRAjVEefWj9gTyQ0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IFERROR(__xludf.DUMMYFUNCTION("""COMPUTED_VALUE"""),"ShowDetailsForAlgoTradeWorkingSubs")</f>
        <v>ShowDetailsForAlgoTradeWorkingSubs</v>
      </c>
      <c r="C132" s="0" t="str">
        <f>IFERROR(__xludf.DUMMYFUNCTION("""COMPUTED_VALUE"""),"1PeaZgjNk8-BscnMVhu7EP0Uzyt8QTKcKu7GDaccohos")</f>
        <v>1PeaZgjNk8-BscnMVhu7EP0Uzyt8QTKcKu7GDaccohos</v>
      </c>
    </row>
    <row r="133" ht="15.75" customHeight="1">
      <c r="A133" s="0" t="str">
        <f>IFERROR(__xludf.DUMMYFUNCTION("""COMPUTED_VALUE"""),"Closing")</f>
        <v>Closing</v>
      </c>
      <c r="B133" s="0" t="str">
        <f>IFERROR(__xludf.DUMMYFUNCTION("""COMPUTED_VALUE"""),"SwapExpire")</f>
        <v>SwapExpire</v>
      </c>
      <c r="C133" s="0" t="str">
        <f>IFERROR(__xludf.DUMMYFUNCTION("""COMPUTED_VALUE"""),"1OH-wAFF1VTun24XmawHlbGMs8NMsZ4gsFJ8tDgp1nf0")</f>
        <v>1OH-wAFF1VTun24XmawHlbGMs8NMsZ4gsFJ8tDgp1nf0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IFERROR(__xludf.DUMMYFUNCTION("""COMPUTED_VALUE"""),"VerifyWorkingSubs")</f>
        <v>VerifyWorkingSubs</v>
      </c>
      <c r="C134" s="0" t="str">
        <f>IFERROR(__xludf.DUMMYFUNCTION("""COMPUTED_VALUE"""),"1G8HIOu40_hEJG25rfuFgS_G3uI_qoZIqaByaKZkVX_8")</f>
        <v>1G8HIOu40_hEJG25rfuFgS_G3uI_qoZIqaByaKZkVX_8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IFERROR(__xludf.DUMMYFUNCTION("""COMPUTED_VALUE"""),"TransferToUserOrder")</f>
        <v>TransferToUserOrder</v>
      </c>
      <c r="C135" s="0" t="str">
        <f>IFERROR(__xludf.DUMMYFUNCTION("""COMPUTED_VALUE"""),"1XLfQF5jY1GeCeWu1dE9N6E-lCCAKF16dNYVxt4k-9SQ")</f>
        <v>1XLfQF5jY1GeCeWu1dE9N6E-lCCAKF16dNYVxt4k-9SQ</v>
      </c>
    </row>
    <row r="136" ht="15.75" customHeight="1">
      <c r="A136" s="0" t="str">
        <f>IFERROR(__xludf.DUMMYFUNCTION("""COMPUTED_VALUE"""),"Allocation")</f>
        <v>Allocation</v>
      </c>
      <c r="B136" s="0" t="str">
        <f>IFERROR(__xludf.DUMMYFUNCTION("""COMPUTED_VALUE"""),"CloseCalculatedPreferences")</f>
        <v>CloseCalculatedPreferences</v>
      </c>
      <c r="C136" s="0" t="str">
        <f>IFERROR(__xludf.DUMMYFUNCTION("""COMPUTED_VALUE"""),"undefined")</f>
        <v>undefined</v>
      </c>
    </row>
    <row r="137" ht="15.75" customHeight="1">
      <c r="A137" s="0" t="str">
        <f>IFERROR(__xludf.DUMMYFUNCTION("""COMPUTED_VALUE"""),"TradingTicket")</f>
        <v>TradingTicket</v>
      </c>
      <c r="B137" s="0" t="str">
        <f>IFERROR(__xludf.DUMMYFUNCTION("""COMPUTED_VALUE"""),"CreateReplaceOrder")</f>
        <v>CreateReplaceOrder</v>
      </c>
      <c r="C137" s="0" t="str">
        <f>IFERROR(__xludf.DUMMYFUNCTION("""COMPUTED_VALUE"""),"1gT2hqZeR3HgAGbNHrjwN8GmMPivOMw3R0wwaTW-99qE")</f>
        <v>1gT2hqZeR3HgAGbNHrjwN8GmMPivOMw3R0wwaTW-99qE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IFERROR(__xludf.DUMMYFUNCTION("""COMPUTED_VALUE"""),"EditOrder")</f>
        <v>EditOrder</v>
      </c>
      <c r="C138" s="0" t="str">
        <f>IFERROR(__xludf.DUMMYFUNCTION("""COMPUTED_VALUE"""),"1DIHr63KqB-VKKsxO2wiLpMaw8FAcbACS3u1E1Ucz8xg")</f>
        <v>1DIHr63KqB-VKKsxO2wiLpMaw8FAcbACS3u1E1Ucz8xg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IFERROR(__xludf.DUMMYFUNCTION("""COMPUTED_VALUE"""),"SelectTradeSubOrderBlotter")</f>
        <v>SelectTradeSubOrderBlotter</v>
      </c>
      <c r="C139" s="0" t="str">
        <f>IFERROR(__xludf.DUMMYFUNCTION("""COMPUTED_VALUE"""),"12aieBZMCqRWerKf-xThc6PG3oj2Rm2oAyptjWtEwUgs")</f>
        <v>12aieBZMCqRWerKf-xThc6PG3oj2Rm2oAyptjWtEwUgs</v>
      </c>
    </row>
    <row r="140" ht="15.75" customHeight="1">
      <c r="A140" s="0" t="str">
        <f>IFERROR(__xludf.DUMMYFUNCTION("""COMPUTED_VALUE"""),"Blotter")</f>
        <v>Blotter</v>
      </c>
      <c r="B140" s="0" t="str">
        <f>IFERROR(__xludf.DUMMYFUNCTION("""COMPUTED_VALUE"""),"VerifyOrder")</f>
        <v>VerifyOrder</v>
      </c>
      <c r="C140" s="0" t="str">
        <f>IFERROR(__xludf.DUMMYFUNCTION("""COMPUTED_VALUE"""),"1PujhuHm_Ni9-h5rvdjQ0PChoeQgEf8ApNJCHwrLFWyo")</f>
        <v>1PujhuHm_Ni9-h5rvdjQ0PChoeQgEf8ApNJCHwrLFWyo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IFERROR(__xludf.DUMMYFUNCTION("""COMPUTED_VALUE"""),"VerifySubOrder")</f>
        <v>VerifySubOrder</v>
      </c>
      <c r="C141" s="0" t="str">
        <f>IFERROR(__xludf.DUMMYFUNCTION("""COMPUTED_VALUE"""),"1LCM4yYwJP8UcMl_W1k3gqYt4JkfaRT3lrxr1JZGE0dM")</f>
        <v>1LCM4yYwJP8UcMl_W1k3gqYt4JkfaRT3lrxr1JZGE0dM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IFERROR(__xludf.DUMMYFUNCTION("""COMPUTED_VALUE"""),"RemoveSelectedOrders")</f>
        <v>RemoveSelectedOrders</v>
      </c>
      <c r="C142" s="0" t="str">
        <f>IFERROR(__xludf.DUMMYFUNCTION("""COMPUTED_VALUE"""),"1RWF2vERO_DfivxtOLg-qwAs6YxUWhjTevj3Q2ApUh5U")</f>
        <v>1RWF2vERO_DfivxtOLg-qwAs6YxUWhjTevj3Q2ApUh5U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IFERROR(__xludf.DUMMYFUNCTION("""COMPUTED_VALUE"""),"CancelAllSelectedSubs")</f>
        <v>CancelAllSelectedSubs</v>
      </c>
      <c r="C143" s="0" t="str">
        <f>IFERROR(__xludf.DUMMYFUNCTION("""COMPUTED_VALUE"""),"1ttF9_OgGg0I0s5BgdggXAjal4yM9TMHLF5f7X_OjoEQ")</f>
        <v>1ttF9_OgGg0I0s5BgdggXAjal4yM9TMHLF5f7X_OjoEQ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IFERROR(__xludf.DUMMYFUNCTION("""COMPUTED_VALUE"""),"MultiTradingTicket")</f>
        <v>MultiTradingTicket</v>
      </c>
      <c r="C144" s="0" t="str">
        <f>IFERROR(__xludf.DUMMYFUNCTION("""COMPUTED_VALUE"""),"16ipwj8pbJt24RtrNN8bsR1AZllKtUVKCGm7OpBdellA")</f>
        <v>16ipwj8pbJt24RtrNN8bsR1AZllKtUVKCGm7OpBdellA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IFERROR(__xludf.DUMMYFUNCTION("""COMPUTED_VALUE"""),"AuditTrailOrderBlotter")</f>
        <v>AuditTrailOrderBlotter</v>
      </c>
      <c r="C145" s="0" t="str">
        <f>IFERROR(__xludf.DUMMYFUNCTION("""COMPUTED_VALUE"""),"1REdqPHZcn4KjjichOPdYyfZ9PNOGx-yj5JIu39q3F0M")</f>
        <v>1REdqPHZcn4KjjichOPdYyfZ9PNOGx-yj5JIu39q3F0M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IFERROR(__xludf.DUMMYFUNCTION("""COMPUTED_VALUE"""),"TradeNewSubOrder")</f>
        <v>TradeNewSubOrder</v>
      </c>
      <c r="C146" s="0" t="str">
        <f>IFERROR(__xludf.DUMMYFUNCTION("""COMPUTED_VALUE"""),"10sXWgGgwNLwtfX1Izn43lW5IWP07nYKkOgaq4wnul1o")</f>
        <v>10sXWgGgwNLwtfX1Izn43lW5IWP07nYKkOgaq4wnul1o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IFERROR(__xludf.DUMMYFUNCTION("""COMPUTED_VALUE"""),"RemoveStageOrder")</f>
        <v>RemoveStageOrder</v>
      </c>
      <c r="C147" s="0" t="str">
        <f>IFERROR(__xludf.DUMMYFUNCTION("""COMPUTED_VALUE"""),"1C1s1dZvfkap4gEVdqoyWEefNpGlTxSjB80YjX3dhMEY")</f>
        <v>1C1s1dZvfkap4gEVdqoyWEefNpGlTxSjB80YjX3dhMEY</v>
      </c>
    </row>
    <row r="148" ht="15.75" customHeight="1">
      <c r="A148" s="0" t="str">
        <f>IFERROR(__xludf.DUMMYFUNCTION("""COMPUTED_VALUE"""),"TradingTicket")</f>
        <v>TradingTicket</v>
      </c>
      <c r="B148" s="0" t="str">
        <f>IFERROR(__xludf.DUMMYFUNCTION("""COMPUTED_VALUE"""),"SetGeneralPreference")</f>
        <v>SetGeneralPreference</v>
      </c>
      <c r="C148" s="0" t="str">
        <f>IFERROR(__xludf.DUMMYFUNCTION("""COMPUTED_VALUE"""),"1OPvnSFT_UcRWLGqoiNFpgkKfrE_GpmFrGf5oa5NFQbI")</f>
        <v>1OPvnSFT_UcRWLGqoiNFpgkKfrE_GpmFrGf5oa5NFQbI</v>
      </c>
    </row>
    <row r="149" ht="15.75" customHeight="1">
      <c r="A149" s="0" t="str">
        <f>IFERROR(__xludf.DUMMYFUNCTION("""COMPUTED_VALUE"""),"Allocation")</f>
        <v>Allocation</v>
      </c>
      <c r="B149" s="0" t="str">
        <f>IFERROR(__xludf.DUMMYFUNCTION("""COMPUTED_VALUE"""),"ExportCalculatedPreference")</f>
        <v>ExportCalculatedPreference</v>
      </c>
      <c r="C149" s="0" t="str">
        <f>IFERROR(__xludf.DUMMYFUNCTION("""COMPUTED_VALUE"""),"1qnQIRYilqvNrQbduql5shmM4EKluNEJzN-F5EGvjhzc")</f>
        <v>1qnQIRYilqvNrQbduql5shmM4EKluNEJzN-F5EGvjhzc</v>
      </c>
    </row>
    <row r="150" ht="15.75" customHeight="1">
      <c r="A150" s="0" t="str">
        <f>IFERROR(__xludf.DUMMYFUNCTION("""COMPUTED_VALUE"""),"GeneralLedger")</f>
        <v>GeneralLedger</v>
      </c>
      <c r="B150" s="0" t="str">
        <f>IFERROR(__xludf.DUMMYFUNCTION("""COMPUTED_VALUE"""),"SelectOpeningBalanceTranItem")</f>
        <v>SelectOpeningBalanceTranItem</v>
      </c>
      <c r="C150" s="0" t="str">
        <f>IFERROR(__xludf.DUMMYFUNCTION("""COMPUTED_VALUE"""),"1xRsjH1dcas95tYR5xbXxJWOuz4qSQltdNVA7-kAD9_U")</f>
        <v>1xRsjH1dcas95tYR5xbXxJWOuz4qSQltdNVA7-kAD9_U</v>
      </c>
    </row>
    <row r="151" ht="15.75" customHeight="1">
      <c r="A151" s="0" t="str">
        <f>IFERROR(__xludf.DUMMYFUNCTION("""COMPUTED_VALUE"""),"PricingInput")</f>
        <v>PricingInput</v>
      </c>
      <c r="B151" s="0" t="str">
        <f>IFERROR(__xludf.DUMMYFUNCTION("""COMPUTED_VALUE"""),"EODTPreferences")</f>
        <v>EODTPreferences</v>
      </c>
      <c r="C151" s="0" t="str">
        <f>IFERROR(__xludf.DUMMYFUNCTION("""COMPUTED_VALUE"""),"1dtaca-dYNMx68u2lPJtT-3SViaJ76nx1xP860PAe9O0")</f>
        <v>1dtaca-dYNMx68u2lPJtT-3SViaJ76nx1xP860PAe9O0</v>
      </c>
    </row>
    <row r="152" ht="15.75" customHeight="1">
      <c r="A152" s="0" t="str">
        <f>IFERROR(__xludf.DUMMYFUNCTION("""COMPUTED_VALUE"""),"PricingInput")</f>
        <v>PricingInput</v>
      </c>
      <c r="B152" s="0" t="str">
        <f>IFERROR(__xludf.DUMMYFUNCTION("""COMPUTED_VALUE"""),"LiveData")</f>
        <v>LiveData</v>
      </c>
      <c r="C152" s="0" t="str">
        <f>IFERROR(__xludf.DUMMYFUNCTION("""COMPUTED_VALUE"""),"1LqTlqz6ZfT46HKwdIZ9c8a7aoq67zGcpdX6bfGQABC8")</f>
        <v>1LqTlqz6ZfT46HKwdIZ9c8a7aoq67zGcpdX6bfGQABC8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IFERROR(__xludf.DUMMYFUNCTION("""COMPUTED_VALUE"""),"EditNonTradingTransaction")</f>
        <v>EditNonTradingTransaction</v>
      </c>
      <c r="C153" s="0" t="str">
        <f>IFERROR(__xludf.DUMMYFUNCTION("""COMPUTED_VALUE"""),"17NCXtORBQGdjGYNhahTMN3GSh7mEEiivMzuhqXyJikc")</f>
        <v>17NCXtORBQGdjGYNhahTMN3GSh7mEEiivMzuhqXyJikc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IFERROR(__xludf.DUMMYFUNCTION("""COMPUTED_VALUE"""),"EditNonTradingTranItem")</f>
        <v>EditNonTradingTranItem</v>
      </c>
      <c r="C154" s="0" t="str">
        <f>IFERROR(__xludf.DUMMYFUNCTION("""COMPUTED_VALUE"""),"1aymZC-yz-Pr8sJFx-ScFtHoADtIbKIjEJUYy_cNJvT8")</f>
        <v>1aymZC-yz-Pr8sJFx-ScFtHoADtIbKIjEJUYy_cNJvT8</v>
      </c>
    </row>
    <row r="155" ht="15.75" customHeight="1">
      <c r="A155" s="0" t="str">
        <f>IFERROR(__xludf.DUMMYFUNCTION("""COMPUTED_VALUE"""),"GeneralLedger")</f>
        <v>GeneralLedger</v>
      </c>
      <c r="B155" s="0" t="str">
        <f>IFERROR(__xludf.DUMMYFUNCTION("""COMPUTED_VALUE"""),"DeleteOpeningBalanceTransaction")</f>
        <v>DeleteOpeningBalanceTransaction</v>
      </c>
      <c r="C155" s="0" t="str">
        <f>IFERROR(__xludf.DUMMYFUNCTION("""COMPUTED_VALUE"""),"1xZZW2LMilqZbN_SkzEV1JqOH-IFtsJukrfBTBGYTcF4")</f>
        <v>1xZZW2LMilqZbN_SkzEV1JqOH-IFtsJukrfBTBGYTcF4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IFERROR(__xludf.DUMMYFUNCTION("""COMPUTED_VALUE"""),"DeleteOpeningBalanceTranItem")</f>
        <v>DeleteOpeningBalanceTranItem</v>
      </c>
      <c r="C156" s="0" t="str">
        <f>IFERROR(__xludf.DUMMYFUNCTION("""COMPUTED_VALUE"""),"1VU_8LrBFmn3xYuy2dig4kP2zAm2ach8NXEt3fHHR9UY")</f>
        <v>1VU_8LrBFmn3xYuy2dig4kP2zAm2ach8NXEt3fHHR9UY</v>
      </c>
    </row>
    <row r="157" ht="15.75" customHeight="1">
      <c r="A157" s="0" t="str">
        <f>IFERROR(__xludf.DUMMYFUNCTION("""COMPUTED_VALUE"""),"Allocation")</f>
        <v>Allocation</v>
      </c>
      <c r="B157" s="0" t="str">
        <f>IFERROR(__xludf.DUMMYFUNCTION("""COMPUTED_VALUE"""),"ImportCalculatedPreferences")</f>
        <v>ImportCalculatedPreferences</v>
      </c>
      <c r="C157" s="0" t="str">
        <f>IFERROR(__xludf.DUMMYFUNCTION("""COMPUTED_VALUE"""),"1p1Ooj_bnGAhvfN4FINxkIOeO3DupwY8P6ELvUAHEriE")</f>
        <v>1p1Ooj_bnGAhvfN4FINxkIOeO3DupwY8P6ELvUAHEriE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IFERROR(__xludf.DUMMYFUNCTION("""COMPUTED_VALUE"""),"GetDayEndCash")</f>
        <v>GetDayEndCash</v>
      </c>
      <c r="C158" s="0" t="str">
        <f>IFERROR(__xludf.DUMMYFUNCTION("""COMPUTED_VALUE"""),"1spreJhh5qxmL8zMnI0JR2xnqRsk3_D2LLfmQUs6czpE")</f>
        <v>1spreJhh5qxmL8zMnI0JR2xnqRsk3_D2LLfmQUs6czpE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IFERROR(__xludf.DUMMYFUNCTION("""COMPUTED_VALUE"""),"VerifyDayEndCash")</f>
        <v>VerifyDayEndCash</v>
      </c>
      <c r="C159" s="0" t="str">
        <f>IFERROR(__xludf.DUMMYFUNCTION("""COMPUTED_VALUE"""),"1tkOwJ5iAMKkvaeCTlOGhcNpoFYbV8oVuu2VWMSIlHcg")</f>
        <v>1tkOwJ5iAMKkvaeCTlOGhcNpoFYbV8oVuu2VWMSIlHcg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IFERROR(__xludf.DUMMYFUNCTION("""COMPUTED_VALUE"""),"OpenAuditTrailUnallocatedGroup")</f>
        <v>OpenAuditTrailUnallocatedGroup</v>
      </c>
      <c r="C160" s="0" t="str">
        <f>IFERROR(__xludf.DUMMYFUNCTION("""COMPUTED_VALUE"""),"1Y0k7om8CfyJDAVaQny6RJM2FOaczI_9_CeMmKLHXEPs")</f>
        <v>1Y0k7om8CfyJDAVaQny6RJM2FOaczI_9_CeMmKLHXEPs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IFERROR(__xludf.DUMMYFUNCTION("""COMPUTED_VALUE"""),"DeleteCalculatedPreferencesTool")</f>
        <v>DeleteCalculatedPreferencesTool</v>
      </c>
      <c r="C161" s="0" t="str">
        <f>IFERROR(__xludf.DUMMYFUNCTION("""COMPUTED_VALUE"""),"1Zf1vOB3JXSBJLqOKJFUHHcDurDxRn5wJ-0Dscz38M_0")</f>
        <v>1Zf1vOB3JXSBJLqOKJFUHHcDurDxRn5wJ-0Dscz38M_0</v>
      </c>
    </row>
    <row r="162" ht="15.75" customHeight="1">
      <c r="A162" s="0" t="str">
        <f>IFERROR(__xludf.DUMMYFUNCTION("""COMPUTED_VALUE"""),"Allocation")</f>
        <v>Allocation</v>
      </c>
      <c r="B162" s="0" t="str">
        <f>IFERROR(__xludf.DUMMYFUNCTION("""COMPUTED_VALUE"""),"ImportCalculatedPreferencesTool")</f>
        <v>ImportCalculatedPreferencesTool</v>
      </c>
      <c r="C162" s="0" t="str">
        <f>IFERROR(__xludf.DUMMYFUNCTION("""COMPUTED_VALUE"""),"1cE4Njh1GV5ltDh3an8b9LC6j3j2CFoqyxA71Ppa6r6Q")</f>
        <v>1cE4Njh1GV5ltDh3an8b9LC6j3j2CFoqyxA71Ppa6r6Q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IFERROR(__xludf.DUMMYFUNCTION("""COMPUTED_VALUE"""),"RunRevaluation")</f>
        <v>RunRevaluation</v>
      </c>
      <c r="C163" s="0" t="str">
        <f>IFERROR(__xludf.DUMMYFUNCTION("""COMPUTED_VALUE"""),"1jzfiPUeEshd-5NkNUXsy-7PEcse4TglcSbsrp_Dc8HU")</f>
        <v>1jzfiPUeEshd-5NkNUXsy-7PEcse4TglcSbsrp_Dc8HU</v>
      </c>
    </row>
    <row r="164" ht="15.75" customHeight="1">
      <c r="A164" s="0" t="str">
        <f>IFERROR(__xludf.DUMMYFUNCTION("""COMPUTED_VALUE"""),"GeneralLedger")</f>
        <v>GeneralLedger</v>
      </c>
      <c r="B164" s="0" t="str">
        <f>IFERROR(__xludf.DUMMYFUNCTION("""COMPUTED_VALUE"""),"CalculateDayEndCash")</f>
        <v>CalculateDayEndCash</v>
      </c>
      <c r="C164" s="0" t="str">
        <f>IFERROR(__xludf.DUMMYFUNCTION("""COMPUTED_VALUE"""),"undefined")</f>
        <v>undefined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IFERROR(__xludf.DUMMYFUNCTION("""COMPUTED_VALUE"""),"ExportAllCalculatedPreferTool")</f>
        <v>ExportAllCalculatedPreferTool</v>
      </c>
      <c r="C165" s="0" t="str">
        <f>IFERROR(__xludf.DUMMYFUNCTION("""COMPUTED_VALUE"""),"1euE_u3GY1blYYXNf6RKZVwdD8spyRt853jsUlIwTOw0")</f>
        <v>1euE_u3GY1blYYXNf6RKZVwdD8spyRt853jsUlIwTOw0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IFERROR(__xludf.DUMMYFUNCTION("""COMPUTED_VALUE"""),"OpenAuditTrailAllocatedGroup")</f>
        <v>OpenAuditTrailAllocatedGroup</v>
      </c>
      <c r="C166" s="0" t="str">
        <f>IFERROR(__xludf.DUMMYFUNCTION("""COMPUTED_VALUE"""),"10xkvvILLWxjyviOPnf_WK9ROWAqVGeSQkCOEpeJmvUg")</f>
        <v>10xkvvILLWxjyviOPnf_WK9ROWAqVGeSQkCOEpeJmvUg</v>
      </c>
    </row>
    <row r="167" ht="15.75" customHeight="1">
      <c r="A167" s="0" t="str">
        <f>IFERROR(__xludf.DUMMYFUNCTION("""COMPUTED_VALUE"""),"Allocation")</f>
        <v>Allocation</v>
      </c>
      <c r="B167" s="0" t="str">
        <f>IFERROR(__xludf.DUMMYFUNCTION("""COMPUTED_VALUE"""),"OpenSymbolLookupUnallocateGroup")</f>
        <v>OpenSymbolLookupUnallocateGroup</v>
      </c>
      <c r="C167" s="0" t="str">
        <f>IFERROR(__xludf.DUMMYFUNCTION("""COMPUTED_VALUE"""),"1P5R2FYDlwHaxxt12yp5VDCc9rtTrQYox51Q8B9lAEwE")</f>
        <v>1P5R2FYDlwHaxxt12yp5VDCc9rtTrQYox51Q8B9lAEwE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IFERROR(__xludf.DUMMYFUNCTION("""COMPUTED_VALUE"""),"OpenSymbolLookupAllocatedGroup")</f>
        <v>OpenSymbolLookupAllocatedGroup</v>
      </c>
      <c r="C168" s="0" t="str">
        <f>IFERROR(__xludf.DUMMYFUNCTION("""COMPUTED_VALUE"""),"1dWiU5yiJ45sV3M7GzO2U5fuFeWx4uZYWFc3g69wicCM")</f>
        <v>1dWiU5yiJ45sV3M7GzO2U5fuFeWx4uZYWFc3g69wicCM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IFERROR(__xludf.DUMMYFUNCTION("""COMPUTED_VALUE"""),"DeleteFixedPreference")</f>
        <v>DeleteFixedPreference</v>
      </c>
      <c r="C169" s="0" t="str">
        <f>IFERROR(__xludf.DUMMYFUNCTION("""COMPUTED_VALUE"""),"10Fv19cOj3bnosZSwoQYrQSqzJX3hkCYv9DMeIiNaNJU")</f>
        <v>10Fv19cOj3bnosZSwoQYrQSqzJX3hkCYv9DMeIiNaNJU</v>
      </c>
    </row>
    <row r="170" ht="15.75" customHeight="1">
      <c r="A170" s="0" t="str">
        <f>IFERROR(__xludf.DUMMYFUNCTION("""COMPUTED_VALUE"""),"Blotter")</f>
        <v>Blotter</v>
      </c>
      <c r="B170" s="0" t="str">
        <f>IFERROR(__xludf.DUMMYFUNCTION("""COMPUTED_VALUE"""),"TransferToUserSubOrder")</f>
        <v>TransferToUserSubOrder</v>
      </c>
      <c r="C170" s="0" t="str">
        <f>IFERROR(__xludf.DUMMYFUNCTION("""COMPUTED_VALUE"""),"15-OVgVqDG2Em79pxq7YJDAL6-d6MUtFGTzENqQCiVMc")</f>
        <v>15-OVgVqDG2Em79pxq7YJDAL6-d6MUtFGTzENqQCiVMc</v>
      </c>
    </row>
    <row r="171" ht="15.75" customHeight="1">
      <c r="A171" s="0" t="str">
        <f>IFERROR(__xludf.DUMMYFUNCTION("""COMPUTED_VALUE"""),"Blotter")</f>
        <v>Blotter</v>
      </c>
      <c r="B171" s="0" t="str">
        <f>IFERROR(__xludf.DUMMYFUNCTION("""COMPUTED_VALUE"""),"DetailsForAlgoTradeOrder")</f>
        <v>DetailsForAlgoTradeOrder</v>
      </c>
      <c r="C171" s="0" t="str">
        <f>IFERROR(__xludf.DUMMYFUNCTION("""COMPUTED_VALUE"""),"1ck3szsOznKcX8uczcNnuD3FUMd9fJohIehaAkka70h8")</f>
        <v>1ck3szsOznKcX8uczcNnuD3FUMd9fJohIehaAkka70h8</v>
      </c>
    </row>
    <row r="172" ht="15.75" customHeight="1">
      <c r="A172" s="0" t="str">
        <f>IFERROR(__xludf.DUMMYFUNCTION("""COMPUTED_VALUE"""),"Blotter")</f>
        <v>Blotter</v>
      </c>
      <c r="B172" s="0" t="str">
        <f>IFERROR(__xludf.DUMMYFUNCTION("""COMPUTED_VALUE"""),"AddFillsSubOrder")</f>
        <v>AddFillsSubOrder</v>
      </c>
      <c r="C172" s="0" t="str">
        <f>IFERROR(__xludf.DUMMYFUNCTION("""COMPUTED_VALUE"""),"1MT54QWk68ppoZlAmPewiWRHmLvfcjAI7PC5aw2W3UVo")</f>
        <v>1MT54QWk68ppoZlAmPewiWRHmLvfcjAI7PC5aw2W3UVo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IFERROR(__xludf.DUMMYFUNCTION("""COMPUTED_VALUE"""),"ViewAllocationDetailsSubOrder")</f>
        <v>ViewAllocationDetailsSubOrder</v>
      </c>
      <c r="C173" s="0" t="str">
        <f>IFERROR(__xludf.DUMMYFUNCTION("""COMPUTED_VALUE"""),"1Lkr5MAwp3hErcyNYcw1_ShXvs11WPRHNEssVy9zfi_w")</f>
        <v>1Lkr5MAwp3hErcyNYcw1_ShXvs11WPRHNEssVy9zfi_w</v>
      </c>
    </row>
    <row r="174" ht="15.75" customHeight="1">
      <c r="A174" s="0" t="str">
        <f>IFERROR(__xludf.DUMMYFUNCTION("""COMPUTED_VALUE"""),"GeneralLedger")</f>
        <v>GeneralLedger</v>
      </c>
      <c r="B174" s="0" t="str">
        <f>IFERROR(__xludf.DUMMYFUNCTION("""COMPUTED_VALUE"""),"GetCashTransaction")</f>
        <v>GetCashTransaction</v>
      </c>
      <c r="C174" s="0" t="str">
        <f>IFERROR(__xludf.DUMMYFUNCTION("""COMPUTED_VALUE"""),"1gWsZu6P8fdTeLcSwKqEpKs23oukXfrI2NnDFhQJ5SL8")</f>
        <v>1gWsZu6P8fdTeLcSwKqEpKs23oukXfrI2NnDFhQJ5SL8</v>
      </c>
    </row>
    <row r="175" ht="15.75" customHeight="1">
      <c r="A175" s="0" t="str">
        <f>IFERROR(__xludf.DUMMYFUNCTION("""COMPUTED_VALUE"""),"GeneralLedger")</f>
        <v>GeneralLedger</v>
      </c>
      <c r="B175" s="0" t="str">
        <f>IFERROR(__xludf.DUMMYFUNCTION("""COMPUTED_VALUE"""),"SelectCashTransaction")</f>
        <v>SelectCashTransaction</v>
      </c>
      <c r="C175" s="0" t="str">
        <f>IFERROR(__xludf.DUMMYFUNCTION("""COMPUTED_VALUE"""),"1iCsiy6EsAlpJ4AhDasW2XCUMA8sqkhY1YKL6VFO-mik")</f>
        <v>1iCsiy6EsAlpJ4AhDasW2XCUMA8sqkhY1YKL6VFO-mik</v>
      </c>
    </row>
    <row r="176" ht="15.75" customHeight="1">
      <c r="A176" s="0" t="str">
        <f>IFERROR(__xludf.DUMMYFUNCTION("""COMPUTED_VALUE"""),"GeneralLedger")</f>
        <v>GeneralLedger</v>
      </c>
      <c r="B176" s="0" t="str">
        <f>IFERROR(__xludf.DUMMYFUNCTION("""COMPUTED_VALUE"""),"DeleteCashTransaction")</f>
        <v>DeleteCashTransaction</v>
      </c>
      <c r="C176" s="0" t="str">
        <f>IFERROR(__xludf.DUMMYFUNCTION("""COMPUTED_VALUE"""),"1p5zM_6V1jp6W72AjDncDlcjNCGEydWFHE9Q6C7_UNJs")</f>
        <v>1p5zM_6V1jp6W72AjDncDlcjNCGEydWFHE9Q6C7_UNJs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IFERROR(__xludf.DUMMYFUNCTION("""COMPUTED_VALUE"""),"EditCashTransaction")</f>
        <v>EditCashTransaction</v>
      </c>
      <c r="C177" s="0" t="str">
        <f>IFERROR(__xludf.DUMMYFUNCTION("""COMPUTED_VALUE"""),"1Fj5RI9KJs9fyvxlJ-x5CLX7Me-Y8JRBPLaKMbkGbJP4")</f>
        <v>1Fj5RI9KJs9fyvxlJ-x5CLX7Me-Y8JRBPLaKMbkGbJP4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IFERROR(__xludf.DUMMYFUNCTION("""COMPUTED_VALUE"""),"AddCashTransaction")</f>
        <v>AddCashTransaction</v>
      </c>
      <c r="C178" s="0" t="str">
        <f>IFERROR(__xludf.DUMMYFUNCTION("""COMPUTED_VALUE"""),"1UJAijL5ov_iwtuasZZT7bxW5X_n9tcQvSAdHL9noFr4")</f>
        <v>1UJAijL5ov_iwtuasZZT7bxW5X_n9tcQvSAdHL9noFr4</v>
      </c>
    </row>
    <row r="179" ht="15.75" customHeight="1">
      <c r="A179" s="0" t="str">
        <f>IFERROR(__xludf.DUMMYFUNCTION("""COMPUTED_VALUE"""),"Allocation")</f>
        <v>Allocation</v>
      </c>
      <c r="B179" s="0" t="str">
        <f>IFERROR(__xludf.DUMMYFUNCTION("""COMPUTED_VALUE"""),"EditAllocatedGroupSidePanel")</f>
        <v>EditAllocatedGroupSidePanel</v>
      </c>
      <c r="C179" s="0" t="str">
        <f>IFERROR(__xludf.DUMMYFUNCTION("""COMPUTED_VALUE"""),"1n9BXSuRyrVvzLYXquxBPqlqIEEVaTzV-_x_w3e-i5Ls")</f>
        <v>1n9BXSuRyrVvzLYXquxBPqlqIEEVaTzV-_x_w3e-i5Ls</v>
      </c>
    </row>
    <row r="180" ht="15.75" customHeight="1">
      <c r="A180" s="0" t="str">
        <f>IFERROR(__xludf.DUMMYFUNCTION("""COMPUTED_VALUE"""),"DailyValuation")</f>
        <v>DailyValuation</v>
      </c>
      <c r="B180" s="0" t="str">
        <f>IFERROR(__xludf.DUMMYFUNCTION("""COMPUTED_VALUE"""),"GetMarkPriceData")</f>
        <v>GetMarkPriceData</v>
      </c>
      <c r="C180" s="0" t="str">
        <f>IFERROR(__xludf.DUMMYFUNCTION("""COMPUTED_VALUE"""),"1YeFHGDFK4nbHi9Rs47h9AAx2lalv9HhsD69zV3csGy8")</f>
        <v>1YeFHGDFK4nbHi9Rs47h9AAx2lalv9HhsD69zV3csGy8</v>
      </c>
    </row>
    <row r="181" ht="15.75" customHeight="1">
      <c r="A181" s="0" t="str">
        <f>IFERROR(__xludf.DUMMYFUNCTION("""COMPUTED_VALUE"""),"DailyValuation")</f>
        <v>DailyValuation</v>
      </c>
      <c r="B181" s="0" t="str">
        <f>IFERROR(__xludf.DUMMYFUNCTION("""COMPUTED_VALUE"""),"GetForwardPoints")</f>
        <v>GetForwardPoints</v>
      </c>
      <c r="C181" s="0" t="str">
        <f>IFERROR(__xludf.DUMMYFUNCTION("""COMPUTED_VALUE"""),"1MiGrZTSXutmd7cujyYNd0UqnGibLOPyRrnLMgP4Sr6o")</f>
        <v>1MiGrZTSXutmd7cujyYNd0UqnGibLOPyRrnLMgP4Sr6o</v>
      </c>
    </row>
    <row r="182" ht="15.75" customHeight="1">
      <c r="A182" s="0" t="str">
        <f>IFERROR(__xludf.DUMMYFUNCTION("""COMPUTED_VALUE"""),"DailyValuation")</f>
        <v>DailyValuation</v>
      </c>
      <c r="B182" s="0" t="str">
        <f>IFERROR(__xludf.DUMMYFUNCTION("""COMPUTED_VALUE"""),"UpdateForwardPoints")</f>
        <v>UpdateForwardPoints</v>
      </c>
      <c r="C182" s="0" t="str">
        <f>IFERROR(__xludf.DUMMYFUNCTION("""COMPUTED_VALUE"""),"13YvpTYbNmo3NThVihGZE2Kw0PUae2MHq-qjJOu3wxvU")</f>
        <v>13YvpTYbNmo3NThVihGZE2Kw0PUae2MHq-qjJOu3wxvU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IFERROR(__xludf.DUMMYFUNCTION("""COMPUTED_VALUE"""),"GetForexConversion")</f>
        <v>GetForexConversion</v>
      </c>
      <c r="C183" s="0" t="str">
        <f>IFERROR(__xludf.DUMMYFUNCTION("""COMPUTED_VALUE"""),"1KKxuPcmDmDXhFUPaCFFbPF6RwxycCavtqm7S16KEg5Y")</f>
        <v>1KKxuPcmDmDXhFUPaCFFbPF6RwxycCavtqm7S16KEg5Y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IFERROR(__xludf.DUMMYFUNCTION("""COMPUTED_VALUE"""),"DeleteNAV")</f>
        <v>DeleteNAV</v>
      </c>
      <c r="C184" s="0" t="str">
        <f>IFERROR(__xludf.DUMMYFUNCTION("""COMPUTED_VALUE"""),"17Zycs069RWng1ieYt4n6O_NZ6ceVd43tU8G9g0-fN8I")</f>
        <v>17Zycs069RWng1ieYt4n6O_NZ6ceVd43tU8G9g0-fN8I</v>
      </c>
    </row>
    <row r="185" ht="15.75" customHeight="1">
      <c r="A185" s="0" t="str">
        <f>IFERROR(__xludf.DUMMYFUNCTION("""COMPUTED_VALUE"""),"Allocation")</f>
        <v>Allocation</v>
      </c>
      <c r="B185" s="0" t="str">
        <f>IFERROR(__xludf.DUMMYFUNCTION("""COMPUTED_VALUE"""),"CheckUnallocatedGroups")</f>
        <v>CheckUnallocatedGroups</v>
      </c>
      <c r="C185" s="0" t="str">
        <f>IFERROR(__xludf.DUMMYFUNCTION("""COMPUTED_VALUE"""),"1j0MZKaTBHe2pQDFZ05nHEEGvfvlI52Alywtq5yhH70s")</f>
        <v>1j0MZKaTBHe2pQDFZ05nHEEGvfvlI52Alywtq5yhH70s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IFERROR(__xludf.DUMMYFUNCTION("""COMPUTED_VALUE"""),"GetDailyCash")</f>
        <v>GetDailyCash</v>
      </c>
      <c r="C186" s="0" t="str">
        <f>IFERROR(__xludf.DUMMYFUNCTION("""COMPUTED_VALUE"""),"1oKO0dtODYJio_gXq_EzmSE6Q2rkYTxWRmQ7IN0CHRa4")</f>
        <v>1oKO0dtODYJio_gXq_EzmSE6Q2rkYTxWRmQ7IN0CHRa4</v>
      </c>
    </row>
    <row r="187" ht="15.75" customHeight="1">
      <c r="A187" s="0" t="str">
        <f>IFERROR(__xludf.DUMMYFUNCTION("""COMPUTED_VALUE"""),"Allocation")</f>
        <v>Allocation</v>
      </c>
      <c r="B187" s="0" t="str">
        <f>IFERROR(__xludf.DUMMYFUNCTION("""COMPUTED_VALUE"""),"SetGeneralPreferences")</f>
        <v>SetGeneralPreferences</v>
      </c>
      <c r="C187" s="0" t="str">
        <f>IFERROR(__xludf.DUMMYFUNCTION("""COMPUTED_VALUE"""),"18W3DK31N2RdU0CYRRdvWw5nNRe3GaSCO0hU0sxw-H4U")</f>
        <v>18W3DK31N2RdU0CYRRdvWw5nNRe3GaSCO0hU0sxw-H4U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IFERROR(__xludf.DUMMYFUNCTION("""COMPUTED_VALUE"""),"GetDailyBeta")</f>
        <v>GetDailyBeta</v>
      </c>
      <c r="C188" s="0" t="str">
        <f>IFERROR(__xludf.DUMMYFUNCTION("""COMPUTED_VALUE"""),"175lBA_MAWFmudJaoBeId0gWkm7igxqbkXeb1PtlSDoA")</f>
        <v>175lBA_MAWFmudJaoBeId0gWkm7igxqbkXeb1PtlSDoA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IFERROR(__xludf.DUMMYFUNCTION("""COMPUTED_VALUE"""),"GetDailyVolatility")</f>
        <v>GetDailyVolatility</v>
      </c>
      <c r="C189" s="0" t="str">
        <f>IFERROR(__xludf.DUMMYFUNCTION("""COMPUTED_VALUE"""),"1sQKTr-JDOFjue2JmgR8y8eR2IEjTDxZjM1tRp8rfVZ4")</f>
        <v>1sQKTr-JDOFjue2JmgR8y8eR2IEjTDxZjM1tRp8rfVZ4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IFERROR(__xludf.DUMMYFUNCTION("""COMPUTED_VALUE"""),"GetDailyDividendYield")</f>
        <v>GetDailyDividendYield</v>
      </c>
      <c r="C190" s="0" t="str">
        <f>IFERROR(__xludf.DUMMYFUNCTION("""COMPUTED_VALUE"""),"18LZI70z0zRkOHzZ-aFNo6pUkePW7ThyhbXRWqCIG-N8")</f>
        <v>18LZI70z0zRkOHzZ-aFNo6pUkePW7ThyhbXRWqCIG-N8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IFERROR(__xludf.DUMMYFUNCTION("""COMPUTED_VALUE"""),"GetDailyTradingVolume")</f>
        <v>GetDailyTradingVolume</v>
      </c>
      <c r="C191" s="0" t="str">
        <f>IFERROR(__xludf.DUMMYFUNCTION("""COMPUTED_VALUE"""),"1gQFPTtbtlQbHtL6Y-Dbb7k0ZWw6IOVgkyG0cQHk3P1k")</f>
        <v>1gQFPTtbtlQbHtL6Y-Dbb7k0ZWw6IOVgkyG0cQHk3P1k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IFERROR(__xludf.DUMMYFUNCTION("""COMPUTED_VALUE"""),"GetDailyOutstandings")</f>
        <v>GetDailyOutstandings</v>
      </c>
      <c r="C192" s="0" t="str">
        <f>IFERROR(__xludf.DUMMYFUNCTION("""COMPUTED_VALUE"""),"1P2ZvDCpcJTPA7yutZIal5f3PGC6e6_xYvPjsIIfGwno")</f>
        <v>1P2ZvDCpcJTPA7yutZIal5f3PGC6e6_xYvPjsIIfGwno</v>
      </c>
    </row>
    <row r="193" ht="15.75" customHeight="1">
      <c r="A193" s="0" t="str">
        <f>IFERROR(__xludf.DUMMYFUNCTION("""COMPUTED_VALUE"""),"Allocation")</f>
        <v>Allocation</v>
      </c>
      <c r="B193" s="0" t="str">
        <f>IFERROR(__xludf.DUMMYFUNCTION("""COMPUTED_VALUE"""),"GroupTrades")</f>
        <v>GroupTrades</v>
      </c>
      <c r="C193" s="0" t="str">
        <f>IFERROR(__xludf.DUMMYFUNCTION("""COMPUTED_VALUE"""),"1DVVPwFtUbivhOmLl_-Ke87upmLsIjYCmPCpyqQQL7GE")</f>
        <v>1DVVPwFtUbivhOmLl_-Ke87upmLsIjYCmPCpyqQQL7GE</v>
      </c>
    </row>
    <row r="194" ht="15.75" customHeight="1">
      <c r="A194" s="0" t="str">
        <f>IFERROR(__xludf.DUMMYFUNCTION("""COMPUTED_VALUE"""),"Allocation")</f>
        <v>Allocation</v>
      </c>
      <c r="B194" s="0" t="str">
        <f>IFERROR(__xludf.DUMMYFUNCTION("""COMPUTED_VALUE"""),"UngroupTrades")</f>
        <v>UngroupTrades</v>
      </c>
      <c r="C194" s="0" t="str">
        <f>IFERROR(__xludf.DUMMYFUNCTION("""COMPUTED_VALUE"""),"14uwsyYP_hNAmpjAa9P4MPLYLein3u1E10CkcVdFlJ-s")</f>
        <v>14uwsyYP_hNAmpjAa9P4MPLYLein3u1E10CkcVdFlJ-s</v>
      </c>
    </row>
    <row r="195" ht="15.75" customHeight="1">
      <c r="A195" s="0" t="str">
        <f>IFERROR(__xludf.DUMMYFUNCTION("""COMPUTED_VALUE"""),"Allocation")</f>
        <v>Allocation</v>
      </c>
      <c r="B195" s="0" t="str">
        <f>IFERROR(__xludf.DUMMYFUNCTION("""COMPUTED_VALUE"""),"DeleteGroup")</f>
        <v>DeleteGroup</v>
      </c>
      <c r="C195" s="0" t="str">
        <f>IFERROR(__xludf.DUMMYFUNCTION("""COMPUTED_VALUE"""),"13QtG3gZH45PkqubENv0lSqP68CbF05IB4dM27NtKl3o")</f>
        <v>13QtG3gZH45PkqubENv0lSqP68CbF05IB4dM27NtKl3o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IFERROR(__xludf.DUMMYFUNCTION("""COMPUTED_VALUE"""),"CloseOrder")</f>
        <v>CloseOrder</v>
      </c>
      <c r="C196" s="0" t="str">
        <f>IFERROR(__xludf.DUMMYFUNCTION("""COMPUTED_VALUE"""),"18xh-lBAS89YQ--EIjTatfp-D1Kwq9U4UxJNZyYDZGtc")</f>
        <v>18xh-lBAS89YQ--EIjTatfp-D1Kwq9U4UxJNZyYDZGtc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IFERROR(__xludf.DUMMYFUNCTION("""COMPUTED_VALUE"""),"Unallocate")</f>
        <v>Unallocate</v>
      </c>
      <c r="C197" s="0" t="str">
        <f>IFERROR(__xludf.DUMMYFUNCTION("""COMPUTED_VALUE"""),"1U4wXJzuxI444D3KBBkErR3jujPNFIeOXqzTcjs7uFk4")</f>
        <v>1U4wXJzuxI444D3KBBkErR3jujPNFIeOXqzTcjs7uFk4</v>
      </c>
    </row>
    <row r="198" ht="15.75" customHeight="1">
      <c r="A198" s="0" t="str">
        <f>IFERROR(__xludf.DUMMYFUNCTION("""COMPUTED_VALUE"""),"DailyValuation")</f>
        <v>DailyValuation</v>
      </c>
      <c r="B198" s="0" t="str">
        <f>IFERROR(__xludf.DUMMYFUNCTION("""COMPUTED_VALUE"""),"GetDailyDelta")</f>
        <v>GetDailyDelta</v>
      </c>
      <c r="C198" s="0" t="str">
        <f>IFERROR(__xludf.DUMMYFUNCTION("""COMPUTED_VALUE"""),"1EvVjoTD032TySfzJXw9gVNA5t-mn99j3tqeMXnXxoLo")</f>
        <v>1EvVjoTD032TySfzJXw9gVNA5t-mn99j3tqeMXnXxoLo</v>
      </c>
    </row>
    <row r="199" ht="15.75" customHeight="1">
      <c r="A199" s="0" t="str">
        <f>IFERROR(__xludf.DUMMYFUNCTION("""COMPUTED_VALUE"""),"DailyValuation")</f>
        <v>DailyValuation</v>
      </c>
      <c r="B199" s="0" t="str">
        <f>IFERROR(__xludf.DUMMYFUNCTION("""COMPUTED_VALUE"""),"UpdateDailyVolatility")</f>
        <v>UpdateDailyVolatility</v>
      </c>
      <c r="C199" s="0" t="str">
        <f>IFERROR(__xludf.DUMMYFUNCTION("""COMPUTED_VALUE"""),"1uo0qBFSjypCkvQFFO_xyPzzor9bEFiGOx2kCB7eZtc0")</f>
        <v>1uo0qBFSjypCkvQFFO_xyPzzor9bEFiGOx2kCB7eZtc0</v>
      </c>
    </row>
    <row r="200" ht="15.75" customHeight="1">
      <c r="A200" s="0" t="str">
        <f>IFERROR(__xludf.DUMMYFUNCTION("""COMPUTED_VALUE"""),"GeneralLedger")</f>
        <v>GeneralLedger</v>
      </c>
      <c r="B200" s="0" t="str">
        <f>IFERROR(__xludf.DUMMYFUNCTION("""COMPUTED_VALUE"""),"AddOpeningBalanceTransaction")</f>
        <v>AddOpeningBalanceTransaction</v>
      </c>
      <c r="C200" s="0" t="str">
        <f>IFERROR(__xludf.DUMMYFUNCTION("""COMPUTED_VALUE"""),"15lt-nTUfSNjgvlEflxa4N8HdBSjUq2aSfcorYolBUAs")</f>
        <v>15lt-nTUfSNjgvlEflxa4N8HdBSjUq2aSfcorYolBUAs</v>
      </c>
    </row>
    <row r="201" ht="15.75" customHeight="1">
      <c r="A201" s="0" t="str">
        <f>IFERROR(__xludf.DUMMYFUNCTION("""COMPUTED_VALUE"""),"GeneralLedger")</f>
        <v>GeneralLedger</v>
      </c>
      <c r="B201" s="0" t="str">
        <f>IFERROR(__xludf.DUMMYFUNCTION("""COMPUTED_VALUE"""),"AddOpeningBalanceTranItem")</f>
        <v>AddOpeningBalanceTranItem</v>
      </c>
      <c r="C201" s="0" t="str">
        <f>IFERROR(__xludf.DUMMYFUNCTION("""COMPUTED_VALUE"""),"1DH8m8i4Qq1FRMeP1xeY5NPN2003TNy7bMleHo7w9vpI")</f>
        <v>1DH8m8i4Qq1FRMeP1xeY5NPN2003TNy7bMleHo7w9vpI</v>
      </c>
    </row>
    <row r="202" ht="15.75" customHeight="1">
      <c r="A202" s="0" t="str">
        <f>IFERROR(__xludf.DUMMYFUNCTION("""COMPUTED_VALUE"""),"Blotter")</f>
        <v>Blotter</v>
      </c>
      <c r="B202" s="0" t="str">
        <f>IFERROR(__xludf.DUMMYFUNCTION("""COMPUTED_VALUE"""),"CancelAllSubs")</f>
        <v>CancelAllSubs</v>
      </c>
      <c r="C202" s="0" t="str">
        <f>IFERROR(__xludf.DUMMYFUNCTION("""COMPUTED_VALUE"""),"1bYjRsTDybpFVpmrR8hrMTWz443Y9xS0smrogdLmz8jU")</f>
        <v>1bYjRsTDybpFVpmrR8hrMTWz443Y9xS0smrogdLmz8jU</v>
      </c>
    </row>
    <row r="203" ht="15.75" customHeight="1">
      <c r="A203" s="0" t="str">
        <f>IFERROR(__xludf.DUMMYFUNCTION("""COMPUTED_VALUE"""),"Blotter")</f>
        <v>Blotter</v>
      </c>
      <c r="B203" s="0" t="str">
        <f>IFERROR(__xludf.DUMMYFUNCTION("""COMPUTED_VALUE"""),"CancelSubOrder")</f>
        <v>CancelSubOrder</v>
      </c>
      <c r="C203" s="0" t="str">
        <f>IFERROR(__xludf.DUMMYFUNCTION("""COMPUTED_VALUE"""),"1Aog2FKNXledg-NmWJRe94eWJeWxyZa9CMG3_TwF2hSA")</f>
        <v>1Aog2FKNXledg-NmWJRe94eWJeWxyZa9CMG3_TwF2hSA</v>
      </c>
    </row>
    <row r="204" ht="15.75" customHeight="1">
      <c r="A204" s="0" t="str">
        <f>IFERROR(__xludf.DUMMYFUNCTION("""COMPUTED_VALUE"""),"Blotter")</f>
        <v>Blotter</v>
      </c>
      <c r="B204" s="0" t="str">
        <f>IFERROR(__xludf.DUMMYFUNCTION("""COMPUTED_VALUE"""),"EditStageOrder")</f>
        <v>EditStageOrder</v>
      </c>
      <c r="C204" s="0" t="str">
        <f>IFERROR(__xludf.DUMMYFUNCTION("""COMPUTED_VALUE"""),"1Q75ZXDUBIQ-EYCXJzcayoOZnyEvR7Te7R6YiiBrn4Fw")</f>
        <v>1Q75ZXDUBIQ-EYCXJzcayoOZnyEvR7Te7R6YiiBrn4Fw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IFERROR(__xludf.DUMMYFUNCTION("""COMPUTED_VALUE"""),"ReplaceSubOrder")</f>
        <v>ReplaceSubOrder</v>
      </c>
      <c r="C205" s="0" t="str">
        <f>IFERROR(__xludf.DUMMYFUNCTION("""COMPUTED_VALUE"""),"17VYB1TUXW6ptwR8v_a2tyrxMyJYSdLT3E20OaTqLis4")</f>
        <v>17VYB1TUXW6ptwR8v_a2tyrxMyJYSdLT3E20OaTqLis4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IFERROR(__xludf.DUMMYFUNCTION("""COMPUTED_VALUE"""),"SelectTradeWorkingSubsBlotter")</f>
        <v>SelectTradeWorkingSubsBlotter</v>
      </c>
      <c r="C206" s="0" t="str">
        <f>IFERROR(__xludf.DUMMYFUNCTION("""COMPUTED_VALUE"""),"1zuz4WFM4veTzlIk0hPFaED7NShVVtV3M3H96aH707tk")</f>
        <v>1zuz4WFM4veTzlIk0hPFaED7NShVVtV3M3H96aH707tk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IFERROR(__xludf.DUMMYFUNCTION("""COMPUTED_VALUE"""),"VerifyAlgoDetails")</f>
        <v>VerifyAlgoDetails</v>
      </c>
      <c r="C207" s="0" t="str">
        <f>IFERROR(__xludf.DUMMYFUNCTION("""COMPUTED_VALUE"""),"1_GQFckcT00jBYdR7a8rSRFHMJjWiv0KEDGAeJ-jcKKE")</f>
        <v>1_GQFckcT00jBYdR7a8rSRFHMJjWiv0KEDGAeJ-jcKKE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IFERROR(__xludf.DUMMYFUNCTION("""COMPUTED_VALUE"""),"VerifyTransferToUserOrder")</f>
        <v>VerifyTransferToUserOrder</v>
      </c>
      <c r="C208" s="0" t="str">
        <f>IFERROR(__xludf.DUMMYFUNCTION("""COMPUTED_VALUE"""),"1KXa8gITpSjwlX1JvvOAW0jDfGIy5UnQx3sJN6gJrcBg")</f>
        <v>1KXa8gITpSjwlX1JvvOAW0jDfGIy5UnQx3sJN6gJrcBg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IFERROR(__xludf.DUMMYFUNCTION("""COMPUTED_VALUE"""),"VerifyTransferToUserSubOdr")</f>
        <v>VerifyTransferToUserSubOdr</v>
      </c>
      <c r="C209" s="0" t="str">
        <f>IFERROR(__xludf.DUMMYFUNCTION("""COMPUTED_VALUE"""),"1jB8z3I5yMthH4XtX4HbKhklvniCAeFbyrWTpzZ9XKvc")</f>
        <v>1jB8z3I5yMthH4XtX4HbKhklvniCAeFbyrWTpzZ9XKvc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IFERROR(__xludf.DUMMYFUNCTION("""COMPUTED_VALUE"""),"VerifyTransferToUserWorkSub")</f>
        <v>VerifyTransferToUserWorkSub</v>
      </c>
      <c r="C210" s="0" t="str">
        <f>IFERROR(__xludf.DUMMYFUNCTION("""COMPUTED_VALUE"""),"1fq83kzKCDhFT0Fi9dgsfQKMuNpAc3v4gV1Qbsldz3h8")</f>
        <v>1fq83kzKCDhFT0Fi9dgsfQKMuNpAc3v4gV1Qbsldz3h8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IFERROR(__xludf.DUMMYFUNCTION("""COMPUTED_VALUE"""),"SaveLayoutOrderGrid")</f>
        <v>SaveLayoutOrderGrid</v>
      </c>
      <c r="C211" s="0" t="str">
        <f>IFERROR(__xludf.DUMMYFUNCTION("""COMPUTED_VALUE"""),"1JYODO_uKPLBSeaxw5rmQVcUuWB2imU7o869smQvOuxU")</f>
        <v>1JYODO_uKPLBSeaxw5rmQVcUuWB2imU7o869smQvOuxU</v>
      </c>
    </row>
    <row r="212" ht="15.75" customHeight="1">
      <c r="A212" s="0" t="str">
        <f>IFERROR(__xludf.DUMMYFUNCTION("""COMPUTED_VALUE"""),"DailyValuation")</f>
        <v>DailyValuation</v>
      </c>
      <c r="B212" s="0" t="str">
        <f>IFERROR(__xludf.DUMMYFUNCTION("""COMPUTED_VALUE"""),"UpdateDividendYield")</f>
        <v>UpdateDividendYield</v>
      </c>
      <c r="C212" s="0" t="str">
        <f>IFERROR(__xludf.DUMMYFUNCTION("""COMPUTED_VALUE"""),"1weOZeHVOJsLyIZM3dZs2ACjYrRO49tWQkWIQsAU8fTE")</f>
        <v>1weOZeHVOJsLyIZM3dZs2ACjYrRO49tWQkWIQsAU8fTE</v>
      </c>
    </row>
    <row r="213" ht="15.75" customHeight="1">
      <c r="A213" s="0" t="str">
        <f>IFERROR(__xludf.DUMMYFUNCTION("""COMPUTED_VALUE"""),"DailyValuation")</f>
        <v>DailyValuation</v>
      </c>
      <c r="B213" s="0" t="str">
        <f>IFERROR(__xludf.DUMMYFUNCTION("""COMPUTED_VALUE"""),"UpdateTradingVolume")</f>
        <v>UpdateTradingVolume</v>
      </c>
      <c r="C213" s="0" t="str">
        <f>IFERROR(__xludf.DUMMYFUNCTION("""COMPUTED_VALUE"""),"1ZESR_kMepfUvTmpE2qynJgfXoxake4l0VcC4pNO8LzA")</f>
        <v>1ZESR_kMepfUvTmpE2qynJgfXoxake4l0VcC4pNO8LzA</v>
      </c>
    </row>
    <row r="214" ht="15.75" customHeight="1">
      <c r="A214" s="0" t="str">
        <f>IFERROR(__xludf.DUMMYFUNCTION("""COMPUTED_VALUE"""),"DailyValuation")</f>
        <v>DailyValuation</v>
      </c>
      <c r="B214" s="0" t="str">
        <f>IFERROR(__xludf.DUMMYFUNCTION("""COMPUTED_VALUE"""),"UpdateDailyDelta")</f>
        <v>UpdateDailyDelta</v>
      </c>
      <c r="C214" s="0" t="str">
        <f>IFERROR(__xludf.DUMMYFUNCTION("""COMPUTED_VALUE"""),"1r0PvMKr873S1yfp9cHKySnwrldippMPMVoZdf43rqK8")</f>
        <v>1r0PvMKr873S1yfp9cHKySnwrldippMPMVoZdf43rqK8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IFERROR(__xludf.DUMMYFUNCTION("""COMPUTED_VALUE"""),"UpdateDailyOutstandings")</f>
        <v>UpdateDailyOutstandings</v>
      </c>
      <c r="C215" s="0" t="str">
        <f>IFERROR(__xludf.DUMMYFUNCTION("""COMPUTED_VALUE"""),"1SnAbZP1_-LHY3PpvSSjTJMIbe_8gsQXRLKEyiUygPg4")</f>
        <v>1SnAbZP1_-LHY3PpvSSjTJMIbe_8gsQXRLKEyiUygPg4</v>
      </c>
    </row>
    <row r="216" ht="15.75" customHeight="1">
      <c r="A216" s="0" t="str">
        <f>IFERROR(__xludf.DUMMYFUNCTION("""COMPUTED_VALUE"""),"Closing")</f>
        <v>Closing</v>
      </c>
      <c r="B216" s="0" t="str">
        <f>IFERROR(__xludf.DUMMYFUNCTION("""COMPUTED_VALUE"""),"GetDataClosing")</f>
        <v>GetDataClosing</v>
      </c>
      <c r="C216" s="0" t="str">
        <f>IFERROR(__xludf.DUMMYFUNCTION("""COMPUTED_VALUE"""),"1fXCOGRVd7ctz9NiTkQBLLoiX3nSlZKgoic2xkW0v684")</f>
        <v>1fXCOGRVd7ctz9NiTkQBLLoiX3nSlZKgoic2xkW0v684</v>
      </c>
    </row>
    <row r="217" ht="15.75" customHeight="1">
      <c r="A217" s="0" t="str">
        <f>IFERROR(__xludf.DUMMYFUNCTION("""COMPUTED_VALUE"""),"Closing")</f>
        <v>Closing</v>
      </c>
      <c r="B217" s="0" t="str">
        <f>IFERROR(__xludf.DUMMYFUNCTION("""COMPUTED_VALUE"""),"ManualClosing")</f>
        <v>ManualClosing</v>
      </c>
      <c r="C217" s="0" t="str">
        <f>IFERROR(__xludf.DUMMYFUNCTION("""COMPUTED_VALUE"""),"1V4YXKd8h8921rDajwTrmF9IS6TyYiIfoXghpclUszxk")</f>
        <v>1V4YXKd8h8921rDajwTrmF9IS6TyYiIfoXghpclUszxk</v>
      </c>
    </row>
    <row r="218" ht="15.75" customHeight="1">
      <c r="A218" s="0" t="str">
        <f>IFERROR(__xludf.DUMMYFUNCTION("""COMPUTED_VALUE"""),"Closing")</f>
        <v>Closing</v>
      </c>
      <c r="B218" s="0" t="str">
        <f>IFERROR(__xludf.DUMMYFUNCTION("""COMPUTED_VALUE"""),"AutomaticClosing")</f>
        <v>AutomaticClosing</v>
      </c>
      <c r="C218" s="0" t="str">
        <f>IFERROR(__xludf.DUMMYFUNCTION("""COMPUTED_VALUE"""),"11Fj2b-qpUUOR9FXVXVEd8W6NpSSLN1xH3ue_KLVLUXE")</f>
        <v>11Fj2b-qpUUOR9FXVXVEd8W6NpSSLN1xH3ue_KLVLUXE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IFERROR(__xludf.DUMMYFUNCTION("""COMPUTED_VALUE"""),"UnwindClosing")</f>
        <v>UnwindClosing</v>
      </c>
      <c r="C219" s="0" t="str">
        <f>IFERROR(__xludf.DUMMYFUNCTION("""COMPUTED_VALUE"""),"1fWFBM-fAcfCHGLGmZ05e7b-33SZ0WHV69e-2UjgnGew")</f>
        <v>1fWFBM-fAcfCHGLGmZ05e7b-33SZ0WHV69e-2UjgnGew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IFERROR(__xludf.DUMMYFUNCTION("""COMPUTED_VALUE"""),"VerifyClosedTrades")</f>
        <v>VerifyClosedTrades</v>
      </c>
      <c r="C220" s="0" t="str">
        <f>IFERROR(__xludf.DUMMYFUNCTION("""COMPUTED_VALUE"""),"1ukV644mYAZQ5cCmM_xHU1TlCSxw7YhF_op2JRldIO1Y")</f>
        <v>1ukV644mYAZQ5cCmM_xHU1TlCSxw7YhF_op2JRldIO1Y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IFERROR(__xludf.DUMMYFUNCTION("""COMPUTED_VALUE"""),"VerifyLongPositionsGrid")</f>
        <v>VerifyLongPositionsGrid</v>
      </c>
      <c r="C221" s="0" t="str">
        <f>IFERROR(__xludf.DUMMYFUNCTION("""COMPUTED_VALUE"""),"1ejWWHYHX79GNeqnpEIv1pY3fHEtH3w2SxCklunau7pU")</f>
        <v>1ejWWHYHX79GNeqnpEIv1pY3fHEtH3w2SxCklunau7pU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IFERROR(__xludf.DUMMYFUNCTION("""COMPUTED_VALUE"""),"VerifyShortPositionsGrid")</f>
        <v>VerifyShortPositionsGrid</v>
      </c>
      <c r="C222" s="0" t="str">
        <f>IFERROR(__xludf.DUMMYFUNCTION("""COMPUTED_VALUE"""),"1C9nr9UaSw19k3RlZOh6C32ihCaOsw9e8EzB5exzVqdI")</f>
        <v>1C9nr9UaSw19k3RlZOh6C32ihCaOsw9e8EzB5exzVqdI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IFERROR(__xludf.DUMMYFUNCTION("""COMPUTED_VALUE"""),"SelectTradeUnexpiredUnsettled")</f>
        <v>SelectTradeUnexpiredUnsettled</v>
      </c>
      <c r="C223" s="0" t="str">
        <f>IFERROR(__xludf.DUMMYFUNCTION("""COMPUTED_VALUE"""),"1zpJ5COKg0t3DKjAupe3b9VWJWwFOshN0jcUXXcmwOCY")</f>
        <v>1zpJ5COKg0t3DKjAupe3b9VWJWwFOshN0jcUXXcmwOCY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IFERROR(__xludf.DUMMYFUNCTION("""COMPUTED_VALUE"""),"CashSettlementAtCost")</f>
        <v>CashSettlementAtCost</v>
      </c>
      <c r="C224" s="0" t="str">
        <f>IFERROR(__xludf.DUMMYFUNCTION("""COMPUTED_VALUE"""),"1BRf1AxKf-ZXo6cETDcf1qs9hsphlkZWn3nC_UQ8uulE")</f>
        <v>1BRf1AxKf-ZXo6cETDcf1qs9hsphlkZWn3nC_UQ8uulE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IFERROR(__xludf.DUMMYFUNCTION("""COMPUTED_VALUE"""),"CashSettlementAtZeroPrice")</f>
        <v>CashSettlementAtZeroPrice</v>
      </c>
      <c r="C225" s="0" t="str">
        <f>IFERROR(__xludf.DUMMYFUNCTION("""COMPUTED_VALUE"""),"1Z1Ooq9Bs8nqmf2xqnglXRlccDJnbGAIOB06M9ekj2rs")</f>
        <v>1Z1Ooq9Bs8nqmf2xqnglXRlccDJnbGAIOB06M9ekj2rs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IFERROR(__xludf.DUMMYFUNCTION("""COMPUTED_VALUE"""),"CashSettlementAtClosingDtSpotPx")</f>
        <v>CashSettlementAtClosingDtSpotPx</v>
      </c>
      <c r="C226" s="0" t="str">
        <f>IFERROR(__xludf.DUMMYFUNCTION("""COMPUTED_VALUE"""),"1g2BlDzMuPLqY5xVnCrcfbtfe9kWQV3CgE6JfSKlxSzg")</f>
        <v>1g2BlDzMuPLqY5xVnCrcfbtfe9kWQV3CgE6JfSKlxSzg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IFERROR(__xludf.DUMMYFUNCTION("""COMPUTED_VALUE"""),"PhysicalSettlement")</f>
        <v>PhysicalSettlement</v>
      </c>
      <c r="C227" s="0" t="str">
        <f>IFERROR(__xludf.DUMMYFUNCTION("""COMPUTED_VALUE"""),"1desQWnGI98GIc1vxX0YFAvK6eM6Up2OfO7mDBlu8DyE")</f>
        <v>1desQWnGI98GIc1vxX0YFAvK6eM6Up2OfO7mDBlu8DyE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IFERROR(__xludf.DUMMYFUNCTION("""COMPUTED_VALUE"""),"Expire")</f>
        <v>Expire</v>
      </c>
      <c r="C228" s="0" t="str">
        <f>IFERROR(__xludf.DUMMYFUNCTION("""COMPUTED_VALUE"""),"1VWFe_7Bzpo4sOh0lngtoR43fbAhailkC7sT-1MShuLo")</f>
        <v>1VWFe_7Bzpo4sOh0lngtoR43fbAhailkC7sT-1MShuLo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IFERROR(__xludf.DUMMYFUNCTION("""COMPUTED_VALUE"""),"ExerciseAssignment")</f>
        <v>ExerciseAssignment</v>
      </c>
      <c r="C229" s="0" t="str">
        <f>IFERROR(__xludf.DUMMYFUNCTION("""COMPUTED_VALUE"""),"1DQNjGNN_8R1Id_RNxpiXZmk1V3qnXnTg-7JWhtLHIOM")</f>
        <v>1DQNjGNN_8R1Id_RNxpiXZmk1V3qnXnTg-7JWhtLHIOM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IFERROR(__xludf.DUMMYFUNCTION("""COMPUTED_VALUE"""),"ExerciseAssignmentAtZero")</f>
        <v>ExerciseAssignmentAtZero</v>
      </c>
      <c r="C230" s="0" t="str">
        <f>IFERROR(__xludf.DUMMYFUNCTION("""COMPUTED_VALUE"""),"1UCVBiqZ-hQHZCTT2TvmNRmPPUYAp6soMftJvf3IJb-U")</f>
        <v>1UCVBiqZ-hQHZCTT2TvmNRmPPUYAp6soMftJvf3IJb-U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IFERROR(__xludf.DUMMYFUNCTION("""COMPUTED_VALUE"""),"SwapExpireAndRollover")</f>
        <v>SwapExpireAndRollover</v>
      </c>
      <c r="C231" s="0" t="str">
        <f>IFERROR(__xludf.DUMMYFUNCTION("""COMPUTED_VALUE"""),"1Wys20XtOSKAzbhZ6D_ru6oNOCYqcpyBFkLMGVYyy2WM")</f>
        <v>1Wys20XtOSKAzbhZ6D_ru6oNOCYqcpyBFkLMGVYyy2WM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IFERROR(__xludf.DUMMYFUNCTION("""COMPUTED_VALUE"""),"SwapExpire")</f>
        <v>SwapExpire</v>
      </c>
      <c r="C232" s="0" t="str">
        <f>IFERROR(__xludf.DUMMYFUNCTION("""COMPUTED_VALUE"""),"1OH-wAFF1VTun24XmawHlbGMs8NMsZ4gsFJ8tDgp1nf0")</f>
        <v>1OH-wAFF1VTun24XmawHlbGMs8NMsZ4gsFJ8tDgp1nf0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IFERROR(__xludf.DUMMYFUNCTION("""COMPUTED_VALUE"""),"VerifyExpiredSettledGrid")</f>
        <v>VerifyExpiredSettledGrid</v>
      </c>
      <c r="C233" s="0" t="str">
        <f>IFERROR(__xludf.DUMMYFUNCTION("""COMPUTED_VALUE"""),"1u62Kj38ddSce6mjA7g4i_1lPA5fUScW985zdMGo3BYA")</f>
        <v>1u62Kj38ddSce6mjA7g4i_1lPA5fUScW985zdMGo3BYA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IFERROR(__xludf.DUMMYFUNCTION("""COMPUTED_VALUE"""),"VerifyUnExpiredUnSettledGrid")</f>
        <v>VerifyUnExpiredUnSettledGrid</v>
      </c>
      <c r="C234" s="0" t="str">
        <f>IFERROR(__xludf.DUMMYFUNCTION("""COMPUTED_VALUE"""),"1G__9tJvjvOtaGer3XqVAzGCQYG07hudOPpD60H34Zy8")</f>
        <v>1G__9tJvjvOtaGer3XqVAzGCQYG07hudOPpD60H34Zy8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IFERROR(__xludf.DUMMYFUNCTION("""COMPUTED_VALUE"""),"UnWindTradeSettlement")</f>
        <v>UnWindTradeSettlement</v>
      </c>
      <c r="C235" s="0" t="str">
        <f>IFERROR(__xludf.DUMMYFUNCTION("""COMPUTED_VALUE"""),"1-9bwCgsl5N95i-RvKiMEwupZhEFD-V_V4UhaUwW08HM")</f>
        <v>1-9bwCgsl5N95i-RvKiMEwupZhEFD-V_V4UhaUwW08HM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IFERROR(__xludf.DUMMYFUNCTION("""COMPUTED_VALUE"""),"CloseOrder")</f>
        <v>CloseOrder</v>
      </c>
      <c r="C236" s="0" t="str">
        <f>IFERROR(__xludf.DUMMYFUNCTION("""COMPUTED_VALUE"""),"1VvSSs3QJ14ONF-H8UJY0IQjVFEXjPDyORsnnG-MIOVQ")</f>
        <v>1VvSSs3QJ14ONF-H8UJY0IQjVFEXjPDyORsnnG-MIOVQ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IFERROR(__xludf.DUMMYFUNCTION("""COMPUTED_VALUE"""),"VerifyCloseOrder")</f>
        <v>VerifyCloseOrder</v>
      </c>
      <c r="C237" s="0" t="str">
        <f>IFERROR(__xludf.DUMMYFUNCTION("""COMPUTED_VALUE"""),"1VpvDYDtLzzQKU6zRrnt43oSdSe1jDGhYuKyFkWXgl0M")</f>
        <v>1VpvDYDtLzzQKU6zRrnt43oSdSe1jDGhYuKyFkWXgl0M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IFERROR(__xludf.DUMMYFUNCTION("""COMPUTED_VALUE"""),"UnWindCloseOrder")</f>
        <v>UnWindCloseOrder</v>
      </c>
      <c r="C238" s="0" t="str">
        <f>IFERROR(__xludf.DUMMYFUNCTION("""COMPUTED_VALUE"""),"1xwDU0wEY5ygG38Ymyteoy-b7VhKEgDgPur5SneK5DOc")</f>
        <v>1xwDU0wEY5ygG38Ymyteoy-b7VhKEgDgPur5SneK5DOc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IFERROR(__xludf.DUMMYFUNCTION("""COMPUTED_VALUE"""),"ClosingCleanUp")</f>
        <v>ClosingCleanUp</v>
      </c>
      <c r="C239" s="0" t="str">
        <f>IFERROR(__xludf.DUMMYFUNCTION("""COMPUTED_VALUE"""),"1rhbgybK8UToNxMXDOZxwk3lnAdVPNaXMj69toF42Xwo")</f>
        <v>1rhbgybK8UToNxMXDOZxwk3lnAdVPNaXMj69toF42Xwo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IFERROR(__xludf.DUMMYFUNCTION("""COMPUTED_VALUE"""),"CloseClosingUI")</f>
        <v>CloseClosingUI</v>
      </c>
      <c r="C240" s="0" t="str">
        <f>IFERROR(__xludf.DUMMYFUNCTION("""COMPUTED_VALUE"""),"11yE3pKzcv-wtNP-iR3X7bRfy6MLIOsu-qcNla8FkfvE")</f>
        <v>11yE3pKzcv-wtNP-iR3X7bRfy6MLIOsu-qcNla8FkfvE</v>
      </c>
    </row>
    <row r="241" ht="15.75" customHeight="1">
      <c r="A241" s="0" t="str">
        <f>IFERROR(__xludf.DUMMYFUNCTION("""COMPUTED_VALUE"""),"GeneralLedger")</f>
        <v>GeneralLedger</v>
      </c>
      <c r="B241" s="0" t="str">
        <f>IFERROR(__xludf.DUMMYFUNCTION("""COMPUTED_VALUE"""),"GetDailyCalculationsData")</f>
        <v>GetDailyCalculationsData</v>
      </c>
      <c r="C241" s="0" t="str">
        <f>IFERROR(__xludf.DUMMYFUNCTION("""COMPUTED_VALUE"""),"1RGxd6BFK5bdonfIWcSSPdrNFPAQirhzZqSCkmKziVHc")</f>
        <v>1RGxd6BFK5bdonfIWcSSPdrNFPAQirhzZqSCkmKziVHc</v>
      </c>
    </row>
    <row r="242" ht="15.75" customHeight="1">
      <c r="A242" s="0" t="str">
        <f>IFERROR(__xludf.DUMMYFUNCTION("""COMPUTED_VALUE"""),"GeneralLedger")</f>
        <v>GeneralLedger</v>
      </c>
      <c r="B242" s="0" t="str">
        <f>IFERROR(__xludf.DUMMYFUNCTION("""COMPUTED_VALUE"""),"CalculateDailyCalculations")</f>
        <v>CalculateDailyCalculations</v>
      </c>
      <c r="C242" s="0" t="str">
        <f>IFERROR(__xludf.DUMMYFUNCTION("""COMPUTED_VALUE"""),"undefined")</f>
        <v>undefined</v>
      </c>
    </row>
    <row r="243" ht="15.75" customHeight="1">
      <c r="A243" s="0" t="str">
        <f>IFERROR(__xludf.DUMMYFUNCTION("""COMPUTED_VALUE"""),"GeneralLedger")</f>
        <v>GeneralLedger</v>
      </c>
      <c r="B243" s="0" t="str">
        <f>IFERROR(__xludf.DUMMYFUNCTION("""COMPUTED_VALUE"""),"EditOpeningBalanceTransaction")</f>
        <v>EditOpeningBalanceTransaction</v>
      </c>
      <c r="C243" s="0" t="str">
        <f>IFERROR(__xludf.DUMMYFUNCTION("""COMPUTED_VALUE"""),"185FY-wExfE4jMT_4yTVjOUr49VHzbH6ICdX9HndSaTM")</f>
        <v>185FY-wExfE4jMT_4yTVjOUr49VHzbH6ICdX9HndSaTM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IFERROR(__xludf.DUMMYFUNCTION("""COMPUTED_VALUE"""),"EditOpeningBalanceTranItem")</f>
        <v>EditOpeningBalanceTranItem</v>
      </c>
      <c r="C244" s="0" t="str">
        <f>IFERROR(__xludf.DUMMYFUNCTION("""COMPUTED_VALUE"""),"1JQ1sH3BSkeS63QmSdGmR2uX_wHxLSUJdkAtqU0BIVl4")</f>
        <v>1JQ1sH3BSkeS63QmSdGmR2uX_wHxLSUJdkAtqU0BIVl4</v>
      </c>
    </row>
    <row r="245" ht="15.75" customHeight="1">
      <c r="A245" s="0" t="str">
        <f>IFERROR(__xludf.DUMMYFUNCTION("""COMPUTED_VALUE"""),"DailyValuation")</f>
        <v>DailyValuation</v>
      </c>
      <c r="B245" s="0" t="str">
        <f>IFERROR(__xludf.DUMMYFUNCTION("""COMPUTED_VALUE"""),"UpdateBeta")</f>
        <v>UpdateBeta</v>
      </c>
      <c r="C245" s="0" t="str">
        <f>IFERROR(__xludf.DUMMYFUNCTION("""COMPUTED_VALUE"""),"1e5P2Fpj6vybIn_paB2b7Fy1UWvvzM_QLBcFFEnG_Sog")</f>
        <v>1e5P2Fpj6vybIn_paB2b7Fy1UWvvzM_QLBcFFEnG_Sog</v>
      </c>
    </row>
    <row r="246" ht="15.75" customHeight="1">
      <c r="A246" s="0" t="str">
        <f>IFERROR(__xludf.DUMMYFUNCTION("""COMPUTED_VALUE"""),"DailyValuation")</f>
        <v>DailyValuation</v>
      </c>
      <c r="B246" s="0" t="str">
        <f>IFERROR(__xludf.DUMMYFUNCTION("""COMPUTED_VALUE"""),"UpdateNAV")</f>
        <v>UpdateNAV</v>
      </c>
      <c r="C246" s="0" t="str">
        <f>IFERROR(__xludf.DUMMYFUNCTION("""COMPUTED_VALUE"""),"1Hl-bDiK5QR2zP8Xl8o2qKBLjoh6RGDS1UZGDYAqP4oQ")</f>
        <v>1Hl-bDiK5QR2zP8Xl8o2qKBLjoh6RGDS1UZGDYAqP4oQ</v>
      </c>
    </row>
    <row r="247" ht="15.75" customHeight="1">
      <c r="A247" s="0" t="str">
        <f>IFERROR(__xludf.DUMMYFUNCTION("""COMPUTED_VALUE"""),"DailyValuation")</f>
        <v>DailyValuation</v>
      </c>
      <c r="B247" s="0" t="str">
        <f>IFERROR(__xludf.DUMMYFUNCTION("""COMPUTED_VALUE"""),"UpdateDailyCash")</f>
        <v>UpdateDailyCash</v>
      </c>
      <c r="C247" s="0" t="str">
        <f>IFERROR(__xludf.DUMMYFUNCTION("""COMPUTED_VALUE"""),"17wP7K35BVS-mcToVvypH9kFnKwLPjhX5cgZessf5L3U")</f>
        <v>17wP7K35BVS-mcToVvypH9kFnKwLPjhX5cgZessf5L3U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IFERROR(__xludf.DUMMYFUNCTION("""COMPUTED_VALUE"""),"VerifyDailyCalTransactions")</f>
        <v>VerifyDailyCalTransactions</v>
      </c>
      <c r="C248" s="0" t="str">
        <f>IFERROR(__xludf.DUMMYFUNCTION("""COMPUTED_VALUE"""),"1-ih35UufsuBdP0hoxZ-4l-12Rq-zYst8RspaOVUizJc")</f>
        <v>1-ih35UufsuBdP0hoxZ-4l-12Rq-zYst8RspaOVUizJc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IFERROR(__xludf.DUMMYFUNCTION("""COMPUTED_VALUE"""),"UpdateDailyCreditLimt")</f>
        <v>UpdateDailyCreditLimt</v>
      </c>
      <c r="C249" s="0" t="str">
        <f>IFERROR(__xludf.DUMMYFUNCTION("""COMPUTED_VALUE"""),"1xyZdNq5NSQNp450_Gc1FWk1hVNNJBJwHxsqN70MtZLU")</f>
        <v>1xyZdNq5NSQNp450_Gc1FWk1hVNNJBJwHxsqN70MtZLU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IFERROR(__xludf.DUMMYFUNCTION("""COMPUTED_VALUE"""),"RemoveDailyCreditLimit")</f>
        <v>RemoveDailyCreditLimit</v>
      </c>
      <c r="C250" s="0" t="str">
        <f>IFERROR(__xludf.DUMMYFUNCTION("""COMPUTED_VALUE"""),"1EvfgveHhX8XFzsj7Fy7Yi6C9pY-aewJRJyPh3yuRejY")</f>
        <v>1EvfgveHhX8XFzsj7Fy7Yi6C9pY-aewJRJyPh3yuRejY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IFERROR(__xludf.DUMMYFUNCTION("""COMPUTED_VALUE"""),"RemoveDailyCash")</f>
        <v>RemoveDailyCash</v>
      </c>
      <c r="C251" s="0" t="str">
        <f>IFERROR(__xludf.DUMMYFUNCTION("""COMPUTED_VALUE"""),"1k7xJ6kz4kMqQWK18SURBsIq7RJIBYbtYRz2nKI4obIs")</f>
        <v>1k7xJ6kz4kMqQWK18SURBsIq7RJIBYbtYRz2nKI4obIs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IFERROR(__xludf.DUMMYFUNCTION("""COMPUTED_VALUE"""),"RemoveNAV")</f>
        <v>RemoveNAV</v>
      </c>
      <c r="C252" s="0" t="str">
        <f>IFERROR(__xludf.DUMMYFUNCTION("""COMPUTED_VALUE"""),"1h4gMGiy1GVAsiDN_3s7laxEQ8QIiMM11jjlepyiWEFw")</f>
        <v>1h4gMGiy1GVAsiDN_3s7laxEQ8QIiMM11jjlepyiWEFw</v>
      </c>
    </row>
    <row r="253" ht="15.75" customHeight="1">
      <c r="A253" s="0" t="str">
        <f>IFERROR(__xludf.DUMMYFUNCTION("""COMPUTED_VALUE"""),"PortfolioManagement")</f>
        <v>PortfolioManagement</v>
      </c>
      <c r="B253" s="0" t="str">
        <f>IFERROR(__xludf.DUMMYFUNCTION("""COMPUTED_VALUE"""),"FilterPM")</f>
        <v>FilterPM</v>
      </c>
      <c r="C253" s="0" t="str">
        <f>IFERROR(__xludf.DUMMYFUNCTION("""COMPUTED_VALUE"""),"1555eBTfW3pZgygX6zpaPQiMcmfrnNsubsj7N0H4mAzE")</f>
        <v>1555eBTfW3pZgygX6zpaPQiMcmfrnNsubsj7N0H4mAzE</v>
      </c>
    </row>
    <row r="254" ht="15.75" customHeight="1">
      <c r="A254" s="0" t="str">
        <f>IFERROR(__xludf.DUMMYFUNCTION("""COMPUTED_VALUE"""),"PortfolioManagement")</f>
        <v>PortfolioManagement</v>
      </c>
      <c r="B254" s="0" t="str">
        <f>IFERROR(__xludf.DUMMYFUNCTION("""COMPUTED_VALUE"""),"GroupRowPM")</f>
        <v>GroupRowPM</v>
      </c>
      <c r="C254" s="0" t="str">
        <f>IFERROR(__xludf.DUMMYFUNCTION("""COMPUTED_VALUE"""),"13SBB21Z9FVCuAXFJukuoDKtIn_jkAQg7H8URkrwJeeI")</f>
        <v>13SBB21Z9FVCuAXFJukuoDKtIn_jkAQg7H8URkrwJeeI</v>
      </c>
    </row>
    <row r="255" ht="15.75" customHeight="1">
      <c r="A255" s="0" t="str">
        <f>IFERROR(__xludf.DUMMYFUNCTION("""COMPUTED_VALUE"""),"Allocation")</f>
        <v>Allocation</v>
      </c>
      <c r="B255" s="0" t="str">
        <f>IFERROR(__xludf.DUMMYFUNCTION("""COMPUTED_VALUE"""),"CloseAllocation")</f>
        <v>CloseAllocation</v>
      </c>
      <c r="C255" s="0" t="str">
        <f>IFERROR(__xludf.DUMMYFUNCTION("""COMPUTED_VALUE"""),"undefined")</f>
        <v>undefined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IFERROR(__xludf.DUMMYFUNCTION("""COMPUTED_VALUE"""),"CheckDashboardWithPM")</f>
        <v>CheckDashboardWithPM</v>
      </c>
      <c r="C256" s="0" t="str">
        <f>IFERROR(__xludf.DUMMYFUNCTION("""COMPUTED_VALUE"""),"undefined")</f>
        <v>undefined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IFERROR(__xludf.DUMMYFUNCTION("""COMPUTED_VALUE"""),"RemoveFilterPM")</f>
        <v>RemoveFilterPM</v>
      </c>
      <c r="C257" s="0" t="str">
        <f>IFERROR(__xludf.DUMMYFUNCTION("""COMPUTED_VALUE"""),"undefined")</f>
        <v>undefined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IFERROR(__xludf.DUMMYFUNCTION("""COMPUTED_VALUE"""),"CheckSummaryRowsPM")</f>
        <v>CheckSummaryRowsPM</v>
      </c>
      <c r="C258" s="0" t="str">
        <f>IFERROR(__xludf.DUMMYFUNCTION("""COMPUTED_VALUE"""),"1QYD14pNRFunvjaSxygVhv7DYj8TvS2fjXDJc9Zg9Mw8")</f>
        <v>1QYD14pNRFunvjaSxygVhv7DYj8TvS2fjXDJc9Zg9Mw8</v>
      </c>
    </row>
    <row r="259" ht="15.75" customHeight="1">
      <c r="A259" s="0" t="str">
        <f>IFERROR(__xludf.DUMMYFUNCTION("""COMPUTED_VALUE"""),"GeneralLedger")</f>
        <v>GeneralLedger</v>
      </c>
      <c r="B259" s="0" t="str">
        <f>IFERROR(__xludf.DUMMYFUNCTION("""COMPUTED_VALUE"""),"CloseGeneralLedger")</f>
        <v>CloseGeneralLedger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IFERROR(__xludf.DUMMYFUNCTION("""COMPUTED_VALUE"""),"Blotter")</f>
        <v>Blotter</v>
      </c>
      <c r="B260" s="0" t="str">
        <f>IFERROR(__xludf.DUMMYFUNCTION("""COMPUTED_VALUE"""),"ReplaceStageOrder")</f>
        <v>ReplaceStageOrder</v>
      </c>
      <c r="C260" s="0" t="str">
        <f>IFERROR(__xludf.DUMMYFUNCTION("""COMPUTED_VALUE"""),"1b8x6RjtQjtXxwQEPvkKbxuNrqT2um8DTratJi6LLMkE")</f>
        <v>1b8x6RjtQjtXxwQEPvkKbxuNrqT2um8DTratJi6LLMkE</v>
      </c>
    </row>
    <row r="261" ht="15.75" customHeight="1">
      <c r="A261" s="0" t="str">
        <f>IFERROR(__xludf.DUMMYFUNCTION("""COMPUTED_VALUE"""),"GeneralLedger")</f>
        <v>GeneralLedger</v>
      </c>
      <c r="B261" s="0" t="str">
        <f>IFERROR(__xludf.DUMMYFUNCTION("""COMPUTED_VALUE"""),"VerifyAccountDetails")</f>
        <v>VerifyAccountDetails</v>
      </c>
      <c r="C261" s="0" t="str">
        <f>IFERROR(__xludf.DUMMYFUNCTION("""COMPUTED_VALUE"""),"18ZLKMuYELpFF8igusiA1YPM1roRHrNcfmsVVoNq6h6s")</f>
        <v>18ZLKMuYELpFF8igusiA1YPM1roRHrNcfmsVVoNq6h6s</v>
      </c>
    </row>
    <row r="262" ht="15.75" customHeight="1">
      <c r="A262" s="0" t="str">
        <f>IFERROR(__xludf.DUMMYFUNCTION("""COMPUTED_VALUE"""),"TradingTicket")</f>
        <v>TradingTicket</v>
      </c>
      <c r="B262" s="0" t="str">
        <f>IFERROR(__xludf.DUMMYFUNCTION("""COMPUTED_VALUE"""),"CreateNewSubOrder")</f>
        <v>CreateNewSubOrder</v>
      </c>
      <c r="C262" s="0" t="str">
        <f>IFERROR(__xludf.DUMMYFUNCTION("""COMPUTED_VALUE"""),"1wguu6CJ1W1WXxjb_KxnFlOegfYbfanXuyO-oZAt2m7U")</f>
        <v>1wguu6CJ1W1WXxjb_KxnFlOegfYbfanXuyO-oZAt2m7U</v>
      </c>
    </row>
    <row r="263" ht="15.75" customHeight="1">
      <c r="A263" s="0" t="str">
        <f>IFERROR(__xludf.DUMMYFUNCTION("""COMPUTED_VALUE"""),"CreateTransaction")</f>
        <v>CreateTransaction</v>
      </c>
      <c r="B263" s="0" t="str">
        <f>IFERROR(__xludf.DUMMYFUNCTION("""COMPUTED_VALUE"""),"AddNewTransaction")</f>
        <v>AddNewTransaction</v>
      </c>
      <c r="C263" s="0" t="str">
        <f>IFERROR(__xludf.DUMMYFUNCTION("""COMPUTED_VALUE"""),"1o-FBBuQHxjtFK6FrVr69erSNvwKFefznt7EpoR-TUMo")</f>
        <v>1o-FBBuQHxjtFK6FrVr69erSNvwKFefznt7EpoR-TUMo</v>
      </c>
    </row>
    <row r="264" ht="15.75" customHeight="1">
      <c r="A264" s="0" t="str">
        <f>IFERROR(__xludf.DUMMYFUNCTION("""COMPUTED_VALUE"""),"TradingTicket")</f>
        <v>TradingTicket</v>
      </c>
      <c r="B264" s="0" t="str">
        <f>IFERROR(__xludf.DUMMYFUNCTION("""COMPUTED_VALUE"""),"TradeBloomberg")</f>
        <v>TradeBloomberg</v>
      </c>
      <c r="C264" s="0" t="str">
        <f>IFERROR(__xludf.DUMMYFUNCTION("""COMPUTED_VALUE"""),"1NPaQ5SsIbAw-Qf-hqCpOtIXsinQoikQedLQjmpcEf2w")</f>
        <v>1NPaQ5SsIbAw-Qf-hqCpOtIXsinQoikQedLQjmpcEf2w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IFERROR(__xludf.DUMMYFUNCTION("""COMPUTED_VALUE"""),"ClickSymbolLookup")</f>
        <v>ClickSymbolLookup</v>
      </c>
      <c r="C265" s="0" t="str">
        <f>IFERROR(__xludf.DUMMYFUNCTION("""COMPUTED_VALUE"""),"1oRJt2apb45iHCVxOMoKsVCBE0tayi72K_dpkArgaYNI")</f>
        <v>1oRJt2apb45iHCVxOMoKsVCBE0tayi72K_dpkArgaYNI</v>
      </c>
    </row>
    <row r="266" ht="15.75" customHeight="1">
      <c r="A266" s="0" t="str">
        <f>IFERROR(__xludf.DUMMYFUNCTION("""COMPUTED_VALUE"""),"PricingServer")</f>
        <v>PricingServer</v>
      </c>
      <c r="B266" s="0" t="str">
        <f>IFERROR(__xludf.DUMMYFUNCTION("""COMPUTED_VALUE"""),"RestartPricingServer")</f>
        <v>RestartPricingServer</v>
      </c>
      <c r="C266" s="0" t="str">
        <f>IFERROR(__xludf.DUMMYFUNCTION("""COMPUTED_VALUE"""),"1agqTy8ODsUfNuR8A2GzGp3_Gb5oKxa04ZxPCTZ4jQEE")</f>
        <v>1agqTy8ODsUfNuR8A2GzGp3_Gb5oKxa04ZxPCTZ4jQEE</v>
      </c>
    </row>
    <row r="267" ht="15.75" customHeight="1">
      <c r="A267" s="0" t="str">
        <f>IFERROR(__xludf.DUMMYFUNCTION("""COMPUTED_VALUE"""),"TradeServer")</f>
        <v>TradeServer</v>
      </c>
      <c r="B267" s="0" t="str">
        <f>IFERROR(__xludf.DUMMYFUNCTION("""COMPUTED_VALUE"""),"RestartServer")</f>
        <v>RestartServer</v>
      </c>
      <c r="C267" s="0" t="str">
        <f>IFERROR(__xludf.DUMMYFUNCTION("""COMPUTED_VALUE"""),"1bxIll2-_r6nIdBU5BDupSdTWZM-4ZIgSxN2lDwPlyV0")</f>
        <v>1bxIll2-_r6nIdBU5BDupSdTWZM-4ZIgSxN2lDwPlyV0</v>
      </c>
    </row>
    <row r="268" ht="15.75" customHeight="1">
      <c r="A268" s="0" t="str">
        <f>IFERROR(__xludf.DUMMYFUNCTION("""COMPUTED_VALUE"""),"PranaClient")</f>
        <v>PranaClient</v>
      </c>
      <c r="B268" s="0" t="str">
        <f>IFERROR(__xludf.DUMMYFUNCTION("""COMPUTED_VALUE"""),"RestartClient")</f>
        <v>RestartClient</v>
      </c>
      <c r="C268" s="0" t="str">
        <f>IFERROR(__xludf.DUMMYFUNCTION("""COMPUTED_VALUE"""),"1VbNnoezmSIsbkZrumDKpPBQV7dd2w_tXh_5KZD1fS1g")</f>
        <v>1VbNnoezmSIsbkZrumDKpPBQV7dd2w_tXh_5KZD1fS1g</v>
      </c>
    </row>
    <row r="269" ht="15.75" customHeight="1">
      <c r="A269" s="0" t="str">
        <f>IFERROR(__xludf.DUMMYFUNCTION("""COMPUTED_VALUE"""),"PTT")</f>
        <v>PTT</v>
      </c>
      <c r="B269" s="0" t="str">
        <f>IFERROR(__xludf.DUMMYFUNCTION("""COMPUTED_VALUE"""),"CalculatePTT")</f>
        <v>CalculatePTT</v>
      </c>
      <c r="C269" s="0" t="str">
        <f>IFERROR(__xludf.DUMMYFUNCTION("""COMPUTED_VALUE"""),"1nlzyKt77FsFAQVk5JnD-eRJd0GhkFyyq22Np46z4LBQ")</f>
        <v>1nlzyKt77FsFAQVk5JnD-eRJd0GhkFyyq22Np46z4LBQ</v>
      </c>
    </row>
    <row r="270" ht="15.75" customHeight="1">
      <c r="A270" s="0" t="str">
        <f>IFERROR(__xludf.DUMMYFUNCTION("""COMPUTED_VALUE"""),"PTT")</f>
        <v>PTT</v>
      </c>
      <c r="B270" s="0" t="str">
        <f>IFERROR(__xludf.DUMMYFUNCTION("""COMPUTED_VALUE"""),"TradeUsingPTT")</f>
        <v>TradeUsingPTT</v>
      </c>
      <c r="C270" s="0" t="str">
        <f>IFERROR(__xludf.DUMMYFUNCTION("""COMPUTED_VALUE"""),"10dzEbmMqSEFoyEQpGvfRBGkGUrZT9nMgCEU9mLlrjXc")</f>
        <v>10dzEbmMqSEFoyEQpGvfRBGkGUrZT9nMgCEU9mLlrjXc</v>
      </c>
    </row>
    <row r="271" ht="15.75" customHeight="1">
      <c r="A271" s="0" t="str">
        <f>IFERROR(__xludf.DUMMYFUNCTION("""COMPUTED_VALUE"""),"PTT")</f>
        <v>PTT</v>
      </c>
      <c r="B271" s="0" t="str">
        <f>IFERROR(__xludf.DUMMYFUNCTION("""COMPUTED_VALUE"""),"StageOrderUsingPTT")</f>
        <v>StageOrderUsingPTT</v>
      </c>
      <c r="C271" s="0" t="str">
        <f>IFERROR(__xludf.DUMMYFUNCTION("""COMPUTED_VALUE"""),"1QiPkyR6XoPva-Y8Gr2o5tuIKxzA8YGA-Bi26TT3QwUM")</f>
        <v>1QiPkyR6XoPva-Y8Gr2o5tuIKxzA8YGA-Bi26TT3QwUM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IFERROR(__xludf.DUMMYFUNCTION("""COMPUTED_VALUE"""),"CreateOrderPTT")</f>
        <v>CreateOrderPTT</v>
      </c>
      <c r="C272" s="0" t="str">
        <f>IFERROR(__xludf.DUMMYFUNCTION("""COMPUTED_VALUE"""),"1_H_v-FL2GL1VYRQfF102TJK8lcPuFLC2dcFfpVsrOyA")</f>
        <v>1_H_v-FL2GL1VYRQfF102TJK8lcPuFLC2dcFfpVsrOyA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IFERROR(__xludf.DUMMYFUNCTION("""COMPUTED_VALUE"""),"TradePTT")</f>
        <v>TradePTT</v>
      </c>
      <c r="C273" s="0" t="str">
        <f>IFERROR(__xludf.DUMMYFUNCTION("""COMPUTED_VALUE"""),"1_FK3luW0u1bVUl_-uuhjD3pjwJIEAlKxRSV9t7lDgUU")</f>
        <v>1_FK3luW0u1bVUl_-uuhjD3pjwJIEAlKxRSV9t7lDgUU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IFERROR(__xludf.DUMMYFUNCTION("""COMPUTED_VALUE"""),"VerifyPTT")</f>
        <v>VerifyPTT</v>
      </c>
      <c r="C274" s="0" t="str">
        <f>IFERROR(__xludf.DUMMYFUNCTION("""COMPUTED_VALUE"""),"12dAzLg9OkaQ3A4alK8t63FnQc47Y0DtLXmwjEZn8CSw")</f>
        <v>12dAzLg9OkaQ3A4alK8t63FnQc47Y0DtLXmwjEZn8CSw</v>
      </c>
    </row>
    <row r="275" ht="15.75" customHeight="1">
      <c r="A275" s="0" t="str">
        <f>IFERROR(__xludf.DUMMYFUNCTION("""COMPUTED_VALUE"""),"PortfolioManagement")</f>
        <v>PortfolioManagement</v>
      </c>
      <c r="B275" s="0" t="str">
        <f>IFERROR(__xludf.DUMMYFUNCTION("""COMPUTED_VALUE"""),"OpenPTTFromPM")</f>
        <v>OpenPTTFromPM</v>
      </c>
      <c r="C275" s="0" t="str">
        <f>IFERROR(__xludf.DUMMYFUNCTION("""COMPUTED_VALUE"""),"19v7mgj_xrXR2b9J5hjpqub6H625ytQdJy5zpbsnIFH4")</f>
        <v>19v7mgj_xrXR2b9J5hjpqub6H625ytQdJy5zpbsnIFH4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IFERROR(__xludf.DUMMYFUNCTION("""COMPUTED_VALUE"""),"OpenMultiTTFromPTT")</f>
        <v>OpenMultiTTFromPTT</v>
      </c>
      <c r="C276" s="0" t="str">
        <f>IFERROR(__xludf.DUMMYFUNCTION("""COMPUTED_VALUE"""),"1ZIFQW7-ZFHpYjXIplTSB3w5c7JkPAmMEZWZbDpwxjZo")</f>
        <v>1ZIFQW7-ZFHpYjXIplTSB3w5c7JkPAmMEZWZbDpwxjZo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IFERROR(__xludf.DUMMYFUNCTION("""COMPUTED_VALUE"""),"SelectMultiTT")</f>
        <v>SelectMultiTT</v>
      </c>
      <c r="C277" s="0" t="str">
        <f>IFERROR(__xludf.DUMMYFUNCTION("""COMPUTED_VALUE"""),"1JjHe2mZGs8SAE4eN3h87nS9KazhAoVJpI6j0AX_oubY")</f>
        <v>1JjHe2mZGs8SAE4eN3h87nS9KazhAoVJpI6j0AX_oubY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IFERROR(__xludf.DUMMYFUNCTION("""COMPUTED_VALUE"""),"EditMultiTT")</f>
        <v>EditMultiTT</v>
      </c>
      <c r="C278" s="0" t="str">
        <f>IFERROR(__xludf.DUMMYFUNCTION("""COMPUTED_VALUE"""),"1ykZ4MIm4DO4OhMcn3zzi6zmFtHasVXbVlOjaDs3-tq4")</f>
        <v>1ykZ4MIm4DO4OhMcn3zzi6zmFtHasVXbVlOjaDs3-tq4</v>
      </c>
    </row>
    <row r="279" ht="15.75" customHeight="1">
      <c r="A279" s="0" t="str">
        <f>IFERROR(__xludf.DUMMYFUNCTION("""COMPUTED_VALUE"""),"MultiTradingTicket")</f>
        <v>MultiTradingTicket</v>
      </c>
      <c r="B279" s="0" t="str">
        <f>IFERROR(__xludf.DUMMYFUNCTION("""COMPUTED_VALUE"""),"EditTradeUsingMTT")</f>
        <v>EditTradeUsingMTT</v>
      </c>
      <c r="C279" s="0" t="str">
        <f>IFERROR(__xludf.DUMMYFUNCTION("""COMPUTED_VALUE"""),"16apla3tEdh0I55JbktufeygtzLD6sU2RLBlpNGPo6jU")</f>
        <v>16apla3tEdh0I55JbktufeygtzLD6sU2RLBlpNGPo6jU</v>
      </c>
    </row>
    <row r="280" ht="15.75" customHeight="1">
      <c r="A280" s="0" t="str">
        <f>IFERROR(__xludf.DUMMYFUNCTION("""COMPUTED_VALUE"""),"MultiTradingTicket")</f>
        <v>MultiTradingTicket</v>
      </c>
      <c r="B280" s="0" t="str">
        <f>IFERROR(__xludf.DUMMYFUNCTION("""COMPUTED_VALUE"""),"SelectTradeUsingMTT")</f>
        <v>SelectTradeUsingMTT</v>
      </c>
      <c r="C280" s="0" t="str">
        <f>IFERROR(__xludf.DUMMYFUNCTION("""COMPUTED_VALUE"""),"1XPVuFci2z8Xs5bHgq7R4GP5O-nMmceuB3GqwX3XUbMs")</f>
        <v>1XPVuFci2z8Xs5bHgq7R4GP5O-nMmceuB3GqwX3XUbMs</v>
      </c>
    </row>
    <row r="281" ht="15.75" customHeight="1">
      <c r="A281" s="0" t="str">
        <f>IFERROR(__xludf.DUMMYFUNCTION("""COMPUTED_VALUE"""),"MultiTradingTicket")</f>
        <v>MultiTradingTicket</v>
      </c>
      <c r="B281" s="0" t="str">
        <f>IFERROR(__xludf.DUMMYFUNCTION("""COMPUTED_VALUE"""),"GetPriceUsingMTT")</f>
        <v>GetPriceUsingMTT</v>
      </c>
      <c r="C281" s="0" t="str">
        <f>IFERROR(__xludf.DUMMYFUNCTION("""COMPUTED_VALUE"""),"1ykMuKT7G3fZay84WDR96P4BQAMkqahw_GnQUsNX6CUs")</f>
        <v>1ykMuKT7G3fZay84WDR96P4BQAMkqahw_GnQUsNX6CUs</v>
      </c>
    </row>
    <row r="282" ht="15.75" customHeight="1">
      <c r="A282" s="0" t="str">
        <f>IFERROR(__xludf.DUMMYFUNCTION("""COMPUTED_VALUE"""),"MultiTradingTicket")</f>
        <v>MultiTradingTicket</v>
      </c>
      <c r="B282" s="0" t="str">
        <f>IFERROR(__xludf.DUMMYFUNCTION("""COMPUTED_VALUE"""),"DoneAwayUsingMTT")</f>
        <v>DoneAwayUsingMTT</v>
      </c>
      <c r="C282" s="0" t="str">
        <f>IFERROR(__xludf.DUMMYFUNCTION("""COMPUTED_VALUE"""),"12Jx4NXByLH6uo6cPIxdMtXDCyjjQWME89tyeXROMOEI")</f>
        <v>12Jx4NXByLH6uo6cPIxdMtXDCyjjQWME89tyeXROMOEI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IFERROR(__xludf.DUMMYFUNCTION("""COMPUTED_VALUE"""),"SendOrderUsingMTT")</f>
        <v>SendOrderUsingMTT</v>
      </c>
      <c r="C283" s="0" t="str">
        <f>IFERROR(__xludf.DUMMYFUNCTION("""COMPUTED_VALUE"""),"15lHiiD5KNoqjZ_E7zX2pdw18IuAiYsL-UDVc6jfQ3XA")</f>
        <v>15lHiiD5KNoqjZ_E7zX2pdw18IuAiYsL-UDVc6jfQ3XA</v>
      </c>
    </row>
    <row r="284" ht="15.75" customHeight="1">
      <c r="A284" s="0" t="str">
        <f>IFERROR(__xludf.DUMMYFUNCTION("""COMPUTED_VALUE"""),"Allocation")</f>
        <v>Allocation</v>
      </c>
      <c r="B284" s="0" t="str">
        <f>IFERROR(__xludf.DUMMYFUNCTION("""COMPUTED_VALUE"""),"UpdateGRAccountValue")</f>
        <v>UpdateGRAccountValue</v>
      </c>
      <c r="C284" s="0" t="str">
        <f>IFERROR(__xludf.DUMMYFUNCTION("""COMPUTED_VALUE"""),"1ziZg3lBx_aPu8TPjMl_etXMuscnllJoJ-hKOa19ozD8")</f>
        <v>1ziZg3lBx_aPu8TPjMl_etXMuscnllJoJ-hKOa19ozD8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IFERROR(__xludf.DUMMYFUNCTION("""COMPUTED_VALUE"""),"BulkChangeTradeDoneAway")</f>
        <v>BulkChangeTradeDoneAway</v>
      </c>
      <c r="C285" s="0" t="str">
        <f>IFERROR(__xludf.DUMMYFUNCTION("""COMPUTED_VALUE"""),"1deZMQypRUScM3WPe16oDMBJHXNPOEE6OdOQVZzCgqlg")</f>
        <v>1deZMQypRUScM3WPe16oDMBJHXNPOEE6OdOQVZzCgqlg</v>
      </c>
    </row>
    <row r="286" ht="15.75" customHeight="1">
      <c r="A286" s="0" t="str">
        <f>IFERROR(__xludf.DUMMYFUNCTION("""COMPUTED_VALUE"""),"Allocation")</f>
        <v>Allocation</v>
      </c>
      <c r="B286" s="0" t="str">
        <f>IFERROR(__xludf.DUMMYFUNCTION("""COMPUTED_VALUE"""),"UpdateGRStrategyValue")</f>
        <v>UpdateGRStrategyValue</v>
      </c>
      <c r="C286" s="0" t="str">
        <f>IFERROR(__xludf.DUMMYFUNCTION("""COMPUTED_VALUE"""),"1m8KITORxMaLAk_kTE9RoRrZGpX_RqAvqHaJaPvAMN1k")</f>
        <v>1m8KITORxMaLAk_kTE9RoRrZGpX_RqAvqHaJaPvAMN1k</v>
      </c>
    </row>
    <row r="287" ht="15.75" customHeight="1">
      <c r="A287" s="0" t="str">
        <f>IFERROR(__xludf.DUMMYFUNCTION("""COMPUTED_VALUE"""),"Allocation")</f>
        <v>Allocation</v>
      </c>
      <c r="B287" s="0" t="str">
        <f>IFERROR(__xludf.DUMMYFUNCTION("""COMPUTED_VALUE"""),"UpdateGRDefaultRule")</f>
        <v>UpdateGRDefaultRule</v>
      </c>
      <c r="C287" s="0" t="str">
        <f>IFERROR(__xludf.DUMMYFUNCTION("""COMPUTED_VALUE"""),"1pBql_NGTQ6e2Tp98WnKsZdd2-EmEgzai_fwgSes2nfA")</f>
        <v>1pBql_NGTQ6e2Tp98WnKsZdd2-EmEgzai_fwgSes2nfA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IFERROR(__xludf.DUMMYFUNCTION("""COMPUTED_VALUE"""),"UpdateGeneralRulePref")</f>
        <v>UpdateGeneralRulePref</v>
      </c>
      <c r="C288" s="0" t="str">
        <f>IFERROR(__xludf.DUMMYFUNCTION("""COMPUTED_VALUE"""),"undefined")</f>
        <v>undefined</v>
      </c>
    </row>
    <row r="289" ht="15.75" customHeight="1">
      <c r="A289" s="0" t="str">
        <f>IFERROR(__xludf.DUMMYFUNCTION("""COMPUTED_VALUE"""),"Blotter")</f>
        <v>Blotter</v>
      </c>
      <c r="B289" s="0" t="str">
        <f>IFERROR(__xludf.DUMMYFUNCTION("""COMPUTED_VALUE"""),"MultiTradingTicketFromBlotter")</f>
        <v>MultiTradingTicketFromBlotter</v>
      </c>
      <c r="C289" s="0" t="str">
        <f>IFERROR(__xludf.DUMMYFUNCTION("""COMPUTED_VALUE"""),"1el2vWtad5wFUgZD-G2vhj_JEQpXWHjJ20TsLR5e5LPs")</f>
        <v>1el2vWtad5wFUgZD-G2vhj_JEQpXWHjJ20TsLR5e5LPs</v>
      </c>
    </row>
    <row r="290" ht="15.75" customHeight="1">
      <c r="A290" s="0" t="str">
        <f>IFERROR(__xludf.DUMMYFUNCTION("""COMPUTED_VALUE"""),"CleanUp")</f>
        <v>CleanUp</v>
      </c>
      <c r="B290" s="0" t="str">
        <f>IFERROR(__xludf.DUMMYFUNCTION("""COMPUTED_VALUE"""),"DeleteClientData")</f>
        <v>DeleteClientData</v>
      </c>
      <c r="C290" s="0" t="str">
        <f>IFERROR(__xludf.DUMMYFUNCTION("""COMPUTED_VALUE"""),"1gOBL7LK5RLxmH5-hs1IHMpTADwDAYXAONJ6KgNVLtDs")</f>
        <v>1gOBL7LK5RLxmH5-hs1IHMpTADwDAYXAONJ6KgNVLtDs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IFERROR(__xludf.DUMMYFUNCTION("""COMPUTED_VALUE"""),"ModifyGRPreferenceValues")</f>
        <v>ModifyGRPreferenceValues</v>
      </c>
      <c r="C291" s="0" t="str">
        <f>IFERROR(__xludf.DUMMYFUNCTION("""COMPUTED_VALUE"""),"undefined")</f>
        <v>undefined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IFERROR(__xludf.DUMMYFUNCTION("""COMPUTED_VALUE"""),"AddMFPreferences")</f>
        <v>AddMFPreferences</v>
      </c>
      <c r="C292" s="0" t="str">
        <f>IFERROR(__xludf.DUMMYFUNCTION("""COMPUTED_VALUE"""),"1yg-Xv6suVFcIrKHhZALMgS9t4msvFsDbvs7wNuoGR3I")</f>
        <v>1yg-Xv6suVFcIrKHhZALMgS9t4msvFsDbvs7wNuoGR3I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IFERROR(__xludf.DUMMYFUNCTION("""COMPUTED_VALUE"""),"AddMFPreferenceToolbar")</f>
        <v>AddMFPreferenceToolbar</v>
      </c>
      <c r="C293" s="0" t="str">
        <f>IFERROR(__xludf.DUMMYFUNCTION("""COMPUTED_VALUE"""),"1-cH_lnOgKQ1kVk7m6ulPrC1FoXeCqZ4vubHVYxrwQpk")</f>
        <v>1-cH_lnOgKQ1kVk7m6ulPrC1FoXeCqZ4vubHVYxrwQpk</v>
      </c>
    </row>
    <row r="294" ht="15.75" customHeight="1">
      <c r="A294" s="0" t="str">
        <f>IFERROR(__xludf.DUMMYFUNCTION("""COMPUTED_VALUE"""),"Allocation")</f>
        <v>Allocation</v>
      </c>
      <c r="B294" s="0" t="str">
        <f>IFERROR(__xludf.DUMMYFUNCTION("""COMPUTED_VALUE"""),"DeleteMFPreferences")</f>
        <v>DeleteMFPreferences</v>
      </c>
      <c r="C294" s="0" t="str">
        <f>IFERROR(__xludf.DUMMYFUNCTION("""COMPUTED_VALUE"""),"14mYs8ZnER2nYec1-jsXJ6oDp-Vw4B_Jq1BBaYBTraJQ")</f>
        <v>14mYs8ZnER2nYec1-jsXJ6oDp-Vw4B_Jq1BBaYBTraJQ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IFERROR(__xludf.DUMMYFUNCTION("""COMPUTED_VALUE"""),"DeleteMFPreferenceToolbar")</f>
        <v>DeleteMFPreferenceToolbar</v>
      </c>
      <c r="C295" s="0" t="str">
        <f>IFERROR(__xludf.DUMMYFUNCTION("""COMPUTED_VALUE"""),"1p2gNYBHk_zK7IVosy1KF26530YQABTpkgHuzRoHEtrE")</f>
        <v>1p2gNYBHk_zK7IVosy1KF26530YQABTpkgHuzRoHEtrE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IFERROR(__xludf.DUMMYFUNCTION("""COMPUTED_VALUE"""),"RenameMFPreferences")</f>
        <v>RenameMFPreferences</v>
      </c>
      <c r="C296" s="0" t="str">
        <f>IFERROR(__xludf.DUMMYFUNCTION("""COMPUTED_VALUE"""),"1-fTs6_RktuYpTbjZRrT_FVnPuHToyVZ28RezlVOilDQ")</f>
        <v>1-fTs6_RktuYpTbjZRrT_FVnPuHToyVZ28RezlVOilDQ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IFERROR(__xludf.DUMMYFUNCTION("""COMPUTED_VALUE"""),"SaveCloseMFPreference")</f>
        <v>SaveCloseMFPreference</v>
      </c>
      <c r="C297" s="0" t="str">
        <f>IFERROR(__xludf.DUMMYFUNCTION("""COMPUTED_VALUE"""),"undefined")</f>
        <v>undefined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IFERROR(__xludf.DUMMYFUNCTION("""COMPUTED_VALUE"""),"SetMFPrefAccountValues")</f>
        <v>SetMFPrefAccountValues</v>
      </c>
      <c r="C298" s="0" t="str">
        <f>IFERROR(__xludf.DUMMYFUNCTION("""COMPUTED_VALUE"""),"1fsW3FLBLQSnAB1FTWbZOYZ1c8y_T0pXdchJoJKojQ5U")</f>
        <v>1fsW3FLBLQSnAB1FTWbZOYZ1c8y_T0pXdchJoJKojQ5U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IFERROR(__xludf.DUMMYFUNCTION("""COMPUTED_VALUE"""),"ModifyMFPrefGeneralRuleValues")</f>
        <v>ModifyMFPrefGeneralRuleValues</v>
      </c>
      <c r="C299" s="0" t="str">
        <f>IFERROR(__xludf.DUMMYFUNCTION("""COMPUTED_VALUE"""),"undefined")</f>
        <v>undefined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IFERROR(__xludf.DUMMYFUNCTION("""COMPUTED_VALUE"""),"SetMFPrefStrategyValues")</f>
        <v>SetMFPrefStrategyValues</v>
      </c>
      <c r="C300" s="0" t="str">
        <f>IFERROR(__xludf.DUMMYFUNCTION("""COMPUTED_VALUE"""),"1RdLSqhBlKnI7H96oYs9VsGECGlykHpR2OqPkN9FwCpA")</f>
        <v>1RdLSqhBlKnI7H96oYs9VsGECGlykHpR2OqPkN9FwCpA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IFERROR(__xludf.DUMMYFUNCTION("""COMPUTED_VALUE"""),"SetMFPrefGeneralRule")</f>
        <v>SetMFPrefGeneralRule</v>
      </c>
      <c r="C301" s="0" t="str">
        <f>IFERROR(__xludf.DUMMYFUNCTION("""COMPUTED_VALUE"""),"1IJ0ITE6kAXc0SGfd95PYFTvX-K-fjbi9rjfbaVF_8_o")</f>
        <v>1IJ0ITE6kAXc0SGfd95PYFTvX-K-fjbi9rjfbaVF_8_o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IFERROR(__xludf.DUMMYFUNCTION("""COMPUTED_VALUE"""),"SetMFPrefFundDistribution")</f>
        <v>SetMFPrefFundDistribution</v>
      </c>
      <c r="C302" s="0" t="str">
        <f>IFERROR(__xludf.DUMMYFUNCTION("""COMPUTED_VALUE"""),"1JXgefFxiOZYiu3nvqHgqGC5961DevvA1p-zE8Q1gFmQ")</f>
        <v>1JXgefFxiOZYiu3nvqHgqGC5961DevvA1p-zE8Q1gFmQ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IFERROR(__xludf.DUMMYFUNCTION("""COMPUTED_VALUE"""),"SetMFPreferencesDefaultRule")</f>
        <v>SetMFPreferencesDefaultRule</v>
      </c>
      <c r="C303" s="0" t="str">
        <f>IFERROR(__xludf.DUMMYFUNCTION("""COMPUTED_VALUE"""),"1FaRUR8eAdOKdosN0J6gNT494O3LIUjOW6UENL8-QaqI")</f>
        <v>1FaRUR8eAdOKdosN0J6gNT494O3LIUjOW6UENL8-QaqI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IFERROR(__xludf.DUMMYFUNCTION("""COMPUTED_VALUE"""),"SetMFPrefFundDefaultRule")</f>
        <v>SetMFPrefFundDefaultRule</v>
      </c>
      <c r="C304" s="0" t="str">
        <f>IFERROR(__xludf.DUMMYFUNCTION("""COMPUTED_VALUE"""),"1aTAOxKd-OKfDMtOkbD2qjNA7heK3JaL80oWOPJWR-m4")</f>
        <v>1aTAOxKd-OKfDMtOkbD2qjNA7heK3JaL80oWOPJWR-m4</v>
      </c>
    </row>
    <row r="305" ht="15.75" customHeight="1">
      <c r="A305" s="0" t="str">
        <f>IFERROR(__xludf.DUMMYFUNCTION("""COMPUTED_VALUE"""),"PTT")</f>
        <v>PTT</v>
      </c>
      <c r="B305" s="0" t="str">
        <f>IFERROR(__xludf.DUMMYFUNCTION("""COMPUTED_VALUE"""),"SetAccountFactor")</f>
        <v>SetAccountFactor</v>
      </c>
      <c r="C305" s="0" t="str">
        <f>IFERROR(__xludf.DUMMYFUNCTION("""COMPUTED_VALUE"""),"1iC5h3lmVz1lkFi3hXF5Nay_GLbs1D6oy7-RHYXL-GIo")</f>
        <v>1iC5h3lmVz1lkFi3hXF5Nay_GLbs1D6oy7-RHYXL-GIo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IFERROR(__xludf.DUMMYFUNCTION("""COMPUTED_VALUE"""),"ClearPrefetchFilters")</f>
        <v>ClearPrefetchFilters</v>
      </c>
      <c r="C306" s="0" t="str">
        <f>IFERROR(__xludf.DUMMYFUNCTION("""COMPUTED_VALUE"""),"undefined")</f>
        <v>undefined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IFERROR(__xludf.DUMMYFUNCTION("""COMPUTED_VALUE"""),"ExpandCollapseAllUnallocated")</f>
        <v>ExpandCollapseAllUnallocated</v>
      </c>
      <c r="C307" s="0" t="str">
        <f>IFERROR(__xludf.DUMMYFUNCTION("""COMPUTED_VALUE"""),"1aaU_cMiBcryIk1mv61Bk8nzw1uuGyeojYzruzun4vn4")</f>
        <v>1aaU_cMiBcryIk1mv61Bk8nzw1uuGyeojYzruzun4vn4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IFERROR(__xludf.DUMMYFUNCTION("""COMPUTED_VALUE"""),"ExpandCollapseAllAllocated")</f>
        <v>ExpandCollapseAllAllocated</v>
      </c>
      <c r="C308" s="0" t="str">
        <f>IFERROR(__xludf.DUMMYFUNCTION("""COMPUTED_VALUE"""),"15Ue38beZCcRwHWaVV0RfQpiUhL8BQtHdJOWFk8Vn8nU")</f>
        <v>15Ue38beZCcRwHWaVV0RfQpiUhL8BQtHdJOWFk8Vn8nU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IFERROR(__xludf.DUMMYFUNCTION("""COMPUTED_VALUE"""),"GenerateCashTransaction")</f>
        <v>GenerateCashTransaction</v>
      </c>
      <c r="C309" s="0" t="str">
        <f>IFERROR(__xludf.DUMMYFUNCTION("""COMPUTED_VALUE"""),"17KJQ2JG3exSQFsCEREc0fo3OlCzwQ87QrIrxDvJOTL0")</f>
        <v>17KJQ2JG3exSQFsCEREc0fo3OlCzwQ87QrIrxDvJOTL0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IFERROR(__xludf.DUMMYFUNCTION("""COMPUTED_VALUE"""),"SaveAllocation")</f>
        <v>SaveAllocation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IFERROR(__xludf.DUMMYFUNCTION("""COMPUTED_VALUE"""),"UnallocateWithOutSave")</f>
        <v>UnallocateWithOutSave</v>
      </c>
      <c r="C311" s="0" t="str">
        <f>IFERROR(__xludf.DUMMYFUNCTION("""COMPUTED_VALUE"""),"1BBuNgcMvzUvD-gZVr3XXF6T3_SSkXRMD323rt_wpPKQ")</f>
        <v>1BBuNgcMvzUvD-gZVr3XXF6T3_SSkXRMD323rt_wpPKQ</v>
      </c>
    </row>
    <row r="312" ht="15.75" customHeight="1">
      <c r="A312" s="0" t="str">
        <f>IFERROR(__xludf.DUMMYFUNCTION("""COMPUTED_VALUE"""),"TradeServer")</f>
        <v>TradeServer</v>
      </c>
      <c r="B312" s="0" t="str">
        <f>IFERROR(__xludf.DUMMYFUNCTION("""COMPUTED_VALUE"""),"UpdateServerConfig")</f>
        <v>UpdateServerConfig</v>
      </c>
      <c r="C312" s="0" t="str">
        <f>IFERROR(__xludf.DUMMYFUNCTION("""COMPUTED_VALUE"""),"1MPicLh4_cRx3ynhn68KNyk7US2TRsT--AJ1FJ5xfra0")</f>
        <v>1MPicLh4_cRx3ynhn68KNyk7US2TRsT--AJ1FJ5xfra0</v>
      </c>
    </row>
    <row r="313" ht="15.75" customHeight="1">
      <c r="A313" s="0" t="str">
        <f>IFERROR(__xludf.DUMMYFUNCTION("""COMPUTED_VALUE"""),"PricingServer")</f>
        <v>PricingServer</v>
      </c>
      <c r="B313" s="0" t="str">
        <f>IFERROR(__xludf.DUMMYFUNCTION("""COMPUTED_VALUE"""),"UpdatePricingConfig")</f>
        <v>UpdatePricingConfig</v>
      </c>
      <c r="C313" s="0" t="str">
        <f>IFERROR(__xludf.DUMMYFUNCTION("""COMPUTED_VALUE"""),"1zJpo_fvgHnAOKIroxu4Yg4YOEDG9ihIiNdRpdZkyouY")</f>
        <v>1zJpo_fvgHnAOKIroxu4Yg4YOEDG9ihIiNdRpdZkyouY</v>
      </c>
    </row>
    <row r="314" ht="15.75" customHeight="1">
      <c r="A314" s="0" t="str">
        <f>IFERROR(__xludf.DUMMYFUNCTION("""COMPUTED_VALUE"""),"PranaClient")</f>
        <v>PranaClient</v>
      </c>
      <c r="B314" s="0" t="str">
        <f>IFERROR(__xludf.DUMMYFUNCTION("""COMPUTED_VALUE"""),"UpdateClientConfig")</f>
        <v>UpdateClientConfig</v>
      </c>
      <c r="C314" s="0" t="str">
        <f>IFERROR(__xludf.DUMMYFUNCTION("""COMPUTED_VALUE"""),"1rclWjN3ooT5nL8wJDLv7VJcrOapNKjyFsXn1lWIijgU")</f>
        <v>1rclWjN3ooT5nL8wJDLv7VJcrOapNKjyFsXn1lWIijgU</v>
      </c>
    </row>
    <row r="315" ht="15.75" customHeight="1">
      <c r="A315" s="0" t="str">
        <f>IFERROR(__xludf.DUMMYFUNCTION("""COMPUTED_VALUE"""),"PortfolioManagement")</f>
        <v>PortfolioManagement</v>
      </c>
      <c r="B315" s="0" t="str">
        <f>IFERROR(__xludf.DUMMYFUNCTION("""COMPUTED_VALUE"""),"OpenClosingFromPM")</f>
        <v>OpenClosingFromPM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IFERROR(__xludf.DUMMYFUNCTION("""COMPUTED_VALUE"""),"PortfolioManagement")</f>
        <v>PortfolioManagement</v>
      </c>
      <c r="B316" s="0" t="str">
        <f>IFERROR(__xludf.DUMMYFUNCTION("""COMPUTED_VALUE"""),"OpenCorporateActionFromPM")</f>
        <v>OpenCorporateActionFromPM</v>
      </c>
      <c r="C316" s="0" t="str">
        <f>IFERROR(__xludf.DUMMYFUNCTION("""COMPUTED_VALUE"""),"undefined")</f>
        <v>undefined</v>
      </c>
    </row>
    <row r="317" ht="15.75" customHeight="1">
      <c r="A317" s="0" t="str">
        <f>IFERROR(__xludf.DUMMYFUNCTION("""COMPUTED_VALUE"""),"PortfolioManagement")</f>
        <v>PortfolioManagement</v>
      </c>
      <c r="B317" s="0" t="str">
        <f>IFERROR(__xludf.DUMMYFUNCTION("""COMPUTED_VALUE"""),"OpenDailyValuationFromPM")</f>
        <v>OpenDailyValuationFromPM</v>
      </c>
      <c r="C317" s="0" t="str">
        <f>IFERROR(__xludf.DUMMYFUNCTION("""COMPUTED_VALUE"""),"undefined")</f>
        <v>undefined</v>
      </c>
    </row>
    <row r="318" ht="15.75" customHeight="1">
      <c r="A318" s="0" t="str">
        <f>IFERROR(__xludf.DUMMYFUNCTION("""COMPUTED_VALUE"""),"PortfolioManagement")</f>
        <v>PortfolioManagement</v>
      </c>
      <c r="B318" s="0" t="str">
        <f>IFERROR(__xludf.DUMMYFUNCTION("""COMPUTED_VALUE"""),"ClosePositionFromPM")</f>
        <v>ClosePositionFromPM</v>
      </c>
      <c r="C318" s="0" t="str">
        <f>IFERROR(__xludf.DUMMYFUNCTION("""COMPUTED_VALUE"""),"1eVMpcX298QLEFSZ68GvnaqAVsPnc1_WsBBr6lGLL_xk")</f>
        <v>1eVMpcX298QLEFSZ68GvnaqAVsPnc1_WsBBr6lGLL_xk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IFERROR(__xludf.DUMMYFUNCTION("""COMPUTED_VALUE"""),"ShowSummaryToolFromPM")</f>
        <v>ShowSummaryToolFromPM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IFERROR(__xludf.DUMMYFUNCTION("""COMPUTED_VALUE"""),"HideSummaryToolFromPM")</f>
        <v>HideSummaryToolFromPM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IFERROR(__xludf.DUMMYFUNCTION("""COMPUTED_VALUE"""),"CloseAccountPositionFromPM")</f>
        <v>CloseAccountPositionFromPM</v>
      </c>
      <c r="C321" s="0" t="str">
        <f>IFERROR(__xludf.DUMMYFUNCTION("""COMPUTED_VALUE"""),"1G7aw6OsfKe48YJ4wZlpaiwUF7EyEmGjzKmTHSnLwsjM")</f>
        <v>1G7aw6OsfKe48YJ4wZlpaiwUF7EyEmGjzKmTHSnLwsjM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IFERROR(__xludf.DUMMYFUNCTION("""COMPUTED_VALUE"""),"CloseSelectedTaxlotsFromPM")</f>
        <v>CloseSelectedTaxlotsFromPM</v>
      </c>
      <c r="C322" s="0" t="str">
        <f>IFERROR(__xludf.DUMMYFUNCTION("""COMPUTED_VALUE"""),"1YDZT2-LkX-MtNExlMwysopJtKzIHr8GDRqmX7oNqceY")</f>
        <v>1YDZT2-LkX-MtNExlMwysopJtKzIHr8GDRqmX7oNqceY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IFERROR(__xludf.DUMMYFUNCTION("""COMPUTED_VALUE"""),"ExpandCollapsePM")</f>
        <v>ExpandCollapsePM</v>
      </c>
      <c r="C323" s="0" t="str">
        <f>IFERROR(__xludf.DUMMYFUNCTION("""COMPUTED_VALUE"""),"1M7t0Pc0QArtvID6fnn4iOri5a5SS5W6RhUNxDg4qxyM")</f>
        <v>1M7t0Pc0QArtvID6fnn4iOri5a5SS5W6RhUNxDg4qxyM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IFERROR(__xludf.DUMMYFUNCTION("""COMPUTED_VALUE"""),"AddCustomViewPM")</f>
        <v>AddCustomViewPM</v>
      </c>
      <c r="C324" s="0" t="str">
        <f>IFERROR(__xludf.DUMMYFUNCTION("""COMPUTED_VALUE"""),"13piHoSaVK7A8I4KAXLsA5Men3ngoqvqpTG-lZD_1KUo")</f>
        <v>13piHoSaVK7A8I4KAXLsA5Men3ngoqvqpTG-lZD_1KUo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IFERROR(__xludf.DUMMYFUNCTION("""COMPUTED_VALUE"""),"AddCustomViewRightClickPM")</f>
        <v>AddCustomViewRightClickPM</v>
      </c>
      <c r="C325" s="0" t="str">
        <f>IFERROR(__xludf.DUMMYFUNCTION("""COMPUTED_VALUE"""),"1k8C-LBwz3GlNV3C5E3QvzqBFewYG5vG9ugiipS-_zD4")</f>
        <v>1k8C-LBwz3GlNV3C5E3QvzqBFewYG5vG9ugiipS-_zD4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IFERROR(__xludf.DUMMYFUNCTION("""COMPUTED_VALUE"""),"RenameCustomViewPM")</f>
        <v>RenameCustomViewPM</v>
      </c>
      <c r="C326" s="0" t="str">
        <f>IFERROR(__xludf.DUMMYFUNCTION("""COMPUTED_VALUE"""),"1ncl7te4f_dGYzCuZzxcRCwr4yZrX3tLKvh23s23mlUQ")</f>
        <v>1ncl7te4f_dGYzCuZzxcRCwr4yZrX3tLKvh23s23mlUQ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IFERROR(__xludf.DUMMYFUNCTION("""COMPUTED_VALUE"""),"DeleteCustomViewPM")</f>
        <v>DeleteCustomViewPM</v>
      </c>
      <c r="C327" s="0" t="str">
        <f>IFERROR(__xludf.DUMMYFUNCTION("""COMPUTED_VALUE"""),"1vAN2zxByVTbuFRgUg-THlwpw7k28QMwQHGoxf_n8Ges")</f>
        <v>1vAN2zxByVTbuFRgUg-THlwpw7k28QMwQHGoxf_n8Ges</v>
      </c>
    </row>
    <row r="328" ht="15.75" customHeight="1">
      <c r="A328" s="0" t="str">
        <f>IFERROR(__xludf.DUMMYFUNCTION("""COMPUTED_VALUE"""),"Closing")</f>
        <v>Closing</v>
      </c>
      <c r="B328" s="0" t="str">
        <f>IFERROR(__xludf.DUMMYFUNCTION("""COMPUTED_VALUE"""),"SetClosingPreference")</f>
        <v>SetClosingPreference</v>
      </c>
      <c r="C328" s="0" t="str">
        <f>IFERROR(__xludf.DUMMYFUNCTION("""COMPUTED_VALUE"""),"1oTTQbLhHic8oL_svmQ0qdjBVLpJCcQnyu-u9b8rHbtE")</f>
        <v>1oTTQbLhHic8oL_svmQ0qdjBVLpJCcQnyu-u9b8rHbtE</v>
      </c>
    </row>
    <row r="329" ht="15.75" customHeight="1">
      <c r="A329" s="0" t="str">
        <f>IFERROR(__xludf.DUMMYFUNCTION("""COMPUTED_VALUE"""),"CreateTransaction")</f>
        <v>CreateTransaction</v>
      </c>
      <c r="B329" s="0" t="str">
        <f>IFERROR(__xludf.DUMMYFUNCTION("""COMPUTED_VALUE"""),"SaveTransaction")</f>
        <v>SaveTransaction</v>
      </c>
      <c r="C329" s="0" t="str">
        <f>IFERROR(__xludf.DUMMYFUNCTION("""COMPUTED_VALUE"""),"undefined")</f>
        <v>undefined</v>
      </c>
    </row>
    <row r="330" ht="15.75" customHeight="1">
      <c r="A330" s="0" t="str">
        <f>IFERROR(__xludf.DUMMYFUNCTION("""COMPUTED_VALUE"""),"Allocation")</f>
        <v>Allocation</v>
      </c>
      <c r="B330" s="0" t="str">
        <f>IFERROR(__xludf.DUMMYFUNCTION("""COMPUTED_VALUE"""),"EditUnallocatedGrid")</f>
        <v>EditUnallocatedGrid</v>
      </c>
      <c r="C330" s="0" t="str">
        <f>IFERROR(__xludf.DUMMYFUNCTION("""COMPUTED_VALUE"""),"1Eg48tr0_jcvY-tLu_SbsvR2u64NRBp2N6ZODjJbPWF0")</f>
        <v>1Eg48tr0_jcvY-tLu_SbsvR2u64NRBp2N6ZODjJbPWF0</v>
      </c>
    </row>
    <row r="331" ht="15.75" customHeight="1">
      <c r="A331" s="0" t="str">
        <f>IFERROR(__xludf.DUMMYFUNCTION("""COMPUTED_VALUE"""),"Allocation")</f>
        <v>Allocation</v>
      </c>
      <c r="B331" s="0" t="str">
        <f>IFERROR(__xludf.DUMMYFUNCTION("""COMPUTED_VALUE"""),"EditAllocatedGrid")</f>
        <v>EditAllocatedGrid</v>
      </c>
      <c r="C331" s="0" t="str">
        <f>IFERROR(__xludf.DUMMYFUNCTION("""COMPUTED_VALUE"""),"1jumsAa4jYebpWTdXyCrsYPMpgMy3AAAb0E6m3pq9zfQ")</f>
        <v>1jumsAa4jYebpWTdXyCrsYPMpgMy3AAAb0E6m3pq9zfQ</v>
      </c>
    </row>
    <row r="332" ht="15.75" customHeight="1">
      <c r="A332" s="0" t="str">
        <f>IFERROR(__xludf.DUMMYFUNCTION("""COMPUTED_VALUE"""),"PTT")</f>
        <v>PTT</v>
      </c>
      <c r="B332" s="0" t="str">
        <f>IFERROR(__xludf.DUMMYFUNCTION("""COMPUTED_VALUE"""),"SetPTTPreference")</f>
        <v>SetPTTPreference</v>
      </c>
      <c r="C332" s="0" t="str">
        <f>IFERROR(__xludf.DUMMYFUNCTION("""COMPUTED_VALUE"""),"1IWThU1tr1c83LHshXuPtQhnsEDrVfBxHlVdCTs3_gI0")</f>
        <v>1IWThU1tr1c83LHshXuPtQhnsEDrVfBxHlVdCTs3_gI0</v>
      </c>
    </row>
    <row r="333" ht="15.75" customHeight="1">
      <c r="A333" s="0" t="str">
        <f>IFERROR(__xludf.DUMMYFUNCTION("""COMPUTED_VALUE"""),"PTT")</f>
        <v>PTT</v>
      </c>
      <c r="B333" s="0" t="str">
        <f>IFERROR(__xludf.DUMMYFUNCTION("""COMPUTED_VALUE"""),"SetLongShortPTTPreference")</f>
        <v>SetLongShortPTTPreference</v>
      </c>
      <c r="C333" s="0" t="str">
        <f>IFERROR(__xludf.DUMMYFUNCTION("""COMPUTED_VALUE"""),"18YN65KpXjKBHvfHbcTAJVt8VQ29ANoekyOrzV_UinlU")</f>
        <v>18YN65KpXjKBHvfHbcTAJVt8VQ29ANoekyOrzV_UinlU</v>
      </c>
    </row>
    <row r="334" ht="15.75" customHeight="1">
      <c r="A334" s="0" t="str">
        <f>IFERROR(__xludf.DUMMYFUNCTION("""COMPUTED_VALUE"""),"TradingTicket")</f>
        <v>TradingTicket</v>
      </c>
      <c r="B334" s="0" t="str">
        <f>IFERROR(__xludf.DUMMYFUNCTION("""COMPUTED_VALUE"""),"VerifyTT")</f>
        <v>VerifyTT</v>
      </c>
      <c r="C334" s="0" t="str">
        <f>IFERROR(__xludf.DUMMYFUNCTION("""COMPUTED_VALUE"""),"1aAKrLLBUkdPmY-u1TvvBjiwsLoIqEjpaZv0vuuwgDXc")</f>
        <v>1aAKrLLBUkdPmY-u1TvvBjiwsLoIqEjpaZv0vuuwgDXc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IFERROR(__xludf.DUMMYFUNCTION("""COMPUTED_VALUE"""),"SaveLayoutAllocatedGrid")</f>
        <v>SaveLayoutAllocatedGrid</v>
      </c>
      <c r="C335" s="0" t="str">
        <f>IFERROR(__xludf.DUMMYFUNCTION("""COMPUTED_VALUE"""),"1STRhvXDmA77-EUfXkerb9M6KavHQa6ufPlKbKQFnacs")</f>
        <v>1STRhvXDmA77-EUfXkerb9M6KavHQa6ufPlKbKQFnacs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IFERROR(__xludf.DUMMYFUNCTION("""COMPUTED_VALUE"""),"SaveLayoutUnallocatedGrid")</f>
        <v>SaveLayoutUnallocatedGrid</v>
      </c>
      <c r="C336" s="0" t="str">
        <f>IFERROR(__xludf.DUMMYFUNCTION("""COMPUTED_VALUE"""),"1eQ3bSd8sNOPS2QEo6_h1dSmrCHItkDjuQE6HDsmi2A4")</f>
        <v>1eQ3bSd8sNOPS2QEo6_h1dSmrCHItkDjuQE6HDsmi2A4</v>
      </c>
    </row>
    <row r="337" ht="15.75" customHeight="1">
      <c r="A337" s="0" t="str">
        <f>IFERROR(__xludf.DUMMYFUNCTION("""COMPUTED_VALUE"""),"Allocation")</f>
        <v>Allocation</v>
      </c>
      <c r="B337" s="0" t="str">
        <f>IFERROR(__xludf.DUMMYFUNCTION("""COMPUTED_VALUE"""),"SaveLayoutAllocationUI")</f>
        <v>SaveLayoutAllocationUI</v>
      </c>
      <c r="C337" s="0" t="str">
        <f>IFERROR(__xludf.DUMMYFUNCTION("""COMPUTED_VALUE"""),"12FTcBcbaShH13w8bkrZeiFv_kNMJJP9FHGmxLKHRaus")</f>
        <v>12FTcBcbaShH13w8bkrZeiFv_kNMJJP9FHGmxLKHRaus</v>
      </c>
    </row>
    <row r="338" ht="15.75" customHeight="1">
      <c r="A338" s="0" t="str">
        <f>IFERROR(__xludf.DUMMYFUNCTION("""COMPUTED_VALUE"""),"Allocation")</f>
        <v>Allocation</v>
      </c>
      <c r="B338" s="0" t="str">
        <f>IFERROR(__xludf.DUMMYFUNCTION("""COMPUTED_VALUE"""),"ClearFiltersAllocatedGrid")</f>
        <v>ClearFiltersAllocatedGrid</v>
      </c>
      <c r="C338" s="0" t="str">
        <f>IFERROR(__xludf.DUMMYFUNCTION("""COMPUTED_VALUE"""),"undefined")</f>
        <v>undefined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IFERROR(__xludf.DUMMYFUNCTION("""COMPUTED_VALUE"""),"ClearFiltersUnallocatedGrid")</f>
        <v>ClearFiltersUnallocatedGrid</v>
      </c>
      <c r="C339" s="0" t="str">
        <f>IFERROR(__xludf.DUMMYFUNCTION("""COMPUTED_VALUE"""),"undefined")</f>
        <v>undefined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IFERROR(__xludf.DUMMYFUNCTION("""COMPUTED_VALUE"""),"VerifyLayoutAllocatedGrid")</f>
        <v>VerifyLayoutAllocatedGrid</v>
      </c>
      <c r="C340" s="0" t="str">
        <f>IFERROR(__xludf.DUMMYFUNCTION("""COMPUTED_VALUE"""),"1CwPykEk7zMYYVBkEvkTfslvYso3Klr69YGyT7h7jC8g")</f>
        <v>1CwPykEk7zMYYVBkEvkTfslvYso3Klr69YGyT7h7jC8g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IFERROR(__xludf.DUMMYFUNCTION("""COMPUTED_VALUE"""),"VerifyLayoutUnallocatedGrid")</f>
        <v>VerifyLayoutUnallocatedGrid</v>
      </c>
      <c r="C341" s="0" t="str">
        <f>IFERROR(__xludf.DUMMYFUNCTION("""COMPUTED_VALUE"""),"1yX-FUpbSMuYg2jkSUK8wa37Ri2EzHCqLAyUV1GkKGxQ")</f>
        <v>1yX-FUpbSMuYg2jkSUK8wa37Ri2EzHCqLAyUV1GkKGxQ</v>
      </c>
    </row>
    <row r="342" ht="15.75" customHeight="1">
      <c r="A342" s="0" t="str">
        <f>IFERROR(__xludf.DUMMYFUNCTION("""COMPUTED_VALUE"""),"DailyValuation")</f>
        <v>DailyValuation</v>
      </c>
      <c r="B342" s="0" t="str">
        <f>IFERROR(__xludf.DUMMYFUNCTION("""COMPUTED_VALUE"""),"UpdateForexConversionMonthly")</f>
        <v>UpdateForexConversionMonthly</v>
      </c>
      <c r="C342" s="0" t="str">
        <f>IFERROR(__xludf.DUMMYFUNCTION("""COMPUTED_VALUE"""),"1AUGavKEtSuKHgAjuYtsiF071G0-SoUFfzD6Y42IYV7g")</f>
        <v>1AUGavKEtSuKHgAjuYtsiF071G0-SoUFfzD6Y42IYV7g</v>
      </c>
    </row>
    <row r="343" ht="15.75" customHeight="1">
      <c r="A343" s="0" t="str">
        <f>IFERROR(__xludf.DUMMYFUNCTION("""COMPUTED_VALUE"""),"GeneralLedger")</f>
        <v>GeneralLedger</v>
      </c>
      <c r="B343" s="0" t="str">
        <f>IFERROR(__xludf.DUMMYFUNCTION("""COMPUTED_VALUE"""),"SaveTransaction")</f>
        <v>SaveTransaction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IFERROR(__xludf.DUMMYFUNCTION("""COMPUTED_VALUE"""),"DailyValuation")</f>
        <v>DailyValuation</v>
      </c>
      <c r="B344" s="0" t="str">
        <f>IFERROR(__xludf.DUMMYFUNCTION("""COMPUTED_VALUE"""),"UpdateMarkPriceMonthly")</f>
        <v>UpdateMarkPriceMonthly</v>
      </c>
      <c r="C344" s="0" t="str">
        <f>IFERROR(__xludf.DUMMYFUNCTION("""COMPUTED_VALUE"""),"1bdWChE4lhNkRFvBKdaIRusR869a1vAjS5u0gpQB83gg")</f>
        <v>1bdWChE4lhNkRFvBKdaIRusR869a1vAjS5u0gpQB83gg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IFERROR(__xludf.DUMMYFUNCTION("""COMPUTED_VALUE"""),"CleanUp")</f>
        <v>CleanUp</v>
      </c>
      <c r="C345" s="0" t="str">
        <f>IFERROR(__xludf.DUMMYFUNCTION("""COMPUTED_VALUE"""),"1wpP_Any4jtABxcsXGPSKAO7xmt0PgI3SAKvkYdj0XNk")</f>
        <v>1wpP_Any4jtABxcsXGPSKAO7xmt0PgI3SAKvkYdj0XNk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IFERROR(__xludf.DUMMYFUNCTION("""COMPUTED_VALUE"""),"CheckAllocatedTaxlots")</f>
        <v>CheckAllocatedTaxlots</v>
      </c>
      <c r="C346" s="0" t="str">
        <f>IFERROR(__xludf.DUMMYFUNCTION("""COMPUTED_VALUE"""),"1YqC1JbdGvSDN-uKdsTx8E6wcPDlCy33jsQ4uTHe1Ea0")</f>
        <v>1YqC1JbdGvSDN-uKdsTx8E6wcPDlCy33jsQ4uTHe1Ea0</v>
      </c>
    </row>
    <row r="347" ht="15.75" customHeight="1">
      <c r="A347" s="0" t="str">
        <f>IFERROR(__xludf.DUMMYFUNCTION("""COMPUTED_VALUE"""),"Closing")</f>
        <v>Closing</v>
      </c>
      <c r="B347" s="0" t="str">
        <f>IFERROR(__xludf.DUMMYFUNCTION("""COMPUTED_VALUE"""),"EditTradeUnexpiredUnsettled")</f>
        <v>EditTradeUnexpiredUnsettled</v>
      </c>
      <c r="C347" s="0" t="str">
        <f>IFERROR(__xludf.DUMMYFUNCTION("""COMPUTED_VALUE"""),"1BgKv-LW3Zj48Qo2Ee7DjbP2A-k7zRQ6Y25DwtcXod04")</f>
        <v>1BgKv-LW3Zj48Qo2Ee7DjbP2A-k7zRQ6Y25DwtcXod04</v>
      </c>
    </row>
    <row r="348" ht="15.75" customHeight="1">
      <c r="A348" s="0" t="str">
        <f>IFERROR(__xludf.DUMMYFUNCTION("""COMPUTED_VALUE"""),"ThirdParty")</f>
        <v>ThirdParty</v>
      </c>
      <c r="B348" s="0" t="str">
        <f>IFERROR(__xludf.DUMMYFUNCTION("""COMPUTED_VALUE"""),"VerifyThirdPartyView")</f>
        <v>VerifyThirdPartyView</v>
      </c>
      <c r="C348" s="0" t="str">
        <f>IFERROR(__xludf.DUMMYFUNCTION("""COMPUTED_VALUE"""),"1Bhq-a_LzI2roHS4ah4FyrUJ2yYXN7T16HEPh2paEGp8")</f>
        <v>1Bhq-a_LzI2roHS4ah4FyrUJ2yYXN7T16HEPh2paEGp8</v>
      </c>
    </row>
    <row r="349" ht="15.75" customHeight="1">
      <c r="A349" s="0" t="str">
        <f>IFERROR(__xludf.DUMMYFUNCTION("""COMPUTED_VALUE"""),"Compliance")</f>
        <v>Compliance</v>
      </c>
      <c r="B349" s="0" t="str">
        <f>IFERROR(__xludf.DUMMYFUNCTION("""COMPUTED_VALUE"""),"CheckCompliance")</f>
        <v>CheckCompliance</v>
      </c>
      <c r="C349" s="0" t="str">
        <f>IFERROR(__xludf.DUMMYFUNCTION("""COMPUTED_VALUE"""),"1y0uDmVZUA0KssyJ6ayaDJLLsFJ-XstBpZASkuWd6Kvw")</f>
        <v>1y0uDmVZUA0KssyJ6ayaDJLLsFJ-XstBpZASkuWd6Kvw</v>
      </c>
    </row>
    <row r="350" ht="15.75" customHeight="1">
      <c r="A350" s="0" t="str">
        <f>IFERROR(__xludf.DUMMYFUNCTION("""COMPUTED_VALUE"""),"Compliance")</f>
        <v>Compliance</v>
      </c>
      <c r="B350" s="0" t="str">
        <f>IFERROR(__xludf.DUMMYFUNCTION("""COMPUTED_VALUE"""),"VerifyAccountDivisorWindow")</f>
        <v>VerifyAccountDivisorWindow</v>
      </c>
      <c r="C350" s="0" t="str">
        <f>IFERROR(__xludf.DUMMYFUNCTION("""COMPUTED_VALUE"""),"1wA9--G72aVEWqaqmqr86HqJaqyM523Pt40dw38mxM0I")</f>
        <v>1wA9--G72aVEWqaqmqr86HqJaqyM523Pt40dw38mxM0I</v>
      </c>
    </row>
    <row r="351" ht="15.75" customHeight="1">
      <c r="A351" s="0" t="str">
        <f>IFERROR(__xludf.DUMMYFUNCTION("""COMPUTED_VALUE"""),"Compliance")</f>
        <v>Compliance</v>
      </c>
      <c r="B351" s="0" t="str">
        <f>IFERROR(__xludf.DUMMYFUNCTION("""COMPUTED_VALUE"""),"VerifyAccountSymbolDivisorWindow")</f>
        <v>VerifyAccountSymbolDivisorWindow</v>
      </c>
      <c r="C351" s="0" t="str">
        <f>IFERROR(__xludf.DUMMYFUNCTION("""COMPUTED_VALUE"""),"1z0feEuKarwoE0a0VhYLSs24xA2zNHnyVITHLS2bPy7c")</f>
        <v>1z0feEuKarwoE0a0VhYLSs24xA2zNHnyVITHLS2bPy7c</v>
      </c>
    </row>
    <row r="352" ht="15.75" customHeight="1">
      <c r="A352" s="0" t="str">
        <f>IFERROR(__xludf.DUMMYFUNCTION("""COMPUTED_VALUE"""),"Compliance")</f>
        <v>Compliance</v>
      </c>
      <c r="B352" s="0" t="str">
        <f>IFERROR(__xludf.DUMMYFUNCTION("""COMPUTED_VALUE"""),"VerifyAggregationAccountSymbolWithNav")</f>
        <v>VerifyAggregationAccountSymbolWithNav</v>
      </c>
      <c r="C352" s="0" t="str">
        <f>IFERROR(__xludf.DUMMYFUNCTION("""COMPUTED_VALUE"""),"1xCLqu3szSvwk7DiskB14PZD-kHv3CU4mXgzWmrhfoTU")</f>
        <v>1xCLqu3szSvwk7DiskB14PZD-kHv3CU4mXgzWmrhfoTU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IFERROR(__xludf.DUMMYFUNCTION("""COMPUTED_VALUE"""),"VerifyAggregationAccountWithNav")</f>
        <v>VerifyAggregationAccountWithNav</v>
      </c>
      <c r="C353" s="0" t="str">
        <f>IFERROR(__xludf.DUMMYFUNCTION("""COMPUTED_VALUE"""),"1G_Uk8JTVlSprGyR-gsarPm44MVSB-m__w9gx5dz8g3s")</f>
        <v>1G_Uk8JTVlSprGyR-gsarPm44MVSB-m__w9gx5dz8g3s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IFERROR(__xludf.DUMMYFUNCTION("""COMPUTED_VALUE"""),"VerifyAggregationMasterFundSymbolWithNav")</f>
        <v>VerifyAggregationMasterFundSymbolWithNav</v>
      </c>
      <c r="C354" s="0" t="str">
        <f>IFERROR(__xludf.DUMMYFUNCTION("""COMPUTED_VALUE"""),"1b8KJ45vuNWv0h-8vF72b3PqTJGjKgmQdgVHyXoLISM8")</f>
        <v>1b8KJ45vuNWv0h-8vF72b3PqTJGjKgmQdgVHyXoLISM8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IFERROR(__xludf.DUMMYFUNCTION("""COMPUTED_VALUE"""),"VerifyAggregationMasterFundUnderlyingSymbolWithNav")</f>
        <v>VerifyAggregationMasterFundUnderlyingSymbolWithNav</v>
      </c>
      <c r="C355" s="0" t="str">
        <f>IFERROR(__xludf.DUMMYFUNCTION("""COMPUTED_VALUE"""),"1jbQw_xeWwzEkaaG_HDlLasp2Ti0S1Fb7R8MXW7PQWjY")</f>
        <v>1jbQw_xeWwzEkaaG_HDlLasp2Ti0S1Fb7R8MXW7PQWjY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IFERROR(__xludf.DUMMYFUNCTION("""COMPUTED_VALUE"""),"VerifyAggregationMasterFundWithNav")</f>
        <v>VerifyAggregationMasterFundWithNav</v>
      </c>
      <c r="C356" s="0" t="str">
        <f>IFERROR(__xludf.DUMMYFUNCTION("""COMPUTED_VALUE"""),"1tpmrgkVmPSPSg99RKo6LwLAhQ8M3eONGctKXc_537qE")</f>
        <v>1tpmrgkVmPSPSg99RKo6LwLAhQ8M3eONGctKXc_537qE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IFERROR(__xludf.DUMMYFUNCTION("""COMPUTED_VALUE"""),"VerifyAggregationSectorWithNav")</f>
        <v>VerifyAggregationSectorWithNav</v>
      </c>
      <c r="C357" s="0" t="str">
        <f>IFERROR(__xludf.DUMMYFUNCTION("""COMPUTED_VALUE"""),"1Ps79IPxJ5FGHg7xZORovz5nFqA4B-gG5zxYXyju8o0Y")</f>
        <v>1Ps79IPxJ5FGHg7xZORovz5nFqA4B-gG5zxYXyju8o0Y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IFERROR(__xludf.DUMMYFUNCTION("""COMPUTED_VALUE"""),"VerifyAggregationUnderlyingSymbolWithNav")</f>
        <v>VerifyAggregationUnderlyingSymbolWithNav</v>
      </c>
      <c r="C358" s="0" t="str">
        <f>IFERROR(__xludf.DUMMYFUNCTION("""COMPUTED_VALUE"""),"1MKg6U1zZlssS3MzoDjqF0yoSDf9NnReKcSlKOdmPSa0")</f>
        <v>1MKg6U1zZlssS3MzoDjqF0yoSDf9NnReKcSlKOdmPSa0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IFERROR(__xludf.DUMMYFUNCTION("""COMPUTED_VALUE"""),"VerifyAuecWindow")</f>
        <v>VerifyAuecWindow</v>
      </c>
      <c r="C359" s="0" t="str">
        <f>IFERROR(__xludf.DUMMYFUNCTION("""COMPUTED_VALUE"""),"13uphyNpV-lIcdnnRCDD0ufiubKQK77lTDMmRb4aZUH8")</f>
        <v>13uphyNpV-lIcdnnRCDD0ufiubKQK77lTDMmRb4aZUH8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IFERROR(__xludf.DUMMYFUNCTION("""COMPUTED_VALUE"""),"VerifyBetaWindow")</f>
        <v>VerifyBetaWindow</v>
      </c>
      <c r="C360" s="0" t="str">
        <f>IFERROR(__xludf.DUMMYFUNCTION("""COMPUTED_VALUE"""),"1G7Ye63Sk3lyG-vcaryo0GGGqUkzHGGzGt2O3FNdECro")</f>
        <v>1G7Ye63Sk3lyG-vcaryo0GGGqUkzHGGzGt2O3FNdECro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IFERROR(__xludf.DUMMYFUNCTION("""COMPUTED_VALUE"""),"VerifyCustomSymbolDataWindow")</f>
        <v>VerifyCustomSymbolDataWindow</v>
      </c>
      <c r="C361" s="0" t="str">
        <f>IFERROR(__xludf.DUMMYFUNCTION("""COMPUTED_VALUE"""),"1X9ZLs6zkOiyry8bzRkBLkxA8dDiRH1dhu8licsT5kTk")</f>
        <v>1X9ZLs6zkOiyry8bzRkBLkxA8dDiRH1dhu8licsT5kTk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IFERROR(__xludf.DUMMYFUNCTION("""COMPUTED_VALUE"""),"VerifyDayEndCashAccountWindow")</f>
        <v>VerifyDayEndCashAccountWindow</v>
      </c>
      <c r="C362" s="0" t="str">
        <f>IFERROR(__xludf.DUMMYFUNCTION("""COMPUTED_VALUE"""),"1eZXt6er6ekDW3vEUci-S-LNDowWjzf-SH9znUNtFyzg")</f>
        <v>1eZXt6er6ekDW3vEUci-S-LNDowWjzf-SH9znUNtFyzg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IFERROR(__xludf.DUMMYFUNCTION("""COMPUTED_VALUE"""),"VerifyDbNavWindow")</f>
        <v>VerifyDbNavWindow</v>
      </c>
      <c r="C363" s="0" t="str">
        <f>IFERROR(__xludf.DUMMYFUNCTION("""COMPUTED_VALUE"""),"1Z7OOAb9FwPIKp3RjfxeFrnTdJVfMLbCrmS-3obeYxxg")</f>
        <v>1Z7OOAb9FwPIKp3RjfxeFrnTdJVfMLbCrmS-3obeYxxg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IFERROR(__xludf.DUMMYFUNCTION("""COMPUTED_VALUE"""),"VerifyGlobalDivisorWindow")</f>
        <v>VerifyGlobalDivisorWindow</v>
      </c>
      <c r="C364" s="0" t="str">
        <f>IFERROR(__xludf.DUMMYFUNCTION("""COMPUTED_VALUE"""),"18xmdZqLW5pnA6FkxzF2PF2hG7bGqwTKhy-Mn_UAyi2w")</f>
        <v>18xmdZqLW5pnA6FkxzF2PF2hG7bGqwTKhy-Mn_UAyi2w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IFERROR(__xludf.DUMMYFUNCTION("""COMPUTED_VALUE"""),"VerifyPmCalculationPreferenceWindow")</f>
        <v>VerifyPmCalculationPreferenceWindow</v>
      </c>
      <c r="C365" s="0" t="str">
        <f>IFERROR(__xludf.DUMMYFUNCTION("""COMPUTED_VALUE"""),"1KwYK5wCdNK4x9Nb2ODpwqlIRF15bF5lm33yF-rE0E88")</f>
        <v>1KwYK5wCdNK4x9Nb2ODpwqlIRF15bF5lm33yF-rE0E88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IFERROR(__xludf.DUMMYFUNCTION("""COMPUTED_VALUE"""),"VerifyRowCalculationBaseWindow")</f>
        <v>VerifyRowCalculationBaseWindow</v>
      </c>
      <c r="C366" s="0" t="str">
        <f>IFERROR(__xludf.DUMMYFUNCTION("""COMPUTED_VALUE"""),"1EYkSaFCb1-cfMdhGTqVQ93F1B1fAGibLJGFBaO4IKK8")</f>
        <v>1EYkSaFCb1-cfMdhGTqVQ93F1B1fAGibLJGFBaO4IKK8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IFERROR(__xludf.DUMMYFUNCTION("""COMPUTED_VALUE"""),"VerifySecurityWindow")</f>
        <v>VerifySecurityWindow</v>
      </c>
      <c r="C367" s="0" t="str">
        <f>IFERROR(__xludf.DUMMYFUNCTION("""COMPUTED_VALUE"""),"1NTrrGa3uWN4TviPU6osMMGTU2_Pzk0cTaF7B9fuF1Zc")</f>
        <v>1NTrrGa3uWN4TviPU6osMMGTU2_Pzk0cTaF7B9fuF1Zc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IFERROR(__xludf.DUMMYFUNCTION("""COMPUTED_VALUE"""),"VerifySymbolDataWindow")</f>
        <v>VerifySymbolDataWindow</v>
      </c>
      <c r="C368" s="0" t="str">
        <f>IFERROR(__xludf.DUMMYFUNCTION("""COMPUTED_VALUE"""),"1Jz-1DjEIXVhNWL1-97QH77oH1Zaxtvi3jXe39t48nXM")</f>
        <v>1Jz-1DjEIXVhNWL1-97QH77oH1Zaxtvi3jXe39t48nXM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IFERROR(__xludf.DUMMYFUNCTION("""COMPUTED_VALUE"""),"VerifySymbolDivisorWindow")</f>
        <v>VerifySymbolDivisorWindow</v>
      </c>
      <c r="C369" s="0" t="str">
        <f>IFERROR(__xludf.DUMMYFUNCTION("""COMPUTED_VALUE"""),"1_BAhdKmc47MhjFQ82axBd5g9A4h_olwLQzwkxxBFlSA")</f>
        <v>1_BAhdKmc47MhjFQ82axBd5g9A4h_olwLQzwkxxBFlSA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IFERROR(__xludf.DUMMYFUNCTION("""COMPUTED_VALUE"""),"VerifyTaxlotWindow")</f>
        <v>VerifyTaxlotWindow</v>
      </c>
      <c r="C370" s="0" t="str">
        <f>IFERROR(__xludf.DUMMYFUNCTION("""COMPUTED_VALUE"""),"1NLRYNwnDa02qeea2mvWlimsdnr_FnF-9zA3yQfPGpNk")</f>
        <v>1NLRYNwnDa02qeea2mvWlimsdnr_FnF-9zA3yQfPGpNk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IFERROR(__xludf.DUMMYFUNCTION("""COMPUTED_VALUE"""),"RestartEsper")</f>
        <v>RestartEsper</v>
      </c>
      <c r="C371" s="0" t="str">
        <f>IFERROR(__xludf.DUMMYFUNCTION("""COMPUTED_VALUE"""),"undefined")</f>
        <v>undefined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IFERROR(__xludf.DUMMYFUNCTION("""COMPUTED_VALUE"""),"VerifyAccountNavPreferenceWindow")</f>
        <v>VerifyAccountNavPreferenceWindow</v>
      </c>
      <c r="C372" s="0" t="str">
        <f>IFERROR(__xludf.DUMMYFUNCTION("""COMPUTED_VALUE"""),"19w_Ks_xSuyS2DhQ4ueygTaw8a-fX6Zv_NRtSNtkeJcw")</f>
        <v>19w_Ks_xSuyS2DhQ4ueygTaw8a-fX6Zv_NRtSNtkeJcw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 VerifyAggregationAccountUnderlyingSymbolWithNav")</f>
        <v> VerifyAggregationAccountUnderlyingSymbolWithNav</v>
      </c>
      <c r="C373" s="0" t="str">
        <f>IFERROR(__xludf.DUMMYFUNCTION("""COMPUTED_VALUE"""),"1UYQAxEz0yKJ_n6eK0MJTVwXlv21-STgSHETQUy3An8w")</f>
        <v>1UYQAxEz0yKJ_n6eK0MJTVwXlv21-STgSHETQUy3An8w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IFERROR(__xludf.DUMMYFUNCTION("""COMPUTED_VALUE"""),"VerifyAggregationAssetWithNav")</f>
        <v>VerifyAggregationAssetWithNav</v>
      </c>
      <c r="C374" s="0" t="str">
        <f>IFERROR(__xludf.DUMMYFUNCTION("""COMPUTED_VALUE"""),"1dKfTnjNHlB-imf6ZI2iECsJdz-r-aLBTFIKoPO_nLU8")</f>
        <v>1dKfTnjNHlB-imf6ZI2iECsJdz-r-aLBTFIKoPO_nLU8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IFERROR(__xludf.DUMMYFUNCTION("""COMPUTED_VALUE"""),"VerifyAggregationSymbolWithNav")</f>
        <v>VerifyAggregationSymbolWithNav</v>
      </c>
      <c r="C375" s="0" t="str">
        <f>IFERROR(__xludf.DUMMYFUNCTION("""COMPUTED_VALUE"""),"17wpuicUWWz3ldMURoDLDbJRohRCnjcpTGhocntZfKsc")</f>
        <v>17wpuicUWWz3ldMURoDLDbJRohRCnjcpTGhocntZfKsc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IFERROR(__xludf.DUMMYFUNCTION("""COMPUTED_VALUE"""),"VerifyAggregationSubSectorWithNav")</f>
        <v>VerifyAggregationSubSectorWithNav</v>
      </c>
      <c r="C376" s="0" t="str">
        <f>IFERROR(__xludf.DUMMYFUNCTION("""COMPUTED_VALUE"""),"1QfJsdf4NGj4Dj0YIxbSTXTjhynFG2X_qswbZp4VEBo4")</f>
        <v>1QfJsdf4NGj4Dj0YIxbSTXTjhynFG2X_qswbZp4VEBo4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IFERROR(__xludf.DUMMYFUNCTION("""COMPUTED_VALUE"""),"VerifyAggregationGlobalWithNav")</f>
        <v>VerifyAggregationGlobalWithNav</v>
      </c>
      <c r="C377" s="0" t="str">
        <f>IFERROR(__xludf.DUMMYFUNCTION("""COMPUTED_VALUE"""),"10ZNA5DvAU__HVHWvyAxsJMI8GemQ7y3ryoI2yFrCc5s")</f>
        <v>10ZNA5DvAU__HVHWvyAxsJMI8GemQ7y3ryoI2yFrCc5s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VerifyAggregationGlobalWithNav")</f>
        <v> VerifyAggregationGlobalWithNav</v>
      </c>
      <c r="C378" s="0" t="str">
        <f>IFERROR(__xludf.DUMMYFUNCTION("""COMPUTED_VALUE"""),"10ZNA5DvAU__HVHWvyAxsJMI8GemQ7y3ryoI2yFrCc5s")</f>
        <v>10ZNA5DvAU__HVHWvyAxsJMI8GemQ7y3ryoI2yFrCc5s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IFERROR(__xludf.DUMMYFUNCTION("""COMPUTED_VALUE"""),"VerifyGlobalDivisorWindow")</f>
        <v>VerifyGlobalDivisorWindow</v>
      </c>
      <c r="C379" s="0" t="str">
        <f>IFERROR(__xludf.DUMMYFUNCTION("""COMPUTED_VALUE"""),"18xmdZqLW5pnA6FkxzF2PF2hG7bGqwTKhy-Mn_UAyi2w")</f>
        <v>18xmdZqLW5pnA6FkxzF2PF2hG7bGqwTKhy-Mn_UAyi2w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 VerifyAccrualForAccountWindow")</f>
        <v> VerifyAccrualForAccountWindow</v>
      </c>
      <c r="C380" s="0" t="str">
        <f>IFERROR(__xludf.DUMMYFUNCTION("""COMPUTED_VALUE"""),"15sEcD0nSlwM0bIlhN_Z36hpeQYWbVL5d5AK5kVqm1m8")</f>
        <v>15sEcD0nSlwM0bIlhN_Z36hpeQYWbVL5d5AK5kVqm1m8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IFERROR(__xludf.DUMMYFUNCTION("""COMPUTED_VALUE"""),"VerifyGlobalDivisorWindow")</f>
        <v>VerifyGlobalDivisorWindow</v>
      </c>
      <c r="C381" s="0" t="str">
        <f>IFERROR(__xludf.DUMMYFUNCTION("""COMPUTED_VALUE"""),"18xmdZqLW5pnA6FkxzF2PF2hG7bGqwTKhy-Mn_UAyi2w")</f>
        <v>18xmdZqLW5pnA6FkxzF2PF2hG7bGqwTKhy-Mn_UAyi2w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IFERROR(__xludf.DUMMYFUNCTION("""COMPUTED_VALUE"""),"VerifyMasterFundDivisorWindow")</f>
        <v>VerifyMasterFundDivisorWindow</v>
      </c>
      <c r="C382" s="0" t="str">
        <f>IFERROR(__xludf.DUMMYFUNCTION("""COMPUTED_VALUE"""),"1eShiZeHy6PMki2w9zAroJwtcU8DJAD3rGlyetDKwNsQ")</f>
        <v>1eShiZeHy6PMki2w9zAroJwtcU8DJAD3rGlyetDKwNsQ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IFERROR(__xludf.DUMMYFUNCTION("""COMPUTED_VALUE"""),"VerifyMasterFundSymbolDivisorWindow")</f>
        <v>VerifyMasterFundSymbolDivisorWindow</v>
      </c>
      <c r="C383" s="0" t="str">
        <f>IFERROR(__xludf.DUMMYFUNCTION("""COMPUTED_VALUE"""),"1--BWTsPeHeaUWrFxnJJ4Hxg1RMHz7TMg9PNL6IG--bQ")</f>
        <v>1--BWTsPeHeaUWrFxnJJ4Hxg1RMHz7TMg9PNL6IG--bQ</v>
      </c>
    </row>
    <row r="384" ht="15.75" customHeight="1">
      <c r="A384" s="0" t="str">
        <f>IFERROR(__xludf.DUMMYFUNCTION("""COMPUTED_VALUE"""),"Rebalancer")</f>
        <v>Rebalancer</v>
      </c>
      <c r="B384" s="0" t="str">
        <f>IFERROR(__xludf.DUMMYFUNCTION("""COMPUTED_VALUE"""),"FetchAccountPositions")</f>
        <v>FetchAccountPositions</v>
      </c>
      <c r="C384" s="0" t="str">
        <f>IFERROR(__xludf.DUMMYFUNCTION("""COMPUTED_VALUE"""),"1XcSN66s5Sbt3BBDBESO_MzCX19JEubK7C7JEhc1P6Dg")</f>
        <v>1XcSN66s5Sbt3BBDBESO_MzCX19JEubK7C7JEhc1P6Dg</v>
      </c>
    </row>
    <row r="385" ht="15.75" customHeight="1">
      <c r="A385" s="0" t="str">
        <f>IFERROR(__xludf.DUMMYFUNCTION("""COMPUTED_VALUE"""),"Rebalancer")</f>
        <v>Rebalancer</v>
      </c>
      <c r="B385" s="0" t="str">
        <f>IFERROR(__xludf.DUMMYFUNCTION("""COMPUTED_VALUE"""),"AddCash")</f>
        <v>AddCash</v>
      </c>
      <c r="C385" s="0" t="str">
        <f>IFERROR(__xludf.DUMMYFUNCTION("""COMPUTED_VALUE"""),"1Hsk7z4Hl0qfkVqTQ-ho4nDmWzTS7QuBrYDmVZp2fyfU")</f>
        <v>1Hsk7z4Hl0qfkVqTQ-ho4nDmWzTS7QuBrYDmVZp2fyfU</v>
      </c>
    </row>
    <row r="386" ht="15.75" customHeight="1">
      <c r="A386" s="0" t="str">
        <f>IFERROR(__xludf.DUMMYFUNCTION("""COMPUTED_VALUE"""),"Rebalancer")</f>
        <v>Rebalancer</v>
      </c>
      <c r="B386" s="0" t="str">
        <f>IFERROR(__xludf.DUMMYFUNCTION("""COMPUTED_VALUE"""),"VerifyGridData")</f>
        <v>VerifyGridData</v>
      </c>
      <c r="C386" s="0" t="str">
        <f>IFERROR(__xludf.DUMMYFUNCTION("""COMPUTED_VALUE"""),"1kZ0HZFDzYAoCBydDBtPNqvOI-eyPeqVxEOYYndrkOKY")</f>
        <v>1kZ0HZFDzYAoCBydDBtPNqvOI-eyPeqVxEOYYndrkOKY</v>
      </c>
    </row>
    <row r="387" ht="15.75" customHeight="1">
      <c r="A387" s="0" t="str">
        <f>IFERROR(__xludf.DUMMYFUNCTION("""COMPUTED_VALUE"""),"Rebalancer")</f>
        <v>Rebalancer</v>
      </c>
      <c r="B387" s="0" t="str">
        <f>IFERROR(__xludf.DUMMYFUNCTION("""COMPUTED_VALUE"""),"RunRebalance")</f>
        <v>RunRebalance</v>
      </c>
      <c r="C387" s="0" t="str">
        <f>IFERROR(__xludf.DUMMYFUNCTION("""COMPUTED_VALUE"""),"1PYDvpEzlMfU1DsvGlSfmKshHxHyMHpl_Zb58SSDakb8")</f>
        <v>1PYDvpEzlMfU1DsvGlSfmKshHxHyMHpl_Zb58SSDakb8</v>
      </c>
    </row>
    <row r="388" ht="15.75" customHeight="1">
      <c r="A388" s="0" t="str">
        <f>IFERROR(__xludf.DUMMYFUNCTION("""COMPUTED_VALUE"""),"Simulator")</f>
        <v>Simulator</v>
      </c>
      <c r="B388" s="0" t="str">
        <f>IFERROR(__xludf.DUMMYFUNCTION("""COMPUTED_VALUE"""),"SelectTrade")</f>
        <v>SelectTrade</v>
      </c>
      <c r="C388" s="0" t="str">
        <f>IFERROR(__xludf.DUMMYFUNCTION("""COMPUTED_VALUE"""),"1cNt_QPH0xThwJY57mw3JMlkf6u0xY_Xhs2hcsg54wKs")</f>
        <v>1cNt_QPH0xThwJY57mw3JMlkf6u0xY_Xhs2hcsg54wKs</v>
      </c>
    </row>
    <row r="389" ht="15.75" customHeight="1">
      <c r="A389" s="0" t="str">
        <f>IFERROR(__xludf.DUMMYFUNCTION("""COMPUTED_VALUE"""),"Simulator")</f>
        <v>Simulator</v>
      </c>
      <c r="B389" s="0" t="str">
        <f>IFERROR(__xludf.DUMMYFUNCTION("""COMPUTED_VALUE"""),"AcknowledgeTrade")</f>
        <v>AcknowledgeTrade</v>
      </c>
      <c r="C389" s="0" t="str">
        <f>IFERROR(__xludf.DUMMYFUNCTION("""COMPUTED_VALUE"""),"1kgv7MgVOFU-SgqnnvM5c1KY2c35xLXsCrPpr7YcOqvA")</f>
        <v>1kgv7MgVOFU-SgqnnvM5c1KY2c35xLXsCrPpr7YcOqvA</v>
      </c>
    </row>
    <row r="390" ht="15.75" customHeight="1">
      <c r="A390" s="0" t="str">
        <f>IFERROR(__xludf.DUMMYFUNCTION("""COMPUTED_VALUE"""),"Simulator")</f>
        <v>Simulator</v>
      </c>
      <c r="B390" s="0" t="str">
        <f>IFERROR(__xludf.DUMMYFUNCTION("""COMPUTED_VALUE"""),"RejectTrade")</f>
        <v>RejectTrade</v>
      </c>
      <c r="C390" s="0" t="str">
        <f>IFERROR(__xludf.DUMMYFUNCTION("""COMPUTED_VALUE"""),"1BFMeTTBAJUjY8UWwoGYx5d_suxQqoXCu2AtVXDs2DI8")</f>
        <v>1BFMeTTBAJUjY8UWwoGYx5d_suxQqoXCu2AtVXDs2DI8</v>
      </c>
    </row>
    <row r="391" ht="15.75" customHeight="1">
      <c r="A391" s="0" t="str">
        <f>IFERROR(__xludf.DUMMYFUNCTION("""COMPUTED_VALUE"""),"Simulator")</f>
        <v>Simulator</v>
      </c>
      <c r="B391" s="0" t="str">
        <f>IFERROR(__xludf.DUMMYFUNCTION("""COMPUTED_VALUE"""),"ExecuteTrade")</f>
        <v>ExecuteTrade</v>
      </c>
      <c r="C391" s="0" t="str">
        <f>IFERROR(__xludf.DUMMYFUNCTION("""COMPUTED_VALUE"""),"1CJZHfIxDvKYXPM4TcwOIjmKY8kzg4_zJFRj4pZloBg0")</f>
        <v>1CJZHfIxDvKYXPM4TcwOIjmKY8kzg4_zJFRj4pZloBg0</v>
      </c>
    </row>
    <row r="392" ht="15.75" customHeight="1">
      <c r="A392" s="0" t="str">
        <f>IFERROR(__xludf.DUMMYFUNCTION("""COMPUTED_VALUE"""),"Simulator")</f>
        <v>Simulator</v>
      </c>
      <c r="B392" s="0" t="str">
        <f>IFERROR(__xludf.DUMMYFUNCTION("""COMPUTED_VALUE"""),"CancelTrade")</f>
        <v>CancelTrade</v>
      </c>
      <c r="C392" s="0" t="str">
        <f>IFERROR(__xludf.DUMMYFUNCTION("""COMPUTED_VALUE"""),"1Ec0_nwlu5YKn069vknmktkFStzY4YdPEFRwMqViwG-k")</f>
        <v>1Ec0_nwlu5YKn069vknmktkFStzY4YdPEFRwMqViwG-k</v>
      </c>
    </row>
    <row r="393" ht="15.75" customHeight="1">
      <c r="A393" s="0" t="str">
        <f>IFERROR(__xludf.DUMMYFUNCTION("""COMPUTED_VALUE"""),"Simulator")</f>
        <v>Simulator</v>
      </c>
      <c r="B393" s="0" t="str">
        <f>IFERROR(__xludf.DUMMYFUNCTION("""COMPUTED_VALUE"""),"OpenLiveTT")</f>
        <v>OpenLiveTT</v>
      </c>
      <c r="C393" s="0" t="str">
        <f>IFERROR(__xludf.DUMMYFUNCTION("""COMPUTED_VALUE"""),"1Y8No6h6-FS0LbyDQM9oxk7_oi9yfsEmLLN_JqCjSctE")</f>
        <v>1Y8No6h6-FS0LbyDQM9oxk7_oi9yfsEmLLN_JqCjSctE</v>
      </c>
    </row>
    <row r="394" ht="15.75" customHeight="1">
      <c r="A394" s="0" t="str">
        <f>IFERROR(__xludf.DUMMYFUNCTION("""COMPUTED_VALUE"""),"TradingTicket")</f>
        <v>TradingTicket</v>
      </c>
      <c r="B394" s="0" t="str">
        <f>IFERROR(__xludf.DUMMYFUNCTION("""COMPUTED_VALUE"""),"CreateLiveOrder")</f>
        <v>CreateLiveOrder</v>
      </c>
      <c r="C394" s="0" t="str">
        <f>IFERROR(__xludf.DUMMYFUNCTION("""COMPUTED_VALUE"""),"10BNZLMtk4R3em8SD0JoDVdQl_KjTinG0m3lpnUVi1yw")</f>
        <v>10BNZLMtk4R3em8SD0JoDVdQl_KjTinG0m3lpnUVi1yw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IFERROR(__xludf.DUMMYFUNCTION("""COMPUTED_VALUE"""),"SetManualResponse ")</f>
        <v>SetManualResponse </v>
      </c>
      <c r="C395" s="0" t="str">
        <f>IFERROR(__xludf.DUMMYFUNCTION("""COMPUTED_VALUE"""),"11NutoTY7szRH7Ii8fI1SJm0EiZnCQW4E_GzEoR2IX7g")</f>
        <v>11NutoTY7szRH7Ii8fI1SJm0EiZnCQW4E_GzEoR2IX7g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IFERROR(__xludf.DUMMYFUNCTION("""COMPUTED_VALUE"""),"ClearUI")</f>
        <v>ClearUI</v>
      </c>
      <c r="C396" s="0" t="str">
        <f>IFERROR(__xludf.DUMMYFUNCTION("""COMPUTED_VALUE"""),"1OWSBdhy6y8XGJ0saWSWhIG9VTKIREEL_6c14b5Suo8s")</f>
        <v>1OWSBdhy6y8XGJ0saWSWhIG9VTKIREEL_6c14b5Suo8s</v>
      </c>
    </row>
    <row r="397" ht="15.75" customHeight="1">
      <c r="A397" s="0" t="str">
        <f>IFERROR(__xludf.DUMMYFUNCTION("""COMPUTED_VALUE"""),"Rebalancer")</f>
        <v>Rebalancer</v>
      </c>
      <c r="B397" s="0" t="str">
        <f>IFERROR(__xludf.DUMMYFUNCTION("""COMPUTED_VALUE"""),"RebalanceAcrossSecurities")</f>
        <v>RebalanceAcrossSecurities</v>
      </c>
      <c r="C397" s="0" t="str">
        <f>IFERROR(__xludf.DUMMYFUNCTION("""COMPUTED_VALUE"""),"1j62jfW0WnlPy6Si0tJH2NI89M1AlLAIFxvhoySEfcNA")</f>
        <v>1j62jfW0WnlPy6Si0tJH2NI89M1AlLAIFxvhoySEfcNA</v>
      </c>
    </row>
    <row r="398" ht="15.75" customHeight="1">
      <c r="A398" s="0" t="str">
        <f>IFERROR(__xludf.DUMMYFUNCTION("""COMPUTED_VALUE"""),"Rebalancer")</f>
        <v>Rebalancer</v>
      </c>
      <c r="B398" s="0" t="str">
        <f>IFERROR(__xludf.DUMMYFUNCTION("""COMPUTED_VALUE"""),"ClearCalculations")</f>
        <v>ClearCalculations</v>
      </c>
      <c r="C398" s="0" t="str">
        <f>IFERROR(__xludf.DUMMYFUNCTION("""COMPUTED_VALUE"""),"1oMi0q843iNKIPgczycexiZ4cleEBD7cCoDEyD8lNclE")</f>
        <v>1oMi0q843iNKIPgczycexiZ4cleEBD7cCoDEyD8lNclE</v>
      </c>
    </row>
    <row r="399" ht="15.75" customHeight="1">
      <c r="A399" s="0" t="str">
        <f>IFERROR(__xludf.DUMMYFUNCTION("""COMPUTED_VALUE"""),"Rebalancer")</f>
        <v>Rebalancer</v>
      </c>
      <c r="B399" s="0" t="str">
        <f>IFERROR(__xludf.DUMMYFUNCTION("""COMPUTED_VALUE"""),"ModifyRebalance")</f>
        <v>ModifyRebalance</v>
      </c>
      <c r="C399" s="0" t="str">
        <f>IFERROR(__xludf.DUMMYFUNCTION("""COMPUTED_VALUE"""),"124Iufd2K3SWQjqbZ8ImMaHsn7IVbVolzLSUNj2xuCag")</f>
        <v>124Iufd2K3SWQjqbZ8ImMaHsn7IVbVolzLSUNj2xuCag</v>
      </c>
    </row>
    <row r="400" ht="15.75" customHeight="1">
      <c r="A400" s="0" t="str">
        <f>IFERROR(__xludf.DUMMYFUNCTION("""COMPUTED_VALUE"""),"ThirdParty")</f>
        <v>ThirdParty</v>
      </c>
      <c r="B400" s="0" t="str">
        <f>IFERROR(__xludf.DUMMYFUNCTION("""COMPUTED_VALUE"""),"SelectThirdParty")</f>
        <v>SelectThirdParty</v>
      </c>
      <c r="C400" s="0" t="str">
        <f>IFERROR(__xludf.DUMMYFUNCTION("""COMPUTED_VALUE"""),"17RhtcYRrs_YN-vBidOyMUbbAxKnGeQ-2JIt8vs9rE5o")</f>
        <v>17RhtcYRrs_YN-vBidOyMUbbAxKnGeQ-2JIt8vs9rE5o</v>
      </c>
    </row>
    <row r="401" ht="15.75" customHeight="1">
      <c r="A401" s="0" t="str">
        <f>IFERROR(__xludf.DUMMYFUNCTION("""COMPUTED_VALUE"""),"ThirdParty")</f>
        <v>ThirdParty</v>
      </c>
      <c r="B401" s="0" t="str">
        <f>IFERROR(__xludf.DUMMYFUNCTION("""COMPUTED_VALUE"""),"ViewThirdParty")</f>
        <v>ViewThirdParty</v>
      </c>
      <c r="C401" s="0" t="str">
        <f>IFERROR(__xludf.DUMMYFUNCTION("""COMPUTED_VALUE"""),"1ZfIgMPS9NpuMtE47suVwo-kA1KXMaKf-ADsjK3-OiFk")</f>
        <v>1ZfIgMPS9NpuMtE47suVwo-kA1KXMaKf-ADsjK3-OiFk</v>
      </c>
    </row>
    <row r="402" ht="15.75" customHeight="1">
      <c r="A402" s="0" t="str">
        <f>IFERROR(__xludf.DUMMYFUNCTION("""COMPUTED_VALUE"""),"ThirdParty")</f>
        <v>ThirdParty</v>
      </c>
      <c r="B402" s="0" t="str">
        <f>IFERROR(__xludf.DUMMYFUNCTION("""COMPUTED_VALUE"""),"ThirdPartyGenerate")</f>
        <v>ThirdPartyGenerate</v>
      </c>
      <c r="C402" s="0" t="str">
        <f>IFERROR(__xludf.DUMMYFUNCTION("""COMPUTED_VALUE"""),"18YSGcykX6msu9uJFtoPx85HXHvQ-faE6GL1h89yp0fE")</f>
        <v>18YSGcykX6msu9uJFtoPx85HXHvQ-faE6GL1h89yp0fE</v>
      </c>
    </row>
    <row r="403" ht="15.75" customHeight="1">
      <c r="A403" s="0" t="str">
        <f>IFERROR(__xludf.DUMMYFUNCTION("""COMPUTED_VALUE"""),"ThirdParty")</f>
        <v>ThirdParty</v>
      </c>
      <c r="B403" s="0" t="str">
        <f>IFERROR(__xludf.DUMMYFUNCTION("""COMPUTED_VALUE"""),"VerifyThirdPartyView")</f>
        <v>VerifyThirdPartyView</v>
      </c>
      <c r="C403" s="0" t="str">
        <f>IFERROR(__xludf.DUMMYFUNCTION("""COMPUTED_VALUE"""),"1Bhq-a_LzI2roHS4ah4FyrUJ2yYXN7T16HEPh2paEGp8")</f>
        <v>1Bhq-a_LzI2roHS4ah4FyrUJ2yYXN7T16HEPh2paEGp8</v>
      </c>
    </row>
    <row r="404" ht="15.75" customHeight="1">
      <c r="A404" s="0" t="str">
        <f>IFERROR(__xludf.DUMMYFUNCTION("""COMPUTED_VALUE"""),"ThirdParty")</f>
        <v>ThirdParty</v>
      </c>
      <c r="B404" s="0" t="str">
        <f>IFERROR(__xludf.DUMMYFUNCTION("""COMPUTED_VALUE"""),"VerifyThirdPartyGenerate")</f>
        <v>VerifyThirdPartyGenerate</v>
      </c>
      <c r="C404" s="0" t="str">
        <f>IFERROR(__xludf.DUMMYFUNCTION("""COMPUTED_VALUE"""),"1KiJe0t8f-Z3sMbprzhIS2_jGwhE9yeai46VmZqqyF84")</f>
        <v>1KiJe0t8f-Z3sMbprzhIS2_jGwhE9yeai46VmZqqyF84</v>
      </c>
    </row>
    <row r="405" ht="15.75" customHeight="1">
      <c r="A405" s="0" t="str">
        <f>IFERROR(__xludf.DUMMYFUNCTION("""COMPUTED_VALUE"""),"ThirdParty")</f>
        <v>ThirdParty</v>
      </c>
      <c r="B405" s="0" t="str">
        <f>IFERROR(__xludf.DUMMYFUNCTION("""COMPUTED_VALUE"""),"VerifyThirdPartySend")</f>
        <v>VerifyThirdPartySend</v>
      </c>
      <c r="C405" s="0" t="str">
        <f>IFERROR(__xludf.DUMMYFUNCTION("""COMPUTED_VALUE"""),"1ZMM3Z5j3worIFB7Wt8pYTm9vtKAiVyUiBNGIHZsfUVU")</f>
        <v>1ZMM3Z5j3worIFB7Wt8pYTm9vtKAiVyUiBNGIHZsfUVU</v>
      </c>
    </row>
    <row r="406" ht="15.75" customHeight="1">
      <c r="A406" s="0" t="str">
        <f>IFERROR(__xludf.DUMMYFUNCTION("""COMPUTED_VALUE"""),"ThirdParty")</f>
        <v>ThirdParty</v>
      </c>
      <c r="B406" s="0" t="str">
        <f>IFERROR(__xludf.DUMMYFUNCTION("""COMPUTED_VALUE"""),"ThirdPartySend")</f>
        <v>ThirdPartySend</v>
      </c>
      <c r="C406" s="0" t="str">
        <f>IFERROR(__xludf.DUMMYFUNCTION("""COMPUTED_VALUE"""),"1fwDymVh1YPwRLS0OVzxhYbkeKbRpUl4prFO7SRyV_hA")</f>
        <v>1fwDymVh1YPwRLS0OVzxhYbkeKbRpUl4prFO7SRyV_hA</v>
      </c>
    </row>
    <row r="407" ht="15.75" customHeight="1">
      <c r="A407" s="0" t="str">
        <f>IFERROR(__xludf.DUMMYFUNCTION("""COMPUTED_VALUE"""),"Blotter")</f>
        <v>Blotter</v>
      </c>
      <c r="B407" s="0" t="str">
        <f>IFERROR(__xludf.DUMMYFUNCTION("""COMPUTED_VALUE"""),"VerifyViewAllocationDetails")</f>
        <v>VerifyViewAllocationDetails</v>
      </c>
      <c r="C407" s="0" t="str">
        <f>IFERROR(__xludf.DUMMYFUNCTION("""COMPUTED_VALUE"""),"1bam3UDAybELVmpnYwPQATi99nl9DpQ99A7IjE7vdsi8")</f>
        <v>1bam3UDAybELVmpnYwPQATi99nl9DpQ99A7IjE7vdsi8</v>
      </c>
    </row>
    <row r="408" ht="15.75" customHeight="1">
      <c r="A408" s="0" t="str">
        <f>IFERROR(__xludf.DUMMYFUNCTION("""COMPUTED_VALUE"""),"PTT")</f>
        <v>PTT</v>
      </c>
      <c r="B408" s="0" t="str">
        <f>IFERROR(__xludf.DUMMYFUNCTION("""COMPUTED_VALUE"""),"SelectPTTRecord")</f>
        <v>SelectPTTRecord</v>
      </c>
      <c r="C408" s="0" t="str">
        <f>IFERROR(__xludf.DUMMYFUNCTION("""COMPUTED_VALUE"""),"1xJ7gTQfVMeCflKCHTwKYrNQ-Tcf0AYboaATXwHNAslk")</f>
        <v>1xJ7gTQfVMeCflKCHTwKYrNQ-Tcf0AYboaATXwHNAslk</v>
      </c>
    </row>
    <row r="409" ht="15.75" customHeight="1">
      <c r="A409" s="0" t="str">
        <f>IFERROR(__xludf.DUMMYFUNCTION("""COMPUTED_VALUE"""),"PTT")</f>
        <v>PTT</v>
      </c>
      <c r="B409" s="0" t="str">
        <f>IFERROR(__xludf.DUMMYFUNCTION("""COMPUTED_VALUE"""),"EditPTTRecord")</f>
        <v>EditPTTRecord</v>
      </c>
      <c r="C409" s="0" t="str">
        <f>IFERROR(__xludf.DUMMYFUNCTION("""COMPUTED_VALUE"""),"1WdCxXHsuQ3erH24MGTT104a5o2YheSROQebMeF3i0aI")</f>
        <v>1WdCxXHsuQ3erH24MGTT104a5o2YheSROQebMeF3i0aI</v>
      </c>
    </row>
    <row r="410" ht="15.75" customHeight="1">
      <c r="A410" s="0" t="str">
        <f>IFERROR(__xludf.DUMMYFUNCTION("""COMPUTED_VALUE"""),"Blotter")</f>
        <v>Blotter</v>
      </c>
      <c r="B410" s="0" t="str">
        <f>IFERROR(__xludf.DUMMYFUNCTION("""COMPUTED_VALUE"""),"GoToAllocation")</f>
        <v>GoToAllocation</v>
      </c>
      <c r="C410" s="0" t="str">
        <f>IFERROR(__xludf.DUMMYFUNCTION("""COMPUTED_VALUE"""),"1daWmaCLtl5-u8RrR38duUYZoUwwRdmQNmQUk-UFSbh8")</f>
        <v>1daWmaCLtl5-u8RrR38duUYZoUwwRdmQNmQUk-UFSbh8</v>
      </c>
    </row>
    <row r="411" ht="15.75" customHeight="1">
      <c r="A411" s="0" t="str">
        <f>IFERROR(__xludf.DUMMYFUNCTION("""COMPUTED_VALUE"""),"Simulator")</f>
        <v>Simulator</v>
      </c>
      <c r="B411" s="0" t="str">
        <f>IFERROR(__xludf.DUMMYFUNCTION("""COMPUTED_VALUE"""),"CloseSimulator")</f>
        <v>CloseSimulator</v>
      </c>
      <c r="C411" s="0" t="str">
        <f>IFERROR(__xludf.DUMMYFUNCTION("""COMPUTED_VALUE"""),"undefined")</f>
        <v>undefined</v>
      </c>
    </row>
    <row r="412" ht="15.75" customHeight="1">
      <c r="A412" s="0" t="str">
        <f>IFERROR(__xludf.DUMMYFUNCTION("""COMPUTED_VALUE"""),"GeneralLedger")</f>
        <v>GeneralLedger</v>
      </c>
      <c r="B412" s="0" t="str">
        <f>IFERROR(__xludf.DUMMYFUNCTION("""COMPUTED_VALUE"""),"VerifyCashTransaction")</f>
        <v>VerifyCashTransaction</v>
      </c>
      <c r="C412" s="0" t="str">
        <f>IFERROR(__xludf.DUMMYFUNCTION("""COMPUTED_VALUE"""),"1gPMin1udTRZeqwLV9tSHt5nU8vpqc3NVx2Q0Tg0-p7Y")</f>
        <v>1gPMin1udTRZeqwLV9tSHt5nU8vpqc3NVx2Q0Tg0-p7Y</v>
      </c>
    </row>
    <row r="413" ht="15.75" customHeight="1">
      <c r="A413" s="0" t="str">
        <f>IFERROR(__xludf.DUMMYFUNCTION("""COMPUTED_VALUE"""),"Rebalancer")</f>
        <v>Rebalancer</v>
      </c>
      <c r="B413" s="0" t="str">
        <f>IFERROR(__xludf.DUMMYFUNCTION("""COMPUTED_VALUE"""),"ModelPortfolio")</f>
        <v>ModelPortfolio</v>
      </c>
      <c r="C413" s="0" t="str">
        <f>IFERROR(__xludf.DUMMYFUNCTION("""COMPUTED_VALUE"""),"12-zLeaphbhmHtw8rRK5ThIs7me8PklDclwlNwfPbXK4")</f>
        <v>12-zLeaphbhmHtw8rRK5ThIs7me8PklDclwlNwfPbXK4</v>
      </c>
    </row>
    <row r="414" ht="15.75" customHeight="1">
      <c r="A414" s="0" t="str">
        <f>IFERROR(__xludf.DUMMYFUNCTION("""COMPUTED_VALUE"""),"DailyValuation")</f>
        <v>DailyValuation</v>
      </c>
      <c r="B414" s="0" t="str">
        <f>IFERROR(__xludf.DUMMYFUNCTION("""COMPUTED_VALUE"""),"VerifyDailyCash")</f>
        <v>VerifyDailyCash</v>
      </c>
      <c r="C414" s="0" t="str">
        <f>IFERROR(__xludf.DUMMYFUNCTION("""COMPUTED_VALUE"""),"1PQwArcRUuaOQiz5S2jeaenwj9qNZTWgzfhAlHT-Pd1E")</f>
        <v>1PQwArcRUuaOQiz5S2jeaenwj9qNZTWgzfhAlHT-Pd1E</v>
      </c>
    </row>
    <row r="415" ht="15.75" customHeight="1">
      <c r="A415" s="0" t="str">
        <f>IFERROR(__xludf.DUMMYFUNCTION("""COMPUTED_VALUE"""),"Admin")</f>
        <v>Admin</v>
      </c>
      <c r="B415" s="0" t="str">
        <f>IFERROR(__xludf.DUMMYFUNCTION("""COMPUTED_VALUE"""),"SetCheckSide")</f>
        <v>SetCheckSide</v>
      </c>
      <c r="C415" s="0" t="str">
        <f>IFERROR(__xludf.DUMMYFUNCTION("""COMPUTED_VALUE"""),"18KFx8YJjXeehMrsrxPVrAlsqv5cDNM4sL10WRca5NKM")</f>
        <v>18KFx8YJjXeehMrsrxPVrAlsqv5cDNM4sL10WRca5NKM</v>
      </c>
    </row>
    <row r="416" ht="15.75" customHeight="1">
      <c r="A416" s="0" t="str">
        <f>IFERROR(__xludf.DUMMYFUNCTION("""COMPUTED_VALUE"""),"CorporateAction")</f>
        <v>CorporateAction</v>
      </c>
      <c r="B416" s="0" t="str">
        <f>IFERROR(__xludf.DUMMYFUNCTION("""COMPUTED_VALUE"""),"OpenSpinOff")</f>
        <v>OpenSpinOff</v>
      </c>
      <c r="C416" s="0" t="str">
        <f>IFERROR(__xludf.DUMMYFUNCTION("""COMPUTED_VALUE"""),"1rmMKHzR6LMbriTLpSwsWo5h7qfkUwKO5MIi-cWWx8-k")</f>
        <v>1rmMKHzR6LMbriTLpSwsWo5h7qfkUwKO5MIi-cWWx8-k</v>
      </c>
    </row>
    <row r="417" ht="15.75" customHeight="1">
      <c r="A417" s="0" t="str">
        <f>IFERROR(__xludf.DUMMYFUNCTION("""COMPUTED_VALUE"""),"CorporateAction")</f>
        <v>CorporateAction</v>
      </c>
      <c r="B417" s="0" t="str">
        <f>IFERROR(__xludf.DUMMYFUNCTION("""COMPUTED_VALUE"""),"VerifyAndApplyCorpAction")</f>
        <v>VerifyAndApplyCorpAction</v>
      </c>
      <c r="C417" s="0" t="str">
        <f>IFERROR(__xludf.DUMMYFUNCTION("""COMPUTED_VALUE"""),"1QwZRlBhhx0osi-B1PdxvO3P3W3BAXkDzM2yrJmnO__c")</f>
        <v>1QwZRlBhhx0osi-B1PdxvO3P3W3BAXkDzM2yrJmnO__c</v>
      </c>
    </row>
    <row r="418" ht="15.75" customHeight="1">
      <c r="A418" s="0" t="str">
        <f>IFERROR(__xludf.DUMMYFUNCTION("""COMPUTED_VALUE"""),"CorporateAction ")</f>
        <v>CorporateAction </v>
      </c>
      <c r="B418" s="0" t="str">
        <f>IFERROR(__xludf.DUMMYFUNCTION("""COMPUTED_VALUE"""),"VerifyAndSaveCorpAction")</f>
        <v>VerifyAndSaveCorpAction</v>
      </c>
      <c r="C418" s="0" t="str">
        <f>IFERROR(__xludf.DUMMYFUNCTION("""COMPUTED_VALUE"""),"146PST8sP3dOm_SLLf4EP05WMQk8v95fnGk_VMEIiZeQ")</f>
        <v>146PST8sP3dOm_SLLf4EP05WMQk8v95fnGk_VMEIiZeQ</v>
      </c>
    </row>
    <row r="419" ht="15.75" customHeight="1">
      <c r="A419" s="0" t="str">
        <f>IFERROR(__xludf.DUMMYFUNCTION("""COMPUTED_VALUE"""),"Allocation")</f>
        <v>Allocation</v>
      </c>
      <c r="B419" s="0" t="str">
        <f>IFERROR(__xludf.DUMMYFUNCTION("""COMPUTED_VALUE"""),"DisableChecksideForAsset")</f>
        <v>DisableChecksideForAsset</v>
      </c>
      <c r="C419" s="0" t="str">
        <f>IFERROR(__xludf.DUMMYFUNCTION("""COMPUTED_VALUE"""),"17MMLrGtrNy7Qk2KDYSM_5mxeBqL4fj27RTyoqb753r4")</f>
        <v>17MMLrGtrNy7Qk2KDYSM_5mxeBqL4fj27RTyoqb753r4</v>
      </c>
    </row>
    <row r="420" ht="15.75" customHeight="1">
      <c r="A420" s="0" t="str">
        <f>IFERROR(__xludf.DUMMYFUNCTION("""COMPUTED_VALUE"""),"Allocation")</f>
        <v>Allocation</v>
      </c>
      <c r="B420" s="0" t="str">
        <f>IFERROR(__xludf.DUMMYFUNCTION("""COMPUTED_VALUE"""),"DisableChecksideForAccount")</f>
        <v>DisableChecksideForAccount</v>
      </c>
      <c r="C420" s="0" t="str">
        <f>IFERROR(__xludf.DUMMYFUNCTION("""COMPUTED_VALUE"""),"12YzpBbctXJ7tt5Rs3yVMyYiFexSCsLCSFZxRmOTGAnA")</f>
        <v>12YzpBbctXJ7tt5Rs3yVMyYiFexSCsLCSFZxRmOTGAnA</v>
      </c>
    </row>
    <row r="421" ht="15.75" customHeight="1">
      <c r="A421" s="0" t="str">
        <f>IFERROR(__xludf.DUMMYFUNCTION("""COMPUTED_VALUE"""),"Allocation")</f>
        <v>Allocation</v>
      </c>
      <c r="B421" s="0" t="str">
        <f>IFERROR(__xludf.DUMMYFUNCTION("""COMPUTED_VALUE"""),"DisableChecksideForCounterParty")</f>
        <v>DisableChecksideForCounterParty</v>
      </c>
      <c r="C421" s="0" t="str">
        <f>IFERROR(__xludf.DUMMYFUNCTION("""COMPUTED_VALUE"""),"11h9NAV7B59X8ff2awrMfG6bGhrk-CohPIDGmN5O1Z0s")</f>
        <v>11h9NAV7B59X8ff2awrMfG6bGhrk-CohPIDGmN5O1Z0s</v>
      </c>
    </row>
    <row r="422" ht="15.75" customHeight="1">
      <c r="A422" s="0" t="str">
        <f>IFERROR(__xludf.DUMMYFUNCTION("""COMPUTED_VALUE"""),"Allocation")</f>
        <v>Allocation</v>
      </c>
      <c r="B422" s="0" t="str">
        <f>IFERROR(__xludf.DUMMYFUNCTION("""COMPUTED_VALUE"""),"DisableCheckside")</f>
        <v>DisableCheckside</v>
      </c>
      <c r="C422" s="0" t="str">
        <f>IFERROR(__xludf.DUMMYFUNCTION("""COMPUTED_VALUE"""),"1NIGFq7xyMD3dCAzBn7Aybj88-zVYS-uQkEl_uOTRFLk")</f>
        <v>1NIGFq7xyMD3dCAzBn7Aybj88-zVYS-uQkEl_uOTRFLk</v>
      </c>
    </row>
    <row r="423" ht="15.75" customHeight="1">
      <c r="A423" s="0" t="str">
        <f>IFERROR(__xludf.DUMMYFUNCTION("""COMPUTED_VALUE"""),"Allocation")</f>
        <v>Allocation</v>
      </c>
      <c r="B423" s="0" t="str">
        <f>IFERROR(__xludf.DUMMYFUNCTION("""COMPUTED_VALUE"""),"ApplyMasterFundFilter")</f>
        <v>ApplyMasterFundFilter</v>
      </c>
      <c r="C423" s="0" t="str">
        <f>IFERROR(__xludf.DUMMYFUNCTION("""COMPUTED_VALUE"""),"1uyEgk_IU7WhZZ2gCVbVNLBNZhgXB_2p-G9ibtBRvqYE")</f>
        <v>1uyEgk_IU7WhZZ2gCVbVNLBNZhgXB_2p-G9ibtBRvqYE</v>
      </c>
    </row>
    <row r="424" ht="15.75" customHeight="1">
      <c r="A424" s="0" t="str">
        <f>IFERROR(__xludf.DUMMYFUNCTION("""COMPUTED_VALUE"""),"TradingTicket")</f>
        <v>TradingTicket</v>
      </c>
      <c r="B424" s="0" t="str">
        <f>IFERROR(__xludf.DUMMYFUNCTION("""COMPUTED_VALUE"""),"UpdateMasterFundOnTT")</f>
        <v>UpdateMasterFundOnTT</v>
      </c>
      <c r="C424" s="0" t="str">
        <f>IFERROR(__xludf.DUMMYFUNCTION("""COMPUTED_VALUE"""),"15GaszFrxEJPxL05WiuB3JgAc-7Uig-iyDZRrmgpAvyQ")</f>
        <v>15GaszFrxEJPxL05WiuB3JgAc-7Uig-iyDZRrmgpAvyQ</v>
      </c>
    </row>
    <row r="425" ht="15.75" customHeight="1">
      <c r="A425" s="0" t="str">
        <f>IFERROR(__xludf.DUMMYFUNCTION("""COMPUTED_VALUE"""),"Allocation")</f>
        <v>Allocation</v>
      </c>
      <c r="B425" s="0" t="str">
        <f>IFERROR(__xludf.DUMMYFUNCTION("""COMPUTED_VALUE"""),"ShowMasterFundOnTT")</f>
        <v>ShowMasterFundOnTT</v>
      </c>
      <c r="C425" s="0" t="str">
        <f>IFERROR(__xludf.DUMMYFUNCTION("""COMPUTED_VALUE"""),"1H3NF3ekEB_jtnQ6nAPayaHaGtx_2kLuKvJ9qyzd2I2I")</f>
        <v>1H3NF3ekEB_jtnQ6nAPayaHaGtx_2kLuKvJ9qyzd2I2I</v>
      </c>
    </row>
    <row r="426" ht="15.75" customHeight="1">
      <c r="A426" s="0" t="str">
        <f>IFERROR(__xludf.DUMMYFUNCTION("""COMPUTED_VALUE"""),"Allocation")</f>
        <v>Allocation</v>
      </c>
      <c r="B426" s="0" t="str">
        <f>IFERROR(__xludf.DUMMYFUNCTION("""COMPUTED_VALUE"""),"ShowMasterFundAsClient")</f>
        <v>ShowMasterFundAsClient</v>
      </c>
      <c r="C426" s="0" t="str">
        <f>IFERROR(__xludf.DUMMYFUNCTION("""COMPUTED_VALUE"""),"1sBgTfLxjF-eLDEQovNIQXxVdy87Sx0Cb24sVDh10pXM")</f>
        <v>1sBgTfLxjF-eLDEQovNIQXxVdy87Sx0Cb24sVDh10pXM</v>
      </c>
    </row>
    <row r="427" ht="15.75" customHeight="1">
      <c r="A427" s="0" t="str">
        <f>IFERROR(__xludf.DUMMYFUNCTION("""COMPUTED_VALUE"""),"Allocation")</f>
        <v>Allocation</v>
      </c>
      <c r="B427" s="0" t="str">
        <f>IFERROR(__xludf.DUMMYFUNCTION("""COMPUTED_VALUE"""),"SetBrokerAccountMapping")</f>
        <v>SetBrokerAccountMapping</v>
      </c>
      <c r="C427" s="0" t="str">
        <f>IFERROR(__xludf.DUMMYFUNCTION("""COMPUTED_VALUE"""),"1n-h3PT-RQ62N_5RLlf__-_nBt6pX6gTeokAqyHCUydw")</f>
        <v>1n-h3PT-RQ62N_5RLlf__-_nBt6pX6gTeokAqyHCUydw</v>
      </c>
    </row>
    <row r="428" ht="15.75" customHeight="1">
      <c r="A428" s="0" t="str">
        <f>IFERROR(__xludf.DUMMYFUNCTION("""COMPUTED_VALUE"""),"Allocation")</f>
        <v>Allocation</v>
      </c>
      <c r="B428" s="0" t="str">
        <f>IFERROR(__xludf.DUMMYFUNCTION("""COMPUTED_VALUE"""),"EditUnallocatedGridWPF")</f>
        <v>EditUnallocatedGridWPF</v>
      </c>
      <c r="C428" s="0" t="str">
        <f>IFERROR(__xludf.DUMMYFUNCTION("""COMPUTED_VALUE"""),"1bL3Mc9ko2ABUfRaygcH05a75HlVgOJoZg1ZR8VFCx2s")</f>
        <v>1bL3Mc9ko2ABUfRaygcH05a75HlVgOJoZg1ZR8VFCx2s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IFERROR(__xludf.DUMMYFUNCTION("""COMPUTED_VALUE"""),"EditAllocatedGridWPF")</f>
        <v>EditAllocatedGridWPF</v>
      </c>
      <c r="C429" s="0" t="str">
        <f>IFERROR(__xludf.DUMMYFUNCTION("""COMPUTED_VALUE"""),"1p3N5fuIHZooLiXra7t901Un-5BX1Dub2GwRau5xmnzY")</f>
        <v>1p3N5fuIHZooLiXra7t901Un-5BX1Dub2GwRau5xmnzY</v>
      </c>
    </row>
    <row r="430" ht="15.75" customHeight="1">
      <c r="A430" s="0" t="str">
        <f>IFERROR(__xludf.DUMMYFUNCTION("""COMPUTED_VALUE"""),"Admin")</f>
        <v>Admin</v>
      </c>
      <c r="B430" s="0" t="str">
        <f>IFERROR(__xludf.DUMMYFUNCTION("""COMPUTED_VALUE"""),"SetRollover")</f>
        <v>SetRollover</v>
      </c>
      <c r="C430" s="0" t="str">
        <f>IFERROR(__xludf.DUMMYFUNCTION("""COMPUTED_VALUE"""),"1g8yHX3NgTZ69qR9sJuH4OwZDcdDQ4zNzTUIz8i9c8Wc")</f>
        <v>1g8yHX3NgTZ69qR9sJuH4OwZDcdDQ4zNzTUIz8i9c8Wc</v>
      </c>
    </row>
    <row r="431" ht="15.75" customHeight="1">
      <c r="A431" s="0" t="str">
        <f>IFERROR(__xludf.DUMMYFUNCTION("""COMPUTED_VALUE"""),"Blotter")</f>
        <v>Blotter</v>
      </c>
      <c r="B431" s="0" t="str">
        <f>IFERROR(__xludf.DUMMYFUNCTION("""COMPUTED_VALUE"""),"VerifyRollover")</f>
        <v>VerifyRollover</v>
      </c>
      <c r="C431" s="0" t="str">
        <f>IFERROR(__xludf.DUMMYFUNCTION("""COMPUTED_VALUE"""),"1YmNAq8VlKqlQdZW8Qb-4HKEvna5uWGWWZ257kBzZ3g8")</f>
        <v>1YmNAq8VlKqlQdZW8Qb-4HKEvna5uWGWWZ257kBzZ3g8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IFERROR(__xludf.DUMMYFUNCTION("""COMPUTED_VALUE"""),"EditAllocatedGridTaxlot")</f>
        <v>EditAllocatedGridTaxlot</v>
      </c>
      <c r="C432" s="0" t="str">
        <f>IFERROR(__xludf.DUMMYFUNCTION("""COMPUTED_VALUE"""),"1aoefQ2rn_ekQSQ5w1OA5dDn-kkC5Mhjygz9lUK_INpw")</f>
        <v>1aoefQ2rn_ekQSQ5w1OA5dDn-kkC5Mhjygz9lUK_INpw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IFERROR(__xludf.DUMMYFUNCTION("""COMPUTED_VALUE"""),"ExpandCollapseAllocatedGrid")</f>
        <v>ExpandCollapseAllocatedGrid</v>
      </c>
      <c r="C433" s="0" t="str">
        <f>IFERROR(__xludf.DUMMYFUNCTION("""COMPUTED_VALUE"""),"1zLKKBGrkdJnOK0je8SVf7FNy8N74M1Y58Ijeg4-2PoM")</f>
        <v>1zLKKBGrkdJnOK0je8SVf7FNy8N74M1Y58Ijeg4-2PoM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IFERROR(__xludf.DUMMYFUNCTION("""COMPUTED_VALUE"""),"ExpandCollapseUnallocatedGrid")</f>
        <v>ExpandCollapseUnallocatedGrid</v>
      </c>
      <c r="C434" s="0" t="str">
        <f>IFERROR(__xludf.DUMMYFUNCTION("""COMPUTED_VALUE"""),"1yl-Ggnzc6WlzcJkjk53PzqzifLSUFBSUWedGjO2j1sI")</f>
        <v>1yl-Ggnzc6WlzcJkjk53PzqzifLSUFBSUWedGjO2j1sI</v>
      </c>
    </row>
    <row r="435" ht="15.75" customHeight="1">
      <c r="A435" s="0" t="str">
        <f>IFERROR(__xludf.DUMMYFUNCTION("""COMPUTED_VALUE"""),"Blotter")</f>
        <v>Blotter</v>
      </c>
      <c r="B435" s="0" t="str">
        <f>IFERROR(__xludf.DUMMYFUNCTION("""COMPUTED_VALUE"""),"VerifySubOrderAfterRollover")</f>
        <v>VerifySubOrderAfterRollover</v>
      </c>
      <c r="C435" s="0" t="str">
        <f>IFERROR(__xludf.DUMMYFUNCTION("""COMPUTED_VALUE"""),"1BioDAFgRK9uBg8Ftw35Xfp5pj4WxwmmYzwIJBuO-DwQ")</f>
        <v>1BioDAFgRK9uBg8Ftw35Xfp5pj4WxwmmYzwIJBuO-DwQ</v>
      </c>
    </row>
    <row r="436" ht="15.75" customHeight="1">
      <c r="A436" s="0" t="str">
        <f>IFERROR(__xludf.DUMMYFUNCTION("""COMPUTED_VALUE"""),"Import")</f>
        <v>Import</v>
      </c>
      <c r="B436" s="0" t="str">
        <f>IFERROR(__xludf.DUMMYFUNCTION("""COMPUTED_VALUE"""),"SelectTransactionImportType")</f>
        <v>SelectTransactionImportType</v>
      </c>
      <c r="C436" s="0" t="str">
        <f>IFERROR(__xludf.DUMMYFUNCTION("""COMPUTED_VALUE"""),"16Qb8L4YsI0WqV4SeARzc48bRpwR2V4Z0MV8OYoCFGhk")</f>
        <v>16Qb8L4YsI0WqV4SeARzc48bRpwR2V4Z0MV8OYoCFGhk</v>
      </c>
    </row>
    <row r="437" ht="15.75" customHeight="1">
      <c r="A437" s="0" t="str">
        <f>IFERROR(__xludf.DUMMYFUNCTION("""COMPUTED_VALUE"""),"Import")</f>
        <v>Import</v>
      </c>
      <c r="B437" s="0" t="str">
        <f>IFERROR(__xludf.DUMMYFUNCTION("""COMPUTED_VALUE"""),"SelectAllOnImport")</f>
        <v>SelectAllOnImport</v>
      </c>
      <c r="C437" s="0" t="str">
        <f>IFERROR(__xludf.DUMMYFUNCTION("""COMPUTED_VALUE"""),"1DTWgrx0dU8hFuUe5pmBqyj4Lg5WTlhIj6qkrNZ9ICjk")</f>
        <v>1DTWgrx0dU8hFuUe5pmBqyj4Lg5WTlhIj6qkrNZ9ICjk</v>
      </c>
    </row>
    <row r="438" ht="15.75" customHeight="1">
      <c r="A438" s="0" t="str">
        <f>IFERROR(__xludf.DUMMYFUNCTION("""COMPUTED_VALUE"""),"Import")</f>
        <v>Import</v>
      </c>
      <c r="B438" s="0" t="str">
        <f>IFERROR(__xludf.DUMMYFUNCTION("""COMPUTED_VALUE"""),"SelectMarkPriceImportType")</f>
        <v>SelectMarkPriceImportType</v>
      </c>
      <c r="C438" s="0" t="str">
        <f>IFERROR(__xludf.DUMMYFUNCTION("""COMPUTED_VALUE"""),"15i1dY6hiW1m4QYwSjhx4JAOW2WLNuZU-m8pp-a1afIc")</f>
        <v>15i1dY6hiW1m4QYwSjhx4JAOW2WLNuZU-m8pp-a1afIc</v>
      </c>
    </row>
    <row r="439" ht="15.75" customHeight="1">
      <c r="A439" s="0" t="str">
        <f>IFERROR(__xludf.DUMMYFUNCTION("""COMPUTED_VALUE"""),"Import")</f>
        <v>Import</v>
      </c>
      <c r="B439" s="0" t="str">
        <f>IFERROR(__xludf.DUMMYFUNCTION("""COMPUTED_VALUE"""),"SelectForexImportType")</f>
        <v>SelectForexImportType</v>
      </c>
      <c r="C439" s="0" t="str">
        <f>IFERROR(__xludf.DUMMYFUNCTION("""COMPUTED_VALUE"""),"1FoMj8Y6YQKmNanRt2lm2Bh_abv6-z3QHsKHrSZf0fzk")</f>
        <v>1FoMj8Y6YQKmNanRt2lm2Bh_abv6-z3QHsKHrSZf0fzk</v>
      </c>
    </row>
    <row r="440" ht="15.75" customHeight="1">
      <c r="A440" s="0" t="str">
        <f>IFERROR(__xludf.DUMMYFUNCTION("""COMPUTED_VALUE"""),"Import")</f>
        <v>Import</v>
      </c>
      <c r="B440" s="0" t="str">
        <f>IFERROR(__xludf.DUMMYFUNCTION("""COMPUTED_VALUE"""),"SelectDoubleEntryCashImportType")</f>
        <v>SelectDoubleEntryCashImportType</v>
      </c>
      <c r="C440" s="0" t="str">
        <f>IFERROR(__xludf.DUMMYFUNCTION("""COMPUTED_VALUE"""),"1kJHggZBmha8GLtaL5ZV_B3BS4Gwe7Lz8xw9VxE7dOZo")</f>
        <v>1kJHggZBmha8GLtaL5ZV_B3BS4Gwe7Lz8xw9VxE7dOZo</v>
      </c>
    </row>
    <row r="441" ht="15.75" customHeight="1">
      <c r="A441" s="0" t="str">
        <f>IFERROR(__xludf.DUMMYFUNCTION("""COMPUTED_VALUE"""),"Import")</f>
        <v>Import</v>
      </c>
      <c r="B441" s="0" t="str">
        <f>IFERROR(__xludf.DUMMYFUNCTION("""COMPUTED_VALUE"""),"SelectActivitiesImportType")</f>
        <v>SelectActivitiesImportType</v>
      </c>
      <c r="C441" s="0" t="str">
        <f>IFERROR(__xludf.DUMMYFUNCTION("""COMPUTED_VALUE"""),"1oXhOfdNQe4jyRJ2C0rhWTdFRGTIOV39EEnimfabEDfg")</f>
        <v>1oXhOfdNQe4jyRJ2C0rhWTdFRGTIOV39EEnimfabEDfg</v>
      </c>
    </row>
    <row r="442" ht="15.75" customHeight="1">
      <c r="A442" s="0" t="str">
        <f>IFERROR(__xludf.DUMMYFUNCTION("""COMPUTED_VALUE"""),"TradingTicket")</f>
        <v>TradingTicket</v>
      </c>
      <c r="B442" s="0" t="str">
        <f>IFERROR(__xludf.DUMMYFUNCTION("""COMPUTED_VALUE"""),"SetTTCompliancePreference")</f>
        <v>SetTTCompliancePreference</v>
      </c>
      <c r="C442" s="0" t="str">
        <f>IFERROR(__xludf.DUMMYFUNCTION("""COMPUTED_VALUE"""),"1oCioVWRpfyuyVxfO16G2yJ720gXGkma0qGlK4ZyrYg4")</f>
        <v>1oCioVWRpfyuyVxfO16G2yJ720gXGkma0qGlK4ZyrYg4</v>
      </c>
    </row>
    <row r="443" ht="15.75" customHeight="1">
      <c r="A443" s="0" t="str">
        <f>IFERROR(__xludf.DUMMYFUNCTION("""COMPUTED_VALUE"""),"Rebalancer")</f>
        <v>Rebalancer</v>
      </c>
      <c r="B443" s="0" t="str">
        <f>IFERROR(__xludf.DUMMYFUNCTION("""COMPUTED_VALUE"""),"LockandUnlockGridData")</f>
        <v>LockandUnlockGridData</v>
      </c>
      <c r="C443" s="0" t="str">
        <f>IFERROR(__xludf.DUMMYFUNCTION("""COMPUTED_VALUE"""),"10uiIcQww3gObeTuZg8B6hz4zaM4MJICGafz7PPnEHAs")</f>
        <v>10uiIcQww3gObeTuZg8B6hz4zaM4MJICGafz7PPnEHAs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IFERROR(__xludf.DUMMYFUNCTION("""COMPUTED_VALUE"""),"SetTradeAttributePreferences")</f>
        <v>SetTradeAttributePreferences</v>
      </c>
      <c r="C444" s="0" t="str">
        <f>IFERROR(__xludf.DUMMYFUNCTION("""COMPUTED_VALUE"""),"18Q05MSktNTIHVgTsRKNrAGtMDLi69cwqazVhf_5vGUs")</f>
        <v>18Q05MSktNTIHVgTsRKNrAGtMDLi69cwqazVhf_5vGUs</v>
      </c>
    </row>
    <row r="445" ht="15.75" customHeight="1">
      <c r="A445" s="0" t="str">
        <f>IFERROR(__xludf.DUMMYFUNCTION("""COMPUTED_VALUE"""),"GeneralLedger")</f>
        <v>GeneralLedger</v>
      </c>
      <c r="B445" s="0" t="str">
        <f>IFERROR(__xludf.DUMMYFUNCTION("""COMPUTED_VALUE"""),"VerifyAccountBalances")</f>
        <v>VerifyAccountBalances</v>
      </c>
      <c r="C445" s="0" t="str">
        <f>IFERROR(__xludf.DUMMYFUNCTION("""COMPUTED_VALUE"""),"1lE_cU-tlZ7oe5H_dwFeCKyUTo0QAax5WNCxb0aT0h3k")</f>
        <v>1lE_cU-tlZ7oe5H_dwFeCKyUTo0QAax5WNCxb0aT0h3k</v>
      </c>
    </row>
    <row r="446" ht="15.75" customHeight="1">
      <c r="A446" s="0" t="str">
        <f>IFERROR(__xludf.DUMMYFUNCTION("""COMPUTED_VALUE"""),"Rebalancer")</f>
        <v>Rebalancer</v>
      </c>
      <c r="B446" s="0" t="str">
        <f>IFERROR(__xludf.DUMMYFUNCTION("""COMPUTED_VALUE"""),"RefreshGridData")</f>
        <v>RefreshGridData</v>
      </c>
      <c r="C446" s="0" t="str">
        <f>IFERROR(__xludf.DUMMYFUNCTION("""COMPUTED_VALUE"""),"1d_eucCmN5G9f8_NiLaxsLdEikfWW-iKoCQ7vev7O0zU")</f>
        <v>1d_eucCmN5G9f8_NiLaxsLdEikfWW-iKoCQ7vev7O0zU</v>
      </c>
    </row>
    <row r="447" ht="15.75" customHeight="1">
      <c r="A447" s="0" t="str">
        <f>IFERROR(__xludf.DUMMYFUNCTION("""COMPUTED_VALUE"""),"GeneralLedger")</f>
        <v>GeneralLedger</v>
      </c>
      <c r="B447" s="0" t="str">
        <f>IFERROR(__xludf.DUMMYFUNCTION("""COMPUTED_VALUE"""),"AddMultipleOpeningBalTranItem")</f>
        <v>AddMultipleOpeningBalTranItem</v>
      </c>
      <c r="C447" s="0" t="str">
        <f>IFERROR(__xludf.DUMMYFUNCTION("""COMPUTED_VALUE"""),"1o5yFjfxSDwUZg4TV7tpFK_WjNSoNTnfL0wboLVCUm1c")</f>
        <v>1o5yFjfxSDwUZg4TV7tpFK_WjNSoNTnfL0wboLVCUm1c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IFERROR(__xludf.DUMMYFUNCTION("""COMPUTED_VALUE"""),"ApplyFilterOnImport")</f>
        <v>ApplyFilterOnImport</v>
      </c>
      <c r="C448" s="0" t="str">
        <f>IFERROR(__xludf.DUMMYFUNCTION("""COMPUTED_VALUE"""),"1bucapBjYv7lpkviHI-0ZpKwEa06hE9XLTYxCAkiqv1Y")</f>
        <v>1bucapBjYv7lpkviHI-0ZpKwEa06hE9XLTYxCAkiqv1Y</v>
      </c>
    </row>
    <row r="449" ht="15.75" customHeight="1">
      <c r="A449" s="0" t="str">
        <f>IFERROR(__xludf.DUMMYFUNCTION("""COMPUTED_VALUE"""),"Rebalancer")</f>
        <v>Rebalancer</v>
      </c>
      <c r="B449" s="0" t="str">
        <f>IFERROR(__xludf.DUMMYFUNCTION("""COMPUTED_VALUE"""),"SendtoStaging")</f>
        <v>SendtoStaging</v>
      </c>
      <c r="C449" s="0" t="str">
        <f>IFERROR(__xludf.DUMMYFUNCTION("""COMPUTED_VALUE"""),"1wpKxeuT5ngykDq8oxD8v-gkl_lDsqPEk3FXZl1BBGNU")</f>
        <v>1wpKxeuT5ngykDq8oxD8v-gkl_lDsqPEk3FXZl1BBGNU</v>
      </c>
    </row>
    <row r="450" ht="15.75" customHeight="1">
      <c r="A450" s="0" t="str">
        <f>IFERROR(__xludf.DUMMYFUNCTION("""COMPUTED_VALUE"""),"PTT")</f>
        <v>PTT</v>
      </c>
      <c r="B450" s="0" t="str">
        <f>IFERROR(__xludf.DUMMYFUNCTION("""COMPUTED_VALUE"""),"SetDefaultSymbology")</f>
        <v>SetDefaultSymbology</v>
      </c>
      <c r="C450" s="0" t="str">
        <f>IFERROR(__xludf.DUMMYFUNCTION("""COMPUTED_VALUE"""),"1QjBxJ-nrJcTpAkTasi94_sVisBgMGti7OMQXSW2qseQ")</f>
        <v>1QjBxJ-nrJcTpAkTasi94_sVisBgMGti7OMQXSW2qseQ</v>
      </c>
    </row>
    <row r="451" ht="15.75" customHeight="1">
      <c r="A451" s="0" t="str">
        <f>IFERROR(__xludf.DUMMYFUNCTION("""COMPUTED_VALUE"""),"Allocation")</f>
        <v>Allocation</v>
      </c>
      <c r="B451" s="0" t="str">
        <f>IFERROR(__xludf.DUMMYFUNCTION("""COMPUTED_VALUE"""),"EnterCustomAllocatePreference")</f>
        <v>EnterCustomAllocatePreference</v>
      </c>
      <c r="C451" s="0" t="str">
        <f>IFERROR(__xludf.DUMMYFUNCTION("""COMPUTED_VALUE"""),"1AQwPv2q79wcTa3HlFCQkHG7umwMKlkwPJ1HUBORVfsc")</f>
        <v>1AQwPv2q79wcTa3HlFCQkHG7umwMKlkwPJ1HUBORVfsc</v>
      </c>
    </row>
    <row r="452" ht="15.75" customHeight="1">
      <c r="A452" s="0" t="str">
        <f>IFERROR(__xludf.DUMMYFUNCTION("""COMPUTED_VALUE"""),"PTT")</f>
        <v>PTT</v>
      </c>
      <c r="B452" s="0" t="str">
        <f>IFERROR(__xludf.DUMMYFUNCTION("""COMPUTED_VALUE"""),"EditPTTAccountLevelWPF")</f>
        <v>EditPTTAccountLevelWPF</v>
      </c>
      <c r="C452" s="0" t="str">
        <f>IFERROR(__xludf.DUMMYFUNCTION("""COMPUTED_VALUE"""),"1HyQP4Vrh5_w30EPDJEhjFufpoV-ySJfmHbrzDDK_XLA")</f>
        <v>1HyQP4Vrh5_w30EPDJEhjFufpoV-ySJfmHbrzDDK_XLA</v>
      </c>
    </row>
    <row r="453" ht="15.75" customHeight="1">
      <c r="A453" s="0" t="str">
        <f>IFERROR(__xludf.DUMMYFUNCTION("""COMPUTED_VALUE"""),"PortfolioManagement")</f>
        <v>PortfolioManagement</v>
      </c>
      <c r="B453" s="0" t="str">
        <f>IFERROR(__xludf.DUMMYFUNCTION("""COMPUTED_VALUE"""),"OpenCreateTransactionFromPM")</f>
        <v>OpenCreateTransactionFromPM</v>
      </c>
      <c r="C453" s="0" t="str">
        <f>IFERROR(__xludf.DUMMYFUNCTION("""COMPUTED_VALUE"""),"1-86nRBAwVMofYmwMdMDgXGJGcmif9ZGSu6dQcsjk8mA")</f>
        <v>1-86nRBAwVMofYmwMdMDgXGJGcmif9ZGSu6dQcsjk8mA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IFERROR(__xludf.DUMMYFUNCTION("""COMPUTED_VALUE"""),"SetAutoGroupingPreferences")</f>
        <v>SetAutoGroupingPreferences</v>
      </c>
      <c r="C454" s="0" t="str">
        <f>IFERROR(__xludf.DUMMYFUNCTION("""COMPUTED_VALUE"""),"1Te-cBRFv_FKkvhELasch4HdUPvbgmGvyaL6GSm8rfJ8")</f>
        <v>1Te-cBRFv_FKkvhELasch4HdUPvbgmGvyaL6GSm8rfJ8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IFERROR(__xludf.DUMMYFUNCTION("""COMPUTED_VALUE"""),"SetAutoGroupingAccount")</f>
        <v>SetAutoGroupingAccount</v>
      </c>
      <c r="C455" s="0" t="str">
        <f>IFERROR(__xludf.DUMMYFUNCTION("""COMPUTED_VALUE"""),"1dJTHiT90Stsu7bgBQnfHKxlF7IvmTIhNFC2w3EdJlw0")</f>
        <v>1dJTHiT90Stsu7bgBQnfHKxlF7IvmTIhNFC2w3EdJlw0</v>
      </c>
    </row>
    <row r="456" ht="15.75" customHeight="1">
      <c r="A456" s="0" t="str">
        <f>IFERROR(__xludf.DUMMYFUNCTION("""COMPUTED_VALUE"""),"Allocation")</f>
        <v>Allocation</v>
      </c>
      <c r="B456" s="0" t="str">
        <f>IFERROR(__xludf.DUMMYFUNCTION("""COMPUTED_VALUE"""),"SetAvgPriceRounding")</f>
        <v>SetAvgPriceRounding</v>
      </c>
      <c r="C456" s="0" t="str">
        <f>IFERROR(__xludf.DUMMYFUNCTION("""COMPUTED_VALUE"""),"1euGFLIds_3eA9FuJ69reigrp7frEDEtKK3dBvh99T0k")</f>
        <v>1euGFLIds_3eA9FuJ69reigrp7frEDEtKK3dBvh99T0k</v>
      </c>
    </row>
    <row r="457" ht="15.75" customHeight="1">
      <c r="A457" s="0" t="str">
        <f>IFERROR(__xludf.DUMMYFUNCTION("""COMPUTED_VALUE"""),"Admin")</f>
        <v>Admin</v>
      </c>
      <c r="B457" s="0" t="str">
        <f>IFERROR(__xludf.DUMMYFUNCTION("""COMPUTED_VALUE"""),"SetActive")</f>
        <v>SetActive</v>
      </c>
      <c r="C457" s="0" t="str">
        <f>IFERROR(__xludf.DUMMYFUNCTION("""COMPUTED_VALUE"""),"1wafvyb438EvqeluBWDpXJE8X9Q8gOn3Ijw3caT3wgio")</f>
        <v>1wafvyb438EvqeluBWDpXJE8X9Q8gOn3Ijw3caT3wgio</v>
      </c>
    </row>
    <row r="458" ht="15.75" customHeight="1">
      <c r="A458" s="0" t="str">
        <f>IFERROR(__xludf.DUMMYFUNCTION("""COMPUTED_VALUE"""),"Admin")</f>
        <v>Admin</v>
      </c>
      <c r="B458" s="0" t="str">
        <f>IFERROR(__xludf.DUMMYFUNCTION("""COMPUTED_VALUE"""),"SetThirdPartyFormat")</f>
        <v>SetThirdPartyFormat</v>
      </c>
      <c r="C458" s="0" t="str">
        <f>IFERROR(__xludf.DUMMYFUNCTION("""COMPUTED_VALUE"""),"1l4Egceegv_mDnvE4M_HcBbuAgQh8NhlmPu_10KloWAg")</f>
        <v>1l4Egceegv_mDnvE4M_HcBbuAgQh8NhlmPu_10KloWAg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IFERROR(__xludf.DUMMYFUNCTION("""COMPUTED_VALUE"""),"RebalanceViaBloomberg")</f>
        <v>RebalanceViaBloomberg</v>
      </c>
      <c r="C459" s="0" t="str">
        <f>IFERROR(__xludf.DUMMYFUNCTION("""COMPUTED_VALUE"""),"19Yxtc0mG-kYgx9XiMj2EmICwIzmI7MHhVW5H8sXjfqc")</f>
        <v>19Yxtc0mG-kYgx9XiMj2EmICwIzmI7MHhVW5H8sXjfqc</v>
      </c>
    </row>
    <row r="460" ht="15.75" customHeight="1">
      <c r="A460" s="0" t="str">
        <f>IFERROR(__xludf.DUMMYFUNCTION("""COMPUTED_VALUE"""),"ThirdParty")</f>
        <v>ThirdParty</v>
      </c>
      <c r="B460" s="0" t="str">
        <f>IFERROR(__xludf.DUMMYFUNCTION("""COMPUTED_VALUE"""),"RefreshThirdParty")</f>
        <v>RefreshThirdParty</v>
      </c>
      <c r="C460" s="0" t="str">
        <f>IFERROR(__xludf.DUMMYFUNCTION("""COMPUTED_VALUE"""),"1leOcJPhSPuUZuc26liYTUkBEgS0ZkyPgfsQ2q70vYYU")</f>
        <v>1leOcJPhSPuUZuc26liYTUkBEgS0ZkyPgfsQ2q70vYYU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IFERROR(__xludf.DUMMYFUNCTION("""COMPUTED_VALUE"""),"AddUserAdjustedNAV")</f>
        <v>AddUserAdjustedNAV</v>
      </c>
      <c r="C461" s="0" t="str">
        <f>IFERROR(__xludf.DUMMYFUNCTION("""COMPUTED_VALUE"""),"1EV6M1kdYbGffiAWDGUsHZDUm9EMHjyVnQif2Bq_w5YQ")</f>
        <v>1EV6M1kdYbGffiAWDGUsHZDUm9EMHjyVnQif2Bq_w5YQ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IFERROR(__xludf.DUMMYFUNCTION("""COMPUTED_VALUE"""),"IsAllocationOpen")</f>
        <v>IsAllocationOpen</v>
      </c>
      <c r="C462" s="0" t="str">
        <f>IFERROR(__xludf.DUMMYFUNCTION("""COMPUTED_VALUE"""),"1NWy1tNLHXUklTVeScryRsYAkdc5-LJ3oDBhQkv8WT8M")</f>
        <v>1NWy1tNLHXUklTVeScryRsYAkdc5-LJ3oDBhQkv8WT8M</v>
      </c>
    </row>
    <row r="463" ht="15.75" customHeight="1">
      <c r="A463" s="0" t="str">
        <f>IFERROR(__xludf.DUMMYFUNCTION("""COMPUTED_VALUE"""),"ShortLocate")</f>
        <v>ShortLocate</v>
      </c>
      <c r="B463" s="0" t="str">
        <f>IFERROR(__xludf.DUMMYFUNCTION("""COMPUTED_VALUE"""),"ImportOnShortLocate")</f>
        <v>ImportOnShortLocate</v>
      </c>
      <c r="C463" s="0" t="str">
        <f>IFERROR(__xludf.DUMMYFUNCTION("""COMPUTED_VALUE"""),"1bVPxA0zNj_p7pg9E8mTgLU7yGIrp_WO7jQMtzLb9etg")</f>
        <v>1bVPxA0zNj_p7pg9E8mTgLU7yGIrp_WO7jQMtzLb9etg</v>
      </c>
    </row>
    <row r="464" ht="15.75" customHeight="1">
      <c r="A464" s="0" t="str">
        <f>IFERROR(__xludf.DUMMYFUNCTION("""COMPUTED_VALUE"""),"ShortLocate")</f>
        <v>ShortLocate</v>
      </c>
      <c r="B464" s="0" t="str">
        <f>IFERROR(__xludf.DUMMYFUNCTION("""COMPUTED_VALUE"""),"ApplyFilterOnShortLocate")</f>
        <v>ApplyFilterOnShortLocate</v>
      </c>
      <c r="C464" s="0" t="str">
        <f>IFERROR(__xludf.DUMMYFUNCTION("""COMPUTED_VALUE"""),"1pI0OFiaN7-udDb32hud9I-wifPd3OsRMQPJXWrVRGYE")</f>
        <v>1pI0OFiaN7-udDb32hud9I-wifPd3OsRMQPJXWrVRGYE</v>
      </c>
    </row>
    <row r="465" ht="15.75" customHeight="1">
      <c r="A465" s="0" t="str">
        <f>IFERROR(__xludf.DUMMYFUNCTION("""COMPUTED_VALUE"""),"ShortLocate")</f>
        <v>ShortLocate</v>
      </c>
      <c r="B465" s="0" t="str">
        <f>IFERROR(__xludf.DUMMYFUNCTION("""COMPUTED_VALUE"""),"OpenTTFromShortLocate")</f>
        <v>OpenTTFromShortLocate</v>
      </c>
      <c r="C465" s="0" t="str">
        <f>IFERROR(__xludf.DUMMYFUNCTION("""COMPUTED_VALUE"""),"1MR0CqV87GTUrjVmW-u4lucv_hu_DKW9AesdoirhhPoE")</f>
        <v>1MR0CqV87GTUrjVmW-u4lucv_hu_DKW9AesdoirhhPoE</v>
      </c>
    </row>
    <row r="466" ht="15.75" customHeight="1">
      <c r="A466" s="0" t="str">
        <f>IFERROR(__xludf.DUMMYFUNCTION("""COMPUTED_VALUE"""),"PortfolioManagement")</f>
        <v>PortfolioManagement</v>
      </c>
      <c r="B466" s="0" t="str">
        <f>IFERROR(__xludf.DUMMYFUNCTION("""COMPUTED_VALUE"""),"RemoveGroupingFromPM")</f>
        <v>RemoveGroupingFromPM</v>
      </c>
      <c r="C466" s="0" t="str">
        <f>IFERROR(__xludf.DUMMYFUNCTION("""COMPUTED_VALUE"""),"1VZd-w4B9IFs_jtM2q4yseIyXmK7riLhK8i1YlvU3OJ4")</f>
        <v>1VZd-w4B9IFs_jtM2q4yseIyXmK7riLhK8i1YlvU3OJ4</v>
      </c>
    </row>
    <row r="467" ht="15.75" customHeight="1">
      <c r="A467" s="0" t="str">
        <f>IFERROR(__xludf.DUMMYFUNCTION("""COMPUTED_VALUE"""),"Watchlist")</f>
        <v>Watchlist</v>
      </c>
      <c r="B467" s="0" t="str">
        <f>IFERROR(__xludf.DUMMYFUNCTION("""COMPUTED_VALUE"""),"AddTabOnWatchlist")</f>
        <v>AddTabOnWatchlist</v>
      </c>
      <c r="C467" s="0" t="str">
        <f>IFERROR(__xludf.DUMMYFUNCTION("""COMPUTED_VALUE"""),"1kyDKqBSEYxIlVdn2RdP-ZHnw5fK3SeBCqbpEqQfktbQ")</f>
        <v>1kyDKqBSEYxIlVdn2RdP-ZHnw5fK3SeBCqbpEqQfktbQ</v>
      </c>
    </row>
    <row r="468" ht="15.75" customHeight="1">
      <c r="A468" s="0" t="str">
        <f>IFERROR(__xludf.DUMMYFUNCTION("""COMPUTED_VALUE"""),"Watchlist")</f>
        <v>Watchlist</v>
      </c>
      <c r="B468" s="0" t="str">
        <f>IFERROR(__xludf.DUMMYFUNCTION("""COMPUTED_VALUE"""),"DeleteTabOnWatchlist")</f>
        <v>DeleteTabOnWatchlist</v>
      </c>
      <c r="C468" s="0" t="str">
        <f>IFERROR(__xludf.DUMMYFUNCTION("""COMPUTED_VALUE"""),"1dFUyUk6aFrwRW0TKRMWTlK9vFTp49OVXBqXSHz95DkI")</f>
        <v>1dFUyUk6aFrwRW0TKRMWTlK9vFTp49OVXBqXSHz95DkI</v>
      </c>
    </row>
    <row r="469" ht="15.75" customHeight="1">
      <c r="A469" s="0" t="str">
        <f>IFERROR(__xludf.DUMMYFUNCTION("""COMPUTED_VALUE"""),"ShortLocate")</f>
        <v>ShortLocate</v>
      </c>
      <c r="B469" s="0" t="str">
        <f>IFERROR(__xludf.DUMMYFUNCTION("""COMPUTED_VALUE"""),"Upload")</f>
        <v>Upload</v>
      </c>
      <c r="C469" s="0" t="str">
        <f>IFERROR(__xludf.DUMMYFUNCTION("""COMPUTED_VALUE"""),"1-xB5jbzgNDsYwxNItM2igLx6ybosKhYJDG45Cf1B00s")</f>
        <v>1-xB5jbzgNDsYwxNItM2igLx6ybosKhYJDG45Cf1B00s</v>
      </c>
    </row>
    <row r="470" ht="15.75" customHeight="1">
      <c r="A470" s="0" t="str">
        <f>IFERROR(__xludf.DUMMYFUNCTION("""COMPUTED_VALUE"""),"Recon")</f>
        <v>Recon</v>
      </c>
      <c r="B470" s="0" t="str">
        <f>IFERROR(__xludf.DUMMYFUNCTION("""COMPUTED_VALUE"""),"ViewDataOnRecon")</f>
        <v>ViewDataOnRecon</v>
      </c>
      <c r="C470" s="0" t="str">
        <f>IFERROR(__xludf.DUMMYFUNCTION("""COMPUTED_VALUE"""),"1j3XobpWhCBX14E7l14SxsGfD41uorXKq0Dzi78xEAl0")</f>
        <v>1j3XobpWhCBX14E7l14SxsGfD41uorXKq0Dzi78xEAl0</v>
      </c>
    </row>
    <row r="471" ht="15.75" customHeight="1">
      <c r="A471" s="0" t="str">
        <f>IFERROR(__xludf.DUMMYFUNCTION("""COMPUTED_VALUE"""),"Recon")</f>
        <v>Recon</v>
      </c>
      <c r="B471" s="0" t="str">
        <f>IFERROR(__xludf.DUMMYFUNCTION("""COMPUTED_VALUE"""),"RunRecon")</f>
        <v>RunRecon</v>
      </c>
      <c r="C471" s="0" t="str">
        <f>IFERROR(__xludf.DUMMYFUNCTION("""COMPUTED_VALUE"""),"1CGteHSn0TR35mDibHM_mvLDac-OHhb53IYGxYOU4O8c")</f>
        <v>1CGteHSn0TR35mDibHM_mvLDac-OHhb53IYGxYOU4O8c</v>
      </c>
    </row>
    <row r="472" ht="15.75" customHeight="1">
      <c r="A472" s="0" t="str">
        <f>IFERROR(__xludf.DUMMYFUNCTION("""COMPUTED_VALUE"""),"Recon")</f>
        <v>Recon</v>
      </c>
      <c r="B472" s="0" t="str">
        <f>IFERROR(__xludf.DUMMYFUNCTION("""COMPUTED_VALUE"""),"GenerateExceptionReport")</f>
        <v>GenerateExceptionReport</v>
      </c>
      <c r="C472" s="0" t="str">
        <f>IFERROR(__xludf.DUMMYFUNCTION("""COMPUTED_VALUE"""),"1N8yfRgpk29yJ2RajAJrKlhzej1Vm_fg2kmJVyjXLrvg")</f>
        <v>1N8yfRgpk29yJ2RajAJrKlhzej1Vm_fg2kmJVyjXLrvg</v>
      </c>
    </row>
    <row r="473" ht="15.75" customHeight="1">
      <c r="A473" s="0" t="str">
        <f>IFERROR(__xludf.DUMMYFUNCTION("""COMPUTED_VALUE"""),"Recon")</f>
        <v>Recon</v>
      </c>
      <c r="B473" s="0" t="str">
        <f>IFERROR(__xludf.DUMMYFUNCTION("""COMPUTED_VALUE"""),"ImportDataOnRecon")</f>
        <v>ImportDataOnRecon</v>
      </c>
      <c r="C473" s="0" t="str">
        <f>IFERROR(__xludf.DUMMYFUNCTION("""COMPUTED_VALUE"""),"1cUNtTiujid_O-E1ZKZwAgG6FILaEpJPyU8e7KNenYXI")</f>
        <v>1cUNtTiujid_O-E1ZKZwAgG6FILaEpJPyU8e7KNenYXI</v>
      </c>
    </row>
    <row r="474" ht="15.75" customHeight="1">
      <c r="A474" s="0" t="str">
        <f>IFERROR(__xludf.DUMMYFUNCTION("""COMPUTED_VALUE"""),"ShortLocate")</f>
        <v>ShortLocate</v>
      </c>
      <c r="B474" s="0" t="str">
        <f>IFERROR(__xludf.DUMMYFUNCTION("""COMPUTED_VALUE"""),"VerifyShortLocateGrid")</f>
        <v>VerifyShortLocateGrid</v>
      </c>
      <c r="C474" s="0" t="str">
        <f>IFERROR(__xludf.DUMMYFUNCTION("""COMPUTED_VALUE"""),"1WxElTsVLEdnCe639nqI7szGn5lHG-xxKjGMKw890Nxs")</f>
        <v>1WxElTsVLEdnCe639nqI7szGn5lHG-xxKjGMKw890Nxs</v>
      </c>
    </row>
    <row r="475" ht="15.75" customHeight="1">
      <c r="A475" s="0" t="str">
        <f>IFERROR(__xludf.DUMMYFUNCTION("""COMPUTED_VALUE"""),"Recon")</f>
        <v>Recon</v>
      </c>
      <c r="B475" s="0" t="str">
        <f>IFERROR(__xludf.DUMMYFUNCTION("""COMPUTED_VALUE"""),"VerifyApplicationData")</f>
        <v>VerifyApplicationData</v>
      </c>
      <c r="C475" s="0" t="str">
        <f>IFERROR(__xludf.DUMMYFUNCTION("""COMPUTED_VALUE"""),"1gMSDalyxsP_enjWpKNvUKpnf9DVP87AgNzPibA-eyb0")</f>
        <v>1gMSDalyxsP_enjWpKNvUKpnf9DVP87AgNzPibA-eyb0</v>
      </c>
    </row>
    <row r="476" ht="15.75" customHeight="1">
      <c r="A476" s="0" t="str">
        <f>IFERROR(__xludf.DUMMYFUNCTION("""COMPUTED_VALUE"""),"Recon")</f>
        <v>Recon</v>
      </c>
      <c r="B476" s="0" t="str">
        <f>IFERROR(__xludf.DUMMYFUNCTION("""COMPUTED_VALUE"""),"VerifyExceptionReport")</f>
        <v>VerifyExceptionReport</v>
      </c>
      <c r="C476" s="0" t="str">
        <f>IFERROR(__xludf.DUMMYFUNCTION("""COMPUTED_VALUE"""),"1XgMq7YXIsXKsvwpomSkKrDlipk4Y-ffMAHhllAES020")</f>
        <v>1XgMq7YXIsXKsvwpomSkKrDlipk4Y-ffMAHhllAES020</v>
      </c>
    </row>
    <row r="477" ht="15.75" customHeight="1">
      <c r="A477" s="0" t="str">
        <f>IFERROR(__xludf.DUMMYFUNCTION("""COMPUTED_VALUE"""),"Recon")</f>
        <v>Recon</v>
      </c>
      <c r="B477" s="0" t="str">
        <f>IFERROR(__xludf.DUMMYFUNCTION("""COMPUTED_VALUE"""),"VerifyPrimeBrokerData")</f>
        <v>VerifyPrimeBrokerData</v>
      </c>
      <c r="C477" s="0" t="str">
        <f>IFERROR(__xludf.DUMMYFUNCTION("""COMPUTED_VALUE"""),"1Ovwt1TBMu4eX_5xPIErUMp0szT3pOQv-xpOMc_u8oTQ")</f>
        <v>1Ovwt1TBMu4eX_5xPIErUMp0szT3pOQv-xpOMc_u8oTQ</v>
      </c>
    </row>
    <row r="478" ht="15.75" customHeight="1">
      <c r="A478" s="0" t="str">
        <f>IFERROR(__xludf.DUMMYFUNCTION("""COMPUTED_VALUE"""),"Admin")</f>
        <v>Admin</v>
      </c>
      <c r="B478" s="0" t="str">
        <f>IFERROR(__xludf.DUMMYFUNCTION("""COMPUTED_VALUE"""),"SetTradingComplianceRules")</f>
        <v>SetTradingComplianceRules</v>
      </c>
      <c r="C478" s="0" t="str">
        <f>IFERROR(__xludf.DUMMYFUNCTION("""COMPUTED_VALUE"""),"1MffewIlf1S9vLrAIh3aiDyNp7gGbrYIPJ5afHeDrnVY")</f>
        <v>1MffewIlf1S9vLrAIh3aiDyNp7gGbrYIPJ5afHeDrnVY</v>
      </c>
    </row>
    <row r="479" ht="15.75" customHeight="1">
      <c r="A479" s="0" t="str">
        <f>IFERROR(__xludf.DUMMYFUNCTION("""COMPUTED_VALUE"""),"TradingTicket")</f>
        <v>TradingTicket</v>
      </c>
      <c r="B479" s="0" t="str">
        <f>IFERROR(__xludf.DUMMYFUNCTION("""COMPUTED_VALUE"""),"ImportSymbol")</f>
        <v>ImportSymbol</v>
      </c>
      <c r="C479" s="0" t="str">
        <f>IFERROR(__xludf.DUMMYFUNCTION("""COMPUTED_VALUE"""),"1g5KDLoyLmVz3yEiZzqea5rWpYDsJy0U5SKzio29JwFw")</f>
        <v>1g5KDLoyLmVz3yEiZzqea5rWpYDsJy0U5SKzio29JwFw</v>
      </c>
    </row>
    <row r="480" ht="15.75" customHeight="1">
      <c r="A480" s="0" t="str">
        <f>IFERROR(__xludf.DUMMYFUNCTION("""COMPUTED_VALUE"""),"TradingTicket")</f>
        <v>TradingTicket</v>
      </c>
      <c r="B480" s="0" t="str">
        <f>IFERROR(__xludf.DUMMYFUNCTION("""COMPUTED_VALUE"""),"ExportSymbolFromRAList")</f>
        <v>ExportSymbolFromRAList</v>
      </c>
      <c r="C480" s="0" t="str">
        <f>IFERROR(__xludf.DUMMYFUNCTION("""COMPUTED_VALUE"""),"1OmAaisxsenYaDlJ4dEuvm14OJefiALIjp5WHk5BiW4M")</f>
        <v>1OmAaisxsenYaDlJ4dEuvm14OJefiALIjp5WHk5BiW4M</v>
      </c>
    </row>
    <row r="481" ht="15.75" customHeight="1">
      <c r="A481" s="0" t="str">
        <f>IFERROR(__xludf.DUMMYFUNCTION("""COMPUTED_VALUE"""),"TradingTicket")</f>
        <v>TradingTicket</v>
      </c>
      <c r="B481" s="0" t="str">
        <f>IFERROR(__xludf.DUMMYFUNCTION("""COMPUTED_VALUE""")," CheckPendingNewOrderAlert")</f>
        <v> CheckPendingNewOrderAlert</v>
      </c>
      <c r="C481" s="0" t="str">
        <f>IFERROR(__xludf.DUMMYFUNCTION("""COMPUTED_VALUE"""),"1u5co1GxTETT-t-Y-D0bp3gH4_470l1tV19b2Ge9cabM")</f>
        <v>1u5co1GxTETT-t-Y-D0bp3gH4_470l1tV19b2Ge9cabM</v>
      </c>
    </row>
    <row r="482" ht="15.75" customHeight="1">
      <c r="A482" s="0" t="str">
        <f>IFERROR(__xludf.DUMMYFUNCTION("""COMPUTED_VALUE"""),"TradingTicket")</f>
        <v>TradingTicket</v>
      </c>
      <c r="B482" s="0" t="str">
        <f>IFERROR(__xludf.DUMMYFUNCTION("""COMPUTED_VALUE"""),"AddSymbolOnRAList")</f>
        <v>AddSymbolOnRAList</v>
      </c>
      <c r="C482" s="0" t="str">
        <f>IFERROR(__xludf.DUMMYFUNCTION("""COMPUTED_VALUE"""),"1Q0qEAvdybmeczJnkPdgP8k0_TaW0HOeRFexMckMR-18")</f>
        <v>1Q0qEAvdybmeczJnkPdgP8k0_TaW0HOeRFexMckMR-18</v>
      </c>
    </row>
    <row r="483" ht="15.75" customHeight="1">
      <c r="A483" s="0" t="str">
        <f>IFERROR(__xludf.DUMMYFUNCTION("""COMPUTED_VALUE"""),"TradingTicket")</f>
        <v>TradingTicket</v>
      </c>
      <c r="B483" s="0" t="str">
        <f>IFERROR(__xludf.DUMMYFUNCTION("""COMPUTED_VALUE"""),"DeleteSymbolListFromRA")</f>
        <v>DeleteSymbolListFromRA</v>
      </c>
      <c r="C483" s="0" t="str">
        <f>IFERROR(__xludf.DUMMYFUNCTION("""COMPUTED_VALUE"""),"1_wE7yP7PUnttaLCmZoDnxxzk_PFNSFCOma_pC4ViU6E")</f>
        <v>1_wE7yP7PUnttaLCmZoDnxxzk_PFNSFCOma_pC4ViU6E</v>
      </c>
    </row>
    <row r="484" ht="15.75" customHeight="1">
      <c r="A484" s="0" t="str">
        <f>IFERROR(__xludf.DUMMYFUNCTION("""COMPUTED_VALUE"""),"TradingTicket")</f>
        <v>TradingTicket</v>
      </c>
      <c r="B484" s="0" t="str">
        <f>IFERROR(__xludf.DUMMYFUNCTION("""COMPUTED_VALUE"""),"RemoveSymbolFromRAList")</f>
        <v>RemoveSymbolFromRAList</v>
      </c>
      <c r="C484" s="0" t="str">
        <f>IFERROR(__xludf.DUMMYFUNCTION("""COMPUTED_VALUE"""),"1JxgHW7rNshltHJ_tYhcbx1WTeF-Ge0ipf7IzTYHWuGc")</f>
        <v>1JxgHW7rNshltHJ_tYhcbx1WTeF-Ge0ipf7IzTYHWuGc</v>
      </c>
    </row>
    <row r="485" ht="15.75" customHeight="1">
      <c r="A485" s="0" t="str">
        <f>IFERROR(__xludf.DUMMYFUNCTION("""COMPUTED_VALUE"""),"Report")</f>
        <v>Report</v>
      </c>
      <c r="B485" s="0" t="str">
        <f>IFERROR(__xludf.DUMMYFUNCTION("""COMPUTED_VALUE"""),"ReportMatching")</f>
        <v>ReportMatching</v>
      </c>
      <c r="C485" s="0" t="str">
        <f>IFERROR(__xludf.DUMMYFUNCTION("""COMPUTED_VALUE"""),"1EfN5-n0Flku86UC55Hrfb0fwDOOr0WS_pPckzAO-Nuk")</f>
        <v>1EfN5-n0Flku86UC55Hrfb0fwDOOr0WS_pPckzAO-Nuk</v>
      </c>
    </row>
    <row r="486" ht="15.75" customHeight="1">
      <c r="A486" s="0" t="str">
        <f>IFERROR(__xludf.DUMMYFUNCTION("""COMPUTED_VALUE"""),"Admin")</f>
        <v>Admin</v>
      </c>
      <c r="B486" s="0" t="str">
        <f>IFERROR(__xludf.DUMMYFUNCTION("""COMPUTED_VALUE"""),"EnableBreakdownRealizedPNL")</f>
        <v>EnableBreakdownRealizedPNL</v>
      </c>
      <c r="C486" s="0" t="str">
        <f>IFERROR(__xludf.DUMMYFUNCTION("""COMPUTED_VALUE"""),"1rtkxweRxmt7T-ctvx_6DrnlqP57bpTIP6Ieul7_mP6A")</f>
        <v>1rtkxweRxmt7T-ctvx_6DrnlqP57bpTIP6Ieul7_mP6A</v>
      </c>
    </row>
    <row r="487" ht="15.75" customHeight="1">
      <c r="A487" s="0" t="str">
        <f>IFERROR(__xludf.DUMMYFUNCTION("""COMPUTED_VALUE"""),"Admin")</f>
        <v>Admin</v>
      </c>
      <c r="B487" s="0" t="str">
        <f>IFERROR(__xludf.DUMMYFUNCTION("""COMPUTED_VALUE"""),"SetTTGeneralPreferences")</f>
        <v>SetTTGeneralPreferences</v>
      </c>
      <c r="C487" s="0" t="str">
        <f>IFERROR(__xludf.DUMMYFUNCTION("""COMPUTED_VALUE"""),"1bYrBAoKW9vS-yV7iY_o_bSeBsS4YGKCqurg8f5zUrJ8")</f>
        <v>1bYrBAoKW9vS-yV7iY_o_bSeBsS4YGKCqurg8f5zUrJ8</v>
      </c>
    </row>
    <row r="488" ht="15.75" customHeight="1">
      <c r="A488" s="0" t="str">
        <f>IFERROR(__xludf.DUMMYFUNCTION("""COMPUTED_VALUE"""),"Blotter")</f>
        <v>Blotter</v>
      </c>
      <c r="B488" s="0" t="str">
        <f>IFERROR(__xludf.DUMMYFUNCTION("""COMPUTED_VALUE"""),"OpenBlotter")</f>
        <v>OpenBlotter</v>
      </c>
      <c r="C488" s="0" t="str">
        <f>IFERROR(__xludf.DUMMYFUNCTION("""COMPUTED_VALUE"""),"1jh-uMffIi0EiSv0QmaxSeDY5pD0Bo-YUzVPlNlIB5sk")</f>
        <v>1jh-uMffIi0EiSv0QmaxSeDY5pD0Bo-YUzVPlNlIB5sk</v>
      </c>
    </row>
    <row r="489" ht="15.75" customHeight="1">
      <c r="A489" s="0" t="str">
        <f>IFERROR(__xludf.DUMMYFUNCTION("""COMPUTED_VALUE"""),"ExeExecutor")</f>
        <v>ExeExecutor</v>
      </c>
      <c r="B489" s="0" t="str">
        <f>IFERROR(__xludf.DUMMYFUNCTION("""COMPUTED_VALUE"""),"CallExeExecutor")</f>
        <v>CallExeExecutor</v>
      </c>
      <c r="C489" s="0" t="str">
        <f>IFERROR(__xludf.DUMMYFUNCTION("""COMPUTED_VALUE"""),"18prvJHsrb-rcZzLiFugnRouMTG2v1w23-4XsA6vdq28")</f>
        <v>18prvJHsrb-rcZzLiFugnRouMTG2v1w23-4XsA6vdq28</v>
      </c>
    </row>
    <row r="490" ht="15.75" customHeight="1">
      <c r="A490" s="0" t="str">
        <f>IFERROR(__xludf.DUMMYFUNCTION("""COMPUTED_VALUE"""),"TradingTicket")</f>
        <v>TradingTicket</v>
      </c>
      <c r="B490" s="0" t="str">
        <f>IFERROR(__xludf.DUMMYFUNCTION("""COMPUTED_VALUE"""),"ToggleBlombergOnRA")</f>
        <v>ToggleBlombergOnRA</v>
      </c>
      <c r="C490" s="0" t="str">
        <f>IFERROR(__xludf.DUMMYFUNCTION("""COMPUTED_VALUE"""),"10Qkq27hhdOEj1Wsc8HDmoaYNRjZvZz3hYs_g-o2srD4")</f>
        <v>10Qkq27hhdOEj1Wsc8HDmoaYNRjZvZz3hYs_g-o2srD4</v>
      </c>
    </row>
    <row r="491" ht="15.75" customHeight="1">
      <c r="A491" s="0" t="str">
        <f>IFERROR(__xludf.DUMMYFUNCTION("""COMPUTED_VALUE"""),"Blotter")</f>
        <v>Blotter</v>
      </c>
      <c r="B491" s="0" t="str">
        <f>IFERROR(__xludf.DUMMYFUNCTION("""COMPUTED_VALUE"""),"RemoveManualExecution")</f>
        <v>RemoveManualExecution</v>
      </c>
      <c r="C491" s="0" t="str">
        <f>IFERROR(__xludf.DUMMYFUNCTION("""COMPUTED_VALUE"""),"12JlWbwTibBQxTu6k-LfAtZm3Ge3zv_5pTxfwGMUw41Y")</f>
        <v>12JlWbwTibBQxTu6k-LfAtZm3Ge3zv_5pTxfwGMUw41Y</v>
      </c>
    </row>
    <row r="492" ht="15.75" customHeight="1">
      <c r="A492" s="0" t="str">
        <f>IFERROR(__xludf.DUMMYFUNCTION("""COMPUTED_VALUE"""),"Blotter")</f>
        <v>Blotter</v>
      </c>
      <c r="B492" s="0" t="str">
        <f>IFERROR(__xludf.DUMMYFUNCTION("""COMPUTED_VALUE"""),"RemoveExecutionWorkingSubs")</f>
        <v>RemoveExecutionWorkingSubs</v>
      </c>
      <c r="C492" s="0" t="str">
        <f>IFERROR(__xludf.DUMMYFUNCTION("""COMPUTED_VALUE"""),"1y-8IjqY0F-JaHDEQlN0WPEnzbLFvyaXbrTNH8_TVTks")</f>
        <v>1y-8IjqY0F-JaHDEQlN0WPEnzbLFvyaXbrTNH8_TVTks</v>
      </c>
    </row>
    <row r="493" ht="15.75" customHeight="1">
      <c r="A493" s="0" t="str">
        <f>IFERROR(__xludf.DUMMYFUNCTION("""COMPUTED_VALUE"""),"Dropcopy")</f>
        <v>Dropcopy</v>
      </c>
      <c r="B493" s="0" t="str">
        <f>IFERROR(__xludf.DUMMYFUNCTION("""COMPUTED_VALUE"""),"UploadDropcopyFile")</f>
        <v>UploadDropcopyFile</v>
      </c>
      <c r="C493" s="0" t="str">
        <f>IFERROR(__xludf.DUMMYFUNCTION("""COMPUTED_VALUE"""),"1nR5JdSa_bHe_xGX50gs4EzgjOu_OvNU3Jr03lpqD0xw")</f>
        <v>1nR5JdSa_bHe_xGX50gs4EzgjOu_OvNU3Jr03lpqD0xw</v>
      </c>
    </row>
    <row r="494" ht="15.75" customHeight="1">
      <c r="A494" s="0" t="str">
        <f>IFERROR(__xludf.DUMMYFUNCTION("""COMPUTED_VALUE"""),"TradeServer")</f>
        <v>TradeServer</v>
      </c>
      <c r="B494" s="0" t="str">
        <f>IFERROR(__xludf.DUMMYFUNCTION("""COMPUTED_VALUE"""),"StartTradeServer")</f>
        <v>StartTradeServer</v>
      </c>
      <c r="C494" s="0" t="str">
        <f>IFERROR(__xludf.DUMMYFUNCTION("""COMPUTED_VALUE"""),"1y76YUxz2PJo3dkDwBM0DtU6wDkbeltscHEvWIbis6PU")</f>
        <v>1y76YUxz2PJo3dkDwBM0DtU6wDkbeltscHEvWIbis6PU</v>
      </c>
    </row>
    <row r="495" ht="15.75" customHeight="1">
      <c r="A495" s="0" t="str">
        <f>IFERROR(__xludf.DUMMYFUNCTION("""COMPUTED_VALUE"""),"TradeServer")</f>
        <v>TradeServer</v>
      </c>
      <c r="B495" s="0" t="str">
        <f>IFERROR(__xludf.DUMMYFUNCTION("""COMPUTED_VALUE"""),"CloseTradeServer ")</f>
        <v>CloseTradeServer </v>
      </c>
      <c r="C495" s="0" t="str">
        <f>IFERROR(__xludf.DUMMYFUNCTION("""COMPUTED_VALUE"""),"1yt7YEJD5SbOmQGT4lGjpllft89GAxVsEpZGz0MjiwoE")</f>
        <v>1yt7YEJD5SbOmQGT4lGjpllft89GAxVsEpZGz0MjiwoE</v>
      </c>
    </row>
    <row r="496" ht="15.75" customHeight="1">
      <c r="A496" s="0" t="str">
        <f>IFERROR(__xludf.DUMMYFUNCTION("""COMPUTED_VALUE"""),"Blotter")</f>
        <v>Blotter</v>
      </c>
      <c r="B496" s="0" t="str">
        <f>IFERROR(__xludf.DUMMYFUNCTION("""COMPUTED_VALUE"""),"GetExecutionReportOrders")</f>
        <v>GetExecutionReportOrders</v>
      </c>
      <c r="C496" s="0" t="str">
        <f>IFERROR(__xludf.DUMMYFUNCTION("""COMPUTED_VALUE"""),"1NAb2WMfxxO3WY8IHkZpmM2CEoQJdLSaSUKkJGXbMhpM")</f>
        <v>1NAb2WMfxxO3WY8IHkZpmM2CEoQJdLSaSUKkJGXbMhpM</v>
      </c>
    </row>
    <row r="497" ht="15.75" customHeight="1">
      <c r="A497" s="0" t="str">
        <f>IFERROR(__xludf.DUMMYFUNCTION("""COMPUTED_VALUE"""),"Blotter")</f>
        <v>Blotter</v>
      </c>
      <c r="B497" s="0" t="str">
        <f>IFERROR(__xludf.DUMMYFUNCTION("""COMPUTED_VALUE"""),"GetExecutionReportDetails")</f>
        <v>GetExecutionReportDetails</v>
      </c>
      <c r="C497" s="0" t="str">
        <f>IFERROR(__xludf.DUMMYFUNCTION("""COMPUTED_VALUE"""),"1jzzm_gfQ-iQdhfat681yxboDYvsF3ICqvTE6xBuUuPw")</f>
        <v>1jzzm_gfQ-iQdhfat681yxboDYvsF3ICqvTE6xBuUuPw</v>
      </c>
    </row>
    <row r="498" ht="15.75" customHeight="1">
      <c r="A498" s="0" t="str">
        <f>IFERROR(__xludf.DUMMYFUNCTION("""COMPUTED_VALUE"""),"Blotter")</f>
        <v>Blotter</v>
      </c>
      <c r="B498" s="0" t="str">
        <f>IFERROR(__xludf.DUMMYFUNCTION("""COMPUTED_VALUE"""),"ExportExecutionReportData")</f>
        <v>ExportExecutionReportData</v>
      </c>
      <c r="C498" s="0" t="str">
        <f>IFERROR(__xludf.DUMMYFUNCTION("""COMPUTED_VALUE"""),"1QDVVpmU4OpSVy0QKxTmM6zg2QX4-s7c-SloWYxSfj2I")</f>
        <v>1QDVVpmU4OpSVy0QKxTmM6zg2QX4-s7c-SloWYxSfj2I</v>
      </c>
    </row>
    <row r="499" ht="15.75" customHeight="1">
      <c r="A499" s="0" t="str">
        <f>IFERROR(__xludf.DUMMYFUNCTION("""COMPUTED_VALUE"""),"Blotter")</f>
        <v>Blotter</v>
      </c>
      <c r="B499" s="0" t="str">
        <f>IFERROR(__xludf.DUMMYFUNCTION("""COMPUTED_VALUE"""),"VerifyExecutionReport")</f>
        <v>VerifyExecutionReport</v>
      </c>
      <c r="C499" s="0" t="str">
        <f>IFERROR(__xludf.DUMMYFUNCTION("""COMPUTED_VALUE"""),"1r_n-pmrLMgF_C8aeuNDr7tWOA0Y7GBcfWpC4prA7BYY")</f>
        <v>1r_n-pmrLMgF_C8aeuNDr7tWOA0Y7GBcfWpC4prA7BYY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IFERROR(__xludf.DUMMYFUNCTION("""COMPUTED_VALUE"""),"BlotterExecutionReportSnapshot")</f>
        <v>BlotterExecutionReportSnapshot</v>
      </c>
      <c r="C500" s="0" t="str">
        <f>IFERROR(__xludf.DUMMYFUNCTION("""COMPUTED_VALUE"""),"1CpQZAB4vlNmqvzO989xcBSpzc0NPLej2NvhLbdUyWTQ")</f>
        <v>1CpQZAB4vlNmqvzO989xcBSpzc0NPLej2NvhLbdUyWTQ</v>
      </c>
    </row>
    <row r="501" ht="15.75" customHeight="1">
      <c r="A501" s="0" t="str">
        <f>IFERROR(__xludf.DUMMYFUNCTION("""COMPUTED_VALUE"""),"Admin")</f>
        <v>Admin</v>
      </c>
      <c r="B501" s="0" t="str">
        <f>IFERROR(__xludf.DUMMYFUNCTION("""COMPUTED_VALUE"""),"SetDollarAmountPermission")</f>
        <v>SetDollarAmountPermission</v>
      </c>
      <c r="C501" s="0" t="str">
        <f>IFERROR(__xludf.DUMMYFUNCTION("""COMPUTED_VALUE"""),"14X5jPuAG23EQhbOfO3DylrVujon3mSElP-txsSkRnA8")</f>
        <v>14X5jPuAG23EQhbOfO3DylrVujon3mSElP-txsSkRnA8</v>
      </c>
    </row>
    <row r="502" ht="15.75" customHeight="1">
      <c r="A502" s="0" t="str">
        <f>IFERROR(__xludf.DUMMYFUNCTION("""COMPUTED_VALUE"""),"Admin")</f>
        <v>Admin</v>
      </c>
      <c r="B502" s="0" t="str">
        <f>IFERROR(__xludf.DUMMYFUNCTION("""COMPUTED_VALUE"""),"EnableDisableModule")</f>
        <v>EnableDisableModule</v>
      </c>
      <c r="C502" s="0" t="str">
        <f>IFERROR(__xludf.DUMMYFUNCTION("""COMPUTED_VALUE"""),"1Nhl_j0HYixYX2VQ1rak-5gFIBhJ4VoCwaftlalTj1bk")</f>
        <v>1Nhl_j0HYixYX2VQ1rak-5gFIBhJ4VoCwaftlalTj1bk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IFERROR(__xludf.DUMMYFUNCTION("""COMPUTED_VALUE"""),"MultipleTradeTransferToUser")</f>
        <v>MultipleTradeTransferToUser</v>
      </c>
      <c r="C503" s="0" t="str">
        <f>IFERROR(__xludf.DUMMYFUNCTION("""COMPUTED_VALUE"""),"18edwL6Y0tYzP2zrxa0QRcpYxjVV6krJxukXjossj_MM")</f>
        <v>18edwL6Y0tYzP2zrxa0QRcpYxjVV6krJxukXjossj_MM</v>
      </c>
    </row>
    <row r="504" ht="15.75" customHeight="1">
      <c r="A504" s="0" t="str">
        <f>IFERROR(__xludf.DUMMYFUNCTION("""COMPUTED_VALUE"""),"Admin")</f>
        <v>Admin</v>
      </c>
      <c r="B504" s="0" t="str">
        <f>IFERROR(__xludf.DUMMYFUNCTION("""COMPUTED_VALUE"""),"IsImportOverrideOnShortLocate")</f>
        <v>IsImportOverrideOnShortLocate</v>
      </c>
      <c r="C504" s="0" t="str">
        <f>IFERROR(__xludf.DUMMYFUNCTION("""COMPUTED_VALUE"""),"1rXpxTwvAlfhYJ9c_7pzI4e6qsq11B1glzjELJaxdM78")</f>
        <v>1rXpxTwvAlfhYJ9c_7pzI4e6qsq11B1glzjELJaxdM78</v>
      </c>
    </row>
    <row r="505" ht="15.75" customHeight="1">
      <c r="A505" s="0" t="str">
        <f>IFERROR(__xludf.DUMMYFUNCTION("""COMPUTED_VALUE"""),"Admin")</f>
        <v>Admin</v>
      </c>
      <c r="B505" s="0" t="str">
        <f>IFERROR(__xludf.DUMMYFUNCTION("""COMPUTED_VALUE"""),"SetShortLocateStructures")</f>
        <v>SetShortLocateStructures</v>
      </c>
      <c r="C505" s="0" t="str">
        <f>IFERROR(__xludf.DUMMYFUNCTION("""COMPUTED_VALUE"""),"1Ysz8uKnxRqT6F3_Q057BzV3ZZSVUtxBeQC04LlklMkA")</f>
        <v>1Ysz8uKnxRqT6F3_Q057BzV3ZZSVUtxBeQC04LlklMkA</v>
      </c>
    </row>
    <row r="506" ht="15.75" customHeight="1">
      <c r="A506" s="0" t="str">
        <f>IFERROR(__xludf.DUMMYFUNCTION("""COMPUTED_VALUE"""),"ShortLocate")</f>
        <v>ShortLocate</v>
      </c>
      <c r="B506" s="0" t="str">
        <f>IFERROR(__xludf.DUMMYFUNCTION("""COMPUTED_VALUE"""),"DownloadFile")</f>
        <v>DownloadFile</v>
      </c>
      <c r="C506" s="0" t="str">
        <f>IFERROR(__xludf.DUMMYFUNCTION("""COMPUTED_VALUE"""),"1Lo2aHDGLaNwTN4R8-xwG0BQ40lg7UQinHAGEpxz69js")</f>
        <v>1Lo2aHDGLaNwTN4R8-xwG0BQ40lg7UQinHAGEpxz69js</v>
      </c>
    </row>
    <row r="507" ht="15.75" customHeight="1">
      <c r="A507" s="0" t="str">
        <f>IFERROR(__xludf.DUMMYFUNCTION("""COMPUTED_VALUE"""),"ShortLocate")</f>
        <v>ShortLocate</v>
      </c>
      <c r="B507" s="0" t="str">
        <f>IFERROR(__xludf.DUMMYFUNCTION("""COMPUTED_VALUE"""),"SearchShortLocateUI")</f>
        <v>SearchShortLocateUI</v>
      </c>
      <c r="C507" s="0" t="str">
        <f>IFERROR(__xludf.DUMMYFUNCTION("""COMPUTED_VALUE"""),"1U6qgMqp1MPriWKxHsZuuHuHlmM-rJxqIxG5W7SUpFSg")</f>
        <v>1U6qgMqp1MPriWKxHsZuuHuHlmM-rJxqIxG5W7SUpFSg</v>
      </c>
    </row>
    <row r="508" ht="15.75" customHeight="1">
      <c r="A508" s="0" t="str">
        <f>IFERROR(__xludf.DUMMYFUNCTION("""COMPUTED_VALUE"""),"TradingTicket")</f>
        <v>TradingTicket</v>
      </c>
      <c r="B508" s="0" t="str">
        <f>IFERROR(__xludf.DUMMYFUNCTION("""COMPUTED_VALUE"""),"CreateDoneAwayOrder")</f>
        <v>CreateDoneAwayOrder</v>
      </c>
      <c r="C508" s="0" t="str">
        <f>IFERROR(__xludf.DUMMYFUNCTION("""COMPUTED_VALUE"""),"1PYf32wTc6i8YjkRz-Q53X6MYDiD5LoHyy9NsZwpOwGc")</f>
        <v>1PYf32wTc6i8YjkRz-Q53X6MYDiD5LoHyy9NsZwpOwGc</v>
      </c>
    </row>
    <row r="509" ht="15.75" customHeight="1">
      <c r="A509" s="0" t="str">
        <f>IFERROR(__xludf.DUMMYFUNCTION("""COMPUTED_VALUE"""),"Simulator")</f>
        <v>Simulator</v>
      </c>
      <c r="B509" s="0" t="str">
        <f>IFERROR(__xludf.DUMMYFUNCTION("""COMPUTED_VALUE"""),"VerifyTrades")</f>
        <v>VerifyTrades</v>
      </c>
      <c r="C509" s="0" t="str">
        <f>IFERROR(__xludf.DUMMYFUNCTION("""COMPUTED_VALUE"""),"1931c1Bd7mkuw8ktAOnJ1wXHqdWYL0uX2gQ9uIP2NnkI")</f>
        <v>1931c1Bd7mkuw8ktAOnJ1wXHqdWYL0uX2gQ9uIP2NnkI</v>
      </c>
    </row>
    <row r="510" ht="15.75" customHeight="1">
      <c r="A510" s="0" t="str">
        <f>IFERROR(__xludf.DUMMYFUNCTION("""COMPUTED_VALUE"""),"ShortLocate")</f>
        <v>ShortLocate</v>
      </c>
      <c r="B510" s="0" t="str">
        <f>IFERROR(__xludf.DUMMYFUNCTION("""COMPUTED_VALUE"""),"SetShortLocatePreferences")</f>
        <v>SetShortLocatePreferences</v>
      </c>
      <c r="C510" s="0" t="str">
        <f>IFERROR(__xludf.DUMMYFUNCTION("""COMPUTED_VALUE"""),"1nr3BA7Flp5cWiyNKfvlxJQEbl_IdNqrIInUcX8x159M")</f>
        <v>1nr3BA7Flp5cWiyNKfvlxJQEbl_IdNqrIInUcX8x159M</v>
      </c>
    </row>
    <row r="511" ht="15.75" customHeight="1">
      <c r="A511" s="0" t="str">
        <f>IFERROR(__xludf.DUMMYFUNCTION("""COMPUTED_VALUE"""),"SecurityMaster")</f>
        <v>SecurityMaster</v>
      </c>
      <c r="B511" s="0" t="str">
        <f>IFERROR(__xludf.DUMMYFUNCTION("""COMPUTED_VALUE"""),"GetSymbolData")</f>
        <v>GetSymbolData</v>
      </c>
      <c r="C511" s="0" t="str">
        <f>IFERROR(__xludf.DUMMYFUNCTION("""COMPUTED_VALUE"""),"1Jhbk5bZEf1nNxzsfiuLvF70SiNRDu-1THAWzNNwbi4Y")</f>
        <v>1Jhbk5bZEf1nNxzsfiuLvF70SiNRDu-1THAWzNNwbi4Y</v>
      </c>
    </row>
    <row r="512" ht="15.75" customHeight="1">
      <c r="A512" s="0" t="str">
        <f>IFERROR(__xludf.DUMMYFUNCTION("""COMPUTED_VALUE"""),"SecurityMaster")</f>
        <v>SecurityMaster</v>
      </c>
      <c r="B512" s="0" t="str">
        <f>IFERROR(__xludf.DUMMYFUNCTION("""COMPUTED_VALUE"""),"EditSMData")</f>
        <v>EditSMData</v>
      </c>
      <c r="C512" s="0" t="str">
        <f>IFERROR(__xludf.DUMMYFUNCTION("""COMPUTED_VALUE"""),"162dD8bZg-298j6PezrW145xv1_C6x4Isd0rGv85ZCII")</f>
        <v>162dD8bZg-298j6PezrW145xv1_C6x4Isd0rGv85ZCII</v>
      </c>
    </row>
    <row r="513" ht="15.75" customHeight="1">
      <c r="A513" s="0" t="str">
        <f>IFERROR(__xludf.DUMMYFUNCTION("""COMPUTED_VALUE"""),"Compliance")</f>
        <v>Compliance</v>
      </c>
      <c r="B513" s="0" t="str">
        <f>IFERROR(__xludf.DUMMYFUNCTION("""COMPUTED_VALUE"""),"RestartRuleMediator")</f>
        <v>RestartRuleMediator</v>
      </c>
      <c r="C513" s="0" t="str">
        <f>IFERROR(__xludf.DUMMYFUNCTION("""COMPUTED_VALUE"""),"1dZ1FWxsWVvPQ6jyA-ksyvErraF0tisehi5j1I2FOkRw")</f>
        <v>1dZ1FWxsWVvPQ6jyA-ksyvErraF0tisehi5j1I2FOkRw</v>
      </c>
    </row>
    <row r="514" ht="15.75" customHeight="1">
      <c r="A514" s="0" t="str">
        <f>IFERROR(__xludf.DUMMYFUNCTION("""COMPUTED_VALUE"""),"Compliance")</f>
        <v>Compliance</v>
      </c>
      <c r="B514" s="0" t="str">
        <f>IFERROR(__xludf.DUMMYFUNCTION("""COMPUTED_VALUE"""),"VerifyAggAccountSymbolWithNav")</f>
        <v>VerifyAggAccountSymbolWithNav</v>
      </c>
      <c r="C514" s="0" t="str">
        <f>IFERROR(__xludf.DUMMYFUNCTION("""COMPUTED_VALUE"""),"11jhyREfVfPzaKHLxIklzEiVpo7QOG5knwgpEA7Hkzto")</f>
        <v>11jhyREfVfPzaKHLxIklzEiVpo7QOG5knwgpEA7Hkzto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IFERROR(__xludf.DUMMYFUNCTION("""COMPUTED_VALUE"""),"SetComplianceAlert")</f>
        <v>SetComplianceAlert</v>
      </c>
      <c r="C515" s="0" t="str">
        <f>IFERROR(__xludf.DUMMYFUNCTION("""COMPUTED_VALUE"""),"12x8yk-qXOBJRoW8RyxDDfI4tsK-lzo85opA2CvzjQoA")</f>
        <v>12x8yk-qXOBJRoW8RyxDDfI4tsK-lzo85opA2CvzjQoA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IFERROR(__xludf.DUMMYFUNCTION("""COMPUTED_VALUE"""),"ReloadOrderFromBlotter")</f>
        <v>ReloadOrderFromBlotter</v>
      </c>
      <c r="C516" s="0" t="str">
        <f>IFERROR(__xludf.DUMMYFUNCTION("""COMPUTED_VALUE"""),"1KTgBgigwVrlQbk-675Krfsd2QqH49pqRvlWifYUtQ5g")</f>
        <v>1KTgBgigwVrlQbk-675Krfsd2QqH49pqRvlWifYUtQ5g</v>
      </c>
    </row>
    <row r="517" ht="15.75" customHeight="1">
      <c r="A517" s="0" t="str">
        <f>IFERROR(__xludf.DUMMYFUNCTION("""COMPUTED_VALUE"""),"Blotter")</f>
        <v>Blotter</v>
      </c>
      <c r="B517" s="0" t="str">
        <f>IFERROR(__xludf.DUMMYFUNCTION("""COMPUTED_VALUE"""),"ReloadOrderFromSubOrder")</f>
        <v>ReloadOrderFromSubOrder</v>
      </c>
      <c r="C517" s="0" t="str">
        <f>IFERROR(__xludf.DUMMYFUNCTION("""COMPUTED_VALUE"""),"1a8denPrrrZ6CU7m_5pyvuX8v3Z1WPbnkCQZRqkPZEj8")</f>
        <v>1a8denPrrrZ6CU7m_5pyvuX8v3Z1WPbnkCQZRqkPZEj8</v>
      </c>
    </row>
    <row r="518" ht="15.75" customHeight="1">
      <c r="A518" s="0" t="str">
        <f>IFERROR(__xludf.DUMMYFUNCTION("""COMPUTED_VALUE"""),"Blotter")</f>
        <v>Blotter</v>
      </c>
      <c r="B518" s="0" t="str">
        <f>IFERROR(__xludf.DUMMYFUNCTION("""COMPUTED_VALUE"""),"ReloadOrderFromWorkingSubs")</f>
        <v>ReloadOrderFromWorkingSubs</v>
      </c>
      <c r="C518" s="0" t="str">
        <f>IFERROR(__xludf.DUMMYFUNCTION("""COMPUTED_VALUE"""),"1Qy10BJ2vPY3GZqXNi1sf4HN4-VBeDTN2tZbIrlL9_tM")</f>
        <v>1Qy10BJ2vPY3GZqXNi1sf4HN4-VBeDTN2tZbIrlL9_tM</v>
      </c>
    </row>
    <row r="519" ht="15.75" customHeight="1">
      <c r="A519" s="0" t="str">
        <f>IFERROR(__xludf.DUMMYFUNCTION("""COMPUTED_VALUE"""),"Closing")</f>
        <v>Closing</v>
      </c>
      <c r="B519" s="0" t="str">
        <f>IFERROR(__xludf.DUMMYFUNCTION("""COMPUTED_VALUE"""),"AutoExercise")</f>
        <v>AutoExercise</v>
      </c>
      <c r="C519" s="0" t="str">
        <f>IFERROR(__xludf.DUMMYFUNCTION("""COMPUTED_VALUE"""),"1VkyCG4QZGXFJyz0uDReEN_PMiHJtUbU9MzJ18dR7djs")</f>
        <v>1VkyCG4QZGXFJyz0uDReEN_PMiHJtUbU9MzJ18dR7djs</v>
      </c>
    </row>
    <row r="520" ht="15.75" customHeight="1">
      <c r="A520" s="0" t="str">
        <f>IFERROR(__xludf.DUMMYFUNCTION("""COMPUTED_VALUE"""),"PortfolioManagement")</f>
        <v>PortfolioManagement</v>
      </c>
      <c r="B520" s="0" t="str">
        <f>IFERROR(__xludf.DUMMYFUNCTION("""COMPUTED_VALUE"""),"IncreasePositionFromPM")</f>
        <v>IncreasePositionFromPM</v>
      </c>
      <c r="C520" s="0" t="str">
        <f>IFERROR(__xludf.DUMMYFUNCTION("""COMPUTED_VALUE"""),"1xln3IHIAQBsFIP_BTRt6nFOFbhoLbe-sRdYWCguKd7k")</f>
        <v>1xln3IHIAQBsFIP_BTRt6nFOFbhoLbe-sRdYWCguKd7k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IFERROR(__xludf.DUMMYFUNCTION("""COMPUTED_VALUE"""),"AddOptionTrade")</f>
        <v>AddOptionTrade</v>
      </c>
      <c r="C521" s="0" t="str">
        <f>IFERROR(__xludf.DUMMYFUNCTION("""COMPUTED_VALUE"""),"1zk0UoVrMV0oINBkU2tXEcmh42lo2poOp5V2voemUQOc")</f>
        <v>1zk0UoVrMV0oINBkU2tXEcmh42lo2poOp5V2voemUQOc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IFERROR(__xludf.DUMMYFUNCTION("""COMPUTED_VALUE"""),"SendLiveBloomberg")</f>
        <v>SendLiveBloomberg</v>
      </c>
      <c r="C522" s="0" t="str">
        <f>IFERROR(__xludf.DUMMYFUNCTION("""COMPUTED_VALUE"""),"1YDY4PrQHIwjAVV7ZS5FxsT9X35VMSfx9lUFZ6KS0TT4")</f>
        <v>1YDY4PrQHIwjAVV7ZS5FxsT9X35VMSfx9lUFZ6KS0TT4</v>
      </c>
    </row>
    <row r="523" ht="15.75" customHeight="1">
      <c r="A523" s="0" t="str">
        <f>IFERROR(__xludf.DUMMYFUNCTION("""COMPUTED_VALUE"""),"Admin")</f>
        <v>Admin</v>
      </c>
      <c r="B523" s="0" t="str">
        <f>IFERROR(__xludf.DUMMYFUNCTION("""COMPUTED_VALUE"""),"UpdateExpirationDate")</f>
        <v>UpdateExpirationDate</v>
      </c>
      <c r="C523" s="0" t="str">
        <f>IFERROR(__xludf.DUMMYFUNCTION("""COMPUTED_VALUE"""),"1m5emwEeVJWl1_OB8Nsr7sbSKCTBM_edzEbP7vtPiImU")</f>
        <v>1m5emwEeVJWl1_OB8Nsr7sbSKCTBM_edzEbP7vtPiImU</v>
      </c>
    </row>
    <row r="524" ht="15.75" customHeight="1">
      <c r="A524" s="0" t="str">
        <f>IFERROR(__xludf.DUMMYFUNCTION("""COMPUTED_VALUE"""),"PricingInput")</f>
        <v>PricingInput</v>
      </c>
      <c r="B524" s="0" t="str">
        <f>IFERROR(__xludf.DUMMYFUNCTION("""COMPUTED_VALUE"""),"UncheckDividendYield")</f>
        <v>UncheckDividendYield</v>
      </c>
      <c r="C524" s="0" t="str">
        <f>IFERROR(__xludf.DUMMYFUNCTION("""COMPUTED_VALUE"""),"1siER4KgCo3rya7jG6bOEOQMJ5jolS_sgeWzVIaXVnOA")</f>
        <v>1siER4KgCo3rya7jG6bOEOQMJ5jolS_sgeWzVIaXVnOA</v>
      </c>
    </row>
    <row r="525" ht="15.75" customHeight="1">
      <c r="A525" s="0" t="str">
        <f>IFERROR(__xludf.DUMMYFUNCTION("""COMPUTED_VALUE"""),"Admin")</f>
        <v>Admin</v>
      </c>
      <c r="B525" s="0" t="str">
        <f>IFERROR(__xludf.DUMMYFUNCTION("""COMPUTED_VALUE"""),"RenameMasterStrategy")</f>
        <v>RenameMasterStrategy</v>
      </c>
      <c r="C525" s="0" t="str">
        <f>IFERROR(__xludf.DUMMYFUNCTION("""COMPUTED_VALUE"""),"17O0fiItP8De4QvAabOMWsJRuFVwYQ4vcaWY9LIrA4AM")</f>
        <v>17O0fiItP8De4QvAabOMWsJRuFVwYQ4vcaWY9LIrA4AM</v>
      </c>
    </row>
    <row r="526" ht="15.75" customHeight="1">
      <c r="A526" s="0" t="str">
        <f>IFERROR(__xludf.DUMMYFUNCTION("""COMPUTED_VALUE"""),"Blotter")</f>
        <v>Blotter</v>
      </c>
      <c r="B526" s="0" t="str">
        <f>IFERROR(__xludf.DUMMYFUNCTION("""COMPUTED_VALUE"""),"SelectFills")</f>
        <v>SelectFills</v>
      </c>
      <c r="C526" s="0" t="str">
        <f>IFERROR(__xludf.DUMMYFUNCTION("""COMPUTED_VALUE"""),"1KmDGWLo9fXILo47E7QiLk8PcgyXyPWDYLSmlv1U7OEI")</f>
        <v>1KmDGWLo9fXILo47E7QiLk8PcgyXyPWDYLSmlv1U7OEI</v>
      </c>
    </row>
    <row r="527" ht="15.75" customHeight="1">
      <c r="A527" s="0" t="str">
        <f>IFERROR(__xludf.DUMMYFUNCTION("""COMPUTED_VALUE"""),"Blotter")</f>
        <v>Blotter</v>
      </c>
      <c r="B527" s="0" t="str">
        <f>IFERROR(__xludf.DUMMYFUNCTION("""COMPUTED_VALUE"""),"ModifyFills")</f>
        <v>ModifyFills</v>
      </c>
      <c r="C527" s="0" t="str">
        <f>IFERROR(__xludf.DUMMYFUNCTION("""COMPUTED_VALUE"""),"1kjhDPh6h17F_qQ5SR_vaGjeQJ54-Cnj0LAluw9XRR9E")</f>
        <v>1kjhDPh6h17F_qQ5SR_vaGjeQJ54-Cnj0LAluw9XRR9E</v>
      </c>
    </row>
    <row r="528" ht="15.75" customHeight="1">
      <c r="A528" s="0" t="str">
        <f>IFERROR(__xludf.DUMMYFUNCTION("""COMPUTED_VALUE"""),"PranaClient")</f>
        <v>PranaClient</v>
      </c>
      <c r="B528" s="0" t="str">
        <f>IFERROR(__xludf.DUMMYFUNCTION("""COMPUTED_VALUE"""),"LoginClient")</f>
        <v>LoginClient</v>
      </c>
      <c r="C528" s="0" t="str">
        <f>IFERROR(__xludf.DUMMYFUNCTION("""COMPUTED_VALUE"""),"1oOEnrCswh1E2gMB7QLb7Kzwn1g_U9MdoUM8ZuU4xpqM")</f>
        <v>1oOEnrCswh1E2gMB7QLb7Kzwn1g_U9MdoUM8ZuU4xpqM</v>
      </c>
    </row>
    <row r="529" ht="15.75" customHeight="1">
      <c r="A529" s="0" t="str">
        <f>IFERROR(__xludf.DUMMYFUNCTION("""COMPUTED_VALUE"""),"Closing")</f>
        <v>Closing</v>
      </c>
      <c r="B529" s="0" t="str">
        <f>IFERROR(__xludf.DUMMYFUNCTION("""COMPUTED_VALUE"""),"EditMultipleCloseQuantity")</f>
        <v>EditMultipleCloseQuantity</v>
      </c>
      <c r="C529" s="0" t="str">
        <f>IFERROR(__xludf.DUMMYFUNCTION("""COMPUTED_VALUE"""),"1GFVJ-sKAde1ojd0Fe4n6uFMFg_t5ihjSGwIRBDNxnSQ")</f>
        <v>1GFVJ-sKAde1ojd0Fe4n6uFMFg_t5ihjSGwIRBDNxnSQ</v>
      </c>
    </row>
    <row r="530" ht="15.75" customHeight="1">
      <c r="A530" s="0" t="str">
        <f>IFERROR(__xludf.DUMMYFUNCTION("""COMPUTED_VALUE"""),"Closing")</f>
        <v>Closing</v>
      </c>
      <c r="B530" s="0" t="str">
        <f>IFERROR(__xludf.DUMMYFUNCTION("""COMPUTED_VALUE"""),"ManualCloseOrder")</f>
        <v>ManualCloseOrder</v>
      </c>
      <c r="C530" s="0" t="str">
        <f>IFERROR(__xludf.DUMMYFUNCTION("""COMPUTED_VALUE"""),"1fZ_P02eEi4GavSkUo3cpan_Jh4xz0OQjidMUwzCMms8")</f>
        <v>1fZ_P02eEi4GavSkUo3cpan_Jh4xz0OQjidMUwzCMms8</v>
      </c>
    </row>
    <row r="531" ht="15.75" customHeight="1">
      <c r="A531" s="0" t="str">
        <f>IFERROR(__xludf.DUMMYFUNCTION("""COMPUTED_VALUE"""),"Admin")</f>
        <v>Admin</v>
      </c>
      <c r="B531" s="0" t="str">
        <f>IFERROR(__xludf.DUMMYFUNCTION("""COMPUTED_VALUE"""),"SetTTUIAdminPreferences")</f>
        <v>SetTTUIAdminPreferences</v>
      </c>
      <c r="C531" s="0" t="str">
        <f>IFERROR(__xludf.DUMMYFUNCTION("""COMPUTED_VALUE"""),"1XGzqnk2nunw7F--MNGHLzH3F0YYmIumyegAncIZZB6k")</f>
        <v>1XGzqnk2nunw7F--MNGHLzH3F0YYmIumyegAncIZZB6k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IFERROR(__xludf.DUMMYFUNCTION("""COMPUTED_VALUE"""),"PreviewDataWithFilters")</f>
        <v>PreviewDataWithFilters</v>
      </c>
      <c r="C532" s="0" t="str">
        <f>IFERROR(__xludf.DUMMYFUNCTION("""COMPUTED_VALUE"""),"1QufyUdyJ0hiResW8bLzTI1qcoXAtWh2TTAg4KNj2kv4")</f>
        <v>1QufyUdyJ0hiResW8bLzTI1qcoXAtWh2TTAg4KNj2kv4</v>
      </c>
    </row>
    <row r="533" ht="15.75" customHeight="1">
      <c r="A533" s="0" t="str">
        <f>IFERROR(__xludf.DUMMYFUNCTION("""COMPUTED_VALUE"""),"TradingTicket")</f>
        <v>TradingTicket</v>
      </c>
      <c r="B533" s="0" t="str">
        <f>IFERROR(__xludf.DUMMYFUNCTION("""COMPUTED_VALUE"""),"ViewAllocation")</f>
        <v>ViewAllocation</v>
      </c>
      <c r="C533" s="0" t="str">
        <f>IFERROR(__xludf.DUMMYFUNCTION("""COMPUTED_VALUE"""),"1qQcdc8yQuKhwDznJZ6pFksOXC_DRFeEcZJNoYabCqoo")</f>
        <v>1qQcdc8yQuKhwDznJZ6pFksOXC_DRFeEcZJNoYabCqoo</v>
      </c>
    </row>
    <row r="534" ht="15.75" customHeight="1">
      <c r="A534" s="0" t="str">
        <f>IFERROR(__xludf.DUMMYFUNCTION("""COMPUTED_VALUE"""),"Admin")</f>
        <v>Admin</v>
      </c>
      <c r="B534" s="0" t="str">
        <f>IFERROR(__xludf.DUMMYFUNCTION("""COMPUTED_VALUE"""),"UpdateSecFee")</f>
        <v>UpdateSecFee</v>
      </c>
      <c r="C534" s="0" t="str">
        <f>IFERROR(__xludf.DUMMYFUNCTION("""COMPUTED_VALUE"""),"165ONyZgtypA9enxNYG1RIGJ0QQBpn60s9uk-ZFwfAQI")</f>
        <v>165ONyZgtypA9enxNYG1RIGJ0QQBpn60s9uk-ZFwfAQI</v>
      </c>
    </row>
    <row r="535" ht="15.75" customHeight="1">
      <c r="A535" s="0" t="str">
        <f>IFERROR(__xludf.DUMMYFUNCTION("""COMPUTED_VALUE"""),"Closing")</f>
        <v>Closing</v>
      </c>
      <c r="B535" s="0" t="str">
        <f>IFERROR(__xludf.DUMMYFUNCTION("""COMPUTED_VALUE"""),"CreateClosingTemplate")</f>
        <v>CreateClosingTemplate</v>
      </c>
      <c r="C535" s="0" t="str">
        <f>IFERROR(__xludf.DUMMYFUNCTION("""COMPUTED_VALUE"""),"1dO0ymjm2QUZjeMDVWKonhU6YqesW2cr7p8PLsR8JxaA")</f>
        <v>1dO0ymjm2QUZjeMDVWKonhU6YqesW2cr7p8PLsR8JxaA</v>
      </c>
    </row>
    <row r="536" ht="15.75" customHeight="1">
      <c r="A536" s="0" t="str">
        <f>IFERROR(__xludf.DUMMYFUNCTION("""COMPUTED_VALUE"""),"Closing")</f>
        <v>Closing</v>
      </c>
      <c r="B536" s="0" t="str">
        <f>IFERROR(__xludf.DUMMYFUNCTION("""COMPUTED_VALUE"""),"CreateUnwindingTemplate")</f>
        <v>CreateUnwindingTemplate</v>
      </c>
      <c r="C536" s="0" t="str">
        <f>IFERROR(__xludf.DUMMYFUNCTION("""COMPUTED_VALUE"""),"1elBNb12z0vBYbY9P3ZtJ0q2SWz7SHF34zwW-QQZxQH0")</f>
        <v>1elBNb12z0vBYbY9P3ZtJ0q2SWz7SHF34zwW-QQZxQH0</v>
      </c>
    </row>
    <row r="537" ht="15.75" customHeight="1">
      <c r="A537" s="0" t="str">
        <f>IFERROR(__xludf.DUMMYFUNCTION("""COMPUTED_VALUE"""),"Closing")</f>
        <v>Closing</v>
      </c>
      <c r="B537" s="0" t="str">
        <f>IFERROR(__xludf.DUMMYFUNCTION("""COMPUTED_VALUE"""),"EditTemplate")</f>
        <v>EditTemplate</v>
      </c>
      <c r="C537" s="0" t="str">
        <f>IFERROR(__xludf.DUMMYFUNCTION("""COMPUTED_VALUE"""),"1ZmcENUuCOmbgT4qA2jopXrJlm_NQ2yxiHmw457oO6Ks")</f>
        <v>1ZmcENUuCOmbgT4qA2jopXrJlm_NQ2yxiHmw457oO6Ks</v>
      </c>
    </row>
    <row r="538" ht="15.75" customHeight="1">
      <c r="A538" s="0" t="str">
        <f>IFERROR(__xludf.DUMMYFUNCTION("""COMPUTED_VALUE"""),"Closing")</f>
        <v>Closing</v>
      </c>
      <c r="B538" s="0" t="str">
        <f>IFERROR(__xludf.DUMMYFUNCTION("""COMPUTED_VALUE"""),"DeleteTemplate")</f>
        <v>DeleteTemplate</v>
      </c>
      <c r="C538" s="0" t="str">
        <f>IFERROR(__xludf.DUMMYFUNCTION("""COMPUTED_VALUE"""),"1kB5ouEy35PLGrGH3P7q6zhj1lAakSOshbaFfRSxUYuI")</f>
        <v>1kB5ouEy35PLGrGH3P7q6zhj1lAakSOshbaFfRSxUYuI</v>
      </c>
    </row>
    <row r="539" ht="15.75" customHeight="1">
      <c r="A539" s="0" t="str">
        <f>IFERROR(__xludf.DUMMYFUNCTION("""COMPUTED_VALUE"""),"Allocation")</f>
        <v>Allocation</v>
      </c>
      <c r="B539" s="0" t="str">
        <f>IFERROR(__xludf.DUMMYFUNCTION("""COMPUTED_VALUE"""),"AllocationAuditTrail")</f>
        <v>AllocationAuditTrail</v>
      </c>
      <c r="C539" s="0" t="str">
        <f>IFERROR(__xludf.DUMMYFUNCTION("""COMPUTED_VALUE"""),"1cWbQrLhcx-DBTt83fk27awIMhSdKtj7wh0dnffqkyEg")</f>
        <v>1cWbQrLhcx-DBTt83fk27awIMhSdKtj7wh0dnffqkyEg</v>
      </c>
    </row>
    <row r="540" ht="15.75" customHeight="1">
      <c r="A540" s="0" t="str">
        <f>IFERROR(__xludf.DUMMYFUNCTION("""COMPUTED_VALUE"""),"Allocation")</f>
        <v>Allocation</v>
      </c>
      <c r="B540" s="0" t="str">
        <f>IFERROR(__xludf.DUMMYFUNCTION("""COMPUTED_VALUE"""),"GetAuditTrailData")</f>
        <v>GetAuditTrailData</v>
      </c>
      <c r="C540" s="0" t="str">
        <f>IFERROR(__xludf.DUMMYFUNCTION("""COMPUTED_VALUE"""),"1atfQajSO79BpNABHuWDu-qwEpzSPXeTPKhLrVf3qAJQ")</f>
        <v>1atfQajSO79BpNABHuWDu-qwEpzSPXeTPKhLrVf3qAJQ</v>
      </c>
    </row>
    <row r="541" ht="15.75" customHeight="1">
      <c r="A541" s="0" t="str">
        <f>IFERROR(__xludf.DUMMYFUNCTION("""COMPUTED_VALUE"""),"Allocation")</f>
        <v>Allocation</v>
      </c>
      <c r="B541" s="0" t="str">
        <f>IFERROR(__xludf.DUMMYFUNCTION("""COMPUTED_VALUE"""),"CheckAuditTrailData")</f>
        <v>CheckAuditTrailData</v>
      </c>
      <c r="C541" s="0" t="str">
        <f>IFERROR(__xludf.DUMMYFUNCTION("""COMPUTED_VALUE"""),"1ynZmQFpgGOcXlnL_2G1gIugXpfbDTFt91dNyM50VdQI")</f>
        <v>1ynZmQFpgGOcXlnL_2G1gIugXpfbDTFt91dNyM50VdQI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IFERROR(__xludf.DUMMYFUNCTION("""COMPUTED_VALUE"""),"RunTemplate")</f>
        <v>RunTemplate</v>
      </c>
      <c r="C542" s="0" t="str">
        <f>IFERROR(__xludf.DUMMYFUNCTION("""COMPUTED_VALUE"""),"1iWCPXe0tXJ4PIDbwGLtBOVNSJ2s7YN4z8ZTJcr0Wuw4")</f>
        <v>1iWCPXe0tXJ4PIDbwGLtBOVNSJ2s7YN4z8ZTJcr0Wuw4</v>
      </c>
    </row>
    <row r="543" ht="15.75" customHeight="1">
      <c r="A543" s="0" t="str">
        <f>IFERROR(__xludf.DUMMYFUNCTION("""COMPUTED_VALUE"""),"SymbolLookup")</f>
        <v>SymbolLookup</v>
      </c>
      <c r="B543" s="0" t="str">
        <f>IFERROR(__xludf.DUMMYFUNCTION("""COMPUTED_VALUE"""),"EnterEquity")</f>
        <v>EnterEquity</v>
      </c>
      <c r="C543" s="0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IFERROR(__xludf.DUMMYFUNCTION("""COMPUTED_VALUE"""),"AutoGroup")</f>
        <v>AutoGroup</v>
      </c>
      <c r="C5" s="27" t="str">
        <f>IFERROR(__xludf.DUMMYFUNCTION("""COMPUTED_VALUE"""),"TradeAttribute1")</f>
        <v>TradeAttribute1</v>
      </c>
      <c r="D5" s="27" t="str">
        <f>IFERROR(__xludf.DUMMYFUNCTION("""COMPUTED_VALUE"""),"TradeAttribute2")</f>
        <v>TradeAttribute2</v>
      </c>
      <c r="E5" s="27" t="str">
        <f>IFERROR(__xludf.DUMMYFUNCTION("""COMPUTED_VALUE"""),"TradeAttribute3")</f>
        <v>TradeAttribute3</v>
      </c>
      <c r="F5" s="28" t="str">
        <f>IFERROR(__xludf.DUMMYFUNCTION("""COMPUTED_VALUE"""),"TradeAttribute4")</f>
        <v>TradeAttribute4</v>
      </c>
      <c r="G5" s="27" t="str">
        <f>IFERROR(__xludf.DUMMYFUNCTION("""COMPUTED_VALUE"""),"TradeAttribute5")</f>
        <v>TradeAttribute5</v>
      </c>
      <c r="H5" s="27" t="str">
        <f>IFERROR(__xludf.DUMMYFUNCTION("""COMPUTED_VALUE"""),"TradeAttribute6")</f>
        <v>TradeAttribute6</v>
      </c>
      <c r="I5" s="27" t="str">
        <f>IFERROR(__xludf.DUMMYFUNCTION("""COMPUTED_VALUE"""),"Broker")</f>
        <v>Broker</v>
      </c>
      <c r="J5" s="27" t="str">
        <f>IFERROR(__xludf.DUMMYFUNCTION("""COMPUTED_VALUE"""),"Venue")</f>
        <v>Venue</v>
      </c>
      <c r="K5" s="27" t="str">
        <f>IFERROR(__xludf.DUMMYFUNCTION("""COMPUTED_VALUE"""),"TradingAC")</f>
        <v>TradingAC</v>
      </c>
      <c r="L5" s="27" t="str">
        <f>IFERROR(__xludf.DUMMYFUNCTION("""COMPUTED_VALUE"""),"TradeDate")</f>
        <v>TradeDate</v>
      </c>
      <c r="M5" s="27" t="str">
        <f>IFERROR(__xludf.DUMMYFUNCTION("""COMPUTED_VALUE"""),"ProcessDate")</f>
        <v>ProcessDate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11" t="b">
        <v>1</v>
      </c>
      <c r="L6" s="11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IFERROR(__xludf.DUMMYFUNCTION("""COMPUTED_VALUE"""),"FundName")</f>
        <v>FundName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17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22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28</v>
      </c>
      <c r="D6" s="11">
        <v>350</v>
      </c>
      <c r="E6" s="30"/>
      <c r="F6" s="9" t="s">
        <v>21</v>
      </c>
      <c r="G6" s="8"/>
      <c r="H6" s="8"/>
      <c r="I6" s="8"/>
      <c r="J6" s="11">
        <v>25</v>
      </c>
      <c r="K6" s="8"/>
      <c r="L6" s="8"/>
      <c r="M6" s="8"/>
      <c r="N6" s="8"/>
      <c r="O6" s="8"/>
    </row>
    <row r="7" ht="15.75" customHeight="1">
      <c r="A7" s="8"/>
      <c r="B7" s="11" t="s">
        <v>27</v>
      </c>
      <c r="C7" s="11" t="s">
        <v>28</v>
      </c>
      <c r="D7" s="11">
        <v>650</v>
      </c>
      <c r="E7" s="8"/>
      <c r="F7" s="11" t="s">
        <v>21</v>
      </c>
      <c r="G7" s="8"/>
      <c r="H7" s="8"/>
      <c r="I7" s="8"/>
      <c r="J7" s="11">
        <v>15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27</v>
      </c>
      <c r="D6" s="11"/>
      <c r="E6" s="30"/>
      <c r="F6" s="8"/>
      <c r="G6" s="11">
        <v>350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27</v>
      </c>
      <c r="D6" s="11"/>
      <c r="E6" s="30"/>
      <c r="F6" s="8"/>
      <c r="G6" s="11">
        <v>350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25</v>
      </c>
      <c r="C6" s="11">
        <v>350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27</v>
      </c>
      <c r="D6" s="11"/>
      <c r="E6" s="30"/>
      <c r="F6" s="8"/>
      <c r="G6" s="11">
        <v>650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27</v>
      </c>
      <c r="D6" s="11"/>
      <c r="E6" s="30"/>
      <c r="F6" s="8"/>
      <c r="G6" s="11">
        <v>650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15</v>
      </c>
      <c r="C6" s="11">
        <v>650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/>
      <c r="H6" s="8"/>
      <c r="I6" s="8"/>
      <c r="J6" s="8"/>
      <c r="K6" s="8"/>
      <c r="L6" s="8"/>
      <c r="M6" s="8"/>
      <c r="N6" s="8"/>
      <c r="O6" s="8"/>
      <c r="AD6" s="9">
        <v>1</v>
      </c>
      <c r="AH6" s="9" t="s">
        <v>35</v>
      </c>
      <c r="AI6" s="9" t="s">
        <v>27</v>
      </c>
      <c r="AJ6" s="9" t="s">
        <v>28</v>
      </c>
      <c r="AK6" s="9" t="s">
        <v>36</v>
      </c>
      <c r="AL6" s="9">
        <v>350</v>
      </c>
      <c r="AM6" s="9">
        <v>350</v>
      </c>
      <c r="AN6" s="9">
        <v>100</v>
      </c>
      <c r="AO6" s="9">
        <v>350</v>
      </c>
      <c r="AS6" s="9" t="s">
        <v>37</v>
      </c>
      <c r="AT6" s="9" t="s">
        <v>21</v>
      </c>
      <c r="AU6" s="9" t="s">
        <v>38</v>
      </c>
      <c r="AV6" s="33"/>
      <c r="AW6" s="33"/>
      <c r="AY6" s="9">
        <v>350</v>
      </c>
      <c r="AZ6" s="9">
        <v>0</v>
      </c>
    </row>
    <row r="7" ht="15.75" customHeight="1">
      <c r="A7" s="8"/>
      <c r="B7" s="8"/>
      <c r="C7" s="8"/>
      <c r="D7" s="11"/>
      <c r="E7" s="8"/>
      <c r="F7" s="8"/>
      <c r="G7" s="11"/>
      <c r="H7" s="8"/>
      <c r="I7" s="8"/>
      <c r="J7" s="8"/>
      <c r="K7" s="8"/>
      <c r="L7" s="8"/>
      <c r="M7" s="8"/>
      <c r="N7" s="8"/>
      <c r="O7" s="8"/>
      <c r="AD7" s="9">
        <v>1</v>
      </c>
      <c r="AH7" s="9" t="s">
        <v>35</v>
      </c>
      <c r="AI7" s="9" t="s">
        <v>27</v>
      </c>
      <c r="AJ7" s="9" t="s">
        <v>28</v>
      </c>
      <c r="AK7" s="9" t="s">
        <v>36</v>
      </c>
      <c r="AL7" s="9">
        <v>650</v>
      </c>
      <c r="AM7" s="9">
        <v>650</v>
      </c>
      <c r="AN7" s="9">
        <v>100</v>
      </c>
      <c r="AO7" s="9">
        <v>650</v>
      </c>
      <c r="AS7" s="9" t="s">
        <v>37</v>
      </c>
      <c r="AT7" s="9" t="s">
        <v>21</v>
      </c>
      <c r="AU7" s="9" t="s">
        <v>38</v>
      </c>
      <c r="AV7" s="33"/>
      <c r="AW7" s="33"/>
      <c r="AY7" s="9">
        <v>650</v>
      </c>
      <c r="AZ7" s="9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21</v>
      </c>
      <c r="C6" s="8"/>
      <c r="D6" s="35">
        <v>0</v>
      </c>
      <c r="E6" s="36">
        <v>1000</v>
      </c>
      <c r="F6" s="8"/>
      <c r="G6" s="8"/>
      <c r="H6" s="35">
        <v>4</v>
      </c>
      <c r="I6" s="35">
        <v>5</v>
      </c>
      <c r="J6" s="11"/>
      <c r="K6" s="37">
        <v>18.5</v>
      </c>
      <c r="L6" s="37">
        <v>18.5</v>
      </c>
      <c r="M6" s="8"/>
      <c r="N6" s="8"/>
      <c r="O6" s="11" t="s">
        <v>37</v>
      </c>
      <c r="R6" s="38">
        <v>0</v>
      </c>
      <c r="S6" s="39" t="s">
        <v>42</v>
      </c>
      <c r="T6" s="40">
        <v>0</v>
      </c>
      <c r="U6" s="40">
        <v>0</v>
      </c>
      <c r="AE6" s="33">
        <v>1000</v>
      </c>
      <c r="AI6" s="9">
        <v>1</v>
      </c>
      <c r="AT6" s="41">
        <v>18514.0104</v>
      </c>
      <c r="AU6" s="41">
        <v>18514.0104</v>
      </c>
      <c r="AW6" s="40">
        <v>0</v>
      </c>
      <c r="AX6" s="40">
        <v>0</v>
      </c>
      <c r="AY6" s="42" t="s">
        <v>38</v>
      </c>
      <c r="AZ6" s="40">
        <v>0</v>
      </c>
      <c r="BC6" s="43">
        <v>0</v>
      </c>
      <c r="BE6" s="44">
        <v>18500</v>
      </c>
      <c r="BF6" s="44">
        <v>18500</v>
      </c>
      <c r="BJ6" s="45">
        <v>1000</v>
      </c>
      <c r="BO6" s="9" t="s">
        <v>28</v>
      </c>
      <c r="BT6" s="9" t="s">
        <v>27</v>
      </c>
      <c r="BV6" s="43">
        <v>0</v>
      </c>
      <c r="BW6" s="46">
        <v>14.0104</v>
      </c>
      <c r="BX6" s="43">
        <v>0</v>
      </c>
      <c r="CI6" s="9" t="s">
        <v>28</v>
      </c>
    </row>
    <row r="7" ht="15.75" customHeight="1">
      <c r="A7" s="8"/>
      <c r="B7" s="4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36">
        <v>1000</v>
      </c>
      <c r="D6" s="11"/>
      <c r="E6" s="11" t="s">
        <v>21</v>
      </c>
      <c r="F6" s="11" t="s">
        <v>28</v>
      </c>
      <c r="G6" s="8"/>
      <c r="H6" s="11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28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27</v>
      </c>
      <c r="C7" s="11" t="s">
        <v>28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11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28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>
        <v>100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28</v>
      </c>
      <c r="D6" s="11">
        <v>100</v>
      </c>
      <c r="E6" s="30"/>
      <c r="F6" s="11" t="s">
        <v>21</v>
      </c>
      <c r="G6" s="8"/>
      <c r="H6" s="8"/>
      <c r="I6" s="8"/>
      <c r="J6" s="11">
        <v>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27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27</v>
      </c>
      <c r="D6" s="11"/>
      <c r="E6" s="30"/>
      <c r="F6" s="8"/>
      <c r="G6" s="11">
        <v>100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12</v>
      </c>
      <c r="C6" s="11">
        <v>100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 t="s">
        <v>21</v>
      </c>
      <c r="C6" s="8"/>
      <c r="D6" s="35">
        <v>0</v>
      </c>
      <c r="E6" s="47">
        <v>1000</v>
      </c>
      <c r="F6" s="8"/>
      <c r="G6" s="8"/>
      <c r="H6" s="35">
        <v>4</v>
      </c>
      <c r="I6" s="35">
        <v>5</v>
      </c>
      <c r="J6" s="11"/>
      <c r="K6" s="37">
        <v>18.5</v>
      </c>
      <c r="L6" s="37">
        <v>18.5</v>
      </c>
      <c r="M6" s="8"/>
      <c r="N6" s="8"/>
      <c r="O6" s="11" t="s">
        <v>37</v>
      </c>
      <c r="Q6" s="43">
        <v>3</v>
      </c>
      <c r="R6" s="38">
        <v>0</v>
      </c>
      <c r="S6" s="39" t="s">
        <v>42</v>
      </c>
      <c r="T6" s="40">
        <v>0</v>
      </c>
      <c r="U6" s="40">
        <v>0</v>
      </c>
      <c r="AE6" s="33">
        <v>1000</v>
      </c>
      <c r="AT6" s="41">
        <v>18514.0104</v>
      </c>
      <c r="AU6" s="41">
        <v>18514.0104</v>
      </c>
      <c r="AW6" s="40">
        <v>0</v>
      </c>
      <c r="AX6" s="40">
        <v>0</v>
      </c>
      <c r="AY6" s="42" t="s">
        <v>38</v>
      </c>
      <c r="AZ6" s="40">
        <v>0</v>
      </c>
      <c r="BC6" s="43">
        <v>0</v>
      </c>
      <c r="BE6" s="44">
        <v>18500</v>
      </c>
      <c r="BF6" s="44">
        <v>18500</v>
      </c>
      <c r="BJ6" s="45">
        <v>1000</v>
      </c>
      <c r="BO6" s="9" t="s">
        <v>28</v>
      </c>
      <c r="BT6" s="9" t="s">
        <v>27</v>
      </c>
      <c r="BV6" s="43">
        <v>0</v>
      </c>
      <c r="BW6" s="46">
        <v>14.0104</v>
      </c>
      <c r="BX6" s="43">
        <v>0</v>
      </c>
      <c r="CI6" s="9" t="s">
        <v>28</v>
      </c>
    </row>
    <row r="7" ht="15.75" customHeight="1">
      <c r="A7" s="8"/>
      <c r="B7" s="11" t="s">
        <v>21</v>
      </c>
      <c r="C7" s="8"/>
      <c r="D7" s="11">
        <v>0</v>
      </c>
      <c r="E7" s="47">
        <v>100</v>
      </c>
      <c r="F7" s="8"/>
      <c r="G7" s="8"/>
      <c r="H7" s="35">
        <v>4</v>
      </c>
      <c r="I7" s="35">
        <v>5</v>
      </c>
      <c r="J7" s="8"/>
      <c r="K7" s="35">
        <v>12</v>
      </c>
      <c r="L7" s="35">
        <v>12</v>
      </c>
      <c r="M7" s="8"/>
      <c r="N7" s="8"/>
      <c r="O7" s="11" t="s">
        <v>37</v>
      </c>
      <c r="Q7" s="43">
        <v>3</v>
      </c>
      <c r="R7" s="38">
        <v>0</v>
      </c>
      <c r="S7" s="9" t="s">
        <v>42</v>
      </c>
      <c r="T7" s="40">
        <v>0</v>
      </c>
      <c r="U7" s="40">
        <v>0</v>
      </c>
      <c r="AE7" s="9">
        <v>100</v>
      </c>
      <c r="AT7" s="48">
        <v>1214.0007</v>
      </c>
      <c r="AU7" s="48">
        <v>1214.0007</v>
      </c>
      <c r="AW7" s="40">
        <v>0</v>
      </c>
      <c r="AX7" s="40">
        <v>0</v>
      </c>
      <c r="AY7" s="42" t="s">
        <v>38</v>
      </c>
      <c r="AZ7" s="40">
        <v>0</v>
      </c>
      <c r="BC7" s="43">
        <v>0</v>
      </c>
      <c r="BE7" s="45">
        <v>1200</v>
      </c>
      <c r="BF7" s="45">
        <v>1200</v>
      </c>
      <c r="BJ7" s="43">
        <v>100</v>
      </c>
      <c r="BO7" s="9" t="s">
        <v>28</v>
      </c>
      <c r="BT7" s="9" t="s">
        <v>27</v>
      </c>
      <c r="BV7" s="43">
        <v>0</v>
      </c>
      <c r="BW7" s="9">
        <v>14.0007</v>
      </c>
      <c r="BX7" s="43">
        <v>0</v>
      </c>
      <c r="CI7" s="9" t="s">
        <v>28</v>
      </c>
      <c r="CJ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67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</row>
    <row r="6" ht="15.75" customHeight="1">
      <c r="A6" s="11"/>
      <c r="B6" s="11"/>
      <c r="C6" s="11" t="s">
        <v>27</v>
      </c>
      <c r="D6" s="47">
        <v>1000</v>
      </c>
      <c r="E6" s="30"/>
      <c r="F6" s="8"/>
      <c r="G6" s="49">
        <v>18.5</v>
      </c>
      <c r="H6" s="11" t="s">
        <v>52</v>
      </c>
      <c r="I6" s="8"/>
      <c r="J6" s="8"/>
      <c r="K6" s="8"/>
      <c r="L6" s="8"/>
      <c r="M6" s="8"/>
      <c r="N6" s="47">
        <v>-18500</v>
      </c>
      <c r="O6" s="8"/>
      <c r="Q6" s="47">
        <v>-18500</v>
      </c>
      <c r="T6" s="9" t="s">
        <v>35</v>
      </c>
      <c r="AB6" s="9">
        <v>0</v>
      </c>
      <c r="AC6" s="9">
        <v>0</v>
      </c>
      <c r="AD6" s="9">
        <v>0</v>
      </c>
      <c r="AE6" s="9">
        <v>0</v>
      </c>
      <c r="AF6" s="33">
        <v>1000</v>
      </c>
      <c r="AG6" s="9">
        <v>0</v>
      </c>
      <c r="AH6" s="9">
        <v>0</v>
      </c>
      <c r="AI6" s="9">
        <v>0</v>
      </c>
      <c r="AJ6" s="9">
        <v>0</v>
      </c>
      <c r="AK6" s="47">
        <v>-18500</v>
      </c>
      <c r="AN6" s="9" t="s">
        <v>28</v>
      </c>
      <c r="AP6" s="9" t="s">
        <v>52</v>
      </c>
      <c r="AQ6" s="9" t="s">
        <v>27</v>
      </c>
      <c r="AW6" s="47">
        <v>-18500</v>
      </c>
      <c r="AX6" s="9">
        <v>0</v>
      </c>
      <c r="AY6" s="9">
        <v>0</v>
      </c>
      <c r="AZ6" s="9">
        <v>0</v>
      </c>
      <c r="BA6" s="9">
        <v>-100</v>
      </c>
      <c r="BD6" s="47">
        <v>-18500</v>
      </c>
      <c r="BJ6" s="9">
        <v>0</v>
      </c>
      <c r="BK6" s="9">
        <v>0</v>
      </c>
      <c r="BL6" s="9">
        <v>0</v>
      </c>
      <c r="BM6" s="9">
        <v>0</v>
      </c>
      <c r="BO6" s="47">
        <v>-18500</v>
      </c>
      <c r="BP6" s="9">
        <v>0</v>
      </c>
      <c r="BR6" s="9" t="s">
        <v>37</v>
      </c>
      <c r="BS6" s="9">
        <v>0</v>
      </c>
      <c r="BT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D6" s="47">
        <v>-18500</v>
      </c>
      <c r="CE6" s="9">
        <v>0</v>
      </c>
      <c r="CF6" s="9">
        <v>0</v>
      </c>
      <c r="CG6" s="47">
        <v>-18500</v>
      </c>
      <c r="CH6" s="9">
        <v>-100</v>
      </c>
      <c r="DA6" s="9">
        <v>0</v>
      </c>
      <c r="DB6" s="9">
        <v>0</v>
      </c>
      <c r="DE6" s="9">
        <v>0</v>
      </c>
      <c r="DF6" s="9">
        <v>0</v>
      </c>
      <c r="DG6" s="9">
        <v>0</v>
      </c>
      <c r="DJ6" s="9" t="s">
        <v>28</v>
      </c>
      <c r="DK6" s="9">
        <v>0</v>
      </c>
      <c r="EG6" s="9">
        <v>0</v>
      </c>
      <c r="EH6" s="9">
        <v>0</v>
      </c>
      <c r="EI6" s="9">
        <v>0</v>
      </c>
      <c r="EJ6" s="9">
        <v>0</v>
      </c>
      <c r="EM6" s="9">
        <v>0</v>
      </c>
      <c r="EO6" s="9">
        <v>0</v>
      </c>
      <c r="EQ6" s="9">
        <v>0</v>
      </c>
    </row>
    <row r="7" ht="15.75" customHeight="1">
      <c r="A7" s="8"/>
      <c r="B7" s="8"/>
      <c r="C7" s="11" t="s">
        <v>27</v>
      </c>
      <c r="D7" s="47">
        <v>100</v>
      </c>
      <c r="E7" s="11"/>
      <c r="F7" s="8"/>
      <c r="G7" s="49">
        <v>12</v>
      </c>
      <c r="H7" s="11" t="s">
        <v>52</v>
      </c>
      <c r="I7" s="8"/>
      <c r="J7" s="8"/>
      <c r="K7" s="8"/>
      <c r="L7" s="8"/>
      <c r="M7" s="8"/>
      <c r="N7" s="47">
        <v>-1200</v>
      </c>
      <c r="O7" s="8"/>
      <c r="Q7" s="47">
        <v>-1200</v>
      </c>
      <c r="T7" s="9" t="s">
        <v>35</v>
      </c>
      <c r="AB7" s="9">
        <v>0</v>
      </c>
      <c r="AC7" s="9">
        <v>0</v>
      </c>
      <c r="AD7" s="9">
        <v>0</v>
      </c>
      <c r="AE7" s="9">
        <v>0</v>
      </c>
      <c r="AF7" s="9">
        <v>100</v>
      </c>
      <c r="AG7" s="9">
        <v>0</v>
      </c>
      <c r="AH7" s="9">
        <v>0</v>
      </c>
      <c r="AI7" s="9">
        <v>0</v>
      </c>
      <c r="AJ7" s="9">
        <v>0</v>
      </c>
      <c r="AK7" s="47">
        <v>-1200</v>
      </c>
      <c r="AN7" s="9" t="s">
        <v>28</v>
      </c>
      <c r="AP7" s="9" t="s">
        <v>52</v>
      </c>
      <c r="AQ7" s="9" t="s">
        <v>27</v>
      </c>
      <c r="AW7" s="47">
        <v>-1200</v>
      </c>
      <c r="AX7" s="9">
        <v>0</v>
      </c>
      <c r="AY7" s="9">
        <v>0</v>
      </c>
      <c r="AZ7" s="9">
        <v>0</v>
      </c>
      <c r="BA7" s="9">
        <v>-100</v>
      </c>
      <c r="BD7" s="47">
        <v>-1200</v>
      </c>
      <c r="BJ7" s="9">
        <v>0</v>
      </c>
      <c r="BK7" s="9">
        <v>0</v>
      </c>
      <c r="BL7" s="9">
        <v>0</v>
      </c>
      <c r="BM7" s="9">
        <v>0</v>
      </c>
      <c r="BO7" s="47">
        <v>-1200</v>
      </c>
      <c r="BP7" s="9">
        <v>0</v>
      </c>
      <c r="BR7" s="9" t="s">
        <v>37</v>
      </c>
      <c r="BS7" s="9">
        <v>0</v>
      </c>
      <c r="BT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D7" s="47">
        <v>-1200</v>
      </c>
      <c r="CE7" s="9">
        <v>0</v>
      </c>
      <c r="CF7" s="9">
        <v>0</v>
      </c>
      <c r="CG7" s="47">
        <v>-1200</v>
      </c>
      <c r="CH7" s="9">
        <v>-100</v>
      </c>
      <c r="DA7" s="9">
        <v>0</v>
      </c>
      <c r="DB7" s="9">
        <v>0</v>
      </c>
      <c r="DE7" s="9">
        <v>0</v>
      </c>
      <c r="DF7" s="9">
        <v>0</v>
      </c>
      <c r="DG7" s="9">
        <v>0</v>
      </c>
      <c r="DJ7" s="9" t="s">
        <v>28</v>
      </c>
      <c r="DK7" s="9">
        <v>0</v>
      </c>
      <c r="EG7" s="9">
        <v>0</v>
      </c>
      <c r="EH7" s="9">
        <v>0</v>
      </c>
      <c r="EI7" s="9">
        <v>0</v>
      </c>
      <c r="EJ7" s="9">
        <v>0</v>
      </c>
      <c r="EM7" s="9">
        <v>0</v>
      </c>
      <c r="EO7" s="9">
        <v>0</v>
      </c>
      <c r="EQ7" s="9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