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SetStrategyValueCalculatedPref" sheetId="7" r:id="rId9"/>
    <sheet state="visible" name="SetDefaultRuleCalculatedPref" sheetId="8" r:id="rId10"/>
    <sheet state="visible" name="CreateDoneAwayOrder" sheetId="9" r:id="rId11"/>
    <sheet state="visible" name="GetDataAllocation" sheetId="10" r:id="rId12"/>
    <sheet state="visible" name="CheckAllocatedGroups" sheetId="11" r:id="rId13"/>
    <sheet state="visible" name="CheckAllocatedTaxlots" sheetId="12" r:id="rId14"/>
  </sheets>
  <definedNames/>
  <calcPr/>
</workbook>
</file>

<file path=xl/sharedStrings.xml><?xml version="1.0" encoding="utf-8"?>
<sst xmlns="http://schemas.openxmlformats.org/spreadsheetml/2006/main" count="137" uniqueCount="55">
  <si>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</si>
  <si>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</si>
  <si>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</si>
  <si>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</si>
  <si>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</si>
  <si>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</si>
  <si>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</si>
  <si>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</si>
  <si>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</si>
  <si>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</si>
  <si>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</si>
  <si>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</si>
  <si>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</si>
  <si>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</si>
  <si>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</si>
  <si>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</si>
  <si>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</si>
  <si>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Allocation</t>
  </si>
  <si>
    <t>AddCalculatedPreferences</t>
  </si>
  <si>
    <t>TEST</t>
  </si>
  <si>
    <t>SetAccountValueCalculatedPref</t>
  </si>
  <si>
    <t>Allocation3</t>
  </si>
  <si>
    <t>Allocation2</t>
  </si>
  <si>
    <t>SetStrategyValueCalculatedPref</t>
  </si>
  <si>
    <t>S1</t>
  </si>
  <si>
    <t>S2</t>
  </si>
  <si>
    <t>Long</t>
  </si>
  <si>
    <t>SetDefaultRuleCalculatedPref</t>
  </si>
  <si>
    <t>Trade Quantity</t>
  </si>
  <si>
    <t>Current Preference</t>
  </si>
  <si>
    <t>TradingTicket</t>
  </si>
  <si>
    <t>CreateDoneAwayOrder</t>
  </si>
  <si>
    <t>XLE</t>
  </si>
  <si>
    <t>Buy</t>
  </si>
  <si>
    <t>MS</t>
  </si>
  <si>
    <t>GetDataAllocation</t>
  </si>
  <si>
    <t>Current</t>
  </si>
  <si>
    <t>CheckAllocatedGroups</t>
  </si>
  <si>
    <t>Multiple</t>
  </si>
  <si>
    <t>Equity</t>
  </si>
  <si>
    <t>XLE US EQUITY</t>
  </si>
  <si>
    <t>Open</t>
  </si>
  <si>
    <t>SEC ENERGY SPDR FD</t>
  </si>
  <si>
    <t>USD</t>
  </si>
  <si>
    <t>BrokerNotes</t>
  </si>
  <si>
    <t>AMEX</t>
  </si>
  <si>
    <t>M</t>
  </si>
  <si>
    <t>None</t>
  </si>
  <si>
    <t>Market</t>
  </si>
  <si>
    <t>GCCAP1</t>
  </si>
  <si>
    <t>US</t>
  </si>
  <si>
    <t>jpearce</t>
  </si>
  <si>
    <t>NASDAQ</t>
  </si>
  <si>
    <t>NONE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</si>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</sst>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:ss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4" fontId="13" numFmtId="0" xfId="0" applyFont="1"/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IFERROR(__xludf.DUMMYFUNCTION("""COMPUTED_VALUE"""),"CreateNewSubLiveOrder")</f>
        <v>CreateNewSubLiveOrder</v>
      </c>
      <c r="C558" t="str">
        <f>IFERROR(__xludf.DUMMYFUNCTION("""COMPUTED_VALUE"""),"12zWky2LmOXrqIXPltYfxypKjuQf3ZHGv1mz-xQGxKTQ")</f>
        <v>12zWky2LmOXrqIXPltYfxypKjuQf3ZHGv1mz-xQGxKTQ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IFERROR(__xludf.DUMMYFUNCTION("""COMPUTED_VALUE"""),"ViewPTTAllocationDetails")</f>
        <v>ViewPTTAllocationDetails</v>
      </c>
      <c r="C559" t="str">
        <f>IFERROR(__xludf.DUMMYFUNCTION("""COMPUTED_VALUE"""),"1KoA0Wc5hAar-q0SNiFxHZv5O7_6Ub43E0Baobavff04")</f>
        <v>1KoA0Wc5hAar-q0SNiFxHZv5O7_6Ub43E0Baobavff04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IFERROR(__xludf.DUMMYFUNCTION("""COMPUTED_VALUE"""),"RestartSQL")</f>
        <v>RestartSQL</v>
      </c>
      <c r="C560" t="str">
        <f>IFERROR(__xludf.DUMMYFUNCTION("""COMPUTED_VALUE"""),"1vVUSxh3aheqbZRQq-3oJhAe8OKjNysk1JPVf_W8f5l0")</f>
        <v>1vVUSxh3aheqbZRQq-3oJhAe8OKjNysk1JPVf_W8f5l0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IFERROR(__xludf.DUMMYFUNCTION("""COMPUTED_VALUE"""),"TradeAuditCleanUp")</f>
        <v>TradeAuditCleanUp</v>
      </c>
      <c r="C561" t="str">
        <f>IFERROR(__xludf.DUMMYFUNCTION("""COMPUTED_VALUE"""),"1X5YzKAgrVFRed11iGwwlj-Wh1wAD0gvmGSkTbMQqBao")</f>
        <v>1X5YzKAgrVFRed11iGwwlj-Wh1wAD0gvmGSkTbMQqBao</v>
      </c>
    </row>
    <row r="562" ht="15.75" customHeight="1">
      <c r="A562" t="str">
        <f>IFERROR(__xludf.DUMMYFUNCTION("""COMPUTED_VALUE"""),"Import")</f>
        <v>Import</v>
      </c>
      <c r="B562" t="str">
        <f>IFERROR(__xludf.DUMMYFUNCTION("""COMPUTED_VALUE"""),"SelectTradeOnImport")</f>
        <v>SelectTradeOnImport</v>
      </c>
      <c r="C562" t="str">
        <f>IFERROR(__xludf.DUMMYFUNCTION("""COMPUTED_VALUE"""),"10cAOM3qnGaWW44q9z21WEIOpJdPIAth5hr8jecUfG6A")</f>
        <v>10cAOM3qnGaWW44q9z21WEIOpJdPIAth5hr8jecUfG6A</v>
      </c>
    </row>
    <row r="563" ht="15.75" customHeight="1">
      <c r="A563" t="str">
        <f>IFERROR(__xludf.DUMMYFUNCTION("""COMPUTED_VALUE"""),"Allocation")</f>
        <v>Allocation</v>
      </c>
      <c r="B563" t="str">
        <f>IFERROR(__xludf.DUMMYFUNCTION("""COMPUTED_VALUE"""),"SelectAllRowsAllocated")</f>
        <v>SelectAllRowsAllocated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IFERROR(__xludf.DUMMYFUNCTION("""COMPUTED_VALUE"""),"FilterLongPositionGrid")</f>
        <v>FilterLongPositionGrid</v>
      </c>
      <c r="C564" t="str">
        <f>IFERROR(__xludf.DUMMYFUNCTION("""COMPUTED_VALUE"""),"11V4DM1OMXH_V53PIsUZCW0QthHjB-hG0fn99Yo8Ry2c")</f>
        <v>11V4DM1OMXH_V53PIsUZCW0QthHjB-hG0fn99Yo8Ry2c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IFERROR(__xludf.DUMMYFUNCTION("""COMPUTED_VALUE"""),"FilterShortPositionGrid")</f>
        <v>FilterShortPositionGrid</v>
      </c>
      <c r="C565" t="str">
        <f>IFERROR(__xludf.DUMMYFUNCTION("""COMPUTED_VALUE"""),"1PD9u3XtwrJXt2fU5ghvPjJ7SpxcIKIIWrKF4YF7wZdo")</f>
        <v>1PD9u3XtwrJXt2fU5ghvPjJ7SpxcIKIIWrKF4YF7wZdo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IFERROR(__xludf.DUMMYFUNCTION("""COMPUTED_VALUE"""),"FilterClosingGrid")</f>
        <v>FilterClosingGrid</v>
      </c>
      <c r="C566" t="str">
        <f>IFERROR(__xludf.DUMMYFUNCTION("""COMPUTED_VALUE"""),"1zS4ALOAI4Qv9-imwrJ3P0juiFH5-Vvf_4yLE3c_77ww")</f>
        <v>1zS4ALOAI4Qv9-imwrJ3P0juiFH5-Vvf_4yLE3c_77ww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IFERROR(__xludf.DUMMYFUNCTION("""COMPUTED_VALUE"""),"FilterUnexpiredGrid")</f>
        <v>FilterUnexpiredGrid</v>
      </c>
      <c r="C567" t="str">
        <f>IFERROR(__xludf.DUMMYFUNCTION("""COMPUTED_VALUE"""),"1cf7V2VglYQWMxr9jI82Z1YFUP_Ufd3RrESoDhAX5nFQ")</f>
        <v>1cf7V2VglYQWMxr9jI82Z1YFUP_Ufd3RrESoDhAX5nFQ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IFERROR(__xludf.DUMMYFUNCTION("""COMPUTED_VALUE"""),"FilterExpiredGrid")</f>
        <v>FilterExpiredGrid</v>
      </c>
      <c r="C568" t="str">
        <f>IFERROR(__xludf.DUMMYFUNCTION("""COMPUTED_VALUE"""),"1pw8K3dcvVISd7jxODSx2U2PTzTKu53dxX_05mlkByK4")</f>
        <v>1pw8K3dcvVISd7jxODSx2U2PTzTKu53dxX_05mlkByK4</v>
      </c>
    </row>
    <row r="569" ht="15.75" customHeight="1">
      <c r="A569" t="str">
        <f>IFERROR(__xludf.DUMMYFUNCTION("""COMPUTED_VALUE"""),"GeneralLedger")</f>
        <v>GeneralLedger</v>
      </c>
      <c r="B569" t="str">
        <f>IFERROR(__xludf.DUMMYFUNCTION("""COMPUTED_VALUE"""),"FilterCashTransactionGrid")</f>
        <v>FilterCashTransactionGrid</v>
      </c>
      <c r="C569" t="str">
        <f>IFERROR(__xludf.DUMMYFUNCTION("""COMPUTED_VALUE"""),"1PqRBZQJtY5Oa2Uxs4vSRclsIlxPwyMvlrr2UUTSIb3Y")</f>
        <v>1PqRBZQJtY5Oa2Uxs4vSRclsIlxPwyMvlrr2UUTSIb3Y</v>
      </c>
    </row>
    <row r="570" ht="15.75" customHeight="1">
      <c r="A570" t="str">
        <f>IFERROR(__xludf.DUMMYFUNCTION("""COMPUTED_VALUE"""),"Recon")</f>
        <v>Recon</v>
      </c>
      <c r="B570" t="str">
        <f>IFERROR(__xludf.DUMMYFUNCTION("""COMPUTED_VALUE"""),"VerifyApplicationData")</f>
        <v>VerifyApplicationData</v>
      </c>
      <c r="C570" t="str">
        <f>IFERROR(__xludf.DUMMYFUNCTION("""COMPUTED_VALUE"""),"1gMSDalyxsP_enjWpKNvUKpnf9DVP87AgNzPibA-eyb0")</f>
        <v>1gMSDalyxsP_enjWpKNvUKpnf9DVP87AgNzPibA-eyb0</v>
      </c>
    </row>
    <row r="571" ht="15.75" customHeight="1">
      <c r="A571" t="str">
        <f>IFERROR(__xludf.DUMMYFUNCTION("""COMPUTED_VALUE"""),"GeneralLedger")</f>
        <v>GeneralLedger</v>
      </c>
      <c r="B571" t="str">
        <f>IFERROR(__xludf.DUMMYFUNCTION("""COMPUTED_VALUE"""),"EditGridCashTransactions")</f>
        <v>EditGridCashTransactions</v>
      </c>
      <c r="C571" t="str">
        <f>IFERROR(__xludf.DUMMYFUNCTION("""COMPUTED_VALUE"""),"1A9WP5K6T6_O4S-M78Jx1SEqevonRbthbPCskWXVzxtk")</f>
        <v>1A9WP5K6T6_O4S-M78Jx1SEqevonRbthbPCskWXVzxtk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IFERROR(__xludf.DUMMYFUNCTION("""COMPUTED_VALUE"""),"UnwindAllClosingData")</f>
        <v>UnwindAllClosingData</v>
      </c>
      <c r="C572" t="str">
        <f>IFERROR(__xludf.DUMMYFUNCTION("""COMPUTED_VALUE"""),"1W0sVWSXhitgjuC6P5w0kTp7TvFL-kAol4gyIX8lhd5w")</f>
        <v>1W0sVWSXhitgjuC6P5w0kTp7TvFL-kAol4gyIX8lhd5w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IFERROR(__xludf.DUMMYFUNCTION("""COMPUTED_VALUE"""),"SaveCashTransaction")</f>
        <v>SaveCashTransaction</v>
      </c>
      <c r="C573" t="str">
        <f>IFERROR(__xludf.DUMMYFUNCTION("""COMPUTED_VALUE"""),"1FAh4CFdlozjSlNDU3BUeaQu_1zckRBcWM8KQooONyxs")</f>
        <v>1FAh4CFdlozjSlNDU3BUeaQu_1zckRBcWM8KQooONyxs</v>
      </c>
    </row>
    <row r="574" ht="15.75" customHeight="1">
      <c r="A574" t="str">
        <f>IFERROR(__xludf.DUMMYFUNCTION("""COMPUTED_VALUE"""),"ThirdParty")</f>
        <v>ThirdParty</v>
      </c>
      <c r="B574" t="str">
        <f>IFERROR(__xludf.DUMMYFUNCTION("""COMPUTED_VALUE"""),"ChangeThirdpartyDate")</f>
        <v>ChangeThirdpartyDate</v>
      </c>
      <c r="C574" t="str">
        <f>IFERROR(__xludf.DUMMYFUNCTION("""COMPUTED_VALUE"""),"1F219wmX8xrFPgma8cjoUCm7q9nq-W9yFK7PTO5OggJw")</f>
        <v>1F219wmX8xrFPgma8cjoUCm7q9nq-W9yFK7PTO5OggJw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IFERROR(__xludf.DUMMYFUNCTION("""COMPUTED_VALUE"""),"RunManualRevaluation")</f>
        <v>RunManualRevaluation</v>
      </c>
      <c r="C575" t="str">
        <f>IFERROR(__xludf.DUMMYFUNCTION("""COMPUTED_VALUE"""),"1D5Y3RzzSSQaYL3n3QrXxry0SwVaG4gnMSCxFKtFszpQ")</f>
        <v>1D5Y3RzzSSQaYL3n3QrXxry0SwVaG4gnMSCxFKtFszpQ</v>
      </c>
    </row>
    <row r="576" ht="15.75" customHeight="1">
      <c r="A576" t="str">
        <f>IFERROR(__xludf.DUMMYFUNCTION("""COMPUTED_VALUE"""),"SymbolLookup")</f>
        <v>SymbolLookup</v>
      </c>
      <c r="B576" t="str">
        <f>IFERROR(__xludf.DUMMYFUNCTION("""COMPUTED_VALUE"""),"AddSymbol")</f>
        <v>AddSymbol</v>
      </c>
      <c r="C576" t="str">
        <f>IFERROR(__xludf.DUMMYFUNCTION("""COMPUTED_VALUE"""),"10HWI9Cc8RvROS5VcoYWQCiNm-ZMIi9mZRyugdSdwfao")</f>
        <v>10HWI9Cc8RvROS5VcoYWQCiNm-ZMIi9mZRyugdSdwfao</v>
      </c>
    </row>
    <row r="577" ht="15.75" customHeight="1">
      <c r="A577" t="str">
        <f>IFERROR(__xludf.DUMMYFUNCTION("""COMPUTED_VALUE"""),"Admin")</f>
        <v>Admin</v>
      </c>
      <c r="B577" t="str">
        <f>IFERROR(__xludf.DUMMYFUNCTION("""COMPUTED_VALUE"""),"DeleteSymbolFromSM")</f>
        <v>DeleteSymbolFromSM</v>
      </c>
      <c r="C577" t="str">
        <f>IFERROR(__xludf.DUMMYFUNCTION("""COMPUTED_VALUE"""),"16YNILloso-DtMjrvuLs9jjsIzEmPQxnFXrCt8yvHUNE")</f>
        <v>16YNILloso-DtMjrvuLs9jjsIzEmPQxnFXrCt8yvHUNE</v>
      </c>
    </row>
    <row r="578" ht="15.75" customHeight="1">
      <c r="A578" t="str">
        <f>IFERROR(__xludf.DUMMYFUNCTION("""COMPUTED_VALUE"""),"Watchlist")</f>
        <v>Watchlist</v>
      </c>
      <c r="B578" t="str">
        <f>IFERROR(__xludf.DUMMYFUNCTION("""COMPUTED_VALUE"""),"AddSymbolToWatchlist")</f>
        <v>AddSymbolToWatchlist</v>
      </c>
      <c r="C578" t="str">
        <f>IFERROR(__xludf.DUMMYFUNCTION("""COMPUTED_VALUE"""),"1uQiuSREeRIwO_nEU84cMzm9OFSYVLHU2rgcEaefXb2k")</f>
        <v>1uQiuSREeRIwO_nEU84cMzm9OFSYVLHU2rgcEaefXb2k</v>
      </c>
    </row>
    <row r="579" ht="15.75" customHeight="1">
      <c r="A579" t="str">
        <f>IFERROR(__xludf.DUMMYFUNCTION("""COMPUTED_VALUE"""),"Watchlist")</f>
        <v>Watchlist</v>
      </c>
      <c r="B579" t="str">
        <f>IFERROR(__xludf.DUMMYFUNCTION("""COMPUTED_VALUE"""),"TradeFromWatchlist")</f>
        <v>TradeFromWatchlist</v>
      </c>
      <c r="C579" t="str">
        <f>IFERROR(__xludf.DUMMYFUNCTION("""COMPUTED_VALUE"""),"1FKL2NTRmBSyITx5pyk6zHOKymU28NwrQwSuVbW4gNRg")</f>
        <v>1FKL2NTRmBSyITx5pyk6zHOKymU28NwrQwSuVbW4gNRg</v>
      </c>
    </row>
    <row r="580" ht="15.75" customHeight="1">
      <c r="A580" t="str">
        <f>IFERROR(__xludf.DUMMYFUNCTION("""COMPUTED_VALUE"""),"Watchlist")</f>
        <v>Watchlist</v>
      </c>
      <c r="B580" t="str">
        <f>IFERROR(__xludf.DUMMYFUNCTION("""COMPUTED_VALUE"""),"MultiTradeFromWatchlist")</f>
        <v>MultiTradeFromWatchlist</v>
      </c>
      <c r="C580" t="str">
        <f>IFERROR(__xludf.DUMMYFUNCTION("""COMPUTED_VALUE"""),"1nyCMJS4IH1BLXnFOr_FNoPH4XmaOIGdVjSJuJpNi2c8")</f>
        <v>1nyCMJS4IH1BLXnFOr_FNoPH4XmaOIGdVjSJuJpNi2c8</v>
      </c>
    </row>
    <row r="581" ht="15.75" customHeight="1">
      <c r="A581" t="str">
        <f>IFERROR(__xludf.DUMMYFUNCTION("""COMPUTED_VALUE"""),"Watchlist")</f>
        <v>Watchlist</v>
      </c>
      <c r="B581" t="str">
        <f>IFERROR(__xludf.DUMMYFUNCTION("""COMPUTED_VALUE"""),"DeleteSymbolFromWatchlist")</f>
        <v>DeleteSymbolFromWatchlist</v>
      </c>
      <c r="C581" t="str">
        <f>IFERROR(__xludf.DUMMYFUNCTION("""COMPUTED_VALUE"""),"1byaZalr_XhOG3LaxY-Riu8lHwQSFb098xHll__tkAtA")</f>
        <v>1byaZalr_XhOG3LaxY-Riu8lHwQSFb098xHll__tkAtA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IFERROR(__xludf.DUMMYFUNCTION("""COMPUTED_VALUE"""),"VerifySymbolsOnWatchlist")</f>
        <v>VerifySymbolsOnWatchlist</v>
      </c>
      <c r="C582" t="str">
        <f>IFERROR(__xludf.DUMMYFUNCTION("""COMPUTED_VALUE"""),"15PdvqcWBSttYjbzGBns1O_5cUV2nEVZ4r1YEe7ucwPs")</f>
        <v>15PdvqcWBSttYjbzGBns1O_5cUV2nEVZ4r1YEe7ucwPs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IFERROR(__xludf.DUMMYFUNCTION("""COMPUTED_VALUE"""),"VerifyAppMatchedData")</f>
        <v>VerifyAppMatchedData</v>
      </c>
      <c r="C583" t="str">
        <f>IFERROR(__xludf.DUMMYFUNCTION("""COMPUTED_VALUE"""),"197cwp2DCQ4L0B-G5b7CZAwGsgFZuiUTyD_BSwtc9wHA")</f>
        <v>197cwp2DCQ4L0B-G5b7CZAwGsgFZuiUTyD_BSwtc9wHA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IFERROR(__xludf.DUMMYFUNCTION("""COMPUTED_VALUE"""),"VerifyAppUnmatchedData")</f>
        <v>VerifyAppUnmatchedData</v>
      </c>
      <c r="C584" t="str">
        <f>IFERROR(__xludf.DUMMYFUNCTION("""COMPUTED_VALUE"""),"18fTZZkhP8PVk2zb3669RCgVH7l1lj74KOPGo3kRsFwA")</f>
        <v>18fTZZkhP8PVk2zb3669RCgVH7l1lj74KOPGo3kRsFwA</v>
      </c>
    </row>
    <row r="585" ht="15.75" customHeight="1">
      <c r="A585" t="str">
        <f>IFERROR(__xludf.DUMMYFUNCTION("""COMPUTED_VALUE"""),"Recon")</f>
        <v>Recon</v>
      </c>
      <c r="B585" t="str">
        <f>IFERROR(__xludf.DUMMYFUNCTION("""COMPUTED_VALUE"""),"VerifyPBMatchedData")</f>
        <v>VerifyPBMatchedData</v>
      </c>
      <c r="C585" t="str">
        <f>IFERROR(__xludf.DUMMYFUNCTION("""COMPUTED_VALUE"""),"1kM_UfqpK0PaHEHY4-JNdVXj1fPgIjBfWABlDaWsTh6o")</f>
        <v>1kM_UfqpK0PaHEHY4-JNdVXj1fPgIjBfWABlDaWsTh6o</v>
      </c>
    </row>
    <row r="586" ht="15.75" customHeight="1">
      <c r="A586" t="str">
        <f>IFERROR(__xludf.DUMMYFUNCTION("""COMPUTED_VALUE"""),"Recon")</f>
        <v>Recon</v>
      </c>
      <c r="B586" t="str">
        <f>IFERROR(__xludf.DUMMYFUNCTION("""COMPUTED_VALUE"""),"VerifyPBUnmatchedData")</f>
        <v>VerifyPBUnmatchedData</v>
      </c>
      <c r="C586" t="str">
        <f>IFERROR(__xludf.DUMMYFUNCTION("""COMPUTED_VALUE"""),"1kTWoOsrKD_0f_MBstD0yl6ly3CmvswKmK8GYKJUaSJY")</f>
        <v>1kTWoOsrKD_0f_MBstD0yl6ly3CmvswKmK8GYKJUaSJY</v>
      </c>
    </row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4" t="b">
        <v>1</v>
      </c>
      <c r="O6" s="35">
        <v>2.0</v>
      </c>
      <c r="P6" s="36" t="s">
        <v>16</v>
      </c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19</v>
      </c>
      <c r="C6" s="33" t="s">
        <v>21</v>
      </c>
      <c r="D6" s="40">
        <v>25.285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19</v>
      </c>
      <c r="C7" s="37" t="s">
        <v>22</v>
      </c>
      <c r="D7" s="41">
        <v>74.715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19</v>
      </c>
      <c r="C6" s="33" t="s">
        <v>21</v>
      </c>
      <c r="D6" s="32" t="s">
        <v>24</v>
      </c>
      <c r="E6" s="35">
        <v>3.959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19</v>
      </c>
      <c r="C7" s="37" t="s">
        <v>21</v>
      </c>
      <c r="D7" s="37" t="s">
        <v>25</v>
      </c>
      <c r="E7" s="41">
        <v>96.041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19</v>
      </c>
      <c r="C8" s="37" t="s">
        <v>22</v>
      </c>
      <c r="D8" s="37" t="s">
        <v>26</v>
      </c>
      <c r="E8" s="41">
        <v>100.0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SetStrategyValueCalculatedPref!$4:$4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3" width="12.63"/>
    <col customWidth="1" min="4" max="4" width="19.1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2" t="s">
        <v>28</v>
      </c>
      <c r="C6" s="33"/>
      <c r="D6" s="43" t="s">
        <v>29</v>
      </c>
      <c r="E6" s="33"/>
      <c r="F6" s="33"/>
      <c r="G6" s="44" t="b">
        <v>0</v>
      </c>
      <c r="H6" s="45" t="s">
        <v>19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3" width="12.63"/>
    <col customWidth="1" min="44" max="44" width="24.38"/>
    <col customWidth="1" min="45" max="45" width="24.75"/>
    <col customWidth="1" min="46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32</v>
      </c>
      <c r="C6" s="36" t="s">
        <v>33</v>
      </c>
      <c r="D6" s="36">
        <v>30000.0</v>
      </c>
      <c r="E6" s="46">
        <v>30000.0</v>
      </c>
      <c r="F6" s="33" t="s">
        <v>19</v>
      </c>
      <c r="G6" s="33" t="s">
        <v>34</v>
      </c>
      <c r="H6" s="33"/>
      <c r="I6" s="33"/>
      <c r="J6" s="35">
        <v>1.0</v>
      </c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47">
        <v>1000000.0</v>
      </c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</row>
    <row r="6" ht="15.75" customHeight="1">
      <c r="A6" s="13"/>
      <c r="B6" s="13" t="s">
        <v>38</v>
      </c>
      <c r="C6" s="8"/>
      <c r="D6" s="13">
        <v>0.0</v>
      </c>
      <c r="E6" s="13">
        <v>30000.0</v>
      </c>
      <c r="F6" s="13" t="s">
        <v>19</v>
      </c>
      <c r="G6" s="13" t="s">
        <v>39</v>
      </c>
      <c r="H6" s="13">
        <v>0.0</v>
      </c>
      <c r="I6" s="13">
        <v>0.0</v>
      </c>
      <c r="J6" s="13">
        <v>18.0</v>
      </c>
      <c r="K6" s="13">
        <v>1.0</v>
      </c>
      <c r="L6" s="13">
        <v>1.0</v>
      </c>
      <c r="M6" s="13" t="s">
        <v>40</v>
      </c>
      <c r="N6" s="8"/>
      <c r="O6" s="13" t="s">
        <v>34</v>
      </c>
      <c r="Q6" s="9">
        <v>3.0</v>
      </c>
      <c r="R6" s="9">
        <v>0.0</v>
      </c>
      <c r="S6" s="9" t="s">
        <v>41</v>
      </c>
      <c r="T6" s="9">
        <v>0.0</v>
      </c>
      <c r="U6" s="9">
        <v>0.0</v>
      </c>
      <c r="V6" s="9" t="s">
        <v>42</v>
      </c>
      <c r="W6" s="9">
        <v>1.0</v>
      </c>
      <c r="Z6" s="9" t="s">
        <v>43</v>
      </c>
      <c r="AB6" s="9">
        <v>1.0</v>
      </c>
      <c r="AC6" s="9" t="s">
        <v>44</v>
      </c>
      <c r="AD6" s="9" t="s">
        <v>45</v>
      </c>
      <c r="AE6" s="9">
        <v>30000.0</v>
      </c>
      <c r="AG6" s="48"/>
      <c r="AH6" s="9" t="s">
        <v>46</v>
      </c>
      <c r="AI6" s="9">
        <v>1.0</v>
      </c>
      <c r="AJ6" s="9" t="s">
        <v>47</v>
      </c>
      <c r="AN6" s="9" t="b">
        <v>0</v>
      </c>
      <c r="AP6" s="9" t="b">
        <v>1</v>
      </c>
      <c r="AQ6" s="9" t="b">
        <v>0</v>
      </c>
      <c r="AR6" s="9" t="b">
        <v>1</v>
      </c>
      <c r="AS6" s="9">
        <v>0.0</v>
      </c>
      <c r="AT6" s="9">
        <v>30000.0</v>
      </c>
      <c r="AU6" s="9">
        <v>30000.0</v>
      </c>
      <c r="AV6" s="49"/>
      <c r="AW6" s="9">
        <v>0.0</v>
      </c>
      <c r="AX6" s="9">
        <v>0.0</v>
      </c>
      <c r="AY6" s="9" t="s">
        <v>48</v>
      </c>
      <c r="AZ6" s="9">
        <v>0.0</v>
      </c>
      <c r="BA6" s="48"/>
      <c r="BC6" s="9">
        <v>0.0</v>
      </c>
      <c r="BE6" s="9">
        <v>30000.0</v>
      </c>
      <c r="BF6" s="9">
        <v>30000.0</v>
      </c>
      <c r="BG6" s="48"/>
      <c r="BJ6" s="9">
        <v>30000.0</v>
      </c>
      <c r="BK6" s="9">
        <v>0.0</v>
      </c>
      <c r="BM6" s="9" t="s">
        <v>43</v>
      </c>
      <c r="BN6" s="48"/>
      <c r="BO6" s="9" t="s">
        <v>33</v>
      </c>
      <c r="BP6" s="9">
        <v>0.0</v>
      </c>
      <c r="BQ6" s="9">
        <v>0.0</v>
      </c>
      <c r="BR6" s="9">
        <v>0.0</v>
      </c>
      <c r="BS6" s="9" t="s">
        <v>38</v>
      </c>
      <c r="BT6" s="9" t="s">
        <v>32</v>
      </c>
      <c r="BU6" s="9">
        <v>0.0</v>
      </c>
      <c r="BV6" s="9">
        <v>0.0</v>
      </c>
      <c r="BW6" s="9">
        <v>0.0</v>
      </c>
      <c r="BX6" s="9">
        <v>0.0</v>
      </c>
      <c r="CE6" s="48"/>
      <c r="CF6" s="9" t="s">
        <v>49</v>
      </c>
      <c r="CG6" s="9">
        <v>0.0</v>
      </c>
      <c r="CH6" s="9" t="s">
        <v>30</v>
      </c>
      <c r="CI6" s="9" t="s">
        <v>33</v>
      </c>
      <c r="CJ6" s="9">
        <v>0.0</v>
      </c>
      <c r="CK6" s="9" t="s">
        <v>50</v>
      </c>
      <c r="CL6" s="9">
        <v>1.0</v>
      </c>
      <c r="CM6" s="9" t="s">
        <v>32</v>
      </c>
      <c r="CN6" s="9" t="s">
        <v>51</v>
      </c>
      <c r="CO6" s="9" t="s">
        <v>52</v>
      </c>
      <c r="CP6" s="9" t="s">
        <v>53</v>
      </c>
      <c r="CQ6" s="4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0">
        <v>300.0</v>
      </c>
      <c r="C6" s="50">
        <v>300.0</v>
      </c>
      <c r="D6" s="50">
        <v>300.0</v>
      </c>
      <c r="E6" s="50">
        <v>300.0</v>
      </c>
      <c r="F6" s="51" t="s">
        <v>46</v>
      </c>
      <c r="G6" s="50"/>
      <c r="H6" s="51" t="s">
        <v>43</v>
      </c>
      <c r="I6" s="52"/>
      <c r="J6" s="52"/>
      <c r="K6" s="52"/>
      <c r="L6" s="52"/>
      <c r="M6" s="52"/>
      <c r="N6" s="52"/>
      <c r="O6" s="51" t="s">
        <v>21</v>
      </c>
      <c r="P6" s="51" t="s">
        <v>24</v>
      </c>
      <c r="Q6" s="50">
        <v>1.0</v>
      </c>
      <c r="R6" s="50">
        <v>300.0</v>
      </c>
      <c r="S6" s="50">
        <v>0.0</v>
      </c>
      <c r="T6" s="50">
        <v>0.0</v>
      </c>
      <c r="U6" s="50">
        <v>0.0</v>
      </c>
      <c r="V6" s="50">
        <v>0.0</v>
      </c>
      <c r="W6" s="50">
        <v>0.0</v>
      </c>
      <c r="X6" s="50">
        <v>0.0</v>
      </c>
      <c r="Y6" s="50">
        <v>0.0</v>
      </c>
      <c r="Z6" s="50">
        <v>0.0</v>
      </c>
      <c r="AA6" s="50">
        <v>0.0</v>
      </c>
      <c r="AB6" s="50">
        <v>0.0</v>
      </c>
      <c r="AC6" s="50">
        <v>0.0</v>
      </c>
      <c r="AD6" s="50">
        <v>0.0</v>
      </c>
      <c r="AE6" s="50">
        <v>0.0</v>
      </c>
      <c r="AF6" s="51" t="s">
        <v>41</v>
      </c>
      <c r="AG6" s="52"/>
      <c r="AH6" s="52"/>
      <c r="AI6" s="50">
        <v>1.0</v>
      </c>
      <c r="AJ6" s="50">
        <v>0.0</v>
      </c>
      <c r="AK6" s="50">
        <v>1.0</v>
      </c>
      <c r="AL6" s="50">
        <v>3.0</v>
      </c>
    </row>
    <row r="7" ht="15.75" customHeight="1">
      <c r="A7" s="8"/>
      <c r="B7" s="53">
        <v>7285.0</v>
      </c>
      <c r="C7" s="53">
        <v>7285.0</v>
      </c>
      <c r="D7" s="53">
        <v>7285.0</v>
      </c>
      <c r="E7" s="53">
        <v>7285.0</v>
      </c>
      <c r="F7" s="51" t="s">
        <v>46</v>
      </c>
      <c r="G7" s="50"/>
      <c r="H7" s="51" t="s">
        <v>43</v>
      </c>
      <c r="I7" s="52"/>
      <c r="J7" s="52"/>
      <c r="K7" s="52"/>
      <c r="L7" s="52"/>
      <c r="M7" s="52"/>
      <c r="N7" s="52"/>
      <c r="O7" s="51" t="s">
        <v>21</v>
      </c>
      <c r="P7" s="51" t="s">
        <v>25</v>
      </c>
      <c r="Q7" s="50">
        <v>24.28333282</v>
      </c>
      <c r="R7" s="53">
        <v>7285.0</v>
      </c>
      <c r="S7" s="50">
        <v>0.0</v>
      </c>
      <c r="T7" s="50">
        <v>0.0</v>
      </c>
      <c r="U7" s="50">
        <v>0.0</v>
      </c>
      <c r="V7" s="50">
        <v>0.0</v>
      </c>
      <c r="W7" s="50">
        <v>0.0</v>
      </c>
      <c r="X7" s="50">
        <v>0.0</v>
      </c>
      <c r="Y7" s="50">
        <v>0.0</v>
      </c>
      <c r="Z7" s="50">
        <v>0.0</v>
      </c>
      <c r="AA7" s="50">
        <v>0.0</v>
      </c>
      <c r="AB7" s="50">
        <v>0.0</v>
      </c>
      <c r="AC7" s="50">
        <v>0.0</v>
      </c>
      <c r="AD7" s="50">
        <v>0.0</v>
      </c>
      <c r="AE7" s="50">
        <v>0.0</v>
      </c>
      <c r="AF7" s="51" t="s">
        <v>41</v>
      </c>
      <c r="AG7" s="52"/>
      <c r="AH7" s="52"/>
      <c r="AI7" s="50">
        <v>1.0</v>
      </c>
      <c r="AJ7" s="50">
        <v>0.0</v>
      </c>
      <c r="AK7" s="50">
        <v>1.0</v>
      </c>
      <c r="AL7" s="50">
        <v>3.0</v>
      </c>
    </row>
    <row r="8" ht="15.75" customHeight="1">
      <c r="A8" s="8"/>
      <c r="B8" s="53">
        <v>22415.0</v>
      </c>
      <c r="C8" s="53">
        <v>22415.0</v>
      </c>
      <c r="D8" s="53">
        <v>22415.0</v>
      </c>
      <c r="E8" s="53">
        <v>22415.0</v>
      </c>
      <c r="F8" s="51" t="s">
        <v>46</v>
      </c>
      <c r="G8" s="50"/>
      <c r="H8" s="51" t="s">
        <v>43</v>
      </c>
      <c r="I8" s="52"/>
      <c r="J8" s="52"/>
      <c r="K8" s="52"/>
      <c r="L8" s="52"/>
      <c r="M8" s="52"/>
      <c r="N8" s="52"/>
      <c r="O8" s="51" t="s">
        <v>22</v>
      </c>
      <c r="P8" s="51" t="s">
        <v>26</v>
      </c>
      <c r="Q8" s="50">
        <v>74.71666718</v>
      </c>
      <c r="R8" s="53">
        <v>22415.0</v>
      </c>
      <c r="S8" s="50">
        <v>0.0</v>
      </c>
      <c r="T8" s="50">
        <v>0.0</v>
      </c>
      <c r="U8" s="50">
        <v>0.0</v>
      </c>
      <c r="V8" s="50">
        <v>0.0</v>
      </c>
      <c r="W8" s="50">
        <v>0.0</v>
      </c>
      <c r="X8" s="50">
        <v>0.0</v>
      </c>
      <c r="Y8" s="50">
        <v>0.0</v>
      </c>
      <c r="Z8" s="50">
        <v>0.0</v>
      </c>
      <c r="AA8" s="50">
        <v>0.0</v>
      </c>
      <c r="AB8" s="50">
        <v>0.0</v>
      </c>
      <c r="AC8" s="50">
        <v>0.0</v>
      </c>
      <c r="AD8" s="50">
        <v>0.0</v>
      </c>
      <c r="AE8" s="50">
        <v>0.0</v>
      </c>
      <c r="AF8" s="51" t="s">
        <v>41</v>
      </c>
      <c r="AG8" s="52"/>
      <c r="AH8" s="52"/>
      <c r="AI8" s="50">
        <v>1.0</v>
      </c>
      <c r="AJ8" s="50">
        <v>0.0</v>
      </c>
      <c r="AK8" s="50">
        <v>1.0</v>
      </c>
      <c r="AL8" s="50">
        <v>3.0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