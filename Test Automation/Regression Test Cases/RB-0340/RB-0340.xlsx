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SendtoStaging1" sheetId="30" r:id="rId32"/>
    <sheet state="visible" name="RunRebalance2" sheetId="31" r:id="rId33"/>
    <sheet state="visible" name="SendtoStaging2" sheetId="32" r:id="rId34"/>
    <sheet state="visible" name="TradeNewSubOrder" sheetId="33" r:id="rId35"/>
    <sheet state="visible" name="CreateNewSubLiveOrder" sheetId="34" r:id="rId36"/>
    <sheet state="visible" name="TradeNewSubOrder1" sheetId="35" r:id="rId37"/>
    <sheet state="visible" name="CreateNewSubLiveOrder1" sheetId="36" r:id="rId38"/>
    <sheet state="visible" name="SelectTrade" sheetId="37" r:id="rId39"/>
    <sheet state="visible" name="AcknowledgeTrade" sheetId="38" r:id="rId40"/>
    <sheet state="visible" name="ExecuteTrade" sheetId="39" r:id="rId41"/>
    <sheet state="visible" name="SelectTrade1" sheetId="40" r:id="rId42"/>
    <sheet state="visible" name="AcknowledgeTrade1" sheetId="41" r:id="rId43"/>
    <sheet state="visible" name="ExecuteTrade1" sheetId="42" r:id="rId44"/>
    <sheet state="visible" name="CheckAllocatedGroups" sheetId="43" r:id="rId45"/>
    <sheet state="visible" name="CheckPortfolioManagement" sheetId="44" r:id="rId46"/>
  </sheets>
  <definedNames/>
  <calcPr/>
</workbook>
</file>

<file path=xl/sharedStrings.xml><?xml version="1.0" encoding="utf-8"?>
<sst xmlns="http://schemas.openxmlformats.org/spreadsheetml/2006/main" count="863" uniqueCount="133">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</sst>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0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16</v>
      </c>
      <c r="I6" s="12" t="s">
        <v>17</v>
      </c>
      <c r="J6" s="8"/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5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24</v>
      </c>
      <c r="C7" s="35">
        <v>200.0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25</v>
      </c>
      <c r="C8" s="35">
        <v>400.0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26</v>
      </c>
      <c r="C9" s="35">
        <v>500.0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6" t="s">
        <v>27</v>
      </c>
      <c r="C10" s="35">
        <v>600.0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28</v>
      </c>
      <c r="C11" s="35">
        <v>300.0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7">
        <v>100.0</v>
      </c>
      <c r="D6" s="35">
        <v>26.47</v>
      </c>
      <c r="E6" s="38" t="s">
        <v>31</v>
      </c>
      <c r="F6" s="34"/>
      <c r="G6" s="34"/>
      <c r="H6" s="34"/>
      <c r="I6" s="34"/>
      <c r="J6" s="36" t="s">
        <v>32</v>
      </c>
      <c r="K6" s="34"/>
      <c r="L6" s="34"/>
      <c r="M6" s="34"/>
      <c r="O6" s="34"/>
      <c r="P6" s="34"/>
      <c r="Q6" s="34"/>
      <c r="R6" s="34"/>
      <c r="S6" s="34"/>
      <c r="T6" s="34"/>
      <c r="U6" s="34"/>
      <c r="W6" s="34"/>
      <c r="X6" s="34"/>
      <c r="Y6" s="34"/>
      <c r="Z6" s="39">
        <f t="shared" ref="Z6:Z15" si="1">TODAY()-1</f>
        <v>45854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5">
        <v>100.0</v>
      </c>
      <c r="D7" s="35">
        <v>10.0</v>
      </c>
      <c r="E7" s="38" t="s">
        <v>31</v>
      </c>
      <c r="F7" s="34"/>
      <c r="G7" s="34"/>
      <c r="H7" s="34"/>
      <c r="I7" s="34"/>
      <c r="J7" s="36" t="s">
        <v>32</v>
      </c>
      <c r="K7" s="34"/>
      <c r="L7" s="34"/>
      <c r="M7" s="34"/>
      <c r="O7" s="34"/>
      <c r="P7" s="34"/>
      <c r="Q7" s="34"/>
      <c r="R7" s="34"/>
      <c r="S7" s="34"/>
      <c r="T7" s="34"/>
      <c r="U7" s="34"/>
      <c r="W7" s="34"/>
      <c r="X7" s="34"/>
      <c r="Y7" s="34"/>
      <c r="Z7" s="39">
        <f t="shared" si="1"/>
        <v>45854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>
        <v>1.23456789E8</v>
      </c>
      <c r="C8" s="35">
        <v>12000.0</v>
      </c>
      <c r="D8" s="35">
        <v>25.0</v>
      </c>
      <c r="E8" s="38" t="s">
        <v>31</v>
      </c>
      <c r="F8" s="34"/>
      <c r="G8" s="34"/>
      <c r="H8" s="34"/>
      <c r="I8" s="34"/>
      <c r="J8" s="36" t="s">
        <v>32</v>
      </c>
      <c r="K8" s="34"/>
      <c r="L8" s="34"/>
      <c r="M8" s="34"/>
      <c r="O8" s="34"/>
      <c r="P8" s="34"/>
      <c r="Q8" s="34"/>
      <c r="R8" s="34"/>
      <c r="S8" s="34"/>
      <c r="T8" s="34"/>
      <c r="U8" s="34"/>
      <c r="W8" s="34"/>
      <c r="X8" s="34"/>
      <c r="Y8" s="34"/>
      <c r="Z8" s="39">
        <f t="shared" si="1"/>
        <v>45854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27</v>
      </c>
      <c r="C9" s="35">
        <v>10.0</v>
      </c>
      <c r="D9" s="35">
        <v>20.0</v>
      </c>
      <c r="E9" s="38" t="s">
        <v>31</v>
      </c>
      <c r="F9" s="34"/>
      <c r="G9" s="34"/>
      <c r="H9" s="34"/>
      <c r="I9" s="34"/>
      <c r="J9" s="36" t="s">
        <v>33</v>
      </c>
      <c r="K9" s="34"/>
      <c r="L9" s="34"/>
      <c r="M9" s="34"/>
      <c r="O9" s="34"/>
      <c r="P9" s="34"/>
      <c r="Q9" s="34"/>
      <c r="R9" s="34"/>
      <c r="S9" s="34"/>
      <c r="T9" s="34"/>
      <c r="U9" s="34"/>
      <c r="W9" s="34"/>
      <c r="X9" s="34"/>
      <c r="Y9" s="34"/>
      <c r="Z9" s="39">
        <f t="shared" si="1"/>
        <v>45854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26</v>
      </c>
      <c r="C10" s="35">
        <v>100.0</v>
      </c>
      <c r="D10" s="35">
        <v>10.0</v>
      </c>
      <c r="E10" s="38" t="s">
        <v>31</v>
      </c>
      <c r="F10" s="34"/>
      <c r="G10" s="34"/>
      <c r="H10" s="34"/>
      <c r="I10" s="34"/>
      <c r="J10" s="36" t="s">
        <v>34</v>
      </c>
      <c r="K10" s="34"/>
      <c r="L10" s="34"/>
      <c r="M10" s="34"/>
      <c r="O10" s="34"/>
      <c r="P10" s="34"/>
      <c r="Q10" s="34"/>
      <c r="R10" s="34"/>
      <c r="S10" s="34"/>
      <c r="T10" s="34"/>
      <c r="U10" s="34"/>
      <c r="W10" s="34"/>
      <c r="X10" s="34"/>
      <c r="Y10" s="34"/>
      <c r="Z10" s="39">
        <f t="shared" si="1"/>
        <v>45854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25</v>
      </c>
      <c r="C11" s="35">
        <v>10.0</v>
      </c>
      <c r="D11" s="35">
        <v>36.6</v>
      </c>
      <c r="E11" s="38" t="s">
        <v>31</v>
      </c>
      <c r="F11" s="34"/>
      <c r="G11" s="34"/>
      <c r="H11" s="34"/>
      <c r="I11" s="34"/>
      <c r="J11" s="36" t="s">
        <v>34</v>
      </c>
      <c r="K11" s="34"/>
      <c r="L11" s="34"/>
      <c r="M11" s="34"/>
      <c r="O11" s="34"/>
      <c r="P11" s="34"/>
      <c r="Q11" s="34"/>
      <c r="R11" s="34"/>
      <c r="S11" s="34"/>
      <c r="T11" s="34"/>
      <c r="U11" s="34"/>
      <c r="W11" s="34"/>
      <c r="X11" s="34"/>
      <c r="Y11" s="34"/>
      <c r="Z11" s="39">
        <f t="shared" si="1"/>
        <v>45854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23</v>
      </c>
      <c r="C12" s="35">
        <v>100.0</v>
      </c>
      <c r="D12" s="35">
        <v>8.0</v>
      </c>
      <c r="E12" s="38" t="s">
        <v>31</v>
      </c>
      <c r="F12" s="34"/>
      <c r="G12" s="34"/>
      <c r="H12" s="34"/>
      <c r="I12" s="34"/>
      <c r="J12" s="36" t="s">
        <v>32</v>
      </c>
      <c r="K12" s="34"/>
      <c r="L12" s="34"/>
      <c r="M12" s="34"/>
      <c r="O12" s="34"/>
      <c r="P12" s="34"/>
      <c r="Q12" s="34"/>
      <c r="R12" s="34"/>
      <c r="S12" s="34"/>
      <c r="T12" s="34"/>
      <c r="U12" s="34"/>
      <c r="W12" s="34"/>
      <c r="X12" s="34"/>
      <c r="Y12" s="34"/>
      <c r="Z12" s="39">
        <f t="shared" si="1"/>
        <v>45854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35</v>
      </c>
      <c r="C13" s="35">
        <v>20000.0</v>
      </c>
      <c r="D13" s="35">
        <v>5.0</v>
      </c>
      <c r="E13" s="38" t="s">
        <v>31</v>
      </c>
      <c r="F13" s="34"/>
      <c r="G13" s="34"/>
      <c r="H13" s="34"/>
      <c r="I13" s="34"/>
      <c r="J13" s="36" t="s">
        <v>33</v>
      </c>
      <c r="K13" s="34"/>
      <c r="L13" s="34"/>
      <c r="M13" s="34"/>
      <c r="O13" s="34"/>
      <c r="P13" s="34"/>
      <c r="Q13" s="34"/>
      <c r="R13" s="34"/>
      <c r="S13" s="34"/>
      <c r="T13" s="34"/>
      <c r="U13" s="34"/>
      <c r="W13" s="34"/>
      <c r="X13" s="34"/>
      <c r="Y13" s="34"/>
      <c r="Z13" s="39">
        <f t="shared" si="1"/>
        <v>45854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1" t="s">
        <v>36</v>
      </c>
      <c r="C14" s="35">
        <v>100.0</v>
      </c>
      <c r="D14" s="35">
        <v>8.0</v>
      </c>
      <c r="E14" s="38" t="s">
        <v>31</v>
      </c>
      <c r="F14" s="34"/>
      <c r="G14" s="34"/>
      <c r="H14" s="34"/>
      <c r="I14" s="34"/>
      <c r="J14" s="36" t="s">
        <v>37</v>
      </c>
      <c r="K14" s="34"/>
      <c r="L14" s="34"/>
      <c r="M14" s="34"/>
      <c r="O14" s="34"/>
      <c r="P14" s="34"/>
      <c r="Q14" s="34"/>
      <c r="R14" s="34"/>
      <c r="S14" s="34"/>
      <c r="T14" s="34"/>
      <c r="U14" s="34"/>
      <c r="W14" s="34"/>
      <c r="X14" s="34"/>
      <c r="Y14" s="34"/>
      <c r="Z14" s="39">
        <f t="shared" si="1"/>
        <v>45854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 t="s">
        <v>38</v>
      </c>
      <c r="C15" s="35">
        <v>10.0</v>
      </c>
      <c r="D15" s="35">
        <v>5.0</v>
      </c>
      <c r="E15" s="38" t="s">
        <v>31</v>
      </c>
      <c r="F15" s="34"/>
      <c r="G15" s="34"/>
      <c r="H15" s="34"/>
      <c r="I15" s="34"/>
      <c r="J15" s="36" t="s">
        <v>39</v>
      </c>
      <c r="K15" s="34"/>
      <c r="L15" s="34"/>
      <c r="M15" s="34"/>
      <c r="O15" s="34"/>
      <c r="P15" s="34"/>
      <c r="Q15" s="34"/>
      <c r="R15" s="34"/>
      <c r="S15" s="34"/>
      <c r="T15" s="34"/>
      <c r="U15" s="34"/>
      <c r="W15" s="34"/>
      <c r="X15" s="34"/>
      <c r="Y15" s="34"/>
      <c r="Z15" s="39">
        <f t="shared" si="1"/>
        <v>45854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5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28</v>
      </c>
      <c r="C7" s="35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>
        <v>1.23456789E8</v>
      </c>
      <c r="C8" s="35">
        <v>25.0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27</v>
      </c>
      <c r="C9" s="35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6" t="s">
        <v>26</v>
      </c>
      <c r="C10" s="35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25</v>
      </c>
      <c r="C11" s="35">
        <v>30.0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23</v>
      </c>
      <c r="C12" s="35">
        <v>8.0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35</v>
      </c>
      <c r="C13" s="35">
        <v>5.0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36</v>
      </c>
      <c r="C14" s="35">
        <v>25.0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6" t="s">
        <v>38</v>
      </c>
      <c r="C15" s="35">
        <v>15.0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45854</v>
      </c>
      <c r="C6" s="40">
        <f>TODAY()</f>
        <v>45855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44</v>
      </c>
      <c r="C6" s="36" t="s">
        <v>45</v>
      </c>
      <c r="D6" s="32" t="s">
        <v>46</v>
      </c>
      <c r="E6" s="35">
        <v>1.0588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47</v>
      </c>
      <c r="C7" s="36" t="s">
        <v>45</v>
      </c>
      <c r="D7" s="36" t="s">
        <v>48</v>
      </c>
      <c r="E7" s="35">
        <v>1.22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41">
        <f>TODAY()-1</f>
        <v>45854</v>
      </c>
      <c r="D6" s="41">
        <f>TODAY()</f>
        <v>45855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720.0</v>
      </c>
      <c r="C6" s="34"/>
      <c r="D6" s="31"/>
      <c r="E6" s="34"/>
      <c r="F6" s="35">
        <v>365.0</v>
      </c>
      <c r="G6" s="34"/>
      <c r="H6" s="35">
        <v>8.0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50.0</v>
      </c>
      <c r="C6" s="34"/>
      <c r="D6" s="31"/>
      <c r="E6" s="34"/>
      <c r="F6" s="35">
        <v>365.0</v>
      </c>
      <c r="G6" s="34"/>
      <c r="H6" s="35">
        <v>5.0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54</v>
      </c>
      <c r="C6" s="37">
        <v>100.0</v>
      </c>
      <c r="D6" s="35">
        <v>50.0</v>
      </c>
      <c r="E6" s="38" t="s">
        <v>31</v>
      </c>
      <c r="F6" s="34"/>
      <c r="G6" s="34"/>
      <c r="H6" s="34"/>
      <c r="I6" s="34"/>
      <c r="J6" s="36" t="s">
        <v>32</v>
      </c>
      <c r="K6" s="34"/>
      <c r="L6" s="34"/>
      <c r="M6" s="34"/>
      <c r="N6" s="39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54</v>
      </c>
      <c r="C7" s="35">
        <v>1.0</v>
      </c>
      <c r="D7" s="35">
        <v>50.0</v>
      </c>
      <c r="E7" s="38" t="s">
        <v>31</v>
      </c>
      <c r="F7" s="34"/>
      <c r="G7" s="34"/>
      <c r="H7" s="34"/>
      <c r="I7" s="34"/>
      <c r="J7" s="36" t="s">
        <v>33</v>
      </c>
      <c r="K7" s="34"/>
      <c r="L7" s="34"/>
      <c r="M7" s="34"/>
      <c r="N7" s="39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54</v>
      </c>
      <c r="C8" s="35">
        <v>98.0</v>
      </c>
      <c r="D8" s="35">
        <v>50.0</v>
      </c>
      <c r="E8" s="38" t="s">
        <v>31</v>
      </c>
      <c r="F8" s="34"/>
      <c r="G8" s="34"/>
      <c r="H8" s="34"/>
      <c r="I8" s="34"/>
      <c r="J8" s="36" t="s">
        <v>33</v>
      </c>
      <c r="K8" s="34"/>
      <c r="L8" s="34"/>
      <c r="M8" s="34"/>
      <c r="N8" s="39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55</v>
      </c>
      <c r="C9" s="35">
        <v>10.0</v>
      </c>
      <c r="D9" s="35">
        <v>5.0</v>
      </c>
      <c r="E9" s="38" t="s">
        <v>31</v>
      </c>
      <c r="F9" s="34"/>
      <c r="G9" s="34"/>
      <c r="H9" s="34"/>
      <c r="I9" s="34"/>
      <c r="J9" s="36" t="s">
        <v>33</v>
      </c>
      <c r="K9" s="34"/>
      <c r="L9" s="34"/>
      <c r="M9" s="34"/>
      <c r="N9" s="39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54</v>
      </c>
      <c r="C6" s="35">
        <v>15.0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54</v>
      </c>
      <c r="C7" s="35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54</v>
      </c>
      <c r="C8" s="35">
        <v>15.0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55</v>
      </c>
      <c r="C9" s="35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TODAY()-1</f>
        <v>45854</v>
      </c>
      <c r="C6" s="40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45</v>
      </c>
      <c r="D6" s="12">
        <v>4662.0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58</v>
      </c>
      <c r="C6" s="34" t="s">
        <v>61</v>
      </c>
      <c r="D6" s="42">
        <f t="shared" ref="D6:E6" si="1">TODAY()</f>
        <v>45855</v>
      </c>
      <c r="E6" s="42">
        <f t="shared" si="1"/>
        <v>45855</v>
      </c>
      <c r="F6" s="34"/>
      <c r="G6" s="34" t="s">
        <v>62</v>
      </c>
      <c r="H6" s="34" t="s">
        <v>63</v>
      </c>
      <c r="I6" s="34" t="s">
        <v>62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1" t="s">
        <v>65</v>
      </c>
      <c r="D6" s="32" t="s">
        <v>66</v>
      </c>
      <c r="E6" s="34" t="s">
        <v>67</v>
      </c>
      <c r="F6" s="36" t="s">
        <v>58</v>
      </c>
      <c r="G6" s="36" t="s">
        <v>45</v>
      </c>
      <c r="H6" s="35">
        <v>1500.0</v>
      </c>
      <c r="I6" s="39">
        <f>TODAY()-1</f>
        <v>45854</v>
      </c>
      <c r="J6" s="39">
        <f>TODAY()+2</f>
        <v>45857</v>
      </c>
      <c r="K6" s="39">
        <f>TODAY()</f>
        <v>45855</v>
      </c>
      <c r="L6" s="34"/>
      <c r="M6" s="43" t="s">
        <v>68</v>
      </c>
      <c r="N6" s="43" t="s">
        <v>45</v>
      </c>
      <c r="O6" s="44">
        <v>1.0</v>
      </c>
      <c r="P6" s="43" t="s">
        <v>69</v>
      </c>
      <c r="Q6" s="45" t="s">
        <v>70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72</v>
      </c>
      <c r="C6" s="36" t="s">
        <v>58</v>
      </c>
      <c r="D6" s="39">
        <f>TODAY()</f>
        <v>45855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-10000.0</v>
      </c>
      <c r="C6" s="12" t="s">
        <v>76</v>
      </c>
      <c r="D6" s="12" t="s">
        <v>77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82</v>
      </c>
      <c r="D6" s="12">
        <v>1.0</v>
      </c>
      <c r="E6" s="12" t="s">
        <v>58</v>
      </c>
      <c r="F6" s="8"/>
      <c r="G6" s="8"/>
      <c r="H6" s="8"/>
      <c r="I6" s="8"/>
      <c r="J6" s="12">
        <v>10.0</v>
      </c>
      <c r="K6" s="12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>
        <v>1.23456789E8</v>
      </c>
      <c r="E7" s="47">
        <v>13.0</v>
      </c>
      <c r="F7" s="47">
        <v>25.0</v>
      </c>
      <c r="G7" s="47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86</v>
      </c>
      <c r="D8" s="46" t="s">
        <v>35</v>
      </c>
      <c r="E8" s="47">
        <v>20000.0</v>
      </c>
      <c r="F8" s="47">
        <v>5.0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85</v>
      </c>
      <c r="D9" s="46" t="s">
        <v>35</v>
      </c>
      <c r="E9" s="47">
        <v>21.0</v>
      </c>
      <c r="F9" s="47">
        <v>5.0</v>
      </c>
      <c r="G9" s="47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33</v>
      </c>
      <c r="D10" s="46" t="s">
        <v>23</v>
      </c>
      <c r="E10" s="47">
        <v>100.0</v>
      </c>
      <c r="F10" s="47">
        <v>8.0</v>
      </c>
      <c r="G10" s="47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85</v>
      </c>
      <c r="D11" s="46" t="s">
        <v>23</v>
      </c>
      <c r="E11" s="47">
        <v>1.0</v>
      </c>
      <c r="F11" s="47">
        <v>8.0</v>
      </c>
      <c r="G11" s="47">
        <v>-8.0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32</v>
      </c>
      <c r="D12" s="46" t="s">
        <v>81</v>
      </c>
      <c r="E12" s="47">
        <v>2.0</v>
      </c>
      <c r="F12" s="47">
        <v>10.0</v>
      </c>
      <c r="G12" s="47">
        <v>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33</v>
      </c>
      <c r="D13" s="46" t="s">
        <v>24</v>
      </c>
      <c r="E13" s="47">
        <v>100.0</v>
      </c>
      <c r="F13" s="47">
        <v>25.0</v>
      </c>
      <c r="G13" s="48">
        <v>-2647.0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85</v>
      </c>
      <c r="D14" s="46" t="s">
        <v>24</v>
      </c>
      <c r="E14" s="47">
        <v>1.0</v>
      </c>
      <c r="F14" s="47">
        <v>25.0</v>
      </c>
      <c r="G14" s="47">
        <v>-26.0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58</v>
      </c>
      <c r="C15" s="46" t="s">
        <v>86</v>
      </c>
      <c r="D15" s="46" t="s">
        <v>25</v>
      </c>
      <c r="E15" s="47">
        <v>10.0</v>
      </c>
      <c r="F15" s="47">
        <v>30.0</v>
      </c>
      <c r="G15" s="47">
        <v>366.0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58</v>
      </c>
      <c r="C16" s="46" t="s">
        <v>85</v>
      </c>
      <c r="D16" s="46" t="s">
        <v>25</v>
      </c>
      <c r="E16" s="47">
        <v>1.0</v>
      </c>
      <c r="F16" s="47">
        <v>30.0</v>
      </c>
      <c r="G16" s="47">
        <v>-37.0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 t="s">
        <v>58</v>
      </c>
      <c r="C17" s="46" t="s">
        <v>86</v>
      </c>
      <c r="D17" s="46" t="s">
        <v>26</v>
      </c>
      <c r="E17" s="47">
        <v>100.0</v>
      </c>
      <c r="F17" s="47">
        <v>10.0</v>
      </c>
      <c r="G17" s="48">
        <v>1000.0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 t="s">
        <v>58</v>
      </c>
      <c r="C18" s="46" t="s">
        <v>85</v>
      </c>
      <c r="D18" s="46" t="s">
        <v>26</v>
      </c>
      <c r="E18" s="47">
        <v>1.0</v>
      </c>
      <c r="F18" s="47">
        <v>10.0</v>
      </c>
      <c r="G18" s="47">
        <v>-10.0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 t="s">
        <v>58</v>
      </c>
      <c r="C19" s="46" t="s">
        <v>86</v>
      </c>
      <c r="D19" s="46" t="s">
        <v>27</v>
      </c>
      <c r="E19" s="47">
        <v>10.0</v>
      </c>
      <c r="F19" s="47">
        <v>20.0</v>
      </c>
      <c r="G19" s="47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6" t="s">
        <v>58</v>
      </c>
      <c r="C20" s="46" t="s">
        <v>85</v>
      </c>
      <c r="D20" s="46" t="s">
        <v>27</v>
      </c>
      <c r="E20" s="47">
        <v>1.0</v>
      </c>
      <c r="F20" s="47">
        <v>20.0</v>
      </c>
      <c r="G20" s="47">
        <v>-20.0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6" t="s">
        <v>58</v>
      </c>
      <c r="C21" s="46" t="s">
        <v>33</v>
      </c>
      <c r="D21" s="46" t="s">
        <v>28</v>
      </c>
      <c r="E21" s="47">
        <v>100.0</v>
      </c>
      <c r="F21" s="47">
        <v>10.0</v>
      </c>
      <c r="G21" s="48">
        <v>-1000.0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6" t="s">
        <v>58</v>
      </c>
      <c r="C22" s="46" t="s">
        <v>85</v>
      </c>
      <c r="D22" s="46" t="s">
        <v>28</v>
      </c>
      <c r="E22" s="47">
        <v>1.0</v>
      </c>
      <c r="F22" s="47">
        <v>10.0</v>
      </c>
      <c r="G22" s="47">
        <v>-10.0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>
        <v>1.23456789E8</v>
      </c>
      <c r="E7" s="47">
        <v>13.0</v>
      </c>
      <c r="F7" s="47">
        <v>25.0</v>
      </c>
      <c r="G7" s="47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86</v>
      </c>
      <c r="D8" s="46" t="s">
        <v>35</v>
      </c>
      <c r="E8" s="47">
        <v>20000.0</v>
      </c>
      <c r="F8" s="47">
        <v>5.0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85</v>
      </c>
      <c r="D9" s="46" t="s">
        <v>35</v>
      </c>
      <c r="E9" s="47">
        <v>21.0</v>
      </c>
      <c r="F9" s="47">
        <v>5.0</v>
      </c>
      <c r="G9" s="47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33</v>
      </c>
      <c r="D10" s="46" t="s">
        <v>23</v>
      </c>
      <c r="E10" s="47">
        <v>100.0</v>
      </c>
      <c r="F10" s="47">
        <v>8.0</v>
      </c>
      <c r="G10" s="47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81</v>
      </c>
      <c r="E11" s="47">
        <v>1.0</v>
      </c>
      <c r="F11" s="47">
        <v>10.0</v>
      </c>
      <c r="G11" s="47">
        <v>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33</v>
      </c>
      <c r="D12" s="46" t="s">
        <v>24</v>
      </c>
      <c r="E12" s="47">
        <v>100.0</v>
      </c>
      <c r="F12" s="47">
        <v>25.0</v>
      </c>
      <c r="G12" s="48">
        <v>-2647.0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86</v>
      </c>
      <c r="D13" s="46" t="s">
        <v>25</v>
      </c>
      <c r="E13" s="47">
        <v>10.0</v>
      </c>
      <c r="F13" s="47">
        <v>30.0</v>
      </c>
      <c r="G13" s="47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86</v>
      </c>
      <c r="D14" s="46" t="s">
        <v>26</v>
      </c>
      <c r="E14" s="47">
        <v>100.0</v>
      </c>
      <c r="F14" s="47">
        <v>10.0</v>
      </c>
      <c r="G14" s="48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58</v>
      </c>
      <c r="C15" s="46" t="s">
        <v>86</v>
      </c>
      <c r="D15" s="46" t="s">
        <v>27</v>
      </c>
      <c r="E15" s="47">
        <v>10.0</v>
      </c>
      <c r="F15" s="47">
        <v>20.0</v>
      </c>
      <c r="G15" s="47">
        <v>200.0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58</v>
      </c>
      <c r="C16" s="46" t="s">
        <v>33</v>
      </c>
      <c r="D16" s="46" t="s">
        <v>28</v>
      </c>
      <c r="E16" s="47">
        <v>100.0</v>
      </c>
      <c r="F16" s="47">
        <v>10.0</v>
      </c>
      <c r="G16" s="48">
        <v>-1000.0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>
        <v>1.23456789E8</v>
      </c>
      <c r="E7" s="47">
        <v>12.0</v>
      </c>
      <c r="F7" s="47">
        <v>25.0</v>
      </c>
      <c r="G7" s="48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86</v>
      </c>
      <c r="D8" s="46" t="s">
        <v>35</v>
      </c>
      <c r="E8" s="47">
        <v>20000.0</v>
      </c>
      <c r="F8" s="47">
        <v>5.0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85</v>
      </c>
      <c r="D9" s="46" t="s">
        <v>35</v>
      </c>
      <c r="E9" s="47">
        <v>20.0</v>
      </c>
      <c r="F9" s="47">
        <v>5.0</v>
      </c>
      <c r="G9" s="47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33</v>
      </c>
      <c r="D10" s="46" t="s">
        <v>23</v>
      </c>
      <c r="E10" s="47">
        <v>100.0</v>
      </c>
      <c r="F10" s="47">
        <v>8.0</v>
      </c>
      <c r="G10" s="48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81</v>
      </c>
      <c r="E11" s="47">
        <v>1.0</v>
      </c>
      <c r="F11" s="47">
        <v>10.0</v>
      </c>
      <c r="G11" s="47">
        <v>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33</v>
      </c>
      <c r="D12" s="46" t="s">
        <v>24</v>
      </c>
      <c r="E12" s="47">
        <v>100.0</v>
      </c>
      <c r="F12" s="47">
        <v>25.0</v>
      </c>
      <c r="G12" s="48">
        <v>-2647.0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86</v>
      </c>
      <c r="D13" s="46" t="s">
        <v>25</v>
      </c>
      <c r="E13" s="47">
        <v>10.0</v>
      </c>
      <c r="F13" s="47">
        <v>30.0</v>
      </c>
      <c r="G13" s="47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86</v>
      </c>
      <c r="D14" s="46" t="s">
        <v>26</v>
      </c>
      <c r="E14" s="47">
        <v>100.0</v>
      </c>
      <c r="F14" s="47">
        <v>10.0</v>
      </c>
      <c r="G14" s="48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58</v>
      </c>
      <c r="C15" s="46" t="s">
        <v>86</v>
      </c>
      <c r="D15" s="46" t="s">
        <v>27</v>
      </c>
      <c r="E15" s="47">
        <v>10.0</v>
      </c>
      <c r="F15" s="47">
        <v>20.0</v>
      </c>
      <c r="G15" s="47">
        <v>200.0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58</v>
      </c>
      <c r="C16" s="46" t="s">
        <v>33</v>
      </c>
      <c r="D16" s="46" t="s">
        <v>28</v>
      </c>
      <c r="E16" s="47">
        <v>100.0</v>
      </c>
      <c r="F16" s="47">
        <v>10.0</v>
      </c>
      <c r="G16" s="48">
        <v>-1000.0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34</v>
      </c>
      <c r="D6" s="12">
        <v>1.0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23</v>
      </c>
      <c r="AJ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23</v>
      </c>
      <c r="C6" s="12" t="s">
        <v>34</v>
      </c>
      <c r="D6" s="12">
        <v>1.0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9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9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97</v>
      </c>
      <c r="B6" s="50" t="s">
        <v>58</v>
      </c>
      <c r="C6" s="8" t="s">
        <v>98</v>
      </c>
      <c r="D6" s="50"/>
      <c r="E6" s="8">
        <v>1.0</v>
      </c>
      <c r="F6" s="8" t="s">
        <v>99</v>
      </c>
      <c r="G6" s="8" t="s">
        <v>100</v>
      </c>
      <c r="H6" s="8"/>
      <c r="I6" s="8"/>
      <c r="J6" s="8"/>
      <c r="K6" s="8">
        <v>20.0</v>
      </c>
      <c r="L6" s="8">
        <v>20.0</v>
      </c>
      <c r="M6" s="8" t="s">
        <v>101</v>
      </c>
      <c r="N6" s="8" t="s">
        <v>102</v>
      </c>
      <c r="O6" s="8" t="s">
        <v>103</v>
      </c>
      <c r="Q6">
        <v>2.0</v>
      </c>
      <c r="S6" t="s">
        <v>104</v>
      </c>
      <c r="V6" t="s">
        <v>105</v>
      </c>
      <c r="W6">
        <v>1.0</v>
      </c>
      <c r="Y6" t="s">
        <v>97</v>
      </c>
      <c r="Z6" t="s">
        <v>45</v>
      </c>
      <c r="AB6">
        <v>1.0</v>
      </c>
      <c r="AD6" t="s">
        <v>106</v>
      </c>
      <c r="AE6">
        <v>1.0</v>
      </c>
      <c r="AF6" t="s">
        <v>97</v>
      </c>
      <c r="AH6" t="s">
        <v>69</v>
      </c>
      <c r="AI6">
        <v>1.0</v>
      </c>
      <c r="AJ6" t="s">
        <v>77</v>
      </c>
      <c r="AN6" t="b">
        <v>0</v>
      </c>
      <c r="AP6" t="b">
        <v>0</v>
      </c>
      <c r="AQ6" t="b">
        <v>0</v>
      </c>
      <c r="AR6" t="b">
        <v>1</v>
      </c>
      <c r="AY6" t="s">
        <v>107</v>
      </c>
      <c r="BD6" t="s">
        <v>108</v>
      </c>
      <c r="BE6">
        <v>20.0</v>
      </c>
      <c r="BF6">
        <v>20.0</v>
      </c>
      <c r="BJ6">
        <v>1.0</v>
      </c>
      <c r="BL6" t="s">
        <v>97</v>
      </c>
      <c r="BM6" t="s">
        <v>45</v>
      </c>
      <c r="BO6" t="s">
        <v>34</v>
      </c>
      <c r="BS6" t="s">
        <v>109</v>
      </c>
      <c r="BT6" t="s">
        <v>27</v>
      </c>
      <c r="BU6">
        <v>2.0</v>
      </c>
      <c r="CF6" t="s">
        <v>110</v>
      </c>
      <c r="CH6" t="s">
        <v>73</v>
      </c>
      <c r="CI6" t="s">
        <v>85</v>
      </c>
      <c r="CK6" t="s">
        <v>111</v>
      </c>
      <c r="CL6">
        <v>1.0</v>
      </c>
      <c r="CM6" t="s">
        <v>27</v>
      </c>
      <c r="CN6" t="s">
        <v>112</v>
      </c>
      <c r="CO6" t="s">
        <v>113</v>
      </c>
      <c r="CP6" t="s">
        <v>114</v>
      </c>
      <c r="CS6" t="s">
        <v>97</v>
      </c>
      <c r="CX6" t="s">
        <v>72</v>
      </c>
      <c r="CY6" t="s">
        <v>97</v>
      </c>
      <c r="CZ6" t="s">
        <v>97</v>
      </c>
      <c r="DA6" t="s">
        <v>97</v>
      </c>
      <c r="DB6" t="s">
        <v>97</v>
      </c>
      <c r="DC6" t="s">
        <v>97</v>
      </c>
      <c r="DD6" t="s">
        <v>97</v>
      </c>
      <c r="DE6" t="s">
        <v>97</v>
      </c>
      <c r="DF6" t="s">
        <v>97</v>
      </c>
      <c r="DG6" t="s">
        <v>97</v>
      </c>
      <c r="DH6" t="s">
        <v>97</v>
      </c>
      <c r="DI6" t="s">
        <v>97</v>
      </c>
      <c r="DJ6" t="s">
        <v>97</v>
      </c>
      <c r="DK6" t="s">
        <v>97</v>
      </c>
      <c r="DL6" t="s">
        <v>97</v>
      </c>
      <c r="DM6" t="s">
        <v>97</v>
      </c>
      <c r="DN6" t="s">
        <v>97</v>
      </c>
      <c r="DO6" t="s">
        <v>97</v>
      </c>
      <c r="DP6" t="s">
        <v>97</v>
      </c>
      <c r="DQ6" t="s">
        <v>97</v>
      </c>
      <c r="DR6" t="s">
        <v>97</v>
      </c>
      <c r="DS6" t="s">
        <v>97</v>
      </c>
      <c r="DT6" t="s">
        <v>97</v>
      </c>
      <c r="DU6" t="s">
        <v>97</v>
      </c>
      <c r="DV6" t="s">
        <v>97</v>
      </c>
      <c r="DW6" t="s">
        <v>97</v>
      </c>
      <c r="DX6" t="s">
        <v>97</v>
      </c>
      <c r="DY6" t="s">
        <v>97</v>
      </c>
      <c r="DZ6" t="s">
        <v>97</v>
      </c>
      <c r="EA6" t="s">
        <v>97</v>
      </c>
      <c r="EB6" t="s">
        <v>97</v>
      </c>
      <c r="EC6" t="s">
        <v>97</v>
      </c>
      <c r="ED6" t="s">
        <v>97</v>
      </c>
      <c r="EE6" t="s">
        <v>97</v>
      </c>
      <c r="EF6" t="s">
        <v>97</v>
      </c>
      <c r="EG6" t="s">
        <v>97</v>
      </c>
      <c r="EH6" t="s">
        <v>97</v>
      </c>
      <c r="EI6" t="s">
        <v>97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FA6" t="s">
        <v>97</v>
      </c>
      <c r="FB6" t="s">
        <v>97</v>
      </c>
      <c r="FC6" t="s">
        <v>97</v>
      </c>
      <c r="FD6" t="s">
        <v>97</v>
      </c>
      <c r="FE6" t="s">
        <v>97</v>
      </c>
      <c r="FF6" t="s">
        <v>97</v>
      </c>
      <c r="FG6" t="s">
        <v>97</v>
      </c>
      <c r="FH6" t="s">
        <v>97</v>
      </c>
      <c r="FI6" t="s">
        <v>97</v>
      </c>
      <c r="FK6" t="s">
        <v>97</v>
      </c>
      <c r="FL6" t="s">
        <v>97</v>
      </c>
      <c r="FM6" t="s">
        <v>97</v>
      </c>
      <c r="FN6" t="s">
        <v>97</v>
      </c>
      <c r="FO6" t="s">
        <v>97</v>
      </c>
      <c r="FP6" t="s">
        <v>97</v>
      </c>
      <c r="FQ6" t="s">
        <v>97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97</v>
      </c>
      <c r="B7" s="8" t="s">
        <v>58</v>
      </c>
      <c r="C7" s="8" t="s">
        <v>98</v>
      </c>
      <c r="D7" s="8"/>
      <c r="E7" s="8">
        <v>1.0</v>
      </c>
      <c r="F7" s="8" t="s">
        <v>99</v>
      </c>
      <c r="G7" s="8" t="s">
        <v>100</v>
      </c>
      <c r="H7" s="8"/>
      <c r="I7" s="8"/>
      <c r="J7" s="8"/>
      <c r="K7" s="8">
        <v>20.0</v>
      </c>
      <c r="L7" s="8">
        <v>20.0</v>
      </c>
      <c r="M7" s="8" t="s">
        <v>115</v>
      </c>
      <c r="N7" s="8" t="s">
        <v>102</v>
      </c>
      <c r="O7" s="8" t="s">
        <v>103</v>
      </c>
      <c r="Q7">
        <v>2.0</v>
      </c>
      <c r="S7" t="s">
        <v>104</v>
      </c>
      <c r="V7" t="s">
        <v>116</v>
      </c>
      <c r="W7">
        <v>1.0</v>
      </c>
      <c r="Y7" t="s">
        <v>97</v>
      </c>
      <c r="Z7" t="s">
        <v>45</v>
      </c>
      <c r="AB7">
        <v>1.0</v>
      </c>
      <c r="AD7" t="s">
        <v>113</v>
      </c>
      <c r="AE7">
        <v>1.0</v>
      </c>
      <c r="AF7" t="s">
        <v>97</v>
      </c>
      <c r="AH7" t="s">
        <v>69</v>
      </c>
      <c r="AI7">
        <v>1.0</v>
      </c>
      <c r="AJ7" t="s">
        <v>77</v>
      </c>
      <c r="AN7" t="b">
        <v>0</v>
      </c>
      <c r="AP7" t="b">
        <v>0</v>
      </c>
      <c r="AQ7" t="b">
        <v>0</v>
      </c>
      <c r="AR7" t="b">
        <v>1</v>
      </c>
      <c r="AY7" t="s">
        <v>107</v>
      </c>
      <c r="BD7" t="s">
        <v>108</v>
      </c>
      <c r="BE7">
        <v>20.0</v>
      </c>
      <c r="BF7">
        <v>20.0</v>
      </c>
      <c r="BJ7">
        <v>1.0</v>
      </c>
      <c r="BL7" t="s">
        <v>97</v>
      </c>
      <c r="BM7" t="s">
        <v>45</v>
      </c>
      <c r="BO7" t="s">
        <v>34</v>
      </c>
      <c r="BS7" t="s">
        <v>109</v>
      </c>
      <c r="BT7" t="s">
        <v>23</v>
      </c>
      <c r="BU7">
        <v>3.0</v>
      </c>
      <c r="CF7" t="s">
        <v>110</v>
      </c>
      <c r="CH7" t="s">
        <v>73</v>
      </c>
      <c r="CI7" t="s">
        <v>85</v>
      </c>
      <c r="CK7" t="s">
        <v>111</v>
      </c>
      <c r="CL7">
        <v>1.0</v>
      </c>
      <c r="CM7" t="s">
        <v>23</v>
      </c>
      <c r="CN7" t="s">
        <v>112</v>
      </c>
      <c r="CO7" t="s">
        <v>113</v>
      </c>
      <c r="CP7" t="s">
        <v>114</v>
      </c>
      <c r="CS7" t="s">
        <v>97</v>
      </c>
      <c r="CX7" t="s">
        <v>72</v>
      </c>
      <c r="CY7" t="s">
        <v>97</v>
      </c>
      <c r="CZ7" t="s">
        <v>97</v>
      </c>
      <c r="DA7" t="s">
        <v>97</v>
      </c>
      <c r="DB7" t="s">
        <v>97</v>
      </c>
      <c r="DC7" t="s">
        <v>97</v>
      </c>
      <c r="DD7" t="s">
        <v>97</v>
      </c>
      <c r="DE7" t="s">
        <v>97</v>
      </c>
      <c r="DF7" t="s">
        <v>97</v>
      </c>
      <c r="DG7" t="s">
        <v>97</v>
      </c>
      <c r="DH7" t="s">
        <v>97</v>
      </c>
      <c r="DI7" t="s">
        <v>97</v>
      </c>
      <c r="DJ7" t="s">
        <v>97</v>
      </c>
      <c r="DK7" t="s">
        <v>97</v>
      </c>
      <c r="DL7" t="s">
        <v>97</v>
      </c>
      <c r="DM7" t="s">
        <v>97</v>
      </c>
      <c r="DN7" t="s">
        <v>97</v>
      </c>
      <c r="DO7" t="s">
        <v>97</v>
      </c>
      <c r="DP7" t="s">
        <v>97</v>
      </c>
      <c r="DQ7" t="s">
        <v>97</v>
      </c>
      <c r="DR7" t="s">
        <v>97</v>
      </c>
      <c r="DS7" t="s">
        <v>97</v>
      </c>
      <c r="DT7" t="s">
        <v>97</v>
      </c>
      <c r="DU7" t="s">
        <v>97</v>
      </c>
      <c r="DV7" t="s">
        <v>97</v>
      </c>
      <c r="DW7" t="s">
        <v>97</v>
      </c>
      <c r="DX7" t="s">
        <v>97</v>
      </c>
      <c r="DY7" t="s">
        <v>97</v>
      </c>
      <c r="DZ7" t="s">
        <v>97</v>
      </c>
      <c r="EA7" t="s">
        <v>97</v>
      </c>
      <c r="EB7" t="s">
        <v>97</v>
      </c>
      <c r="EC7" t="s">
        <v>97</v>
      </c>
      <c r="ED7" t="s">
        <v>97</v>
      </c>
      <c r="EE7" t="s">
        <v>97</v>
      </c>
      <c r="EF7" t="s">
        <v>97</v>
      </c>
      <c r="EG7" t="s">
        <v>97</v>
      </c>
      <c r="EH7" t="s">
        <v>97</v>
      </c>
      <c r="EI7" t="s">
        <v>97</v>
      </c>
      <c r="EJ7" t="s">
        <v>97</v>
      </c>
      <c r="EK7" t="s">
        <v>97</v>
      </c>
      <c r="EL7" t="s">
        <v>97</v>
      </c>
      <c r="EM7" t="s">
        <v>97</v>
      </c>
      <c r="EN7" t="s">
        <v>97</v>
      </c>
      <c r="EO7" t="s">
        <v>97</v>
      </c>
      <c r="EP7" t="s">
        <v>97</v>
      </c>
      <c r="EQ7" t="s">
        <v>97</v>
      </c>
      <c r="ER7" t="s">
        <v>97</v>
      </c>
      <c r="ES7" t="s">
        <v>97</v>
      </c>
      <c r="ET7" t="s">
        <v>97</v>
      </c>
      <c r="EU7" t="s">
        <v>97</v>
      </c>
      <c r="EV7" t="s">
        <v>97</v>
      </c>
      <c r="EW7" t="s">
        <v>97</v>
      </c>
      <c r="EX7" t="s">
        <v>97</v>
      </c>
      <c r="FA7" t="s">
        <v>97</v>
      </c>
      <c r="FB7" t="s">
        <v>97</v>
      </c>
      <c r="FC7" t="s">
        <v>97</v>
      </c>
      <c r="FD7" t="s">
        <v>97</v>
      </c>
      <c r="FE7" t="s">
        <v>97</v>
      </c>
      <c r="FF7" t="s">
        <v>97</v>
      </c>
      <c r="FG7" t="s">
        <v>97</v>
      </c>
      <c r="FH7" t="s">
        <v>97</v>
      </c>
      <c r="FI7" t="s">
        <v>97</v>
      </c>
      <c r="FK7" t="s">
        <v>97</v>
      </c>
      <c r="FL7" t="s">
        <v>97</v>
      </c>
      <c r="FM7" t="s">
        <v>97</v>
      </c>
      <c r="FN7" t="s">
        <v>97</v>
      </c>
      <c r="FO7" t="s">
        <v>97</v>
      </c>
      <c r="FP7" t="s">
        <v>97</v>
      </c>
      <c r="FQ7" t="s">
        <v>97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117</v>
      </c>
      <c r="D3" s="5" t="s">
        <v>9</v>
      </c>
      <c r="E3" s="22" t="s">
        <v>118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97</v>
      </c>
      <c r="B6" s="50"/>
      <c r="C6" s="8" t="s">
        <v>27</v>
      </c>
      <c r="D6" s="50">
        <v>-1.0</v>
      </c>
      <c r="E6" s="8" t="s">
        <v>58</v>
      </c>
      <c r="F6" s="8" t="s">
        <v>72</v>
      </c>
      <c r="G6" s="8">
        <v>20.0</v>
      </c>
      <c r="H6" s="8" t="s">
        <v>119</v>
      </c>
      <c r="I6" s="8"/>
      <c r="J6" s="8"/>
      <c r="K6" s="8"/>
      <c r="L6" s="8"/>
      <c r="M6" s="8"/>
      <c r="N6" s="8"/>
      <c r="O6" s="8" t="s">
        <v>105</v>
      </c>
      <c r="P6" t="s">
        <v>120</v>
      </c>
      <c r="R6" t="s">
        <v>121</v>
      </c>
      <c r="S6" t="s">
        <v>109</v>
      </c>
      <c r="T6" t="s">
        <v>100</v>
      </c>
      <c r="U6" t="s">
        <v>111</v>
      </c>
      <c r="V6" t="s">
        <v>106</v>
      </c>
      <c r="W6" t="s">
        <v>45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119</v>
      </c>
      <c r="AQ6" t="s">
        <v>27</v>
      </c>
      <c r="AR6">
        <v>20.0</v>
      </c>
      <c r="AS6">
        <v>-1.0</v>
      </c>
      <c r="AV6">
        <v>1.0</v>
      </c>
      <c r="BC6">
        <v>1.0</v>
      </c>
      <c r="BD6">
        <v>20.0</v>
      </c>
      <c r="BE6" t="s">
        <v>100</v>
      </c>
      <c r="BF6" t="s">
        <v>122</v>
      </c>
      <c r="BG6" t="s">
        <v>123</v>
      </c>
      <c r="BH6" t="s">
        <v>120</v>
      </c>
      <c r="BI6" t="s">
        <v>124</v>
      </c>
      <c r="BO6">
        <v>20.0</v>
      </c>
      <c r="BQ6" t="s">
        <v>112</v>
      </c>
      <c r="BR6" t="s">
        <v>103</v>
      </c>
      <c r="BU6" t="s">
        <v>100</v>
      </c>
      <c r="CK6" t="b">
        <v>0</v>
      </c>
      <c r="CP6" t="s">
        <v>101</v>
      </c>
      <c r="CS6">
        <v>20.0</v>
      </c>
      <c r="CY6" t="s">
        <v>125</v>
      </c>
      <c r="CZ6" t="s">
        <v>126</v>
      </c>
      <c r="DH6" t="s">
        <v>120</v>
      </c>
      <c r="DJ6" t="s">
        <v>34</v>
      </c>
      <c r="DM6">
        <v>1.0</v>
      </c>
      <c r="DN6">
        <v>20.0</v>
      </c>
      <c r="DO6" t="s">
        <v>127</v>
      </c>
      <c r="DP6" t="s">
        <v>119</v>
      </c>
      <c r="DQ6" t="s">
        <v>120</v>
      </c>
      <c r="DR6" t="s">
        <v>128</v>
      </c>
      <c r="DS6" t="s">
        <v>120</v>
      </c>
      <c r="DT6" t="s">
        <v>120</v>
      </c>
      <c r="DU6" t="s">
        <v>120</v>
      </c>
      <c r="DV6" t="s">
        <v>120</v>
      </c>
      <c r="DW6" t="s">
        <v>120</v>
      </c>
      <c r="DX6" t="s">
        <v>120</v>
      </c>
      <c r="DY6" t="s">
        <v>120</v>
      </c>
      <c r="DZ6" t="s">
        <v>105</v>
      </c>
      <c r="EA6" t="s">
        <v>17</v>
      </c>
      <c r="EB6" t="s">
        <v>120</v>
      </c>
      <c r="EC6" t="s">
        <v>120</v>
      </c>
      <c r="ED6" t="s">
        <v>45</v>
      </c>
      <c r="EE6" t="s">
        <v>17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EY6" t="s">
        <v>97</v>
      </c>
      <c r="EZ6" t="s">
        <v>97</v>
      </c>
      <c r="FA6" t="s">
        <v>97</v>
      </c>
      <c r="FB6" t="s">
        <v>97</v>
      </c>
      <c r="FC6" t="s">
        <v>129</v>
      </c>
      <c r="FE6" t="s">
        <v>97</v>
      </c>
      <c r="FI6" t="s">
        <v>97</v>
      </c>
      <c r="FK6" t="s">
        <v>97</v>
      </c>
      <c r="FL6" t="s">
        <v>97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97</v>
      </c>
      <c r="B7" s="8"/>
      <c r="C7" s="8" t="s">
        <v>23</v>
      </c>
      <c r="D7" s="8">
        <v>-1.0</v>
      </c>
      <c r="E7" s="8" t="s">
        <v>58</v>
      </c>
      <c r="F7" s="8" t="s">
        <v>72</v>
      </c>
      <c r="G7" s="8">
        <v>20.0</v>
      </c>
      <c r="H7" s="8" t="s">
        <v>67</v>
      </c>
      <c r="I7" s="8"/>
      <c r="J7" s="8">
        <v>150.0</v>
      </c>
      <c r="K7" s="8"/>
      <c r="L7" s="8"/>
      <c r="M7" s="8"/>
      <c r="N7" s="8"/>
      <c r="O7" s="8" t="s">
        <v>116</v>
      </c>
      <c r="P7" t="s">
        <v>120</v>
      </c>
      <c r="R7" t="s">
        <v>121</v>
      </c>
      <c r="S7" t="s">
        <v>109</v>
      </c>
      <c r="T7" t="s">
        <v>100</v>
      </c>
      <c r="U7" t="s">
        <v>111</v>
      </c>
      <c r="V7" t="s">
        <v>113</v>
      </c>
      <c r="W7" t="s">
        <v>45</v>
      </c>
      <c r="X7">
        <v>1.0</v>
      </c>
      <c r="Y7">
        <v>1.0</v>
      </c>
      <c r="AL7">
        <v>1.0</v>
      </c>
      <c r="AM7">
        <v>1.0</v>
      </c>
      <c r="AN7" t="s">
        <v>34</v>
      </c>
      <c r="AP7" t="s">
        <v>119</v>
      </c>
      <c r="AQ7" t="s">
        <v>23</v>
      </c>
      <c r="AR7">
        <v>8.0</v>
      </c>
      <c r="AS7">
        <v>-1.0</v>
      </c>
      <c r="AV7">
        <v>1.0</v>
      </c>
      <c r="BC7">
        <v>1.0</v>
      </c>
      <c r="BD7">
        <v>20.0</v>
      </c>
      <c r="BE7" t="s">
        <v>100</v>
      </c>
      <c r="BF7" t="s">
        <v>122</v>
      </c>
      <c r="BG7" t="s">
        <v>130</v>
      </c>
      <c r="BH7" t="s">
        <v>131</v>
      </c>
      <c r="BI7" t="s">
        <v>124</v>
      </c>
      <c r="BO7">
        <v>20.0</v>
      </c>
      <c r="BQ7" t="s">
        <v>112</v>
      </c>
      <c r="BR7" t="s">
        <v>103</v>
      </c>
      <c r="BU7" t="s">
        <v>100</v>
      </c>
      <c r="CK7" t="b">
        <v>0</v>
      </c>
      <c r="CP7" t="s">
        <v>115</v>
      </c>
      <c r="CS7">
        <v>20.0</v>
      </c>
      <c r="CY7" t="s">
        <v>125</v>
      </c>
      <c r="CZ7" t="s">
        <v>126</v>
      </c>
      <c r="DH7" t="s">
        <v>120</v>
      </c>
      <c r="DJ7" t="s">
        <v>34</v>
      </c>
      <c r="DM7">
        <v>1.0</v>
      </c>
      <c r="DN7">
        <v>8.0</v>
      </c>
      <c r="DO7" t="s">
        <v>132</v>
      </c>
      <c r="DP7" t="s">
        <v>119</v>
      </c>
      <c r="DQ7" t="s">
        <v>120</v>
      </c>
      <c r="DR7" t="s">
        <v>128</v>
      </c>
      <c r="DS7" t="s">
        <v>120</v>
      </c>
      <c r="DT7" t="s">
        <v>120</v>
      </c>
      <c r="DU7" t="s">
        <v>120</v>
      </c>
      <c r="DV7" t="s">
        <v>120</v>
      </c>
      <c r="DW7" t="s">
        <v>120</v>
      </c>
      <c r="DX7" t="s">
        <v>120</v>
      </c>
      <c r="DY7" t="s">
        <v>120</v>
      </c>
      <c r="DZ7" t="s">
        <v>116</v>
      </c>
      <c r="EA7" t="s">
        <v>17</v>
      </c>
      <c r="EB7" t="s">
        <v>120</v>
      </c>
      <c r="EC7" t="s">
        <v>120</v>
      </c>
      <c r="ED7" t="s">
        <v>45</v>
      </c>
      <c r="EE7" t="s">
        <v>17</v>
      </c>
      <c r="EJ7" t="s">
        <v>97</v>
      </c>
      <c r="EK7" t="s">
        <v>97</v>
      </c>
      <c r="EL7" t="s">
        <v>97</v>
      </c>
      <c r="EM7" t="s">
        <v>97</v>
      </c>
      <c r="EN7" t="s">
        <v>97</v>
      </c>
      <c r="EO7" t="s">
        <v>97</v>
      </c>
      <c r="EP7" t="s">
        <v>97</v>
      </c>
      <c r="EQ7" t="s">
        <v>97</v>
      </c>
      <c r="ER7" t="s">
        <v>97</v>
      </c>
      <c r="ES7" t="s">
        <v>97</v>
      </c>
      <c r="ET7" t="s">
        <v>97</v>
      </c>
      <c r="EU7" t="s">
        <v>97</v>
      </c>
      <c r="EV7" t="s">
        <v>97</v>
      </c>
      <c r="EW7" t="s">
        <v>97</v>
      </c>
      <c r="EX7" t="s">
        <v>97</v>
      </c>
      <c r="EY7" t="s">
        <v>97</v>
      </c>
      <c r="EZ7" t="s">
        <v>97</v>
      </c>
      <c r="FA7" t="s">
        <v>97</v>
      </c>
      <c r="FB7" t="s">
        <v>97</v>
      </c>
      <c r="FC7" t="s">
        <v>129</v>
      </c>
      <c r="FE7" t="s">
        <v>97</v>
      </c>
      <c r="FI7" t="s">
        <v>97</v>
      </c>
      <c r="FK7" t="s">
        <v>97</v>
      </c>
      <c r="FL7" t="s">
        <v>97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