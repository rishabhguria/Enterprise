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RunPortfolio" sheetId="4" r:id="rId6"/>
    <sheet state="visible" name="RebalancePreference" sheetId="5" r:id="rId7"/>
    <sheet state="visible" name="RebalancePreference1" sheetId="6" r:id="rId8"/>
    <sheet state="visible" name="FetchAccountPositions" sheetId="7" r:id="rId9"/>
    <sheet state="visible" name="NavImpactingComponent" sheetId="8" r:id="rId10"/>
    <sheet state="visible" name="AddCash" sheetId="9" r:id="rId11"/>
    <sheet state="visible" name="RebalanceAcrossSecurities" sheetId="10" r:id="rId12"/>
    <sheet state="visible" name="ModifyRebalance" sheetId="11" r:id="rId13"/>
    <sheet state="visible" name="RunRebalance" sheetId="12" r:id="rId14"/>
    <sheet state="visible" name="SendtoStaging" sheetId="13" r:id="rId15"/>
    <sheet state="visible" name="RunRebalance1" sheetId="14" r:id="rId16"/>
    <sheet state="visible" name="SendtoStaging1" sheetId="15" r:id="rId17"/>
    <sheet state="visible" name="RunRebalance2" sheetId="16" r:id="rId18"/>
    <sheet state="visible" name="SendtoStaging2" sheetId="17" r:id="rId19"/>
    <sheet state="visible" name="RunRebalance3" sheetId="18" r:id="rId20"/>
    <sheet state="visible" name="SendtoStaging3" sheetId="19" r:id="rId21"/>
    <sheet state="visible" name="RunRebalance4" sheetId="20" r:id="rId22"/>
    <sheet state="visible" name="SendtoStaging4" sheetId="21" r:id="rId23"/>
    <sheet state="visible" name="RunRebalance5" sheetId="22" r:id="rId24"/>
    <sheet state="visible" name="SendtoStaging5" sheetId="23" r:id="rId25"/>
    <sheet state="visible" name="CustomOrderTT" sheetId="24" r:id="rId26"/>
    <sheet state="visible" name="PricingInput" sheetId="25" r:id="rId27"/>
  </sheets>
  <definedNames/>
  <calcPr/>
</workbook>
</file>

<file path=xl/sharedStrings.xml><?xml version="1.0" encoding="utf-8"?>
<sst xmlns="http://schemas.openxmlformats.org/spreadsheetml/2006/main" count="338" uniqueCount="50">
  <si>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</si>
  <si>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</si>
  <si>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</si>
  <si>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</si>
  <si>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</si>
  <si>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</si>
  <si>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</si>
  <si>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</si>
  <si>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</si>
  <si>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</si>
  <si>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</si>
  <si>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</si>
  <si>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PranaClient</t>
  </si>
  <si>
    <t>RunPortfolio</t>
  </si>
  <si>
    <t>Data Format</t>
  </si>
  <si>
    <t>Input Format</t>
  </si>
  <si>
    <t>Test2</t>
  </si>
  <si>
    <t>Portfolio3_5</t>
  </si>
  <si>
    <t>Rebalancer</t>
  </si>
  <si>
    <t>RebalancePreference</t>
  </si>
  <si>
    <t>Allocation1,Other Assets Market Value</t>
  </si>
  <si>
    <t>Allocation3,Other Assets Market Value</t>
  </si>
  <si>
    <t>FetchAccountPositions</t>
  </si>
  <si>
    <t>NewMF</t>
  </si>
  <si>
    <t>NavImpactingComponent</t>
  </si>
  <si>
    <t>Allocation1</t>
  </si>
  <si>
    <t>Allocation2</t>
  </si>
  <si>
    <t>AddCash</t>
  </si>
  <si>
    <t>Impact NAV</t>
  </si>
  <si>
    <t>Target Cash-40</t>
  </si>
  <si>
    <t>RebalanceAcrossSecurities</t>
  </si>
  <si>
    <t>BMW-XET</t>
  </si>
  <si>
    <t>Increase</t>
  </si>
  <si>
    <t>ModifyRebalance</t>
  </si>
  <si>
    <t>Yes</t>
  </si>
  <si>
    <t>RunRebalance</t>
  </si>
  <si>
    <t>Round Up</t>
  </si>
  <si>
    <t>SendtoStaging</t>
  </si>
  <si>
    <t>Buy</t>
  </si>
  <si>
    <t>A</t>
  </si>
  <si>
    <t>Allocation3</t>
  </si>
  <si>
    <t>FRA-FRA</t>
  </si>
  <si>
    <t>MSFT</t>
  </si>
  <si>
    <t>Nearest Round Off</t>
  </si>
  <si>
    <t>Round Down</t>
  </si>
  <si>
    <t>TradingTicket</t>
  </si>
  <si>
    <t>CustomOrderTT</t>
  </si>
  <si>
    <t>DoneAway</t>
  </si>
  <si>
    <t>PricingInput</t>
  </si>
  <si>
    <t>0303-HKG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</si>
</sst>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b/>
      <sz val="11.0"/>
      <color rgb="FF222222"/>
      <name val="&quot;Google Sans&quot;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D8E5F8"/>
        <bgColor rgb="FFD8E5F8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shrinkToFit="0" vertical="bottom" wrapText="0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  <xf borderId="0" fillId="0" fontId="5" numFmtId="3" xfId="0" applyAlignment="1" applyFont="1" applyNumberFormat="1">
      <alignment readingOrder="0" shrinkToFit="0" wrapText="0"/>
    </xf>
    <xf borderId="0" fillId="0" fontId="5" numFmtId="0" xfId="0" applyAlignment="1" applyFont="1">
      <alignment shrinkToFit="0" vertical="bottom" wrapText="0"/>
    </xf>
    <xf borderId="0" fillId="0" fontId="3" numFmtId="0" xfId="0" applyAlignment="1" applyFont="1">
      <alignment horizontal="center" vertical="bottom"/>
    </xf>
    <xf borderId="0" fillId="6" fontId="13" numFmtId="0" xfId="0" applyAlignment="1" applyFill="1" applyFont="1">
      <alignment readingOrder="0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horizontal="right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IFERROR(__xludf.DUMMYFUNCTION("""COMPUTED_VALUE"""),"RTPNL")</f>
        <v>RTPNL</v>
      </c>
      <c r="B767" t="str">
        <f>IFERROR(__xludf.DUMMYFUNCTION("""COMPUTED_VALUE"""),"RenameTabs")</f>
        <v>RenameTabs</v>
      </c>
      <c r="C767" t="str">
        <f>IFERROR(__xludf.DUMMYFUNCTION("""COMPUTED_VALUE"""),"1K7LcioEl1sTwLRhqHc9go_7jNmUIRZNy9zBQLMgtBw8")</f>
        <v>1K7LcioEl1sTwLRhqHc9go_7jNmUIRZNy9zBQLMgtBw8</v>
      </c>
    </row>
    <row r="768" ht="15.75" customHeight="1">
      <c r="A768" t="str">
        <f>IFERROR(__xludf.DUMMYFUNCTION("""COMPUTED_VALUE"""),"RTPNL")</f>
        <v>RTPNL</v>
      </c>
      <c r="B768" t="str">
        <f>IFERROR(__xludf.DUMMYFUNCTION("""COMPUTED_VALUE"""),"ResizeEnsure")</f>
        <v>ResizeEnsure</v>
      </c>
      <c r="C768" t="str">
        <f>IFERROR(__xludf.DUMMYFUNCTION("""COMPUTED_VALUE"""),"1-peVyQ_nIwd8owwmtDtNW-yx12KQx2nHeYee6duB46M")</f>
        <v>1-peVyQ_nIwd8owwmtDtNW-yx12KQx2nHeYee6duB46M</v>
      </c>
    </row>
    <row r="769" ht="15.75" customHeight="1">
      <c r="A769" t="str">
        <f>IFERROR(__xludf.DUMMYFUNCTION("""COMPUTED_VALUE"""),"Admin")</f>
        <v>Admin</v>
      </c>
      <c r="B769" t="str">
        <f>IFERROR(__xludf.DUMMYFUNCTION("""COMPUTED_VALUE"""),"ClearRTPNLtabs")</f>
        <v>ClearRTPNLtabs</v>
      </c>
      <c r="C769" t="str">
        <f>IFERROR(__xludf.DUMMYFUNCTION("""COMPUTED_VALUE"""),"Undefined")</f>
        <v>Undefined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IFERROR(__xludf.DUMMYFUNCTION("""COMPUTED_VALUE"""),"AddTabRTPNL")</f>
        <v>AddTabRTPNL</v>
      </c>
      <c r="C770" t="str">
        <f>IFERROR(__xludf.DUMMYFUNCTION("""COMPUTED_VALUE"""),"18kG7vS-CfSLW8Q-ho416lyPlP36XJPPHA0cRbCk3vjU")</f>
        <v>18kG7vS-CfSLW8Q-ho416lyPlP36XJPPHA0cRbCk3vjU</v>
      </c>
    </row>
    <row r="771" ht="15.75" customHeight="1">
      <c r="A771" t="str">
        <f>IFERROR(__xludf.DUMMYFUNCTION("""COMPUTED_VALUE"""),"PortfolioManagement")</f>
        <v>PortfolioManagement</v>
      </c>
      <c r="B771" t="str">
        <f>IFERROR(__xludf.DUMMYFUNCTION("""COMPUTED_VALUE"""),"SelectTradeOnPM")</f>
        <v>SelectTradeOnPM</v>
      </c>
      <c r="C771" t="str">
        <f>IFERROR(__xludf.DUMMYFUNCTION("""COMPUTED_VALUE"""),"1_tBJjps2mULQyHra_AnC6BBvPbOko3FAY-kc11l7eTg")</f>
        <v>1_tBJjps2mULQyHra_AnC6BBvPbOko3FAY-kc11l7eTg</v>
      </c>
    </row>
    <row r="772" ht="15.75" customHeight="1">
      <c r="A772" t="str">
        <f>IFERROR(__xludf.DUMMYFUNCTION("""COMPUTED_VALUE"""),"Unknown")</f>
        <v>Unknown</v>
      </c>
      <c r="B772" t="str">
        <f>IFERROR(__xludf.DUMMYFUNCTION("""COMPUTED_VALUE"""),"RightClickOperations")</f>
        <v>RightClickOperations</v>
      </c>
      <c r="C772" t="str">
        <f>IFERROR(__xludf.DUMMYFUNCTION("""COMPUTED_VALUE"""),"17jhCujI-0V0U3n5lzlkc-azSuwCa7rf-4KwcSInm9ts")</f>
        <v>17jhCujI-0V0U3n5lzlkc-azSuwCa7rf-4KwcSInm9ts</v>
      </c>
    </row>
    <row r="773" ht="15.75" customHeight="1">
      <c r="A773" t="str">
        <f>IFERROR(__xludf.DUMMYFUNCTION("""COMPUTED_VALUE"""),"Unknown")</f>
        <v>Unknown</v>
      </c>
      <c r="B773" t="str">
        <f>IFERROR(__xludf.DUMMYFUNCTION("""COMPUTED_VALUE"""),"RightClickAndClickOperations")</f>
        <v>RightClickAndClickOperations</v>
      </c>
      <c r="C773" t="str">
        <f>IFERROR(__xludf.DUMMYFUNCTION("""COMPUTED_VALUE"""),"1e9jtl9r57SkbYm3S4wbHtvkeG2KExZEiFSIkkRSaq-8")</f>
        <v>1e9jtl9r57SkbYm3S4wbHtvkeG2KExZEiFSIkkRSaq-8</v>
      </c>
    </row>
    <row r="774" ht="15.75" customHeight="1">
      <c r="A774" t="str">
        <f>IFERROR(__xludf.DUMMYFUNCTION("""COMPUTED_VALUE"""),"Blotter")</f>
        <v>Blotter</v>
      </c>
      <c r="B774" t="str">
        <f>IFERROR(__xludf.DUMMYFUNCTION("""COMPUTED_VALUE"""),"BlotterToolBarAction")</f>
        <v>BlotterToolBarAction</v>
      </c>
      <c r="C774" t="str">
        <f>IFERROR(__xludf.DUMMYFUNCTION("""COMPUTED_VALUE"""),"1bI1kIBxH6qy8zi5tx46rN3vNgbmxbdwtAo1inrXDALs")</f>
        <v>1bI1kIBxH6qy8zi5tx46rN3vNgbmxbdwtAo1inrXDALs</v>
      </c>
    </row>
    <row r="775" ht="15.75" customHeight="1">
      <c r="A775" t="str">
        <f>IFERROR(__xludf.DUMMYFUNCTION("""COMPUTED_VALUE"""),"TradingTicket")</f>
        <v>TradingTicket</v>
      </c>
      <c r="B775" t="str">
        <f>IFERROR(__xludf.DUMMYFUNCTION("""COMPUTED_VALUE"""),"MergeTT")</f>
        <v>MergeTT</v>
      </c>
      <c r="C775" t="str">
        <f>IFERROR(__xludf.DUMMYFUNCTION("""COMPUTED_VALUE"""),"1BEiRPdwHXsXVZ0ioude04Me5qSQ_YU6xh1ZwMWgExVU")</f>
        <v>1BEiRPdwHXsXVZ0ioude04Me5qSQ_YU6xh1ZwMWgExVU</v>
      </c>
    </row>
    <row r="776" ht="15.75" customHeight="1">
      <c r="A776" t="str">
        <f>IFERROR(__xludf.DUMMYFUNCTION("""COMPUTED_VALUE"""),"PortfolioManagement")</f>
        <v>PortfolioManagement</v>
      </c>
      <c r="B776" t="str">
        <f>IFERROR(__xludf.DUMMYFUNCTION("""COMPUTED_VALUE"""),"OperationsonPM")</f>
        <v>OperationsonPM</v>
      </c>
      <c r="C776" t="str">
        <f>IFERROR(__xludf.DUMMYFUNCTION("""COMPUTED_VALUE"""),"13hKVogBv66c752V1EGUyqXp4dGESQOZLmMqIB56fbAs")</f>
        <v>13hKVogBv66c752V1EGUyqXp4dGESQOZLmMqIB56fbAs</v>
      </c>
    </row>
    <row r="777" ht="15.75" customHeight="1">
      <c r="A777" t="str">
        <f>IFERROR(__xludf.DUMMYFUNCTION("""COMPUTED_VALUE"""),"Rebalancer")</f>
        <v>Rebalancer</v>
      </c>
      <c r="B777" t="str">
        <f>IFERROR(__xludf.DUMMYFUNCTION("""COMPUTED_VALUE"""),"CreateOrViewModelPortfolio")</f>
        <v>CreateOrViewModelPortfolio</v>
      </c>
      <c r="C777" t="str">
        <f>IFERROR(__xludf.DUMMYFUNCTION("""COMPUTED_VALUE"""),"1vejknW_QiO0r5pMzMjOGCCsgwLVes4a3Ubx1l-0Mg1k")</f>
        <v>1vejknW_QiO0r5pMzMjOGCCsgwLVes4a3Ubx1l-0Mg1k</v>
      </c>
    </row>
    <row r="778" ht="15.75" customHeight="1">
      <c r="A778" t="str">
        <f>IFERROR(__xludf.DUMMYFUNCTION("""COMPUTED_VALUE"""),"Rebalancer")</f>
        <v>Rebalancer</v>
      </c>
      <c r="B778" t="str">
        <f>IFERROR(__xludf.DUMMYFUNCTION("""COMPUTED_VALUE"""),"VerifyModelPortfolio")</f>
        <v>VerifyModelPortfolio</v>
      </c>
      <c r="C778" t="str">
        <f>IFERROR(__xludf.DUMMYFUNCTION("""COMPUTED_VALUE"""),"1Tza5cx7NJ2J8vr_f6DC-KPhnXCzf7l1m0EERc6z_T-U")</f>
        <v>1Tza5cx7NJ2J8vr_f6DC-KPhnXCzf7l1m0EERc6z_T-U</v>
      </c>
    </row>
    <row r="779" ht="15.75" customHeight="1">
      <c r="A779" t="str">
        <f>IFERROR(__xludf.DUMMYFUNCTION("""COMPUTED_VALUE"""),"Allocation")</f>
        <v>Allocation</v>
      </c>
      <c r="B779" t="str">
        <f>IFERROR(__xludf.DUMMYFUNCTION("""COMPUTED_VALUE"""),"ReviewExistingPositions")</f>
        <v>ReviewExistingPositions</v>
      </c>
      <c r="C779" t="str">
        <f>IFERROR(__xludf.DUMMYFUNCTION("""COMPUTED_VALUE"""),"1KwYoTdpeW6LDhzloVKHp5buZqc8IjXEShjwnUx45Ql8")</f>
        <v>1KwYoTdpeW6LDhzloVKHp5buZqc8IjXEShjwnUx45Ql8</v>
      </c>
    </row>
    <row r="780" ht="15.75" customHeight="1">
      <c r="A780" t="str">
        <f>IFERROR(__xludf.DUMMYFUNCTION("""COMPUTED_VALUE"""),"PTT")</f>
        <v>PTT</v>
      </c>
      <c r="B780" t="str">
        <f>IFERROR(__xludf.DUMMYFUNCTION("""COMPUTED_VALUE"""),"OperationsonPTT")</f>
        <v>OperationsonPTT</v>
      </c>
      <c r="C780" t="str">
        <f>IFERROR(__xludf.DUMMYFUNCTION("""COMPUTED_VALUE"""),"1J40rCXEDilLEF_x0Wkeeg1lwGfejucV1VSY9UcyeSlw")</f>
        <v>1J40rCXEDilLEF_x0Wkeeg1lwGfejucV1VSY9UcyeSlw</v>
      </c>
    </row>
    <row r="781" ht="15.75" customHeight="1">
      <c r="A781" t="str">
        <f>IFERROR(__xludf.DUMMYFUNCTION("""COMPUTED_VALUE"""),"PricingInput")</f>
        <v>PricingInput</v>
      </c>
      <c r="B781" t="str">
        <f>IFERROR(__xludf.DUMMYFUNCTION("""COMPUTED_VALUE"""),"UpdatePricingInput")</f>
        <v>UpdatePricingInput</v>
      </c>
      <c r="C781" t="str">
        <f>IFERROR(__xludf.DUMMYFUNCTION("""COMPUTED_VALUE"""),"1CG9iYOkRKzlGEsKh7QuEyMdGRQea_W4KDWwlnjE2BdE")</f>
        <v>1CG9iYOkRKzlGEsKh7QuEyMdGRQea_W4KDWwlnjE2BdE</v>
      </c>
    </row>
    <row r="782" ht="15.75" customHeight="1">
      <c r="A782" t="str">
        <f>IFERROR(__xludf.DUMMYFUNCTION("""COMPUTED_VALUE"""),"DailyValuation")</f>
        <v>DailyValuation</v>
      </c>
      <c r="B782" t="str">
        <f>IFERROR(__xludf.DUMMYFUNCTION("""COMPUTED_VALUE"""),"UpdateMPAndFC")</f>
        <v>UpdateMPAndFC</v>
      </c>
      <c r="C782" t="str">
        <f>IFERROR(__xludf.DUMMYFUNCTION("""COMPUTED_VALUE"""),"1UCNfZng94LprScqCmSKImRjCwiKlLQU_e1kY1tum91I")</f>
        <v>1UCNfZng94LprScqCmSKImRjCwiKlLQU_e1kY1tum91I</v>
      </c>
    </row>
    <row r="783" ht="15.75" customHeight="1">
      <c r="A783" t="str">
        <f>IFERROR(__xludf.DUMMYFUNCTION("""COMPUTED_VALUE"""),"Rebalancer")</f>
        <v>Rebalancer</v>
      </c>
      <c r="B783" t="str">
        <f>IFERROR(__xludf.DUMMYFUNCTION("""COMPUTED_VALUE"""),"SelectAndVerifyTradeList")</f>
        <v>SelectAndVerifyTradeList</v>
      </c>
      <c r="C783" t="str">
        <f>IFERROR(__xludf.DUMMYFUNCTION("""COMPUTED_VALUE"""),"1fXJG--hBH0hPvU7g5jtXyZnD1GiwJXfYX9HdEyhGyGs")</f>
        <v>1fXJG--hBH0hPvU7g5jtXyZnD1GiwJXfYX9HdEyhGyGs</v>
      </c>
    </row>
    <row r="784" ht="15.75" customHeight="1">
      <c r="A784" t="str">
        <f>IFERROR(__xludf.DUMMYFUNCTION("""COMPUTED_VALUE"""),"Rebalancer")</f>
        <v>Rebalancer</v>
      </c>
      <c r="B784" t="str">
        <f>IFERROR(__xludf.DUMMYFUNCTION("""COMPUTED_VALUE"""),"ActionOnTradeBuySellListView")</f>
        <v>ActionOnTradeBuySellListView</v>
      </c>
      <c r="C784" t="str">
        <f>IFERROR(__xludf.DUMMYFUNCTION("""COMPUTED_VALUE"""),"1xeJEpkdxtbik3vPUTkxALkXsnL-Vl5dF07PBUoheM3k")</f>
        <v>1xeJEpkdxtbik3vPUTkxALkXsnL-Vl5dF07PBUoheM3k</v>
      </c>
    </row>
    <row r="785" ht="15.75" customHeight="1">
      <c r="A785" t="str">
        <f>IFERROR(__xludf.DUMMYFUNCTION("""COMPUTED_VALUE"""),"Blotter")</f>
        <v>Blotter</v>
      </c>
      <c r="B785" t="str">
        <f>IFERROR(__xludf.DUMMYFUNCTION("""COMPUTED_VALUE"""),"AddTabToFav")</f>
        <v>AddTabToFav</v>
      </c>
      <c r="C785" t="str">
        <f>IFERROR(__xludf.DUMMYFUNCTION("""COMPUTED_VALUE"""),"1Hrblc1gk4JIYboQ1lGHgl7HatAXp5amAl9mS58vzT-0")</f>
        <v>1Hrblc1gk4JIYboQ1lGHgl7HatAXp5amAl9mS58vzT-0</v>
      </c>
    </row>
    <row r="786" ht="15.75" customHeight="1">
      <c r="A786" t="str">
        <f>IFERROR(__xludf.DUMMYFUNCTION("""COMPUTED_VALUE"""),"TradingTicket")</f>
        <v>TradingTicket</v>
      </c>
      <c r="B786" t="str">
        <f>IFERROR(__xludf.DUMMYFUNCTION("""COMPUTED_VALUE"""),"VerifyExecutionType")</f>
        <v>VerifyExecutionType</v>
      </c>
      <c r="C786" t="str">
        <f>IFERROR(__xludf.DUMMYFUNCTION("""COMPUTED_VALUE"""),"1GeLKG0YL6nDFQYX8NohWSG0yonppxuSHWgOuwLzEWwI")</f>
        <v>1GeLKG0YL6nDFQYX8NohWSG0yonppxuSHWgOuwLzEWwI</v>
      </c>
    </row>
    <row r="787" ht="15.75" customHeight="1">
      <c r="A787" t="str">
        <f>IFERROR(__xludf.DUMMYFUNCTION("""COMPUTED_VALUE"""),"OpenFin")</f>
        <v>OpenFin</v>
      </c>
      <c r="B787" t="str">
        <f>IFERROR(__xludf.DUMMYFUNCTION("""COMPUTED_VALUE"""),"VerifyNotification")</f>
        <v>VerifyNotification</v>
      </c>
      <c r="C787" t="str">
        <f>IFERROR(__xludf.DUMMYFUNCTION("""COMPUTED_VALUE"""),"1rm7dGZ4-j6MPtyiMlJDHnZgIjnFk8Hv19VRPaPCgUMY")</f>
        <v>1rm7dGZ4-j6MPtyiMlJDHnZgIjnFk8Hv19VRPaPCgUMY</v>
      </c>
    </row>
    <row r="788" ht="15.75" customHeight="1">
      <c r="A788" t="str">
        <f>IFERROR(__xludf.DUMMYFUNCTION("""COMPUTED_VALUE"""),"Blotter")</f>
        <v>Blotter</v>
      </c>
      <c r="B788" t="str">
        <f>IFERROR(__xludf.DUMMYFUNCTION("""COMPUTED_VALUE"""),"RollOverContextMenu")</f>
        <v>RollOverContextMenu</v>
      </c>
      <c r="C788" t="str">
        <f>IFERROR(__xludf.DUMMYFUNCTION("""COMPUTED_VALUE"""),"1d45ieJRLC6DQ7t19pclAZz5EI6hBsZ5_VdNJYb3VsNc")</f>
        <v>1d45ieJRLC6DQ7t19pclAZz5EI6hBsZ5_VdNJYb3VsNc</v>
      </c>
    </row>
    <row r="789" ht="15.75" customHeight="1">
      <c r="A789" t="str">
        <f>IFERROR(__xludf.DUMMYFUNCTION("""COMPUTED_VALUE"""),"PTT")</f>
        <v>PTT</v>
      </c>
      <c r="B789" t="str">
        <f>IFERROR(__xludf.DUMMYFUNCTION("""COMPUTED_VALUE"""),"RefreshCalculation")</f>
        <v>RefreshCalculation</v>
      </c>
    </row>
    <row r="790" ht="15.75" customHeight="1">
      <c r="A790" t="str">
        <f>IFERROR(__xludf.DUMMYFUNCTION("""COMPUTED_VALUE"""),"Blotter")</f>
        <v>Blotter</v>
      </c>
      <c r="B790" t="str">
        <f>IFERROR(__xludf.DUMMYFUNCTION("""COMPUTED_VALUE"""),"BookAsSwap")</f>
        <v>BookAsSwap</v>
      </c>
      <c r="C790" t="str">
        <f>IFERROR(__xludf.DUMMYFUNCTION("""COMPUTED_VALUE"""),"1tnkP5eD3WH53SXu2O-MWk6774J7b5ihwlD7r9dGtpiY")</f>
        <v>1tnkP5eD3WH53SXu2O-MWk6774J7b5ihwlD7r9dGtpiY</v>
      </c>
    </row>
    <row r="791" ht="15.75" customHeight="1">
      <c r="A791" t="str">
        <f>IFERROR(__xludf.DUMMYFUNCTION("""COMPUTED_VALUE"""),"Blotter")</f>
        <v>Blotter</v>
      </c>
      <c r="B791" t="str">
        <f>IFERROR(__xludf.DUMMYFUNCTION("""COMPUTED_VALUE"""),"ActionOnFloatingWindow")</f>
        <v>ActionOnFloatingWindow</v>
      </c>
      <c r="C791" t="str">
        <f>IFERROR(__xludf.DUMMYFUNCTION("""COMPUTED_VALUE"""),"1tFNUPT3PXgCKRnnehGwo6OF7EhLu13UJ8Elfq83HArE")</f>
        <v>1tFNUPT3PXgCKRnnehGwo6OF7EhLu13UJ8Elfq83HArE</v>
      </c>
    </row>
    <row r="792" ht="15.75" customHeight="1">
      <c r="A792" t="str">
        <f>IFERROR(__xludf.DUMMYFUNCTION("""COMPUTED_VALUE"""),"OpenFin")</f>
        <v>OpenFin</v>
      </c>
      <c r="B792" t="str">
        <f>IFERROR(__xludf.DUMMYFUNCTION("""COMPUTED_VALUE"""),"LockUnlockModule")</f>
        <v>LockUnlockModule</v>
      </c>
      <c r="C792" t="str">
        <f>IFERROR(__xludf.DUMMYFUNCTION("""COMPUTED_VALUE"""),"179D0kPRO8f_KLxd7hs6seM9XGxpL-u1rhIhNgFVePsQ")</f>
        <v>179D0kPRO8f_KLxd7hs6seM9XGxpL-u1rhIhNgFVePsQ</v>
      </c>
    </row>
    <row r="793" ht="15.75" customHeight="1">
      <c r="A793" t="str">
        <f>IFERROR(__xludf.DUMMYFUNCTION("""COMPUTED_VALUE"""),"OpenFin")</f>
        <v>OpenFin</v>
      </c>
      <c r="B793" t="str">
        <f>IFERROR(__xludf.DUMMYFUNCTION("""COMPUTED_VALUE"""),"OpenModule")</f>
        <v>OpenModule</v>
      </c>
      <c r="C793" t="str">
        <f>IFERROR(__xludf.DUMMYFUNCTION("""COMPUTED_VALUE"""),"1IdmD7l42pWNjFNVt_7UwbOO7y5tDxaXr7tE60c9ETLw")</f>
        <v>1IdmD7l42pWNjFNVt_7UwbOO7y5tDxaXr7tE60c9ETLw</v>
      </c>
    </row>
    <row r="794" ht="15.75" customHeight="1">
      <c r="A794" t="str">
        <f>IFERROR(__xludf.DUMMYFUNCTION("""COMPUTED_VALUE"""),"TradingTicket")</f>
        <v>TradingTicket</v>
      </c>
      <c r="B794" t="str">
        <f>IFERROR(__xludf.DUMMYFUNCTION("""COMPUTED_VALUE"""),"SymbolSuggestionVerify")</f>
        <v>SymbolSuggestionVerify</v>
      </c>
      <c r="C794" t="str">
        <f>IFERROR(__xludf.DUMMYFUNCTION("""COMPUTED_VALUE"""),"14aTeLjmUbS-nhaQwjtZAMGxdQ5DS6UsBjE5OTWN-LQU")</f>
        <v>14aTeLjmUbS-nhaQwjtZAMGxdQ5DS6UsBjE5OTWN-LQU</v>
      </c>
    </row>
    <row r="795" ht="15.75" customHeight="1">
      <c r="A795" t="str">
        <f>IFERROR(__xludf.DUMMYFUNCTION("""COMPUTED_VALUE"""),"Blotter")</f>
        <v>Blotter</v>
      </c>
      <c r="B795" t="str">
        <f>IFERROR(__xludf.DUMMYFUNCTION("""COMPUTED_VALUE"""),"CreateHotButtonOnBlotter")</f>
        <v>CreateHotButtonOnBlotter</v>
      </c>
      <c r="C795" t="str">
        <f>IFERROR(__xludf.DUMMYFUNCTION("""COMPUTED_VALUE"""),"1Yu7Fb6AjhUP8b-KuRJvgAwq8TykNK6BDh9F0Xpf12Ek")</f>
        <v>1Yu7Fb6AjhUP8b-KuRJvgAwq8TykNK6BDh9F0Xpf12Ek</v>
      </c>
    </row>
    <row r="796" ht="15.75" customHeight="1">
      <c r="A796" t="str">
        <f>IFERROR(__xludf.DUMMYFUNCTION("""COMPUTED_VALUE"""),"Blotter")</f>
        <v>Blotter</v>
      </c>
      <c r="B796" t="str">
        <f>IFERROR(__xludf.DUMMYFUNCTION("""COMPUTED_VALUE"""),"FillHBdetailsOnBlotter")</f>
        <v>FillHBdetailsOnBlotter</v>
      </c>
      <c r="C796" t="str">
        <f>IFERROR(__xludf.DUMMYFUNCTION("""COMPUTED_VALUE"""),"13Isj5c5k8kObxI-GBT6Ir9VBOz_46lzhwVxXXVP8jQU")</f>
        <v>13Isj5c5k8kObxI-GBT6Ir9VBOz_46lzhwVxXXVP8jQU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IFERROR(__xludf.DUMMYFUNCTION("IF(C3="""","""",Transpose(IMPORTRANGE('_Settings'!$B$3,C3&amp;""!A4:A1000"")))"),"RestartClient")</f>
        <v>RestartClient</v>
      </c>
      <c r="C4" s="24" t="str">
        <f>IFERROR(__xludf.DUMMYFUNCTION("""COMPUTED_VALUE"""),"UpdateClientConfig")</f>
        <v>UpdateClientConfig</v>
      </c>
      <c r="D4" s="24" t="str">
        <f>IFERROR(__xludf.DUMMYFUNCTION("""COMPUTED_VALUE"""),"PranaClient")</f>
        <v>PranaClient</v>
      </c>
      <c r="E4" s="24" t="str">
        <f>IFERROR(__xludf.DUMMYFUNCTION("""COMPUTED_VALUE"""),"CompareXML")</f>
        <v>CompareXML</v>
      </c>
      <c r="F4" s="24" t="str">
        <f>IFERROR(__xludf.DUMMYFUNCTION("""COMPUTED_VALUE"""),"LoginClient")</f>
        <v>LoginClient</v>
      </c>
      <c r="G4" s="24" t="str">
        <f>IFERROR(__xludf.DUMMYFUNCTION("""COMPUTED_VALUE"""),"DbPicker")</f>
        <v>DbPicker</v>
      </c>
      <c r="H4" s="24" t="str">
        <f>IFERROR(__xludf.DUMMYFUNCTION("""COMPUTED_VALUE"""),"RunPortfolio")</f>
        <v>RunPortfolio</v>
      </c>
      <c r="I4" s="24" t="str">
        <f>IFERROR(__xludf.DUMMYFUNCTION("""COMPUTED_VALUE"""),"MoveFile")</f>
        <v>MoveFile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IFERROR(__xludf.DUMMYFUNCTION("""COMPUTED_VALUE"""),"ModuleName")</f>
        <v>ModuleName</v>
      </c>
      <c r="C5" s="27" t="str">
        <f>IFERROR(__xludf.DUMMYFUNCTION("""COMPUTED_VALUE"""),"CaseID")</f>
        <v>CaseID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 t="s">
        <v>17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RunPortfolio!$4:$4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IFERROR(__xludf.DUMMYFUNCTION("""COMPUTED_VALUE"""),"RoundLotPreference")</f>
        <v>RoundLotPreference</v>
      </c>
      <c r="C5" s="27" t="str">
        <f>IFERROR(__xludf.DUMMYFUNCTION("""COMPUTED_VALUE"""),"ReinvestCash")</f>
        <v>ReinvestCash</v>
      </c>
      <c r="D5" s="27" t="str">
        <f>IFERROR(__xludf.DUMMYFUNCTION("""COMPUTED_VALUE"""),"Sell to Raise Cash")</f>
        <v>Sell to Raise Cash</v>
      </c>
      <c r="E5" s="27" t="str">
        <f>IFERROR(__xludf.DUMMYFUNCTION("""COMPUTED_VALUE"""),"No Shorting")</f>
        <v>No Shorting</v>
      </c>
      <c r="F5" s="28" t="str">
        <f>IFERROR(__xludf.DUMMYFUNCTION("""COMPUTED_VALUE"""),"Allow Negative Cash")</f>
        <v>Allow Negative Cash</v>
      </c>
      <c r="G5" s="27" t="str">
        <f>IFERROR(__xludf.DUMMYFUNCTION("""COMPUTED_VALUE"""),"Rebalance Across Securities")</f>
        <v>Rebalance Across Securities</v>
      </c>
      <c r="H5" s="27" t="str">
        <f>IFERROR(__xludf.DUMMYFUNCTION("""COMPUTED_VALUE"""),"Other Items Impacting NAV")</f>
        <v>Other Items Impacting NAV</v>
      </c>
      <c r="I5" s="27" t="str">
        <f>IFERROR(__xludf.DUMMYFUNCTION("""COMPUTED_VALUE"""),"NAV Calculation Preference")</f>
        <v>NAV Calculation Preference</v>
      </c>
      <c r="J5" s="27" t="str">
        <f>IFERROR(__xludf.DUMMYFUNCTION("""COMPUTED_VALUE"""),"Account/Groups Visibility")</f>
        <v>Account/Groups Visibility</v>
      </c>
      <c r="K5" s="27" t="str">
        <f>IFERROR(__xludf.DUMMYFUNCTION("""COMPUTED_VALUE"""),"Always Ask for Saving Orders")</f>
        <v>Always Ask for Saving Orders</v>
      </c>
      <c r="L5" s="27" t="str">
        <f>IFERROR(__xludf.DUMMYFUNCTION("""COMPUTED_VALUE"""),"Rounding Type")</f>
        <v>Rounding Type</v>
      </c>
      <c r="M5" s="27" t="str">
        <f>IFERROR(__xludf.DUMMYFUNCTION("""COMPUTED_VALUE"""),"/=/-/=:")</f>
        <v>/=/-/=:</v>
      </c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3"/>
      <c r="D6" s="30"/>
      <c r="E6" s="33"/>
      <c r="F6" s="33"/>
      <c r="G6" s="33"/>
      <c r="H6" s="33"/>
      <c r="I6" s="34" t="s">
        <v>20</v>
      </c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RebalancePreference!$4:$4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IFERROR(__xludf.DUMMYFUNCTION("""COMPUTED_VALUE"""),"RoundLotPreference")</f>
        <v>RoundLotPreference</v>
      </c>
      <c r="C5" s="27" t="str">
        <f>IFERROR(__xludf.DUMMYFUNCTION("""COMPUTED_VALUE"""),"ReinvestCash")</f>
        <v>ReinvestCash</v>
      </c>
      <c r="D5" s="27" t="str">
        <f>IFERROR(__xludf.DUMMYFUNCTION("""COMPUTED_VALUE"""),"Sell to Raise Cash")</f>
        <v>Sell to Raise Cash</v>
      </c>
      <c r="E5" s="27" t="str">
        <f>IFERROR(__xludf.DUMMYFUNCTION("""COMPUTED_VALUE"""),"No Shorting")</f>
        <v>No Shorting</v>
      </c>
      <c r="F5" s="28" t="str">
        <f>IFERROR(__xludf.DUMMYFUNCTION("""COMPUTED_VALUE"""),"Allow Negative Cash")</f>
        <v>Allow Negative Cash</v>
      </c>
      <c r="G5" s="27" t="str">
        <f>IFERROR(__xludf.DUMMYFUNCTION("""COMPUTED_VALUE"""),"Rebalance Across Securities")</f>
        <v>Rebalance Across Securities</v>
      </c>
      <c r="H5" s="27" t="str">
        <f>IFERROR(__xludf.DUMMYFUNCTION("""COMPUTED_VALUE"""),"Other Items Impacting NAV")</f>
        <v>Other Items Impacting NAV</v>
      </c>
      <c r="I5" s="27" t="str">
        <f>IFERROR(__xludf.DUMMYFUNCTION("""COMPUTED_VALUE"""),"NAV Calculation Preference")</f>
        <v>NAV Calculation Preference</v>
      </c>
      <c r="J5" s="27" t="str">
        <f>IFERROR(__xludf.DUMMYFUNCTION("""COMPUTED_VALUE"""),"Account/Groups Visibility")</f>
        <v>Account/Groups Visibility</v>
      </c>
      <c r="K5" s="27" t="str">
        <f>IFERROR(__xludf.DUMMYFUNCTION("""COMPUTED_VALUE"""),"Always Ask for Saving Orders")</f>
        <v>Always Ask for Saving Orders</v>
      </c>
      <c r="L5" s="27" t="str">
        <f>IFERROR(__xludf.DUMMYFUNCTION("""COMPUTED_VALUE"""),"Rounding Type")</f>
        <v>Rounding Type</v>
      </c>
      <c r="M5" s="27" t="str">
        <f>IFERROR(__xludf.DUMMYFUNCTION("""COMPUTED_VALUE"""),"/=/-/=:")</f>
        <v>/=/-/=:</v>
      </c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3"/>
      <c r="D6" s="30"/>
      <c r="E6" s="33"/>
      <c r="F6" s="33"/>
      <c r="G6" s="33"/>
      <c r="H6" s="33"/>
      <c r="I6" s="34" t="s">
        <v>21</v>
      </c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RebalancePreference1!$4:$4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IFERROR(__xludf.DUMMYFUNCTION("""COMPUTED_VALUE"""),"Account/Groups")</f>
        <v>Account/Groups</v>
      </c>
      <c r="C5" s="27" t="str">
        <f>IFERROR(__xludf.DUMMYFUNCTION("""COMPUTED_VALUE"""),"Account Positions")</f>
        <v>Account Positions</v>
      </c>
      <c r="D5" s="27" t="str">
        <f>IFERROR(__xludf.DUMMYFUNCTION("""COMPUTED_VALUE"""),"Calculation Level")</f>
        <v>Calculation Level</v>
      </c>
      <c r="E5" s="27" t="str">
        <f>IFERROR(__xludf.DUMMYFUNCTION("""COMPUTED_VALUE"""),"Refresh")</f>
        <v>Refresh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23</v>
      </c>
      <c r="C6" s="33"/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FetchAccountPositions!$4:$4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IFERROR(__xludf.DUMMYFUNCTION("""COMPUTED_VALUE"""),"User Adjusted Nav")</f>
        <v>User Adjusted Nav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25</v>
      </c>
      <c r="C6" s="35">
        <v>25000.0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2" t="s">
        <v>26</v>
      </c>
      <c r="C7" s="35">
        <v>25000.0</v>
      </c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NavImpactingComponent!$4:$4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IFERROR(__xludf.DUMMYFUNCTION("""COMPUTED_VALUE"""),"Cash Flow(USD)")</f>
        <v>Cash Flow(USD)</v>
      </c>
      <c r="C5" s="27" t="str">
        <f>IFERROR(__xludf.DUMMYFUNCTION("""COMPUTED_VALUE"""),"Cash Flow Impact on NAV")</f>
        <v>Cash Flow Impact on NAV</v>
      </c>
      <c r="D5" s="27" t="str">
        <f>IFERROR(__xludf.DUMMYFUNCTION("""COMPUTED_VALUE"""),"Select Model")</f>
        <v>Select Model</v>
      </c>
      <c r="E5" s="27" t="str">
        <f>IFERROR(__xludf.DUMMYFUNCTION("""COMPUTED_VALUE"""),"Custom Cash Flow")</f>
        <v>Custom Cash Flow</v>
      </c>
      <c r="F5" s="28" t="str">
        <f>IFERROR(__xludf.DUMMYFUNCTION("""COMPUTED_VALUE"""),"MasterFund Groups")</f>
        <v>MasterFund Groups</v>
      </c>
      <c r="G5" s="27" t="str">
        <f>IFERROR(__xludf.DUMMYFUNCTION("""COMPUTED_VALUE"""),"Accounts")</f>
        <v>Accounts</v>
      </c>
      <c r="H5" s="27" t="str">
        <f>IFERROR(__xludf.DUMMYFUNCTION("""COMPUTED_VALUE"""),"Cash Flow Account Wise")</f>
        <v>Cash Flow Account Wise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2" t="s">
        <v>28</v>
      </c>
      <c r="D6" s="36" t="s">
        <v>29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IFERROR(__xludf.DUMMYFUNCTION("""COMPUTED_VALUE"""),"Set/Inc/Dec")</f>
        <v>Set/Inc/Dec</v>
      </c>
      <c r="D5" s="27" t="str">
        <f>IFERROR(__xludf.DUMMYFUNCTION("""COMPUTED_VALUE"""),"Target%")</f>
        <v>Target%</v>
      </c>
      <c r="E5" s="27" t="str">
        <f>IFERROR(__xludf.DUMMYFUNCTION("""COMPUTED_VALUE"""),"Account/Group")</f>
        <v>Account/Group</v>
      </c>
      <c r="F5" s="28" t="str">
        <f>IFERROR(__xludf.DUMMYFUNCTION("""COMPUTED_VALUE"""),"ReinvestCash")</f>
        <v>ReinvestCash</v>
      </c>
      <c r="G5" s="27" t="str">
        <f>IFERROR(__xludf.DUMMYFUNCTION("""COMPUTED_VALUE"""),"SellToRaiseCash")</f>
        <v>SellToRaiseCash</v>
      </c>
      <c r="H5" s="27" t="str">
        <f>IFERROR(__xludf.DUMMYFUNCTION("""COMPUTED_VALUE"""),"AllowNegCash")</f>
        <v>AllowNegCash</v>
      </c>
      <c r="I5" s="27" t="str">
        <f>IFERROR(__xludf.DUMMYFUNCTION("""COMPUTED_VALUE"""),"NoShortning")</f>
        <v>NoShortning</v>
      </c>
      <c r="J5" s="27" t="str">
        <f>IFERROR(__xludf.DUMMYFUNCTION("""COMPUTED_VALUE"""),"Price")</f>
        <v>Price</v>
      </c>
      <c r="K5" s="27" t="str">
        <f>IFERROR(__xludf.DUMMYFUNCTION("""COMPUTED_VALUE"""),"Fx")</f>
        <v>Fx</v>
      </c>
      <c r="L5" s="27" t="str">
        <f>IFERROR(__xludf.DUMMYFUNCTION("""COMPUTED_VALUE"""),"BPS SET")</f>
        <v>BPS SET</v>
      </c>
      <c r="M5" s="27" t="str">
        <f>IFERROR(__xludf.DUMMYFUNCTION("""COMPUTED_VALUE"""),"SetCashTarget")</f>
        <v>SetCashTarget</v>
      </c>
      <c r="N5" s="27" t="str">
        <f>IFERROR(__xludf.DUMMYFUNCTION("""COMPUTED_VALUE"""),"SetCashTarget%")</f>
        <v>SetCashTarget%</v>
      </c>
      <c r="O5" s="27" t="str">
        <f>IFERROR(__xludf.DUMMYFUNCTION("""COMPUTED_VALUE"""),"SellToRaiseCashAndSetCashTarget")</f>
        <v>SellToRaiseCashAndSetCashTarget</v>
      </c>
      <c r="P5" s="27" t="str">
        <f>IFERROR(__xludf.DUMMYFUNCTION("""COMPUTED_VALUE"""),"AllowNegCashAndSetCashTarget")</f>
        <v>AllowNegCashAndSetCashTarget</v>
      </c>
      <c r="Q5" s="27" t="str">
        <f>IFERROR(__xludf.DUMMYFUNCTION("""COMPUTED_VALUE"""),"DisableCT")</f>
        <v>DisableCT</v>
      </c>
      <c r="R5" s="27" t="str">
        <f>IFERROR(__xludf.DUMMYFUNCTION("""COMPUTED_VALUE"""),"AllowNegCashAndSellToRaise")</f>
        <v>AllowNegCashAndSellToRaise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31</v>
      </c>
      <c r="C6" s="32" t="s">
        <v>32</v>
      </c>
      <c r="D6" s="37">
        <v>1.0</v>
      </c>
      <c r="E6" s="33"/>
      <c r="F6" s="33"/>
      <c r="G6" s="33"/>
      <c r="H6" s="33"/>
      <c r="I6" s="33"/>
      <c r="J6" s="35">
        <v>10.0</v>
      </c>
      <c r="K6" s="35">
        <v>1.0</v>
      </c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RebalanceAcrossSecurities!$4:$4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IFERROR(__xludf.DUMMYFUNCTION("""COMPUTED_VALUE"""),"Modify Rebalance")</f>
        <v>Modify Rebalance</v>
      </c>
      <c r="C5" s="27" t="str">
        <f>IFERROR(__xludf.DUMMYFUNCTION("""COMPUTED_VALUE"""),"AllowNegCash")</f>
        <v>AllowNegCash</v>
      </c>
      <c r="D5" s="27" t="str">
        <f>IFERROR(__xludf.DUMMYFUNCTION("""COMPUTED_VALUE"""),"SellToRaiseCash")</f>
        <v>SellToRaiseCash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34</v>
      </c>
      <c r="C6" s="33"/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ModifyRebalance!$4:$4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36</v>
      </c>
      <c r="C6" s="33"/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25</v>
      </c>
      <c r="C6" s="12" t="s">
        <v>38</v>
      </c>
      <c r="D6" s="12" t="s">
        <v>39</v>
      </c>
      <c r="E6" s="12">
        <v>94.0</v>
      </c>
      <c r="F6" s="12">
        <v>134.28</v>
      </c>
      <c r="G6" s="38">
        <v>12622.0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40</v>
      </c>
      <c r="C7" s="12" t="s">
        <v>38</v>
      </c>
      <c r="D7" s="12" t="s">
        <v>39</v>
      </c>
      <c r="E7" s="12">
        <v>94.0</v>
      </c>
      <c r="F7" s="12">
        <v>134.28</v>
      </c>
      <c r="G7" s="38">
        <v>12622.0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2" t="s">
        <v>25</v>
      </c>
      <c r="C8" s="12" t="s">
        <v>38</v>
      </c>
      <c r="D8" s="12" t="s">
        <v>31</v>
      </c>
      <c r="E8" s="12">
        <v>26.0</v>
      </c>
      <c r="F8" s="12">
        <v>10.0</v>
      </c>
      <c r="G8" s="38">
        <v>260.0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2" t="s">
        <v>40</v>
      </c>
      <c r="C9" s="12" t="s">
        <v>38</v>
      </c>
      <c r="D9" s="12" t="s">
        <v>31</v>
      </c>
      <c r="E9" s="12">
        <v>26.0</v>
      </c>
      <c r="F9" s="12">
        <v>10.0</v>
      </c>
      <c r="G9" s="12">
        <v>260.0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12" t="s">
        <v>25</v>
      </c>
      <c r="C10" s="12" t="s">
        <v>38</v>
      </c>
      <c r="D10" s="12" t="s">
        <v>41</v>
      </c>
      <c r="E10" s="12">
        <v>468.0</v>
      </c>
      <c r="F10" s="12">
        <v>25.0</v>
      </c>
      <c r="G10" s="38">
        <v>12519.0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12" t="s">
        <v>40</v>
      </c>
      <c r="C11" s="12" t="s">
        <v>38</v>
      </c>
      <c r="D11" s="12" t="s">
        <v>41</v>
      </c>
      <c r="E11" s="12">
        <v>468.0</v>
      </c>
      <c r="F11" s="12">
        <v>25.0</v>
      </c>
      <c r="G11" s="38">
        <v>12519.0</v>
      </c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12" t="s">
        <v>25</v>
      </c>
      <c r="C12" s="12" t="s">
        <v>38</v>
      </c>
      <c r="D12" s="12" t="s">
        <v>42</v>
      </c>
      <c r="E12" s="12">
        <v>35.0</v>
      </c>
      <c r="F12" s="12">
        <v>366.68</v>
      </c>
      <c r="G12" s="38">
        <v>12834.0</v>
      </c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12" t="s">
        <v>40</v>
      </c>
      <c r="C13" s="12" t="s">
        <v>38</v>
      </c>
      <c r="D13" s="12" t="s">
        <v>42</v>
      </c>
      <c r="E13" s="12">
        <v>35.0</v>
      </c>
      <c r="F13" s="12">
        <v>366.68</v>
      </c>
      <c r="G13" s="38">
        <v>12834.0</v>
      </c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SendtoStaging!$4:$4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9" t="s">
        <v>43</v>
      </c>
      <c r="C6" s="33"/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25</v>
      </c>
      <c r="C6" s="12" t="s">
        <v>38</v>
      </c>
      <c r="D6" s="12" t="s">
        <v>41</v>
      </c>
      <c r="E6" s="12">
        <v>467.0</v>
      </c>
      <c r="F6" s="12">
        <v>25.0</v>
      </c>
      <c r="G6" s="38">
        <v>12492.0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25</v>
      </c>
      <c r="C7" s="12" t="s">
        <v>38</v>
      </c>
      <c r="D7" s="12" t="s">
        <v>42</v>
      </c>
      <c r="E7" s="12">
        <v>34.0</v>
      </c>
      <c r="F7" s="12">
        <v>366.68</v>
      </c>
      <c r="G7" s="38">
        <v>12467.0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2" t="s">
        <v>25</v>
      </c>
      <c r="C8" s="12" t="s">
        <v>38</v>
      </c>
      <c r="D8" s="12" t="s">
        <v>39</v>
      </c>
      <c r="E8" s="12">
        <v>93.0</v>
      </c>
      <c r="F8" s="12">
        <v>134.28</v>
      </c>
      <c r="G8" s="38">
        <v>12488.0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2" t="s">
        <v>25</v>
      </c>
      <c r="C9" s="12" t="s">
        <v>38</v>
      </c>
      <c r="D9" s="12" t="s">
        <v>31</v>
      </c>
      <c r="E9" s="12">
        <v>25.0</v>
      </c>
      <c r="F9" s="12">
        <v>10.0</v>
      </c>
      <c r="G9" s="12">
        <v>250.0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12" t="s">
        <v>40</v>
      </c>
      <c r="C10" s="12" t="s">
        <v>38</v>
      </c>
      <c r="D10" s="12" t="s">
        <v>41</v>
      </c>
      <c r="E10" s="12">
        <v>467.0</v>
      </c>
      <c r="F10" s="12">
        <v>25.0</v>
      </c>
      <c r="G10" s="38">
        <v>12492.0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12" t="s">
        <v>40</v>
      </c>
      <c r="C11" s="12" t="s">
        <v>38</v>
      </c>
      <c r="D11" s="12" t="s">
        <v>42</v>
      </c>
      <c r="E11" s="12">
        <v>34.0</v>
      </c>
      <c r="F11" s="12">
        <v>366.68</v>
      </c>
      <c r="G11" s="38">
        <v>12467.0</v>
      </c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12" t="s">
        <v>40</v>
      </c>
      <c r="C12" s="12" t="s">
        <v>38</v>
      </c>
      <c r="D12" s="12" t="s">
        <v>39</v>
      </c>
      <c r="E12" s="12">
        <v>93.0</v>
      </c>
      <c r="F12" s="12">
        <v>134.28</v>
      </c>
      <c r="G12" s="38">
        <v>12488.0</v>
      </c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12" t="s">
        <v>40</v>
      </c>
      <c r="C13" s="12" t="s">
        <v>38</v>
      </c>
      <c r="D13" s="12" t="s">
        <v>31</v>
      </c>
      <c r="E13" s="12">
        <v>25.0</v>
      </c>
      <c r="F13" s="12">
        <v>10.0</v>
      </c>
      <c r="G13" s="12">
        <v>250.0</v>
      </c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SendtoStaging1!$4:$4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44</v>
      </c>
      <c r="C6" s="33"/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RunRebalance2!$4:$4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25</v>
      </c>
      <c r="C6" s="12" t="s">
        <v>38</v>
      </c>
      <c r="D6" s="12" t="s">
        <v>41</v>
      </c>
      <c r="E6" s="12">
        <v>467.0</v>
      </c>
      <c r="F6" s="12">
        <v>25.0</v>
      </c>
      <c r="G6" s="38">
        <v>12492.0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25</v>
      </c>
      <c r="C7" s="12" t="s">
        <v>38</v>
      </c>
      <c r="D7" s="12" t="s">
        <v>42</v>
      </c>
      <c r="E7" s="12">
        <v>34.0</v>
      </c>
      <c r="F7" s="12">
        <v>366.68</v>
      </c>
      <c r="G7" s="38">
        <v>12467.0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2" t="s">
        <v>25</v>
      </c>
      <c r="C8" s="12" t="s">
        <v>38</v>
      </c>
      <c r="D8" s="12" t="s">
        <v>39</v>
      </c>
      <c r="E8" s="12">
        <v>93.0</v>
      </c>
      <c r="F8" s="12">
        <v>134.28</v>
      </c>
      <c r="G8" s="38">
        <v>12488.0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2" t="s">
        <v>25</v>
      </c>
      <c r="C9" s="12" t="s">
        <v>38</v>
      </c>
      <c r="D9" s="12" t="s">
        <v>31</v>
      </c>
      <c r="E9" s="12">
        <v>24.0</v>
      </c>
      <c r="F9" s="12">
        <v>10.0</v>
      </c>
      <c r="G9" s="12">
        <v>240.0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12" t="s">
        <v>40</v>
      </c>
      <c r="C10" s="12" t="s">
        <v>38</v>
      </c>
      <c r="D10" s="12" t="s">
        <v>41</v>
      </c>
      <c r="E10" s="12">
        <v>467.0</v>
      </c>
      <c r="F10" s="12">
        <v>25.0</v>
      </c>
      <c r="G10" s="38">
        <v>12492.0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12" t="s">
        <v>40</v>
      </c>
      <c r="C11" s="12" t="s">
        <v>38</v>
      </c>
      <c r="D11" s="12" t="s">
        <v>42</v>
      </c>
      <c r="E11" s="12">
        <v>34.0</v>
      </c>
      <c r="F11" s="12">
        <v>366.68</v>
      </c>
      <c r="G11" s="38">
        <v>12467.0</v>
      </c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12" t="s">
        <v>40</v>
      </c>
      <c r="C12" s="12" t="s">
        <v>38</v>
      </c>
      <c r="D12" s="12" t="s">
        <v>39</v>
      </c>
      <c r="E12" s="12">
        <v>93.0</v>
      </c>
      <c r="F12" s="12">
        <v>134.28</v>
      </c>
      <c r="G12" s="38">
        <v>12488.0</v>
      </c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12" t="s">
        <v>40</v>
      </c>
      <c r="C13" s="12" t="s">
        <v>38</v>
      </c>
      <c r="D13" s="12" t="s">
        <v>31</v>
      </c>
      <c r="E13" s="12">
        <v>24.0</v>
      </c>
      <c r="F13" s="12">
        <v>10.0</v>
      </c>
      <c r="G13" s="12">
        <v>240.0</v>
      </c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SendtoStaging2!$4:$4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36</v>
      </c>
      <c r="C6" s="33"/>
      <c r="D6" s="40" t="b">
        <v>1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25</v>
      </c>
      <c r="C6" s="12" t="s">
        <v>38</v>
      </c>
      <c r="D6" s="12" t="s">
        <v>41</v>
      </c>
      <c r="E6" s="12">
        <v>468.0</v>
      </c>
      <c r="F6" s="12">
        <v>25.0</v>
      </c>
      <c r="G6" s="38">
        <v>12519.0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25</v>
      </c>
      <c r="C7" s="12" t="s">
        <v>38</v>
      </c>
      <c r="D7" s="12" t="s">
        <v>42</v>
      </c>
      <c r="E7" s="12">
        <v>35.0</v>
      </c>
      <c r="F7" s="12">
        <v>366.68</v>
      </c>
      <c r="G7" s="38">
        <v>12834.0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2" t="s">
        <v>25</v>
      </c>
      <c r="C8" s="12" t="s">
        <v>38</v>
      </c>
      <c r="D8" s="12" t="s">
        <v>39</v>
      </c>
      <c r="E8" s="12">
        <v>94.0</v>
      </c>
      <c r="F8" s="12">
        <v>134.28</v>
      </c>
      <c r="G8" s="38">
        <v>12622.0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2" t="s">
        <v>25</v>
      </c>
      <c r="C9" s="12" t="s">
        <v>38</v>
      </c>
      <c r="D9" s="12" t="s">
        <v>31</v>
      </c>
      <c r="E9" s="12">
        <v>26.0</v>
      </c>
      <c r="F9" s="12">
        <v>10.0</v>
      </c>
      <c r="G9" s="12">
        <v>260.0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12" t="s">
        <v>40</v>
      </c>
      <c r="C10" s="12" t="s">
        <v>38</v>
      </c>
      <c r="D10" s="12" t="s">
        <v>41</v>
      </c>
      <c r="E10" s="12">
        <v>468.0</v>
      </c>
      <c r="F10" s="12">
        <v>25.0</v>
      </c>
      <c r="G10" s="38">
        <v>12519.0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12" t="s">
        <v>40</v>
      </c>
      <c r="C11" s="12" t="s">
        <v>38</v>
      </c>
      <c r="D11" s="12" t="s">
        <v>42</v>
      </c>
      <c r="E11" s="12">
        <v>35.0</v>
      </c>
      <c r="F11" s="12">
        <v>366.68</v>
      </c>
      <c r="G11" s="38">
        <v>12834.0</v>
      </c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12" t="s">
        <v>40</v>
      </c>
      <c r="C12" s="12" t="s">
        <v>38</v>
      </c>
      <c r="D12" s="12" t="s">
        <v>39</v>
      </c>
      <c r="E12" s="12">
        <v>94.0</v>
      </c>
      <c r="F12" s="12">
        <v>134.28</v>
      </c>
      <c r="G12" s="38">
        <v>12622.0</v>
      </c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12" t="s">
        <v>40</v>
      </c>
      <c r="C13" s="12" t="s">
        <v>38</v>
      </c>
      <c r="D13" s="12" t="s">
        <v>31</v>
      </c>
      <c r="E13" s="12">
        <v>26.0</v>
      </c>
      <c r="F13" s="12">
        <v>10.0</v>
      </c>
      <c r="G13" s="12">
        <v>260.0</v>
      </c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SendtoStaging3!$4:$4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9" t="s">
        <v>43</v>
      </c>
      <c r="C6" s="33"/>
      <c r="D6" s="40" t="b">
        <v>1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RunRebalance4!$4:$4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25</v>
      </c>
      <c r="C6" s="12" t="s">
        <v>38</v>
      </c>
      <c r="D6" s="12" t="s">
        <v>41</v>
      </c>
      <c r="E6" s="12">
        <v>467.0</v>
      </c>
      <c r="F6" s="12">
        <v>25.0</v>
      </c>
      <c r="G6" s="38">
        <v>12492.0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25</v>
      </c>
      <c r="C7" s="12" t="s">
        <v>38</v>
      </c>
      <c r="D7" s="12" t="s">
        <v>42</v>
      </c>
      <c r="E7" s="12">
        <v>34.0</v>
      </c>
      <c r="F7" s="12">
        <v>366.68</v>
      </c>
      <c r="G7" s="38">
        <v>12467.0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2" t="s">
        <v>25</v>
      </c>
      <c r="C8" s="12" t="s">
        <v>38</v>
      </c>
      <c r="D8" s="12" t="s">
        <v>39</v>
      </c>
      <c r="E8" s="12">
        <v>93.0</v>
      </c>
      <c r="F8" s="12">
        <v>134.28</v>
      </c>
      <c r="G8" s="38">
        <v>12488.0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2" t="s">
        <v>25</v>
      </c>
      <c r="C9" s="12" t="s">
        <v>38</v>
      </c>
      <c r="D9" s="12" t="s">
        <v>31</v>
      </c>
      <c r="E9" s="12">
        <v>25.0</v>
      </c>
      <c r="F9" s="12">
        <v>10.0</v>
      </c>
      <c r="G9" s="12">
        <v>250.0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12" t="s">
        <v>40</v>
      </c>
      <c r="C10" s="12" t="s">
        <v>38</v>
      </c>
      <c r="D10" s="12" t="s">
        <v>41</v>
      </c>
      <c r="E10" s="12">
        <v>467.0</v>
      </c>
      <c r="F10" s="12">
        <v>25.0</v>
      </c>
      <c r="G10" s="38">
        <v>12492.0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12" t="s">
        <v>40</v>
      </c>
      <c r="C11" s="12" t="s">
        <v>38</v>
      </c>
      <c r="D11" s="12" t="s">
        <v>42</v>
      </c>
      <c r="E11" s="12">
        <v>34.0</v>
      </c>
      <c r="F11" s="12">
        <v>366.68</v>
      </c>
      <c r="G11" s="38">
        <v>12467.0</v>
      </c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12" t="s">
        <v>40</v>
      </c>
      <c r="C12" s="12" t="s">
        <v>38</v>
      </c>
      <c r="D12" s="12" t="s">
        <v>39</v>
      </c>
      <c r="E12" s="12">
        <v>93.0</v>
      </c>
      <c r="F12" s="12">
        <v>134.28</v>
      </c>
      <c r="G12" s="38">
        <v>12488.0</v>
      </c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12" t="s">
        <v>40</v>
      </c>
      <c r="C13" s="12" t="s">
        <v>38</v>
      </c>
      <c r="D13" s="12" t="s">
        <v>31</v>
      </c>
      <c r="E13" s="12">
        <v>25.0</v>
      </c>
      <c r="F13" s="12">
        <v>10.0</v>
      </c>
      <c r="G13" s="12">
        <v>250.0</v>
      </c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SendtoStaging4!$4:$4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41">
        <v>5.0</v>
      </c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44</v>
      </c>
      <c r="C6" s="33"/>
      <c r="D6" s="40" t="b">
        <v>1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RunRebalance5!$4:$4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25</v>
      </c>
      <c r="C6" s="12" t="s">
        <v>38</v>
      </c>
      <c r="D6" s="12" t="s">
        <v>41</v>
      </c>
      <c r="E6" s="12">
        <v>467.0</v>
      </c>
      <c r="F6" s="12">
        <v>25.0</v>
      </c>
      <c r="G6" s="38">
        <v>12492.0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25</v>
      </c>
      <c r="C7" s="12" t="s">
        <v>38</v>
      </c>
      <c r="D7" s="12" t="s">
        <v>42</v>
      </c>
      <c r="E7" s="12">
        <v>34.0</v>
      </c>
      <c r="F7" s="12">
        <v>366.68</v>
      </c>
      <c r="G7" s="38">
        <v>12467.0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2" t="s">
        <v>25</v>
      </c>
      <c r="C8" s="12" t="s">
        <v>38</v>
      </c>
      <c r="D8" s="12" t="s">
        <v>39</v>
      </c>
      <c r="E8" s="12">
        <v>93.0</v>
      </c>
      <c r="F8" s="12">
        <v>134.28</v>
      </c>
      <c r="G8" s="38">
        <v>12488.0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2" t="s">
        <v>25</v>
      </c>
      <c r="C9" s="12" t="s">
        <v>38</v>
      </c>
      <c r="D9" s="12" t="s">
        <v>31</v>
      </c>
      <c r="E9" s="12">
        <v>24.0</v>
      </c>
      <c r="F9" s="12">
        <v>10.0</v>
      </c>
      <c r="G9" s="12">
        <v>240.0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12" t="s">
        <v>40</v>
      </c>
      <c r="C10" s="12" t="s">
        <v>38</v>
      </c>
      <c r="D10" s="12" t="s">
        <v>41</v>
      </c>
      <c r="E10" s="12">
        <v>467.0</v>
      </c>
      <c r="F10" s="12">
        <v>25.0</v>
      </c>
      <c r="G10" s="38">
        <v>12492.0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12" t="s">
        <v>40</v>
      </c>
      <c r="C11" s="12" t="s">
        <v>38</v>
      </c>
      <c r="D11" s="12" t="s">
        <v>42</v>
      </c>
      <c r="E11" s="12">
        <v>34.0</v>
      </c>
      <c r="F11" s="12">
        <v>366.68</v>
      </c>
      <c r="G11" s="38">
        <v>12467.0</v>
      </c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12" t="s">
        <v>40</v>
      </c>
      <c r="C12" s="12" t="s">
        <v>38</v>
      </c>
      <c r="D12" s="12" t="s">
        <v>39</v>
      </c>
      <c r="E12" s="12">
        <v>93.0</v>
      </c>
      <c r="F12" s="12">
        <v>134.28</v>
      </c>
      <c r="G12" s="38">
        <v>12488.0</v>
      </c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12" t="s">
        <v>40</v>
      </c>
      <c r="C13" s="12" t="s">
        <v>38</v>
      </c>
      <c r="D13" s="12" t="s">
        <v>31</v>
      </c>
      <c r="E13" s="12">
        <v>24.0</v>
      </c>
      <c r="F13" s="12">
        <v>10.0</v>
      </c>
      <c r="G13" s="12">
        <v>240.0</v>
      </c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SendtoStaging5!$4:$4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45</v>
      </c>
      <c r="D3" s="5" t="s">
        <v>9</v>
      </c>
      <c r="E3" s="22" t="s">
        <v>46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IFERROR(__xludf.DUMMYFUNCTION("""COMPUTED_VALUE"""),"FixDisconnectionPopup")</f>
        <v>FixDisconnectionPopup</v>
      </c>
      <c r="AN5" s="29" t="str">
        <f>IFERROR(__xludf.DUMMYFUNCTION("""COMPUTED_VALUE"""),"Trade Attribute 01")</f>
        <v>Trade Attribute 01</v>
      </c>
      <c r="AO5" s="29" t="str">
        <f>IFERROR(__xludf.DUMMYFUNCTION("""COMPUTED_VALUE"""),"Trade Attribute 02")</f>
        <v>Trade Attribute 02</v>
      </c>
      <c r="AP5" s="29" t="str">
        <f>IFERROR(__xludf.DUMMYFUNCTION("""COMPUTED_VALUE"""),"Trade Attribute 03")</f>
        <v>Trade Attribute 03</v>
      </c>
      <c r="AQ5" s="29" t="str">
        <f>IFERROR(__xludf.DUMMYFUNCTION("""COMPUTED_VALUE"""),"Trade Attribute 04")</f>
        <v>Trade Attribute 04</v>
      </c>
      <c r="AR5" s="29" t="str">
        <f>IFERROR(__xludf.DUMMYFUNCTION("""COMPUTED_VALUE"""),"Trade Attribute 05")</f>
        <v>Trade Attribute 05</v>
      </c>
      <c r="AS5" s="29" t="str">
        <f>IFERROR(__xludf.DUMMYFUNCTION("""COMPUTED_VALUE"""),"Trade Attribute 06")</f>
        <v>Trade Attribute 06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42</v>
      </c>
      <c r="C6" s="12">
        <v>100.0</v>
      </c>
      <c r="D6" s="12">
        <v>366.68</v>
      </c>
      <c r="E6" s="12" t="s">
        <v>47</v>
      </c>
      <c r="F6" s="8"/>
      <c r="G6" s="8"/>
      <c r="H6" s="8"/>
      <c r="I6" s="12" t="s">
        <v>26</v>
      </c>
      <c r="J6" s="12" t="s">
        <v>38</v>
      </c>
      <c r="K6" s="8"/>
      <c r="L6" s="8"/>
      <c r="M6" s="8"/>
      <c r="N6" s="8"/>
      <c r="O6" s="8"/>
    </row>
    <row r="7" ht="15.75" customHeight="1">
      <c r="A7" s="8"/>
      <c r="B7" s="12" t="s">
        <v>39</v>
      </c>
      <c r="C7" s="12">
        <v>100.0</v>
      </c>
      <c r="D7" s="12">
        <v>134.28</v>
      </c>
      <c r="E7" s="12" t="s">
        <v>47</v>
      </c>
      <c r="F7" s="8"/>
      <c r="G7" s="8"/>
      <c r="H7" s="8"/>
      <c r="I7" s="12" t="s">
        <v>26</v>
      </c>
      <c r="J7" s="12" t="s">
        <v>38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48</v>
      </c>
      <c r="D3" s="5" t="s">
        <v>9</v>
      </c>
      <c r="E3" s="22" t="s">
        <v>48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 t="str">
        <f>IFERROR(__xludf.DUMMYFUNCTION("""COMPUTED_VALUE"""),"VerifyPINavLockPopup")</f>
        <v>VerifyPINavLockPopup</v>
      </c>
      <c r="H4" s="24" t="str">
        <f>IFERROR(__xludf.DUMMYFUNCTION("""COMPUTED_VALUE"""),"UpdatePricingInput")</f>
        <v>UpdatePricingInput</v>
      </c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42</v>
      </c>
      <c r="C6" s="12">
        <v>366.68</v>
      </c>
      <c r="D6" s="12"/>
      <c r="E6" s="4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39</v>
      </c>
      <c r="C7" s="12">
        <v>134.28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2" t="s">
        <v>49</v>
      </c>
      <c r="C8" s="12">
        <v>0.0</v>
      </c>
      <c r="D8" s="43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