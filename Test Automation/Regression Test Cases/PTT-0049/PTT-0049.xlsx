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6" activeTab="19"/>
  </bookViews>
  <sheets>
    <sheet name="_Modules" sheetId="1" r:id="rId1"/>
    <sheet name="_Settings" sheetId="2" r:id="rId2"/>
    <sheet name="_MasterData" sheetId="3" r:id="rId3"/>
    <sheet name="GetDailyCash" sheetId="4" r:id="rId4"/>
    <sheet name="UpdateDailyCash" sheetId="5" r:id="rId5"/>
    <sheet name="CreateDoneAwayOrder" sheetId="6" r:id="rId6"/>
    <sheet name="PricingInput1" sheetId="7" r:id="rId7"/>
    <sheet name="CalculatePTT" sheetId="8" r:id="rId8"/>
    <sheet name="VerifyPTT" sheetId="9" r:id="rId9"/>
    <sheet name="CreateOrderPTT" sheetId="10" r:id="rId10"/>
    <sheet name="CalculatePTT2" sheetId="11" r:id="rId11"/>
    <sheet name="VerifyPTT2" sheetId="12" r:id="rId12"/>
    <sheet name="CreateOrderPTT1" sheetId="13" r:id="rId13"/>
    <sheet name="VerifyOrder" sheetId="14" r:id="rId14"/>
    <sheet name="MultiTradingTicketFromBlotter" sheetId="15" r:id="rId15"/>
    <sheet name="SelectTradeUsingMTT" sheetId="16" r:id="rId16"/>
    <sheet name="EditTradeUsingMTT" sheetId="17" r:id="rId17"/>
    <sheet name="SelectTradeUsingMTT1" sheetId="18" r:id="rId18"/>
    <sheet name="EditTradeUsingMTT1" sheetId="19" r:id="rId19"/>
    <sheet name="DoneAwayUsingMTT" sheetId="20" r:id="rId20"/>
    <sheet name="GetDataAllocation" sheetId="21" r:id="rId21"/>
    <sheet name="Unallocate" sheetId="22" r:id="rId22"/>
    <sheet name="SelectUnallocatedGroup" sheetId="23" r:id="rId23"/>
    <sheet name="EnterCustomAllocatePreference" sheetId="24" r:id="rId24"/>
    <sheet name="Unallocate1" sheetId="25" r:id="rId25"/>
    <sheet name="DeleteGroup" sheetId="26" r:id="rId26"/>
    <sheet name="SelectUnallocatedGroup1" sheetId="27" r:id="rId27"/>
    <sheet name="EnterCustomAllocatePreference1" sheetId="28" r:id="rId28"/>
    <sheet name="Unallocate2" sheetId="29" r:id="rId29"/>
    <sheet name="SelectUnallocatedGroup2" sheetId="30" r:id="rId30"/>
    <sheet name="EnterCustomAllocatePreference2" sheetId="31" r:id="rId31"/>
    <sheet name="CheckAllocatedGroups" sheetId="32" r:id="rId32"/>
  </sheets>
  <calcPr calcId="145621"/>
</workbook>
</file>

<file path=xl/calcChain.xml><?xml version="1.0" encoding="utf-8"?>
<calcChain xmlns="http://schemas.openxmlformats.org/spreadsheetml/2006/main">
  <c r="J2" i="32" l="1"/>
  <c r="J2" i="31"/>
  <c r="J2" i="30"/>
  <c r="J2" i="29"/>
  <c r="J2" i="28"/>
  <c r="J2" i="27"/>
  <c r="J2" i="26"/>
  <c r="J2" i="25"/>
  <c r="J2" i="24"/>
  <c r="J2" i="23"/>
  <c r="J2" i="22"/>
  <c r="J2" i="21"/>
  <c r="J2" i="20"/>
  <c r="J2" i="19"/>
  <c r="J2" i="18"/>
  <c r="J2" i="17"/>
  <c r="J2" i="16"/>
  <c r="J2" i="15"/>
  <c r="J2" i="14"/>
  <c r="J2" i="13"/>
  <c r="J2" i="12"/>
  <c r="J2" i="11"/>
  <c r="J2" i="10"/>
  <c r="J2" i="9"/>
  <c r="J2" i="8"/>
  <c r="J2" i="7"/>
  <c r="J2" i="6"/>
  <c r="J2" i="5"/>
  <c r="C6" i="4"/>
  <c r="B6" i="4"/>
  <c r="J2" i="4"/>
  <c r="CS5" i="32"/>
  <c r="CK5" i="32"/>
  <c r="CC5" i="32"/>
  <c r="BU5" i="32"/>
  <c r="BM5" i="32"/>
  <c r="BE5" i="32"/>
  <c r="AW5" i="32"/>
  <c r="AO5" i="32"/>
  <c r="AG5" i="32"/>
  <c r="Y5" i="32"/>
  <c r="Q5" i="32"/>
  <c r="I5" i="32"/>
  <c r="A5" i="32"/>
  <c r="DJ4" i="32"/>
  <c r="DB4" i="32"/>
  <c r="CT4" i="32"/>
  <c r="CL4" i="32"/>
  <c r="CD4" i="32"/>
  <c r="BV4" i="32"/>
  <c r="BN4" i="32"/>
  <c r="BF4" i="32"/>
  <c r="AX4" i="32"/>
  <c r="AP4" i="32"/>
  <c r="AH4" i="32"/>
  <c r="Z4" i="32"/>
  <c r="R4" i="32"/>
  <c r="J4" i="32"/>
  <c r="B4" i="32"/>
  <c r="F5" i="31"/>
  <c r="DO4" i="31"/>
  <c r="DG4" i="31"/>
  <c r="CY4" i="31"/>
  <c r="CQ4" i="31"/>
  <c r="CI4" i="31"/>
  <c r="CA4" i="31"/>
  <c r="BS4" i="31"/>
  <c r="BK4" i="31"/>
  <c r="BC4" i="31"/>
  <c r="AU4" i="31"/>
  <c r="AM4" i="31"/>
  <c r="AE4" i="31"/>
  <c r="W4" i="31"/>
  <c r="O4" i="31"/>
  <c r="G4" i="31"/>
  <c r="CQ5" i="30"/>
  <c r="CI5" i="30"/>
  <c r="CA5" i="30"/>
  <c r="BS5" i="30"/>
  <c r="BK5" i="30"/>
  <c r="BC5" i="30"/>
  <c r="AU5" i="30"/>
  <c r="AM5" i="30"/>
  <c r="AE5" i="30"/>
  <c r="W5" i="30"/>
  <c r="O5" i="30"/>
  <c r="G5" i="30"/>
  <c r="DP4" i="30"/>
  <c r="DH4" i="30"/>
  <c r="CZ4" i="30"/>
  <c r="CR4" i="30"/>
  <c r="CJ4" i="30"/>
  <c r="CB4" i="30"/>
  <c r="BT4" i="30"/>
  <c r="BL4" i="30"/>
  <c r="BD4" i="30"/>
  <c r="AV4" i="30"/>
  <c r="AN4" i="30"/>
  <c r="AF4" i="30"/>
  <c r="X4" i="30"/>
  <c r="P4" i="30"/>
  <c r="H4" i="30"/>
  <c r="CR5" i="29"/>
  <c r="CJ5" i="29"/>
  <c r="CB5" i="29"/>
  <c r="BT5" i="29"/>
  <c r="BL5" i="29"/>
  <c r="BD5" i="29"/>
  <c r="AV5" i="29"/>
  <c r="AN5" i="29"/>
  <c r="AF5" i="29"/>
  <c r="X5" i="29"/>
  <c r="P5" i="29"/>
  <c r="H5" i="29"/>
  <c r="DQ4" i="29"/>
  <c r="DI4" i="29"/>
  <c r="DA4" i="29"/>
  <c r="CS4" i="29"/>
  <c r="CK4" i="29"/>
  <c r="CC4" i="29"/>
  <c r="BU4" i="29"/>
  <c r="BM4" i="29"/>
  <c r="BE4" i="29"/>
  <c r="AW4" i="29"/>
  <c r="AO4" i="29"/>
  <c r="AG4" i="29"/>
  <c r="Y4" i="29"/>
  <c r="Q4" i="29"/>
  <c r="I4" i="29"/>
  <c r="CR5" i="32"/>
  <c r="CJ5" i="32"/>
  <c r="CB5" i="32"/>
  <c r="BT5" i="32"/>
  <c r="BL5" i="32"/>
  <c r="BD5" i="32"/>
  <c r="AV5" i="32"/>
  <c r="AN5" i="32"/>
  <c r="AF5" i="32"/>
  <c r="X5" i="32"/>
  <c r="P5" i="32"/>
  <c r="H5" i="32"/>
  <c r="DQ4" i="32"/>
  <c r="DI4" i="32"/>
  <c r="DA4" i="32"/>
  <c r="CS4" i="32"/>
  <c r="CK4" i="32"/>
  <c r="CC4" i="32"/>
  <c r="BU4" i="32"/>
  <c r="BM4" i="32"/>
  <c r="BE4" i="32"/>
  <c r="AW4" i="32"/>
  <c r="AO4" i="32"/>
  <c r="AG4" i="32"/>
  <c r="Y4" i="32"/>
  <c r="Q4" i="32"/>
  <c r="I4" i="32"/>
  <c r="CQ5" i="32"/>
  <c r="CI5" i="32"/>
  <c r="CA5" i="32"/>
  <c r="BS5" i="32"/>
  <c r="BK5" i="32"/>
  <c r="BC5" i="32"/>
  <c r="AU5" i="32"/>
  <c r="AM5" i="32"/>
  <c r="AE5" i="32"/>
  <c r="W5" i="32"/>
  <c r="O5" i="32"/>
  <c r="G5" i="32"/>
  <c r="DP4" i="32"/>
  <c r="DH4" i="32"/>
  <c r="CZ4" i="32"/>
  <c r="CR4" i="32"/>
  <c r="CJ4" i="32"/>
  <c r="CB4" i="32"/>
  <c r="BT4" i="32"/>
  <c r="BL4" i="32"/>
  <c r="BD4" i="32"/>
  <c r="AV4" i="32"/>
  <c r="AN4" i="32"/>
  <c r="AF4" i="32"/>
  <c r="X4" i="32"/>
  <c r="P4" i="32"/>
  <c r="H4" i="32"/>
  <c r="L5" i="31"/>
  <c r="D5" i="31"/>
  <c r="DM4" i="31"/>
  <c r="DE4" i="31"/>
  <c r="CW4" i="31"/>
  <c r="CO4" i="31"/>
  <c r="CG4" i="31"/>
  <c r="BY4" i="31"/>
  <c r="BQ4" i="31"/>
  <c r="BI4" i="31"/>
  <c r="BA4" i="31"/>
  <c r="AS4" i="31"/>
  <c r="AK4" i="31"/>
  <c r="AC4" i="31"/>
  <c r="U4" i="31"/>
  <c r="M4" i="31"/>
  <c r="E4" i="31"/>
  <c r="CO5" i="30"/>
  <c r="CG5" i="30"/>
  <c r="BY5" i="30"/>
  <c r="BQ5" i="30"/>
  <c r="BI5" i="30"/>
  <c r="BA5" i="30"/>
  <c r="AS5" i="30"/>
  <c r="AK5" i="30"/>
  <c r="AC5" i="30"/>
  <c r="U5" i="30"/>
  <c r="M5" i="30"/>
  <c r="E5" i="30"/>
  <c r="DN4" i="30"/>
  <c r="DF4" i="30"/>
  <c r="CX4" i="30"/>
  <c r="CP4" i="30"/>
  <c r="CH4" i="30"/>
  <c r="BZ4" i="30"/>
  <c r="BR4" i="30"/>
  <c r="BJ4" i="30"/>
  <c r="BB4" i="30"/>
  <c r="AT4" i="30"/>
  <c r="AL4" i="30"/>
  <c r="AD4" i="30"/>
  <c r="V4" i="30"/>
  <c r="N4" i="30"/>
  <c r="F4" i="30"/>
  <c r="CP5" i="29"/>
  <c r="CH5" i="29"/>
  <c r="BZ5" i="29"/>
  <c r="BR5" i="29"/>
  <c r="BJ5" i="29"/>
  <c r="BB5" i="29"/>
  <c r="AT5" i="29"/>
  <c r="AL5" i="29"/>
  <c r="AD5" i="29"/>
  <c r="V5" i="29"/>
  <c r="N5" i="29"/>
  <c r="F5" i="29"/>
  <c r="DO4" i="29"/>
  <c r="DG4" i="29"/>
  <c r="CY4" i="29"/>
  <c r="CQ4" i="29"/>
  <c r="CI4" i="29"/>
  <c r="CA4" i="29"/>
  <c r="BS4" i="29"/>
  <c r="BK4" i="29"/>
  <c r="BC4" i="29"/>
  <c r="AU4" i="29"/>
  <c r="AM4" i="29"/>
  <c r="AE4" i="29"/>
  <c r="W4" i="29"/>
  <c r="O4" i="29"/>
  <c r="G4" i="29"/>
  <c r="K5" i="28"/>
  <c r="C5" i="28"/>
  <c r="DL4" i="28"/>
  <c r="DD4" i="28"/>
  <c r="CV4" i="28"/>
  <c r="CN4" i="28"/>
  <c r="CF4" i="28"/>
  <c r="BX4" i="28"/>
  <c r="BP4" i="28"/>
  <c r="BH4" i="28"/>
  <c r="AZ4" i="28"/>
  <c r="AR4" i="28"/>
  <c r="AJ4" i="28"/>
  <c r="CP5" i="32"/>
  <c r="CH5" i="32"/>
  <c r="BZ5" i="32"/>
  <c r="BR5" i="32"/>
  <c r="BJ5" i="32"/>
  <c r="BB5" i="32"/>
  <c r="AT5" i="32"/>
  <c r="AL5" i="32"/>
  <c r="AD5" i="32"/>
  <c r="V5" i="32"/>
  <c r="N5" i="32"/>
  <c r="F5" i="32"/>
  <c r="DO4" i="32"/>
  <c r="DG4" i="32"/>
  <c r="CY4" i="32"/>
  <c r="CQ4" i="32"/>
  <c r="CI4" i="32"/>
  <c r="CA4" i="32"/>
  <c r="BS4" i="32"/>
  <c r="BK4" i="32"/>
  <c r="BC4" i="32"/>
  <c r="AU4" i="32"/>
  <c r="AM4" i="32"/>
  <c r="AE4" i="32"/>
  <c r="W4" i="32"/>
  <c r="O4" i="32"/>
  <c r="G4" i="32"/>
  <c r="K5" i="31"/>
  <c r="C5" i="31"/>
  <c r="DL4" i="31"/>
  <c r="DD4" i="31"/>
  <c r="CV4" i="31"/>
  <c r="CN4" i="31"/>
  <c r="CF4" i="31"/>
  <c r="BX4" i="31"/>
  <c r="BP4" i="31"/>
  <c r="BH4" i="31"/>
  <c r="AZ4" i="31"/>
  <c r="AR4" i="31"/>
  <c r="AJ4" i="31"/>
  <c r="AB4" i="31"/>
  <c r="T4" i="31"/>
  <c r="L4" i="31"/>
  <c r="D4" i="31"/>
  <c r="CN5" i="30"/>
  <c r="CF5" i="30"/>
  <c r="BX5" i="30"/>
  <c r="BP5" i="30"/>
  <c r="BH5" i="30"/>
  <c r="AZ5" i="30"/>
  <c r="AR5" i="30"/>
  <c r="AJ5" i="30"/>
  <c r="AB5" i="30"/>
  <c r="T5" i="30"/>
  <c r="L5" i="30"/>
  <c r="D5" i="30"/>
  <c r="DM4" i="30"/>
  <c r="DE4" i="30"/>
  <c r="CW4" i="30"/>
  <c r="CO4" i="30"/>
  <c r="CG4" i="30"/>
  <c r="BY4" i="30"/>
  <c r="BQ4" i="30"/>
  <c r="BI4" i="30"/>
  <c r="BA4" i="30"/>
  <c r="AS4" i="30"/>
  <c r="AK4" i="30"/>
  <c r="AC4" i="30"/>
  <c r="U4" i="30"/>
  <c r="M4" i="30"/>
  <c r="E4" i="30"/>
  <c r="CO5" i="29"/>
  <c r="CG5" i="29"/>
  <c r="BY5" i="29"/>
  <c r="BQ5" i="29"/>
  <c r="BI5" i="29"/>
  <c r="BA5" i="29"/>
  <c r="AS5" i="29"/>
  <c r="AK5" i="29"/>
  <c r="AC5" i="29"/>
  <c r="U5" i="29"/>
  <c r="M5" i="29"/>
  <c r="E5" i="29"/>
  <c r="DN4" i="29"/>
  <c r="DF4" i="29"/>
  <c r="CX4" i="29"/>
  <c r="CP4" i="29"/>
  <c r="CH4" i="29"/>
  <c r="BZ4" i="29"/>
  <c r="BR4" i="29"/>
  <c r="BJ4" i="29"/>
  <c r="BB4" i="29"/>
  <c r="AT4" i="29"/>
  <c r="AL4" i="29"/>
  <c r="AD4" i="29"/>
  <c r="V4" i="29"/>
  <c r="N4" i="29"/>
  <c r="F4" i="29"/>
  <c r="J5" i="28"/>
  <c r="B5" i="28"/>
  <c r="DK4" i="28"/>
  <c r="DC4" i="28"/>
  <c r="CU4" i="28"/>
  <c r="CM4" i="28"/>
  <c r="CE4" i="28"/>
  <c r="BW4" i="28"/>
  <c r="BO4" i="28"/>
  <c r="BG4" i="28"/>
  <c r="AY4" i="28"/>
  <c r="AQ4" i="28"/>
  <c r="AI4" i="28"/>
  <c r="AA4" i="28"/>
  <c r="S4" i="28"/>
  <c r="K4" i="28"/>
  <c r="C4" i="28"/>
  <c r="CM5" i="27"/>
  <c r="CE5" i="27"/>
  <c r="BW5" i="27"/>
  <c r="BO5" i="27"/>
  <c r="BG5" i="27"/>
  <c r="AY5" i="27"/>
  <c r="AQ5" i="27"/>
  <c r="AI5" i="27"/>
  <c r="AA5" i="27"/>
  <c r="S5" i="27"/>
  <c r="K5" i="27"/>
  <c r="C5" i="27"/>
  <c r="CO5" i="32"/>
  <c r="CG5" i="32"/>
  <c r="BY5" i="32"/>
  <c r="BQ5" i="32"/>
  <c r="BI5" i="32"/>
  <c r="BA5" i="32"/>
  <c r="AS5" i="32"/>
  <c r="AK5" i="32"/>
  <c r="AC5" i="32"/>
  <c r="U5" i="32"/>
  <c r="M5" i="32"/>
  <c r="E5" i="32"/>
  <c r="DN4" i="32"/>
  <c r="DF4" i="32"/>
  <c r="CX4" i="32"/>
  <c r="CP4" i="32"/>
  <c r="CH4" i="32"/>
  <c r="BZ4" i="32"/>
  <c r="BR4" i="32"/>
  <c r="BJ4" i="32"/>
  <c r="BB4" i="32"/>
  <c r="AT4" i="32"/>
  <c r="AL4" i="32"/>
  <c r="AD4" i="32"/>
  <c r="V4" i="32"/>
  <c r="N4" i="32"/>
  <c r="F4" i="32"/>
  <c r="J5" i="31"/>
  <c r="B5" i="31"/>
  <c r="DK4" i="31"/>
  <c r="DC4" i="31"/>
  <c r="CU4" i="31"/>
  <c r="CM4" i="31"/>
  <c r="CE4" i="31"/>
  <c r="BW4" i="31"/>
  <c r="BO4" i="31"/>
  <c r="BG4" i="31"/>
  <c r="AY4" i="31"/>
  <c r="AQ4" i="31"/>
  <c r="AI4" i="31"/>
  <c r="AA4" i="31"/>
  <c r="S4" i="31"/>
  <c r="K4" i="31"/>
  <c r="C4" i="31"/>
  <c r="CM5" i="30"/>
  <c r="CE5" i="30"/>
  <c r="BW5" i="30"/>
  <c r="BO5" i="30"/>
  <c r="BG5" i="30"/>
  <c r="AY5" i="30"/>
  <c r="AQ5" i="30"/>
  <c r="AI5" i="30"/>
  <c r="AA5" i="30"/>
  <c r="S5" i="30"/>
  <c r="K5" i="30"/>
  <c r="C5" i="30"/>
  <c r="DL4" i="30"/>
  <c r="DD4" i="30"/>
  <c r="CV4" i="30"/>
  <c r="CN4" i="30"/>
  <c r="CF4" i="30"/>
  <c r="BX4" i="30"/>
  <c r="BP4" i="30"/>
  <c r="BH4" i="30"/>
  <c r="AZ4" i="30"/>
  <c r="AR4" i="30"/>
  <c r="AJ4" i="30"/>
  <c r="AB4" i="30"/>
  <c r="T4" i="30"/>
  <c r="L4" i="30"/>
  <c r="D4" i="30"/>
  <c r="CN5" i="29"/>
  <c r="CF5" i="29"/>
  <c r="BX5" i="29"/>
  <c r="BP5" i="29"/>
  <c r="BH5" i="29"/>
  <c r="AZ5" i="29"/>
  <c r="AR5" i="29"/>
  <c r="AJ5" i="29"/>
  <c r="AB5" i="29"/>
  <c r="T5" i="29"/>
  <c r="L5" i="29"/>
  <c r="D5" i="29"/>
  <c r="DM4" i="29"/>
  <c r="DE4" i="29"/>
  <c r="CW4" i="29"/>
  <c r="CN5" i="32"/>
  <c r="CF5" i="32"/>
  <c r="BX5" i="32"/>
  <c r="BP5" i="32"/>
  <c r="BH5" i="32"/>
  <c r="AZ5" i="32"/>
  <c r="AR5" i="32"/>
  <c r="AJ5" i="32"/>
  <c r="AB5" i="32"/>
  <c r="T5" i="32"/>
  <c r="L5" i="32"/>
  <c r="D5" i="32"/>
  <c r="DM4" i="32"/>
  <c r="DE4" i="32"/>
  <c r="CW4" i="32"/>
  <c r="CO4" i="32"/>
  <c r="CG4" i="32"/>
  <c r="BY4" i="32"/>
  <c r="BQ4" i="32"/>
  <c r="BI4" i="32"/>
  <c r="BA4" i="32"/>
  <c r="AS4" i="32"/>
  <c r="AK4" i="32"/>
  <c r="AC4" i="32"/>
  <c r="U4" i="32"/>
  <c r="M4" i="32"/>
  <c r="E4" i="32"/>
  <c r="I5" i="31"/>
  <c r="A5" i="31"/>
  <c r="DJ4" i="31"/>
  <c r="DB4" i="31"/>
  <c r="CT4" i="31"/>
  <c r="CL4" i="31"/>
  <c r="CD4" i="31"/>
  <c r="BV4" i="31"/>
  <c r="BN4" i="31"/>
  <c r="BF4" i="31"/>
  <c r="AX4" i="31"/>
  <c r="AP4" i="31"/>
  <c r="AH4" i="31"/>
  <c r="Z4" i="31"/>
  <c r="R4" i="31"/>
  <c r="J4" i="31"/>
  <c r="B4" i="31"/>
  <c r="CL5" i="30"/>
  <c r="CD5" i="30"/>
  <c r="BV5" i="30"/>
  <c r="BN5" i="30"/>
  <c r="BF5" i="30"/>
  <c r="AX5" i="30"/>
  <c r="AP5" i="30"/>
  <c r="AH5" i="30"/>
  <c r="Z5" i="30"/>
  <c r="R5" i="30"/>
  <c r="J5" i="30"/>
  <c r="B5" i="30"/>
  <c r="DK4" i="30"/>
  <c r="DC4" i="30"/>
  <c r="CU4" i="30"/>
  <c r="CM4" i="30"/>
  <c r="CE4" i="30"/>
  <c r="BW4" i="30"/>
  <c r="BO4" i="30"/>
  <c r="BG4" i="30"/>
  <c r="AY4" i="30"/>
  <c r="AQ4" i="30"/>
  <c r="AI4" i="30"/>
  <c r="AA4" i="30"/>
  <c r="S4" i="30"/>
  <c r="K4" i="30"/>
  <c r="C4" i="30"/>
  <c r="CM5" i="29"/>
  <c r="CE5" i="29"/>
  <c r="BW5" i="29"/>
  <c r="BO5" i="29"/>
  <c r="BG5" i="29"/>
  <c r="AY5" i="29"/>
  <c r="AQ5" i="29"/>
  <c r="AI5" i="29"/>
  <c r="AA5" i="29"/>
  <c r="S5" i="29"/>
  <c r="K5" i="29"/>
  <c r="C5" i="29"/>
  <c r="DL4" i="29"/>
  <c r="DD4" i="29"/>
  <c r="CV4" i="29"/>
  <c r="CN4" i="29"/>
  <c r="CF4" i="29"/>
  <c r="BX4" i="29"/>
  <c r="BP4" i="29"/>
  <c r="BH4" i="29"/>
  <c r="AZ4" i="29"/>
  <c r="AR4" i="29"/>
  <c r="AJ4" i="29"/>
  <c r="AB4" i="29"/>
  <c r="T4" i="29"/>
  <c r="L4" i="29"/>
  <c r="D4" i="29"/>
  <c r="H5" i="28"/>
  <c r="DQ4" i="28"/>
  <c r="DI4" i="28"/>
  <c r="DA4" i="28"/>
  <c r="CS4" i="28"/>
  <c r="CK4" i="28"/>
  <c r="CC4" i="28"/>
  <c r="BU4" i="28"/>
  <c r="BM4" i="28"/>
  <c r="BE4" i="28"/>
  <c r="AW4" i="28"/>
  <c r="AO4" i="28"/>
  <c r="AG4" i="28"/>
  <c r="Y4" i="28"/>
  <c r="Q4" i="28"/>
  <c r="I4" i="28"/>
  <c r="CM5" i="32"/>
  <c r="CE5" i="32"/>
  <c r="BW5" i="32"/>
  <c r="BO5" i="32"/>
  <c r="BG5" i="32"/>
  <c r="AY5" i="32"/>
  <c r="AQ5" i="32"/>
  <c r="AI5" i="32"/>
  <c r="AA5" i="32"/>
  <c r="S5" i="32"/>
  <c r="K5" i="32"/>
  <c r="C5" i="32"/>
  <c r="DL4" i="32"/>
  <c r="DD4" i="32"/>
  <c r="CV4" i="32"/>
  <c r="CN4" i="32"/>
  <c r="CF4" i="32"/>
  <c r="BX4" i="32"/>
  <c r="BP4" i="32"/>
  <c r="BH4" i="32"/>
  <c r="AZ4" i="32"/>
  <c r="AR4" i="32"/>
  <c r="AJ4" i="32"/>
  <c r="AB4" i="32"/>
  <c r="T4" i="32"/>
  <c r="L4" i="32"/>
  <c r="D4" i="32"/>
  <c r="H5" i="31"/>
  <c r="DQ4" i="31"/>
  <c r="DI4" i="31"/>
  <c r="DA4" i="31"/>
  <c r="CS4" i="31"/>
  <c r="CK4" i="31"/>
  <c r="CC4" i="31"/>
  <c r="BU4" i="31"/>
  <c r="BM4" i="31"/>
  <c r="BE4" i="31"/>
  <c r="AW4" i="31"/>
  <c r="AO4" i="31"/>
  <c r="AG4" i="31"/>
  <c r="Y4" i="31"/>
  <c r="Q4" i="31"/>
  <c r="I4" i="31"/>
  <c r="CL5" i="32"/>
  <c r="CD5" i="32"/>
  <c r="BV5" i="32"/>
  <c r="BN5" i="32"/>
  <c r="BF5" i="32"/>
  <c r="AX5" i="32"/>
  <c r="AP5" i="32"/>
  <c r="AH5" i="32"/>
  <c r="Z5" i="32"/>
  <c r="R5" i="32"/>
  <c r="J5" i="32"/>
  <c r="B5" i="32"/>
  <c r="DK4" i="32"/>
  <c r="DC4" i="32"/>
  <c r="CU4" i="32"/>
  <c r="CM4" i="32"/>
  <c r="CE4" i="32"/>
  <c r="BW4" i="32"/>
  <c r="BO4" i="32"/>
  <c r="BG4" i="32"/>
  <c r="AY4" i="32"/>
  <c r="AQ4" i="32"/>
  <c r="AI4" i="32"/>
  <c r="AA4" i="32"/>
  <c r="S4" i="32"/>
  <c r="K4" i="32"/>
  <c r="C4" i="32"/>
  <c r="G5" i="31"/>
  <c r="DP4" i="31"/>
  <c r="DH4" i="31"/>
  <c r="CZ4" i="31"/>
  <c r="CR4" i="31"/>
  <c r="CJ4" i="31"/>
  <c r="CB4" i="31"/>
  <c r="BT4" i="31"/>
  <c r="BL4" i="31"/>
  <c r="BD4" i="31"/>
  <c r="AV4" i="31"/>
  <c r="AN4" i="31"/>
  <c r="AF4" i="31"/>
  <c r="X4" i="31"/>
  <c r="P4" i="31"/>
  <c r="H4" i="31"/>
  <c r="CR5" i="30"/>
  <c r="CJ5" i="30"/>
  <c r="CB5" i="30"/>
  <c r="BT5" i="30"/>
  <c r="BL5" i="30"/>
  <c r="BD5" i="30"/>
  <c r="AV5" i="30"/>
  <c r="AN5" i="30"/>
  <c r="AF5" i="30"/>
  <c r="X5" i="30"/>
  <c r="P5" i="30"/>
  <c r="H5" i="30"/>
  <c r="DQ4" i="30"/>
  <c r="DI4" i="30"/>
  <c r="DA4" i="30"/>
  <c r="CS4" i="30"/>
  <c r="CK4" i="30"/>
  <c r="CC4" i="30"/>
  <c r="BU4" i="30"/>
  <c r="BM4" i="30"/>
  <c r="BE4" i="30"/>
  <c r="AW4" i="30"/>
  <c r="AO4" i="30"/>
  <c r="AG4" i="30"/>
  <c r="Y4" i="30"/>
  <c r="Q4" i="30"/>
  <c r="I4" i="30"/>
  <c r="E5" i="31"/>
  <c r="BJ4" i="31"/>
  <c r="BM5" i="30"/>
  <c r="AG5" i="30"/>
  <c r="A5" i="30"/>
  <c r="CL4" i="30"/>
  <c r="BF4" i="30"/>
  <c r="Z4" i="30"/>
  <c r="CQ5" i="29"/>
  <c r="BU5" i="29"/>
  <c r="AX5" i="29"/>
  <c r="AE5" i="29"/>
  <c r="I5" i="29"/>
  <c r="DC4" i="29"/>
  <c r="CL4" i="29"/>
  <c r="BV4" i="29"/>
  <c r="BF4" i="29"/>
  <c r="AP4" i="29"/>
  <c r="Z4" i="29"/>
  <c r="J4" i="29"/>
  <c r="G5" i="28"/>
  <c r="DM4" i="28"/>
  <c r="CY4" i="28"/>
  <c r="CL4" i="28"/>
  <c r="BZ4" i="28"/>
  <c r="BL4" i="28"/>
  <c r="BA4" i="28"/>
  <c r="AM4" i="28"/>
  <c r="AB4" i="28"/>
  <c r="P4" i="28"/>
  <c r="F4" i="28"/>
  <c r="CO5" i="27"/>
  <c r="CF5" i="27"/>
  <c r="BV5" i="27"/>
  <c r="BM5" i="27"/>
  <c r="BD5" i="27"/>
  <c r="AU5" i="27"/>
  <c r="AL5" i="27"/>
  <c r="AC5" i="27"/>
  <c r="T5" i="27"/>
  <c r="J5" i="27"/>
  <c r="A5" i="27"/>
  <c r="DJ4" i="27"/>
  <c r="DB4" i="27"/>
  <c r="CT4" i="27"/>
  <c r="CL4" i="27"/>
  <c r="CD4" i="27"/>
  <c r="BV4" i="27"/>
  <c r="BN4" i="27"/>
  <c r="BF4" i="27"/>
  <c r="AX4" i="27"/>
  <c r="AP4" i="27"/>
  <c r="AH4" i="27"/>
  <c r="Z4" i="27"/>
  <c r="R4" i="27"/>
  <c r="J4" i="27"/>
  <c r="B4" i="27"/>
  <c r="CL5" i="26"/>
  <c r="CD5" i="26"/>
  <c r="BV5" i="26"/>
  <c r="BN5" i="26"/>
  <c r="BF5" i="26"/>
  <c r="AX5" i="26"/>
  <c r="AP5" i="26"/>
  <c r="AH5" i="26"/>
  <c r="Z5" i="26"/>
  <c r="R5" i="26"/>
  <c r="J5" i="26"/>
  <c r="B5" i="26"/>
  <c r="DK4" i="26"/>
  <c r="DC4" i="26"/>
  <c r="CU4" i="26"/>
  <c r="CM4" i="26"/>
  <c r="CE4" i="26"/>
  <c r="BW4" i="26"/>
  <c r="BO4" i="26"/>
  <c r="BG4" i="26"/>
  <c r="AY4" i="26"/>
  <c r="AQ4" i="26"/>
  <c r="AI4" i="26"/>
  <c r="AA4" i="26"/>
  <c r="S4" i="26"/>
  <c r="K4" i="26"/>
  <c r="C4" i="26"/>
  <c r="CM5" i="25"/>
  <c r="CE5" i="25"/>
  <c r="BW5" i="25"/>
  <c r="BO5" i="25"/>
  <c r="BG5" i="25"/>
  <c r="AY5" i="25"/>
  <c r="AQ5" i="25"/>
  <c r="AI5" i="25"/>
  <c r="AA5" i="25"/>
  <c r="S5" i="25"/>
  <c r="K5" i="25"/>
  <c r="C5" i="25"/>
  <c r="DL4" i="25"/>
  <c r="DD4" i="25"/>
  <c r="CV4" i="25"/>
  <c r="CN4" i="25"/>
  <c r="CF4" i="25"/>
  <c r="BX4" i="25"/>
  <c r="BP4" i="25"/>
  <c r="BH4" i="25"/>
  <c r="AZ4" i="25"/>
  <c r="AR4" i="25"/>
  <c r="AJ4" i="25"/>
  <c r="AB4" i="25"/>
  <c r="T4" i="25"/>
  <c r="L4" i="25"/>
  <c r="D4" i="25"/>
  <c r="H5" i="24"/>
  <c r="DQ4" i="24"/>
  <c r="DI4" i="24"/>
  <c r="DA4" i="24"/>
  <c r="CS4" i="24"/>
  <c r="CK4" i="24"/>
  <c r="CC4" i="24"/>
  <c r="BU4" i="24"/>
  <c r="BM4" i="24"/>
  <c r="BE4" i="24"/>
  <c r="AW4" i="24"/>
  <c r="AO4" i="24"/>
  <c r="AG4" i="24"/>
  <c r="Y4" i="24"/>
  <c r="Q4" i="24"/>
  <c r="I4" i="24"/>
  <c r="DN4" i="31"/>
  <c r="BB4" i="31"/>
  <c r="CP5" i="30"/>
  <c r="BJ5" i="30"/>
  <c r="AD5" i="30"/>
  <c r="DO4" i="30"/>
  <c r="CI4" i="30"/>
  <c r="BC4" i="30"/>
  <c r="W4" i="30"/>
  <c r="CL5" i="29"/>
  <c r="BS5" i="29"/>
  <c r="AW5" i="29"/>
  <c r="Z5" i="29"/>
  <c r="G5" i="29"/>
  <c r="DB4" i="29"/>
  <c r="CJ4" i="29"/>
  <c r="BT4" i="29"/>
  <c r="BD4" i="29"/>
  <c r="AN4" i="29"/>
  <c r="X4" i="29"/>
  <c r="H4" i="29"/>
  <c r="F5" i="28"/>
  <c r="DJ4" i="28"/>
  <c r="CX4" i="28"/>
  <c r="CJ4" i="28"/>
  <c r="BY4" i="28"/>
  <c r="BK4" i="28"/>
  <c r="AX4" i="28"/>
  <c r="AL4" i="28"/>
  <c r="Z4" i="28"/>
  <c r="O4" i="28"/>
  <c r="E4" i="28"/>
  <c r="CN5" i="27"/>
  <c r="CD5" i="27"/>
  <c r="BU5" i="27"/>
  <c r="BL5" i="27"/>
  <c r="BC5" i="27"/>
  <c r="AT5" i="27"/>
  <c r="AK5" i="27"/>
  <c r="AB5" i="27"/>
  <c r="R5" i="27"/>
  <c r="I5" i="27"/>
  <c r="DQ4" i="27"/>
  <c r="DI4" i="27"/>
  <c r="DA4" i="27"/>
  <c r="CS4" i="27"/>
  <c r="CK4" i="27"/>
  <c r="CC4" i="27"/>
  <c r="BU4" i="27"/>
  <c r="BM4" i="27"/>
  <c r="BE4" i="27"/>
  <c r="AW4" i="27"/>
  <c r="AO4" i="27"/>
  <c r="AG4" i="27"/>
  <c r="Y4" i="27"/>
  <c r="Q4" i="27"/>
  <c r="I4" i="27"/>
  <c r="CK5" i="26"/>
  <c r="CC5" i="26"/>
  <c r="BU5" i="26"/>
  <c r="BM5" i="26"/>
  <c r="BE5" i="26"/>
  <c r="AW5" i="26"/>
  <c r="AO5" i="26"/>
  <c r="AG5" i="26"/>
  <c r="Y5" i="26"/>
  <c r="Q5" i="26"/>
  <c r="I5" i="26"/>
  <c r="A5" i="26"/>
  <c r="DJ4" i="26"/>
  <c r="DB4" i="26"/>
  <c r="CT4" i="26"/>
  <c r="CL4" i="26"/>
  <c r="CD4" i="26"/>
  <c r="BV4" i="26"/>
  <c r="BN4" i="26"/>
  <c r="BF4" i="26"/>
  <c r="AX4" i="26"/>
  <c r="AP4" i="26"/>
  <c r="AH4" i="26"/>
  <c r="Z4" i="26"/>
  <c r="R4" i="26"/>
  <c r="J4" i="26"/>
  <c r="B4" i="26"/>
  <c r="CL5" i="25"/>
  <c r="CD5" i="25"/>
  <c r="BV5" i="25"/>
  <c r="BN5" i="25"/>
  <c r="BF5" i="25"/>
  <c r="AX5" i="25"/>
  <c r="AP5" i="25"/>
  <c r="AH5" i="25"/>
  <c r="Z5" i="25"/>
  <c r="R5" i="25"/>
  <c r="J5" i="25"/>
  <c r="B5" i="25"/>
  <c r="DK4" i="25"/>
  <c r="DC4" i="25"/>
  <c r="CU4" i="25"/>
  <c r="CM4" i="25"/>
  <c r="CE4" i="25"/>
  <c r="BW4" i="25"/>
  <c r="BO4" i="25"/>
  <c r="BG4" i="25"/>
  <c r="AY4" i="25"/>
  <c r="AQ4" i="25"/>
  <c r="AI4" i="25"/>
  <c r="AA4" i="25"/>
  <c r="S4" i="25"/>
  <c r="K4" i="25"/>
  <c r="C4" i="25"/>
  <c r="G5" i="24"/>
  <c r="DP4" i="24"/>
  <c r="DH4" i="24"/>
  <c r="CZ4" i="24"/>
  <c r="CR4" i="24"/>
  <c r="CJ4" i="24"/>
  <c r="CB4" i="24"/>
  <c r="BT4" i="24"/>
  <c r="BL4" i="24"/>
  <c r="BD4" i="24"/>
  <c r="AV4" i="24"/>
  <c r="AN4" i="24"/>
  <c r="AF4" i="24"/>
  <c r="X4" i="24"/>
  <c r="P4" i="24"/>
  <c r="H4" i="24"/>
  <c r="DF4" i="31"/>
  <c r="AT4" i="31"/>
  <c r="CK5" i="30"/>
  <c r="BE5" i="30"/>
  <c r="Y5" i="30"/>
  <c r="DJ4" i="30"/>
  <c r="CD4" i="30"/>
  <c r="AX4" i="30"/>
  <c r="R4" i="30"/>
  <c r="CK5" i="29"/>
  <c r="BN5" i="29"/>
  <c r="AU5" i="29"/>
  <c r="Y5" i="29"/>
  <c r="B5" i="29"/>
  <c r="CZ4" i="29"/>
  <c r="CG4" i="29"/>
  <c r="BQ4" i="29"/>
  <c r="BA4" i="29"/>
  <c r="AK4" i="29"/>
  <c r="U4" i="29"/>
  <c r="E4" i="29"/>
  <c r="E5" i="28"/>
  <c r="DH4" i="28"/>
  <c r="CW4" i="28"/>
  <c r="CI4" i="28"/>
  <c r="BV4" i="28"/>
  <c r="BJ4" i="28"/>
  <c r="AV4" i="28"/>
  <c r="AK4" i="28"/>
  <c r="X4" i="28"/>
  <c r="N4" i="28"/>
  <c r="D4" i="28"/>
  <c r="CL5" i="27"/>
  <c r="CC5" i="27"/>
  <c r="BT5" i="27"/>
  <c r="BK5" i="27"/>
  <c r="BB5" i="27"/>
  <c r="AS5" i="27"/>
  <c r="AJ5" i="27"/>
  <c r="Z5" i="27"/>
  <c r="Q5" i="27"/>
  <c r="H5" i="27"/>
  <c r="DP4" i="27"/>
  <c r="DH4" i="27"/>
  <c r="CZ4" i="27"/>
  <c r="CR4" i="27"/>
  <c r="CJ4" i="27"/>
  <c r="CB4" i="27"/>
  <c r="BT4" i="27"/>
  <c r="BL4" i="27"/>
  <c r="BD4" i="27"/>
  <c r="AV4" i="27"/>
  <c r="AN4" i="27"/>
  <c r="AF4" i="27"/>
  <c r="X4" i="27"/>
  <c r="P4" i="27"/>
  <c r="H4" i="27"/>
  <c r="CR5" i="26"/>
  <c r="CJ5" i="26"/>
  <c r="CB5" i="26"/>
  <c r="BT5" i="26"/>
  <c r="BL5" i="26"/>
  <c r="BD5" i="26"/>
  <c r="AV5" i="26"/>
  <c r="AN5" i="26"/>
  <c r="AF5" i="26"/>
  <c r="X5" i="26"/>
  <c r="P5" i="26"/>
  <c r="H5" i="26"/>
  <c r="DQ4" i="26"/>
  <c r="DI4" i="26"/>
  <c r="DA4" i="26"/>
  <c r="CS4" i="26"/>
  <c r="CK4" i="26"/>
  <c r="CC4" i="26"/>
  <c r="BU4" i="26"/>
  <c r="BM4" i="26"/>
  <c r="BE4" i="26"/>
  <c r="AW4" i="26"/>
  <c r="AO4" i="26"/>
  <c r="AG4" i="26"/>
  <c r="Y4" i="26"/>
  <c r="Q4" i="26"/>
  <c r="I4" i="26"/>
  <c r="CK5" i="25"/>
  <c r="CC5" i="25"/>
  <c r="BU5" i="25"/>
  <c r="BM5" i="25"/>
  <c r="BE5" i="25"/>
  <c r="AW5" i="25"/>
  <c r="AO5" i="25"/>
  <c r="AG5" i="25"/>
  <c r="Y5" i="25"/>
  <c r="Q5" i="25"/>
  <c r="I5" i="25"/>
  <c r="A5" i="25"/>
  <c r="DJ4" i="25"/>
  <c r="DB4" i="25"/>
  <c r="CT4" i="25"/>
  <c r="CL4" i="25"/>
  <c r="CD4" i="25"/>
  <c r="BV4" i="25"/>
  <c r="BN4" i="25"/>
  <c r="BF4" i="25"/>
  <c r="AX4" i="25"/>
  <c r="AP4" i="25"/>
  <c r="AH4" i="25"/>
  <c r="Z4" i="25"/>
  <c r="R4" i="25"/>
  <c r="J4" i="25"/>
  <c r="B4" i="25"/>
  <c r="F5" i="24"/>
  <c r="DO4" i="24"/>
  <c r="DG4" i="24"/>
  <c r="CY4" i="24"/>
  <c r="CQ4" i="24"/>
  <c r="CI4" i="24"/>
  <c r="CA4" i="24"/>
  <c r="CX4" i="31"/>
  <c r="AL4" i="31"/>
  <c r="CH5" i="30"/>
  <c r="BB5" i="30"/>
  <c r="V5" i="30"/>
  <c r="DG4" i="30"/>
  <c r="CA4" i="30"/>
  <c r="AU4" i="30"/>
  <c r="O4" i="30"/>
  <c r="CI5" i="29"/>
  <c r="BM5" i="29"/>
  <c r="AP5" i="29"/>
  <c r="W5" i="29"/>
  <c r="A5" i="29"/>
  <c r="CU4" i="29"/>
  <c r="CE4" i="29"/>
  <c r="BO4" i="29"/>
  <c r="AY4" i="29"/>
  <c r="AI4" i="29"/>
  <c r="S4" i="29"/>
  <c r="C4" i="29"/>
  <c r="D5" i="28"/>
  <c r="DG4" i="28"/>
  <c r="CT4" i="28"/>
  <c r="CH4" i="28"/>
  <c r="BT4" i="28"/>
  <c r="BI4" i="28"/>
  <c r="AU4" i="28"/>
  <c r="AH4" i="28"/>
  <c r="W4" i="28"/>
  <c r="M4" i="28"/>
  <c r="B4" i="28"/>
  <c r="CK5" i="27"/>
  <c r="CB5" i="27"/>
  <c r="BS5" i="27"/>
  <c r="BJ5" i="27"/>
  <c r="BA5" i="27"/>
  <c r="AR5" i="27"/>
  <c r="AH5" i="27"/>
  <c r="Y5" i="27"/>
  <c r="P5" i="27"/>
  <c r="G5" i="27"/>
  <c r="DO4" i="27"/>
  <c r="DG4" i="27"/>
  <c r="CY4" i="27"/>
  <c r="CQ4" i="27"/>
  <c r="CI4" i="27"/>
  <c r="CA4" i="27"/>
  <c r="BS4" i="27"/>
  <c r="BK4" i="27"/>
  <c r="BC4" i="27"/>
  <c r="AU4" i="27"/>
  <c r="AM4" i="27"/>
  <c r="AE4" i="27"/>
  <c r="W4" i="27"/>
  <c r="O4" i="27"/>
  <c r="G4" i="27"/>
  <c r="CQ5" i="26"/>
  <c r="CI5" i="26"/>
  <c r="CA5" i="26"/>
  <c r="BS5" i="26"/>
  <c r="BK5" i="26"/>
  <c r="BC5" i="26"/>
  <c r="AU5" i="26"/>
  <c r="AM5" i="26"/>
  <c r="AE5" i="26"/>
  <c r="W5" i="26"/>
  <c r="O5" i="26"/>
  <c r="G5" i="26"/>
  <c r="DP4" i="26"/>
  <c r="DH4" i="26"/>
  <c r="CZ4" i="26"/>
  <c r="CR4" i="26"/>
  <c r="CJ4" i="26"/>
  <c r="CB4" i="26"/>
  <c r="BT4" i="26"/>
  <c r="BL4" i="26"/>
  <c r="BD4" i="26"/>
  <c r="AV4" i="26"/>
  <c r="AN4" i="26"/>
  <c r="AF4" i="26"/>
  <c r="X4" i="26"/>
  <c r="P4" i="26"/>
  <c r="H4" i="26"/>
  <c r="CR5" i="25"/>
  <c r="CJ5" i="25"/>
  <c r="CB5" i="25"/>
  <c r="BT5" i="25"/>
  <c r="BL5" i="25"/>
  <c r="BD5" i="25"/>
  <c r="AV5" i="25"/>
  <c r="AN5" i="25"/>
  <c r="AF5" i="25"/>
  <c r="X5" i="25"/>
  <c r="P5" i="25"/>
  <c r="H5" i="25"/>
  <c r="DQ4" i="25"/>
  <c r="DI4" i="25"/>
  <c r="DA4" i="25"/>
  <c r="CS4" i="25"/>
  <c r="CK4" i="25"/>
  <c r="CC4" i="25"/>
  <c r="BU4" i="25"/>
  <c r="BM4" i="25"/>
  <c r="BE4" i="25"/>
  <c r="AW4" i="25"/>
  <c r="AO4" i="25"/>
  <c r="AG4" i="25"/>
  <c r="Y4" i="25"/>
  <c r="Q4" i="25"/>
  <c r="I4" i="25"/>
  <c r="CP4" i="31"/>
  <c r="AD4" i="31"/>
  <c r="CC5" i="30"/>
  <c r="AW5" i="30"/>
  <c r="Q5" i="30"/>
  <c r="DB4" i="30"/>
  <c r="BV4" i="30"/>
  <c r="AP4" i="30"/>
  <c r="J4" i="30"/>
  <c r="CD5" i="29"/>
  <c r="BK5" i="29"/>
  <c r="AO5" i="29"/>
  <c r="R5" i="29"/>
  <c r="DP4" i="29"/>
  <c r="CT4" i="29"/>
  <c r="CD4" i="29"/>
  <c r="BN4" i="29"/>
  <c r="AX4" i="29"/>
  <c r="AH4" i="29"/>
  <c r="R4" i="29"/>
  <c r="B4" i="29"/>
  <c r="A5" i="28"/>
  <c r="DF4" i="28"/>
  <c r="CR4" i="28"/>
  <c r="CG4" i="28"/>
  <c r="BS4" i="28"/>
  <c r="BF4" i="28"/>
  <c r="AT4" i="28"/>
  <c r="AF4" i="28"/>
  <c r="V4" i="28"/>
  <c r="L4" i="28"/>
  <c r="CJ5" i="27"/>
  <c r="CA5" i="27"/>
  <c r="BR5" i="27"/>
  <c r="BI5" i="27"/>
  <c r="AZ5" i="27"/>
  <c r="AP5" i="27"/>
  <c r="AG5" i="27"/>
  <c r="X5" i="27"/>
  <c r="O5" i="27"/>
  <c r="F5" i="27"/>
  <c r="DN4" i="27"/>
  <c r="DF4" i="27"/>
  <c r="CX4" i="27"/>
  <c r="CP4" i="27"/>
  <c r="CH4" i="27"/>
  <c r="BZ4" i="27"/>
  <c r="BR4" i="27"/>
  <c r="BJ4" i="27"/>
  <c r="BB4" i="27"/>
  <c r="AT4" i="27"/>
  <c r="AL4" i="27"/>
  <c r="AD4" i="27"/>
  <c r="V4" i="27"/>
  <c r="N4" i="27"/>
  <c r="F4" i="27"/>
  <c r="CP5" i="26"/>
  <c r="CH5" i="26"/>
  <c r="BZ5" i="26"/>
  <c r="BR5" i="26"/>
  <c r="BJ5" i="26"/>
  <c r="BB5" i="26"/>
  <c r="AT5" i="26"/>
  <c r="AL5" i="26"/>
  <c r="AD5" i="26"/>
  <c r="V5" i="26"/>
  <c r="N5" i="26"/>
  <c r="F5" i="26"/>
  <c r="DO4" i="26"/>
  <c r="DG4" i="26"/>
  <c r="CY4" i="26"/>
  <c r="CQ4" i="26"/>
  <c r="CI4" i="26"/>
  <c r="CA4" i="26"/>
  <c r="BS4" i="26"/>
  <c r="BK4" i="26"/>
  <c r="BC4" i="26"/>
  <c r="AU4" i="26"/>
  <c r="AM4" i="26"/>
  <c r="AE4" i="26"/>
  <c r="W4" i="26"/>
  <c r="O4" i="26"/>
  <c r="G4" i="26"/>
  <c r="CQ5" i="25"/>
  <c r="CI5" i="25"/>
  <c r="CA5" i="25"/>
  <c r="BS5" i="25"/>
  <c r="BK5" i="25"/>
  <c r="BC5" i="25"/>
  <c r="AU5" i="25"/>
  <c r="AM5" i="25"/>
  <c r="AE5" i="25"/>
  <c r="W5" i="25"/>
  <c r="O5" i="25"/>
  <c r="G5" i="25"/>
  <c r="DP4" i="25"/>
  <c r="DH4" i="25"/>
  <c r="CZ4" i="25"/>
  <c r="CR4" i="25"/>
  <c r="CJ4" i="25"/>
  <c r="CB4" i="25"/>
  <c r="BT4" i="25"/>
  <c r="BL4" i="25"/>
  <c r="BD4" i="25"/>
  <c r="AV4" i="25"/>
  <c r="AN4" i="25"/>
  <c r="AF4" i="25"/>
  <c r="X4" i="25"/>
  <c r="P4" i="25"/>
  <c r="H4" i="25"/>
  <c r="L5" i="24"/>
  <c r="D5" i="24"/>
  <c r="DM4" i="24"/>
  <c r="DE4" i="24"/>
  <c r="CW4" i="24"/>
  <c r="CO4" i="24"/>
  <c r="CG4" i="24"/>
  <c r="BY4" i="24"/>
  <c r="BQ4" i="24"/>
  <c r="BI4" i="24"/>
  <c r="BA4" i="24"/>
  <c r="AS4" i="24"/>
  <c r="AK4" i="24"/>
  <c r="AC4" i="24"/>
  <c r="U4" i="24"/>
  <c r="M4" i="24"/>
  <c r="CH4" i="31"/>
  <c r="V4" i="31"/>
  <c r="BZ5" i="30"/>
  <c r="AT5" i="30"/>
  <c r="N5" i="30"/>
  <c r="CY4" i="30"/>
  <c r="BS4" i="30"/>
  <c r="AM4" i="30"/>
  <c r="G4" i="30"/>
  <c r="CC5" i="29"/>
  <c r="BF5" i="29"/>
  <c r="AM5" i="29"/>
  <c r="Q5" i="29"/>
  <c r="DK4" i="29"/>
  <c r="CR4" i="29"/>
  <c r="CB4" i="29"/>
  <c r="BL4" i="29"/>
  <c r="AV4" i="29"/>
  <c r="AF4" i="29"/>
  <c r="P4" i="29"/>
  <c r="DP4" i="28"/>
  <c r="DE4" i="28"/>
  <c r="CQ4" i="28"/>
  <c r="CD4" i="28"/>
  <c r="BR4" i="28"/>
  <c r="BD4" i="28"/>
  <c r="AS4" i="28"/>
  <c r="AE4" i="28"/>
  <c r="U4" i="28"/>
  <c r="J4" i="28"/>
  <c r="CR5" i="27"/>
  <c r="CI5" i="27"/>
  <c r="BZ5" i="27"/>
  <c r="BQ5" i="27"/>
  <c r="BH5" i="27"/>
  <c r="AX5" i="27"/>
  <c r="AO5" i="27"/>
  <c r="AF5" i="27"/>
  <c r="W5" i="27"/>
  <c r="N5" i="27"/>
  <c r="E5" i="27"/>
  <c r="DM4" i="27"/>
  <c r="DE4" i="27"/>
  <c r="CW4" i="27"/>
  <c r="CO4" i="27"/>
  <c r="CG4" i="27"/>
  <c r="BY4" i="27"/>
  <c r="BQ4" i="27"/>
  <c r="BI4" i="27"/>
  <c r="BA4" i="27"/>
  <c r="AS4" i="27"/>
  <c r="AK4" i="27"/>
  <c r="AC4" i="27"/>
  <c r="U4" i="27"/>
  <c r="M4" i="27"/>
  <c r="E4" i="27"/>
  <c r="CO5" i="26"/>
  <c r="CG5" i="26"/>
  <c r="BY5" i="26"/>
  <c r="BQ5" i="26"/>
  <c r="BI5" i="26"/>
  <c r="BA5" i="26"/>
  <c r="AS5" i="26"/>
  <c r="AK5" i="26"/>
  <c r="AC5" i="26"/>
  <c r="U5" i="26"/>
  <c r="M5" i="26"/>
  <c r="E5" i="26"/>
  <c r="DN4" i="26"/>
  <c r="DF4" i="26"/>
  <c r="CX4" i="26"/>
  <c r="CP4" i="26"/>
  <c r="CH4" i="26"/>
  <c r="BZ4" i="26"/>
  <c r="BR4" i="26"/>
  <c r="BJ4" i="26"/>
  <c r="BB4" i="26"/>
  <c r="AT4" i="26"/>
  <c r="AL4" i="26"/>
  <c r="AD4" i="26"/>
  <c r="V4" i="26"/>
  <c r="N4" i="26"/>
  <c r="F4" i="26"/>
  <c r="CP5" i="25"/>
  <c r="CH5" i="25"/>
  <c r="BZ5" i="25"/>
  <c r="BR5" i="25"/>
  <c r="BJ5" i="25"/>
  <c r="BB5" i="25"/>
  <c r="AT5" i="25"/>
  <c r="AL5" i="25"/>
  <c r="AD5" i="25"/>
  <c r="V5" i="25"/>
  <c r="N5" i="25"/>
  <c r="F5" i="25"/>
  <c r="DO4" i="25"/>
  <c r="DG4" i="25"/>
  <c r="CY4" i="25"/>
  <c r="CQ4" i="25"/>
  <c r="CI4" i="25"/>
  <c r="CA4" i="25"/>
  <c r="BS4" i="25"/>
  <c r="BK4" i="25"/>
  <c r="BC4" i="25"/>
  <c r="AU4" i="25"/>
  <c r="AM4" i="25"/>
  <c r="AE4" i="25"/>
  <c r="W4" i="25"/>
  <c r="O4" i="25"/>
  <c r="G4" i="25"/>
  <c r="K5" i="24"/>
  <c r="C5" i="24"/>
  <c r="DL4" i="24"/>
  <c r="DD4" i="24"/>
  <c r="CV4" i="24"/>
  <c r="CN4" i="24"/>
  <c r="CF4" i="24"/>
  <c r="BX4" i="24"/>
  <c r="BP4" i="24"/>
  <c r="BH4" i="24"/>
  <c r="AZ4" i="24"/>
  <c r="AR4" i="24"/>
  <c r="AJ4" i="24"/>
  <c r="AB4" i="24"/>
  <c r="T4" i="24"/>
  <c r="L4" i="24"/>
  <c r="D4" i="24"/>
  <c r="BZ4" i="31"/>
  <c r="N4" i="31"/>
  <c r="BU5" i="30"/>
  <c r="AO5" i="30"/>
  <c r="I5" i="30"/>
  <c r="CT4" i="30"/>
  <c r="BN4" i="30"/>
  <c r="AH4" i="30"/>
  <c r="B4" i="30"/>
  <c r="CA5" i="29"/>
  <c r="BE5" i="29"/>
  <c r="AH5" i="29"/>
  <c r="O5" i="29"/>
  <c r="DJ4" i="29"/>
  <c r="CO4" i="29"/>
  <c r="BY4" i="29"/>
  <c r="BI4" i="29"/>
  <c r="AS4" i="29"/>
  <c r="AC4" i="29"/>
  <c r="M4" i="29"/>
  <c r="L5" i="28"/>
  <c r="DO4" i="28"/>
  <c r="DB4" i="28"/>
  <c r="CP4" i="28"/>
  <c r="CB4" i="28"/>
  <c r="BQ4" i="28"/>
  <c r="BC4" i="28"/>
  <c r="AP4" i="28"/>
  <c r="AD4" i="28"/>
  <c r="T4" i="28"/>
  <c r="H4" i="28"/>
  <c r="CQ5" i="27"/>
  <c r="CH5" i="27"/>
  <c r="BY5" i="27"/>
  <c r="BP5" i="27"/>
  <c r="BF5" i="27"/>
  <c r="AW5" i="27"/>
  <c r="AN5" i="27"/>
  <c r="AE5" i="27"/>
  <c r="V5" i="27"/>
  <c r="M5" i="27"/>
  <c r="D5" i="27"/>
  <c r="DL4" i="27"/>
  <c r="DD4" i="27"/>
  <c r="CV4" i="27"/>
  <c r="CN4" i="27"/>
  <c r="CF4" i="27"/>
  <c r="BX4" i="27"/>
  <c r="BP4" i="27"/>
  <c r="BH4" i="27"/>
  <c r="AZ4" i="27"/>
  <c r="AR4" i="27"/>
  <c r="AJ4" i="27"/>
  <c r="AB4" i="27"/>
  <c r="T4" i="27"/>
  <c r="L4" i="27"/>
  <c r="D4" i="27"/>
  <c r="CN5" i="26"/>
  <c r="CF5" i="26"/>
  <c r="BX5" i="26"/>
  <c r="BP5" i="26"/>
  <c r="BH5" i="26"/>
  <c r="AZ5" i="26"/>
  <c r="AR5" i="26"/>
  <c r="AJ5" i="26"/>
  <c r="AB5" i="26"/>
  <c r="T5" i="26"/>
  <c r="L5" i="26"/>
  <c r="D5" i="26"/>
  <c r="DM4" i="26"/>
  <c r="DE4" i="26"/>
  <c r="CW4" i="26"/>
  <c r="CO4" i="26"/>
  <c r="CG4" i="26"/>
  <c r="BY4" i="26"/>
  <c r="BQ4" i="26"/>
  <c r="BI4" i="26"/>
  <c r="BA4" i="26"/>
  <c r="AS4" i="26"/>
  <c r="AK4" i="26"/>
  <c r="AC4" i="26"/>
  <c r="U4" i="26"/>
  <c r="M4" i="26"/>
  <c r="E4" i="26"/>
  <c r="CO5" i="25"/>
  <c r="CG5" i="25"/>
  <c r="BY5" i="25"/>
  <c r="BQ5" i="25"/>
  <c r="BI5" i="25"/>
  <c r="BA5" i="25"/>
  <c r="AS5" i="25"/>
  <c r="AK5" i="25"/>
  <c r="AC5" i="25"/>
  <c r="U5" i="25"/>
  <c r="M5" i="25"/>
  <c r="E5" i="25"/>
  <c r="DN4" i="25"/>
  <c r="DF4" i="25"/>
  <c r="CX4" i="25"/>
  <c r="CP4" i="25"/>
  <c r="CH4" i="25"/>
  <c r="BZ4" i="25"/>
  <c r="BR4" i="25"/>
  <c r="BJ4" i="25"/>
  <c r="BB4" i="25"/>
  <c r="AT4" i="25"/>
  <c r="AL4" i="25"/>
  <c r="AD4" i="25"/>
  <c r="V4" i="25"/>
  <c r="N4" i="25"/>
  <c r="F4" i="25"/>
  <c r="J5" i="24"/>
  <c r="B5" i="24"/>
  <c r="DK4" i="24"/>
  <c r="DC4" i="24"/>
  <c r="CU4" i="24"/>
  <c r="CM4" i="24"/>
  <c r="CE4" i="24"/>
  <c r="BW4" i="24"/>
  <c r="BO4" i="24"/>
  <c r="BG4" i="24"/>
  <c r="AY4" i="24"/>
  <c r="AQ4" i="24"/>
  <c r="AI4" i="24"/>
  <c r="AA4" i="24"/>
  <c r="BR4" i="31"/>
  <c r="F4" i="31"/>
  <c r="BR5" i="30"/>
  <c r="AL5" i="30"/>
  <c r="F5" i="30"/>
  <c r="CQ4" i="30"/>
  <c r="BK4" i="30"/>
  <c r="AE4" i="30"/>
  <c r="BV5" i="29"/>
  <c r="BC5" i="29"/>
  <c r="AG5" i="29"/>
  <c r="J5" i="29"/>
  <c r="DH4" i="29"/>
  <c r="CM4" i="29"/>
  <c r="BW4" i="29"/>
  <c r="BG4" i="29"/>
  <c r="AQ4" i="29"/>
  <c r="AA4" i="29"/>
  <c r="K4" i="29"/>
  <c r="I5" i="28"/>
  <c r="DN4" i="28"/>
  <c r="CZ4" i="28"/>
  <c r="CO4" i="28"/>
  <c r="CA4" i="28"/>
  <c r="BN4" i="28"/>
  <c r="BB4" i="28"/>
  <c r="AN4" i="28"/>
  <c r="AC4" i="28"/>
  <c r="R4" i="28"/>
  <c r="G4" i="28"/>
  <c r="CP5" i="27"/>
  <c r="CG5" i="27"/>
  <c r="BX5" i="27"/>
  <c r="BN5" i="27"/>
  <c r="BE5" i="27"/>
  <c r="AV5" i="27"/>
  <c r="AM5" i="27"/>
  <c r="AD5" i="27"/>
  <c r="U5" i="27"/>
  <c r="L5" i="27"/>
  <c r="B5" i="27"/>
  <c r="DK4" i="27"/>
  <c r="DC4" i="27"/>
  <c r="CU4" i="27"/>
  <c r="CM4" i="27"/>
  <c r="CE4" i="27"/>
  <c r="BW4" i="27"/>
  <c r="BO4" i="27"/>
  <c r="BG4" i="27"/>
  <c r="AY4" i="27"/>
  <c r="AQ4" i="27"/>
  <c r="AI4" i="27"/>
  <c r="AA4" i="27"/>
  <c r="S4" i="27"/>
  <c r="K4" i="27"/>
  <c r="C4" i="27"/>
  <c r="CM5" i="26"/>
  <c r="CE5" i="26"/>
  <c r="BW5" i="26"/>
  <c r="BO5" i="26"/>
  <c r="BG5" i="26"/>
  <c r="AY5" i="26"/>
  <c r="AQ5" i="26"/>
  <c r="AI5" i="26"/>
  <c r="AA5" i="26"/>
  <c r="S5" i="26"/>
  <c r="K5" i="26"/>
  <c r="C5" i="26"/>
  <c r="DL4" i="26"/>
  <c r="DD4" i="26"/>
  <c r="CV4" i="26"/>
  <c r="CN4" i="26"/>
  <c r="CF4" i="26"/>
  <c r="BX4" i="26"/>
  <c r="BP4" i="26"/>
  <c r="BH4" i="26"/>
  <c r="AZ4" i="26"/>
  <c r="AR4" i="26"/>
  <c r="AJ4" i="26"/>
  <c r="AB4" i="26"/>
  <c r="T4" i="26"/>
  <c r="L4" i="26"/>
  <c r="D4" i="26"/>
  <c r="CN5" i="25"/>
  <c r="CF5" i="25"/>
  <c r="BX5" i="25"/>
  <c r="BP5" i="25"/>
  <c r="BH5" i="25"/>
  <c r="AZ5" i="25"/>
  <c r="AR5" i="25"/>
  <c r="AJ5" i="25"/>
  <c r="AB5" i="25"/>
  <c r="T5" i="25"/>
  <c r="L5" i="25"/>
  <c r="D5" i="25"/>
  <c r="DM4" i="25"/>
  <c r="DE4" i="25"/>
  <c r="CW4" i="25"/>
  <c r="CO4" i="25"/>
  <c r="CG4" i="25"/>
  <c r="BY4" i="25"/>
  <c r="BQ4" i="25"/>
  <c r="BI4" i="25"/>
  <c r="BA4" i="25"/>
  <c r="AS4" i="25"/>
  <c r="AK4" i="25"/>
  <c r="AC4" i="25"/>
  <c r="U4" i="25"/>
  <c r="M4" i="25"/>
  <c r="E4" i="25"/>
  <c r="I5" i="24"/>
  <c r="A5" i="24"/>
  <c r="DJ4" i="24"/>
  <c r="DB4" i="24"/>
  <c r="CT4" i="24"/>
  <c r="CL4" i="24"/>
  <c r="CD4" i="24"/>
  <c r="BV4" i="24"/>
  <c r="BN4" i="24"/>
  <c r="BF4" i="24"/>
  <c r="AX4" i="24"/>
  <c r="AP4" i="24"/>
  <c r="AH4" i="24"/>
  <c r="Z4" i="24"/>
  <c r="R4" i="24"/>
  <c r="J4" i="24"/>
  <c r="E5" i="24"/>
  <c r="BR4" i="24"/>
  <c r="AL4" i="24"/>
  <c r="K4" i="24"/>
  <c r="CQ5" i="23"/>
  <c r="CI5" i="23"/>
  <c r="CA5" i="23"/>
  <c r="BS5" i="23"/>
  <c r="BK5" i="23"/>
  <c r="BC5" i="23"/>
  <c r="AU5" i="23"/>
  <c r="AM5" i="23"/>
  <c r="AE5" i="23"/>
  <c r="W5" i="23"/>
  <c r="O5" i="23"/>
  <c r="G5" i="23"/>
  <c r="DP4" i="23"/>
  <c r="DH4" i="23"/>
  <c r="CZ4" i="23"/>
  <c r="CR4" i="23"/>
  <c r="CJ4" i="23"/>
  <c r="CB4" i="23"/>
  <c r="BT4" i="23"/>
  <c r="BL4" i="23"/>
  <c r="BD4" i="23"/>
  <c r="AV4" i="23"/>
  <c r="AN4" i="23"/>
  <c r="AF4" i="23"/>
  <c r="X4" i="23"/>
  <c r="P4" i="23"/>
  <c r="H4" i="23"/>
  <c r="CR5" i="22"/>
  <c r="CJ5" i="22"/>
  <c r="CB5" i="22"/>
  <c r="BT5" i="22"/>
  <c r="BL5" i="22"/>
  <c r="BD5" i="22"/>
  <c r="AV5" i="22"/>
  <c r="AN5" i="22"/>
  <c r="AF5" i="22"/>
  <c r="X5" i="22"/>
  <c r="P5" i="22"/>
  <c r="H5" i="22"/>
  <c r="DQ4" i="22"/>
  <c r="DI4" i="22"/>
  <c r="DA4" i="22"/>
  <c r="CS4" i="22"/>
  <c r="CK4" i="22"/>
  <c r="CC4" i="22"/>
  <c r="BU4" i="22"/>
  <c r="BM4" i="22"/>
  <c r="BE4" i="22"/>
  <c r="AW4" i="22"/>
  <c r="AO4" i="22"/>
  <c r="AG4" i="22"/>
  <c r="Y4" i="22"/>
  <c r="Q4" i="22"/>
  <c r="I4" i="22"/>
  <c r="K5" i="21"/>
  <c r="C5" i="21"/>
  <c r="DL4" i="21"/>
  <c r="DD4" i="21"/>
  <c r="CV4" i="21"/>
  <c r="CN4" i="21"/>
  <c r="CF4" i="21"/>
  <c r="BX4" i="21"/>
  <c r="BP4" i="21"/>
  <c r="BH4" i="21"/>
  <c r="AZ4" i="21"/>
  <c r="AR4" i="21"/>
  <c r="AJ4" i="21"/>
  <c r="AB4" i="21"/>
  <c r="T4" i="21"/>
  <c r="L4" i="21"/>
  <c r="D4" i="21"/>
  <c r="AF5" i="20"/>
  <c r="X5" i="20"/>
  <c r="P5" i="20"/>
  <c r="H5" i="20"/>
  <c r="G4" i="20"/>
  <c r="AI5" i="19"/>
  <c r="AA5" i="19"/>
  <c r="S5" i="19"/>
  <c r="K5" i="19"/>
  <c r="C5" i="19"/>
  <c r="B4" i="19"/>
  <c r="AD5" i="18"/>
  <c r="V5" i="18"/>
  <c r="N5" i="18"/>
  <c r="F5" i="18"/>
  <c r="E4" i="18"/>
  <c r="AG5" i="17"/>
  <c r="Y5" i="17"/>
  <c r="Q5" i="17"/>
  <c r="I5" i="17"/>
  <c r="A5" i="17"/>
  <c r="AJ5" i="16"/>
  <c r="AB5" i="16"/>
  <c r="T5" i="16"/>
  <c r="L5" i="16"/>
  <c r="D5" i="16"/>
  <c r="C4" i="16"/>
  <c r="AR5" i="15"/>
  <c r="AJ5" i="15"/>
  <c r="AB5" i="15"/>
  <c r="T5" i="15"/>
  <c r="L5" i="15"/>
  <c r="D5" i="15"/>
  <c r="AP4" i="15"/>
  <c r="AH4" i="15"/>
  <c r="Z4" i="15"/>
  <c r="R4" i="15"/>
  <c r="J4" i="15"/>
  <c r="B4" i="15"/>
  <c r="AU5" i="14"/>
  <c r="AM5" i="14"/>
  <c r="AE5" i="14"/>
  <c r="W5" i="14"/>
  <c r="O5" i="14"/>
  <c r="G5" i="14"/>
  <c r="AS4" i="14"/>
  <c r="AK4" i="14"/>
  <c r="AC4" i="14"/>
  <c r="U4" i="14"/>
  <c r="M4" i="14"/>
  <c r="E4" i="14"/>
  <c r="F5" i="13"/>
  <c r="DN4" i="24"/>
  <c r="BK4" i="24"/>
  <c r="AE4" i="24"/>
  <c r="G4" i="24"/>
  <c r="CP5" i="23"/>
  <c r="CH5" i="23"/>
  <c r="BZ5" i="23"/>
  <c r="BR5" i="23"/>
  <c r="BJ5" i="23"/>
  <c r="BB5" i="23"/>
  <c r="AT5" i="23"/>
  <c r="AL5" i="23"/>
  <c r="AD5" i="23"/>
  <c r="V5" i="23"/>
  <c r="N5" i="23"/>
  <c r="F5" i="23"/>
  <c r="DO4" i="23"/>
  <c r="DG4" i="23"/>
  <c r="CY4" i="23"/>
  <c r="CQ4" i="23"/>
  <c r="CI4" i="23"/>
  <c r="CA4" i="23"/>
  <c r="BS4" i="23"/>
  <c r="BK4" i="23"/>
  <c r="BC4" i="23"/>
  <c r="AU4" i="23"/>
  <c r="AM4" i="23"/>
  <c r="AE4" i="23"/>
  <c r="W4" i="23"/>
  <c r="O4" i="23"/>
  <c r="G4" i="23"/>
  <c r="CQ5" i="22"/>
  <c r="CI5" i="22"/>
  <c r="CA5" i="22"/>
  <c r="BS5" i="22"/>
  <c r="BK5" i="22"/>
  <c r="BC5" i="22"/>
  <c r="AU5" i="22"/>
  <c r="AM5" i="22"/>
  <c r="AE5" i="22"/>
  <c r="W5" i="22"/>
  <c r="O5" i="22"/>
  <c r="G5" i="22"/>
  <c r="DP4" i="22"/>
  <c r="DH4" i="22"/>
  <c r="CZ4" i="22"/>
  <c r="CR4" i="22"/>
  <c r="CJ4" i="22"/>
  <c r="CB4" i="22"/>
  <c r="BT4" i="22"/>
  <c r="BL4" i="22"/>
  <c r="BD4" i="22"/>
  <c r="AV4" i="22"/>
  <c r="AN4" i="22"/>
  <c r="AF4" i="22"/>
  <c r="X4" i="22"/>
  <c r="P4" i="22"/>
  <c r="H4" i="22"/>
  <c r="R5" i="21"/>
  <c r="J5" i="21"/>
  <c r="B5" i="21"/>
  <c r="DK4" i="21"/>
  <c r="DC4" i="21"/>
  <c r="CU4" i="21"/>
  <c r="CM4" i="21"/>
  <c r="CE4" i="21"/>
  <c r="BW4" i="21"/>
  <c r="BO4" i="21"/>
  <c r="BG4" i="21"/>
  <c r="AY4" i="21"/>
  <c r="AQ4" i="21"/>
  <c r="AI4" i="21"/>
  <c r="AA4" i="21"/>
  <c r="S4" i="21"/>
  <c r="K4" i="21"/>
  <c r="C4" i="21"/>
  <c r="AE5" i="20"/>
  <c r="W5" i="20"/>
  <c r="O5" i="20"/>
  <c r="G5" i="20"/>
  <c r="F4" i="20"/>
  <c r="AH5" i="19"/>
  <c r="Z5" i="19"/>
  <c r="R5" i="19"/>
  <c r="J5" i="19"/>
  <c r="B5" i="19"/>
  <c r="AC5" i="18"/>
  <c r="U5" i="18"/>
  <c r="M5" i="18"/>
  <c r="E5" i="18"/>
  <c r="D4" i="18"/>
  <c r="AF5" i="17"/>
  <c r="X5" i="17"/>
  <c r="P5" i="17"/>
  <c r="H5" i="17"/>
  <c r="G4" i="17"/>
  <c r="AI5" i="16"/>
  <c r="AA5" i="16"/>
  <c r="S5" i="16"/>
  <c r="K5" i="16"/>
  <c r="C5" i="16"/>
  <c r="B4" i="16"/>
  <c r="AQ5" i="15"/>
  <c r="AI5" i="15"/>
  <c r="AA5" i="15"/>
  <c r="S5" i="15"/>
  <c r="K5" i="15"/>
  <c r="C5" i="15"/>
  <c r="AO4" i="15"/>
  <c r="AG4" i="15"/>
  <c r="Y4" i="15"/>
  <c r="Q4" i="15"/>
  <c r="I4" i="15"/>
  <c r="AT5" i="14"/>
  <c r="AL5" i="14"/>
  <c r="AD5" i="14"/>
  <c r="V5" i="14"/>
  <c r="N5" i="14"/>
  <c r="F5" i="14"/>
  <c r="AR4" i="14"/>
  <c r="AJ4" i="14"/>
  <c r="AB4" i="14"/>
  <c r="T4" i="14"/>
  <c r="L4" i="14"/>
  <c r="DF4" i="24"/>
  <c r="BJ4" i="24"/>
  <c r="AD4" i="24"/>
  <c r="F4" i="24"/>
  <c r="CO5" i="23"/>
  <c r="CG5" i="23"/>
  <c r="BY5" i="23"/>
  <c r="BQ5" i="23"/>
  <c r="BI5" i="23"/>
  <c r="BA5" i="23"/>
  <c r="AS5" i="23"/>
  <c r="AK5" i="23"/>
  <c r="AC5" i="23"/>
  <c r="U5" i="23"/>
  <c r="M5" i="23"/>
  <c r="E5" i="23"/>
  <c r="DN4" i="23"/>
  <c r="DF4" i="23"/>
  <c r="CX4" i="23"/>
  <c r="CP4" i="23"/>
  <c r="CH4" i="23"/>
  <c r="BZ4" i="23"/>
  <c r="BR4" i="23"/>
  <c r="BJ4" i="23"/>
  <c r="BB4" i="23"/>
  <c r="AT4" i="23"/>
  <c r="AL4" i="23"/>
  <c r="AD4" i="23"/>
  <c r="V4" i="23"/>
  <c r="N4" i="23"/>
  <c r="F4" i="23"/>
  <c r="CP5" i="22"/>
  <c r="CH5" i="22"/>
  <c r="BZ5" i="22"/>
  <c r="BR5" i="22"/>
  <c r="BJ5" i="22"/>
  <c r="BB5" i="22"/>
  <c r="AT5" i="22"/>
  <c r="AL5" i="22"/>
  <c r="AD5" i="22"/>
  <c r="V5" i="22"/>
  <c r="N5" i="22"/>
  <c r="F5" i="22"/>
  <c r="DO4" i="22"/>
  <c r="DG4" i="22"/>
  <c r="CY4" i="22"/>
  <c r="CQ4" i="22"/>
  <c r="CI4" i="22"/>
  <c r="CA4" i="22"/>
  <c r="BS4" i="22"/>
  <c r="BK4" i="22"/>
  <c r="BC4" i="22"/>
  <c r="AU4" i="22"/>
  <c r="AM4" i="22"/>
  <c r="AE4" i="22"/>
  <c r="W4" i="22"/>
  <c r="O4" i="22"/>
  <c r="G4" i="22"/>
  <c r="Q5" i="21"/>
  <c r="I5" i="21"/>
  <c r="A5" i="21"/>
  <c r="DJ4" i="21"/>
  <c r="DB4" i="21"/>
  <c r="CT4" i="21"/>
  <c r="CL4" i="21"/>
  <c r="CD4" i="21"/>
  <c r="BV4" i="21"/>
  <c r="BN4" i="21"/>
  <c r="BF4" i="21"/>
  <c r="AX4" i="21"/>
  <c r="AP4" i="21"/>
  <c r="AH4" i="21"/>
  <c r="Z4" i="21"/>
  <c r="R4" i="21"/>
  <c r="J4" i="21"/>
  <c r="B4" i="21"/>
  <c r="AD5" i="20"/>
  <c r="V5" i="20"/>
  <c r="N5" i="20"/>
  <c r="F5" i="20"/>
  <c r="E4" i="20"/>
  <c r="AG5" i="19"/>
  <c r="Y5" i="19"/>
  <c r="Q5" i="19"/>
  <c r="I5" i="19"/>
  <c r="A5" i="19"/>
  <c r="AJ5" i="18"/>
  <c r="AB5" i="18"/>
  <c r="T5" i="18"/>
  <c r="L5" i="18"/>
  <c r="D5" i="18"/>
  <c r="C4" i="18"/>
  <c r="AE5" i="17"/>
  <c r="W5" i="17"/>
  <c r="O5" i="17"/>
  <c r="G5" i="17"/>
  <c r="F4" i="17"/>
  <c r="AH5" i="16"/>
  <c r="Z5" i="16"/>
  <c r="R5" i="16"/>
  <c r="J5" i="16"/>
  <c r="B5" i="16"/>
  <c r="AP5" i="15"/>
  <c r="AH5" i="15"/>
  <c r="Z5" i="15"/>
  <c r="R5" i="15"/>
  <c r="J5" i="15"/>
  <c r="B5" i="15"/>
  <c r="AN4" i="15"/>
  <c r="AF4" i="15"/>
  <c r="X4" i="15"/>
  <c r="P4" i="15"/>
  <c r="H4" i="15"/>
  <c r="BA5" i="14"/>
  <c r="AS5" i="14"/>
  <c r="AK5" i="14"/>
  <c r="AC5" i="14"/>
  <c r="U5" i="14"/>
  <c r="M5" i="14"/>
  <c r="E5" i="14"/>
  <c r="AQ4" i="14"/>
  <c r="AI4" i="14"/>
  <c r="AA4" i="14"/>
  <c r="S4" i="14"/>
  <c r="K4" i="14"/>
  <c r="C4" i="14"/>
  <c r="D5" i="13"/>
  <c r="CX4" i="24"/>
  <c r="BC4" i="24"/>
  <c r="W4" i="24"/>
  <c r="E4" i="24"/>
  <c r="CN5" i="23"/>
  <c r="CF5" i="23"/>
  <c r="BX5" i="23"/>
  <c r="BP5" i="23"/>
  <c r="BH5" i="23"/>
  <c r="AZ5" i="23"/>
  <c r="AR5" i="23"/>
  <c r="AJ5" i="23"/>
  <c r="AB5" i="23"/>
  <c r="T5" i="23"/>
  <c r="L5" i="23"/>
  <c r="D5" i="23"/>
  <c r="DM4" i="23"/>
  <c r="DE4" i="23"/>
  <c r="CW4" i="23"/>
  <c r="CO4" i="23"/>
  <c r="CG4" i="23"/>
  <c r="BY4" i="23"/>
  <c r="BQ4" i="23"/>
  <c r="BI4" i="23"/>
  <c r="BA4" i="23"/>
  <c r="AS4" i="23"/>
  <c r="AK4" i="23"/>
  <c r="AC4" i="23"/>
  <c r="U4" i="23"/>
  <c r="M4" i="23"/>
  <c r="E4" i="23"/>
  <c r="CO5" i="22"/>
  <c r="CG5" i="22"/>
  <c r="BY5" i="22"/>
  <c r="BQ5" i="22"/>
  <c r="BI5" i="22"/>
  <c r="BA5" i="22"/>
  <c r="AS5" i="22"/>
  <c r="AK5" i="22"/>
  <c r="AC5" i="22"/>
  <c r="U5" i="22"/>
  <c r="M5" i="22"/>
  <c r="E5" i="22"/>
  <c r="DN4" i="22"/>
  <c r="DF4" i="22"/>
  <c r="CX4" i="22"/>
  <c r="CP4" i="22"/>
  <c r="CH4" i="22"/>
  <c r="BZ4" i="22"/>
  <c r="BR4" i="22"/>
  <c r="BJ4" i="22"/>
  <c r="BB4" i="22"/>
  <c r="AT4" i="22"/>
  <c r="AL4" i="22"/>
  <c r="AD4" i="22"/>
  <c r="V4" i="22"/>
  <c r="N4" i="22"/>
  <c r="F4" i="22"/>
  <c r="P5" i="21"/>
  <c r="H5" i="21"/>
  <c r="DQ4" i="21"/>
  <c r="DI4" i="21"/>
  <c r="DA4" i="21"/>
  <c r="CS4" i="21"/>
  <c r="CK4" i="21"/>
  <c r="CC4" i="21"/>
  <c r="BU4" i="21"/>
  <c r="BM4" i="21"/>
  <c r="BE4" i="21"/>
  <c r="AW4" i="21"/>
  <c r="AO4" i="21"/>
  <c r="AG4" i="21"/>
  <c r="Y4" i="21"/>
  <c r="Q4" i="21"/>
  <c r="I4" i="21"/>
  <c r="AC5" i="20"/>
  <c r="U5" i="20"/>
  <c r="M5" i="20"/>
  <c r="E5" i="20"/>
  <c r="D4" i="20"/>
  <c r="AF5" i="19"/>
  <c r="X5" i="19"/>
  <c r="P5" i="19"/>
  <c r="H5" i="19"/>
  <c r="G4" i="19"/>
  <c r="AI5" i="18"/>
  <c r="AA5" i="18"/>
  <c r="S5" i="18"/>
  <c r="K5" i="18"/>
  <c r="C5" i="18"/>
  <c r="B4" i="18"/>
  <c r="AD5" i="17"/>
  <c r="V5" i="17"/>
  <c r="N5" i="17"/>
  <c r="F5" i="17"/>
  <c r="E4" i="17"/>
  <c r="AG5" i="16"/>
  <c r="Y5" i="16"/>
  <c r="Q5" i="16"/>
  <c r="I5" i="16"/>
  <c r="A5" i="16"/>
  <c r="AW5" i="15"/>
  <c r="AO5" i="15"/>
  <c r="AG5" i="15"/>
  <c r="Y5" i="15"/>
  <c r="Q5" i="15"/>
  <c r="I5" i="15"/>
  <c r="A5" i="15"/>
  <c r="AM4" i="15"/>
  <c r="AE4" i="15"/>
  <c r="W4" i="15"/>
  <c r="O4" i="15"/>
  <c r="G4" i="15"/>
  <c r="AZ5" i="14"/>
  <c r="AR5" i="14"/>
  <c r="AJ5" i="14"/>
  <c r="AB5" i="14"/>
  <c r="T5" i="14"/>
  <c r="L5" i="14"/>
  <c r="D5" i="14"/>
  <c r="AP4" i="14"/>
  <c r="AH4" i="14"/>
  <c r="Z4" i="14"/>
  <c r="R4" i="14"/>
  <c r="J4" i="14"/>
  <c r="B4" i="14"/>
  <c r="CP4" i="24"/>
  <c r="BB4" i="24"/>
  <c r="V4" i="24"/>
  <c r="C4" i="24"/>
  <c r="CM5" i="23"/>
  <c r="CE5" i="23"/>
  <c r="BW5" i="23"/>
  <c r="BO5" i="23"/>
  <c r="BG5" i="23"/>
  <c r="AY5" i="23"/>
  <c r="AQ5" i="23"/>
  <c r="AI5" i="23"/>
  <c r="AA5" i="23"/>
  <c r="S5" i="23"/>
  <c r="K5" i="23"/>
  <c r="C5" i="23"/>
  <c r="DL4" i="23"/>
  <c r="DD4" i="23"/>
  <c r="CV4" i="23"/>
  <c r="CN4" i="23"/>
  <c r="CF4" i="23"/>
  <c r="BX4" i="23"/>
  <c r="BP4" i="23"/>
  <c r="BH4" i="23"/>
  <c r="AZ4" i="23"/>
  <c r="AR4" i="23"/>
  <c r="AJ4" i="23"/>
  <c r="AB4" i="23"/>
  <c r="T4" i="23"/>
  <c r="L4" i="23"/>
  <c r="D4" i="23"/>
  <c r="CN5" i="22"/>
  <c r="CF5" i="22"/>
  <c r="BX5" i="22"/>
  <c r="BP5" i="22"/>
  <c r="BH5" i="22"/>
  <c r="AZ5" i="22"/>
  <c r="AR5" i="22"/>
  <c r="AJ5" i="22"/>
  <c r="AB5" i="22"/>
  <c r="T5" i="22"/>
  <c r="L5" i="22"/>
  <c r="D5" i="22"/>
  <c r="DM4" i="22"/>
  <c r="DE4" i="22"/>
  <c r="CW4" i="22"/>
  <c r="CO4" i="22"/>
  <c r="CG4" i="22"/>
  <c r="BY4" i="22"/>
  <c r="BQ4" i="22"/>
  <c r="BI4" i="22"/>
  <c r="BA4" i="22"/>
  <c r="AS4" i="22"/>
  <c r="AK4" i="22"/>
  <c r="AC4" i="22"/>
  <c r="U4" i="22"/>
  <c r="M4" i="22"/>
  <c r="E4" i="22"/>
  <c r="O5" i="21"/>
  <c r="G5" i="21"/>
  <c r="DP4" i="21"/>
  <c r="DH4" i="21"/>
  <c r="CZ4" i="21"/>
  <c r="CR4" i="21"/>
  <c r="CJ4" i="21"/>
  <c r="CB4" i="21"/>
  <c r="BT4" i="21"/>
  <c r="BL4" i="21"/>
  <c r="BD4" i="21"/>
  <c r="AV4" i="21"/>
  <c r="AN4" i="21"/>
  <c r="AF4" i="21"/>
  <c r="X4" i="21"/>
  <c r="P4" i="21"/>
  <c r="H4" i="21"/>
  <c r="AJ5" i="20"/>
  <c r="AB5" i="20"/>
  <c r="T5" i="20"/>
  <c r="L5" i="20"/>
  <c r="D5" i="20"/>
  <c r="C4" i="20"/>
  <c r="AE5" i="19"/>
  <c r="W5" i="19"/>
  <c r="O5" i="19"/>
  <c r="G5" i="19"/>
  <c r="F4" i="19"/>
  <c r="AH5" i="18"/>
  <c r="Z5" i="18"/>
  <c r="R5" i="18"/>
  <c r="J5" i="18"/>
  <c r="B5" i="18"/>
  <c r="AC5" i="17"/>
  <c r="U5" i="17"/>
  <c r="M5" i="17"/>
  <c r="E5" i="17"/>
  <c r="D4" i="17"/>
  <c r="AF5" i="16"/>
  <c r="X5" i="16"/>
  <c r="P5" i="16"/>
  <c r="H5" i="16"/>
  <c r="G4" i="16"/>
  <c r="AV5" i="15"/>
  <c r="AN5" i="15"/>
  <c r="AF5" i="15"/>
  <c r="X5" i="15"/>
  <c r="P5" i="15"/>
  <c r="H5" i="15"/>
  <c r="AT4" i="15"/>
  <c r="AL4" i="15"/>
  <c r="AD4" i="15"/>
  <c r="V4" i="15"/>
  <c r="N4" i="15"/>
  <c r="F4" i="15"/>
  <c r="AY5" i="14"/>
  <c r="AQ5" i="14"/>
  <c r="AI5" i="14"/>
  <c r="AA5" i="14"/>
  <c r="S5" i="14"/>
  <c r="K5" i="14"/>
  <c r="C5" i="14"/>
  <c r="AO4" i="14"/>
  <c r="AG4" i="14"/>
  <c r="Y4" i="14"/>
  <c r="Q4" i="14"/>
  <c r="I4" i="14"/>
  <c r="CH4" i="24"/>
  <c r="AU4" i="24"/>
  <c r="S4" i="24"/>
  <c r="B4" i="24"/>
  <c r="CL5" i="23"/>
  <c r="CD5" i="23"/>
  <c r="BV5" i="23"/>
  <c r="BN5" i="23"/>
  <c r="BF5" i="23"/>
  <c r="AX5" i="23"/>
  <c r="AP5" i="23"/>
  <c r="AH5" i="23"/>
  <c r="Z5" i="23"/>
  <c r="R5" i="23"/>
  <c r="J5" i="23"/>
  <c r="B5" i="23"/>
  <c r="DK4" i="23"/>
  <c r="DC4" i="23"/>
  <c r="CU4" i="23"/>
  <c r="CM4" i="23"/>
  <c r="CE4" i="23"/>
  <c r="BW4" i="23"/>
  <c r="BO4" i="23"/>
  <c r="BG4" i="23"/>
  <c r="AY4" i="23"/>
  <c r="AQ4" i="23"/>
  <c r="AI4" i="23"/>
  <c r="AA4" i="23"/>
  <c r="S4" i="23"/>
  <c r="K4" i="23"/>
  <c r="C4" i="23"/>
  <c r="CM5" i="22"/>
  <c r="CE5" i="22"/>
  <c r="BW5" i="22"/>
  <c r="BO5" i="22"/>
  <c r="BG5" i="22"/>
  <c r="AY5" i="22"/>
  <c r="AQ5" i="22"/>
  <c r="AI5" i="22"/>
  <c r="AA5" i="22"/>
  <c r="S5" i="22"/>
  <c r="K5" i="22"/>
  <c r="C5" i="22"/>
  <c r="DL4" i="22"/>
  <c r="DD4" i="22"/>
  <c r="CV4" i="22"/>
  <c r="CN4" i="22"/>
  <c r="CF4" i="22"/>
  <c r="BX4" i="22"/>
  <c r="BP4" i="22"/>
  <c r="BH4" i="22"/>
  <c r="AZ4" i="22"/>
  <c r="AR4" i="22"/>
  <c r="AJ4" i="22"/>
  <c r="AB4" i="22"/>
  <c r="T4" i="22"/>
  <c r="L4" i="22"/>
  <c r="D4" i="22"/>
  <c r="N5" i="21"/>
  <c r="F5" i="21"/>
  <c r="DO4" i="21"/>
  <c r="DG4" i="21"/>
  <c r="CY4" i="21"/>
  <c r="CQ4" i="21"/>
  <c r="CI4" i="21"/>
  <c r="CA4" i="21"/>
  <c r="BS4" i="21"/>
  <c r="BK4" i="21"/>
  <c r="BC4" i="21"/>
  <c r="AU4" i="21"/>
  <c r="AM4" i="21"/>
  <c r="AE4" i="21"/>
  <c r="W4" i="21"/>
  <c r="O4" i="21"/>
  <c r="G4" i="21"/>
  <c r="AI5" i="20"/>
  <c r="AA5" i="20"/>
  <c r="S5" i="20"/>
  <c r="K5" i="20"/>
  <c r="C5" i="20"/>
  <c r="B4" i="20"/>
  <c r="AD5" i="19"/>
  <c r="V5" i="19"/>
  <c r="N5" i="19"/>
  <c r="F5" i="19"/>
  <c r="E4" i="19"/>
  <c r="AG5" i="18"/>
  <c r="Y5" i="18"/>
  <c r="Q5" i="18"/>
  <c r="I5" i="18"/>
  <c r="A5" i="18"/>
  <c r="AJ5" i="17"/>
  <c r="AB5" i="17"/>
  <c r="T5" i="17"/>
  <c r="L5" i="17"/>
  <c r="D5" i="17"/>
  <c r="C4" i="17"/>
  <c r="AE5" i="16"/>
  <c r="W5" i="16"/>
  <c r="O5" i="16"/>
  <c r="G5" i="16"/>
  <c r="F4" i="16"/>
  <c r="AU5" i="15"/>
  <c r="AM5" i="15"/>
  <c r="AE5" i="15"/>
  <c r="W5" i="15"/>
  <c r="O5" i="15"/>
  <c r="G5" i="15"/>
  <c r="AS4" i="15"/>
  <c r="AK4" i="15"/>
  <c r="AC4" i="15"/>
  <c r="U4" i="15"/>
  <c r="M4" i="15"/>
  <c r="E4" i="15"/>
  <c r="AX5" i="14"/>
  <c r="AP5" i="14"/>
  <c r="AH5" i="14"/>
  <c r="Z5" i="14"/>
  <c r="R5" i="14"/>
  <c r="J5" i="14"/>
  <c r="B5" i="14"/>
  <c r="AN4" i="14"/>
  <c r="AF4" i="14"/>
  <c r="X4" i="14"/>
  <c r="P4" i="14"/>
  <c r="H4" i="14"/>
  <c r="I5" i="13"/>
  <c r="BZ4" i="24"/>
  <c r="AT4" i="24"/>
  <c r="O4" i="24"/>
  <c r="CK5" i="23"/>
  <c r="CC5" i="23"/>
  <c r="BU5" i="23"/>
  <c r="BM5" i="23"/>
  <c r="BE5" i="23"/>
  <c r="AW5" i="23"/>
  <c r="AO5" i="23"/>
  <c r="AG5" i="23"/>
  <c r="Y5" i="23"/>
  <c r="Q5" i="23"/>
  <c r="I5" i="23"/>
  <c r="A5" i="23"/>
  <c r="DJ4" i="23"/>
  <c r="DB4" i="23"/>
  <c r="CT4" i="23"/>
  <c r="CL4" i="23"/>
  <c r="CD4" i="23"/>
  <c r="BV4" i="23"/>
  <c r="BN4" i="23"/>
  <c r="BF4" i="23"/>
  <c r="AX4" i="23"/>
  <c r="AP4" i="23"/>
  <c r="AH4" i="23"/>
  <c r="Z4" i="23"/>
  <c r="R4" i="23"/>
  <c r="J4" i="23"/>
  <c r="B4" i="23"/>
  <c r="CL5" i="22"/>
  <c r="CD5" i="22"/>
  <c r="BV5" i="22"/>
  <c r="BN5" i="22"/>
  <c r="BF5" i="22"/>
  <c r="AX5" i="22"/>
  <c r="AP5" i="22"/>
  <c r="AH5" i="22"/>
  <c r="Z5" i="22"/>
  <c r="R5" i="22"/>
  <c r="J5" i="22"/>
  <c r="B5" i="22"/>
  <c r="DK4" i="22"/>
  <c r="DC4" i="22"/>
  <c r="CU4" i="22"/>
  <c r="CM4" i="22"/>
  <c r="CE4" i="22"/>
  <c r="BW4" i="22"/>
  <c r="BO4" i="22"/>
  <c r="BG4" i="22"/>
  <c r="AY4" i="22"/>
  <c r="AQ4" i="22"/>
  <c r="AI4" i="22"/>
  <c r="AA4" i="22"/>
  <c r="S4" i="22"/>
  <c r="K4" i="22"/>
  <c r="C4" i="22"/>
  <c r="M5" i="21"/>
  <c r="E5" i="21"/>
  <c r="DN4" i="21"/>
  <c r="DF4" i="21"/>
  <c r="CX4" i="21"/>
  <c r="CP4" i="21"/>
  <c r="CH4" i="21"/>
  <c r="BZ4" i="21"/>
  <c r="BR4" i="21"/>
  <c r="BJ4" i="21"/>
  <c r="BB4" i="21"/>
  <c r="AT4" i="21"/>
  <c r="AL4" i="21"/>
  <c r="AD4" i="21"/>
  <c r="V4" i="21"/>
  <c r="N4" i="21"/>
  <c r="F4" i="21"/>
  <c r="AH5" i="20"/>
  <c r="Z5" i="20"/>
  <c r="R5" i="20"/>
  <c r="J5" i="20"/>
  <c r="B5" i="20"/>
  <c r="AC5" i="19"/>
  <c r="U5" i="19"/>
  <c r="M5" i="19"/>
  <c r="E5" i="19"/>
  <c r="D4" i="19"/>
  <c r="AF5" i="18"/>
  <c r="X5" i="18"/>
  <c r="P5" i="18"/>
  <c r="H5" i="18"/>
  <c r="G4" i="18"/>
  <c r="AI5" i="17"/>
  <c r="AA5" i="17"/>
  <c r="S5" i="17"/>
  <c r="K5" i="17"/>
  <c r="C5" i="17"/>
  <c r="B4" i="17"/>
  <c r="AD5" i="16"/>
  <c r="V5" i="16"/>
  <c r="N5" i="16"/>
  <c r="F5" i="16"/>
  <c r="E4" i="16"/>
  <c r="AT5" i="15"/>
  <c r="AL5" i="15"/>
  <c r="AD5" i="15"/>
  <c r="V5" i="15"/>
  <c r="N5" i="15"/>
  <c r="F5" i="15"/>
  <c r="AR4" i="15"/>
  <c r="AJ4" i="15"/>
  <c r="AB4" i="15"/>
  <c r="T4" i="15"/>
  <c r="L4" i="15"/>
  <c r="D4" i="15"/>
  <c r="AW5" i="14"/>
  <c r="AO5" i="14"/>
  <c r="AG5" i="14"/>
  <c r="Y5" i="14"/>
  <c r="Q5" i="14"/>
  <c r="I5" i="14"/>
  <c r="A5" i="14"/>
  <c r="AM4" i="14"/>
  <c r="AE4" i="14"/>
  <c r="W4" i="14"/>
  <c r="O4" i="14"/>
  <c r="G4" i="14"/>
  <c r="H5" i="13"/>
  <c r="BS4" i="24"/>
  <c r="AM4" i="24"/>
  <c r="N4" i="24"/>
  <c r="CR5" i="23"/>
  <c r="CJ5" i="23"/>
  <c r="CB5" i="23"/>
  <c r="BT5" i="23"/>
  <c r="BL5" i="23"/>
  <c r="BD5" i="23"/>
  <c r="AV5" i="23"/>
  <c r="AN5" i="23"/>
  <c r="AF5" i="23"/>
  <c r="X5" i="23"/>
  <c r="P5" i="23"/>
  <c r="H5" i="23"/>
  <c r="DQ4" i="23"/>
  <c r="DI4" i="23"/>
  <c r="DA4" i="23"/>
  <c r="CS4" i="23"/>
  <c r="CK4" i="23"/>
  <c r="CC4" i="23"/>
  <c r="BU4" i="23"/>
  <c r="BM4" i="23"/>
  <c r="BE4" i="23"/>
  <c r="AW4" i="23"/>
  <c r="AO4" i="23"/>
  <c r="AG4" i="23"/>
  <c r="Y4" i="23"/>
  <c r="Q4" i="23"/>
  <c r="I4" i="23"/>
  <c r="CK5" i="22"/>
  <c r="CC5" i="22"/>
  <c r="BU5" i="22"/>
  <c r="BM5" i="22"/>
  <c r="BE5" i="22"/>
  <c r="AW5" i="22"/>
  <c r="AO5" i="22"/>
  <c r="AG5" i="22"/>
  <c r="Y5" i="22"/>
  <c r="Q5" i="22"/>
  <c r="I5" i="22"/>
  <c r="A5" i="22"/>
  <c r="DJ4" i="22"/>
  <c r="DB4" i="22"/>
  <c r="CT4" i="22"/>
  <c r="CL4" i="22"/>
  <c r="CD4" i="22"/>
  <c r="BV4" i="22"/>
  <c r="BN4" i="22"/>
  <c r="BF4" i="22"/>
  <c r="AX4" i="22"/>
  <c r="AP4" i="22"/>
  <c r="AH4" i="22"/>
  <c r="Z4" i="22"/>
  <c r="R4" i="22"/>
  <c r="J4" i="22"/>
  <c r="B4" i="22"/>
  <c r="L5" i="21"/>
  <c r="D5" i="21"/>
  <c r="DM4" i="21"/>
  <c r="DE4" i="21"/>
  <c r="CW4" i="21"/>
  <c r="CO4" i="21"/>
  <c r="CG4" i="21"/>
  <c r="BY4" i="21"/>
  <c r="BQ4" i="21"/>
  <c r="BI4" i="21"/>
  <c r="BA4" i="21"/>
  <c r="AS4" i="21"/>
  <c r="AK4" i="21"/>
  <c r="AC4" i="21"/>
  <c r="U4" i="21"/>
  <c r="M4" i="21"/>
  <c r="E4" i="21"/>
  <c r="AG5" i="20"/>
  <c r="Y5" i="20"/>
  <c r="Q5" i="20"/>
  <c r="I5" i="20"/>
  <c r="A5" i="20"/>
  <c r="AJ5" i="19"/>
  <c r="AB5" i="19"/>
  <c r="T5" i="19"/>
  <c r="L5" i="19"/>
  <c r="D5" i="19"/>
  <c r="C4" i="19"/>
  <c r="AE5" i="18"/>
  <c r="W5" i="18"/>
  <c r="O5" i="18"/>
  <c r="G5" i="18"/>
  <c r="F4" i="18"/>
  <c r="AH5" i="17"/>
  <c r="Z5" i="17"/>
  <c r="R5" i="17"/>
  <c r="J5" i="17"/>
  <c r="B5" i="17"/>
  <c r="AC5" i="16"/>
  <c r="U5" i="16"/>
  <c r="M5" i="16"/>
  <c r="E5" i="16"/>
  <c r="D4" i="16"/>
  <c r="AS5" i="15"/>
  <c r="AK5" i="15"/>
  <c r="AC5" i="15"/>
  <c r="U5" i="15"/>
  <c r="M5" i="15"/>
  <c r="E5" i="15"/>
  <c r="AQ4" i="15"/>
  <c r="AI4" i="15"/>
  <c r="AA4" i="15"/>
  <c r="S4" i="15"/>
  <c r="K4" i="15"/>
  <c r="C4" i="15"/>
  <c r="AV5" i="14"/>
  <c r="AN5" i="14"/>
  <c r="AF5" i="14"/>
  <c r="X5" i="14"/>
  <c r="P5" i="14"/>
  <c r="H5" i="14"/>
  <c r="AT4" i="14"/>
  <c r="AL4" i="14"/>
  <c r="AD4" i="14"/>
  <c r="V4" i="14"/>
  <c r="N4" i="14"/>
  <c r="F4" i="14"/>
  <c r="D4" i="14"/>
  <c r="P4" i="13"/>
  <c r="H4" i="13"/>
  <c r="R5" i="12"/>
  <c r="J5" i="12"/>
  <c r="B5" i="12"/>
  <c r="K4" i="12"/>
  <c r="C4" i="12"/>
  <c r="E5" i="11"/>
  <c r="N4" i="11"/>
  <c r="F4" i="11"/>
  <c r="G5" i="10"/>
  <c r="P4" i="10"/>
  <c r="H4" i="10"/>
  <c r="R5" i="9"/>
  <c r="J5" i="9"/>
  <c r="B5" i="9"/>
  <c r="K4" i="9"/>
  <c r="C4" i="9"/>
  <c r="E5" i="8"/>
  <c r="N4" i="8"/>
  <c r="F4" i="8"/>
  <c r="R5" i="7"/>
  <c r="J5" i="7"/>
  <c r="B5" i="7"/>
  <c r="AN5" i="6"/>
  <c r="AF5" i="6"/>
  <c r="X5" i="6"/>
  <c r="P5" i="6"/>
  <c r="H5" i="6"/>
  <c r="T4" i="6"/>
  <c r="L4" i="6"/>
  <c r="D4" i="6"/>
  <c r="AG4" i="5"/>
  <c r="Y4" i="5"/>
  <c r="Q4" i="5"/>
  <c r="I4" i="5"/>
  <c r="AE4" i="4"/>
  <c r="W4" i="4"/>
  <c r="O4" i="4"/>
  <c r="G4" i="4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O4" i="13"/>
  <c r="G4" i="13"/>
  <c r="Q5" i="12"/>
  <c r="I5" i="12"/>
  <c r="A5" i="12"/>
  <c r="J4" i="12"/>
  <c r="B4" i="12"/>
  <c r="D5" i="11"/>
  <c r="M4" i="11"/>
  <c r="E4" i="11"/>
  <c r="F5" i="10"/>
  <c r="O4" i="10"/>
  <c r="G4" i="10"/>
  <c r="Q5" i="9"/>
  <c r="I5" i="9"/>
  <c r="A5" i="9"/>
  <c r="J4" i="9"/>
  <c r="B4" i="9"/>
  <c r="D5" i="8"/>
  <c r="M4" i="8"/>
  <c r="E4" i="8"/>
  <c r="Q5" i="7"/>
  <c r="I5" i="7"/>
  <c r="A5" i="7"/>
  <c r="AM5" i="6"/>
  <c r="AE5" i="6"/>
  <c r="W5" i="6"/>
  <c r="O5" i="6"/>
  <c r="G5" i="6"/>
  <c r="S4" i="6"/>
  <c r="K4" i="6"/>
  <c r="C4" i="6"/>
  <c r="AF4" i="5"/>
  <c r="X4" i="5"/>
  <c r="P4" i="5"/>
  <c r="H4" i="5"/>
  <c r="AD4" i="4"/>
  <c r="V4" i="4"/>
  <c r="N4" i="4"/>
  <c r="F4" i="4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G5" i="13"/>
  <c r="N4" i="13"/>
  <c r="F4" i="13"/>
  <c r="P5" i="12"/>
  <c r="H5" i="12"/>
  <c r="Q4" i="12"/>
  <c r="I4" i="12"/>
  <c r="C5" i="11"/>
  <c r="L4" i="11"/>
  <c r="D4" i="11"/>
  <c r="E5" i="10"/>
  <c r="N4" i="10"/>
  <c r="F4" i="10"/>
  <c r="P5" i="9"/>
  <c r="H5" i="9"/>
  <c r="Q4" i="9"/>
  <c r="I4" i="9"/>
  <c r="C5" i="8"/>
  <c r="L4" i="8"/>
  <c r="D4" i="8"/>
  <c r="P5" i="7"/>
  <c r="H5" i="7"/>
  <c r="E4" i="7"/>
  <c r="AL5" i="6"/>
  <c r="AD5" i="6"/>
  <c r="V5" i="6"/>
  <c r="N5" i="6"/>
  <c r="F5" i="6"/>
  <c r="R4" i="6"/>
  <c r="J4" i="6"/>
  <c r="B4" i="6"/>
  <c r="AE4" i="5"/>
  <c r="W4" i="5"/>
  <c r="O4" i="5"/>
  <c r="G4" i="5"/>
  <c r="AC4" i="4"/>
  <c r="U4" i="4"/>
  <c r="M4" i="4"/>
  <c r="E4" i="4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E5" i="13"/>
  <c r="M4" i="13"/>
  <c r="E4" i="13"/>
  <c r="O5" i="12"/>
  <c r="G5" i="12"/>
  <c r="P4" i="12"/>
  <c r="H4" i="12"/>
  <c r="J5" i="11"/>
  <c r="B5" i="11"/>
  <c r="K4" i="11"/>
  <c r="C4" i="11"/>
  <c r="D5" i="10"/>
  <c r="M4" i="10"/>
  <c r="E4" i="10"/>
  <c r="O5" i="9"/>
  <c r="G5" i="9"/>
  <c r="P4" i="9"/>
  <c r="H4" i="9"/>
  <c r="J5" i="8"/>
  <c r="B5" i="8"/>
  <c r="K4" i="8"/>
  <c r="C4" i="8"/>
  <c r="O5" i="7"/>
  <c r="G5" i="7"/>
  <c r="D4" i="7"/>
  <c r="AK5" i="6"/>
  <c r="AC5" i="6"/>
  <c r="U5" i="6"/>
  <c r="M5" i="6"/>
  <c r="E5" i="6"/>
  <c r="Q4" i="6"/>
  <c r="I4" i="6"/>
  <c r="AD4" i="5"/>
  <c r="V4" i="5"/>
  <c r="N4" i="5"/>
  <c r="F4" i="5"/>
  <c r="C5" i="4"/>
  <c r="AB4" i="4"/>
  <c r="T4" i="4"/>
  <c r="L4" i="4"/>
  <c r="D4" i="4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C5" i="13"/>
  <c r="L4" i="13"/>
  <c r="D4" i="13"/>
  <c r="N5" i="12"/>
  <c r="F5" i="12"/>
  <c r="O4" i="12"/>
  <c r="G4" i="12"/>
  <c r="I5" i="11"/>
  <c r="A5" i="11"/>
  <c r="J4" i="11"/>
  <c r="B4" i="11"/>
  <c r="C5" i="10"/>
  <c r="L4" i="10"/>
  <c r="D4" i="10"/>
  <c r="N5" i="9"/>
  <c r="F5" i="9"/>
  <c r="O4" i="9"/>
  <c r="G4" i="9"/>
  <c r="I5" i="8"/>
  <c r="A5" i="8"/>
  <c r="J4" i="8"/>
  <c r="B4" i="8"/>
  <c r="N5" i="7"/>
  <c r="F5" i="7"/>
  <c r="C4" i="7"/>
  <c r="AJ5" i="6"/>
  <c r="AB5" i="6"/>
  <c r="T5" i="6"/>
  <c r="L5" i="6"/>
  <c r="D5" i="6"/>
  <c r="P4" i="6"/>
  <c r="H4" i="6"/>
  <c r="D5" i="5"/>
  <c r="AC4" i="5"/>
  <c r="U4" i="5"/>
  <c r="M4" i="5"/>
  <c r="E4" i="5"/>
  <c r="B5" i="4"/>
  <c r="AA4" i="4"/>
  <c r="S4" i="4"/>
  <c r="K4" i="4"/>
  <c r="C4" i="4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B5" i="13"/>
  <c r="K4" i="13"/>
  <c r="C4" i="13"/>
  <c r="M5" i="12"/>
  <c r="E5" i="12"/>
  <c r="N4" i="12"/>
  <c r="F4" i="12"/>
  <c r="H5" i="11"/>
  <c r="Q4" i="11"/>
  <c r="I4" i="11"/>
  <c r="B5" i="10"/>
  <c r="K4" i="10"/>
  <c r="C4" i="10"/>
  <c r="M5" i="9"/>
  <c r="E5" i="9"/>
  <c r="N4" i="9"/>
  <c r="F4" i="9"/>
  <c r="H5" i="8"/>
  <c r="Q4" i="8"/>
  <c r="I4" i="8"/>
  <c r="M5" i="7"/>
  <c r="E5" i="7"/>
  <c r="B4" i="7"/>
  <c r="AI5" i="6"/>
  <c r="AA5" i="6"/>
  <c r="S5" i="6"/>
  <c r="K5" i="6"/>
  <c r="C5" i="6"/>
  <c r="O4" i="6"/>
  <c r="G4" i="6"/>
  <c r="C5" i="5"/>
  <c r="AB4" i="5"/>
  <c r="T4" i="5"/>
  <c r="L4" i="5"/>
  <c r="D4" i="5"/>
  <c r="A5" i="4"/>
  <c r="Z4" i="4"/>
  <c r="R4" i="4"/>
  <c r="J4" i="4"/>
  <c r="B4" i="4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A5" i="13"/>
  <c r="J4" i="13"/>
  <c r="B4" i="13"/>
  <c r="L5" i="12"/>
  <c r="D5" i="12"/>
  <c r="M4" i="12"/>
  <c r="E4" i="12"/>
  <c r="G5" i="11"/>
  <c r="P4" i="11"/>
  <c r="H4" i="11"/>
  <c r="I5" i="10"/>
  <c r="A5" i="10"/>
  <c r="J4" i="10"/>
  <c r="B4" i="10"/>
  <c r="L5" i="9"/>
  <c r="D5" i="9"/>
  <c r="M4" i="9"/>
  <c r="E4" i="9"/>
  <c r="G5" i="8"/>
  <c r="P4" i="8"/>
  <c r="H4" i="8"/>
  <c r="T5" i="7"/>
  <c r="L5" i="7"/>
  <c r="D5" i="7"/>
  <c r="AH5" i="6"/>
  <c r="Z5" i="6"/>
  <c r="R5" i="6"/>
  <c r="J5" i="6"/>
  <c r="B5" i="6"/>
  <c r="N4" i="6"/>
  <c r="F4" i="6"/>
  <c r="B5" i="5"/>
  <c r="AA4" i="5"/>
  <c r="S4" i="5"/>
  <c r="K4" i="5"/>
  <c r="C4" i="5"/>
  <c r="AG4" i="4"/>
  <c r="Y4" i="4"/>
  <c r="Q4" i="4"/>
  <c r="I4" i="4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Q4" i="13"/>
  <c r="I4" i="13"/>
  <c r="K5" i="12"/>
  <c r="C5" i="12"/>
  <c r="L4" i="12"/>
  <c r="D4" i="12"/>
  <c r="F5" i="11"/>
  <c r="O4" i="11"/>
  <c r="G4" i="11"/>
  <c r="H5" i="10"/>
  <c r="Q4" i="10"/>
  <c r="I4" i="10"/>
  <c r="K5" i="9"/>
  <c r="C5" i="9"/>
  <c r="L4" i="9"/>
  <c r="D4" i="9"/>
  <c r="F5" i="8"/>
  <c r="O4" i="8"/>
  <c r="G4" i="8"/>
  <c r="S5" i="7"/>
  <c r="K5" i="7"/>
  <c r="C5" i="7"/>
  <c r="AO5" i="6"/>
  <c r="AG5" i="6"/>
  <c r="Y5" i="6"/>
  <c r="Q5" i="6"/>
  <c r="I5" i="6"/>
  <c r="A5" i="6"/>
  <c r="M4" i="6"/>
  <c r="E4" i="6"/>
  <c r="A5" i="5"/>
  <c r="Z4" i="5"/>
  <c r="R4" i="5"/>
  <c r="J4" i="5"/>
  <c r="B4" i="5"/>
  <c r="AF4" i="4"/>
  <c r="X4" i="4"/>
  <c r="P4" i="4"/>
  <c r="H4" i="4"/>
  <c r="A4" i="3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B290" i="1"/>
  <c r="A272" i="1"/>
  <c r="B261" i="1"/>
  <c r="A253" i="1"/>
  <c r="B245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C287" i="1"/>
  <c r="C271" i="1"/>
  <c r="A261" i="1"/>
  <c r="A252" i="1"/>
  <c r="A245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A285" i="1"/>
  <c r="B269" i="1"/>
  <c r="C258" i="1"/>
  <c r="C250" i="1"/>
  <c r="A244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B282" i="1"/>
  <c r="A269" i="1"/>
  <c r="B258" i="1"/>
  <c r="B250" i="1"/>
  <c r="C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C279" i="1"/>
  <c r="C266" i="1"/>
  <c r="A256" i="1"/>
  <c r="B249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A277" i="1"/>
  <c r="B266" i="1"/>
  <c r="C255" i="1"/>
  <c r="A248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C274" i="1"/>
  <c r="A264" i="1"/>
  <c r="C254" i="1"/>
  <c r="C247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B274" i="1"/>
  <c r="C263" i="1"/>
  <c r="B253" i="1"/>
  <c r="C246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</calcChain>
</file>

<file path=xl/sharedStrings.xml><?xml version="1.0" encoding="utf-8"?>
<sst xmlns="http://schemas.openxmlformats.org/spreadsheetml/2006/main" count="328" uniqueCount="56">
  <si>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</si>
  <si>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</si>
  <si>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</si>
  <si>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</si>
  <si>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</si>
  <si>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</si>
  <si>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</si>
  <si>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</si>
  <si>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</si>
  <si>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</si>
  <si>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</si>
  <si>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</si>
  <si>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</si>
  <si>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</si>
  <si>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</si>
  <si>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</si>
  <si>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</si>
  <si>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</si>
  <si>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</si>
  <si>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</si>
  <si>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</si>
  <si>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</si>
  <si>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</si>
  <si>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</si>
  <si>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PricingInput</t>
  </si>
  <si>
    <t>PTT</t>
  </si>
  <si>
    <t>CalculatePTT</t>
  </si>
  <si>
    <t>Increase</t>
  </si>
  <si>
    <t>Percentage</t>
  </si>
  <si>
    <t>No</t>
  </si>
  <si>
    <t>Account</t>
  </si>
  <si>
    <t>VerifyPTT</t>
  </si>
  <si>
    <t>CreateOrderPTT</t>
  </si>
  <si>
    <t>Decrease</t>
  </si>
  <si>
    <t>Blotter</t>
  </si>
  <si>
    <t>VerifyOrder</t>
  </si>
  <si>
    <t>Equity</t>
  </si>
  <si>
    <t>Filled</t>
  </si>
  <si>
    <t>New</t>
  </si>
  <si>
    <t>Sell</t>
  </si>
  <si>
    <t>MultiTradingTicketFromBlotter</t>
  </si>
  <si>
    <t>MultiTradingTicket</t>
  </si>
  <si>
    <t>SelectTradeUsingMTT</t>
  </si>
  <si>
    <t>EditTradeUsingMTT</t>
  </si>
  <si>
    <t>$#$</t>
  </si>
  <si>
    <t>DoneAwayUsingMTT</t>
  </si>
  <si>
    <t>Allocation</t>
  </si>
  <si>
    <t>GetDataAllocation</t>
  </si>
  <si>
    <t>Current</t>
  </si>
  <si>
    <t>Unallocate</t>
  </si>
  <si>
    <t>SelectUnallocatedGroup</t>
  </si>
  <si>
    <t>EnterCustomAllocatePreference</t>
  </si>
  <si>
    <t>Calculated</t>
  </si>
  <si>
    <t>DeleteGroup</t>
  </si>
  <si>
    <t>CheckAllocatedGroups</t>
  </si>
  <si>
    <t>SharesOutstandingPopUp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</si>
</sst>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8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14" fontId="5" fillId="0" borderId="0" xfId="0" applyNumberFormat="1" applyFont="1" applyAlignment="1"/>
    <xf numFmtId="14" fontId="5" fillId="0" borderId="0" xfId="0" applyNumberFormat="1" applyFont="1" applyAlignment="1"/>
    <xf numFmtId="0" fontId="5" fillId="0" borderId="0" xfId="0" applyFont="1" applyAlignment="1"/>
    <xf numFmtId="0" fontId="5" fillId="0" borderId="5" xfId="0" applyFont="1" applyBorder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3" fillId="0" borderId="5" xfId="0" applyFont="1" applyBorder="1" applyAlignment="1"/>
    <xf numFmtId="0" fontId="5" fillId="0" borderId="0" xfId="0" applyFont="1" applyAlignment="1"/>
    <xf numFmtId="0" fontId="5" fillId="0" borderId="0" xfId="0" applyFont="1" applyAlignment="1"/>
    <xf numFmtId="0" fontId="5" fillId="0" borderId="0" xfId="0" applyFont="1" applyAlignment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3" fillId="0" borderId="5" xfId="0" applyFont="1" applyBorder="1" applyAlignment="1"/>
    <xf numFmtId="0" fontId="5" fillId="0" borderId="5" xfId="0" applyFont="1" applyBorder="1" applyAlignment="1">
      <alignment horizontal="center"/>
    </xf>
    <xf numFmtId="4" fontId="13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41" t="s">
        <v>0</v>
      </c>
      <c r="B1" s="42"/>
      <c r="C1" s="42"/>
      <c r="D1" s="42"/>
      <c r="E1" s="42"/>
      <c r="F1" s="43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IFERROR(__xludf.DUMMYFUNCTION("""COMPUTED_VALUE"""),"undefined")</f>
        <v>undefined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 x14ac:dyDescent="0.2">
      <c r="A461" t="str">
        <f ca="1">IFERROR(__xludf.DUMMYFUNCTION("""COMPUTED_VALUE"""),"Rebalancer")</f>
        <v>Rebalancer</v>
      </c>
      <c r="B461" t="str">
        <f ca="1">IFERROR(__xludf.DUMMYFUNCTION("""COMPUTED_VALUE"""),"RebalanceAcrossSecuritiesViaBloomberg")</f>
        <v>RebalanceAcrossSecuritiesViaBloomberg</v>
      </c>
      <c r="C461" t="str">
        <f ca="1">IFERROR(__xludf.DUMMYFUNCTION("""COMPUTED_VALUE"""),"1z93mn3V8oo4z9cPizVEsKkgznY19l8cLUIZiwvfNHFs")</f>
        <v>1z93mn3V8oo4z9cPizVEsKkgznY19l8cLUIZiwvfNHFs</v>
      </c>
    </row>
    <row r="462" spans="1:3" ht="15.75" customHeight="1" x14ac:dyDescent="0.2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 x14ac:dyDescent="0.2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 x14ac:dyDescent="0.2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 x14ac:dyDescent="0.2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 x14ac:dyDescent="0.2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 x14ac:dyDescent="0.2"/>
    <row r="471" spans="1:3" ht="15.75" customHeight="1" x14ac:dyDescent="0.2"/>
    <row r="472" spans="1:3" ht="15.75" customHeight="1" x14ac:dyDescent="0.2"/>
    <row r="473" spans="1:3" ht="15.75" customHeight="1" x14ac:dyDescent="0.2"/>
    <row r="474" spans="1:3" ht="15.75" customHeight="1" x14ac:dyDescent="0.2"/>
    <row r="475" spans="1:3" ht="15.75" customHeight="1" x14ac:dyDescent="0.2"/>
    <row r="476" spans="1:3" ht="15.75" customHeight="1" x14ac:dyDescent="0.2"/>
    <row r="477" spans="1:3" ht="15.75" customHeight="1" x14ac:dyDescent="0.2"/>
    <row r="478" spans="1:3" ht="15.75" customHeight="1" x14ac:dyDescent="0.2"/>
    <row r="479" spans="1:3" ht="15.75" customHeight="1" x14ac:dyDescent="0.2"/>
    <row r="480" spans="1:3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44" t="s">
        <v>2</v>
      </c>
      <c r="B1" s="42"/>
      <c r="C1" s="43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41" t="s">
        <v>7</v>
      </c>
      <c r="B1" s="42"/>
      <c r="C1" s="42"/>
      <c r="D1" s="42"/>
      <c r="E1" s="42"/>
      <c r="F1" s="43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From")</f>
        <v>Copy From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>
        <f t="shared" ref="B6:C6" ca="1" si="0">TODAY()-1</f>
        <v>44458</v>
      </c>
      <c r="C6" s="26">
        <f t="shared" ca="1" si="0"/>
        <v>44458</v>
      </c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IFERROR(__xludf.DUMMYFUNCTION("""COMPUTED_VALUE"""),"Local Currency")</f>
        <v>Local Currency</v>
      </c>
      <c r="D5" s="22" t="str">
        <f ca="1">IFERROR(__xludf.DUMMYFUNCTION("""COMPUTED_VALUE"""),"Cash Value Local")</f>
        <v>Cash Value Local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17</v>
      </c>
      <c r="C6" s="7" t="s">
        <v>18</v>
      </c>
      <c r="D6" s="7">
        <v>10000</v>
      </c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7" t="s">
        <v>19</v>
      </c>
      <c r="C7" s="7" t="s">
        <v>18</v>
      </c>
      <c r="D7" s="7">
        <v>20000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8" t="s">
        <v>22</v>
      </c>
      <c r="C6" s="29" t="s">
        <v>23</v>
      </c>
      <c r="D6" s="30">
        <v>100</v>
      </c>
      <c r="E6" s="31">
        <v>100</v>
      </c>
      <c r="F6" s="29" t="s">
        <v>17</v>
      </c>
      <c r="G6" s="32"/>
      <c r="H6" s="32"/>
      <c r="I6" s="32"/>
      <c r="J6" s="31">
        <v>20</v>
      </c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24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IFERROR(__xludf.DUMMYFUNCTION("IF(C3="""","""",Transpose(IMPORTRANGE('_Settings'!$B$3,C3&amp;""!A4:A1000"")))"),"PricingInput")</f>
        <v>PricingInput</v>
      </c>
      <c r="C4" s="19" t="str">
        <f ca="1">IFERROR(__xludf.DUMMYFUNCTION("""COMPUTED_VALUE"""),"UpdateSharesOutstanding")</f>
        <v>UpdateSharesOutstanding</v>
      </c>
      <c r="D4" s="19" t="str">
        <f ca="1">IFERROR(__xludf.DUMMYFUNCTION("""COMPUTED_VALUE"""),"EODTPreferences")</f>
        <v>EODTPreferences</v>
      </c>
      <c r="E4" s="19" t="str">
        <f ca="1">IFERROR(__xludf.DUMMYFUNCTION("""COMPUTED_VALUE"""),"LiveData")</f>
        <v>LiveData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IFERROR(__xludf.DUMMYFUNCTION("""COMPUTED_VALUE"""),"User Px")</f>
        <v>User Px</v>
      </c>
      <c r="D5" s="22" t="str">
        <f ca="1">IFERROR(__xludf.DUMMYFUNCTION("""COMPUTED_VALUE"""),"Asset Class")</f>
        <v>Asset Class</v>
      </c>
      <c r="E5" s="22" t="str">
        <f ca="1">IFERROR(__xludf.DUMMYFUNCTION("""COMPUTED_VALUE"""),"Volatility(%)")</f>
        <v>Volatility(%)</v>
      </c>
      <c r="F5" s="23" t="str">
        <f ca="1">IFERROR(__xludf.DUMMYFUNCTION("""COMPUTED_VALUE"""),"Historical Volatility")</f>
        <v>Historical Volatility</v>
      </c>
      <c r="G5" s="22" t="str">
        <f ca="1">IFERROR(__xludf.DUMMYFUNCTION("""COMPUTED_VALUE"""),"User Volatility")</f>
        <v>User Volatility</v>
      </c>
      <c r="H5" s="22" t="str">
        <f ca="1">IFERROR(__xludf.DUMMYFUNCTION("""COMPUTED_VALUE"""),"Interest Rate")</f>
        <v>Interest Rate</v>
      </c>
      <c r="I5" s="22" t="str">
        <f ca="1">IFERROR(__xludf.DUMMYFUNCTION("""COMPUTED_VALUE"""),"User Interest Rate")</f>
        <v>User Interest Rate</v>
      </c>
      <c r="J5" s="22" t="str">
        <f ca="1">IFERROR(__xludf.DUMMYFUNCTION("""COMPUTED_VALUE"""),"Dividend Yield")</f>
        <v>Dividend Yield</v>
      </c>
      <c r="K5" s="22" t="str">
        <f ca="1">IFERROR(__xludf.DUMMYFUNCTION("""COMPUTED_VALUE"""),"User Dividend Yield")</f>
        <v>User Dividend Yield</v>
      </c>
      <c r="L5" s="22" t="str">
        <f ca="1">IFERROR(__xludf.DUMMYFUNCTION("""COMPUTED_VALUE"""),"Actual Delta")</f>
        <v>Actual Delta</v>
      </c>
      <c r="M5" s="22" t="str">
        <f ca="1">IFERROR(__xludf.DUMMYFUNCTION("""COMPUTED_VALUE"""),"User Delta")</f>
        <v>User Delta</v>
      </c>
      <c r="N5" s="22" t="str">
        <f ca="1">IFERROR(__xludf.DUMMYFUNCTION("""COMPUTED_VALUE"""),"Selected Px")</f>
        <v>Selected Px</v>
      </c>
      <c r="O5" s="22" t="str">
        <f ca="1">IFERROR(__xludf.DUMMYFUNCTION("""COMPUTED_VALUE"""),"Forward Points")</f>
        <v>Forward Points</v>
      </c>
      <c r="P5" s="22" t="str">
        <f ca="1">IFERROR(__xludf.DUMMYFUNCTION("""COMPUTED_VALUE"""),"Shares Outstanding")</f>
        <v>Shares Outstanding</v>
      </c>
      <c r="Q5" s="22" t="str">
        <f ca="1">IFERROR(__xludf.DUMMYFUNCTION("""COMPUTED_VALUE"""),"User Shares Outstanding")</f>
        <v>User Shares Outstanding</v>
      </c>
      <c r="R5" s="22" t="str">
        <f ca="1">IFERROR(__xludf.DUMMYFUNCTION("""COMPUTED_VALUE"""),"LastPriceUsed")</f>
        <v>LastPriceUsed</v>
      </c>
      <c r="S5" s="22" t="str">
        <f ca="1">IFERROR(__xludf.DUMMYFUNCTION("""COMPUTED_VALUE"""),"VolatilityUsed")</f>
        <v>VolatilityUsed</v>
      </c>
      <c r="T5" s="24" t="str">
        <f ca="1">IFERROR(__xludf.DUMMYFUNCTION("""COMPUTED_VALUE"""),"IntRateUsed")</f>
        <v>IntRateUsed</v>
      </c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22</v>
      </c>
      <c r="C6" s="7">
        <v>20</v>
      </c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IFERROR(__xludf.DUMMYFUNCTION("""COMPUTED_VALUE"""),"Add/Set")</f>
        <v>Add/Set</v>
      </c>
      <c r="D5" s="22" t="str">
        <f ca="1">IFERROR(__xludf.DUMMYFUNCTION("""COMPUTED_VALUE"""),"Type")</f>
        <v>Type</v>
      </c>
      <c r="E5" s="22" t="str">
        <f ca="1">IFERROR(__xludf.DUMMYFUNCTION("""COMPUTED_VALUE"""),"Target")</f>
        <v>Target</v>
      </c>
      <c r="F5" s="23" t="str">
        <f ca="1">IFERROR(__xludf.DUMMYFUNCTION("""COMPUTED_VALUE"""),"Price")</f>
        <v>Price</v>
      </c>
      <c r="G5" s="22" t="str">
        <f ca="1">IFERROR(__xludf.DUMMYFUNCTION("""COMPUTED_VALUE"""),"Combined Account Total")</f>
        <v>Combined Account Total</v>
      </c>
      <c r="H5" s="22" t="str">
        <f ca="1">IFERROR(__xludf.DUMMYFUNCTION("""COMPUTED_VALUE"""),"MasterFund/Account")</f>
        <v>MasterFund/Account</v>
      </c>
      <c r="I5" s="22" t="str">
        <f ca="1">IFERROR(__xludf.DUMMYFUNCTION("""COMPUTED_VALUE"""),"Accounts")</f>
        <v>Accounts</v>
      </c>
      <c r="J5" s="22" t="str">
        <f ca="1">IFERROR(__xludf.DUMMYFUNCTION("""COMPUTED_VALUE"""),"Master Funds")</f>
        <v>Master Funds</v>
      </c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22</v>
      </c>
      <c r="C6" s="7" t="s">
        <v>27</v>
      </c>
      <c r="D6" s="7" t="s">
        <v>28</v>
      </c>
      <c r="E6" s="7">
        <v>10</v>
      </c>
      <c r="F6" s="7">
        <v>20</v>
      </c>
      <c r="G6" s="7" t="s">
        <v>29</v>
      </c>
      <c r="H6" s="7" t="s">
        <v>30</v>
      </c>
      <c r="I6" s="7" t="s">
        <v>19</v>
      </c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IFERROR(__xludf.DUMMYFUNCTION("""COMPUTED_VALUE"""),"Account NAV")</f>
        <v>Account NAV</v>
      </c>
      <c r="D5" s="22" t="str">
        <f ca="1">IFERROR(__xludf.DUMMYFUNCTION("""COMPUTED_VALUE"""),"Starting Position")</f>
        <v>Starting Position</v>
      </c>
      <c r="E5" s="22" t="str">
        <f ca="1">IFERROR(__xludf.DUMMYFUNCTION("""COMPUTED_VALUE"""),"Starting Value")</f>
        <v>Starting Value</v>
      </c>
      <c r="F5" s="23" t="str">
        <f ca="1">IFERROR(__xludf.DUMMYFUNCTION("""COMPUTED_VALUE"""),"Starting %")</f>
        <v>Starting %</v>
      </c>
      <c r="G5" s="22" t="str">
        <f ca="1">IFERROR(__xludf.DUMMYFUNCTION("""COMPUTED_VALUE"""),"% Change")</f>
        <v>% Change</v>
      </c>
      <c r="H5" s="22" t="str">
        <f ca="1">IFERROR(__xludf.DUMMYFUNCTION("""COMPUTED_VALUE"""),"Ending %")</f>
        <v>Ending %</v>
      </c>
      <c r="I5" s="22" t="str">
        <f ca="1">IFERROR(__xludf.DUMMYFUNCTION("""COMPUTED_VALUE"""),"Trade Quantity")</f>
        <v>Trade Quantity</v>
      </c>
      <c r="J5" s="22" t="str">
        <f ca="1">IFERROR(__xludf.DUMMYFUNCTION("""COMPUTED_VALUE"""),"Ending Position")</f>
        <v>Ending Position</v>
      </c>
      <c r="K5" s="22" t="str">
        <f ca="1">IFERROR(__xludf.DUMMYFUNCTION("""COMPUTED_VALUE"""),"Ending Value")</f>
        <v>Ending Value</v>
      </c>
      <c r="L5" s="22" t="str">
        <f ca="1">IFERROR(__xludf.DUMMYFUNCTION("""COMPUTED_VALUE"""),"% Allocation")</f>
        <v>% Allocation</v>
      </c>
      <c r="M5" s="22" t="str">
        <f ca="1">IFERROR(__xludf.DUMMYFUNCTION("""COMPUTED_VALUE"""),"Fx Rate")</f>
        <v>Fx Rate</v>
      </c>
      <c r="N5" s="22" t="str">
        <f ca="1">IFERROR(__xludf.DUMMYFUNCTION("""COMPUTED_VALUE"""),"Starting BP")</f>
        <v>Starting BP</v>
      </c>
      <c r="O5" s="22" t="str">
        <f ca="1">IFERROR(__xludf.DUMMYFUNCTION("""COMPUTED_VALUE"""),"BP Change")</f>
        <v>BP Change</v>
      </c>
      <c r="P5" s="22" t="str">
        <f ca="1">IFERROR(__xludf.DUMMYFUNCTION("""COMPUTED_VALUE"""),"Ending BP")</f>
        <v>Ending BP</v>
      </c>
      <c r="Q5" s="22" t="str">
        <f ca="1">IFERROR(__xludf.DUMMYFUNCTION("""COMPUTED_VALUE"""),"MasterFund Name")</f>
        <v>MasterFund Name</v>
      </c>
      <c r="R5" s="22" t="str">
        <f ca="1">IFERROR(__xludf.DUMMYFUNCTION("""COMPUTED_VALUE"""),"MasterFund NAV")</f>
        <v>MasterFund NAV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19</v>
      </c>
      <c r="C6" s="7">
        <v>20000</v>
      </c>
      <c r="D6" s="7"/>
      <c r="E6" s="7"/>
      <c r="F6" s="7"/>
      <c r="G6" s="7">
        <v>10</v>
      </c>
      <c r="H6" s="7">
        <v>10</v>
      </c>
      <c r="I6" s="7">
        <v>100</v>
      </c>
      <c r="J6" s="7">
        <v>100</v>
      </c>
      <c r="K6" s="7">
        <v>2000</v>
      </c>
      <c r="L6" s="7">
        <v>100</v>
      </c>
      <c r="M6" s="7">
        <v>1</v>
      </c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IFERROR(__xludf.DUMMYFUNCTION("""COMPUTED_VALUE"""),"Add/Set")</f>
        <v>Add/Set</v>
      </c>
      <c r="D5" s="22" t="str">
        <f ca="1">IFERROR(__xludf.DUMMYFUNCTION("""COMPUTED_VALUE"""),"Type")</f>
        <v>Type</v>
      </c>
      <c r="E5" s="22" t="str">
        <f ca="1">IFERROR(__xludf.DUMMYFUNCTION("""COMPUTED_VALUE"""),"Target")</f>
        <v>Target</v>
      </c>
      <c r="F5" s="23" t="str">
        <f ca="1">IFERROR(__xludf.DUMMYFUNCTION("""COMPUTED_VALUE"""),"Price")</f>
        <v>Price</v>
      </c>
      <c r="G5" s="22" t="str">
        <f ca="1">IFERROR(__xludf.DUMMYFUNCTION("""COMPUTED_VALUE"""),"Combined Account Total")</f>
        <v>Combined Account Total</v>
      </c>
      <c r="H5" s="22" t="str">
        <f ca="1">IFERROR(__xludf.DUMMYFUNCTION("""COMPUTED_VALUE"""),"MasterFund/Account")</f>
        <v>MasterFund/Account</v>
      </c>
      <c r="I5" s="22" t="str">
        <f ca="1">IFERROR(__xludf.DUMMYFUNCTION("""COMPUTED_VALUE"""),"Accounts")</f>
        <v>Accounts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22</v>
      </c>
      <c r="C6" s="7" t="s">
        <v>27</v>
      </c>
      <c r="D6" s="7" t="s">
        <v>28</v>
      </c>
      <c r="E6" s="7">
        <v>10</v>
      </c>
      <c r="F6" s="7">
        <v>20</v>
      </c>
      <c r="G6" s="7" t="s">
        <v>29</v>
      </c>
      <c r="H6" s="7" t="s">
        <v>30</v>
      </c>
      <c r="I6" s="7" t="s">
        <v>19</v>
      </c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IFERROR(__xludf.DUMMYFUNCTION("""COMPUTED_VALUE"""),"Add/Set")</f>
        <v>Add/Set</v>
      </c>
      <c r="D5" s="22" t="str">
        <f ca="1">IFERROR(__xludf.DUMMYFUNCTION("""COMPUTED_VALUE"""),"Type")</f>
        <v>Type</v>
      </c>
      <c r="E5" s="22" t="str">
        <f ca="1">IFERROR(__xludf.DUMMYFUNCTION("""COMPUTED_VALUE"""),"Target")</f>
        <v>Target</v>
      </c>
      <c r="F5" s="23" t="str">
        <f ca="1">IFERROR(__xludf.DUMMYFUNCTION("""COMPUTED_VALUE"""),"Price")</f>
        <v>Price</v>
      </c>
      <c r="G5" s="22" t="str">
        <f ca="1">IFERROR(__xludf.DUMMYFUNCTION("""COMPUTED_VALUE"""),"Combined Account Total")</f>
        <v>Combined Account Total</v>
      </c>
      <c r="H5" s="22" t="str">
        <f ca="1">IFERROR(__xludf.DUMMYFUNCTION("""COMPUTED_VALUE"""),"MasterFund/Account")</f>
        <v>MasterFund/Account</v>
      </c>
      <c r="I5" s="22" t="str">
        <f ca="1">IFERROR(__xludf.DUMMYFUNCTION("""COMPUTED_VALUE"""),"Accounts")</f>
        <v>Accounts</v>
      </c>
      <c r="J5" s="22" t="str">
        <f ca="1">IFERROR(__xludf.DUMMYFUNCTION("""COMPUTED_VALUE"""),"Master Funds")</f>
        <v>Master Funds</v>
      </c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22</v>
      </c>
      <c r="C6" s="7" t="s">
        <v>33</v>
      </c>
      <c r="D6" s="7" t="s">
        <v>28</v>
      </c>
      <c r="E6" s="7">
        <v>5</v>
      </c>
      <c r="F6" s="7">
        <v>20</v>
      </c>
      <c r="G6" s="7" t="s">
        <v>29</v>
      </c>
      <c r="H6" s="7" t="s">
        <v>30</v>
      </c>
      <c r="I6" s="7" t="s">
        <v>17</v>
      </c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IFERROR(__xludf.DUMMYFUNCTION("""COMPUTED_VALUE"""),"Account NAV")</f>
        <v>Account NAV</v>
      </c>
      <c r="D5" s="22" t="str">
        <f ca="1">IFERROR(__xludf.DUMMYFUNCTION("""COMPUTED_VALUE"""),"Starting Position")</f>
        <v>Starting Position</v>
      </c>
      <c r="E5" s="22" t="str">
        <f ca="1">IFERROR(__xludf.DUMMYFUNCTION("""COMPUTED_VALUE"""),"Starting Value")</f>
        <v>Starting Value</v>
      </c>
      <c r="F5" s="23" t="str">
        <f ca="1">IFERROR(__xludf.DUMMYFUNCTION("""COMPUTED_VALUE"""),"Starting %")</f>
        <v>Starting %</v>
      </c>
      <c r="G5" s="22" t="str">
        <f ca="1">IFERROR(__xludf.DUMMYFUNCTION("""COMPUTED_VALUE"""),"% Change")</f>
        <v>% Change</v>
      </c>
      <c r="H5" s="22" t="str">
        <f ca="1">IFERROR(__xludf.DUMMYFUNCTION("""COMPUTED_VALUE"""),"Ending %")</f>
        <v>Ending %</v>
      </c>
      <c r="I5" s="22" t="str">
        <f ca="1">IFERROR(__xludf.DUMMYFUNCTION("""COMPUTED_VALUE"""),"Trade Quantity")</f>
        <v>Trade Quantity</v>
      </c>
      <c r="J5" s="22" t="str">
        <f ca="1">IFERROR(__xludf.DUMMYFUNCTION("""COMPUTED_VALUE"""),"Ending Position")</f>
        <v>Ending Position</v>
      </c>
      <c r="K5" s="22" t="str">
        <f ca="1">IFERROR(__xludf.DUMMYFUNCTION("""COMPUTED_VALUE"""),"Ending Value")</f>
        <v>Ending Value</v>
      </c>
      <c r="L5" s="22" t="str">
        <f ca="1">IFERROR(__xludf.DUMMYFUNCTION("""COMPUTED_VALUE"""),"% Allocation")</f>
        <v>% Allocation</v>
      </c>
      <c r="M5" s="22" t="str">
        <f ca="1">IFERROR(__xludf.DUMMYFUNCTION("""COMPUTED_VALUE"""),"Fx Rate")</f>
        <v>Fx Rate</v>
      </c>
      <c r="N5" s="22" t="str">
        <f ca="1">IFERROR(__xludf.DUMMYFUNCTION("""COMPUTED_VALUE"""),"Starting BP")</f>
        <v>Starting BP</v>
      </c>
      <c r="O5" s="22" t="str">
        <f ca="1">IFERROR(__xludf.DUMMYFUNCTION("""COMPUTED_VALUE"""),"BP Change")</f>
        <v>BP Change</v>
      </c>
      <c r="P5" s="22" t="str">
        <f ca="1">IFERROR(__xludf.DUMMYFUNCTION("""COMPUTED_VALUE"""),"Ending BP")</f>
        <v>Ending BP</v>
      </c>
      <c r="Q5" s="22" t="str">
        <f ca="1">IFERROR(__xludf.DUMMYFUNCTION("""COMPUTED_VALUE"""),"MasterFund Name")</f>
        <v>MasterFund Name</v>
      </c>
      <c r="R5" s="22" t="str">
        <f ca="1">IFERROR(__xludf.DUMMYFUNCTION("""COMPUTED_VALUE"""),"MasterFund NAV")</f>
        <v>MasterFund NAV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17</v>
      </c>
      <c r="C6" s="7">
        <v>10000</v>
      </c>
      <c r="D6" s="7">
        <v>100</v>
      </c>
      <c r="E6" s="7">
        <v>2000</v>
      </c>
      <c r="F6" s="7">
        <v>20</v>
      </c>
      <c r="G6" s="7">
        <v>-5</v>
      </c>
      <c r="H6" s="7">
        <v>15</v>
      </c>
      <c r="I6" s="7">
        <v>25</v>
      </c>
      <c r="J6" s="7">
        <v>75</v>
      </c>
      <c r="K6" s="7">
        <v>1500</v>
      </c>
      <c r="L6" s="7">
        <v>100</v>
      </c>
      <c r="M6" s="7">
        <v>1</v>
      </c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IFERROR(__xludf.DUMMYFUNCTION("""COMPUTED_VALUE"""),"Add/Set")</f>
        <v>Add/Set</v>
      </c>
      <c r="D5" s="22" t="str">
        <f ca="1">IFERROR(__xludf.DUMMYFUNCTION("""COMPUTED_VALUE"""),"Type")</f>
        <v>Type</v>
      </c>
      <c r="E5" s="22" t="str">
        <f ca="1">IFERROR(__xludf.DUMMYFUNCTION("""COMPUTED_VALUE"""),"Target")</f>
        <v>Target</v>
      </c>
      <c r="F5" s="23" t="str">
        <f ca="1">IFERROR(__xludf.DUMMYFUNCTION("""COMPUTED_VALUE"""),"Price")</f>
        <v>Price</v>
      </c>
      <c r="G5" s="22" t="str">
        <f ca="1">IFERROR(__xludf.DUMMYFUNCTION("""COMPUTED_VALUE"""),"Combined Account Total")</f>
        <v>Combined Account Total</v>
      </c>
      <c r="H5" s="22" t="str">
        <f ca="1">IFERROR(__xludf.DUMMYFUNCTION("""COMPUTED_VALUE"""),"MasterFund/Account")</f>
        <v>MasterFund/Account</v>
      </c>
      <c r="I5" s="22" t="str">
        <f ca="1">IFERROR(__xludf.DUMMYFUNCTION("""COMPUTED_VALUE"""),"Accounts")</f>
        <v>Accounts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22</v>
      </c>
      <c r="C6" s="7" t="s">
        <v>33</v>
      </c>
      <c r="D6" s="7" t="s">
        <v>28</v>
      </c>
      <c r="E6" s="7">
        <v>5</v>
      </c>
      <c r="F6" s="7">
        <v>20</v>
      </c>
      <c r="G6" s="7" t="s">
        <v>29</v>
      </c>
      <c r="H6" s="7" t="s">
        <v>30</v>
      </c>
      <c r="I6" s="7" t="s">
        <v>17</v>
      </c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34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>
        <v>20</v>
      </c>
      <c r="E6" s="27"/>
      <c r="F6" s="5"/>
      <c r="G6" s="5"/>
      <c r="H6" s="5"/>
      <c r="I6" s="5"/>
      <c r="J6" s="5"/>
      <c r="K6" s="5"/>
      <c r="L6" s="5"/>
      <c r="M6" s="5"/>
      <c r="N6" s="5"/>
      <c r="O6" s="5"/>
      <c r="AH6" s="6" t="s">
        <v>36</v>
      </c>
      <c r="AI6" s="6" t="s">
        <v>22</v>
      </c>
      <c r="AJ6" s="6" t="s">
        <v>23</v>
      </c>
      <c r="AK6" s="6" t="s">
        <v>37</v>
      </c>
      <c r="AL6" s="6">
        <v>100</v>
      </c>
      <c r="AM6" s="6">
        <v>100</v>
      </c>
      <c r="AN6" s="6">
        <v>100</v>
      </c>
      <c r="AO6" s="6">
        <v>100</v>
      </c>
      <c r="AQ6" s="6">
        <v>20</v>
      </c>
      <c r="AR6" s="6">
        <v>20</v>
      </c>
      <c r="AT6" s="6" t="s">
        <v>17</v>
      </c>
      <c r="AV6" s="6">
        <v>2000</v>
      </c>
      <c r="AW6" s="6">
        <v>2000</v>
      </c>
    </row>
    <row r="7" spans="1:154" ht="15.75" customHeight="1" x14ac:dyDescent="0.2">
      <c r="A7" s="5"/>
      <c r="B7" s="5"/>
      <c r="C7" s="5"/>
      <c r="D7" s="7">
        <v>20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AH7" s="6" t="s">
        <v>36</v>
      </c>
      <c r="AI7" s="6" t="s">
        <v>22</v>
      </c>
      <c r="AJ7" s="6" t="s">
        <v>23</v>
      </c>
      <c r="AK7" s="6" t="s">
        <v>38</v>
      </c>
      <c r="AL7" s="6">
        <v>100</v>
      </c>
      <c r="AP7" s="6">
        <v>100</v>
      </c>
      <c r="AQ7" s="6">
        <v>20</v>
      </c>
      <c r="AR7" s="6">
        <v>20</v>
      </c>
      <c r="AT7" s="6" t="s">
        <v>19</v>
      </c>
    </row>
    <row r="8" spans="1:154" ht="15.75" customHeight="1" x14ac:dyDescent="0.2">
      <c r="A8" s="5"/>
      <c r="B8" s="5"/>
      <c r="C8" s="5"/>
      <c r="D8" s="7">
        <v>20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AH8" s="6" t="s">
        <v>36</v>
      </c>
      <c r="AI8" s="6" t="s">
        <v>22</v>
      </c>
      <c r="AJ8" s="6" t="s">
        <v>39</v>
      </c>
      <c r="AK8" s="6" t="s">
        <v>38</v>
      </c>
      <c r="AL8" s="6">
        <v>25</v>
      </c>
      <c r="AP8" s="6">
        <v>25</v>
      </c>
      <c r="AQ8" s="6">
        <v>20</v>
      </c>
      <c r="AR8" s="6">
        <v>20</v>
      </c>
      <c r="AT8" s="6" t="s">
        <v>17</v>
      </c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34</v>
      </c>
      <c r="D3" s="2" t="s">
        <v>9</v>
      </c>
      <c r="E3" s="17" t="s">
        <v>40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  <c r="AI6" s="6" t="s">
        <v>22</v>
      </c>
      <c r="AJ6" s="6" t="s">
        <v>23</v>
      </c>
      <c r="AK6" s="6" t="s">
        <v>38</v>
      </c>
      <c r="AL6" s="6">
        <v>100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AI7" s="6" t="s">
        <v>22</v>
      </c>
      <c r="AJ7" s="6" t="s">
        <v>39</v>
      </c>
      <c r="AK7" s="6" t="s">
        <v>38</v>
      </c>
      <c r="AL7" s="6">
        <v>25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41</v>
      </c>
      <c r="D3" s="2" t="s">
        <v>9</v>
      </c>
      <c r="E3" s="17" t="s">
        <v>42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22</v>
      </c>
      <c r="C6" s="7" t="s">
        <v>39</v>
      </c>
      <c r="D6" s="7">
        <v>25</v>
      </c>
      <c r="E6" s="7">
        <v>25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41</v>
      </c>
      <c r="D3" s="2" t="s">
        <v>9</v>
      </c>
      <c r="E3" s="17" t="s">
        <v>43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3" t="s">
        <v>44</v>
      </c>
      <c r="C6" s="29" t="s">
        <v>44</v>
      </c>
      <c r="D6" s="7">
        <v>25</v>
      </c>
      <c r="E6" s="7">
        <v>25</v>
      </c>
      <c r="F6" s="5"/>
      <c r="G6" s="5"/>
      <c r="H6" s="5"/>
      <c r="I6" s="5"/>
      <c r="J6" s="7">
        <v>20</v>
      </c>
      <c r="K6" s="34" t="s">
        <v>44</v>
      </c>
      <c r="L6" s="29" t="s">
        <v>44</v>
      </c>
      <c r="M6" s="35" t="s">
        <v>44</v>
      </c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41</v>
      </c>
      <c r="D3" s="2" t="s">
        <v>9</v>
      </c>
      <c r="E3" s="17" t="s">
        <v>42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22</v>
      </c>
      <c r="C6" s="7" t="s">
        <v>23</v>
      </c>
      <c r="D6" s="7">
        <v>100</v>
      </c>
      <c r="E6" s="7">
        <v>100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41</v>
      </c>
      <c r="D3" s="2" t="s">
        <v>9</v>
      </c>
      <c r="E3" s="17" t="s">
        <v>43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3" t="s">
        <v>44</v>
      </c>
      <c r="C6" s="29" t="s">
        <v>44</v>
      </c>
      <c r="D6" s="7">
        <v>100</v>
      </c>
      <c r="E6" s="7">
        <v>100</v>
      </c>
      <c r="F6" s="5"/>
      <c r="G6" s="5"/>
      <c r="H6" s="5"/>
      <c r="I6" s="5"/>
      <c r="J6" s="7">
        <v>20</v>
      </c>
      <c r="K6" s="34" t="s">
        <v>44</v>
      </c>
      <c r="L6" s="29" t="s">
        <v>44</v>
      </c>
      <c r="M6" s="35" t="s">
        <v>44</v>
      </c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topLeftCell="AJ1" workbookViewId="0">
      <selection activeCell="AO12" sqref="AO12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41</v>
      </c>
      <c r="D3" s="2" t="s">
        <v>9</v>
      </c>
      <c r="E3" s="17" t="s">
        <v>45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 t="s">
        <v>55</v>
      </c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22</v>
      </c>
      <c r="C6" s="7" t="s">
        <v>23</v>
      </c>
      <c r="D6" s="7"/>
      <c r="E6" s="27"/>
      <c r="F6" s="5"/>
      <c r="G6" s="5"/>
      <c r="H6" s="5"/>
      <c r="I6" s="5"/>
      <c r="J6" s="7"/>
      <c r="K6" s="5"/>
      <c r="L6" s="5"/>
      <c r="M6" s="5"/>
      <c r="N6" s="5"/>
      <c r="O6" s="5"/>
    </row>
    <row r="7" spans="1:154" ht="15.75" customHeight="1" x14ac:dyDescent="0.2">
      <c r="A7" s="5"/>
      <c r="B7" s="7" t="s">
        <v>22</v>
      </c>
      <c r="C7" s="7" t="s">
        <v>39</v>
      </c>
      <c r="D7" s="5"/>
      <c r="E7" s="5"/>
      <c r="F7" s="5"/>
      <c r="G7" s="5"/>
      <c r="H7" s="5"/>
      <c r="I7" s="5"/>
      <c r="J7" s="7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46</v>
      </c>
      <c r="D3" s="2" t="s">
        <v>9</v>
      </c>
      <c r="E3" s="17" t="s">
        <v>47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48</v>
      </c>
      <c r="C6" s="5"/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94" width="14.42578125" customWidth="1"/>
    <col min="95" max="95" width="19" customWidth="1"/>
    <col min="96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46</v>
      </c>
      <c r="D3" s="2" t="s">
        <v>9</v>
      </c>
      <c r="E3" s="17" t="s">
        <v>49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IFERROR(__xludf.DUMMYFUNCTION("""COMPUTED_VALUE"""),"Quantity")</f>
        <v>Quantity</v>
      </c>
      <c r="D5" s="22" t="str">
        <f ca="1">IFERROR(__xludf.DUMMYFUNCTION("""COMPUTED_VALUE"""),"Trade Date")</f>
        <v>Trade Date</v>
      </c>
      <c r="E5" s="22" t="str">
        <f ca="1">IFERROR(__xludf.DUMMYFUNCTION("""COMPUTED_VALUE"""),"Account Name")</f>
        <v>Account Name</v>
      </c>
      <c r="F5" s="23" t="str">
        <f ca="1">IFERROR(__xludf.DUMMYFUNCTION("""COMPUTED_VALUE"""),"Side")</f>
        <v>Side</v>
      </c>
      <c r="G5" s="22" t="str">
        <f ca="1">IFERROR(__xludf.DUMMYFUNCTION("""COMPUTED_VALUE"""),"Group Status")</f>
        <v>Group Status</v>
      </c>
      <c r="H5" s="22" t="str">
        <f ca="1">IFERROR(__xludf.DUMMYFUNCTION("""COMPUTED_VALUE"""),"Avg Price( Base)")</f>
        <v>Avg Price( Base)</v>
      </c>
      <c r="I5" s="22" t="str">
        <f ca="1">IFERROR(__xludf.DUMMYFUNCTION("""COMPUTED_VALUE"""),"Execution Time")</f>
        <v>Execution Time</v>
      </c>
      <c r="J5" s="22" t="str">
        <f ca="1">IFERROR(__xludf.DUMMYFUNCTION("""COMPUTED_VALUE"""),"Trade Attribute 1")</f>
        <v>Trade Attribute 1</v>
      </c>
      <c r="K5" s="22" t="str">
        <f ca="1">IFERROR(__xludf.DUMMYFUNCTION("""COMPUTED_VALUE"""),"Avg Price(Local)")</f>
        <v>Avg Price(Local)</v>
      </c>
      <c r="L5" s="22" t="str">
        <f ca="1">IFERROR(__xludf.DUMMYFUNCTION("""COMPUTED_VALUE"""),"Trade Attribute 2")</f>
        <v>Trade Attribute 2</v>
      </c>
      <c r="M5" s="22" t="str">
        <f ca="1">IFERROR(__xludf.DUMMYFUNCTION("""COMPUTED_VALUE"""),"Accrued Interest")</f>
        <v>Accrued Interest</v>
      </c>
      <c r="N5" s="22" t="str">
        <f ca="1">IFERROR(__xludf.DUMMYFUNCTION("""COMPUTED_VALUE"""),"Commission")</f>
        <v>Commission</v>
      </c>
      <c r="O5" s="22" t="str">
        <f ca="1">IFERROR(__xludf.DUMMYFUNCTION("""COMPUTED_VALUE"""),"Soft Commission")</f>
        <v>Soft Commission</v>
      </c>
      <c r="P5" s="22" t="str">
        <f ca="1">IFERROR(__xludf.DUMMYFUNCTION("""COMPUTED_VALUE"""),"Broker")</f>
        <v>Broker</v>
      </c>
      <c r="Q5" s="22" t="str">
        <f ca="1">IFERROR(__xludf.DUMMYFUNCTION("""COMPUTED_VALUE"""),"Transaction Type")</f>
        <v>Transaction Type</v>
      </c>
      <c r="R5" s="22" t="str">
        <f ca="1">IFERROR(__xludf.DUMMYFUNCTION("""COMPUTED_VALUE"""),"AUEC Fee1")</f>
        <v>AUEC Fee1</v>
      </c>
      <c r="S5" s="22" t="str">
        <f ca="1">IFERROR(__xludf.DUMMYFUNCTION("""COMPUTED_VALUE"""),"AUEC Fee2")</f>
        <v>AUEC Fee2</v>
      </c>
      <c r="T5" s="24" t="str">
        <f ca="1">IFERROR(__xludf.DUMMYFUNCTION("""COMPUTED_VALUE"""),"Clearing Broker Fee")</f>
        <v>Clearing Broker Fee</v>
      </c>
      <c r="U5" s="24" t="str">
        <f ca="1">IFERROR(__xludf.DUMMYFUNCTION("""COMPUTED_VALUE"""),"Other Broker Fees")</f>
        <v>Other Broker Fees</v>
      </c>
      <c r="V5" s="24" t="str">
        <f ca="1">IFERROR(__xludf.DUMMYFUNCTION("""COMPUTED_VALUE"""),"OCC Fee")</f>
        <v>OCC Fee</v>
      </c>
      <c r="W5" s="24" t="str">
        <f ca="1">IFERROR(__xludf.DUMMYFUNCTION("""COMPUTED_VALUE"""),"SEC Fee")</f>
        <v>SEC Fee</v>
      </c>
      <c r="X5" s="24" t="str">
        <f ca="1">IFERROR(__xludf.DUMMYFUNCTION("""COMPUTED_VALUE"""),"ORF Fee")</f>
        <v>ORF Fee</v>
      </c>
      <c r="Y5" s="24" t="str">
        <f ca="1">IFERROR(__xludf.DUMMYFUNCTION("""COMPUTED_VALUE"""),"IsPreAllocated")</f>
        <v>IsPreAllocated</v>
      </c>
      <c r="Z5" s="24" t="str">
        <f ca="1">IFERROR(__xludf.DUMMYFUNCTION("""COMPUTED_VALUE"""),"Stamp Duty")</f>
        <v>Stamp Duty</v>
      </c>
      <c r="AA5" s="24" t="str">
        <f ca="1">IFERROR(__xludf.DUMMYFUNCTION("""COMPUTED_VALUE"""),"IsManual Group")</f>
        <v>IsManual Group</v>
      </c>
      <c r="AB5" s="24" t="str">
        <f ca="1">IFERROR(__xludf.DUMMYFUNCTION("""COMPUTED_VALUE"""),"Tax On Commissions")</f>
        <v>Tax On Commissions</v>
      </c>
      <c r="AC5" s="24" t="str">
        <f ca="1">IFERROR(__xludf.DUMMYFUNCTION("""COMPUTED_VALUE"""),"IsAnotherTaxlotAttributesUpdated")</f>
        <v>IsAnotherTaxlotAttributesUpdated</v>
      </c>
      <c r="AD5" s="24" t="str">
        <f ca="1">IFERROR(__xludf.DUMMYFUNCTION("""COMPUTED_VALUE"""),"ISNDF")</f>
        <v>ISNDF</v>
      </c>
      <c r="AE5" s="24" t="str">
        <f ca="1">IFERROR(__xludf.DUMMYFUNCTION("""COMPUTED_VALUE"""),"Transaction Levy")</f>
        <v>Transaction Levy</v>
      </c>
      <c r="AF5" s="24" t="str">
        <f ca="1">IFERROR(__xludf.DUMMYFUNCTION("""COMPUTED_VALUE"""),"Description")</f>
        <v>Description</v>
      </c>
      <c r="AG5" s="24" t="str">
        <f ca="1">IFERROR(__xludf.DUMMYFUNCTION("""COMPUTED_VALUE"""),"GroupID")</f>
        <v>GroupID</v>
      </c>
      <c r="AH5" s="24" t="str">
        <f ca="1">IFERROR(__xludf.DUMMYFUNCTION("""COMPUTED_VALUE"""),"Internal Comments")</f>
        <v>Internal Comments</v>
      </c>
      <c r="AI5" s="24" t="str">
        <f ca="1">IFERROR(__xludf.DUMMYFUNCTION("""COMPUTED_VALUE"""),"M2MProfitLoss")</f>
        <v>M2MProfitLoss</v>
      </c>
      <c r="AJ5" s="24" t="str">
        <f ca="1">IFERROR(__xludf.DUMMYFUNCTION("""COMPUTED_VALUE"""),"FX Rate")</f>
        <v>FX Rate</v>
      </c>
      <c r="AK5" s="24" t="str">
        <f ca="1">IFERROR(__xludf.DUMMYFUNCTION("""COMPUTED_VALUE"""),"FX Conversion Operator")</f>
        <v>FX Conversion Operator</v>
      </c>
      <c r="AL5" s="24" t="str">
        <f ca="1">IFERROR(__xludf.DUMMYFUNCTION("""COMPUTED_VALUE"""),"Trade Attribute 3")</f>
        <v>Trade Attribute 3</v>
      </c>
      <c r="AM5" s="24" t="str">
        <f ca="1">IFERROR(__xludf.DUMMYFUNCTION("""COMPUTED_VALUE"""),"Trade Attribute 4")</f>
        <v>Trade Attribute 4</v>
      </c>
      <c r="AN5" s="24" t="str">
        <f ca="1">IFERROR(__xludf.DUMMYFUNCTION("""COMPUTED_VALUE"""),"Trade Attribute 5")</f>
        <v>Trade Attribute 5</v>
      </c>
      <c r="AO5" s="24" t="str">
        <f ca="1">IFERROR(__xludf.DUMMYFUNCTION("""COMPUTED_VALUE"""),"Trade Attribute 6")</f>
        <v>Trade Attribute 6</v>
      </c>
      <c r="AP5" s="24" t="str">
        <f ca="1">IFERROR(__xludf.DUMMYFUNCTION("""COMPUTED_VALUE"""),"Put Or Call")</f>
        <v>Put Or Call</v>
      </c>
      <c r="AQ5" s="24" t="str">
        <f ca="1">IFERROR(__xludf.DUMMYFUNCTION("""COMPUTED_VALUE"""),"Allocated Qty")</f>
        <v>Allocated Qty</v>
      </c>
      <c r="AR5" s="24" t="str">
        <f ca="1">IFERROR(__xludf.DUMMYFUNCTION("""COMPUTED_VALUE"""),"Total Commission And Fee")</f>
        <v>Total Commission And Fee</v>
      </c>
      <c r="AS5" s="24" t="str">
        <f ca="1">IFERROR(__xludf.DUMMYFUNCTION("""COMPUTED_VALUE"""),"Executed Qty")</f>
        <v>Executed Qty</v>
      </c>
      <c r="AT5" s="24" t="str">
        <f ca="1">IFERROR(__xludf.DUMMYFUNCTION("""COMPUTED_VALUE"""),"Net Amount( Local)")</f>
        <v>Net Amount( Local)</v>
      </c>
      <c r="AU5" s="24" t="str">
        <f ca="1">IFERROR(__xludf.DUMMYFUNCTION("""COMPUTED_VALUE"""),"Net Amount( Base)")</f>
        <v>Net Amount( Base)</v>
      </c>
      <c r="AV5" s="24" t="str">
        <f ca="1">IFERROR(__xludf.DUMMYFUNCTION("""COMPUTED_VALUE"""),"UnAllocatedQty")</f>
        <v>UnAllocatedQty</v>
      </c>
      <c r="AW5" s="24" t="str">
        <f ca="1">IFERROR(__xludf.DUMMYFUNCTION("""COMPUTED_VALUE"""),"Option Premium Adjustment")</f>
        <v>Option Premium Adjustment</v>
      </c>
      <c r="AX5" s="24" t="str">
        <f ca="1">IFERROR(__xludf.DUMMYFUNCTION("""COMPUTED_VALUE"""),"Principal Amount( Local)")</f>
        <v>Principal Amount( Local)</v>
      </c>
      <c r="AY5" s="24" t="str">
        <f ca="1">IFERROR(__xludf.DUMMYFUNCTION("""COMPUTED_VALUE"""),"Principal Amount( Base)")</f>
        <v>Principal Amount( Base)</v>
      </c>
      <c r="AZ5" s="24" t="str">
        <f ca="1">IFERROR(__xludf.DUMMYFUNCTION("""COMPUTED_VALUE"""),"Settlement Currency")</f>
        <v>Settlement Currency</v>
      </c>
      <c r="BA5" s="24" t="str">
        <f ca="1">IFERROR(__xludf.DUMMYFUNCTION("""COMPUTED_VALUE"""),"User")</f>
        <v>User</v>
      </c>
      <c r="BB5" s="24" t="str">
        <f ca="1">IFERROR(__xludf.DUMMYFUNCTION("""COMPUTED_VALUE"""),"Asset Category")</f>
        <v>Asset Category</v>
      </c>
      <c r="BC5" s="24" t="str">
        <f ca="1">IFERROR(__xludf.DUMMYFUNCTION("""COMPUTED_VALUE"""),"Change Type")</f>
        <v>Change Type</v>
      </c>
      <c r="BD5" s="24" t="str">
        <f ca="1">IFERROR(__xludf.DUMMYFUNCTION("""COMPUTED_VALUE"""),"Strategy Name")</f>
        <v>Strategy Name</v>
      </c>
      <c r="BE5" s="24" t="str">
        <f ca="1">IFERROR(__xludf.DUMMYFUNCTION("""COMPUTED_VALUE"""),"Prana Msg Type")</f>
        <v>Prana Msg Type</v>
      </c>
      <c r="BF5" s="24" t="str">
        <f ca="1">IFERROR(__xludf.DUMMYFUNCTION("""COMPUTED_VALUE"""),"Total Commission")</f>
        <v>Total Commission</v>
      </c>
      <c r="BG5" s="24" t="str">
        <f ca="1">IFERROR(__xludf.DUMMYFUNCTION("""COMPUTED_VALUE"""),"Commission Per Share")</f>
        <v>Commission Per Share</v>
      </c>
      <c r="BH5" s="24" t="str">
        <f ca="1">IFERROR(__xludf.DUMMYFUNCTION("""COMPUTED_VALUE"""),"Soft Commission Per Share")</f>
        <v>Soft Commission Per Share</v>
      </c>
      <c r="BI5" s="24" t="str">
        <f ca="1">IFERROR(__xludf.DUMMYFUNCTION("""COMPUTED_VALUE"""),"Total Commission Per Share")</f>
        <v>Total Commission Per Share</v>
      </c>
      <c r="BJ5" s="24" t="str">
        <f ca="1">IFERROR(__xludf.DUMMYFUNCTION("""COMPUTED_VALUE"""),"Closing Status")</f>
        <v>Closing Status</v>
      </c>
      <c r="BK5" s="24" t="str">
        <f ca="1">IFERROR(__xludf.DUMMYFUNCTION("""COMPUTED_VALUE"""),"Closing Method")</f>
        <v>Closing Method</v>
      </c>
      <c r="BL5" s="24" t="str">
        <f ca="1">IFERROR(__xludf.DUMMYFUNCTION("""COMPUTED_VALUE"""),"Allocation Scheme Name")</f>
        <v>Allocation Scheme Name</v>
      </c>
      <c r="BM5" s="24" t="str">
        <f ca="1">IFERROR(__xludf.DUMMYFUNCTION("""COMPUTED_VALUE"""),"Change Comment")</f>
        <v>Change Comment</v>
      </c>
      <c r="BN5" s="24" t="str">
        <f ca="1">IFERROR(__xludf.DUMMYFUNCTION("""COMPUTED_VALUE"""),"Order Type")</f>
        <v>Order Type</v>
      </c>
      <c r="BO5" s="24" t="str">
        <f ca="1">IFERROR(__xludf.DUMMYFUNCTION("""COMPUTED_VALUE"""),"Underlying")</f>
        <v>Underlying</v>
      </c>
      <c r="BP5" s="24" t="str">
        <f ca="1">IFERROR(__xludf.DUMMYFUNCTION("""COMPUTED_VALUE"""),"Exchange")</f>
        <v>Exchange</v>
      </c>
      <c r="BQ5" s="24" t="str">
        <f ca="1">IFERROR(__xludf.DUMMYFUNCTION("""COMPUTED_VALUE"""),"Currency")</f>
        <v>Currency</v>
      </c>
      <c r="BR5" s="24" t="str">
        <f ca="1">IFERROR(__xludf.DUMMYFUNCTION("""COMPUTED_VALUE"""),"AUECID")</f>
        <v>AUECID</v>
      </c>
      <c r="BS5" s="24" t="str">
        <f ca="1">IFERROR(__xludf.DUMMYFUNCTION("""COMPUTED_VALUE"""),"Trading Account")</f>
        <v>Trading Account</v>
      </c>
      <c r="BT5" s="24" t="str">
        <f ca="1">IFERROR(__xludf.DUMMYFUNCTION("""COMPUTED_VALUE"""),"Venue")</f>
        <v>Venue</v>
      </c>
      <c r="BU5" s="24" t="str">
        <f ca="1">IFERROR(__xludf.DUMMYFUNCTION("""COMPUTED_VALUE"""),"Cum Qty For Sub Order")</f>
        <v>Cum Qty For Sub Order</v>
      </c>
      <c r="BV5" s="24" t="str">
        <f ca="1">IFERROR(__xludf.DUMMYFUNCTION("""COMPUTED_VALUE"""),"Contract Multiplier")</f>
        <v>Contract Multiplier</v>
      </c>
      <c r="BW5" s="24" t="str">
        <f ca="1">IFERROR(__xludf.DUMMYFUNCTION("""COMPUTED_VALUE"""),"Company")</f>
        <v>Company</v>
      </c>
      <c r="BX5" s="24" t="str">
        <f ca="1">IFERROR(__xludf.DUMMYFUNCTION("""COMPUTED_VALUE"""),"Nirvana Process Date")</f>
        <v>Nirvana Process Date</v>
      </c>
      <c r="BY5" s="24" t="str">
        <f ca="1">IFERROR(__xludf.DUMMYFUNCTION("""COMPUTED_VALUE"""),"Process Date")</f>
        <v>Process Date</v>
      </c>
      <c r="BZ5" s="24" t="str">
        <f ca="1">IFERROR(__xludf.DUMMYFUNCTION("""COMPUTED_VALUE"""),"Original Purchase Date")</f>
        <v>Original Purchase Date</v>
      </c>
      <c r="CA5" s="24" t="str">
        <f ca="1">IFERROR(__xludf.DUMMYFUNCTION("""COMPUTED_VALUE"""),"Closing Date")</f>
        <v>Closing Date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IFERROR(__xludf.DUMMYFUNCTION("""COMPUTED_VALUE"""),"Expiration Date")</f>
        <v>Expiration Date</v>
      </c>
      <c r="CD5" s="24" t="str">
        <f ca="1">IFERROR(__xludf.DUMMYFUNCTION("""COMPUTED_VALUE"""),"Underlying Symbol")</f>
        <v>Underlying Symbol</v>
      </c>
      <c r="CE5" s="24" t="str">
        <f ca="1">IFERROR(__xludf.DUMMYFUNCTION("""COMPUTED_VALUE"""),"Accrual Basis")</f>
        <v>Accrual Basis</v>
      </c>
      <c r="CF5" s="24" t="str">
        <f ca="1">IFERROR(__xludf.DUMMYFUNCTION("""COMPUTED_VALUE"""),"Bond Type")</f>
        <v>Bond Type</v>
      </c>
      <c r="CG5" s="24" t="str">
        <f ca="1">IFERROR(__xludf.DUMMYFUNCTION("""COMPUTED_VALUE"""),"Coupon Rate")</f>
        <v>Coupon Rate</v>
      </c>
      <c r="CH5" s="24" t="str">
        <f ca="1">IFERROR(__xludf.DUMMYFUNCTION("""COMPUTED_VALUE"""),"Delta")</f>
        <v>Delta</v>
      </c>
      <c r="CI5" s="24" t="str">
        <f ca="1">IFERROR(__xludf.DUMMYFUNCTION("""COMPUTED_VALUE"""),"Bloomberg")</f>
        <v>Bloomberg</v>
      </c>
      <c r="CJ5" s="24" t="str">
        <f ca="1">IFERROR(__xludf.DUMMYFUNCTION("""COMPUTED_VALUE"""),"Sedol Symbol")</f>
        <v>Sedol Symbol</v>
      </c>
      <c r="CK5" s="24" t="str">
        <f ca="1">IFERROR(__xludf.DUMMYFUNCTION("""COMPUTED_VALUE"""),"Cusip Symbol")</f>
        <v>Cusip Symbol</v>
      </c>
      <c r="CL5" s="24" t="str">
        <f ca="1">IFERROR(__xludf.DUMMYFUNCTION("""COMPUTED_VALUE"""),"ISIN")</f>
        <v>ISIN</v>
      </c>
      <c r="CM5" s="24" t="str">
        <f ca="1">IFERROR(__xludf.DUMMYFUNCTION("""COMPUTED_VALUE"""),"OSISSymbol")</f>
        <v>OSISSymbol</v>
      </c>
      <c r="CN5" s="24" t="str">
        <f ca="1">IFERROR(__xludf.DUMMYFUNCTION("""COMPUTED_VALUE"""),"IDCOSymbol")</f>
        <v>IDCOSymbol</v>
      </c>
      <c r="CO5" s="24" t="str">
        <f ca="1">IFERROR(__xludf.DUMMYFUNCTION("""COMPUTED_VALUE"""),"Underlying Delta")</f>
        <v>Underlying Delta</v>
      </c>
      <c r="CP5" s="24" t="str">
        <f ca="1">IFERROR(__xludf.DUMMYFUNCTION("""COMPUTED_VALUE"""),"Proxy Symbol")</f>
        <v>Proxy Symbol</v>
      </c>
      <c r="CQ5" s="24" t="str">
        <f ca="1">IFERROR(__xludf.DUMMYFUNCTION("""COMPUTED_VALUE"""),"Transaction Source")</f>
        <v>Transaction Source</v>
      </c>
      <c r="CR5" s="24" t="str">
        <f ca="1">IFERROR(__xludf.DUMMYFUNCTION("""COMPUTED_VALUE"""),"Import File Name")</f>
        <v>Import File Name</v>
      </c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22</v>
      </c>
      <c r="C6" s="36">
        <v>100</v>
      </c>
      <c r="D6" s="7"/>
      <c r="E6" s="37" t="s">
        <v>19</v>
      </c>
      <c r="F6" s="37" t="s">
        <v>23</v>
      </c>
      <c r="G6" s="5"/>
      <c r="H6" s="5"/>
      <c r="I6" s="5"/>
      <c r="J6" s="5"/>
      <c r="K6" s="5"/>
      <c r="L6" s="5"/>
      <c r="M6" s="5"/>
      <c r="N6" s="5"/>
      <c r="O6" s="5"/>
      <c r="CQ6" s="37" t="s">
        <v>25</v>
      </c>
    </row>
    <row r="7" spans="1:154" ht="15.75" customHeight="1" x14ac:dyDescent="0.2">
      <c r="A7" s="5"/>
      <c r="B7" s="7" t="s">
        <v>22</v>
      </c>
      <c r="C7" s="36">
        <v>25</v>
      </c>
      <c r="D7" s="5"/>
      <c r="E7" s="37" t="s">
        <v>17</v>
      </c>
      <c r="F7" s="37" t="s">
        <v>39</v>
      </c>
      <c r="G7" s="5"/>
      <c r="H7" s="5"/>
      <c r="I7" s="5"/>
      <c r="J7" s="5"/>
      <c r="K7" s="5"/>
      <c r="L7" s="5"/>
      <c r="M7" s="5"/>
      <c r="N7" s="5"/>
      <c r="O7" s="5"/>
      <c r="CQ7" s="37" t="s">
        <v>25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46</v>
      </c>
      <c r="D3" s="2" t="s">
        <v>9</v>
      </c>
      <c r="E3" s="17" t="s">
        <v>50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IFERROR(__xludf.DUMMYFUNCTION("""COMPUTED_VALUE"""),"Trade Date")</f>
        <v>Trade Date</v>
      </c>
      <c r="G5" s="22" t="str">
        <f ca="1">IFERROR(__xludf.DUMMYFUNCTION("""COMPUTED_VALUE"""),"Net Amount( Local)")</f>
        <v>Net Amount( Local)</v>
      </c>
      <c r="H5" s="22" t="str">
        <f ca="1">IFERROR(__xludf.DUMMYFUNCTION("""COMPUTED_VALUE"""),"Net Amount( Base)")</f>
        <v>Net Amount( Base)</v>
      </c>
      <c r="I5" s="22" t="str">
        <f ca="1">IFERROR(__xludf.DUMMYFUNCTION("""COMPUTED_VALUE"""),"Principal Amount( Local)")</f>
        <v>Principal Amount( Local)</v>
      </c>
      <c r="J5" s="22" t="str">
        <f ca="1">IFERROR(__xludf.DUMMYFUNCTION("""COMPUTED_VALUE"""),"Transaction Type")</f>
        <v>Transaction Type</v>
      </c>
      <c r="K5" s="22" t="str">
        <f ca="1">IFERROR(__xludf.DUMMYFUNCTION("""COMPUTED_VALUE"""),"Principal Amount( Base)")</f>
        <v>Principal Amount( Base)</v>
      </c>
      <c r="L5" s="22" t="str">
        <f ca="1">IFERROR(__xludf.DUMMYFUNCTION("""COMPUTED_VALUE"""),"Execution Time")</f>
        <v>Execution Time</v>
      </c>
      <c r="M5" s="22" t="str">
        <f ca="1">IFERROR(__xludf.DUMMYFUNCTION("""COMPUTED_VALUE"""),"Trading Account")</f>
        <v>Trading Account</v>
      </c>
      <c r="N5" s="22" t="str">
        <f ca="1">IFERROR(__xludf.DUMMYFUNCTION("""COMPUTED_VALUE"""),"Avg Price(Local)")</f>
        <v>Avg Price(Local)</v>
      </c>
      <c r="O5" s="22" t="str">
        <f ca="1">IFERROR(__xludf.DUMMYFUNCTION("""COMPUTED_VALUE"""),"Avg Price(Base)")</f>
        <v>Avg Price(Base)</v>
      </c>
      <c r="P5" s="22" t="str">
        <f ca="1">IFERROR(__xludf.DUMMYFUNCTION("""COMPUTED_VALUE"""),"Broker")</f>
        <v>Broker</v>
      </c>
      <c r="Q5" s="22" t="str">
        <f ca="1">IFERROR(__xludf.DUMMYFUNCTION("""COMPUTED_VALUE"""),"FX Rate")</f>
        <v>FX Rate</v>
      </c>
      <c r="R5" s="22" t="str">
        <f ca="1">IFERROR(__xludf.DUMMYFUNCTION("""COMPUTED_VALUE"""),"Venue")</f>
        <v>Venue</v>
      </c>
      <c r="S5" s="22" t="str">
        <f ca="1">IFERROR(__xludf.DUMMYFUNCTION("""COMPUTED_VALUE"""),"FX Conversion Operator")</f>
        <v>FX Conversion Operator</v>
      </c>
      <c r="T5" s="24" t="str">
        <f ca="1">IFERROR(__xludf.DUMMYFUNCTION("""COMPUTED_VALUE"""),"User")</f>
        <v>User</v>
      </c>
      <c r="U5" s="24" t="str">
        <f ca="1">IFERROR(__xludf.DUMMYFUNCTION("""COMPUTED_VALUE"""),"Asset Category")</f>
        <v>Asset Category</v>
      </c>
      <c r="V5" s="24" t="str">
        <f ca="1">IFERROR(__xludf.DUMMYFUNCTION("""COMPUTED_VALUE"""),"Settlement Currency")</f>
        <v>Settlement Currency</v>
      </c>
      <c r="W5" s="24" t="str">
        <f ca="1">IFERROR(__xludf.DUMMYFUNCTION("""COMPUTED_VALUE"""),"Commission Per Share")</f>
        <v>Commission Per Share</v>
      </c>
      <c r="X5" s="24" t="str">
        <f ca="1">IFERROR(__xludf.DUMMYFUNCTION("""COMPUTED_VALUE"""),"Soft Commission Per Share")</f>
        <v>Soft Commission Per Share</v>
      </c>
      <c r="Y5" s="24" t="str">
        <f ca="1">IFERROR(__xludf.DUMMYFUNCTION("""COMPUTED_VALUE"""),"Total Commission Per Share")</f>
        <v>Total Commission Per Share</v>
      </c>
      <c r="Z5" s="24" t="str">
        <f ca="1">IFERROR(__xludf.DUMMYFUNCTION("""COMPUTED_VALUE"""),"Change Type")</f>
        <v>Change Type</v>
      </c>
      <c r="AA5" s="24" t="str">
        <f ca="1">IFERROR(__xludf.DUMMYFUNCTION("""COMPUTED_VALUE"""),"Trade Attribute 1")</f>
        <v>Trade Attribute 1</v>
      </c>
      <c r="AB5" s="24" t="str">
        <f ca="1">IFERROR(__xludf.DUMMYFUNCTION("""COMPUTED_VALUE"""),"Trade Attribute 2")</f>
        <v>Trade Attribute 2</v>
      </c>
      <c r="AC5" s="24" t="str">
        <f ca="1">IFERROR(__xludf.DUMMYFUNCTION("""COMPUTED_VALUE"""),"Trade Attribute 3")</f>
        <v>Trade Attribute 3</v>
      </c>
      <c r="AD5" s="24" t="str">
        <f ca="1">IFERROR(__xludf.DUMMYFUNCTION("""COMPUTED_VALUE"""),"Trade Attribute 4")</f>
        <v>Trade Attribute 4</v>
      </c>
      <c r="AE5" s="24" t="str">
        <f ca="1">IFERROR(__xludf.DUMMYFUNCTION("""COMPUTED_VALUE"""),"Trade Attribute 5")</f>
        <v>Trade Attribute 5</v>
      </c>
      <c r="AF5" s="24" t="str">
        <f ca="1">IFERROR(__xludf.DUMMYFUNCTION("""COMPUTED_VALUE"""),"Trade Attribute 6")</f>
        <v>Trade Attribute 6</v>
      </c>
      <c r="AG5" s="24" t="str">
        <f ca="1">IFERROR(__xludf.DUMMYFUNCTION("""COMPUTED_VALUE"""),"IsPreAllocated")</f>
        <v>IsPreAllocated</v>
      </c>
      <c r="AH5" s="24" t="str">
        <f ca="1">IFERROR(__xludf.DUMMYFUNCTION("""COMPUTED_VALUE"""),"IsManual Group")</f>
        <v>IsManual Group</v>
      </c>
      <c r="AI5" s="24" t="str">
        <f ca="1">IFERROR(__xludf.DUMMYFUNCTION("""COMPUTED_VALUE"""),"IsAnotherTaxlotAttributesUpdated")</f>
        <v>IsAnotherTaxlotAttributesUpdated</v>
      </c>
      <c r="AJ5" s="24" t="str">
        <f ca="1">IFERROR(__xludf.DUMMYFUNCTION("""COMPUTED_VALUE"""),"ISNDF")</f>
        <v>ISNDF</v>
      </c>
      <c r="AK5" s="24" t="str">
        <f ca="1">IFERROR(__xludf.DUMMYFUNCTION("""COMPUTED_VALUE"""),"M2MProfitLoss")</f>
        <v>M2MProfitLoss</v>
      </c>
      <c r="AL5" s="24" t="str">
        <f ca="1">IFERROR(__xludf.DUMMYFUNCTION("""COMPUTED_VALUE"""),"Put Or Call")</f>
        <v>Put Or Call</v>
      </c>
      <c r="AM5" s="24" t="str">
        <f ca="1">IFERROR(__xludf.DUMMYFUNCTION("""COMPUTED_VALUE"""),"GroupID")</f>
        <v>GroupID</v>
      </c>
      <c r="AN5" s="24" t="str">
        <f ca="1">IFERROR(__xludf.DUMMYFUNCTION("""COMPUTED_VALUE"""),"UnAllocatedQty")</f>
        <v>UnAllocatedQty</v>
      </c>
      <c r="AO5" s="24" t="str">
        <f ca="1">IFERROR(__xludf.DUMMYFUNCTION("""COMPUTED_VALUE"""),"Allocated Qty")</f>
        <v>Allocated Qty</v>
      </c>
      <c r="AP5" s="24" t="str">
        <f ca="1">IFERROR(__xludf.DUMMYFUNCTION("""COMPUTED_VALUE"""),"Commission")</f>
        <v>Commission</v>
      </c>
      <c r="AQ5" s="24" t="str">
        <f ca="1">IFERROR(__xludf.DUMMYFUNCTION("""COMPUTED_VALUE"""),"Soft Commission")</f>
        <v>Soft Commission</v>
      </c>
      <c r="AR5" s="24" t="str">
        <f ca="1">IFERROR(__xludf.DUMMYFUNCTION("""COMPUTED_VALUE"""),"Other Broker Fees")</f>
        <v>Other Broker Fees</v>
      </c>
      <c r="AS5" s="24" t="str">
        <f ca="1">IFERROR(__xludf.DUMMYFUNCTION("""COMPUTED_VALUE"""),"Clearing Broker Fee")</f>
        <v>Clearing Broker Fee</v>
      </c>
      <c r="AT5" s="24" t="str">
        <f ca="1">IFERROR(__xludf.DUMMYFUNCTION("""COMPUTED_VALUE"""),"Total Commission And Fee")</f>
        <v>Total Commission And Fee</v>
      </c>
      <c r="AU5" s="24" t="str">
        <f ca="1">IFERROR(__xludf.DUMMYFUNCTION("""COMPUTED_VALUE"""),"Transaction Levy")</f>
        <v>Transaction Levy</v>
      </c>
      <c r="AV5" s="24" t="str">
        <f ca="1">IFERROR(__xludf.DUMMYFUNCTION("""COMPUTED_VALUE"""),"Stamp Duty")</f>
        <v>Stamp Duty</v>
      </c>
      <c r="AW5" s="24" t="str">
        <f ca="1">IFERROR(__xludf.DUMMYFUNCTION("""COMPUTED_VALUE"""),"AUEC Fee1")</f>
        <v>AUEC Fee1</v>
      </c>
      <c r="AX5" s="24" t="str">
        <f ca="1">IFERROR(__xludf.DUMMYFUNCTION("""COMPUTED_VALUE"""),"Tax On Commissions")</f>
        <v>Tax On Commissions</v>
      </c>
      <c r="AY5" s="24" t="str">
        <f ca="1">IFERROR(__xludf.DUMMYFUNCTION("""COMPUTED_VALUE"""),"AUEC Fee2")</f>
        <v>AUEC Fee2</v>
      </c>
      <c r="AZ5" s="24" t="str">
        <f ca="1">IFERROR(__xludf.DUMMYFUNCTION("""COMPUTED_VALUE"""),"SEC Fee")</f>
        <v>SEC Fee</v>
      </c>
      <c r="BA5" s="24" t="str">
        <f ca="1">IFERROR(__xludf.DUMMYFUNCTION("""COMPUTED_VALUE"""),"OCC Fee")</f>
        <v>OCC Fee</v>
      </c>
      <c r="BB5" s="24" t="str">
        <f ca="1">IFERROR(__xludf.DUMMYFUNCTION("""COMPUTED_VALUE"""),"ORF Fee")</f>
        <v>ORF Fee</v>
      </c>
      <c r="BC5" s="24" t="str">
        <f ca="1">IFERROR(__xludf.DUMMYFUNCTION("""COMPUTED_VALUE"""),"Option Premium Adjustment")</f>
        <v>Option Premium Adjustment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IFERROR(__xludf.DUMMYFUNCTION("""COMPUTED_VALUE"""),"Total Commission")</f>
        <v>Total Commission</v>
      </c>
      <c r="BF5" s="24" t="str">
        <f ca="1">IFERROR(__xludf.DUMMYFUNCTION("""COMPUTED_VALUE"""),"Closing Status")</f>
        <v>Closing Status</v>
      </c>
      <c r="BG5" s="24" t="str">
        <f ca="1">IFERROR(__xludf.DUMMYFUNCTION("""COMPUTED_VALUE"""),"Closing Method")</f>
        <v>Closing Method</v>
      </c>
      <c r="BH5" s="24" t="str">
        <f ca="1">IFERROR(__xludf.DUMMYFUNCTION("""COMPUTED_VALUE"""),"Group Status")</f>
        <v>Group Status</v>
      </c>
      <c r="BI5" s="24" t="str">
        <f ca="1">IFERROR(__xludf.DUMMYFUNCTION("""COMPUTED_VALUE"""),"Allocation Scheme Name")</f>
        <v>Allocation Scheme Name</v>
      </c>
      <c r="BJ5" s="24" t="str">
        <f ca="1">IFERROR(__xludf.DUMMYFUNCTION("""COMPUTED_VALUE"""),"Change Comment")</f>
        <v>Change Comment</v>
      </c>
      <c r="BK5" s="24" t="str">
        <f ca="1">IFERROR(__xludf.DUMMYFUNCTION("""COMPUTED_VALUE"""),"Order Type")</f>
        <v>Order Type</v>
      </c>
      <c r="BL5" s="24" t="str">
        <f ca="1">IFERROR(__xludf.DUMMYFUNCTION("""COMPUTED_VALUE"""),"Underlying")</f>
        <v>Underlying</v>
      </c>
      <c r="BM5" s="24" t="str">
        <f ca="1">IFERROR(__xludf.DUMMYFUNCTION("""COMPUTED_VALUE"""),"Exchange")</f>
        <v>Exchange</v>
      </c>
      <c r="BN5" s="24" t="str">
        <f ca="1">IFERROR(__xludf.DUMMYFUNCTION("""COMPUTED_VALUE"""),"Currency")</f>
        <v>Currency</v>
      </c>
      <c r="BO5" s="24" t="str">
        <f ca="1">IFERROR(__xludf.DUMMYFUNCTION("""COMPUTED_VALUE"""),"AUECID")</f>
        <v>AUECID</v>
      </c>
      <c r="BP5" s="24" t="str">
        <f ca="1">IFERROR(__xludf.DUMMYFUNCTION("""COMPUTED_VALUE"""),"Cum Qty For Sub Order")</f>
        <v>Cum Qty For Sub Order</v>
      </c>
      <c r="BQ5" s="24" t="str">
        <f ca="1">IFERROR(__xludf.DUMMYFUNCTION("""COMPUTED_VALUE"""),"Contract Multiplier")</f>
        <v>Contract Multiplier</v>
      </c>
      <c r="BR5" s="24" t="str">
        <f ca="1">IFERROR(__xludf.DUMMYFUNCTION("""COMPUTED_VALUE"""),"Company")</f>
        <v>Company</v>
      </c>
      <c r="BS5" s="24" t="str">
        <f ca="1">IFERROR(__xludf.DUMMYFUNCTION("""COMPUTED_VALUE"""),"Nirvana Process Date")</f>
        <v>Nirvana Process Date</v>
      </c>
      <c r="BT5" s="24" t="str">
        <f ca="1">IFERROR(__xludf.DUMMYFUNCTION("""COMPUTED_VALUE"""),"Process Date")</f>
        <v>Process Date</v>
      </c>
      <c r="BU5" s="24" t="str">
        <f ca="1">IFERROR(__xludf.DUMMYFUNCTION("""COMPUTED_VALUE"""),"Original Purchase Date")</f>
        <v>Original Purchase Date</v>
      </c>
      <c r="BV5" s="24" t="str">
        <f ca="1">IFERROR(__xludf.DUMMYFUNCTION("""COMPUTED_VALUE"""),"Closing Date")</f>
        <v>Closing Date</v>
      </c>
      <c r="BW5" s="24" t="str">
        <f ca="1">IFERROR(__xludf.DUMMYFUNCTION("""COMPUTED_VALUE"""),"Settlement Date")</f>
        <v>Settlement Date</v>
      </c>
      <c r="BX5" s="24" t="str">
        <f ca="1">IFERROR(__xludf.DUMMYFUNCTION("""COMPUTED_VALUE"""),"Expiration Date")</f>
        <v>Expiration Date</v>
      </c>
      <c r="BY5" s="24" t="str">
        <f ca="1">IFERROR(__xludf.DUMMYFUNCTION("""COMPUTED_VALUE"""),"Description")</f>
        <v>Description</v>
      </c>
      <c r="BZ5" s="24" t="str">
        <f ca="1">IFERROR(__xludf.DUMMYFUNCTION("""COMPUTED_VALUE"""),"Underlying Symbol")</f>
        <v>Underlying Symbol</v>
      </c>
      <c r="CA5" s="24" t="str">
        <f ca="1">IFERROR(__xludf.DUMMYFUNCTION("""COMPUTED_VALUE"""),"Accrued Interest")</f>
        <v>Accrued Interest</v>
      </c>
      <c r="CB5" s="24" t="str">
        <f ca="1">IFERROR(__xludf.DUMMYFUNCTION("""COMPUTED_VALUE"""),"Accrual Basis")</f>
        <v>Accrual Basis</v>
      </c>
      <c r="CC5" s="24" t="str">
        <f ca="1">IFERROR(__xludf.DUMMYFUNCTION("""COMPUTED_VALUE"""),"Bond Type")</f>
        <v>Bond Type</v>
      </c>
      <c r="CD5" s="24" t="str">
        <f ca="1">IFERROR(__xludf.DUMMYFUNCTION("""COMPUTED_VALUE"""),"Coupon Rate")</f>
        <v>Coupon Rate</v>
      </c>
      <c r="CE5" s="24" t="str">
        <f ca="1">IFERROR(__xludf.DUMMYFUNCTION("""COMPUTED_VALUE"""),"Delta")</f>
        <v>Delta</v>
      </c>
      <c r="CF5" s="24" t="str">
        <f ca="1">IFERROR(__xludf.DUMMYFUNCTION("""COMPUTED_VALUE"""),"Bloomberg")</f>
        <v>Bloomberg</v>
      </c>
      <c r="CG5" s="24" t="str">
        <f ca="1">IFERROR(__xludf.DUMMYFUNCTION("""COMPUTED_VALUE"""),"Sedol Symbol")</f>
        <v>Sedol Symbol</v>
      </c>
      <c r="CH5" s="24" t="str">
        <f ca="1">IFERROR(__xludf.DUMMYFUNCTION("""COMPUTED_VALUE"""),"Cusip Symbol")</f>
        <v>Cusip Symbol</v>
      </c>
      <c r="CI5" s="24" t="str">
        <f ca="1">IFERROR(__xludf.DUMMYFUNCTION("""COMPUTED_VALUE"""),"ISIN")</f>
        <v>ISIN</v>
      </c>
      <c r="CJ5" s="24" t="str">
        <f ca="1">IFERROR(__xludf.DUMMYFUNCTION("""COMPUTED_VALUE"""),"OSISSymbol")</f>
        <v>OSISSymbol</v>
      </c>
      <c r="CK5" s="24" t="str">
        <f ca="1">IFERROR(__xludf.DUMMYFUNCTION("""COMPUTED_VALUE"""),"IDCOSymbol")</f>
        <v>IDCOSymbol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IFERROR(__xludf.DUMMYFUNCTION("""COMPUTED_VALUE"""),"Internal Comments")</f>
        <v>Internal Comments</v>
      </c>
      <c r="CN5" s="24" t="str">
        <f ca="1">IFERROR(__xludf.DUMMYFUNCTION("""COMPUTED_VALUE"""),"Proxy Symbol")</f>
        <v>Proxy Symbol</v>
      </c>
      <c r="CO5" s="24" t="str">
        <f ca="1">IFERROR(__xludf.DUMMYFUNCTION("""COMPUTED_VALUE"""),"Transaction Source")</f>
        <v>Transaction Source</v>
      </c>
      <c r="CP5" s="24" t="str">
        <f ca="1">IFERROR(__xludf.DUMMYFUNCTION("""COMPUTED_VALUE"""),"Import File Name")</f>
        <v>Import File Name</v>
      </c>
      <c r="CQ5" s="24" t="str">
        <f ca="1">IFERROR(__xludf.DUMMYFUNCTION("""COMPUTED_VALUE"""),"Master Fund")</f>
        <v>Master Fund</v>
      </c>
      <c r="CR5" s="24" t="str">
        <f ca="1">IFERROR(__xludf.DUMMYFUNCTION("""COMPUTED_VALUE"""),"Client")</f>
        <v>Client</v>
      </c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22</v>
      </c>
      <c r="C6" s="7" t="s">
        <v>23</v>
      </c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7" t="s">
        <v>22</v>
      </c>
      <c r="C7" s="7" t="s">
        <v>39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46</v>
      </c>
      <c r="D3" s="2" t="s">
        <v>9</v>
      </c>
      <c r="E3" s="17" t="s">
        <v>51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IFERROR(__xludf.DUMMYFUNCTION("""COMPUTED_VALUE"""),"PreferenceType")</f>
        <v>PreferenceType</v>
      </c>
      <c r="C5" s="22" t="str">
        <f ca="1">IFERROR(__xludf.DUMMYFUNCTION("""COMPUTED_VALUE"""),"PreferenceName")</f>
        <v>PreferenceName</v>
      </c>
      <c r="D5" s="22" t="str">
        <f ca="1">IFERROR(__xludf.DUMMYFUNCTION("""COMPUTED_VALUE"""),"PTTPrefNeeded")</f>
        <v>PTTPrefNeeded</v>
      </c>
      <c r="E5" s="22" t="str">
        <f ca="1">IFERROR(__xludf.DUMMYFUNCTION("""COMPUTED_VALUE"""),"IsForceAllocation")</f>
        <v>IsForceAllocation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IFERROR(__xludf.DUMMYFUNCTION("""COMPUTED_VALUE"""),"RemainderAllocationTo")</f>
        <v>RemainderAllocationTo</v>
      </c>
      <c r="H5" s="22" t="str">
        <f ca="1">IFERROR(__xludf.DUMMYFUNCTION("""COMPUTED_VALUE"""),"Target%AsOf")</f>
        <v>Target%AsOf</v>
      </c>
      <c r="I5" s="22" t="str">
        <f ca="1">IFERROR(__xludf.DUMMYFUNCTION("""COMPUTED_VALUE"""),"AccountsForProrata")</f>
        <v>AccountsForProrata</v>
      </c>
      <c r="J5" s="22" t="str">
        <f ca="1">IFERROR(__xludf.DUMMYFUNCTION("""COMPUTED_VALUE"""),"DateUptoDays")</f>
        <v>DateUptoDays</v>
      </c>
      <c r="K5" s="22" t="str">
        <f ca="1">IFERROR(__xludf.DUMMYFUNCTION("""COMPUTED_VALUE"""),"MatchClosingTransactions")</f>
        <v>MatchClosingTransactions</v>
      </c>
      <c r="L5" s="22" t="str">
        <f ca="1">IFERROR(__xludf.DUMMYFUNCTION("""COMPUTED_VALUE"""),"Custom")</f>
        <v>Custom</v>
      </c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8" t="s">
        <v>52</v>
      </c>
      <c r="C6" s="32"/>
      <c r="D6" s="38"/>
      <c r="E6" s="32"/>
      <c r="F6" s="32"/>
      <c r="G6" s="32"/>
      <c r="H6" s="32"/>
      <c r="I6" s="32"/>
      <c r="J6" s="32"/>
      <c r="K6" s="32"/>
      <c r="L6" s="39" t="b">
        <v>1</v>
      </c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46</v>
      </c>
      <c r="D3" s="2" t="s">
        <v>9</v>
      </c>
      <c r="E3" s="17" t="s">
        <v>49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IFERROR(__xludf.DUMMYFUNCTION("""COMPUTED_VALUE"""),"Quantity")</f>
        <v>Quantity</v>
      </c>
      <c r="D5" s="22" t="str">
        <f ca="1">IFERROR(__xludf.DUMMYFUNCTION("""COMPUTED_VALUE"""),"Trade Date")</f>
        <v>Trade Date</v>
      </c>
      <c r="E5" s="22" t="str">
        <f ca="1">IFERROR(__xludf.DUMMYFUNCTION("""COMPUTED_VALUE"""),"Account Name")</f>
        <v>Account Name</v>
      </c>
      <c r="F5" s="23" t="str">
        <f ca="1">IFERROR(__xludf.DUMMYFUNCTION("""COMPUTED_VALUE"""),"Side")</f>
        <v>Side</v>
      </c>
      <c r="G5" s="22" t="str">
        <f ca="1">IFERROR(__xludf.DUMMYFUNCTION("""COMPUTED_VALUE"""),"Group Status")</f>
        <v>Group Status</v>
      </c>
      <c r="H5" s="22" t="str">
        <f ca="1">IFERROR(__xludf.DUMMYFUNCTION("""COMPUTED_VALUE"""),"Avg Price( Base)")</f>
        <v>Avg Price( Base)</v>
      </c>
      <c r="I5" s="22" t="str">
        <f ca="1">IFERROR(__xludf.DUMMYFUNCTION("""COMPUTED_VALUE"""),"Execution Time")</f>
        <v>Execution Time</v>
      </c>
      <c r="J5" s="22" t="str">
        <f ca="1">IFERROR(__xludf.DUMMYFUNCTION("""COMPUTED_VALUE"""),"Trade Attribute 1")</f>
        <v>Trade Attribute 1</v>
      </c>
      <c r="K5" s="22" t="str">
        <f ca="1">IFERROR(__xludf.DUMMYFUNCTION("""COMPUTED_VALUE"""),"Avg Price(Local)")</f>
        <v>Avg Price(Local)</v>
      </c>
      <c r="L5" s="22" t="str">
        <f ca="1">IFERROR(__xludf.DUMMYFUNCTION("""COMPUTED_VALUE"""),"Trade Attribute 2")</f>
        <v>Trade Attribute 2</v>
      </c>
      <c r="M5" s="22" t="str">
        <f ca="1">IFERROR(__xludf.DUMMYFUNCTION("""COMPUTED_VALUE"""),"Accrued Interest")</f>
        <v>Accrued Interest</v>
      </c>
      <c r="N5" s="22" t="str">
        <f ca="1">IFERROR(__xludf.DUMMYFUNCTION("""COMPUTED_VALUE"""),"Commission")</f>
        <v>Commission</v>
      </c>
      <c r="O5" s="22" t="str">
        <f ca="1">IFERROR(__xludf.DUMMYFUNCTION("""COMPUTED_VALUE"""),"Soft Commission")</f>
        <v>Soft Commission</v>
      </c>
      <c r="P5" s="22" t="str">
        <f ca="1">IFERROR(__xludf.DUMMYFUNCTION("""COMPUTED_VALUE"""),"Broker")</f>
        <v>Broker</v>
      </c>
      <c r="Q5" s="22" t="str">
        <f ca="1">IFERROR(__xludf.DUMMYFUNCTION("""COMPUTED_VALUE"""),"Transaction Type")</f>
        <v>Transaction Type</v>
      </c>
      <c r="R5" s="22" t="str">
        <f ca="1">IFERROR(__xludf.DUMMYFUNCTION("""COMPUTED_VALUE"""),"AUEC Fee1")</f>
        <v>AUEC Fee1</v>
      </c>
      <c r="S5" s="22" t="str">
        <f ca="1">IFERROR(__xludf.DUMMYFUNCTION("""COMPUTED_VALUE"""),"AUEC Fee2")</f>
        <v>AUEC Fee2</v>
      </c>
      <c r="T5" s="24" t="str">
        <f ca="1">IFERROR(__xludf.DUMMYFUNCTION("""COMPUTED_VALUE"""),"Clearing Broker Fee")</f>
        <v>Clearing Broker Fee</v>
      </c>
      <c r="U5" s="24" t="str">
        <f ca="1">IFERROR(__xludf.DUMMYFUNCTION("""COMPUTED_VALUE"""),"Other Broker Fees")</f>
        <v>Other Broker Fees</v>
      </c>
      <c r="V5" s="24" t="str">
        <f ca="1">IFERROR(__xludf.DUMMYFUNCTION("""COMPUTED_VALUE"""),"OCC Fee")</f>
        <v>OCC Fee</v>
      </c>
      <c r="W5" s="24" t="str">
        <f ca="1">IFERROR(__xludf.DUMMYFUNCTION("""COMPUTED_VALUE"""),"SEC Fee")</f>
        <v>SEC Fee</v>
      </c>
      <c r="X5" s="24" t="str">
        <f ca="1">IFERROR(__xludf.DUMMYFUNCTION("""COMPUTED_VALUE"""),"ORF Fee")</f>
        <v>ORF Fee</v>
      </c>
      <c r="Y5" s="24" t="str">
        <f ca="1">IFERROR(__xludf.DUMMYFUNCTION("""COMPUTED_VALUE"""),"IsPreAllocated")</f>
        <v>IsPreAllocated</v>
      </c>
      <c r="Z5" s="24" t="str">
        <f ca="1">IFERROR(__xludf.DUMMYFUNCTION("""COMPUTED_VALUE"""),"Stamp Duty")</f>
        <v>Stamp Duty</v>
      </c>
      <c r="AA5" s="24" t="str">
        <f ca="1">IFERROR(__xludf.DUMMYFUNCTION("""COMPUTED_VALUE"""),"IsManual Group")</f>
        <v>IsManual Group</v>
      </c>
      <c r="AB5" s="24" t="str">
        <f ca="1">IFERROR(__xludf.DUMMYFUNCTION("""COMPUTED_VALUE"""),"Tax On Commissions")</f>
        <v>Tax On Commissions</v>
      </c>
      <c r="AC5" s="24" t="str">
        <f ca="1">IFERROR(__xludf.DUMMYFUNCTION("""COMPUTED_VALUE"""),"IsAnotherTaxlotAttributesUpdated")</f>
        <v>IsAnotherTaxlotAttributesUpdated</v>
      </c>
      <c r="AD5" s="24" t="str">
        <f ca="1">IFERROR(__xludf.DUMMYFUNCTION("""COMPUTED_VALUE"""),"ISNDF")</f>
        <v>ISNDF</v>
      </c>
      <c r="AE5" s="24" t="str">
        <f ca="1">IFERROR(__xludf.DUMMYFUNCTION("""COMPUTED_VALUE"""),"Transaction Levy")</f>
        <v>Transaction Levy</v>
      </c>
      <c r="AF5" s="24" t="str">
        <f ca="1">IFERROR(__xludf.DUMMYFUNCTION("""COMPUTED_VALUE"""),"Description")</f>
        <v>Description</v>
      </c>
      <c r="AG5" s="24" t="str">
        <f ca="1">IFERROR(__xludf.DUMMYFUNCTION("""COMPUTED_VALUE"""),"GroupID")</f>
        <v>GroupID</v>
      </c>
      <c r="AH5" s="24" t="str">
        <f ca="1">IFERROR(__xludf.DUMMYFUNCTION("""COMPUTED_VALUE"""),"Internal Comments")</f>
        <v>Internal Comments</v>
      </c>
      <c r="AI5" s="24" t="str">
        <f ca="1">IFERROR(__xludf.DUMMYFUNCTION("""COMPUTED_VALUE"""),"M2MProfitLoss")</f>
        <v>M2MProfitLoss</v>
      </c>
      <c r="AJ5" s="24" t="str">
        <f ca="1">IFERROR(__xludf.DUMMYFUNCTION("""COMPUTED_VALUE"""),"FX Rate")</f>
        <v>FX Rate</v>
      </c>
      <c r="AK5" s="24" t="str">
        <f ca="1">IFERROR(__xludf.DUMMYFUNCTION("""COMPUTED_VALUE"""),"FX Conversion Operator")</f>
        <v>FX Conversion Operator</v>
      </c>
      <c r="AL5" s="24" t="str">
        <f ca="1">IFERROR(__xludf.DUMMYFUNCTION("""COMPUTED_VALUE"""),"Trade Attribute 3")</f>
        <v>Trade Attribute 3</v>
      </c>
      <c r="AM5" s="24" t="str">
        <f ca="1">IFERROR(__xludf.DUMMYFUNCTION("""COMPUTED_VALUE"""),"Trade Attribute 4")</f>
        <v>Trade Attribute 4</v>
      </c>
      <c r="AN5" s="24" t="str">
        <f ca="1">IFERROR(__xludf.DUMMYFUNCTION("""COMPUTED_VALUE"""),"Trade Attribute 5")</f>
        <v>Trade Attribute 5</v>
      </c>
      <c r="AO5" s="24" t="str">
        <f ca="1">IFERROR(__xludf.DUMMYFUNCTION("""COMPUTED_VALUE"""),"Trade Attribute 6")</f>
        <v>Trade Attribute 6</v>
      </c>
      <c r="AP5" s="24" t="str">
        <f ca="1">IFERROR(__xludf.DUMMYFUNCTION("""COMPUTED_VALUE"""),"Put Or Call")</f>
        <v>Put Or Call</v>
      </c>
      <c r="AQ5" s="24" t="str">
        <f ca="1">IFERROR(__xludf.DUMMYFUNCTION("""COMPUTED_VALUE"""),"Allocated Qty")</f>
        <v>Allocated Qty</v>
      </c>
      <c r="AR5" s="24" t="str">
        <f ca="1">IFERROR(__xludf.DUMMYFUNCTION("""COMPUTED_VALUE"""),"Total Commission And Fee")</f>
        <v>Total Commission And Fee</v>
      </c>
      <c r="AS5" s="24" t="str">
        <f ca="1">IFERROR(__xludf.DUMMYFUNCTION("""COMPUTED_VALUE"""),"Executed Qty")</f>
        <v>Executed Qty</v>
      </c>
      <c r="AT5" s="24" t="str">
        <f ca="1">IFERROR(__xludf.DUMMYFUNCTION("""COMPUTED_VALUE"""),"Net Amount( Local)")</f>
        <v>Net Amount( Local)</v>
      </c>
      <c r="AU5" s="24" t="str">
        <f ca="1">IFERROR(__xludf.DUMMYFUNCTION("""COMPUTED_VALUE"""),"Net Amount( Base)")</f>
        <v>Net Amount( Base)</v>
      </c>
      <c r="AV5" s="24" t="str">
        <f ca="1">IFERROR(__xludf.DUMMYFUNCTION("""COMPUTED_VALUE"""),"UnAllocatedQty")</f>
        <v>UnAllocatedQty</v>
      </c>
      <c r="AW5" s="24" t="str">
        <f ca="1">IFERROR(__xludf.DUMMYFUNCTION("""COMPUTED_VALUE"""),"Option Premium Adjustment")</f>
        <v>Option Premium Adjustment</v>
      </c>
      <c r="AX5" s="24" t="str">
        <f ca="1">IFERROR(__xludf.DUMMYFUNCTION("""COMPUTED_VALUE"""),"Principal Amount( Local)")</f>
        <v>Principal Amount( Local)</v>
      </c>
      <c r="AY5" s="24" t="str">
        <f ca="1">IFERROR(__xludf.DUMMYFUNCTION("""COMPUTED_VALUE"""),"Principal Amount( Base)")</f>
        <v>Principal Amount( Base)</v>
      </c>
      <c r="AZ5" s="24" t="str">
        <f ca="1">IFERROR(__xludf.DUMMYFUNCTION("""COMPUTED_VALUE"""),"Settlement Currency")</f>
        <v>Settlement Currency</v>
      </c>
      <c r="BA5" s="24" t="str">
        <f ca="1">IFERROR(__xludf.DUMMYFUNCTION("""COMPUTED_VALUE"""),"User")</f>
        <v>User</v>
      </c>
      <c r="BB5" s="24" t="str">
        <f ca="1">IFERROR(__xludf.DUMMYFUNCTION("""COMPUTED_VALUE"""),"Asset Category")</f>
        <v>Asset Category</v>
      </c>
      <c r="BC5" s="24" t="str">
        <f ca="1">IFERROR(__xludf.DUMMYFUNCTION("""COMPUTED_VALUE"""),"Change Type")</f>
        <v>Change Type</v>
      </c>
      <c r="BD5" s="24" t="str">
        <f ca="1">IFERROR(__xludf.DUMMYFUNCTION("""COMPUTED_VALUE"""),"Strategy Name")</f>
        <v>Strategy Name</v>
      </c>
      <c r="BE5" s="24" t="str">
        <f ca="1">IFERROR(__xludf.DUMMYFUNCTION("""COMPUTED_VALUE"""),"Prana Msg Type")</f>
        <v>Prana Msg Type</v>
      </c>
      <c r="BF5" s="24" t="str">
        <f ca="1">IFERROR(__xludf.DUMMYFUNCTION("""COMPUTED_VALUE"""),"Total Commission")</f>
        <v>Total Commission</v>
      </c>
      <c r="BG5" s="24" t="str">
        <f ca="1">IFERROR(__xludf.DUMMYFUNCTION("""COMPUTED_VALUE"""),"Commission Per Share")</f>
        <v>Commission Per Share</v>
      </c>
      <c r="BH5" s="24" t="str">
        <f ca="1">IFERROR(__xludf.DUMMYFUNCTION("""COMPUTED_VALUE"""),"Soft Commission Per Share")</f>
        <v>Soft Commission Per Share</v>
      </c>
      <c r="BI5" s="24" t="str">
        <f ca="1">IFERROR(__xludf.DUMMYFUNCTION("""COMPUTED_VALUE"""),"Total Commission Per Share")</f>
        <v>Total Commission Per Share</v>
      </c>
      <c r="BJ5" s="24" t="str">
        <f ca="1">IFERROR(__xludf.DUMMYFUNCTION("""COMPUTED_VALUE"""),"Closing Status")</f>
        <v>Closing Status</v>
      </c>
      <c r="BK5" s="24" t="str">
        <f ca="1">IFERROR(__xludf.DUMMYFUNCTION("""COMPUTED_VALUE"""),"Closing Method")</f>
        <v>Closing Method</v>
      </c>
      <c r="BL5" s="24" t="str">
        <f ca="1">IFERROR(__xludf.DUMMYFUNCTION("""COMPUTED_VALUE"""),"Allocation Scheme Name")</f>
        <v>Allocation Scheme Name</v>
      </c>
      <c r="BM5" s="24" t="str">
        <f ca="1">IFERROR(__xludf.DUMMYFUNCTION("""COMPUTED_VALUE"""),"Change Comment")</f>
        <v>Change Comment</v>
      </c>
      <c r="BN5" s="24" t="str">
        <f ca="1">IFERROR(__xludf.DUMMYFUNCTION("""COMPUTED_VALUE"""),"Order Type")</f>
        <v>Order Type</v>
      </c>
      <c r="BO5" s="24" t="str">
        <f ca="1">IFERROR(__xludf.DUMMYFUNCTION("""COMPUTED_VALUE"""),"Underlying")</f>
        <v>Underlying</v>
      </c>
      <c r="BP5" s="24" t="str">
        <f ca="1">IFERROR(__xludf.DUMMYFUNCTION("""COMPUTED_VALUE"""),"Exchange")</f>
        <v>Exchange</v>
      </c>
      <c r="BQ5" s="24" t="str">
        <f ca="1">IFERROR(__xludf.DUMMYFUNCTION("""COMPUTED_VALUE"""),"Currency")</f>
        <v>Currency</v>
      </c>
      <c r="BR5" s="24" t="str">
        <f ca="1">IFERROR(__xludf.DUMMYFUNCTION("""COMPUTED_VALUE"""),"AUECID")</f>
        <v>AUECID</v>
      </c>
      <c r="BS5" s="24" t="str">
        <f ca="1">IFERROR(__xludf.DUMMYFUNCTION("""COMPUTED_VALUE"""),"Trading Account")</f>
        <v>Trading Account</v>
      </c>
      <c r="BT5" s="24" t="str">
        <f ca="1">IFERROR(__xludf.DUMMYFUNCTION("""COMPUTED_VALUE"""),"Venue")</f>
        <v>Venue</v>
      </c>
      <c r="BU5" s="24" t="str">
        <f ca="1">IFERROR(__xludf.DUMMYFUNCTION("""COMPUTED_VALUE"""),"Cum Qty For Sub Order")</f>
        <v>Cum Qty For Sub Order</v>
      </c>
      <c r="BV5" s="24" t="str">
        <f ca="1">IFERROR(__xludf.DUMMYFUNCTION("""COMPUTED_VALUE"""),"Contract Multiplier")</f>
        <v>Contract Multiplier</v>
      </c>
      <c r="BW5" s="24" t="str">
        <f ca="1">IFERROR(__xludf.DUMMYFUNCTION("""COMPUTED_VALUE"""),"Company")</f>
        <v>Company</v>
      </c>
      <c r="BX5" s="24" t="str">
        <f ca="1">IFERROR(__xludf.DUMMYFUNCTION("""COMPUTED_VALUE"""),"Nirvana Process Date")</f>
        <v>Nirvana Process Date</v>
      </c>
      <c r="BY5" s="24" t="str">
        <f ca="1">IFERROR(__xludf.DUMMYFUNCTION("""COMPUTED_VALUE"""),"Process Date")</f>
        <v>Process Date</v>
      </c>
      <c r="BZ5" s="24" t="str">
        <f ca="1">IFERROR(__xludf.DUMMYFUNCTION("""COMPUTED_VALUE"""),"Original Purchase Date")</f>
        <v>Original Purchase Date</v>
      </c>
      <c r="CA5" s="24" t="str">
        <f ca="1">IFERROR(__xludf.DUMMYFUNCTION("""COMPUTED_VALUE"""),"Closing Date")</f>
        <v>Closing Date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IFERROR(__xludf.DUMMYFUNCTION("""COMPUTED_VALUE"""),"Expiration Date")</f>
        <v>Expiration Date</v>
      </c>
      <c r="CD5" s="24" t="str">
        <f ca="1">IFERROR(__xludf.DUMMYFUNCTION("""COMPUTED_VALUE"""),"Underlying Symbol")</f>
        <v>Underlying Symbol</v>
      </c>
      <c r="CE5" s="24" t="str">
        <f ca="1">IFERROR(__xludf.DUMMYFUNCTION("""COMPUTED_VALUE"""),"Accrual Basis")</f>
        <v>Accrual Basis</v>
      </c>
      <c r="CF5" s="24" t="str">
        <f ca="1">IFERROR(__xludf.DUMMYFUNCTION("""COMPUTED_VALUE"""),"Bond Type")</f>
        <v>Bond Type</v>
      </c>
      <c r="CG5" s="24" t="str">
        <f ca="1">IFERROR(__xludf.DUMMYFUNCTION("""COMPUTED_VALUE"""),"Coupon Rate")</f>
        <v>Coupon Rate</v>
      </c>
      <c r="CH5" s="24" t="str">
        <f ca="1">IFERROR(__xludf.DUMMYFUNCTION("""COMPUTED_VALUE"""),"Delta")</f>
        <v>Delta</v>
      </c>
      <c r="CI5" s="24" t="str">
        <f ca="1">IFERROR(__xludf.DUMMYFUNCTION("""COMPUTED_VALUE"""),"Bloomberg")</f>
        <v>Bloomberg</v>
      </c>
      <c r="CJ5" s="24" t="str">
        <f ca="1">IFERROR(__xludf.DUMMYFUNCTION("""COMPUTED_VALUE"""),"Sedol Symbol")</f>
        <v>Sedol Symbol</v>
      </c>
      <c r="CK5" s="24" t="str">
        <f ca="1">IFERROR(__xludf.DUMMYFUNCTION("""COMPUTED_VALUE"""),"Cusip Symbol")</f>
        <v>Cusip Symbol</v>
      </c>
      <c r="CL5" s="24" t="str">
        <f ca="1">IFERROR(__xludf.DUMMYFUNCTION("""COMPUTED_VALUE"""),"ISIN")</f>
        <v>ISIN</v>
      </c>
      <c r="CM5" s="24" t="str">
        <f ca="1">IFERROR(__xludf.DUMMYFUNCTION("""COMPUTED_VALUE"""),"OSISSymbol")</f>
        <v>OSISSymbol</v>
      </c>
      <c r="CN5" s="24" t="str">
        <f ca="1">IFERROR(__xludf.DUMMYFUNCTION("""COMPUTED_VALUE"""),"IDCOSymbol")</f>
        <v>IDCOSymbol</v>
      </c>
      <c r="CO5" s="24" t="str">
        <f ca="1">IFERROR(__xludf.DUMMYFUNCTION("""COMPUTED_VALUE"""),"Underlying Delta")</f>
        <v>Underlying Delta</v>
      </c>
      <c r="CP5" s="24" t="str">
        <f ca="1">IFERROR(__xludf.DUMMYFUNCTION("""COMPUTED_VALUE"""),"Proxy Symbol")</f>
        <v>Proxy Symbol</v>
      </c>
      <c r="CQ5" s="24" t="str">
        <f ca="1">IFERROR(__xludf.DUMMYFUNCTION("""COMPUTED_VALUE"""),"Transaction Source")</f>
        <v>Transaction Source</v>
      </c>
      <c r="CR5" s="24" t="str">
        <f ca="1">IFERROR(__xludf.DUMMYFUNCTION("""COMPUTED_VALUE"""),"Import File Name")</f>
        <v>Import File Name</v>
      </c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22</v>
      </c>
      <c r="C6" s="36">
        <v>100</v>
      </c>
      <c r="D6" s="7"/>
      <c r="E6" s="37" t="s">
        <v>19</v>
      </c>
      <c r="F6" s="37" t="s">
        <v>23</v>
      </c>
      <c r="G6" s="5"/>
      <c r="H6" s="5"/>
      <c r="I6" s="5"/>
      <c r="J6" s="5"/>
      <c r="K6" s="5"/>
      <c r="L6" s="5"/>
      <c r="M6" s="5"/>
      <c r="N6" s="5"/>
      <c r="O6" s="5"/>
      <c r="CQ6" s="37" t="s">
        <v>25</v>
      </c>
    </row>
    <row r="7" spans="1:154" ht="15.75" customHeight="1" x14ac:dyDescent="0.2">
      <c r="A7" s="5"/>
      <c r="B7" s="7" t="s">
        <v>22</v>
      </c>
      <c r="C7" s="36">
        <v>25</v>
      </c>
      <c r="D7" s="5"/>
      <c r="E7" s="37" t="s">
        <v>17</v>
      </c>
      <c r="F7" s="37" t="s">
        <v>39</v>
      </c>
      <c r="G7" s="5"/>
      <c r="H7" s="5"/>
      <c r="I7" s="5"/>
      <c r="J7" s="5"/>
      <c r="K7" s="5"/>
      <c r="L7" s="5"/>
      <c r="M7" s="5"/>
      <c r="N7" s="5"/>
      <c r="O7" s="5"/>
      <c r="CQ7" s="37" t="s">
        <v>25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46</v>
      </c>
      <c r="D3" s="2" t="s">
        <v>9</v>
      </c>
      <c r="E3" s="17" t="s">
        <v>53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IFERROR(__xludf.DUMMYFUNCTION("""COMPUTED_VALUE"""),"Trade Date")</f>
        <v>Trade Date</v>
      </c>
      <c r="G5" s="22" t="str">
        <f ca="1">IFERROR(__xludf.DUMMYFUNCTION("""COMPUTED_VALUE"""),"Net Amount( Local)")</f>
        <v>Net Amount( Local)</v>
      </c>
      <c r="H5" s="22" t="str">
        <f ca="1">IFERROR(__xludf.DUMMYFUNCTION("""COMPUTED_VALUE"""),"Net Amount( Base)")</f>
        <v>Net Amount( Base)</v>
      </c>
      <c r="I5" s="22" t="str">
        <f ca="1">IFERROR(__xludf.DUMMYFUNCTION("""COMPUTED_VALUE"""),"Principal Amount( Local)")</f>
        <v>Principal Amount( Local)</v>
      </c>
      <c r="J5" s="22" t="str">
        <f ca="1">IFERROR(__xludf.DUMMYFUNCTION("""COMPUTED_VALUE"""),"Transaction Type")</f>
        <v>Transaction Type</v>
      </c>
      <c r="K5" s="22" t="str">
        <f ca="1">IFERROR(__xludf.DUMMYFUNCTION("""COMPUTED_VALUE"""),"Principal Amount( Base)")</f>
        <v>Principal Amount( Base)</v>
      </c>
      <c r="L5" s="22" t="str">
        <f ca="1">IFERROR(__xludf.DUMMYFUNCTION("""COMPUTED_VALUE"""),"Execution Time")</f>
        <v>Execution Time</v>
      </c>
      <c r="M5" s="22" t="str">
        <f ca="1">IFERROR(__xludf.DUMMYFUNCTION("""COMPUTED_VALUE"""),"Trading Account")</f>
        <v>Trading Account</v>
      </c>
      <c r="N5" s="22" t="str">
        <f ca="1">IFERROR(__xludf.DUMMYFUNCTION("""COMPUTED_VALUE"""),"Avg Price(Local)")</f>
        <v>Avg Price(Local)</v>
      </c>
      <c r="O5" s="22" t="str">
        <f ca="1">IFERROR(__xludf.DUMMYFUNCTION("""COMPUTED_VALUE"""),"Avg Price(Base)")</f>
        <v>Avg Price(Base)</v>
      </c>
      <c r="P5" s="22" t="str">
        <f ca="1">IFERROR(__xludf.DUMMYFUNCTION("""COMPUTED_VALUE"""),"Broker")</f>
        <v>Broker</v>
      </c>
      <c r="Q5" s="22" t="str">
        <f ca="1">IFERROR(__xludf.DUMMYFUNCTION("""COMPUTED_VALUE"""),"FX Rate")</f>
        <v>FX Rate</v>
      </c>
      <c r="R5" s="22" t="str">
        <f ca="1">IFERROR(__xludf.DUMMYFUNCTION("""COMPUTED_VALUE"""),"Venue")</f>
        <v>Venue</v>
      </c>
      <c r="S5" s="22" t="str">
        <f ca="1">IFERROR(__xludf.DUMMYFUNCTION("""COMPUTED_VALUE"""),"FX Conversion Operator")</f>
        <v>FX Conversion Operator</v>
      </c>
      <c r="T5" s="24" t="str">
        <f ca="1">IFERROR(__xludf.DUMMYFUNCTION("""COMPUTED_VALUE"""),"User")</f>
        <v>User</v>
      </c>
      <c r="U5" s="24" t="str">
        <f ca="1">IFERROR(__xludf.DUMMYFUNCTION("""COMPUTED_VALUE"""),"Asset Category")</f>
        <v>Asset Category</v>
      </c>
      <c r="V5" s="24" t="str">
        <f ca="1">IFERROR(__xludf.DUMMYFUNCTION("""COMPUTED_VALUE"""),"Settlement Currency")</f>
        <v>Settlement Currency</v>
      </c>
      <c r="W5" s="24" t="str">
        <f ca="1">IFERROR(__xludf.DUMMYFUNCTION("""COMPUTED_VALUE"""),"Commission Per Share")</f>
        <v>Commission Per Share</v>
      </c>
      <c r="X5" s="24" t="str">
        <f ca="1">IFERROR(__xludf.DUMMYFUNCTION("""COMPUTED_VALUE"""),"Soft Commission Per Share")</f>
        <v>Soft Commission Per Share</v>
      </c>
      <c r="Y5" s="24" t="str">
        <f ca="1">IFERROR(__xludf.DUMMYFUNCTION("""COMPUTED_VALUE"""),"Total Commission Per Share")</f>
        <v>Total Commission Per Share</v>
      </c>
      <c r="Z5" s="24" t="str">
        <f ca="1">IFERROR(__xludf.DUMMYFUNCTION("""COMPUTED_VALUE"""),"Change Type")</f>
        <v>Change Type</v>
      </c>
      <c r="AA5" s="24" t="str">
        <f ca="1">IFERROR(__xludf.DUMMYFUNCTION("""COMPUTED_VALUE"""),"Trade Attribute 1")</f>
        <v>Trade Attribute 1</v>
      </c>
      <c r="AB5" s="24" t="str">
        <f ca="1">IFERROR(__xludf.DUMMYFUNCTION("""COMPUTED_VALUE"""),"Trade Attribute 2")</f>
        <v>Trade Attribute 2</v>
      </c>
      <c r="AC5" s="24" t="str">
        <f ca="1">IFERROR(__xludf.DUMMYFUNCTION("""COMPUTED_VALUE"""),"Trade Attribute 3")</f>
        <v>Trade Attribute 3</v>
      </c>
      <c r="AD5" s="24" t="str">
        <f ca="1">IFERROR(__xludf.DUMMYFUNCTION("""COMPUTED_VALUE"""),"Trade Attribute 4")</f>
        <v>Trade Attribute 4</v>
      </c>
      <c r="AE5" s="24" t="str">
        <f ca="1">IFERROR(__xludf.DUMMYFUNCTION("""COMPUTED_VALUE"""),"Trade Attribute 5")</f>
        <v>Trade Attribute 5</v>
      </c>
      <c r="AF5" s="24" t="str">
        <f ca="1">IFERROR(__xludf.DUMMYFUNCTION("""COMPUTED_VALUE"""),"Trade Attribute 6")</f>
        <v>Trade Attribute 6</v>
      </c>
      <c r="AG5" s="24" t="str">
        <f ca="1">IFERROR(__xludf.DUMMYFUNCTION("""COMPUTED_VALUE"""),"IsPreAllocated")</f>
        <v>IsPreAllocated</v>
      </c>
      <c r="AH5" s="24" t="str">
        <f ca="1">IFERROR(__xludf.DUMMYFUNCTION("""COMPUTED_VALUE"""),"IsManual Group")</f>
        <v>IsManual Group</v>
      </c>
      <c r="AI5" s="24" t="str">
        <f ca="1">IFERROR(__xludf.DUMMYFUNCTION("""COMPUTED_VALUE"""),"IsAnotherTaxlotAttributesUpdated")</f>
        <v>IsAnotherTaxlotAttributesUpdated</v>
      </c>
      <c r="AJ5" s="24" t="str">
        <f ca="1">IFERROR(__xludf.DUMMYFUNCTION("""COMPUTED_VALUE"""),"ISNDF")</f>
        <v>ISNDF</v>
      </c>
      <c r="AK5" s="24" t="str">
        <f ca="1">IFERROR(__xludf.DUMMYFUNCTION("""COMPUTED_VALUE"""),"M2MProfitLoss")</f>
        <v>M2MProfitLoss</v>
      </c>
      <c r="AL5" s="24" t="str">
        <f ca="1">IFERROR(__xludf.DUMMYFUNCTION("""COMPUTED_VALUE"""),"Put Or Call")</f>
        <v>Put Or Call</v>
      </c>
      <c r="AM5" s="24" t="str">
        <f ca="1">IFERROR(__xludf.DUMMYFUNCTION("""COMPUTED_VALUE"""),"GroupID")</f>
        <v>GroupID</v>
      </c>
      <c r="AN5" s="24" t="str">
        <f ca="1">IFERROR(__xludf.DUMMYFUNCTION("""COMPUTED_VALUE"""),"UnAllocatedQty")</f>
        <v>UnAllocatedQty</v>
      </c>
      <c r="AO5" s="24" t="str">
        <f ca="1">IFERROR(__xludf.DUMMYFUNCTION("""COMPUTED_VALUE"""),"Allocated Qty")</f>
        <v>Allocated Qty</v>
      </c>
      <c r="AP5" s="24" t="str">
        <f ca="1">IFERROR(__xludf.DUMMYFUNCTION("""COMPUTED_VALUE"""),"Commission")</f>
        <v>Commission</v>
      </c>
      <c r="AQ5" s="24" t="str">
        <f ca="1">IFERROR(__xludf.DUMMYFUNCTION("""COMPUTED_VALUE"""),"Soft Commission")</f>
        <v>Soft Commission</v>
      </c>
      <c r="AR5" s="24" t="str">
        <f ca="1">IFERROR(__xludf.DUMMYFUNCTION("""COMPUTED_VALUE"""),"Other Broker Fees")</f>
        <v>Other Broker Fees</v>
      </c>
      <c r="AS5" s="24" t="str">
        <f ca="1">IFERROR(__xludf.DUMMYFUNCTION("""COMPUTED_VALUE"""),"Clearing Broker Fee")</f>
        <v>Clearing Broker Fee</v>
      </c>
      <c r="AT5" s="24" t="str">
        <f ca="1">IFERROR(__xludf.DUMMYFUNCTION("""COMPUTED_VALUE"""),"Total Commission And Fee")</f>
        <v>Total Commission And Fee</v>
      </c>
      <c r="AU5" s="24" t="str">
        <f ca="1">IFERROR(__xludf.DUMMYFUNCTION("""COMPUTED_VALUE"""),"Transaction Levy")</f>
        <v>Transaction Levy</v>
      </c>
      <c r="AV5" s="24" t="str">
        <f ca="1">IFERROR(__xludf.DUMMYFUNCTION("""COMPUTED_VALUE"""),"Stamp Duty")</f>
        <v>Stamp Duty</v>
      </c>
      <c r="AW5" s="24" t="str">
        <f ca="1">IFERROR(__xludf.DUMMYFUNCTION("""COMPUTED_VALUE"""),"AUEC Fee1")</f>
        <v>AUEC Fee1</v>
      </c>
      <c r="AX5" s="24" t="str">
        <f ca="1">IFERROR(__xludf.DUMMYFUNCTION("""COMPUTED_VALUE"""),"Tax On Commissions")</f>
        <v>Tax On Commissions</v>
      </c>
      <c r="AY5" s="24" t="str">
        <f ca="1">IFERROR(__xludf.DUMMYFUNCTION("""COMPUTED_VALUE"""),"AUEC Fee2")</f>
        <v>AUEC Fee2</v>
      </c>
      <c r="AZ5" s="24" t="str">
        <f ca="1">IFERROR(__xludf.DUMMYFUNCTION("""COMPUTED_VALUE"""),"SEC Fee")</f>
        <v>SEC Fee</v>
      </c>
      <c r="BA5" s="24" t="str">
        <f ca="1">IFERROR(__xludf.DUMMYFUNCTION("""COMPUTED_VALUE"""),"OCC Fee")</f>
        <v>OCC Fee</v>
      </c>
      <c r="BB5" s="24" t="str">
        <f ca="1">IFERROR(__xludf.DUMMYFUNCTION("""COMPUTED_VALUE"""),"ORF Fee")</f>
        <v>ORF Fee</v>
      </c>
      <c r="BC5" s="24" t="str">
        <f ca="1">IFERROR(__xludf.DUMMYFUNCTION("""COMPUTED_VALUE"""),"Option Premium Adjustment")</f>
        <v>Option Premium Adjustment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IFERROR(__xludf.DUMMYFUNCTION("""COMPUTED_VALUE"""),"Total Commission")</f>
        <v>Total Commission</v>
      </c>
      <c r="BF5" s="24" t="str">
        <f ca="1">IFERROR(__xludf.DUMMYFUNCTION("""COMPUTED_VALUE"""),"Closing Status")</f>
        <v>Closing Status</v>
      </c>
      <c r="BG5" s="24" t="str">
        <f ca="1">IFERROR(__xludf.DUMMYFUNCTION("""COMPUTED_VALUE"""),"Closing Method")</f>
        <v>Closing Method</v>
      </c>
      <c r="BH5" s="24" t="str">
        <f ca="1">IFERROR(__xludf.DUMMYFUNCTION("""COMPUTED_VALUE"""),"Group Status")</f>
        <v>Group Status</v>
      </c>
      <c r="BI5" s="24" t="str">
        <f ca="1">IFERROR(__xludf.DUMMYFUNCTION("""COMPUTED_VALUE"""),"Allocation Scheme Name")</f>
        <v>Allocation Scheme Name</v>
      </c>
      <c r="BJ5" s="24" t="str">
        <f ca="1">IFERROR(__xludf.DUMMYFUNCTION("""COMPUTED_VALUE"""),"Change Comment")</f>
        <v>Change Comment</v>
      </c>
      <c r="BK5" s="24" t="str">
        <f ca="1">IFERROR(__xludf.DUMMYFUNCTION("""COMPUTED_VALUE"""),"Order Type")</f>
        <v>Order Type</v>
      </c>
      <c r="BL5" s="24" t="str">
        <f ca="1">IFERROR(__xludf.DUMMYFUNCTION("""COMPUTED_VALUE"""),"Underlying")</f>
        <v>Underlying</v>
      </c>
      <c r="BM5" s="24" t="str">
        <f ca="1">IFERROR(__xludf.DUMMYFUNCTION("""COMPUTED_VALUE"""),"Exchange")</f>
        <v>Exchange</v>
      </c>
      <c r="BN5" s="24" t="str">
        <f ca="1">IFERROR(__xludf.DUMMYFUNCTION("""COMPUTED_VALUE"""),"Currency")</f>
        <v>Currency</v>
      </c>
      <c r="BO5" s="24" t="str">
        <f ca="1">IFERROR(__xludf.DUMMYFUNCTION("""COMPUTED_VALUE"""),"AUECID")</f>
        <v>AUECID</v>
      </c>
      <c r="BP5" s="24" t="str">
        <f ca="1">IFERROR(__xludf.DUMMYFUNCTION("""COMPUTED_VALUE"""),"Cum Qty For Sub Order")</f>
        <v>Cum Qty For Sub Order</v>
      </c>
      <c r="BQ5" s="24" t="str">
        <f ca="1">IFERROR(__xludf.DUMMYFUNCTION("""COMPUTED_VALUE"""),"Contract Multiplier")</f>
        <v>Contract Multiplier</v>
      </c>
      <c r="BR5" s="24" t="str">
        <f ca="1">IFERROR(__xludf.DUMMYFUNCTION("""COMPUTED_VALUE"""),"Company")</f>
        <v>Company</v>
      </c>
      <c r="BS5" s="24" t="str">
        <f ca="1">IFERROR(__xludf.DUMMYFUNCTION("""COMPUTED_VALUE"""),"Nirvana Process Date")</f>
        <v>Nirvana Process Date</v>
      </c>
      <c r="BT5" s="24" t="str">
        <f ca="1">IFERROR(__xludf.DUMMYFUNCTION("""COMPUTED_VALUE"""),"Process Date")</f>
        <v>Process Date</v>
      </c>
      <c r="BU5" s="24" t="str">
        <f ca="1">IFERROR(__xludf.DUMMYFUNCTION("""COMPUTED_VALUE"""),"Original Purchase Date")</f>
        <v>Original Purchase Date</v>
      </c>
      <c r="BV5" s="24" t="str">
        <f ca="1">IFERROR(__xludf.DUMMYFUNCTION("""COMPUTED_VALUE"""),"Closing Date")</f>
        <v>Closing Date</v>
      </c>
      <c r="BW5" s="24" t="str">
        <f ca="1">IFERROR(__xludf.DUMMYFUNCTION("""COMPUTED_VALUE"""),"Settlement Date")</f>
        <v>Settlement Date</v>
      </c>
      <c r="BX5" s="24" t="str">
        <f ca="1">IFERROR(__xludf.DUMMYFUNCTION("""COMPUTED_VALUE"""),"Expiration Date")</f>
        <v>Expiration Date</v>
      </c>
      <c r="BY5" s="24" t="str">
        <f ca="1">IFERROR(__xludf.DUMMYFUNCTION("""COMPUTED_VALUE"""),"Description")</f>
        <v>Description</v>
      </c>
      <c r="BZ5" s="24" t="str">
        <f ca="1">IFERROR(__xludf.DUMMYFUNCTION("""COMPUTED_VALUE"""),"Underlying Symbol")</f>
        <v>Underlying Symbol</v>
      </c>
      <c r="CA5" s="24" t="str">
        <f ca="1">IFERROR(__xludf.DUMMYFUNCTION("""COMPUTED_VALUE"""),"Accrued Interest")</f>
        <v>Accrued Interest</v>
      </c>
      <c r="CB5" s="24" t="str">
        <f ca="1">IFERROR(__xludf.DUMMYFUNCTION("""COMPUTED_VALUE"""),"Accrual Basis")</f>
        <v>Accrual Basis</v>
      </c>
      <c r="CC5" s="24" t="str">
        <f ca="1">IFERROR(__xludf.DUMMYFUNCTION("""COMPUTED_VALUE"""),"Bond Type")</f>
        <v>Bond Type</v>
      </c>
      <c r="CD5" s="24" t="str">
        <f ca="1">IFERROR(__xludf.DUMMYFUNCTION("""COMPUTED_VALUE"""),"Coupon Rate")</f>
        <v>Coupon Rate</v>
      </c>
      <c r="CE5" s="24" t="str">
        <f ca="1">IFERROR(__xludf.DUMMYFUNCTION("""COMPUTED_VALUE"""),"Delta")</f>
        <v>Delta</v>
      </c>
      <c r="CF5" s="24" t="str">
        <f ca="1">IFERROR(__xludf.DUMMYFUNCTION("""COMPUTED_VALUE"""),"Bloomberg")</f>
        <v>Bloomberg</v>
      </c>
      <c r="CG5" s="24" t="str">
        <f ca="1">IFERROR(__xludf.DUMMYFUNCTION("""COMPUTED_VALUE"""),"Sedol Symbol")</f>
        <v>Sedol Symbol</v>
      </c>
      <c r="CH5" s="24" t="str">
        <f ca="1">IFERROR(__xludf.DUMMYFUNCTION("""COMPUTED_VALUE"""),"Cusip Symbol")</f>
        <v>Cusip Symbol</v>
      </c>
      <c r="CI5" s="24" t="str">
        <f ca="1">IFERROR(__xludf.DUMMYFUNCTION("""COMPUTED_VALUE"""),"ISIN")</f>
        <v>ISIN</v>
      </c>
      <c r="CJ5" s="24" t="str">
        <f ca="1">IFERROR(__xludf.DUMMYFUNCTION("""COMPUTED_VALUE"""),"OSISSymbol")</f>
        <v>OSISSymbol</v>
      </c>
      <c r="CK5" s="24" t="str">
        <f ca="1">IFERROR(__xludf.DUMMYFUNCTION("""COMPUTED_VALUE"""),"IDCOSymbol")</f>
        <v>IDCOSymbol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IFERROR(__xludf.DUMMYFUNCTION("""COMPUTED_VALUE"""),"Internal Comments")</f>
        <v>Internal Comments</v>
      </c>
      <c r="CN5" s="24" t="str">
        <f ca="1">IFERROR(__xludf.DUMMYFUNCTION("""COMPUTED_VALUE"""),"Proxy Symbol")</f>
        <v>Proxy Symbol</v>
      </c>
      <c r="CO5" s="24" t="str">
        <f ca="1">IFERROR(__xludf.DUMMYFUNCTION("""COMPUTED_VALUE"""),"Transaction Source")</f>
        <v>Transaction Source</v>
      </c>
      <c r="CP5" s="24" t="str">
        <f ca="1">IFERROR(__xludf.DUMMYFUNCTION("""COMPUTED_VALUE"""),"Import File Name")</f>
        <v>Import File Name</v>
      </c>
      <c r="CQ5" s="24" t="str">
        <f ca="1">IFERROR(__xludf.DUMMYFUNCTION("""COMPUTED_VALUE"""),"Master Fund")</f>
        <v>Master Fund</v>
      </c>
      <c r="CR5" s="24" t="str">
        <f ca="1">IFERROR(__xludf.DUMMYFUNCTION("""COMPUTED_VALUE"""),"Client")</f>
        <v>Client</v>
      </c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22</v>
      </c>
      <c r="C6" s="7" t="s">
        <v>39</v>
      </c>
      <c r="D6" s="7">
        <v>25</v>
      </c>
      <c r="E6" s="7">
        <v>25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46</v>
      </c>
      <c r="D3" s="2" t="s">
        <v>9</v>
      </c>
      <c r="E3" s="17" t="s">
        <v>50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IFERROR(__xludf.DUMMYFUNCTION("""COMPUTED_VALUE"""),"Trade Date")</f>
        <v>Trade Date</v>
      </c>
      <c r="G5" s="22" t="str">
        <f ca="1">IFERROR(__xludf.DUMMYFUNCTION("""COMPUTED_VALUE"""),"Net Amount( Local)")</f>
        <v>Net Amount( Local)</v>
      </c>
      <c r="H5" s="22" t="str">
        <f ca="1">IFERROR(__xludf.DUMMYFUNCTION("""COMPUTED_VALUE"""),"Net Amount( Base)")</f>
        <v>Net Amount( Base)</v>
      </c>
      <c r="I5" s="22" t="str">
        <f ca="1">IFERROR(__xludf.DUMMYFUNCTION("""COMPUTED_VALUE"""),"Principal Amount( Local)")</f>
        <v>Principal Amount( Local)</v>
      </c>
      <c r="J5" s="22" t="str">
        <f ca="1">IFERROR(__xludf.DUMMYFUNCTION("""COMPUTED_VALUE"""),"Transaction Type")</f>
        <v>Transaction Type</v>
      </c>
      <c r="K5" s="22" t="str">
        <f ca="1">IFERROR(__xludf.DUMMYFUNCTION("""COMPUTED_VALUE"""),"Principal Amount( Base)")</f>
        <v>Principal Amount( Base)</v>
      </c>
      <c r="L5" s="22" t="str">
        <f ca="1">IFERROR(__xludf.DUMMYFUNCTION("""COMPUTED_VALUE"""),"Execution Time")</f>
        <v>Execution Time</v>
      </c>
      <c r="M5" s="22" t="str">
        <f ca="1">IFERROR(__xludf.DUMMYFUNCTION("""COMPUTED_VALUE"""),"Trading Account")</f>
        <v>Trading Account</v>
      </c>
      <c r="N5" s="22" t="str">
        <f ca="1">IFERROR(__xludf.DUMMYFUNCTION("""COMPUTED_VALUE"""),"Avg Price(Local)")</f>
        <v>Avg Price(Local)</v>
      </c>
      <c r="O5" s="22" t="str">
        <f ca="1">IFERROR(__xludf.DUMMYFUNCTION("""COMPUTED_VALUE"""),"Avg Price(Base)")</f>
        <v>Avg Price(Base)</v>
      </c>
      <c r="P5" s="22" t="str">
        <f ca="1">IFERROR(__xludf.DUMMYFUNCTION("""COMPUTED_VALUE"""),"Broker")</f>
        <v>Broker</v>
      </c>
      <c r="Q5" s="22" t="str">
        <f ca="1">IFERROR(__xludf.DUMMYFUNCTION("""COMPUTED_VALUE"""),"FX Rate")</f>
        <v>FX Rate</v>
      </c>
      <c r="R5" s="22" t="str">
        <f ca="1">IFERROR(__xludf.DUMMYFUNCTION("""COMPUTED_VALUE"""),"Venue")</f>
        <v>Venue</v>
      </c>
      <c r="S5" s="22" t="str">
        <f ca="1">IFERROR(__xludf.DUMMYFUNCTION("""COMPUTED_VALUE"""),"FX Conversion Operator")</f>
        <v>FX Conversion Operator</v>
      </c>
      <c r="T5" s="24" t="str">
        <f ca="1">IFERROR(__xludf.DUMMYFUNCTION("""COMPUTED_VALUE"""),"User")</f>
        <v>User</v>
      </c>
      <c r="U5" s="24" t="str">
        <f ca="1">IFERROR(__xludf.DUMMYFUNCTION("""COMPUTED_VALUE"""),"Asset Category")</f>
        <v>Asset Category</v>
      </c>
      <c r="V5" s="24" t="str">
        <f ca="1">IFERROR(__xludf.DUMMYFUNCTION("""COMPUTED_VALUE"""),"Settlement Currency")</f>
        <v>Settlement Currency</v>
      </c>
      <c r="W5" s="24" t="str">
        <f ca="1">IFERROR(__xludf.DUMMYFUNCTION("""COMPUTED_VALUE"""),"Commission Per Share")</f>
        <v>Commission Per Share</v>
      </c>
      <c r="X5" s="24" t="str">
        <f ca="1">IFERROR(__xludf.DUMMYFUNCTION("""COMPUTED_VALUE"""),"Soft Commission Per Share")</f>
        <v>Soft Commission Per Share</v>
      </c>
      <c r="Y5" s="24" t="str">
        <f ca="1">IFERROR(__xludf.DUMMYFUNCTION("""COMPUTED_VALUE"""),"Total Commission Per Share")</f>
        <v>Total Commission Per Share</v>
      </c>
      <c r="Z5" s="24" t="str">
        <f ca="1">IFERROR(__xludf.DUMMYFUNCTION("""COMPUTED_VALUE"""),"Change Type")</f>
        <v>Change Type</v>
      </c>
      <c r="AA5" s="24" t="str">
        <f ca="1">IFERROR(__xludf.DUMMYFUNCTION("""COMPUTED_VALUE"""),"Trade Attribute 1")</f>
        <v>Trade Attribute 1</v>
      </c>
      <c r="AB5" s="24" t="str">
        <f ca="1">IFERROR(__xludf.DUMMYFUNCTION("""COMPUTED_VALUE"""),"Trade Attribute 2")</f>
        <v>Trade Attribute 2</v>
      </c>
      <c r="AC5" s="24" t="str">
        <f ca="1">IFERROR(__xludf.DUMMYFUNCTION("""COMPUTED_VALUE"""),"Trade Attribute 3")</f>
        <v>Trade Attribute 3</v>
      </c>
      <c r="AD5" s="24" t="str">
        <f ca="1">IFERROR(__xludf.DUMMYFUNCTION("""COMPUTED_VALUE"""),"Trade Attribute 4")</f>
        <v>Trade Attribute 4</v>
      </c>
      <c r="AE5" s="24" t="str">
        <f ca="1">IFERROR(__xludf.DUMMYFUNCTION("""COMPUTED_VALUE"""),"Trade Attribute 5")</f>
        <v>Trade Attribute 5</v>
      </c>
      <c r="AF5" s="24" t="str">
        <f ca="1">IFERROR(__xludf.DUMMYFUNCTION("""COMPUTED_VALUE"""),"Trade Attribute 6")</f>
        <v>Trade Attribute 6</v>
      </c>
      <c r="AG5" s="24" t="str">
        <f ca="1">IFERROR(__xludf.DUMMYFUNCTION("""COMPUTED_VALUE"""),"IsPreAllocated")</f>
        <v>IsPreAllocated</v>
      </c>
      <c r="AH5" s="24" t="str">
        <f ca="1">IFERROR(__xludf.DUMMYFUNCTION("""COMPUTED_VALUE"""),"IsManual Group")</f>
        <v>IsManual Group</v>
      </c>
      <c r="AI5" s="24" t="str">
        <f ca="1">IFERROR(__xludf.DUMMYFUNCTION("""COMPUTED_VALUE"""),"IsAnotherTaxlotAttributesUpdated")</f>
        <v>IsAnotherTaxlotAttributesUpdated</v>
      </c>
      <c r="AJ5" s="24" t="str">
        <f ca="1">IFERROR(__xludf.DUMMYFUNCTION("""COMPUTED_VALUE"""),"ISNDF")</f>
        <v>ISNDF</v>
      </c>
      <c r="AK5" s="24" t="str">
        <f ca="1">IFERROR(__xludf.DUMMYFUNCTION("""COMPUTED_VALUE"""),"M2MProfitLoss")</f>
        <v>M2MProfitLoss</v>
      </c>
      <c r="AL5" s="24" t="str">
        <f ca="1">IFERROR(__xludf.DUMMYFUNCTION("""COMPUTED_VALUE"""),"Put Or Call")</f>
        <v>Put Or Call</v>
      </c>
      <c r="AM5" s="24" t="str">
        <f ca="1">IFERROR(__xludf.DUMMYFUNCTION("""COMPUTED_VALUE"""),"GroupID")</f>
        <v>GroupID</v>
      </c>
      <c r="AN5" s="24" t="str">
        <f ca="1">IFERROR(__xludf.DUMMYFUNCTION("""COMPUTED_VALUE"""),"UnAllocatedQty")</f>
        <v>UnAllocatedQty</v>
      </c>
      <c r="AO5" s="24" t="str">
        <f ca="1">IFERROR(__xludf.DUMMYFUNCTION("""COMPUTED_VALUE"""),"Allocated Qty")</f>
        <v>Allocated Qty</v>
      </c>
      <c r="AP5" s="24" t="str">
        <f ca="1">IFERROR(__xludf.DUMMYFUNCTION("""COMPUTED_VALUE"""),"Commission")</f>
        <v>Commission</v>
      </c>
      <c r="AQ5" s="24" t="str">
        <f ca="1">IFERROR(__xludf.DUMMYFUNCTION("""COMPUTED_VALUE"""),"Soft Commission")</f>
        <v>Soft Commission</v>
      </c>
      <c r="AR5" s="24" t="str">
        <f ca="1">IFERROR(__xludf.DUMMYFUNCTION("""COMPUTED_VALUE"""),"Other Broker Fees")</f>
        <v>Other Broker Fees</v>
      </c>
      <c r="AS5" s="24" t="str">
        <f ca="1">IFERROR(__xludf.DUMMYFUNCTION("""COMPUTED_VALUE"""),"Clearing Broker Fee")</f>
        <v>Clearing Broker Fee</v>
      </c>
      <c r="AT5" s="24" t="str">
        <f ca="1">IFERROR(__xludf.DUMMYFUNCTION("""COMPUTED_VALUE"""),"Total Commission And Fee")</f>
        <v>Total Commission And Fee</v>
      </c>
      <c r="AU5" s="24" t="str">
        <f ca="1">IFERROR(__xludf.DUMMYFUNCTION("""COMPUTED_VALUE"""),"Transaction Levy")</f>
        <v>Transaction Levy</v>
      </c>
      <c r="AV5" s="24" t="str">
        <f ca="1">IFERROR(__xludf.DUMMYFUNCTION("""COMPUTED_VALUE"""),"Stamp Duty")</f>
        <v>Stamp Duty</v>
      </c>
      <c r="AW5" s="24" t="str">
        <f ca="1">IFERROR(__xludf.DUMMYFUNCTION("""COMPUTED_VALUE"""),"AUEC Fee1")</f>
        <v>AUEC Fee1</v>
      </c>
      <c r="AX5" s="24" t="str">
        <f ca="1">IFERROR(__xludf.DUMMYFUNCTION("""COMPUTED_VALUE"""),"Tax On Commissions")</f>
        <v>Tax On Commissions</v>
      </c>
      <c r="AY5" s="24" t="str">
        <f ca="1">IFERROR(__xludf.DUMMYFUNCTION("""COMPUTED_VALUE"""),"AUEC Fee2")</f>
        <v>AUEC Fee2</v>
      </c>
      <c r="AZ5" s="24" t="str">
        <f ca="1">IFERROR(__xludf.DUMMYFUNCTION("""COMPUTED_VALUE"""),"SEC Fee")</f>
        <v>SEC Fee</v>
      </c>
      <c r="BA5" s="24" t="str">
        <f ca="1">IFERROR(__xludf.DUMMYFUNCTION("""COMPUTED_VALUE"""),"OCC Fee")</f>
        <v>OCC Fee</v>
      </c>
      <c r="BB5" s="24" t="str">
        <f ca="1">IFERROR(__xludf.DUMMYFUNCTION("""COMPUTED_VALUE"""),"ORF Fee")</f>
        <v>ORF Fee</v>
      </c>
      <c r="BC5" s="24" t="str">
        <f ca="1">IFERROR(__xludf.DUMMYFUNCTION("""COMPUTED_VALUE"""),"Option Premium Adjustment")</f>
        <v>Option Premium Adjustment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IFERROR(__xludf.DUMMYFUNCTION("""COMPUTED_VALUE"""),"Total Commission")</f>
        <v>Total Commission</v>
      </c>
      <c r="BF5" s="24" t="str">
        <f ca="1">IFERROR(__xludf.DUMMYFUNCTION("""COMPUTED_VALUE"""),"Closing Status")</f>
        <v>Closing Status</v>
      </c>
      <c r="BG5" s="24" t="str">
        <f ca="1">IFERROR(__xludf.DUMMYFUNCTION("""COMPUTED_VALUE"""),"Closing Method")</f>
        <v>Closing Method</v>
      </c>
      <c r="BH5" s="24" t="str">
        <f ca="1">IFERROR(__xludf.DUMMYFUNCTION("""COMPUTED_VALUE"""),"Group Status")</f>
        <v>Group Status</v>
      </c>
      <c r="BI5" s="24" t="str">
        <f ca="1">IFERROR(__xludf.DUMMYFUNCTION("""COMPUTED_VALUE"""),"Allocation Scheme Name")</f>
        <v>Allocation Scheme Name</v>
      </c>
      <c r="BJ5" s="24" t="str">
        <f ca="1">IFERROR(__xludf.DUMMYFUNCTION("""COMPUTED_VALUE"""),"Change Comment")</f>
        <v>Change Comment</v>
      </c>
      <c r="BK5" s="24" t="str">
        <f ca="1">IFERROR(__xludf.DUMMYFUNCTION("""COMPUTED_VALUE"""),"Order Type")</f>
        <v>Order Type</v>
      </c>
      <c r="BL5" s="24" t="str">
        <f ca="1">IFERROR(__xludf.DUMMYFUNCTION("""COMPUTED_VALUE"""),"Underlying")</f>
        <v>Underlying</v>
      </c>
      <c r="BM5" s="24" t="str">
        <f ca="1">IFERROR(__xludf.DUMMYFUNCTION("""COMPUTED_VALUE"""),"Exchange")</f>
        <v>Exchange</v>
      </c>
      <c r="BN5" s="24" t="str">
        <f ca="1">IFERROR(__xludf.DUMMYFUNCTION("""COMPUTED_VALUE"""),"Currency")</f>
        <v>Currency</v>
      </c>
      <c r="BO5" s="24" t="str">
        <f ca="1">IFERROR(__xludf.DUMMYFUNCTION("""COMPUTED_VALUE"""),"AUECID")</f>
        <v>AUECID</v>
      </c>
      <c r="BP5" s="24" t="str">
        <f ca="1">IFERROR(__xludf.DUMMYFUNCTION("""COMPUTED_VALUE"""),"Cum Qty For Sub Order")</f>
        <v>Cum Qty For Sub Order</v>
      </c>
      <c r="BQ5" s="24" t="str">
        <f ca="1">IFERROR(__xludf.DUMMYFUNCTION("""COMPUTED_VALUE"""),"Contract Multiplier")</f>
        <v>Contract Multiplier</v>
      </c>
      <c r="BR5" s="24" t="str">
        <f ca="1">IFERROR(__xludf.DUMMYFUNCTION("""COMPUTED_VALUE"""),"Company")</f>
        <v>Company</v>
      </c>
      <c r="BS5" s="24" t="str">
        <f ca="1">IFERROR(__xludf.DUMMYFUNCTION("""COMPUTED_VALUE"""),"Nirvana Process Date")</f>
        <v>Nirvana Process Date</v>
      </c>
      <c r="BT5" s="24" t="str">
        <f ca="1">IFERROR(__xludf.DUMMYFUNCTION("""COMPUTED_VALUE"""),"Process Date")</f>
        <v>Process Date</v>
      </c>
      <c r="BU5" s="24" t="str">
        <f ca="1">IFERROR(__xludf.DUMMYFUNCTION("""COMPUTED_VALUE"""),"Original Purchase Date")</f>
        <v>Original Purchase Date</v>
      </c>
      <c r="BV5" s="24" t="str">
        <f ca="1">IFERROR(__xludf.DUMMYFUNCTION("""COMPUTED_VALUE"""),"Closing Date")</f>
        <v>Closing Date</v>
      </c>
      <c r="BW5" s="24" t="str">
        <f ca="1">IFERROR(__xludf.DUMMYFUNCTION("""COMPUTED_VALUE"""),"Settlement Date")</f>
        <v>Settlement Date</v>
      </c>
      <c r="BX5" s="24" t="str">
        <f ca="1">IFERROR(__xludf.DUMMYFUNCTION("""COMPUTED_VALUE"""),"Expiration Date")</f>
        <v>Expiration Date</v>
      </c>
      <c r="BY5" s="24" t="str">
        <f ca="1">IFERROR(__xludf.DUMMYFUNCTION("""COMPUTED_VALUE"""),"Description")</f>
        <v>Description</v>
      </c>
      <c r="BZ5" s="24" t="str">
        <f ca="1">IFERROR(__xludf.DUMMYFUNCTION("""COMPUTED_VALUE"""),"Underlying Symbol")</f>
        <v>Underlying Symbol</v>
      </c>
      <c r="CA5" s="24" t="str">
        <f ca="1">IFERROR(__xludf.DUMMYFUNCTION("""COMPUTED_VALUE"""),"Accrued Interest")</f>
        <v>Accrued Interest</v>
      </c>
      <c r="CB5" s="24" t="str">
        <f ca="1">IFERROR(__xludf.DUMMYFUNCTION("""COMPUTED_VALUE"""),"Accrual Basis")</f>
        <v>Accrual Basis</v>
      </c>
      <c r="CC5" s="24" t="str">
        <f ca="1">IFERROR(__xludf.DUMMYFUNCTION("""COMPUTED_VALUE"""),"Bond Type")</f>
        <v>Bond Type</v>
      </c>
      <c r="CD5" s="24" t="str">
        <f ca="1">IFERROR(__xludf.DUMMYFUNCTION("""COMPUTED_VALUE"""),"Coupon Rate")</f>
        <v>Coupon Rate</v>
      </c>
      <c r="CE5" s="24" t="str">
        <f ca="1">IFERROR(__xludf.DUMMYFUNCTION("""COMPUTED_VALUE"""),"Delta")</f>
        <v>Delta</v>
      </c>
      <c r="CF5" s="24" t="str">
        <f ca="1">IFERROR(__xludf.DUMMYFUNCTION("""COMPUTED_VALUE"""),"Bloomberg")</f>
        <v>Bloomberg</v>
      </c>
      <c r="CG5" s="24" t="str">
        <f ca="1">IFERROR(__xludf.DUMMYFUNCTION("""COMPUTED_VALUE"""),"Sedol Symbol")</f>
        <v>Sedol Symbol</v>
      </c>
      <c r="CH5" s="24" t="str">
        <f ca="1">IFERROR(__xludf.DUMMYFUNCTION("""COMPUTED_VALUE"""),"Cusip Symbol")</f>
        <v>Cusip Symbol</v>
      </c>
      <c r="CI5" s="24" t="str">
        <f ca="1">IFERROR(__xludf.DUMMYFUNCTION("""COMPUTED_VALUE"""),"ISIN")</f>
        <v>ISIN</v>
      </c>
      <c r="CJ5" s="24" t="str">
        <f ca="1">IFERROR(__xludf.DUMMYFUNCTION("""COMPUTED_VALUE"""),"OSISSymbol")</f>
        <v>OSISSymbol</v>
      </c>
      <c r="CK5" s="24" t="str">
        <f ca="1">IFERROR(__xludf.DUMMYFUNCTION("""COMPUTED_VALUE"""),"IDCOSymbol")</f>
        <v>IDCOSymbol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IFERROR(__xludf.DUMMYFUNCTION("""COMPUTED_VALUE"""),"Internal Comments")</f>
        <v>Internal Comments</v>
      </c>
      <c r="CN5" s="24" t="str">
        <f ca="1">IFERROR(__xludf.DUMMYFUNCTION("""COMPUTED_VALUE"""),"Proxy Symbol")</f>
        <v>Proxy Symbol</v>
      </c>
      <c r="CO5" s="24" t="str">
        <f ca="1">IFERROR(__xludf.DUMMYFUNCTION("""COMPUTED_VALUE"""),"Transaction Source")</f>
        <v>Transaction Source</v>
      </c>
      <c r="CP5" s="24" t="str">
        <f ca="1">IFERROR(__xludf.DUMMYFUNCTION("""COMPUTED_VALUE"""),"Import File Name")</f>
        <v>Import File Name</v>
      </c>
      <c r="CQ5" s="24" t="str">
        <f ca="1">IFERROR(__xludf.DUMMYFUNCTION("""COMPUTED_VALUE"""),"Master Fund")</f>
        <v>Master Fund</v>
      </c>
      <c r="CR5" s="24" t="str">
        <f ca="1">IFERROR(__xludf.DUMMYFUNCTION("""COMPUTED_VALUE"""),"Client")</f>
        <v>Client</v>
      </c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22</v>
      </c>
      <c r="C6" s="7" t="s">
        <v>23</v>
      </c>
      <c r="D6" s="7">
        <v>100</v>
      </c>
      <c r="E6" s="7">
        <v>100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46</v>
      </c>
      <c r="D3" s="2" t="s">
        <v>9</v>
      </c>
      <c r="E3" s="17" t="s">
        <v>51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IFERROR(__xludf.DUMMYFUNCTION("""COMPUTED_VALUE"""),"PreferenceType")</f>
        <v>PreferenceType</v>
      </c>
      <c r="C5" s="22" t="str">
        <f ca="1">IFERROR(__xludf.DUMMYFUNCTION("""COMPUTED_VALUE"""),"PreferenceName")</f>
        <v>PreferenceName</v>
      </c>
      <c r="D5" s="22" t="str">
        <f ca="1">IFERROR(__xludf.DUMMYFUNCTION("""COMPUTED_VALUE"""),"PTTPrefNeeded")</f>
        <v>PTTPrefNeeded</v>
      </c>
      <c r="E5" s="22" t="str">
        <f ca="1">IFERROR(__xludf.DUMMYFUNCTION("""COMPUTED_VALUE"""),"IsForceAllocation")</f>
        <v>IsForceAllocation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IFERROR(__xludf.DUMMYFUNCTION("""COMPUTED_VALUE"""),"RemainderAllocationTo")</f>
        <v>RemainderAllocationTo</v>
      </c>
      <c r="H5" s="22" t="str">
        <f ca="1">IFERROR(__xludf.DUMMYFUNCTION("""COMPUTED_VALUE"""),"Target%AsOf")</f>
        <v>Target%AsOf</v>
      </c>
      <c r="I5" s="22" t="str">
        <f ca="1">IFERROR(__xludf.DUMMYFUNCTION("""COMPUTED_VALUE"""),"AccountsForProrata")</f>
        <v>AccountsForProrata</v>
      </c>
      <c r="J5" s="22" t="str">
        <f ca="1">IFERROR(__xludf.DUMMYFUNCTION("""COMPUTED_VALUE"""),"DateUptoDays")</f>
        <v>DateUptoDays</v>
      </c>
      <c r="K5" s="22" t="str">
        <f ca="1">IFERROR(__xludf.DUMMYFUNCTION("""COMPUTED_VALUE"""),"MatchClosingTransactions")</f>
        <v>MatchClosingTransactions</v>
      </c>
      <c r="L5" s="22" t="str">
        <f ca="1">IFERROR(__xludf.DUMMYFUNCTION("""COMPUTED_VALUE"""),"Custom")</f>
        <v>Custom</v>
      </c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8" t="s">
        <v>52</v>
      </c>
      <c r="C6" s="32"/>
      <c r="D6" s="38"/>
      <c r="E6" s="32"/>
      <c r="F6" s="32"/>
      <c r="G6" s="32"/>
      <c r="H6" s="32"/>
      <c r="I6" s="32"/>
      <c r="J6" s="32"/>
      <c r="K6" s="32"/>
      <c r="L6" s="39" t="b">
        <v>1</v>
      </c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46</v>
      </c>
      <c r="D3" s="2" t="s">
        <v>9</v>
      </c>
      <c r="E3" s="17" t="s">
        <v>49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IFERROR(__xludf.DUMMYFUNCTION("""COMPUTED_VALUE"""),"Quantity")</f>
        <v>Quantity</v>
      </c>
      <c r="D5" s="22" t="str">
        <f ca="1">IFERROR(__xludf.DUMMYFUNCTION("""COMPUTED_VALUE"""),"Trade Date")</f>
        <v>Trade Date</v>
      </c>
      <c r="E5" s="22" t="str">
        <f ca="1">IFERROR(__xludf.DUMMYFUNCTION("""COMPUTED_VALUE"""),"Account Name")</f>
        <v>Account Name</v>
      </c>
      <c r="F5" s="23" t="str">
        <f ca="1">IFERROR(__xludf.DUMMYFUNCTION("""COMPUTED_VALUE"""),"Side")</f>
        <v>Side</v>
      </c>
      <c r="G5" s="22" t="str">
        <f ca="1">IFERROR(__xludf.DUMMYFUNCTION("""COMPUTED_VALUE"""),"Group Status")</f>
        <v>Group Status</v>
      </c>
      <c r="H5" s="22" t="str">
        <f ca="1">IFERROR(__xludf.DUMMYFUNCTION("""COMPUTED_VALUE"""),"Avg Price( Base)")</f>
        <v>Avg Price( Base)</v>
      </c>
      <c r="I5" s="22" t="str">
        <f ca="1">IFERROR(__xludf.DUMMYFUNCTION("""COMPUTED_VALUE"""),"Execution Time")</f>
        <v>Execution Time</v>
      </c>
      <c r="J5" s="22" t="str">
        <f ca="1">IFERROR(__xludf.DUMMYFUNCTION("""COMPUTED_VALUE"""),"Trade Attribute 1")</f>
        <v>Trade Attribute 1</v>
      </c>
      <c r="K5" s="22" t="str">
        <f ca="1">IFERROR(__xludf.DUMMYFUNCTION("""COMPUTED_VALUE"""),"Avg Price(Local)")</f>
        <v>Avg Price(Local)</v>
      </c>
      <c r="L5" s="22" t="str">
        <f ca="1">IFERROR(__xludf.DUMMYFUNCTION("""COMPUTED_VALUE"""),"Trade Attribute 2")</f>
        <v>Trade Attribute 2</v>
      </c>
      <c r="M5" s="22" t="str">
        <f ca="1">IFERROR(__xludf.DUMMYFUNCTION("""COMPUTED_VALUE"""),"Accrued Interest")</f>
        <v>Accrued Interest</v>
      </c>
      <c r="N5" s="22" t="str">
        <f ca="1">IFERROR(__xludf.DUMMYFUNCTION("""COMPUTED_VALUE"""),"Commission")</f>
        <v>Commission</v>
      </c>
      <c r="O5" s="22" t="str">
        <f ca="1">IFERROR(__xludf.DUMMYFUNCTION("""COMPUTED_VALUE"""),"Soft Commission")</f>
        <v>Soft Commission</v>
      </c>
      <c r="P5" s="22" t="str">
        <f ca="1">IFERROR(__xludf.DUMMYFUNCTION("""COMPUTED_VALUE"""),"Broker")</f>
        <v>Broker</v>
      </c>
      <c r="Q5" s="22" t="str">
        <f ca="1">IFERROR(__xludf.DUMMYFUNCTION("""COMPUTED_VALUE"""),"Transaction Type")</f>
        <v>Transaction Type</v>
      </c>
      <c r="R5" s="22" t="str">
        <f ca="1">IFERROR(__xludf.DUMMYFUNCTION("""COMPUTED_VALUE"""),"AUEC Fee1")</f>
        <v>AUEC Fee1</v>
      </c>
      <c r="S5" s="22" t="str">
        <f ca="1">IFERROR(__xludf.DUMMYFUNCTION("""COMPUTED_VALUE"""),"AUEC Fee2")</f>
        <v>AUEC Fee2</v>
      </c>
      <c r="T5" s="24" t="str">
        <f ca="1">IFERROR(__xludf.DUMMYFUNCTION("""COMPUTED_VALUE"""),"Clearing Broker Fee")</f>
        <v>Clearing Broker Fee</v>
      </c>
      <c r="U5" s="24" t="str">
        <f ca="1">IFERROR(__xludf.DUMMYFUNCTION("""COMPUTED_VALUE"""),"Other Broker Fees")</f>
        <v>Other Broker Fees</v>
      </c>
      <c r="V5" s="24" t="str">
        <f ca="1">IFERROR(__xludf.DUMMYFUNCTION("""COMPUTED_VALUE"""),"OCC Fee")</f>
        <v>OCC Fee</v>
      </c>
      <c r="W5" s="24" t="str">
        <f ca="1">IFERROR(__xludf.DUMMYFUNCTION("""COMPUTED_VALUE"""),"SEC Fee")</f>
        <v>SEC Fee</v>
      </c>
      <c r="X5" s="24" t="str">
        <f ca="1">IFERROR(__xludf.DUMMYFUNCTION("""COMPUTED_VALUE"""),"ORF Fee")</f>
        <v>ORF Fee</v>
      </c>
      <c r="Y5" s="24" t="str">
        <f ca="1">IFERROR(__xludf.DUMMYFUNCTION("""COMPUTED_VALUE"""),"IsPreAllocated")</f>
        <v>IsPreAllocated</v>
      </c>
      <c r="Z5" s="24" t="str">
        <f ca="1">IFERROR(__xludf.DUMMYFUNCTION("""COMPUTED_VALUE"""),"Stamp Duty")</f>
        <v>Stamp Duty</v>
      </c>
      <c r="AA5" s="24" t="str">
        <f ca="1">IFERROR(__xludf.DUMMYFUNCTION("""COMPUTED_VALUE"""),"IsManual Group")</f>
        <v>IsManual Group</v>
      </c>
      <c r="AB5" s="24" t="str">
        <f ca="1">IFERROR(__xludf.DUMMYFUNCTION("""COMPUTED_VALUE"""),"Tax On Commissions")</f>
        <v>Tax On Commissions</v>
      </c>
      <c r="AC5" s="24" t="str">
        <f ca="1">IFERROR(__xludf.DUMMYFUNCTION("""COMPUTED_VALUE"""),"IsAnotherTaxlotAttributesUpdated")</f>
        <v>IsAnotherTaxlotAttributesUpdated</v>
      </c>
      <c r="AD5" s="24" t="str">
        <f ca="1">IFERROR(__xludf.DUMMYFUNCTION("""COMPUTED_VALUE"""),"ISNDF")</f>
        <v>ISNDF</v>
      </c>
      <c r="AE5" s="24" t="str">
        <f ca="1">IFERROR(__xludf.DUMMYFUNCTION("""COMPUTED_VALUE"""),"Transaction Levy")</f>
        <v>Transaction Levy</v>
      </c>
      <c r="AF5" s="24" t="str">
        <f ca="1">IFERROR(__xludf.DUMMYFUNCTION("""COMPUTED_VALUE"""),"Description")</f>
        <v>Description</v>
      </c>
      <c r="AG5" s="24" t="str">
        <f ca="1">IFERROR(__xludf.DUMMYFUNCTION("""COMPUTED_VALUE"""),"GroupID")</f>
        <v>GroupID</v>
      </c>
      <c r="AH5" s="24" t="str">
        <f ca="1">IFERROR(__xludf.DUMMYFUNCTION("""COMPUTED_VALUE"""),"Internal Comments")</f>
        <v>Internal Comments</v>
      </c>
      <c r="AI5" s="24" t="str">
        <f ca="1">IFERROR(__xludf.DUMMYFUNCTION("""COMPUTED_VALUE"""),"M2MProfitLoss")</f>
        <v>M2MProfitLoss</v>
      </c>
      <c r="AJ5" s="24" t="str">
        <f ca="1">IFERROR(__xludf.DUMMYFUNCTION("""COMPUTED_VALUE"""),"FX Rate")</f>
        <v>FX Rate</v>
      </c>
      <c r="AK5" s="24" t="str">
        <f ca="1">IFERROR(__xludf.DUMMYFUNCTION("""COMPUTED_VALUE"""),"FX Conversion Operator")</f>
        <v>FX Conversion Operator</v>
      </c>
      <c r="AL5" s="24" t="str">
        <f ca="1">IFERROR(__xludf.DUMMYFUNCTION("""COMPUTED_VALUE"""),"Trade Attribute 3")</f>
        <v>Trade Attribute 3</v>
      </c>
      <c r="AM5" s="24" t="str">
        <f ca="1">IFERROR(__xludf.DUMMYFUNCTION("""COMPUTED_VALUE"""),"Trade Attribute 4")</f>
        <v>Trade Attribute 4</v>
      </c>
      <c r="AN5" s="24" t="str">
        <f ca="1">IFERROR(__xludf.DUMMYFUNCTION("""COMPUTED_VALUE"""),"Trade Attribute 5")</f>
        <v>Trade Attribute 5</v>
      </c>
      <c r="AO5" s="24" t="str">
        <f ca="1">IFERROR(__xludf.DUMMYFUNCTION("""COMPUTED_VALUE"""),"Trade Attribute 6")</f>
        <v>Trade Attribute 6</v>
      </c>
      <c r="AP5" s="24" t="str">
        <f ca="1">IFERROR(__xludf.DUMMYFUNCTION("""COMPUTED_VALUE"""),"Put Or Call")</f>
        <v>Put Or Call</v>
      </c>
      <c r="AQ5" s="24" t="str">
        <f ca="1">IFERROR(__xludf.DUMMYFUNCTION("""COMPUTED_VALUE"""),"Allocated Qty")</f>
        <v>Allocated Qty</v>
      </c>
      <c r="AR5" s="24" t="str">
        <f ca="1">IFERROR(__xludf.DUMMYFUNCTION("""COMPUTED_VALUE"""),"Total Commission And Fee")</f>
        <v>Total Commission And Fee</v>
      </c>
      <c r="AS5" s="24" t="str">
        <f ca="1">IFERROR(__xludf.DUMMYFUNCTION("""COMPUTED_VALUE"""),"Executed Qty")</f>
        <v>Executed Qty</v>
      </c>
      <c r="AT5" s="24" t="str">
        <f ca="1">IFERROR(__xludf.DUMMYFUNCTION("""COMPUTED_VALUE"""),"Net Amount( Local)")</f>
        <v>Net Amount( Local)</v>
      </c>
      <c r="AU5" s="24" t="str">
        <f ca="1">IFERROR(__xludf.DUMMYFUNCTION("""COMPUTED_VALUE"""),"Net Amount( Base)")</f>
        <v>Net Amount( Base)</v>
      </c>
      <c r="AV5" s="24" t="str">
        <f ca="1">IFERROR(__xludf.DUMMYFUNCTION("""COMPUTED_VALUE"""),"UnAllocatedQty")</f>
        <v>UnAllocatedQty</v>
      </c>
      <c r="AW5" s="24" t="str">
        <f ca="1">IFERROR(__xludf.DUMMYFUNCTION("""COMPUTED_VALUE"""),"Option Premium Adjustment")</f>
        <v>Option Premium Adjustment</v>
      </c>
      <c r="AX5" s="24" t="str">
        <f ca="1">IFERROR(__xludf.DUMMYFUNCTION("""COMPUTED_VALUE"""),"Principal Amount( Local)")</f>
        <v>Principal Amount( Local)</v>
      </c>
      <c r="AY5" s="24" t="str">
        <f ca="1">IFERROR(__xludf.DUMMYFUNCTION("""COMPUTED_VALUE"""),"Principal Amount( Base)")</f>
        <v>Principal Amount( Base)</v>
      </c>
      <c r="AZ5" s="24" t="str">
        <f ca="1">IFERROR(__xludf.DUMMYFUNCTION("""COMPUTED_VALUE"""),"Settlement Currency")</f>
        <v>Settlement Currency</v>
      </c>
      <c r="BA5" s="24" t="str">
        <f ca="1">IFERROR(__xludf.DUMMYFUNCTION("""COMPUTED_VALUE"""),"User")</f>
        <v>User</v>
      </c>
      <c r="BB5" s="24" t="str">
        <f ca="1">IFERROR(__xludf.DUMMYFUNCTION("""COMPUTED_VALUE"""),"Asset Category")</f>
        <v>Asset Category</v>
      </c>
      <c r="BC5" s="24" t="str">
        <f ca="1">IFERROR(__xludf.DUMMYFUNCTION("""COMPUTED_VALUE"""),"Change Type")</f>
        <v>Change Type</v>
      </c>
      <c r="BD5" s="24" t="str">
        <f ca="1">IFERROR(__xludf.DUMMYFUNCTION("""COMPUTED_VALUE"""),"Strategy Name")</f>
        <v>Strategy Name</v>
      </c>
      <c r="BE5" s="24" t="str">
        <f ca="1">IFERROR(__xludf.DUMMYFUNCTION("""COMPUTED_VALUE"""),"Prana Msg Type")</f>
        <v>Prana Msg Type</v>
      </c>
      <c r="BF5" s="24" t="str">
        <f ca="1">IFERROR(__xludf.DUMMYFUNCTION("""COMPUTED_VALUE"""),"Total Commission")</f>
        <v>Total Commission</v>
      </c>
      <c r="BG5" s="24" t="str">
        <f ca="1">IFERROR(__xludf.DUMMYFUNCTION("""COMPUTED_VALUE"""),"Commission Per Share")</f>
        <v>Commission Per Share</v>
      </c>
      <c r="BH5" s="24" t="str">
        <f ca="1">IFERROR(__xludf.DUMMYFUNCTION("""COMPUTED_VALUE"""),"Soft Commission Per Share")</f>
        <v>Soft Commission Per Share</v>
      </c>
      <c r="BI5" s="24" t="str">
        <f ca="1">IFERROR(__xludf.DUMMYFUNCTION("""COMPUTED_VALUE"""),"Total Commission Per Share")</f>
        <v>Total Commission Per Share</v>
      </c>
      <c r="BJ5" s="24" t="str">
        <f ca="1">IFERROR(__xludf.DUMMYFUNCTION("""COMPUTED_VALUE"""),"Closing Status")</f>
        <v>Closing Status</v>
      </c>
      <c r="BK5" s="24" t="str">
        <f ca="1">IFERROR(__xludf.DUMMYFUNCTION("""COMPUTED_VALUE"""),"Closing Method")</f>
        <v>Closing Method</v>
      </c>
      <c r="BL5" s="24" t="str">
        <f ca="1">IFERROR(__xludf.DUMMYFUNCTION("""COMPUTED_VALUE"""),"Allocation Scheme Name")</f>
        <v>Allocation Scheme Name</v>
      </c>
      <c r="BM5" s="24" t="str">
        <f ca="1">IFERROR(__xludf.DUMMYFUNCTION("""COMPUTED_VALUE"""),"Change Comment")</f>
        <v>Change Comment</v>
      </c>
      <c r="BN5" s="24" t="str">
        <f ca="1">IFERROR(__xludf.DUMMYFUNCTION("""COMPUTED_VALUE"""),"Order Type")</f>
        <v>Order Type</v>
      </c>
      <c r="BO5" s="24" t="str">
        <f ca="1">IFERROR(__xludf.DUMMYFUNCTION("""COMPUTED_VALUE"""),"Underlying")</f>
        <v>Underlying</v>
      </c>
      <c r="BP5" s="24" t="str">
        <f ca="1">IFERROR(__xludf.DUMMYFUNCTION("""COMPUTED_VALUE"""),"Exchange")</f>
        <v>Exchange</v>
      </c>
      <c r="BQ5" s="24" t="str">
        <f ca="1">IFERROR(__xludf.DUMMYFUNCTION("""COMPUTED_VALUE"""),"Currency")</f>
        <v>Currency</v>
      </c>
      <c r="BR5" s="24" t="str">
        <f ca="1">IFERROR(__xludf.DUMMYFUNCTION("""COMPUTED_VALUE"""),"AUECID")</f>
        <v>AUECID</v>
      </c>
      <c r="BS5" s="24" t="str">
        <f ca="1">IFERROR(__xludf.DUMMYFUNCTION("""COMPUTED_VALUE"""),"Trading Account")</f>
        <v>Trading Account</v>
      </c>
      <c r="BT5" s="24" t="str">
        <f ca="1">IFERROR(__xludf.DUMMYFUNCTION("""COMPUTED_VALUE"""),"Venue")</f>
        <v>Venue</v>
      </c>
      <c r="BU5" s="24" t="str">
        <f ca="1">IFERROR(__xludf.DUMMYFUNCTION("""COMPUTED_VALUE"""),"Cum Qty For Sub Order")</f>
        <v>Cum Qty For Sub Order</v>
      </c>
      <c r="BV5" s="24" t="str">
        <f ca="1">IFERROR(__xludf.DUMMYFUNCTION("""COMPUTED_VALUE"""),"Contract Multiplier")</f>
        <v>Contract Multiplier</v>
      </c>
      <c r="BW5" s="24" t="str">
        <f ca="1">IFERROR(__xludf.DUMMYFUNCTION("""COMPUTED_VALUE"""),"Company")</f>
        <v>Company</v>
      </c>
      <c r="BX5" s="24" t="str">
        <f ca="1">IFERROR(__xludf.DUMMYFUNCTION("""COMPUTED_VALUE"""),"Nirvana Process Date")</f>
        <v>Nirvana Process Date</v>
      </c>
      <c r="BY5" s="24" t="str">
        <f ca="1">IFERROR(__xludf.DUMMYFUNCTION("""COMPUTED_VALUE"""),"Process Date")</f>
        <v>Process Date</v>
      </c>
      <c r="BZ5" s="24" t="str">
        <f ca="1">IFERROR(__xludf.DUMMYFUNCTION("""COMPUTED_VALUE"""),"Original Purchase Date")</f>
        <v>Original Purchase Date</v>
      </c>
      <c r="CA5" s="24" t="str">
        <f ca="1">IFERROR(__xludf.DUMMYFUNCTION("""COMPUTED_VALUE"""),"Closing Date")</f>
        <v>Closing Date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IFERROR(__xludf.DUMMYFUNCTION("""COMPUTED_VALUE"""),"Expiration Date")</f>
        <v>Expiration Date</v>
      </c>
      <c r="CD5" s="24" t="str">
        <f ca="1">IFERROR(__xludf.DUMMYFUNCTION("""COMPUTED_VALUE"""),"Underlying Symbol")</f>
        <v>Underlying Symbol</v>
      </c>
      <c r="CE5" s="24" t="str">
        <f ca="1">IFERROR(__xludf.DUMMYFUNCTION("""COMPUTED_VALUE"""),"Accrual Basis")</f>
        <v>Accrual Basis</v>
      </c>
      <c r="CF5" s="24" t="str">
        <f ca="1">IFERROR(__xludf.DUMMYFUNCTION("""COMPUTED_VALUE"""),"Bond Type")</f>
        <v>Bond Type</v>
      </c>
      <c r="CG5" s="24" t="str">
        <f ca="1">IFERROR(__xludf.DUMMYFUNCTION("""COMPUTED_VALUE"""),"Coupon Rate")</f>
        <v>Coupon Rate</v>
      </c>
      <c r="CH5" s="24" t="str">
        <f ca="1">IFERROR(__xludf.DUMMYFUNCTION("""COMPUTED_VALUE"""),"Delta")</f>
        <v>Delta</v>
      </c>
      <c r="CI5" s="24" t="str">
        <f ca="1">IFERROR(__xludf.DUMMYFUNCTION("""COMPUTED_VALUE"""),"Bloomberg")</f>
        <v>Bloomberg</v>
      </c>
      <c r="CJ5" s="24" t="str">
        <f ca="1">IFERROR(__xludf.DUMMYFUNCTION("""COMPUTED_VALUE"""),"Sedol Symbol")</f>
        <v>Sedol Symbol</v>
      </c>
      <c r="CK5" s="24" t="str">
        <f ca="1">IFERROR(__xludf.DUMMYFUNCTION("""COMPUTED_VALUE"""),"Cusip Symbol")</f>
        <v>Cusip Symbol</v>
      </c>
      <c r="CL5" s="24" t="str">
        <f ca="1">IFERROR(__xludf.DUMMYFUNCTION("""COMPUTED_VALUE"""),"ISIN")</f>
        <v>ISIN</v>
      </c>
      <c r="CM5" s="24" t="str">
        <f ca="1">IFERROR(__xludf.DUMMYFUNCTION("""COMPUTED_VALUE"""),"OSISSymbol")</f>
        <v>OSISSymbol</v>
      </c>
      <c r="CN5" s="24" t="str">
        <f ca="1">IFERROR(__xludf.DUMMYFUNCTION("""COMPUTED_VALUE"""),"IDCOSymbol")</f>
        <v>IDCOSymbol</v>
      </c>
      <c r="CO5" s="24" t="str">
        <f ca="1">IFERROR(__xludf.DUMMYFUNCTION("""COMPUTED_VALUE"""),"Underlying Delta")</f>
        <v>Underlying Delta</v>
      </c>
      <c r="CP5" s="24" t="str">
        <f ca="1">IFERROR(__xludf.DUMMYFUNCTION("""COMPUTED_VALUE"""),"Proxy Symbol")</f>
        <v>Proxy Symbol</v>
      </c>
      <c r="CQ5" s="24" t="str">
        <f ca="1">IFERROR(__xludf.DUMMYFUNCTION("""COMPUTED_VALUE"""),"Transaction Source")</f>
        <v>Transaction Source</v>
      </c>
      <c r="CR5" s="24" t="str">
        <f ca="1">IFERROR(__xludf.DUMMYFUNCTION("""COMPUTED_VALUE"""),"Import File Name")</f>
        <v>Import File Name</v>
      </c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22</v>
      </c>
      <c r="C6" s="36">
        <v>100</v>
      </c>
      <c r="D6" s="7"/>
      <c r="E6" s="37" t="s">
        <v>19</v>
      </c>
      <c r="F6" s="37" t="s">
        <v>23</v>
      </c>
      <c r="G6" s="5"/>
      <c r="H6" s="5"/>
      <c r="I6" s="5"/>
      <c r="J6" s="5"/>
      <c r="K6" s="5"/>
      <c r="L6" s="5"/>
      <c r="M6" s="5"/>
      <c r="N6" s="5"/>
      <c r="O6" s="5"/>
      <c r="CQ6" s="37" t="s">
        <v>25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46</v>
      </c>
      <c r="D3" s="2" t="s">
        <v>9</v>
      </c>
      <c r="E3" s="17" t="s">
        <v>50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IFERROR(__xludf.DUMMYFUNCTION("""COMPUTED_VALUE"""),"Trade Date")</f>
        <v>Trade Date</v>
      </c>
      <c r="G5" s="22" t="str">
        <f ca="1">IFERROR(__xludf.DUMMYFUNCTION("""COMPUTED_VALUE"""),"Net Amount( Local)")</f>
        <v>Net Amount( Local)</v>
      </c>
      <c r="H5" s="22" t="str">
        <f ca="1">IFERROR(__xludf.DUMMYFUNCTION("""COMPUTED_VALUE"""),"Net Amount( Base)")</f>
        <v>Net Amount( Base)</v>
      </c>
      <c r="I5" s="22" t="str">
        <f ca="1">IFERROR(__xludf.DUMMYFUNCTION("""COMPUTED_VALUE"""),"Principal Amount( Local)")</f>
        <v>Principal Amount( Local)</v>
      </c>
      <c r="J5" s="22" t="str">
        <f ca="1">IFERROR(__xludf.DUMMYFUNCTION("""COMPUTED_VALUE"""),"Transaction Type")</f>
        <v>Transaction Type</v>
      </c>
      <c r="K5" s="22" t="str">
        <f ca="1">IFERROR(__xludf.DUMMYFUNCTION("""COMPUTED_VALUE"""),"Principal Amount( Base)")</f>
        <v>Principal Amount( Base)</v>
      </c>
      <c r="L5" s="22" t="str">
        <f ca="1">IFERROR(__xludf.DUMMYFUNCTION("""COMPUTED_VALUE"""),"Execution Time")</f>
        <v>Execution Time</v>
      </c>
      <c r="M5" s="22" t="str">
        <f ca="1">IFERROR(__xludf.DUMMYFUNCTION("""COMPUTED_VALUE"""),"Trading Account")</f>
        <v>Trading Account</v>
      </c>
      <c r="N5" s="22" t="str">
        <f ca="1">IFERROR(__xludf.DUMMYFUNCTION("""COMPUTED_VALUE"""),"Avg Price(Local)")</f>
        <v>Avg Price(Local)</v>
      </c>
      <c r="O5" s="22" t="str">
        <f ca="1">IFERROR(__xludf.DUMMYFUNCTION("""COMPUTED_VALUE"""),"Avg Price(Base)")</f>
        <v>Avg Price(Base)</v>
      </c>
      <c r="P5" s="22" t="str">
        <f ca="1">IFERROR(__xludf.DUMMYFUNCTION("""COMPUTED_VALUE"""),"Broker")</f>
        <v>Broker</v>
      </c>
      <c r="Q5" s="22" t="str">
        <f ca="1">IFERROR(__xludf.DUMMYFUNCTION("""COMPUTED_VALUE"""),"FX Rate")</f>
        <v>FX Rate</v>
      </c>
      <c r="R5" s="22" t="str">
        <f ca="1">IFERROR(__xludf.DUMMYFUNCTION("""COMPUTED_VALUE"""),"Venue")</f>
        <v>Venue</v>
      </c>
      <c r="S5" s="22" t="str">
        <f ca="1">IFERROR(__xludf.DUMMYFUNCTION("""COMPUTED_VALUE"""),"FX Conversion Operator")</f>
        <v>FX Conversion Operator</v>
      </c>
      <c r="T5" s="24" t="str">
        <f ca="1">IFERROR(__xludf.DUMMYFUNCTION("""COMPUTED_VALUE"""),"User")</f>
        <v>User</v>
      </c>
      <c r="U5" s="24" t="str">
        <f ca="1">IFERROR(__xludf.DUMMYFUNCTION("""COMPUTED_VALUE"""),"Asset Category")</f>
        <v>Asset Category</v>
      </c>
      <c r="V5" s="24" t="str">
        <f ca="1">IFERROR(__xludf.DUMMYFUNCTION("""COMPUTED_VALUE"""),"Settlement Currency")</f>
        <v>Settlement Currency</v>
      </c>
      <c r="W5" s="24" t="str">
        <f ca="1">IFERROR(__xludf.DUMMYFUNCTION("""COMPUTED_VALUE"""),"Commission Per Share")</f>
        <v>Commission Per Share</v>
      </c>
      <c r="X5" s="24" t="str">
        <f ca="1">IFERROR(__xludf.DUMMYFUNCTION("""COMPUTED_VALUE"""),"Soft Commission Per Share")</f>
        <v>Soft Commission Per Share</v>
      </c>
      <c r="Y5" s="24" t="str">
        <f ca="1">IFERROR(__xludf.DUMMYFUNCTION("""COMPUTED_VALUE"""),"Total Commission Per Share")</f>
        <v>Total Commission Per Share</v>
      </c>
      <c r="Z5" s="24" t="str">
        <f ca="1">IFERROR(__xludf.DUMMYFUNCTION("""COMPUTED_VALUE"""),"Change Type")</f>
        <v>Change Type</v>
      </c>
      <c r="AA5" s="24" t="str">
        <f ca="1">IFERROR(__xludf.DUMMYFUNCTION("""COMPUTED_VALUE"""),"Trade Attribute 1")</f>
        <v>Trade Attribute 1</v>
      </c>
      <c r="AB5" s="24" t="str">
        <f ca="1">IFERROR(__xludf.DUMMYFUNCTION("""COMPUTED_VALUE"""),"Trade Attribute 2")</f>
        <v>Trade Attribute 2</v>
      </c>
      <c r="AC5" s="24" t="str">
        <f ca="1">IFERROR(__xludf.DUMMYFUNCTION("""COMPUTED_VALUE"""),"Trade Attribute 3")</f>
        <v>Trade Attribute 3</v>
      </c>
      <c r="AD5" s="24" t="str">
        <f ca="1">IFERROR(__xludf.DUMMYFUNCTION("""COMPUTED_VALUE"""),"Trade Attribute 4")</f>
        <v>Trade Attribute 4</v>
      </c>
      <c r="AE5" s="24" t="str">
        <f ca="1">IFERROR(__xludf.DUMMYFUNCTION("""COMPUTED_VALUE"""),"Trade Attribute 5")</f>
        <v>Trade Attribute 5</v>
      </c>
      <c r="AF5" s="24" t="str">
        <f ca="1">IFERROR(__xludf.DUMMYFUNCTION("""COMPUTED_VALUE"""),"Trade Attribute 6")</f>
        <v>Trade Attribute 6</v>
      </c>
      <c r="AG5" s="24" t="str">
        <f ca="1">IFERROR(__xludf.DUMMYFUNCTION("""COMPUTED_VALUE"""),"IsPreAllocated")</f>
        <v>IsPreAllocated</v>
      </c>
      <c r="AH5" s="24" t="str">
        <f ca="1">IFERROR(__xludf.DUMMYFUNCTION("""COMPUTED_VALUE"""),"IsManual Group")</f>
        <v>IsManual Group</v>
      </c>
      <c r="AI5" s="24" t="str">
        <f ca="1">IFERROR(__xludf.DUMMYFUNCTION("""COMPUTED_VALUE"""),"IsAnotherTaxlotAttributesUpdated")</f>
        <v>IsAnotherTaxlotAttributesUpdated</v>
      </c>
      <c r="AJ5" s="24" t="str">
        <f ca="1">IFERROR(__xludf.DUMMYFUNCTION("""COMPUTED_VALUE"""),"ISNDF")</f>
        <v>ISNDF</v>
      </c>
      <c r="AK5" s="24" t="str">
        <f ca="1">IFERROR(__xludf.DUMMYFUNCTION("""COMPUTED_VALUE"""),"M2MProfitLoss")</f>
        <v>M2MProfitLoss</v>
      </c>
      <c r="AL5" s="24" t="str">
        <f ca="1">IFERROR(__xludf.DUMMYFUNCTION("""COMPUTED_VALUE"""),"Put Or Call")</f>
        <v>Put Or Call</v>
      </c>
      <c r="AM5" s="24" t="str">
        <f ca="1">IFERROR(__xludf.DUMMYFUNCTION("""COMPUTED_VALUE"""),"GroupID")</f>
        <v>GroupID</v>
      </c>
      <c r="AN5" s="24" t="str">
        <f ca="1">IFERROR(__xludf.DUMMYFUNCTION("""COMPUTED_VALUE"""),"UnAllocatedQty")</f>
        <v>UnAllocatedQty</v>
      </c>
      <c r="AO5" s="24" t="str">
        <f ca="1">IFERROR(__xludf.DUMMYFUNCTION("""COMPUTED_VALUE"""),"Allocated Qty")</f>
        <v>Allocated Qty</v>
      </c>
      <c r="AP5" s="24" t="str">
        <f ca="1">IFERROR(__xludf.DUMMYFUNCTION("""COMPUTED_VALUE"""),"Commission")</f>
        <v>Commission</v>
      </c>
      <c r="AQ5" s="24" t="str">
        <f ca="1">IFERROR(__xludf.DUMMYFUNCTION("""COMPUTED_VALUE"""),"Soft Commission")</f>
        <v>Soft Commission</v>
      </c>
      <c r="AR5" s="24" t="str">
        <f ca="1">IFERROR(__xludf.DUMMYFUNCTION("""COMPUTED_VALUE"""),"Other Broker Fees")</f>
        <v>Other Broker Fees</v>
      </c>
      <c r="AS5" s="24" t="str">
        <f ca="1">IFERROR(__xludf.DUMMYFUNCTION("""COMPUTED_VALUE"""),"Clearing Broker Fee")</f>
        <v>Clearing Broker Fee</v>
      </c>
      <c r="AT5" s="24" t="str">
        <f ca="1">IFERROR(__xludf.DUMMYFUNCTION("""COMPUTED_VALUE"""),"Total Commission And Fee")</f>
        <v>Total Commission And Fee</v>
      </c>
      <c r="AU5" s="24" t="str">
        <f ca="1">IFERROR(__xludf.DUMMYFUNCTION("""COMPUTED_VALUE"""),"Transaction Levy")</f>
        <v>Transaction Levy</v>
      </c>
      <c r="AV5" s="24" t="str">
        <f ca="1">IFERROR(__xludf.DUMMYFUNCTION("""COMPUTED_VALUE"""),"Stamp Duty")</f>
        <v>Stamp Duty</v>
      </c>
      <c r="AW5" s="24" t="str">
        <f ca="1">IFERROR(__xludf.DUMMYFUNCTION("""COMPUTED_VALUE"""),"AUEC Fee1")</f>
        <v>AUEC Fee1</v>
      </c>
      <c r="AX5" s="24" t="str">
        <f ca="1">IFERROR(__xludf.DUMMYFUNCTION("""COMPUTED_VALUE"""),"Tax On Commissions")</f>
        <v>Tax On Commissions</v>
      </c>
      <c r="AY5" s="24" t="str">
        <f ca="1">IFERROR(__xludf.DUMMYFUNCTION("""COMPUTED_VALUE"""),"AUEC Fee2")</f>
        <v>AUEC Fee2</v>
      </c>
      <c r="AZ5" s="24" t="str">
        <f ca="1">IFERROR(__xludf.DUMMYFUNCTION("""COMPUTED_VALUE"""),"SEC Fee")</f>
        <v>SEC Fee</v>
      </c>
      <c r="BA5" s="24" t="str">
        <f ca="1">IFERROR(__xludf.DUMMYFUNCTION("""COMPUTED_VALUE"""),"OCC Fee")</f>
        <v>OCC Fee</v>
      </c>
      <c r="BB5" s="24" t="str">
        <f ca="1">IFERROR(__xludf.DUMMYFUNCTION("""COMPUTED_VALUE"""),"ORF Fee")</f>
        <v>ORF Fee</v>
      </c>
      <c r="BC5" s="24" t="str">
        <f ca="1">IFERROR(__xludf.DUMMYFUNCTION("""COMPUTED_VALUE"""),"Option Premium Adjustment")</f>
        <v>Option Premium Adjustment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IFERROR(__xludf.DUMMYFUNCTION("""COMPUTED_VALUE"""),"Total Commission")</f>
        <v>Total Commission</v>
      </c>
      <c r="BF5" s="24" t="str">
        <f ca="1">IFERROR(__xludf.DUMMYFUNCTION("""COMPUTED_VALUE"""),"Closing Status")</f>
        <v>Closing Status</v>
      </c>
      <c r="BG5" s="24" t="str">
        <f ca="1">IFERROR(__xludf.DUMMYFUNCTION("""COMPUTED_VALUE"""),"Closing Method")</f>
        <v>Closing Method</v>
      </c>
      <c r="BH5" s="24" t="str">
        <f ca="1">IFERROR(__xludf.DUMMYFUNCTION("""COMPUTED_VALUE"""),"Group Status")</f>
        <v>Group Status</v>
      </c>
      <c r="BI5" s="24" t="str">
        <f ca="1">IFERROR(__xludf.DUMMYFUNCTION("""COMPUTED_VALUE"""),"Allocation Scheme Name")</f>
        <v>Allocation Scheme Name</v>
      </c>
      <c r="BJ5" s="24" t="str">
        <f ca="1">IFERROR(__xludf.DUMMYFUNCTION("""COMPUTED_VALUE"""),"Change Comment")</f>
        <v>Change Comment</v>
      </c>
      <c r="BK5" s="24" t="str">
        <f ca="1">IFERROR(__xludf.DUMMYFUNCTION("""COMPUTED_VALUE"""),"Order Type")</f>
        <v>Order Type</v>
      </c>
      <c r="BL5" s="24" t="str">
        <f ca="1">IFERROR(__xludf.DUMMYFUNCTION("""COMPUTED_VALUE"""),"Underlying")</f>
        <v>Underlying</v>
      </c>
      <c r="BM5" s="24" t="str">
        <f ca="1">IFERROR(__xludf.DUMMYFUNCTION("""COMPUTED_VALUE"""),"Exchange")</f>
        <v>Exchange</v>
      </c>
      <c r="BN5" s="24" t="str">
        <f ca="1">IFERROR(__xludf.DUMMYFUNCTION("""COMPUTED_VALUE"""),"Currency")</f>
        <v>Currency</v>
      </c>
      <c r="BO5" s="24" t="str">
        <f ca="1">IFERROR(__xludf.DUMMYFUNCTION("""COMPUTED_VALUE"""),"AUECID")</f>
        <v>AUECID</v>
      </c>
      <c r="BP5" s="24" t="str">
        <f ca="1">IFERROR(__xludf.DUMMYFUNCTION("""COMPUTED_VALUE"""),"Cum Qty For Sub Order")</f>
        <v>Cum Qty For Sub Order</v>
      </c>
      <c r="BQ5" s="24" t="str">
        <f ca="1">IFERROR(__xludf.DUMMYFUNCTION("""COMPUTED_VALUE"""),"Contract Multiplier")</f>
        <v>Contract Multiplier</v>
      </c>
      <c r="BR5" s="24" t="str">
        <f ca="1">IFERROR(__xludf.DUMMYFUNCTION("""COMPUTED_VALUE"""),"Company")</f>
        <v>Company</v>
      </c>
      <c r="BS5" s="24" t="str">
        <f ca="1">IFERROR(__xludf.DUMMYFUNCTION("""COMPUTED_VALUE"""),"Nirvana Process Date")</f>
        <v>Nirvana Process Date</v>
      </c>
      <c r="BT5" s="24" t="str">
        <f ca="1">IFERROR(__xludf.DUMMYFUNCTION("""COMPUTED_VALUE"""),"Process Date")</f>
        <v>Process Date</v>
      </c>
      <c r="BU5" s="24" t="str">
        <f ca="1">IFERROR(__xludf.DUMMYFUNCTION("""COMPUTED_VALUE"""),"Original Purchase Date")</f>
        <v>Original Purchase Date</v>
      </c>
      <c r="BV5" s="24" t="str">
        <f ca="1">IFERROR(__xludf.DUMMYFUNCTION("""COMPUTED_VALUE"""),"Closing Date")</f>
        <v>Closing Date</v>
      </c>
      <c r="BW5" s="24" t="str">
        <f ca="1">IFERROR(__xludf.DUMMYFUNCTION("""COMPUTED_VALUE"""),"Settlement Date")</f>
        <v>Settlement Date</v>
      </c>
      <c r="BX5" s="24" t="str">
        <f ca="1">IFERROR(__xludf.DUMMYFUNCTION("""COMPUTED_VALUE"""),"Expiration Date")</f>
        <v>Expiration Date</v>
      </c>
      <c r="BY5" s="24" t="str">
        <f ca="1">IFERROR(__xludf.DUMMYFUNCTION("""COMPUTED_VALUE"""),"Description")</f>
        <v>Description</v>
      </c>
      <c r="BZ5" s="24" t="str">
        <f ca="1">IFERROR(__xludf.DUMMYFUNCTION("""COMPUTED_VALUE"""),"Underlying Symbol")</f>
        <v>Underlying Symbol</v>
      </c>
      <c r="CA5" s="24" t="str">
        <f ca="1">IFERROR(__xludf.DUMMYFUNCTION("""COMPUTED_VALUE"""),"Accrued Interest")</f>
        <v>Accrued Interest</v>
      </c>
      <c r="CB5" s="24" t="str">
        <f ca="1">IFERROR(__xludf.DUMMYFUNCTION("""COMPUTED_VALUE"""),"Accrual Basis")</f>
        <v>Accrual Basis</v>
      </c>
      <c r="CC5" s="24" t="str">
        <f ca="1">IFERROR(__xludf.DUMMYFUNCTION("""COMPUTED_VALUE"""),"Bond Type")</f>
        <v>Bond Type</v>
      </c>
      <c r="CD5" s="24" t="str">
        <f ca="1">IFERROR(__xludf.DUMMYFUNCTION("""COMPUTED_VALUE"""),"Coupon Rate")</f>
        <v>Coupon Rate</v>
      </c>
      <c r="CE5" s="24" t="str">
        <f ca="1">IFERROR(__xludf.DUMMYFUNCTION("""COMPUTED_VALUE"""),"Delta")</f>
        <v>Delta</v>
      </c>
      <c r="CF5" s="24" t="str">
        <f ca="1">IFERROR(__xludf.DUMMYFUNCTION("""COMPUTED_VALUE"""),"Bloomberg")</f>
        <v>Bloomberg</v>
      </c>
      <c r="CG5" s="24" t="str">
        <f ca="1">IFERROR(__xludf.DUMMYFUNCTION("""COMPUTED_VALUE"""),"Sedol Symbol")</f>
        <v>Sedol Symbol</v>
      </c>
      <c r="CH5" s="24" t="str">
        <f ca="1">IFERROR(__xludf.DUMMYFUNCTION("""COMPUTED_VALUE"""),"Cusip Symbol")</f>
        <v>Cusip Symbol</v>
      </c>
      <c r="CI5" s="24" t="str">
        <f ca="1">IFERROR(__xludf.DUMMYFUNCTION("""COMPUTED_VALUE"""),"ISIN")</f>
        <v>ISIN</v>
      </c>
      <c r="CJ5" s="24" t="str">
        <f ca="1">IFERROR(__xludf.DUMMYFUNCTION("""COMPUTED_VALUE"""),"OSISSymbol")</f>
        <v>OSISSymbol</v>
      </c>
      <c r="CK5" s="24" t="str">
        <f ca="1">IFERROR(__xludf.DUMMYFUNCTION("""COMPUTED_VALUE"""),"IDCOSymbol")</f>
        <v>IDCOSymbol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IFERROR(__xludf.DUMMYFUNCTION("""COMPUTED_VALUE"""),"Internal Comments")</f>
        <v>Internal Comments</v>
      </c>
      <c r="CN5" s="24" t="str">
        <f ca="1">IFERROR(__xludf.DUMMYFUNCTION("""COMPUTED_VALUE"""),"Proxy Symbol")</f>
        <v>Proxy Symbol</v>
      </c>
      <c r="CO5" s="24" t="str">
        <f ca="1">IFERROR(__xludf.DUMMYFUNCTION("""COMPUTED_VALUE"""),"Transaction Source")</f>
        <v>Transaction Source</v>
      </c>
      <c r="CP5" s="24" t="str">
        <f ca="1">IFERROR(__xludf.DUMMYFUNCTION("""COMPUTED_VALUE"""),"Import File Name")</f>
        <v>Import File Name</v>
      </c>
      <c r="CQ5" s="24" t="str">
        <f ca="1">IFERROR(__xludf.DUMMYFUNCTION("""COMPUTED_VALUE"""),"Master Fund")</f>
        <v>Master Fund</v>
      </c>
      <c r="CR5" s="24" t="str">
        <f ca="1">IFERROR(__xludf.DUMMYFUNCTION("""COMPUTED_VALUE"""),"Client")</f>
        <v>Client</v>
      </c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22</v>
      </c>
      <c r="C6" s="7" t="s">
        <v>23</v>
      </c>
      <c r="D6" s="7">
        <v>100</v>
      </c>
      <c r="E6" s="7">
        <v>100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46</v>
      </c>
      <c r="D3" s="2" t="s">
        <v>9</v>
      </c>
      <c r="E3" s="17" t="s">
        <v>51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IFERROR(__xludf.DUMMYFUNCTION("""COMPUTED_VALUE"""),"PreferenceType")</f>
        <v>PreferenceType</v>
      </c>
      <c r="C5" s="22" t="str">
        <f ca="1">IFERROR(__xludf.DUMMYFUNCTION("""COMPUTED_VALUE"""),"PreferenceName")</f>
        <v>PreferenceName</v>
      </c>
      <c r="D5" s="22" t="str">
        <f ca="1">IFERROR(__xludf.DUMMYFUNCTION("""COMPUTED_VALUE"""),"PTTPrefNeeded")</f>
        <v>PTTPrefNeeded</v>
      </c>
      <c r="E5" s="22" t="str">
        <f ca="1">IFERROR(__xludf.DUMMYFUNCTION("""COMPUTED_VALUE"""),"IsForceAllocation")</f>
        <v>IsForceAllocation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IFERROR(__xludf.DUMMYFUNCTION("""COMPUTED_VALUE"""),"RemainderAllocationTo")</f>
        <v>RemainderAllocationTo</v>
      </c>
      <c r="H5" s="22" t="str">
        <f ca="1">IFERROR(__xludf.DUMMYFUNCTION("""COMPUTED_VALUE"""),"Target%AsOf")</f>
        <v>Target%AsOf</v>
      </c>
      <c r="I5" s="22" t="str">
        <f ca="1">IFERROR(__xludf.DUMMYFUNCTION("""COMPUTED_VALUE"""),"AccountsForProrata")</f>
        <v>AccountsForProrata</v>
      </c>
      <c r="J5" s="22" t="str">
        <f ca="1">IFERROR(__xludf.DUMMYFUNCTION("""COMPUTED_VALUE"""),"DateUptoDays")</f>
        <v>DateUptoDays</v>
      </c>
      <c r="K5" s="22" t="str">
        <f ca="1">IFERROR(__xludf.DUMMYFUNCTION("""COMPUTED_VALUE"""),"MatchClosingTransactions")</f>
        <v>MatchClosingTransactions</v>
      </c>
      <c r="L5" s="22" t="str">
        <f ca="1">IFERROR(__xludf.DUMMYFUNCTION("""COMPUTED_VALUE"""),"Custom")</f>
        <v>Custom</v>
      </c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8" t="s">
        <v>52</v>
      </c>
      <c r="C6" s="32"/>
      <c r="D6" s="38"/>
      <c r="E6" s="32"/>
      <c r="F6" s="32"/>
      <c r="G6" s="32"/>
      <c r="H6" s="32"/>
      <c r="I6" s="32"/>
      <c r="J6" s="32"/>
      <c r="K6" s="32"/>
      <c r="L6" s="39" t="b">
        <v>1</v>
      </c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46</v>
      </c>
      <c r="D3" s="2" t="s">
        <v>9</v>
      </c>
      <c r="E3" s="17" t="s">
        <v>54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7" t="s">
        <v>17</v>
      </c>
      <c r="C6" s="5"/>
      <c r="D6" s="7"/>
      <c r="E6" s="36">
        <v>100</v>
      </c>
      <c r="F6" s="5"/>
      <c r="G6" s="5"/>
      <c r="H6" s="5"/>
      <c r="I6" s="5"/>
      <c r="J6" s="5"/>
      <c r="K6" s="36">
        <v>20</v>
      </c>
      <c r="L6" s="36">
        <v>20</v>
      </c>
      <c r="M6" s="5"/>
      <c r="N6" s="5"/>
      <c r="O6" s="5"/>
      <c r="AE6" s="36">
        <v>100</v>
      </c>
      <c r="BE6" s="40">
        <v>2000</v>
      </c>
      <c r="BF6" s="40">
        <v>2000</v>
      </c>
      <c r="BJ6" s="36">
        <v>100</v>
      </c>
      <c r="BO6" s="37" t="s">
        <v>23</v>
      </c>
      <c r="BT6" s="37" t="s">
        <v>22</v>
      </c>
    </row>
    <row r="7" spans="1:154" ht="15.75" customHeight="1" x14ac:dyDescent="0.2">
      <c r="A7" s="5"/>
      <c r="B7" s="37" t="s">
        <v>19</v>
      </c>
      <c r="C7" s="5"/>
      <c r="D7" s="5"/>
      <c r="E7" s="36">
        <v>100</v>
      </c>
      <c r="F7" s="5"/>
      <c r="G7" s="5"/>
      <c r="H7" s="5"/>
      <c r="I7" s="5"/>
      <c r="J7" s="5"/>
      <c r="K7" s="36">
        <v>20</v>
      </c>
      <c r="L7" s="36">
        <v>20</v>
      </c>
      <c r="M7" s="5"/>
      <c r="N7" s="5"/>
      <c r="O7" s="5"/>
      <c r="AE7" s="36">
        <v>100</v>
      </c>
      <c r="BE7" s="40">
        <v>2000</v>
      </c>
      <c r="BF7" s="40">
        <v>2000</v>
      </c>
      <c r="BJ7" s="36">
        <v>100</v>
      </c>
      <c r="BO7" s="37" t="s">
        <v>23</v>
      </c>
      <c r="BT7" s="37" t="s">
        <v>22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_Modules</vt:lpstr>
      <vt:lpstr>_Settings</vt:lpstr>
      <vt:lpstr>_MasterData</vt:lpstr>
      <vt:lpstr>GetDailyCash</vt:lpstr>
      <vt:lpstr>UpdateDailyCash</vt:lpstr>
      <vt:lpstr>CreateDoneAwayOrder</vt:lpstr>
      <vt:lpstr>PricingInput1</vt:lpstr>
      <vt:lpstr>CalculatePTT</vt:lpstr>
      <vt:lpstr>VerifyPTT</vt:lpstr>
      <vt:lpstr>CreateOrderPTT</vt:lpstr>
      <vt:lpstr>CalculatePTT2</vt:lpstr>
      <vt:lpstr>VerifyPTT2</vt:lpstr>
      <vt:lpstr>CreateOrderPTT1</vt:lpstr>
      <vt:lpstr>VerifyOrder</vt:lpstr>
      <vt:lpstr>MultiTradingTicketFromBlotter</vt:lpstr>
      <vt:lpstr>SelectTradeUsingMTT</vt:lpstr>
      <vt:lpstr>EditTradeUsingMTT</vt:lpstr>
      <vt:lpstr>SelectTradeUsingMTT1</vt:lpstr>
      <vt:lpstr>EditTradeUsingMTT1</vt:lpstr>
      <vt:lpstr>DoneAwayUsingMTT</vt:lpstr>
      <vt:lpstr>GetDataAllocation</vt:lpstr>
      <vt:lpstr>Unallocate</vt:lpstr>
      <vt:lpstr>SelectUnallocatedGroup</vt:lpstr>
      <vt:lpstr>EnterCustomAllocatePreference</vt:lpstr>
      <vt:lpstr>Unallocate1</vt:lpstr>
      <vt:lpstr>DeleteGroup</vt:lpstr>
      <vt:lpstr>SelectUnallocatedGroup1</vt:lpstr>
      <vt:lpstr>EnterCustomAllocatePreference1</vt:lpstr>
      <vt:lpstr>Unallocate2</vt:lpstr>
      <vt:lpstr>SelectUnallocatedGroup2</vt:lpstr>
      <vt:lpstr>EnterCustomAllocatePreference2</vt:lpstr>
      <vt:lpstr>CheckAllocatedGroups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2021-09-20T12:50:39Z</dcterms:modified>
</cp:coreProperties>
</file>