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CustomOrderTT2" sheetId="6" r:id="rId8"/>
    <sheet state="visible" name="CustomOrderTT3" sheetId="7" r:id="rId9"/>
    <sheet state="visible" name="TradeNewSubOrder" sheetId="8" r:id="rId10"/>
    <sheet state="visible" name="TradeNewSubOrder1" sheetId="9" r:id="rId11"/>
    <sheet state="visible" name="EditOrder" sheetId="10" r:id="rId12"/>
    <sheet state="visible" name="EditOrder1" sheetId="11" r:id="rId13"/>
    <sheet state="visible" name="ReloadOrderFromBlotter" sheetId="12" r:id="rId14"/>
    <sheet state="visible" name="ReloadOrderFromBlotter1" sheetId="13" r:id="rId15"/>
    <sheet state="visible" name="ReplaceSubOrder" sheetId="14" r:id="rId16"/>
    <sheet state="visible" name="ReplaceSubOrder1" sheetId="15" r:id="rId17"/>
    <sheet state="visible" name="CheckOpenFinWindowName" sheetId="16" r:id="rId18"/>
    <sheet state="visible" name="SelectTradeOnOrderGrid" sheetId="17" r:id="rId19"/>
    <sheet state="visible" name="SelectTradeOnOrderGrid1" sheetId="18" r:id="rId20"/>
  </sheets>
  <definedNames/>
  <calcPr/>
</workbook>
</file>

<file path=xl/sharedStrings.xml><?xml version="1.0" encoding="utf-8"?>
<sst xmlns="http://schemas.openxmlformats.org/spreadsheetml/2006/main" count="304" uniqueCount="68">
  <si>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</si>
  <si>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</si>
  <si>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</si>
  <si>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</si>
  <si>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</si>
  <si>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</si>
  <si>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</si>
  <si>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</si>
  <si>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</si>
  <si>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</si>
  <si>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</si>
  <si>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</si>
  <si>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</si>
  <si>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</si>
  <si>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</si>
  <si>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</si>
  <si>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</si>
  <si>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</si>
  <si>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</si>
  <si>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</si>
  <si>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</si>
  <si>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</si>
  <si>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</si>
  <si>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</si>
  <si>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</si>
  <si>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</si>
  <si>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</si>
  <si>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</si>
  <si>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</si>
  <si>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</si>
  <si>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</si>
  <si>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</si>
  <si>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</si>
  <si>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</si>
  <si>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</si>
  <si>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</si>
  <si>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</si>
  <si>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</si>
  <si>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</si>
  <si>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</si>
  <si>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</si>
  <si>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</si>
  <si>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</si>
  <si>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</si>
  <si>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</si>
  <si>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</si>
  <si>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</si>
  <si>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</si>
  <si>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</si>
  <si>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</si>
  <si>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</si>
  <si>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</si>
  <si>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</si>
  <si>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KO</t>
  </si>
  <si>
    <t>CreateOrder</t>
  </si>
  <si>
    <t>SAP</t>
  </si>
  <si>
    <t>DoneAway</t>
  </si>
  <si>
    <t>Blotter</t>
  </si>
  <si>
    <t>TradeNewSubOrder</t>
  </si>
  <si>
    <t>Buy</t>
  </si>
  <si>
    <t>EditOrder</t>
  </si>
  <si>
    <t>ReloadOrderFromBlotter</t>
  </si>
  <si>
    <t>ReplaceSubOrder</t>
  </si>
  <si>
    <t>OpenFin</t>
  </si>
  <si>
    <t>CheckOpenFinWindowName</t>
  </si>
  <si>
    <t>KO - Trading Ticket</t>
  </si>
  <si>
    <t>SAP - Trading Ticket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</si>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</sst>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>
        <v>100.0</v>
      </c>
      <c r="D6" s="12">
        <v>10.0</v>
      </c>
      <c r="E6" s="12" t="s">
        <v>54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55</v>
      </c>
      <c r="C7" s="12">
        <v>150.0</v>
      </c>
      <c r="D7" s="12">
        <v>20.0</v>
      </c>
      <c r="E7" s="12" t="s">
        <v>54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>
        <v>101.0</v>
      </c>
      <c r="D6" s="12">
        <v>10.0</v>
      </c>
      <c r="E6" s="12" t="s">
        <v>56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55</v>
      </c>
      <c r="C7" s="12">
        <v>151.0</v>
      </c>
      <c r="D7" s="12">
        <v>20.0</v>
      </c>
      <c r="E7" s="12" t="s">
        <v>56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>
        <v>102.0</v>
      </c>
      <c r="D6" s="12">
        <v>10.0</v>
      </c>
      <c r="E6" s="12" t="s">
        <v>56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55</v>
      </c>
      <c r="C7" s="12">
        <v>152.0</v>
      </c>
      <c r="D7" s="12">
        <v>20.0</v>
      </c>
      <c r="E7" s="12" t="s">
        <v>56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>
        <v>103.0</v>
      </c>
      <c r="D6" s="12">
        <v>10.0</v>
      </c>
      <c r="E6" s="12" t="s">
        <v>56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55</v>
      </c>
      <c r="C7" s="12">
        <v>153.0</v>
      </c>
      <c r="D7" s="12">
        <v>20.0</v>
      </c>
      <c r="E7" s="12" t="s">
        <v>56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IFERROR(__xludf.DUMMYFUNCTION("""COMPUTED_VALUE"""),"Transaction Time")</f>
        <v>Transaction Time</v>
      </c>
      <c r="C5" s="30" t="str">
        <f>IFERROR(__xludf.DUMMYFUNCTION("""COMPUTED_VALUE"""),"Algo")</f>
        <v>Algo</v>
      </c>
      <c r="D5" s="30" t="str">
        <f>IFERROR(__xludf.DUMMYFUNCTION("""COMPUTED_VALUE"""),"Avg Fill Price (Base)")</f>
        <v>Avg Fill Price (Base)</v>
      </c>
      <c r="E5" s="30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0" t="str">
        <f>IFERROR(__xludf.DUMMYFUNCTION("""COMPUTED_VALUE"""),"Working Qty")</f>
        <v>Working Qty</v>
      </c>
      <c r="H5" s="30" t="str">
        <f>IFERROR(__xludf.DUMMYFUNCTION("""COMPUTED_VALUE"""),"Venue")</f>
        <v>Venue</v>
      </c>
      <c r="I5" s="30" t="str">
        <f>IFERROR(__xludf.DUMMYFUNCTION("""COMPUTED_VALUE"""),"User")</f>
        <v>User</v>
      </c>
      <c r="J5" s="30" t="str">
        <f>IFERROR(__xludf.DUMMYFUNCTION("""COMPUTED_VALUE"""),"Underlying Symbol")</f>
        <v>Underlying Symbol</v>
      </c>
      <c r="K5" s="30" t="str">
        <f>IFERROR(__xludf.DUMMYFUNCTION("""COMPUTED_VALUE"""),"Underlying Country")</f>
        <v>Underlying Country</v>
      </c>
      <c r="L5" s="30" t="str">
        <f>IFERROR(__xludf.DUMMYFUNCTION("""COMPUTED_VALUE"""),"Trader")</f>
        <v>Trader</v>
      </c>
      <c r="M5" s="30" t="str">
        <f>IFERROR(__xludf.DUMMYFUNCTION("""COMPUTED_VALUE"""),"Trade Attribute 6")</f>
        <v>Trade Attribute 6</v>
      </c>
      <c r="N5" s="30" t="str">
        <f>IFERROR(__xludf.DUMMYFUNCTION("""COMPUTED_VALUE"""),"Trade Attribute 5")</f>
        <v>Trade Attribute 5</v>
      </c>
      <c r="O5" s="30" t="str">
        <f>IFERROR(__xludf.DUMMYFUNCTION("""COMPUTED_VALUE"""),"Trade Attribute 4")</f>
        <v>Trade Attribute 4</v>
      </c>
      <c r="P5" s="30" t="str">
        <f>IFERROR(__xludf.DUMMYFUNCTION("""COMPUTED_VALUE"""),"Trade Attribute 3")</f>
        <v>Trade Attribute 3</v>
      </c>
      <c r="Q5" s="30" t="str">
        <f>IFERROR(__xludf.DUMMYFUNCTION("""COMPUTED_VALUE"""),"Trade Attribute 1")</f>
        <v>Trade Attribute 1</v>
      </c>
      <c r="R5" s="30" t="str">
        <f>IFERROR(__xludf.DUMMYFUNCTION("""COMPUTED_VALUE"""),"Trade Attribute 2")</f>
        <v>Trade Attribute 2</v>
      </c>
      <c r="S5" s="30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53</v>
      </c>
      <c r="AJ6" s="9" t="s">
        <v>59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IFERROR(__xludf.DUMMYFUNCTION("""COMPUTED_VALUE"""),"Transaction Time")</f>
        <v>Transaction Time</v>
      </c>
      <c r="C5" s="30" t="str">
        <f>IFERROR(__xludf.DUMMYFUNCTION("""COMPUTED_VALUE"""),"Algo")</f>
        <v>Algo</v>
      </c>
      <c r="D5" s="30" t="str">
        <f>IFERROR(__xludf.DUMMYFUNCTION("""COMPUTED_VALUE"""),"Avg Fill Price (Base)")</f>
        <v>Avg Fill Price (Base)</v>
      </c>
      <c r="E5" s="30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0" t="str">
        <f>IFERROR(__xludf.DUMMYFUNCTION("""COMPUTED_VALUE"""),"Working Qty")</f>
        <v>Working Qty</v>
      </c>
      <c r="H5" s="30" t="str">
        <f>IFERROR(__xludf.DUMMYFUNCTION("""COMPUTED_VALUE"""),"Venue")</f>
        <v>Venue</v>
      </c>
      <c r="I5" s="30" t="str">
        <f>IFERROR(__xludf.DUMMYFUNCTION("""COMPUTED_VALUE"""),"User")</f>
        <v>User</v>
      </c>
      <c r="J5" s="30" t="str">
        <f>IFERROR(__xludf.DUMMYFUNCTION("""COMPUTED_VALUE"""),"Underlying Symbol")</f>
        <v>Underlying Symbol</v>
      </c>
      <c r="K5" s="30" t="str">
        <f>IFERROR(__xludf.DUMMYFUNCTION("""COMPUTED_VALUE"""),"Underlying Country")</f>
        <v>Underlying Country</v>
      </c>
      <c r="L5" s="30" t="str">
        <f>IFERROR(__xludf.DUMMYFUNCTION("""COMPUTED_VALUE"""),"Trader")</f>
        <v>Trader</v>
      </c>
      <c r="M5" s="30" t="str">
        <f>IFERROR(__xludf.DUMMYFUNCTION("""COMPUTED_VALUE"""),"Trade Attribute 6")</f>
        <v>Trade Attribute 6</v>
      </c>
      <c r="N5" s="30" t="str">
        <f>IFERROR(__xludf.DUMMYFUNCTION("""COMPUTED_VALUE"""),"Trade Attribute 5")</f>
        <v>Trade Attribute 5</v>
      </c>
      <c r="O5" s="30" t="str">
        <f>IFERROR(__xludf.DUMMYFUNCTION("""COMPUTED_VALUE"""),"Trade Attribute 4")</f>
        <v>Trade Attribute 4</v>
      </c>
      <c r="P5" s="30" t="str">
        <f>IFERROR(__xludf.DUMMYFUNCTION("""COMPUTED_VALUE"""),"Trade Attribute 3")</f>
        <v>Trade Attribute 3</v>
      </c>
      <c r="Q5" s="30" t="str">
        <f>IFERROR(__xludf.DUMMYFUNCTION("""COMPUTED_VALUE"""),"Trade Attribute 1")</f>
        <v>Trade Attribute 1</v>
      </c>
      <c r="R5" s="30" t="str">
        <f>IFERROR(__xludf.DUMMYFUNCTION("""COMPUTED_VALUE"""),"Trade Attribute 2")</f>
        <v>Trade Attribute 2</v>
      </c>
      <c r="S5" s="30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55</v>
      </c>
      <c r="AJ6" s="9" t="s">
        <v>59</v>
      </c>
      <c r="AK6" s="9">
        <v>150.0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IFERROR(__xludf.DUMMYFUNCTION("""COMPUTED_VALUE"""),"Transaction Time")</f>
        <v>Transaction Time</v>
      </c>
      <c r="C5" s="30" t="str">
        <f>IFERROR(__xludf.DUMMYFUNCTION("""COMPUTED_VALUE"""),"Algo")</f>
        <v>Algo</v>
      </c>
      <c r="D5" s="30" t="str">
        <f>IFERROR(__xludf.DUMMYFUNCTION("""COMPUTED_VALUE"""),"Avg Fill Price (Base)")</f>
        <v>Avg Fill Price (Base)</v>
      </c>
      <c r="E5" s="30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0" t="str">
        <f>IFERROR(__xludf.DUMMYFUNCTION("""COMPUTED_VALUE"""),"Working Qty")</f>
        <v>Working Qty</v>
      </c>
      <c r="H5" s="30" t="str">
        <f>IFERROR(__xludf.DUMMYFUNCTION("""COMPUTED_VALUE"""),"Venue")</f>
        <v>Venue</v>
      </c>
      <c r="I5" s="30" t="str">
        <f>IFERROR(__xludf.DUMMYFUNCTION("""COMPUTED_VALUE"""),"User")</f>
        <v>User</v>
      </c>
      <c r="J5" s="30" t="str">
        <f>IFERROR(__xludf.DUMMYFUNCTION("""COMPUTED_VALUE"""),"Underlying Symbol")</f>
        <v>Underlying Symbol</v>
      </c>
      <c r="K5" s="30" t="str">
        <f>IFERROR(__xludf.DUMMYFUNCTION("""COMPUTED_VALUE"""),"Underlying Country")</f>
        <v>Underlying Country</v>
      </c>
      <c r="L5" s="30" t="str">
        <f>IFERROR(__xludf.DUMMYFUNCTION("""COMPUTED_VALUE"""),"Trader")</f>
        <v>Trader</v>
      </c>
      <c r="M5" s="30" t="str">
        <f>IFERROR(__xludf.DUMMYFUNCTION("""COMPUTED_VALUE"""),"Trade Attribute 6")</f>
        <v>Trade Attribute 6</v>
      </c>
      <c r="N5" s="30" t="str">
        <f>IFERROR(__xludf.DUMMYFUNCTION("""COMPUTED_VALUE"""),"Trade Attribute 5")</f>
        <v>Trade Attribute 5</v>
      </c>
      <c r="O5" s="30" t="str">
        <f>IFERROR(__xludf.DUMMYFUNCTION("""COMPUTED_VALUE"""),"Trade Attribute 4")</f>
        <v>Trade Attribute 4</v>
      </c>
      <c r="P5" s="30" t="str">
        <f>IFERROR(__xludf.DUMMYFUNCTION("""COMPUTED_VALUE"""),"Trade Attribute 3")</f>
        <v>Trade Attribute 3</v>
      </c>
      <c r="Q5" s="30" t="str">
        <f>IFERROR(__xludf.DUMMYFUNCTION("""COMPUTED_VALUE"""),"Trade Attribute 1")</f>
        <v>Trade Attribute 1</v>
      </c>
      <c r="R5" s="30" t="str">
        <f>IFERROR(__xludf.DUMMYFUNCTION("""COMPUTED_VALUE"""),"Trade Attribute 2")</f>
        <v>Trade Attribute 2</v>
      </c>
      <c r="S5" s="30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53</v>
      </c>
      <c r="AJ6" s="9" t="s">
        <v>59</v>
      </c>
      <c r="AL6" s="9">
        <v>101.0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IFERROR(__xludf.DUMMYFUNCTION("""COMPUTED_VALUE"""),"Transaction Time")</f>
        <v>Transaction Time</v>
      </c>
      <c r="C5" s="30" t="str">
        <f>IFERROR(__xludf.DUMMYFUNCTION("""COMPUTED_VALUE"""),"Algo")</f>
        <v>Algo</v>
      </c>
      <c r="D5" s="30" t="str">
        <f>IFERROR(__xludf.DUMMYFUNCTION("""COMPUTED_VALUE"""),"Avg Fill Price (Base)")</f>
        <v>Avg Fill Price (Base)</v>
      </c>
      <c r="E5" s="30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0" t="str">
        <f>IFERROR(__xludf.DUMMYFUNCTION("""COMPUTED_VALUE"""),"Working Qty")</f>
        <v>Working Qty</v>
      </c>
      <c r="H5" s="30" t="str">
        <f>IFERROR(__xludf.DUMMYFUNCTION("""COMPUTED_VALUE"""),"Venue")</f>
        <v>Venue</v>
      </c>
      <c r="I5" s="30" t="str">
        <f>IFERROR(__xludf.DUMMYFUNCTION("""COMPUTED_VALUE"""),"User")</f>
        <v>User</v>
      </c>
      <c r="J5" s="30" t="str">
        <f>IFERROR(__xludf.DUMMYFUNCTION("""COMPUTED_VALUE"""),"Underlying Symbol")</f>
        <v>Underlying Symbol</v>
      </c>
      <c r="K5" s="30" t="str">
        <f>IFERROR(__xludf.DUMMYFUNCTION("""COMPUTED_VALUE"""),"Underlying Country")</f>
        <v>Underlying Country</v>
      </c>
      <c r="L5" s="30" t="str">
        <f>IFERROR(__xludf.DUMMYFUNCTION("""COMPUTED_VALUE"""),"Trader")</f>
        <v>Trader</v>
      </c>
      <c r="M5" s="30" t="str">
        <f>IFERROR(__xludf.DUMMYFUNCTION("""COMPUTED_VALUE"""),"Trade Attribute 6")</f>
        <v>Trade Attribute 6</v>
      </c>
      <c r="N5" s="30" t="str">
        <f>IFERROR(__xludf.DUMMYFUNCTION("""COMPUTED_VALUE"""),"Trade Attribute 5")</f>
        <v>Trade Attribute 5</v>
      </c>
      <c r="O5" s="30" t="str">
        <f>IFERROR(__xludf.DUMMYFUNCTION("""COMPUTED_VALUE"""),"Trade Attribute 4")</f>
        <v>Trade Attribute 4</v>
      </c>
      <c r="P5" s="30" t="str">
        <f>IFERROR(__xludf.DUMMYFUNCTION("""COMPUTED_VALUE"""),"Trade Attribute 3")</f>
        <v>Trade Attribute 3</v>
      </c>
      <c r="Q5" s="30" t="str">
        <f>IFERROR(__xludf.DUMMYFUNCTION("""COMPUTED_VALUE"""),"Trade Attribute 1")</f>
        <v>Trade Attribute 1</v>
      </c>
      <c r="R5" s="30" t="str">
        <f>IFERROR(__xludf.DUMMYFUNCTION("""COMPUTED_VALUE"""),"Trade Attribute 2")</f>
        <v>Trade Attribute 2</v>
      </c>
      <c r="S5" s="30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55</v>
      </c>
      <c r="AJ6" s="9" t="s">
        <v>59</v>
      </c>
      <c r="AL6" s="9">
        <v>151.0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IFERROR(__xludf.DUMMYFUNCTION("""COMPUTED_VALUE"""),"Transaction Time")</f>
        <v>Transaction Time</v>
      </c>
      <c r="C5" s="30" t="str">
        <f>IFERROR(__xludf.DUMMYFUNCTION("""COMPUTED_VALUE"""),"Algo")</f>
        <v>Algo</v>
      </c>
      <c r="D5" s="30" t="str">
        <f>IFERROR(__xludf.DUMMYFUNCTION("""COMPUTED_VALUE"""),"Avg Fill Price (Base)")</f>
        <v>Avg Fill Price (Base)</v>
      </c>
      <c r="E5" s="30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0" t="str">
        <f>IFERROR(__xludf.DUMMYFUNCTION("""COMPUTED_VALUE"""),"Working Qty")</f>
        <v>Working Qty</v>
      </c>
      <c r="H5" s="30" t="str">
        <f>IFERROR(__xludf.DUMMYFUNCTION("""COMPUTED_VALUE"""),"Venue")</f>
        <v>Venue</v>
      </c>
      <c r="I5" s="30" t="str">
        <f>IFERROR(__xludf.DUMMYFUNCTION("""COMPUTED_VALUE"""),"User")</f>
        <v>User</v>
      </c>
      <c r="J5" s="30" t="str">
        <f>IFERROR(__xludf.DUMMYFUNCTION("""COMPUTED_VALUE"""),"Underlying Symbol")</f>
        <v>Underlying Symbol</v>
      </c>
      <c r="K5" s="30" t="str">
        <f>IFERROR(__xludf.DUMMYFUNCTION("""COMPUTED_VALUE"""),"Underlying Country")</f>
        <v>Underlying Country</v>
      </c>
      <c r="L5" s="30" t="str">
        <f>IFERROR(__xludf.DUMMYFUNCTION("""COMPUTED_VALUE"""),"Trader")</f>
        <v>Trader</v>
      </c>
      <c r="M5" s="30" t="str">
        <f>IFERROR(__xludf.DUMMYFUNCTION("""COMPUTED_VALUE"""),"Trade Attribute 6")</f>
        <v>Trade Attribute 6</v>
      </c>
      <c r="N5" s="30" t="str">
        <f>IFERROR(__xludf.DUMMYFUNCTION("""COMPUTED_VALUE"""),"Trade Attribute 5")</f>
        <v>Trade Attribute 5</v>
      </c>
      <c r="O5" s="30" t="str">
        <f>IFERROR(__xludf.DUMMYFUNCTION("""COMPUTED_VALUE"""),"Trade Attribute 4")</f>
        <v>Trade Attribute 4</v>
      </c>
      <c r="P5" s="30" t="str">
        <f>IFERROR(__xludf.DUMMYFUNCTION("""COMPUTED_VALUE"""),"Trade Attribute 3")</f>
        <v>Trade Attribute 3</v>
      </c>
      <c r="Q5" s="30" t="str">
        <f>IFERROR(__xludf.DUMMYFUNCTION("""COMPUTED_VALUE"""),"Trade Attribute 1")</f>
        <v>Trade Attribute 1</v>
      </c>
      <c r="R5" s="30" t="str">
        <f>IFERROR(__xludf.DUMMYFUNCTION("""COMPUTED_VALUE"""),"Trade Attribute 2")</f>
        <v>Trade Attribute 2</v>
      </c>
      <c r="S5" s="30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53</v>
      </c>
      <c r="AJ6" s="9" t="s">
        <v>59</v>
      </c>
      <c r="AL6" s="9">
        <v>102.0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IFERROR(__xludf.DUMMYFUNCTION("""COMPUTED_VALUE"""),"Transaction Time")</f>
        <v>Transaction Time</v>
      </c>
      <c r="C5" s="30" t="str">
        <f>IFERROR(__xludf.DUMMYFUNCTION("""COMPUTED_VALUE"""),"Algo")</f>
        <v>Algo</v>
      </c>
      <c r="D5" s="30" t="str">
        <f>IFERROR(__xludf.DUMMYFUNCTION("""COMPUTED_VALUE"""),"Avg Fill Price (Base)")</f>
        <v>Avg Fill Price (Base)</v>
      </c>
      <c r="E5" s="30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0" t="str">
        <f>IFERROR(__xludf.DUMMYFUNCTION("""COMPUTED_VALUE"""),"Working Qty")</f>
        <v>Working Qty</v>
      </c>
      <c r="H5" s="30" t="str">
        <f>IFERROR(__xludf.DUMMYFUNCTION("""COMPUTED_VALUE"""),"Venue")</f>
        <v>Venue</v>
      </c>
      <c r="I5" s="30" t="str">
        <f>IFERROR(__xludf.DUMMYFUNCTION("""COMPUTED_VALUE"""),"User")</f>
        <v>User</v>
      </c>
      <c r="J5" s="30" t="str">
        <f>IFERROR(__xludf.DUMMYFUNCTION("""COMPUTED_VALUE"""),"Underlying Symbol")</f>
        <v>Underlying Symbol</v>
      </c>
      <c r="K5" s="30" t="str">
        <f>IFERROR(__xludf.DUMMYFUNCTION("""COMPUTED_VALUE"""),"Underlying Country")</f>
        <v>Underlying Country</v>
      </c>
      <c r="L5" s="30" t="str">
        <f>IFERROR(__xludf.DUMMYFUNCTION("""COMPUTED_VALUE"""),"Trader")</f>
        <v>Trader</v>
      </c>
      <c r="M5" s="30" t="str">
        <f>IFERROR(__xludf.DUMMYFUNCTION("""COMPUTED_VALUE"""),"Trade Attribute 6")</f>
        <v>Trade Attribute 6</v>
      </c>
      <c r="N5" s="30" t="str">
        <f>IFERROR(__xludf.DUMMYFUNCTION("""COMPUTED_VALUE"""),"Trade Attribute 5")</f>
        <v>Trade Attribute 5</v>
      </c>
      <c r="O5" s="30" t="str">
        <f>IFERROR(__xludf.DUMMYFUNCTION("""COMPUTED_VALUE"""),"Trade Attribute 4")</f>
        <v>Trade Attribute 4</v>
      </c>
      <c r="P5" s="30" t="str">
        <f>IFERROR(__xludf.DUMMYFUNCTION("""COMPUTED_VALUE"""),"Trade Attribute 3")</f>
        <v>Trade Attribute 3</v>
      </c>
      <c r="Q5" s="30" t="str">
        <f>IFERROR(__xludf.DUMMYFUNCTION("""COMPUTED_VALUE"""),"Trade Attribute 1")</f>
        <v>Trade Attribute 1</v>
      </c>
      <c r="R5" s="30" t="str">
        <f>IFERROR(__xludf.DUMMYFUNCTION("""COMPUTED_VALUE"""),"Trade Attribute 2")</f>
        <v>Trade Attribute 2</v>
      </c>
      <c r="S5" s="30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55</v>
      </c>
      <c r="AJ6" s="9" t="s">
        <v>59</v>
      </c>
      <c r="AL6" s="9">
        <v>152.0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IFERROR(__xludf.DUMMYFUNCTION("""COMPUTED_VALUE"""),"Transaction Time")</f>
        <v>Transaction Time</v>
      </c>
      <c r="C5" s="30" t="str">
        <f>IFERROR(__xludf.DUMMYFUNCTION("""COMPUTED_VALUE"""),"Algo")</f>
        <v>Algo</v>
      </c>
      <c r="D5" s="30" t="str">
        <f>IFERROR(__xludf.DUMMYFUNCTION("""COMPUTED_VALUE"""),"Avg Fill Price (Base)")</f>
        <v>Avg Fill Price (Base)</v>
      </c>
      <c r="E5" s="30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0" t="str">
        <f>IFERROR(__xludf.DUMMYFUNCTION("""COMPUTED_VALUE"""),"Working Qty")</f>
        <v>Working Qty</v>
      </c>
      <c r="H5" s="30" t="str">
        <f>IFERROR(__xludf.DUMMYFUNCTION("""COMPUTED_VALUE"""),"Venue")</f>
        <v>Venue</v>
      </c>
      <c r="I5" s="30" t="str">
        <f>IFERROR(__xludf.DUMMYFUNCTION("""COMPUTED_VALUE"""),"User")</f>
        <v>User</v>
      </c>
      <c r="J5" s="30" t="str">
        <f>IFERROR(__xludf.DUMMYFUNCTION("""COMPUTED_VALUE"""),"Underlying Symbol")</f>
        <v>Underlying Symbol</v>
      </c>
      <c r="K5" s="30" t="str">
        <f>IFERROR(__xludf.DUMMYFUNCTION("""COMPUTED_VALUE"""),"Underlying Country")</f>
        <v>Underlying Country</v>
      </c>
      <c r="L5" s="30" t="str">
        <f>IFERROR(__xludf.DUMMYFUNCTION("""COMPUTED_VALUE"""),"Trader")</f>
        <v>Trader</v>
      </c>
      <c r="M5" s="30" t="str">
        <f>IFERROR(__xludf.DUMMYFUNCTION("""COMPUTED_VALUE"""),"Trade Attribute 1")</f>
        <v>Trade Attribute 1</v>
      </c>
      <c r="N5" s="30" t="str">
        <f>IFERROR(__xludf.DUMMYFUNCTION("""COMPUTED_VALUE"""),"Trade Attribute 2")</f>
        <v>Trade Attribute 2</v>
      </c>
      <c r="O5" s="30" t="str">
        <f>IFERROR(__xludf.DUMMYFUNCTION("""COMPUTED_VALUE"""),"Trade Attribute 3")</f>
        <v>Trade Attribute 3</v>
      </c>
      <c r="P5" s="30" t="str">
        <f>IFERROR(__xludf.DUMMYFUNCTION("""COMPUTED_VALUE"""),"Trade Attribute 4")</f>
        <v>Trade Attribute 4</v>
      </c>
      <c r="Q5" s="30" t="str">
        <f>IFERROR(__xludf.DUMMYFUNCTION("""COMPUTED_VALUE"""),"Trade Attribute 5")</f>
        <v>Trade Attribute 5</v>
      </c>
      <c r="R5" s="30" t="str">
        <f>IFERROR(__xludf.DUMMYFUNCTION("""COMPUTED_VALUE"""),"Trade Attribute 6")</f>
        <v>Trade Attribute 6</v>
      </c>
      <c r="S5" s="30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53</v>
      </c>
      <c r="AK6" s="9" t="s">
        <v>59</v>
      </c>
      <c r="AM6" s="9">
        <v>103.0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IFERROR(__xludf.DUMMYFUNCTION("""COMPUTED_VALUE"""),"Transaction Time")</f>
        <v>Transaction Time</v>
      </c>
      <c r="C5" s="30" t="str">
        <f>IFERROR(__xludf.DUMMYFUNCTION("""COMPUTED_VALUE"""),"Algo")</f>
        <v>Algo</v>
      </c>
      <c r="D5" s="30" t="str">
        <f>IFERROR(__xludf.DUMMYFUNCTION("""COMPUTED_VALUE"""),"Avg Fill Price (Base)")</f>
        <v>Avg Fill Price (Base)</v>
      </c>
      <c r="E5" s="30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0" t="str">
        <f>IFERROR(__xludf.DUMMYFUNCTION("""COMPUTED_VALUE"""),"Working Qty")</f>
        <v>Working Qty</v>
      </c>
      <c r="H5" s="30" t="str">
        <f>IFERROR(__xludf.DUMMYFUNCTION("""COMPUTED_VALUE"""),"Venue")</f>
        <v>Venue</v>
      </c>
      <c r="I5" s="30" t="str">
        <f>IFERROR(__xludf.DUMMYFUNCTION("""COMPUTED_VALUE"""),"User")</f>
        <v>User</v>
      </c>
      <c r="J5" s="30" t="str">
        <f>IFERROR(__xludf.DUMMYFUNCTION("""COMPUTED_VALUE"""),"Underlying Symbol")</f>
        <v>Underlying Symbol</v>
      </c>
      <c r="K5" s="30" t="str">
        <f>IFERROR(__xludf.DUMMYFUNCTION("""COMPUTED_VALUE"""),"Underlying Country")</f>
        <v>Underlying Country</v>
      </c>
      <c r="L5" s="30" t="str">
        <f>IFERROR(__xludf.DUMMYFUNCTION("""COMPUTED_VALUE"""),"Trader")</f>
        <v>Trader</v>
      </c>
      <c r="M5" s="30" t="str">
        <f>IFERROR(__xludf.DUMMYFUNCTION("""COMPUTED_VALUE"""),"Trade Attribute 1")</f>
        <v>Trade Attribute 1</v>
      </c>
      <c r="N5" s="30" t="str">
        <f>IFERROR(__xludf.DUMMYFUNCTION("""COMPUTED_VALUE"""),"Trade Attribute 2")</f>
        <v>Trade Attribute 2</v>
      </c>
      <c r="O5" s="30" t="str">
        <f>IFERROR(__xludf.DUMMYFUNCTION("""COMPUTED_VALUE"""),"Trade Attribute 3")</f>
        <v>Trade Attribute 3</v>
      </c>
      <c r="P5" s="30" t="str">
        <f>IFERROR(__xludf.DUMMYFUNCTION("""COMPUTED_VALUE"""),"Trade Attribute 4")</f>
        <v>Trade Attribute 4</v>
      </c>
      <c r="Q5" s="30" t="str">
        <f>IFERROR(__xludf.DUMMYFUNCTION("""COMPUTED_VALUE"""),"Trade Attribute 5")</f>
        <v>Trade Attribute 5</v>
      </c>
      <c r="R5" s="30" t="str">
        <f>IFERROR(__xludf.DUMMYFUNCTION("""COMPUTED_VALUE"""),"Trade Attribute 6")</f>
        <v>Trade Attribute 6</v>
      </c>
      <c r="S5" s="30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55</v>
      </c>
      <c r="AK6" s="9" t="s">
        <v>59</v>
      </c>
      <c r="AM6" s="9">
        <v>153.0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IFERROR(__xludf.DUMMYFUNCTION("""COMPUTED_VALUE"""),"WindowName")</f>
        <v>WindowName</v>
      </c>
      <c r="C5" s="30" t="str">
        <f>IFERROR(__xludf.DUMMYFUNCTION("""COMPUTED_VALUE"""),"WindowPresentOrNot")</f>
        <v>WindowPresentOrNot</v>
      </c>
      <c r="D5" s="30"/>
      <c r="E5" s="30"/>
      <c r="F5" s="27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65</v>
      </c>
      <c r="C6" s="12" t="b">
        <v>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66</v>
      </c>
      <c r="C7" s="1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IFERROR(__xludf.DUMMYFUNCTION("""COMPUTED_VALUE"""),"Avg Fill Price (Base)")</f>
        <v>Avg Fill Price (Base)</v>
      </c>
      <c r="C5" s="30" t="str">
        <f>IFERROR(__xludf.DUMMYFUNCTION("""COMPUTED_VALUE"""),"Transaction Time")</f>
        <v>Transaction Time</v>
      </c>
      <c r="D5" s="30" t="str">
        <f>IFERROR(__xludf.DUMMYFUNCTION("""COMPUTED_VALUE"""),"Symbol")</f>
        <v>Symbol</v>
      </c>
      <c r="E5" s="30" t="str">
        <f>IFERROR(__xludf.DUMMYFUNCTION("""COMPUTED_VALUE"""),"Algo")</f>
        <v>Algo</v>
      </c>
      <c r="F5" s="27" t="str">
        <f>IFERROR(__xludf.DUMMYFUNCTION("""COMPUTED_VALUE"""),"Side")</f>
        <v>Side</v>
      </c>
      <c r="G5" s="30" t="str">
        <f>IFERROR(__xludf.DUMMYFUNCTION("""COMPUTED_VALUE"""),"Status")</f>
        <v>Status</v>
      </c>
      <c r="H5" s="30" t="str">
        <f>IFERROR(__xludf.DUMMYFUNCTION("""COMPUTED_VALUE"""),"Target Qty")</f>
        <v>Target Qty</v>
      </c>
      <c r="I5" s="30" t="str">
        <f>IFERROR(__xludf.DUMMYFUNCTION("""COMPUTED_VALUE"""),"Total Executed Qty")</f>
        <v>Total Executed Qty</v>
      </c>
      <c r="J5" s="30" t="str">
        <f>IFERROR(__xludf.DUMMYFUNCTION("""COMPUTED_VALUE"""),"% Executed")</f>
        <v>% Executed</v>
      </c>
      <c r="K5" s="30" t="str">
        <f>IFERROR(__xludf.DUMMYFUNCTION("""COMPUTED_VALUE"""),"Day Executed Qty")</f>
        <v>Day Executed Qty</v>
      </c>
      <c r="L5" s="30" t="str">
        <f>IFERROR(__xludf.DUMMYFUNCTION("""COMPUTED_VALUE"""),"Uncommitted Qty")</f>
        <v>Uncommitted Qty</v>
      </c>
      <c r="M5" s="30" t="str">
        <f>IFERROR(__xludf.DUMMYFUNCTION("""COMPUTED_VALUE"""),"Limit Price")</f>
        <v>Limit Price</v>
      </c>
      <c r="N5" s="30" t="str">
        <f>IFERROR(__xludf.DUMMYFUNCTION("""COMPUTED_VALUE"""),"Last Fill Price (Local)")</f>
        <v>Last Fill Price (Local)</v>
      </c>
      <c r="O5" s="30" t="str">
        <f>IFERROR(__xludf.DUMMYFUNCTION("""COMPUTED_VALUE"""),"Stop Price")</f>
        <v>Stop Price</v>
      </c>
      <c r="P5" s="30" t="str">
        <f>IFERROR(__xludf.DUMMYFUNCTION("""COMPUTED_VALUE"""),"Avg Fill Price (Local)")</f>
        <v>Avg Fill Price (Local)</v>
      </c>
      <c r="Q5" s="30" t="str">
        <f>IFERROR(__xludf.DUMMYFUNCTION("""COMPUTED_VALUE"""),"Broker")</f>
        <v>Broker</v>
      </c>
      <c r="R5" s="30" t="str">
        <f>IFERROR(__xludf.DUMMYFUNCTION("""COMPUTED_VALUE"""),"Account")</f>
        <v>Account</v>
      </c>
      <c r="S5" s="30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53</v>
      </c>
      <c r="E6" s="31"/>
      <c r="F6" s="12" t="s">
        <v>59</v>
      </c>
      <c r="G6" s="8"/>
      <c r="H6" s="12">
        <v>103.0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IFERROR(__xludf.DUMMYFUNCTION("""COMPUTED_VALUE"""),"Avg Fill Price (Base)")</f>
        <v>Avg Fill Price (Base)</v>
      </c>
      <c r="C5" s="30" t="str">
        <f>IFERROR(__xludf.DUMMYFUNCTION("""COMPUTED_VALUE"""),"Transaction Time")</f>
        <v>Transaction Time</v>
      </c>
      <c r="D5" s="30" t="str">
        <f>IFERROR(__xludf.DUMMYFUNCTION("""COMPUTED_VALUE"""),"Symbol")</f>
        <v>Symbol</v>
      </c>
      <c r="E5" s="30" t="str">
        <f>IFERROR(__xludf.DUMMYFUNCTION("""COMPUTED_VALUE"""),"Algo")</f>
        <v>Algo</v>
      </c>
      <c r="F5" s="27" t="str">
        <f>IFERROR(__xludf.DUMMYFUNCTION("""COMPUTED_VALUE"""),"Side")</f>
        <v>Side</v>
      </c>
      <c r="G5" s="30" t="str">
        <f>IFERROR(__xludf.DUMMYFUNCTION("""COMPUTED_VALUE"""),"Status")</f>
        <v>Status</v>
      </c>
      <c r="H5" s="30" t="str">
        <f>IFERROR(__xludf.DUMMYFUNCTION("""COMPUTED_VALUE"""),"Target Qty")</f>
        <v>Target Qty</v>
      </c>
      <c r="I5" s="30" t="str">
        <f>IFERROR(__xludf.DUMMYFUNCTION("""COMPUTED_VALUE"""),"Total Executed Qty")</f>
        <v>Total Executed Qty</v>
      </c>
      <c r="J5" s="30" t="str">
        <f>IFERROR(__xludf.DUMMYFUNCTION("""COMPUTED_VALUE"""),"% Executed")</f>
        <v>% Executed</v>
      </c>
      <c r="K5" s="30" t="str">
        <f>IFERROR(__xludf.DUMMYFUNCTION("""COMPUTED_VALUE"""),"Day Executed Qty")</f>
        <v>Day Executed Qty</v>
      </c>
      <c r="L5" s="30" t="str">
        <f>IFERROR(__xludf.DUMMYFUNCTION("""COMPUTED_VALUE"""),"Uncommitted Qty")</f>
        <v>Uncommitted Qty</v>
      </c>
      <c r="M5" s="30" t="str">
        <f>IFERROR(__xludf.DUMMYFUNCTION("""COMPUTED_VALUE"""),"Limit Price")</f>
        <v>Limit Price</v>
      </c>
      <c r="N5" s="30" t="str">
        <f>IFERROR(__xludf.DUMMYFUNCTION("""COMPUTED_VALUE"""),"Last Fill Price (Local)")</f>
        <v>Last Fill Price (Local)</v>
      </c>
      <c r="O5" s="30" t="str">
        <f>IFERROR(__xludf.DUMMYFUNCTION("""COMPUTED_VALUE"""),"Stop Price")</f>
        <v>Stop Price</v>
      </c>
      <c r="P5" s="30" t="str">
        <f>IFERROR(__xludf.DUMMYFUNCTION("""COMPUTED_VALUE"""),"Avg Fill Price (Local)")</f>
        <v>Avg Fill Price (Local)</v>
      </c>
      <c r="Q5" s="30" t="str">
        <f>IFERROR(__xludf.DUMMYFUNCTION("""COMPUTED_VALUE"""),"Broker")</f>
        <v>Broker</v>
      </c>
      <c r="R5" s="30" t="str">
        <f>IFERROR(__xludf.DUMMYFUNCTION("""COMPUTED_VALUE"""),"Account")</f>
        <v>Account</v>
      </c>
      <c r="S5" s="30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53</v>
      </c>
      <c r="E6" s="31"/>
      <c r="F6" s="12" t="s">
        <v>59</v>
      </c>
      <c r="G6" s="8"/>
      <c r="H6" s="12">
        <v>103.0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2" t="s">
        <v>55</v>
      </c>
      <c r="E7" s="31"/>
      <c r="F7" s="12" t="s">
        <v>59</v>
      </c>
      <c r="G7" s="8"/>
      <c r="H7" s="12">
        <v>153.0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