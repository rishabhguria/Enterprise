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CreateDoneAwayOrder1" sheetId="9" r:id="rId11"/>
    <sheet state="visible" name="CreateDoneAwayOrder2" sheetId="10" r:id="rId12"/>
    <sheet state="visible" name="SelectTradeOnOrderGrid" sheetId="11" r:id="rId13"/>
    <sheet state="visible" name="ReplaceSubOrder" sheetId="12" r:id="rId14"/>
    <sheet state="visible" name="CreateReplaceOrder" sheetId="13" r:id="rId15"/>
  </sheets>
  <definedNames/>
  <calcPr/>
</workbook>
</file>

<file path=xl/sharedStrings.xml><?xml version="1.0" encoding="utf-8"?>
<sst xmlns="http://schemas.openxmlformats.org/spreadsheetml/2006/main" count="114" uniqueCount="40">
  <si>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</si>
  <si>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</si>
  <si>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</si>
  <si>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</si>
  <si>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</si>
  <si>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</si>
  <si>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</si>
  <si>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</si>
  <si>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</si>
  <si>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</si>
  <si>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</si>
  <si>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</si>
  <si>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</si>
  <si>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</si>
  <si>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</si>
  <si>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</si>
  <si>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</si>
  <si>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</si>
  <si>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</si>
  <si>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</si>
  <si>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Allocation2,Allocation3</t>
  </si>
  <si>
    <t>60,40</t>
  </si>
  <si>
    <t>Allocation</t>
  </si>
  <si>
    <t>AddCalculatedPreferences</t>
  </si>
  <si>
    <t>prf2</t>
  </si>
  <si>
    <t>SetAccountValueCalculatedPref</t>
  </si>
  <si>
    <t>Allocation2</t>
  </si>
  <si>
    <t>Allocation3</t>
  </si>
  <si>
    <t>SetDefaultRuleCalculatedPref</t>
  </si>
  <si>
    <t>Account Inception</t>
  </si>
  <si>
    <t>Sell</t>
  </si>
  <si>
    <t>Blotter</t>
  </si>
  <si>
    <t>SelectTradeOnOrderGrid</t>
  </si>
  <si>
    <t>Filled</t>
  </si>
  <si>
    <t>Multiple</t>
  </si>
  <si>
    <t>Market</t>
  </si>
  <si>
    <t>AAPL US EQUITY</t>
  </si>
  <si>
    <t>ReplaceSubOrder</t>
  </si>
  <si>
    <t>Equity</t>
  </si>
  <si>
    <t>CreateReplaceOrder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</si>
</sst>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9.0"/>
      <color rgb="FF00BFFF"/>
      <name val="&quot;Segoe UI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4" fontId="13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horizontal="right" vertical="top"/>
    </xf>
    <xf borderId="6" fillId="6" fontId="14" numFmtId="0" xfId="0" applyAlignment="1" applyBorder="1" applyFont="1">
      <alignment horizontal="right" vertical="top"/>
    </xf>
    <xf borderId="0" fillId="0" fontId="15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 t="str">
        <f>IFERROR(__xludf.DUMMYFUNCTION("""COMPUTED_VALUE"""),"UpdateFee")</f>
        <v>UpdateFee</v>
      </c>
      <c r="U4" s="25" t="str">
        <f>IFERROR(__xludf.DUMMYFUNCTION("""COMPUTED_VALUE"""),"RevertingSMSharesOutValue")</f>
        <v>RevertingSMSharesOutValue</v>
      </c>
      <c r="V4" s="25" t="str">
        <f>IFERROR(__xludf.DUMMYFUNCTION("""COMPUTED_VALUE"""),"SetTTUIAdminPreferences")</f>
        <v>SetTTUIAdminPreferences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IFERROR(__xludf.DUMMYFUNCTION("""COMPUTED_VALUE"""),"UpdateRoundLot")</f>
        <v>UpdateRoundLot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3" t="s">
        <v>19</v>
      </c>
      <c r="D6" s="34">
        <v>1000.0</v>
      </c>
      <c r="E6" s="33"/>
      <c r="F6" s="33"/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6" t="s">
        <v>20</v>
      </c>
      <c r="AL6" s="33" t="s">
        <v>21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24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24</v>
      </c>
      <c r="C6" s="36" t="s">
        <v>26</v>
      </c>
      <c r="D6" s="34">
        <v>80.0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 t="s">
        <v>24</v>
      </c>
      <c r="C7" s="38" t="s">
        <v>27</v>
      </c>
      <c r="D7" s="35">
        <v>20.0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 t="s">
        <v>29</v>
      </c>
      <c r="E6" s="33"/>
      <c r="F6" s="33"/>
      <c r="G6" s="32" t="b">
        <v>0</v>
      </c>
      <c r="H6" s="36" t="s">
        <v>24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3" t="s">
        <v>19</v>
      </c>
      <c r="D6" s="39">
        <v>400.0</v>
      </c>
      <c r="E6" s="33"/>
      <c r="F6" s="36" t="s">
        <v>26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3" t="s">
        <v>30</v>
      </c>
      <c r="D6" s="34">
        <v>1200.0</v>
      </c>
      <c r="E6" s="33"/>
      <c r="F6" s="36" t="s">
        <v>24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40"/>
      <c r="D6" s="41" t="s">
        <v>18</v>
      </c>
      <c r="E6" s="40"/>
      <c r="F6" s="42" t="s">
        <v>30</v>
      </c>
      <c r="G6" s="42" t="s">
        <v>33</v>
      </c>
      <c r="H6" s="42">
        <v>1200.0</v>
      </c>
      <c r="I6" s="42">
        <v>1200.0</v>
      </c>
      <c r="J6" s="33"/>
      <c r="K6" s="33"/>
      <c r="L6" s="33"/>
      <c r="M6" s="40"/>
      <c r="N6" s="42">
        <v>10.0</v>
      </c>
      <c r="O6" s="40"/>
      <c r="P6" s="42">
        <v>10.0</v>
      </c>
      <c r="Q6" s="40"/>
      <c r="R6" s="42" t="s">
        <v>34</v>
      </c>
      <c r="S6" s="40"/>
      <c r="T6" s="42" t="s">
        <v>35</v>
      </c>
      <c r="U6" s="42">
        <v>-12000.0</v>
      </c>
      <c r="V6" s="42">
        <v>-12000.0</v>
      </c>
      <c r="W6" s="33"/>
      <c r="X6" s="33"/>
      <c r="Y6" s="33"/>
      <c r="Z6" s="33"/>
      <c r="AA6" s="33"/>
      <c r="AB6" s="43" t="s">
        <v>36</v>
      </c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43" t="s">
        <v>36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44">
        <v>1.0</v>
      </c>
      <c r="AF6" s="33"/>
      <c r="AG6" s="33"/>
      <c r="AH6" s="33"/>
      <c r="AI6" s="40" t="s">
        <v>38</v>
      </c>
      <c r="AJ6" s="42" t="s">
        <v>18</v>
      </c>
      <c r="AK6" s="42" t="s">
        <v>30</v>
      </c>
      <c r="AL6" s="42" t="s">
        <v>33</v>
      </c>
      <c r="AM6" s="42">
        <v>1200.0</v>
      </c>
      <c r="AN6" s="33"/>
      <c r="AO6" s="33"/>
      <c r="AP6" s="33"/>
      <c r="AQ6" s="33"/>
      <c r="AR6" s="33"/>
      <c r="AS6" s="33"/>
      <c r="AT6" s="40"/>
      <c r="AU6" s="42" t="s">
        <v>34</v>
      </c>
      <c r="AV6" s="42" t="s">
        <v>35</v>
      </c>
      <c r="AW6" s="42">
        <v>-12000.0</v>
      </c>
      <c r="AX6" s="42">
        <v>-12000.0</v>
      </c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3" t="s">
        <v>30</v>
      </c>
      <c r="D6" s="39">
        <v>1300.0</v>
      </c>
      <c r="E6" s="33"/>
      <c r="F6" s="36" t="s">
        <v>24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