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nsferToUserOrder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<sst xmlns="http://schemas.openxmlformats.org/spreadsheetml/2006/main" count="46" uniqueCount="25">
  <si>
    <t>Master Data Info</t>
  </si>
  <si>
    <t>Settings</t>
  </si>
  <si>
    <t>Modules Info</t>
  </si>
  <si>
    <t>Modules</t>
  </si>
  <si>
    <t>Module Step Setting File</t>
  </si>
  <si>
    <t>Module</t>
  </si>
  <si>
    <t>Step</t>
  </si>
  <si>
    <t>Master Data Sheet</t>
  </si>
  <si>
    <t>1ME5nnmNmgGcG-gtQosTv7DydLzJUA3iWN2GBgspatg8</t>
  </si>
  <si>
    <t>Master Data Settings File</t>
  </si>
  <si>
    <t>1Nt_rf5DtgjbN9Ag4AMMlUkZYROxKZLH5m54YOl7tRT0</t>
  </si>
  <si>
    <t>Data</t>
  </si>
  <si>
    <t>TradingTicket</t>
  </si>
  <si>
    <t>Blotter</t>
  </si>
  <si>
    <t>CreateStageOrder</t>
  </si>
  <si>
    <t>Data Format</t>
  </si>
  <si>
    <t>TransferToUserOrder</t>
  </si>
  <si>
    <t>Input Format</t>
  </si>
  <si>
    <t>ITC</t>
  </si>
  <si>
    <t>Buy</t>
  </si>
  <si>
    <t>Unallocated</t>
  </si>
  <si>
    <t>Market</t>
  </si>
  <si>
    <t>New</t>
  </si>
  <si>
    <t>abhi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</si>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</sst>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9"/>
      <c r="C3" s="13"/>
      <c r="D3" s="13"/>
      <c r="E3" s="13"/>
      <c r="F3" s="13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1</v>
      </c>
      <c r="B1" s="3"/>
      <c r="C1" s="5"/>
    </row>
    <row r="2" ht="15.75" customHeight="1">
      <c r="A2" s="7"/>
      <c r="B2" s="7"/>
      <c r="C2" s="7"/>
    </row>
    <row r="3" ht="15.75" customHeight="1">
      <c r="A3" s="8" t="s">
        <v>4</v>
      </c>
      <c r="B3" s="12" t="s">
        <v>8</v>
      </c>
      <c r="C3" s="7"/>
    </row>
    <row r="4" ht="15.75" customHeight="1">
      <c r="A4" s="10" t="s">
        <v>9</v>
      </c>
      <c r="B4" s="12" t="s">
        <v>10</v>
      </c>
      <c r="C4" s="7"/>
    </row>
    <row r="5" ht="15.75" customHeight="1">
      <c r="A5" s="14"/>
      <c r="B5" s="7"/>
      <c r="C5" s="7"/>
    </row>
    <row r="6" ht="15.75" customHeight="1">
      <c r="A6" s="14"/>
      <c r="B6" s="7"/>
      <c r="C6" s="7"/>
    </row>
    <row r="7" ht="15.75" customHeight="1">
      <c r="A7" s="14"/>
      <c r="B7" s="7"/>
      <c r="C7" s="7"/>
    </row>
    <row r="8" ht="15.75" customHeight="1">
      <c r="A8" s="14"/>
      <c r="B8" s="7"/>
      <c r="C8" s="7"/>
    </row>
    <row r="9" ht="15.75" customHeight="1">
      <c r="A9" s="14"/>
      <c r="B9" s="7"/>
      <c r="C9" s="7"/>
    </row>
    <row r="10" ht="15.75" customHeight="1">
      <c r="A10" s="14"/>
      <c r="B10" s="7"/>
      <c r="C10" s="7"/>
    </row>
    <row r="11" ht="15.75" customHeight="1">
      <c r="A11" s="14"/>
      <c r="B11" s="7"/>
      <c r="C11" s="7"/>
    </row>
    <row r="12" ht="15.75" customHeight="1">
      <c r="A12" s="14"/>
      <c r="B12" s="7"/>
      <c r="C12" s="7"/>
    </row>
    <row r="13" ht="15.75" customHeight="1">
      <c r="A13" s="14"/>
      <c r="B13" s="7"/>
      <c r="C13" s="7"/>
    </row>
    <row r="14" ht="15.75" customHeight="1">
      <c r="A14" s="14"/>
      <c r="B14" s="7"/>
      <c r="C14" s="7"/>
    </row>
    <row r="15" ht="15.75" customHeight="1">
      <c r="A15" s="14"/>
      <c r="B15" s="7"/>
      <c r="C15" s="7"/>
    </row>
    <row r="16" ht="15.75" customHeight="1">
      <c r="A16" s="14"/>
      <c r="B16" s="7"/>
      <c r="C16" s="7"/>
    </row>
    <row r="17" ht="15.75" customHeight="1">
      <c r="A17" s="14"/>
      <c r="B17" s="7"/>
      <c r="C17" s="7"/>
    </row>
    <row r="18" ht="15.75" customHeight="1">
      <c r="A18" s="14"/>
      <c r="B18" s="7"/>
      <c r="C18" s="7"/>
    </row>
    <row r="19" ht="15.75" customHeight="1">
      <c r="A19" s="14"/>
      <c r="B19" s="7"/>
      <c r="C19" s="7"/>
    </row>
    <row r="20" ht="15.75" customHeight="1">
      <c r="A20" s="14"/>
      <c r="B20" s="7"/>
      <c r="C20" s="7"/>
    </row>
    <row r="21" ht="15.75" customHeight="1">
      <c r="A21" s="14"/>
      <c r="B21" s="7"/>
      <c r="C21" s="7"/>
    </row>
    <row r="22" ht="15.75" customHeight="1">
      <c r="A22" s="14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10" t="s">
        <v>5</v>
      </c>
      <c r="B3" s="11" t="s">
        <v>6</v>
      </c>
      <c r="C3" s="11" t="s">
        <v>7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6</v>
      </c>
      <c r="E3" s="21" t="s">
        <v>14</v>
      </c>
      <c r="F3" s="8" t="s">
        <v>15</v>
      </c>
      <c r="G3" s="14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18</v>
      </c>
      <c r="C6" s="12" t="s">
        <v>19</v>
      </c>
      <c r="D6" s="12">
        <v>1000.0</v>
      </c>
      <c r="E6" s="12">
        <v>1000.0</v>
      </c>
      <c r="F6" s="12" t="s">
        <v>20</v>
      </c>
      <c r="G6" s="7"/>
      <c r="H6" s="7"/>
      <c r="I6" s="12" t="s">
        <v>21</v>
      </c>
      <c r="J6" s="12">
        <v>50.0</v>
      </c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13</v>
      </c>
      <c r="D3" s="8" t="s">
        <v>6</v>
      </c>
      <c r="E3" s="21" t="s">
        <v>16</v>
      </c>
      <c r="F3" s="8" t="s">
        <v>15</v>
      </c>
      <c r="G3" s="14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1")</f>
        <v>Trade Attribute 1</v>
      </c>
      <c r="N5" s="26" t="str">
        <f>IFERROR(__xludf.DUMMYFUNCTION("""COMPUTED_VALUE"""),"Trade Attribute 2")</f>
        <v>Trade Attribute 2</v>
      </c>
      <c r="O5" s="26" t="str">
        <f>IFERROR(__xludf.DUMMYFUNCTION("""COMPUTED_VALUE"""),"Trade Attribute 3")</f>
        <v>Trade Attribute 3</v>
      </c>
      <c r="P5" s="26" t="str">
        <f>IFERROR(__xludf.DUMMYFUNCTION("""COMPUTED_VALUE"""),"Trade Attribute 4")</f>
        <v>Trade Attribute 4</v>
      </c>
      <c r="Q5" s="26" t="str">
        <f>IFERROR(__xludf.DUMMYFUNCTION("""COMPUTED_VALUE"""),"Trade Attribute 5")</f>
        <v>Trade Attribute 5</v>
      </c>
      <c r="R5" s="26" t="str">
        <f>IFERROR(__xludf.DUMMYFUNCTION("""COMPUTED_VALUE"""),"Trade Attribute 6")</f>
        <v>Trade Attribute 6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IFERROR(__xludf.DUMMYFUNCTION("""COMPUTED_VALUE"""),"Quantity")</f>
        <v>Quantity</v>
      </c>
      <c r="AM5" s="28" t="str">
        <f>IFERROR(__xludf.DUMMYFUNCTION("""COMPUTED_VALUE"""),"Executed Qty")</f>
        <v>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IFERROR(__xludf.DUMMYFUNCTION("""COMPUTED_VALUE"""),"Remaining Qty")</f>
        <v>Remaining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IFERROR(__xludf.DUMMYFUNCTION("""COMPUTED_VALUE"""),"userName")</f>
        <v>userName</v>
      </c>
      <c r="AY5" s="28" t="str">
        <f>IFERROR(__xludf.DUMMYFUNCTION("""COMPUTED_VALUE"""),"Allocation Scheme Name")</f>
        <v>Allocation Scheme Name</v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/>
      <c r="C6" s="7"/>
      <c r="D6" s="12"/>
      <c r="E6" s="29"/>
      <c r="F6" s="7"/>
      <c r="G6" s="7"/>
      <c r="H6" s="7"/>
      <c r="I6" s="7"/>
      <c r="J6" s="7"/>
      <c r="K6" s="7"/>
      <c r="L6" s="7"/>
      <c r="M6" s="7"/>
      <c r="N6" s="7"/>
      <c r="O6" s="7"/>
      <c r="AI6" s="30" t="s">
        <v>18</v>
      </c>
      <c r="AJ6" s="30" t="s">
        <v>19</v>
      </c>
      <c r="AK6" s="30" t="s">
        <v>22</v>
      </c>
      <c r="AL6" s="30">
        <v>1000.0</v>
      </c>
      <c r="AP6" s="30">
        <v>1000.0</v>
      </c>
      <c r="AQ6" s="30">
        <v>0.0</v>
      </c>
      <c r="AR6" s="30">
        <v>0.0</v>
      </c>
      <c r="AU6" s="30" t="s">
        <v>21</v>
      </c>
      <c r="AX6" s="30" t="s">
        <v>23</v>
      </c>
      <c r="BA6" s="30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13</v>
      </c>
      <c r="D3" s="8" t="s">
        <v>6</v>
      </c>
      <c r="E3" s="21" t="s">
        <v>24</v>
      </c>
      <c r="F3" s="8" t="s">
        <v>15</v>
      </c>
      <c r="G3" s="14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IFERROR(__xludf.DUMMYFUNCTION("""COMPUTED_VALUE"""),"Target Qty")</f>
        <v>Target Qty</v>
      </c>
      <c r="AM5" s="28" t="str">
        <f>IFERROR(__xludf.DUMMYFUNCTION("""COMPUTED_VALUE"""),"Total Executed Qty")</f>
        <v>Total 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IFERROR(__xludf.DUMMYFUNCTION("""COMPUTED_VALUE"""),"Uncommitted Qty")</f>
        <v>Uncommitted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/>
      <c r="C6" s="7"/>
      <c r="D6" s="12"/>
      <c r="E6" s="29"/>
      <c r="F6" s="7"/>
      <c r="G6" s="7"/>
      <c r="H6" s="7"/>
      <c r="I6" s="12" t="s">
        <v>23</v>
      </c>
      <c r="J6" s="7"/>
      <c r="K6" s="7"/>
      <c r="L6" s="7"/>
      <c r="M6" s="7"/>
      <c r="N6" s="7"/>
      <c r="O6" s="7"/>
      <c r="AI6" s="30" t="s">
        <v>18</v>
      </c>
      <c r="AJ6" s="30" t="s">
        <v>19</v>
      </c>
      <c r="AK6" s="30" t="s">
        <v>22</v>
      </c>
      <c r="AL6" s="30">
        <v>1000.0</v>
      </c>
      <c r="AM6" s="30"/>
      <c r="AN6" s="30"/>
      <c r="AQ6" s="30"/>
      <c r="AR6" s="30"/>
      <c r="AU6" s="30" t="s">
        <v>21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