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ReplaceSubOrder" sheetId="10" r:id="rId12"/>
    <sheet state="visible" name="CreateReplaceLiveOrder" sheetId="11" r:id="rId13"/>
    <sheet state="visible" name="CancelWorkingSubs" sheetId="12" r:id="rId14"/>
    <sheet state="visible" name="RejectTrade" sheetId="13" r:id="rId15"/>
    <sheet state="visible" name="CancelWorkingSubs1" sheetId="14" r:id="rId16"/>
    <sheet state="visible" name="VerifyOrder" sheetId="15" r:id="rId17"/>
    <sheet state="visible" name="VerifySubOrder" sheetId="16" r:id="rId18"/>
  </sheets>
  <definedNames/>
  <calcPr/>
</workbook>
</file>

<file path=xl/sharedStrings.xml><?xml version="1.0" encoding="utf-8"?>
<sst xmlns="http://schemas.openxmlformats.org/spreadsheetml/2006/main" count="149" uniqueCount="42">
  <si>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</si>
  <si>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</si>
  <si>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</si>
  <si>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</si>
  <si>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</si>
  <si>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</si>
  <si>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</si>
  <si>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</si>
  <si>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</si>
  <si>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</si>
  <si>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</si>
  <si>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</si>
  <si>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</si>
  <si>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</si>
  <si>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</si>
  <si>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</si>
  <si>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</si>
  <si>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</si>
  <si>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TradingTicket</t>
  </si>
  <si>
    <t>CreateLiveOrder</t>
  </si>
  <si>
    <t>AAPL</t>
  </si>
  <si>
    <t>Buy</t>
  </si>
  <si>
    <t>Allocation1</t>
  </si>
  <si>
    <t>MS</t>
  </si>
  <si>
    <t>Day</t>
  </si>
  <si>
    <t>Market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</si>
  <si>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</si>
  <si>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</si>
  <si>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</si>
  <si>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</si>
  <si>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</si>
  <si>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</si>
  <si>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</si>
  <si>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</si>
  <si>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</si>
  <si>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CreateReplaceLiveOrder</t>
  </si>
  <si>
    <t>No</t>
  </si>
  <si>
    <t>CancelWorkingSubs</t>
  </si>
  <si>
    <t>RejectTrade</t>
  </si>
  <si>
    <t>VerifyOrder</t>
  </si>
  <si>
    <t>VerifySubOrder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</si>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</sst>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16</v>
      </c>
      <c r="C6" s="30" t="s">
        <v>17</v>
      </c>
      <c r="D6" s="31">
        <v>17.0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100.0</v>
      </c>
      <c r="E6" s="12">
        <v>100.0</v>
      </c>
      <c r="F6" s="12" t="s">
        <v>22</v>
      </c>
      <c r="G6" s="12" t="s">
        <v>23</v>
      </c>
      <c r="H6" s="12" t="s">
        <v>24</v>
      </c>
      <c r="I6" s="12" t="s">
        <v>25</v>
      </c>
      <c r="J6" s="12">
        <v>2.0</v>
      </c>
      <c r="K6" s="8"/>
      <c r="L6" s="8"/>
      <c r="M6" s="8"/>
      <c r="N6" s="33">
        <f>today()</f>
        <v>45285</v>
      </c>
      <c r="O6" s="8"/>
      <c r="AO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32"/>
      <c r="F6" s="12" t="s">
        <v>21</v>
      </c>
      <c r="G6" s="12" t="s">
        <v>33</v>
      </c>
      <c r="H6" s="8"/>
      <c r="I6" s="8"/>
      <c r="J6" s="8"/>
      <c r="K6" s="8"/>
      <c r="L6" s="8"/>
      <c r="M6" s="8"/>
      <c r="N6" s="8"/>
      <c r="O6" s="8"/>
      <c r="Q6" s="9" t="s">
        <v>23</v>
      </c>
      <c r="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20</v>
      </c>
      <c r="AK6" s="9" t="s">
        <v>21</v>
      </c>
      <c r="AL6" s="9" t="s">
        <v>33</v>
      </c>
      <c r="AT6" s="9" t="s">
        <v>23</v>
      </c>
      <c r="AU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26</v>
      </c>
      <c r="AU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IFERROR(__xludf.DUMMYFUNCTION("""COMPUTED_VALUE"""),"Remaining Qty")</f>
        <v>Remaining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IFERROR(__xludf.DUMMYFUNCTION("""COMPUTED_VALUE"""),"Status (With Rollover)")</f>
        <v>Status (With Rollover)</v>
      </c>
      <c r="AY5" s="29" t="str">
        <f>IFERROR(__xludf.DUMMYFUNCTION("""COMPUTED_VALUE"""),"CustomTabName")</f>
        <v>CustomTabName</v>
      </c>
      <c r="AZ5" s="29" t="str">
        <f>IFERROR(__xludf.DUMMYFUNCTION("""COMPUTED_VALUE"""),"CancelAllSubsOnHeader")</f>
        <v>CancelAllSubsOnHeader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32"/>
      <c r="F6" s="12" t="s">
        <v>21</v>
      </c>
      <c r="G6" s="12" t="s">
        <v>33</v>
      </c>
      <c r="H6" s="8"/>
      <c r="I6" s="8"/>
      <c r="J6" s="8"/>
      <c r="K6" s="8"/>
      <c r="L6" s="8"/>
      <c r="M6" s="8"/>
      <c r="N6" s="8"/>
      <c r="O6" s="8"/>
      <c r="Q6" s="9" t="s">
        <v>23</v>
      </c>
      <c r="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CancelWorkingSubs!$4:$4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IFERROR(__xludf.DUMMYFUNCTION("""COMPUTED_VALUE"""),"Remaining Qty")</f>
        <v>Remaining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IFERROR(__xludf.DUMMYFUNCTION("""COMPUTED_VALUE"""),"Status (With Rollover)")</f>
        <v>Status (With Rollover)</v>
      </c>
      <c r="AY5" s="29" t="str">
        <f>IFERROR(__xludf.DUMMYFUNCTION("""COMPUTED_VALUE"""),"CustomTabName")</f>
        <v>CustomTabName</v>
      </c>
      <c r="AZ5" s="29" t="str">
        <f>IFERROR(__xludf.DUMMYFUNCTION("""COMPUTED_VALUE"""),"CancelAllSubsOnHeader")</f>
        <v>CancelAllSubsOnHeader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32"/>
      <c r="F6" s="12" t="s">
        <v>21</v>
      </c>
      <c r="G6" s="12" t="s">
        <v>33</v>
      </c>
      <c r="H6" s="8"/>
      <c r="I6" s="8"/>
      <c r="J6" s="8"/>
      <c r="K6" s="8"/>
      <c r="L6" s="8"/>
      <c r="M6" s="8"/>
      <c r="N6" s="8"/>
      <c r="O6" s="8"/>
      <c r="Q6" s="9" t="s">
        <v>23</v>
      </c>
      <c r="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CancelWorkingSubs1!$4:$4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33</v>
      </c>
      <c r="AL6" s="9">
        <v>100.0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41</v>
      </c>
      <c r="AL6" s="9">
        <v>100.0</v>
      </c>
      <c r="AQ6" s="9" t="s">
        <v>23</v>
      </c>
      <c r="A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