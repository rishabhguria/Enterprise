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activeTab="5"/>
  </bookViews>
  <sheets>
    <sheet name="_Modules" sheetId="1" r:id="rId1"/>
    <sheet name="_Settings" sheetId="2" r:id="rId2"/>
    <sheet name="_MasterData" sheetId="3" r:id="rId3"/>
    <sheet name="CreateDoneAwayOrder" sheetId="4" r:id="rId4"/>
    <sheet name="ReloadOrderFromBlotter" sheetId="5" r:id="rId5"/>
    <sheet name="DoneAwayUsingMTT" sheetId="6" r:id="rId6"/>
    <sheet name="VerifyOrder" sheetId="7" r:id="rId7"/>
    <sheet name="CheckPortfolioManagement" sheetId="8" r:id="rId8"/>
  </sheets>
  <calcPr calcId="145621"/>
</workbook>
</file>

<file path=xl/calcChain.xml><?xml version="1.0" encoding="utf-8"?>
<calcChain xmlns="http://schemas.openxmlformats.org/spreadsheetml/2006/main">
  <c r="FG5" i="8" l="1"/>
  <c r="EY5" i="8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V4" i="8"/>
  <c r="N4" i="8"/>
  <c r="F4" i="8"/>
  <c r="AY5" i="7"/>
  <c r="AQ5" i="7"/>
  <c r="AI5" i="7"/>
  <c r="AA5" i="7"/>
  <c r="S5" i="7"/>
  <c r="K5" i="7"/>
  <c r="C5" i="7"/>
  <c r="AZ4" i="7"/>
  <c r="AR4" i="7"/>
  <c r="AJ4" i="7"/>
  <c r="AB4" i="7"/>
  <c r="T4" i="7"/>
  <c r="L4" i="7"/>
  <c r="D4" i="7"/>
  <c r="AF5" i="6"/>
  <c r="X5" i="6"/>
  <c r="P5" i="6"/>
  <c r="H5" i="6"/>
  <c r="G4" i="6"/>
  <c r="AZ5" i="5"/>
  <c r="AR5" i="5"/>
  <c r="AJ5" i="5"/>
  <c r="AB5" i="5"/>
  <c r="T5" i="5"/>
  <c r="L5" i="5"/>
  <c r="D5" i="5"/>
  <c r="BA4" i="5"/>
  <c r="AS4" i="5"/>
  <c r="AK4" i="5"/>
  <c r="AC4" i="5"/>
  <c r="U4" i="5"/>
  <c r="M4" i="5"/>
  <c r="E4" i="5"/>
  <c r="AO5" i="4"/>
  <c r="AG5" i="4"/>
  <c r="Y5" i="4"/>
  <c r="Q5" i="4"/>
  <c r="I5" i="4"/>
  <c r="A5" i="4"/>
  <c r="V4" i="4"/>
  <c r="N4" i="4"/>
  <c r="F4" i="4"/>
  <c r="B20" i="3"/>
  <c r="B18" i="3"/>
  <c r="B16" i="3"/>
  <c r="B14" i="3"/>
  <c r="B12" i="3"/>
  <c r="B10" i="3"/>
  <c r="B8" i="3"/>
  <c r="B6" i="3"/>
  <c r="B4" i="3"/>
  <c r="C517" i="1"/>
  <c r="A515" i="1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FF5" i="8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U4" i="8"/>
  <c r="M4" i="8"/>
  <c r="E4" i="8"/>
  <c r="AX5" i="7"/>
  <c r="AP5" i="7"/>
  <c r="AH5" i="7"/>
  <c r="Z5" i="7"/>
  <c r="R5" i="7"/>
  <c r="J5" i="7"/>
  <c r="B5" i="7"/>
  <c r="AY4" i="7"/>
  <c r="AQ4" i="7"/>
  <c r="AI4" i="7"/>
  <c r="AA4" i="7"/>
  <c r="S4" i="7"/>
  <c r="K4" i="7"/>
  <c r="C4" i="7"/>
  <c r="AE5" i="6"/>
  <c r="W5" i="6"/>
  <c r="O5" i="6"/>
  <c r="G5" i="6"/>
  <c r="F4" i="6"/>
  <c r="AY5" i="5"/>
  <c r="AQ5" i="5"/>
  <c r="AI5" i="5"/>
  <c r="AA5" i="5"/>
  <c r="S5" i="5"/>
  <c r="K5" i="5"/>
  <c r="C5" i="5"/>
  <c r="AZ4" i="5"/>
  <c r="AR4" i="5"/>
  <c r="AJ4" i="5"/>
  <c r="AB4" i="5"/>
  <c r="T4" i="5"/>
  <c r="L4" i="5"/>
  <c r="D4" i="5"/>
  <c r="AN5" i="4"/>
  <c r="AF5" i="4"/>
  <c r="X5" i="4"/>
  <c r="P5" i="4"/>
  <c r="H5" i="4"/>
  <c r="AC4" i="4"/>
  <c r="U4" i="4"/>
  <c r="M4" i="4"/>
  <c r="E4" i="4"/>
  <c r="A20" i="3"/>
  <c r="A18" i="3"/>
  <c r="A16" i="3"/>
  <c r="A14" i="3"/>
  <c r="A12" i="3"/>
  <c r="A10" i="3"/>
  <c r="A8" i="3"/>
  <c r="A6" i="3"/>
  <c r="A4" i="3"/>
  <c r="B517" i="1"/>
  <c r="C514" i="1"/>
  <c r="A512" i="1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FE5" i="8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T4" i="8"/>
  <c r="L4" i="8"/>
  <c r="D4" i="8"/>
  <c r="AW5" i="7"/>
  <c r="AO5" i="7"/>
  <c r="AG5" i="7"/>
  <c r="Y5" i="7"/>
  <c r="Q5" i="7"/>
  <c r="I5" i="7"/>
  <c r="A5" i="7"/>
  <c r="AX4" i="7"/>
  <c r="AP4" i="7"/>
  <c r="AH4" i="7"/>
  <c r="Z4" i="7"/>
  <c r="R4" i="7"/>
  <c r="J4" i="7"/>
  <c r="B4" i="7"/>
  <c r="AD5" i="6"/>
  <c r="V5" i="6"/>
  <c r="N5" i="6"/>
  <c r="F5" i="6"/>
  <c r="E4" i="6"/>
  <c r="AX5" i="5"/>
  <c r="AP5" i="5"/>
  <c r="AH5" i="5"/>
  <c r="Z5" i="5"/>
  <c r="R5" i="5"/>
  <c r="J5" i="5"/>
  <c r="B5" i="5"/>
  <c r="AY4" i="5"/>
  <c r="AQ4" i="5"/>
  <c r="AI4" i="5"/>
  <c r="AA4" i="5"/>
  <c r="S4" i="5"/>
  <c r="K4" i="5"/>
  <c r="C4" i="5"/>
  <c r="AM5" i="4"/>
  <c r="AE5" i="4"/>
  <c r="W5" i="4"/>
  <c r="O5" i="4"/>
  <c r="G5" i="4"/>
  <c r="AB4" i="4"/>
  <c r="T4" i="4"/>
  <c r="L4" i="4"/>
  <c r="D4" i="4"/>
  <c r="D19" i="3"/>
  <c r="D17" i="3"/>
  <c r="D15" i="3"/>
  <c r="D13" i="3"/>
  <c r="D11" i="3"/>
  <c r="D9" i="3"/>
  <c r="D7" i="3"/>
  <c r="D5" i="3"/>
  <c r="C519" i="1"/>
  <c r="A517" i="1"/>
  <c r="B514" i="1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FD5" i="8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AA4" i="8"/>
  <c r="S4" i="8"/>
  <c r="K4" i="8"/>
  <c r="C4" i="8"/>
  <c r="AV5" i="7"/>
  <c r="AN5" i="7"/>
  <c r="AF5" i="7"/>
  <c r="X5" i="7"/>
  <c r="P5" i="7"/>
  <c r="H5" i="7"/>
  <c r="BE4" i="7"/>
  <c r="AW4" i="7"/>
  <c r="AO4" i="7"/>
  <c r="AG4" i="7"/>
  <c r="Y4" i="7"/>
  <c r="Q4" i="7"/>
  <c r="I4" i="7"/>
  <c r="AC5" i="6"/>
  <c r="U5" i="6"/>
  <c r="M5" i="6"/>
  <c r="E5" i="6"/>
  <c r="D4" i="6"/>
  <c r="AW5" i="5"/>
  <c r="AO5" i="5"/>
  <c r="AG5" i="5"/>
  <c r="Y5" i="5"/>
  <c r="Q5" i="5"/>
  <c r="I5" i="5"/>
  <c r="A5" i="5"/>
  <c r="AX4" i="5"/>
  <c r="AP4" i="5"/>
  <c r="AH4" i="5"/>
  <c r="Z4" i="5"/>
  <c r="R4" i="5"/>
  <c r="J4" i="5"/>
  <c r="B4" i="5"/>
  <c r="AL5" i="4"/>
  <c r="AD5" i="4"/>
  <c r="V5" i="4"/>
  <c r="N5" i="4"/>
  <c r="F5" i="4"/>
  <c r="AA4" i="4"/>
  <c r="S4" i="4"/>
  <c r="K4" i="4"/>
  <c r="C4" i="4"/>
  <c r="C19" i="3"/>
  <c r="C17" i="3"/>
  <c r="C15" i="3"/>
  <c r="C13" i="3"/>
  <c r="C11" i="3"/>
  <c r="C9" i="3"/>
  <c r="C7" i="3"/>
  <c r="C5" i="3"/>
  <c r="B519" i="1"/>
  <c r="C516" i="1"/>
  <c r="A514" i="1"/>
  <c r="B511" i="1"/>
  <c r="C508" i="1"/>
  <c r="A506" i="1"/>
  <c r="B503" i="1"/>
  <c r="C500" i="1"/>
  <c r="A498" i="1"/>
  <c r="B495" i="1"/>
  <c r="FC5" i="8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Z4" i="8"/>
  <c r="R4" i="8"/>
  <c r="J4" i="8"/>
  <c r="B4" i="8"/>
  <c r="AU5" i="7"/>
  <c r="AM5" i="7"/>
  <c r="AE5" i="7"/>
  <c r="W5" i="7"/>
  <c r="O5" i="7"/>
  <c r="G5" i="7"/>
  <c r="BD4" i="7"/>
  <c r="AV4" i="7"/>
  <c r="AN4" i="7"/>
  <c r="AF4" i="7"/>
  <c r="X4" i="7"/>
  <c r="P4" i="7"/>
  <c r="H4" i="7"/>
  <c r="AJ5" i="6"/>
  <c r="AB5" i="6"/>
  <c r="T5" i="6"/>
  <c r="L5" i="6"/>
  <c r="D5" i="6"/>
  <c r="C4" i="6"/>
  <c r="AV5" i="5"/>
  <c r="AN5" i="5"/>
  <c r="AF5" i="5"/>
  <c r="X5" i="5"/>
  <c r="P5" i="5"/>
  <c r="H5" i="5"/>
  <c r="BE4" i="5"/>
  <c r="AW4" i="5"/>
  <c r="AO4" i="5"/>
  <c r="AG4" i="5"/>
  <c r="Y4" i="5"/>
  <c r="Q4" i="5"/>
  <c r="I4" i="5"/>
  <c r="AK5" i="4"/>
  <c r="AC5" i="4"/>
  <c r="U5" i="4"/>
  <c r="M5" i="4"/>
  <c r="E5" i="4"/>
  <c r="Z4" i="4"/>
  <c r="R4" i="4"/>
  <c r="J4" i="4"/>
  <c r="B4" i="4"/>
  <c r="B19" i="3"/>
  <c r="B17" i="3"/>
  <c r="B15" i="3"/>
  <c r="B13" i="3"/>
  <c r="B11" i="3"/>
  <c r="B9" i="3"/>
  <c r="B7" i="3"/>
  <c r="B5" i="3"/>
  <c r="A519" i="1"/>
  <c r="B516" i="1"/>
  <c r="C513" i="1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FB5" i="8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Y4" i="8"/>
  <c r="Q4" i="8"/>
  <c r="I4" i="8"/>
  <c r="AT5" i="7"/>
  <c r="AL5" i="7"/>
  <c r="AD5" i="7"/>
  <c r="V5" i="7"/>
  <c r="N5" i="7"/>
  <c r="F5" i="7"/>
  <c r="BC4" i="7"/>
  <c r="AU4" i="7"/>
  <c r="AM4" i="7"/>
  <c r="AE4" i="7"/>
  <c r="W4" i="7"/>
  <c r="O4" i="7"/>
  <c r="G4" i="7"/>
  <c r="AI5" i="6"/>
  <c r="AA5" i="6"/>
  <c r="S5" i="6"/>
  <c r="K5" i="6"/>
  <c r="C5" i="6"/>
  <c r="B4" i="6"/>
  <c r="AU5" i="5"/>
  <c r="AM5" i="5"/>
  <c r="AE5" i="5"/>
  <c r="W5" i="5"/>
  <c r="O5" i="5"/>
  <c r="G5" i="5"/>
  <c r="BD4" i="5"/>
  <c r="AV4" i="5"/>
  <c r="AN4" i="5"/>
  <c r="AF4" i="5"/>
  <c r="X4" i="5"/>
  <c r="P4" i="5"/>
  <c r="H4" i="5"/>
  <c r="AR5" i="4"/>
  <c r="AJ5" i="4"/>
  <c r="AB5" i="4"/>
  <c r="T5" i="4"/>
  <c r="L5" i="4"/>
  <c r="D5" i="4"/>
  <c r="Y4" i="4"/>
  <c r="Q4" i="4"/>
  <c r="I4" i="4"/>
  <c r="A19" i="3"/>
  <c r="A17" i="3"/>
  <c r="A15" i="3"/>
  <c r="A13" i="3"/>
  <c r="A11" i="3"/>
  <c r="A9" i="3"/>
  <c r="A7" i="3"/>
  <c r="A5" i="3"/>
  <c r="C518" i="1"/>
  <c r="A516" i="1"/>
  <c r="B513" i="1"/>
  <c r="C510" i="1"/>
  <c r="A508" i="1"/>
  <c r="B505" i="1"/>
  <c r="C502" i="1"/>
  <c r="FA5" i="8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X4" i="8"/>
  <c r="P4" i="8"/>
  <c r="H4" i="8"/>
  <c r="BA5" i="7"/>
  <c r="AS5" i="7"/>
  <c r="AK5" i="7"/>
  <c r="AC5" i="7"/>
  <c r="U5" i="7"/>
  <c r="M5" i="7"/>
  <c r="E5" i="7"/>
  <c r="BB4" i="7"/>
  <c r="AT4" i="7"/>
  <c r="AL4" i="7"/>
  <c r="AD4" i="7"/>
  <c r="V4" i="7"/>
  <c r="N4" i="7"/>
  <c r="F4" i="7"/>
  <c r="AH5" i="6"/>
  <c r="Z5" i="6"/>
  <c r="R5" i="6"/>
  <c r="J5" i="6"/>
  <c r="B5" i="6"/>
  <c r="AT5" i="5"/>
  <c r="AL5" i="5"/>
  <c r="AD5" i="5"/>
  <c r="V5" i="5"/>
  <c r="N5" i="5"/>
  <c r="F5" i="5"/>
  <c r="BC4" i="5"/>
  <c r="AU4" i="5"/>
  <c r="AM4" i="5"/>
  <c r="AE4" i="5"/>
  <c r="W4" i="5"/>
  <c r="O4" i="5"/>
  <c r="G4" i="5"/>
  <c r="AQ5" i="4"/>
  <c r="AI5" i="4"/>
  <c r="AA5" i="4"/>
  <c r="S5" i="4"/>
  <c r="K5" i="4"/>
  <c r="C5" i="4"/>
  <c r="X4" i="4"/>
  <c r="P4" i="4"/>
  <c r="H4" i="4"/>
  <c r="D20" i="3"/>
  <c r="D18" i="3"/>
  <c r="D16" i="3"/>
  <c r="D14" i="3"/>
  <c r="D12" i="3"/>
  <c r="D10" i="3"/>
  <c r="D8" i="3"/>
  <c r="D6" i="3"/>
  <c r="D4" i="3"/>
  <c r="B518" i="1"/>
  <c r="C515" i="1"/>
  <c r="A513" i="1"/>
  <c r="B510" i="1"/>
  <c r="C507" i="1"/>
  <c r="A505" i="1"/>
  <c r="B502" i="1"/>
  <c r="EZ5" i="8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W4" i="8"/>
  <c r="O4" i="8"/>
  <c r="G4" i="8"/>
  <c r="AZ5" i="7"/>
  <c r="AR5" i="7"/>
  <c r="AJ5" i="7"/>
  <c r="AB5" i="7"/>
  <c r="T5" i="7"/>
  <c r="L5" i="7"/>
  <c r="D5" i="7"/>
  <c r="BA4" i="7"/>
  <c r="AS4" i="7"/>
  <c r="AK4" i="7"/>
  <c r="AC4" i="7"/>
  <c r="U4" i="7"/>
  <c r="M4" i="7"/>
  <c r="E4" i="7"/>
  <c r="AG5" i="6"/>
  <c r="Y5" i="6"/>
  <c r="Q5" i="6"/>
  <c r="I5" i="6"/>
  <c r="A5" i="6"/>
  <c r="BA5" i="5"/>
  <c r="AS5" i="5"/>
  <c r="AK5" i="5"/>
  <c r="AC5" i="5"/>
  <c r="U5" i="5"/>
  <c r="M5" i="5"/>
  <c r="E5" i="5"/>
  <c r="BB4" i="5"/>
  <c r="AT4" i="5"/>
  <c r="AL4" i="5"/>
  <c r="AD4" i="5"/>
  <c r="V4" i="5"/>
  <c r="N4" i="5"/>
  <c r="F4" i="5"/>
  <c r="AP5" i="4"/>
  <c r="AH5" i="4"/>
  <c r="Z5" i="4"/>
  <c r="R5" i="4"/>
  <c r="J5" i="4"/>
  <c r="B5" i="4"/>
  <c r="W4" i="4"/>
  <c r="O4" i="4"/>
  <c r="G4" i="4"/>
  <c r="C20" i="3"/>
  <c r="C18" i="3"/>
  <c r="C16" i="3"/>
  <c r="C14" i="3"/>
  <c r="C12" i="3"/>
  <c r="C10" i="3"/>
  <c r="C8" i="3"/>
  <c r="C6" i="3"/>
  <c r="C4" i="3"/>
  <c r="A518" i="1"/>
  <c r="B515" i="1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A500" i="1"/>
  <c r="C491" i="1"/>
  <c r="A484" i="1"/>
  <c r="C476" i="1"/>
  <c r="B470" i="1"/>
  <c r="C462" i="1"/>
  <c r="B455" i="1"/>
  <c r="A449" i="1"/>
  <c r="B441" i="1"/>
  <c r="A434" i="1"/>
  <c r="C427" i="1"/>
  <c r="C420" i="1"/>
  <c r="B415" i="1"/>
  <c r="A410" i="1"/>
  <c r="C404" i="1"/>
  <c r="B399" i="1"/>
  <c r="A394" i="1"/>
  <c r="C388" i="1"/>
  <c r="A384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C499" i="1"/>
  <c r="A490" i="1"/>
  <c r="C483" i="1"/>
  <c r="A476" i="1"/>
  <c r="C468" i="1"/>
  <c r="B462" i="1"/>
  <c r="C454" i="1"/>
  <c r="B447" i="1"/>
  <c r="A441" i="1"/>
  <c r="B433" i="1"/>
  <c r="A426" i="1"/>
  <c r="B420" i="1"/>
  <c r="A415" i="1"/>
  <c r="C409" i="1"/>
  <c r="B404" i="1"/>
  <c r="A399" i="1"/>
  <c r="C393" i="1"/>
  <c r="B388" i="1"/>
  <c r="C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497" i="1"/>
  <c r="B489" i="1"/>
  <c r="A482" i="1"/>
  <c r="C475" i="1"/>
  <c r="A468" i="1"/>
  <c r="C460" i="1"/>
  <c r="B454" i="1"/>
  <c r="C446" i="1"/>
  <c r="B439" i="1"/>
  <c r="A433" i="1"/>
  <c r="B425" i="1"/>
  <c r="A420" i="1"/>
  <c r="C414" i="1"/>
  <c r="B409" i="1"/>
  <c r="A404" i="1"/>
  <c r="C398" i="1"/>
  <c r="B393" i="1"/>
  <c r="A388" i="1"/>
  <c r="B383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497" i="1"/>
  <c r="A489" i="1"/>
  <c r="B481" i="1"/>
  <c r="A474" i="1"/>
  <c r="C467" i="1"/>
  <c r="A460" i="1"/>
  <c r="C452" i="1"/>
  <c r="B446" i="1"/>
  <c r="C438" i="1"/>
  <c r="B431" i="1"/>
  <c r="A425" i="1"/>
  <c r="C419" i="1"/>
  <c r="B414" i="1"/>
  <c r="A409" i="1"/>
  <c r="C403" i="1"/>
  <c r="B398" i="1"/>
  <c r="A393" i="1"/>
  <c r="C387" i="1"/>
  <c r="A383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494" i="1"/>
  <c r="B487" i="1"/>
  <c r="A481" i="1"/>
  <c r="B473" i="1"/>
  <c r="A466" i="1"/>
  <c r="C459" i="1"/>
  <c r="A452" i="1"/>
  <c r="C444" i="1"/>
  <c r="B438" i="1"/>
  <c r="C430" i="1"/>
  <c r="B423" i="1"/>
  <c r="A418" i="1"/>
  <c r="C412" i="1"/>
  <c r="B407" i="1"/>
  <c r="A402" i="1"/>
  <c r="C396" i="1"/>
  <c r="B391" i="1"/>
  <c r="A386" i="1"/>
  <c r="C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494" i="1"/>
  <c r="C486" i="1"/>
  <c r="B479" i="1"/>
  <c r="A473" i="1"/>
  <c r="B465" i="1"/>
  <c r="A458" i="1"/>
  <c r="C451" i="1"/>
  <c r="A444" i="1"/>
  <c r="C436" i="1"/>
  <c r="B430" i="1"/>
  <c r="A423" i="1"/>
  <c r="C417" i="1"/>
  <c r="B412" i="1"/>
  <c r="A407" i="1"/>
  <c r="C401" i="1"/>
  <c r="B396" i="1"/>
  <c r="A391" i="1"/>
  <c r="C385" i="1"/>
  <c r="B382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C492" i="1"/>
  <c r="B486" i="1"/>
  <c r="C478" i="1"/>
  <c r="B471" i="1"/>
  <c r="A465" i="1"/>
  <c r="B457" i="1"/>
  <c r="A450" i="1"/>
  <c r="C443" i="1"/>
  <c r="A436" i="1"/>
  <c r="C428" i="1"/>
  <c r="C422" i="1"/>
  <c r="B417" i="1"/>
  <c r="A412" i="1"/>
  <c r="C406" i="1"/>
  <c r="B401" i="1"/>
  <c r="A396" i="1"/>
  <c r="C390" i="1"/>
  <c r="B385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A492" i="1"/>
  <c r="C484" i="1"/>
  <c r="B478" i="1"/>
  <c r="C470" i="1"/>
  <c r="B463" i="1"/>
  <c r="A457" i="1"/>
  <c r="B449" i="1"/>
  <c r="A442" i="1"/>
  <c r="C435" i="1"/>
  <c r="A428" i="1"/>
  <c r="B422" i="1"/>
  <c r="A417" i="1"/>
  <c r="C411" i="1"/>
  <c r="B406" i="1"/>
  <c r="A401" i="1"/>
  <c r="C395" i="1"/>
  <c r="B390" i="1"/>
  <c r="A385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9" i="1"/>
  <c r="A4" i="1"/>
  <c r="C5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C6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5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J2" i="7" l="1"/>
  <c r="J2" i="5"/>
  <c r="J2" i="8"/>
  <c r="J2" i="4"/>
  <c r="J2" i="6"/>
</calcChain>
</file>

<file path=xl/sharedStrings.xml><?xml version="1.0" encoding="utf-8"?>
<sst xmlns="http://schemas.openxmlformats.org/spreadsheetml/2006/main" count="194" uniqueCount="38">
  <si>
    <t>Modules Info</t>
  </si>
  <si>
    <t>Modules</t>
  </si>
  <si>
    <t>Settings</t>
  </si>
  <si>
    <t>Module Step Setting File</t>
  </si>
  <si>
    <t>1E55LpWk3k96cawrcDIDQfA-hBx8ujS_kRc3OuCcR_Z0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</si>
  <si>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</si>
  <si>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</si>
  <si>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</si>
  <si>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</si>
  <si>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</si>
  <si>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</si>
  <si>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</si>
  <si>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</si>
  <si>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</si>
  <si>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</si>
  <si>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</si>
  <si>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</si>
  <si>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</si>
  <si>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</si>
  <si>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</t>
  </si>
  <si>
    <t>S1</t>
  </si>
  <si>
    <t>Limit</t>
  </si>
  <si>
    <t>S2</t>
  </si>
  <si>
    <t>Stop Limit</t>
  </si>
  <si>
    <t>Long</t>
  </si>
  <si>
    <t>Blotter</t>
  </si>
  <si>
    <t>ReloadOrderFromBlotter</t>
  </si>
  <si>
    <t>MS</t>
  </si>
  <si>
    <t>MultiTradingTicket</t>
  </si>
  <si>
    <t>DoneAwayUsingMTT</t>
  </si>
  <si>
    <t>VerifyOrder</t>
  </si>
  <si>
    <t>PortfolioManagement</t>
  </si>
  <si>
    <t>CheckPortfolioManagement</t>
  </si>
  <si>
    <t>NewMF</t>
  </si>
  <si>
    <t>Equity</t>
  </si>
  <si>
    <t>US</t>
  </si>
  <si>
    <t>USD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</si>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</sst>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opLeftCell="A4"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3" t="s">
        <v>0</v>
      </c>
      <c r="B1" s="34"/>
      <c r="C1" s="34"/>
      <c r="D1" s="34"/>
      <c r="E1" s="34"/>
      <c r="F1" s="35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 x14ac:dyDescent="0.2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 x14ac:dyDescent="0.2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IFERROR(__xludf.DUMMYFUNCTION("""COMPUTED_VALUE"""),"1jtd0OYtnm21_vMCd-CSKixcC_TN7ginWcJ7PR714zDw")</f>
        <v>1jtd0OYtnm21_vMCd-CSKixcC_TN7ginWcJ7PR714zDw</v>
      </c>
    </row>
    <row r="513" spans="1:3" ht="15.75" customHeight="1" x14ac:dyDescent="0.2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IFERROR(__xludf.DUMMYFUNCTION("""COMPUTED_VALUE"""),"1l9IRaSGDow3z943y-v24KT4bLSa2nLFzzrJx6XQozpY")</f>
        <v>1l9IRaSGDow3z943y-v24KT4bLSa2nLFzzrJx6XQozpY</v>
      </c>
    </row>
    <row r="514" spans="1:3" ht="15.75" customHeight="1" x14ac:dyDescent="0.2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IFERROR(__xludf.DUMMYFUNCTION("""COMPUTED_VALUE"""),"18SVZSt8o151Ibqp7S3Ge-27pHb5fW7wNT71WgA_kP_8")</f>
        <v>18SVZSt8o151Ibqp7S3Ge-27pHb5fW7wNT71WgA_kP_8</v>
      </c>
    </row>
    <row r="515" spans="1:3" ht="15.75" customHeight="1" x14ac:dyDescent="0.2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IFERROR(__xludf.DUMMYFUNCTION("""COMPUTED_VALUE"""),"1yORtQDYWOiS9sGzwmSy3jeH1KeWbwIscJSVtvVljcqk")</f>
        <v>1yORtQDYWOiS9sGzwmSy3jeH1KeWbwIscJSVtvVljcqk</v>
      </c>
    </row>
    <row r="516" spans="1:3" ht="15.75" customHeight="1" x14ac:dyDescent="0.2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IFERROR(__xludf.DUMMYFUNCTION("""COMPUTED_VALUE"""),"1tHcWqzzT9x7_tjIYlb_jsMu7VunfhVIyqGIWGIXOrQE")</f>
        <v>1tHcWqzzT9x7_tjIYlb_jsMu7VunfhVIyqGIWGIXOrQE</v>
      </c>
    </row>
    <row r="517" spans="1:3" ht="15.75" customHeight="1" x14ac:dyDescent="0.2">
      <c r="A517" t="str">
        <f ca="1">IFERROR(__xludf.DUMMYFUNCTION("""COMPUTED_VALUE"""),"PortfolioManagement")</f>
        <v>PortfolioManagement</v>
      </c>
      <c r="B517" t="str">
        <f ca="1">IFERROR(__xludf.DUMMYFUNCTION("""COMPUTED_VALUE"""),"IncreasePositionFromPM")</f>
        <v>IncreasePositionFromPM</v>
      </c>
      <c r="C517" t="str">
        <f ca="1">IFERROR(__xludf.DUMMYFUNCTION("""COMPUTED_VALUE"""),"1eE569Brgsjqyathy0MKO50Wmj5QCDLuax0S-29Hix4A")</f>
        <v>1eE569Brgsjqyathy0MKO50Wmj5QCDLuax0S-29Hix4A</v>
      </c>
    </row>
    <row r="518" spans="1:3" ht="15.75" customHeight="1" x14ac:dyDescent="0.2">
      <c r="A518" t="str">
        <f ca="1">IFERROR(__xludf.DUMMYFUNCTION("""COMPUTED_VALUE"""),"TradingTicket")</f>
        <v>TradingTicket</v>
      </c>
      <c r="B518" t="str">
        <f ca="1">IFERROR(__xludf.DUMMYFUNCTION("""COMPUTED_VALUE"""),"SendLiveBloomberg")</f>
        <v>SendLiveBloomberg</v>
      </c>
      <c r="C518" t="str">
        <f ca="1">IFERROR(__xludf.DUMMYFUNCTION("""COMPUTED_VALUE"""),"1jm-Rrun0S1nkf5N9L0XR0cK07laQ4i2IyhTZ_88GUUQ")</f>
        <v>1jm-Rrun0S1nkf5N9L0XR0cK07laQ4i2IyhTZ_88GUUQ</v>
      </c>
    </row>
    <row r="519" spans="1:3" ht="15.75" customHeight="1" x14ac:dyDescent="0.2">
      <c r="A519" t="str">
        <f ca="1">IFERROR(__xludf.DUMMYFUNCTION("""COMPUTED_VALUE"""),"Blotter")</f>
        <v>Blotter</v>
      </c>
      <c r="B519" t="str">
        <f ca="1">IFERROR(__xludf.DUMMYFUNCTION("""COMPUTED_VALUE"""),"ReloadOrderFromBlotter")</f>
        <v>ReloadOrderFromBlotter</v>
      </c>
      <c r="C519" t="str">
        <f ca="1">IFERROR(__xludf.DUMMYFUNCTION("""COMPUTED_VALUE"""),"1GnRgq3n2FmksmM-vQvyFRWFLBbtVf3YzhzcYjkk8r48")</f>
        <v>1GnRgq3n2FmksmM-vQvyFRWFLBbtVf3YzhzcYjkk8r48</v>
      </c>
    </row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6" t="s">
        <v>2</v>
      </c>
      <c r="B1" s="34"/>
      <c r="C1" s="35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3" t="s">
        <v>7</v>
      </c>
      <c r="B1" s="34"/>
      <c r="C1" s="34"/>
      <c r="D1" s="34"/>
      <c r="E1" s="34"/>
      <c r="F1" s="35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 t="str">
        <f ca="1">IFERROR(__xludf.DUMMYFUNCTION("""COMPUTED_VALUE"""),"Rate(%)")</f>
        <v>Rate(%)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s">
        <v>16</v>
      </c>
      <c r="C6" s="27" t="s">
        <v>17</v>
      </c>
      <c r="D6" s="28">
        <v>1000</v>
      </c>
      <c r="E6" s="28">
        <v>400</v>
      </c>
      <c r="F6" s="27" t="s">
        <v>18</v>
      </c>
      <c r="G6" s="27"/>
      <c r="H6" s="27"/>
      <c r="I6" s="27" t="s">
        <v>19</v>
      </c>
      <c r="J6" s="27"/>
      <c r="K6" s="29">
        <v>10</v>
      </c>
      <c r="L6" s="27"/>
      <c r="M6" s="30" t="s">
        <v>20</v>
      </c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">
      <c r="A7" s="25"/>
      <c r="B7" s="30" t="s">
        <v>16</v>
      </c>
      <c r="C7" s="27" t="s">
        <v>17</v>
      </c>
      <c r="D7" s="28">
        <v>1000</v>
      </c>
      <c r="E7" s="28">
        <v>500</v>
      </c>
      <c r="F7" s="27" t="s">
        <v>18</v>
      </c>
      <c r="G7" s="27"/>
      <c r="H7" s="27"/>
      <c r="I7" s="30" t="s">
        <v>21</v>
      </c>
      <c r="J7" s="27"/>
      <c r="K7" s="29"/>
      <c r="L7" s="30">
        <v>11</v>
      </c>
      <c r="M7" s="30" t="s">
        <v>22</v>
      </c>
      <c r="N7" s="27"/>
      <c r="O7" s="27"/>
      <c r="P7" s="27"/>
      <c r="Q7" s="27"/>
      <c r="R7" s="27"/>
      <c r="S7" s="27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 x14ac:dyDescent="0.2">
      <c r="A8" s="25"/>
      <c r="B8" s="30" t="s">
        <v>16</v>
      </c>
      <c r="C8" s="27" t="s">
        <v>17</v>
      </c>
      <c r="D8" s="28">
        <v>1000</v>
      </c>
      <c r="E8" s="28">
        <v>600</v>
      </c>
      <c r="F8" s="27" t="s">
        <v>18</v>
      </c>
      <c r="G8" s="27"/>
      <c r="H8" s="27"/>
      <c r="I8" s="30" t="s">
        <v>23</v>
      </c>
      <c r="J8" s="27"/>
      <c r="K8" s="29">
        <v>10</v>
      </c>
      <c r="L8" s="30">
        <v>11</v>
      </c>
      <c r="M8" s="30" t="s">
        <v>24</v>
      </c>
      <c r="N8" s="27"/>
      <c r="O8" s="27"/>
      <c r="P8" s="27"/>
      <c r="Q8" s="27"/>
      <c r="R8" s="27"/>
      <c r="S8" s="27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32"/>
      <c r="F6" s="5"/>
      <c r="G6" s="7">
        <v>600</v>
      </c>
      <c r="H6" s="5"/>
      <c r="I6" s="5"/>
      <c r="K6" s="5"/>
      <c r="L6" s="5"/>
      <c r="M6" s="5"/>
      <c r="N6" s="5"/>
      <c r="O6" s="5"/>
      <c r="T6" s="6">
        <v>10</v>
      </c>
      <c r="AI6" s="7" t="s">
        <v>16</v>
      </c>
      <c r="AJ6" s="6" t="s">
        <v>17</v>
      </c>
      <c r="AL6" s="6">
        <v>1000</v>
      </c>
      <c r="AM6" s="6">
        <v>400</v>
      </c>
      <c r="AN6" s="6">
        <v>40</v>
      </c>
      <c r="AS6" s="6" t="s">
        <v>27</v>
      </c>
      <c r="AT6" s="6" t="s">
        <v>18</v>
      </c>
      <c r="AU6" s="6" t="s">
        <v>19</v>
      </c>
    </row>
    <row r="7" spans="1:154" ht="15.75" customHeight="1" x14ac:dyDescent="0.2">
      <c r="A7" s="5"/>
      <c r="B7" s="5"/>
      <c r="C7" s="5"/>
      <c r="D7" s="5"/>
      <c r="E7" s="5"/>
      <c r="F7" s="7">
        <v>11</v>
      </c>
      <c r="G7" s="7">
        <v>500</v>
      </c>
      <c r="H7" s="5"/>
      <c r="I7" s="5"/>
      <c r="K7" s="5"/>
      <c r="L7" s="5"/>
      <c r="M7" s="5"/>
      <c r="N7" s="5"/>
      <c r="O7" s="5"/>
      <c r="AI7" s="7" t="s">
        <v>16</v>
      </c>
      <c r="AJ7" s="6" t="s">
        <v>17</v>
      </c>
      <c r="AL7" s="6">
        <v>1000</v>
      </c>
      <c r="AM7" s="6">
        <v>500</v>
      </c>
      <c r="AN7" s="6">
        <v>50</v>
      </c>
      <c r="AS7" s="6" t="s">
        <v>27</v>
      </c>
      <c r="AT7" s="6" t="s">
        <v>18</v>
      </c>
      <c r="AU7" s="6" t="s">
        <v>21</v>
      </c>
    </row>
    <row r="8" spans="1:154" ht="15.75" customHeight="1" x14ac:dyDescent="0.2">
      <c r="A8" s="5"/>
      <c r="B8" s="5"/>
      <c r="C8" s="5"/>
      <c r="D8" s="5"/>
      <c r="E8" s="5"/>
      <c r="F8" s="7">
        <v>11</v>
      </c>
      <c r="G8" s="7">
        <v>400</v>
      </c>
      <c r="H8" s="5"/>
      <c r="I8" s="5"/>
      <c r="K8" s="5"/>
      <c r="L8" s="5"/>
      <c r="M8" s="5"/>
      <c r="N8" s="5"/>
      <c r="O8" s="5"/>
      <c r="T8" s="6">
        <v>10</v>
      </c>
      <c r="AI8" s="7" t="s">
        <v>16</v>
      </c>
      <c r="AJ8" s="6" t="s">
        <v>17</v>
      </c>
      <c r="AL8" s="6">
        <v>1000</v>
      </c>
      <c r="AM8" s="6">
        <v>600</v>
      </c>
      <c r="AN8" s="6">
        <v>60</v>
      </c>
      <c r="AS8" s="6" t="s">
        <v>27</v>
      </c>
      <c r="AT8" s="6" t="s">
        <v>18</v>
      </c>
      <c r="AU8" s="6" t="s">
        <v>23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H1" workbookViewId="0">
      <selection activeCell="AM12" sqref="AM1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37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s">
        <v>16</v>
      </c>
      <c r="C6" s="27" t="s">
        <v>17</v>
      </c>
      <c r="D6" s="28">
        <v>1000</v>
      </c>
      <c r="E6" s="28">
        <v>400</v>
      </c>
      <c r="F6" s="27" t="s">
        <v>18</v>
      </c>
      <c r="G6" s="27"/>
      <c r="H6" s="27"/>
      <c r="I6" s="27" t="s">
        <v>19</v>
      </c>
      <c r="J6" s="27"/>
      <c r="K6" s="29">
        <v>10</v>
      </c>
      <c r="L6" s="27"/>
      <c r="M6" s="30" t="s">
        <v>20</v>
      </c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 x14ac:dyDescent="0.2">
      <c r="A7" s="25"/>
      <c r="B7" s="30" t="s">
        <v>16</v>
      </c>
      <c r="C7" s="27" t="s">
        <v>17</v>
      </c>
      <c r="D7" s="28">
        <v>1000</v>
      </c>
      <c r="E7" s="28">
        <v>500</v>
      </c>
      <c r="F7" s="27" t="s">
        <v>18</v>
      </c>
      <c r="G7" s="27"/>
      <c r="H7" s="27"/>
      <c r="I7" s="30" t="s">
        <v>21</v>
      </c>
      <c r="J7" s="27"/>
      <c r="K7" s="29"/>
      <c r="L7" s="30">
        <v>11</v>
      </c>
      <c r="M7" s="30" t="s">
        <v>22</v>
      </c>
      <c r="N7" s="27"/>
      <c r="O7" s="27"/>
      <c r="P7" s="27"/>
      <c r="Q7" s="27"/>
      <c r="R7" s="27"/>
      <c r="S7" s="27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 x14ac:dyDescent="0.2">
      <c r="A8" s="25"/>
      <c r="B8" s="30" t="s">
        <v>16</v>
      </c>
      <c r="C8" s="27" t="s">
        <v>17</v>
      </c>
      <c r="D8" s="28">
        <v>1000</v>
      </c>
      <c r="E8" s="28">
        <v>600</v>
      </c>
      <c r="F8" s="27" t="s">
        <v>18</v>
      </c>
      <c r="G8" s="27"/>
      <c r="H8" s="27"/>
      <c r="I8" s="30" t="s">
        <v>23</v>
      </c>
      <c r="J8" s="27"/>
      <c r="K8" s="29">
        <v>10</v>
      </c>
      <c r="L8" s="30">
        <v>11</v>
      </c>
      <c r="M8" s="30" t="s">
        <v>24</v>
      </c>
      <c r="N8" s="27"/>
      <c r="O8" s="27"/>
      <c r="P8" s="27"/>
      <c r="Q8" s="27"/>
      <c r="R8" s="27"/>
      <c r="S8" s="27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32"/>
      <c r="F6" s="5"/>
      <c r="G6" s="7">
        <v>600</v>
      </c>
      <c r="H6" s="5"/>
      <c r="I6" s="5"/>
      <c r="J6" s="5"/>
      <c r="K6" s="5"/>
      <c r="L6" s="5"/>
      <c r="M6" s="5"/>
      <c r="N6" s="5"/>
      <c r="O6" s="5"/>
      <c r="T6" s="6">
        <v>10</v>
      </c>
      <c r="AI6" s="6" t="s">
        <v>16</v>
      </c>
      <c r="AJ6" s="6" t="s">
        <v>17</v>
      </c>
      <c r="AL6" s="6">
        <v>1000</v>
      </c>
      <c r="AM6" s="6">
        <v>400</v>
      </c>
      <c r="AN6" s="6">
        <v>40</v>
      </c>
      <c r="AS6" s="6" t="s">
        <v>27</v>
      </c>
      <c r="AT6" s="6" t="s">
        <v>18</v>
      </c>
      <c r="AU6" s="6" t="s">
        <v>19</v>
      </c>
    </row>
    <row r="7" spans="1:154" ht="15.75" customHeight="1" x14ac:dyDescent="0.2">
      <c r="A7" s="5"/>
      <c r="B7" s="5"/>
      <c r="C7" s="5"/>
      <c r="D7" s="5"/>
      <c r="E7" s="5"/>
      <c r="F7" s="7">
        <v>11</v>
      </c>
      <c r="G7" s="7">
        <v>500</v>
      </c>
      <c r="H7" s="5"/>
      <c r="I7" s="5"/>
      <c r="J7" s="5"/>
      <c r="K7" s="5"/>
      <c r="L7" s="5"/>
      <c r="M7" s="5"/>
      <c r="N7" s="5"/>
      <c r="O7" s="5"/>
      <c r="AI7" s="6" t="s">
        <v>16</v>
      </c>
      <c r="AJ7" s="6" t="s">
        <v>17</v>
      </c>
      <c r="AL7" s="6">
        <v>1000</v>
      </c>
      <c r="AM7" s="6">
        <v>500</v>
      </c>
      <c r="AN7" s="6">
        <v>50</v>
      </c>
      <c r="AS7" s="6" t="s">
        <v>27</v>
      </c>
      <c r="AT7" s="6" t="s">
        <v>18</v>
      </c>
      <c r="AU7" s="6" t="s">
        <v>21</v>
      </c>
    </row>
    <row r="8" spans="1:154" ht="15.75" customHeight="1" x14ac:dyDescent="0.2">
      <c r="A8" s="5"/>
      <c r="B8" s="5"/>
      <c r="C8" s="5"/>
      <c r="D8" s="5"/>
      <c r="E8" s="5"/>
      <c r="F8" s="7">
        <v>11</v>
      </c>
      <c r="G8" s="7">
        <v>400</v>
      </c>
      <c r="H8" s="5"/>
      <c r="I8" s="5"/>
      <c r="J8" s="5"/>
      <c r="K8" s="5"/>
      <c r="L8" s="5"/>
      <c r="M8" s="5"/>
      <c r="N8" s="5"/>
      <c r="O8" s="5"/>
      <c r="T8" s="6">
        <v>10</v>
      </c>
      <c r="AI8" s="6" t="s">
        <v>16</v>
      </c>
      <c r="AJ8" s="6" t="s">
        <v>17</v>
      </c>
      <c r="AL8" s="6">
        <v>1000</v>
      </c>
      <c r="AM8" s="6">
        <v>600</v>
      </c>
      <c r="AN8" s="6">
        <v>60</v>
      </c>
      <c r="AS8" s="6" t="s">
        <v>27</v>
      </c>
      <c r="AT8" s="6" t="s">
        <v>18</v>
      </c>
      <c r="AU8" s="6" t="s">
        <v>23</v>
      </c>
    </row>
    <row r="9" spans="1:154" ht="15.75" customHeight="1" x14ac:dyDescent="0.2">
      <c r="A9" s="7"/>
      <c r="B9" s="7"/>
      <c r="C9" s="5"/>
      <c r="D9" s="7"/>
      <c r="E9" s="32"/>
      <c r="F9" s="5"/>
      <c r="G9" s="7">
        <v>600</v>
      </c>
      <c r="H9" s="5"/>
      <c r="I9" s="5"/>
      <c r="J9" s="5"/>
      <c r="K9" s="5"/>
      <c r="L9" s="5"/>
      <c r="M9" s="5"/>
      <c r="N9" s="5"/>
      <c r="O9" s="5"/>
      <c r="T9" s="6">
        <v>10</v>
      </c>
      <c r="AI9" s="6" t="s">
        <v>16</v>
      </c>
      <c r="AJ9" s="6" t="s">
        <v>17</v>
      </c>
      <c r="AL9" s="6">
        <v>1000</v>
      </c>
      <c r="AM9" s="6">
        <v>400</v>
      </c>
      <c r="AN9" s="6">
        <v>40</v>
      </c>
      <c r="AS9" s="6" t="s">
        <v>27</v>
      </c>
      <c r="AT9" s="6" t="s">
        <v>18</v>
      </c>
      <c r="AU9" s="6" t="s">
        <v>19</v>
      </c>
    </row>
    <row r="10" spans="1:154" ht="15.75" customHeight="1" x14ac:dyDescent="0.2">
      <c r="A10" s="5"/>
      <c r="B10" s="5"/>
      <c r="C10" s="5"/>
      <c r="D10" s="5"/>
      <c r="E10" s="5"/>
      <c r="F10" s="7">
        <v>11</v>
      </c>
      <c r="G10" s="7">
        <v>500</v>
      </c>
      <c r="H10" s="5"/>
      <c r="I10" s="5"/>
      <c r="J10" s="5"/>
      <c r="K10" s="5"/>
      <c r="L10" s="5"/>
      <c r="M10" s="5"/>
      <c r="N10" s="5"/>
      <c r="O10" s="5"/>
      <c r="AI10" s="6" t="s">
        <v>16</v>
      </c>
      <c r="AJ10" s="6" t="s">
        <v>17</v>
      </c>
      <c r="AL10" s="6">
        <v>1000</v>
      </c>
      <c r="AM10" s="6">
        <v>500</v>
      </c>
      <c r="AN10" s="6">
        <v>50</v>
      </c>
      <c r="AS10" s="6" t="s">
        <v>27</v>
      </c>
      <c r="AT10" s="6" t="s">
        <v>18</v>
      </c>
      <c r="AU10" s="6" t="s">
        <v>21</v>
      </c>
    </row>
    <row r="11" spans="1:154" ht="15.75" customHeight="1" x14ac:dyDescent="0.2">
      <c r="A11" s="5"/>
      <c r="B11" s="5"/>
      <c r="C11" s="5"/>
      <c r="D11" s="5"/>
      <c r="E11" s="5"/>
      <c r="F11" s="7">
        <v>11</v>
      </c>
      <c r="G11" s="7">
        <v>400</v>
      </c>
      <c r="H11" s="5"/>
      <c r="I11" s="5"/>
      <c r="J11" s="5"/>
      <c r="K11" s="5"/>
      <c r="L11" s="5"/>
      <c r="M11" s="5"/>
      <c r="N11" s="5"/>
      <c r="O11" s="5"/>
      <c r="T11" s="6">
        <v>10</v>
      </c>
      <c r="AI11" s="6" t="s">
        <v>16</v>
      </c>
      <c r="AJ11" s="6" t="s">
        <v>17</v>
      </c>
      <c r="AL11" s="6">
        <v>1000</v>
      </c>
      <c r="AM11" s="6">
        <v>600</v>
      </c>
      <c r="AN11" s="6">
        <v>60</v>
      </c>
      <c r="AS11" s="6" t="s">
        <v>27</v>
      </c>
      <c r="AT11" s="6" t="s">
        <v>18</v>
      </c>
      <c r="AU11" s="6" t="s">
        <v>23</v>
      </c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Q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73" width="14.42578125" customWidth="1"/>
  </cols>
  <sheetData>
    <row r="1" spans="1:173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</row>
    <row r="2" spans="1:173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73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</row>
    <row r="4" spans="1:173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</row>
    <row r="5" spans="1:173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 t="str">
        <f ca="1">IFERROR(__xludf.DUMMYFUNCTION("""COMPUTED_VALUE"""),"ITM/OTM")</f>
        <v>ITM/OTM</v>
      </c>
      <c r="FD5" s="24" t="str">
        <f ca="1">IFERROR(__xludf.DUMMYFUNCTION("""COMPUTED_VALUE"""),"Days to Expiry")</f>
        <v>Days to Expiry</v>
      </c>
      <c r="FE5" s="24" t="str">
        <f ca="1">IFERROR(__xludf.DUMMYFUNCTION("""COMPUTED_VALUE"""),"% of Underlying Price")</f>
        <v>% of Underlying Price</v>
      </c>
      <c r="FF5" s="24" t="str">
        <f ca="1">IFERROR(__xludf.DUMMYFUNCTION("""COMPUTED_VALUE"""),"Intrinsic value")</f>
        <v>Intrinsic value</v>
      </c>
      <c r="FG5" s="24" t="str">
        <f ca="1">IFERROR(__xludf.DUMMYFUNCTION("""COMPUTED_VALUE"""),"Gain/Loss if Ex./Assign")</f>
        <v>Gain/Loss if Ex./Assign</v>
      </c>
      <c r="FH5" s="24"/>
      <c r="FI5" s="24"/>
      <c r="FJ5" s="24"/>
      <c r="FK5" s="24"/>
      <c r="FL5" s="24"/>
      <c r="FM5" s="24"/>
      <c r="FN5" s="24"/>
      <c r="FO5" s="24"/>
      <c r="FP5" s="24"/>
      <c r="FQ5" s="24"/>
    </row>
    <row r="6" spans="1:173" ht="15.75" customHeight="1" x14ac:dyDescent="0.2">
      <c r="A6" s="7"/>
      <c r="B6" s="7"/>
      <c r="C6" s="7" t="s">
        <v>16</v>
      </c>
      <c r="D6" s="7">
        <v>400</v>
      </c>
      <c r="E6" s="7" t="s">
        <v>18</v>
      </c>
      <c r="F6" s="7" t="s">
        <v>33</v>
      </c>
      <c r="G6" s="7">
        <v>0</v>
      </c>
      <c r="H6" s="7" t="s">
        <v>24</v>
      </c>
      <c r="I6" s="7">
        <v>0</v>
      </c>
      <c r="J6" s="5"/>
      <c r="K6" s="5"/>
      <c r="L6" s="5"/>
      <c r="M6" s="5"/>
      <c r="N6" s="5"/>
      <c r="O6" s="5"/>
      <c r="S6" s="6" t="s">
        <v>20</v>
      </c>
      <c r="T6" s="6" t="s">
        <v>34</v>
      </c>
      <c r="U6" s="6" t="s">
        <v>35</v>
      </c>
      <c r="W6" s="6" t="s">
        <v>36</v>
      </c>
      <c r="X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400</v>
      </c>
      <c r="AG6" s="6">
        <v>0</v>
      </c>
      <c r="AH6" s="6">
        <v>0</v>
      </c>
      <c r="AN6" s="6" t="s">
        <v>17</v>
      </c>
      <c r="AP6" s="6" t="s">
        <v>24</v>
      </c>
      <c r="AS6" s="6">
        <v>1</v>
      </c>
      <c r="BR6" s="6" t="s">
        <v>27</v>
      </c>
      <c r="BU6" s="6" t="s">
        <v>34</v>
      </c>
      <c r="BX6" s="6">
        <v>0</v>
      </c>
      <c r="BY6" s="6">
        <v>0</v>
      </c>
      <c r="BZ6" s="6">
        <v>0</v>
      </c>
      <c r="CF6" s="6">
        <v>0</v>
      </c>
      <c r="EI6" s="6">
        <v>0</v>
      </c>
      <c r="EJ6" s="6">
        <v>0</v>
      </c>
      <c r="EK6" s="6">
        <v>0</v>
      </c>
    </row>
    <row r="7" spans="1:173" ht="15.75" customHeight="1" x14ac:dyDescent="0.2">
      <c r="A7" s="5"/>
      <c r="B7" s="5"/>
      <c r="C7" s="7" t="s">
        <v>16</v>
      </c>
      <c r="D7" s="7">
        <v>500</v>
      </c>
      <c r="E7" s="7" t="s">
        <v>18</v>
      </c>
      <c r="F7" s="7" t="s">
        <v>33</v>
      </c>
      <c r="G7" s="7">
        <v>11</v>
      </c>
      <c r="H7" s="7" t="s">
        <v>24</v>
      </c>
      <c r="I7" s="7">
        <v>0</v>
      </c>
      <c r="J7" s="5"/>
      <c r="K7" s="5"/>
      <c r="L7" s="5"/>
      <c r="M7" s="5"/>
      <c r="N7" s="5"/>
      <c r="O7" s="5"/>
      <c r="S7" s="6" t="s">
        <v>22</v>
      </c>
      <c r="T7" s="25" t="s">
        <v>34</v>
      </c>
      <c r="U7" s="6" t="s">
        <v>35</v>
      </c>
      <c r="W7" s="6" t="s">
        <v>36</v>
      </c>
      <c r="X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500</v>
      </c>
      <c r="AG7" s="6">
        <v>0</v>
      </c>
      <c r="AH7" s="6">
        <v>0</v>
      </c>
      <c r="AN7" s="6" t="s">
        <v>17</v>
      </c>
      <c r="AP7" s="6" t="s">
        <v>24</v>
      </c>
      <c r="AS7" s="6">
        <v>1</v>
      </c>
      <c r="BR7" s="6" t="s">
        <v>27</v>
      </c>
      <c r="BU7" s="6" t="s">
        <v>34</v>
      </c>
      <c r="BX7" s="6">
        <v>0</v>
      </c>
      <c r="BY7" s="6">
        <v>0</v>
      </c>
      <c r="BZ7" s="6">
        <v>0</v>
      </c>
      <c r="CF7" s="6">
        <v>0</v>
      </c>
      <c r="EI7" s="6">
        <v>0</v>
      </c>
      <c r="EJ7" s="6">
        <v>0</v>
      </c>
      <c r="EK7" s="6">
        <v>0</v>
      </c>
    </row>
    <row r="8" spans="1:173" ht="15.75" customHeight="1" x14ac:dyDescent="0.2">
      <c r="A8" s="5"/>
      <c r="B8" s="5"/>
      <c r="C8" s="7" t="s">
        <v>16</v>
      </c>
      <c r="D8" s="7">
        <v>600</v>
      </c>
      <c r="E8" s="7" t="s">
        <v>18</v>
      </c>
      <c r="F8" s="7" t="s">
        <v>33</v>
      </c>
      <c r="G8" s="7">
        <v>11</v>
      </c>
      <c r="H8" s="7" t="s">
        <v>24</v>
      </c>
      <c r="I8" s="7">
        <v>0</v>
      </c>
      <c r="J8" s="5"/>
      <c r="K8" s="5"/>
      <c r="L8" s="5"/>
      <c r="M8" s="5"/>
      <c r="N8" s="5"/>
      <c r="O8" s="5"/>
      <c r="S8" s="6" t="s">
        <v>24</v>
      </c>
      <c r="T8" s="25" t="s">
        <v>34</v>
      </c>
      <c r="U8" s="6" t="s">
        <v>35</v>
      </c>
      <c r="W8" s="6" t="s">
        <v>36</v>
      </c>
      <c r="X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600</v>
      </c>
      <c r="AG8" s="6">
        <v>0</v>
      </c>
      <c r="AH8" s="6">
        <v>0</v>
      </c>
      <c r="AN8" s="6" t="s">
        <v>17</v>
      </c>
      <c r="AP8" s="6" t="s">
        <v>24</v>
      </c>
      <c r="AS8" s="6">
        <v>1</v>
      </c>
      <c r="BR8" s="6" t="s">
        <v>27</v>
      </c>
      <c r="BU8" s="6" t="s">
        <v>34</v>
      </c>
      <c r="BX8" s="6">
        <v>0</v>
      </c>
      <c r="BY8" s="6">
        <v>0</v>
      </c>
      <c r="BZ8" s="6">
        <v>0</v>
      </c>
      <c r="CF8" s="6">
        <v>0</v>
      </c>
      <c r="EI8" s="6">
        <v>0</v>
      </c>
      <c r="EJ8" s="6">
        <v>0</v>
      </c>
      <c r="EK8" s="6">
        <v>0</v>
      </c>
    </row>
    <row r="9" spans="1:173" ht="15.75" customHeight="1" x14ac:dyDescent="0.2">
      <c r="A9" s="7"/>
      <c r="B9" s="7"/>
      <c r="C9" s="7" t="s">
        <v>16</v>
      </c>
      <c r="D9" s="7">
        <v>400</v>
      </c>
      <c r="E9" s="7" t="s">
        <v>18</v>
      </c>
      <c r="F9" s="7" t="s">
        <v>33</v>
      </c>
      <c r="G9" s="7">
        <v>0</v>
      </c>
      <c r="H9" s="7" t="s">
        <v>24</v>
      </c>
      <c r="I9" s="7">
        <v>0</v>
      </c>
      <c r="J9" s="5"/>
      <c r="K9" s="5"/>
      <c r="L9" s="5"/>
      <c r="M9" s="5"/>
      <c r="N9" s="5"/>
      <c r="O9" s="5"/>
      <c r="S9" s="6" t="s">
        <v>20</v>
      </c>
      <c r="T9" s="6" t="s">
        <v>34</v>
      </c>
      <c r="U9" s="6" t="s">
        <v>35</v>
      </c>
      <c r="W9" s="6" t="s">
        <v>36</v>
      </c>
      <c r="X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400</v>
      </c>
      <c r="AG9" s="6">
        <v>0</v>
      </c>
      <c r="AH9" s="6">
        <v>0</v>
      </c>
      <c r="AN9" s="6" t="s">
        <v>17</v>
      </c>
      <c r="AP9" s="6" t="s">
        <v>24</v>
      </c>
      <c r="AS9" s="6">
        <v>1</v>
      </c>
      <c r="BR9" s="6" t="s">
        <v>27</v>
      </c>
      <c r="BU9" s="6" t="s">
        <v>34</v>
      </c>
      <c r="BX9" s="6">
        <v>0</v>
      </c>
      <c r="BY9" s="6">
        <v>0</v>
      </c>
      <c r="BZ9" s="6">
        <v>0</v>
      </c>
      <c r="CF9" s="6">
        <v>0</v>
      </c>
      <c r="EI9" s="6">
        <v>0</v>
      </c>
      <c r="EJ9" s="6">
        <v>0</v>
      </c>
      <c r="EK9" s="6">
        <v>0</v>
      </c>
    </row>
    <row r="10" spans="1:173" ht="15.75" customHeight="1" x14ac:dyDescent="0.2">
      <c r="A10" s="5"/>
      <c r="B10" s="5"/>
      <c r="C10" s="7" t="s">
        <v>16</v>
      </c>
      <c r="D10" s="7">
        <v>500</v>
      </c>
      <c r="E10" s="7" t="s">
        <v>18</v>
      </c>
      <c r="F10" s="7" t="s">
        <v>33</v>
      </c>
      <c r="G10" s="7">
        <v>11</v>
      </c>
      <c r="H10" s="7" t="s">
        <v>24</v>
      </c>
      <c r="I10" s="7">
        <v>0</v>
      </c>
      <c r="J10" s="5"/>
      <c r="K10" s="5"/>
      <c r="L10" s="5"/>
      <c r="M10" s="5"/>
      <c r="N10" s="5"/>
      <c r="O10" s="5"/>
      <c r="S10" s="6" t="s">
        <v>22</v>
      </c>
      <c r="T10" s="25" t="s">
        <v>34</v>
      </c>
      <c r="U10" s="6" t="s">
        <v>35</v>
      </c>
      <c r="W10" s="6" t="s">
        <v>36</v>
      </c>
      <c r="X10" s="6">
        <v>1</v>
      </c>
      <c r="AB10" s="6">
        <v>0</v>
      </c>
      <c r="AC10" s="6">
        <v>0</v>
      </c>
      <c r="AD10" s="6">
        <v>0</v>
      </c>
      <c r="AE10" s="6">
        <v>0</v>
      </c>
      <c r="AF10" s="6">
        <v>500</v>
      </c>
      <c r="AG10" s="6">
        <v>0</v>
      </c>
      <c r="AH10" s="6">
        <v>0</v>
      </c>
      <c r="AN10" s="6" t="s">
        <v>17</v>
      </c>
      <c r="AP10" s="6" t="s">
        <v>24</v>
      </c>
      <c r="AS10" s="6">
        <v>1</v>
      </c>
      <c r="BR10" s="6" t="s">
        <v>27</v>
      </c>
      <c r="BU10" s="6" t="s">
        <v>34</v>
      </c>
      <c r="BX10" s="6">
        <v>0</v>
      </c>
      <c r="BY10" s="6">
        <v>0</v>
      </c>
      <c r="BZ10" s="6">
        <v>0</v>
      </c>
      <c r="CF10" s="6">
        <v>0</v>
      </c>
      <c r="EI10" s="6">
        <v>0</v>
      </c>
      <c r="EJ10" s="6">
        <v>0</v>
      </c>
      <c r="EK10" s="6">
        <v>0</v>
      </c>
    </row>
    <row r="11" spans="1:173" ht="15.75" customHeight="1" x14ac:dyDescent="0.2">
      <c r="A11" s="5"/>
      <c r="B11" s="5"/>
      <c r="C11" s="7" t="s">
        <v>16</v>
      </c>
      <c r="D11" s="7">
        <v>600</v>
      </c>
      <c r="E11" s="7" t="s">
        <v>18</v>
      </c>
      <c r="F11" s="7" t="s">
        <v>33</v>
      </c>
      <c r="G11" s="7">
        <v>11</v>
      </c>
      <c r="H11" s="7" t="s">
        <v>24</v>
      </c>
      <c r="I11" s="7">
        <v>0</v>
      </c>
      <c r="J11" s="5"/>
      <c r="K11" s="5"/>
      <c r="L11" s="5"/>
      <c r="M11" s="5"/>
      <c r="N11" s="5"/>
      <c r="O11" s="5"/>
      <c r="S11" s="6" t="s">
        <v>24</v>
      </c>
      <c r="T11" s="25" t="s">
        <v>34</v>
      </c>
      <c r="U11" s="6" t="s">
        <v>35</v>
      </c>
      <c r="W11" s="6" t="s">
        <v>36</v>
      </c>
      <c r="X11" s="6">
        <v>1</v>
      </c>
      <c r="AB11" s="6">
        <v>0</v>
      </c>
      <c r="AC11" s="6">
        <v>0</v>
      </c>
      <c r="AD11" s="6">
        <v>0</v>
      </c>
      <c r="AE11" s="6">
        <v>0</v>
      </c>
      <c r="AF11" s="6">
        <v>600</v>
      </c>
      <c r="AG11" s="6">
        <v>0</v>
      </c>
      <c r="AH11" s="6">
        <v>0</v>
      </c>
      <c r="AN11" s="6" t="s">
        <v>17</v>
      </c>
      <c r="AP11" s="6" t="s">
        <v>24</v>
      </c>
      <c r="AS11" s="6">
        <v>1</v>
      </c>
      <c r="BR11" s="6" t="s">
        <v>27</v>
      </c>
      <c r="BU11" s="6" t="s">
        <v>34</v>
      </c>
      <c r="BX11" s="6">
        <v>0</v>
      </c>
      <c r="BY11" s="6">
        <v>0</v>
      </c>
      <c r="BZ11" s="6">
        <v>0</v>
      </c>
      <c r="CF11" s="6">
        <v>0</v>
      </c>
      <c r="EI11" s="6">
        <v>0</v>
      </c>
      <c r="EJ11" s="6">
        <v>0</v>
      </c>
      <c r="EK11" s="6">
        <v>0</v>
      </c>
    </row>
    <row r="12" spans="1:173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73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73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73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73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_Modules</vt:lpstr>
      <vt:lpstr>_Settings</vt:lpstr>
      <vt:lpstr>_MasterData</vt:lpstr>
      <vt:lpstr>CreateDoneAwayOrder</vt:lpstr>
      <vt:lpstr>ReloadOrderFromBlotter</vt:lpstr>
      <vt:lpstr>DoneAwayUsingMTT</vt:lpstr>
      <vt:lpstr>VerifyOrder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2021-09-20T12:45:59Z</dcterms:modified>
</cp:coreProperties>
</file>