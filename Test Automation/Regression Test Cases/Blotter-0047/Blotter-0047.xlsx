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SelectUnallocatedGroup" sheetId="8" r:id="rId10"/>
    <sheet state="visible" name="EnterAllocatePreference" sheetId="9" r:id="rId11"/>
    <sheet state="visible" name="GetDataAllocation" sheetId="10" r:id="rId12"/>
    <sheet state="visible" name="SelectTradeOnOrderGrid" sheetId="11" r:id="rId13"/>
    <sheet state="visible" name="GoToAllocation" sheetId="12" r:id="rId14"/>
  </sheets>
  <definedNames/>
  <calcPr/>
</workbook>
</file>

<file path=xl/sharedStrings.xml><?xml version="1.0" encoding="utf-8"?>
<sst xmlns="http://schemas.openxmlformats.org/spreadsheetml/2006/main" count="92" uniqueCount="36">
  <si>
    <t>Modules Info</t>
  </si>
  <si>
    <t>Settings</t>
  </si>
  <si>
    <t>Master Data Info</t>
  </si>
  <si>
    <t>Module Step Setting File</t>
  </si>
  <si>
    <t>Modules</t>
  </si>
  <si>
    <t>1BICZ_GcMhh_S937ZinFvSYqvvKYtOYB2Bc4woEPpgPg</t>
  </si>
  <si>
    <t>Master Data Settings File</t>
  </si>
  <si>
    <t>Module</t>
  </si>
  <si>
    <t>1hEhI9rg16D4Xvfk19pDaFUFF78jjfIG29BBaNg8kT0A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</si>
  <si>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</si>
  <si>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</si>
  <si>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</si>
  <si>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</si>
  <si>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</si>
  <si>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</si>
  <si>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</si>
  <si>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</si>
  <si>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</si>
  <si>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</si>
  <si>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Allocation</t>
  </si>
  <si>
    <t>AddCalculatedPreferences</t>
  </si>
  <si>
    <t>SetAccountValueCalculatedPref</t>
  </si>
  <si>
    <t>Allocation2</t>
  </si>
  <si>
    <t>Allocation3</t>
  </si>
  <si>
    <t>SetDefaultRuleCalculatedPref</t>
  </si>
  <si>
    <t>Fair Pricing</t>
  </si>
  <si>
    <t>Account Inception</t>
  </si>
  <si>
    <t>SelectUnallocatedGroup</t>
  </si>
  <si>
    <t>EnterAllocatePreference</t>
  </si>
  <si>
    <t>Calculated</t>
  </si>
  <si>
    <t>GetDataAllocation</t>
  </si>
  <si>
    <t>Current</t>
  </si>
  <si>
    <t>Blotter</t>
  </si>
  <si>
    <t>SelectTradeOnOrderGrid</t>
  </si>
  <si>
    <t>Filled</t>
  </si>
  <si>
    <t>GoToAllocation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</si>
</sst>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9"/>
      <c r="C3" s="12"/>
      <c r="D3" s="12"/>
      <c r="E3" s="12"/>
      <c r="F3" s="12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2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5</v>
      </c>
      <c r="C3" s="6"/>
    </row>
    <row r="4" ht="15.75" customHeight="1">
      <c r="A4" s="11" t="s">
        <v>6</v>
      </c>
      <c r="B4" s="10" t="s">
        <v>8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2</v>
      </c>
      <c r="B1" s="2"/>
      <c r="C1" s="2"/>
      <c r="D1" s="2"/>
      <c r="E1" s="2"/>
      <c r="F1" s="5"/>
    </row>
    <row r="2">
      <c r="A2" s="7"/>
      <c r="B2" s="7"/>
      <c r="C2" s="7"/>
      <c r="D2" s="7"/>
      <c r="E2" s="7"/>
      <c r="F2" s="7"/>
    </row>
    <row r="3">
      <c r="A3" s="11" t="s">
        <v>7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13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0" t="s">
        <v>16</v>
      </c>
      <c r="C6" s="10" t="s">
        <v>17</v>
      </c>
      <c r="D6" s="10">
        <v>4500.0</v>
      </c>
      <c r="E6" s="10"/>
      <c r="F6" s="10" t="s">
        <v>18</v>
      </c>
      <c r="G6" s="6"/>
      <c r="H6" s="6"/>
      <c r="I6" s="6"/>
      <c r="J6" s="10">
        <v>45.0</v>
      </c>
      <c r="K6" s="6"/>
      <c r="L6" s="6"/>
      <c r="M6" s="6"/>
      <c r="N6" s="29">
        <f>Today()</f>
        <v>43712</v>
      </c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19</v>
      </c>
      <c r="D3" s="8" t="s">
        <v>9</v>
      </c>
      <c r="E3" s="21" t="s">
        <v>20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IFERROR(__xludf.DUMMYFUNCTION("""COMPUTED_VALUE"""),"PreferenceName")</f>
        <v>PreferenceName</v>
      </c>
      <c r="C5" s="26" t="str">
        <f>IFERROR(__xludf.DUMMYFUNCTION("""COMPUTED_VALUE"""),"")</f>
        <v/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tr">
        <f>"Pref7-"&amp;text(TODAY(),"dd-mm-yy")</f>
        <v>Pref7-04-09-19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1svq-61dzaRHeNDz1TSSUPXQbbN3Mi4bhNQabvGVoz2c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19</v>
      </c>
      <c r="D3" s="8" t="s">
        <v>9</v>
      </c>
      <c r="E3" s="21" t="s">
        <v>21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IFERROR(__xludf.DUMMYFUNCTION("""COMPUTED_VALUE"""),"PreferenceName")</f>
        <v>PreferenceName</v>
      </c>
      <c r="C5" s="26" t="str">
        <f>IFERROR(__xludf.DUMMYFUNCTION("""COMPUTED_VALUE"""),"AccountName")</f>
        <v>AccountName</v>
      </c>
      <c r="D5" s="26" t="str">
        <f>IFERROR(__xludf.DUMMYFUNCTION("""COMPUTED_VALUE"""),"Percentage")</f>
        <v>Percentage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tr">
        <f t="shared" ref="B6:B7" si="1">"Pref7-"&amp;text(TODAY(),"dd-mm-yy")</f>
        <v>Pref7-04-09-19</v>
      </c>
      <c r="C6" s="30" t="s">
        <v>22</v>
      </c>
      <c r="D6" s="10">
        <v>60.0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 t="str">
        <f t="shared" si="1"/>
        <v>Pref7-04-09-19</v>
      </c>
      <c r="C7" s="10" t="s">
        <v>23</v>
      </c>
      <c r="D7" s="10">
        <v>40.0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1j6MD8nFEuJNo52Mp8uXbXRmrJs802rnEIiTOEuZFdWA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19</v>
      </c>
      <c r="D3" s="8" t="s">
        <v>9</v>
      </c>
      <c r="E3" s="21" t="s">
        <v>24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IFERROR(__xludf.DUMMYFUNCTION("""COMPUTED_VALUE"""),"AllocationMethod")</f>
        <v>AllocationMethod</v>
      </c>
      <c r="C5" s="26" t="str">
        <f>IFERROR(__xludf.DUMMYFUNCTION("""COMPUTED_VALUE"""),"RemainderAllocationTo")</f>
        <v>RemainderAllocationTo</v>
      </c>
      <c r="D5" s="26" t="str">
        <f>IFERROR(__xludf.DUMMYFUNCTION("""COMPUTED_VALUE"""),"Target%AsOf")</f>
        <v>Target%AsOf</v>
      </c>
      <c r="E5" s="26" t="str">
        <f>IFERROR(__xludf.DUMMYFUNCTION("""COMPUTED_VALUE"""),"ProrataAccounts")</f>
        <v>ProrataAccounts</v>
      </c>
      <c r="F5" s="27" t="str">
        <f>IFERROR(__xludf.DUMMYFUNCTION("""COMPUTED_VALUE"""),"DateUptoDays")</f>
        <v>DateUptoDays</v>
      </c>
      <c r="G5" s="26" t="str">
        <f>IFERROR(__xludf.DUMMYFUNCTION("""COMPUTED_VALUE"""),"MatchClosingTransactions")</f>
        <v>MatchClosingTransactions</v>
      </c>
      <c r="H5" s="26" t="str">
        <f>IFERROR(__xludf.DUMMYFUNCTION("""COMPUTED_VALUE"""),"PreferenceName")</f>
        <v>PreferenceName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0" t="s">
        <v>25</v>
      </c>
      <c r="C6" s="6"/>
      <c r="D6" s="10" t="s">
        <v>26</v>
      </c>
      <c r="E6" s="6"/>
      <c r="F6" s="6"/>
      <c r="G6" s="10" t="b">
        <v>1</v>
      </c>
      <c r="H6" s="6" t="str">
        <f>"Pref7-"&amp;text(TODAY(),"dd-mm-yy")</f>
        <v>Pref7-04-09-19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1-RJhOo2E5PhyqaiMEjsPi8RpfYBuiSqE9fj_-bRpkKw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19</v>
      </c>
      <c r="D3" s="8" t="s">
        <v>9</v>
      </c>
      <c r="E3" s="21" t="s">
        <v>27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IFERROR(__xludf.DUMMYFUNCTION("""COMPUTED_VALUE"""),"Side")</f>
        <v>Side</v>
      </c>
      <c r="D5" s="26" t="str">
        <f>IFERROR(__xludf.DUMMYFUNCTION("""COMPUTED_VALUE"""),"Quantity")</f>
        <v>Quantity</v>
      </c>
      <c r="E5" s="26" t="str">
        <f>IFERROR(__xludf.DUMMYFUNCTION("""COMPUTED_VALUE"""),"Executed Qty")</f>
        <v>Executed Qty</v>
      </c>
      <c r="F5" s="27" t="str">
        <f>IFERROR(__xludf.DUMMYFUNCTION("""COMPUTED_VALUE"""),"Trade Date")</f>
        <v>Trade Date</v>
      </c>
      <c r="G5" s="26" t="str">
        <f>IFERROR(__xludf.DUMMYFUNCTION("""COMPUTED_VALUE"""),"Net Amount( Local)")</f>
        <v>Net Amount( Local)</v>
      </c>
      <c r="H5" s="26" t="str">
        <f>IFERROR(__xludf.DUMMYFUNCTION("""COMPUTED_VALUE"""),"Net Amount( Base)")</f>
        <v>Net Amount( Base)</v>
      </c>
      <c r="I5" s="26" t="str">
        <f>IFERROR(__xludf.DUMMYFUNCTION("""COMPUTED_VALUE"""),"Principal Amount( Local)")</f>
        <v>Principal Amount( Local)</v>
      </c>
      <c r="J5" s="26" t="str">
        <f>IFERROR(__xludf.DUMMYFUNCTION("""COMPUTED_VALUE"""),"Transaction Type")</f>
        <v>Transaction Type</v>
      </c>
      <c r="K5" s="26" t="str">
        <f>IFERROR(__xludf.DUMMYFUNCTION("""COMPUTED_VALUE"""),"Principal Amount( Base)")</f>
        <v>Principal Amount( Base)</v>
      </c>
      <c r="L5" s="26" t="str">
        <f>IFERROR(__xludf.DUMMYFUNCTION("""COMPUTED_VALUE"""),"Execution Time")</f>
        <v>Execution Time</v>
      </c>
      <c r="M5" s="26" t="str">
        <f>IFERROR(__xludf.DUMMYFUNCTION("""COMPUTED_VALUE"""),"Trading Account")</f>
        <v>Trading Account</v>
      </c>
      <c r="N5" s="26" t="str">
        <f>IFERROR(__xludf.DUMMYFUNCTION("""COMPUTED_VALUE"""),"Avg Price(Local)")</f>
        <v>Avg Price(Local)</v>
      </c>
      <c r="O5" s="26" t="str">
        <f>IFERROR(__xludf.DUMMYFUNCTION("""COMPUTED_VALUE"""),"Avg Price(Base)")</f>
        <v>Avg Price(Base)</v>
      </c>
      <c r="P5" s="26" t="str">
        <f>IFERROR(__xludf.DUMMYFUNCTION("""COMPUTED_VALUE"""),"Broker")</f>
        <v>Broker</v>
      </c>
      <c r="Q5" s="26" t="str">
        <f>IFERROR(__xludf.DUMMYFUNCTION("""COMPUTED_VALUE"""),"FX Rate")</f>
        <v>FX Rate</v>
      </c>
      <c r="R5" s="26" t="str">
        <f>IFERROR(__xludf.DUMMYFUNCTION("""COMPUTED_VALUE"""),"Venue")</f>
        <v>Venue</v>
      </c>
      <c r="S5" s="26" t="str">
        <f>IFERROR(__xludf.DUMMYFUNCTION("""COMPUTED_VALUE"""),"FX Conversion Operator")</f>
        <v>FX Conversion Operator</v>
      </c>
      <c r="T5" s="28" t="str">
        <f>IFERROR(__xludf.DUMMYFUNCTION("""COMPUTED_VALUE"""),"User")</f>
        <v>User</v>
      </c>
      <c r="U5" s="28" t="str">
        <f>IFERROR(__xludf.DUMMYFUNCTION("""COMPUTED_VALUE"""),"Asset Category")</f>
        <v>Asset Category</v>
      </c>
      <c r="V5" s="28" t="str">
        <f>IFERROR(__xludf.DUMMYFUNCTION("""COMPUTED_VALUE"""),"Settlement Currency")</f>
        <v>Settlement Currency</v>
      </c>
      <c r="W5" s="28" t="str">
        <f>IFERROR(__xludf.DUMMYFUNCTION("""COMPUTED_VALUE"""),"Commission Per Share")</f>
        <v>Commission Per Share</v>
      </c>
      <c r="X5" s="28" t="str">
        <f>IFERROR(__xludf.DUMMYFUNCTION("""COMPUTED_VALUE"""),"Soft Commission Per Share")</f>
        <v>Soft Commission Per Share</v>
      </c>
      <c r="Y5" s="28" t="str">
        <f>IFERROR(__xludf.DUMMYFUNCTION("""COMPUTED_VALUE"""),"Total Commission Per Share")</f>
        <v>Total Commission Per Share</v>
      </c>
      <c r="Z5" s="28" t="str">
        <f>IFERROR(__xludf.DUMMYFUNCTION("""COMPUTED_VALUE"""),"Change Type")</f>
        <v>Change Type</v>
      </c>
      <c r="AA5" s="28" t="str">
        <f>IFERROR(__xludf.DUMMYFUNCTION("""COMPUTED_VALUE"""),"Trade Attribute 1")</f>
        <v>Trade Attribute 1</v>
      </c>
      <c r="AB5" s="28" t="str">
        <f>IFERROR(__xludf.DUMMYFUNCTION("""COMPUTED_VALUE"""),"Trade Attribute 2")</f>
        <v>Trade Attribute 2</v>
      </c>
      <c r="AC5" s="28" t="str">
        <f>IFERROR(__xludf.DUMMYFUNCTION("""COMPUTED_VALUE"""),"Trade Attribute 3")</f>
        <v>Trade Attribute 3</v>
      </c>
      <c r="AD5" s="28" t="str">
        <f>IFERROR(__xludf.DUMMYFUNCTION("""COMPUTED_VALUE"""),"Trade Attribute 4")</f>
        <v>Trade Attribute 4</v>
      </c>
      <c r="AE5" s="28" t="str">
        <f>IFERROR(__xludf.DUMMYFUNCTION("""COMPUTED_VALUE"""),"Trade Attribute 5")</f>
        <v>Trade Attribute 5</v>
      </c>
      <c r="AF5" s="28" t="str">
        <f>IFERROR(__xludf.DUMMYFUNCTION("""COMPUTED_VALUE"""),"Trade Attribute 6")</f>
        <v>Trade Attribute 6</v>
      </c>
      <c r="AG5" s="28" t="str">
        <f>IFERROR(__xludf.DUMMYFUNCTION("""COMPUTED_VALUE"""),"IsPreAllocated")</f>
        <v>IsPreAllocated</v>
      </c>
      <c r="AH5" s="28" t="str">
        <f>IFERROR(__xludf.DUMMYFUNCTION("""COMPUTED_VALUE"""),"IsManual Group")</f>
        <v>IsManual Group</v>
      </c>
      <c r="AI5" s="28" t="str">
        <f>IFERROR(__xludf.DUMMYFUNCTION("""COMPUTED_VALUE"""),"IsAnotherTaxlotAttributesUpdated")</f>
        <v>IsAnotherTaxlotAttributesUpdated</v>
      </c>
      <c r="AJ5" s="28" t="str">
        <f>IFERROR(__xludf.DUMMYFUNCTION("""COMPUTED_VALUE"""),"ISNDF")</f>
        <v>ISNDF</v>
      </c>
      <c r="AK5" s="28" t="str">
        <f>IFERROR(__xludf.DUMMYFUNCTION("""COMPUTED_VALUE"""),"M2MProfitLoss")</f>
        <v>M2MProfitLoss</v>
      </c>
      <c r="AL5" s="28" t="str">
        <f>IFERROR(__xludf.DUMMYFUNCTION("""COMPUTED_VALUE"""),"Put Or Call")</f>
        <v>Put Or Call</v>
      </c>
      <c r="AM5" s="28" t="str">
        <f>IFERROR(__xludf.DUMMYFUNCTION("""COMPUTED_VALUE"""),"GroupID")</f>
        <v>GroupID</v>
      </c>
      <c r="AN5" s="28" t="str">
        <f>IFERROR(__xludf.DUMMYFUNCTION("""COMPUTED_VALUE"""),"UnAllocatedQty")</f>
        <v>UnAllocatedQty</v>
      </c>
      <c r="AO5" s="28" t="str">
        <f>IFERROR(__xludf.DUMMYFUNCTION("""COMPUTED_VALUE"""),"Allocated Qty")</f>
        <v>Allocated Qty</v>
      </c>
      <c r="AP5" s="28" t="str">
        <f>IFERROR(__xludf.DUMMYFUNCTION("""COMPUTED_VALUE"""),"Commission")</f>
        <v>Commission</v>
      </c>
      <c r="AQ5" s="28" t="str">
        <f>IFERROR(__xludf.DUMMYFUNCTION("""COMPUTED_VALUE"""),"Soft Commission")</f>
        <v>Soft Commission</v>
      </c>
      <c r="AR5" s="28" t="str">
        <f>IFERROR(__xludf.DUMMYFUNCTION("""COMPUTED_VALUE"""),"Other Broker Fees")</f>
        <v>Other Broker Fees</v>
      </c>
      <c r="AS5" s="28" t="str">
        <f>IFERROR(__xludf.DUMMYFUNCTION("""COMPUTED_VALUE"""),"Clearing Broker Fee")</f>
        <v>Clearing Broker Fee</v>
      </c>
      <c r="AT5" s="28" t="str">
        <f>IFERROR(__xludf.DUMMYFUNCTION("""COMPUTED_VALUE"""),"Total Commission And Fee")</f>
        <v>Total Commission And Fee</v>
      </c>
      <c r="AU5" s="28" t="str">
        <f>IFERROR(__xludf.DUMMYFUNCTION("""COMPUTED_VALUE"""),"Transaction Levy")</f>
        <v>Transaction Levy</v>
      </c>
      <c r="AV5" s="28" t="str">
        <f>IFERROR(__xludf.DUMMYFUNCTION("""COMPUTED_VALUE"""),"Stamp Duty")</f>
        <v>Stamp Duty</v>
      </c>
      <c r="AW5" s="28" t="str">
        <f>IFERROR(__xludf.DUMMYFUNCTION("""COMPUTED_VALUE"""),"AUEC Fee1")</f>
        <v>AUEC Fee1</v>
      </c>
      <c r="AX5" s="28" t="str">
        <f>IFERROR(__xludf.DUMMYFUNCTION("""COMPUTED_VALUE"""),"Tax On Commissions")</f>
        <v>Tax On Commissions</v>
      </c>
      <c r="AY5" s="28" t="str">
        <f>IFERROR(__xludf.DUMMYFUNCTION("""COMPUTED_VALUE"""),"AUEC Fee2")</f>
        <v>AUEC Fee2</v>
      </c>
      <c r="AZ5" s="28" t="str">
        <f>IFERROR(__xludf.DUMMYFUNCTION("""COMPUTED_VALUE"""),"SEC Fee")</f>
        <v>SEC Fee</v>
      </c>
      <c r="BA5" s="28" t="str">
        <f>IFERROR(__xludf.DUMMYFUNCTION("""COMPUTED_VALUE"""),"OCC Fee")</f>
        <v>OCC Fee</v>
      </c>
      <c r="BB5" s="28" t="str">
        <f>IFERROR(__xludf.DUMMYFUNCTION("""COMPUTED_VALUE"""),"ORF Fee")</f>
        <v>ORF Fee</v>
      </c>
      <c r="BC5" s="28" t="str">
        <f>IFERROR(__xludf.DUMMYFUNCTION("""COMPUTED_VALUE"""),"Option Premium Adjustment")</f>
        <v>Option Premium Adjustment</v>
      </c>
      <c r="BD5" s="28" t="str">
        <f>IFERROR(__xludf.DUMMYFUNCTION("""COMPUTED_VALUE"""),"Prana Msg Type")</f>
        <v>Prana Msg Type</v>
      </c>
      <c r="BE5" s="28" t="str">
        <f>IFERROR(__xludf.DUMMYFUNCTION("""COMPUTED_VALUE"""),"Total Commission")</f>
        <v>Total Commission</v>
      </c>
      <c r="BF5" s="28" t="str">
        <f>IFERROR(__xludf.DUMMYFUNCTION("""COMPUTED_VALUE"""),"Closing Status")</f>
        <v>Closing Status</v>
      </c>
      <c r="BG5" s="28" t="str">
        <f>IFERROR(__xludf.DUMMYFUNCTION("""COMPUTED_VALUE"""),"Closing Method")</f>
        <v>Closing Method</v>
      </c>
      <c r="BH5" s="28" t="str">
        <f>IFERROR(__xludf.DUMMYFUNCTION("""COMPUTED_VALUE"""),"Group Status")</f>
        <v>Group Status</v>
      </c>
      <c r="BI5" s="28" t="str">
        <f>IFERROR(__xludf.DUMMYFUNCTION("""COMPUTED_VALUE"""),"Allocation Scheme Name")</f>
        <v>Allocation Scheme Name</v>
      </c>
      <c r="BJ5" s="28" t="str">
        <f>IFERROR(__xludf.DUMMYFUNCTION("""COMPUTED_VALUE"""),"Change Comment")</f>
        <v>Change Comment</v>
      </c>
      <c r="BK5" s="28" t="str">
        <f>IFERROR(__xludf.DUMMYFUNCTION("""COMPUTED_VALUE"""),"Order Type")</f>
        <v>Order Type</v>
      </c>
      <c r="BL5" s="28" t="str">
        <f>IFERROR(__xludf.DUMMYFUNCTION("""COMPUTED_VALUE"""),"Underlying")</f>
        <v>Underlying</v>
      </c>
      <c r="BM5" s="28" t="str">
        <f>IFERROR(__xludf.DUMMYFUNCTION("""COMPUTED_VALUE"""),"Exchange")</f>
        <v>Exchange</v>
      </c>
      <c r="BN5" s="28" t="str">
        <f>IFERROR(__xludf.DUMMYFUNCTION("""COMPUTED_VALUE"""),"Currency")</f>
        <v>Currency</v>
      </c>
      <c r="BO5" s="28" t="str">
        <f>IFERROR(__xludf.DUMMYFUNCTION("""COMPUTED_VALUE"""),"AUECID")</f>
        <v>AUECID</v>
      </c>
      <c r="BP5" s="28" t="str">
        <f>IFERROR(__xludf.DUMMYFUNCTION("""COMPUTED_VALUE"""),"Cum Qty For Sub Order")</f>
        <v>Cum Qty For Sub Order</v>
      </c>
      <c r="BQ5" s="28" t="str">
        <f>IFERROR(__xludf.DUMMYFUNCTION("""COMPUTED_VALUE"""),"Contract Multiplier")</f>
        <v>Contract Multiplier</v>
      </c>
      <c r="BR5" s="28" t="str">
        <f>IFERROR(__xludf.DUMMYFUNCTION("""COMPUTED_VALUE"""),"Company")</f>
        <v>Company</v>
      </c>
      <c r="BS5" s="28" t="str">
        <f>IFERROR(__xludf.DUMMYFUNCTION("""COMPUTED_VALUE"""),"Nirvana Process Date")</f>
        <v>Nirvana Process Date</v>
      </c>
      <c r="BT5" s="28" t="str">
        <f>IFERROR(__xludf.DUMMYFUNCTION("""COMPUTED_VALUE"""),"Process Date")</f>
        <v>Process Date</v>
      </c>
      <c r="BU5" s="28" t="str">
        <f>IFERROR(__xludf.DUMMYFUNCTION("""COMPUTED_VALUE"""),"Original Purchase Date")</f>
        <v>Original Purchase Date</v>
      </c>
      <c r="BV5" s="28" t="str">
        <f>IFERROR(__xludf.DUMMYFUNCTION("""COMPUTED_VALUE"""),"Closing Date")</f>
        <v>Closing Date</v>
      </c>
      <c r="BW5" s="28" t="str">
        <f>IFERROR(__xludf.DUMMYFUNCTION("""COMPUTED_VALUE"""),"Settlement Date")</f>
        <v>Settlement Date</v>
      </c>
      <c r="BX5" s="28" t="str">
        <f>IFERROR(__xludf.DUMMYFUNCTION("""COMPUTED_VALUE"""),"Expiration Date")</f>
        <v>Expiration Date</v>
      </c>
      <c r="BY5" s="28" t="str">
        <f>IFERROR(__xludf.DUMMYFUNCTION("""COMPUTED_VALUE"""),"Description")</f>
        <v>Description</v>
      </c>
      <c r="BZ5" s="28" t="str">
        <f>IFERROR(__xludf.DUMMYFUNCTION("""COMPUTED_VALUE"""),"Underlying Symbol")</f>
        <v>Underlying Symbol</v>
      </c>
      <c r="CA5" s="28" t="str">
        <f>IFERROR(__xludf.DUMMYFUNCTION("""COMPUTED_VALUE"""),"Accrued Interest")</f>
        <v>Accrued Interest</v>
      </c>
      <c r="CB5" s="28" t="str">
        <f>IFERROR(__xludf.DUMMYFUNCTION("""COMPUTED_VALUE"""),"Accrual Basis")</f>
        <v>Accrual Basis</v>
      </c>
      <c r="CC5" s="28" t="str">
        <f>IFERROR(__xludf.DUMMYFUNCTION("""COMPUTED_VALUE"""),"Bond Type")</f>
        <v>Bond Type</v>
      </c>
      <c r="CD5" s="28" t="str">
        <f>IFERROR(__xludf.DUMMYFUNCTION("""COMPUTED_VALUE"""),"Coupon Rate")</f>
        <v>Coupon Rate</v>
      </c>
      <c r="CE5" s="28" t="str">
        <f>IFERROR(__xludf.DUMMYFUNCTION("""COMPUTED_VALUE"""),"Delta")</f>
        <v>Delta</v>
      </c>
      <c r="CF5" s="28" t="str">
        <f>IFERROR(__xludf.DUMMYFUNCTION("""COMPUTED_VALUE"""),"Bloomberg")</f>
        <v>Bloomberg</v>
      </c>
      <c r="CG5" s="28" t="str">
        <f>IFERROR(__xludf.DUMMYFUNCTION("""COMPUTED_VALUE"""),"Sedol Symbol")</f>
        <v>Sedol Symbol</v>
      </c>
      <c r="CH5" s="28" t="str">
        <f>IFERROR(__xludf.DUMMYFUNCTION("""COMPUTED_VALUE"""),"Cusip Symbol")</f>
        <v>Cusip Symbol</v>
      </c>
      <c r="CI5" s="28" t="str">
        <f>IFERROR(__xludf.DUMMYFUNCTION("""COMPUTED_VALUE"""),"ISIN")</f>
        <v>ISIN</v>
      </c>
      <c r="CJ5" s="28" t="str">
        <f>IFERROR(__xludf.DUMMYFUNCTION("""COMPUTED_VALUE"""),"OSISSymbol")</f>
        <v>OSISSymbol</v>
      </c>
      <c r="CK5" s="28" t="str">
        <f>IFERROR(__xludf.DUMMYFUNCTION("""COMPUTED_VALUE"""),"IDCOSymbol")</f>
        <v>IDCOSymbol</v>
      </c>
      <c r="CL5" s="28" t="str">
        <f>IFERROR(__xludf.DUMMYFUNCTION("""COMPUTED_VALUE"""),"Underlying Delta")</f>
        <v>Underlying Delta</v>
      </c>
      <c r="CM5" s="28" t="str">
        <f>IFERROR(__xludf.DUMMYFUNCTION("""COMPUTED_VALUE"""),"Internal Comments")</f>
        <v>Internal Comments</v>
      </c>
      <c r="CN5" s="28" t="str">
        <f>IFERROR(__xludf.DUMMYFUNCTION("""COMPUTED_VALUE"""),"Proxy Symbol")</f>
        <v>Proxy Symbol</v>
      </c>
      <c r="CO5" s="28" t="str">
        <f>IFERROR(__xludf.DUMMYFUNCTION("""COMPUTED_VALUE"""),"Transaction Source")</f>
        <v>Transaction Source</v>
      </c>
      <c r="CP5" s="28" t="str">
        <f>IFERROR(__xludf.DUMMYFUNCTION("""COMPUTED_VALUE"""),"Import File Name")</f>
        <v>Import File Name</v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0" t="s">
        <v>16</v>
      </c>
      <c r="C6" s="10" t="s">
        <v>17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19</v>
      </c>
      <c r="D3" s="8" t="s">
        <v>9</v>
      </c>
      <c r="E3" s="21" t="s">
        <v>28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IFERROR(__xludf.DUMMYFUNCTION("""COMPUTED_VALUE"""),"PreferenceType")</f>
        <v>PreferenceType</v>
      </c>
      <c r="C5" s="26" t="str">
        <f>IFERROR(__xludf.DUMMYFUNCTION("""COMPUTED_VALUE"""),"PreferenceName")</f>
        <v>PreferenceName</v>
      </c>
      <c r="D5" s="26" t="str">
        <f>IFERROR(__xludf.DUMMYFUNCTION("""COMPUTED_VALUE"""),"PTTPrefNeeded")</f>
        <v>PTTPrefNeeded</v>
      </c>
      <c r="E5" s="26" t="str">
        <f>IFERROR(__xludf.DUMMYFUNCTION("""COMPUTED_VALUE"""),"IsForceAllocation")</f>
        <v>IsForceAllocation</v>
      </c>
      <c r="F5" s="27" t="str">
        <f>IFERROR(__xludf.DUMMYFUNCTION("""COMPUTED_VALUE"""),"AllocationMethod")</f>
        <v>AllocationMethod</v>
      </c>
      <c r="G5" s="26" t="str">
        <f>IFERROR(__xludf.DUMMYFUNCTION("""COMPUTED_VALUE"""),"RemainderAllocationTo")</f>
        <v>RemainderAllocationTo</v>
      </c>
      <c r="H5" s="26" t="str">
        <f>IFERROR(__xludf.DUMMYFUNCTION("""COMPUTED_VALUE"""),"Target%AsOf")</f>
        <v>Target%AsOf</v>
      </c>
      <c r="I5" s="26" t="str">
        <f>IFERROR(__xludf.DUMMYFUNCTION("""COMPUTED_VALUE"""),"AccountsForProrata")</f>
        <v>AccountsForProrata</v>
      </c>
      <c r="J5" s="26" t="str">
        <f>IFERROR(__xludf.DUMMYFUNCTION("""COMPUTED_VALUE"""),"DateUptoDays")</f>
        <v>DateUptoDays</v>
      </c>
      <c r="K5" s="26" t="str">
        <f>IFERROR(__xludf.DUMMYFUNCTION("""COMPUTED_VALUE"""),"MatchClosingTransactions")</f>
        <v>MatchClosingTransactions</v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0" t="s">
        <v>29</v>
      </c>
      <c r="C6" s="6" t="str">
        <f>"Pref7-"&amp;text(TODAY(),"dd-mm-yy")</f>
        <v>Pref7-04-09-19</v>
      </c>
      <c r="D6" s="6"/>
      <c r="E6" s="10" t="b">
        <v>1</v>
      </c>
      <c r="F6" s="10" t="s">
        <v>25</v>
      </c>
      <c r="G6" s="6"/>
      <c r="H6" s="6"/>
      <c r="I6" s="6"/>
      <c r="J6" s="6"/>
      <c r="K6" s="10" t="b">
        <v>1</v>
      </c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19</v>
      </c>
      <c r="D3" s="8" t="s">
        <v>9</v>
      </c>
      <c r="E3" s="21" t="s">
        <v>30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0" t="s">
        <v>31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32</v>
      </c>
      <c r="D3" s="8" t="s">
        <v>9</v>
      </c>
      <c r="E3" s="21" t="s">
        <v>33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 Fill Price (Base)")</f>
        <v>Avg Fill Price (Base)</v>
      </c>
      <c r="C5" s="26" t="str">
        <f>IFERROR(__xludf.DUMMYFUNCTION("""COMPUTED_VALUE"""),"Transaction Time")</f>
        <v>Transaction Time</v>
      </c>
      <c r="D5" s="26" t="str">
        <f>IFERROR(__xludf.DUMMYFUNCTION("""COMPUTED_VALUE"""),"Symbol")</f>
        <v>Symbol</v>
      </c>
      <c r="E5" s="26" t="str">
        <f>IFERROR(__xludf.DUMMYFUNCTION("""COMPUTED_VALUE"""),"Algo")</f>
        <v>Algo</v>
      </c>
      <c r="F5" s="27" t="str">
        <f>IFERROR(__xludf.DUMMYFUNCTION("""COMPUTED_VALUE"""),"Side")</f>
        <v>Side</v>
      </c>
      <c r="G5" s="26" t="str">
        <f>IFERROR(__xludf.DUMMYFUNCTION("""COMPUTED_VALUE"""),"Status")</f>
        <v>Status</v>
      </c>
      <c r="H5" s="26" t="str">
        <f>IFERROR(__xludf.DUMMYFUNCTION("""COMPUTED_VALUE"""),"Quantity")</f>
        <v>Quantity</v>
      </c>
      <c r="I5" s="26" t="str">
        <f>IFERROR(__xludf.DUMMYFUNCTION("""COMPUTED_VALUE"""),"Executed Qty")</f>
        <v>Executed Qty</v>
      </c>
      <c r="J5" s="26" t="str">
        <f>IFERROR(__xludf.DUMMYFUNCTION("""COMPUTED_VALUE"""),"% Executed")</f>
        <v>% Executed</v>
      </c>
      <c r="K5" s="26" t="str">
        <f>IFERROR(__xludf.DUMMYFUNCTION("""COMPUTED_VALUE"""),"Day Executed Qty")</f>
        <v>Day Executed Qty</v>
      </c>
      <c r="L5" s="26" t="str">
        <f>IFERROR(__xludf.DUMMYFUNCTION("""COMPUTED_VALUE"""),"Remaining Qty")</f>
        <v>Remaining Qty</v>
      </c>
      <c r="M5" s="26" t="str">
        <f>IFERROR(__xludf.DUMMYFUNCTION("""COMPUTED_VALUE"""),"Limit Price")</f>
        <v>Limit Price</v>
      </c>
      <c r="N5" s="26" t="str">
        <f>IFERROR(__xludf.DUMMYFUNCTION("""COMPUTED_VALUE"""),"Last Fill Price (Local)")</f>
        <v>Last Fill Price (Local)</v>
      </c>
      <c r="O5" s="26" t="str">
        <f>IFERROR(__xludf.DUMMYFUNCTION("""COMPUTED_VALUE"""),"Stop Price")</f>
        <v>Stop Price</v>
      </c>
      <c r="P5" s="26" t="str">
        <f>IFERROR(__xludf.DUMMYFUNCTION("""COMPUTED_VALUE"""),"Avg Fill Price (Local)")</f>
        <v>Avg Fill Price (Local)</v>
      </c>
      <c r="Q5" s="26" t="str">
        <f>IFERROR(__xludf.DUMMYFUNCTION("""COMPUTED_VALUE"""),"Broker")</f>
        <v>Broker</v>
      </c>
      <c r="R5" s="26" t="str">
        <f>IFERROR(__xludf.DUMMYFUNCTION("""COMPUTED_VALUE"""),"Account")</f>
        <v>Account</v>
      </c>
      <c r="S5" s="26" t="str">
        <f>IFERROR(__xludf.DUMMYFUNCTION("""COMPUTED_VALUE"""),"OrderID")</f>
        <v>OrderID</v>
      </c>
      <c r="T5" s="28" t="str">
        <f>IFERROR(__xludf.DUMMYFUNCTION("""COMPUTED_VALUE"""),"Order Type")</f>
        <v>Order Type</v>
      </c>
      <c r="U5" s="28" t="str">
        <f>IFERROR(__xludf.DUMMYFUNCTION("""COMPUTED_VALUE"""),"Principal Amount (Local)")</f>
        <v>Principal Amount (Local)</v>
      </c>
      <c r="V5" s="28" t="str">
        <f>IFERROR(__xludf.DUMMYFUNCTION("""COMPUTED_VALUE"""),"Principal Amount (Base)")</f>
        <v>Principal Amount (Base)</v>
      </c>
      <c r="W5" s="28" t="str">
        <f>IFERROR(__xludf.DUMMYFUNCTION("""COMPUTED_VALUE"""),"Peg")</f>
        <v>Peg</v>
      </c>
      <c r="X5" s="28" t="str">
        <f>IFERROR(__xludf.DUMMYFUNCTION("""COMPUTED_VALUE"""),"ParentClOrderID")</f>
        <v>ParentClOrderID</v>
      </c>
      <c r="Y5" s="28" t="str">
        <f>IFERROR(__xludf.DUMMYFUNCTION("""COMPUTED_VALUE"""),"Strike Price")</f>
        <v>Strike Price</v>
      </c>
      <c r="Z5" s="28" t="str">
        <f>IFERROR(__xludf.DUMMYFUNCTION("""COMPUTED_VALUE"""),"Last Shares")</f>
        <v>Last Shares</v>
      </c>
      <c r="AA5" s="28" t="str">
        <f>IFERROR(__xludf.DUMMYFUNCTION("""COMPUTED_VALUE"""),"Working Qty")</f>
        <v>Working Qty</v>
      </c>
      <c r="AB5" s="28" t="str">
        <f>IFERROR(__xludf.DUMMYFUNCTION("""COMPUTED_VALUE"""),"Bloomberg Symbol")</f>
        <v>Bloomberg Symbol</v>
      </c>
      <c r="AC5" s="28" t="str">
        <f>IFERROR(__xludf.DUMMYFUNCTION("""COMPUTED_VALUE"""),"Imported File Name")</f>
        <v>Imported File Name</v>
      </c>
      <c r="AD5" s="28" t="str">
        <f>IFERROR(__xludf.DUMMYFUNCTION("""COMPUTED_VALUE"""),"Master Fund")</f>
        <v>Master Fund</v>
      </c>
      <c r="AE5" s="28" t="str">
        <f>IFERROR(__xludf.DUMMYFUNCTION("""COMPUTED_VALUE"""),"Day Average Price")</f>
        <v>Day Average Price</v>
      </c>
      <c r="AF5" s="28" t="str">
        <f>IFERROR(__xludf.DUMMYFUNCTION("""COMPUTED_VALUE"""),"Asset Class")</f>
        <v>Asset Class</v>
      </c>
      <c r="AG5" s="28" t="str">
        <f>IFERROR(__xludf.DUMMYFUNCTION("""COMPUTED_VALUE"""),"Underlying Country")</f>
        <v>Underlying Country</v>
      </c>
      <c r="AH5" s="28" t="str">
        <f>IFERROR(__xludf.DUMMYFUNCTION("""COMPUTED_VALUE"""),"Trader")</f>
        <v>Trader</v>
      </c>
      <c r="AI5" s="28" t="str">
        <f>IFERROR(__xludf.DUMMYFUNCTION("""COMPUTED_VALUE"""),"User")</f>
        <v>User</v>
      </c>
      <c r="AJ5" s="28" t="str">
        <f>IFERROR(__xludf.DUMMYFUNCTION("""COMPUTED_VALUE"""),"Venue")</f>
        <v>Venue</v>
      </c>
      <c r="AK5" s="28" t="str">
        <f>IFERROR(__xludf.DUMMYFUNCTION("""COMPUTED_VALUE"""),"Settlement Currency")</f>
        <v>Settlement Currency</v>
      </c>
      <c r="AL5" s="28" t="str">
        <f>IFERROR(__xludf.DUMMYFUNCTION("""COMPUTED_VALUE"""),"FX Conversion Operator")</f>
        <v>FX Conversion Operator</v>
      </c>
      <c r="AM5" s="28" t="str">
        <f>IFERROR(__xludf.DUMMYFUNCTION("""COMPUTED_VALUE"""),"Process Date")</f>
        <v>Process Date</v>
      </c>
      <c r="AN5" s="28" t="str">
        <f>IFERROR(__xludf.DUMMYFUNCTION("""COMPUTED_VALUE"""),"Underlying Symbol")</f>
        <v>Underlying Symbol</v>
      </c>
      <c r="AO5" s="28" t="str">
        <f>IFERROR(__xludf.DUMMYFUNCTION("""COMPUTED_VALUE"""),"Put/Call")</f>
        <v>Put/Call</v>
      </c>
      <c r="AP5" s="28" t="str">
        <f>IFERROR(__xludf.DUMMYFUNCTION("""COMPUTED_VALUE"""),"FX Rate")</f>
        <v>FX Rate</v>
      </c>
      <c r="AQ5" s="28" t="str">
        <f>IFERROR(__xludf.DUMMYFUNCTION("""COMPUTED_VALUE"""),"Trade Attribute 1")</f>
        <v>Trade Attribute 1</v>
      </c>
      <c r="AR5" s="28" t="str">
        <f>IFERROR(__xludf.DUMMYFUNCTION("""COMPUTED_VALUE"""),"Trade Attribute 2")</f>
        <v>Trade Attribute 2</v>
      </c>
      <c r="AS5" s="28" t="str">
        <f>IFERROR(__xludf.DUMMYFUNCTION("""COMPUTED_VALUE"""),"Trade Attribute 3")</f>
        <v>Trade Attribute 3</v>
      </c>
      <c r="AT5" s="28" t="str">
        <f>IFERROR(__xludf.DUMMYFUNCTION("""COMPUTED_VALUE"""),"Trade Attribute 4")</f>
        <v>Trade Attribute 4</v>
      </c>
      <c r="AU5" s="28" t="str">
        <f>IFERROR(__xludf.DUMMYFUNCTION("""COMPUTED_VALUE"""),"Trade Attribute 5")</f>
        <v>Trade Attribute 5</v>
      </c>
      <c r="AV5" s="28" t="str">
        <f>IFERROR(__xludf.DUMMYFUNCTION("""COMPUTED_VALUE"""),"Trade Attribute 6")</f>
        <v>Trade Attribute 6</v>
      </c>
      <c r="AW5" s="28" t="str">
        <f>IFERROR(__xludf.DUMMYFUNCTION("""COMPUTED_VALUE"""),"Internal Comments")</f>
        <v>Internal Comments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6"/>
      <c r="D6" s="10" t="s">
        <v>16</v>
      </c>
      <c r="E6" s="6"/>
      <c r="F6" s="10" t="s">
        <v>17</v>
      </c>
      <c r="G6" s="10" t="s">
        <v>34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32</v>
      </c>
      <c r="D3" s="8" t="s">
        <v>9</v>
      </c>
      <c r="E3" s="21" t="s">
        <v>35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1")</f>
        <v>Trade Attribute 1</v>
      </c>
      <c r="N5" s="26" t="str">
        <f>IFERROR(__xludf.DUMMYFUNCTION("""COMPUTED_VALUE"""),"Trade Attribute 2")</f>
        <v>Trade Attribute 2</v>
      </c>
      <c r="O5" s="26" t="str">
        <f>IFERROR(__xludf.DUMMYFUNCTION("""COMPUTED_VALUE"""),"Trade Attribute 3")</f>
        <v>Trade Attribute 3</v>
      </c>
      <c r="P5" s="26" t="str">
        <f>IFERROR(__xludf.DUMMYFUNCTION("""COMPUTED_VALUE"""),"Trade Attribute 4")</f>
        <v>Trade Attribute 4</v>
      </c>
      <c r="Q5" s="26" t="str">
        <f>IFERROR(__xludf.DUMMYFUNCTION("""COMPUTED_VALUE"""),"Trade Attribute 5")</f>
        <v>Trade Attribute 5</v>
      </c>
      <c r="R5" s="26" t="str">
        <f>IFERROR(__xludf.DUMMYFUNCTION("""COMPUTED_VALUE"""),"Trade Attribute 6")</f>
        <v>Trade Attribute 6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FxRate Operator")</f>
        <v>Settlement FxRate Operator</v>
      </c>
      <c r="V5" s="28" t="str">
        <f>IFERROR(__xludf.DUMMYFUNCTION("""COMPUTED_VALUE"""),"Settlement Currency")</f>
        <v>Settlement Currency</v>
      </c>
      <c r="W5" s="28" t="str">
        <f>IFERROR(__xludf.DUMMYFUNCTION("""COMPUTED_VALUE"""),"Put/Call")</f>
        <v>Put/Call</v>
      </c>
      <c r="X5" s="28" t="str">
        <f>IFERROR(__xludf.DUMMYFUNCTION("""COMPUTED_VALUE"""),"Process Date")</f>
        <v>Process Date</v>
      </c>
      <c r="Y5" s="28" t="str">
        <f>IFERROR(__xludf.DUMMYFUNCTION("""COMPUTED_VALUE"""),"Peg")</f>
        <v>Peg</v>
      </c>
      <c r="Z5" s="28" t="str">
        <f>IFERROR(__xludf.DUMMYFUNCTION("""COMPUTED_VALUE"""),"ParentClOrderID")</f>
        <v>ParentClOrderID</v>
      </c>
      <c r="AA5" s="28" t="str">
        <f>IFERROR(__xludf.DUMMYFUNCTION("""COMPUTED_VALUE"""),"OrderID")</f>
        <v>OrderID</v>
      </c>
      <c r="AB5" s="28" t="str">
        <f>IFERROR(__xludf.DUMMYFUNCTION("""COMPUTED_VALUE"""),"Master Fund")</f>
        <v>Master Fund</v>
      </c>
      <c r="AC5" s="28" t="str">
        <f>IFERROR(__xludf.DUMMYFUNCTION("""COMPUTED_VALUE"""),"Last Shares")</f>
        <v>Last Shares</v>
      </c>
      <c r="AD5" s="28" t="str">
        <f>IFERROR(__xludf.DUMMYFUNCTION("""COMPUTED_VALUE"""),"Internal Comments")</f>
        <v>Internal Comments</v>
      </c>
      <c r="AE5" s="28" t="str">
        <f>IFERROR(__xludf.DUMMYFUNCTION("""COMPUTED_VALUE"""),"FX Rate")</f>
        <v>FX Rate</v>
      </c>
      <c r="AF5" s="28" t="str">
        <f>IFERROR(__xludf.DUMMYFUNCTION("""COMPUTED_VALUE"""),"Imported File Name")</f>
        <v>Imported File Name</v>
      </c>
      <c r="AG5" s="28" t="str">
        <f>IFERROR(__xludf.DUMMYFUNCTION("""COMPUTED_VALUE"""),"FX Conversion Operator")</f>
        <v>FX Conversion Operator</v>
      </c>
      <c r="AH5" s="28" t="str">
        <f>IFERROR(__xludf.DUMMYFUNCTION("""COMPUTED_VALUE"""),"Day Average Price")</f>
        <v>Day Average Price</v>
      </c>
      <c r="AI5" s="28" t="str">
        <f>IFERROR(__xludf.DUMMYFUNCTION("""COMPUTED_VALUE"""),"Asset Class")</f>
        <v>Asset Class</v>
      </c>
      <c r="AJ5" s="28" t="str">
        <f>IFERROR(__xludf.DUMMYFUNCTION("""COMPUTED_VALUE"""),"Symbol")</f>
        <v>Symbol</v>
      </c>
      <c r="AK5" s="28" t="str">
        <f>IFERROR(__xludf.DUMMYFUNCTION("""COMPUTED_VALUE"""),"Side")</f>
        <v>Side</v>
      </c>
      <c r="AL5" s="28" t="str">
        <f>IFERROR(__xludf.DUMMYFUNCTION("""COMPUTED_VALUE"""),"Status")</f>
        <v>Status</v>
      </c>
      <c r="AM5" s="28" t="str">
        <f>IFERROR(__xludf.DUMMYFUNCTION("""COMPUTED_VALUE"""),"Quantity")</f>
        <v>Quantity</v>
      </c>
      <c r="AN5" s="28" t="str">
        <f>IFERROR(__xludf.DUMMYFUNCTION("""COMPUTED_VALUE"""),"Executed Qty")</f>
        <v>Executed Qty</v>
      </c>
      <c r="AO5" s="28" t="str">
        <f>IFERROR(__xludf.DUMMYFUNCTION("""COMPUTED_VALUE"""),"% Executed")</f>
        <v>% Executed</v>
      </c>
      <c r="AP5" s="28" t="str">
        <f>IFERROR(__xludf.DUMMYFUNCTION("""COMPUTED_VALUE"""),"Day Executed Qty")</f>
        <v>Day Executed Qty</v>
      </c>
      <c r="AQ5" s="28" t="str">
        <f>IFERROR(__xludf.DUMMYFUNCTION("""COMPUTED_VALUE"""),"Remaining Qty")</f>
        <v>Remaining Qty</v>
      </c>
      <c r="AR5" s="28" t="str">
        <f>IFERROR(__xludf.DUMMYFUNCTION("""COMPUTED_VALUE"""),"Last Fill Price (Local)")</f>
        <v>Last Fill Price (Local)</v>
      </c>
      <c r="AS5" s="28" t="str">
        <f>IFERROR(__xludf.DUMMYFUNCTION("""COMPUTED_VALUE"""),"Avg Fill Price (Local)")</f>
        <v>Avg Fill Price (Local)</v>
      </c>
      <c r="AT5" s="28" t="str">
        <f>IFERROR(__xludf.DUMMYFUNCTION("""COMPUTED_VALUE"""),"Broker")</f>
        <v>Broker</v>
      </c>
      <c r="AU5" s="28" t="str">
        <f>IFERROR(__xludf.DUMMYFUNCTION("""COMPUTED_VALUE"""),"Account")</f>
        <v>Account</v>
      </c>
      <c r="AV5" s="28" t="str">
        <f>IFERROR(__xludf.DUMMYFUNCTION("""COMPUTED_VALUE"""),"Order Type")</f>
        <v>Order Type</v>
      </c>
      <c r="AW5" s="28" t="str">
        <f>IFERROR(__xludf.DUMMYFUNCTION("""COMPUTED_VALUE"""),"Principal Amount (Local)")</f>
        <v>Principal Amount (Local)</v>
      </c>
      <c r="AX5" s="28" t="str">
        <f>IFERROR(__xludf.DUMMYFUNCTION("""COMPUTED_VALUE"""),"Principal Amount (Base)")</f>
        <v>Principal Amount (Base)</v>
      </c>
      <c r="AY5" s="28" t="str">
        <f>IFERROR(__xludf.DUMMYFUNCTION("""COMPUTED_VALUE"""),"Settlement FxRate")</f>
        <v>Settlement FxRate</v>
      </c>
      <c r="AZ5" s="28" t="str">
        <f>IFERROR(__xludf.DUMMYFUNCTION("""COMPUTED_VALUE"""),"Settlement Price")</f>
        <v>Settlement Price</v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J6" s="30" t="s">
        <v>16</v>
      </c>
      <c r="AK6" s="30" t="s">
        <v>17</v>
      </c>
      <c r="AL6" s="30" t="s">
        <v>34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GoToAllocation!$4:$4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