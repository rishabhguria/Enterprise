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DailyCash" sheetId="5" r:id="rId7"/>
    <sheet state="visible" name="CalculatePTT" sheetId="6" r:id="rId8"/>
    <sheet state="visible" name="VerifyPTT" sheetId="7" r:id="rId9"/>
    <sheet state="visible" name="CreateDoneAwayOrder" sheetId="8" r:id="rId10"/>
    <sheet state="visible" name="PricingInput" sheetId="9" r:id="rId11"/>
    <sheet state="visible" name="CalculatePTT1" sheetId="10" r:id="rId12"/>
    <sheet state="visible" name="VerifyPTT1" sheetId="11" r:id="rId13"/>
    <sheet state="visible" name="CalculatePTT2" sheetId="12" r:id="rId14"/>
    <sheet state="visible" name="VerifyPTT2" sheetId="13" r:id="rId15"/>
    <sheet state="visible" name="CreateDoneAwayOrder1" sheetId="14" r:id="rId16"/>
  </sheets>
  <definedNames/>
  <calcPr/>
</workbook>
</file>

<file path=xl/sharedStrings.xml><?xml version="1.0" encoding="utf-8"?>
<sst xmlns="http://schemas.openxmlformats.org/spreadsheetml/2006/main" count="126" uniqueCount="35">
  <si>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</si>
  <si>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</si>
  <si>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</si>
  <si>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</si>
  <si>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</si>
  <si>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</si>
  <si>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</si>
  <si>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</si>
  <si>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</si>
  <si>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</si>
  <si>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</si>
  <si>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</si>
  <si>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</si>
  <si>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</si>
  <si>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</si>
  <si>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</si>
  <si>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UpdateDailyCash</t>
  </si>
  <si>
    <t>Allocation1</t>
  </si>
  <si>
    <t>USD</t>
  </si>
  <si>
    <t>Allocation2</t>
  </si>
  <si>
    <t>PTT</t>
  </si>
  <si>
    <t>CalculatePTT</t>
  </si>
  <si>
    <t>GOOG</t>
  </si>
  <si>
    <t>Buy</t>
  </si>
  <si>
    <t>Basis Point</t>
  </si>
  <si>
    <t>Yes</t>
  </si>
  <si>
    <t>Account</t>
  </si>
  <si>
    <t>Allocation1,Allocation2</t>
  </si>
  <si>
    <t>VerifyPTT</t>
  </si>
  <si>
    <t>TradingTicket</t>
  </si>
  <si>
    <t>CreateDoneAwayOrder</t>
  </si>
  <si>
    <t>PricingInput</t>
  </si>
  <si>
    <t>Set</t>
  </si>
  <si>
    <t>Decrease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</si>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</sst>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164" xfId="0" applyAlignment="1" applyFont="1" applyNumberFormat="1">
      <alignment readingOrder="0" shrinkToFit="0" wrapText="0"/>
    </xf>
    <xf borderId="0" fillId="0" fontId="5" numFmtId="164" xfId="0" applyAlignment="1" applyFont="1" applyNumberFormat="1">
      <alignment shrinkToFit="0" wrapText="0"/>
    </xf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1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>
        <f t="shared" ref="B6:C6" si="1">Today()-1</f>
        <v>45204</v>
      </c>
      <c r="C6" s="32">
        <f t="shared" si="1"/>
        <v>45204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 t="s">
        <v>18</v>
      </c>
      <c r="D6" s="13">
        <v>10000.0</v>
      </c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 t="s">
        <v>18</v>
      </c>
      <c r="D7" s="13">
        <v>20000.0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32.25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 t="s">
        <v>24</v>
      </c>
      <c r="E6" s="13">
        <v>2500.0</v>
      </c>
      <c r="F6" s="13">
        <v>20.0</v>
      </c>
      <c r="G6" s="13" t="s">
        <v>25</v>
      </c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13">
        <v>0.0</v>
      </c>
      <c r="E6" s="13">
        <v>0.0</v>
      </c>
      <c r="F6" s="8"/>
      <c r="G6" s="8"/>
      <c r="H6" s="8"/>
      <c r="I6" s="13">
        <v>0.0</v>
      </c>
      <c r="J6" s="13">
        <v>0.0</v>
      </c>
      <c r="K6" s="13">
        <v>0.0</v>
      </c>
      <c r="L6" s="13">
        <v>0.0</v>
      </c>
      <c r="M6" s="13">
        <v>1.0</v>
      </c>
      <c r="N6" s="13">
        <v>0.0</v>
      </c>
      <c r="O6" s="13">
        <v>0.0</v>
      </c>
      <c r="P6" s="9">
        <v>0.0</v>
      </c>
    </row>
    <row r="7" ht="15.75" customHeight="1">
      <c r="A7" s="8"/>
      <c r="B7" s="13" t="s">
        <v>19</v>
      </c>
      <c r="C7" s="13">
        <v>20000.0</v>
      </c>
      <c r="D7" s="13">
        <v>0.0</v>
      </c>
      <c r="E7" s="13">
        <v>0.0</v>
      </c>
      <c r="F7" s="8"/>
      <c r="G7" s="8"/>
      <c r="H7" s="8"/>
      <c r="I7" s="13">
        <v>0.0</v>
      </c>
      <c r="J7" s="13">
        <v>0.0</v>
      </c>
      <c r="K7" s="13">
        <v>0.0</v>
      </c>
      <c r="L7" s="13">
        <v>0.0</v>
      </c>
      <c r="M7" s="13">
        <v>1.0</v>
      </c>
      <c r="N7" s="13">
        <v>0.0</v>
      </c>
      <c r="O7" s="13">
        <v>0.0</v>
      </c>
      <c r="P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13">
        <v>100.0</v>
      </c>
      <c r="F6" s="13" t="s">
        <v>17</v>
      </c>
      <c r="G6" s="8"/>
      <c r="H6" s="8"/>
      <c r="I6" s="8"/>
      <c r="J6" s="13">
        <v>20.0</v>
      </c>
      <c r="K6" s="8"/>
      <c r="L6" s="8"/>
      <c r="M6" s="8"/>
      <c r="N6" s="34">
        <f t="shared" ref="N6:N7" si="1">Today()</f>
        <v>45205</v>
      </c>
      <c r="O6" s="8"/>
    </row>
    <row r="7" ht="15.75" customHeight="1">
      <c r="A7" s="8"/>
      <c r="B7" s="13" t="s">
        <v>22</v>
      </c>
      <c r="C7" s="13" t="s">
        <v>23</v>
      </c>
      <c r="D7" s="13">
        <v>50.0</v>
      </c>
      <c r="E7" s="13">
        <v>50.0</v>
      </c>
      <c r="F7" s="13" t="s">
        <v>19</v>
      </c>
      <c r="G7" s="8"/>
      <c r="H7" s="8"/>
      <c r="I7" s="8"/>
      <c r="J7" s="13">
        <v>20.0</v>
      </c>
      <c r="K7" s="8"/>
      <c r="L7" s="8"/>
      <c r="M7" s="8"/>
      <c r="N7" s="34">
        <f t="shared" si="1"/>
        <v>45205</v>
      </c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>
        <v>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32</v>
      </c>
      <c r="D6" s="13" t="s">
        <v>24</v>
      </c>
      <c r="E6" s="13">
        <v>2500.0</v>
      </c>
      <c r="F6" s="8"/>
      <c r="G6" s="13" t="s">
        <v>25</v>
      </c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13">
        <v>100.0</v>
      </c>
      <c r="E6" s="13">
        <v>2000.0</v>
      </c>
      <c r="F6" s="8"/>
      <c r="G6" s="8"/>
      <c r="H6" s="8"/>
      <c r="I6" s="35">
        <v>150.0</v>
      </c>
      <c r="J6" s="35">
        <v>250.0</v>
      </c>
      <c r="K6" s="35">
        <v>5000.0</v>
      </c>
      <c r="L6" s="13"/>
      <c r="M6" s="13">
        <v>1.0</v>
      </c>
      <c r="N6" s="13">
        <v>666.67</v>
      </c>
      <c r="O6" s="35">
        <v>1000.0</v>
      </c>
      <c r="P6" s="35">
        <v>1666.67</v>
      </c>
    </row>
    <row r="7" ht="15.75" customHeight="1">
      <c r="A7" s="8"/>
      <c r="B7" s="13" t="s">
        <v>19</v>
      </c>
      <c r="C7" s="13">
        <v>20000.0</v>
      </c>
      <c r="D7" s="13">
        <v>50.0</v>
      </c>
      <c r="E7" s="13">
        <v>1000.0</v>
      </c>
      <c r="F7" s="8"/>
      <c r="G7" s="8"/>
      <c r="H7" s="8"/>
      <c r="I7" s="35">
        <v>75.0</v>
      </c>
      <c r="J7" s="35">
        <v>125.0</v>
      </c>
      <c r="K7" s="35">
        <v>2500.0</v>
      </c>
      <c r="L7" s="13"/>
      <c r="M7" s="13">
        <v>1.0</v>
      </c>
      <c r="N7" s="13">
        <v>333.33</v>
      </c>
      <c r="O7" s="35">
        <v>500.0</v>
      </c>
      <c r="P7" s="35">
        <v>833.33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33</v>
      </c>
      <c r="D6" s="13" t="s">
        <v>24</v>
      </c>
      <c r="E6" s="13">
        <v>500.0</v>
      </c>
      <c r="F6" s="8"/>
      <c r="G6" s="13" t="s">
        <v>25</v>
      </c>
      <c r="H6" s="13" t="s">
        <v>26</v>
      </c>
      <c r="I6" s="13" t="s">
        <v>27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20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IFERROR(__xludf.DUMMYFUNCTION("""COMPUTED_VALUE"""),"EditPTTRecordAndExecuteOrder")</f>
        <v>EditPTTRecordAndExecuteOrder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 t="str">
        <f>IFERROR(__xludf.DUMMYFUNCTION("""COMPUTED_VALUE"""),"OpenPreferencesFromPTT")</f>
        <v>OpenPreferencesFromPTT</v>
      </c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17</v>
      </c>
      <c r="C6" s="13">
        <v>10000.0</v>
      </c>
      <c r="D6" s="13">
        <v>100.0</v>
      </c>
      <c r="E6" s="13">
        <v>2000.0</v>
      </c>
      <c r="F6" s="8"/>
      <c r="G6" s="8"/>
      <c r="H6" s="8"/>
      <c r="I6" s="13">
        <v>50.0</v>
      </c>
      <c r="J6" s="13">
        <v>50.0</v>
      </c>
      <c r="K6" s="13">
        <v>1000.0</v>
      </c>
      <c r="L6" s="13">
        <v>66.67</v>
      </c>
      <c r="M6" s="13">
        <v>1.0</v>
      </c>
      <c r="N6" s="13">
        <v>666.67</v>
      </c>
      <c r="O6" s="13">
        <v>-333.33</v>
      </c>
      <c r="P6" s="9">
        <v>333.33</v>
      </c>
    </row>
    <row r="7" ht="15.75" customHeight="1">
      <c r="A7" s="8"/>
      <c r="B7" s="13" t="s">
        <v>19</v>
      </c>
      <c r="C7" s="13">
        <v>20000.0</v>
      </c>
      <c r="D7" s="13">
        <v>50.0</v>
      </c>
      <c r="E7" s="13">
        <v>1000.0</v>
      </c>
      <c r="F7" s="8"/>
      <c r="G7" s="8"/>
      <c r="H7" s="8"/>
      <c r="I7" s="13">
        <v>25.0</v>
      </c>
      <c r="J7" s="13">
        <v>25.0</v>
      </c>
      <c r="K7" s="13">
        <v>500.0</v>
      </c>
      <c r="L7" s="13">
        <v>33.33</v>
      </c>
      <c r="M7" s="13">
        <v>1.0</v>
      </c>
      <c r="N7" s="13">
        <v>333.33</v>
      </c>
      <c r="O7" s="13">
        <v>-166.67</v>
      </c>
      <c r="P7" s="9">
        <v>166.67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23</v>
      </c>
      <c r="D6" s="13">
        <v>100.0</v>
      </c>
      <c r="E6" s="33"/>
      <c r="F6" s="13" t="s">
        <v>34</v>
      </c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