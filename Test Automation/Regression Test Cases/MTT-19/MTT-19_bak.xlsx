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SetBrokerWisePreferencesTT" sheetId="5" r:id="rId7"/>
    <sheet state="visible" name="GetDailyCash" sheetId="6" r:id="rId8"/>
    <sheet state="visible" name="UpdateDailyCash" sheetId="7" r:id="rId9"/>
    <sheet state="visible" name="FetchAccountPositions" sheetId="8" r:id="rId10"/>
    <sheet state="visible" name="AddCash" sheetId="9" r:id="rId11"/>
    <sheet state="visible" name="RebalanceAcrossSecurities" sheetId="10" r:id="rId12"/>
    <sheet state="visible" name="RunRebalance" sheetId="11" r:id="rId13"/>
    <sheet state="visible" name="SendtoStaging" sheetId="12" r:id="rId14"/>
    <sheet state="visible" name="MultiTradingTicketFromBlotter" sheetId="13" r:id="rId15"/>
    <sheet state="visible" name="SelectTradeUsingMTT" sheetId="14" r:id="rId16"/>
    <sheet state="visible" name="EditTradeUsingMTT" sheetId="15" r:id="rId17"/>
    <sheet state="visible" name="SelectTradeUsingMTT1" sheetId="16" r:id="rId18"/>
    <sheet state="visible" name="EditTradeUsingMTT1" sheetId="17" r:id="rId19"/>
    <sheet state="visible" name="DoneAwayUsingMTT" sheetId="18" r:id="rId20"/>
    <sheet state="visible" name="VerifyOrder" sheetId="19" r:id="rId21"/>
    <sheet state="visible" name="VerifyWorkingSubs" sheetId="20" r:id="rId22"/>
  </sheets>
  <definedNames/>
  <calcPr/>
</workbook>
</file>

<file path=xl/sharedStrings.xml><?xml version="1.0" encoding="utf-8"?>
<sst xmlns="http://schemas.openxmlformats.org/spreadsheetml/2006/main" count="195" uniqueCount="50">
  <si>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</si>
  <si>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</si>
  <si>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</si>
  <si>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</si>
  <si>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</si>
  <si>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</si>
  <si>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</si>
  <si>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</si>
  <si>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</si>
  <si>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</si>
  <si>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</si>
  <si>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</si>
  <si>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</si>
  <si>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</si>
  <si>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</si>
  <si>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</si>
  <si>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NULL</t>
  </si>
  <si>
    <t>TradingTicket</t>
  </si>
  <si>
    <t>SetBrokerWisePreferencesTT</t>
  </si>
  <si>
    <t>MS</t>
  </si>
  <si>
    <t>NASDAQ</t>
  </si>
  <si>
    <t>DailyValuation</t>
  </si>
  <si>
    <t>GetDailyCash</t>
  </si>
  <si>
    <t>UpdateDailyCash</t>
  </si>
  <si>
    <t>Allocation1</t>
  </si>
  <si>
    <t>USD</t>
  </si>
  <si>
    <t>Rebalancer</t>
  </si>
  <si>
    <t>FetchAccountPositions</t>
  </si>
  <si>
    <t>Real-Time Positions</t>
  </si>
  <si>
    <t>AddCash</t>
  </si>
  <si>
    <t>Impact NAV</t>
  </si>
  <si>
    <t>None</t>
  </si>
  <si>
    <t>RebalanceAcrossSecurities</t>
  </si>
  <si>
    <t>AAPL</t>
  </si>
  <si>
    <t>Increase</t>
  </si>
  <si>
    <t>MSFT</t>
  </si>
  <si>
    <t>RunRebalance</t>
  </si>
  <si>
    <t>Nearest Round Off</t>
  </si>
  <si>
    <t>SendtoStaging</t>
  </si>
  <si>
    <t>Buy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</si>
  <si>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</si>
  <si>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</si>
  <si>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</si>
  <si>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</si>
  <si>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</si>
  <si>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</si>
  <si>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DoneAwayUsingMTT</t>
  </si>
  <si>
    <t>VerifyOrder</t>
  </si>
  <si>
    <t>Filled</t>
  </si>
  <si>
    <t>VerifyWorkingSubs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</si>
</sst>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6" fillId="0" fontId="5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16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IFERROR(__xludf.DUMMYFUNCTION("""COMPUTED_VALUE"""),"Commission Basis")</f>
        <v>Commission Basis</v>
      </c>
      <c r="D5" s="28" t="str">
        <f>IFERROR(__xludf.DUMMYFUNCTION("""COMPUTED_VALUE"""),"Soft Commission Basis")</f>
        <v>Soft Commission Basis</v>
      </c>
      <c r="E5" s="28" t="str">
        <f>IFERROR(__xludf.DUMMYFUNCTION("""COMPUTED_VALUE"""),"Execution Instruction")</f>
        <v>Execution Instruction</v>
      </c>
      <c r="F5" s="29" t="str">
        <f>IFERROR(__xludf.DUMMYFUNCTION("""COMPUTED_VALUE"""),"Venue")</f>
        <v>Venue</v>
      </c>
      <c r="G5" s="28" t="str">
        <f>IFERROR(__xludf.DUMMYFUNCTION("""COMPUTED_VALUE"""),"Algo Type")</f>
        <v>Algo 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19</v>
      </c>
      <c r="C6" s="35"/>
      <c r="D6" s="34"/>
      <c r="E6" s="35"/>
      <c r="F6" s="35" t="s">
        <v>20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SetBrokerWisePreferencesTT!$4:$4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7">
        <f t="shared" ref="B6:C6" si="1">today()-1</f>
        <v>44588</v>
      </c>
      <c r="C6" s="37">
        <f t="shared" si="1"/>
        <v>44588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4" t="s">
        <v>24</v>
      </c>
      <c r="C6" s="35" t="s">
        <v>25</v>
      </c>
      <c r="D6" s="39">
        <v>1000.0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40" t="s">
        <v>28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>
        <v>1000.0</v>
      </c>
      <c r="C6" s="35" t="s">
        <v>30</v>
      </c>
      <c r="D6" s="34" t="s">
        <v>31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4" t="s">
        <v>33</v>
      </c>
      <c r="C6" s="35" t="s">
        <v>34</v>
      </c>
      <c r="D6" s="39">
        <v>10.0</v>
      </c>
      <c r="E6" s="35" t="s">
        <v>24</v>
      </c>
      <c r="F6" s="35"/>
      <c r="G6" s="35"/>
      <c r="H6" s="35"/>
      <c r="I6" s="35"/>
      <c r="J6" s="41">
        <v>10.0</v>
      </c>
      <c r="K6" s="41">
        <v>1.0</v>
      </c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8"/>
      <c r="B7" s="41" t="s">
        <v>35</v>
      </c>
      <c r="C7" s="35" t="s">
        <v>34</v>
      </c>
      <c r="D7" s="39">
        <v>10.0</v>
      </c>
      <c r="E7" s="35" t="s">
        <v>24</v>
      </c>
      <c r="F7" s="35"/>
      <c r="G7" s="35"/>
      <c r="H7" s="35"/>
      <c r="I7" s="35"/>
      <c r="J7" s="41">
        <v>10.0</v>
      </c>
      <c r="K7" s="41">
        <v>1.0</v>
      </c>
      <c r="L7" s="35"/>
      <c r="M7" s="35"/>
      <c r="N7" s="35"/>
      <c r="O7" s="35"/>
      <c r="P7" s="35"/>
      <c r="Q7" s="35"/>
      <c r="R7" s="35"/>
      <c r="S7" s="35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IFERROR(__xludf.DUMMYFUNCTION("""COMPUTED_VALUE"""),"Price")</f>
        <v>Price</v>
      </c>
      <c r="G5" s="28" t="str">
        <f>IFERROR(__xludf.DUMMYFUNCTION("""COMPUTED_VALUE"""),"Buy/Sell Value")</f>
        <v>Buy/Sell Value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39</v>
      </c>
      <c r="D6" s="13" t="s">
        <v>33</v>
      </c>
      <c r="E6" s="13">
        <v>20.0</v>
      </c>
      <c r="F6" s="13">
        <v>10.0</v>
      </c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24</v>
      </c>
      <c r="C7" s="13" t="s">
        <v>39</v>
      </c>
      <c r="D7" s="13" t="s">
        <v>35</v>
      </c>
      <c r="E7" s="13">
        <v>20.0</v>
      </c>
      <c r="F7" s="13">
        <v>10.0</v>
      </c>
      <c r="G7" s="13">
        <v>200.0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33</v>
      </c>
      <c r="AJ6" s="36" t="s">
        <v>39</v>
      </c>
      <c r="AK6" s="36" t="s">
        <v>42</v>
      </c>
      <c r="AL6" s="42">
        <v>20.0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 t="s">
        <v>35</v>
      </c>
      <c r="AJ7" s="36" t="s">
        <v>39</v>
      </c>
      <c r="AK7" s="36" t="s">
        <v>42</v>
      </c>
      <c r="AL7" s="42">
        <v>20.0</v>
      </c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33</v>
      </c>
      <c r="C6" s="35" t="s">
        <v>39</v>
      </c>
      <c r="D6" s="39">
        <v>20.0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13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1" t="s">
        <v>35</v>
      </c>
      <c r="C6" s="35" t="s">
        <v>39</v>
      </c>
      <c r="D6" s="39">
        <v>20.0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13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33</v>
      </c>
      <c r="C6" s="35" t="s">
        <v>39</v>
      </c>
      <c r="D6" s="39">
        <v>20.0</v>
      </c>
      <c r="E6" s="35"/>
      <c r="F6" s="35"/>
      <c r="G6" s="35" t="s">
        <v>19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 t="s">
        <v>20</v>
      </c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35</v>
      </c>
      <c r="C7" s="36" t="s">
        <v>39</v>
      </c>
      <c r="D7" s="43">
        <v>20.0</v>
      </c>
      <c r="E7" s="36"/>
      <c r="F7" s="36"/>
      <c r="G7" s="36" t="s">
        <v>19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 t="s">
        <v>20</v>
      </c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33</v>
      </c>
      <c r="AJ6" s="36" t="s">
        <v>39</v>
      </c>
      <c r="AK6" s="36" t="s">
        <v>48</v>
      </c>
      <c r="AL6" s="42">
        <v>20.0</v>
      </c>
      <c r="AM6" s="42">
        <v>20.0</v>
      </c>
      <c r="AN6" s="36"/>
      <c r="AO6" s="36"/>
      <c r="AP6" s="36"/>
      <c r="AQ6" s="36"/>
      <c r="AR6" s="36"/>
      <c r="AS6" s="36" t="s">
        <v>19</v>
      </c>
      <c r="AT6" s="36" t="s">
        <v>24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 t="s">
        <v>35</v>
      </c>
      <c r="AJ7" s="36" t="s">
        <v>39</v>
      </c>
      <c r="AK7" s="36" t="s">
        <v>48</v>
      </c>
      <c r="AL7" s="42">
        <v>20.0</v>
      </c>
      <c r="AM7" s="42">
        <v>20.0</v>
      </c>
      <c r="AN7" s="36"/>
      <c r="AO7" s="36"/>
      <c r="AP7" s="36"/>
      <c r="AQ7" s="36"/>
      <c r="AR7" s="36"/>
      <c r="AS7" s="36" t="s">
        <v>19</v>
      </c>
      <c r="AT7" s="36" t="s">
        <v>24</v>
      </c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33</v>
      </c>
      <c r="C6" s="35" t="s">
        <v>39</v>
      </c>
      <c r="D6" s="39">
        <v>20.0</v>
      </c>
      <c r="E6" s="39">
        <v>20.0</v>
      </c>
      <c r="F6" s="35"/>
      <c r="G6" s="35" t="s">
        <v>48</v>
      </c>
      <c r="H6" s="35"/>
      <c r="I6" s="35"/>
      <c r="J6" s="35"/>
      <c r="K6" s="35" t="s">
        <v>19</v>
      </c>
      <c r="L6" s="35" t="s">
        <v>24</v>
      </c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 t="s">
        <v>20</v>
      </c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35</v>
      </c>
      <c r="C7" s="36" t="s">
        <v>39</v>
      </c>
      <c r="D7" s="43">
        <v>20.0</v>
      </c>
      <c r="E7" s="43">
        <v>20.0</v>
      </c>
      <c r="F7" s="36"/>
      <c r="G7" s="36" t="s">
        <v>48</v>
      </c>
      <c r="H7" s="36"/>
      <c r="I7" s="36"/>
      <c r="J7" s="36"/>
      <c r="K7" s="36" t="s">
        <v>19</v>
      </c>
      <c r="L7" s="36" t="s">
        <v>24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 t="s">
        <v>20</v>
      </c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