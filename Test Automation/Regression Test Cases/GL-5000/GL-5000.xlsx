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DataAllocation" sheetId="7" r:id="rId9"/>
    <sheet state="visible" name="GetActivityData" sheetId="8" r:id="rId10"/>
    <sheet state="visible" name="VerifyActivity" sheetId="9" r:id="rId11"/>
    <sheet state="visible" name="GetTradingTransaction" sheetId="10" r:id="rId12"/>
    <sheet state="visible" name="VerifyTradingTransaction" sheetId="11" r:id="rId13"/>
    <sheet state="visible" name="GetDailyCalculationsData" sheetId="12" r:id="rId14"/>
    <sheet state="visible" name="_CalculateDailyCalculations" sheetId="13" r:id="rId15"/>
    <sheet state="visible" name="VerifyDailyCalTransactions" sheetId="14" r:id="rId16"/>
    <sheet state="visible" name="GetTradingTransaction1" sheetId="15" r:id="rId17"/>
    <sheet state="visible" name="VerifyTradingTransaction2" sheetId="16" r:id="rId18"/>
    <sheet state="visible" name="GetDataClosing" sheetId="17" r:id="rId19"/>
    <sheet state="visible" name="AutomaticClosing" sheetId="18" r:id="rId20"/>
    <sheet state="visible" name="GetDailyCalculationsData1" sheetId="19" r:id="rId21"/>
    <sheet state="visible" name="_CalculateDailyCalculations1" sheetId="20" r:id="rId22"/>
    <sheet state="visible" name="VerifyDailyCalTransactions1" sheetId="21" r:id="rId23"/>
    <sheet state="visible" name="GetDailyCalculationsData2" sheetId="22" r:id="rId24"/>
    <sheet state="visible" name="_CalculateDailyCalculations2" sheetId="23" r:id="rId25"/>
    <sheet state="visible" name="VerifyDailyCalTransactions2" sheetId="24" r:id="rId26"/>
    <sheet state="visible" name="GetDayEndCash" sheetId="25" r:id="rId27"/>
    <sheet state="visible" name="_CalculateDayEndCash" sheetId="26" r:id="rId28"/>
    <sheet state="visible" name="VerifyDayEndCash" sheetId="27" r:id="rId29"/>
    <sheet state="visible" name="GetDailyCash" sheetId="28" r:id="rId30"/>
    <sheet state="visible" name="VerifyDailyCash" sheetId="29" r:id="rId31"/>
    <sheet state="visible" name="GetAccountBalance" sheetId="30" r:id="rId32"/>
    <sheet state="visible" name="VerifyActivity1" sheetId="31" r:id="rId33"/>
    <sheet state="visible" name="GetRevaluationData" sheetId="32" r:id="rId34"/>
    <sheet state="visible" name="VerifyRevaluationData" sheetId="33" r:id="rId35"/>
    <sheet state="visible" name="GetDataAllocation1" sheetId="34" r:id="rId36"/>
    <sheet state="visible" name="SelectAllocatedGroup" sheetId="35" r:id="rId37"/>
    <sheet state="visible" name="EditAllocatedGroupSidePanel" sheetId="36" r:id="rId38"/>
    <sheet state="visible" name="SelectAllocatedGroup1" sheetId="37" r:id="rId39"/>
    <sheet state="visible" name="EditAllocatedGroupSidePanel1" sheetId="38" r:id="rId40"/>
    <sheet state="visible" name="GetAccountBalance1" sheetId="39" r:id="rId41"/>
    <sheet state="visible" name="VerifyActivity2" sheetId="40" r:id="rId42"/>
    <sheet state="visible" name="VerifyTradingTransaction1" sheetId="41" r:id="rId43"/>
    <sheet state="visible" name="VerifyRevaluationData1" sheetId="42" r:id="rId44"/>
  </sheets>
  <definedNames/>
  <calcPr/>
</workbook>
</file>

<file path=xl/sharedStrings.xml><?xml version="1.0" encoding="utf-8"?>
<sst xmlns="http://schemas.openxmlformats.org/spreadsheetml/2006/main" count="2500" uniqueCount="80">
  <si>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</si>
  <si>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</si>
  <si>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</si>
  <si>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</si>
  <si>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</si>
  <si>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</si>
  <si>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</si>
  <si>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</si>
  <si>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</si>
  <si>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</si>
  <si>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</si>
  <si>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</si>
  <si>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</si>
  <si>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</si>
  <si>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</si>
  <si>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</si>
  <si>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EP009370</t>
  </si>
  <si>
    <t>Buy</t>
  </si>
  <si>
    <t>Allocation1</t>
  </si>
  <si>
    <t>Flat Amount</t>
  </si>
  <si>
    <t>Sell</t>
  </si>
  <si>
    <t>DailyValuation</t>
  </si>
  <si>
    <t>GetMarkPriceData</t>
  </si>
  <si>
    <t>UpdateMarkPrice</t>
  </si>
  <si>
    <t>Allocation</t>
  </si>
  <si>
    <t>GetDataAllocation</t>
  </si>
  <si>
    <t>Historical</t>
  </si>
  <si>
    <t>GeneralLedger</t>
  </si>
  <si>
    <t>GetActivityData</t>
  </si>
  <si>
    <t>NewMF</t>
  </si>
  <si>
    <t>Yes</t>
  </si>
  <si>
    <t>VerifyActivity</t>
  </si>
  <si>
    <t>Trading</t>
  </si>
  <si>
    <t>BondL</t>
  </si>
  <si>
    <t>Cash</t>
  </si>
  <si>
    <t>USD</t>
  </si>
  <si>
    <t>M</t>
  </si>
  <si>
    <t>Bond_Trading_Interest</t>
  </si>
  <si>
    <t>Bond_Interest_Received</t>
  </si>
  <si>
    <t>GetTradingTransaction</t>
  </si>
  <si>
    <t>VerifyTradingTransaction</t>
  </si>
  <si>
    <t>DR</t>
  </si>
  <si>
    <t>Investment - Long Bond [Asset]</t>
  </si>
  <si>
    <t>CR</t>
  </si>
  <si>
    <t>Cash [Cash]</t>
  </si>
  <si>
    <t>Interest - Payable [Liability]</t>
  </si>
  <si>
    <t>Interest - Receivable [Asset]</t>
  </si>
  <si>
    <t>GetDailyCalculationsData</t>
  </si>
  <si>
    <t>CalculateDailyCalculations</t>
  </si>
  <si>
    <t>VerifyDailyCalTransactions</t>
  </si>
  <si>
    <t>Bond_Interest_Receivable</t>
  </si>
  <si>
    <t>DailyCalculation</t>
  </si>
  <si>
    <t>Daily Calculation</t>
  </si>
  <si>
    <t>Interest - Income [Income]</t>
  </si>
  <si>
    <t>Closing</t>
  </si>
  <si>
    <t>GetDataClosing</t>
  </si>
  <si>
    <t>AutomaticClosing</t>
  </si>
  <si>
    <t>FIFO</t>
  </si>
  <si>
    <t>None</t>
  </si>
  <si>
    <t>Default</t>
  </si>
  <si>
    <t>GetDayEndCash</t>
  </si>
  <si>
    <t>CalculateDayEndCash</t>
  </si>
  <si>
    <t>VerifyDayEndCash</t>
  </si>
  <si>
    <t>GetDailyCash</t>
  </si>
  <si>
    <t>VerifyDailyCash</t>
  </si>
  <si>
    <t>GetAccountBalance</t>
  </si>
  <si>
    <t>Revaluation</t>
  </si>
  <si>
    <t>BondLongUnRealizedPNL</t>
  </si>
  <si>
    <t>Accrual</t>
  </si>
  <si>
    <t>BondLongRealizedPNL</t>
  </si>
  <si>
    <t>GetRevaluationData</t>
  </si>
  <si>
    <t>VerifyRevaluationData</t>
  </si>
  <si>
    <t>Bond Long Revaluation [Asset]</t>
  </si>
  <si>
    <t>UnRealized PNL Entry</t>
  </si>
  <si>
    <t>Bond UnRealized Profit And Loss [Income]</t>
  </si>
  <si>
    <t>Contra UnRealized PNL Entry</t>
  </si>
  <si>
    <t>Bond Realized Profit And Loss [Income]</t>
  </si>
  <si>
    <t>Realized PNL Entry</t>
  </si>
  <si>
    <t>SelectAllocatedGroup</t>
  </si>
  <si>
    <t>EditAllocatedGroupSidePanel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</si>
</sst>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Calibri"/>
    </font>
    <font>
      <b/>
      <color rgb="FFFFFFFF"/>
      <name val="Arial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Inconsolata"/>
    </font>
    <font>
      <sz val="9.0"/>
      <color rgb="FF000000"/>
      <name val="Calibri"/>
    </font>
    <font>
      <color rgb="FF000000"/>
      <name val="Arial"/>
    </font>
    <font>
      <sz val="9.0"/>
      <color rgb="FFE7E8E9"/>
      <name val="Calibri"/>
    </font>
    <font>
      <sz val="9.0"/>
      <color rgb="FF868686"/>
      <name val="Calibri"/>
    </font>
    <font>
      <sz val="11.0"/>
      <color rgb="FF000000"/>
      <name val="Calibri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left/>
      <right/>
      <top/>
    </border>
    <border>
      <top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vertical="bottom"/>
    </xf>
    <xf borderId="6" fillId="3" fontId="4" numFmtId="0" xfId="0" applyAlignment="1" applyBorder="1" applyFont="1">
      <alignment shrinkToFit="0" vertical="bottom" wrapText="0"/>
    </xf>
    <xf borderId="7" fillId="3" fontId="8" numFmtId="0" xfId="0" applyAlignment="1" applyBorder="1" applyFont="1">
      <alignment shrinkToFit="0" vertical="bottom" wrapText="0"/>
    </xf>
    <xf borderId="7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8" fillId="6" fontId="4" numFmtId="0" xfId="0" applyAlignment="1" applyBorder="1" applyFont="1">
      <alignment shrinkToFit="0" wrapText="0"/>
    </xf>
    <xf borderId="8" fillId="6" fontId="4" numFmtId="0" xfId="0" applyAlignment="1" applyBorder="1" applyFont="1">
      <alignment readingOrder="0" shrinkToFit="0" wrapText="0"/>
    </xf>
    <xf borderId="0" fillId="6" fontId="10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4" fontId="13" numFmtId="0" xfId="0" applyFont="1"/>
    <xf borderId="4" fillId="6" fontId="4" numFmtId="0" xfId="0" applyAlignment="1" applyBorder="1" applyFont="1">
      <alignment shrinkToFit="0" wrapText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9" fillId="0" fontId="3" numFmtId="165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4" fontId="1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14" numFmtId="164" xfId="0" applyAlignment="1" applyFont="1" applyNumberFormat="1">
      <alignment horizontal="left" readingOrder="0"/>
    </xf>
    <xf borderId="0" fillId="0" fontId="14" numFmtId="165" xfId="0" applyAlignment="1" applyFont="1" applyNumberFormat="1">
      <alignment horizontal="left" readingOrder="0"/>
    </xf>
    <xf borderId="0" fillId="0" fontId="14" numFmtId="0" xfId="0" applyAlignment="1" applyFont="1">
      <alignment horizontal="right" readingOrder="0"/>
    </xf>
    <xf borderId="0" fillId="0" fontId="16" numFmtId="0" xfId="0" applyAlignment="1" applyFont="1">
      <alignment horizontal="right" readingOrder="0"/>
    </xf>
    <xf borderId="0" fillId="0" fontId="14" numFmtId="0" xfId="0" applyAlignment="1" applyFont="1">
      <alignment horizontal="left" readingOrder="0"/>
    </xf>
    <xf borderId="0" fillId="0" fontId="17" numFmtId="0" xfId="0" applyAlignment="1" applyFont="1">
      <alignment horizontal="right" readingOrder="0"/>
    </xf>
    <xf borderId="4" fillId="6" fontId="4" numFmtId="0" xfId="0" applyAlignment="1" applyBorder="1" applyFont="1">
      <alignment readingOrder="0" shrinkToFit="0" wrapText="0"/>
    </xf>
    <xf borderId="9" fillId="0" fontId="3" numFmtId="164" xfId="0" applyAlignment="1" applyBorder="1" applyFont="1" applyNumberFormat="1">
      <alignment horizontal="right" readingOrder="0" vertical="bottom"/>
    </xf>
    <xf borderId="9" fillId="0" fontId="3" numFmtId="0" xfId="0" applyAlignment="1" applyBorder="1" applyFont="1">
      <alignment horizontal="right" readingOrder="0" vertical="bottom"/>
    </xf>
    <xf borderId="0" fillId="0" fontId="14" numFmtId="166" xfId="0" applyAlignment="1" applyFont="1" applyNumberFormat="1">
      <alignment horizontal="left" readingOrder="0"/>
    </xf>
    <xf borderId="0" fillId="0" fontId="14" numFmtId="0" xfId="0" applyAlignment="1" applyFont="1">
      <alignment horizontal="left"/>
    </xf>
    <xf borderId="0" fillId="0" fontId="14" numFmtId="167" xfId="0" applyAlignment="1" applyFont="1" applyNumberFormat="1">
      <alignment horizontal="left" readingOrder="0"/>
    </xf>
    <xf borderId="0" fillId="0" fontId="14" numFmtId="0" xfId="0" applyAlignment="1" applyFont="1">
      <alignment horizontal="left" readingOrder="0" vertical="top"/>
    </xf>
    <xf borderId="0" fillId="0" fontId="14" numFmtId="4" xfId="0" applyAlignment="1" applyFont="1" applyNumberFormat="1">
      <alignment horizontal="right" readingOrder="0" vertical="top"/>
    </xf>
    <xf borderId="0" fillId="0" fontId="18" numFmtId="0" xfId="0" applyAlignment="1" applyFont="1">
      <alignment vertical="bottom"/>
    </xf>
    <xf borderId="0" fillId="0" fontId="14" numFmtId="0" xfId="0" applyAlignment="1" applyFont="1">
      <alignment horizontal="right" readingOrder="0" vertical="top"/>
    </xf>
    <xf borderId="0" fillId="0" fontId="18" numFmtId="165" xfId="0" applyAlignment="1" applyFont="1" applyNumberFormat="1">
      <alignment vertical="bottom"/>
    </xf>
    <xf borderId="0" fillId="0" fontId="18" numFmtId="166" xfId="0" applyAlignment="1" applyFont="1" applyNumberForma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38.88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1">
      <c r="A1" s="15" t="s">
        <v>7</v>
      </c>
      <c r="B1" s="2"/>
      <c r="C1" s="2"/>
      <c r="D1" s="2"/>
      <c r="E1" s="2"/>
      <c r="F1" s="3"/>
    </row>
    <row r="2">
      <c r="A2" s="16"/>
      <c r="B2" s="16"/>
      <c r="C2" s="16"/>
      <c r="D2" s="16"/>
      <c r="E2" s="16"/>
      <c r="F2" s="16"/>
    </row>
    <row r="3">
      <c r="A3" s="17" t="s">
        <v>8</v>
      </c>
      <c r="B3" s="18" t="s">
        <v>9</v>
      </c>
      <c r="C3" s="18" t="s">
        <v>10</v>
      </c>
      <c r="D3" s="19"/>
      <c r="E3" s="19"/>
      <c r="F3" s="19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12</v>
      </c>
      <c r="D3" s="5" t="s">
        <v>9</v>
      </c>
      <c r="E3" s="24" t="s">
        <v>13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IFERROR(__xludf.DUMMYFUNCTION("""COMPUTED_VALUE"""),"VerifyComplianceOrder")</f>
        <v>VerifyComplianceOrder</v>
      </c>
      <c r="I4" s="27" t="str">
        <f>IFERROR(__xludf.DUMMYFUNCTION("""COMPUTED_VALUE"""),"TradeNewSub")</f>
        <v>TradeNewSub</v>
      </c>
      <c r="J4" s="27" t="str">
        <f>IFERROR(__xludf.DUMMYFUNCTION("""COMPUTED_VALUE"""),"CreateStageOrder")</f>
        <v>CreateStageOrder</v>
      </c>
      <c r="K4" s="27" t="str">
        <f>IFERROR(__xludf.DUMMYFUNCTION("""COMPUTED_VALUE"""),"CreateReplaceOrder")</f>
        <v>CreateReplaceOrder</v>
      </c>
      <c r="L4" s="27" t="str">
        <f>IFERROR(__xludf.DUMMYFUNCTION("""COMPUTED_VALUE"""),"SetGeneralPreference")</f>
        <v>SetGeneralPreference</v>
      </c>
      <c r="M4" s="27" t="str">
        <f>IFERROR(__xludf.DUMMYFUNCTION("""COMPUTED_VALUE"""),"CreateNewSubOrder")</f>
        <v>CreateNewSubOrder</v>
      </c>
      <c r="N4" s="27" t="str">
        <f>IFERROR(__xludf.DUMMYFUNCTION("""COMPUTED_VALUE"""),"TradeBloomberg")</f>
        <v>TradeBloomberg</v>
      </c>
      <c r="O4" s="27" t="str">
        <f>IFERROR(__xludf.DUMMYFUNCTION("""COMPUTED_VALUE"""),"ClickSymbolLookup")</f>
        <v>ClickSymbolLookup</v>
      </c>
      <c r="P4" s="28" t="str">
        <f>IFERROR(__xludf.DUMMYFUNCTION("""COMPUTED_VALUE"""),"VerifyTT")</f>
        <v>VerifyTT</v>
      </c>
      <c r="Q4" s="28" t="str">
        <f>IFERROR(__xludf.DUMMYFUNCTION("""COMPUTED_VALUE"""),"CreateLiveOrder")</f>
        <v>CreateLiveOrder</v>
      </c>
      <c r="R4" s="28" t="str">
        <f>IFERROR(__xludf.DUMMYFUNCTION("""COMPUTED_VALUE"""),"UpdateMasterFundOnTT")</f>
        <v>UpdateMasterFundOnTT</v>
      </c>
      <c r="S4" s="28" t="str">
        <f>IFERROR(__xludf.DUMMYFUNCTION("""COMPUTED_VALUE"""),"SetTTCompliancePreference")</f>
        <v>SetTTCompliancePreference</v>
      </c>
      <c r="T4" s="28" t="str">
        <f>IFERROR(__xludf.DUMMYFUNCTION("""COMPUTED_VALUE"""),"ImportSymbol")</f>
        <v>ImportSymbol</v>
      </c>
      <c r="U4" s="28" t="str">
        <f>IFERROR(__xludf.DUMMYFUNCTION("""COMPUTED_VALUE"""),"ExportSymbolFromRAList")</f>
        <v>ExportSymbolFromRAList</v>
      </c>
      <c r="V4" s="28" t="str">
        <f>IFERROR(__xludf.DUMMYFUNCTION("""COMPUTED_VALUE"""),"CheckPendingNewOrderAlert")</f>
        <v>CheckPendingNewOrderAlert</v>
      </c>
      <c r="W4" s="28" t="str">
        <f>IFERROR(__xludf.DUMMYFUNCTION("""COMPUTED_VALUE"""),"AddSymbolOnRAList")</f>
        <v>AddSymbolOnRAList</v>
      </c>
      <c r="X4" s="28" t="str">
        <f>IFERROR(__xludf.DUMMYFUNCTION("""COMPUTED_VALUE"""),"DeleteSymbolListFromRA")</f>
        <v>DeleteSymbolListFromRA</v>
      </c>
      <c r="Y4" s="28" t="str">
        <f>IFERROR(__xludf.DUMMYFUNCTION("""COMPUTED_VALUE"""),"RemoveSymbolFromRAList")</f>
        <v>RemoveSymbolFromRAList</v>
      </c>
      <c r="Z4" s="28" t="str">
        <f>IFERROR(__xludf.DUMMYFUNCTION("""COMPUTED_VALUE"""),"ToggleBlombergOnRA")</f>
        <v>ToggleBlombergOnRA</v>
      </c>
      <c r="AA4" s="28" t="str">
        <f>IFERROR(__xludf.DUMMYFUNCTION("""COMPUTED_VALUE"""),"CreateDoneAwayOrder")</f>
        <v>CreateDoneAwayOrder</v>
      </c>
      <c r="AB4" s="28" t="str">
        <f>IFERROR(__xludf.DUMMYFUNCTION("""COMPUTED_VALUE"""),"CreateComplianceOrder")</f>
        <v>CreateComplianceOrder</v>
      </c>
      <c r="AC4" s="28" t="str">
        <f>IFERROR(__xludf.DUMMYFUNCTION("""COMPUTED_VALUE"""),"AddOptionTrade")</f>
        <v>AddOptionTrade</v>
      </c>
      <c r="AD4" s="28" t="str">
        <f>IFERROR(__xludf.DUMMYFUNCTION("""COMPUTED_VALUE"""),"SendLiveBloomberg")</f>
        <v>SendLiveBloomberg</v>
      </c>
      <c r="AE4" s="28" t="str">
        <f>IFERROR(__xludf.DUMMYFUNCTION("""COMPUTED_VALUE"""),"ViewAllocation")</f>
        <v>ViewAllocation</v>
      </c>
      <c r="AF4" s="28" t="str">
        <f>IFERROR(__xludf.DUMMYFUNCTION("""COMPUTED_VALUE"""),"CreateReplaceLiveOrder")</f>
        <v>CreateReplaceLiveOrder</v>
      </c>
      <c r="AG4" s="28" t="str">
        <f>IFERROR(__xludf.DUMMYFUNCTION("""COMPUTED_VALUE"""),"CreateNewSubLiveOrder")</f>
        <v>CreateNewSubLiveOrder</v>
      </c>
      <c r="AH4" s="28" t="str">
        <f>IFERROR(__xludf.DUMMYFUNCTION("""COMPUTED_VALUE"""),"VerifyBasketExport")</f>
        <v>VerifyBasketExport</v>
      </c>
      <c r="AI4" s="28" t="str">
        <f>IFERROR(__xludf.DUMMYFUNCTION("""COMPUTED_VALUE"""),"VerifyCustomAllocationonTT")</f>
        <v>VerifyCustomAllocationonTT</v>
      </c>
      <c r="AJ4" s="28" t="str">
        <f>IFERROR(__xludf.DUMMYFUNCTION("""COMPUTED_VALUE"""),"CustomOrderTT")</f>
        <v>CustomOrderTT</v>
      </c>
      <c r="AK4" s="28" t="str">
        <f>IFERROR(__xludf.DUMMYFUNCTION("""COMPUTED_VALUE"""),"CheckStepSheet")</f>
        <v>CheckStepSheet</v>
      </c>
      <c r="AL4" s="28" t="str">
        <f>IFERROR(__xludf.DUMMYFUNCTION("""COMPUTED_VALUE"""),"OptionTradingThroughSecurity")</f>
        <v>OptionTradingThroughSecurity</v>
      </c>
      <c r="AM4" s="28" t="str">
        <f>IFERROR(__xludf.DUMMYFUNCTION("""COMPUTED_VALUE"""),"CreateTradeWithAlgoBroker")</f>
        <v>CreateTradeWithAlgoBroker</v>
      </c>
      <c r="AN4" s="28" t="str">
        <f>IFERROR(__xludf.DUMMYFUNCTION("""COMPUTED_VALUE"""),"VerifyOrderSide")</f>
        <v>VerifyOrderSide</v>
      </c>
      <c r="AO4" s="28" t="str">
        <f>IFERROR(__xludf.DUMMYFUNCTION("""COMPUTED_VALUE"""),"CreateOrEditSymbolTT")</f>
        <v>CreateOrEditSymbolTT</v>
      </c>
      <c r="AP4" s="28" t="str">
        <f>IFERROR(__xludf.DUMMYFUNCTION("""COMPUTED_VALUE"""),"VerifyTTNavLockPopup")</f>
        <v>VerifyTTNavLockPopup</v>
      </c>
      <c r="AQ4" s="28" t="str">
        <f>IFERROR(__xludf.DUMMYFUNCTION("""COMPUTED_VALUE"""),"VerifyCustomAllocationSecondUI")</f>
        <v>VerifyCustomAllocationSecondUI</v>
      </c>
      <c r="AR4" s="28" t="str">
        <f>IFERROR(__xludf.DUMMYFUNCTION("""COMPUTED_VALUE"""),"ShortLocateFromTT")</f>
        <v>ShortLocateFromTT</v>
      </c>
      <c r="AS4" s="28" t="str">
        <f>IFERROR(__xludf.DUMMYFUNCTION("""COMPUTED_VALUE"""),"ShortLocateFromTT")</f>
        <v>ShortLocateFromTT</v>
      </c>
      <c r="AT4" s="28" t="str">
        <f>IFERROR(__xludf.DUMMYFUNCTION("""COMPUTED_VALUE"""),"ShortLocateFromTT")</f>
        <v>ShortLocateFromTT</v>
      </c>
      <c r="AU4" s="28" t="str">
        <f>IFERROR(__xludf.DUMMYFUNCTION("""COMPUTED_VALUE"""),"VerifyShortLocateWindowOnTT")</f>
        <v>VerifyShortLocateWindowOnTT</v>
      </c>
      <c r="AV4" s="28" t="str">
        <f>IFERROR(__xludf.DUMMYFUNCTION("""COMPUTED_VALUE"""),"AlgoUIOperations")</f>
        <v>AlgoUIOperations</v>
      </c>
      <c r="AW4" s="28" t="str">
        <f>IFERROR(__xludf.DUMMYFUNCTION("""COMPUTED_VALUE"""),"UpdateShortLocateFromTT")</f>
        <v>UpdateShortLocateFromTT</v>
      </c>
      <c r="AX4" s="28" t="str">
        <f>IFERROR(__xludf.DUMMYFUNCTION("""COMPUTED_VALUE"""),"ResetTT")</f>
        <v>ResetTT</v>
      </c>
      <c r="AY4" s="28" t="str">
        <f>IFERROR(__xludf.DUMMYFUNCTION("""COMPUTED_VALUE"""),"MergeTT")</f>
        <v>MergeTT</v>
      </c>
      <c r="AZ4" s="28" t="str">
        <f>IFERROR(__xludf.DUMMYFUNCTION("""COMPUTED_VALUE"""),"ResizeEnsureTT")</f>
        <v>ResizeEnsureTT</v>
      </c>
      <c r="BA4" s="28" t="str">
        <f>IFERROR(__xludf.DUMMYFUNCTION("""COMPUTED_VALUE"""),"VerifyExecutionType")</f>
        <v>VerifyExecutionType</v>
      </c>
      <c r="BB4" s="28" t="str">
        <f>IFERROR(__xludf.DUMMYFUNCTION("""COMPUTED_VALUE"""),"VerifyPopupAlignment")</f>
        <v>VerifyPopupAlignment</v>
      </c>
      <c r="BC4" s="28" t="str">
        <f>IFERROR(__xludf.DUMMYFUNCTION("""COMPUTED_VALUE"""),"SelectET")</f>
        <v>SelectET</v>
      </c>
      <c r="BD4" s="28" t="str">
        <f>IFERROR(__xludf.DUMMYFUNCTION("""COMPUTED_VALUE"""),"SymbolSuggestionVerify")</f>
        <v>SymbolSuggestionVerify</v>
      </c>
      <c r="BE4" s="28" t="str">
        <f>IFERROR(__xludf.DUMMYFUNCTION("""COMPUTED_VALUE"""),"EditAuecWindow")</f>
        <v>EditAuecWindow</v>
      </c>
      <c r="BF4" s="28" t="str">
        <f>IFERROR(__xludf.DUMMYFUNCTION("""COMPUTED_VALUE"""),"VerifyBrokerSummary")</f>
        <v>VerifyBrokerSummary</v>
      </c>
      <c r="BG4" s="28" t="str">
        <f>IFERROR(__xludf.DUMMYFUNCTION("""COMPUTED_VALUE"""),"QTTHamburg")</f>
        <v>QTTHamburg</v>
      </c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1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2" t="str">
        <f>IFERROR(__xludf.DUMMYFUNCTION("""COMPUTED_VALUE"""),"SoftBasis")</f>
        <v>SoftBasis</v>
      </c>
      <c r="U5" s="32" t="str">
        <f>IFERROR(__xludf.DUMMYFUNCTION("""COMPUTED_VALUE"""),"SoftRate")</f>
        <v>SoftRate</v>
      </c>
      <c r="V5" s="32" t="str">
        <f>IFERROR(__xludf.DUMMYFUNCTION("""COMPUTED_VALUE"""),"TradeAttribute1")</f>
        <v>TradeAttribute1</v>
      </c>
      <c r="W5" s="32" t="str">
        <f>IFERROR(__xludf.DUMMYFUNCTION("""COMPUTED_VALUE"""),"TradeAttribute2")</f>
        <v>TradeAttribute2</v>
      </c>
      <c r="X5" s="32" t="str">
        <f>IFERROR(__xludf.DUMMYFUNCTION("""COMPUTED_VALUE"""),"TradeAttribute3")</f>
        <v>TradeAttribute3</v>
      </c>
      <c r="Y5" s="32" t="str">
        <f>IFERROR(__xludf.DUMMYFUNCTION("""COMPUTED_VALUE"""),"TradeAttribute4")</f>
        <v>TradeAttribute4</v>
      </c>
      <c r="Z5" s="32" t="str">
        <f>IFERROR(__xludf.DUMMYFUNCTION("""COMPUTED_VALUE"""),"TradeAttribute5")</f>
        <v>TradeAttribute5</v>
      </c>
      <c r="AA5" s="32" t="str">
        <f>IFERROR(__xludf.DUMMYFUNCTION("""COMPUTED_VALUE"""),"TradeAttribute6")</f>
        <v>TradeAttribute6</v>
      </c>
      <c r="AB5" s="32" t="str">
        <f>IFERROR(__xludf.DUMMYFUNCTION("""COMPUTED_VALUE"""),"Venue")</f>
        <v>Venue</v>
      </c>
      <c r="AC5" s="32" t="str">
        <f>IFERROR(__xludf.DUMMYFUNCTION("""COMPUTED_VALUE"""),"ExecutionInstructions")</f>
        <v>ExecutionInstructions</v>
      </c>
      <c r="AD5" s="32" t="str">
        <f>IFERROR(__xludf.DUMMYFUNCTION("""COMPUTED_VALUE"""),"HandlingInstructions")</f>
        <v>HandlingInstructions</v>
      </c>
      <c r="AE5" s="32" t="str">
        <f>IFERROR(__xludf.DUMMYFUNCTION("""COMPUTED_VALUE"""),"Trader")</f>
        <v>Trader</v>
      </c>
      <c r="AF5" s="32" t="str">
        <f>IFERROR(__xludf.DUMMYFUNCTION("""COMPUTED_VALUE"""),"SettlementCurrency")</f>
        <v>SettlementCurrency</v>
      </c>
      <c r="AG5" s="32" t="str">
        <f>IFERROR(__xludf.DUMMYFUNCTION("""COMPUTED_VALUE"""),"SettlementFXRate")</f>
        <v>SettlementFXRate</v>
      </c>
      <c r="AH5" s="32" t="str">
        <f>IFERROR(__xludf.DUMMYFUNCTION("""COMPUTED_VALUE"""),"SettlementAmount")</f>
        <v>SettlementAmount</v>
      </c>
      <c r="AI5" s="32" t="str">
        <f>IFERROR(__xludf.DUMMYFUNCTION("""COMPUTED_VALUE"""),"SettlementFXOperator")</f>
        <v>SettlementFXOperator</v>
      </c>
      <c r="AJ5" s="32" t="str">
        <f>IFERROR(__xludf.DUMMYFUNCTION("""COMPUTED_VALUE"""),"SettleByBroker")</f>
        <v>SettleByBroker</v>
      </c>
      <c r="AK5" s="32" t="str">
        <f>IFERROR(__xludf.DUMMYFUNCTION("""COMPUTED_VALUE"""),"Account")</f>
        <v>Account</v>
      </c>
      <c r="AL5" s="32" t="str">
        <f>IFERROR(__xludf.DUMMYFUNCTION("""COMPUTED_VALUE"""),"Account %")</f>
        <v>Account %</v>
      </c>
      <c r="AM5" s="32" t="str">
        <f>IFERROR(__xludf.DUMMYFUNCTION("""COMPUTED_VALUE"""),"Deal In")</f>
        <v>Deal In</v>
      </c>
      <c r="AN5" s="32" t="str">
        <f>IFERROR(__xludf.DUMMYFUNCTION("""COMPUTED_VALUE"""),"ChkBoxBookAsSwap")</f>
        <v>ChkBoxBookAsSwap</v>
      </c>
      <c r="AO5" s="32" t="str">
        <f>IFERROR(__xludf.DUMMYFUNCTION("""COMPUTED_VALUE"""),"PopUpQuantity")</f>
        <v>PopUpQuantity</v>
      </c>
      <c r="AP5" s="32" t="str">
        <f>IFERROR(__xludf.DUMMYFUNCTION("""COMPUTED_VALUE"""),"ShortLocate")</f>
        <v>ShortLocate</v>
      </c>
      <c r="AQ5" s="32" t="str">
        <f>IFERROR(__xludf.DUMMYFUNCTION("""COMPUTED_VALUE"""),"AllowTrade")</f>
        <v>AllowTrade</v>
      </c>
      <c r="AR5" s="32" t="str">
        <f>IFERROR(__xludf.DUMMYFUNCTION("""COMPUTED_VALUE"""),"SharesOutstandingPopUpQty")</f>
        <v>SharesOutstandingPopUpQty</v>
      </c>
      <c r="AS5" s="32" t="str">
        <f>IFERROR(__xludf.DUMMYFUNCTION("""COMPUTED_VALUE"""),"SharesOutstandingPopUp")</f>
        <v>SharesOutstandingPopUp</v>
      </c>
      <c r="AT5" s="32" t="str">
        <f>IFERROR(__xludf.DUMMYFUNCTION("""COMPUTED_VALUE"""),"ResAllowedListPopUp")</f>
        <v>ResAllowedListPopUp</v>
      </c>
      <c r="AU5" s="32" t="str">
        <f>IFERROR(__xludf.DUMMYFUNCTION("""COMPUTED_VALUE"""),"Rate(%)")</f>
        <v>Rate(%)</v>
      </c>
      <c r="AV5" s="32" t="str">
        <f>IFERROR(__xludf.DUMMYFUNCTION("""COMPUTED_VALUE"""),"Interest Rate")</f>
        <v>Interest Rate</v>
      </c>
      <c r="AW5" s="32" t="str">
        <f>IFERROR(__xludf.DUMMYFUNCTION("""COMPUTED_VALUE"""),"SelectAlgoStrategy")</f>
        <v>SelectAlgoStrategy</v>
      </c>
      <c r="AX5" s="32" t="str">
        <f>IFERROR(__xludf.DUMMYFUNCTION("""COMPUTED_VALUE"""),"Increase/Decrease Quantity")</f>
        <v>Increase/Decrease Quantity</v>
      </c>
      <c r="AY5" s="32" t="str">
        <f>IFERROR(__xludf.DUMMYFUNCTION("""COMPUTED_VALUE"""),"Master Funds")</f>
        <v>Master Funds</v>
      </c>
      <c r="AZ5" s="32" t="str">
        <f>IFERROR(__xludf.DUMMYFUNCTION("""COMPUTED_VALUE"""),"TRVAccountName")</f>
        <v>TRVAccountName</v>
      </c>
      <c r="BA5" s="32" t="str">
        <f>IFERROR(__xludf.DUMMYFUNCTION("""COMPUTED_VALUE"""),"TRVTradeQuantity")</f>
        <v>TRVTradeQuantity</v>
      </c>
      <c r="BB5" s="32" t="str">
        <f>IFERROR(__xludf.DUMMYFUNCTION("""COMPUTED_VALUE"""),"TRVCurrentPosition")</f>
        <v>TRVCurrentPosition</v>
      </c>
      <c r="BC5" s="32" t="str">
        <f>IFERROR(__xludf.DUMMYFUNCTION("""COMPUTED_VALUE"""),"TRVNav")</f>
        <v>TRVNav</v>
      </c>
      <c r="BD5" s="32" t="str">
        <f>IFERROR(__xludf.DUMMYFUNCTION("""COMPUTED_VALUE"""),"Account QTY")</f>
        <v>Account QTY</v>
      </c>
      <c r="BE5" s="32" t="str">
        <f>IFERROR(__xludf.DUMMYFUNCTION("""COMPUTED_VALUE"""),"DoneAwayClickOnNO")</f>
        <v>DoneAwayClickOnNO</v>
      </c>
      <c r="BF5" s="32" t="str">
        <f>IFERROR(__xludf.DUMMYFUNCTION("""COMPUTED_VALUE"""),"HotbuttonQty")</f>
        <v>HotbuttonQty</v>
      </c>
      <c r="BG5" s="32" t="str">
        <f>IFERROR(__xludf.DUMMYFUNCTION("""COMPUTED_VALUE"""),"HotButtonPrice")</f>
        <v>HotButtonPrice</v>
      </c>
      <c r="BH5" s="32" t="str">
        <f>IFERROR(__xludf.DUMMYFUNCTION("""COMPUTED_VALUE"""),"HotButtonLimit")</f>
        <v>HotButtonLimit</v>
      </c>
      <c r="BI5" s="32" t="str">
        <f>IFERROR(__xludf.DUMMYFUNCTION("""COMPUTED_VALUE"""),"HotButtonStop")</f>
        <v>HotButtonStop</v>
      </c>
      <c r="BJ5" s="32" t="str">
        <f>IFERROR(__xludf.DUMMYFUNCTION("""COMPUTED_VALUE"""),"Broker PadLock")</f>
        <v>Broker PadLock</v>
      </c>
      <c r="BK5" s="32" t="str">
        <f>IFERROR(__xludf.DUMMYFUNCTION("""COMPUTED_VALUE"""),"TradeBy")</f>
        <v>TradeBy</v>
      </c>
      <c r="BL5" s="32" t="str">
        <f>IFERROR(__xludf.DUMMYFUNCTION("""COMPUTED_VALUE"""),"PendingApprovalPopUp")</f>
        <v>PendingApprovalPopUp</v>
      </c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33"/>
      <c r="B6" s="34" t="s">
        <v>16</v>
      </c>
      <c r="C6" s="35" t="s">
        <v>17</v>
      </c>
      <c r="D6" s="36">
        <v>50.0</v>
      </c>
      <c r="E6" s="36">
        <v>50.0</v>
      </c>
      <c r="F6" s="34" t="s">
        <v>18</v>
      </c>
      <c r="G6" s="4"/>
      <c r="H6" s="4"/>
      <c r="I6" s="4"/>
      <c r="J6" s="36">
        <v>15.0</v>
      </c>
      <c r="K6" s="4"/>
      <c r="L6" s="4"/>
      <c r="M6" s="4"/>
      <c r="N6" s="37">
        <v>43024.0</v>
      </c>
      <c r="O6" s="4"/>
      <c r="P6" s="38"/>
      <c r="Q6" s="38"/>
      <c r="R6" s="39" t="s">
        <v>19</v>
      </c>
      <c r="S6" s="39">
        <v>70.0</v>
      </c>
      <c r="T6" s="39" t="s">
        <v>19</v>
      </c>
      <c r="U6" s="39">
        <v>0.0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4"/>
      <c r="B7" s="34" t="s">
        <v>16</v>
      </c>
      <c r="C7" s="34" t="s">
        <v>20</v>
      </c>
      <c r="D7" s="36">
        <v>50.0</v>
      </c>
      <c r="E7" s="36">
        <v>50.0</v>
      </c>
      <c r="F7" s="34" t="s">
        <v>18</v>
      </c>
      <c r="G7" s="4"/>
      <c r="H7" s="4"/>
      <c r="I7" s="4"/>
      <c r="J7" s="33">
        <v>10.0</v>
      </c>
      <c r="K7" s="4"/>
      <c r="L7" s="4"/>
      <c r="M7" s="4"/>
      <c r="N7" s="37">
        <v>43031.0</v>
      </c>
      <c r="O7" s="4"/>
      <c r="P7" s="38"/>
      <c r="Q7" s="38"/>
      <c r="R7" s="39" t="s">
        <v>19</v>
      </c>
      <c r="S7" s="39">
        <v>30.0</v>
      </c>
      <c r="T7" s="39" t="s">
        <v>19</v>
      </c>
      <c r="U7" s="39">
        <v>0.0</v>
      </c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21</v>
      </c>
      <c r="D3" s="5" t="s">
        <v>9</v>
      </c>
      <c r="E3" s="24" t="s">
        <v>22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IFERROR(__xludf.DUMMYFUNCTION("""COMPUTED_VALUE"""),"UpdateMultipleDailyCash")</f>
        <v>UpdateMultipleDailyCash</v>
      </c>
      <c r="E4" s="27" t="str">
        <f>IFERROR(__xludf.DUMMYFUNCTION("""COMPUTED_VALUE"""),"UpdateForexConversion")</f>
        <v>UpdateForexConversion</v>
      </c>
      <c r="F4" s="27" t="str">
        <f>IFERROR(__xludf.DUMMYFUNCTION("""COMPUTED_VALUE"""),"UpdateMarkPrice")</f>
        <v>UpdateMarkPrice</v>
      </c>
      <c r="G4" s="27" t="str">
        <f>IFERROR(__xludf.DUMMYFUNCTION("""COMPUTED_VALUE"""),"CleanUp")</f>
        <v>CleanUp</v>
      </c>
      <c r="H4" s="27" t="str">
        <f>IFERROR(__xludf.DUMMYFUNCTION("""COMPUTED_VALUE"""),"GetMarkPriceData")</f>
        <v>GetMarkPriceData</v>
      </c>
      <c r="I4" s="27" t="str">
        <f>IFERROR(__xludf.DUMMYFUNCTION("""COMPUTED_VALUE"""),"GetForwardPoints")</f>
        <v>GetForwardPoints</v>
      </c>
      <c r="J4" s="27" t="str">
        <f>IFERROR(__xludf.DUMMYFUNCTION("""COMPUTED_VALUE"""),"UpdateForwardPoints")</f>
        <v>UpdateForwardPoints</v>
      </c>
      <c r="K4" s="27" t="str">
        <f>IFERROR(__xludf.DUMMYFUNCTION("""COMPUTED_VALUE"""),"GetForexConversion")</f>
        <v>GetForexConversion</v>
      </c>
      <c r="L4" s="27" t="str">
        <f>IFERROR(__xludf.DUMMYFUNCTION("""COMPUTED_VALUE"""),"DeleteNAV")</f>
        <v>DeleteNAV</v>
      </c>
      <c r="M4" s="27" t="str">
        <f>IFERROR(__xludf.DUMMYFUNCTION("""COMPUTED_VALUE"""),"GetDailyCash")</f>
        <v>GetDailyCash</v>
      </c>
      <c r="N4" s="27" t="str">
        <f>IFERROR(__xludf.DUMMYFUNCTION("""COMPUTED_VALUE"""),"GetDailyBeta")</f>
        <v>GetDailyBeta</v>
      </c>
      <c r="O4" s="27" t="str">
        <f>IFERROR(__xludf.DUMMYFUNCTION("""COMPUTED_VALUE"""),"GetDailyVolatility")</f>
        <v>GetDailyVolatility</v>
      </c>
      <c r="P4" s="28" t="str">
        <f>IFERROR(__xludf.DUMMYFUNCTION("""COMPUTED_VALUE"""),"GetDailyDividendYield")</f>
        <v>GetDailyDividendYield</v>
      </c>
      <c r="Q4" s="28" t="str">
        <f>IFERROR(__xludf.DUMMYFUNCTION("""COMPUTED_VALUE"""),"GetDailyTradingVolume")</f>
        <v>GetDailyTradingVolume</v>
      </c>
      <c r="R4" s="28" t="str">
        <f>IFERROR(__xludf.DUMMYFUNCTION("""COMPUTED_VALUE"""),"GetDailyOutstandings")</f>
        <v>GetDailyOutstandings</v>
      </c>
      <c r="S4" s="28" t="str">
        <f>IFERROR(__xludf.DUMMYFUNCTION("""COMPUTED_VALUE"""),"GetDailyDelta")</f>
        <v>GetDailyDelta</v>
      </c>
      <c r="T4" s="28" t="str">
        <f>IFERROR(__xludf.DUMMYFUNCTION("""COMPUTED_VALUE"""),"UpdateDailyVolatility")</f>
        <v>UpdateDailyVolatility</v>
      </c>
      <c r="U4" s="28" t="str">
        <f>IFERROR(__xludf.DUMMYFUNCTION("""COMPUTED_VALUE"""),"UpdateDividendYield")</f>
        <v>UpdateDividendYield</v>
      </c>
      <c r="V4" s="28" t="str">
        <f>IFERROR(__xludf.DUMMYFUNCTION("""COMPUTED_VALUE"""),"UpdateTradingVolume")</f>
        <v>UpdateTradingVolume</v>
      </c>
      <c r="W4" s="28" t="str">
        <f>IFERROR(__xludf.DUMMYFUNCTION("""COMPUTED_VALUE"""),"UpdateDailyDelta")</f>
        <v>UpdateDailyDelta</v>
      </c>
      <c r="X4" s="28" t="str">
        <f>IFERROR(__xludf.DUMMYFUNCTION("""COMPUTED_VALUE"""),"UpdateDailyOutstandings")</f>
        <v>UpdateDailyOutstandings</v>
      </c>
      <c r="Y4" s="28" t="str">
        <f>IFERROR(__xludf.DUMMYFUNCTION("""COMPUTED_VALUE"""),"UpdateBeta")</f>
        <v>UpdateBeta</v>
      </c>
      <c r="Z4" s="28" t="str">
        <f>IFERROR(__xludf.DUMMYFUNCTION("""COMPUTED_VALUE"""),"UpdateNAV")</f>
        <v>UpdateNAV</v>
      </c>
      <c r="AA4" s="28" t="str">
        <f>IFERROR(__xludf.DUMMYFUNCTION("""COMPUTED_VALUE"""),"UpdateDailyCash")</f>
        <v>UpdateDailyCash</v>
      </c>
      <c r="AB4" s="28" t="str">
        <f>IFERROR(__xludf.DUMMYFUNCTION("""COMPUTED_VALUE"""),"UpdateDailyCreditLimt")</f>
        <v>UpdateDailyCreditLimt</v>
      </c>
      <c r="AC4" s="28" t="str">
        <f>IFERROR(__xludf.DUMMYFUNCTION("""COMPUTED_VALUE"""),"RemoveDailyCreditLimit")</f>
        <v>RemoveDailyCreditLimit</v>
      </c>
      <c r="AD4" s="28" t="str">
        <f>IFERROR(__xludf.DUMMYFUNCTION("""COMPUTED_VALUE"""),"RemoveDailyCash")</f>
        <v>RemoveDailyCash</v>
      </c>
      <c r="AE4" s="28" t="str">
        <f>IFERROR(__xludf.DUMMYFUNCTION("""COMPUTED_VALUE"""),"RemoveNAV")</f>
        <v>RemoveNAV</v>
      </c>
      <c r="AF4" s="28" t="str">
        <f>IFERROR(__xludf.DUMMYFUNCTION("""COMPUTED_VALUE"""),"UpdateForexConversionMonthly")</f>
        <v>UpdateForexConversionMonthly</v>
      </c>
      <c r="AG4" s="28" t="str">
        <f>IFERROR(__xludf.DUMMYFUNCTION("""COMPUTED_VALUE"""),"UpdateMarkPriceMonthly")</f>
        <v>UpdateMarkPriceMonthly</v>
      </c>
      <c r="AH4" s="28" t="str">
        <f>IFERROR(__xludf.DUMMYFUNCTION("""COMPUTED_VALUE"""),"VerifyDailyCash")</f>
        <v>VerifyDailyCash</v>
      </c>
      <c r="AI4" s="28" t="str">
        <f>IFERROR(__xludf.DUMMYFUNCTION("""COMPUTED_VALUE"""),"EnableBlankMarkPrices")</f>
        <v>EnableBlankMarkPrices</v>
      </c>
      <c r="AJ4" s="28" t="str">
        <f>IFERROR(__xludf.DUMMYFUNCTION("""COMPUTED_VALUE"""),"UpateSymbolBlankMP")</f>
        <v>UpateSymbolBlankMP</v>
      </c>
      <c r="AK4" s="28" t="str">
        <f>IFERROR(__xludf.DUMMYFUNCTION("""COMPUTED_VALUE"""),"UpdateBlankMP")</f>
        <v>UpdateBlankMP</v>
      </c>
      <c r="AL4" s="28" t="str">
        <f>IFERROR(__xludf.DUMMYFUNCTION("""COMPUTED_VALUE"""),"FilterBlankMP")</f>
        <v>FilterBlankMP</v>
      </c>
      <c r="AM4" s="28" t="str">
        <f>IFERROR(__xludf.DUMMYFUNCTION("""COMPUTED_VALUE"""),"VerifyDVNavLockPopup")</f>
        <v>VerifyDVNavLockPopup</v>
      </c>
      <c r="AN4" s="28" t="str">
        <f>IFERROR(__xludf.DUMMYFUNCTION("""COMPUTED_VALUE"""),"SelectDateAtMPFC")</f>
        <v>SelectDateAtMPFC</v>
      </c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IFERROR(__xludf.DUMMYFUNCTION("""COMPUTED_VALUE"""),"Select Date")</f>
        <v>Select Date</v>
      </c>
      <c r="C5" s="41" t="str">
        <f>IFERROR(__xludf.DUMMYFUNCTION("""COMPUTED_VALUE"""),"Copy Date ")</f>
        <v>Copy Date 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42">
        <v>43024.0</v>
      </c>
      <c r="C6" s="42">
        <v>43024.0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21</v>
      </c>
      <c r="D3" s="5" t="s">
        <v>9</v>
      </c>
      <c r="E3" s="24" t="s">
        <v>23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IFERROR(__xludf.DUMMYFUNCTION("""COMPUTED_VALUE"""),"UpdateMultipleDailyCash")</f>
        <v>UpdateMultipleDailyCash</v>
      </c>
      <c r="E4" s="27" t="str">
        <f>IFERROR(__xludf.DUMMYFUNCTION("""COMPUTED_VALUE"""),"UpdateForexConversion")</f>
        <v>UpdateForexConversion</v>
      </c>
      <c r="F4" s="27" t="str">
        <f>IFERROR(__xludf.DUMMYFUNCTION("""COMPUTED_VALUE"""),"UpdateMarkPrice")</f>
        <v>UpdateMarkPrice</v>
      </c>
      <c r="G4" s="27" t="str">
        <f>IFERROR(__xludf.DUMMYFUNCTION("""COMPUTED_VALUE"""),"CleanUp")</f>
        <v>CleanUp</v>
      </c>
      <c r="H4" s="27" t="str">
        <f>IFERROR(__xludf.DUMMYFUNCTION("""COMPUTED_VALUE"""),"GetMarkPriceData")</f>
        <v>GetMarkPriceData</v>
      </c>
      <c r="I4" s="27" t="str">
        <f>IFERROR(__xludf.DUMMYFUNCTION("""COMPUTED_VALUE"""),"GetForwardPoints")</f>
        <v>GetForwardPoints</v>
      </c>
      <c r="J4" s="27" t="str">
        <f>IFERROR(__xludf.DUMMYFUNCTION("""COMPUTED_VALUE"""),"UpdateForwardPoints")</f>
        <v>UpdateForwardPoints</v>
      </c>
      <c r="K4" s="27" t="str">
        <f>IFERROR(__xludf.DUMMYFUNCTION("""COMPUTED_VALUE"""),"GetForexConversion")</f>
        <v>GetForexConversion</v>
      </c>
      <c r="L4" s="27" t="str">
        <f>IFERROR(__xludf.DUMMYFUNCTION("""COMPUTED_VALUE"""),"DeleteNAV")</f>
        <v>DeleteNAV</v>
      </c>
      <c r="M4" s="27" t="str">
        <f>IFERROR(__xludf.DUMMYFUNCTION("""COMPUTED_VALUE"""),"GetDailyCash")</f>
        <v>GetDailyCash</v>
      </c>
      <c r="N4" s="27" t="str">
        <f>IFERROR(__xludf.DUMMYFUNCTION("""COMPUTED_VALUE"""),"GetDailyBeta")</f>
        <v>GetDailyBeta</v>
      </c>
      <c r="O4" s="27" t="str">
        <f>IFERROR(__xludf.DUMMYFUNCTION("""COMPUTED_VALUE"""),"GetDailyVolatility")</f>
        <v>GetDailyVolatility</v>
      </c>
      <c r="P4" s="28" t="str">
        <f>IFERROR(__xludf.DUMMYFUNCTION("""COMPUTED_VALUE"""),"GetDailyDividendYield")</f>
        <v>GetDailyDividendYield</v>
      </c>
      <c r="Q4" s="28" t="str">
        <f>IFERROR(__xludf.DUMMYFUNCTION("""COMPUTED_VALUE"""),"GetDailyTradingVolume")</f>
        <v>GetDailyTradingVolume</v>
      </c>
      <c r="R4" s="28" t="str">
        <f>IFERROR(__xludf.DUMMYFUNCTION("""COMPUTED_VALUE"""),"GetDailyOutstandings")</f>
        <v>GetDailyOutstandings</v>
      </c>
      <c r="S4" s="28" t="str">
        <f>IFERROR(__xludf.DUMMYFUNCTION("""COMPUTED_VALUE"""),"GetDailyDelta")</f>
        <v>GetDailyDelta</v>
      </c>
      <c r="T4" s="28" t="str">
        <f>IFERROR(__xludf.DUMMYFUNCTION("""COMPUTED_VALUE"""),"UpdateDailyVolatility")</f>
        <v>UpdateDailyVolatility</v>
      </c>
      <c r="U4" s="28" t="str">
        <f>IFERROR(__xludf.DUMMYFUNCTION("""COMPUTED_VALUE"""),"UpdateDividendYield")</f>
        <v>UpdateDividendYield</v>
      </c>
      <c r="V4" s="28" t="str">
        <f>IFERROR(__xludf.DUMMYFUNCTION("""COMPUTED_VALUE"""),"UpdateTradingVolume")</f>
        <v>UpdateTradingVolume</v>
      </c>
      <c r="W4" s="28" t="str">
        <f>IFERROR(__xludf.DUMMYFUNCTION("""COMPUTED_VALUE"""),"UpdateDailyDelta")</f>
        <v>UpdateDailyDelta</v>
      </c>
      <c r="X4" s="28" t="str">
        <f>IFERROR(__xludf.DUMMYFUNCTION("""COMPUTED_VALUE"""),"UpdateDailyOutstandings")</f>
        <v>UpdateDailyOutstandings</v>
      </c>
      <c r="Y4" s="28" t="str">
        <f>IFERROR(__xludf.DUMMYFUNCTION("""COMPUTED_VALUE"""),"UpdateBeta")</f>
        <v>UpdateBeta</v>
      </c>
      <c r="Z4" s="28" t="str">
        <f>IFERROR(__xludf.DUMMYFUNCTION("""COMPUTED_VALUE"""),"UpdateNAV")</f>
        <v>UpdateNAV</v>
      </c>
      <c r="AA4" s="28" t="str">
        <f>IFERROR(__xludf.DUMMYFUNCTION("""COMPUTED_VALUE"""),"UpdateDailyCash")</f>
        <v>UpdateDailyCash</v>
      </c>
      <c r="AB4" s="28" t="str">
        <f>IFERROR(__xludf.DUMMYFUNCTION("""COMPUTED_VALUE"""),"UpdateDailyCreditLimt")</f>
        <v>UpdateDailyCreditLimt</v>
      </c>
      <c r="AC4" s="28" t="str">
        <f>IFERROR(__xludf.DUMMYFUNCTION("""COMPUTED_VALUE"""),"RemoveDailyCreditLimit")</f>
        <v>RemoveDailyCreditLimit</v>
      </c>
      <c r="AD4" s="28" t="str">
        <f>IFERROR(__xludf.DUMMYFUNCTION("""COMPUTED_VALUE"""),"RemoveDailyCash")</f>
        <v>RemoveDailyCash</v>
      </c>
      <c r="AE4" s="28" t="str">
        <f>IFERROR(__xludf.DUMMYFUNCTION("""COMPUTED_VALUE"""),"RemoveNAV")</f>
        <v>RemoveNAV</v>
      </c>
      <c r="AF4" s="28" t="str">
        <f>IFERROR(__xludf.DUMMYFUNCTION("""COMPUTED_VALUE"""),"UpdateForexConversionMonthly")</f>
        <v>UpdateForexConversionMonthly</v>
      </c>
      <c r="AG4" s="28" t="str">
        <f>IFERROR(__xludf.DUMMYFUNCTION("""COMPUTED_VALUE"""),"UpdateMarkPriceMonthly")</f>
        <v>UpdateMarkPriceMonthly</v>
      </c>
      <c r="AH4" s="28" t="str">
        <f>IFERROR(__xludf.DUMMYFUNCTION("""COMPUTED_VALUE"""),"VerifyDailyCash")</f>
        <v>VerifyDailyCash</v>
      </c>
      <c r="AI4" s="28" t="str">
        <f>IFERROR(__xludf.DUMMYFUNCTION("""COMPUTED_VALUE"""),"EnableBlankMarkPrices")</f>
        <v>EnableBlankMarkPrices</v>
      </c>
      <c r="AJ4" s="28" t="str">
        <f>IFERROR(__xludf.DUMMYFUNCTION("""COMPUTED_VALUE"""),"UpateSymbolBlankMP")</f>
        <v>UpateSymbolBlankMP</v>
      </c>
      <c r="AK4" s="28" t="str">
        <f>IFERROR(__xludf.DUMMYFUNCTION("""COMPUTED_VALUE"""),"UpdateBlankMP")</f>
        <v>UpdateBlankMP</v>
      </c>
      <c r="AL4" s="28" t="str">
        <f>IFERROR(__xludf.DUMMYFUNCTION("""COMPUTED_VALUE"""),"FilterBlankMP")</f>
        <v>FilterBlankMP</v>
      </c>
      <c r="AM4" s="28" t="str">
        <f>IFERROR(__xludf.DUMMYFUNCTION("""COMPUTED_VALUE"""),"VerifyDVNavLockPopup")</f>
        <v>VerifyDVNavLockPopup</v>
      </c>
      <c r="AN4" s="28" t="str">
        <f>IFERROR(__xludf.DUMMYFUNCTION("""COMPUTED_VALUE"""),"SelectDateAtMPFC")</f>
        <v>SelectDateAtMPFC</v>
      </c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IFERROR(__xludf.DUMMYFUNCTION("""COMPUTED_VALUE"""),"Symbol")</f>
        <v>Symbol</v>
      </c>
      <c r="C5" s="41" t="str">
        <f>IFERROR(__xludf.DUMMYFUNCTION("""COMPUTED_VALUE"""),"Price")</f>
        <v>Price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16</v>
      </c>
      <c r="C6" s="9">
        <v>17.0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24</v>
      </c>
      <c r="D3" s="5" t="s">
        <v>9</v>
      </c>
      <c r="E3" s="24" t="s">
        <v>25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IFERROR(__xludf.DUMMYFUNCTION("""COMPUTED_VALUE"""),"EditTradesAllocated")</f>
        <v>EditTradesAllocated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IFERROR(__xludf.DUMMYFUNCTION("""COMPUTED_VALUE"""),"DisableChecksideForAsset")</f>
        <v>DisableChecksideForAsset</v>
      </c>
      <c r="CX4" s="28" t="str">
        <f>IFERROR(__xludf.DUMMYFUNCTION("""COMPUTED_VALUE"""),"DisableChecksideForAccount")</f>
        <v>DisableChecksideForAccount</v>
      </c>
      <c r="CY4" s="28" t="str">
        <f>IFERROR(__xludf.DUMMYFUNCTION("""COMPUTED_VALUE"""),"DisableChecksideForCounterParty")</f>
        <v>DisableChecksideForCounterParty</v>
      </c>
      <c r="CZ4" s="28" t="str">
        <f>IFERROR(__xludf.DUMMYFUNCTION("""COMPUTED_VALUE"""),"DisableCheckside")</f>
        <v>DisableCheckside</v>
      </c>
      <c r="DA4" s="28" t="str">
        <f>IFERROR(__xludf.DUMMYFUNCTION("""COMPUTED_VALUE"""),"ApplyMasterFundFilter")</f>
        <v>ApplyMasterFundFilter</v>
      </c>
      <c r="DB4" s="28" t="str">
        <f>IFERROR(__xludf.DUMMYFUNCTION("""COMPUTED_VALUE"""),"ShowMasterFundOnTT")</f>
        <v>ShowMasterFundOnTT</v>
      </c>
      <c r="DC4" s="28" t="str">
        <f>IFERROR(__xludf.DUMMYFUNCTION("""COMPUTED_VALUE"""),"ShowMasterFundAsClient")</f>
        <v>ShowMasterFundAsClient</v>
      </c>
      <c r="DD4" s="28" t="str">
        <f>IFERROR(__xludf.DUMMYFUNCTION("""COMPUTED_VALUE"""),"SetBrokerAccountMapping")</f>
        <v>SetBrokerAccountMapping</v>
      </c>
      <c r="DE4" s="28" t="str">
        <f>IFERROR(__xludf.DUMMYFUNCTION("""COMPUTED_VALUE"""),"EditUnallocatedGridWPF")</f>
        <v>EditUnallocatedGridWPF</v>
      </c>
      <c r="DF4" s="28" t="str">
        <f>IFERROR(__xludf.DUMMYFUNCTION("""COMPUTED_VALUE"""),"EditAllocatedGridWPF")</f>
        <v>EditAllocatedGridWPF</v>
      </c>
      <c r="DG4" s="28" t="str">
        <f>IFERROR(__xludf.DUMMYFUNCTION("""COMPUTED_VALUE"""),"EditAllocatedGridTaxlot")</f>
        <v>EditAllocatedGridTaxlot</v>
      </c>
      <c r="DH4" s="28" t="str">
        <f>IFERROR(__xludf.DUMMYFUNCTION("""COMPUTED_VALUE"""),"ExpandCollapseAllocatedGrid")</f>
        <v>ExpandCollapseAllocatedGrid</v>
      </c>
      <c r="DI4" s="28" t="str">
        <f>IFERROR(__xludf.DUMMYFUNCTION("""COMPUTED_VALUE"""),"ExpandCollapseUnallocatedGrid")</f>
        <v>ExpandCollapseUnallocatedGrid</v>
      </c>
      <c r="DJ4" s="28" t="str">
        <f>IFERROR(__xludf.DUMMYFUNCTION("""COMPUTED_VALUE"""),"SetTradeAttributePreferences")</f>
        <v>SetTradeAttributePreferences</v>
      </c>
      <c r="DK4" s="28" t="str">
        <f>IFERROR(__xludf.DUMMYFUNCTION("""COMPUTED_VALUE"""),"EnterCustomAllocatePreference")</f>
        <v>EnterCustomAllocatePreference</v>
      </c>
      <c r="DL4" s="28" t="str">
        <f>IFERROR(__xludf.DUMMYFUNCTION("""COMPUTED_VALUE"""),"SetAutoGroupingPreferences")</f>
        <v>SetAutoGroupingPreferences</v>
      </c>
      <c r="DM4" s="28" t="str">
        <f>IFERROR(__xludf.DUMMYFUNCTION("""COMPUTED_VALUE"""),"SetAutoGroupingAccount")</f>
        <v>SetAutoGroupingAccount</v>
      </c>
      <c r="DN4" s="28" t="str">
        <f>IFERROR(__xludf.DUMMYFUNCTION("""COMPUTED_VALUE"""),"SetAvgPriceRounding")</f>
        <v>SetAvgPriceRounding</v>
      </c>
      <c r="DO4" s="28" t="str">
        <f>IFERROR(__xludf.DUMMYFUNCTION("""COMPUTED_VALUE"""),"IsAllocationOpen")</f>
        <v>IsAllocationOpen</v>
      </c>
      <c r="DP4" s="28" t="str">
        <f>IFERROR(__xludf.DUMMYFUNCTION("""COMPUTED_VALUE"""),"AllocationAuditTrail")</f>
        <v>AllocationAuditTrail</v>
      </c>
      <c r="DQ4" s="28" t="str">
        <f>IFERROR(__xludf.DUMMYFUNCTION("""COMPUTED_VALUE"""),"GetAuditTrailData")</f>
        <v>GetAuditTrailData</v>
      </c>
      <c r="DR4" s="28" t="str">
        <f>IFERROR(__xludf.DUMMYFUNCTION("""COMPUTED_VALUE"""),"CheckAuditTrailData")</f>
        <v>CheckAuditTrailData</v>
      </c>
      <c r="DS4" s="28" t="str">
        <f>IFERROR(__xludf.DUMMYFUNCTION("""COMPUTED_VALUE"""),"DeleteGroupWithOutSave")</f>
        <v>DeleteGroupWithOutSave</v>
      </c>
      <c r="DT4" s="28" t="str">
        <f>IFERROR(__xludf.DUMMYFUNCTION("""COMPUTED_VALUE"""),"CheckPreferences")</f>
        <v>CheckPreferences</v>
      </c>
      <c r="DU4" s="28" t="str">
        <f>IFERROR(__xludf.DUMMYFUNCTION("""COMPUTED_VALUE"""),"AllocateWithPopUp")</f>
        <v>AllocateWithPopUp</v>
      </c>
      <c r="DV4" s="28" t="str">
        <f>IFERROR(__xludf.DUMMYFUNCTION("""COMPUTED_VALUE"""),"SelectAllRowsAllocated")</f>
        <v>SelectAllRowsAllocated</v>
      </c>
      <c r="DW4" s="28" t="str">
        <f>IFERROR(__xludf.DUMMYFUNCTION("""COMPUTED_VALUE"""),"ModifyGRPreferenceValues")</f>
        <v>ModifyGRPreferenceValues</v>
      </c>
      <c r="DX4" s="28" t="str">
        <f>IFERROR(__xludf.DUMMYFUNCTION("""COMPUTED_VALUE"""),"VerifyAllocationNavLockPopup")</f>
        <v>VerifyAllocationNavLockPopup</v>
      </c>
      <c r="DY4" s="28" t="str">
        <f>IFERROR(__xludf.DUMMYFUNCTION("""COMPUTED_VALUE"""),"ReviewExistingPositions")</f>
        <v>ReviewExistingPositions</v>
      </c>
      <c r="DZ4" s="28" t="str">
        <f>IFERROR(__xludf.DUMMYFUNCTION("""COMPUTED_VALUE"""),"OperationsonAllocation")</f>
        <v>OperationsonAllocation</v>
      </c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IFERROR(__xludf.DUMMYFUNCTION("""COMPUTED_VALUE"""),"RangeType")</f>
        <v>RangeType</v>
      </c>
      <c r="C5" s="41" t="str">
        <f>IFERROR(__xludf.DUMMYFUNCTION("""COMPUTED_VALUE"""),"From")</f>
        <v>From</v>
      </c>
      <c r="D5" s="41" t="str">
        <f>IFERROR(__xludf.DUMMYFUNCTION("""COMPUTED_VALUE"""),"To")</f>
        <v>To</v>
      </c>
      <c r="E5" s="41" t="str">
        <f>IFERROR(__xludf.DUMMYFUNCTION("""COMPUTED_VALUE"""),"FilterTabName")</f>
        <v>FilterTabName</v>
      </c>
      <c r="F5" s="41" t="str">
        <f>IFERROR(__xludf.DUMMYFUNCTION("""COMPUTED_VALUE"""),"Symbol")</f>
        <v>Symbol</v>
      </c>
      <c r="G5" s="41" t="str">
        <f>IFERROR(__xludf.DUMMYFUNCTION("""COMPUTED_VALUE"""),"Asset")</f>
        <v>Asset</v>
      </c>
      <c r="H5" s="41" t="str">
        <f>IFERROR(__xludf.DUMMYFUNCTION("""COMPUTED_VALUE"""),"Side")</f>
        <v>Side</v>
      </c>
      <c r="I5" s="41" t="str">
        <f>IFERROR(__xludf.DUMMYFUNCTION("""COMPUTED_VALUE"""),"Account")</f>
        <v>Account</v>
      </c>
      <c r="J5" s="41" t="str">
        <f>IFERROR(__xludf.DUMMYFUNCTION("""COMPUTED_VALUE"""),"Broker")</f>
        <v>Broker</v>
      </c>
      <c r="K5" s="41" t="str">
        <f>IFERROR(__xludf.DUMMYFUNCTION("""COMPUTED_VALUE"""),"Currency")</f>
        <v>Currency</v>
      </c>
      <c r="L5" s="41" t="str">
        <f>IFERROR(__xludf.DUMMYFUNCTION("""COMPUTED_VALUE"""),"Exchange")</f>
        <v>Exchange</v>
      </c>
      <c r="M5" s="41" t="str">
        <f>IFERROR(__xludf.DUMMYFUNCTION("""COMPUTED_VALUE"""),"StrategyName")</f>
        <v>StrategyName</v>
      </c>
      <c r="N5" s="41" t="str">
        <f>IFERROR(__xludf.DUMMYFUNCTION("""COMPUTED_VALUE"""),"Underlying")</f>
        <v>Underlying</v>
      </c>
      <c r="O5" s="41" t="str">
        <f>IFERROR(__xludf.DUMMYFUNCTION("""COMPUTED_VALUE"""),"Venue")</f>
        <v>Venue</v>
      </c>
      <c r="P5" s="41" t="str">
        <f>IFERROR(__xludf.DUMMYFUNCTION("""COMPUTED_VALUE"""),"TradingAccount")</f>
        <v>TradingAccount</v>
      </c>
      <c r="Q5" s="41" t="str">
        <f>IFERROR(__xludf.DUMMYFUNCTION("""COMPUTED_VALUE"""),"PreAllocated")</f>
        <v>PreAllocated</v>
      </c>
      <c r="R5" s="41" t="str">
        <f>IFERROR(__xludf.DUMMYFUNCTION("""COMPUTED_VALUE"""),"ManualGroup")</f>
        <v>ManualGroup</v>
      </c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26</v>
      </c>
      <c r="C6" s="43">
        <v>43024.0</v>
      </c>
      <c r="D6" s="43">
        <v>43031.0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28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IFERROR(__xludf.DUMMYFUNCTION("""COMPUTED_VALUE"""),"From")</f>
        <v>From</v>
      </c>
      <c r="E5" s="41" t="str">
        <f>IFERROR(__xludf.DUMMYFUNCTION("""COMPUTED_VALUE"""),"To")</f>
        <v>To</v>
      </c>
      <c r="F5" s="41" t="str">
        <f>IFERROR(__xludf.DUMMYFUNCTION("""COMPUTED_VALUE"""),"SettlementDate")</f>
        <v>SettlementDate</v>
      </c>
      <c r="G5" s="41" t="str">
        <f>IFERROR(__xludf.DUMMYFUNCTION("""COMPUTED_VALUE"""),"TradeDate")</f>
        <v>TradeDate</v>
      </c>
      <c r="H5" s="41" t="str">
        <f>IFERROR(__xludf.DUMMYFUNCTION("""COMPUTED_VALUE"""),"All")</f>
        <v>All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35"/>
      <c r="B6" s="44" t="s">
        <v>29</v>
      </c>
      <c r="C6" s="45" t="s">
        <v>18</v>
      </c>
      <c r="D6" s="46">
        <v>43024.0</v>
      </c>
      <c r="E6" s="46">
        <v>43031.0</v>
      </c>
      <c r="F6" s="44"/>
      <c r="G6" s="44" t="s">
        <v>30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3" width="12.63"/>
    <col customWidth="1" min="4" max="4" width="15.25"/>
    <col customWidth="1" min="5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41" t="str">
        <f>IFERROR(__xludf.DUMMYFUNCTION("""COMPUTED_VALUE"""),"Activity Source")</f>
        <v>Activity Source</v>
      </c>
      <c r="D5" s="41" t="str">
        <f>IFERROR(__xludf.DUMMYFUNCTION("""COMPUTED_VALUE"""),"ActivityType")</f>
        <v>ActivityType</v>
      </c>
      <c r="E5" s="41" t="str">
        <f>IFERROR(__xludf.DUMMYFUNCTION("""COMPUTED_VALUE"""),"Net Amount(Local)")</f>
        <v>Net Amount(Local)</v>
      </c>
      <c r="F5" s="41" t="str">
        <f>IFERROR(__xludf.DUMMYFUNCTION("""COMPUTED_VALUE"""),"AUEC Fee1")</f>
        <v>AUEC Fee1</v>
      </c>
      <c r="G5" s="41" t="str">
        <f>IFERROR(__xludf.DUMMYFUNCTION("""COMPUTED_VALUE"""),"AUEC Fee2")</f>
        <v>AUEC Fee2</v>
      </c>
      <c r="H5" s="41" t="str">
        <f>IFERROR(__xludf.DUMMYFUNCTION("""COMPUTED_VALUE"""),"Balance Type")</f>
        <v>Balance Type</v>
      </c>
      <c r="I5" s="41" t="str">
        <f>IFERROR(__xludf.DUMMYFUNCTION("""COMPUTED_VALUE"""),"Clearing Broker Fees")</f>
        <v>Clearing Broker Fees</v>
      </c>
      <c r="J5" s="41" t="str">
        <f>IFERROR(__xludf.DUMMYFUNCTION("""COMPUTED_VALUE"""),"Commission")</f>
        <v>Commission</v>
      </c>
      <c r="K5" s="41" t="str">
        <f>IFERROR(__xludf.DUMMYFUNCTION("""COMPUTED_VALUE"""),"Currency")</f>
        <v>Currency</v>
      </c>
      <c r="L5" s="41" t="str">
        <f>IFERROR(__xludf.DUMMYFUNCTION("""COMPUTED_VALUE"""),"Description")</f>
        <v>Description</v>
      </c>
      <c r="M5" s="41" t="str">
        <f>IFERROR(__xludf.DUMMYFUNCTION("""COMPUTED_VALUE"""),"Entry Date")</f>
        <v>Entry Date</v>
      </c>
      <c r="N5" s="41" t="str">
        <f>IFERROR(__xludf.DUMMYFUNCTION("""COMPUTED_VALUE"""),"FX Conversion Method Operator")</f>
        <v>FX Conversion Method Operator</v>
      </c>
      <c r="O5" s="41" t="str">
        <f>IFERROR(__xludf.DUMMYFUNCTION("""COMPUTED_VALUE"""),"Fx Rate")</f>
        <v>Fx Rate</v>
      </c>
      <c r="P5" s="41" t="str">
        <f>IFERROR(__xludf.DUMMYFUNCTION("""COMPUTED_VALUE"""),"Lead Currency")</f>
        <v>Lead Currency</v>
      </c>
      <c r="Q5" s="41" t="str">
        <f>IFERROR(__xludf.DUMMYFUNCTION("""COMPUTED_VALUE"""),"Modify date")</f>
        <v>Modify date</v>
      </c>
      <c r="R5" s="41" t="str">
        <f>IFERROR(__xludf.DUMMYFUNCTION("""COMPUTED_VALUE"""),"OCC Fee")</f>
        <v>OCC Fee</v>
      </c>
      <c r="S5" s="41" t="str">
        <f>IFERROR(__xludf.DUMMYFUNCTION("""COMPUTED_VALUE"""),"OptionPremiumAdjustment")</f>
        <v>OptionPremiumAdjustment</v>
      </c>
      <c r="T5" s="32" t="str">
        <f>IFERROR(__xludf.DUMMYFUNCTION("""COMPUTED_VALUE"""),"ORF Fee")</f>
        <v>ORF Fee</v>
      </c>
      <c r="U5" s="32" t="str">
        <f>IFERROR(__xludf.DUMMYFUNCTION("""COMPUTED_VALUE"""),"Other Broker Fees")</f>
        <v>Other Broker Fees</v>
      </c>
      <c r="V5" s="32" t="str">
        <f>IFERROR(__xludf.DUMMYFUNCTION("""COMPUTED_VALUE"""),"Quantity")</f>
        <v>Quantity</v>
      </c>
      <c r="W5" s="32" t="str">
        <f>IFERROR(__xludf.DUMMYFUNCTION("""COMPUTED_VALUE"""),"SEC Fee")</f>
        <v>SEC Fee</v>
      </c>
      <c r="X5" s="32" t="str">
        <f>IFERROR(__xludf.DUMMYFUNCTION("""COMPUTED_VALUE"""),"Settlement Currency")</f>
        <v>Settlement Currency</v>
      </c>
      <c r="Y5" s="32" t="str">
        <f>IFERROR(__xludf.DUMMYFUNCTION("""COMPUTED_VALUE"""),"Settlement Date")</f>
        <v>Settlement Date</v>
      </c>
      <c r="Z5" s="32" t="str">
        <f>IFERROR(__xludf.DUMMYFUNCTION("""COMPUTED_VALUE"""),"Soft Commission")</f>
        <v>Soft Commission</v>
      </c>
      <c r="AA5" s="32" t="str">
        <f>IFERROR(__xludf.DUMMYFUNCTION("""COMPUTED_VALUE"""),"Stamp Duty")</f>
        <v>Stamp Duty</v>
      </c>
      <c r="AB5" s="32" t="str">
        <f>IFERROR(__xludf.DUMMYFUNCTION("""COMPUTED_VALUE"""),"Symbol")</f>
        <v>Symbol</v>
      </c>
      <c r="AC5" s="32" t="str">
        <f>IFERROR(__xludf.DUMMYFUNCTION("""COMPUTED_VALUE"""),"Tax On Commissions")</f>
        <v>Tax On Commissions</v>
      </c>
      <c r="AD5" s="32" t="str">
        <f>IFERROR(__xludf.DUMMYFUNCTION("""COMPUTED_VALUE"""),"Total Commissions")</f>
        <v>Total Commissions</v>
      </c>
      <c r="AE5" s="32" t="str">
        <f>IFERROR(__xludf.DUMMYFUNCTION("""COMPUTED_VALUE"""),"Trade Date")</f>
        <v>Trade Date</v>
      </c>
      <c r="AF5" s="32" t="str">
        <f>IFERROR(__xludf.DUMMYFUNCTION("""COMPUTED_VALUE"""),"Transaction Levy")</f>
        <v>Transaction Levy</v>
      </c>
      <c r="AG5" s="32" t="str">
        <f>IFERROR(__xludf.DUMMYFUNCTION("""COMPUTED_VALUE"""),"Transaction Source")</f>
        <v>Transaction Source</v>
      </c>
      <c r="AH5" s="32" t="str">
        <f>IFERROR(__xludf.DUMMYFUNCTION("""COMPUTED_VALUE"""),"User")</f>
        <v>User</v>
      </c>
      <c r="AI5" s="32" t="str">
        <f>IFERROR(__xludf.DUMMYFUNCTION("""COMPUTED_VALUE"""),"Vs Currency")</f>
        <v>Vs Currency</v>
      </c>
      <c r="AJ5" s="32" t="str">
        <f>IFERROR(__xludf.DUMMYFUNCTION("""COMPUTED_VALUE"""),"SettlCurrencyID")</f>
        <v>SettlCurrencyID</v>
      </c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35"/>
      <c r="B6" s="47" t="s">
        <v>18</v>
      </c>
      <c r="C6" s="48" t="s">
        <v>32</v>
      </c>
      <c r="D6" s="35" t="s">
        <v>33</v>
      </c>
      <c r="E6" s="49">
        <v>-1945.0</v>
      </c>
      <c r="F6" s="48">
        <v>0.0</v>
      </c>
      <c r="G6" s="48">
        <v>0.0</v>
      </c>
      <c r="H6" s="35" t="s">
        <v>34</v>
      </c>
      <c r="I6" s="48">
        <v>0.0</v>
      </c>
      <c r="J6" s="36">
        <v>70.0</v>
      </c>
      <c r="K6" s="35" t="s">
        <v>35</v>
      </c>
      <c r="L6" s="35"/>
      <c r="M6" s="50">
        <v>43024.0</v>
      </c>
      <c r="N6" s="35" t="s">
        <v>36</v>
      </c>
      <c r="O6" s="51">
        <v>1.0</v>
      </c>
      <c r="P6" s="35"/>
      <c r="Q6" s="35"/>
      <c r="R6" s="51">
        <v>0.0</v>
      </c>
      <c r="S6" s="51">
        <v>0.0</v>
      </c>
      <c r="T6" s="51">
        <v>0.0</v>
      </c>
      <c r="U6" s="51">
        <v>0.0</v>
      </c>
      <c r="V6" s="36">
        <v>50.0</v>
      </c>
      <c r="W6" s="51">
        <v>0.0</v>
      </c>
      <c r="X6" s="35" t="s">
        <v>35</v>
      </c>
      <c r="Y6" s="35"/>
      <c r="Z6" s="36">
        <v>0.0</v>
      </c>
      <c r="AA6" s="51">
        <v>0.0</v>
      </c>
      <c r="AB6" s="35" t="s">
        <v>16</v>
      </c>
      <c r="AC6" s="51">
        <v>0.0</v>
      </c>
      <c r="AD6" s="51">
        <v>70.0</v>
      </c>
      <c r="AE6" s="50">
        <v>43024.0</v>
      </c>
      <c r="AF6" s="51">
        <v>0.0</v>
      </c>
      <c r="AG6" s="48" t="s">
        <v>32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47" t="s">
        <v>18</v>
      </c>
      <c r="C7" s="48" t="s">
        <v>32</v>
      </c>
      <c r="D7" s="52" t="s">
        <v>37</v>
      </c>
      <c r="E7" s="49">
        <v>-125.0</v>
      </c>
      <c r="F7" s="48">
        <v>0.0</v>
      </c>
      <c r="G7" s="48">
        <v>0.0</v>
      </c>
      <c r="H7" s="35" t="s">
        <v>34</v>
      </c>
      <c r="I7" s="48">
        <v>0.0</v>
      </c>
      <c r="J7" s="36">
        <v>0.0</v>
      </c>
      <c r="K7" s="35" t="s">
        <v>35</v>
      </c>
      <c r="L7" s="35"/>
      <c r="M7" s="50">
        <v>43024.0</v>
      </c>
      <c r="N7" s="35" t="s">
        <v>36</v>
      </c>
      <c r="O7" s="51">
        <v>1.0</v>
      </c>
      <c r="P7" s="35"/>
      <c r="Q7" s="35"/>
      <c r="R7" s="51">
        <v>0.0</v>
      </c>
      <c r="S7" s="51">
        <v>0.0</v>
      </c>
      <c r="T7" s="51">
        <v>0.0</v>
      </c>
      <c r="U7" s="51">
        <v>0.0</v>
      </c>
      <c r="V7" s="36">
        <v>50.0</v>
      </c>
      <c r="W7" s="51">
        <v>0.0</v>
      </c>
      <c r="X7" s="35" t="s">
        <v>35</v>
      </c>
      <c r="Y7" s="35"/>
      <c r="Z7" s="36">
        <v>0.0</v>
      </c>
      <c r="AA7" s="51">
        <v>0.0</v>
      </c>
      <c r="AB7" s="35" t="s">
        <v>16</v>
      </c>
      <c r="AC7" s="51">
        <v>0.0</v>
      </c>
      <c r="AD7" s="36">
        <v>0.0</v>
      </c>
      <c r="AE7" s="50">
        <v>43024.0</v>
      </c>
      <c r="AF7" s="51">
        <v>0.0</v>
      </c>
      <c r="AG7" s="35" t="s">
        <v>32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35"/>
      <c r="B8" s="47" t="s">
        <v>18</v>
      </c>
      <c r="C8" s="48" t="s">
        <v>32</v>
      </c>
      <c r="D8" s="35" t="s">
        <v>33</v>
      </c>
      <c r="E8" s="49">
        <v>1220.0</v>
      </c>
      <c r="F8" s="48">
        <v>0.0</v>
      </c>
      <c r="G8" s="48">
        <v>0.0</v>
      </c>
      <c r="H8" s="35" t="s">
        <v>34</v>
      </c>
      <c r="I8" s="48">
        <v>0.0</v>
      </c>
      <c r="J8" s="49">
        <v>30.0</v>
      </c>
      <c r="K8" s="35" t="s">
        <v>35</v>
      </c>
      <c r="L8" s="35"/>
      <c r="M8" s="53">
        <v>43031.0</v>
      </c>
      <c r="N8" s="35" t="s">
        <v>36</v>
      </c>
      <c r="O8" s="54">
        <v>1.0</v>
      </c>
      <c r="P8" s="35"/>
      <c r="Q8" s="35"/>
      <c r="R8" s="51">
        <v>0.0</v>
      </c>
      <c r="S8" s="51">
        <v>0.0</v>
      </c>
      <c r="T8" s="51">
        <v>0.0</v>
      </c>
      <c r="U8" s="51">
        <v>0.0</v>
      </c>
      <c r="V8" s="36">
        <v>50.0</v>
      </c>
      <c r="W8" s="51">
        <v>0.0</v>
      </c>
      <c r="X8" s="35" t="s">
        <v>35</v>
      </c>
      <c r="Y8" s="35"/>
      <c r="Z8" s="36">
        <v>0.0</v>
      </c>
      <c r="AA8" s="51">
        <v>0.0</v>
      </c>
      <c r="AB8" s="35" t="s">
        <v>16</v>
      </c>
      <c r="AC8" s="51">
        <v>0.0</v>
      </c>
      <c r="AD8" s="51">
        <v>30.0</v>
      </c>
      <c r="AE8" s="53">
        <v>43031.0</v>
      </c>
      <c r="AF8" s="51">
        <v>0.0</v>
      </c>
      <c r="AG8" s="48" t="s">
        <v>32</v>
      </c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</row>
    <row r="9" ht="15.75" customHeight="1">
      <c r="A9" s="35"/>
      <c r="B9" s="47" t="s">
        <v>18</v>
      </c>
      <c r="C9" s="48" t="s">
        <v>32</v>
      </c>
      <c r="D9" s="52" t="s">
        <v>38</v>
      </c>
      <c r="E9" s="49">
        <v>137.15</v>
      </c>
      <c r="F9" s="48">
        <v>0.0</v>
      </c>
      <c r="G9" s="48">
        <v>0.0</v>
      </c>
      <c r="H9" s="35" t="s">
        <v>34</v>
      </c>
      <c r="I9" s="48">
        <v>0.0</v>
      </c>
      <c r="J9" s="49">
        <v>0.0</v>
      </c>
      <c r="K9" s="35" t="s">
        <v>35</v>
      </c>
      <c r="L9" s="35"/>
      <c r="M9" s="53">
        <v>43031.0</v>
      </c>
      <c r="N9" s="35" t="s">
        <v>36</v>
      </c>
      <c r="O9" s="54">
        <v>1.0</v>
      </c>
      <c r="P9" s="35"/>
      <c r="Q9" s="35"/>
      <c r="R9" s="51">
        <v>0.0</v>
      </c>
      <c r="S9" s="51">
        <v>0.0</v>
      </c>
      <c r="T9" s="51">
        <v>0.0</v>
      </c>
      <c r="U9" s="51">
        <v>0.0</v>
      </c>
      <c r="V9" s="36">
        <v>50.0</v>
      </c>
      <c r="W9" s="51">
        <v>0.0</v>
      </c>
      <c r="X9" s="35" t="s">
        <v>35</v>
      </c>
      <c r="Y9" s="35"/>
      <c r="Z9" s="36">
        <v>0.0</v>
      </c>
      <c r="AA9" s="51"/>
      <c r="AB9" s="35" t="s">
        <v>16</v>
      </c>
      <c r="AC9" s="51">
        <v>0.0</v>
      </c>
      <c r="AD9" s="36">
        <v>0.0</v>
      </c>
      <c r="AE9" s="53">
        <v>43031.0</v>
      </c>
      <c r="AF9" s="51">
        <v>0.0</v>
      </c>
      <c r="AG9" s="48" t="s">
        <v>32</v>
      </c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IFERROR(__xludf.DUMMYFUNCTION("""COMPUTED_VALUE"""),"From Date")</f>
        <v>From Date</v>
      </c>
      <c r="E5" s="41" t="str">
        <f>IFERROR(__xludf.DUMMYFUNCTION("""COMPUTED_VALUE"""),"To Date")</f>
        <v>To Date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35"/>
      <c r="B6" s="44" t="s">
        <v>29</v>
      </c>
      <c r="C6" s="45" t="s">
        <v>18</v>
      </c>
      <c r="D6" s="46">
        <v>43024.0</v>
      </c>
      <c r="E6" s="46">
        <v>43031.0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6" width="12.63"/>
    <col customWidth="1" min="17" max="17" width="21.25"/>
    <col customWidth="1" min="18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30" t="str">
        <f>IFERROR(__xludf.DUMMYFUNCTION("""COMPUTED_VALUE"""),"Modify Date")</f>
        <v>Modify Date</v>
      </c>
      <c r="D5" s="30" t="str">
        <f>IFERROR(__xludf.DUMMYFUNCTION("""COMPUTED_VALUE"""),"Entry Date")</f>
        <v>Entry Date</v>
      </c>
      <c r="E5" s="30" t="str">
        <f>IFERROR(__xludf.DUMMYFUNCTION("""COMPUTED_VALUE"""),"DR")</f>
        <v>DR</v>
      </c>
      <c r="F5" s="30" t="str">
        <f>IFERROR(__xludf.DUMMYFUNCTION("""COMPUTED_VALUE"""),"CR")</f>
        <v>CR</v>
      </c>
      <c r="G5" s="30" t="str">
        <f>IFERROR(__xludf.DUMMYFUNCTION("""COMPUTED_VALUE"""),"Fx Rate")</f>
        <v>Fx Rate</v>
      </c>
      <c r="H5" s="30" t="str">
        <f>IFERROR(__xludf.DUMMYFUNCTION("""COMPUTED_VALUE"""),"FX Conversion Method Operator")</f>
        <v>FX Conversion Method Operator</v>
      </c>
      <c r="I5" s="30" t="str">
        <f>IFERROR(__xludf.DUMMYFUNCTION("""COMPUTED_VALUE"""),"Account Side")</f>
        <v>Account Side</v>
      </c>
      <c r="J5" s="30" t="str">
        <f>IFERROR(__xludf.DUMMYFUNCTION("""COMPUTED_VALUE"""),"TransactionSource")</f>
        <v>TransactionSource</v>
      </c>
      <c r="K5" s="30" t="str">
        <f>IFERROR(__xludf.DUMMYFUNCTION("""COMPUTED_VALUE"""),"Currency")</f>
        <v>Currency</v>
      </c>
      <c r="L5" s="30" t="str">
        <f>IFERROR(__xludf.DUMMYFUNCTION("""COMPUTED_VALUE"""),"Base Currency")</f>
        <v>Base Currency</v>
      </c>
      <c r="M5" s="30" t="str">
        <f>IFERROR(__xludf.DUMMYFUNCTION("""COMPUTED_VALUE"""),"Symbol")</f>
        <v>Symbol</v>
      </c>
      <c r="N5" s="30" t="str">
        <f>IFERROR(__xludf.DUMMYFUNCTION("""COMPUTED_VALUE"""),"Description")</f>
        <v>Description</v>
      </c>
      <c r="O5" s="30" t="str">
        <f>IFERROR(__xludf.DUMMYFUNCTION("""COMPUTED_VALUE"""),"DR (Base)")</f>
        <v>DR (Base)</v>
      </c>
      <c r="P5" s="30" t="str">
        <f>IFERROR(__xludf.DUMMYFUNCTION("""COMPUTED_VALUE"""),"CR (Base)")</f>
        <v>CR (Base)</v>
      </c>
      <c r="Q5" s="30" t="str">
        <f>IFERROR(__xludf.DUMMYFUNCTION("""COMPUTED_VALUE"""),"Cash Sub-Account")</f>
        <v>Cash Sub-Account</v>
      </c>
      <c r="R5" s="30" t="str">
        <f>IFERROR(__xludf.DUMMYFUNCTION("""COMPUTED_VALUE"""),"Account")</f>
        <v>Account</v>
      </c>
      <c r="S5" s="30" t="str">
        <f>IFERROR(__xludf.DUMMYFUNCTION("""COMPUTED_VALUE"""),"TaxLotId")</f>
        <v>TaxLotId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35"/>
      <c r="B6" s="55">
        <v>43024.0</v>
      </c>
      <c r="C6" s="35"/>
      <c r="D6" s="56"/>
      <c r="E6" s="57">
        <v>1945.0</v>
      </c>
      <c r="F6" s="58">
        <v>0.0</v>
      </c>
      <c r="G6" s="47">
        <v>1.0</v>
      </c>
      <c r="H6" s="47" t="s">
        <v>36</v>
      </c>
      <c r="I6" s="59" t="s">
        <v>41</v>
      </c>
      <c r="J6" s="35"/>
      <c r="K6" s="47" t="s">
        <v>35</v>
      </c>
      <c r="L6" s="47" t="s">
        <v>35</v>
      </c>
      <c r="M6" s="47" t="s">
        <v>16</v>
      </c>
      <c r="N6" s="35"/>
      <c r="O6" s="57">
        <v>1945.0</v>
      </c>
      <c r="P6" s="58">
        <v>0.0</v>
      </c>
      <c r="Q6" s="59" t="s">
        <v>42</v>
      </c>
      <c r="R6" s="47" t="s">
        <v>18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55">
        <v>43024.0</v>
      </c>
      <c r="C7" s="35"/>
      <c r="D7" s="56"/>
      <c r="E7" s="60">
        <v>0.0</v>
      </c>
      <c r="F7" s="57">
        <v>1945.0</v>
      </c>
      <c r="G7" s="47">
        <v>1.0</v>
      </c>
      <c r="H7" s="47" t="s">
        <v>36</v>
      </c>
      <c r="I7" s="59" t="s">
        <v>43</v>
      </c>
      <c r="J7" s="35"/>
      <c r="K7" s="47" t="s">
        <v>35</v>
      </c>
      <c r="L7" s="47" t="s">
        <v>35</v>
      </c>
      <c r="M7" s="47" t="s">
        <v>16</v>
      </c>
      <c r="N7" s="35"/>
      <c r="O7" s="60">
        <v>0.0</v>
      </c>
      <c r="P7" s="57">
        <v>1945.0</v>
      </c>
      <c r="Q7" s="59" t="s">
        <v>44</v>
      </c>
      <c r="R7" s="47" t="s">
        <v>18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35"/>
      <c r="B8" s="55">
        <v>43024.0</v>
      </c>
      <c r="C8" s="35"/>
      <c r="D8" s="56"/>
      <c r="E8" s="57">
        <v>125.0</v>
      </c>
      <c r="F8" s="58">
        <v>0.0</v>
      </c>
      <c r="G8" s="47">
        <v>1.0</v>
      </c>
      <c r="H8" s="47" t="s">
        <v>36</v>
      </c>
      <c r="I8" s="59" t="s">
        <v>41</v>
      </c>
      <c r="J8" s="35"/>
      <c r="K8" s="47" t="s">
        <v>35</v>
      </c>
      <c r="L8" s="47" t="s">
        <v>35</v>
      </c>
      <c r="M8" s="47" t="s">
        <v>16</v>
      </c>
      <c r="N8" s="35"/>
      <c r="O8" s="57">
        <v>125.0</v>
      </c>
      <c r="P8" s="58">
        <v>0.0</v>
      </c>
      <c r="Q8" s="59" t="s">
        <v>45</v>
      </c>
      <c r="R8" s="47" t="s">
        <v>18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</row>
    <row r="9" ht="15.75" customHeight="1">
      <c r="A9" s="35"/>
      <c r="B9" s="55">
        <v>43024.0</v>
      </c>
      <c r="C9" s="35"/>
      <c r="D9" s="56"/>
      <c r="E9" s="60">
        <v>0.0</v>
      </c>
      <c r="F9" s="57">
        <v>125.0</v>
      </c>
      <c r="G9" s="47">
        <v>1.0</v>
      </c>
      <c r="H9" s="47" t="s">
        <v>36</v>
      </c>
      <c r="I9" s="59" t="s">
        <v>43</v>
      </c>
      <c r="J9" s="35"/>
      <c r="K9" s="47" t="s">
        <v>35</v>
      </c>
      <c r="L9" s="47" t="s">
        <v>35</v>
      </c>
      <c r="M9" s="47" t="s">
        <v>16</v>
      </c>
      <c r="N9" s="35"/>
      <c r="O9" s="60">
        <v>0.0</v>
      </c>
      <c r="P9" s="57">
        <v>125.0</v>
      </c>
      <c r="Q9" s="59" t="s">
        <v>44</v>
      </c>
      <c r="R9" s="47" t="s">
        <v>18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</row>
    <row r="10" ht="15.75" customHeight="1">
      <c r="A10" s="35"/>
      <c r="B10" s="55">
        <v>43031.0</v>
      </c>
      <c r="C10" s="35"/>
      <c r="D10" s="56"/>
      <c r="E10" s="57">
        <v>30.0</v>
      </c>
      <c r="F10" s="58">
        <v>0.0</v>
      </c>
      <c r="G10" s="47">
        <v>1.0</v>
      </c>
      <c r="H10" s="47" t="s">
        <v>36</v>
      </c>
      <c r="I10" s="59" t="s">
        <v>41</v>
      </c>
      <c r="J10" s="35"/>
      <c r="K10" s="47" t="s">
        <v>35</v>
      </c>
      <c r="L10" s="47" t="s">
        <v>35</v>
      </c>
      <c r="M10" s="47" t="s">
        <v>16</v>
      </c>
      <c r="N10" s="35"/>
      <c r="O10" s="57">
        <v>30.0</v>
      </c>
      <c r="P10" s="58">
        <v>0.0</v>
      </c>
      <c r="Q10" s="59" t="s">
        <v>42</v>
      </c>
      <c r="R10" s="47" t="s">
        <v>18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</row>
    <row r="11" ht="15.75" customHeight="1">
      <c r="A11" s="35"/>
      <c r="B11" s="55">
        <v>43031.0</v>
      </c>
      <c r="C11" s="35"/>
      <c r="D11" s="56"/>
      <c r="E11" s="60">
        <v>0.0</v>
      </c>
      <c r="F11" s="57">
        <v>30.0</v>
      </c>
      <c r="G11" s="47">
        <v>1.0</v>
      </c>
      <c r="H11" s="47" t="s">
        <v>36</v>
      </c>
      <c r="I11" s="59" t="s">
        <v>43</v>
      </c>
      <c r="J11" s="35"/>
      <c r="K11" s="47" t="s">
        <v>35</v>
      </c>
      <c r="L11" s="47" t="s">
        <v>35</v>
      </c>
      <c r="M11" s="47" t="s">
        <v>16</v>
      </c>
      <c r="N11" s="35"/>
      <c r="O11" s="60">
        <v>0.0</v>
      </c>
      <c r="P11" s="57">
        <v>30.0</v>
      </c>
      <c r="Q11" s="59" t="s">
        <v>44</v>
      </c>
      <c r="R11" s="47" t="s">
        <v>18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</row>
    <row r="12" ht="15.75" customHeight="1">
      <c r="A12" s="35"/>
      <c r="B12" s="55">
        <v>43031.0</v>
      </c>
      <c r="C12" s="35"/>
      <c r="D12" s="56"/>
      <c r="E12" s="57">
        <v>1250.0</v>
      </c>
      <c r="F12" s="58">
        <v>0.0</v>
      </c>
      <c r="G12" s="47">
        <v>1.0</v>
      </c>
      <c r="H12" s="47" t="s">
        <v>36</v>
      </c>
      <c r="I12" s="59" t="s">
        <v>41</v>
      </c>
      <c r="J12" s="35"/>
      <c r="K12" s="47" t="s">
        <v>35</v>
      </c>
      <c r="L12" s="47" t="s">
        <v>35</v>
      </c>
      <c r="M12" s="47" t="s">
        <v>16</v>
      </c>
      <c r="N12" s="35"/>
      <c r="O12" s="57">
        <v>1250.0</v>
      </c>
      <c r="P12" s="58">
        <v>0.0</v>
      </c>
      <c r="Q12" s="59" t="s">
        <v>44</v>
      </c>
      <c r="R12" s="47" t="s">
        <v>18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</row>
    <row r="13" ht="15.75" customHeight="1">
      <c r="A13" s="35"/>
      <c r="B13" s="55">
        <v>43031.0</v>
      </c>
      <c r="C13" s="35"/>
      <c r="D13" s="56"/>
      <c r="E13" s="60">
        <v>0.0</v>
      </c>
      <c r="F13" s="57">
        <v>1250.0</v>
      </c>
      <c r="G13" s="47">
        <v>1.0</v>
      </c>
      <c r="H13" s="47" t="s">
        <v>36</v>
      </c>
      <c r="I13" s="59" t="s">
        <v>43</v>
      </c>
      <c r="J13" s="35"/>
      <c r="K13" s="47" t="s">
        <v>35</v>
      </c>
      <c r="L13" s="47" t="s">
        <v>35</v>
      </c>
      <c r="M13" s="47" t="s">
        <v>16</v>
      </c>
      <c r="N13" s="35"/>
      <c r="O13" s="60">
        <v>0.0</v>
      </c>
      <c r="P13" s="57">
        <v>1250.0</v>
      </c>
      <c r="Q13" s="59" t="s">
        <v>42</v>
      </c>
      <c r="R13" s="47" t="s">
        <v>18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</row>
    <row r="14" ht="15.75" customHeight="1">
      <c r="A14" s="35"/>
      <c r="B14" s="55">
        <v>43031.0</v>
      </c>
      <c r="C14" s="35"/>
      <c r="D14" s="56"/>
      <c r="E14" s="57">
        <v>137.15</v>
      </c>
      <c r="F14" s="58">
        <v>0.0</v>
      </c>
      <c r="G14" s="47">
        <v>1.0</v>
      </c>
      <c r="H14" s="47" t="s">
        <v>36</v>
      </c>
      <c r="I14" s="59" t="s">
        <v>41</v>
      </c>
      <c r="J14" s="35"/>
      <c r="K14" s="47" t="s">
        <v>35</v>
      </c>
      <c r="L14" s="47" t="s">
        <v>35</v>
      </c>
      <c r="M14" s="47" t="s">
        <v>16</v>
      </c>
      <c r="N14" s="35"/>
      <c r="O14" s="57">
        <v>137.15</v>
      </c>
      <c r="P14" s="58">
        <v>0.0</v>
      </c>
      <c r="Q14" s="59" t="s">
        <v>46</v>
      </c>
      <c r="R14" s="47" t="s">
        <v>18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</row>
    <row r="15" ht="15.75" customHeight="1">
      <c r="A15" s="35"/>
      <c r="B15" s="55">
        <v>43031.0</v>
      </c>
      <c r="C15" s="35"/>
      <c r="D15" s="56"/>
      <c r="E15" s="60">
        <v>0.0</v>
      </c>
      <c r="F15" s="57">
        <v>137.15</v>
      </c>
      <c r="G15" s="47">
        <v>1.0</v>
      </c>
      <c r="H15" s="47" t="s">
        <v>36</v>
      </c>
      <c r="I15" s="59" t="s">
        <v>43</v>
      </c>
      <c r="J15" s="35"/>
      <c r="K15" s="47" t="s">
        <v>35</v>
      </c>
      <c r="L15" s="47" t="s">
        <v>35</v>
      </c>
      <c r="M15" s="47" t="s">
        <v>16</v>
      </c>
      <c r="N15" s="35"/>
      <c r="O15" s="60">
        <v>0.0</v>
      </c>
      <c r="P15" s="57">
        <v>137.15</v>
      </c>
      <c r="Q15" s="59" t="s">
        <v>44</v>
      </c>
      <c r="R15" s="47" t="s">
        <v>18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</row>
    <row r="16" ht="15.75" customHeight="1">
      <c r="A16" s="35"/>
      <c r="B16" s="56"/>
      <c r="C16" s="35"/>
      <c r="D16" s="56"/>
      <c r="E16" s="60"/>
      <c r="F16" s="57"/>
      <c r="G16" s="47"/>
      <c r="H16" s="47"/>
      <c r="I16" s="59"/>
      <c r="J16" s="35"/>
      <c r="K16" s="47"/>
      <c r="L16" s="47"/>
      <c r="M16" s="47"/>
      <c r="N16" s="35"/>
      <c r="O16" s="57"/>
      <c r="P16" s="57"/>
      <c r="Q16" s="59"/>
      <c r="R16" s="47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</row>
    <row r="17" ht="15.75" customHeight="1">
      <c r="A17" s="8"/>
      <c r="B17" s="8"/>
      <c r="C17" s="8"/>
      <c r="D17" s="8"/>
      <c r="E17" s="8"/>
      <c r="F17" s="8"/>
      <c r="G17" s="8"/>
      <c r="H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IFERROR(__xludf.DUMMYFUNCTION("""COMPUTED_VALUE"""),"From Date")</f>
        <v>From Date</v>
      </c>
      <c r="E5" s="41" t="str">
        <f>IFERROR(__xludf.DUMMYFUNCTION("""COMPUTED_VALUE"""),"To Date")</f>
        <v>To Date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35"/>
      <c r="B6" s="44" t="s">
        <v>29</v>
      </c>
      <c r="C6" s="45" t="s">
        <v>18</v>
      </c>
      <c r="D6" s="46">
        <v>43024.0</v>
      </c>
      <c r="E6" s="46">
        <v>43047.0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GetDailyCalculationsData!$4:$4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'_CalculateDailyCalculations'!$4:$4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6" width="12.63"/>
    <col customWidth="1" min="7" max="7" width="22.5"/>
    <col customWidth="1" min="8" max="8" width="20.1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IFERROR(__xludf.DUMMYFUNCTION("""COMPUTED_VALUE"""),"Trade Date")</f>
        <v>Trade Date</v>
      </c>
      <c r="C5" s="41" t="str">
        <f>IFERROR(__xludf.DUMMYFUNCTION("""COMPUTED_VALUE"""),"Account")</f>
        <v>Account</v>
      </c>
      <c r="D5" s="41" t="str">
        <f>IFERROR(__xludf.DUMMYFUNCTION("""COMPUTED_VALUE"""),"Symbol")</f>
        <v>Symbol</v>
      </c>
      <c r="E5" s="41" t="str">
        <f>IFERROR(__xludf.DUMMYFUNCTION("""COMPUTED_VALUE"""),"Currency")</f>
        <v>Currency</v>
      </c>
      <c r="F5" s="41" t="str">
        <f>IFERROR(__xludf.DUMMYFUNCTION("""COMPUTED_VALUE"""),"Net Amount(Local)")</f>
        <v>Net Amount(Local)</v>
      </c>
      <c r="G5" s="41" t="str">
        <f>IFERROR(__xludf.DUMMYFUNCTION("""COMPUTED_VALUE"""),"ActivityType")</f>
        <v>ActivityType</v>
      </c>
      <c r="H5" s="41" t="str">
        <f>IFERROR(__xludf.DUMMYFUNCTION("""COMPUTED_VALUE"""),"Transaction Source")</f>
        <v>Transaction Source</v>
      </c>
      <c r="I5" s="41" t="str">
        <f>IFERROR(__xludf.DUMMYFUNCTION("""COMPUTED_VALUE"""),"Total Commissions")</f>
        <v>Total Commissions</v>
      </c>
      <c r="J5" s="41" t="str">
        <f>IFERROR(__xludf.DUMMYFUNCTION("""COMPUTED_VALUE"""),"Balance Type")</f>
        <v>Balance Type</v>
      </c>
      <c r="K5" s="41" t="str">
        <f>IFERROR(__xludf.DUMMYFUNCTION("""COMPUTED_VALUE"""),"Settlement Date")</f>
        <v>Settlement Date</v>
      </c>
      <c r="L5" s="41" t="str">
        <f>IFERROR(__xludf.DUMMYFUNCTION("""COMPUTED_VALUE"""),"Lead Currency")</f>
        <v>Lead Currency</v>
      </c>
      <c r="M5" s="41" t="str">
        <f>IFERROR(__xludf.DUMMYFUNCTION("""COMPUTED_VALUE"""),"Vs Currency")</f>
        <v>Vs Currency</v>
      </c>
      <c r="N5" s="41" t="str">
        <f>IFERROR(__xludf.DUMMYFUNCTION("""COMPUTED_VALUE"""),"Quantity")</f>
        <v>Quantity</v>
      </c>
      <c r="O5" s="41" t="str">
        <f>IFERROR(__xludf.DUMMYFUNCTION("""COMPUTED_VALUE"""),"Commission")</f>
        <v>Commission</v>
      </c>
      <c r="P5" s="41" t="str">
        <f>IFERROR(__xludf.DUMMYFUNCTION("""COMPUTED_VALUE"""),"Soft Commission")</f>
        <v>Soft Commission</v>
      </c>
      <c r="Q5" s="41" t="str">
        <f>IFERROR(__xludf.DUMMYFUNCTION("""COMPUTED_VALUE"""),"Other Broker Fees")</f>
        <v>Other Broker Fees</v>
      </c>
      <c r="R5" s="41" t="str">
        <f>IFERROR(__xludf.DUMMYFUNCTION("""COMPUTED_VALUE"""),"Clearing Broker Fees")</f>
        <v>Clearing Broker Fees</v>
      </c>
      <c r="S5" s="41" t="str">
        <f>IFERROR(__xludf.DUMMYFUNCTION("""COMPUTED_VALUE"""),"Stamp Duty")</f>
        <v>Stamp Duty</v>
      </c>
      <c r="T5" s="32" t="str">
        <f>IFERROR(__xludf.DUMMYFUNCTION("""COMPUTED_VALUE"""),"Transaction Levy")</f>
        <v>Transaction Levy</v>
      </c>
      <c r="U5" s="32" t="str">
        <f>IFERROR(__xludf.DUMMYFUNCTION("""COMPUTED_VALUE"""),"AUEC Fee1")</f>
        <v>AUEC Fee1</v>
      </c>
      <c r="V5" s="32" t="str">
        <f>IFERROR(__xludf.DUMMYFUNCTION("""COMPUTED_VALUE"""),"Tax On Commissions")</f>
        <v>Tax On Commissions</v>
      </c>
      <c r="W5" s="32" t="str">
        <f>IFERROR(__xludf.DUMMYFUNCTION("""COMPUTED_VALUE"""),"AUEC Fee2")</f>
        <v>AUEC Fee2</v>
      </c>
      <c r="X5" s="32" t="str">
        <f>IFERROR(__xludf.DUMMYFUNCTION("""COMPUTED_VALUE"""),"SEC Fee")</f>
        <v>SEC Fee</v>
      </c>
      <c r="Y5" s="32" t="str">
        <f>IFERROR(__xludf.DUMMYFUNCTION("""COMPUTED_VALUE"""),"OCC Fee")</f>
        <v>OCC Fee</v>
      </c>
      <c r="Z5" s="32" t="str">
        <f>IFERROR(__xludf.DUMMYFUNCTION("""COMPUTED_VALUE"""),"ORF Fee")</f>
        <v>ORF Fee</v>
      </c>
      <c r="AA5" s="32" t="str">
        <f>IFERROR(__xludf.DUMMYFUNCTION("""COMPUTED_VALUE"""),"Fx Rate")</f>
        <v>Fx Rate</v>
      </c>
      <c r="AB5" s="32" t="str">
        <f>IFERROR(__xludf.DUMMYFUNCTION("""COMPUTED_VALUE"""),"Modify Date")</f>
        <v>Modify Date</v>
      </c>
      <c r="AC5" s="32" t="str">
        <f>IFERROR(__xludf.DUMMYFUNCTION("""COMPUTED_VALUE"""),"Entry Date")</f>
        <v>Entry Date</v>
      </c>
      <c r="AD5" s="32" t="str">
        <f>IFERROR(__xludf.DUMMYFUNCTION("""COMPUTED_VALUE"""),"User")</f>
        <v>User</v>
      </c>
      <c r="AE5" s="32" t="str">
        <f>IFERROR(__xludf.DUMMYFUNCTION("""COMPUTED_VALUE"""),"FX Conversion Method Operator")</f>
        <v>FX Conversion Method Operator</v>
      </c>
      <c r="AF5" s="32" t="str">
        <f>IFERROR(__xludf.DUMMYFUNCTION("""COMPUTED_VALUE"""),"Description")</f>
        <v>Description</v>
      </c>
      <c r="AG5" s="32" t="str">
        <f>IFERROR(__xludf.DUMMYFUNCTION("""COMPUTED_VALUE"""),"Activity Source")</f>
        <v>Activity Source</v>
      </c>
      <c r="AH5" s="32" t="str">
        <f>IFERROR(__xludf.DUMMYFUNCTION("""COMPUTED_VALUE"""),"OptionPremiumAdjustment")</f>
        <v>OptionPremiumAdjustment</v>
      </c>
      <c r="AI5" s="32" t="str">
        <f>IFERROR(__xludf.DUMMYFUNCTION("""COMPUTED_VALUE"""),"Settlement Currency")</f>
        <v>Settlement Currency</v>
      </c>
      <c r="AJ5" s="32" t="str">
        <f>IFERROR(__xludf.DUMMYFUNCTION("""COMPUTED_VALUE"""),"SettlCurrencyID")</f>
        <v>SettlCurrencyID</v>
      </c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43">
        <v>43025.0</v>
      </c>
      <c r="C6" s="9" t="s">
        <v>18</v>
      </c>
      <c r="D6" s="9" t="s">
        <v>16</v>
      </c>
      <c r="E6" s="9" t="s">
        <v>35</v>
      </c>
      <c r="G6" s="9" t="s">
        <v>50</v>
      </c>
      <c r="H6" s="44" t="s">
        <v>51</v>
      </c>
    </row>
    <row r="7" ht="15.75" customHeight="1">
      <c r="A7" s="8"/>
      <c r="B7" s="43">
        <v>43026.0</v>
      </c>
      <c r="C7" s="9" t="s">
        <v>18</v>
      </c>
      <c r="D7" s="9" t="s">
        <v>16</v>
      </c>
      <c r="E7" s="9" t="s">
        <v>35</v>
      </c>
      <c r="F7" s="8"/>
      <c r="G7" s="9" t="s">
        <v>50</v>
      </c>
      <c r="H7" s="35" t="s">
        <v>51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43027.0</v>
      </c>
      <c r="C8" s="9" t="s">
        <v>18</v>
      </c>
      <c r="D8" s="9" t="s">
        <v>16</v>
      </c>
      <c r="E8" s="9" t="s">
        <v>35</v>
      </c>
      <c r="F8" s="8"/>
      <c r="G8" s="9" t="s">
        <v>50</v>
      </c>
      <c r="H8" s="35" t="s">
        <v>51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43028.0</v>
      </c>
      <c r="C9" s="9" t="s">
        <v>18</v>
      </c>
      <c r="D9" s="9" t="s">
        <v>16</v>
      </c>
      <c r="E9" s="9" t="s">
        <v>35</v>
      </c>
      <c r="F9" s="13">
        <v>1.74</v>
      </c>
      <c r="G9" s="9" t="s">
        <v>50</v>
      </c>
      <c r="H9" s="35" t="s">
        <v>51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3">
        <v>43029.0</v>
      </c>
      <c r="C10" s="9" t="s">
        <v>18</v>
      </c>
      <c r="D10" s="9" t="s">
        <v>16</v>
      </c>
      <c r="E10" s="9" t="s">
        <v>35</v>
      </c>
      <c r="F10" s="13">
        <v>1.74</v>
      </c>
      <c r="G10" s="9" t="s">
        <v>50</v>
      </c>
      <c r="H10" s="35" t="s">
        <v>51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43030.0</v>
      </c>
      <c r="C11" s="9" t="s">
        <v>18</v>
      </c>
      <c r="D11" s="9" t="s">
        <v>16</v>
      </c>
      <c r="E11" s="9" t="s">
        <v>35</v>
      </c>
      <c r="F11" s="13">
        <v>1.74</v>
      </c>
      <c r="G11" s="9" t="s">
        <v>50</v>
      </c>
      <c r="H11" s="44" t="s">
        <v>51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43031.0</v>
      </c>
      <c r="C12" s="9" t="s">
        <v>18</v>
      </c>
      <c r="D12" s="9" t="s">
        <v>16</v>
      </c>
      <c r="E12" s="9" t="s">
        <v>35</v>
      </c>
      <c r="F12" s="13">
        <v>1.74</v>
      </c>
      <c r="G12" s="9" t="s">
        <v>50</v>
      </c>
      <c r="H12" s="35" t="s">
        <v>51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43031.0</v>
      </c>
      <c r="C13" s="9" t="s">
        <v>18</v>
      </c>
      <c r="D13" s="9" t="s">
        <v>16</v>
      </c>
      <c r="E13" s="9" t="s">
        <v>35</v>
      </c>
      <c r="F13" s="8"/>
      <c r="G13" s="9" t="s">
        <v>50</v>
      </c>
      <c r="H13" s="35" t="s">
        <v>51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43032.0</v>
      </c>
      <c r="C14" s="9" t="s">
        <v>18</v>
      </c>
      <c r="D14" s="9" t="s">
        <v>16</v>
      </c>
      <c r="E14" s="9" t="s">
        <v>35</v>
      </c>
      <c r="F14" s="13">
        <v>1.74</v>
      </c>
      <c r="G14" s="9" t="s">
        <v>50</v>
      </c>
      <c r="H14" s="35" t="s">
        <v>51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43032.0</v>
      </c>
      <c r="C15" s="9" t="s">
        <v>18</v>
      </c>
      <c r="D15" s="9" t="s">
        <v>16</v>
      </c>
      <c r="E15" s="9" t="s">
        <v>35</v>
      </c>
      <c r="F15" s="8"/>
      <c r="G15" s="9" t="s">
        <v>50</v>
      </c>
      <c r="H15" s="35" t="s">
        <v>51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>
        <v>43033.0</v>
      </c>
      <c r="C16" s="9" t="s">
        <v>18</v>
      </c>
      <c r="D16" s="9" t="s">
        <v>16</v>
      </c>
      <c r="E16" s="9" t="s">
        <v>35</v>
      </c>
      <c r="F16" s="13">
        <v>1.74</v>
      </c>
      <c r="G16" s="9" t="s">
        <v>50</v>
      </c>
      <c r="H16" s="44" t="s">
        <v>51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>
        <v>43033.0</v>
      </c>
      <c r="C17" s="9" t="s">
        <v>18</v>
      </c>
      <c r="D17" s="9" t="s">
        <v>16</v>
      </c>
      <c r="E17" s="9" t="s">
        <v>35</v>
      </c>
      <c r="F17" s="8"/>
      <c r="G17" s="9" t="s">
        <v>50</v>
      </c>
      <c r="H17" s="35" t="s">
        <v>51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>
        <v>43034.0</v>
      </c>
      <c r="C18" s="9" t="s">
        <v>18</v>
      </c>
      <c r="D18" s="9" t="s">
        <v>16</v>
      </c>
      <c r="E18" s="9" t="s">
        <v>35</v>
      </c>
      <c r="F18" s="13">
        <v>1.74</v>
      </c>
      <c r="G18" s="9" t="s">
        <v>50</v>
      </c>
      <c r="H18" s="35" t="s">
        <v>51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>
        <v>43034.0</v>
      </c>
      <c r="C19" s="9" t="s">
        <v>18</v>
      </c>
      <c r="D19" s="9" t="s">
        <v>16</v>
      </c>
      <c r="E19" s="9" t="s">
        <v>35</v>
      </c>
      <c r="F19" s="13">
        <v>1.74</v>
      </c>
      <c r="G19" s="9" t="s">
        <v>50</v>
      </c>
      <c r="H19" s="35" t="s">
        <v>51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>
        <v>43035.0</v>
      </c>
      <c r="C20" s="9" t="s">
        <v>18</v>
      </c>
      <c r="D20" s="9" t="s">
        <v>16</v>
      </c>
      <c r="E20" s="9" t="s">
        <v>35</v>
      </c>
      <c r="F20" s="13">
        <v>1.74</v>
      </c>
      <c r="G20" s="9" t="s">
        <v>50</v>
      </c>
      <c r="H20" s="35" t="s">
        <v>51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>
        <v>43035.0</v>
      </c>
      <c r="C21" s="9" t="s">
        <v>18</v>
      </c>
      <c r="D21" s="9" t="s">
        <v>16</v>
      </c>
      <c r="E21" s="9" t="s">
        <v>35</v>
      </c>
      <c r="F21" s="13">
        <v>1.74</v>
      </c>
      <c r="G21" s="9" t="s">
        <v>50</v>
      </c>
      <c r="H21" s="44" t="s">
        <v>51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>
        <v>43036.0</v>
      </c>
      <c r="C22" s="9" t="s">
        <v>18</v>
      </c>
      <c r="D22" s="9" t="s">
        <v>16</v>
      </c>
      <c r="E22" s="9" t="s">
        <v>35</v>
      </c>
      <c r="F22" s="13">
        <v>1.74</v>
      </c>
      <c r="G22" s="9" t="s">
        <v>50</v>
      </c>
      <c r="H22" s="35" t="s">
        <v>51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43">
        <v>43036.0</v>
      </c>
      <c r="C23" s="9" t="s">
        <v>18</v>
      </c>
      <c r="D23" s="9" t="s">
        <v>16</v>
      </c>
      <c r="E23" s="9" t="s">
        <v>35</v>
      </c>
      <c r="F23" s="13">
        <v>1.74</v>
      </c>
      <c r="G23" s="9" t="s">
        <v>50</v>
      </c>
      <c r="H23" s="35" t="s">
        <v>51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43">
        <v>43037.0</v>
      </c>
      <c r="C24" s="9" t="s">
        <v>18</v>
      </c>
      <c r="D24" s="9" t="s">
        <v>16</v>
      </c>
      <c r="E24" s="9" t="s">
        <v>35</v>
      </c>
      <c r="F24" s="13">
        <v>1.74</v>
      </c>
      <c r="G24" s="9" t="s">
        <v>50</v>
      </c>
      <c r="H24" s="35" t="s">
        <v>51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43">
        <v>43037.0</v>
      </c>
      <c r="C25" s="9" t="s">
        <v>18</v>
      </c>
      <c r="D25" s="9" t="s">
        <v>16</v>
      </c>
      <c r="E25" s="9" t="s">
        <v>35</v>
      </c>
      <c r="F25" s="13">
        <v>1.74</v>
      </c>
      <c r="G25" s="9" t="s">
        <v>50</v>
      </c>
      <c r="H25" s="35" t="s">
        <v>51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43">
        <v>43038.0</v>
      </c>
      <c r="C26" s="9" t="s">
        <v>18</v>
      </c>
      <c r="D26" s="9" t="s">
        <v>16</v>
      </c>
      <c r="E26" s="9" t="s">
        <v>35</v>
      </c>
      <c r="F26" s="13">
        <v>1.74</v>
      </c>
      <c r="G26" s="9" t="s">
        <v>50</v>
      </c>
      <c r="H26" s="44" t="s">
        <v>51</v>
      </c>
      <c r="I26" s="8"/>
      <c r="J26" s="8"/>
      <c r="K26" s="8"/>
      <c r="L26" s="8"/>
      <c r="M26" s="8"/>
      <c r="N26" s="8"/>
      <c r="O26" s="8"/>
    </row>
    <row r="27" ht="15.75" customHeight="1">
      <c r="A27" s="8"/>
      <c r="B27" s="43">
        <v>43038.0</v>
      </c>
      <c r="C27" s="9" t="s">
        <v>18</v>
      </c>
      <c r="D27" s="9" t="s">
        <v>16</v>
      </c>
      <c r="E27" s="9" t="s">
        <v>35</v>
      </c>
      <c r="F27" s="13">
        <v>1.74</v>
      </c>
      <c r="G27" s="9" t="s">
        <v>50</v>
      </c>
      <c r="H27" s="35" t="s">
        <v>51</v>
      </c>
      <c r="I27" s="8"/>
      <c r="J27" s="8"/>
      <c r="K27" s="8"/>
      <c r="L27" s="8"/>
      <c r="M27" s="8"/>
      <c r="N27" s="8"/>
      <c r="O27" s="8"/>
    </row>
    <row r="28" ht="15.75" customHeight="1">
      <c r="A28" s="8"/>
      <c r="B28" s="43">
        <v>43039.0</v>
      </c>
      <c r="C28" s="9" t="s">
        <v>18</v>
      </c>
      <c r="D28" s="9" t="s">
        <v>16</v>
      </c>
      <c r="E28" s="9" t="s">
        <v>35</v>
      </c>
      <c r="F28" s="13">
        <v>1.74</v>
      </c>
      <c r="G28" s="9" t="s">
        <v>50</v>
      </c>
      <c r="H28" s="35" t="s">
        <v>51</v>
      </c>
      <c r="I28" s="8"/>
      <c r="J28" s="8"/>
      <c r="K28" s="8"/>
      <c r="L28" s="8"/>
      <c r="M28" s="8"/>
      <c r="N28" s="8"/>
      <c r="O28" s="8"/>
    </row>
    <row r="29" ht="15.75" customHeight="1">
      <c r="A29" s="8"/>
      <c r="B29" s="43">
        <v>43039.0</v>
      </c>
      <c r="C29" s="9" t="s">
        <v>18</v>
      </c>
      <c r="D29" s="9" t="s">
        <v>16</v>
      </c>
      <c r="E29" s="9" t="s">
        <v>35</v>
      </c>
      <c r="F29" s="13">
        <v>1.74</v>
      </c>
      <c r="G29" s="9" t="s">
        <v>50</v>
      </c>
      <c r="H29" s="35" t="s">
        <v>51</v>
      </c>
      <c r="I29" s="8"/>
      <c r="J29" s="8"/>
      <c r="K29" s="8"/>
      <c r="L29" s="8"/>
      <c r="M29" s="8"/>
      <c r="N29" s="8"/>
      <c r="O29" s="8"/>
    </row>
    <row r="30" ht="15.75" customHeight="1">
      <c r="A30" s="8"/>
      <c r="B30" s="43">
        <v>43040.0</v>
      </c>
      <c r="C30" s="9" t="s">
        <v>18</v>
      </c>
      <c r="D30" s="9" t="s">
        <v>16</v>
      </c>
      <c r="E30" s="9" t="s">
        <v>35</v>
      </c>
      <c r="F30" s="13">
        <v>1.74</v>
      </c>
      <c r="G30" s="9" t="s">
        <v>50</v>
      </c>
      <c r="H30" s="35" t="s">
        <v>51</v>
      </c>
      <c r="I30" s="8"/>
      <c r="J30" s="8"/>
      <c r="K30" s="8"/>
      <c r="L30" s="8"/>
      <c r="M30" s="8"/>
      <c r="N30" s="8"/>
      <c r="O30" s="8"/>
    </row>
    <row r="31" ht="15.75" customHeight="1">
      <c r="A31" s="8"/>
      <c r="B31" s="43">
        <v>43040.0</v>
      </c>
      <c r="C31" s="9" t="s">
        <v>18</v>
      </c>
      <c r="D31" s="9" t="s">
        <v>16</v>
      </c>
      <c r="E31" s="9" t="s">
        <v>35</v>
      </c>
      <c r="F31" s="13">
        <v>1.74</v>
      </c>
      <c r="G31" s="9" t="s">
        <v>50</v>
      </c>
      <c r="H31" s="44" t="s">
        <v>51</v>
      </c>
      <c r="I31" s="8"/>
      <c r="J31" s="8"/>
      <c r="K31" s="8"/>
      <c r="L31" s="8"/>
      <c r="M31" s="8"/>
      <c r="N31" s="8"/>
      <c r="O31" s="8"/>
    </row>
    <row r="32" ht="15.75" customHeight="1">
      <c r="A32" s="8"/>
      <c r="B32" s="43">
        <v>43041.0</v>
      </c>
      <c r="C32" s="9" t="s">
        <v>18</v>
      </c>
      <c r="D32" s="9" t="s">
        <v>16</v>
      </c>
      <c r="E32" s="9" t="s">
        <v>35</v>
      </c>
      <c r="F32" s="13">
        <v>1.74</v>
      </c>
      <c r="G32" s="9" t="s">
        <v>50</v>
      </c>
      <c r="H32" s="35" t="s">
        <v>51</v>
      </c>
      <c r="I32" s="8"/>
      <c r="J32" s="8"/>
      <c r="K32" s="8"/>
      <c r="L32" s="8"/>
      <c r="M32" s="8"/>
      <c r="N32" s="8"/>
      <c r="O32" s="8"/>
    </row>
    <row r="33" ht="15.75" customHeight="1">
      <c r="A33" s="8"/>
      <c r="B33" s="43">
        <v>43041.0</v>
      </c>
      <c r="C33" s="9" t="s">
        <v>18</v>
      </c>
      <c r="D33" s="9" t="s">
        <v>16</v>
      </c>
      <c r="E33" s="9" t="s">
        <v>35</v>
      </c>
      <c r="F33" s="13">
        <v>1.74</v>
      </c>
      <c r="G33" s="9" t="s">
        <v>50</v>
      </c>
      <c r="H33" s="35" t="s">
        <v>51</v>
      </c>
      <c r="I33" s="8"/>
      <c r="J33" s="8"/>
      <c r="K33" s="8"/>
      <c r="L33" s="8"/>
      <c r="M33" s="8"/>
      <c r="N33" s="8"/>
      <c r="O33" s="8"/>
    </row>
    <row r="34" ht="15.75" customHeight="1">
      <c r="A34" s="8"/>
      <c r="B34" s="43">
        <v>43042.0</v>
      </c>
      <c r="C34" s="9" t="s">
        <v>18</v>
      </c>
      <c r="D34" s="9" t="s">
        <v>16</v>
      </c>
      <c r="E34" s="9" t="s">
        <v>35</v>
      </c>
      <c r="F34" s="13">
        <v>1.74</v>
      </c>
      <c r="G34" s="9" t="s">
        <v>50</v>
      </c>
      <c r="H34" s="35" t="s">
        <v>51</v>
      </c>
      <c r="I34" s="8"/>
      <c r="J34" s="8"/>
      <c r="K34" s="8"/>
      <c r="L34" s="8"/>
      <c r="M34" s="8"/>
      <c r="N34" s="8"/>
      <c r="O34" s="8"/>
    </row>
    <row r="35" ht="15.75" customHeight="1">
      <c r="A35" s="8"/>
      <c r="B35" s="43">
        <v>43042.0</v>
      </c>
      <c r="C35" s="9" t="s">
        <v>18</v>
      </c>
      <c r="D35" s="9" t="s">
        <v>16</v>
      </c>
      <c r="E35" s="9" t="s">
        <v>35</v>
      </c>
      <c r="F35" s="13">
        <v>1.74</v>
      </c>
      <c r="G35" s="9" t="s">
        <v>50</v>
      </c>
      <c r="H35" s="35" t="s">
        <v>51</v>
      </c>
      <c r="I35" s="8"/>
      <c r="J35" s="8"/>
      <c r="K35" s="8"/>
      <c r="L35" s="8"/>
      <c r="M35" s="8"/>
      <c r="N35" s="8"/>
      <c r="O35" s="8"/>
    </row>
    <row r="36" ht="15.75" customHeight="1">
      <c r="A36" s="8"/>
      <c r="B36" s="43">
        <v>43043.0</v>
      </c>
      <c r="C36" s="9" t="s">
        <v>18</v>
      </c>
      <c r="D36" s="9" t="s">
        <v>16</v>
      </c>
      <c r="E36" s="9" t="s">
        <v>35</v>
      </c>
      <c r="F36" s="13">
        <v>1.74</v>
      </c>
      <c r="G36" s="9" t="s">
        <v>50</v>
      </c>
      <c r="H36" s="44" t="s">
        <v>51</v>
      </c>
      <c r="I36" s="8"/>
      <c r="J36" s="8"/>
      <c r="K36" s="8"/>
      <c r="L36" s="8"/>
      <c r="M36" s="8"/>
      <c r="N36" s="8"/>
      <c r="O36" s="8"/>
    </row>
    <row r="37" ht="15.75" customHeight="1">
      <c r="A37" s="8"/>
      <c r="B37" s="43">
        <v>43043.0</v>
      </c>
      <c r="C37" s="9" t="s">
        <v>18</v>
      </c>
      <c r="D37" s="9" t="s">
        <v>16</v>
      </c>
      <c r="E37" s="9" t="s">
        <v>35</v>
      </c>
      <c r="F37" s="13">
        <v>1.74</v>
      </c>
      <c r="G37" s="9" t="s">
        <v>50</v>
      </c>
      <c r="H37" s="35" t="s">
        <v>51</v>
      </c>
      <c r="I37" s="8"/>
      <c r="J37" s="8"/>
      <c r="K37" s="8"/>
      <c r="L37" s="8"/>
      <c r="M37" s="8"/>
      <c r="N37" s="8"/>
      <c r="O37" s="8"/>
    </row>
    <row r="38" ht="15.75" customHeight="1">
      <c r="A38" s="8"/>
      <c r="B38" s="43">
        <v>43044.0</v>
      </c>
      <c r="C38" s="9" t="s">
        <v>18</v>
      </c>
      <c r="D38" s="9" t="s">
        <v>16</v>
      </c>
      <c r="E38" s="9" t="s">
        <v>35</v>
      </c>
      <c r="F38" s="13">
        <v>1.74</v>
      </c>
      <c r="G38" s="9" t="s">
        <v>50</v>
      </c>
      <c r="H38" s="35" t="s">
        <v>51</v>
      </c>
      <c r="I38" s="8"/>
      <c r="J38" s="8"/>
      <c r="K38" s="8"/>
      <c r="L38" s="8"/>
      <c r="M38" s="8"/>
      <c r="N38" s="8"/>
      <c r="O38" s="8"/>
    </row>
    <row r="39" ht="15.75" customHeight="1">
      <c r="A39" s="8"/>
      <c r="B39" s="43">
        <v>43044.0</v>
      </c>
      <c r="C39" s="9" t="s">
        <v>18</v>
      </c>
      <c r="D39" s="9" t="s">
        <v>16</v>
      </c>
      <c r="E39" s="9" t="s">
        <v>35</v>
      </c>
      <c r="F39" s="13">
        <v>1.74</v>
      </c>
      <c r="G39" s="9" t="s">
        <v>50</v>
      </c>
      <c r="H39" s="35" t="s">
        <v>51</v>
      </c>
      <c r="I39" s="8"/>
      <c r="J39" s="8"/>
      <c r="K39" s="8"/>
      <c r="L39" s="8"/>
      <c r="M39" s="8"/>
      <c r="N39" s="8"/>
      <c r="O39" s="8"/>
    </row>
    <row r="40" ht="15.75" customHeight="1">
      <c r="A40" s="8"/>
      <c r="B40" s="43">
        <v>43045.0</v>
      </c>
      <c r="C40" s="9" t="s">
        <v>18</v>
      </c>
      <c r="D40" s="9" t="s">
        <v>16</v>
      </c>
      <c r="E40" s="9" t="s">
        <v>35</v>
      </c>
      <c r="F40" s="13">
        <v>1.74</v>
      </c>
      <c r="G40" s="9" t="s">
        <v>50</v>
      </c>
      <c r="H40" s="35" t="s">
        <v>51</v>
      </c>
      <c r="I40" s="8"/>
      <c r="J40" s="8"/>
      <c r="K40" s="8"/>
      <c r="L40" s="8"/>
      <c r="M40" s="8"/>
      <c r="N40" s="8"/>
      <c r="O40" s="8"/>
    </row>
    <row r="41" ht="15.75" customHeight="1">
      <c r="A41" s="8"/>
      <c r="B41" s="43">
        <v>43045.0</v>
      </c>
      <c r="C41" s="9" t="s">
        <v>18</v>
      </c>
      <c r="D41" s="9" t="s">
        <v>16</v>
      </c>
      <c r="E41" s="9" t="s">
        <v>35</v>
      </c>
      <c r="F41" s="13">
        <v>1.74</v>
      </c>
      <c r="G41" s="9" t="s">
        <v>50</v>
      </c>
      <c r="H41" s="44" t="s">
        <v>51</v>
      </c>
      <c r="I41" s="8"/>
      <c r="J41" s="8"/>
      <c r="K41" s="8"/>
      <c r="L41" s="8"/>
      <c r="M41" s="8"/>
      <c r="N41" s="8"/>
      <c r="O41" s="8"/>
    </row>
    <row r="42" ht="15.75" customHeight="1">
      <c r="A42" s="8"/>
      <c r="B42" s="43">
        <v>43046.0</v>
      </c>
      <c r="C42" s="9" t="s">
        <v>18</v>
      </c>
      <c r="D42" s="9" t="s">
        <v>16</v>
      </c>
      <c r="E42" s="9" t="s">
        <v>35</v>
      </c>
      <c r="F42" s="13">
        <v>1.74</v>
      </c>
      <c r="G42" s="9" t="s">
        <v>50</v>
      </c>
      <c r="H42" s="35" t="s">
        <v>51</v>
      </c>
      <c r="I42" s="8"/>
      <c r="J42" s="8"/>
      <c r="K42" s="8"/>
      <c r="L42" s="8"/>
      <c r="M42" s="8"/>
      <c r="N42" s="8"/>
      <c r="O42" s="8"/>
    </row>
    <row r="43" ht="15.75" customHeight="1">
      <c r="A43" s="8"/>
      <c r="B43" s="43">
        <v>43046.0</v>
      </c>
      <c r="C43" s="9" t="s">
        <v>18</v>
      </c>
      <c r="D43" s="9" t="s">
        <v>16</v>
      </c>
      <c r="E43" s="9" t="s">
        <v>35</v>
      </c>
      <c r="F43" s="54">
        <v>1.74</v>
      </c>
      <c r="G43" s="9" t="s">
        <v>50</v>
      </c>
      <c r="H43" s="35" t="s">
        <v>51</v>
      </c>
      <c r="I43" s="8"/>
      <c r="J43" s="8"/>
      <c r="K43" s="8"/>
      <c r="L43" s="8"/>
      <c r="M43" s="8"/>
      <c r="N43" s="8"/>
      <c r="O43" s="8"/>
    </row>
    <row r="44" ht="15.75" customHeight="1">
      <c r="A44" s="8"/>
      <c r="B44" s="43">
        <v>43047.0</v>
      </c>
      <c r="C44" s="9" t="s">
        <v>18</v>
      </c>
      <c r="D44" s="9" t="s">
        <v>16</v>
      </c>
      <c r="E44" s="9" t="s">
        <v>35</v>
      </c>
      <c r="F44" s="54">
        <v>1.74</v>
      </c>
      <c r="G44" s="9" t="s">
        <v>50</v>
      </c>
      <c r="H44" s="35" t="s">
        <v>51</v>
      </c>
      <c r="I44" s="8"/>
      <c r="J44" s="8"/>
      <c r="K44" s="8"/>
      <c r="L44" s="8"/>
      <c r="M44" s="8"/>
      <c r="N44" s="8"/>
      <c r="O44" s="8"/>
    </row>
    <row r="45" ht="15.75" customHeight="1">
      <c r="A45" s="8"/>
      <c r="B45" s="43">
        <v>43047.0</v>
      </c>
      <c r="C45" s="9" t="s">
        <v>18</v>
      </c>
      <c r="D45" s="9" t="s">
        <v>16</v>
      </c>
      <c r="E45" s="9" t="s">
        <v>35</v>
      </c>
      <c r="F45" s="13">
        <v>159.72</v>
      </c>
      <c r="G45" s="9" t="s">
        <v>38</v>
      </c>
      <c r="H45" s="35" t="s">
        <v>51</v>
      </c>
      <c r="I45" s="8"/>
      <c r="J45" s="8"/>
      <c r="K45" s="8"/>
      <c r="L45" s="8"/>
      <c r="M45" s="8"/>
      <c r="N45" s="8"/>
      <c r="O45" s="8"/>
    </row>
    <row r="46" ht="15.75" customHeight="1">
      <c r="A46" s="8"/>
      <c r="B46" s="43">
        <v>43047.0</v>
      </c>
      <c r="C46" s="9" t="s">
        <v>18</v>
      </c>
      <c r="D46" s="9" t="s">
        <v>16</v>
      </c>
      <c r="E46" s="9" t="s">
        <v>35</v>
      </c>
      <c r="F46" s="54">
        <v>1.74</v>
      </c>
      <c r="G46" s="9" t="s">
        <v>50</v>
      </c>
      <c r="H46" s="44" t="s">
        <v>51</v>
      </c>
      <c r="I46" s="8"/>
      <c r="J46" s="8"/>
      <c r="K46" s="8"/>
      <c r="L46" s="8"/>
      <c r="M46" s="8"/>
      <c r="N46" s="8"/>
      <c r="O46" s="8"/>
    </row>
    <row r="47" ht="15.75" customHeight="1">
      <c r="A47" s="8"/>
      <c r="B47" s="43">
        <v>43047.0</v>
      </c>
      <c r="C47" s="9" t="s">
        <v>18</v>
      </c>
      <c r="D47" s="9" t="s">
        <v>16</v>
      </c>
      <c r="E47" s="9" t="s">
        <v>35</v>
      </c>
      <c r="F47" s="49">
        <v>159.72</v>
      </c>
      <c r="G47" s="9" t="s">
        <v>38</v>
      </c>
      <c r="H47" s="35" t="s">
        <v>51</v>
      </c>
      <c r="I47" s="8"/>
      <c r="J47" s="8"/>
      <c r="K47" s="8"/>
      <c r="L47" s="8"/>
      <c r="M47" s="8"/>
      <c r="N47" s="8"/>
      <c r="O47" s="8"/>
    </row>
    <row r="48" ht="15.75" customHeight="1">
      <c r="A48" s="8"/>
      <c r="B48" s="43">
        <v>43024.0</v>
      </c>
      <c r="C48" s="9" t="s">
        <v>18</v>
      </c>
      <c r="D48" s="9" t="s">
        <v>16</v>
      </c>
      <c r="E48" s="9" t="s">
        <v>35</v>
      </c>
      <c r="F48" s="13">
        <v>0.0</v>
      </c>
      <c r="G48" s="9" t="s">
        <v>50</v>
      </c>
      <c r="H48" s="35" t="s">
        <v>51</v>
      </c>
      <c r="I48" s="8"/>
      <c r="J48" s="8"/>
      <c r="K48" s="8"/>
      <c r="L48" s="8"/>
      <c r="M48" s="8"/>
      <c r="N48" s="8"/>
      <c r="O48" s="8"/>
    </row>
    <row r="49" ht="15.75" customHeight="1">
      <c r="A49" s="8"/>
      <c r="B49" s="43"/>
      <c r="C49" s="8"/>
      <c r="D49" s="8"/>
      <c r="E49" s="8"/>
      <c r="F49" s="8"/>
      <c r="G49" s="8"/>
      <c r="H49" s="35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43"/>
      <c r="C50" s="8"/>
      <c r="D50" s="8"/>
      <c r="E50" s="8"/>
      <c r="F50" s="8"/>
      <c r="G50" s="8"/>
      <c r="H50" s="35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43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4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4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43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43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43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43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4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4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43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43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43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43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43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43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43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43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43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43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43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43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43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43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43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4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43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43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43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43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43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43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43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43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43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4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4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4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43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43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43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43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4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4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43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4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43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4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43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4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4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43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4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43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4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43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4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43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4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43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/>
      <c r="B110" s="4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/>
      <c r="B111" s="4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/>
      <c r="B112" s="4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/>
      <c r="B113" s="4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/>
      <c r="B114" s="43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/>
      <c r="B115" s="43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/>
      <c r="B116" s="4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/>
      <c r="B117" s="43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8"/>
      <c r="B118" s="43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8"/>
      <c r="B119" s="43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8"/>
      <c r="B120" s="43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8"/>
      <c r="B121" s="43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8"/>
      <c r="B122" s="43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8"/>
      <c r="B123" s="43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8"/>
      <c r="B124" s="43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8"/>
      <c r="B125" s="43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8"/>
      <c r="B126" s="43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8"/>
      <c r="B127" s="43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8"/>
      <c r="B128" s="43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/>
      <c r="B129" s="43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/>
      <c r="B130" s="43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/>
      <c r="B131" s="43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/>
      <c r="B132" s="43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/>
      <c r="B133" s="43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/>
      <c r="B134" s="43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/>
      <c r="B135" s="43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/>
      <c r="B136" s="43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/>
      <c r="B137" s="43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/>
      <c r="B138" s="43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/>
      <c r="B139" s="43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/>
      <c r="B140" s="43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/>
      <c r="B141" s="43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/>
      <c r="B142" s="43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/>
      <c r="B143" s="43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/>
      <c r="B144" s="43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/>
      <c r="B145" s="43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/>
      <c r="B146" s="43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8"/>
      <c r="B147" s="43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/>
      <c r="B148" s="43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/>
      <c r="B149" s="43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/>
      <c r="B150" s="43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/>
      <c r="B151" s="43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/>
      <c r="B152" s="43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/>
      <c r="B153" s="43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/>
      <c r="B154" s="43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/>
      <c r="B155" s="43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/>
      <c r="B156" s="43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/>
      <c r="B157" s="43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/>
      <c r="B158" s="43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/>
      <c r="B159" s="43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/>
      <c r="B160" s="43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/>
      <c r="B161" s="43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/>
      <c r="B162" s="43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/>
      <c r="B163" s="43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/>
      <c r="B164" s="43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/>
      <c r="B165" s="43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/>
      <c r="B166" s="43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/>
      <c r="B167" s="43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/>
      <c r="B168" s="43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/>
      <c r="B169" s="43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/>
      <c r="B170" s="43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/>
      <c r="B171" s="43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/>
      <c r="B172" s="43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/>
      <c r="B173" s="43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/>
      <c r="B174" s="43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/>
      <c r="B175" s="43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/>
      <c r="B176" s="43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/>
      <c r="B177" s="43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/>
      <c r="B178" s="43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/>
      <c r="B179" s="43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/>
      <c r="B180" s="43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/>
      <c r="B181" s="43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/>
      <c r="B182" s="43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/>
      <c r="B183" s="43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/>
      <c r="B184" s="43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/>
      <c r="B185" s="43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/>
      <c r="B186" s="43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/>
      <c r="B187" s="43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/>
      <c r="B188" s="43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/>
      <c r="B189" s="43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/>
      <c r="B190" s="43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/>
      <c r="B191" s="43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/>
      <c r="B192" s="43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/>
      <c r="B193" s="43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/>
      <c r="B194" s="43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/>
      <c r="B195" s="43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/>
      <c r="B196" s="43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/>
      <c r="B197" s="43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/>
      <c r="B198" s="43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/>
      <c r="B199" s="43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/>
      <c r="B200" s="43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/>
      <c r="B201" s="43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/>
      <c r="B202" s="43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/>
      <c r="B203" s="43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/>
      <c r="B204" s="43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/>
      <c r="B205" s="43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/>
      <c r="B206" s="43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/>
      <c r="B207" s="43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/>
      <c r="B208" s="43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/>
      <c r="B209" s="43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/>
      <c r="B210" s="43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/>
      <c r="B211" s="43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/>
      <c r="B212" s="43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/>
      <c r="B213" s="43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/>
      <c r="B214" s="43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/>
      <c r="B215" s="43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/>
      <c r="B216" s="43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/>
      <c r="B217" s="43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/>
      <c r="B218" s="43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/>
      <c r="B219" s="43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/>
      <c r="B220" s="43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/>
      <c r="B221" s="43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/>
      <c r="B222" s="43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/>
      <c r="B223" s="43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/>
      <c r="B224" s="43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/>
      <c r="B225" s="43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/>
      <c r="B226" s="43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/>
      <c r="B227" s="43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/>
      <c r="B228" s="43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/>
      <c r="B229" s="43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/>
      <c r="B230" s="43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/>
      <c r="B231" s="43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/>
      <c r="B232" s="43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/>
      <c r="B233" s="43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/>
      <c r="B234" s="43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/>
      <c r="B235" s="43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/>
      <c r="B236" s="43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/>
      <c r="B237" s="43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/>
      <c r="B238" s="43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/>
      <c r="B239" s="43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/>
      <c r="B240" s="43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/>
      <c r="B241" s="43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/>
      <c r="B242" s="43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8"/>
      <c r="B243" s="43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/>
      <c r="B244" s="43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/>
      <c r="B245" s="43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/>
      <c r="B246" s="43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/>
      <c r="B247" s="43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/>
      <c r="B248" s="43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/>
      <c r="B249" s="43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/>
      <c r="B250" s="43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/>
      <c r="B251" s="43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/>
      <c r="B252" s="43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8"/>
      <c r="B253" s="43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/>
      <c r="B254" s="43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/>
      <c r="B255" s="43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/>
      <c r="B256" s="43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/>
      <c r="B257" s="43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/>
      <c r="B258" s="43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/>
      <c r="B259" s="43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/>
      <c r="B260" s="43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/>
      <c r="B261" s="43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/>
      <c r="B262" s="43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8"/>
      <c r="B263" s="43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/>
      <c r="B264" s="43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/>
      <c r="B265" s="43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/>
      <c r="B266" s="43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/>
      <c r="B267" s="43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/>
      <c r="B268" s="43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/>
      <c r="B269" s="43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/>
      <c r="B270" s="43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/>
      <c r="B271" s="43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/>
      <c r="B272" s="43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8"/>
      <c r="B273" s="43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/>
      <c r="B274" s="43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/>
      <c r="B275" s="43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/>
      <c r="B276" s="43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/>
      <c r="B277" s="43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/>
      <c r="B278" s="43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/>
      <c r="B279" s="43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/>
      <c r="B280" s="43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/>
      <c r="B281" s="43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/>
      <c r="B282" s="43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8"/>
      <c r="B283" s="43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/>
      <c r="B284" s="43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/>
      <c r="B285" s="43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/>
      <c r="B286" s="43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/>
      <c r="B287" s="43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/>
      <c r="B288" s="43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/>
      <c r="B289" s="43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/>
      <c r="B290" s="43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/>
      <c r="B291" s="43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/>
      <c r="B292" s="43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8"/>
      <c r="B293" s="43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/>
      <c r="B294" s="43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/>
      <c r="B295" s="43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/>
      <c r="B296" s="43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/>
      <c r="B297" s="43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/>
      <c r="B298" s="43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/>
      <c r="B299" s="43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/>
      <c r="B300" s="43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/>
      <c r="B301" s="43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/>
      <c r="B302" s="43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8"/>
      <c r="B303" s="43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/>
      <c r="B304" s="43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/>
      <c r="B305" s="43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/>
      <c r="B306" s="43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/>
      <c r="B307" s="43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/>
      <c r="B308" s="43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/>
      <c r="B309" s="43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/>
      <c r="B310" s="43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/>
      <c r="B311" s="43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/>
      <c r="B312" s="43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/>
      <c r="B313" s="43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8"/>
      <c r="B314" s="43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/>
      <c r="B315" s="43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/>
      <c r="B316" s="43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/>
      <c r="B317" s="43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/>
      <c r="B318" s="43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/>
      <c r="B319" s="43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/>
      <c r="B320" s="43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/>
      <c r="B321" s="43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/>
      <c r="B322" s="43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/>
      <c r="B323" s="43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/>
      <c r="B324" s="43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8"/>
      <c r="B325" s="43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/>
      <c r="B326" s="43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8"/>
      <c r="B327" s="43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8"/>
      <c r="B328" s="43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8"/>
      <c r="B329" s="43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8"/>
      <c r="B330" s="43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8"/>
      <c r="B331" s="43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8"/>
      <c r="B332" s="43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8"/>
      <c r="B333" s="43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8"/>
      <c r="B334" s="43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8"/>
      <c r="B335" s="43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8"/>
      <c r="B336" s="43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8"/>
      <c r="B337" s="43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VerifyDailyCalTransactions!$4:$4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IFERROR(__xludf.DUMMYFUNCTION("""COMPUTED_VALUE"""),"From Date")</f>
        <v>From Date</v>
      </c>
      <c r="E5" s="41" t="str">
        <f>IFERROR(__xludf.DUMMYFUNCTION("""COMPUTED_VALUE"""),"To Date")</f>
        <v>To Date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29</v>
      </c>
      <c r="C6" s="9" t="s">
        <v>18</v>
      </c>
      <c r="D6" s="42">
        <v>43024.0</v>
      </c>
      <c r="E6" s="42">
        <v>43047.0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6" width="12.63"/>
    <col customWidth="1" min="17" max="17" width="24.88"/>
    <col customWidth="1" min="18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30" t="str">
        <f>IFERROR(__xludf.DUMMYFUNCTION("""COMPUTED_VALUE"""),"Modify Date")</f>
        <v>Modify Date</v>
      </c>
      <c r="D5" s="30" t="str">
        <f>IFERROR(__xludf.DUMMYFUNCTION("""COMPUTED_VALUE"""),"Entry Date")</f>
        <v>Entry Date</v>
      </c>
      <c r="E5" s="30" t="str">
        <f>IFERROR(__xludf.DUMMYFUNCTION("""COMPUTED_VALUE"""),"DR")</f>
        <v>DR</v>
      </c>
      <c r="F5" s="30" t="str">
        <f>IFERROR(__xludf.DUMMYFUNCTION("""COMPUTED_VALUE"""),"CR")</f>
        <v>CR</v>
      </c>
      <c r="G5" s="30" t="str">
        <f>IFERROR(__xludf.DUMMYFUNCTION("""COMPUTED_VALUE"""),"Fx Rate")</f>
        <v>Fx Rate</v>
      </c>
      <c r="H5" s="30" t="str">
        <f>IFERROR(__xludf.DUMMYFUNCTION("""COMPUTED_VALUE"""),"FX Conversion Method Operator")</f>
        <v>FX Conversion Method Operator</v>
      </c>
      <c r="I5" s="30" t="str">
        <f>IFERROR(__xludf.DUMMYFUNCTION("""COMPUTED_VALUE"""),"Account Side")</f>
        <v>Account Side</v>
      </c>
      <c r="J5" s="30" t="str">
        <f>IFERROR(__xludf.DUMMYFUNCTION("""COMPUTED_VALUE"""),"TransactionSource")</f>
        <v>TransactionSource</v>
      </c>
      <c r="K5" s="30" t="str">
        <f>IFERROR(__xludf.DUMMYFUNCTION("""COMPUTED_VALUE"""),"Currency")</f>
        <v>Currency</v>
      </c>
      <c r="L5" s="30" t="str">
        <f>IFERROR(__xludf.DUMMYFUNCTION("""COMPUTED_VALUE"""),"Base Currency")</f>
        <v>Base Currency</v>
      </c>
      <c r="M5" s="30" t="str">
        <f>IFERROR(__xludf.DUMMYFUNCTION("""COMPUTED_VALUE"""),"Symbol")</f>
        <v>Symbol</v>
      </c>
      <c r="N5" s="30" t="str">
        <f>IFERROR(__xludf.DUMMYFUNCTION("""COMPUTED_VALUE"""),"Description")</f>
        <v>Description</v>
      </c>
      <c r="O5" s="30" t="str">
        <f>IFERROR(__xludf.DUMMYFUNCTION("""COMPUTED_VALUE"""),"DR (Base)")</f>
        <v>DR (Base)</v>
      </c>
      <c r="P5" s="30" t="str">
        <f>IFERROR(__xludf.DUMMYFUNCTION("""COMPUTED_VALUE"""),"CR (Base)")</f>
        <v>CR (Base)</v>
      </c>
      <c r="Q5" s="30" t="str">
        <f>IFERROR(__xludf.DUMMYFUNCTION("""COMPUTED_VALUE"""),"Cash Sub-Account")</f>
        <v>Cash Sub-Account</v>
      </c>
      <c r="R5" s="30" t="str">
        <f>IFERROR(__xludf.DUMMYFUNCTION("""COMPUTED_VALUE"""),"Account")</f>
        <v>Account</v>
      </c>
      <c r="S5" s="30" t="str">
        <f>IFERROR(__xludf.DUMMYFUNCTION("""COMPUTED_VALUE"""),"TaxLotId")</f>
        <v>TaxLotId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4"/>
      <c r="B6" s="56">
        <v>43024.0</v>
      </c>
      <c r="C6" s="38"/>
      <c r="D6" s="38"/>
      <c r="E6" s="57">
        <v>1945.0</v>
      </c>
      <c r="F6" s="58">
        <v>0.0</v>
      </c>
      <c r="G6" s="59">
        <v>1.0</v>
      </c>
      <c r="H6" s="59" t="s">
        <v>36</v>
      </c>
      <c r="I6" s="59" t="s">
        <v>41</v>
      </c>
      <c r="J6" s="59" t="s">
        <v>32</v>
      </c>
      <c r="K6" s="39" t="s">
        <v>35</v>
      </c>
      <c r="L6" s="39" t="s">
        <v>35</v>
      </c>
      <c r="M6" s="39" t="s">
        <v>16</v>
      </c>
      <c r="N6" s="38"/>
      <c r="O6" s="57">
        <v>1945.0</v>
      </c>
      <c r="P6" s="57">
        <v>0.0</v>
      </c>
      <c r="Q6" s="59" t="s">
        <v>42</v>
      </c>
      <c r="R6" s="39" t="s">
        <v>18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4"/>
      <c r="B7" s="56">
        <v>43024.0</v>
      </c>
      <c r="C7" s="4"/>
      <c r="D7" s="4"/>
      <c r="E7" s="60">
        <v>0.0</v>
      </c>
      <c r="F7" s="57">
        <v>1945.0</v>
      </c>
      <c r="G7" s="59">
        <v>1.0</v>
      </c>
      <c r="H7" s="59" t="s">
        <v>36</v>
      </c>
      <c r="I7" s="59" t="s">
        <v>43</v>
      </c>
      <c r="J7" s="59" t="s">
        <v>32</v>
      </c>
      <c r="K7" s="39" t="s">
        <v>35</v>
      </c>
      <c r="L7" s="39" t="s">
        <v>35</v>
      </c>
      <c r="M7" s="39" t="s">
        <v>16</v>
      </c>
      <c r="N7" s="4"/>
      <c r="O7" s="57">
        <v>0.0</v>
      </c>
      <c r="P7" s="57">
        <v>1945.0</v>
      </c>
      <c r="Q7" s="59" t="s">
        <v>44</v>
      </c>
      <c r="R7" s="39" t="s">
        <v>18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4"/>
      <c r="B8" s="56">
        <v>43024.0</v>
      </c>
      <c r="C8" s="4"/>
      <c r="D8" s="4"/>
      <c r="E8" s="57">
        <v>125.0</v>
      </c>
      <c r="F8" s="58">
        <v>0.0</v>
      </c>
      <c r="G8" s="59">
        <v>1.0</v>
      </c>
      <c r="H8" s="59" t="s">
        <v>36</v>
      </c>
      <c r="I8" s="59" t="s">
        <v>41</v>
      </c>
      <c r="J8" s="59" t="s">
        <v>32</v>
      </c>
      <c r="K8" s="39" t="s">
        <v>35</v>
      </c>
      <c r="L8" s="39" t="s">
        <v>35</v>
      </c>
      <c r="M8" s="39" t="s">
        <v>16</v>
      </c>
      <c r="N8" s="4"/>
      <c r="O8" s="57">
        <v>125.0</v>
      </c>
      <c r="P8" s="57">
        <v>0.0</v>
      </c>
      <c r="Q8" s="59" t="s">
        <v>45</v>
      </c>
      <c r="R8" s="39" t="s">
        <v>18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</row>
    <row r="9" ht="15.75" customHeight="1">
      <c r="A9" s="4"/>
      <c r="B9" s="56">
        <v>43024.0</v>
      </c>
      <c r="C9" s="4"/>
      <c r="D9" s="4"/>
      <c r="E9" s="60">
        <v>0.0</v>
      </c>
      <c r="F9" s="57">
        <v>125.0</v>
      </c>
      <c r="G9" s="59">
        <v>1.0</v>
      </c>
      <c r="H9" s="59" t="s">
        <v>36</v>
      </c>
      <c r="I9" s="59" t="s">
        <v>43</v>
      </c>
      <c r="J9" s="59" t="s">
        <v>32</v>
      </c>
      <c r="K9" s="39" t="s">
        <v>35</v>
      </c>
      <c r="L9" s="39" t="s">
        <v>35</v>
      </c>
      <c r="M9" s="39" t="s">
        <v>16</v>
      </c>
      <c r="N9" s="4"/>
      <c r="O9" s="57">
        <v>0.0</v>
      </c>
      <c r="P9" s="57">
        <v>125.0</v>
      </c>
      <c r="Q9" s="59" t="s">
        <v>44</v>
      </c>
      <c r="R9" s="39" t="s">
        <v>18</v>
      </c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</row>
    <row r="10" ht="15.75" customHeight="1">
      <c r="A10" s="4"/>
      <c r="B10" s="56">
        <v>43031.0</v>
      </c>
      <c r="C10" s="4"/>
      <c r="D10" s="4"/>
      <c r="E10" s="57">
        <v>30.0</v>
      </c>
      <c r="F10" s="58">
        <v>0.0</v>
      </c>
      <c r="G10" s="59">
        <v>1.0</v>
      </c>
      <c r="H10" s="59" t="s">
        <v>36</v>
      </c>
      <c r="I10" s="59" t="s">
        <v>41</v>
      </c>
      <c r="J10" s="59" t="s">
        <v>32</v>
      </c>
      <c r="K10" s="39" t="s">
        <v>35</v>
      </c>
      <c r="L10" s="39" t="s">
        <v>35</v>
      </c>
      <c r="M10" s="39" t="s">
        <v>16</v>
      </c>
      <c r="N10" s="4"/>
      <c r="O10" s="57">
        <v>30.0</v>
      </c>
      <c r="P10" s="57">
        <v>0.0</v>
      </c>
      <c r="Q10" s="59" t="s">
        <v>42</v>
      </c>
      <c r="R10" s="39" t="s">
        <v>18</v>
      </c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</row>
    <row r="11" ht="15.75" customHeight="1">
      <c r="A11" s="4"/>
      <c r="B11" s="56">
        <v>43031.0</v>
      </c>
      <c r="C11" s="4"/>
      <c r="D11" s="4"/>
      <c r="E11" s="60">
        <v>0.0</v>
      </c>
      <c r="F11" s="57">
        <v>30.0</v>
      </c>
      <c r="G11" s="59">
        <v>1.0</v>
      </c>
      <c r="H11" s="59" t="s">
        <v>36</v>
      </c>
      <c r="I11" s="59" t="s">
        <v>43</v>
      </c>
      <c r="J11" s="59" t="s">
        <v>32</v>
      </c>
      <c r="K11" s="39" t="s">
        <v>35</v>
      </c>
      <c r="L11" s="39" t="s">
        <v>35</v>
      </c>
      <c r="M11" s="39" t="s">
        <v>16</v>
      </c>
      <c r="N11" s="4"/>
      <c r="O11" s="57">
        <v>0.0</v>
      </c>
      <c r="P11" s="57">
        <v>30.0</v>
      </c>
      <c r="Q11" s="59" t="s">
        <v>44</v>
      </c>
      <c r="R11" s="39" t="s">
        <v>18</v>
      </c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ht="15.75" customHeight="1">
      <c r="A12" s="4"/>
      <c r="B12" s="56">
        <v>43031.0</v>
      </c>
      <c r="C12" s="4"/>
      <c r="D12" s="4"/>
      <c r="E12" s="57">
        <v>1250.0</v>
      </c>
      <c r="F12" s="58">
        <v>0.0</v>
      </c>
      <c r="G12" s="59">
        <v>1.0</v>
      </c>
      <c r="H12" s="59" t="s">
        <v>36</v>
      </c>
      <c r="I12" s="59" t="s">
        <v>41</v>
      </c>
      <c r="J12" s="59" t="s">
        <v>32</v>
      </c>
      <c r="K12" s="39" t="s">
        <v>35</v>
      </c>
      <c r="L12" s="39" t="s">
        <v>35</v>
      </c>
      <c r="M12" s="39" t="s">
        <v>16</v>
      </c>
      <c r="N12" s="4"/>
      <c r="O12" s="57">
        <v>1250.0</v>
      </c>
      <c r="P12" s="57">
        <v>0.0</v>
      </c>
      <c r="Q12" s="59" t="s">
        <v>44</v>
      </c>
      <c r="R12" s="39" t="s">
        <v>18</v>
      </c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</row>
    <row r="13" ht="15.75" customHeight="1">
      <c r="A13" s="4"/>
      <c r="B13" s="56">
        <v>43031.0</v>
      </c>
      <c r="C13" s="4"/>
      <c r="D13" s="4"/>
      <c r="E13" s="60">
        <v>0.0</v>
      </c>
      <c r="F13" s="57">
        <v>1250.0</v>
      </c>
      <c r="G13" s="59">
        <v>1.0</v>
      </c>
      <c r="H13" s="59" t="s">
        <v>36</v>
      </c>
      <c r="I13" s="59" t="s">
        <v>43</v>
      </c>
      <c r="J13" s="59" t="s">
        <v>32</v>
      </c>
      <c r="K13" s="39" t="s">
        <v>35</v>
      </c>
      <c r="L13" s="39" t="s">
        <v>35</v>
      </c>
      <c r="M13" s="39" t="s">
        <v>16</v>
      </c>
      <c r="N13" s="4"/>
      <c r="O13" s="57">
        <v>0.0</v>
      </c>
      <c r="P13" s="57">
        <v>1250.0</v>
      </c>
      <c r="Q13" s="59" t="s">
        <v>42</v>
      </c>
      <c r="R13" s="39" t="s">
        <v>18</v>
      </c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</row>
    <row r="14" ht="15.75" customHeight="1">
      <c r="A14" s="4"/>
      <c r="B14" s="56">
        <v>43031.0</v>
      </c>
      <c r="C14" s="4"/>
      <c r="D14" s="4"/>
      <c r="E14" s="57">
        <v>137.15</v>
      </c>
      <c r="F14" s="58">
        <v>0.0</v>
      </c>
      <c r="G14" s="59">
        <v>1.0</v>
      </c>
      <c r="H14" s="59" t="s">
        <v>36</v>
      </c>
      <c r="I14" s="59" t="s">
        <v>41</v>
      </c>
      <c r="J14" s="59" t="s">
        <v>32</v>
      </c>
      <c r="K14" s="39" t="s">
        <v>35</v>
      </c>
      <c r="L14" s="39" t="s">
        <v>35</v>
      </c>
      <c r="M14" s="39" t="s">
        <v>16</v>
      </c>
      <c r="N14" s="4"/>
      <c r="O14" s="57">
        <v>137.15</v>
      </c>
      <c r="P14" s="57">
        <v>0.0</v>
      </c>
      <c r="Q14" s="59" t="s">
        <v>46</v>
      </c>
      <c r="R14" s="39" t="s">
        <v>18</v>
      </c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</row>
    <row r="15" ht="15.75" customHeight="1">
      <c r="A15" s="4"/>
      <c r="B15" s="56">
        <v>43031.0</v>
      </c>
      <c r="C15" s="4"/>
      <c r="D15" s="4"/>
      <c r="E15" s="60">
        <v>0.0</v>
      </c>
      <c r="F15" s="57">
        <v>137.15</v>
      </c>
      <c r="G15" s="59">
        <v>1.0</v>
      </c>
      <c r="H15" s="59" t="s">
        <v>36</v>
      </c>
      <c r="I15" s="59" t="s">
        <v>43</v>
      </c>
      <c r="J15" s="59" t="s">
        <v>32</v>
      </c>
      <c r="K15" s="39" t="s">
        <v>35</v>
      </c>
      <c r="L15" s="39" t="s">
        <v>35</v>
      </c>
      <c r="M15" s="39" t="s">
        <v>16</v>
      </c>
      <c r="N15" s="4"/>
      <c r="O15" s="57">
        <v>0.0</v>
      </c>
      <c r="P15" s="57">
        <v>137.15</v>
      </c>
      <c r="Q15" s="59" t="s">
        <v>44</v>
      </c>
      <c r="R15" s="39" t="s">
        <v>18</v>
      </c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</row>
    <row r="16" ht="15.75" customHeight="1">
      <c r="A16" s="4"/>
      <c r="B16" s="56">
        <v>43028.0</v>
      </c>
      <c r="C16" s="4"/>
      <c r="D16" s="4"/>
      <c r="E16" s="57">
        <v>1.74</v>
      </c>
      <c r="F16" s="58">
        <v>0.0</v>
      </c>
      <c r="G16" s="59">
        <v>0.0</v>
      </c>
      <c r="H16" s="59" t="s">
        <v>36</v>
      </c>
      <c r="I16" s="59" t="s">
        <v>41</v>
      </c>
      <c r="J16" s="59" t="s">
        <v>52</v>
      </c>
      <c r="K16" s="39" t="s">
        <v>35</v>
      </c>
      <c r="L16" s="39" t="s">
        <v>35</v>
      </c>
      <c r="M16" s="39" t="s">
        <v>16</v>
      </c>
      <c r="N16" s="4"/>
      <c r="O16" s="57">
        <v>0.0</v>
      </c>
      <c r="P16" s="57">
        <v>0.0</v>
      </c>
      <c r="Q16" s="59" t="s">
        <v>46</v>
      </c>
      <c r="R16" s="39" t="s">
        <v>18</v>
      </c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</row>
    <row r="17" ht="15.75" customHeight="1">
      <c r="A17" s="4"/>
      <c r="B17" s="56">
        <v>43028.0</v>
      </c>
      <c r="C17" s="4"/>
      <c r="D17" s="4"/>
      <c r="E17" s="60">
        <v>0.0</v>
      </c>
      <c r="F17" s="57">
        <v>1.74</v>
      </c>
      <c r="G17" s="59">
        <v>0.0</v>
      </c>
      <c r="H17" s="59" t="s">
        <v>36</v>
      </c>
      <c r="I17" s="59" t="s">
        <v>43</v>
      </c>
      <c r="J17" s="59" t="s">
        <v>52</v>
      </c>
      <c r="K17" s="39" t="s">
        <v>35</v>
      </c>
      <c r="L17" s="39" t="s">
        <v>35</v>
      </c>
      <c r="M17" s="39" t="s">
        <v>16</v>
      </c>
      <c r="N17" s="4"/>
      <c r="O17" s="57">
        <v>0.0</v>
      </c>
      <c r="P17" s="57">
        <v>0.0</v>
      </c>
      <c r="Q17" s="59" t="s">
        <v>53</v>
      </c>
      <c r="R17" s="39" t="s">
        <v>18</v>
      </c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</row>
    <row r="18" ht="15.75" customHeight="1">
      <c r="A18" s="4"/>
      <c r="B18" s="56">
        <v>43029.0</v>
      </c>
      <c r="C18" s="4"/>
      <c r="D18" s="4"/>
      <c r="E18" s="57">
        <v>1.74</v>
      </c>
      <c r="F18" s="58">
        <v>0.0</v>
      </c>
      <c r="G18" s="59">
        <v>0.0</v>
      </c>
      <c r="H18" s="59" t="s">
        <v>36</v>
      </c>
      <c r="I18" s="59" t="s">
        <v>41</v>
      </c>
      <c r="J18" s="59" t="s">
        <v>52</v>
      </c>
      <c r="K18" s="39" t="s">
        <v>35</v>
      </c>
      <c r="L18" s="39" t="s">
        <v>35</v>
      </c>
      <c r="M18" s="39" t="s">
        <v>16</v>
      </c>
      <c r="N18" s="4"/>
      <c r="O18" s="57">
        <v>0.0</v>
      </c>
      <c r="P18" s="57">
        <v>0.0</v>
      </c>
      <c r="Q18" s="59" t="s">
        <v>46</v>
      </c>
      <c r="R18" s="39" t="s">
        <v>18</v>
      </c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</row>
    <row r="19" ht="15.75" customHeight="1">
      <c r="A19" s="4"/>
      <c r="B19" s="56">
        <v>43029.0</v>
      </c>
      <c r="C19" s="4"/>
      <c r="D19" s="4"/>
      <c r="E19" s="60">
        <v>0.0</v>
      </c>
      <c r="F19" s="57">
        <v>1.74</v>
      </c>
      <c r="G19" s="59">
        <v>0.0</v>
      </c>
      <c r="H19" s="59" t="s">
        <v>36</v>
      </c>
      <c r="I19" s="59" t="s">
        <v>43</v>
      </c>
      <c r="J19" s="59" t="s">
        <v>52</v>
      </c>
      <c r="K19" s="39" t="s">
        <v>35</v>
      </c>
      <c r="L19" s="39" t="s">
        <v>35</v>
      </c>
      <c r="M19" s="39" t="s">
        <v>16</v>
      </c>
      <c r="N19" s="4"/>
      <c r="O19" s="57">
        <v>0.0</v>
      </c>
      <c r="P19" s="57">
        <v>0.0</v>
      </c>
      <c r="Q19" s="59" t="s">
        <v>53</v>
      </c>
      <c r="R19" s="39" t="s">
        <v>18</v>
      </c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</row>
    <row r="20" ht="15.75" customHeight="1">
      <c r="A20" s="4"/>
      <c r="B20" s="56">
        <v>43030.0</v>
      </c>
      <c r="C20" s="4"/>
      <c r="D20" s="4"/>
      <c r="E20" s="57">
        <v>1.74</v>
      </c>
      <c r="F20" s="58">
        <v>0.0</v>
      </c>
      <c r="G20" s="59">
        <v>0.0</v>
      </c>
      <c r="H20" s="59" t="s">
        <v>36</v>
      </c>
      <c r="I20" s="59" t="s">
        <v>41</v>
      </c>
      <c r="J20" s="59" t="s">
        <v>52</v>
      </c>
      <c r="K20" s="39" t="s">
        <v>35</v>
      </c>
      <c r="L20" s="39" t="s">
        <v>35</v>
      </c>
      <c r="M20" s="39" t="s">
        <v>16</v>
      </c>
      <c r="N20" s="4"/>
      <c r="O20" s="57">
        <v>0.0</v>
      </c>
      <c r="P20" s="57">
        <v>0.0</v>
      </c>
      <c r="Q20" s="59" t="s">
        <v>46</v>
      </c>
      <c r="R20" s="39" t="s">
        <v>18</v>
      </c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</row>
    <row r="21" ht="15.75" customHeight="1">
      <c r="A21" s="4"/>
      <c r="B21" s="56">
        <v>43030.0</v>
      </c>
      <c r="C21" s="4"/>
      <c r="D21" s="4"/>
      <c r="E21" s="60">
        <v>0.0</v>
      </c>
      <c r="F21" s="57">
        <v>1.74</v>
      </c>
      <c r="G21" s="59">
        <v>0.0</v>
      </c>
      <c r="H21" s="59" t="s">
        <v>36</v>
      </c>
      <c r="I21" s="59" t="s">
        <v>43</v>
      </c>
      <c r="J21" s="59" t="s">
        <v>52</v>
      </c>
      <c r="K21" s="39" t="s">
        <v>35</v>
      </c>
      <c r="L21" s="39" t="s">
        <v>35</v>
      </c>
      <c r="M21" s="39" t="s">
        <v>16</v>
      </c>
      <c r="N21" s="4"/>
      <c r="O21" s="57">
        <v>0.0</v>
      </c>
      <c r="P21" s="57">
        <v>0.0</v>
      </c>
      <c r="Q21" s="59" t="s">
        <v>53</v>
      </c>
      <c r="R21" s="39" t="s">
        <v>18</v>
      </c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</row>
    <row r="22" ht="15.75" customHeight="1">
      <c r="A22" s="4"/>
      <c r="B22" s="56">
        <v>43031.0</v>
      </c>
      <c r="C22" s="4"/>
      <c r="D22" s="4"/>
      <c r="E22" s="57">
        <v>1.74</v>
      </c>
      <c r="F22" s="58">
        <v>0.0</v>
      </c>
      <c r="G22" s="59">
        <v>0.0</v>
      </c>
      <c r="H22" s="59" t="s">
        <v>36</v>
      </c>
      <c r="I22" s="59" t="s">
        <v>41</v>
      </c>
      <c r="J22" s="59" t="s">
        <v>52</v>
      </c>
      <c r="K22" s="39" t="s">
        <v>35</v>
      </c>
      <c r="L22" s="39" t="s">
        <v>35</v>
      </c>
      <c r="M22" s="39" t="s">
        <v>16</v>
      </c>
      <c r="N22" s="4"/>
      <c r="O22" s="57">
        <v>0.0</v>
      </c>
      <c r="P22" s="57">
        <v>0.0</v>
      </c>
      <c r="Q22" s="59" t="s">
        <v>46</v>
      </c>
      <c r="R22" s="39" t="s">
        <v>18</v>
      </c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</row>
    <row r="23" ht="15.75" customHeight="1">
      <c r="A23" s="4"/>
      <c r="B23" s="56">
        <v>43031.0</v>
      </c>
      <c r="C23" s="4"/>
      <c r="D23" s="4"/>
      <c r="E23" s="60">
        <v>0.0</v>
      </c>
      <c r="F23" s="57">
        <v>1.74</v>
      </c>
      <c r="G23" s="59">
        <v>0.0</v>
      </c>
      <c r="H23" s="59" t="s">
        <v>36</v>
      </c>
      <c r="I23" s="59" t="s">
        <v>43</v>
      </c>
      <c r="J23" s="59" t="s">
        <v>52</v>
      </c>
      <c r="K23" s="39" t="s">
        <v>35</v>
      </c>
      <c r="L23" s="39" t="s">
        <v>35</v>
      </c>
      <c r="M23" s="39" t="s">
        <v>16</v>
      </c>
      <c r="N23" s="4"/>
      <c r="O23" s="57">
        <v>0.0</v>
      </c>
      <c r="P23" s="57">
        <v>0.0</v>
      </c>
      <c r="Q23" s="59" t="s">
        <v>53</v>
      </c>
      <c r="R23" s="39" t="s">
        <v>18</v>
      </c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</row>
    <row r="24" ht="15.75" customHeight="1">
      <c r="A24" s="4"/>
      <c r="B24" s="56">
        <v>43032.0</v>
      </c>
      <c r="C24" s="4"/>
      <c r="D24" s="4"/>
      <c r="E24" s="57">
        <v>1.74</v>
      </c>
      <c r="F24" s="58">
        <v>0.0</v>
      </c>
      <c r="G24" s="59">
        <v>0.0</v>
      </c>
      <c r="H24" s="59" t="s">
        <v>36</v>
      </c>
      <c r="I24" s="59" t="s">
        <v>41</v>
      </c>
      <c r="J24" s="59" t="s">
        <v>52</v>
      </c>
      <c r="K24" s="39" t="s">
        <v>35</v>
      </c>
      <c r="L24" s="39" t="s">
        <v>35</v>
      </c>
      <c r="M24" s="39" t="s">
        <v>16</v>
      </c>
      <c r="N24" s="4"/>
      <c r="O24" s="57">
        <v>0.0</v>
      </c>
      <c r="P24" s="57">
        <v>0.0</v>
      </c>
      <c r="Q24" s="59" t="s">
        <v>46</v>
      </c>
      <c r="R24" s="39" t="s">
        <v>18</v>
      </c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</row>
    <row r="25" ht="15.75" customHeight="1">
      <c r="A25" s="4"/>
      <c r="B25" s="56">
        <v>43032.0</v>
      </c>
      <c r="C25" s="4"/>
      <c r="D25" s="4"/>
      <c r="E25" s="60">
        <v>0.0</v>
      </c>
      <c r="F25" s="57">
        <v>1.74</v>
      </c>
      <c r="G25" s="59">
        <v>0.0</v>
      </c>
      <c r="H25" s="59" t="s">
        <v>36</v>
      </c>
      <c r="I25" s="59" t="s">
        <v>43</v>
      </c>
      <c r="J25" s="59" t="s">
        <v>52</v>
      </c>
      <c r="K25" s="39" t="s">
        <v>35</v>
      </c>
      <c r="L25" s="39" t="s">
        <v>35</v>
      </c>
      <c r="M25" s="39" t="s">
        <v>16</v>
      </c>
      <c r="N25" s="4"/>
      <c r="O25" s="57">
        <v>0.0</v>
      </c>
      <c r="P25" s="57">
        <v>0.0</v>
      </c>
      <c r="Q25" s="59" t="s">
        <v>53</v>
      </c>
      <c r="R25" s="39" t="s">
        <v>18</v>
      </c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</row>
    <row r="26" ht="15.75" customHeight="1">
      <c r="A26" s="4"/>
      <c r="B26" s="56">
        <v>43033.0</v>
      </c>
      <c r="C26" s="4"/>
      <c r="D26" s="4"/>
      <c r="E26" s="57">
        <v>1.74</v>
      </c>
      <c r="F26" s="58">
        <v>0.0</v>
      </c>
      <c r="G26" s="59">
        <v>0.0</v>
      </c>
      <c r="H26" s="59" t="s">
        <v>36</v>
      </c>
      <c r="I26" s="59" t="s">
        <v>41</v>
      </c>
      <c r="J26" s="59" t="s">
        <v>52</v>
      </c>
      <c r="K26" s="39" t="s">
        <v>35</v>
      </c>
      <c r="L26" s="39" t="s">
        <v>35</v>
      </c>
      <c r="M26" s="39" t="s">
        <v>16</v>
      </c>
      <c r="N26" s="4"/>
      <c r="O26" s="57">
        <v>0.0</v>
      </c>
      <c r="P26" s="57">
        <v>0.0</v>
      </c>
      <c r="Q26" s="59" t="s">
        <v>46</v>
      </c>
      <c r="R26" s="39" t="s">
        <v>18</v>
      </c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</row>
    <row r="27" ht="15.75" customHeight="1">
      <c r="A27" s="4"/>
      <c r="B27" s="56">
        <v>43033.0</v>
      </c>
      <c r="C27" s="4"/>
      <c r="D27" s="4"/>
      <c r="E27" s="60">
        <v>0.0</v>
      </c>
      <c r="F27" s="57">
        <v>1.74</v>
      </c>
      <c r="G27" s="59">
        <v>0.0</v>
      </c>
      <c r="H27" s="59" t="s">
        <v>36</v>
      </c>
      <c r="I27" s="59" t="s">
        <v>43</v>
      </c>
      <c r="J27" s="59" t="s">
        <v>52</v>
      </c>
      <c r="K27" s="39" t="s">
        <v>35</v>
      </c>
      <c r="L27" s="39" t="s">
        <v>35</v>
      </c>
      <c r="M27" s="39" t="s">
        <v>16</v>
      </c>
      <c r="N27" s="4"/>
      <c r="O27" s="57">
        <v>0.0</v>
      </c>
      <c r="P27" s="57">
        <v>0.0</v>
      </c>
      <c r="Q27" s="59" t="s">
        <v>53</v>
      </c>
      <c r="R27" s="39" t="s">
        <v>18</v>
      </c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</row>
    <row r="28" ht="15.75" customHeight="1">
      <c r="A28" s="4"/>
      <c r="B28" s="56">
        <v>43034.0</v>
      </c>
      <c r="C28" s="4"/>
      <c r="D28" s="4"/>
      <c r="E28" s="57">
        <v>1.74</v>
      </c>
      <c r="F28" s="58">
        <v>0.0</v>
      </c>
      <c r="G28" s="59">
        <v>0.0</v>
      </c>
      <c r="H28" s="59" t="s">
        <v>36</v>
      </c>
      <c r="I28" s="59" t="s">
        <v>41</v>
      </c>
      <c r="J28" s="59" t="s">
        <v>52</v>
      </c>
      <c r="K28" s="39" t="s">
        <v>35</v>
      </c>
      <c r="L28" s="39" t="s">
        <v>35</v>
      </c>
      <c r="M28" s="39" t="s">
        <v>16</v>
      </c>
      <c r="N28" s="4"/>
      <c r="O28" s="57">
        <v>0.0</v>
      </c>
      <c r="P28" s="57">
        <v>0.0</v>
      </c>
      <c r="Q28" s="59" t="s">
        <v>46</v>
      </c>
      <c r="R28" s="39" t="s">
        <v>18</v>
      </c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</row>
    <row r="29" ht="15.75" customHeight="1">
      <c r="A29" s="4"/>
      <c r="B29" s="56">
        <v>43034.0</v>
      </c>
      <c r="C29" s="4"/>
      <c r="D29" s="4"/>
      <c r="E29" s="60">
        <v>0.0</v>
      </c>
      <c r="F29" s="57">
        <v>1.74</v>
      </c>
      <c r="G29" s="59">
        <v>0.0</v>
      </c>
      <c r="H29" s="59" t="s">
        <v>36</v>
      </c>
      <c r="I29" s="59" t="s">
        <v>43</v>
      </c>
      <c r="J29" s="59" t="s">
        <v>52</v>
      </c>
      <c r="K29" s="39" t="s">
        <v>35</v>
      </c>
      <c r="L29" s="39" t="s">
        <v>35</v>
      </c>
      <c r="M29" s="39" t="s">
        <v>16</v>
      </c>
      <c r="N29" s="4"/>
      <c r="O29" s="57">
        <v>0.0</v>
      </c>
      <c r="P29" s="57">
        <v>0.0</v>
      </c>
      <c r="Q29" s="59" t="s">
        <v>53</v>
      </c>
      <c r="R29" s="39" t="s">
        <v>18</v>
      </c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</row>
    <row r="30" ht="15.75" customHeight="1">
      <c r="A30" s="4"/>
      <c r="B30" s="56">
        <v>43035.0</v>
      </c>
      <c r="C30" s="4"/>
      <c r="D30" s="4"/>
      <c r="E30" s="57">
        <v>1.74</v>
      </c>
      <c r="F30" s="58">
        <v>0.0</v>
      </c>
      <c r="G30" s="59">
        <v>0.0</v>
      </c>
      <c r="H30" s="59" t="s">
        <v>36</v>
      </c>
      <c r="I30" s="59" t="s">
        <v>41</v>
      </c>
      <c r="J30" s="59" t="s">
        <v>52</v>
      </c>
      <c r="K30" s="39" t="s">
        <v>35</v>
      </c>
      <c r="L30" s="39" t="s">
        <v>35</v>
      </c>
      <c r="M30" s="39" t="s">
        <v>16</v>
      </c>
      <c r="N30" s="4"/>
      <c r="O30" s="57">
        <v>0.0</v>
      </c>
      <c r="P30" s="57">
        <v>0.0</v>
      </c>
      <c r="Q30" s="59" t="s">
        <v>46</v>
      </c>
      <c r="R30" s="39" t="s">
        <v>18</v>
      </c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</row>
    <row r="31" ht="15.75" customHeight="1">
      <c r="A31" s="4"/>
      <c r="B31" s="56">
        <v>43035.0</v>
      </c>
      <c r="C31" s="4"/>
      <c r="D31" s="4"/>
      <c r="E31" s="60">
        <v>0.0</v>
      </c>
      <c r="F31" s="57">
        <v>1.74</v>
      </c>
      <c r="G31" s="59">
        <v>0.0</v>
      </c>
      <c r="H31" s="59" t="s">
        <v>36</v>
      </c>
      <c r="I31" s="59" t="s">
        <v>43</v>
      </c>
      <c r="J31" s="59" t="s">
        <v>52</v>
      </c>
      <c r="K31" s="39" t="s">
        <v>35</v>
      </c>
      <c r="L31" s="39" t="s">
        <v>35</v>
      </c>
      <c r="M31" s="39" t="s">
        <v>16</v>
      </c>
      <c r="N31" s="4"/>
      <c r="O31" s="57">
        <v>0.0</v>
      </c>
      <c r="P31" s="57">
        <v>0.0</v>
      </c>
      <c r="Q31" s="59" t="s">
        <v>53</v>
      </c>
      <c r="R31" s="39" t="s">
        <v>18</v>
      </c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</row>
    <row r="32" ht="15.75" customHeight="1">
      <c r="A32" s="4"/>
      <c r="B32" s="56">
        <v>43035.0</v>
      </c>
      <c r="C32" s="4"/>
      <c r="D32" s="4"/>
      <c r="E32" s="57">
        <v>1.74</v>
      </c>
      <c r="F32" s="58">
        <v>0.0</v>
      </c>
      <c r="G32" s="59">
        <v>0.0</v>
      </c>
      <c r="H32" s="59" t="s">
        <v>36</v>
      </c>
      <c r="I32" s="59" t="s">
        <v>41</v>
      </c>
      <c r="J32" s="59" t="s">
        <v>52</v>
      </c>
      <c r="K32" s="39" t="s">
        <v>35</v>
      </c>
      <c r="L32" s="39" t="s">
        <v>35</v>
      </c>
      <c r="M32" s="39" t="s">
        <v>16</v>
      </c>
      <c r="N32" s="4"/>
      <c r="O32" s="57">
        <v>0.0</v>
      </c>
      <c r="P32" s="57">
        <v>0.0</v>
      </c>
      <c r="Q32" s="59" t="s">
        <v>46</v>
      </c>
      <c r="R32" s="39" t="s">
        <v>18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</row>
    <row r="33" ht="15.75" customHeight="1">
      <c r="A33" s="4"/>
      <c r="B33" s="56">
        <v>43035.0</v>
      </c>
      <c r="C33" s="4"/>
      <c r="D33" s="4"/>
      <c r="E33" s="60">
        <v>0.0</v>
      </c>
      <c r="F33" s="57">
        <v>1.74</v>
      </c>
      <c r="G33" s="59">
        <v>0.0</v>
      </c>
      <c r="H33" s="59" t="s">
        <v>36</v>
      </c>
      <c r="I33" s="59" t="s">
        <v>43</v>
      </c>
      <c r="J33" s="59" t="s">
        <v>52</v>
      </c>
      <c r="K33" s="39" t="s">
        <v>35</v>
      </c>
      <c r="L33" s="39" t="s">
        <v>35</v>
      </c>
      <c r="M33" s="39" t="s">
        <v>16</v>
      </c>
      <c r="N33" s="4"/>
      <c r="O33" s="57">
        <v>0.0</v>
      </c>
      <c r="P33" s="57">
        <v>0.0</v>
      </c>
      <c r="Q33" s="59" t="s">
        <v>53</v>
      </c>
      <c r="R33" s="39" t="s">
        <v>18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</row>
    <row r="34" ht="15.75" customHeight="1">
      <c r="A34" s="4"/>
      <c r="B34" s="56">
        <v>43036.0</v>
      </c>
      <c r="C34" s="4"/>
      <c r="D34" s="4"/>
      <c r="E34" s="57">
        <v>1.74</v>
      </c>
      <c r="F34" s="58">
        <v>0.0</v>
      </c>
      <c r="G34" s="59">
        <v>0.0</v>
      </c>
      <c r="H34" s="59" t="s">
        <v>36</v>
      </c>
      <c r="I34" s="59" t="s">
        <v>41</v>
      </c>
      <c r="J34" s="59" t="s">
        <v>52</v>
      </c>
      <c r="K34" s="39" t="s">
        <v>35</v>
      </c>
      <c r="L34" s="39" t="s">
        <v>35</v>
      </c>
      <c r="M34" s="39" t="s">
        <v>16</v>
      </c>
      <c r="N34" s="4"/>
      <c r="O34" s="57">
        <v>0.0</v>
      </c>
      <c r="P34" s="57">
        <v>0.0</v>
      </c>
      <c r="Q34" s="59" t="s">
        <v>46</v>
      </c>
      <c r="R34" s="39" t="s">
        <v>18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</row>
    <row r="35" ht="15.75" customHeight="1">
      <c r="A35" s="4"/>
      <c r="B35" s="56">
        <v>43036.0</v>
      </c>
      <c r="C35" s="4"/>
      <c r="D35" s="4"/>
      <c r="E35" s="60">
        <v>0.0</v>
      </c>
      <c r="F35" s="57">
        <v>1.74</v>
      </c>
      <c r="G35" s="59">
        <v>0.0</v>
      </c>
      <c r="H35" s="59" t="s">
        <v>36</v>
      </c>
      <c r="I35" s="59" t="s">
        <v>43</v>
      </c>
      <c r="J35" s="59" t="s">
        <v>52</v>
      </c>
      <c r="K35" s="39" t="s">
        <v>35</v>
      </c>
      <c r="L35" s="39" t="s">
        <v>35</v>
      </c>
      <c r="M35" s="39" t="s">
        <v>16</v>
      </c>
      <c r="N35" s="4"/>
      <c r="O35" s="57">
        <v>0.0</v>
      </c>
      <c r="P35" s="57">
        <v>0.0</v>
      </c>
      <c r="Q35" s="59" t="s">
        <v>53</v>
      </c>
      <c r="R35" s="39" t="s">
        <v>18</v>
      </c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</row>
    <row r="36" ht="15.75" customHeight="1">
      <c r="A36" s="4"/>
      <c r="B36" s="56">
        <v>43036.0</v>
      </c>
      <c r="C36" s="4"/>
      <c r="D36" s="4"/>
      <c r="E36" s="57">
        <v>1.74</v>
      </c>
      <c r="F36" s="58">
        <v>0.0</v>
      </c>
      <c r="G36" s="59">
        <v>0.0</v>
      </c>
      <c r="H36" s="59" t="s">
        <v>36</v>
      </c>
      <c r="I36" s="59" t="s">
        <v>41</v>
      </c>
      <c r="J36" s="59" t="s">
        <v>52</v>
      </c>
      <c r="K36" s="39" t="s">
        <v>35</v>
      </c>
      <c r="L36" s="39" t="s">
        <v>35</v>
      </c>
      <c r="M36" s="39" t="s">
        <v>16</v>
      </c>
      <c r="N36" s="4"/>
      <c r="O36" s="57">
        <v>0.0</v>
      </c>
      <c r="P36" s="57">
        <v>0.0</v>
      </c>
      <c r="Q36" s="59" t="s">
        <v>46</v>
      </c>
      <c r="R36" s="39" t="s">
        <v>18</v>
      </c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</row>
    <row r="37" ht="15.75" customHeight="1">
      <c r="A37" s="4"/>
      <c r="B37" s="56">
        <v>43036.0</v>
      </c>
      <c r="C37" s="4"/>
      <c r="D37" s="4"/>
      <c r="E37" s="60">
        <v>0.0</v>
      </c>
      <c r="F37" s="57">
        <v>1.74</v>
      </c>
      <c r="G37" s="59">
        <v>0.0</v>
      </c>
      <c r="H37" s="59" t="s">
        <v>36</v>
      </c>
      <c r="I37" s="59" t="s">
        <v>43</v>
      </c>
      <c r="J37" s="59" t="s">
        <v>52</v>
      </c>
      <c r="K37" s="39" t="s">
        <v>35</v>
      </c>
      <c r="L37" s="39" t="s">
        <v>35</v>
      </c>
      <c r="M37" s="39" t="s">
        <v>16</v>
      </c>
      <c r="N37" s="4"/>
      <c r="O37" s="57">
        <v>0.0</v>
      </c>
      <c r="P37" s="57">
        <v>0.0</v>
      </c>
      <c r="Q37" s="59" t="s">
        <v>53</v>
      </c>
      <c r="R37" s="39" t="s">
        <v>18</v>
      </c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</row>
    <row r="38" ht="15.75" customHeight="1">
      <c r="A38" s="4"/>
      <c r="B38" s="56">
        <v>43037.0</v>
      </c>
      <c r="C38" s="4"/>
      <c r="D38" s="4"/>
      <c r="E38" s="57">
        <v>1.74</v>
      </c>
      <c r="F38" s="58">
        <v>0.0</v>
      </c>
      <c r="G38" s="59">
        <v>0.0</v>
      </c>
      <c r="H38" s="59" t="s">
        <v>36</v>
      </c>
      <c r="I38" s="59" t="s">
        <v>41</v>
      </c>
      <c r="J38" s="59" t="s">
        <v>52</v>
      </c>
      <c r="K38" s="39" t="s">
        <v>35</v>
      </c>
      <c r="L38" s="39" t="s">
        <v>35</v>
      </c>
      <c r="M38" s="39" t="s">
        <v>16</v>
      </c>
      <c r="N38" s="4"/>
      <c r="O38" s="57">
        <v>0.0</v>
      </c>
      <c r="P38" s="57">
        <v>0.0</v>
      </c>
      <c r="Q38" s="59" t="s">
        <v>46</v>
      </c>
      <c r="R38" s="39" t="s">
        <v>18</v>
      </c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</row>
    <row r="39" ht="15.75" customHeight="1">
      <c r="A39" s="4"/>
      <c r="B39" s="56">
        <v>43037.0</v>
      </c>
      <c r="C39" s="4"/>
      <c r="D39" s="4"/>
      <c r="E39" s="60">
        <v>0.0</v>
      </c>
      <c r="F39" s="57">
        <v>1.74</v>
      </c>
      <c r="G39" s="59">
        <v>0.0</v>
      </c>
      <c r="H39" s="59" t="s">
        <v>36</v>
      </c>
      <c r="I39" s="59" t="s">
        <v>43</v>
      </c>
      <c r="J39" s="59" t="s">
        <v>52</v>
      </c>
      <c r="K39" s="39" t="s">
        <v>35</v>
      </c>
      <c r="L39" s="39" t="s">
        <v>35</v>
      </c>
      <c r="M39" s="39" t="s">
        <v>16</v>
      </c>
      <c r="N39" s="4"/>
      <c r="O39" s="57">
        <v>0.0</v>
      </c>
      <c r="P39" s="57">
        <v>0.0</v>
      </c>
      <c r="Q39" s="59" t="s">
        <v>53</v>
      </c>
      <c r="R39" s="39" t="s">
        <v>18</v>
      </c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</row>
    <row r="40" ht="15.75" customHeight="1">
      <c r="A40" s="4"/>
      <c r="B40" s="56">
        <v>43037.0</v>
      </c>
      <c r="C40" s="4"/>
      <c r="D40" s="4"/>
      <c r="E40" s="57">
        <v>1.74</v>
      </c>
      <c r="F40" s="58">
        <v>0.0</v>
      </c>
      <c r="G40" s="59">
        <v>0.0</v>
      </c>
      <c r="H40" s="59" t="s">
        <v>36</v>
      </c>
      <c r="I40" s="59" t="s">
        <v>41</v>
      </c>
      <c r="J40" s="59" t="s">
        <v>52</v>
      </c>
      <c r="K40" s="39" t="s">
        <v>35</v>
      </c>
      <c r="L40" s="39" t="s">
        <v>35</v>
      </c>
      <c r="M40" s="39" t="s">
        <v>16</v>
      </c>
      <c r="N40" s="4"/>
      <c r="O40" s="57">
        <v>0.0</v>
      </c>
      <c r="P40" s="57">
        <v>0.0</v>
      </c>
      <c r="Q40" s="59" t="s">
        <v>46</v>
      </c>
      <c r="R40" s="39" t="s">
        <v>18</v>
      </c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</row>
    <row r="41" ht="15.75" customHeight="1">
      <c r="A41" s="4"/>
      <c r="B41" s="56">
        <v>43037.0</v>
      </c>
      <c r="C41" s="4"/>
      <c r="D41" s="4"/>
      <c r="E41" s="60">
        <v>0.0</v>
      </c>
      <c r="F41" s="57">
        <v>1.74</v>
      </c>
      <c r="G41" s="59">
        <v>0.0</v>
      </c>
      <c r="H41" s="59" t="s">
        <v>36</v>
      </c>
      <c r="I41" s="59" t="s">
        <v>43</v>
      </c>
      <c r="J41" s="59" t="s">
        <v>52</v>
      </c>
      <c r="K41" s="39" t="s">
        <v>35</v>
      </c>
      <c r="L41" s="39" t="s">
        <v>35</v>
      </c>
      <c r="M41" s="39" t="s">
        <v>16</v>
      </c>
      <c r="N41" s="4"/>
      <c r="O41" s="57">
        <v>0.0</v>
      </c>
      <c r="P41" s="57">
        <v>0.0</v>
      </c>
      <c r="Q41" s="59" t="s">
        <v>53</v>
      </c>
      <c r="R41" s="39" t="s">
        <v>18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</row>
    <row r="42" ht="15.75" customHeight="1">
      <c r="A42" s="4"/>
      <c r="B42" s="56">
        <v>43038.0</v>
      </c>
      <c r="C42" s="4"/>
      <c r="D42" s="4"/>
      <c r="E42" s="57">
        <v>1.74</v>
      </c>
      <c r="F42" s="58">
        <v>0.0</v>
      </c>
      <c r="G42" s="59">
        <v>0.0</v>
      </c>
      <c r="H42" s="59" t="s">
        <v>36</v>
      </c>
      <c r="I42" s="59" t="s">
        <v>41</v>
      </c>
      <c r="J42" s="59" t="s">
        <v>52</v>
      </c>
      <c r="K42" s="39" t="s">
        <v>35</v>
      </c>
      <c r="L42" s="39" t="s">
        <v>35</v>
      </c>
      <c r="M42" s="39" t="s">
        <v>16</v>
      </c>
      <c r="N42" s="4"/>
      <c r="O42" s="57">
        <v>0.0</v>
      </c>
      <c r="P42" s="57">
        <v>0.0</v>
      </c>
      <c r="Q42" s="59" t="s">
        <v>46</v>
      </c>
      <c r="R42" s="39" t="s">
        <v>18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</row>
    <row r="43" ht="15.75" customHeight="1">
      <c r="A43" s="4"/>
      <c r="B43" s="56">
        <v>43038.0</v>
      </c>
      <c r="C43" s="4"/>
      <c r="D43" s="4"/>
      <c r="E43" s="60">
        <v>0.0</v>
      </c>
      <c r="F43" s="57">
        <v>1.74</v>
      </c>
      <c r="G43" s="59">
        <v>0.0</v>
      </c>
      <c r="H43" s="59" t="s">
        <v>36</v>
      </c>
      <c r="I43" s="59" t="s">
        <v>43</v>
      </c>
      <c r="J43" s="59" t="s">
        <v>52</v>
      </c>
      <c r="K43" s="39" t="s">
        <v>35</v>
      </c>
      <c r="L43" s="39" t="s">
        <v>35</v>
      </c>
      <c r="M43" s="39" t="s">
        <v>16</v>
      </c>
      <c r="N43" s="4"/>
      <c r="O43" s="57">
        <v>0.0</v>
      </c>
      <c r="P43" s="57">
        <v>0.0</v>
      </c>
      <c r="Q43" s="59" t="s">
        <v>53</v>
      </c>
      <c r="R43" s="39" t="s">
        <v>18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</row>
    <row r="44" ht="15.75" customHeight="1">
      <c r="A44" s="4"/>
      <c r="B44" s="56">
        <v>43038.0</v>
      </c>
      <c r="C44" s="4"/>
      <c r="D44" s="4"/>
      <c r="E44" s="57">
        <v>1.74</v>
      </c>
      <c r="F44" s="58">
        <v>0.0</v>
      </c>
      <c r="G44" s="59">
        <v>0.0</v>
      </c>
      <c r="H44" s="59" t="s">
        <v>36</v>
      </c>
      <c r="I44" s="59" t="s">
        <v>41</v>
      </c>
      <c r="J44" s="59" t="s">
        <v>52</v>
      </c>
      <c r="K44" s="39" t="s">
        <v>35</v>
      </c>
      <c r="L44" s="39" t="s">
        <v>35</v>
      </c>
      <c r="M44" s="39" t="s">
        <v>16</v>
      </c>
      <c r="N44" s="4"/>
      <c r="O44" s="57">
        <v>0.0</v>
      </c>
      <c r="P44" s="57">
        <v>0.0</v>
      </c>
      <c r="Q44" s="59" t="s">
        <v>46</v>
      </c>
      <c r="R44" s="39" t="s">
        <v>18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</row>
    <row r="45" ht="15.75" customHeight="1">
      <c r="A45" s="4"/>
      <c r="B45" s="56">
        <v>43038.0</v>
      </c>
      <c r="C45" s="4"/>
      <c r="D45" s="4"/>
      <c r="E45" s="60">
        <v>0.0</v>
      </c>
      <c r="F45" s="57">
        <v>1.74</v>
      </c>
      <c r="G45" s="59">
        <v>0.0</v>
      </c>
      <c r="H45" s="59" t="s">
        <v>36</v>
      </c>
      <c r="I45" s="59" t="s">
        <v>43</v>
      </c>
      <c r="J45" s="59" t="s">
        <v>52</v>
      </c>
      <c r="K45" s="39" t="s">
        <v>35</v>
      </c>
      <c r="L45" s="39" t="s">
        <v>35</v>
      </c>
      <c r="M45" s="39" t="s">
        <v>16</v>
      </c>
      <c r="N45" s="4"/>
      <c r="O45" s="57">
        <v>0.0</v>
      </c>
      <c r="P45" s="57">
        <v>0.0</v>
      </c>
      <c r="Q45" s="59" t="s">
        <v>53</v>
      </c>
      <c r="R45" s="39" t="s">
        <v>18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</row>
    <row r="46" ht="15.75" customHeight="1">
      <c r="A46" s="4"/>
      <c r="B46" s="56">
        <v>43039.0</v>
      </c>
      <c r="C46" s="4"/>
      <c r="D46" s="4"/>
      <c r="E46" s="57">
        <v>1.74</v>
      </c>
      <c r="F46" s="58">
        <v>0.0</v>
      </c>
      <c r="G46" s="59">
        <v>0.0</v>
      </c>
      <c r="H46" s="59" t="s">
        <v>36</v>
      </c>
      <c r="I46" s="59" t="s">
        <v>41</v>
      </c>
      <c r="J46" s="59" t="s">
        <v>52</v>
      </c>
      <c r="K46" s="39" t="s">
        <v>35</v>
      </c>
      <c r="L46" s="39" t="s">
        <v>35</v>
      </c>
      <c r="M46" s="39" t="s">
        <v>16</v>
      </c>
      <c r="N46" s="4"/>
      <c r="O46" s="57">
        <v>0.0</v>
      </c>
      <c r="P46" s="57">
        <v>0.0</v>
      </c>
      <c r="Q46" s="59" t="s">
        <v>46</v>
      </c>
      <c r="R46" s="39" t="s">
        <v>18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</row>
    <row r="47" ht="15.75" customHeight="1">
      <c r="A47" s="4"/>
      <c r="B47" s="56">
        <v>43039.0</v>
      </c>
      <c r="C47" s="4"/>
      <c r="D47" s="4"/>
      <c r="E47" s="60">
        <v>0.0</v>
      </c>
      <c r="F47" s="57">
        <v>1.74</v>
      </c>
      <c r="G47" s="59">
        <v>0.0</v>
      </c>
      <c r="H47" s="59" t="s">
        <v>36</v>
      </c>
      <c r="I47" s="59" t="s">
        <v>43</v>
      </c>
      <c r="J47" s="59" t="s">
        <v>52</v>
      </c>
      <c r="K47" s="39" t="s">
        <v>35</v>
      </c>
      <c r="L47" s="39" t="s">
        <v>35</v>
      </c>
      <c r="M47" s="39" t="s">
        <v>16</v>
      </c>
      <c r="N47" s="4"/>
      <c r="O47" s="57">
        <v>0.0</v>
      </c>
      <c r="P47" s="57">
        <v>0.0</v>
      </c>
      <c r="Q47" s="59" t="s">
        <v>53</v>
      </c>
      <c r="R47" s="39" t="s">
        <v>18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</row>
    <row r="48" ht="15.75" customHeight="1">
      <c r="A48" s="4"/>
      <c r="B48" s="56">
        <v>43039.0</v>
      </c>
      <c r="C48" s="4"/>
      <c r="D48" s="4"/>
      <c r="E48" s="57">
        <v>1.74</v>
      </c>
      <c r="F48" s="58">
        <v>0.0</v>
      </c>
      <c r="G48" s="59">
        <v>0.0</v>
      </c>
      <c r="H48" s="59" t="s">
        <v>36</v>
      </c>
      <c r="I48" s="59" t="s">
        <v>41</v>
      </c>
      <c r="J48" s="59" t="s">
        <v>52</v>
      </c>
      <c r="K48" s="39" t="s">
        <v>35</v>
      </c>
      <c r="L48" s="39" t="s">
        <v>35</v>
      </c>
      <c r="M48" s="39" t="s">
        <v>16</v>
      </c>
      <c r="N48" s="4"/>
      <c r="O48" s="57">
        <v>0.0</v>
      </c>
      <c r="P48" s="57">
        <v>0.0</v>
      </c>
      <c r="Q48" s="59" t="s">
        <v>46</v>
      </c>
      <c r="R48" s="39" t="s">
        <v>18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</row>
    <row r="49" ht="15.75" customHeight="1">
      <c r="A49" s="4"/>
      <c r="B49" s="56">
        <v>43039.0</v>
      </c>
      <c r="C49" s="4"/>
      <c r="D49" s="4"/>
      <c r="E49" s="60">
        <v>0.0</v>
      </c>
      <c r="F49" s="57">
        <v>1.74</v>
      </c>
      <c r="G49" s="59">
        <v>0.0</v>
      </c>
      <c r="H49" s="59" t="s">
        <v>36</v>
      </c>
      <c r="I49" s="59" t="s">
        <v>43</v>
      </c>
      <c r="J49" s="59" t="s">
        <v>52</v>
      </c>
      <c r="K49" s="39" t="s">
        <v>35</v>
      </c>
      <c r="L49" s="39" t="s">
        <v>35</v>
      </c>
      <c r="M49" s="39" t="s">
        <v>16</v>
      </c>
      <c r="N49" s="4"/>
      <c r="O49" s="57">
        <v>0.0</v>
      </c>
      <c r="P49" s="57">
        <v>0.0</v>
      </c>
      <c r="Q49" s="59" t="s">
        <v>53</v>
      </c>
      <c r="R49" s="39" t="s">
        <v>18</v>
      </c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</row>
    <row r="50" ht="15.75" customHeight="1">
      <c r="A50" s="4"/>
      <c r="B50" s="56">
        <v>43040.0</v>
      </c>
      <c r="C50" s="4"/>
      <c r="D50" s="4"/>
      <c r="E50" s="57">
        <v>1.74</v>
      </c>
      <c r="F50" s="58">
        <v>0.0</v>
      </c>
      <c r="G50" s="59">
        <v>0.0</v>
      </c>
      <c r="H50" s="59" t="s">
        <v>36</v>
      </c>
      <c r="I50" s="59" t="s">
        <v>41</v>
      </c>
      <c r="J50" s="59" t="s">
        <v>52</v>
      </c>
      <c r="K50" s="39" t="s">
        <v>35</v>
      </c>
      <c r="L50" s="39" t="s">
        <v>35</v>
      </c>
      <c r="M50" s="39" t="s">
        <v>16</v>
      </c>
      <c r="N50" s="4"/>
      <c r="O50" s="57">
        <v>0.0</v>
      </c>
      <c r="P50" s="57">
        <v>0.0</v>
      </c>
      <c r="Q50" s="59" t="s">
        <v>46</v>
      </c>
      <c r="R50" s="39" t="s">
        <v>18</v>
      </c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</row>
    <row r="51" ht="15.75" customHeight="1">
      <c r="A51" s="4"/>
      <c r="B51" s="56">
        <v>43040.0</v>
      </c>
      <c r="C51" s="4"/>
      <c r="D51" s="4"/>
      <c r="E51" s="60">
        <v>0.0</v>
      </c>
      <c r="F51" s="57">
        <v>1.74</v>
      </c>
      <c r="G51" s="59">
        <v>0.0</v>
      </c>
      <c r="H51" s="59" t="s">
        <v>36</v>
      </c>
      <c r="I51" s="59" t="s">
        <v>43</v>
      </c>
      <c r="J51" s="59" t="s">
        <v>52</v>
      </c>
      <c r="K51" s="39" t="s">
        <v>35</v>
      </c>
      <c r="L51" s="39" t="s">
        <v>35</v>
      </c>
      <c r="M51" s="39" t="s">
        <v>16</v>
      </c>
      <c r="N51" s="4"/>
      <c r="O51" s="57">
        <v>0.0</v>
      </c>
      <c r="P51" s="57">
        <v>0.0</v>
      </c>
      <c r="Q51" s="59" t="s">
        <v>53</v>
      </c>
      <c r="R51" s="39" t="s">
        <v>18</v>
      </c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</row>
    <row r="52" ht="15.75" customHeight="1">
      <c r="A52" s="4"/>
      <c r="B52" s="56">
        <v>43040.0</v>
      </c>
      <c r="C52" s="4"/>
      <c r="D52" s="4"/>
      <c r="E52" s="57">
        <v>1.74</v>
      </c>
      <c r="F52" s="58">
        <v>0.0</v>
      </c>
      <c r="G52" s="59">
        <v>0.0</v>
      </c>
      <c r="H52" s="59" t="s">
        <v>36</v>
      </c>
      <c r="I52" s="59" t="s">
        <v>41</v>
      </c>
      <c r="J52" s="59" t="s">
        <v>52</v>
      </c>
      <c r="K52" s="39" t="s">
        <v>35</v>
      </c>
      <c r="L52" s="39" t="s">
        <v>35</v>
      </c>
      <c r="M52" s="39" t="s">
        <v>16</v>
      </c>
      <c r="N52" s="4"/>
      <c r="O52" s="57">
        <v>0.0</v>
      </c>
      <c r="P52" s="57">
        <v>0.0</v>
      </c>
      <c r="Q52" s="59" t="s">
        <v>46</v>
      </c>
      <c r="R52" s="39" t="s">
        <v>18</v>
      </c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</row>
    <row r="53" ht="15.75" customHeight="1">
      <c r="A53" s="4"/>
      <c r="B53" s="56">
        <v>43040.0</v>
      </c>
      <c r="C53" s="4"/>
      <c r="D53" s="4"/>
      <c r="E53" s="60">
        <v>0.0</v>
      </c>
      <c r="F53" s="57">
        <v>1.74</v>
      </c>
      <c r="G53" s="59">
        <v>0.0</v>
      </c>
      <c r="H53" s="59" t="s">
        <v>36</v>
      </c>
      <c r="I53" s="59" t="s">
        <v>43</v>
      </c>
      <c r="J53" s="59" t="s">
        <v>52</v>
      </c>
      <c r="K53" s="39" t="s">
        <v>35</v>
      </c>
      <c r="L53" s="39" t="s">
        <v>35</v>
      </c>
      <c r="M53" s="39" t="s">
        <v>16</v>
      </c>
      <c r="N53" s="4"/>
      <c r="O53" s="57">
        <v>0.0</v>
      </c>
      <c r="P53" s="57">
        <v>0.0</v>
      </c>
      <c r="Q53" s="59" t="s">
        <v>53</v>
      </c>
      <c r="R53" s="39" t="s">
        <v>18</v>
      </c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</row>
    <row r="54" ht="15.75" customHeight="1">
      <c r="A54" s="4"/>
      <c r="B54" s="56">
        <v>43041.0</v>
      </c>
      <c r="C54" s="4"/>
      <c r="D54" s="4"/>
      <c r="E54" s="57">
        <v>1.74</v>
      </c>
      <c r="F54" s="58">
        <v>0.0</v>
      </c>
      <c r="G54" s="59">
        <v>0.0</v>
      </c>
      <c r="H54" s="59" t="s">
        <v>36</v>
      </c>
      <c r="I54" s="59" t="s">
        <v>41</v>
      </c>
      <c r="J54" s="59" t="s">
        <v>52</v>
      </c>
      <c r="K54" s="39" t="s">
        <v>35</v>
      </c>
      <c r="L54" s="39" t="s">
        <v>35</v>
      </c>
      <c r="M54" s="39" t="s">
        <v>16</v>
      </c>
      <c r="N54" s="4"/>
      <c r="O54" s="57">
        <v>0.0</v>
      </c>
      <c r="P54" s="57">
        <v>0.0</v>
      </c>
      <c r="Q54" s="59" t="s">
        <v>46</v>
      </c>
      <c r="R54" s="39" t="s">
        <v>18</v>
      </c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</row>
    <row r="55" ht="15.75" customHeight="1">
      <c r="A55" s="4"/>
      <c r="B55" s="56">
        <v>43041.0</v>
      </c>
      <c r="C55" s="4"/>
      <c r="D55" s="4"/>
      <c r="E55" s="60">
        <v>0.0</v>
      </c>
      <c r="F55" s="57">
        <v>1.74</v>
      </c>
      <c r="G55" s="59">
        <v>0.0</v>
      </c>
      <c r="H55" s="59" t="s">
        <v>36</v>
      </c>
      <c r="I55" s="59" t="s">
        <v>43</v>
      </c>
      <c r="J55" s="59" t="s">
        <v>52</v>
      </c>
      <c r="K55" s="39" t="s">
        <v>35</v>
      </c>
      <c r="L55" s="39" t="s">
        <v>35</v>
      </c>
      <c r="M55" s="39" t="s">
        <v>16</v>
      </c>
      <c r="N55" s="4"/>
      <c r="O55" s="57">
        <v>0.0</v>
      </c>
      <c r="P55" s="57">
        <v>0.0</v>
      </c>
      <c r="Q55" s="59" t="s">
        <v>53</v>
      </c>
      <c r="R55" s="39" t="s">
        <v>18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</row>
    <row r="56" ht="15.75" customHeight="1">
      <c r="A56" s="4"/>
      <c r="B56" s="56">
        <v>43041.0</v>
      </c>
      <c r="C56" s="4"/>
      <c r="D56" s="4"/>
      <c r="E56" s="57">
        <v>1.74</v>
      </c>
      <c r="F56" s="58">
        <v>0.0</v>
      </c>
      <c r="G56" s="59">
        <v>0.0</v>
      </c>
      <c r="H56" s="59" t="s">
        <v>36</v>
      </c>
      <c r="I56" s="59" t="s">
        <v>41</v>
      </c>
      <c r="J56" s="59" t="s">
        <v>52</v>
      </c>
      <c r="K56" s="39" t="s">
        <v>35</v>
      </c>
      <c r="L56" s="39" t="s">
        <v>35</v>
      </c>
      <c r="M56" s="39" t="s">
        <v>16</v>
      </c>
      <c r="N56" s="4"/>
      <c r="O56" s="57">
        <v>0.0</v>
      </c>
      <c r="P56" s="57">
        <v>0.0</v>
      </c>
      <c r="Q56" s="59" t="s">
        <v>46</v>
      </c>
      <c r="R56" s="39" t="s">
        <v>18</v>
      </c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</row>
    <row r="57" ht="15.75" customHeight="1">
      <c r="A57" s="4"/>
      <c r="B57" s="56">
        <v>43041.0</v>
      </c>
      <c r="C57" s="4"/>
      <c r="D57" s="4"/>
      <c r="E57" s="60">
        <v>0.0</v>
      </c>
      <c r="F57" s="57">
        <v>1.74</v>
      </c>
      <c r="G57" s="59">
        <v>0.0</v>
      </c>
      <c r="H57" s="59" t="s">
        <v>36</v>
      </c>
      <c r="I57" s="59" t="s">
        <v>43</v>
      </c>
      <c r="J57" s="59" t="s">
        <v>52</v>
      </c>
      <c r="K57" s="39" t="s">
        <v>35</v>
      </c>
      <c r="L57" s="39" t="s">
        <v>35</v>
      </c>
      <c r="M57" s="39" t="s">
        <v>16</v>
      </c>
      <c r="N57" s="4"/>
      <c r="O57" s="57">
        <v>0.0</v>
      </c>
      <c r="P57" s="57">
        <v>0.0</v>
      </c>
      <c r="Q57" s="59" t="s">
        <v>53</v>
      </c>
      <c r="R57" s="39" t="s">
        <v>18</v>
      </c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</row>
    <row r="58" ht="15.75" customHeight="1">
      <c r="A58" s="4"/>
      <c r="B58" s="56">
        <v>43042.0</v>
      </c>
      <c r="C58" s="4"/>
      <c r="D58" s="4"/>
      <c r="E58" s="57">
        <v>1.74</v>
      </c>
      <c r="F58" s="58">
        <v>0.0</v>
      </c>
      <c r="G58" s="59">
        <v>0.0</v>
      </c>
      <c r="H58" s="59" t="s">
        <v>36</v>
      </c>
      <c r="I58" s="59" t="s">
        <v>41</v>
      </c>
      <c r="J58" s="59" t="s">
        <v>52</v>
      </c>
      <c r="K58" s="39" t="s">
        <v>35</v>
      </c>
      <c r="L58" s="39" t="s">
        <v>35</v>
      </c>
      <c r="M58" s="39" t="s">
        <v>16</v>
      </c>
      <c r="N58" s="4"/>
      <c r="O58" s="57">
        <v>0.0</v>
      </c>
      <c r="P58" s="57">
        <v>0.0</v>
      </c>
      <c r="Q58" s="59" t="s">
        <v>46</v>
      </c>
      <c r="R58" s="39" t="s">
        <v>18</v>
      </c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</row>
    <row r="59" ht="15.75" customHeight="1">
      <c r="A59" s="4"/>
      <c r="B59" s="56">
        <v>43042.0</v>
      </c>
      <c r="C59" s="4"/>
      <c r="D59" s="4"/>
      <c r="E59" s="60">
        <v>0.0</v>
      </c>
      <c r="F59" s="57">
        <v>1.74</v>
      </c>
      <c r="G59" s="59">
        <v>0.0</v>
      </c>
      <c r="H59" s="59" t="s">
        <v>36</v>
      </c>
      <c r="I59" s="59" t="s">
        <v>43</v>
      </c>
      <c r="J59" s="59" t="s">
        <v>52</v>
      </c>
      <c r="K59" s="39" t="s">
        <v>35</v>
      </c>
      <c r="L59" s="39" t="s">
        <v>35</v>
      </c>
      <c r="M59" s="39" t="s">
        <v>16</v>
      </c>
      <c r="N59" s="4"/>
      <c r="O59" s="57">
        <v>0.0</v>
      </c>
      <c r="P59" s="57">
        <v>0.0</v>
      </c>
      <c r="Q59" s="59" t="s">
        <v>53</v>
      </c>
      <c r="R59" s="39" t="s">
        <v>18</v>
      </c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</row>
    <row r="60" ht="15.75" customHeight="1">
      <c r="A60" s="4"/>
      <c r="B60" s="56">
        <v>43042.0</v>
      </c>
      <c r="C60" s="4"/>
      <c r="D60" s="4"/>
      <c r="E60" s="57">
        <v>1.74</v>
      </c>
      <c r="F60" s="58">
        <v>0.0</v>
      </c>
      <c r="G60" s="59">
        <v>0.0</v>
      </c>
      <c r="H60" s="59" t="s">
        <v>36</v>
      </c>
      <c r="I60" s="59" t="s">
        <v>41</v>
      </c>
      <c r="J60" s="59" t="s">
        <v>52</v>
      </c>
      <c r="K60" s="39" t="s">
        <v>35</v>
      </c>
      <c r="L60" s="39" t="s">
        <v>35</v>
      </c>
      <c r="M60" s="39" t="s">
        <v>16</v>
      </c>
      <c r="N60" s="4"/>
      <c r="O60" s="57">
        <v>0.0</v>
      </c>
      <c r="P60" s="57">
        <v>0.0</v>
      </c>
      <c r="Q60" s="59" t="s">
        <v>46</v>
      </c>
      <c r="R60" s="39" t="s">
        <v>18</v>
      </c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</row>
    <row r="61" ht="15.75" customHeight="1">
      <c r="A61" s="4"/>
      <c r="B61" s="56">
        <v>43042.0</v>
      </c>
      <c r="C61" s="4"/>
      <c r="D61" s="4"/>
      <c r="E61" s="60">
        <v>0.0</v>
      </c>
      <c r="F61" s="57">
        <v>1.74</v>
      </c>
      <c r="G61" s="59">
        <v>0.0</v>
      </c>
      <c r="H61" s="59" t="s">
        <v>36</v>
      </c>
      <c r="I61" s="59" t="s">
        <v>43</v>
      </c>
      <c r="J61" s="59" t="s">
        <v>52</v>
      </c>
      <c r="K61" s="39" t="s">
        <v>35</v>
      </c>
      <c r="L61" s="39" t="s">
        <v>35</v>
      </c>
      <c r="M61" s="39" t="s">
        <v>16</v>
      </c>
      <c r="N61" s="4"/>
      <c r="O61" s="57">
        <v>0.0</v>
      </c>
      <c r="P61" s="57">
        <v>0.0</v>
      </c>
      <c r="Q61" s="59" t="s">
        <v>53</v>
      </c>
      <c r="R61" s="39" t="s">
        <v>18</v>
      </c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</row>
    <row r="62" ht="15.75" customHeight="1">
      <c r="A62" s="4"/>
      <c r="B62" s="56">
        <v>43043.0</v>
      </c>
      <c r="C62" s="4"/>
      <c r="D62" s="4"/>
      <c r="E62" s="57">
        <v>1.74</v>
      </c>
      <c r="F62" s="58">
        <v>0.0</v>
      </c>
      <c r="G62" s="59">
        <v>0.0</v>
      </c>
      <c r="H62" s="59" t="s">
        <v>36</v>
      </c>
      <c r="I62" s="59" t="s">
        <v>41</v>
      </c>
      <c r="J62" s="59" t="s">
        <v>52</v>
      </c>
      <c r="K62" s="39" t="s">
        <v>35</v>
      </c>
      <c r="L62" s="39" t="s">
        <v>35</v>
      </c>
      <c r="M62" s="39" t="s">
        <v>16</v>
      </c>
      <c r="N62" s="4"/>
      <c r="O62" s="57">
        <v>0.0</v>
      </c>
      <c r="P62" s="57">
        <v>0.0</v>
      </c>
      <c r="Q62" s="59" t="s">
        <v>46</v>
      </c>
      <c r="R62" s="39" t="s">
        <v>18</v>
      </c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</row>
    <row r="63" ht="15.75" customHeight="1">
      <c r="A63" s="4"/>
      <c r="B63" s="56">
        <v>43043.0</v>
      </c>
      <c r="C63" s="4"/>
      <c r="D63" s="4"/>
      <c r="E63" s="60">
        <v>0.0</v>
      </c>
      <c r="F63" s="57">
        <v>1.74</v>
      </c>
      <c r="G63" s="59">
        <v>0.0</v>
      </c>
      <c r="H63" s="59" t="s">
        <v>36</v>
      </c>
      <c r="I63" s="59" t="s">
        <v>43</v>
      </c>
      <c r="J63" s="59" t="s">
        <v>52</v>
      </c>
      <c r="K63" s="39" t="s">
        <v>35</v>
      </c>
      <c r="L63" s="39" t="s">
        <v>35</v>
      </c>
      <c r="M63" s="39" t="s">
        <v>16</v>
      </c>
      <c r="N63" s="4"/>
      <c r="O63" s="57">
        <v>0.0</v>
      </c>
      <c r="P63" s="57">
        <v>0.0</v>
      </c>
      <c r="Q63" s="59" t="s">
        <v>53</v>
      </c>
      <c r="R63" s="39" t="s">
        <v>18</v>
      </c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</row>
    <row r="64" ht="15.75" customHeight="1">
      <c r="A64" s="4"/>
      <c r="B64" s="56">
        <v>43043.0</v>
      </c>
      <c r="C64" s="4"/>
      <c r="D64" s="4"/>
      <c r="E64" s="57">
        <v>1.74</v>
      </c>
      <c r="F64" s="58">
        <v>0.0</v>
      </c>
      <c r="G64" s="59">
        <v>0.0</v>
      </c>
      <c r="H64" s="59" t="s">
        <v>36</v>
      </c>
      <c r="I64" s="59" t="s">
        <v>41</v>
      </c>
      <c r="J64" s="59" t="s">
        <v>52</v>
      </c>
      <c r="K64" s="39" t="s">
        <v>35</v>
      </c>
      <c r="L64" s="39" t="s">
        <v>35</v>
      </c>
      <c r="M64" s="39" t="s">
        <v>16</v>
      </c>
      <c r="N64" s="4"/>
      <c r="O64" s="57">
        <v>0.0</v>
      </c>
      <c r="P64" s="57">
        <v>0.0</v>
      </c>
      <c r="Q64" s="59" t="s">
        <v>46</v>
      </c>
      <c r="R64" s="39" t="s">
        <v>18</v>
      </c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</row>
    <row r="65" ht="15.75" customHeight="1">
      <c r="A65" s="4"/>
      <c r="B65" s="56">
        <v>43043.0</v>
      </c>
      <c r="C65" s="4"/>
      <c r="D65" s="4"/>
      <c r="E65" s="60">
        <v>0.0</v>
      </c>
      <c r="F65" s="57">
        <v>1.74</v>
      </c>
      <c r="G65" s="59">
        <v>0.0</v>
      </c>
      <c r="H65" s="59" t="s">
        <v>36</v>
      </c>
      <c r="I65" s="59" t="s">
        <v>43</v>
      </c>
      <c r="J65" s="59" t="s">
        <v>52</v>
      </c>
      <c r="K65" s="39" t="s">
        <v>35</v>
      </c>
      <c r="L65" s="39" t="s">
        <v>35</v>
      </c>
      <c r="M65" s="39" t="s">
        <v>16</v>
      </c>
      <c r="N65" s="4"/>
      <c r="O65" s="57">
        <v>0.0</v>
      </c>
      <c r="P65" s="57">
        <v>0.0</v>
      </c>
      <c r="Q65" s="59" t="s">
        <v>53</v>
      </c>
      <c r="R65" s="39" t="s">
        <v>18</v>
      </c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</row>
    <row r="66" ht="15.75" customHeight="1">
      <c r="A66" s="4"/>
      <c r="B66" s="56">
        <v>43044.0</v>
      </c>
      <c r="C66" s="4"/>
      <c r="D66" s="4"/>
      <c r="E66" s="57">
        <v>1.74</v>
      </c>
      <c r="F66" s="58">
        <v>0.0</v>
      </c>
      <c r="G66" s="59">
        <v>0.0</v>
      </c>
      <c r="H66" s="59" t="s">
        <v>36</v>
      </c>
      <c r="I66" s="59" t="s">
        <v>41</v>
      </c>
      <c r="J66" s="59" t="s">
        <v>52</v>
      </c>
      <c r="K66" s="39" t="s">
        <v>35</v>
      </c>
      <c r="L66" s="39" t="s">
        <v>35</v>
      </c>
      <c r="M66" s="39" t="s">
        <v>16</v>
      </c>
      <c r="N66" s="4"/>
      <c r="O66" s="57">
        <v>0.0</v>
      </c>
      <c r="P66" s="57">
        <v>0.0</v>
      </c>
      <c r="Q66" s="59" t="s">
        <v>46</v>
      </c>
      <c r="R66" s="39" t="s">
        <v>18</v>
      </c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</row>
    <row r="67" ht="15.75" customHeight="1">
      <c r="A67" s="4"/>
      <c r="B67" s="56">
        <v>43044.0</v>
      </c>
      <c r="C67" s="4"/>
      <c r="D67" s="4"/>
      <c r="E67" s="60">
        <v>0.0</v>
      </c>
      <c r="F67" s="57">
        <v>1.74</v>
      </c>
      <c r="G67" s="59">
        <v>0.0</v>
      </c>
      <c r="H67" s="59" t="s">
        <v>36</v>
      </c>
      <c r="I67" s="59" t="s">
        <v>43</v>
      </c>
      <c r="J67" s="59" t="s">
        <v>52</v>
      </c>
      <c r="K67" s="39" t="s">
        <v>35</v>
      </c>
      <c r="L67" s="39" t="s">
        <v>35</v>
      </c>
      <c r="M67" s="39" t="s">
        <v>16</v>
      </c>
      <c r="N67" s="4"/>
      <c r="O67" s="57">
        <v>0.0</v>
      </c>
      <c r="P67" s="57">
        <v>0.0</v>
      </c>
      <c r="Q67" s="59" t="s">
        <v>53</v>
      </c>
      <c r="R67" s="39" t="s">
        <v>18</v>
      </c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</row>
    <row r="68" ht="15.75" customHeight="1">
      <c r="A68" s="4"/>
      <c r="B68" s="56">
        <v>43044.0</v>
      </c>
      <c r="C68" s="4"/>
      <c r="D68" s="4"/>
      <c r="E68" s="57">
        <v>1.74</v>
      </c>
      <c r="F68" s="58">
        <v>0.0</v>
      </c>
      <c r="G68" s="59">
        <v>0.0</v>
      </c>
      <c r="H68" s="59" t="s">
        <v>36</v>
      </c>
      <c r="I68" s="59" t="s">
        <v>41</v>
      </c>
      <c r="J68" s="59" t="s">
        <v>52</v>
      </c>
      <c r="K68" s="39" t="s">
        <v>35</v>
      </c>
      <c r="L68" s="39" t="s">
        <v>35</v>
      </c>
      <c r="M68" s="39" t="s">
        <v>16</v>
      </c>
      <c r="N68" s="4"/>
      <c r="O68" s="57">
        <v>0.0</v>
      </c>
      <c r="P68" s="57">
        <v>0.0</v>
      </c>
      <c r="Q68" s="59" t="s">
        <v>46</v>
      </c>
      <c r="R68" s="39" t="s">
        <v>18</v>
      </c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</row>
    <row r="69" ht="15.75" customHeight="1">
      <c r="A69" s="4"/>
      <c r="B69" s="56">
        <v>43044.0</v>
      </c>
      <c r="C69" s="4"/>
      <c r="D69" s="4"/>
      <c r="E69" s="60">
        <v>0.0</v>
      </c>
      <c r="F69" s="57">
        <v>1.74</v>
      </c>
      <c r="G69" s="59">
        <v>0.0</v>
      </c>
      <c r="H69" s="59" t="s">
        <v>36</v>
      </c>
      <c r="I69" s="59" t="s">
        <v>43</v>
      </c>
      <c r="J69" s="59" t="s">
        <v>52</v>
      </c>
      <c r="K69" s="39" t="s">
        <v>35</v>
      </c>
      <c r="L69" s="39" t="s">
        <v>35</v>
      </c>
      <c r="M69" s="39" t="s">
        <v>16</v>
      </c>
      <c r="N69" s="4"/>
      <c r="O69" s="57">
        <v>0.0</v>
      </c>
      <c r="P69" s="57">
        <v>0.0</v>
      </c>
      <c r="Q69" s="59" t="s">
        <v>53</v>
      </c>
      <c r="R69" s="39" t="s">
        <v>18</v>
      </c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</row>
    <row r="70" ht="15.75" customHeight="1">
      <c r="A70" s="4"/>
      <c r="B70" s="56">
        <v>43045.0</v>
      </c>
      <c r="C70" s="4"/>
      <c r="D70" s="4"/>
      <c r="E70" s="57">
        <v>1.74</v>
      </c>
      <c r="F70" s="58">
        <v>0.0</v>
      </c>
      <c r="G70" s="59">
        <v>0.0</v>
      </c>
      <c r="H70" s="59" t="s">
        <v>36</v>
      </c>
      <c r="I70" s="59" t="s">
        <v>41</v>
      </c>
      <c r="J70" s="59" t="s">
        <v>52</v>
      </c>
      <c r="K70" s="39" t="s">
        <v>35</v>
      </c>
      <c r="L70" s="39" t="s">
        <v>35</v>
      </c>
      <c r="M70" s="39" t="s">
        <v>16</v>
      </c>
      <c r="N70" s="4"/>
      <c r="O70" s="57">
        <v>0.0</v>
      </c>
      <c r="P70" s="57">
        <v>0.0</v>
      </c>
      <c r="Q70" s="59" t="s">
        <v>46</v>
      </c>
      <c r="R70" s="39" t="s">
        <v>18</v>
      </c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</row>
    <row r="71" ht="15.75" customHeight="1">
      <c r="A71" s="4"/>
      <c r="B71" s="56">
        <v>43045.0</v>
      </c>
      <c r="C71" s="4"/>
      <c r="D71" s="4"/>
      <c r="E71" s="60">
        <v>0.0</v>
      </c>
      <c r="F71" s="57">
        <v>1.74</v>
      </c>
      <c r="G71" s="59">
        <v>0.0</v>
      </c>
      <c r="H71" s="59" t="s">
        <v>36</v>
      </c>
      <c r="I71" s="59" t="s">
        <v>43</v>
      </c>
      <c r="J71" s="59" t="s">
        <v>52</v>
      </c>
      <c r="K71" s="39" t="s">
        <v>35</v>
      </c>
      <c r="L71" s="39" t="s">
        <v>35</v>
      </c>
      <c r="M71" s="39" t="s">
        <v>16</v>
      </c>
      <c r="N71" s="4"/>
      <c r="O71" s="57">
        <v>0.0</v>
      </c>
      <c r="P71" s="57">
        <v>0.0</v>
      </c>
      <c r="Q71" s="59" t="s">
        <v>53</v>
      </c>
      <c r="R71" s="39" t="s">
        <v>18</v>
      </c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</row>
    <row r="72" ht="15.75" customHeight="1">
      <c r="A72" s="4"/>
      <c r="B72" s="56">
        <v>43045.0</v>
      </c>
      <c r="C72" s="4"/>
      <c r="D72" s="4"/>
      <c r="E72" s="57">
        <v>1.74</v>
      </c>
      <c r="F72" s="58">
        <v>0.0</v>
      </c>
      <c r="G72" s="59">
        <v>0.0</v>
      </c>
      <c r="H72" s="59" t="s">
        <v>36</v>
      </c>
      <c r="I72" s="59" t="s">
        <v>41</v>
      </c>
      <c r="J72" s="59" t="s">
        <v>52</v>
      </c>
      <c r="K72" s="39" t="s">
        <v>35</v>
      </c>
      <c r="L72" s="39" t="s">
        <v>35</v>
      </c>
      <c r="M72" s="39" t="s">
        <v>16</v>
      </c>
      <c r="N72" s="4"/>
      <c r="O72" s="57">
        <v>0.0</v>
      </c>
      <c r="P72" s="57">
        <v>0.0</v>
      </c>
      <c r="Q72" s="59" t="s">
        <v>46</v>
      </c>
      <c r="R72" s="39" t="s">
        <v>18</v>
      </c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</row>
    <row r="73" ht="15.75" customHeight="1">
      <c r="A73" s="4"/>
      <c r="B73" s="56">
        <v>43045.0</v>
      </c>
      <c r="C73" s="4"/>
      <c r="D73" s="4"/>
      <c r="E73" s="60">
        <v>0.0</v>
      </c>
      <c r="F73" s="57">
        <v>1.74</v>
      </c>
      <c r="G73" s="59">
        <v>0.0</v>
      </c>
      <c r="H73" s="59" t="s">
        <v>36</v>
      </c>
      <c r="I73" s="59" t="s">
        <v>43</v>
      </c>
      <c r="J73" s="59" t="s">
        <v>52</v>
      </c>
      <c r="K73" s="39" t="s">
        <v>35</v>
      </c>
      <c r="L73" s="39" t="s">
        <v>35</v>
      </c>
      <c r="M73" s="39" t="s">
        <v>16</v>
      </c>
      <c r="N73" s="4"/>
      <c r="O73" s="57">
        <v>0.0</v>
      </c>
      <c r="P73" s="57">
        <v>0.0</v>
      </c>
      <c r="Q73" s="59" t="s">
        <v>53</v>
      </c>
      <c r="R73" s="39" t="s">
        <v>18</v>
      </c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</row>
    <row r="74" ht="15.75" customHeight="1">
      <c r="A74" s="4"/>
      <c r="B74" s="56">
        <v>43046.0</v>
      </c>
      <c r="C74" s="4"/>
      <c r="D74" s="4"/>
      <c r="E74" s="57">
        <v>1.74</v>
      </c>
      <c r="F74" s="58">
        <v>0.0</v>
      </c>
      <c r="G74" s="59">
        <v>0.0</v>
      </c>
      <c r="H74" s="59" t="s">
        <v>36</v>
      </c>
      <c r="I74" s="59" t="s">
        <v>41</v>
      </c>
      <c r="J74" s="59" t="s">
        <v>52</v>
      </c>
      <c r="K74" s="39" t="s">
        <v>35</v>
      </c>
      <c r="L74" s="39" t="s">
        <v>35</v>
      </c>
      <c r="M74" s="39" t="s">
        <v>16</v>
      </c>
      <c r="N74" s="4"/>
      <c r="O74" s="57">
        <v>0.0</v>
      </c>
      <c r="P74" s="57">
        <v>0.0</v>
      </c>
      <c r="Q74" s="59" t="s">
        <v>46</v>
      </c>
      <c r="R74" s="39" t="s">
        <v>18</v>
      </c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</row>
    <row r="75" ht="15.75" customHeight="1">
      <c r="A75" s="4"/>
      <c r="B75" s="56">
        <v>43046.0</v>
      </c>
      <c r="C75" s="4"/>
      <c r="D75" s="4"/>
      <c r="E75" s="60">
        <v>0.0</v>
      </c>
      <c r="F75" s="57">
        <v>1.74</v>
      </c>
      <c r="G75" s="59">
        <v>0.0</v>
      </c>
      <c r="H75" s="59" t="s">
        <v>36</v>
      </c>
      <c r="I75" s="59" t="s">
        <v>43</v>
      </c>
      <c r="J75" s="59" t="s">
        <v>52</v>
      </c>
      <c r="K75" s="39" t="s">
        <v>35</v>
      </c>
      <c r="L75" s="39" t="s">
        <v>35</v>
      </c>
      <c r="M75" s="39" t="s">
        <v>16</v>
      </c>
      <c r="N75" s="4"/>
      <c r="O75" s="57">
        <v>0.0</v>
      </c>
      <c r="P75" s="57">
        <v>0.0</v>
      </c>
      <c r="Q75" s="59" t="s">
        <v>53</v>
      </c>
      <c r="R75" s="39" t="s">
        <v>18</v>
      </c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</row>
    <row r="76" ht="15.75" customHeight="1">
      <c r="A76" s="4"/>
      <c r="B76" s="56">
        <v>43046.0</v>
      </c>
      <c r="C76" s="4"/>
      <c r="D76" s="4"/>
      <c r="E76" s="57">
        <v>1.74</v>
      </c>
      <c r="F76" s="58">
        <v>0.0</v>
      </c>
      <c r="G76" s="59">
        <v>0.0</v>
      </c>
      <c r="H76" s="59" t="s">
        <v>36</v>
      </c>
      <c r="I76" s="59" t="s">
        <v>41</v>
      </c>
      <c r="J76" s="59" t="s">
        <v>52</v>
      </c>
      <c r="K76" s="39" t="s">
        <v>35</v>
      </c>
      <c r="L76" s="39" t="s">
        <v>35</v>
      </c>
      <c r="M76" s="39" t="s">
        <v>16</v>
      </c>
      <c r="N76" s="4"/>
      <c r="O76" s="57">
        <v>0.0</v>
      </c>
      <c r="P76" s="57">
        <v>0.0</v>
      </c>
      <c r="Q76" s="59" t="s">
        <v>46</v>
      </c>
      <c r="R76" s="39" t="s">
        <v>18</v>
      </c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</row>
    <row r="77" ht="15.75" customHeight="1">
      <c r="A77" s="4"/>
      <c r="B77" s="56">
        <v>43046.0</v>
      </c>
      <c r="C77" s="4"/>
      <c r="D77" s="4"/>
      <c r="E77" s="60">
        <v>0.0</v>
      </c>
      <c r="F77" s="57">
        <v>1.74</v>
      </c>
      <c r="G77" s="59">
        <v>0.0</v>
      </c>
      <c r="H77" s="59" t="s">
        <v>36</v>
      </c>
      <c r="I77" s="59" t="s">
        <v>43</v>
      </c>
      <c r="J77" s="59" t="s">
        <v>52</v>
      </c>
      <c r="K77" s="39" t="s">
        <v>35</v>
      </c>
      <c r="L77" s="39" t="s">
        <v>35</v>
      </c>
      <c r="M77" s="39" t="s">
        <v>16</v>
      </c>
      <c r="N77" s="4"/>
      <c r="O77" s="57">
        <v>0.0</v>
      </c>
      <c r="P77" s="57">
        <v>0.0</v>
      </c>
      <c r="Q77" s="59" t="s">
        <v>53</v>
      </c>
      <c r="R77" s="39" t="s">
        <v>18</v>
      </c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</row>
    <row r="78" ht="15.75" customHeight="1">
      <c r="A78" s="4"/>
      <c r="B78" s="56">
        <v>43047.0</v>
      </c>
      <c r="C78" s="4"/>
      <c r="D78" s="4"/>
      <c r="E78" s="57">
        <v>1.74</v>
      </c>
      <c r="F78" s="58">
        <v>0.0</v>
      </c>
      <c r="G78" s="59">
        <v>0.0</v>
      </c>
      <c r="H78" s="59" t="s">
        <v>36</v>
      </c>
      <c r="I78" s="59" t="s">
        <v>41</v>
      </c>
      <c r="J78" s="59" t="s">
        <v>52</v>
      </c>
      <c r="K78" s="39" t="s">
        <v>35</v>
      </c>
      <c r="L78" s="39" t="s">
        <v>35</v>
      </c>
      <c r="M78" s="39" t="s">
        <v>16</v>
      </c>
      <c r="N78" s="4"/>
      <c r="O78" s="57">
        <v>0.0</v>
      </c>
      <c r="P78" s="57">
        <v>0.0</v>
      </c>
      <c r="Q78" s="59" t="s">
        <v>46</v>
      </c>
      <c r="R78" s="39" t="s">
        <v>18</v>
      </c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</row>
    <row r="79" ht="15.75" customHeight="1">
      <c r="A79" s="4"/>
      <c r="B79" s="56">
        <v>43047.0</v>
      </c>
      <c r="C79" s="4"/>
      <c r="D79" s="4"/>
      <c r="E79" s="60">
        <v>0.0</v>
      </c>
      <c r="F79" s="57">
        <v>1.74</v>
      </c>
      <c r="G79" s="59">
        <v>0.0</v>
      </c>
      <c r="H79" s="59" t="s">
        <v>36</v>
      </c>
      <c r="I79" s="59" t="s">
        <v>43</v>
      </c>
      <c r="J79" s="59" t="s">
        <v>52</v>
      </c>
      <c r="K79" s="39" t="s">
        <v>35</v>
      </c>
      <c r="L79" s="39" t="s">
        <v>35</v>
      </c>
      <c r="M79" s="39" t="s">
        <v>16</v>
      </c>
      <c r="N79" s="4"/>
      <c r="O79" s="57">
        <v>0.0</v>
      </c>
      <c r="P79" s="57">
        <v>0.0</v>
      </c>
      <c r="Q79" s="59" t="s">
        <v>53</v>
      </c>
      <c r="R79" s="39" t="s">
        <v>18</v>
      </c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</row>
    <row r="80" ht="15.75" customHeight="1">
      <c r="A80" s="4"/>
      <c r="B80" s="56">
        <v>43047.0</v>
      </c>
      <c r="C80" s="4"/>
      <c r="D80" s="4"/>
      <c r="E80" s="57">
        <v>159.72</v>
      </c>
      <c r="F80" s="58">
        <v>0.0</v>
      </c>
      <c r="G80" s="59">
        <v>0.0</v>
      </c>
      <c r="H80" s="59" t="s">
        <v>36</v>
      </c>
      <c r="I80" s="59" t="s">
        <v>41</v>
      </c>
      <c r="J80" s="59" t="s">
        <v>52</v>
      </c>
      <c r="K80" s="39" t="s">
        <v>35</v>
      </c>
      <c r="L80" s="39" t="s">
        <v>35</v>
      </c>
      <c r="M80" s="39" t="s">
        <v>16</v>
      </c>
      <c r="N80" s="4"/>
      <c r="O80" s="57">
        <v>0.0</v>
      </c>
      <c r="P80" s="57">
        <v>0.0</v>
      </c>
      <c r="Q80" s="59" t="s">
        <v>46</v>
      </c>
      <c r="R80" s="39" t="s">
        <v>18</v>
      </c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</row>
    <row r="81" ht="15.75" customHeight="1">
      <c r="A81" s="4"/>
      <c r="B81" s="56">
        <v>43047.0</v>
      </c>
      <c r="C81" s="4"/>
      <c r="D81" s="4"/>
      <c r="E81" s="60">
        <v>0.0</v>
      </c>
      <c r="F81" s="57">
        <v>159.72</v>
      </c>
      <c r="G81" s="59">
        <v>0.0</v>
      </c>
      <c r="H81" s="59" t="s">
        <v>36</v>
      </c>
      <c r="I81" s="59" t="s">
        <v>43</v>
      </c>
      <c r="J81" s="59" t="s">
        <v>52</v>
      </c>
      <c r="K81" s="39" t="s">
        <v>35</v>
      </c>
      <c r="L81" s="39" t="s">
        <v>35</v>
      </c>
      <c r="M81" s="39" t="s">
        <v>16</v>
      </c>
      <c r="N81" s="4"/>
      <c r="O81" s="57">
        <v>0.0</v>
      </c>
      <c r="P81" s="57">
        <v>0.0</v>
      </c>
      <c r="Q81" s="59" t="s">
        <v>44</v>
      </c>
      <c r="R81" s="39" t="s">
        <v>18</v>
      </c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</row>
    <row r="82" ht="15.75" customHeight="1">
      <c r="A82" s="4"/>
      <c r="B82" s="56">
        <v>43047.0</v>
      </c>
      <c r="C82" s="4"/>
      <c r="D82" s="4"/>
      <c r="E82" s="57">
        <v>1.74</v>
      </c>
      <c r="F82" s="58">
        <v>0.0</v>
      </c>
      <c r="G82" s="59">
        <v>0.0</v>
      </c>
      <c r="H82" s="59" t="s">
        <v>36</v>
      </c>
      <c r="I82" s="59" t="s">
        <v>41</v>
      </c>
      <c r="J82" s="59" t="s">
        <v>52</v>
      </c>
      <c r="K82" s="39" t="s">
        <v>35</v>
      </c>
      <c r="L82" s="39" t="s">
        <v>35</v>
      </c>
      <c r="M82" s="39" t="s">
        <v>16</v>
      </c>
      <c r="N82" s="4"/>
      <c r="O82" s="57">
        <v>0.0</v>
      </c>
      <c r="P82" s="57">
        <v>0.0</v>
      </c>
      <c r="Q82" s="59" t="s">
        <v>46</v>
      </c>
      <c r="R82" s="39" t="s">
        <v>18</v>
      </c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</row>
    <row r="83" ht="15.75" customHeight="1">
      <c r="A83" s="4"/>
      <c r="B83" s="56">
        <v>43047.0</v>
      </c>
      <c r="C83" s="4"/>
      <c r="D83" s="4"/>
      <c r="E83" s="60">
        <v>0.0</v>
      </c>
      <c r="F83" s="57">
        <v>1.74</v>
      </c>
      <c r="G83" s="59">
        <v>0.0</v>
      </c>
      <c r="H83" s="59" t="s">
        <v>36</v>
      </c>
      <c r="I83" s="59" t="s">
        <v>43</v>
      </c>
      <c r="J83" s="59" t="s">
        <v>52</v>
      </c>
      <c r="K83" s="39" t="s">
        <v>35</v>
      </c>
      <c r="L83" s="39" t="s">
        <v>35</v>
      </c>
      <c r="M83" s="39" t="s">
        <v>16</v>
      </c>
      <c r="N83" s="4"/>
      <c r="O83" s="57">
        <v>0.0</v>
      </c>
      <c r="P83" s="57">
        <v>0.0</v>
      </c>
      <c r="Q83" s="59" t="s">
        <v>53</v>
      </c>
      <c r="R83" s="39" t="s">
        <v>18</v>
      </c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</row>
    <row r="84" ht="15.75" customHeight="1">
      <c r="A84" s="4"/>
      <c r="B84" s="56">
        <v>43047.0</v>
      </c>
      <c r="C84" s="4"/>
      <c r="D84" s="4"/>
      <c r="E84" s="57">
        <v>159.72</v>
      </c>
      <c r="F84" s="58">
        <v>0.0</v>
      </c>
      <c r="G84" s="59">
        <v>0.0</v>
      </c>
      <c r="H84" s="59" t="s">
        <v>36</v>
      </c>
      <c r="I84" s="59" t="s">
        <v>41</v>
      </c>
      <c r="J84" s="59" t="s">
        <v>52</v>
      </c>
      <c r="K84" s="39" t="s">
        <v>35</v>
      </c>
      <c r="L84" s="39" t="s">
        <v>35</v>
      </c>
      <c r="M84" s="39" t="s">
        <v>16</v>
      </c>
      <c r="N84" s="4"/>
      <c r="O84" s="57">
        <v>0.0</v>
      </c>
      <c r="P84" s="57">
        <v>0.0</v>
      </c>
      <c r="Q84" s="59" t="s">
        <v>46</v>
      </c>
      <c r="R84" s="39" t="s">
        <v>18</v>
      </c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</row>
    <row r="85" ht="15.75" customHeight="1">
      <c r="A85" s="4"/>
      <c r="B85" s="56">
        <v>43047.0</v>
      </c>
      <c r="C85" s="4"/>
      <c r="D85" s="4"/>
      <c r="E85" s="60">
        <v>0.0</v>
      </c>
      <c r="F85" s="57">
        <v>159.72</v>
      </c>
      <c r="G85" s="59">
        <v>0.0</v>
      </c>
      <c r="H85" s="59" t="s">
        <v>36</v>
      </c>
      <c r="I85" s="59" t="s">
        <v>43</v>
      </c>
      <c r="J85" s="59" t="s">
        <v>52</v>
      </c>
      <c r="K85" s="39" t="s">
        <v>35</v>
      </c>
      <c r="L85" s="39" t="s">
        <v>35</v>
      </c>
      <c r="M85" s="39" t="s">
        <v>16</v>
      </c>
      <c r="N85" s="4"/>
      <c r="O85" s="57">
        <v>0.0</v>
      </c>
      <c r="P85" s="57">
        <v>0.0</v>
      </c>
      <c r="Q85" s="59" t="s">
        <v>44</v>
      </c>
      <c r="R85" s="39" t="s">
        <v>18</v>
      </c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</row>
    <row r="86" ht="15.75" customHeight="1">
      <c r="A86" s="4"/>
      <c r="B86" s="56"/>
      <c r="C86" s="4"/>
      <c r="D86" s="4"/>
      <c r="E86" s="60"/>
      <c r="F86" s="57"/>
      <c r="G86" s="59"/>
      <c r="H86" s="59"/>
      <c r="I86" s="59"/>
      <c r="J86" s="59"/>
      <c r="K86" s="39"/>
      <c r="L86" s="39"/>
      <c r="M86" s="39"/>
      <c r="N86" s="4"/>
      <c r="O86" s="57"/>
      <c r="P86" s="57"/>
      <c r="Q86" s="59"/>
      <c r="R86" s="39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</row>
    <row r="87" ht="15.75" customHeight="1">
      <c r="A87" s="8"/>
      <c r="B87" s="56"/>
      <c r="C87" s="8"/>
      <c r="D87" s="8"/>
      <c r="E87" s="57"/>
      <c r="F87" s="58"/>
      <c r="G87" s="59"/>
      <c r="H87" s="59"/>
      <c r="I87" s="59"/>
      <c r="J87" s="59"/>
      <c r="K87" s="9"/>
      <c r="L87" s="9"/>
      <c r="M87" s="9"/>
      <c r="N87" s="8"/>
      <c r="O87" s="57"/>
      <c r="P87" s="58"/>
      <c r="Q87" s="59"/>
      <c r="R87" s="9"/>
    </row>
    <row r="88" ht="15.75" customHeight="1">
      <c r="A88" s="8"/>
      <c r="B88" s="56"/>
      <c r="C88" s="8"/>
      <c r="D88" s="8"/>
      <c r="E88" s="60"/>
      <c r="F88" s="57"/>
      <c r="G88" s="59"/>
      <c r="H88" s="59"/>
      <c r="I88" s="59"/>
      <c r="J88" s="59"/>
      <c r="K88" s="9"/>
      <c r="L88" s="9"/>
      <c r="M88" s="9"/>
      <c r="N88" s="8"/>
      <c r="O88" s="60"/>
      <c r="P88" s="57"/>
      <c r="Q88" s="59"/>
      <c r="R88" s="9"/>
    </row>
    <row r="89" ht="15.75" customHeight="1">
      <c r="A89" s="8"/>
      <c r="B89" s="56"/>
      <c r="C89" s="8"/>
      <c r="D89" s="8"/>
      <c r="E89" s="57"/>
      <c r="F89" s="58"/>
      <c r="G89" s="59"/>
      <c r="H89" s="59"/>
      <c r="I89" s="59"/>
      <c r="J89" s="59"/>
      <c r="K89" s="9"/>
      <c r="L89" s="9"/>
      <c r="M89" s="9"/>
      <c r="N89" s="8"/>
      <c r="O89" s="57"/>
      <c r="P89" s="58"/>
      <c r="Q89" s="59"/>
      <c r="R89" s="9"/>
    </row>
    <row r="90" ht="15.75" customHeight="1">
      <c r="A90" s="8"/>
      <c r="B90" s="56"/>
      <c r="C90" s="8"/>
      <c r="D90" s="8"/>
      <c r="E90" s="60"/>
      <c r="F90" s="57"/>
      <c r="G90" s="59"/>
      <c r="H90" s="59"/>
      <c r="I90" s="59"/>
      <c r="J90" s="59"/>
      <c r="K90" s="9"/>
      <c r="L90" s="9"/>
      <c r="M90" s="13"/>
      <c r="N90" s="8"/>
      <c r="O90" s="60"/>
      <c r="P90" s="57"/>
      <c r="Q90" s="59"/>
      <c r="R90" s="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54</v>
      </c>
      <c r="D3" s="5" t="s">
        <v>9</v>
      </c>
      <c r="E3" s="24" t="s">
        <v>55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IFERROR(__xludf.DUMMYFUNCTION("""COMPUTED_VALUE"""),"CloseOrder")</f>
        <v>CloseOrder</v>
      </c>
      <c r="Y4" s="28" t="str">
        <f>IFERROR(__xludf.DUMMYFUNCTION("""COMPUTED_VALUE"""),"CloseOrder")</f>
        <v>CloseOrder</v>
      </c>
      <c r="Z4" s="28" t="str">
        <f>IFERROR(__xludf.DUMMYFUNCTION("""COMPUTED_VALUE"""),"VerifyCloseOrder")</f>
        <v>VerifyCloseOrder</v>
      </c>
      <c r="AA4" s="28" t="str">
        <f>IFERROR(__xludf.DUMMYFUNCTION("""COMPUTED_VALUE"""),"UnWindCloseOrder")</f>
        <v>UnWindCloseOrder</v>
      </c>
      <c r="AB4" s="28" t="str">
        <f>IFERROR(__xludf.DUMMYFUNCTION("""COMPUTED_VALUE"""),"ClosingCleanUp")</f>
        <v>ClosingCleanUp</v>
      </c>
      <c r="AC4" s="28" t="str">
        <f>IFERROR(__xludf.DUMMYFUNCTION("""COMPUTED_VALUE"""),"CloseClosingUI")</f>
        <v>CloseClosingUI</v>
      </c>
      <c r="AD4" s="28" t="str">
        <f>IFERROR(__xludf.DUMMYFUNCTION("""COMPUTED_VALUE"""),"SetClosingPreference")</f>
        <v>SetClosingPreference</v>
      </c>
      <c r="AE4" s="28" t="str">
        <f>IFERROR(__xludf.DUMMYFUNCTION("""COMPUTED_VALUE"""),"EditTradeUnexpiredUnsettled")</f>
        <v>EditTradeUnexpiredUnsettled</v>
      </c>
      <c r="AF4" s="28" t="str">
        <f>IFERROR(__xludf.DUMMYFUNCTION("""COMPUTED_VALUE"""),"AutoExercise")</f>
        <v>AutoExercise</v>
      </c>
      <c r="AG4" s="28" t="str">
        <f>IFERROR(__xludf.DUMMYFUNCTION("""COMPUTED_VALUE"""),"EditMultipleCloseQuantity")</f>
        <v>EditMultipleCloseQuantity</v>
      </c>
      <c r="AH4" s="28" t="str">
        <f>IFERROR(__xludf.DUMMYFUNCTION("""COMPUTED_VALUE"""),"ManualCloseOrder")</f>
        <v>ManualCloseOrder</v>
      </c>
      <c r="AI4" s="28" t="str">
        <f>IFERROR(__xludf.DUMMYFUNCTION("""COMPUTED_VALUE"""),"PreviewDataWithFilters")</f>
        <v>PreviewDataWithFilters</v>
      </c>
      <c r="AJ4" s="28" t="str">
        <f>IFERROR(__xludf.DUMMYFUNCTION("""COMPUTED_VALUE"""),"CreateClosingTemplate")</f>
        <v>CreateClosingTemplate</v>
      </c>
      <c r="AK4" s="28" t="str">
        <f>IFERROR(__xludf.DUMMYFUNCTION("""COMPUTED_VALUE"""),"CreateUnwindingTemplate")</f>
        <v>CreateUnwindingTemplate</v>
      </c>
      <c r="AL4" s="28" t="str">
        <f>IFERROR(__xludf.DUMMYFUNCTION("""COMPUTED_VALUE"""),"EditTemplate")</f>
        <v>EditTemplate</v>
      </c>
      <c r="AM4" s="28" t="str">
        <f>IFERROR(__xludf.DUMMYFUNCTION("""COMPUTED_VALUE"""),"DeleteTemplate")</f>
        <v>DeleteTemplate</v>
      </c>
      <c r="AN4" s="28" t="str">
        <f>IFERROR(__xludf.DUMMYFUNCTION("""COMPUTED_VALUE"""),"RunTemplate")</f>
        <v>RunTemplate</v>
      </c>
      <c r="AO4" s="28" t="str">
        <f>IFERROR(__xludf.DUMMYFUNCTION("""COMPUTED_VALUE"""),"SelectAccountWiseAsset")</f>
        <v>SelectAccountWiseAsset</v>
      </c>
      <c r="AP4" s="28" t="str">
        <f>IFERROR(__xludf.DUMMYFUNCTION("""COMPUTED_VALUE"""),"VerifyCTData")</f>
        <v>VerifyCTData</v>
      </c>
      <c r="AQ4" s="28" t="str">
        <f>IFERROR(__xludf.DUMMYFUNCTION("""COMPUTED_VALUE"""),"ExerciseAssignmentWithOutSave")</f>
        <v>ExerciseAssignmentWithOutSave</v>
      </c>
      <c r="AR4" s="28" t="str">
        <f>IFERROR(__xludf.DUMMYFUNCTION("""COMPUTED_VALUE"""),"SaveCTData")</f>
        <v>SaveCTData</v>
      </c>
      <c r="AS4" s="28" t="str">
        <f>IFERROR(__xludf.DUMMYFUNCTION("""COMPUTED_VALUE"""),"FilterLongPositionGrid")</f>
        <v>FilterLongPositionGrid</v>
      </c>
      <c r="AT4" s="28" t="str">
        <f>IFERROR(__xludf.DUMMYFUNCTION("""COMPUTED_VALUE"""),"FilterShortPositionGrid")</f>
        <v>FilterShortPositionGrid</v>
      </c>
      <c r="AU4" s="28" t="str">
        <f>IFERROR(__xludf.DUMMYFUNCTION("""COMPUTED_VALUE"""),"FilterClosingGrid")</f>
        <v>FilterClosingGrid</v>
      </c>
      <c r="AV4" s="28" t="str">
        <f>IFERROR(__xludf.DUMMYFUNCTION("""COMPUTED_VALUE"""),"FilterUnexpiredGrid")</f>
        <v>FilterUnexpiredGrid</v>
      </c>
      <c r="AW4" s="28" t="str">
        <f>IFERROR(__xludf.DUMMYFUNCTION("""COMPUTED_VALUE"""),"FilterExpiredGrid")</f>
        <v>FilterExpiredGrid</v>
      </c>
      <c r="AX4" s="28" t="str">
        <f>IFERROR(__xludf.DUMMYFUNCTION("""COMPUTED_VALUE"""),"UnwindAllClosingData")</f>
        <v>UnwindAllClosingData</v>
      </c>
      <c r="AY4" s="28" t="str">
        <f>IFERROR(__xludf.DUMMYFUNCTION("""COMPUTED_VALUE"""),"FilterClosing")</f>
        <v>FilterClosing</v>
      </c>
      <c r="AZ4" s="28" t="str">
        <f>IFERROR(__xludf.DUMMYFUNCTION("""COMPUTED_VALUE"""),"VerifyClosingNavLockPopup")</f>
        <v>VerifyClosingNavLockPopup</v>
      </c>
      <c r="BA4" s="28" t="str">
        <f>IFERROR(__xludf.DUMMYFUNCTION("""COMPUTED_VALUE"""),"VerifyClosingNavLockPopup")</f>
        <v>VerifyClosingNavLockPopup</v>
      </c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IFERROR(__xludf.DUMMYFUNCTION("""COMPUTED_VALUE"""),"RangeType")</f>
        <v>RangeType</v>
      </c>
      <c r="C5" s="41" t="str">
        <f>IFERROR(__xludf.DUMMYFUNCTION("""COMPUTED_VALUE"""),"From")</f>
        <v>From</v>
      </c>
      <c r="D5" s="41" t="str">
        <f>IFERROR(__xludf.DUMMYFUNCTION("""COMPUTED_VALUE"""),"To")</f>
        <v>To</v>
      </c>
      <c r="E5" s="41" t="str">
        <f>IFERROR(__xludf.DUMMYFUNCTION("""COMPUTED_VALUE"""),"Account Filter")</f>
        <v>Account Filter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26</v>
      </c>
      <c r="C6" s="43">
        <v>43024.0</v>
      </c>
      <c r="D6" s="43">
        <v>43031.0</v>
      </c>
      <c r="E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54</v>
      </c>
      <c r="D3" s="5" t="s">
        <v>9</v>
      </c>
      <c r="E3" s="24" t="s">
        <v>56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IFERROR(__xludf.DUMMYFUNCTION("""COMPUTED_VALUE"""),"CloseOrder")</f>
        <v>CloseOrder</v>
      </c>
      <c r="Y4" s="28" t="str">
        <f>IFERROR(__xludf.DUMMYFUNCTION("""COMPUTED_VALUE"""),"CloseOrder")</f>
        <v>CloseOrder</v>
      </c>
      <c r="Z4" s="28" t="str">
        <f>IFERROR(__xludf.DUMMYFUNCTION("""COMPUTED_VALUE"""),"VerifyCloseOrder")</f>
        <v>VerifyCloseOrder</v>
      </c>
      <c r="AA4" s="28" t="str">
        <f>IFERROR(__xludf.DUMMYFUNCTION("""COMPUTED_VALUE"""),"UnWindCloseOrder")</f>
        <v>UnWindCloseOrder</v>
      </c>
      <c r="AB4" s="28" t="str">
        <f>IFERROR(__xludf.DUMMYFUNCTION("""COMPUTED_VALUE"""),"ClosingCleanUp")</f>
        <v>ClosingCleanUp</v>
      </c>
      <c r="AC4" s="28" t="str">
        <f>IFERROR(__xludf.DUMMYFUNCTION("""COMPUTED_VALUE"""),"CloseClosingUI")</f>
        <v>CloseClosingUI</v>
      </c>
      <c r="AD4" s="28" t="str">
        <f>IFERROR(__xludf.DUMMYFUNCTION("""COMPUTED_VALUE"""),"SetClosingPreference")</f>
        <v>SetClosingPreference</v>
      </c>
      <c r="AE4" s="28" t="str">
        <f>IFERROR(__xludf.DUMMYFUNCTION("""COMPUTED_VALUE"""),"EditTradeUnexpiredUnsettled")</f>
        <v>EditTradeUnexpiredUnsettled</v>
      </c>
      <c r="AF4" s="28" t="str">
        <f>IFERROR(__xludf.DUMMYFUNCTION("""COMPUTED_VALUE"""),"AutoExercise")</f>
        <v>AutoExercise</v>
      </c>
      <c r="AG4" s="28" t="str">
        <f>IFERROR(__xludf.DUMMYFUNCTION("""COMPUTED_VALUE"""),"EditMultipleCloseQuantity")</f>
        <v>EditMultipleCloseQuantity</v>
      </c>
      <c r="AH4" s="28" t="str">
        <f>IFERROR(__xludf.DUMMYFUNCTION("""COMPUTED_VALUE"""),"ManualCloseOrder")</f>
        <v>ManualCloseOrder</v>
      </c>
      <c r="AI4" s="28" t="str">
        <f>IFERROR(__xludf.DUMMYFUNCTION("""COMPUTED_VALUE"""),"PreviewDataWithFilters")</f>
        <v>PreviewDataWithFilters</v>
      </c>
      <c r="AJ4" s="28" t="str">
        <f>IFERROR(__xludf.DUMMYFUNCTION("""COMPUTED_VALUE"""),"CreateClosingTemplate")</f>
        <v>CreateClosingTemplate</v>
      </c>
      <c r="AK4" s="28" t="str">
        <f>IFERROR(__xludf.DUMMYFUNCTION("""COMPUTED_VALUE"""),"CreateUnwindingTemplate")</f>
        <v>CreateUnwindingTemplate</v>
      </c>
      <c r="AL4" s="28" t="str">
        <f>IFERROR(__xludf.DUMMYFUNCTION("""COMPUTED_VALUE"""),"EditTemplate")</f>
        <v>EditTemplate</v>
      </c>
      <c r="AM4" s="28" t="str">
        <f>IFERROR(__xludf.DUMMYFUNCTION("""COMPUTED_VALUE"""),"DeleteTemplate")</f>
        <v>DeleteTemplate</v>
      </c>
      <c r="AN4" s="28" t="str">
        <f>IFERROR(__xludf.DUMMYFUNCTION("""COMPUTED_VALUE"""),"RunTemplate")</f>
        <v>RunTemplate</v>
      </c>
      <c r="AO4" s="28" t="str">
        <f>IFERROR(__xludf.DUMMYFUNCTION("""COMPUTED_VALUE"""),"SelectAccountWiseAsset")</f>
        <v>SelectAccountWiseAsset</v>
      </c>
      <c r="AP4" s="28" t="str">
        <f>IFERROR(__xludf.DUMMYFUNCTION("""COMPUTED_VALUE"""),"VerifyCTData")</f>
        <v>VerifyCTData</v>
      </c>
      <c r="AQ4" s="28" t="str">
        <f>IFERROR(__xludf.DUMMYFUNCTION("""COMPUTED_VALUE"""),"ExerciseAssignmentWithOutSave")</f>
        <v>ExerciseAssignmentWithOutSave</v>
      </c>
      <c r="AR4" s="28" t="str">
        <f>IFERROR(__xludf.DUMMYFUNCTION("""COMPUTED_VALUE"""),"SaveCTData")</f>
        <v>SaveCTData</v>
      </c>
      <c r="AS4" s="28" t="str">
        <f>IFERROR(__xludf.DUMMYFUNCTION("""COMPUTED_VALUE"""),"FilterLongPositionGrid")</f>
        <v>FilterLongPositionGrid</v>
      </c>
      <c r="AT4" s="28" t="str">
        <f>IFERROR(__xludf.DUMMYFUNCTION("""COMPUTED_VALUE"""),"FilterShortPositionGrid")</f>
        <v>FilterShortPositionGrid</v>
      </c>
      <c r="AU4" s="28" t="str">
        <f>IFERROR(__xludf.DUMMYFUNCTION("""COMPUTED_VALUE"""),"FilterClosingGrid")</f>
        <v>FilterClosingGrid</v>
      </c>
      <c r="AV4" s="28" t="str">
        <f>IFERROR(__xludf.DUMMYFUNCTION("""COMPUTED_VALUE"""),"FilterUnexpiredGrid")</f>
        <v>FilterUnexpiredGrid</v>
      </c>
      <c r="AW4" s="28" t="str">
        <f>IFERROR(__xludf.DUMMYFUNCTION("""COMPUTED_VALUE"""),"FilterExpiredGrid")</f>
        <v>FilterExpiredGrid</v>
      </c>
      <c r="AX4" s="28" t="str">
        <f>IFERROR(__xludf.DUMMYFUNCTION("""COMPUTED_VALUE"""),"UnwindAllClosingData")</f>
        <v>UnwindAllClosingData</v>
      </c>
      <c r="AY4" s="28" t="str">
        <f>IFERROR(__xludf.DUMMYFUNCTION("""COMPUTED_VALUE"""),"FilterClosing")</f>
        <v>FilterClosing</v>
      </c>
      <c r="AZ4" s="28" t="str">
        <f>IFERROR(__xludf.DUMMYFUNCTION("""COMPUTED_VALUE"""),"VerifyClosingNavLockPopup")</f>
        <v>VerifyClosingNavLockPopup</v>
      </c>
      <c r="BA4" s="28" t="str">
        <f>IFERROR(__xludf.DUMMYFUNCTION("""COMPUTED_VALUE"""),"VerifyClosingNavLockPopup")</f>
        <v>VerifyClosingNavLockPopup</v>
      </c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IFERROR(__xludf.DUMMYFUNCTION("""COMPUTED_VALUE"""),"CloseSSw/BuyBTO ")</f>
        <v>CloseSSw/BuyBTO </v>
      </c>
      <c r="C5" s="41" t="str">
        <f>IFERROR(__xludf.DUMMYFUNCTION("""COMPUTED_VALUE"""),"AutoCloseStrategy")</f>
        <v>AutoCloseStrategy</v>
      </c>
      <c r="D5" s="41" t="str">
        <f>IFERROR(__xludf.DUMMYFUNCTION("""COMPUTED_VALUE"""),"Algorithm")</f>
        <v>Algorithm</v>
      </c>
      <c r="E5" s="41" t="str">
        <f>IFERROR(__xludf.DUMMYFUNCTION("""COMPUTED_VALUE"""),"SecondarySortCriteria")</f>
        <v>SecondarySortCriteria</v>
      </c>
      <c r="F5" s="41" t="str">
        <f>IFERROR(__xludf.DUMMYFUNCTION("""COMPUTED_VALUE"""),"ClosingField")</f>
        <v>ClosingField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b">
        <v>1</v>
      </c>
      <c r="C6" s="9" t="b">
        <v>1</v>
      </c>
      <c r="D6" s="9" t="s">
        <v>57</v>
      </c>
      <c r="E6" s="9" t="s">
        <v>58</v>
      </c>
      <c r="F6" s="9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IFERROR(__xludf.DUMMYFUNCTION("""COMPUTED_VALUE"""),"From Date")</f>
        <v>From Date</v>
      </c>
      <c r="E5" s="41" t="str">
        <f>IFERROR(__xludf.DUMMYFUNCTION("""COMPUTED_VALUE"""),"To Date")</f>
        <v>To Date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29</v>
      </c>
      <c r="C6" s="9" t="s">
        <v>18</v>
      </c>
      <c r="D6" s="43">
        <v>43024.0</v>
      </c>
      <c r="E6" s="43">
        <v>43031.0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GetDailyCalculationsData1!$4:$4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'_CalculateDailyCalculations1'!$4:$4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6" width="12.63"/>
    <col customWidth="1" min="7" max="7" width="20.25"/>
    <col customWidth="1" min="8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IFERROR(__xludf.DUMMYFUNCTION("""COMPUTED_VALUE"""),"Trade Date")</f>
        <v>Trade Date</v>
      </c>
      <c r="C5" s="41" t="str">
        <f>IFERROR(__xludf.DUMMYFUNCTION("""COMPUTED_VALUE"""),"Account")</f>
        <v>Account</v>
      </c>
      <c r="D5" s="41" t="str">
        <f>IFERROR(__xludf.DUMMYFUNCTION("""COMPUTED_VALUE"""),"Symbol")</f>
        <v>Symbol</v>
      </c>
      <c r="E5" s="41" t="str">
        <f>IFERROR(__xludf.DUMMYFUNCTION("""COMPUTED_VALUE"""),"Currency")</f>
        <v>Currency</v>
      </c>
      <c r="F5" s="41" t="str">
        <f>IFERROR(__xludf.DUMMYFUNCTION("""COMPUTED_VALUE"""),"Net Amount(Local)")</f>
        <v>Net Amount(Local)</v>
      </c>
      <c r="G5" s="41" t="str">
        <f>IFERROR(__xludf.DUMMYFUNCTION("""COMPUTED_VALUE"""),"ActivityType")</f>
        <v>ActivityType</v>
      </c>
      <c r="H5" s="41" t="str">
        <f>IFERROR(__xludf.DUMMYFUNCTION("""COMPUTED_VALUE"""),"Transaction Source")</f>
        <v>Transaction Source</v>
      </c>
      <c r="I5" s="41" t="str">
        <f>IFERROR(__xludf.DUMMYFUNCTION("""COMPUTED_VALUE"""),"Total Commissions")</f>
        <v>Total Commissions</v>
      </c>
      <c r="J5" s="41" t="str">
        <f>IFERROR(__xludf.DUMMYFUNCTION("""COMPUTED_VALUE"""),"Balance Type")</f>
        <v>Balance Type</v>
      </c>
      <c r="K5" s="41" t="str">
        <f>IFERROR(__xludf.DUMMYFUNCTION("""COMPUTED_VALUE"""),"Settlement Date")</f>
        <v>Settlement Date</v>
      </c>
      <c r="L5" s="41" t="str">
        <f>IFERROR(__xludf.DUMMYFUNCTION("""COMPUTED_VALUE"""),"Lead Currency")</f>
        <v>Lead Currency</v>
      </c>
      <c r="M5" s="41" t="str">
        <f>IFERROR(__xludf.DUMMYFUNCTION("""COMPUTED_VALUE"""),"Vs Currency")</f>
        <v>Vs Currency</v>
      </c>
      <c r="N5" s="41" t="str">
        <f>IFERROR(__xludf.DUMMYFUNCTION("""COMPUTED_VALUE"""),"Quantity")</f>
        <v>Quantity</v>
      </c>
      <c r="O5" s="41" t="str">
        <f>IFERROR(__xludf.DUMMYFUNCTION("""COMPUTED_VALUE"""),"Commission")</f>
        <v>Commission</v>
      </c>
      <c r="P5" s="41" t="str">
        <f>IFERROR(__xludf.DUMMYFUNCTION("""COMPUTED_VALUE"""),"Soft Commission")</f>
        <v>Soft Commission</v>
      </c>
      <c r="Q5" s="41" t="str">
        <f>IFERROR(__xludf.DUMMYFUNCTION("""COMPUTED_VALUE"""),"Other Broker Fees")</f>
        <v>Other Broker Fees</v>
      </c>
      <c r="R5" s="41" t="str">
        <f>IFERROR(__xludf.DUMMYFUNCTION("""COMPUTED_VALUE"""),"Clearing Broker Fees")</f>
        <v>Clearing Broker Fees</v>
      </c>
      <c r="S5" s="41" t="str">
        <f>IFERROR(__xludf.DUMMYFUNCTION("""COMPUTED_VALUE"""),"Stamp Duty")</f>
        <v>Stamp Duty</v>
      </c>
      <c r="T5" s="32" t="str">
        <f>IFERROR(__xludf.DUMMYFUNCTION("""COMPUTED_VALUE"""),"Transaction Levy")</f>
        <v>Transaction Levy</v>
      </c>
      <c r="U5" s="32" t="str">
        <f>IFERROR(__xludf.DUMMYFUNCTION("""COMPUTED_VALUE"""),"AUEC Fee1")</f>
        <v>AUEC Fee1</v>
      </c>
      <c r="V5" s="32" t="str">
        <f>IFERROR(__xludf.DUMMYFUNCTION("""COMPUTED_VALUE"""),"Tax On Commissions")</f>
        <v>Tax On Commissions</v>
      </c>
      <c r="W5" s="32" t="str">
        <f>IFERROR(__xludf.DUMMYFUNCTION("""COMPUTED_VALUE"""),"AUEC Fee2")</f>
        <v>AUEC Fee2</v>
      </c>
      <c r="X5" s="32" t="str">
        <f>IFERROR(__xludf.DUMMYFUNCTION("""COMPUTED_VALUE"""),"SEC Fee")</f>
        <v>SEC Fee</v>
      </c>
      <c r="Y5" s="32" t="str">
        <f>IFERROR(__xludf.DUMMYFUNCTION("""COMPUTED_VALUE"""),"OCC Fee")</f>
        <v>OCC Fee</v>
      </c>
      <c r="Z5" s="32" t="str">
        <f>IFERROR(__xludf.DUMMYFUNCTION("""COMPUTED_VALUE"""),"ORF Fee")</f>
        <v>ORF Fee</v>
      </c>
      <c r="AA5" s="32" t="str">
        <f>IFERROR(__xludf.DUMMYFUNCTION("""COMPUTED_VALUE"""),"Fx Rate")</f>
        <v>Fx Rate</v>
      </c>
      <c r="AB5" s="32" t="str">
        <f>IFERROR(__xludf.DUMMYFUNCTION("""COMPUTED_VALUE"""),"Modify Date")</f>
        <v>Modify Date</v>
      </c>
      <c r="AC5" s="32" t="str">
        <f>IFERROR(__xludf.DUMMYFUNCTION("""COMPUTED_VALUE"""),"Entry Date")</f>
        <v>Entry Date</v>
      </c>
      <c r="AD5" s="32" t="str">
        <f>IFERROR(__xludf.DUMMYFUNCTION("""COMPUTED_VALUE"""),"User")</f>
        <v>User</v>
      </c>
      <c r="AE5" s="32" t="str">
        <f>IFERROR(__xludf.DUMMYFUNCTION("""COMPUTED_VALUE"""),"FX Conversion Method Operator")</f>
        <v>FX Conversion Method Operator</v>
      </c>
      <c r="AF5" s="32" t="str">
        <f>IFERROR(__xludf.DUMMYFUNCTION("""COMPUTED_VALUE"""),"Description")</f>
        <v>Description</v>
      </c>
      <c r="AG5" s="32" t="str">
        <f>IFERROR(__xludf.DUMMYFUNCTION("""COMPUTED_VALUE"""),"Activity Source")</f>
        <v>Activity Source</v>
      </c>
      <c r="AH5" s="32" t="str">
        <f>IFERROR(__xludf.DUMMYFUNCTION("""COMPUTED_VALUE"""),"OptionPremiumAdjustment")</f>
        <v>OptionPremiumAdjustment</v>
      </c>
      <c r="AI5" s="32" t="str">
        <f>IFERROR(__xludf.DUMMYFUNCTION("""COMPUTED_VALUE"""),"Settlement Currency")</f>
        <v>Settlement Currency</v>
      </c>
      <c r="AJ5" s="32" t="str">
        <f>IFERROR(__xludf.DUMMYFUNCTION("""COMPUTED_VALUE"""),"SettlCurrencyID")</f>
        <v>SettlCurrencyID</v>
      </c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43">
        <v>43025.0</v>
      </c>
      <c r="C6" s="9" t="s">
        <v>18</v>
      </c>
      <c r="D6" s="9" t="s">
        <v>16</v>
      </c>
      <c r="E6" s="9" t="s">
        <v>35</v>
      </c>
      <c r="G6" s="9" t="s">
        <v>50</v>
      </c>
      <c r="H6" s="44" t="s">
        <v>51</v>
      </c>
    </row>
    <row r="7" ht="15.75" customHeight="1">
      <c r="A7" s="8"/>
      <c r="B7" s="43">
        <v>43026.0</v>
      </c>
      <c r="C7" s="9" t="s">
        <v>18</v>
      </c>
      <c r="D7" s="9" t="s">
        <v>16</v>
      </c>
      <c r="E7" s="9" t="s">
        <v>35</v>
      </c>
      <c r="F7" s="8"/>
      <c r="G7" s="9" t="s">
        <v>50</v>
      </c>
      <c r="H7" s="35" t="s">
        <v>51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43027.0</v>
      </c>
      <c r="C8" s="9" t="s">
        <v>18</v>
      </c>
      <c r="D8" s="9" t="s">
        <v>16</v>
      </c>
      <c r="E8" s="9" t="s">
        <v>35</v>
      </c>
      <c r="F8" s="8"/>
      <c r="G8" s="9" t="s">
        <v>50</v>
      </c>
      <c r="H8" s="35" t="s">
        <v>51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43028.0</v>
      </c>
      <c r="C9" s="9" t="s">
        <v>18</v>
      </c>
      <c r="D9" s="9" t="s">
        <v>16</v>
      </c>
      <c r="E9" s="9" t="s">
        <v>35</v>
      </c>
      <c r="F9" s="13">
        <v>1.74</v>
      </c>
      <c r="G9" s="9" t="s">
        <v>50</v>
      </c>
      <c r="H9" s="35" t="s">
        <v>51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3">
        <v>43029.0</v>
      </c>
      <c r="C10" s="9" t="s">
        <v>18</v>
      </c>
      <c r="D10" s="9" t="s">
        <v>16</v>
      </c>
      <c r="E10" s="9" t="s">
        <v>35</v>
      </c>
      <c r="F10" s="13">
        <v>1.74</v>
      </c>
      <c r="G10" s="9" t="s">
        <v>50</v>
      </c>
      <c r="H10" s="35" t="s">
        <v>51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43030.0</v>
      </c>
      <c r="C11" s="9" t="s">
        <v>18</v>
      </c>
      <c r="D11" s="9" t="s">
        <v>16</v>
      </c>
      <c r="E11" s="9" t="s">
        <v>35</v>
      </c>
      <c r="F11" s="13">
        <v>1.74</v>
      </c>
      <c r="G11" s="9" t="s">
        <v>50</v>
      </c>
      <c r="H11" s="44" t="s">
        <v>51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43031.0</v>
      </c>
      <c r="C12" s="9" t="s">
        <v>18</v>
      </c>
      <c r="D12" s="9" t="s">
        <v>16</v>
      </c>
      <c r="E12" s="9" t="s">
        <v>35</v>
      </c>
      <c r="F12" s="13">
        <v>6.94</v>
      </c>
      <c r="G12" s="9" t="s">
        <v>50</v>
      </c>
      <c r="H12" s="35" t="s">
        <v>51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43031.0</v>
      </c>
      <c r="C13" s="9" t="s">
        <v>18</v>
      </c>
      <c r="D13" s="9" t="s">
        <v>16</v>
      </c>
      <c r="E13" s="9" t="s">
        <v>35</v>
      </c>
      <c r="F13" s="8"/>
      <c r="G13" s="9" t="s">
        <v>50</v>
      </c>
      <c r="H13" s="35" t="s">
        <v>51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43024.0</v>
      </c>
      <c r="C14" s="9" t="s">
        <v>18</v>
      </c>
      <c r="D14" s="9" t="s">
        <v>16</v>
      </c>
      <c r="E14" s="9" t="s">
        <v>35</v>
      </c>
      <c r="F14" s="13"/>
      <c r="G14" s="9" t="s">
        <v>50</v>
      </c>
      <c r="H14" s="35" t="s">
        <v>51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/>
      <c r="C15" s="9"/>
      <c r="D15" s="9"/>
      <c r="E15" s="9"/>
      <c r="F15" s="8"/>
      <c r="G15" s="9"/>
      <c r="H15" s="35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/>
      <c r="C16" s="9"/>
      <c r="D16" s="9"/>
      <c r="E16" s="9"/>
      <c r="F16" s="13"/>
      <c r="G16" s="9"/>
      <c r="H16" s="44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/>
      <c r="C17" s="9"/>
      <c r="D17" s="9"/>
      <c r="E17" s="9"/>
      <c r="F17" s="8"/>
      <c r="G17" s="9"/>
      <c r="H17" s="35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/>
      <c r="C18" s="9"/>
      <c r="D18" s="9"/>
      <c r="E18" s="9"/>
      <c r="F18" s="13"/>
      <c r="G18" s="9"/>
      <c r="H18" s="35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/>
      <c r="C19" s="9"/>
      <c r="D19" s="9"/>
      <c r="E19" s="9"/>
      <c r="F19" s="13"/>
      <c r="G19" s="9"/>
      <c r="H19" s="35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/>
      <c r="C20" s="9"/>
      <c r="D20" s="9"/>
      <c r="E20" s="9"/>
      <c r="F20" s="13"/>
      <c r="G20" s="9"/>
      <c r="H20" s="35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/>
      <c r="C21" s="9"/>
      <c r="D21" s="9"/>
      <c r="E21" s="9"/>
      <c r="F21" s="13"/>
      <c r="G21" s="9"/>
      <c r="H21" s="44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/>
      <c r="C22" s="9"/>
      <c r="D22" s="9"/>
      <c r="E22" s="9"/>
      <c r="F22" s="13"/>
      <c r="G22" s="9"/>
      <c r="H22" s="35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3"/>
      <c r="C23" s="9"/>
      <c r="D23" s="9"/>
      <c r="E23" s="9"/>
      <c r="F23" s="13"/>
      <c r="G23" s="9"/>
      <c r="H23" s="35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35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35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44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35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35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35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35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44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8"/>
      <c r="C32" s="8"/>
      <c r="D32" s="8"/>
      <c r="E32" s="8"/>
      <c r="F32" s="8"/>
      <c r="G32" s="8"/>
      <c r="H32" s="35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8"/>
      <c r="C33" s="8"/>
      <c r="D33" s="8"/>
      <c r="E33" s="8"/>
      <c r="F33" s="8"/>
      <c r="G33" s="8"/>
      <c r="H33" s="35"/>
      <c r="I33" s="8"/>
      <c r="J33" s="8"/>
      <c r="K33" s="8"/>
      <c r="L33" s="8"/>
      <c r="M33" s="8"/>
      <c r="N33" s="8"/>
      <c r="O33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47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IFERROR(__xludf.DUMMYFUNCTION("""COMPUTED_VALUE"""),"From Date")</f>
        <v>From Date</v>
      </c>
      <c r="E5" s="41" t="str">
        <f>IFERROR(__xludf.DUMMYFUNCTION("""COMPUTED_VALUE"""),"To Date")</f>
        <v>To Date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29</v>
      </c>
      <c r="C6" s="9" t="s">
        <v>18</v>
      </c>
      <c r="D6" s="43">
        <v>43024.0</v>
      </c>
      <c r="E6" s="43">
        <v>43034.0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GetDailyCalculationsData2!$4:$4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'_CalculateDailyCalculations2'!$4:$4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IFERROR(__xludf.DUMMYFUNCTION("""COMPUTED_VALUE"""),"Trade Date")</f>
        <v>Trade Date</v>
      </c>
      <c r="C5" s="41" t="str">
        <f>IFERROR(__xludf.DUMMYFUNCTION("""COMPUTED_VALUE"""),"Account")</f>
        <v>Account</v>
      </c>
      <c r="D5" s="41" t="str">
        <f>IFERROR(__xludf.DUMMYFUNCTION("""COMPUTED_VALUE"""),"Symbol")</f>
        <v>Symbol</v>
      </c>
      <c r="E5" s="41" t="str">
        <f>IFERROR(__xludf.DUMMYFUNCTION("""COMPUTED_VALUE"""),"Currency")</f>
        <v>Currency</v>
      </c>
      <c r="F5" s="41" t="str">
        <f>IFERROR(__xludf.DUMMYFUNCTION("""COMPUTED_VALUE"""),"Net Amount(Local)")</f>
        <v>Net Amount(Local)</v>
      </c>
      <c r="G5" s="41" t="str">
        <f>IFERROR(__xludf.DUMMYFUNCTION("""COMPUTED_VALUE"""),"ActivityType")</f>
        <v>ActivityType</v>
      </c>
      <c r="H5" s="41" t="str">
        <f>IFERROR(__xludf.DUMMYFUNCTION("""COMPUTED_VALUE"""),"Transaction Source")</f>
        <v>Transaction Source</v>
      </c>
      <c r="I5" s="41" t="str">
        <f>IFERROR(__xludf.DUMMYFUNCTION("""COMPUTED_VALUE"""),"Total Commissions")</f>
        <v>Total Commissions</v>
      </c>
      <c r="J5" s="41" t="str">
        <f>IFERROR(__xludf.DUMMYFUNCTION("""COMPUTED_VALUE"""),"Balance Type")</f>
        <v>Balance Type</v>
      </c>
      <c r="K5" s="41" t="str">
        <f>IFERROR(__xludf.DUMMYFUNCTION("""COMPUTED_VALUE"""),"Settlement Date")</f>
        <v>Settlement Date</v>
      </c>
      <c r="L5" s="41" t="str">
        <f>IFERROR(__xludf.DUMMYFUNCTION("""COMPUTED_VALUE"""),"Lead Currency")</f>
        <v>Lead Currency</v>
      </c>
      <c r="M5" s="41" t="str">
        <f>IFERROR(__xludf.DUMMYFUNCTION("""COMPUTED_VALUE"""),"Vs Currency")</f>
        <v>Vs Currency</v>
      </c>
      <c r="N5" s="41" t="str">
        <f>IFERROR(__xludf.DUMMYFUNCTION("""COMPUTED_VALUE"""),"Quantity")</f>
        <v>Quantity</v>
      </c>
      <c r="O5" s="41" t="str">
        <f>IFERROR(__xludf.DUMMYFUNCTION("""COMPUTED_VALUE"""),"Commission")</f>
        <v>Commission</v>
      </c>
      <c r="P5" s="41" t="str">
        <f>IFERROR(__xludf.DUMMYFUNCTION("""COMPUTED_VALUE"""),"Soft Commission")</f>
        <v>Soft Commission</v>
      </c>
      <c r="Q5" s="41" t="str">
        <f>IFERROR(__xludf.DUMMYFUNCTION("""COMPUTED_VALUE"""),"Other Broker Fees")</f>
        <v>Other Broker Fees</v>
      </c>
      <c r="R5" s="41" t="str">
        <f>IFERROR(__xludf.DUMMYFUNCTION("""COMPUTED_VALUE"""),"Clearing Broker Fees")</f>
        <v>Clearing Broker Fees</v>
      </c>
      <c r="S5" s="41" t="str">
        <f>IFERROR(__xludf.DUMMYFUNCTION("""COMPUTED_VALUE"""),"Stamp Duty")</f>
        <v>Stamp Duty</v>
      </c>
      <c r="T5" s="32" t="str">
        <f>IFERROR(__xludf.DUMMYFUNCTION("""COMPUTED_VALUE"""),"Transaction Levy")</f>
        <v>Transaction Levy</v>
      </c>
      <c r="U5" s="32" t="str">
        <f>IFERROR(__xludf.DUMMYFUNCTION("""COMPUTED_VALUE"""),"AUEC Fee1")</f>
        <v>AUEC Fee1</v>
      </c>
      <c r="V5" s="32" t="str">
        <f>IFERROR(__xludf.DUMMYFUNCTION("""COMPUTED_VALUE"""),"Tax On Commissions")</f>
        <v>Tax On Commissions</v>
      </c>
      <c r="W5" s="32" t="str">
        <f>IFERROR(__xludf.DUMMYFUNCTION("""COMPUTED_VALUE"""),"AUEC Fee2")</f>
        <v>AUEC Fee2</v>
      </c>
      <c r="X5" s="32" t="str">
        <f>IFERROR(__xludf.DUMMYFUNCTION("""COMPUTED_VALUE"""),"SEC Fee")</f>
        <v>SEC Fee</v>
      </c>
      <c r="Y5" s="32" t="str">
        <f>IFERROR(__xludf.DUMMYFUNCTION("""COMPUTED_VALUE"""),"OCC Fee")</f>
        <v>OCC Fee</v>
      </c>
      <c r="Z5" s="32" t="str">
        <f>IFERROR(__xludf.DUMMYFUNCTION("""COMPUTED_VALUE"""),"ORF Fee")</f>
        <v>ORF Fee</v>
      </c>
      <c r="AA5" s="32" t="str">
        <f>IFERROR(__xludf.DUMMYFUNCTION("""COMPUTED_VALUE"""),"Fx Rate")</f>
        <v>Fx Rate</v>
      </c>
      <c r="AB5" s="32" t="str">
        <f>IFERROR(__xludf.DUMMYFUNCTION("""COMPUTED_VALUE"""),"Modify Date")</f>
        <v>Modify Date</v>
      </c>
      <c r="AC5" s="32" t="str">
        <f>IFERROR(__xludf.DUMMYFUNCTION("""COMPUTED_VALUE"""),"Entry Date")</f>
        <v>Entry Date</v>
      </c>
      <c r="AD5" s="32" t="str">
        <f>IFERROR(__xludf.DUMMYFUNCTION("""COMPUTED_VALUE"""),"User")</f>
        <v>User</v>
      </c>
      <c r="AE5" s="32" t="str">
        <f>IFERROR(__xludf.DUMMYFUNCTION("""COMPUTED_VALUE"""),"FX Conversion Method Operator")</f>
        <v>FX Conversion Method Operator</v>
      </c>
      <c r="AF5" s="32" t="str">
        <f>IFERROR(__xludf.DUMMYFUNCTION("""COMPUTED_VALUE"""),"Description")</f>
        <v>Description</v>
      </c>
      <c r="AG5" s="32" t="str">
        <f>IFERROR(__xludf.DUMMYFUNCTION("""COMPUTED_VALUE"""),"Activity Source")</f>
        <v>Activity Source</v>
      </c>
      <c r="AH5" s="32" t="str">
        <f>IFERROR(__xludf.DUMMYFUNCTION("""COMPUTED_VALUE"""),"OptionPremiumAdjustment")</f>
        <v>OptionPremiumAdjustment</v>
      </c>
      <c r="AI5" s="32" t="str">
        <f>IFERROR(__xludf.DUMMYFUNCTION("""COMPUTED_VALUE"""),"Settlement Currency")</f>
        <v>Settlement Currency</v>
      </c>
      <c r="AJ5" s="32" t="str">
        <f>IFERROR(__xludf.DUMMYFUNCTION("""COMPUTED_VALUE"""),"SettlCurrencyID")</f>
        <v>SettlCurrencyID</v>
      </c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43">
        <v>43025.0</v>
      </c>
      <c r="C6" s="9" t="s">
        <v>18</v>
      </c>
      <c r="D6" s="9" t="s">
        <v>16</v>
      </c>
      <c r="E6" s="9" t="s">
        <v>35</v>
      </c>
      <c r="G6" s="9" t="s">
        <v>50</v>
      </c>
      <c r="H6" s="44" t="s">
        <v>51</v>
      </c>
    </row>
    <row r="7" ht="15.75" customHeight="1">
      <c r="A7" s="8"/>
      <c r="B7" s="43">
        <v>43026.0</v>
      </c>
      <c r="C7" s="9" t="s">
        <v>18</v>
      </c>
      <c r="D7" s="9" t="s">
        <v>16</v>
      </c>
      <c r="E7" s="9" t="s">
        <v>35</v>
      </c>
      <c r="F7" s="8"/>
      <c r="G7" s="9" t="s">
        <v>50</v>
      </c>
      <c r="H7" s="35" t="s">
        <v>51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43027.0</v>
      </c>
      <c r="C8" s="9" t="s">
        <v>18</v>
      </c>
      <c r="D8" s="9" t="s">
        <v>16</v>
      </c>
      <c r="E8" s="9" t="s">
        <v>35</v>
      </c>
      <c r="F8" s="8"/>
      <c r="G8" s="9" t="s">
        <v>50</v>
      </c>
      <c r="H8" s="35" t="s">
        <v>51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43028.0</v>
      </c>
      <c r="C9" s="9" t="s">
        <v>18</v>
      </c>
      <c r="D9" s="9" t="s">
        <v>16</v>
      </c>
      <c r="E9" s="9" t="s">
        <v>35</v>
      </c>
      <c r="F9" s="13">
        <v>1.74</v>
      </c>
      <c r="G9" s="9" t="s">
        <v>50</v>
      </c>
      <c r="H9" s="35" t="s">
        <v>51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3">
        <v>43029.0</v>
      </c>
      <c r="C10" s="9" t="s">
        <v>18</v>
      </c>
      <c r="D10" s="9" t="s">
        <v>16</v>
      </c>
      <c r="E10" s="9" t="s">
        <v>35</v>
      </c>
      <c r="F10" s="13">
        <v>1.74</v>
      </c>
      <c r="G10" s="9" t="s">
        <v>50</v>
      </c>
      <c r="H10" s="35" t="s">
        <v>51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43030.0</v>
      </c>
      <c r="C11" s="9" t="s">
        <v>18</v>
      </c>
      <c r="D11" s="9" t="s">
        <v>16</v>
      </c>
      <c r="E11" s="9" t="s">
        <v>35</v>
      </c>
      <c r="F11" s="13">
        <v>1.74</v>
      </c>
      <c r="G11" s="9" t="s">
        <v>50</v>
      </c>
      <c r="H11" s="44" t="s">
        <v>51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>
        <v>43031.0</v>
      </c>
      <c r="C12" s="9" t="s">
        <v>18</v>
      </c>
      <c r="D12" s="9" t="s">
        <v>16</v>
      </c>
      <c r="E12" s="9" t="s">
        <v>35</v>
      </c>
      <c r="F12" s="13">
        <v>6.94</v>
      </c>
      <c r="G12" s="9" t="s">
        <v>50</v>
      </c>
      <c r="H12" s="35" t="s">
        <v>51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>
        <v>43031.0</v>
      </c>
      <c r="C13" s="9" t="s">
        <v>18</v>
      </c>
      <c r="D13" s="9" t="s">
        <v>16</v>
      </c>
      <c r="E13" s="9" t="s">
        <v>35</v>
      </c>
      <c r="F13" s="8"/>
      <c r="G13" s="9" t="s">
        <v>50</v>
      </c>
      <c r="H13" s="35" t="s">
        <v>51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>
        <v>43024.0</v>
      </c>
      <c r="C14" s="9" t="s">
        <v>18</v>
      </c>
      <c r="D14" s="9" t="s">
        <v>16</v>
      </c>
      <c r="E14" s="9" t="s">
        <v>35</v>
      </c>
      <c r="F14" s="13"/>
      <c r="G14" s="9" t="s">
        <v>50</v>
      </c>
      <c r="H14" s="35" t="s">
        <v>51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60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IFERROR(__xludf.DUMMYFUNCTION("""COMPUTED_VALUE"""),"From Date")</f>
        <v>From Date</v>
      </c>
      <c r="E5" s="41" t="str">
        <f>IFERROR(__xludf.DUMMYFUNCTION("""COMPUTED_VALUE"""),"To Date")</f>
        <v>To Date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35"/>
      <c r="B6" s="44" t="s">
        <v>29</v>
      </c>
      <c r="C6" s="45" t="s">
        <v>18</v>
      </c>
      <c r="D6" s="46">
        <v>43024.0</v>
      </c>
      <c r="E6" s="46">
        <v>43031.0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61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IFERROR(__xludf.DUMMYFUNCTION("TRANSPOSE(IMPORTRANGE(VLOOKUP($E$3,IMPORTRANGE('_Settings'!$B$3,$C$3&amp;""!A4:B1000""),2,FALSE),$G$3&amp;""!A4:A1000""))"),"#REF!")</f>
        <v>#REF!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'_CalculateDayEndCash'!$4:$4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62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IFERROR(__xludf.DUMMYFUNCTION("""COMPUTED_VALUE"""),"Account")</f>
        <v>Account</v>
      </c>
      <c r="C5" s="41" t="str">
        <f>IFERROR(__xludf.DUMMYFUNCTION("""COMPUTED_VALUE"""),"Date")</f>
        <v>Date</v>
      </c>
      <c r="D5" s="41" t="str">
        <f>IFERROR(__xludf.DUMMYFUNCTION("""COMPUTED_VALUE"""),"Currency (Local)")</f>
        <v>Currency (Local)</v>
      </c>
      <c r="E5" s="41" t="str">
        <f>IFERROR(__xludf.DUMMYFUNCTION("""COMPUTED_VALUE"""),"Cash (Local)")</f>
        <v>Cash (Local)</v>
      </c>
      <c r="F5" s="41" t="str">
        <f>IFERROR(__xludf.DUMMYFUNCTION("""COMPUTED_VALUE"""),"Currency (Base)")</f>
        <v>Currency (Base)</v>
      </c>
      <c r="G5" s="41" t="str">
        <f>IFERROR(__xludf.DUMMYFUNCTION("""COMPUTED_VALUE"""),"Cash (Base)")</f>
        <v>Cash (Base)</v>
      </c>
      <c r="H5" s="41" t="str">
        <f>IFERROR(__xludf.DUMMYFUNCTION("""COMPUTED_VALUE"""),"BalanceType")</f>
        <v>BalanceType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18</v>
      </c>
      <c r="C6" s="43">
        <v>43024.0</v>
      </c>
      <c r="D6" s="9" t="s">
        <v>35</v>
      </c>
      <c r="E6" s="9">
        <v>-2070.0</v>
      </c>
      <c r="F6" s="9" t="s">
        <v>35</v>
      </c>
      <c r="G6" s="9">
        <v>-2070.0</v>
      </c>
      <c r="H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21</v>
      </c>
      <c r="D3" s="5" t="s">
        <v>9</v>
      </c>
      <c r="E3" s="24" t="s">
        <v>63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IFERROR(__xludf.DUMMYFUNCTION("""COMPUTED_VALUE"""),"UpdateMultipleDailyCash")</f>
        <v>UpdateMultipleDailyCash</v>
      </c>
      <c r="E4" s="27" t="str">
        <f>IFERROR(__xludf.DUMMYFUNCTION("""COMPUTED_VALUE"""),"UpdateForexConversion")</f>
        <v>UpdateForexConversion</v>
      </c>
      <c r="F4" s="27" t="str">
        <f>IFERROR(__xludf.DUMMYFUNCTION("""COMPUTED_VALUE"""),"UpdateMarkPrice")</f>
        <v>UpdateMarkPrice</v>
      </c>
      <c r="G4" s="27" t="str">
        <f>IFERROR(__xludf.DUMMYFUNCTION("""COMPUTED_VALUE"""),"CleanUp")</f>
        <v>CleanUp</v>
      </c>
      <c r="H4" s="27" t="str">
        <f>IFERROR(__xludf.DUMMYFUNCTION("""COMPUTED_VALUE"""),"GetMarkPriceData")</f>
        <v>GetMarkPriceData</v>
      </c>
      <c r="I4" s="27" t="str">
        <f>IFERROR(__xludf.DUMMYFUNCTION("""COMPUTED_VALUE"""),"GetForwardPoints")</f>
        <v>GetForwardPoints</v>
      </c>
      <c r="J4" s="27" t="str">
        <f>IFERROR(__xludf.DUMMYFUNCTION("""COMPUTED_VALUE"""),"UpdateForwardPoints")</f>
        <v>UpdateForwardPoints</v>
      </c>
      <c r="K4" s="27" t="str">
        <f>IFERROR(__xludf.DUMMYFUNCTION("""COMPUTED_VALUE"""),"GetForexConversion")</f>
        <v>GetForexConversion</v>
      </c>
      <c r="L4" s="27" t="str">
        <f>IFERROR(__xludf.DUMMYFUNCTION("""COMPUTED_VALUE"""),"DeleteNAV")</f>
        <v>DeleteNAV</v>
      </c>
      <c r="M4" s="27" t="str">
        <f>IFERROR(__xludf.DUMMYFUNCTION("""COMPUTED_VALUE"""),"GetDailyCash")</f>
        <v>GetDailyCash</v>
      </c>
      <c r="N4" s="27" t="str">
        <f>IFERROR(__xludf.DUMMYFUNCTION("""COMPUTED_VALUE"""),"GetDailyBeta")</f>
        <v>GetDailyBeta</v>
      </c>
      <c r="O4" s="27" t="str">
        <f>IFERROR(__xludf.DUMMYFUNCTION("""COMPUTED_VALUE"""),"GetDailyVolatility")</f>
        <v>GetDailyVolatility</v>
      </c>
      <c r="P4" s="28" t="str">
        <f>IFERROR(__xludf.DUMMYFUNCTION("""COMPUTED_VALUE"""),"GetDailyDividendYield")</f>
        <v>GetDailyDividendYield</v>
      </c>
      <c r="Q4" s="28" t="str">
        <f>IFERROR(__xludf.DUMMYFUNCTION("""COMPUTED_VALUE"""),"GetDailyTradingVolume")</f>
        <v>GetDailyTradingVolume</v>
      </c>
      <c r="R4" s="28" t="str">
        <f>IFERROR(__xludf.DUMMYFUNCTION("""COMPUTED_VALUE"""),"GetDailyOutstandings")</f>
        <v>GetDailyOutstandings</v>
      </c>
      <c r="S4" s="28" t="str">
        <f>IFERROR(__xludf.DUMMYFUNCTION("""COMPUTED_VALUE"""),"GetDailyDelta")</f>
        <v>GetDailyDelta</v>
      </c>
      <c r="T4" s="28" t="str">
        <f>IFERROR(__xludf.DUMMYFUNCTION("""COMPUTED_VALUE"""),"UpdateDailyVolatility")</f>
        <v>UpdateDailyVolatility</v>
      </c>
      <c r="U4" s="28" t="str">
        <f>IFERROR(__xludf.DUMMYFUNCTION("""COMPUTED_VALUE"""),"UpdateDividendYield")</f>
        <v>UpdateDividendYield</v>
      </c>
      <c r="V4" s="28" t="str">
        <f>IFERROR(__xludf.DUMMYFUNCTION("""COMPUTED_VALUE"""),"UpdateTradingVolume")</f>
        <v>UpdateTradingVolume</v>
      </c>
      <c r="W4" s="28" t="str">
        <f>IFERROR(__xludf.DUMMYFUNCTION("""COMPUTED_VALUE"""),"UpdateDailyDelta")</f>
        <v>UpdateDailyDelta</v>
      </c>
      <c r="X4" s="28" t="str">
        <f>IFERROR(__xludf.DUMMYFUNCTION("""COMPUTED_VALUE"""),"UpdateDailyOutstandings")</f>
        <v>UpdateDailyOutstandings</v>
      </c>
      <c r="Y4" s="28" t="str">
        <f>IFERROR(__xludf.DUMMYFUNCTION("""COMPUTED_VALUE"""),"UpdateBeta")</f>
        <v>UpdateBeta</v>
      </c>
      <c r="Z4" s="28" t="str">
        <f>IFERROR(__xludf.DUMMYFUNCTION("""COMPUTED_VALUE"""),"UpdateNAV")</f>
        <v>UpdateNAV</v>
      </c>
      <c r="AA4" s="28" t="str">
        <f>IFERROR(__xludf.DUMMYFUNCTION("""COMPUTED_VALUE"""),"UpdateDailyCash")</f>
        <v>UpdateDailyCash</v>
      </c>
      <c r="AB4" s="28" t="str">
        <f>IFERROR(__xludf.DUMMYFUNCTION("""COMPUTED_VALUE"""),"UpdateDailyCreditLimt")</f>
        <v>UpdateDailyCreditLimt</v>
      </c>
      <c r="AC4" s="28" t="str">
        <f>IFERROR(__xludf.DUMMYFUNCTION("""COMPUTED_VALUE"""),"RemoveDailyCreditLimit")</f>
        <v>RemoveDailyCreditLimit</v>
      </c>
      <c r="AD4" s="28" t="str">
        <f>IFERROR(__xludf.DUMMYFUNCTION("""COMPUTED_VALUE"""),"RemoveDailyCash")</f>
        <v>RemoveDailyCash</v>
      </c>
      <c r="AE4" s="28" t="str">
        <f>IFERROR(__xludf.DUMMYFUNCTION("""COMPUTED_VALUE"""),"RemoveNAV")</f>
        <v>RemoveNAV</v>
      </c>
      <c r="AF4" s="28" t="str">
        <f>IFERROR(__xludf.DUMMYFUNCTION("""COMPUTED_VALUE"""),"UpdateForexConversionMonthly")</f>
        <v>UpdateForexConversionMonthly</v>
      </c>
      <c r="AG4" s="28" t="str">
        <f>IFERROR(__xludf.DUMMYFUNCTION("""COMPUTED_VALUE"""),"UpdateMarkPriceMonthly")</f>
        <v>UpdateMarkPriceMonthly</v>
      </c>
      <c r="AH4" s="28" t="str">
        <f>IFERROR(__xludf.DUMMYFUNCTION("""COMPUTED_VALUE"""),"VerifyDailyCash")</f>
        <v>VerifyDailyCash</v>
      </c>
      <c r="AI4" s="28" t="str">
        <f>IFERROR(__xludf.DUMMYFUNCTION("""COMPUTED_VALUE"""),"EnableBlankMarkPrices")</f>
        <v>EnableBlankMarkPrices</v>
      </c>
      <c r="AJ4" s="28" t="str">
        <f>IFERROR(__xludf.DUMMYFUNCTION("""COMPUTED_VALUE"""),"UpateSymbolBlankMP")</f>
        <v>UpateSymbolBlankMP</v>
      </c>
      <c r="AK4" s="28" t="str">
        <f>IFERROR(__xludf.DUMMYFUNCTION("""COMPUTED_VALUE"""),"UpdateBlankMP")</f>
        <v>UpdateBlankMP</v>
      </c>
      <c r="AL4" s="28" t="str">
        <f>IFERROR(__xludf.DUMMYFUNCTION("""COMPUTED_VALUE"""),"FilterBlankMP")</f>
        <v>FilterBlankMP</v>
      </c>
      <c r="AM4" s="28" t="str">
        <f>IFERROR(__xludf.DUMMYFUNCTION("""COMPUTED_VALUE"""),"VerifyDVNavLockPopup")</f>
        <v>VerifyDVNavLockPopup</v>
      </c>
      <c r="AN4" s="28" t="str">
        <f>IFERROR(__xludf.DUMMYFUNCTION("""COMPUTED_VALUE"""),"SelectDateAtMPFC")</f>
        <v>SelectDateAtMPFC</v>
      </c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IFERROR(__xludf.DUMMYFUNCTION("""COMPUTED_VALUE"""),"Select Date")</f>
        <v>Select Date</v>
      </c>
      <c r="C5" s="41" t="str">
        <f>IFERROR(__xludf.DUMMYFUNCTION("""COMPUTED_VALUE"""),"Copy From")</f>
        <v>Copy From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43">
        <v>43024.0</v>
      </c>
      <c r="C6" s="43">
        <v>43024.0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21</v>
      </c>
      <c r="D3" s="5" t="s">
        <v>9</v>
      </c>
      <c r="E3" s="24" t="s">
        <v>64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IFERROR(__xludf.DUMMYFUNCTION("""COMPUTED_VALUE"""),"UpdateMultipleDailyCash")</f>
        <v>UpdateMultipleDailyCash</v>
      </c>
      <c r="E4" s="27" t="str">
        <f>IFERROR(__xludf.DUMMYFUNCTION("""COMPUTED_VALUE"""),"UpdateForexConversion")</f>
        <v>UpdateForexConversion</v>
      </c>
      <c r="F4" s="27" t="str">
        <f>IFERROR(__xludf.DUMMYFUNCTION("""COMPUTED_VALUE"""),"UpdateMarkPrice")</f>
        <v>UpdateMarkPrice</v>
      </c>
      <c r="G4" s="27" t="str">
        <f>IFERROR(__xludf.DUMMYFUNCTION("""COMPUTED_VALUE"""),"CleanUp")</f>
        <v>CleanUp</v>
      </c>
      <c r="H4" s="27" t="str">
        <f>IFERROR(__xludf.DUMMYFUNCTION("""COMPUTED_VALUE"""),"GetMarkPriceData")</f>
        <v>GetMarkPriceData</v>
      </c>
      <c r="I4" s="27" t="str">
        <f>IFERROR(__xludf.DUMMYFUNCTION("""COMPUTED_VALUE"""),"GetForwardPoints")</f>
        <v>GetForwardPoints</v>
      </c>
      <c r="J4" s="27" t="str">
        <f>IFERROR(__xludf.DUMMYFUNCTION("""COMPUTED_VALUE"""),"UpdateForwardPoints")</f>
        <v>UpdateForwardPoints</v>
      </c>
      <c r="K4" s="27" t="str">
        <f>IFERROR(__xludf.DUMMYFUNCTION("""COMPUTED_VALUE"""),"GetForexConversion")</f>
        <v>GetForexConversion</v>
      </c>
      <c r="L4" s="27" t="str">
        <f>IFERROR(__xludf.DUMMYFUNCTION("""COMPUTED_VALUE"""),"DeleteNAV")</f>
        <v>DeleteNAV</v>
      </c>
      <c r="M4" s="27" t="str">
        <f>IFERROR(__xludf.DUMMYFUNCTION("""COMPUTED_VALUE"""),"GetDailyCash")</f>
        <v>GetDailyCash</v>
      </c>
      <c r="N4" s="27" t="str">
        <f>IFERROR(__xludf.DUMMYFUNCTION("""COMPUTED_VALUE"""),"GetDailyBeta")</f>
        <v>GetDailyBeta</v>
      </c>
      <c r="O4" s="27" t="str">
        <f>IFERROR(__xludf.DUMMYFUNCTION("""COMPUTED_VALUE"""),"GetDailyVolatility")</f>
        <v>GetDailyVolatility</v>
      </c>
      <c r="P4" s="28" t="str">
        <f>IFERROR(__xludf.DUMMYFUNCTION("""COMPUTED_VALUE"""),"GetDailyDividendYield")</f>
        <v>GetDailyDividendYield</v>
      </c>
      <c r="Q4" s="28" t="str">
        <f>IFERROR(__xludf.DUMMYFUNCTION("""COMPUTED_VALUE"""),"GetDailyTradingVolume")</f>
        <v>GetDailyTradingVolume</v>
      </c>
      <c r="R4" s="28" t="str">
        <f>IFERROR(__xludf.DUMMYFUNCTION("""COMPUTED_VALUE"""),"GetDailyOutstandings")</f>
        <v>GetDailyOutstandings</v>
      </c>
      <c r="S4" s="28" t="str">
        <f>IFERROR(__xludf.DUMMYFUNCTION("""COMPUTED_VALUE"""),"GetDailyDelta")</f>
        <v>GetDailyDelta</v>
      </c>
      <c r="T4" s="28" t="str">
        <f>IFERROR(__xludf.DUMMYFUNCTION("""COMPUTED_VALUE"""),"UpdateDailyVolatility")</f>
        <v>UpdateDailyVolatility</v>
      </c>
      <c r="U4" s="28" t="str">
        <f>IFERROR(__xludf.DUMMYFUNCTION("""COMPUTED_VALUE"""),"UpdateDividendYield")</f>
        <v>UpdateDividendYield</v>
      </c>
      <c r="V4" s="28" t="str">
        <f>IFERROR(__xludf.DUMMYFUNCTION("""COMPUTED_VALUE"""),"UpdateTradingVolume")</f>
        <v>UpdateTradingVolume</v>
      </c>
      <c r="W4" s="28" t="str">
        <f>IFERROR(__xludf.DUMMYFUNCTION("""COMPUTED_VALUE"""),"UpdateDailyDelta")</f>
        <v>UpdateDailyDelta</v>
      </c>
      <c r="X4" s="28" t="str">
        <f>IFERROR(__xludf.DUMMYFUNCTION("""COMPUTED_VALUE"""),"UpdateDailyOutstandings")</f>
        <v>UpdateDailyOutstandings</v>
      </c>
      <c r="Y4" s="28" t="str">
        <f>IFERROR(__xludf.DUMMYFUNCTION("""COMPUTED_VALUE"""),"UpdateBeta")</f>
        <v>UpdateBeta</v>
      </c>
      <c r="Z4" s="28" t="str">
        <f>IFERROR(__xludf.DUMMYFUNCTION("""COMPUTED_VALUE"""),"UpdateNAV")</f>
        <v>UpdateNAV</v>
      </c>
      <c r="AA4" s="28" t="str">
        <f>IFERROR(__xludf.DUMMYFUNCTION("""COMPUTED_VALUE"""),"UpdateDailyCash")</f>
        <v>UpdateDailyCash</v>
      </c>
      <c r="AB4" s="28" t="str">
        <f>IFERROR(__xludf.DUMMYFUNCTION("""COMPUTED_VALUE"""),"UpdateDailyCreditLimt")</f>
        <v>UpdateDailyCreditLimt</v>
      </c>
      <c r="AC4" s="28" t="str">
        <f>IFERROR(__xludf.DUMMYFUNCTION("""COMPUTED_VALUE"""),"RemoveDailyCreditLimit")</f>
        <v>RemoveDailyCreditLimit</v>
      </c>
      <c r="AD4" s="28" t="str">
        <f>IFERROR(__xludf.DUMMYFUNCTION("""COMPUTED_VALUE"""),"RemoveDailyCash")</f>
        <v>RemoveDailyCash</v>
      </c>
      <c r="AE4" s="28" t="str">
        <f>IFERROR(__xludf.DUMMYFUNCTION("""COMPUTED_VALUE"""),"RemoveNAV")</f>
        <v>RemoveNAV</v>
      </c>
      <c r="AF4" s="28" t="str">
        <f>IFERROR(__xludf.DUMMYFUNCTION("""COMPUTED_VALUE"""),"UpdateForexConversionMonthly")</f>
        <v>UpdateForexConversionMonthly</v>
      </c>
      <c r="AG4" s="28" t="str">
        <f>IFERROR(__xludf.DUMMYFUNCTION("""COMPUTED_VALUE"""),"UpdateMarkPriceMonthly")</f>
        <v>UpdateMarkPriceMonthly</v>
      </c>
      <c r="AH4" s="28" t="str">
        <f>IFERROR(__xludf.DUMMYFUNCTION("""COMPUTED_VALUE"""),"VerifyDailyCash")</f>
        <v>VerifyDailyCash</v>
      </c>
      <c r="AI4" s="28" t="str">
        <f>IFERROR(__xludf.DUMMYFUNCTION("""COMPUTED_VALUE"""),"EnableBlankMarkPrices")</f>
        <v>EnableBlankMarkPrices</v>
      </c>
      <c r="AJ4" s="28" t="str">
        <f>IFERROR(__xludf.DUMMYFUNCTION("""COMPUTED_VALUE"""),"UpateSymbolBlankMP")</f>
        <v>UpateSymbolBlankMP</v>
      </c>
      <c r="AK4" s="28" t="str">
        <f>IFERROR(__xludf.DUMMYFUNCTION("""COMPUTED_VALUE"""),"UpdateBlankMP")</f>
        <v>UpdateBlankMP</v>
      </c>
      <c r="AL4" s="28" t="str">
        <f>IFERROR(__xludf.DUMMYFUNCTION("""COMPUTED_VALUE"""),"FilterBlankMP")</f>
        <v>FilterBlankMP</v>
      </c>
      <c r="AM4" s="28" t="str">
        <f>IFERROR(__xludf.DUMMYFUNCTION("""COMPUTED_VALUE"""),"VerifyDVNavLockPopup")</f>
        <v>VerifyDVNavLockPopup</v>
      </c>
      <c r="AN4" s="28" t="str">
        <f>IFERROR(__xludf.DUMMYFUNCTION("""COMPUTED_VALUE"""),"SelectDateAtMPFC")</f>
        <v>SelectDateAtMPFC</v>
      </c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IFERROR(__xludf.DUMMYFUNCTION("""COMPUTED_VALUE"""),"Account")</f>
        <v>Account</v>
      </c>
      <c r="C5" s="41" t="str">
        <f>IFERROR(__xludf.DUMMYFUNCTION("""COMPUTED_VALUE"""),"Local Currency")</f>
        <v>Local Currency</v>
      </c>
      <c r="D5" s="41" t="str">
        <f>IFERROR(__xludf.DUMMYFUNCTION("""COMPUTED_VALUE"""),"Cash Value Local")</f>
        <v>Cash Value Local</v>
      </c>
      <c r="E5" s="41" t="str">
        <f>IFERROR(__xludf.DUMMYFUNCTION("""COMPUTED_VALUE"""),"Base Currency")</f>
        <v>Base Currency</v>
      </c>
      <c r="F5" s="61" t="str">
        <f>IFERROR(__xludf.DUMMYFUNCTION("""COMPUTED_VALUE"""),"Cash Value Base")</f>
        <v>Cash Value Base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9" t="s">
        <v>18</v>
      </c>
      <c r="C6" s="9" t="s">
        <v>35</v>
      </c>
      <c r="D6" s="9">
        <v>-2070.0</v>
      </c>
      <c r="E6" s="9" t="s">
        <v>35</v>
      </c>
      <c r="F6" s="9">
        <v>-2070.0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65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IFERROR(__xludf.DUMMYFUNCTION("""COMPUTED_VALUE"""),"Balances as on date")</f>
        <v>Balances as on date</v>
      </c>
      <c r="E5" s="41" t="str">
        <f>IFERROR(__xludf.DUMMYFUNCTION("""COMPUTED_VALUE"""),"IsRunRevalOnGetAccountBalances")</f>
        <v>IsRunRevalOnGetAccountBalances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35"/>
      <c r="B6" s="44" t="s">
        <v>29</v>
      </c>
      <c r="C6" s="45" t="s">
        <v>18</v>
      </c>
      <c r="D6" s="62">
        <v>43031.0</v>
      </c>
      <c r="E6" s="63" t="b">
        <v>1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3" width="12.63"/>
    <col customWidth="1" min="4" max="4" width="17.38"/>
    <col customWidth="1" min="5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0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2" t="str">
        <f>IFERROR(__xludf.DUMMYFUNCTION("""COMPUTED_VALUE"""),"ORF Fee")</f>
        <v>ORF Fee</v>
      </c>
      <c r="U5" s="32" t="str">
        <f>IFERROR(__xludf.DUMMYFUNCTION("""COMPUTED_VALUE"""),"Other Broker Fees")</f>
        <v>Other Broker Fees</v>
      </c>
      <c r="V5" s="32" t="str">
        <f>IFERROR(__xludf.DUMMYFUNCTION("""COMPUTED_VALUE"""),"Quantity")</f>
        <v>Quantity</v>
      </c>
      <c r="W5" s="32" t="str">
        <f>IFERROR(__xludf.DUMMYFUNCTION("""COMPUTED_VALUE"""),"SEC Fee")</f>
        <v>SEC Fee</v>
      </c>
      <c r="X5" s="32" t="str">
        <f>IFERROR(__xludf.DUMMYFUNCTION("""COMPUTED_VALUE"""),"Settlement Currency")</f>
        <v>Settlement Currency</v>
      </c>
      <c r="Y5" s="32" t="str">
        <f>IFERROR(__xludf.DUMMYFUNCTION("""COMPUTED_VALUE"""),"Settlement Date")</f>
        <v>Settlement Date</v>
      </c>
      <c r="Z5" s="32" t="str">
        <f>IFERROR(__xludf.DUMMYFUNCTION("""COMPUTED_VALUE"""),"Soft Commission")</f>
        <v>Soft Commission</v>
      </c>
      <c r="AA5" s="32" t="str">
        <f>IFERROR(__xludf.DUMMYFUNCTION("""COMPUTED_VALUE"""),"Stamp Duty")</f>
        <v>Stamp Duty</v>
      </c>
      <c r="AB5" s="32" t="str">
        <f>IFERROR(__xludf.DUMMYFUNCTION("""COMPUTED_VALUE"""),"Symbol")</f>
        <v>Symbol</v>
      </c>
      <c r="AC5" s="32" t="str">
        <f>IFERROR(__xludf.DUMMYFUNCTION("""COMPUTED_VALUE"""),"Tax On Commissions")</f>
        <v>Tax On Commissions</v>
      </c>
      <c r="AD5" s="32" t="str">
        <f>IFERROR(__xludf.DUMMYFUNCTION("""COMPUTED_VALUE"""),"Total Commissions")</f>
        <v>Total Commissions</v>
      </c>
      <c r="AE5" s="32" t="str">
        <f>IFERROR(__xludf.DUMMYFUNCTION("""COMPUTED_VALUE"""),"Trade Date")</f>
        <v>Trade Date</v>
      </c>
      <c r="AF5" s="32" t="str">
        <f>IFERROR(__xludf.DUMMYFUNCTION("""COMPUTED_VALUE"""),"Transaction Levy")</f>
        <v>Transaction Levy</v>
      </c>
      <c r="AG5" s="32" t="str">
        <f>IFERROR(__xludf.DUMMYFUNCTION("""COMPUTED_VALUE"""),"Transaction Source")</f>
        <v>Transaction Source</v>
      </c>
      <c r="AH5" s="32" t="str">
        <f>IFERROR(__xludf.DUMMYFUNCTION("""COMPUTED_VALUE"""),"User")</f>
        <v>User</v>
      </c>
      <c r="AI5" s="32" t="str">
        <f>IFERROR(__xludf.DUMMYFUNCTION("""COMPUTED_VALUE"""),"Vs Currency")</f>
        <v>Vs Currency</v>
      </c>
      <c r="AJ5" s="32" t="str">
        <f>IFERROR(__xludf.DUMMYFUNCTION("""COMPUTED_VALUE"""),"SettlCurrencyID")</f>
        <v>SettlCurrencyID</v>
      </c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4"/>
      <c r="B6" s="59" t="s">
        <v>18</v>
      </c>
      <c r="C6" s="59" t="s">
        <v>66</v>
      </c>
      <c r="D6" s="59" t="s">
        <v>67</v>
      </c>
      <c r="E6" s="59">
        <v>180.0</v>
      </c>
      <c r="F6" s="59">
        <v>0.0</v>
      </c>
      <c r="G6" s="59">
        <v>0.0</v>
      </c>
      <c r="H6" s="59" t="s">
        <v>34</v>
      </c>
      <c r="I6" s="59">
        <v>0.0</v>
      </c>
      <c r="J6" s="59">
        <v>0.0</v>
      </c>
      <c r="K6" s="59" t="s">
        <v>35</v>
      </c>
      <c r="L6" s="59"/>
      <c r="M6" s="64"/>
      <c r="N6" s="59" t="s">
        <v>36</v>
      </c>
      <c r="O6" s="59">
        <v>1.0</v>
      </c>
      <c r="P6" s="65"/>
      <c r="Q6" s="64"/>
      <c r="R6" s="59">
        <v>0.0</v>
      </c>
      <c r="S6" s="59">
        <v>0.0</v>
      </c>
      <c r="T6" s="59">
        <v>0.0</v>
      </c>
      <c r="U6" s="59">
        <v>0.0</v>
      </c>
      <c r="V6" s="59">
        <v>0.0</v>
      </c>
      <c r="W6" s="59">
        <v>0.0</v>
      </c>
      <c r="X6" s="65"/>
      <c r="Y6" s="66"/>
      <c r="Z6" s="59">
        <v>0.0</v>
      </c>
      <c r="AA6" s="59">
        <v>0.0</v>
      </c>
      <c r="AB6" s="59" t="s">
        <v>16</v>
      </c>
      <c r="AC6" s="59">
        <v>0.0</v>
      </c>
      <c r="AD6" s="59">
        <v>0.0</v>
      </c>
      <c r="AE6" s="56">
        <v>43024.0</v>
      </c>
      <c r="AF6" s="59">
        <v>0.0</v>
      </c>
      <c r="AG6" s="59" t="s">
        <v>66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4"/>
      <c r="B7" s="59" t="s">
        <v>18</v>
      </c>
      <c r="C7" s="59" t="s">
        <v>32</v>
      </c>
      <c r="D7" s="59" t="s">
        <v>33</v>
      </c>
      <c r="E7" s="59">
        <v>-1945.0</v>
      </c>
      <c r="F7" s="59">
        <v>0.0</v>
      </c>
      <c r="G7" s="59">
        <v>0.0</v>
      </c>
      <c r="H7" s="59" t="s">
        <v>34</v>
      </c>
      <c r="I7" s="59">
        <v>0.0</v>
      </c>
      <c r="J7" s="59">
        <v>70.0</v>
      </c>
      <c r="K7" s="59" t="s">
        <v>35</v>
      </c>
      <c r="L7" s="59"/>
      <c r="M7" s="56"/>
      <c r="N7" s="59" t="s">
        <v>36</v>
      </c>
      <c r="O7" s="59">
        <v>1.0</v>
      </c>
      <c r="P7" s="65"/>
      <c r="Q7" s="64"/>
      <c r="R7" s="59">
        <v>0.0</v>
      </c>
      <c r="S7" s="59">
        <v>0.0</v>
      </c>
      <c r="T7" s="59">
        <v>0.0</v>
      </c>
      <c r="U7" s="59">
        <v>0.0</v>
      </c>
      <c r="V7" s="59">
        <v>50.0</v>
      </c>
      <c r="W7" s="59">
        <v>0.0</v>
      </c>
      <c r="X7" s="59"/>
      <c r="Y7" s="56"/>
      <c r="Z7" s="59">
        <v>0.0</v>
      </c>
      <c r="AA7" s="59">
        <v>0.0</v>
      </c>
      <c r="AB7" s="59" t="s">
        <v>16</v>
      </c>
      <c r="AC7" s="59">
        <v>0.0</v>
      </c>
      <c r="AD7" s="59">
        <v>70.0</v>
      </c>
      <c r="AE7" s="56">
        <v>43024.0</v>
      </c>
      <c r="AF7" s="59">
        <v>0.0</v>
      </c>
      <c r="AG7" s="59" t="s">
        <v>32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4"/>
      <c r="B8" s="59" t="s">
        <v>18</v>
      </c>
      <c r="C8" s="59" t="s">
        <v>32</v>
      </c>
      <c r="D8" s="59" t="s">
        <v>37</v>
      </c>
      <c r="E8" s="59">
        <v>-125.0</v>
      </c>
      <c r="F8" s="59">
        <v>0.0</v>
      </c>
      <c r="G8" s="59">
        <v>0.0</v>
      </c>
      <c r="H8" s="59" t="s">
        <v>34</v>
      </c>
      <c r="I8" s="59">
        <v>0.0</v>
      </c>
      <c r="J8" s="59">
        <v>0.0</v>
      </c>
      <c r="K8" s="59" t="s">
        <v>35</v>
      </c>
      <c r="L8" s="59"/>
      <c r="M8" s="56"/>
      <c r="N8" s="59" t="s">
        <v>36</v>
      </c>
      <c r="O8" s="59">
        <v>1.0</v>
      </c>
      <c r="P8" s="65"/>
      <c r="Q8" s="64"/>
      <c r="R8" s="59">
        <v>0.0</v>
      </c>
      <c r="S8" s="59">
        <v>0.0</v>
      </c>
      <c r="T8" s="59">
        <v>0.0</v>
      </c>
      <c r="U8" s="59">
        <v>0.0</v>
      </c>
      <c r="V8" s="59">
        <v>50.0</v>
      </c>
      <c r="W8" s="59">
        <v>0.0</v>
      </c>
      <c r="X8" s="59"/>
      <c r="Y8" s="56"/>
      <c r="Z8" s="59">
        <v>0.0</v>
      </c>
      <c r="AA8" s="59">
        <v>0.0</v>
      </c>
      <c r="AB8" s="59" t="s">
        <v>16</v>
      </c>
      <c r="AC8" s="59">
        <v>0.0</v>
      </c>
      <c r="AD8" s="59">
        <v>0.0</v>
      </c>
      <c r="AE8" s="56">
        <v>43024.0</v>
      </c>
      <c r="AF8" s="59">
        <v>0.0</v>
      </c>
      <c r="AG8" s="59" t="s">
        <v>32</v>
      </c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</row>
    <row r="9" ht="15.75" customHeight="1">
      <c r="A9" s="4"/>
      <c r="B9" s="59" t="s">
        <v>18</v>
      </c>
      <c r="C9" s="59" t="s">
        <v>32</v>
      </c>
      <c r="D9" s="59" t="s">
        <v>50</v>
      </c>
      <c r="E9" s="59">
        <v>0.0</v>
      </c>
      <c r="F9" s="59">
        <v>0.0</v>
      </c>
      <c r="G9" s="59">
        <v>0.0</v>
      </c>
      <c r="H9" s="59" t="s">
        <v>68</v>
      </c>
      <c r="I9" s="59">
        <v>0.0</v>
      </c>
      <c r="J9" s="59">
        <v>0.0</v>
      </c>
      <c r="K9" s="59" t="s">
        <v>35</v>
      </c>
      <c r="L9" s="59"/>
      <c r="M9" s="56"/>
      <c r="N9" s="59" t="s">
        <v>36</v>
      </c>
      <c r="O9" s="59">
        <v>1.0</v>
      </c>
      <c r="P9" s="65"/>
      <c r="Q9" s="64"/>
      <c r="R9" s="59">
        <v>0.0</v>
      </c>
      <c r="S9" s="59">
        <v>0.0</v>
      </c>
      <c r="T9" s="59">
        <v>0.0</v>
      </c>
      <c r="U9" s="59">
        <v>0.0</v>
      </c>
      <c r="V9" s="59">
        <v>50.0</v>
      </c>
      <c r="W9" s="59">
        <v>0.0</v>
      </c>
      <c r="X9" s="59"/>
      <c r="Y9" s="56"/>
      <c r="Z9" s="59">
        <v>0.0</v>
      </c>
      <c r="AA9" s="59">
        <v>0.0</v>
      </c>
      <c r="AB9" s="59" t="s">
        <v>16</v>
      </c>
      <c r="AC9" s="59">
        <v>0.0</v>
      </c>
      <c r="AD9" s="59">
        <v>0.0</v>
      </c>
      <c r="AE9" s="56">
        <v>43024.0</v>
      </c>
      <c r="AF9" s="59">
        <v>0.0</v>
      </c>
      <c r="AG9" s="59" t="s">
        <v>52</v>
      </c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</row>
    <row r="10" ht="15.75" customHeight="1">
      <c r="A10" s="4"/>
      <c r="B10" s="59" t="s">
        <v>18</v>
      </c>
      <c r="C10" s="59" t="s">
        <v>66</v>
      </c>
      <c r="D10" s="59" t="s">
        <v>67</v>
      </c>
      <c r="E10" s="59">
        <v>-180.0</v>
      </c>
      <c r="F10" s="59">
        <v>0.0</v>
      </c>
      <c r="G10" s="59">
        <v>0.0</v>
      </c>
      <c r="H10" s="59" t="s">
        <v>34</v>
      </c>
      <c r="I10" s="59">
        <v>0.0</v>
      </c>
      <c r="J10" s="59">
        <v>0.0</v>
      </c>
      <c r="K10" s="59" t="s">
        <v>35</v>
      </c>
      <c r="L10" s="59"/>
      <c r="M10" s="64"/>
      <c r="N10" s="59" t="s">
        <v>36</v>
      </c>
      <c r="O10" s="59">
        <v>1.0</v>
      </c>
      <c r="P10" s="65"/>
      <c r="Q10" s="64"/>
      <c r="R10" s="59">
        <v>0.0</v>
      </c>
      <c r="S10" s="59">
        <v>0.0</v>
      </c>
      <c r="T10" s="59">
        <v>0.0</v>
      </c>
      <c r="U10" s="59">
        <v>0.0</v>
      </c>
      <c r="V10" s="59">
        <v>0.0</v>
      </c>
      <c r="W10" s="59">
        <v>0.0</v>
      </c>
      <c r="X10" s="65"/>
      <c r="Y10" s="66"/>
      <c r="Z10" s="59">
        <v>0.0</v>
      </c>
      <c r="AA10" s="59">
        <v>0.0</v>
      </c>
      <c r="AB10" s="59" t="s">
        <v>16</v>
      </c>
      <c r="AC10" s="59">
        <v>0.0</v>
      </c>
      <c r="AD10" s="59">
        <v>0.0</v>
      </c>
      <c r="AE10" s="56">
        <v>43025.0</v>
      </c>
      <c r="AF10" s="59">
        <v>0.0</v>
      </c>
      <c r="AG10" s="59" t="s">
        <v>66</v>
      </c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</row>
    <row r="11" ht="15.75" customHeight="1">
      <c r="A11" s="4"/>
      <c r="B11" s="59" t="s">
        <v>18</v>
      </c>
      <c r="C11" s="59" t="s">
        <v>66</v>
      </c>
      <c r="D11" s="59" t="s">
        <v>67</v>
      </c>
      <c r="E11" s="59">
        <v>-1945.0</v>
      </c>
      <c r="F11" s="59">
        <v>0.0</v>
      </c>
      <c r="G11" s="59">
        <v>0.0</v>
      </c>
      <c r="H11" s="59" t="s">
        <v>34</v>
      </c>
      <c r="I11" s="59">
        <v>0.0</v>
      </c>
      <c r="J11" s="59">
        <v>0.0</v>
      </c>
      <c r="K11" s="59" t="s">
        <v>35</v>
      </c>
      <c r="L11" s="59"/>
      <c r="M11" s="64"/>
      <c r="N11" s="59" t="s">
        <v>36</v>
      </c>
      <c r="O11" s="59">
        <v>1.0</v>
      </c>
      <c r="P11" s="65"/>
      <c r="Q11" s="64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5"/>
      <c r="Y11" s="66"/>
      <c r="Z11" s="59">
        <v>0.0</v>
      </c>
      <c r="AA11" s="59">
        <v>0.0</v>
      </c>
      <c r="AB11" s="59" t="s">
        <v>16</v>
      </c>
      <c r="AC11" s="59">
        <v>0.0</v>
      </c>
      <c r="AD11" s="59">
        <v>0.0</v>
      </c>
      <c r="AE11" s="56">
        <v>43025.0</v>
      </c>
      <c r="AF11" s="59">
        <v>0.0</v>
      </c>
      <c r="AG11" s="59" t="s">
        <v>66</v>
      </c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ht="15.75" customHeight="1">
      <c r="A12" s="4"/>
      <c r="B12" s="59" t="s">
        <v>18</v>
      </c>
      <c r="C12" s="59" t="s">
        <v>32</v>
      </c>
      <c r="D12" s="59" t="s">
        <v>50</v>
      </c>
      <c r="E12" s="59">
        <v>0.0</v>
      </c>
      <c r="F12" s="59">
        <v>0.0</v>
      </c>
      <c r="G12" s="59">
        <v>0.0</v>
      </c>
      <c r="H12" s="59" t="s">
        <v>68</v>
      </c>
      <c r="I12" s="59">
        <v>0.0</v>
      </c>
      <c r="J12" s="59">
        <v>0.0</v>
      </c>
      <c r="K12" s="59" t="s">
        <v>35</v>
      </c>
      <c r="L12" s="59"/>
      <c r="M12" s="56"/>
      <c r="N12" s="59" t="s">
        <v>36</v>
      </c>
      <c r="O12" s="59">
        <v>0.0</v>
      </c>
      <c r="P12" s="65"/>
      <c r="Q12" s="64"/>
      <c r="R12" s="59">
        <v>0.0</v>
      </c>
      <c r="S12" s="59">
        <v>0.0</v>
      </c>
      <c r="T12" s="59">
        <v>0.0</v>
      </c>
      <c r="U12" s="59">
        <v>0.0</v>
      </c>
      <c r="V12" s="59">
        <v>50.0</v>
      </c>
      <c r="W12" s="59">
        <v>0.0</v>
      </c>
      <c r="X12" s="59"/>
      <c r="Y12" s="56"/>
      <c r="Z12" s="59">
        <v>0.0</v>
      </c>
      <c r="AA12" s="59">
        <v>0.0</v>
      </c>
      <c r="AB12" s="59" t="s">
        <v>16</v>
      </c>
      <c r="AC12" s="59">
        <v>0.0</v>
      </c>
      <c r="AD12" s="59">
        <v>0.0</v>
      </c>
      <c r="AE12" s="56">
        <v>43025.0</v>
      </c>
      <c r="AF12" s="59">
        <v>0.0</v>
      </c>
      <c r="AG12" s="59" t="s">
        <v>52</v>
      </c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</row>
    <row r="13" ht="15.75" customHeight="1">
      <c r="A13" s="4"/>
      <c r="B13" s="59" t="s">
        <v>18</v>
      </c>
      <c r="C13" s="59" t="s">
        <v>66</v>
      </c>
      <c r="D13" s="59" t="s">
        <v>67</v>
      </c>
      <c r="E13" s="59">
        <v>1945.0</v>
      </c>
      <c r="F13" s="59">
        <v>0.0</v>
      </c>
      <c r="G13" s="59">
        <v>0.0</v>
      </c>
      <c r="H13" s="59" t="s">
        <v>34</v>
      </c>
      <c r="I13" s="59">
        <v>0.0</v>
      </c>
      <c r="J13" s="59">
        <v>0.0</v>
      </c>
      <c r="K13" s="59" t="s">
        <v>35</v>
      </c>
      <c r="L13" s="59"/>
      <c r="M13" s="64"/>
      <c r="N13" s="59" t="s">
        <v>36</v>
      </c>
      <c r="O13" s="59">
        <v>1.0</v>
      </c>
      <c r="P13" s="65"/>
      <c r="Q13" s="64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5"/>
      <c r="Y13" s="66"/>
      <c r="Z13" s="59">
        <v>0.0</v>
      </c>
      <c r="AA13" s="59">
        <v>0.0</v>
      </c>
      <c r="AB13" s="59" t="s">
        <v>16</v>
      </c>
      <c r="AC13" s="59">
        <v>0.0</v>
      </c>
      <c r="AD13" s="59">
        <v>0.0</v>
      </c>
      <c r="AE13" s="56">
        <v>43026.0</v>
      </c>
      <c r="AF13" s="59">
        <v>0.0</v>
      </c>
      <c r="AG13" s="59" t="s">
        <v>66</v>
      </c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</row>
    <row r="14" ht="15.75" customHeight="1">
      <c r="A14" s="4"/>
      <c r="B14" s="59" t="s">
        <v>18</v>
      </c>
      <c r="C14" s="59" t="s">
        <v>66</v>
      </c>
      <c r="D14" s="59" t="s">
        <v>67</v>
      </c>
      <c r="E14" s="59">
        <v>-1945.0</v>
      </c>
      <c r="F14" s="59">
        <v>0.0</v>
      </c>
      <c r="G14" s="59">
        <v>0.0</v>
      </c>
      <c r="H14" s="59" t="s">
        <v>34</v>
      </c>
      <c r="I14" s="59">
        <v>0.0</v>
      </c>
      <c r="J14" s="59">
        <v>0.0</v>
      </c>
      <c r="K14" s="59" t="s">
        <v>35</v>
      </c>
      <c r="L14" s="59"/>
      <c r="M14" s="64"/>
      <c r="N14" s="59" t="s">
        <v>36</v>
      </c>
      <c r="O14" s="59">
        <v>1.0</v>
      </c>
      <c r="P14" s="65"/>
      <c r="Q14" s="64"/>
      <c r="R14" s="59">
        <v>0.0</v>
      </c>
      <c r="S14" s="59">
        <v>0.0</v>
      </c>
      <c r="T14" s="59">
        <v>0.0</v>
      </c>
      <c r="U14" s="59">
        <v>0.0</v>
      </c>
      <c r="V14" s="59">
        <v>0.0</v>
      </c>
      <c r="W14" s="59">
        <v>0.0</v>
      </c>
      <c r="X14" s="65"/>
      <c r="Y14" s="66"/>
      <c r="Z14" s="59">
        <v>0.0</v>
      </c>
      <c r="AA14" s="59">
        <v>0.0</v>
      </c>
      <c r="AB14" s="59" t="s">
        <v>16</v>
      </c>
      <c r="AC14" s="59">
        <v>0.0</v>
      </c>
      <c r="AD14" s="59">
        <v>0.0</v>
      </c>
      <c r="AE14" s="56">
        <v>43026.0</v>
      </c>
      <c r="AF14" s="59">
        <v>0.0</v>
      </c>
      <c r="AG14" s="59" t="s">
        <v>66</v>
      </c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</row>
    <row r="15" ht="15.75" customHeight="1">
      <c r="A15" s="4"/>
      <c r="B15" s="59" t="s">
        <v>18</v>
      </c>
      <c r="C15" s="59" t="s">
        <v>32</v>
      </c>
      <c r="D15" s="59" t="s">
        <v>50</v>
      </c>
      <c r="E15" s="59">
        <v>0.0</v>
      </c>
      <c r="F15" s="59">
        <v>0.0</v>
      </c>
      <c r="G15" s="59">
        <v>0.0</v>
      </c>
      <c r="H15" s="59" t="s">
        <v>68</v>
      </c>
      <c r="I15" s="59">
        <v>0.0</v>
      </c>
      <c r="J15" s="59">
        <v>0.0</v>
      </c>
      <c r="K15" s="59" t="s">
        <v>35</v>
      </c>
      <c r="L15" s="59"/>
      <c r="M15" s="56"/>
      <c r="N15" s="59" t="s">
        <v>36</v>
      </c>
      <c r="O15" s="59">
        <v>0.0</v>
      </c>
      <c r="P15" s="65"/>
      <c r="Q15" s="64"/>
      <c r="R15" s="59">
        <v>0.0</v>
      </c>
      <c r="S15" s="59">
        <v>0.0</v>
      </c>
      <c r="T15" s="59">
        <v>0.0</v>
      </c>
      <c r="U15" s="59">
        <v>0.0</v>
      </c>
      <c r="V15" s="59">
        <v>50.0</v>
      </c>
      <c r="W15" s="59">
        <v>0.0</v>
      </c>
      <c r="X15" s="59"/>
      <c r="Y15" s="56"/>
      <c r="Z15" s="59">
        <v>0.0</v>
      </c>
      <c r="AA15" s="59">
        <v>0.0</v>
      </c>
      <c r="AB15" s="59" t="s">
        <v>16</v>
      </c>
      <c r="AC15" s="59">
        <v>0.0</v>
      </c>
      <c r="AD15" s="59">
        <v>0.0</v>
      </c>
      <c r="AE15" s="56">
        <v>43026.0</v>
      </c>
      <c r="AF15" s="59">
        <v>0.0</v>
      </c>
      <c r="AG15" s="59" t="s">
        <v>52</v>
      </c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</row>
    <row r="16" ht="15.75" customHeight="1">
      <c r="A16" s="4"/>
      <c r="B16" s="59" t="s">
        <v>18</v>
      </c>
      <c r="C16" s="59" t="s">
        <v>66</v>
      </c>
      <c r="D16" s="59" t="s">
        <v>67</v>
      </c>
      <c r="E16" s="59">
        <v>1945.0</v>
      </c>
      <c r="F16" s="59">
        <v>0.0</v>
      </c>
      <c r="G16" s="59">
        <v>0.0</v>
      </c>
      <c r="H16" s="59" t="s">
        <v>34</v>
      </c>
      <c r="I16" s="59">
        <v>0.0</v>
      </c>
      <c r="J16" s="59">
        <v>0.0</v>
      </c>
      <c r="K16" s="59" t="s">
        <v>35</v>
      </c>
      <c r="L16" s="59"/>
      <c r="M16" s="64"/>
      <c r="N16" s="59" t="s">
        <v>36</v>
      </c>
      <c r="O16" s="59">
        <v>1.0</v>
      </c>
      <c r="P16" s="65"/>
      <c r="Q16" s="64"/>
      <c r="R16" s="59">
        <v>0.0</v>
      </c>
      <c r="S16" s="59">
        <v>0.0</v>
      </c>
      <c r="T16" s="59">
        <v>0.0</v>
      </c>
      <c r="U16" s="59">
        <v>0.0</v>
      </c>
      <c r="V16" s="59">
        <v>0.0</v>
      </c>
      <c r="W16" s="59">
        <v>0.0</v>
      </c>
      <c r="X16" s="65"/>
      <c r="Y16" s="66"/>
      <c r="Z16" s="59">
        <v>0.0</v>
      </c>
      <c r="AA16" s="59">
        <v>0.0</v>
      </c>
      <c r="AB16" s="59" t="s">
        <v>16</v>
      </c>
      <c r="AC16" s="59">
        <v>0.0</v>
      </c>
      <c r="AD16" s="59">
        <v>0.0</v>
      </c>
      <c r="AE16" s="56">
        <v>43027.0</v>
      </c>
      <c r="AF16" s="59">
        <v>0.0</v>
      </c>
      <c r="AG16" s="59" t="s">
        <v>66</v>
      </c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</row>
    <row r="17" ht="15.75" customHeight="1">
      <c r="A17" s="4"/>
      <c r="B17" s="59" t="s">
        <v>18</v>
      </c>
      <c r="C17" s="59" t="s">
        <v>66</v>
      </c>
      <c r="D17" s="59" t="s">
        <v>67</v>
      </c>
      <c r="E17" s="59">
        <v>-1945.0</v>
      </c>
      <c r="F17" s="59">
        <v>0.0</v>
      </c>
      <c r="G17" s="59">
        <v>0.0</v>
      </c>
      <c r="H17" s="59" t="s">
        <v>34</v>
      </c>
      <c r="I17" s="59">
        <v>0.0</v>
      </c>
      <c r="J17" s="59">
        <v>0.0</v>
      </c>
      <c r="K17" s="59" t="s">
        <v>35</v>
      </c>
      <c r="L17" s="59"/>
      <c r="M17" s="64"/>
      <c r="N17" s="59" t="s">
        <v>36</v>
      </c>
      <c r="O17" s="59">
        <v>1.0</v>
      </c>
      <c r="P17" s="65"/>
      <c r="Q17" s="64"/>
      <c r="R17" s="59">
        <v>0.0</v>
      </c>
      <c r="S17" s="59">
        <v>0.0</v>
      </c>
      <c r="T17" s="59">
        <v>0.0</v>
      </c>
      <c r="U17" s="59">
        <v>0.0</v>
      </c>
      <c r="V17" s="59">
        <v>0.0</v>
      </c>
      <c r="W17" s="59">
        <v>0.0</v>
      </c>
      <c r="X17" s="65"/>
      <c r="Y17" s="66"/>
      <c r="Z17" s="59">
        <v>0.0</v>
      </c>
      <c r="AA17" s="59">
        <v>0.0</v>
      </c>
      <c r="AB17" s="59" t="s">
        <v>16</v>
      </c>
      <c r="AC17" s="59">
        <v>0.0</v>
      </c>
      <c r="AD17" s="59">
        <v>0.0</v>
      </c>
      <c r="AE17" s="56">
        <v>43027.0</v>
      </c>
      <c r="AF17" s="59">
        <v>0.0</v>
      </c>
      <c r="AG17" s="59" t="s">
        <v>66</v>
      </c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</row>
    <row r="18" ht="15.75" customHeight="1">
      <c r="A18" s="4"/>
      <c r="B18" s="59" t="s">
        <v>18</v>
      </c>
      <c r="C18" s="59" t="s">
        <v>32</v>
      </c>
      <c r="D18" s="59" t="s">
        <v>50</v>
      </c>
      <c r="E18" s="59">
        <v>0.0</v>
      </c>
      <c r="F18" s="59">
        <v>0.0</v>
      </c>
      <c r="G18" s="59">
        <v>0.0</v>
      </c>
      <c r="H18" s="59" t="s">
        <v>68</v>
      </c>
      <c r="I18" s="59">
        <v>0.0</v>
      </c>
      <c r="J18" s="59">
        <v>0.0</v>
      </c>
      <c r="K18" s="59" t="s">
        <v>35</v>
      </c>
      <c r="L18" s="59"/>
      <c r="M18" s="56"/>
      <c r="N18" s="59" t="s">
        <v>36</v>
      </c>
      <c r="O18" s="59">
        <v>0.0</v>
      </c>
      <c r="P18" s="65"/>
      <c r="Q18" s="64"/>
      <c r="R18" s="59">
        <v>0.0</v>
      </c>
      <c r="S18" s="59">
        <v>0.0</v>
      </c>
      <c r="T18" s="59">
        <v>0.0</v>
      </c>
      <c r="U18" s="59">
        <v>0.0</v>
      </c>
      <c r="V18" s="59">
        <v>50.0</v>
      </c>
      <c r="W18" s="59">
        <v>0.0</v>
      </c>
      <c r="X18" s="59"/>
      <c r="Y18" s="56"/>
      <c r="Z18" s="59">
        <v>0.0</v>
      </c>
      <c r="AA18" s="59">
        <v>0.0</v>
      </c>
      <c r="AB18" s="59" t="s">
        <v>16</v>
      </c>
      <c r="AC18" s="59">
        <v>0.0</v>
      </c>
      <c r="AD18" s="59">
        <v>0.0</v>
      </c>
      <c r="AE18" s="56">
        <v>43027.0</v>
      </c>
      <c r="AF18" s="59">
        <v>0.0</v>
      </c>
      <c r="AG18" s="59" t="s">
        <v>52</v>
      </c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</row>
    <row r="19" ht="15.75" customHeight="1">
      <c r="A19" s="4"/>
      <c r="B19" s="59" t="s">
        <v>18</v>
      </c>
      <c r="C19" s="59" t="s">
        <v>66</v>
      </c>
      <c r="D19" s="59" t="s">
        <v>67</v>
      </c>
      <c r="E19" s="59">
        <v>1945.0</v>
      </c>
      <c r="F19" s="59">
        <v>0.0</v>
      </c>
      <c r="G19" s="59">
        <v>0.0</v>
      </c>
      <c r="H19" s="59" t="s">
        <v>34</v>
      </c>
      <c r="I19" s="59">
        <v>0.0</v>
      </c>
      <c r="J19" s="59">
        <v>0.0</v>
      </c>
      <c r="K19" s="59" t="s">
        <v>35</v>
      </c>
      <c r="L19" s="59"/>
      <c r="M19" s="64"/>
      <c r="N19" s="59" t="s">
        <v>36</v>
      </c>
      <c r="O19" s="59">
        <v>1.0</v>
      </c>
      <c r="P19" s="65"/>
      <c r="Q19" s="64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5"/>
      <c r="Y19" s="66"/>
      <c r="Z19" s="59">
        <v>0.0</v>
      </c>
      <c r="AA19" s="59">
        <v>0.0</v>
      </c>
      <c r="AB19" s="59" t="s">
        <v>16</v>
      </c>
      <c r="AC19" s="59">
        <v>0.0</v>
      </c>
      <c r="AD19" s="59">
        <v>0.0</v>
      </c>
      <c r="AE19" s="56">
        <v>43028.0</v>
      </c>
      <c r="AF19" s="59">
        <v>0.0</v>
      </c>
      <c r="AG19" s="59" t="s">
        <v>66</v>
      </c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</row>
    <row r="20" ht="15.75" customHeight="1">
      <c r="A20" s="4"/>
      <c r="B20" s="59" t="s">
        <v>18</v>
      </c>
      <c r="C20" s="59" t="s">
        <v>66</v>
      </c>
      <c r="D20" s="59" t="s">
        <v>67</v>
      </c>
      <c r="E20" s="59">
        <v>-1945.0</v>
      </c>
      <c r="F20" s="59">
        <v>0.0</v>
      </c>
      <c r="G20" s="59">
        <v>0.0</v>
      </c>
      <c r="H20" s="59" t="s">
        <v>34</v>
      </c>
      <c r="I20" s="59">
        <v>0.0</v>
      </c>
      <c r="J20" s="59">
        <v>0.0</v>
      </c>
      <c r="K20" s="59" t="s">
        <v>35</v>
      </c>
      <c r="L20" s="59"/>
      <c r="M20" s="64"/>
      <c r="N20" s="59" t="s">
        <v>36</v>
      </c>
      <c r="O20" s="59">
        <v>1.0</v>
      </c>
      <c r="P20" s="65"/>
      <c r="Q20" s="64"/>
      <c r="R20" s="59">
        <v>0.0</v>
      </c>
      <c r="S20" s="59">
        <v>0.0</v>
      </c>
      <c r="T20" s="59">
        <v>0.0</v>
      </c>
      <c r="U20" s="59">
        <v>0.0</v>
      </c>
      <c r="V20" s="59">
        <v>0.0</v>
      </c>
      <c r="W20" s="59">
        <v>0.0</v>
      </c>
      <c r="X20" s="65"/>
      <c r="Y20" s="66"/>
      <c r="Z20" s="59">
        <v>0.0</v>
      </c>
      <c r="AA20" s="59">
        <v>0.0</v>
      </c>
      <c r="AB20" s="59" t="s">
        <v>16</v>
      </c>
      <c r="AC20" s="59">
        <v>0.0</v>
      </c>
      <c r="AD20" s="59">
        <v>0.0</v>
      </c>
      <c r="AE20" s="56">
        <v>43028.0</v>
      </c>
      <c r="AF20" s="59">
        <v>0.0</v>
      </c>
      <c r="AG20" s="59" t="s">
        <v>66</v>
      </c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</row>
    <row r="21" ht="15.75" customHeight="1">
      <c r="A21" s="4"/>
      <c r="B21" s="59" t="s">
        <v>18</v>
      </c>
      <c r="C21" s="59" t="s">
        <v>32</v>
      </c>
      <c r="D21" s="59" t="s">
        <v>50</v>
      </c>
      <c r="E21" s="59">
        <v>1.74</v>
      </c>
      <c r="F21" s="59">
        <v>0.0</v>
      </c>
      <c r="G21" s="59">
        <v>0.0</v>
      </c>
      <c r="H21" s="59" t="s">
        <v>68</v>
      </c>
      <c r="I21" s="59">
        <v>0.0</v>
      </c>
      <c r="J21" s="59">
        <v>0.0</v>
      </c>
      <c r="K21" s="59" t="s">
        <v>35</v>
      </c>
      <c r="L21" s="59"/>
      <c r="M21" s="56"/>
      <c r="N21" s="59" t="s">
        <v>36</v>
      </c>
      <c r="O21" s="59">
        <v>0.0</v>
      </c>
      <c r="P21" s="65"/>
      <c r="Q21" s="64"/>
      <c r="R21" s="59">
        <v>0.0</v>
      </c>
      <c r="S21" s="59">
        <v>0.0</v>
      </c>
      <c r="T21" s="59">
        <v>0.0</v>
      </c>
      <c r="U21" s="59">
        <v>0.0</v>
      </c>
      <c r="V21" s="59">
        <v>50.0</v>
      </c>
      <c r="W21" s="59">
        <v>0.0</v>
      </c>
      <c r="X21" s="59"/>
      <c r="Y21" s="56"/>
      <c r="Z21" s="59">
        <v>0.0</v>
      </c>
      <c r="AA21" s="59">
        <v>0.0</v>
      </c>
      <c r="AB21" s="59" t="s">
        <v>16</v>
      </c>
      <c r="AC21" s="59">
        <v>0.0</v>
      </c>
      <c r="AD21" s="59">
        <v>0.0</v>
      </c>
      <c r="AE21" s="56">
        <v>43028.0</v>
      </c>
      <c r="AF21" s="59">
        <v>0.0</v>
      </c>
      <c r="AG21" s="59" t="s">
        <v>52</v>
      </c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</row>
    <row r="22" ht="15.75" customHeight="1">
      <c r="A22" s="4"/>
      <c r="B22" s="59" t="s">
        <v>18</v>
      </c>
      <c r="C22" s="59" t="s">
        <v>66</v>
      </c>
      <c r="D22" s="59" t="s">
        <v>67</v>
      </c>
      <c r="E22" s="59">
        <v>1945.0</v>
      </c>
      <c r="F22" s="59">
        <v>0.0</v>
      </c>
      <c r="G22" s="59">
        <v>0.0</v>
      </c>
      <c r="H22" s="59" t="s">
        <v>34</v>
      </c>
      <c r="I22" s="59">
        <v>0.0</v>
      </c>
      <c r="J22" s="59">
        <v>0.0</v>
      </c>
      <c r="K22" s="59" t="s">
        <v>35</v>
      </c>
      <c r="L22" s="59"/>
      <c r="M22" s="64"/>
      <c r="N22" s="59" t="s">
        <v>36</v>
      </c>
      <c r="O22" s="59">
        <v>1.0</v>
      </c>
      <c r="P22" s="65"/>
      <c r="Q22" s="64"/>
      <c r="R22" s="59">
        <v>0.0</v>
      </c>
      <c r="S22" s="59">
        <v>0.0</v>
      </c>
      <c r="T22" s="59">
        <v>0.0</v>
      </c>
      <c r="U22" s="59">
        <v>0.0</v>
      </c>
      <c r="V22" s="59">
        <v>0.0</v>
      </c>
      <c r="W22" s="59">
        <v>0.0</v>
      </c>
      <c r="X22" s="65"/>
      <c r="Y22" s="66"/>
      <c r="Z22" s="59">
        <v>0.0</v>
      </c>
      <c r="AA22" s="59">
        <v>0.0</v>
      </c>
      <c r="AB22" s="59" t="s">
        <v>16</v>
      </c>
      <c r="AC22" s="59">
        <v>0.0</v>
      </c>
      <c r="AD22" s="59">
        <v>0.0</v>
      </c>
      <c r="AE22" s="56">
        <v>43029.0</v>
      </c>
      <c r="AF22" s="59">
        <v>0.0</v>
      </c>
      <c r="AG22" s="59" t="s">
        <v>66</v>
      </c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</row>
    <row r="23" ht="15.75" customHeight="1">
      <c r="A23" s="4"/>
      <c r="B23" s="59" t="s">
        <v>18</v>
      </c>
      <c r="C23" s="59" t="s">
        <v>66</v>
      </c>
      <c r="D23" s="59" t="s">
        <v>67</v>
      </c>
      <c r="E23" s="59">
        <v>-1945.0</v>
      </c>
      <c r="F23" s="59">
        <v>0.0</v>
      </c>
      <c r="G23" s="59">
        <v>0.0</v>
      </c>
      <c r="H23" s="59" t="s">
        <v>34</v>
      </c>
      <c r="I23" s="59">
        <v>0.0</v>
      </c>
      <c r="J23" s="59">
        <v>0.0</v>
      </c>
      <c r="K23" s="59" t="s">
        <v>35</v>
      </c>
      <c r="L23" s="59"/>
      <c r="M23" s="64"/>
      <c r="N23" s="59" t="s">
        <v>36</v>
      </c>
      <c r="O23" s="59">
        <v>1.0</v>
      </c>
      <c r="P23" s="65"/>
      <c r="Q23" s="64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5"/>
      <c r="Y23" s="66"/>
      <c r="Z23" s="59">
        <v>0.0</v>
      </c>
      <c r="AA23" s="59">
        <v>0.0</v>
      </c>
      <c r="AB23" s="59" t="s">
        <v>16</v>
      </c>
      <c r="AC23" s="59">
        <v>0.0</v>
      </c>
      <c r="AD23" s="59">
        <v>0.0</v>
      </c>
      <c r="AE23" s="56">
        <v>43029.0</v>
      </c>
      <c r="AF23" s="59">
        <v>0.0</v>
      </c>
      <c r="AG23" s="59" t="s">
        <v>66</v>
      </c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</row>
    <row r="24" ht="15.75" customHeight="1">
      <c r="A24" s="4"/>
      <c r="B24" s="59" t="s">
        <v>18</v>
      </c>
      <c r="C24" s="59" t="s">
        <v>32</v>
      </c>
      <c r="D24" s="59" t="s">
        <v>50</v>
      </c>
      <c r="E24" s="59">
        <v>1.74</v>
      </c>
      <c r="F24" s="59">
        <v>0.0</v>
      </c>
      <c r="G24" s="59">
        <v>0.0</v>
      </c>
      <c r="H24" s="59" t="s">
        <v>68</v>
      </c>
      <c r="I24" s="59">
        <v>0.0</v>
      </c>
      <c r="J24" s="59">
        <v>0.0</v>
      </c>
      <c r="K24" s="59" t="s">
        <v>35</v>
      </c>
      <c r="L24" s="59"/>
      <c r="M24" s="56"/>
      <c r="N24" s="59" t="s">
        <v>36</v>
      </c>
      <c r="O24" s="59">
        <v>0.0</v>
      </c>
      <c r="P24" s="65"/>
      <c r="Q24" s="64"/>
      <c r="R24" s="59">
        <v>0.0</v>
      </c>
      <c r="S24" s="59">
        <v>0.0</v>
      </c>
      <c r="T24" s="59">
        <v>0.0</v>
      </c>
      <c r="U24" s="59">
        <v>0.0</v>
      </c>
      <c r="V24" s="59">
        <v>50.0</v>
      </c>
      <c r="W24" s="59">
        <v>0.0</v>
      </c>
      <c r="X24" s="59"/>
      <c r="Y24" s="56"/>
      <c r="Z24" s="59">
        <v>0.0</v>
      </c>
      <c r="AA24" s="59">
        <v>0.0</v>
      </c>
      <c r="AB24" s="59" t="s">
        <v>16</v>
      </c>
      <c r="AC24" s="59">
        <v>0.0</v>
      </c>
      <c r="AD24" s="59">
        <v>0.0</v>
      </c>
      <c r="AE24" s="56">
        <v>43029.0</v>
      </c>
      <c r="AF24" s="59">
        <v>0.0</v>
      </c>
      <c r="AG24" s="59" t="s">
        <v>52</v>
      </c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</row>
    <row r="25" ht="15.75" customHeight="1">
      <c r="A25" s="4"/>
      <c r="B25" s="59" t="s">
        <v>18</v>
      </c>
      <c r="C25" s="59" t="s">
        <v>66</v>
      </c>
      <c r="D25" s="59" t="s">
        <v>67</v>
      </c>
      <c r="E25" s="59">
        <v>1945.0</v>
      </c>
      <c r="F25" s="59">
        <v>0.0</v>
      </c>
      <c r="G25" s="59">
        <v>0.0</v>
      </c>
      <c r="H25" s="59" t="s">
        <v>34</v>
      </c>
      <c r="I25" s="59">
        <v>0.0</v>
      </c>
      <c r="J25" s="59">
        <v>0.0</v>
      </c>
      <c r="K25" s="59" t="s">
        <v>35</v>
      </c>
      <c r="L25" s="59"/>
      <c r="M25" s="64"/>
      <c r="N25" s="59" t="s">
        <v>36</v>
      </c>
      <c r="O25" s="59">
        <v>1.0</v>
      </c>
      <c r="P25" s="65"/>
      <c r="Q25" s="64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5"/>
      <c r="Y25" s="66"/>
      <c r="Z25" s="59">
        <v>0.0</v>
      </c>
      <c r="AA25" s="59">
        <v>0.0</v>
      </c>
      <c r="AB25" s="59" t="s">
        <v>16</v>
      </c>
      <c r="AC25" s="59">
        <v>0.0</v>
      </c>
      <c r="AD25" s="59">
        <v>0.0</v>
      </c>
      <c r="AE25" s="56">
        <v>43030.0</v>
      </c>
      <c r="AF25" s="59">
        <v>0.0</v>
      </c>
      <c r="AG25" s="59" t="s">
        <v>66</v>
      </c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</row>
    <row r="26" ht="15.75" customHeight="1">
      <c r="A26" s="4"/>
      <c r="B26" s="59" t="s">
        <v>18</v>
      </c>
      <c r="C26" s="59" t="s">
        <v>66</v>
      </c>
      <c r="D26" s="59" t="s">
        <v>67</v>
      </c>
      <c r="E26" s="59">
        <v>-1945.0</v>
      </c>
      <c r="F26" s="59">
        <v>0.0</v>
      </c>
      <c r="G26" s="59">
        <v>0.0</v>
      </c>
      <c r="H26" s="59" t="s">
        <v>34</v>
      </c>
      <c r="I26" s="59">
        <v>0.0</v>
      </c>
      <c r="J26" s="59">
        <v>0.0</v>
      </c>
      <c r="K26" s="59" t="s">
        <v>35</v>
      </c>
      <c r="L26" s="59"/>
      <c r="M26" s="64"/>
      <c r="N26" s="59" t="s">
        <v>36</v>
      </c>
      <c r="O26" s="59">
        <v>1.0</v>
      </c>
      <c r="P26" s="65"/>
      <c r="Q26" s="64"/>
      <c r="R26" s="59">
        <v>0.0</v>
      </c>
      <c r="S26" s="59">
        <v>0.0</v>
      </c>
      <c r="T26" s="59">
        <v>0.0</v>
      </c>
      <c r="U26" s="59">
        <v>0.0</v>
      </c>
      <c r="V26" s="59">
        <v>0.0</v>
      </c>
      <c r="W26" s="59">
        <v>0.0</v>
      </c>
      <c r="X26" s="65"/>
      <c r="Y26" s="66"/>
      <c r="Z26" s="59">
        <v>0.0</v>
      </c>
      <c r="AA26" s="59">
        <v>0.0</v>
      </c>
      <c r="AB26" s="59" t="s">
        <v>16</v>
      </c>
      <c r="AC26" s="59">
        <v>0.0</v>
      </c>
      <c r="AD26" s="59">
        <v>0.0</v>
      </c>
      <c r="AE26" s="56">
        <v>43030.0</v>
      </c>
      <c r="AF26" s="59">
        <v>0.0</v>
      </c>
      <c r="AG26" s="59" t="s">
        <v>66</v>
      </c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</row>
    <row r="27" ht="15.75" customHeight="1">
      <c r="A27" s="4"/>
      <c r="B27" s="59" t="s">
        <v>18</v>
      </c>
      <c r="C27" s="59" t="s">
        <v>32</v>
      </c>
      <c r="D27" s="59" t="s">
        <v>50</v>
      </c>
      <c r="E27" s="59">
        <v>1.74</v>
      </c>
      <c r="F27" s="59">
        <v>0.0</v>
      </c>
      <c r="G27" s="59">
        <v>0.0</v>
      </c>
      <c r="H27" s="59" t="s">
        <v>68</v>
      </c>
      <c r="I27" s="59">
        <v>0.0</v>
      </c>
      <c r="J27" s="59">
        <v>0.0</v>
      </c>
      <c r="K27" s="59" t="s">
        <v>35</v>
      </c>
      <c r="L27" s="59"/>
      <c r="M27" s="56"/>
      <c r="N27" s="59" t="s">
        <v>36</v>
      </c>
      <c r="O27" s="59">
        <v>0.0</v>
      </c>
      <c r="P27" s="65"/>
      <c r="Q27" s="64"/>
      <c r="R27" s="59">
        <v>0.0</v>
      </c>
      <c r="S27" s="59">
        <v>0.0</v>
      </c>
      <c r="T27" s="59">
        <v>0.0</v>
      </c>
      <c r="U27" s="59">
        <v>0.0</v>
      </c>
      <c r="V27" s="59">
        <v>50.0</v>
      </c>
      <c r="W27" s="59">
        <v>0.0</v>
      </c>
      <c r="X27" s="59"/>
      <c r="Y27" s="56"/>
      <c r="Z27" s="59">
        <v>0.0</v>
      </c>
      <c r="AA27" s="59">
        <v>0.0</v>
      </c>
      <c r="AB27" s="59" t="s">
        <v>16</v>
      </c>
      <c r="AC27" s="59">
        <v>0.0</v>
      </c>
      <c r="AD27" s="59">
        <v>0.0</v>
      </c>
      <c r="AE27" s="56">
        <v>43030.0</v>
      </c>
      <c r="AF27" s="59">
        <v>0.0</v>
      </c>
      <c r="AG27" s="59" t="s">
        <v>52</v>
      </c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</row>
    <row r="28" ht="15.75" customHeight="1">
      <c r="A28" s="4"/>
      <c r="B28" s="59" t="s">
        <v>18</v>
      </c>
      <c r="C28" s="59" t="s">
        <v>66</v>
      </c>
      <c r="D28" s="59" t="s">
        <v>67</v>
      </c>
      <c r="E28" s="59">
        <v>1945.0</v>
      </c>
      <c r="F28" s="59">
        <v>0.0</v>
      </c>
      <c r="G28" s="59">
        <v>0.0</v>
      </c>
      <c r="H28" s="59" t="s">
        <v>34</v>
      </c>
      <c r="I28" s="59">
        <v>0.0</v>
      </c>
      <c r="J28" s="59">
        <v>0.0</v>
      </c>
      <c r="K28" s="59" t="s">
        <v>35</v>
      </c>
      <c r="L28" s="59"/>
      <c r="M28" s="64"/>
      <c r="N28" s="59" t="s">
        <v>36</v>
      </c>
      <c r="O28" s="59">
        <v>1.0</v>
      </c>
      <c r="P28" s="65"/>
      <c r="Q28" s="64"/>
      <c r="R28" s="59">
        <v>0.0</v>
      </c>
      <c r="S28" s="59">
        <v>0.0</v>
      </c>
      <c r="T28" s="59">
        <v>0.0</v>
      </c>
      <c r="U28" s="59">
        <v>0.0</v>
      </c>
      <c r="V28" s="59">
        <v>0.0</v>
      </c>
      <c r="W28" s="59">
        <v>0.0</v>
      </c>
      <c r="X28" s="65"/>
      <c r="Y28" s="66"/>
      <c r="Z28" s="59">
        <v>0.0</v>
      </c>
      <c r="AA28" s="59">
        <v>0.0</v>
      </c>
      <c r="AB28" s="59" t="s">
        <v>16</v>
      </c>
      <c r="AC28" s="59">
        <v>0.0</v>
      </c>
      <c r="AD28" s="59">
        <v>0.0</v>
      </c>
      <c r="AE28" s="56">
        <v>43031.0</v>
      </c>
      <c r="AF28" s="59">
        <v>0.0</v>
      </c>
      <c r="AG28" s="59" t="s">
        <v>66</v>
      </c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</row>
    <row r="29" ht="15.75" customHeight="1">
      <c r="A29" s="4"/>
      <c r="B29" s="59" t="s">
        <v>18</v>
      </c>
      <c r="C29" s="59" t="s">
        <v>66</v>
      </c>
      <c r="D29" s="59" t="s">
        <v>69</v>
      </c>
      <c r="E29" s="59">
        <v>-725.0</v>
      </c>
      <c r="F29" s="59">
        <v>0.0</v>
      </c>
      <c r="G29" s="59">
        <v>0.0</v>
      </c>
      <c r="H29" s="59" t="s">
        <v>34</v>
      </c>
      <c r="I29" s="59">
        <v>0.0</v>
      </c>
      <c r="J29" s="59">
        <v>0.0</v>
      </c>
      <c r="K29" s="59" t="s">
        <v>35</v>
      </c>
      <c r="L29" s="59"/>
      <c r="M29" s="64"/>
      <c r="N29" s="59" t="s">
        <v>36</v>
      </c>
      <c r="O29" s="59">
        <v>1.0</v>
      </c>
      <c r="P29" s="65"/>
      <c r="Q29" s="64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5"/>
      <c r="Y29" s="66"/>
      <c r="Z29" s="59">
        <v>0.0</v>
      </c>
      <c r="AA29" s="59">
        <v>0.0</v>
      </c>
      <c r="AB29" s="59" t="s">
        <v>16</v>
      </c>
      <c r="AC29" s="59">
        <v>0.0</v>
      </c>
      <c r="AD29" s="59">
        <v>0.0</v>
      </c>
      <c r="AE29" s="56">
        <v>43031.0</v>
      </c>
      <c r="AF29" s="59">
        <v>0.0</v>
      </c>
      <c r="AG29" s="59" t="s">
        <v>66</v>
      </c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</row>
    <row r="30" ht="15.75" customHeight="1">
      <c r="A30" s="4"/>
      <c r="B30" s="59" t="s">
        <v>18</v>
      </c>
      <c r="C30" s="59" t="s">
        <v>32</v>
      </c>
      <c r="D30" s="59" t="s">
        <v>50</v>
      </c>
      <c r="E30" s="59">
        <v>6.94</v>
      </c>
      <c r="F30" s="59">
        <v>0.0</v>
      </c>
      <c r="G30" s="59">
        <v>0.0</v>
      </c>
      <c r="H30" s="59" t="s">
        <v>68</v>
      </c>
      <c r="I30" s="59">
        <v>0.0</v>
      </c>
      <c r="J30" s="59">
        <v>0.0</v>
      </c>
      <c r="K30" s="59" t="s">
        <v>35</v>
      </c>
      <c r="L30" s="59"/>
      <c r="M30" s="56"/>
      <c r="N30" s="59" t="s">
        <v>36</v>
      </c>
      <c r="O30" s="59">
        <v>0.0</v>
      </c>
      <c r="P30" s="65"/>
      <c r="Q30" s="64"/>
      <c r="R30" s="59">
        <v>0.0</v>
      </c>
      <c r="S30" s="59">
        <v>0.0</v>
      </c>
      <c r="T30" s="59">
        <v>0.0</v>
      </c>
      <c r="U30" s="59">
        <v>0.0</v>
      </c>
      <c r="V30" s="59">
        <v>50.0</v>
      </c>
      <c r="W30" s="59">
        <v>0.0</v>
      </c>
      <c r="X30" s="59"/>
      <c r="Y30" s="56"/>
      <c r="Z30" s="59">
        <v>0.0</v>
      </c>
      <c r="AA30" s="59">
        <v>0.0</v>
      </c>
      <c r="AB30" s="59" t="s">
        <v>16</v>
      </c>
      <c r="AC30" s="59">
        <v>0.0</v>
      </c>
      <c r="AD30" s="59">
        <v>0.0</v>
      </c>
      <c r="AE30" s="56">
        <v>43031.0</v>
      </c>
      <c r="AF30" s="59">
        <v>0.0</v>
      </c>
      <c r="AG30" s="59" t="s">
        <v>52</v>
      </c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</row>
    <row r="31" ht="15.75" customHeight="1">
      <c r="A31" s="4"/>
      <c r="B31" s="59" t="s">
        <v>18</v>
      </c>
      <c r="C31" s="59" t="s">
        <v>32</v>
      </c>
      <c r="D31" s="59" t="s">
        <v>50</v>
      </c>
      <c r="E31" s="59">
        <v>0.0</v>
      </c>
      <c r="F31" s="59">
        <v>0.0</v>
      </c>
      <c r="G31" s="59">
        <v>0.0</v>
      </c>
      <c r="H31" s="59" t="s">
        <v>68</v>
      </c>
      <c r="I31" s="59">
        <v>0.0</v>
      </c>
      <c r="J31" s="59">
        <v>0.0</v>
      </c>
      <c r="K31" s="59" t="s">
        <v>35</v>
      </c>
      <c r="L31" s="59"/>
      <c r="M31" s="56"/>
      <c r="N31" s="59" t="s">
        <v>36</v>
      </c>
      <c r="O31" s="59">
        <v>1.0</v>
      </c>
      <c r="P31" s="65"/>
      <c r="Q31" s="64"/>
      <c r="R31" s="59">
        <v>0.0</v>
      </c>
      <c r="S31" s="59">
        <v>0.0</v>
      </c>
      <c r="T31" s="59">
        <v>0.0</v>
      </c>
      <c r="U31" s="59">
        <v>0.0</v>
      </c>
      <c r="V31" s="59">
        <v>50.0</v>
      </c>
      <c r="W31" s="59">
        <v>0.0</v>
      </c>
      <c r="X31" s="59"/>
      <c r="Y31" s="56"/>
      <c r="Z31" s="59">
        <v>0.0</v>
      </c>
      <c r="AA31" s="59">
        <v>0.0</v>
      </c>
      <c r="AB31" s="59" t="s">
        <v>16</v>
      </c>
      <c r="AC31" s="59">
        <v>0.0</v>
      </c>
      <c r="AD31" s="59">
        <v>0.0</v>
      </c>
      <c r="AE31" s="56">
        <v>43031.0</v>
      </c>
      <c r="AF31" s="59">
        <v>0.0</v>
      </c>
      <c r="AG31" s="59" t="s">
        <v>52</v>
      </c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</row>
    <row r="32" ht="15.75" customHeight="1">
      <c r="A32" s="4"/>
      <c r="B32" s="59" t="s">
        <v>18</v>
      </c>
      <c r="C32" s="59" t="s">
        <v>32</v>
      </c>
      <c r="D32" s="59" t="s">
        <v>33</v>
      </c>
      <c r="E32" s="59">
        <v>1220.0</v>
      </c>
      <c r="F32" s="59">
        <v>0.0</v>
      </c>
      <c r="G32" s="59">
        <v>0.0</v>
      </c>
      <c r="H32" s="59" t="s">
        <v>34</v>
      </c>
      <c r="I32" s="59">
        <v>0.0</v>
      </c>
      <c r="J32" s="59">
        <v>30.0</v>
      </c>
      <c r="K32" s="59" t="s">
        <v>35</v>
      </c>
      <c r="L32" s="59"/>
      <c r="M32" s="56"/>
      <c r="N32" s="59" t="s">
        <v>36</v>
      </c>
      <c r="O32" s="59">
        <v>1.0</v>
      </c>
      <c r="P32" s="65"/>
      <c r="Q32" s="64"/>
      <c r="R32" s="59">
        <v>0.0</v>
      </c>
      <c r="S32" s="59">
        <v>0.0</v>
      </c>
      <c r="T32" s="59">
        <v>0.0</v>
      </c>
      <c r="U32" s="59">
        <v>0.0</v>
      </c>
      <c r="V32" s="59">
        <v>50.0</v>
      </c>
      <c r="W32" s="59">
        <v>0.0</v>
      </c>
      <c r="X32" s="59"/>
      <c r="Y32" s="56"/>
      <c r="Z32" s="59">
        <v>0.0</v>
      </c>
      <c r="AA32" s="59">
        <v>0.0</v>
      </c>
      <c r="AB32" s="59" t="s">
        <v>16</v>
      </c>
      <c r="AC32" s="59">
        <v>0.0</v>
      </c>
      <c r="AD32" s="59">
        <v>30.0</v>
      </c>
      <c r="AE32" s="56">
        <v>43031.0</v>
      </c>
      <c r="AF32" s="59">
        <v>0.0</v>
      </c>
      <c r="AG32" s="59" t="s">
        <v>32</v>
      </c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</row>
    <row r="33" ht="15.75" customHeight="1">
      <c r="A33" s="4"/>
      <c r="B33" s="59" t="s">
        <v>18</v>
      </c>
      <c r="C33" s="59" t="s">
        <v>32</v>
      </c>
      <c r="D33" s="59" t="s">
        <v>38</v>
      </c>
      <c r="E33" s="59">
        <v>137.15</v>
      </c>
      <c r="F33" s="59">
        <v>0.0</v>
      </c>
      <c r="G33" s="59">
        <v>0.0</v>
      </c>
      <c r="H33" s="59" t="s">
        <v>34</v>
      </c>
      <c r="I33" s="59">
        <v>0.0</v>
      </c>
      <c r="J33" s="59">
        <v>0.0</v>
      </c>
      <c r="K33" s="59" t="s">
        <v>35</v>
      </c>
      <c r="L33" s="59"/>
      <c r="M33" s="56"/>
      <c r="N33" s="59" t="s">
        <v>36</v>
      </c>
      <c r="O33" s="59">
        <v>1.0</v>
      </c>
      <c r="P33" s="65"/>
      <c r="Q33" s="64"/>
      <c r="R33" s="59">
        <v>0.0</v>
      </c>
      <c r="S33" s="59">
        <v>0.0</v>
      </c>
      <c r="T33" s="59">
        <v>0.0</v>
      </c>
      <c r="U33" s="59">
        <v>0.0</v>
      </c>
      <c r="V33" s="59">
        <v>50.0</v>
      </c>
      <c r="W33" s="59">
        <v>0.0</v>
      </c>
      <c r="X33" s="59"/>
      <c r="Y33" s="56"/>
      <c r="Z33" s="59">
        <v>0.0</v>
      </c>
      <c r="AA33" s="59">
        <v>0.0</v>
      </c>
      <c r="AB33" s="59" t="s">
        <v>16</v>
      </c>
      <c r="AC33" s="59">
        <v>0.0</v>
      </c>
      <c r="AD33" s="59">
        <v>0.0</v>
      </c>
      <c r="AE33" s="56">
        <v>43031.0</v>
      </c>
      <c r="AF33" s="59">
        <v>0.0</v>
      </c>
      <c r="AG33" s="59" t="s">
        <v>32</v>
      </c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</row>
    <row r="34" ht="15.75" customHeight="1">
      <c r="A34" s="8"/>
      <c r="B34" s="59"/>
      <c r="C34" s="67"/>
      <c r="D34" s="67"/>
      <c r="E34" s="68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9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70"/>
      <c r="AH34" s="67"/>
      <c r="AI34" s="67"/>
      <c r="AJ34" s="6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70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IFERROR(__xludf.DUMMYFUNCTION("""COMPUTED_VALUE"""),"From Date")</f>
        <v>From Date</v>
      </c>
      <c r="E5" s="41" t="str">
        <f>IFERROR(__xludf.DUMMYFUNCTION("""COMPUTED_VALUE"""),"To Date")</f>
        <v>To Date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35"/>
      <c r="B6" s="44" t="s">
        <v>29</v>
      </c>
      <c r="C6" s="45" t="s">
        <v>18</v>
      </c>
      <c r="D6" s="46">
        <v>43024.0</v>
      </c>
      <c r="E6" s="46">
        <v>43031.0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5" width="12.63"/>
    <col customWidth="1" min="6" max="6" width="33.5"/>
    <col customWidth="1" min="7" max="8" width="12.63"/>
    <col customWidth="1" min="9" max="9" width="15.88"/>
    <col customWidth="1" min="10" max="11" width="15.25"/>
    <col customWidth="1" min="12" max="16" width="12.63"/>
    <col customWidth="1" min="17" max="17" width="21.88"/>
    <col customWidth="1" min="18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71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30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30" t="str">
        <f>IFERROR(__xludf.DUMMYFUNCTION("""COMPUTED_VALUE"""),"Cash Sub-Account")</f>
        <v>Cash Sub-Account</v>
      </c>
      <c r="G5" s="30" t="str">
        <f>IFERROR(__xludf.DUMMYFUNCTION("""COMPUTED_VALUE"""),"DR")</f>
        <v>DR</v>
      </c>
      <c r="H5" s="30" t="str">
        <f>IFERROR(__xludf.DUMMYFUNCTION("""COMPUTED_VALUE"""),"CR")</f>
        <v>CR</v>
      </c>
      <c r="I5" s="30" t="str">
        <f>IFERROR(__xludf.DUMMYFUNCTION("""COMPUTED_VALUE"""),"Modify Date")</f>
        <v>Modify Date</v>
      </c>
      <c r="J5" s="30" t="str">
        <f>IFERROR(__xludf.DUMMYFUNCTION("""COMPUTED_VALUE"""),"Entry Date")</f>
        <v>Entry Date</v>
      </c>
      <c r="K5" s="30" t="str">
        <f>IFERROR(__xludf.DUMMYFUNCTION("""COMPUTED_VALUE"""),"User")</f>
        <v>User</v>
      </c>
      <c r="L5" s="30" t="str">
        <f>IFERROR(__xludf.DUMMYFUNCTION("""COMPUTED_VALUE"""),"Fx Rate")</f>
        <v>Fx Rate</v>
      </c>
      <c r="M5" s="30" t="str">
        <f>IFERROR(__xludf.DUMMYFUNCTION("""COMPUTED_VALUE"""),"FX Conversion Method Operator")</f>
        <v>FX Conversion Method Operator</v>
      </c>
      <c r="N5" s="30" t="str">
        <f>IFERROR(__xludf.DUMMYFUNCTION("""COMPUTED_VALUE"""),"Account Side")</f>
        <v>Account Side</v>
      </c>
      <c r="O5" s="30" t="str">
        <f>IFERROR(__xludf.DUMMYFUNCTION("""COMPUTED_VALUE"""),"TransactionSource")</f>
        <v>TransactionSource</v>
      </c>
      <c r="P5" s="30" t="str">
        <f>IFERROR(__xludf.DUMMYFUNCTION("""COMPUTED_VALUE"""),"Base Currency")</f>
        <v>Base Currency</v>
      </c>
      <c r="Q5" s="30" t="str">
        <f>IFERROR(__xludf.DUMMYFUNCTION("""COMPUTED_VALUE"""),"Description")</f>
        <v>Description</v>
      </c>
      <c r="R5" s="30" t="str">
        <f>IFERROR(__xludf.DUMMYFUNCTION("""COMPUTED_VALUE"""),"DR (Base)")</f>
        <v>DR (Base)</v>
      </c>
      <c r="S5" s="30" t="str">
        <f>IFERROR(__xludf.DUMMYFUNCTION("""COMPUTED_VALUE"""),"CR (Base)")</f>
        <v>CR (Base)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4"/>
      <c r="B6" s="56">
        <v>43024.0</v>
      </c>
      <c r="C6" s="59" t="s">
        <v>18</v>
      </c>
      <c r="D6" s="59" t="s">
        <v>16</v>
      </c>
      <c r="E6" s="59" t="s">
        <v>35</v>
      </c>
      <c r="F6" s="59" t="s">
        <v>72</v>
      </c>
      <c r="G6" s="57">
        <v>180.0</v>
      </c>
      <c r="H6" s="58">
        <v>0.0</v>
      </c>
      <c r="I6" s="64"/>
      <c r="J6" s="64"/>
      <c r="K6" s="59"/>
      <c r="L6" s="59">
        <v>1.0</v>
      </c>
      <c r="M6" s="59" t="s">
        <v>36</v>
      </c>
      <c r="N6" s="59" t="s">
        <v>41</v>
      </c>
      <c r="O6" s="59" t="s">
        <v>66</v>
      </c>
      <c r="P6" s="59" t="s">
        <v>35</v>
      </c>
      <c r="Q6" s="59" t="s">
        <v>73</v>
      </c>
      <c r="R6" s="57">
        <v>180.0</v>
      </c>
      <c r="S6" s="57">
        <v>0.0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4"/>
      <c r="B7" s="56">
        <v>43024.0</v>
      </c>
      <c r="C7" s="59" t="s">
        <v>18</v>
      </c>
      <c r="D7" s="59" t="s">
        <v>16</v>
      </c>
      <c r="E7" s="59" t="s">
        <v>35</v>
      </c>
      <c r="F7" s="59" t="s">
        <v>74</v>
      </c>
      <c r="G7" s="60">
        <v>0.0</v>
      </c>
      <c r="H7" s="57">
        <v>180.0</v>
      </c>
      <c r="I7" s="64"/>
      <c r="J7" s="64"/>
      <c r="K7" s="59"/>
      <c r="L7" s="59">
        <v>1.0</v>
      </c>
      <c r="M7" s="59" t="s">
        <v>36</v>
      </c>
      <c r="N7" s="59" t="s">
        <v>43</v>
      </c>
      <c r="O7" s="59" t="s">
        <v>66</v>
      </c>
      <c r="P7" s="59" t="s">
        <v>35</v>
      </c>
      <c r="Q7" s="59" t="s">
        <v>73</v>
      </c>
      <c r="R7" s="57">
        <v>0.0</v>
      </c>
      <c r="S7" s="57">
        <v>180.0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4"/>
      <c r="B8" s="56">
        <v>43025.0</v>
      </c>
      <c r="C8" s="59" t="s">
        <v>18</v>
      </c>
      <c r="D8" s="59" t="s">
        <v>16</v>
      </c>
      <c r="E8" s="59" t="s">
        <v>35</v>
      </c>
      <c r="F8" s="59" t="s">
        <v>74</v>
      </c>
      <c r="G8" s="57">
        <v>1945.0</v>
      </c>
      <c r="H8" s="58">
        <v>0.0</v>
      </c>
      <c r="I8" s="64"/>
      <c r="J8" s="64"/>
      <c r="K8" s="59"/>
      <c r="L8" s="59">
        <v>1.0</v>
      </c>
      <c r="M8" s="59" t="s">
        <v>36</v>
      </c>
      <c r="N8" s="59" t="s">
        <v>41</v>
      </c>
      <c r="O8" s="59" t="s">
        <v>66</v>
      </c>
      <c r="P8" s="59" t="s">
        <v>35</v>
      </c>
      <c r="Q8" s="59" t="s">
        <v>73</v>
      </c>
      <c r="R8" s="57">
        <v>1945.0</v>
      </c>
      <c r="S8" s="57">
        <v>0.0</v>
      </c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</row>
    <row r="9" ht="15.75" customHeight="1">
      <c r="A9" s="4"/>
      <c r="B9" s="56">
        <v>43025.0</v>
      </c>
      <c r="C9" s="59" t="s">
        <v>18</v>
      </c>
      <c r="D9" s="59" t="s">
        <v>16</v>
      </c>
      <c r="E9" s="59" t="s">
        <v>35</v>
      </c>
      <c r="F9" s="59" t="s">
        <v>72</v>
      </c>
      <c r="G9" s="60">
        <v>0.0</v>
      </c>
      <c r="H9" s="57">
        <v>1945.0</v>
      </c>
      <c r="I9" s="64"/>
      <c r="J9" s="64"/>
      <c r="K9" s="59"/>
      <c r="L9" s="59">
        <v>1.0</v>
      </c>
      <c r="M9" s="59" t="s">
        <v>36</v>
      </c>
      <c r="N9" s="59" t="s">
        <v>43</v>
      </c>
      <c r="O9" s="59" t="s">
        <v>66</v>
      </c>
      <c r="P9" s="59" t="s">
        <v>35</v>
      </c>
      <c r="Q9" s="59" t="s">
        <v>73</v>
      </c>
      <c r="R9" s="57">
        <v>0.0</v>
      </c>
      <c r="S9" s="57">
        <v>1945.0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</row>
    <row r="10" ht="15.75" customHeight="1">
      <c r="A10" s="4"/>
      <c r="B10" s="56">
        <v>43025.0</v>
      </c>
      <c r="C10" s="59" t="s">
        <v>18</v>
      </c>
      <c r="D10" s="59" t="s">
        <v>16</v>
      </c>
      <c r="E10" s="59" t="s">
        <v>35</v>
      </c>
      <c r="F10" s="59" t="s">
        <v>74</v>
      </c>
      <c r="G10" s="57">
        <v>180.0</v>
      </c>
      <c r="H10" s="58">
        <v>0.0</v>
      </c>
      <c r="I10" s="64"/>
      <c r="J10" s="64"/>
      <c r="K10" s="59"/>
      <c r="L10" s="59">
        <v>1.0</v>
      </c>
      <c r="M10" s="59" t="s">
        <v>36</v>
      </c>
      <c r="N10" s="59" t="s">
        <v>41</v>
      </c>
      <c r="O10" s="59" t="s">
        <v>66</v>
      </c>
      <c r="P10" s="59" t="s">
        <v>35</v>
      </c>
      <c r="Q10" s="59" t="s">
        <v>75</v>
      </c>
      <c r="R10" s="57">
        <v>180.0</v>
      </c>
      <c r="S10" s="57">
        <v>0.0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</row>
    <row r="11" ht="15.75" customHeight="1">
      <c r="A11" s="4"/>
      <c r="B11" s="56">
        <v>43025.0</v>
      </c>
      <c r="C11" s="59" t="s">
        <v>18</v>
      </c>
      <c r="D11" s="59" t="s">
        <v>16</v>
      </c>
      <c r="E11" s="59" t="s">
        <v>35</v>
      </c>
      <c r="F11" s="59" t="s">
        <v>72</v>
      </c>
      <c r="G11" s="60">
        <v>0.0</v>
      </c>
      <c r="H11" s="57">
        <v>180.0</v>
      </c>
      <c r="I11" s="64"/>
      <c r="J11" s="64"/>
      <c r="K11" s="59"/>
      <c r="L11" s="59">
        <v>1.0</v>
      </c>
      <c r="M11" s="59" t="s">
        <v>36</v>
      </c>
      <c r="N11" s="59" t="s">
        <v>43</v>
      </c>
      <c r="O11" s="59" t="s">
        <v>66</v>
      </c>
      <c r="P11" s="59" t="s">
        <v>35</v>
      </c>
      <c r="Q11" s="59" t="s">
        <v>75</v>
      </c>
      <c r="R11" s="57">
        <v>0.0</v>
      </c>
      <c r="S11" s="57">
        <v>180.0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ht="15.75" customHeight="1">
      <c r="A12" s="4"/>
      <c r="B12" s="56">
        <v>43026.0</v>
      </c>
      <c r="C12" s="59" t="s">
        <v>18</v>
      </c>
      <c r="D12" s="59" t="s">
        <v>16</v>
      </c>
      <c r="E12" s="59" t="s">
        <v>35</v>
      </c>
      <c r="F12" s="59" t="s">
        <v>74</v>
      </c>
      <c r="G12" s="57">
        <v>1945.0</v>
      </c>
      <c r="H12" s="58">
        <v>0.0</v>
      </c>
      <c r="I12" s="64"/>
      <c r="J12" s="64"/>
      <c r="K12" s="59"/>
      <c r="L12" s="59">
        <v>1.0</v>
      </c>
      <c r="M12" s="59" t="s">
        <v>36</v>
      </c>
      <c r="N12" s="59" t="s">
        <v>41</v>
      </c>
      <c r="O12" s="59" t="s">
        <v>66</v>
      </c>
      <c r="P12" s="59" t="s">
        <v>35</v>
      </c>
      <c r="Q12" s="59" t="s">
        <v>73</v>
      </c>
      <c r="R12" s="57">
        <v>1945.0</v>
      </c>
      <c r="S12" s="57">
        <v>0.0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</row>
    <row r="13" ht="15.75" customHeight="1">
      <c r="A13" s="4"/>
      <c r="B13" s="56">
        <v>43026.0</v>
      </c>
      <c r="C13" s="59" t="s">
        <v>18</v>
      </c>
      <c r="D13" s="59" t="s">
        <v>16</v>
      </c>
      <c r="E13" s="59" t="s">
        <v>35</v>
      </c>
      <c r="F13" s="59" t="s">
        <v>72</v>
      </c>
      <c r="G13" s="60">
        <v>0.0</v>
      </c>
      <c r="H13" s="57">
        <v>1945.0</v>
      </c>
      <c r="I13" s="64"/>
      <c r="J13" s="64"/>
      <c r="K13" s="59"/>
      <c r="L13" s="59">
        <v>1.0</v>
      </c>
      <c r="M13" s="59" t="s">
        <v>36</v>
      </c>
      <c r="N13" s="59" t="s">
        <v>43</v>
      </c>
      <c r="O13" s="59" t="s">
        <v>66</v>
      </c>
      <c r="P13" s="59" t="s">
        <v>35</v>
      </c>
      <c r="Q13" s="59" t="s">
        <v>73</v>
      </c>
      <c r="R13" s="57">
        <v>0.0</v>
      </c>
      <c r="S13" s="57">
        <v>1945.0</v>
      </c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</row>
    <row r="14" ht="15.75" customHeight="1">
      <c r="A14" s="4"/>
      <c r="B14" s="56">
        <v>43026.0</v>
      </c>
      <c r="C14" s="59" t="s">
        <v>18</v>
      </c>
      <c r="D14" s="59" t="s">
        <v>16</v>
      </c>
      <c r="E14" s="59" t="s">
        <v>35</v>
      </c>
      <c r="F14" s="59" t="s">
        <v>72</v>
      </c>
      <c r="G14" s="57">
        <v>1945.0</v>
      </c>
      <c r="H14" s="58">
        <v>0.0</v>
      </c>
      <c r="I14" s="64"/>
      <c r="J14" s="64"/>
      <c r="K14" s="59"/>
      <c r="L14" s="59">
        <v>1.0</v>
      </c>
      <c r="M14" s="59" t="s">
        <v>36</v>
      </c>
      <c r="N14" s="59" t="s">
        <v>41</v>
      </c>
      <c r="O14" s="59" t="s">
        <v>66</v>
      </c>
      <c r="P14" s="59" t="s">
        <v>35</v>
      </c>
      <c r="Q14" s="59" t="s">
        <v>75</v>
      </c>
      <c r="R14" s="57">
        <v>1945.0</v>
      </c>
      <c r="S14" s="57">
        <v>0.0</v>
      </c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</row>
    <row r="15" ht="15.75" customHeight="1">
      <c r="A15" s="4"/>
      <c r="B15" s="56">
        <v>43026.0</v>
      </c>
      <c r="C15" s="59" t="s">
        <v>18</v>
      </c>
      <c r="D15" s="59" t="s">
        <v>16</v>
      </c>
      <c r="E15" s="59" t="s">
        <v>35</v>
      </c>
      <c r="F15" s="59" t="s">
        <v>74</v>
      </c>
      <c r="G15" s="60">
        <v>0.0</v>
      </c>
      <c r="H15" s="57">
        <v>1945.0</v>
      </c>
      <c r="I15" s="64"/>
      <c r="J15" s="64"/>
      <c r="K15" s="59"/>
      <c r="L15" s="59">
        <v>1.0</v>
      </c>
      <c r="M15" s="59" t="s">
        <v>36</v>
      </c>
      <c r="N15" s="59" t="s">
        <v>43</v>
      </c>
      <c r="O15" s="59" t="s">
        <v>66</v>
      </c>
      <c r="P15" s="59" t="s">
        <v>35</v>
      </c>
      <c r="Q15" s="59" t="s">
        <v>75</v>
      </c>
      <c r="R15" s="57">
        <v>0.0</v>
      </c>
      <c r="S15" s="57">
        <v>1945.0</v>
      </c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</row>
    <row r="16" ht="15.75" customHeight="1">
      <c r="A16" s="4"/>
      <c r="B16" s="56">
        <v>43027.0</v>
      </c>
      <c r="C16" s="59" t="s">
        <v>18</v>
      </c>
      <c r="D16" s="59" t="s">
        <v>16</v>
      </c>
      <c r="E16" s="59" t="s">
        <v>35</v>
      </c>
      <c r="F16" s="59" t="s">
        <v>74</v>
      </c>
      <c r="G16" s="57">
        <v>1945.0</v>
      </c>
      <c r="H16" s="58">
        <v>0.0</v>
      </c>
      <c r="I16" s="64"/>
      <c r="J16" s="64"/>
      <c r="K16" s="59"/>
      <c r="L16" s="59">
        <v>1.0</v>
      </c>
      <c r="M16" s="59" t="s">
        <v>36</v>
      </c>
      <c r="N16" s="59" t="s">
        <v>41</v>
      </c>
      <c r="O16" s="59" t="s">
        <v>66</v>
      </c>
      <c r="P16" s="59" t="s">
        <v>35</v>
      </c>
      <c r="Q16" s="59" t="s">
        <v>73</v>
      </c>
      <c r="R16" s="57">
        <v>1945.0</v>
      </c>
      <c r="S16" s="57">
        <v>0.0</v>
      </c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</row>
    <row r="17" ht="15.75" customHeight="1">
      <c r="A17" s="4"/>
      <c r="B17" s="56">
        <v>43027.0</v>
      </c>
      <c r="C17" s="59" t="s">
        <v>18</v>
      </c>
      <c r="D17" s="59" t="s">
        <v>16</v>
      </c>
      <c r="E17" s="59" t="s">
        <v>35</v>
      </c>
      <c r="F17" s="59" t="s">
        <v>72</v>
      </c>
      <c r="G17" s="60">
        <v>0.0</v>
      </c>
      <c r="H17" s="57">
        <v>1945.0</v>
      </c>
      <c r="I17" s="64"/>
      <c r="J17" s="64"/>
      <c r="K17" s="59"/>
      <c r="L17" s="59">
        <v>1.0</v>
      </c>
      <c r="M17" s="59" t="s">
        <v>36</v>
      </c>
      <c r="N17" s="59" t="s">
        <v>43</v>
      </c>
      <c r="O17" s="59" t="s">
        <v>66</v>
      </c>
      <c r="P17" s="59" t="s">
        <v>35</v>
      </c>
      <c r="Q17" s="59" t="s">
        <v>73</v>
      </c>
      <c r="R17" s="57">
        <v>0.0</v>
      </c>
      <c r="S17" s="57">
        <v>1945.0</v>
      </c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</row>
    <row r="18" ht="15.75" customHeight="1">
      <c r="A18" s="4"/>
      <c r="B18" s="56">
        <v>43027.0</v>
      </c>
      <c r="C18" s="59" t="s">
        <v>18</v>
      </c>
      <c r="D18" s="59" t="s">
        <v>16</v>
      </c>
      <c r="E18" s="59" t="s">
        <v>35</v>
      </c>
      <c r="F18" s="59" t="s">
        <v>72</v>
      </c>
      <c r="G18" s="57">
        <v>1945.0</v>
      </c>
      <c r="H18" s="58">
        <v>0.0</v>
      </c>
      <c r="I18" s="64"/>
      <c r="J18" s="64"/>
      <c r="K18" s="59"/>
      <c r="L18" s="59">
        <v>1.0</v>
      </c>
      <c r="M18" s="59" t="s">
        <v>36</v>
      </c>
      <c r="N18" s="59" t="s">
        <v>41</v>
      </c>
      <c r="O18" s="59" t="s">
        <v>66</v>
      </c>
      <c r="P18" s="59" t="s">
        <v>35</v>
      </c>
      <c r="Q18" s="59" t="s">
        <v>75</v>
      </c>
      <c r="R18" s="57">
        <v>1945.0</v>
      </c>
      <c r="S18" s="57">
        <v>0.0</v>
      </c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</row>
    <row r="19" ht="15.75" customHeight="1">
      <c r="A19" s="4"/>
      <c r="B19" s="56">
        <v>43027.0</v>
      </c>
      <c r="C19" s="59" t="s">
        <v>18</v>
      </c>
      <c r="D19" s="59" t="s">
        <v>16</v>
      </c>
      <c r="E19" s="59" t="s">
        <v>35</v>
      </c>
      <c r="F19" s="59" t="s">
        <v>74</v>
      </c>
      <c r="G19" s="60">
        <v>0.0</v>
      </c>
      <c r="H19" s="57">
        <v>1945.0</v>
      </c>
      <c r="I19" s="64"/>
      <c r="J19" s="64"/>
      <c r="K19" s="59"/>
      <c r="L19" s="59">
        <v>1.0</v>
      </c>
      <c r="M19" s="59" t="s">
        <v>36</v>
      </c>
      <c r="N19" s="59" t="s">
        <v>43</v>
      </c>
      <c r="O19" s="59" t="s">
        <v>66</v>
      </c>
      <c r="P19" s="59" t="s">
        <v>35</v>
      </c>
      <c r="Q19" s="59" t="s">
        <v>75</v>
      </c>
      <c r="R19" s="57">
        <v>0.0</v>
      </c>
      <c r="S19" s="57">
        <v>1945.0</v>
      </c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</row>
    <row r="20" ht="15.75" customHeight="1">
      <c r="A20" s="4"/>
      <c r="B20" s="56">
        <v>43028.0</v>
      </c>
      <c r="C20" s="59" t="s">
        <v>18</v>
      </c>
      <c r="D20" s="59" t="s">
        <v>16</v>
      </c>
      <c r="E20" s="59" t="s">
        <v>35</v>
      </c>
      <c r="F20" s="59" t="s">
        <v>74</v>
      </c>
      <c r="G20" s="57">
        <v>1945.0</v>
      </c>
      <c r="H20" s="58">
        <v>0.0</v>
      </c>
      <c r="I20" s="64"/>
      <c r="J20" s="64"/>
      <c r="K20" s="59"/>
      <c r="L20" s="59">
        <v>1.0</v>
      </c>
      <c r="M20" s="59" t="s">
        <v>36</v>
      </c>
      <c r="N20" s="59" t="s">
        <v>41</v>
      </c>
      <c r="O20" s="59" t="s">
        <v>66</v>
      </c>
      <c r="P20" s="59" t="s">
        <v>35</v>
      </c>
      <c r="Q20" s="59" t="s">
        <v>73</v>
      </c>
      <c r="R20" s="57">
        <v>1945.0</v>
      </c>
      <c r="S20" s="57">
        <v>0.0</v>
      </c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</row>
    <row r="21" ht="15.75" customHeight="1">
      <c r="A21" s="4"/>
      <c r="B21" s="56">
        <v>43028.0</v>
      </c>
      <c r="C21" s="59" t="s">
        <v>18</v>
      </c>
      <c r="D21" s="59" t="s">
        <v>16</v>
      </c>
      <c r="E21" s="59" t="s">
        <v>35</v>
      </c>
      <c r="F21" s="59" t="s">
        <v>72</v>
      </c>
      <c r="G21" s="60">
        <v>0.0</v>
      </c>
      <c r="H21" s="57">
        <v>1945.0</v>
      </c>
      <c r="I21" s="64"/>
      <c r="J21" s="64"/>
      <c r="K21" s="59"/>
      <c r="L21" s="59">
        <v>1.0</v>
      </c>
      <c r="M21" s="59" t="s">
        <v>36</v>
      </c>
      <c r="N21" s="59" t="s">
        <v>43</v>
      </c>
      <c r="O21" s="59" t="s">
        <v>66</v>
      </c>
      <c r="P21" s="59" t="s">
        <v>35</v>
      </c>
      <c r="Q21" s="59" t="s">
        <v>73</v>
      </c>
      <c r="R21" s="57">
        <v>0.0</v>
      </c>
      <c r="S21" s="57">
        <v>1945.0</v>
      </c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</row>
    <row r="22" ht="15.75" customHeight="1">
      <c r="A22" s="4"/>
      <c r="B22" s="56">
        <v>43028.0</v>
      </c>
      <c r="C22" s="59" t="s">
        <v>18</v>
      </c>
      <c r="D22" s="59" t="s">
        <v>16</v>
      </c>
      <c r="E22" s="59" t="s">
        <v>35</v>
      </c>
      <c r="F22" s="59" t="s">
        <v>72</v>
      </c>
      <c r="G22" s="57">
        <v>1945.0</v>
      </c>
      <c r="H22" s="58">
        <v>0.0</v>
      </c>
      <c r="I22" s="64"/>
      <c r="J22" s="64"/>
      <c r="K22" s="59"/>
      <c r="L22" s="59">
        <v>1.0</v>
      </c>
      <c r="M22" s="59" t="s">
        <v>36</v>
      </c>
      <c r="N22" s="59" t="s">
        <v>41</v>
      </c>
      <c r="O22" s="59" t="s">
        <v>66</v>
      </c>
      <c r="P22" s="59" t="s">
        <v>35</v>
      </c>
      <c r="Q22" s="59" t="s">
        <v>75</v>
      </c>
      <c r="R22" s="57">
        <v>1945.0</v>
      </c>
      <c r="S22" s="57">
        <v>0.0</v>
      </c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</row>
    <row r="23" ht="15.75" customHeight="1">
      <c r="A23" s="4"/>
      <c r="B23" s="56">
        <v>43028.0</v>
      </c>
      <c r="C23" s="59" t="s">
        <v>18</v>
      </c>
      <c r="D23" s="59" t="s">
        <v>16</v>
      </c>
      <c r="E23" s="59" t="s">
        <v>35</v>
      </c>
      <c r="F23" s="59" t="s">
        <v>74</v>
      </c>
      <c r="G23" s="60">
        <v>0.0</v>
      </c>
      <c r="H23" s="57">
        <v>1945.0</v>
      </c>
      <c r="I23" s="64"/>
      <c r="J23" s="64"/>
      <c r="K23" s="59"/>
      <c r="L23" s="59">
        <v>1.0</v>
      </c>
      <c r="M23" s="59" t="s">
        <v>36</v>
      </c>
      <c r="N23" s="59" t="s">
        <v>43</v>
      </c>
      <c r="O23" s="59" t="s">
        <v>66</v>
      </c>
      <c r="P23" s="59" t="s">
        <v>35</v>
      </c>
      <c r="Q23" s="59" t="s">
        <v>75</v>
      </c>
      <c r="R23" s="57">
        <v>0.0</v>
      </c>
      <c r="S23" s="57">
        <v>1945.0</v>
      </c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</row>
    <row r="24" ht="15.75" customHeight="1">
      <c r="A24" s="4"/>
      <c r="B24" s="56">
        <v>43029.0</v>
      </c>
      <c r="C24" s="59" t="s">
        <v>18</v>
      </c>
      <c r="D24" s="59" t="s">
        <v>16</v>
      </c>
      <c r="E24" s="59" t="s">
        <v>35</v>
      </c>
      <c r="F24" s="59" t="s">
        <v>74</v>
      </c>
      <c r="G24" s="57">
        <v>1945.0</v>
      </c>
      <c r="H24" s="58">
        <v>0.0</v>
      </c>
      <c r="I24" s="64"/>
      <c r="J24" s="64"/>
      <c r="K24" s="59"/>
      <c r="L24" s="59">
        <v>1.0</v>
      </c>
      <c r="M24" s="59" t="s">
        <v>36</v>
      </c>
      <c r="N24" s="59" t="s">
        <v>41</v>
      </c>
      <c r="O24" s="59" t="s">
        <v>66</v>
      </c>
      <c r="P24" s="59" t="s">
        <v>35</v>
      </c>
      <c r="Q24" s="59" t="s">
        <v>73</v>
      </c>
      <c r="R24" s="57">
        <v>1945.0</v>
      </c>
      <c r="S24" s="57">
        <v>0.0</v>
      </c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</row>
    <row r="25" ht="15.75" customHeight="1">
      <c r="A25" s="4"/>
      <c r="B25" s="56">
        <v>43029.0</v>
      </c>
      <c r="C25" s="59" t="s">
        <v>18</v>
      </c>
      <c r="D25" s="59" t="s">
        <v>16</v>
      </c>
      <c r="E25" s="59" t="s">
        <v>35</v>
      </c>
      <c r="F25" s="59" t="s">
        <v>72</v>
      </c>
      <c r="G25" s="60">
        <v>0.0</v>
      </c>
      <c r="H25" s="57">
        <v>1945.0</v>
      </c>
      <c r="I25" s="64"/>
      <c r="J25" s="64"/>
      <c r="K25" s="59"/>
      <c r="L25" s="59">
        <v>1.0</v>
      </c>
      <c r="M25" s="59" t="s">
        <v>36</v>
      </c>
      <c r="N25" s="59" t="s">
        <v>43</v>
      </c>
      <c r="O25" s="59" t="s">
        <v>66</v>
      </c>
      <c r="P25" s="59" t="s">
        <v>35</v>
      </c>
      <c r="Q25" s="59" t="s">
        <v>73</v>
      </c>
      <c r="R25" s="57">
        <v>0.0</v>
      </c>
      <c r="S25" s="57">
        <v>1945.0</v>
      </c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</row>
    <row r="26" ht="15.75" customHeight="1">
      <c r="A26" s="4"/>
      <c r="B26" s="56">
        <v>43029.0</v>
      </c>
      <c r="C26" s="59" t="s">
        <v>18</v>
      </c>
      <c r="D26" s="59" t="s">
        <v>16</v>
      </c>
      <c r="E26" s="59" t="s">
        <v>35</v>
      </c>
      <c r="F26" s="59" t="s">
        <v>72</v>
      </c>
      <c r="G26" s="57">
        <v>1945.0</v>
      </c>
      <c r="H26" s="58">
        <v>0.0</v>
      </c>
      <c r="I26" s="64"/>
      <c r="J26" s="64"/>
      <c r="K26" s="59"/>
      <c r="L26" s="59">
        <v>1.0</v>
      </c>
      <c r="M26" s="59" t="s">
        <v>36</v>
      </c>
      <c r="N26" s="59" t="s">
        <v>41</v>
      </c>
      <c r="O26" s="59" t="s">
        <v>66</v>
      </c>
      <c r="P26" s="59" t="s">
        <v>35</v>
      </c>
      <c r="Q26" s="59" t="s">
        <v>75</v>
      </c>
      <c r="R26" s="57">
        <v>1945.0</v>
      </c>
      <c r="S26" s="57">
        <v>0.0</v>
      </c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</row>
    <row r="27" ht="15.75" customHeight="1">
      <c r="A27" s="4"/>
      <c r="B27" s="56">
        <v>43029.0</v>
      </c>
      <c r="C27" s="59" t="s">
        <v>18</v>
      </c>
      <c r="D27" s="59" t="s">
        <v>16</v>
      </c>
      <c r="E27" s="59" t="s">
        <v>35</v>
      </c>
      <c r="F27" s="59" t="s">
        <v>74</v>
      </c>
      <c r="G27" s="60">
        <v>0.0</v>
      </c>
      <c r="H27" s="57">
        <v>1945.0</v>
      </c>
      <c r="I27" s="64"/>
      <c r="J27" s="64"/>
      <c r="K27" s="59"/>
      <c r="L27" s="59">
        <v>1.0</v>
      </c>
      <c r="M27" s="59" t="s">
        <v>36</v>
      </c>
      <c r="N27" s="59" t="s">
        <v>43</v>
      </c>
      <c r="O27" s="59" t="s">
        <v>66</v>
      </c>
      <c r="P27" s="59" t="s">
        <v>35</v>
      </c>
      <c r="Q27" s="59" t="s">
        <v>75</v>
      </c>
      <c r="R27" s="57">
        <v>0.0</v>
      </c>
      <c r="S27" s="57">
        <v>1945.0</v>
      </c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</row>
    <row r="28" ht="15.75" customHeight="1">
      <c r="A28" s="4"/>
      <c r="B28" s="56">
        <v>43030.0</v>
      </c>
      <c r="C28" s="59" t="s">
        <v>18</v>
      </c>
      <c r="D28" s="59" t="s">
        <v>16</v>
      </c>
      <c r="E28" s="59" t="s">
        <v>35</v>
      </c>
      <c r="F28" s="59" t="s">
        <v>74</v>
      </c>
      <c r="G28" s="57">
        <v>1945.0</v>
      </c>
      <c r="H28" s="58">
        <v>0.0</v>
      </c>
      <c r="I28" s="64"/>
      <c r="J28" s="64"/>
      <c r="K28" s="59"/>
      <c r="L28" s="59">
        <v>1.0</v>
      </c>
      <c r="M28" s="59" t="s">
        <v>36</v>
      </c>
      <c r="N28" s="59" t="s">
        <v>41</v>
      </c>
      <c r="O28" s="59" t="s">
        <v>66</v>
      </c>
      <c r="P28" s="59" t="s">
        <v>35</v>
      </c>
      <c r="Q28" s="59" t="s">
        <v>73</v>
      </c>
      <c r="R28" s="57">
        <v>1945.0</v>
      </c>
      <c r="S28" s="57">
        <v>0.0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</row>
    <row r="29" ht="15.75" customHeight="1">
      <c r="A29" s="4"/>
      <c r="B29" s="56">
        <v>43030.0</v>
      </c>
      <c r="C29" s="59" t="s">
        <v>18</v>
      </c>
      <c r="D29" s="59" t="s">
        <v>16</v>
      </c>
      <c r="E29" s="59" t="s">
        <v>35</v>
      </c>
      <c r="F29" s="59" t="s">
        <v>72</v>
      </c>
      <c r="G29" s="60">
        <v>0.0</v>
      </c>
      <c r="H29" s="57">
        <v>1945.0</v>
      </c>
      <c r="I29" s="64"/>
      <c r="J29" s="64"/>
      <c r="K29" s="59"/>
      <c r="L29" s="59">
        <v>1.0</v>
      </c>
      <c r="M29" s="59" t="s">
        <v>36</v>
      </c>
      <c r="N29" s="59" t="s">
        <v>43</v>
      </c>
      <c r="O29" s="59" t="s">
        <v>66</v>
      </c>
      <c r="P29" s="59" t="s">
        <v>35</v>
      </c>
      <c r="Q29" s="59" t="s">
        <v>73</v>
      </c>
      <c r="R29" s="57">
        <v>0.0</v>
      </c>
      <c r="S29" s="57">
        <v>1945.0</v>
      </c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</row>
    <row r="30" ht="15.75" customHeight="1">
      <c r="A30" s="4"/>
      <c r="B30" s="56">
        <v>43030.0</v>
      </c>
      <c r="C30" s="59" t="s">
        <v>18</v>
      </c>
      <c r="D30" s="59" t="s">
        <v>16</v>
      </c>
      <c r="E30" s="59" t="s">
        <v>35</v>
      </c>
      <c r="F30" s="59" t="s">
        <v>72</v>
      </c>
      <c r="G30" s="57">
        <v>1945.0</v>
      </c>
      <c r="H30" s="58">
        <v>0.0</v>
      </c>
      <c r="I30" s="64"/>
      <c r="J30" s="64"/>
      <c r="K30" s="59"/>
      <c r="L30" s="59">
        <v>1.0</v>
      </c>
      <c r="M30" s="59" t="s">
        <v>36</v>
      </c>
      <c r="N30" s="59" t="s">
        <v>41</v>
      </c>
      <c r="O30" s="59" t="s">
        <v>66</v>
      </c>
      <c r="P30" s="59" t="s">
        <v>35</v>
      </c>
      <c r="Q30" s="59" t="s">
        <v>75</v>
      </c>
      <c r="R30" s="57">
        <v>1945.0</v>
      </c>
      <c r="S30" s="57">
        <v>0.0</v>
      </c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</row>
    <row r="31" ht="15.75" customHeight="1">
      <c r="A31" s="4"/>
      <c r="B31" s="56">
        <v>43030.0</v>
      </c>
      <c r="C31" s="59" t="s">
        <v>18</v>
      </c>
      <c r="D31" s="59" t="s">
        <v>16</v>
      </c>
      <c r="E31" s="59" t="s">
        <v>35</v>
      </c>
      <c r="F31" s="59" t="s">
        <v>74</v>
      </c>
      <c r="G31" s="60">
        <v>0.0</v>
      </c>
      <c r="H31" s="57">
        <v>1945.0</v>
      </c>
      <c r="I31" s="64"/>
      <c r="J31" s="64"/>
      <c r="K31" s="59"/>
      <c r="L31" s="59">
        <v>1.0</v>
      </c>
      <c r="M31" s="59" t="s">
        <v>36</v>
      </c>
      <c r="N31" s="59" t="s">
        <v>43</v>
      </c>
      <c r="O31" s="59" t="s">
        <v>66</v>
      </c>
      <c r="P31" s="59" t="s">
        <v>35</v>
      </c>
      <c r="Q31" s="59" t="s">
        <v>75</v>
      </c>
      <c r="R31" s="57">
        <v>0.0</v>
      </c>
      <c r="S31" s="57">
        <v>1945.0</v>
      </c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</row>
    <row r="32" ht="15.75" customHeight="1">
      <c r="A32" s="4"/>
      <c r="B32" s="56">
        <v>43031.0</v>
      </c>
      <c r="C32" s="59" t="s">
        <v>18</v>
      </c>
      <c r="D32" s="59" t="s">
        <v>16</v>
      </c>
      <c r="E32" s="59" t="s">
        <v>35</v>
      </c>
      <c r="F32" s="59" t="s">
        <v>76</v>
      </c>
      <c r="G32" s="57">
        <v>725.0</v>
      </c>
      <c r="H32" s="58">
        <v>0.0</v>
      </c>
      <c r="I32" s="64"/>
      <c r="J32" s="64"/>
      <c r="K32" s="59"/>
      <c r="L32" s="59">
        <v>1.0</v>
      </c>
      <c r="M32" s="59" t="s">
        <v>36</v>
      </c>
      <c r="N32" s="59" t="s">
        <v>41</v>
      </c>
      <c r="O32" s="59" t="s">
        <v>66</v>
      </c>
      <c r="P32" s="59" t="s">
        <v>35</v>
      </c>
      <c r="Q32" s="59" t="s">
        <v>77</v>
      </c>
      <c r="R32" s="57">
        <v>725.0</v>
      </c>
      <c r="S32" s="57">
        <v>0.0</v>
      </c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</row>
    <row r="33" ht="15.75" customHeight="1">
      <c r="A33" s="4"/>
      <c r="B33" s="56">
        <v>43031.0</v>
      </c>
      <c r="C33" s="59" t="s">
        <v>18</v>
      </c>
      <c r="D33" s="59" t="s">
        <v>16</v>
      </c>
      <c r="E33" s="59" t="s">
        <v>35</v>
      </c>
      <c r="F33" s="59" t="s">
        <v>42</v>
      </c>
      <c r="G33" s="60">
        <v>0.0</v>
      </c>
      <c r="H33" s="57">
        <v>725.0</v>
      </c>
      <c r="I33" s="64"/>
      <c r="J33" s="64"/>
      <c r="K33" s="59"/>
      <c r="L33" s="59">
        <v>1.0</v>
      </c>
      <c r="M33" s="59" t="s">
        <v>36</v>
      </c>
      <c r="N33" s="59" t="s">
        <v>43</v>
      </c>
      <c r="O33" s="59" t="s">
        <v>66</v>
      </c>
      <c r="P33" s="59" t="s">
        <v>35</v>
      </c>
      <c r="Q33" s="59" t="s">
        <v>77</v>
      </c>
      <c r="R33" s="57">
        <v>0.0</v>
      </c>
      <c r="S33" s="57">
        <v>725.0</v>
      </c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</row>
    <row r="34" ht="15.75" customHeight="1">
      <c r="A34" s="4"/>
      <c r="B34" s="56">
        <v>43031.0</v>
      </c>
      <c r="C34" s="59" t="s">
        <v>18</v>
      </c>
      <c r="D34" s="59" t="s">
        <v>16</v>
      </c>
      <c r="E34" s="59" t="s">
        <v>35</v>
      </c>
      <c r="F34" s="59" t="s">
        <v>72</v>
      </c>
      <c r="G34" s="57">
        <v>1945.0</v>
      </c>
      <c r="H34" s="58">
        <v>0.0</v>
      </c>
      <c r="I34" s="64"/>
      <c r="J34" s="64"/>
      <c r="K34" s="59"/>
      <c r="L34" s="59">
        <v>1.0</v>
      </c>
      <c r="M34" s="59" t="s">
        <v>36</v>
      </c>
      <c r="N34" s="59" t="s">
        <v>41</v>
      </c>
      <c r="O34" s="59" t="s">
        <v>66</v>
      </c>
      <c r="P34" s="59" t="s">
        <v>35</v>
      </c>
      <c r="Q34" s="59" t="s">
        <v>75</v>
      </c>
      <c r="R34" s="57">
        <v>1945.0</v>
      </c>
      <c r="S34" s="57">
        <v>0.0</v>
      </c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</row>
    <row r="35" ht="15.75" customHeight="1">
      <c r="A35" s="4"/>
      <c r="B35" s="56">
        <v>43031.0</v>
      </c>
      <c r="C35" s="59" t="s">
        <v>18</v>
      </c>
      <c r="D35" s="59" t="s">
        <v>16</v>
      </c>
      <c r="E35" s="59" t="s">
        <v>35</v>
      </c>
      <c r="F35" s="59" t="s">
        <v>74</v>
      </c>
      <c r="G35" s="60">
        <v>0.0</v>
      </c>
      <c r="H35" s="57">
        <v>1945.0</v>
      </c>
      <c r="I35" s="64"/>
      <c r="J35" s="64"/>
      <c r="K35" s="59"/>
      <c r="L35" s="59">
        <v>1.0</v>
      </c>
      <c r="M35" s="59" t="s">
        <v>36</v>
      </c>
      <c r="N35" s="59" t="s">
        <v>43</v>
      </c>
      <c r="O35" s="59" t="s">
        <v>66</v>
      </c>
      <c r="P35" s="59" t="s">
        <v>35</v>
      </c>
      <c r="Q35" s="59" t="s">
        <v>75</v>
      </c>
      <c r="R35" s="57">
        <v>0.0</v>
      </c>
      <c r="S35" s="57">
        <v>1945.0</v>
      </c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</row>
    <row r="36" ht="15.75" customHeight="1">
      <c r="A36" s="4"/>
      <c r="B36" s="71"/>
      <c r="C36" s="69"/>
      <c r="D36" s="69"/>
      <c r="E36" s="69"/>
      <c r="F36" s="69"/>
      <c r="G36" s="69"/>
      <c r="H36" s="69"/>
      <c r="I36" s="72"/>
      <c r="J36" s="69"/>
      <c r="K36" s="73"/>
      <c r="L36" s="69"/>
      <c r="M36" s="69"/>
      <c r="N36" s="69"/>
      <c r="O36" s="69"/>
      <c r="P36" s="69"/>
      <c r="Q36" s="69"/>
      <c r="R36" s="69"/>
      <c r="S36" s="69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4" width="12.63"/>
    <col customWidth="1" min="5" max="5" width="19.5"/>
    <col customWidth="1" min="6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24</v>
      </c>
      <c r="D3" s="5" t="s">
        <v>9</v>
      </c>
      <c r="E3" s="24" t="s">
        <v>25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IFERROR(__xludf.DUMMYFUNCTION("""COMPUTED_VALUE"""),"EditTradesAllocated")</f>
        <v>EditTradesAllocated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IFERROR(__xludf.DUMMYFUNCTION("""COMPUTED_VALUE"""),"DisableChecksideForAsset")</f>
        <v>DisableChecksideForAsset</v>
      </c>
      <c r="CX4" s="28" t="str">
        <f>IFERROR(__xludf.DUMMYFUNCTION("""COMPUTED_VALUE"""),"DisableChecksideForAccount")</f>
        <v>DisableChecksideForAccount</v>
      </c>
      <c r="CY4" s="28" t="str">
        <f>IFERROR(__xludf.DUMMYFUNCTION("""COMPUTED_VALUE"""),"DisableChecksideForCounterParty")</f>
        <v>DisableChecksideForCounterParty</v>
      </c>
      <c r="CZ4" s="28" t="str">
        <f>IFERROR(__xludf.DUMMYFUNCTION("""COMPUTED_VALUE"""),"DisableCheckside")</f>
        <v>DisableCheckside</v>
      </c>
      <c r="DA4" s="28" t="str">
        <f>IFERROR(__xludf.DUMMYFUNCTION("""COMPUTED_VALUE"""),"ApplyMasterFundFilter")</f>
        <v>ApplyMasterFundFilter</v>
      </c>
      <c r="DB4" s="28" t="str">
        <f>IFERROR(__xludf.DUMMYFUNCTION("""COMPUTED_VALUE"""),"ShowMasterFundOnTT")</f>
        <v>ShowMasterFundOnTT</v>
      </c>
      <c r="DC4" s="28" t="str">
        <f>IFERROR(__xludf.DUMMYFUNCTION("""COMPUTED_VALUE"""),"ShowMasterFundAsClient")</f>
        <v>ShowMasterFundAsClient</v>
      </c>
      <c r="DD4" s="28" t="str">
        <f>IFERROR(__xludf.DUMMYFUNCTION("""COMPUTED_VALUE"""),"SetBrokerAccountMapping")</f>
        <v>SetBrokerAccountMapping</v>
      </c>
      <c r="DE4" s="28" t="str">
        <f>IFERROR(__xludf.DUMMYFUNCTION("""COMPUTED_VALUE"""),"EditUnallocatedGridWPF")</f>
        <v>EditUnallocatedGridWPF</v>
      </c>
      <c r="DF4" s="28" t="str">
        <f>IFERROR(__xludf.DUMMYFUNCTION("""COMPUTED_VALUE"""),"EditAllocatedGridWPF")</f>
        <v>EditAllocatedGridWPF</v>
      </c>
      <c r="DG4" s="28" t="str">
        <f>IFERROR(__xludf.DUMMYFUNCTION("""COMPUTED_VALUE"""),"EditAllocatedGridTaxlot")</f>
        <v>EditAllocatedGridTaxlot</v>
      </c>
      <c r="DH4" s="28" t="str">
        <f>IFERROR(__xludf.DUMMYFUNCTION("""COMPUTED_VALUE"""),"ExpandCollapseAllocatedGrid")</f>
        <v>ExpandCollapseAllocatedGrid</v>
      </c>
      <c r="DI4" s="28" t="str">
        <f>IFERROR(__xludf.DUMMYFUNCTION("""COMPUTED_VALUE"""),"ExpandCollapseUnallocatedGrid")</f>
        <v>ExpandCollapseUnallocatedGrid</v>
      </c>
      <c r="DJ4" s="28" t="str">
        <f>IFERROR(__xludf.DUMMYFUNCTION("""COMPUTED_VALUE"""),"SetTradeAttributePreferences")</f>
        <v>SetTradeAttributePreferences</v>
      </c>
      <c r="DK4" s="28" t="str">
        <f>IFERROR(__xludf.DUMMYFUNCTION("""COMPUTED_VALUE"""),"EnterCustomAllocatePreference")</f>
        <v>EnterCustomAllocatePreference</v>
      </c>
      <c r="DL4" s="28" t="str">
        <f>IFERROR(__xludf.DUMMYFUNCTION("""COMPUTED_VALUE"""),"SetAutoGroupingPreferences")</f>
        <v>SetAutoGroupingPreferences</v>
      </c>
      <c r="DM4" s="28" t="str">
        <f>IFERROR(__xludf.DUMMYFUNCTION("""COMPUTED_VALUE"""),"SetAutoGroupingAccount")</f>
        <v>SetAutoGroupingAccount</v>
      </c>
      <c r="DN4" s="28" t="str">
        <f>IFERROR(__xludf.DUMMYFUNCTION("""COMPUTED_VALUE"""),"SetAvgPriceRounding")</f>
        <v>SetAvgPriceRounding</v>
      </c>
      <c r="DO4" s="28" t="str">
        <f>IFERROR(__xludf.DUMMYFUNCTION("""COMPUTED_VALUE"""),"IsAllocationOpen")</f>
        <v>IsAllocationOpen</v>
      </c>
      <c r="DP4" s="28" t="str">
        <f>IFERROR(__xludf.DUMMYFUNCTION("""COMPUTED_VALUE"""),"AllocationAuditTrail")</f>
        <v>AllocationAuditTrail</v>
      </c>
      <c r="DQ4" s="28" t="str">
        <f>IFERROR(__xludf.DUMMYFUNCTION("""COMPUTED_VALUE"""),"GetAuditTrailData")</f>
        <v>GetAuditTrailData</v>
      </c>
      <c r="DR4" s="28" t="str">
        <f>IFERROR(__xludf.DUMMYFUNCTION("""COMPUTED_VALUE"""),"CheckAuditTrailData")</f>
        <v>CheckAuditTrailData</v>
      </c>
      <c r="DS4" s="28" t="str">
        <f>IFERROR(__xludf.DUMMYFUNCTION("""COMPUTED_VALUE"""),"DeleteGroupWithOutSave")</f>
        <v>DeleteGroupWithOutSave</v>
      </c>
      <c r="DT4" s="28" t="str">
        <f>IFERROR(__xludf.DUMMYFUNCTION("""COMPUTED_VALUE"""),"CheckPreferences")</f>
        <v>CheckPreferences</v>
      </c>
      <c r="DU4" s="28" t="str">
        <f>IFERROR(__xludf.DUMMYFUNCTION("""COMPUTED_VALUE"""),"AllocateWithPopUp")</f>
        <v>AllocateWithPopUp</v>
      </c>
      <c r="DV4" s="28" t="str">
        <f>IFERROR(__xludf.DUMMYFUNCTION("""COMPUTED_VALUE"""),"SelectAllRowsAllocated")</f>
        <v>SelectAllRowsAllocated</v>
      </c>
      <c r="DW4" s="28" t="str">
        <f>IFERROR(__xludf.DUMMYFUNCTION("""COMPUTED_VALUE"""),"ModifyGRPreferenceValues")</f>
        <v>ModifyGRPreferenceValues</v>
      </c>
      <c r="DX4" s="28" t="str">
        <f>IFERROR(__xludf.DUMMYFUNCTION("""COMPUTED_VALUE"""),"VerifyAllocationNavLockPopup")</f>
        <v>VerifyAllocationNavLockPopup</v>
      </c>
      <c r="DY4" s="28" t="str">
        <f>IFERROR(__xludf.DUMMYFUNCTION("""COMPUTED_VALUE"""),"ReviewExistingPositions")</f>
        <v>ReviewExistingPositions</v>
      </c>
      <c r="DZ4" s="28" t="str">
        <f>IFERROR(__xludf.DUMMYFUNCTION("""COMPUTED_VALUE"""),"OperationsonAllocation")</f>
        <v>OperationsonAllocation</v>
      </c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IFERROR(__xludf.DUMMYFUNCTION("""COMPUTED_VALUE"""),"RangeType")</f>
        <v>RangeType</v>
      </c>
      <c r="C5" s="41" t="str">
        <f>IFERROR(__xludf.DUMMYFUNCTION("""COMPUTED_VALUE"""),"From")</f>
        <v>From</v>
      </c>
      <c r="D5" s="41" t="str">
        <f>IFERROR(__xludf.DUMMYFUNCTION("""COMPUTED_VALUE"""),"To")</f>
        <v>To</v>
      </c>
      <c r="E5" s="41" t="str">
        <f>IFERROR(__xludf.DUMMYFUNCTION("""COMPUTED_VALUE"""),"FilterTabName")</f>
        <v>FilterTabName</v>
      </c>
      <c r="F5" s="41" t="str">
        <f>IFERROR(__xludf.DUMMYFUNCTION("""COMPUTED_VALUE"""),"Symbol")</f>
        <v>Symbol</v>
      </c>
      <c r="G5" s="41" t="str">
        <f>IFERROR(__xludf.DUMMYFUNCTION("""COMPUTED_VALUE"""),"Asset")</f>
        <v>Asset</v>
      </c>
      <c r="H5" s="41" t="str">
        <f>IFERROR(__xludf.DUMMYFUNCTION("""COMPUTED_VALUE"""),"Side")</f>
        <v>Side</v>
      </c>
      <c r="I5" s="41" t="str">
        <f>IFERROR(__xludf.DUMMYFUNCTION("""COMPUTED_VALUE"""),"Account")</f>
        <v>Account</v>
      </c>
      <c r="J5" s="41" t="str">
        <f>IFERROR(__xludf.DUMMYFUNCTION("""COMPUTED_VALUE"""),"Broker")</f>
        <v>Broker</v>
      </c>
      <c r="K5" s="41" t="str">
        <f>IFERROR(__xludf.DUMMYFUNCTION("""COMPUTED_VALUE"""),"Currency")</f>
        <v>Currency</v>
      </c>
      <c r="L5" s="41" t="str">
        <f>IFERROR(__xludf.DUMMYFUNCTION("""COMPUTED_VALUE"""),"Exchange")</f>
        <v>Exchange</v>
      </c>
      <c r="M5" s="41" t="str">
        <f>IFERROR(__xludf.DUMMYFUNCTION("""COMPUTED_VALUE"""),"StrategyName")</f>
        <v>StrategyName</v>
      </c>
      <c r="N5" s="41" t="str">
        <f>IFERROR(__xludf.DUMMYFUNCTION("""COMPUTED_VALUE"""),"Underlying")</f>
        <v>Underlying</v>
      </c>
      <c r="O5" s="41" t="str">
        <f>IFERROR(__xludf.DUMMYFUNCTION("""COMPUTED_VALUE"""),"Venue")</f>
        <v>Venue</v>
      </c>
      <c r="P5" s="41" t="str">
        <f>IFERROR(__xludf.DUMMYFUNCTION("""COMPUTED_VALUE"""),"TradingAccount")</f>
        <v>TradingAccount</v>
      </c>
      <c r="Q5" s="41" t="str">
        <f>IFERROR(__xludf.DUMMYFUNCTION("""COMPUTED_VALUE"""),"PreAllocated")</f>
        <v>PreAllocated</v>
      </c>
      <c r="R5" s="41" t="str">
        <f>IFERROR(__xludf.DUMMYFUNCTION("""COMPUTED_VALUE"""),"ManualGroup")</f>
        <v>ManualGroup</v>
      </c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26</v>
      </c>
      <c r="C6" s="43">
        <v>43024.0</v>
      </c>
      <c r="D6" s="43">
        <v>43031.0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24</v>
      </c>
      <c r="D3" s="5" t="s">
        <v>9</v>
      </c>
      <c r="E3" s="24" t="s">
        <v>78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IFERROR(__xludf.DUMMYFUNCTION("""COMPUTED_VALUE"""),"EditTradesAllocated")</f>
        <v>EditTradesAllocated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IFERROR(__xludf.DUMMYFUNCTION("""COMPUTED_VALUE"""),"DisableChecksideForAsset")</f>
        <v>DisableChecksideForAsset</v>
      </c>
      <c r="CX4" s="28" t="str">
        <f>IFERROR(__xludf.DUMMYFUNCTION("""COMPUTED_VALUE"""),"DisableChecksideForAccount")</f>
        <v>DisableChecksideForAccount</v>
      </c>
      <c r="CY4" s="28" t="str">
        <f>IFERROR(__xludf.DUMMYFUNCTION("""COMPUTED_VALUE"""),"DisableChecksideForCounterParty")</f>
        <v>DisableChecksideForCounterParty</v>
      </c>
      <c r="CZ4" s="28" t="str">
        <f>IFERROR(__xludf.DUMMYFUNCTION("""COMPUTED_VALUE"""),"DisableCheckside")</f>
        <v>DisableCheckside</v>
      </c>
      <c r="DA4" s="28" t="str">
        <f>IFERROR(__xludf.DUMMYFUNCTION("""COMPUTED_VALUE"""),"ApplyMasterFundFilter")</f>
        <v>ApplyMasterFundFilter</v>
      </c>
      <c r="DB4" s="28" t="str">
        <f>IFERROR(__xludf.DUMMYFUNCTION("""COMPUTED_VALUE"""),"ShowMasterFundOnTT")</f>
        <v>ShowMasterFundOnTT</v>
      </c>
      <c r="DC4" s="28" t="str">
        <f>IFERROR(__xludf.DUMMYFUNCTION("""COMPUTED_VALUE"""),"ShowMasterFundAsClient")</f>
        <v>ShowMasterFundAsClient</v>
      </c>
      <c r="DD4" s="28" t="str">
        <f>IFERROR(__xludf.DUMMYFUNCTION("""COMPUTED_VALUE"""),"SetBrokerAccountMapping")</f>
        <v>SetBrokerAccountMapping</v>
      </c>
      <c r="DE4" s="28" t="str">
        <f>IFERROR(__xludf.DUMMYFUNCTION("""COMPUTED_VALUE"""),"EditUnallocatedGridWPF")</f>
        <v>EditUnallocatedGridWPF</v>
      </c>
      <c r="DF4" s="28" t="str">
        <f>IFERROR(__xludf.DUMMYFUNCTION("""COMPUTED_VALUE"""),"EditAllocatedGridWPF")</f>
        <v>EditAllocatedGridWPF</v>
      </c>
      <c r="DG4" s="28" t="str">
        <f>IFERROR(__xludf.DUMMYFUNCTION("""COMPUTED_VALUE"""),"EditAllocatedGridTaxlot")</f>
        <v>EditAllocatedGridTaxlot</v>
      </c>
      <c r="DH4" s="28" t="str">
        <f>IFERROR(__xludf.DUMMYFUNCTION("""COMPUTED_VALUE"""),"ExpandCollapseAllocatedGrid")</f>
        <v>ExpandCollapseAllocatedGrid</v>
      </c>
      <c r="DI4" s="28" t="str">
        <f>IFERROR(__xludf.DUMMYFUNCTION("""COMPUTED_VALUE"""),"ExpandCollapseUnallocatedGrid")</f>
        <v>ExpandCollapseUnallocatedGrid</v>
      </c>
      <c r="DJ4" s="28" t="str">
        <f>IFERROR(__xludf.DUMMYFUNCTION("""COMPUTED_VALUE"""),"SetTradeAttributePreferences")</f>
        <v>SetTradeAttributePreferences</v>
      </c>
      <c r="DK4" s="28" t="str">
        <f>IFERROR(__xludf.DUMMYFUNCTION("""COMPUTED_VALUE"""),"EnterCustomAllocatePreference")</f>
        <v>EnterCustomAllocatePreference</v>
      </c>
      <c r="DL4" s="28" t="str">
        <f>IFERROR(__xludf.DUMMYFUNCTION("""COMPUTED_VALUE"""),"SetAutoGroupingPreferences")</f>
        <v>SetAutoGroupingPreferences</v>
      </c>
      <c r="DM4" s="28" t="str">
        <f>IFERROR(__xludf.DUMMYFUNCTION("""COMPUTED_VALUE"""),"SetAutoGroupingAccount")</f>
        <v>SetAutoGroupingAccount</v>
      </c>
      <c r="DN4" s="28" t="str">
        <f>IFERROR(__xludf.DUMMYFUNCTION("""COMPUTED_VALUE"""),"SetAvgPriceRounding")</f>
        <v>SetAvgPriceRounding</v>
      </c>
      <c r="DO4" s="28" t="str">
        <f>IFERROR(__xludf.DUMMYFUNCTION("""COMPUTED_VALUE"""),"IsAllocationOpen")</f>
        <v>IsAllocationOpen</v>
      </c>
      <c r="DP4" s="28" t="str">
        <f>IFERROR(__xludf.DUMMYFUNCTION("""COMPUTED_VALUE"""),"AllocationAuditTrail")</f>
        <v>AllocationAuditTrail</v>
      </c>
      <c r="DQ4" s="28" t="str">
        <f>IFERROR(__xludf.DUMMYFUNCTION("""COMPUTED_VALUE"""),"GetAuditTrailData")</f>
        <v>GetAuditTrailData</v>
      </c>
      <c r="DR4" s="28" t="str">
        <f>IFERROR(__xludf.DUMMYFUNCTION("""COMPUTED_VALUE"""),"CheckAuditTrailData")</f>
        <v>CheckAuditTrailData</v>
      </c>
      <c r="DS4" s="28" t="str">
        <f>IFERROR(__xludf.DUMMYFUNCTION("""COMPUTED_VALUE"""),"DeleteGroupWithOutSave")</f>
        <v>DeleteGroupWithOutSave</v>
      </c>
      <c r="DT4" s="28" t="str">
        <f>IFERROR(__xludf.DUMMYFUNCTION("""COMPUTED_VALUE"""),"CheckPreferences")</f>
        <v>CheckPreferences</v>
      </c>
      <c r="DU4" s="28" t="str">
        <f>IFERROR(__xludf.DUMMYFUNCTION("""COMPUTED_VALUE"""),"AllocateWithPopUp")</f>
        <v>AllocateWithPopUp</v>
      </c>
      <c r="DV4" s="28" t="str">
        <f>IFERROR(__xludf.DUMMYFUNCTION("""COMPUTED_VALUE"""),"SelectAllRowsAllocated")</f>
        <v>SelectAllRowsAllocated</v>
      </c>
      <c r="DW4" s="28" t="str">
        <f>IFERROR(__xludf.DUMMYFUNCTION("""COMPUTED_VALUE"""),"ModifyGRPreferenceValues")</f>
        <v>ModifyGRPreferenceValues</v>
      </c>
      <c r="DX4" s="28" t="str">
        <f>IFERROR(__xludf.DUMMYFUNCTION("""COMPUTED_VALUE"""),"VerifyAllocationNavLockPopup")</f>
        <v>VerifyAllocationNavLockPopup</v>
      </c>
      <c r="DY4" s="28" t="str">
        <f>IFERROR(__xludf.DUMMYFUNCTION("""COMPUTED_VALUE"""),"ReviewExistingPositions")</f>
        <v>ReviewExistingPositions</v>
      </c>
      <c r="DZ4" s="28" t="str">
        <f>IFERROR(__xludf.DUMMYFUNCTION("""COMPUTED_VALUE"""),"OperationsonAllocation")</f>
        <v>OperationsonAllocation</v>
      </c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IFERROR(__xludf.DUMMYFUNCTION("""COMPUTED_VALUE"""),"Symbol")</f>
        <v>Symbol</v>
      </c>
      <c r="C5" s="41" t="str">
        <f>IFERROR(__xludf.DUMMYFUNCTION("""COMPUTED_VALUE"""),"Quantity")</f>
        <v>Quantity</v>
      </c>
      <c r="D5" s="41" t="str">
        <f>IFERROR(__xludf.DUMMYFUNCTION("""COMPUTED_VALUE"""),"Trade Date")</f>
        <v>Trade Date</v>
      </c>
      <c r="E5" s="41" t="str">
        <f>IFERROR(__xludf.DUMMYFUNCTION("""COMPUTED_VALUE"""),"Account Name")</f>
        <v>Account Name</v>
      </c>
      <c r="F5" s="41" t="str">
        <f>IFERROR(__xludf.DUMMYFUNCTION("""COMPUTED_VALUE"""),"Side")</f>
        <v>Side</v>
      </c>
      <c r="G5" s="41" t="str">
        <f>IFERROR(__xludf.DUMMYFUNCTION("""COMPUTED_VALUE"""),"Group Status")</f>
        <v>Group Status</v>
      </c>
      <c r="H5" s="41" t="str">
        <f>IFERROR(__xludf.DUMMYFUNCTION("""COMPUTED_VALUE"""),"Avg Price(Base)")</f>
        <v>Avg Price(Base)</v>
      </c>
      <c r="I5" s="41" t="str">
        <f>IFERROR(__xludf.DUMMYFUNCTION("""COMPUTED_VALUE"""),"Execution Time")</f>
        <v>Execution Time</v>
      </c>
      <c r="J5" s="41" t="str">
        <f>IFERROR(__xludf.DUMMYFUNCTION("""COMPUTED_VALUE"""),"Trade Attribute 1")</f>
        <v>Trade Attribute 1</v>
      </c>
      <c r="K5" s="41" t="str">
        <f>IFERROR(__xludf.DUMMYFUNCTION("""COMPUTED_VALUE"""),"Avg Price(Local)")</f>
        <v>Avg Price(Local)</v>
      </c>
      <c r="L5" s="41" t="str">
        <f>IFERROR(__xludf.DUMMYFUNCTION("""COMPUTED_VALUE"""),"Trade Attribute 2")</f>
        <v>Trade Attribute 2</v>
      </c>
      <c r="M5" s="41" t="str">
        <f>IFERROR(__xludf.DUMMYFUNCTION("""COMPUTED_VALUE"""),"Accrued Interest")</f>
        <v>Accrued Interest</v>
      </c>
      <c r="N5" s="41" t="str">
        <f>IFERROR(__xludf.DUMMYFUNCTION("""COMPUTED_VALUE"""),"Commission")</f>
        <v>Commission</v>
      </c>
      <c r="O5" s="41" t="str">
        <f>IFERROR(__xludf.DUMMYFUNCTION("""COMPUTED_VALUE"""),"Soft Commission")</f>
        <v>Soft Commission</v>
      </c>
      <c r="P5" s="41" t="str">
        <f>IFERROR(__xludf.DUMMYFUNCTION("""COMPUTED_VALUE"""),"Broker")</f>
        <v>Broker</v>
      </c>
      <c r="Q5" s="41" t="str">
        <f>IFERROR(__xludf.DUMMYFUNCTION("""COMPUTED_VALUE"""),"Transaction Type")</f>
        <v>Transaction Type</v>
      </c>
      <c r="R5" s="41" t="str">
        <f>IFERROR(__xludf.DUMMYFUNCTION("""COMPUTED_VALUE"""),"AUEC Fee1")</f>
        <v>AUEC Fee1</v>
      </c>
      <c r="S5" s="41" t="str">
        <f>IFERROR(__xludf.DUMMYFUNCTION("""COMPUTED_VALUE"""),"AUEC Fee2")</f>
        <v>AUEC Fee2</v>
      </c>
      <c r="T5" s="32" t="str">
        <f>IFERROR(__xludf.DUMMYFUNCTION("""COMPUTED_VALUE"""),"Clearing Broker Fee")</f>
        <v>Clearing Broker Fee</v>
      </c>
      <c r="U5" s="32" t="str">
        <f>IFERROR(__xludf.DUMMYFUNCTION("""COMPUTED_VALUE"""),"Other Broker Fees")</f>
        <v>Other Broker Fees</v>
      </c>
      <c r="V5" s="32" t="str">
        <f>IFERROR(__xludf.DUMMYFUNCTION("""COMPUTED_VALUE"""),"OCC Fee")</f>
        <v>OCC Fee</v>
      </c>
      <c r="W5" s="32" t="str">
        <f>IFERROR(__xludf.DUMMYFUNCTION("""COMPUTED_VALUE"""),"SEC Fee")</f>
        <v>SEC Fee</v>
      </c>
      <c r="X5" s="32" t="str">
        <f>IFERROR(__xludf.DUMMYFUNCTION("""COMPUTED_VALUE"""),"ORF Fee")</f>
        <v>ORF Fee</v>
      </c>
      <c r="Y5" s="32" t="str">
        <f>IFERROR(__xludf.DUMMYFUNCTION("""COMPUTED_VALUE"""),"IsPreAllocated")</f>
        <v>IsPreAllocated</v>
      </c>
      <c r="Z5" s="32" t="str">
        <f>IFERROR(__xludf.DUMMYFUNCTION("""COMPUTED_VALUE"""),"Stamp Duty")</f>
        <v>Stamp Duty</v>
      </c>
      <c r="AA5" s="32" t="str">
        <f>IFERROR(__xludf.DUMMYFUNCTION("""COMPUTED_VALUE"""),"IsManual Group")</f>
        <v>IsManual Group</v>
      </c>
      <c r="AB5" s="32" t="str">
        <f>IFERROR(__xludf.DUMMYFUNCTION("""COMPUTED_VALUE"""),"Tax On Commissions")</f>
        <v>Tax On Commissions</v>
      </c>
      <c r="AC5" s="32" t="str">
        <f>IFERROR(__xludf.DUMMYFUNCTION("""COMPUTED_VALUE"""),"IsAnotherTaxlotAttributesUpdated")</f>
        <v>IsAnotherTaxlotAttributesUpdated</v>
      </c>
      <c r="AD5" s="32" t="str">
        <f>IFERROR(__xludf.DUMMYFUNCTION("""COMPUTED_VALUE"""),"ISNDF")</f>
        <v>ISNDF</v>
      </c>
      <c r="AE5" s="32" t="str">
        <f>IFERROR(__xludf.DUMMYFUNCTION("""COMPUTED_VALUE"""),"Transaction Levy")</f>
        <v>Transaction Levy</v>
      </c>
      <c r="AF5" s="32" t="str">
        <f>IFERROR(__xludf.DUMMYFUNCTION("""COMPUTED_VALUE"""),"Description")</f>
        <v>Description</v>
      </c>
      <c r="AG5" s="32" t="str">
        <f>IFERROR(__xludf.DUMMYFUNCTION("""COMPUTED_VALUE"""),"GroupID")</f>
        <v>GroupID</v>
      </c>
      <c r="AH5" s="32" t="str">
        <f>IFERROR(__xludf.DUMMYFUNCTION("""COMPUTED_VALUE"""),"Internal Comments")</f>
        <v>Internal Comments</v>
      </c>
      <c r="AI5" s="32" t="str">
        <f>IFERROR(__xludf.DUMMYFUNCTION("""COMPUTED_VALUE"""),"M2MProfitLoss")</f>
        <v>M2MProfitLoss</v>
      </c>
      <c r="AJ5" s="32" t="str">
        <f>IFERROR(__xludf.DUMMYFUNCTION("""COMPUTED_VALUE"""),"FX Rate")</f>
        <v>FX Rate</v>
      </c>
      <c r="AK5" s="32" t="str">
        <f>IFERROR(__xludf.DUMMYFUNCTION("""COMPUTED_VALUE"""),"FX Conversion Operator")</f>
        <v>FX Conversion Operator</v>
      </c>
      <c r="AL5" s="32" t="str">
        <f>IFERROR(__xludf.DUMMYFUNCTION("""COMPUTED_VALUE"""),"Trade Attribute 3")</f>
        <v>Trade Attribute 3</v>
      </c>
      <c r="AM5" s="32" t="str">
        <f>IFERROR(__xludf.DUMMYFUNCTION("""COMPUTED_VALUE"""),"Trade Attribute 4")</f>
        <v>Trade Attribute 4</v>
      </c>
      <c r="AN5" s="32" t="str">
        <f>IFERROR(__xludf.DUMMYFUNCTION("""COMPUTED_VALUE"""),"Trade Attribute 5")</f>
        <v>Trade Attribute 5</v>
      </c>
      <c r="AO5" s="32" t="str">
        <f>IFERROR(__xludf.DUMMYFUNCTION("""COMPUTED_VALUE"""),"Trade Attribute 6")</f>
        <v>Trade Attribute 6</v>
      </c>
      <c r="AP5" s="32" t="str">
        <f>IFERROR(__xludf.DUMMYFUNCTION("""COMPUTED_VALUE"""),"Put Or Call")</f>
        <v>Put Or Call</v>
      </c>
      <c r="AQ5" s="32" t="str">
        <f>IFERROR(__xludf.DUMMYFUNCTION("""COMPUTED_VALUE"""),"Allocated Qty")</f>
        <v>Allocated Qty</v>
      </c>
      <c r="AR5" s="32" t="str">
        <f>IFERROR(__xludf.DUMMYFUNCTION("""COMPUTED_VALUE"""),"Total Commission And Fee")</f>
        <v>Total Commission And Fee</v>
      </c>
      <c r="AS5" s="32" t="str">
        <f>IFERROR(__xludf.DUMMYFUNCTION("""COMPUTED_VALUE"""),"Executed Qty")</f>
        <v>Executed Qty</v>
      </c>
      <c r="AT5" s="32" t="str">
        <f>IFERROR(__xludf.DUMMYFUNCTION("""COMPUTED_VALUE"""),"Net Amount( Local)")</f>
        <v>Net Amount( Local)</v>
      </c>
      <c r="AU5" s="32" t="str">
        <f>IFERROR(__xludf.DUMMYFUNCTION("""COMPUTED_VALUE"""),"Net Amount( Base)")</f>
        <v>Net Amount( Base)</v>
      </c>
      <c r="AV5" s="32" t="str">
        <f>IFERROR(__xludf.DUMMYFUNCTION("""COMPUTED_VALUE"""),"UnAllocatedQty")</f>
        <v>UnAllocatedQty</v>
      </c>
      <c r="AW5" s="32" t="str">
        <f>IFERROR(__xludf.DUMMYFUNCTION("""COMPUTED_VALUE"""),"Option Premium Adjustment")</f>
        <v>Option Premium Adjustment</v>
      </c>
      <c r="AX5" s="32" t="str">
        <f>IFERROR(__xludf.DUMMYFUNCTION("""COMPUTED_VALUE"""),"Principal Amount( Local)")</f>
        <v>Principal Amount( Local)</v>
      </c>
      <c r="AY5" s="32" t="str">
        <f>IFERROR(__xludf.DUMMYFUNCTION("""COMPUTED_VALUE"""),"Principal Amount( Base)")</f>
        <v>Principal Amount( Base)</v>
      </c>
      <c r="AZ5" s="32" t="str">
        <f>IFERROR(__xludf.DUMMYFUNCTION("""COMPUTED_VALUE"""),"Settlement Currency")</f>
        <v>Settlement Currency</v>
      </c>
      <c r="BA5" s="32" t="str">
        <f>IFERROR(__xludf.DUMMYFUNCTION("""COMPUTED_VALUE"""),"User")</f>
        <v>User</v>
      </c>
      <c r="BB5" s="32" t="str">
        <f>IFERROR(__xludf.DUMMYFUNCTION("""COMPUTED_VALUE"""),"Asset Category")</f>
        <v>Asset Category</v>
      </c>
      <c r="BC5" s="32" t="str">
        <f>IFERROR(__xludf.DUMMYFUNCTION("""COMPUTED_VALUE"""),"Change Type")</f>
        <v>Change Type</v>
      </c>
      <c r="BD5" s="32" t="str">
        <f>IFERROR(__xludf.DUMMYFUNCTION("""COMPUTED_VALUE"""),"Strategy Name")</f>
        <v>Strategy Name</v>
      </c>
      <c r="BE5" s="32" t="str">
        <f>IFERROR(__xludf.DUMMYFUNCTION("""COMPUTED_VALUE"""),"Prana Msg Type")</f>
        <v>Prana Msg Type</v>
      </c>
      <c r="BF5" s="32" t="str">
        <f>IFERROR(__xludf.DUMMYFUNCTION("""COMPUTED_VALUE"""),"Total Commission")</f>
        <v>Total Commission</v>
      </c>
      <c r="BG5" s="32" t="str">
        <f>IFERROR(__xludf.DUMMYFUNCTION("""COMPUTED_VALUE"""),"Commission Per Share")</f>
        <v>Commission Per Share</v>
      </c>
      <c r="BH5" s="32" t="str">
        <f>IFERROR(__xludf.DUMMYFUNCTION("""COMPUTED_VALUE"""),"Soft Commission Per Share")</f>
        <v>Soft Commission Per Share</v>
      </c>
      <c r="BI5" s="32" t="str">
        <f>IFERROR(__xludf.DUMMYFUNCTION("""COMPUTED_VALUE"""),"Total Commission Per Share")</f>
        <v>Total Commission Per Share</v>
      </c>
      <c r="BJ5" s="32" t="str">
        <f>IFERROR(__xludf.DUMMYFUNCTION("""COMPUTED_VALUE"""),"Closing Status")</f>
        <v>Closing Status</v>
      </c>
      <c r="BK5" s="32" t="str">
        <f>IFERROR(__xludf.DUMMYFUNCTION("""COMPUTED_VALUE"""),"Closing Method")</f>
        <v>Closing Method</v>
      </c>
      <c r="BL5" s="32" t="str">
        <f>IFERROR(__xludf.DUMMYFUNCTION("""COMPUTED_VALUE"""),"Allocation Scheme Name")</f>
        <v>Allocation Scheme Name</v>
      </c>
      <c r="BM5" s="32" t="str">
        <f>IFERROR(__xludf.DUMMYFUNCTION("""COMPUTED_VALUE"""),"Change Comment")</f>
        <v>Change Comment</v>
      </c>
      <c r="BN5" s="32" t="str">
        <f>IFERROR(__xludf.DUMMYFUNCTION("""COMPUTED_VALUE"""),"Order Type")</f>
        <v>Order Type</v>
      </c>
      <c r="BO5" s="32" t="str">
        <f>IFERROR(__xludf.DUMMYFUNCTION("""COMPUTED_VALUE"""),"Underlying")</f>
        <v>Underlying</v>
      </c>
      <c r="BP5" s="32" t="str">
        <f>IFERROR(__xludf.DUMMYFUNCTION("""COMPUTED_VALUE"""),"Exchange")</f>
        <v>Exchange</v>
      </c>
      <c r="BQ5" s="32" t="str">
        <f>IFERROR(__xludf.DUMMYFUNCTION("""COMPUTED_VALUE"""),"Currency")</f>
        <v>Currency</v>
      </c>
      <c r="BR5" s="32" t="str">
        <f>IFERROR(__xludf.DUMMYFUNCTION("""COMPUTED_VALUE"""),"AUECID")</f>
        <v>AUECID</v>
      </c>
      <c r="BS5" s="32" t="str">
        <f>IFERROR(__xludf.DUMMYFUNCTION("""COMPUTED_VALUE"""),"Trading Account")</f>
        <v>Trading Account</v>
      </c>
      <c r="BT5" s="32" t="str">
        <f>IFERROR(__xludf.DUMMYFUNCTION("""COMPUTED_VALUE"""),"Venue")</f>
        <v>Venue</v>
      </c>
      <c r="BU5" s="32" t="str">
        <f>IFERROR(__xludf.DUMMYFUNCTION("""COMPUTED_VALUE"""),"Cum Qty For Sub Order")</f>
        <v>Cum Qty For Sub Order</v>
      </c>
      <c r="BV5" s="32" t="str">
        <f>IFERROR(__xludf.DUMMYFUNCTION("""COMPUTED_VALUE"""),"Contract Multiplier")</f>
        <v>Contract Multiplier</v>
      </c>
      <c r="BW5" s="32" t="str">
        <f>IFERROR(__xludf.DUMMYFUNCTION("""COMPUTED_VALUE"""),"Company")</f>
        <v>Company</v>
      </c>
      <c r="BX5" s="32" t="str">
        <f>IFERROR(__xludf.DUMMYFUNCTION("""COMPUTED_VALUE"""),"Nirvana Process Date")</f>
        <v>Nirvana Process Date</v>
      </c>
      <c r="BY5" s="32" t="str">
        <f>IFERROR(__xludf.DUMMYFUNCTION("""COMPUTED_VALUE"""),"Process Date")</f>
        <v>Process Date</v>
      </c>
      <c r="BZ5" s="32" t="str">
        <f>IFERROR(__xludf.DUMMYFUNCTION("""COMPUTED_VALUE"""),"Original Purchase Date")</f>
        <v>Original Purchase Date</v>
      </c>
      <c r="CA5" s="32" t="str">
        <f>IFERROR(__xludf.DUMMYFUNCTION("""COMPUTED_VALUE"""),"Closing Date")</f>
        <v>Closing Date</v>
      </c>
      <c r="CB5" s="32" t="str">
        <f>IFERROR(__xludf.DUMMYFUNCTION("""COMPUTED_VALUE"""),"Settlement Date")</f>
        <v>Settlement Date</v>
      </c>
      <c r="CC5" s="32" t="str">
        <f>IFERROR(__xludf.DUMMYFUNCTION("""COMPUTED_VALUE"""),"Expiration Date")</f>
        <v>Expiration Date</v>
      </c>
      <c r="CD5" s="32" t="str">
        <f>IFERROR(__xludf.DUMMYFUNCTION("""COMPUTED_VALUE"""),"Underlying Symbol")</f>
        <v>Underlying Symbol</v>
      </c>
      <c r="CE5" s="32" t="str">
        <f>IFERROR(__xludf.DUMMYFUNCTION("""COMPUTED_VALUE"""),"Accrual Basis")</f>
        <v>Accrual Basis</v>
      </c>
      <c r="CF5" s="32" t="str">
        <f>IFERROR(__xludf.DUMMYFUNCTION("""COMPUTED_VALUE"""),"Bond Type")</f>
        <v>Bond Type</v>
      </c>
      <c r="CG5" s="32" t="str">
        <f>IFERROR(__xludf.DUMMYFUNCTION("""COMPUTED_VALUE"""),"Coupon Rate")</f>
        <v>Coupon Rate</v>
      </c>
      <c r="CH5" s="32" t="str">
        <f>IFERROR(__xludf.DUMMYFUNCTION("""COMPUTED_VALUE"""),"Delta")</f>
        <v>Delta</v>
      </c>
      <c r="CI5" s="32" t="str">
        <f>IFERROR(__xludf.DUMMYFUNCTION("""COMPUTED_VALUE"""),"Bloomberg")</f>
        <v>Bloomberg</v>
      </c>
      <c r="CJ5" s="32" t="str">
        <f>IFERROR(__xludf.DUMMYFUNCTION("""COMPUTED_VALUE"""),"Sedol Symbol")</f>
        <v>Sedol Symbol</v>
      </c>
      <c r="CK5" s="32" t="str">
        <f>IFERROR(__xludf.DUMMYFUNCTION("""COMPUTED_VALUE"""),"Cusip Symbol")</f>
        <v>Cusip Symbol</v>
      </c>
      <c r="CL5" s="32" t="str">
        <f>IFERROR(__xludf.DUMMYFUNCTION("""COMPUTED_VALUE"""),"ISIN")</f>
        <v>ISIN</v>
      </c>
      <c r="CM5" s="32" t="str">
        <f>IFERROR(__xludf.DUMMYFUNCTION("""COMPUTED_VALUE"""),"OSISSymbol")</f>
        <v>OSISSymbol</v>
      </c>
      <c r="CN5" s="32" t="str">
        <f>IFERROR(__xludf.DUMMYFUNCTION("""COMPUTED_VALUE"""),"IDCOSymbol")</f>
        <v>IDCOSymbol</v>
      </c>
      <c r="CO5" s="32" t="str">
        <f>IFERROR(__xludf.DUMMYFUNCTION("""COMPUTED_VALUE"""),"Underlying Delta")</f>
        <v>Underlying Delta</v>
      </c>
      <c r="CP5" s="32" t="str">
        <f>IFERROR(__xludf.DUMMYFUNCTION("""COMPUTED_VALUE"""),"Proxy Symbol")</f>
        <v>Proxy Symbol</v>
      </c>
      <c r="CQ5" s="32" t="str">
        <f>IFERROR(__xludf.DUMMYFUNCTION("""COMPUTED_VALUE"""),"Transaction Source")</f>
        <v>Transaction Source</v>
      </c>
      <c r="CR5" s="32" t="str">
        <f>IFERROR(__xludf.DUMMYFUNCTION("""COMPUTED_VALUE"""),"Import File Name")</f>
        <v>Import File Name</v>
      </c>
      <c r="CS5" s="32" t="str">
        <f>IFERROR(__xludf.DUMMYFUNCTION("""COMPUTED_VALUE"""),"MasterFund")</f>
        <v>MasterFund</v>
      </c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16</v>
      </c>
      <c r="C6" s="9">
        <v>50.0</v>
      </c>
      <c r="D6" s="42">
        <v>43024.0</v>
      </c>
      <c r="F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24</v>
      </c>
      <c r="D3" s="5" t="s">
        <v>9</v>
      </c>
      <c r="E3" s="24" t="s">
        <v>79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IFERROR(__xludf.DUMMYFUNCTION("""COMPUTED_VALUE"""),"EditTradesAllocated")</f>
        <v>EditTradesAllocated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IFERROR(__xludf.DUMMYFUNCTION("""COMPUTED_VALUE"""),"DisableChecksideForAsset")</f>
        <v>DisableChecksideForAsset</v>
      </c>
      <c r="CX4" s="28" t="str">
        <f>IFERROR(__xludf.DUMMYFUNCTION("""COMPUTED_VALUE"""),"DisableChecksideForAccount")</f>
        <v>DisableChecksideForAccount</v>
      </c>
      <c r="CY4" s="28" t="str">
        <f>IFERROR(__xludf.DUMMYFUNCTION("""COMPUTED_VALUE"""),"DisableChecksideForCounterParty")</f>
        <v>DisableChecksideForCounterParty</v>
      </c>
      <c r="CZ4" s="28" t="str">
        <f>IFERROR(__xludf.DUMMYFUNCTION("""COMPUTED_VALUE"""),"DisableCheckside")</f>
        <v>DisableCheckside</v>
      </c>
      <c r="DA4" s="28" t="str">
        <f>IFERROR(__xludf.DUMMYFUNCTION("""COMPUTED_VALUE"""),"ApplyMasterFundFilter")</f>
        <v>ApplyMasterFundFilter</v>
      </c>
      <c r="DB4" s="28" t="str">
        <f>IFERROR(__xludf.DUMMYFUNCTION("""COMPUTED_VALUE"""),"ShowMasterFundOnTT")</f>
        <v>ShowMasterFundOnTT</v>
      </c>
      <c r="DC4" s="28" t="str">
        <f>IFERROR(__xludf.DUMMYFUNCTION("""COMPUTED_VALUE"""),"ShowMasterFundAsClient")</f>
        <v>ShowMasterFundAsClient</v>
      </c>
      <c r="DD4" s="28" t="str">
        <f>IFERROR(__xludf.DUMMYFUNCTION("""COMPUTED_VALUE"""),"SetBrokerAccountMapping")</f>
        <v>SetBrokerAccountMapping</v>
      </c>
      <c r="DE4" s="28" t="str">
        <f>IFERROR(__xludf.DUMMYFUNCTION("""COMPUTED_VALUE"""),"EditUnallocatedGridWPF")</f>
        <v>EditUnallocatedGridWPF</v>
      </c>
      <c r="DF4" s="28" t="str">
        <f>IFERROR(__xludf.DUMMYFUNCTION("""COMPUTED_VALUE"""),"EditAllocatedGridWPF")</f>
        <v>EditAllocatedGridWPF</v>
      </c>
      <c r="DG4" s="28" t="str">
        <f>IFERROR(__xludf.DUMMYFUNCTION("""COMPUTED_VALUE"""),"EditAllocatedGridTaxlot")</f>
        <v>EditAllocatedGridTaxlot</v>
      </c>
      <c r="DH4" s="28" t="str">
        <f>IFERROR(__xludf.DUMMYFUNCTION("""COMPUTED_VALUE"""),"ExpandCollapseAllocatedGrid")</f>
        <v>ExpandCollapseAllocatedGrid</v>
      </c>
      <c r="DI4" s="28" t="str">
        <f>IFERROR(__xludf.DUMMYFUNCTION("""COMPUTED_VALUE"""),"ExpandCollapseUnallocatedGrid")</f>
        <v>ExpandCollapseUnallocatedGrid</v>
      </c>
      <c r="DJ4" s="28" t="str">
        <f>IFERROR(__xludf.DUMMYFUNCTION("""COMPUTED_VALUE"""),"SetTradeAttributePreferences")</f>
        <v>SetTradeAttributePreferences</v>
      </c>
      <c r="DK4" s="28" t="str">
        <f>IFERROR(__xludf.DUMMYFUNCTION("""COMPUTED_VALUE"""),"EnterCustomAllocatePreference")</f>
        <v>EnterCustomAllocatePreference</v>
      </c>
      <c r="DL4" s="28" t="str">
        <f>IFERROR(__xludf.DUMMYFUNCTION("""COMPUTED_VALUE"""),"SetAutoGroupingPreferences")</f>
        <v>SetAutoGroupingPreferences</v>
      </c>
      <c r="DM4" s="28" t="str">
        <f>IFERROR(__xludf.DUMMYFUNCTION("""COMPUTED_VALUE"""),"SetAutoGroupingAccount")</f>
        <v>SetAutoGroupingAccount</v>
      </c>
      <c r="DN4" s="28" t="str">
        <f>IFERROR(__xludf.DUMMYFUNCTION("""COMPUTED_VALUE"""),"SetAvgPriceRounding")</f>
        <v>SetAvgPriceRounding</v>
      </c>
      <c r="DO4" s="28" t="str">
        <f>IFERROR(__xludf.DUMMYFUNCTION("""COMPUTED_VALUE"""),"IsAllocationOpen")</f>
        <v>IsAllocationOpen</v>
      </c>
      <c r="DP4" s="28" t="str">
        <f>IFERROR(__xludf.DUMMYFUNCTION("""COMPUTED_VALUE"""),"AllocationAuditTrail")</f>
        <v>AllocationAuditTrail</v>
      </c>
      <c r="DQ4" s="28" t="str">
        <f>IFERROR(__xludf.DUMMYFUNCTION("""COMPUTED_VALUE"""),"GetAuditTrailData")</f>
        <v>GetAuditTrailData</v>
      </c>
      <c r="DR4" s="28" t="str">
        <f>IFERROR(__xludf.DUMMYFUNCTION("""COMPUTED_VALUE"""),"CheckAuditTrailData")</f>
        <v>CheckAuditTrailData</v>
      </c>
      <c r="DS4" s="28" t="str">
        <f>IFERROR(__xludf.DUMMYFUNCTION("""COMPUTED_VALUE"""),"DeleteGroupWithOutSave")</f>
        <v>DeleteGroupWithOutSave</v>
      </c>
      <c r="DT4" s="28" t="str">
        <f>IFERROR(__xludf.DUMMYFUNCTION("""COMPUTED_VALUE"""),"CheckPreferences")</f>
        <v>CheckPreferences</v>
      </c>
      <c r="DU4" s="28" t="str">
        <f>IFERROR(__xludf.DUMMYFUNCTION("""COMPUTED_VALUE"""),"AllocateWithPopUp")</f>
        <v>AllocateWithPopUp</v>
      </c>
      <c r="DV4" s="28" t="str">
        <f>IFERROR(__xludf.DUMMYFUNCTION("""COMPUTED_VALUE"""),"SelectAllRowsAllocated")</f>
        <v>SelectAllRowsAllocated</v>
      </c>
      <c r="DW4" s="28" t="str">
        <f>IFERROR(__xludf.DUMMYFUNCTION("""COMPUTED_VALUE"""),"ModifyGRPreferenceValues")</f>
        <v>ModifyGRPreferenceValues</v>
      </c>
      <c r="DX4" s="28" t="str">
        <f>IFERROR(__xludf.DUMMYFUNCTION("""COMPUTED_VALUE"""),"VerifyAllocationNavLockPopup")</f>
        <v>VerifyAllocationNavLockPopup</v>
      </c>
      <c r="DY4" s="28" t="str">
        <f>IFERROR(__xludf.DUMMYFUNCTION("""COMPUTED_VALUE"""),"ReviewExistingPositions")</f>
        <v>ReviewExistingPositions</v>
      </c>
      <c r="DZ4" s="28" t="str">
        <f>IFERROR(__xludf.DUMMYFUNCTION("""COMPUTED_VALUE"""),"OperationsonAllocation")</f>
        <v>OperationsonAllocation</v>
      </c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IFERROR(__xludf.DUMMYFUNCTION("""COMPUTED_VALUE"""),"AvgPrice")</f>
        <v>AvgPrice</v>
      </c>
      <c r="C5" s="41" t="str">
        <f>IFERROR(__xludf.DUMMYFUNCTION("""COMPUTED_VALUE"""),"Commission")</f>
        <v>Commission</v>
      </c>
      <c r="D5" s="41" t="str">
        <f>IFERROR(__xludf.DUMMYFUNCTION("""COMPUTED_VALUE"""),"SoftCommission")</f>
        <v>SoftCommission</v>
      </c>
      <c r="E5" s="41" t="str">
        <f>IFERROR(__xludf.DUMMYFUNCTION("""COMPUTED_VALUE"""),"OtherBrokerFees")</f>
        <v>OtherBrokerFees</v>
      </c>
      <c r="F5" s="41" t="str">
        <f>IFERROR(__xludf.DUMMYFUNCTION("""COMPUTED_VALUE"""),"ClearingBrokerFees")</f>
        <v>ClearingBrokerFees</v>
      </c>
      <c r="G5" s="41" t="str">
        <f>IFERROR(__xludf.DUMMYFUNCTION("""COMPUTED_VALUE"""),"StampDuty")</f>
        <v>StampDuty</v>
      </c>
      <c r="H5" s="41" t="str">
        <f>IFERROR(__xludf.DUMMYFUNCTION("""COMPUTED_VALUE"""),"TransactionLevy")</f>
        <v>TransactionLevy</v>
      </c>
      <c r="I5" s="41" t="str">
        <f>IFERROR(__xludf.DUMMYFUNCTION("""COMPUTED_VALUE"""),"AUECFee1")</f>
        <v>AUECFee1</v>
      </c>
      <c r="J5" s="41" t="str">
        <f>IFERROR(__xludf.DUMMYFUNCTION("""COMPUTED_VALUE"""),"TaxOnCommissions")</f>
        <v>TaxOnCommissions</v>
      </c>
      <c r="K5" s="41" t="str">
        <f>IFERROR(__xludf.DUMMYFUNCTION("""COMPUTED_VALUE"""),"AUECFee2")</f>
        <v>AUECFee2</v>
      </c>
      <c r="L5" s="41" t="str">
        <f>IFERROR(__xludf.DUMMYFUNCTION("""COMPUTED_VALUE"""),"SecFee")</f>
        <v>SecFee</v>
      </c>
      <c r="M5" s="41" t="str">
        <f>IFERROR(__xludf.DUMMYFUNCTION("""COMPUTED_VALUE"""),"OccFee")</f>
        <v>OccFee</v>
      </c>
      <c r="N5" s="41" t="str">
        <f>IFERROR(__xludf.DUMMYFUNCTION("""COMPUTED_VALUE"""),"OrfFee")</f>
        <v>OrfFee</v>
      </c>
      <c r="O5" s="41" t="str">
        <f>IFERROR(__xludf.DUMMYFUNCTION("""COMPUTED_VALUE"""),"Broker")</f>
        <v>Broker</v>
      </c>
      <c r="P5" s="41" t="str">
        <f>IFERROR(__xludf.DUMMYFUNCTION("""COMPUTED_VALUE"""),"Venue")</f>
        <v>Venue</v>
      </c>
      <c r="Q5" s="41" t="str">
        <f>IFERROR(__xludf.DUMMYFUNCTION("""COMPUTED_VALUE"""),"Description")</f>
        <v>Description</v>
      </c>
      <c r="R5" s="41" t="str">
        <f>IFERROR(__xludf.DUMMYFUNCTION("""COMPUTED_VALUE"""),"InternalComments")</f>
        <v>InternalComments</v>
      </c>
      <c r="S5" s="41" t="str">
        <f>IFERROR(__xludf.DUMMYFUNCTION("""COMPUTED_VALUE"""),"FXRate")</f>
        <v>FXRate</v>
      </c>
      <c r="T5" s="32" t="str">
        <f>IFERROR(__xludf.DUMMYFUNCTION("""COMPUTED_VALUE"""),"FxConvOperator")</f>
        <v>FxConvOperator</v>
      </c>
      <c r="U5" s="32" t="str">
        <f>IFERROR(__xludf.DUMMYFUNCTION("""COMPUTED_VALUE"""),"AccruedInterest")</f>
        <v>AccruedInterest</v>
      </c>
      <c r="V5" s="32" t="str">
        <f>IFERROR(__xludf.DUMMYFUNCTION("""COMPUTED_VALUE"""),"TradeAttribute1")</f>
        <v>TradeAttribute1</v>
      </c>
      <c r="W5" s="32" t="str">
        <f>IFERROR(__xludf.DUMMYFUNCTION("""COMPUTED_VALUE"""),"TradeAttribute2")</f>
        <v>TradeAttribute2</v>
      </c>
      <c r="X5" s="32" t="str">
        <f>IFERROR(__xludf.DUMMYFUNCTION("""COMPUTED_VALUE"""),"TradeAttribute3")</f>
        <v>TradeAttribute3</v>
      </c>
      <c r="Y5" s="32" t="str">
        <f>IFERROR(__xludf.DUMMYFUNCTION("""COMPUTED_VALUE"""),"TradeAttribute4")</f>
        <v>TradeAttribute4</v>
      </c>
      <c r="Z5" s="32" t="str">
        <f>IFERROR(__xludf.DUMMYFUNCTION("""COMPUTED_VALUE"""),"TradeAttribute5")</f>
        <v>TradeAttribute5</v>
      </c>
      <c r="AA5" s="32" t="str">
        <f>IFERROR(__xludf.DUMMYFUNCTION("""COMPUTED_VALUE"""),"TradeAttribute6")</f>
        <v>TradeAttribute6</v>
      </c>
      <c r="AB5" s="32" t="str">
        <f>IFERROR(__xludf.DUMMYFUNCTION("""COMPUTED_VALUE"""),"SettlementCurrency")</f>
        <v>SettlementCurrency</v>
      </c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E6" s="9">
        <v>1.0</v>
      </c>
      <c r="F6" s="9">
        <v>11.0</v>
      </c>
      <c r="G6" s="9">
        <v>1.0</v>
      </c>
      <c r="H6" s="9">
        <v>12.0</v>
      </c>
      <c r="I6" s="9">
        <v>5.0</v>
      </c>
      <c r="J6" s="9"/>
      <c r="K6" s="9"/>
      <c r="L6" s="9"/>
      <c r="U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24</v>
      </c>
      <c r="D3" s="5" t="s">
        <v>9</v>
      </c>
      <c r="E3" s="24" t="s">
        <v>78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IFERROR(__xludf.DUMMYFUNCTION("""COMPUTED_VALUE"""),"EditTradesAllocated")</f>
        <v>EditTradesAllocated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IFERROR(__xludf.DUMMYFUNCTION("""COMPUTED_VALUE"""),"DisableChecksideForAsset")</f>
        <v>DisableChecksideForAsset</v>
      </c>
      <c r="CX4" s="28" t="str">
        <f>IFERROR(__xludf.DUMMYFUNCTION("""COMPUTED_VALUE"""),"DisableChecksideForAccount")</f>
        <v>DisableChecksideForAccount</v>
      </c>
      <c r="CY4" s="28" t="str">
        <f>IFERROR(__xludf.DUMMYFUNCTION("""COMPUTED_VALUE"""),"DisableChecksideForCounterParty")</f>
        <v>DisableChecksideForCounterParty</v>
      </c>
      <c r="CZ4" s="28" t="str">
        <f>IFERROR(__xludf.DUMMYFUNCTION("""COMPUTED_VALUE"""),"DisableCheckside")</f>
        <v>DisableCheckside</v>
      </c>
      <c r="DA4" s="28" t="str">
        <f>IFERROR(__xludf.DUMMYFUNCTION("""COMPUTED_VALUE"""),"ApplyMasterFundFilter")</f>
        <v>ApplyMasterFundFilter</v>
      </c>
      <c r="DB4" s="28" t="str">
        <f>IFERROR(__xludf.DUMMYFUNCTION("""COMPUTED_VALUE"""),"ShowMasterFundOnTT")</f>
        <v>ShowMasterFundOnTT</v>
      </c>
      <c r="DC4" s="28" t="str">
        <f>IFERROR(__xludf.DUMMYFUNCTION("""COMPUTED_VALUE"""),"ShowMasterFundAsClient")</f>
        <v>ShowMasterFundAsClient</v>
      </c>
      <c r="DD4" s="28" t="str">
        <f>IFERROR(__xludf.DUMMYFUNCTION("""COMPUTED_VALUE"""),"SetBrokerAccountMapping")</f>
        <v>SetBrokerAccountMapping</v>
      </c>
      <c r="DE4" s="28" t="str">
        <f>IFERROR(__xludf.DUMMYFUNCTION("""COMPUTED_VALUE"""),"EditUnallocatedGridWPF")</f>
        <v>EditUnallocatedGridWPF</v>
      </c>
      <c r="DF4" s="28" t="str">
        <f>IFERROR(__xludf.DUMMYFUNCTION("""COMPUTED_VALUE"""),"EditAllocatedGridWPF")</f>
        <v>EditAllocatedGridWPF</v>
      </c>
      <c r="DG4" s="28" t="str">
        <f>IFERROR(__xludf.DUMMYFUNCTION("""COMPUTED_VALUE"""),"EditAllocatedGridTaxlot")</f>
        <v>EditAllocatedGridTaxlot</v>
      </c>
      <c r="DH4" s="28" t="str">
        <f>IFERROR(__xludf.DUMMYFUNCTION("""COMPUTED_VALUE"""),"ExpandCollapseAllocatedGrid")</f>
        <v>ExpandCollapseAllocatedGrid</v>
      </c>
      <c r="DI4" s="28" t="str">
        <f>IFERROR(__xludf.DUMMYFUNCTION("""COMPUTED_VALUE"""),"ExpandCollapseUnallocatedGrid")</f>
        <v>ExpandCollapseUnallocatedGrid</v>
      </c>
      <c r="DJ4" s="28" t="str">
        <f>IFERROR(__xludf.DUMMYFUNCTION("""COMPUTED_VALUE"""),"SetTradeAttributePreferences")</f>
        <v>SetTradeAttributePreferences</v>
      </c>
      <c r="DK4" s="28" t="str">
        <f>IFERROR(__xludf.DUMMYFUNCTION("""COMPUTED_VALUE"""),"EnterCustomAllocatePreference")</f>
        <v>EnterCustomAllocatePreference</v>
      </c>
      <c r="DL4" s="28" t="str">
        <f>IFERROR(__xludf.DUMMYFUNCTION("""COMPUTED_VALUE"""),"SetAutoGroupingPreferences")</f>
        <v>SetAutoGroupingPreferences</v>
      </c>
      <c r="DM4" s="28" t="str">
        <f>IFERROR(__xludf.DUMMYFUNCTION("""COMPUTED_VALUE"""),"SetAutoGroupingAccount")</f>
        <v>SetAutoGroupingAccount</v>
      </c>
      <c r="DN4" s="28" t="str">
        <f>IFERROR(__xludf.DUMMYFUNCTION("""COMPUTED_VALUE"""),"SetAvgPriceRounding")</f>
        <v>SetAvgPriceRounding</v>
      </c>
      <c r="DO4" s="28" t="str">
        <f>IFERROR(__xludf.DUMMYFUNCTION("""COMPUTED_VALUE"""),"IsAllocationOpen")</f>
        <v>IsAllocationOpen</v>
      </c>
      <c r="DP4" s="28" t="str">
        <f>IFERROR(__xludf.DUMMYFUNCTION("""COMPUTED_VALUE"""),"AllocationAuditTrail")</f>
        <v>AllocationAuditTrail</v>
      </c>
      <c r="DQ4" s="28" t="str">
        <f>IFERROR(__xludf.DUMMYFUNCTION("""COMPUTED_VALUE"""),"GetAuditTrailData")</f>
        <v>GetAuditTrailData</v>
      </c>
      <c r="DR4" s="28" t="str">
        <f>IFERROR(__xludf.DUMMYFUNCTION("""COMPUTED_VALUE"""),"CheckAuditTrailData")</f>
        <v>CheckAuditTrailData</v>
      </c>
      <c r="DS4" s="28" t="str">
        <f>IFERROR(__xludf.DUMMYFUNCTION("""COMPUTED_VALUE"""),"DeleteGroupWithOutSave")</f>
        <v>DeleteGroupWithOutSave</v>
      </c>
      <c r="DT4" s="28" t="str">
        <f>IFERROR(__xludf.DUMMYFUNCTION("""COMPUTED_VALUE"""),"CheckPreferences")</f>
        <v>CheckPreferences</v>
      </c>
      <c r="DU4" s="28" t="str">
        <f>IFERROR(__xludf.DUMMYFUNCTION("""COMPUTED_VALUE"""),"AllocateWithPopUp")</f>
        <v>AllocateWithPopUp</v>
      </c>
      <c r="DV4" s="28" t="str">
        <f>IFERROR(__xludf.DUMMYFUNCTION("""COMPUTED_VALUE"""),"SelectAllRowsAllocated")</f>
        <v>SelectAllRowsAllocated</v>
      </c>
      <c r="DW4" s="28" t="str">
        <f>IFERROR(__xludf.DUMMYFUNCTION("""COMPUTED_VALUE"""),"ModifyGRPreferenceValues")</f>
        <v>ModifyGRPreferenceValues</v>
      </c>
      <c r="DX4" s="28" t="str">
        <f>IFERROR(__xludf.DUMMYFUNCTION("""COMPUTED_VALUE"""),"VerifyAllocationNavLockPopup")</f>
        <v>VerifyAllocationNavLockPopup</v>
      </c>
      <c r="DY4" s="28" t="str">
        <f>IFERROR(__xludf.DUMMYFUNCTION("""COMPUTED_VALUE"""),"ReviewExistingPositions")</f>
        <v>ReviewExistingPositions</v>
      </c>
      <c r="DZ4" s="28" t="str">
        <f>IFERROR(__xludf.DUMMYFUNCTION("""COMPUTED_VALUE"""),"OperationsonAllocation")</f>
        <v>OperationsonAllocation</v>
      </c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IFERROR(__xludf.DUMMYFUNCTION("""COMPUTED_VALUE"""),"Symbol")</f>
        <v>Symbol</v>
      </c>
      <c r="C5" s="41" t="str">
        <f>IFERROR(__xludf.DUMMYFUNCTION("""COMPUTED_VALUE"""),"Quantity")</f>
        <v>Quantity</v>
      </c>
      <c r="D5" s="41" t="str">
        <f>IFERROR(__xludf.DUMMYFUNCTION("""COMPUTED_VALUE"""),"Trade Date")</f>
        <v>Trade Date</v>
      </c>
      <c r="E5" s="41" t="str">
        <f>IFERROR(__xludf.DUMMYFUNCTION("""COMPUTED_VALUE"""),"Account Name")</f>
        <v>Account Name</v>
      </c>
      <c r="F5" s="41" t="str">
        <f>IFERROR(__xludf.DUMMYFUNCTION("""COMPUTED_VALUE"""),"Side")</f>
        <v>Side</v>
      </c>
      <c r="G5" s="41" t="str">
        <f>IFERROR(__xludf.DUMMYFUNCTION("""COMPUTED_VALUE"""),"Group Status")</f>
        <v>Group Status</v>
      </c>
      <c r="H5" s="41" t="str">
        <f>IFERROR(__xludf.DUMMYFUNCTION("""COMPUTED_VALUE"""),"Avg Price(Base)")</f>
        <v>Avg Price(Base)</v>
      </c>
      <c r="I5" s="41" t="str">
        <f>IFERROR(__xludf.DUMMYFUNCTION("""COMPUTED_VALUE"""),"Execution Time")</f>
        <v>Execution Time</v>
      </c>
      <c r="J5" s="41" t="str">
        <f>IFERROR(__xludf.DUMMYFUNCTION("""COMPUTED_VALUE"""),"Trade Attribute 1")</f>
        <v>Trade Attribute 1</v>
      </c>
      <c r="K5" s="41" t="str">
        <f>IFERROR(__xludf.DUMMYFUNCTION("""COMPUTED_VALUE"""),"Avg Price(Local)")</f>
        <v>Avg Price(Local)</v>
      </c>
      <c r="L5" s="41" t="str">
        <f>IFERROR(__xludf.DUMMYFUNCTION("""COMPUTED_VALUE"""),"Trade Attribute 2")</f>
        <v>Trade Attribute 2</v>
      </c>
      <c r="M5" s="41" t="str">
        <f>IFERROR(__xludf.DUMMYFUNCTION("""COMPUTED_VALUE"""),"Accrued Interest")</f>
        <v>Accrued Interest</v>
      </c>
      <c r="N5" s="41" t="str">
        <f>IFERROR(__xludf.DUMMYFUNCTION("""COMPUTED_VALUE"""),"Commission")</f>
        <v>Commission</v>
      </c>
      <c r="O5" s="41" t="str">
        <f>IFERROR(__xludf.DUMMYFUNCTION("""COMPUTED_VALUE"""),"Soft Commission")</f>
        <v>Soft Commission</v>
      </c>
      <c r="P5" s="41" t="str">
        <f>IFERROR(__xludf.DUMMYFUNCTION("""COMPUTED_VALUE"""),"Broker")</f>
        <v>Broker</v>
      </c>
      <c r="Q5" s="41" t="str">
        <f>IFERROR(__xludf.DUMMYFUNCTION("""COMPUTED_VALUE"""),"Transaction Type")</f>
        <v>Transaction Type</v>
      </c>
      <c r="R5" s="41" t="str">
        <f>IFERROR(__xludf.DUMMYFUNCTION("""COMPUTED_VALUE"""),"AUEC Fee1")</f>
        <v>AUEC Fee1</v>
      </c>
      <c r="S5" s="41" t="str">
        <f>IFERROR(__xludf.DUMMYFUNCTION("""COMPUTED_VALUE"""),"AUEC Fee2")</f>
        <v>AUEC Fee2</v>
      </c>
      <c r="T5" s="32" t="str">
        <f>IFERROR(__xludf.DUMMYFUNCTION("""COMPUTED_VALUE"""),"Clearing Broker Fee")</f>
        <v>Clearing Broker Fee</v>
      </c>
      <c r="U5" s="32" t="str">
        <f>IFERROR(__xludf.DUMMYFUNCTION("""COMPUTED_VALUE"""),"Other Broker Fees")</f>
        <v>Other Broker Fees</v>
      </c>
      <c r="V5" s="32" t="str">
        <f>IFERROR(__xludf.DUMMYFUNCTION("""COMPUTED_VALUE"""),"OCC Fee")</f>
        <v>OCC Fee</v>
      </c>
      <c r="W5" s="32" t="str">
        <f>IFERROR(__xludf.DUMMYFUNCTION("""COMPUTED_VALUE"""),"SEC Fee")</f>
        <v>SEC Fee</v>
      </c>
      <c r="X5" s="32" t="str">
        <f>IFERROR(__xludf.DUMMYFUNCTION("""COMPUTED_VALUE"""),"ORF Fee")</f>
        <v>ORF Fee</v>
      </c>
      <c r="Y5" s="32" t="str">
        <f>IFERROR(__xludf.DUMMYFUNCTION("""COMPUTED_VALUE"""),"IsPreAllocated")</f>
        <v>IsPreAllocated</v>
      </c>
      <c r="Z5" s="32" t="str">
        <f>IFERROR(__xludf.DUMMYFUNCTION("""COMPUTED_VALUE"""),"Stamp Duty")</f>
        <v>Stamp Duty</v>
      </c>
      <c r="AA5" s="32" t="str">
        <f>IFERROR(__xludf.DUMMYFUNCTION("""COMPUTED_VALUE"""),"IsManual Group")</f>
        <v>IsManual Group</v>
      </c>
      <c r="AB5" s="32" t="str">
        <f>IFERROR(__xludf.DUMMYFUNCTION("""COMPUTED_VALUE"""),"Tax On Commissions")</f>
        <v>Tax On Commissions</v>
      </c>
      <c r="AC5" s="32" t="str">
        <f>IFERROR(__xludf.DUMMYFUNCTION("""COMPUTED_VALUE"""),"IsAnotherTaxlotAttributesUpdated")</f>
        <v>IsAnotherTaxlotAttributesUpdated</v>
      </c>
      <c r="AD5" s="32" t="str">
        <f>IFERROR(__xludf.DUMMYFUNCTION("""COMPUTED_VALUE"""),"ISNDF")</f>
        <v>ISNDF</v>
      </c>
      <c r="AE5" s="32" t="str">
        <f>IFERROR(__xludf.DUMMYFUNCTION("""COMPUTED_VALUE"""),"Transaction Levy")</f>
        <v>Transaction Levy</v>
      </c>
      <c r="AF5" s="32" t="str">
        <f>IFERROR(__xludf.DUMMYFUNCTION("""COMPUTED_VALUE"""),"Description")</f>
        <v>Description</v>
      </c>
      <c r="AG5" s="32" t="str">
        <f>IFERROR(__xludf.DUMMYFUNCTION("""COMPUTED_VALUE"""),"GroupID")</f>
        <v>GroupID</v>
      </c>
      <c r="AH5" s="32" t="str">
        <f>IFERROR(__xludf.DUMMYFUNCTION("""COMPUTED_VALUE"""),"Internal Comments")</f>
        <v>Internal Comments</v>
      </c>
      <c r="AI5" s="32" t="str">
        <f>IFERROR(__xludf.DUMMYFUNCTION("""COMPUTED_VALUE"""),"M2MProfitLoss")</f>
        <v>M2MProfitLoss</v>
      </c>
      <c r="AJ5" s="32" t="str">
        <f>IFERROR(__xludf.DUMMYFUNCTION("""COMPUTED_VALUE"""),"FX Rate")</f>
        <v>FX Rate</v>
      </c>
      <c r="AK5" s="32" t="str">
        <f>IFERROR(__xludf.DUMMYFUNCTION("""COMPUTED_VALUE"""),"FX Conversion Operator")</f>
        <v>FX Conversion Operator</v>
      </c>
      <c r="AL5" s="32" t="str">
        <f>IFERROR(__xludf.DUMMYFUNCTION("""COMPUTED_VALUE"""),"Trade Attribute 3")</f>
        <v>Trade Attribute 3</v>
      </c>
      <c r="AM5" s="32" t="str">
        <f>IFERROR(__xludf.DUMMYFUNCTION("""COMPUTED_VALUE"""),"Trade Attribute 4")</f>
        <v>Trade Attribute 4</v>
      </c>
      <c r="AN5" s="32" t="str">
        <f>IFERROR(__xludf.DUMMYFUNCTION("""COMPUTED_VALUE"""),"Trade Attribute 5")</f>
        <v>Trade Attribute 5</v>
      </c>
      <c r="AO5" s="32" t="str">
        <f>IFERROR(__xludf.DUMMYFUNCTION("""COMPUTED_VALUE"""),"Trade Attribute 6")</f>
        <v>Trade Attribute 6</v>
      </c>
      <c r="AP5" s="32" t="str">
        <f>IFERROR(__xludf.DUMMYFUNCTION("""COMPUTED_VALUE"""),"Put Or Call")</f>
        <v>Put Or Call</v>
      </c>
      <c r="AQ5" s="32" t="str">
        <f>IFERROR(__xludf.DUMMYFUNCTION("""COMPUTED_VALUE"""),"Allocated Qty")</f>
        <v>Allocated Qty</v>
      </c>
      <c r="AR5" s="32" t="str">
        <f>IFERROR(__xludf.DUMMYFUNCTION("""COMPUTED_VALUE"""),"Total Commission And Fee")</f>
        <v>Total Commission And Fee</v>
      </c>
      <c r="AS5" s="32" t="str">
        <f>IFERROR(__xludf.DUMMYFUNCTION("""COMPUTED_VALUE"""),"Executed Qty")</f>
        <v>Executed Qty</v>
      </c>
      <c r="AT5" s="32" t="str">
        <f>IFERROR(__xludf.DUMMYFUNCTION("""COMPUTED_VALUE"""),"Net Amount( Local)")</f>
        <v>Net Amount( Local)</v>
      </c>
      <c r="AU5" s="32" t="str">
        <f>IFERROR(__xludf.DUMMYFUNCTION("""COMPUTED_VALUE"""),"Net Amount( Base)")</f>
        <v>Net Amount( Base)</v>
      </c>
      <c r="AV5" s="32" t="str">
        <f>IFERROR(__xludf.DUMMYFUNCTION("""COMPUTED_VALUE"""),"UnAllocatedQty")</f>
        <v>UnAllocatedQty</v>
      </c>
      <c r="AW5" s="32" t="str">
        <f>IFERROR(__xludf.DUMMYFUNCTION("""COMPUTED_VALUE"""),"Option Premium Adjustment")</f>
        <v>Option Premium Adjustment</v>
      </c>
      <c r="AX5" s="32" t="str">
        <f>IFERROR(__xludf.DUMMYFUNCTION("""COMPUTED_VALUE"""),"Principal Amount( Local)")</f>
        <v>Principal Amount( Local)</v>
      </c>
      <c r="AY5" s="32" t="str">
        <f>IFERROR(__xludf.DUMMYFUNCTION("""COMPUTED_VALUE"""),"Principal Amount( Base)")</f>
        <v>Principal Amount( Base)</v>
      </c>
      <c r="AZ5" s="32" t="str">
        <f>IFERROR(__xludf.DUMMYFUNCTION("""COMPUTED_VALUE"""),"Settlement Currency")</f>
        <v>Settlement Currency</v>
      </c>
      <c r="BA5" s="32" t="str">
        <f>IFERROR(__xludf.DUMMYFUNCTION("""COMPUTED_VALUE"""),"User")</f>
        <v>User</v>
      </c>
      <c r="BB5" s="32" t="str">
        <f>IFERROR(__xludf.DUMMYFUNCTION("""COMPUTED_VALUE"""),"Asset Category")</f>
        <v>Asset Category</v>
      </c>
      <c r="BC5" s="32" t="str">
        <f>IFERROR(__xludf.DUMMYFUNCTION("""COMPUTED_VALUE"""),"Change Type")</f>
        <v>Change Type</v>
      </c>
      <c r="BD5" s="32" t="str">
        <f>IFERROR(__xludf.DUMMYFUNCTION("""COMPUTED_VALUE"""),"Strategy Name")</f>
        <v>Strategy Name</v>
      </c>
      <c r="BE5" s="32" t="str">
        <f>IFERROR(__xludf.DUMMYFUNCTION("""COMPUTED_VALUE"""),"Prana Msg Type")</f>
        <v>Prana Msg Type</v>
      </c>
      <c r="BF5" s="32" t="str">
        <f>IFERROR(__xludf.DUMMYFUNCTION("""COMPUTED_VALUE"""),"Total Commission")</f>
        <v>Total Commission</v>
      </c>
      <c r="BG5" s="32" t="str">
        <f>IFERROR(__xludf.DUMMYFUNCTION("""COMPUTED_VALUE"""),"Commission Per Share")</f>
        <v>Commission Per Share</v>
      </c>
      <c r="BH5" s="32" t="str">
        <f>IFERROR(__xludf.DUMMYFUNCTION("""COMPUTED_VALUE"""),"Soft Commission Per Share")</f>
        <v>Soft Commission Per Share</v>
      </c>
      <c r="BI5" s="32" t="str">
        <f>IFERROR(__xludf.DUMMYFUNCTION("""COMPUTED_VALUE"""),"Total Commission Per Share")</f>
        <v>Total Commission Per Share</v>
      </c>
      <c r="BJ5" s="32" t="str">
        <f>IFERROR(__xludf.DUMMYFUNCTION("""COMPUTED_VALUE"""),"Closing Status")</f>
        <v>Closing Status</v>
      </c>
      <c r="BK5" s="32" t="str">
        <f>IFERROR(__xludf.DUMMYFUNCTION("""COMPUTED_VALUE"""),"Closing Method")</f>
        <v>Closing Method</v>
      </c>
      <c r="BL5" s="32" t="str">
        <f>IFERROR(__xludf.DUMMYFUNCTION("""COMPUTED_VALUE"""),"Allocation Scheme Name")</f>
        <v>Allocation Scheme Name</v>
      </c>
      <c r="BM5" s="32" t="str">
        <f>IFERROR(__xludf.DUMMYFUNCTION("""COMPUTED_VALUE"""),"Change Comment")</f>
        <v>Change Comment</v>
      </c>
      <c r="BN5" s="32" t="str">
        <f>IFERROR(__xludf.DUMMYFUNCTION("""COMPUTED_VALUE"""),"Order Type")</f>
        <v>Order Type</v>
      </c>
      <c r="BO5" s="32" t="str">
        <f>IFERROR(__xludf.DUMMYFUNCTION("""COMPUTED_VALUE"""),"Underlying")</f>
        <v>Underlying</v>
      </c>
      <c r="BP5" s="32" t="str">
        <f>IFERROR(__xludf.DUMMYFUNCTION("""COMPUTED_VALUE"""),"Exchange")</f>
        <v>Exchange</v>
      </c>
      <c r="BQ5" s="32" t="str">
        <f>IFERROR(__xludf.DUMMYFUNCTION("""COMPUTED_VALUE"""),"Currency")</f>
        <v>Currency</v>
      </c>
      <c r="BR5" s="32" t="str">
        <f>IFERROR(__xludf.DUMMYFUNCTION("""COMPUTED_VALUE"""),"AUECID")</f>
        <v>AUECID</v>
      </c>
      <c r="BS5" s="32" t="str">
        <f>IFERROR(__xludf.DUMMYFUNCTION("""COMPUTED_VALUE"""),"Trading Account")</f>
        <v>Trading Account</v>
      </c>
      <c r="BT5" s="32" t="str">
        <f>IFERROR(__xludf.DUMMYFUNCTION("""COMPUTED_VALUE"""),"Venue")</f>
        <v>Venue</v>
      </c>
      <c r="BU5" s="32" t="str">
        <f>IFERROR(__xludf.DUMMYFUNCTION("""COMPUTED_VALUE"""),"Cum Qty For Sub Order")</f>
        <v>Cum Qty For Sub Order</v>
      </c>
      <c r="BV5" s="32" t="str">
        <f>IFERROR(__xludf.DUMMYFUNCTION("""COMPUTED_VALUE"""),"Contract Multiplier")</f>
        <v>Contract Multiplier</v>
      </c>
      <c r="BW5" s="32" t="str">
        <f>IFERROR(__xludf.DUMMYFUNCTION("""COMPUTED_VALUE"""),"Company")</f>
        <v>Company</v>
      </c>
      <c r="BX5" s="32" t="str">
        <f>IFERROR(__xludf.DUMMYFUNCTION("""COMPUTED_VALUE"""),"Nirvana Process Date")</f>
        <v>Nirvana Process Date</v>
      </c>
      <c r="BY5" s="32" t="str">
        <f>IFERROR(__xludf.DUMMYFUNCTION("""COMPUTED_VALUE"""),"Process Date")</f>
        <v>Process Date</v>
      </c>
      <c r="BZ5" s="32" t="str">
        <f>IFERROR(__xludf.DUMMYFUNCTION("""COMPUTED_VALUE"""),"Original Purchase Date")</f>
        <v>Original Purchase Date</v>
      </c>
      <c r="CA5" s="32" t="str">
        <f>IFERROR(__xludf.DUMMYFUNCTION("""COMPUTED_VALUE"""),"Closing Date")</f>
        <v>Closing Date</v>
      </c>
      <c r="CB5" s="32" t="str">
        <f>IFERROR(__xludf.DUMMYFUNCTION("""COMPUTED_VALUE"""),"Settlement Date")</f>
        <v>Settlement Date</v>
      </c>
      <c r="CC5" s="32" t="str">
        <f>IFERROR(__xludf.DUMMYFUNCTION("""COMPUTED_VALUE"""),"Expiration Date")</f>
        <v>Expiration Date</v>
      </c>
      <c r="CD5" s="32" t="str">
        <f>IFERROR(__xludf.DUMMYFUNCTION("""COMPUTED_VALUE"""),"Underlying Symbol")</f>
        <v>Underlying Symbol</v>
      </c>
      <c r="CE5" s="32" t="str">
        <f>IFERROR(__xludf.DUMMYFUNCTION("""COMPUTED_VALUE"""),"Accrual Basis")</f>
        <v>Accrual Basis</v>
      </c>
      <c r="CF5" s="32" t="str">
        <f>IFERROR(__xludf.DUMMYFUNCTION("""COMPUTED_VALUE"""),"Bond Type")</f>
        <v>Bond Type</v>
      </c>
      <c r="CG5" s="32" t="str">
        <f>IFERROR(__xludf.DUMMYFUNCTION("""COMPUTED_VALUE"""),"Coupon Rate")</f>
        <v>Coupon Rate</v>
      </c>
      <c r="CH5" s="32" t="str">
        <f>IFERROR(__xludf.DUMMYFUNCTION("""COMPUTED_VALUE"""),"Delta")</f>
        <v>Delta</v>
      </c>
      <c r="CI5" s="32" t="str">
        <f>IFERROR(__xludf.DUMMYFUNCTION("""COMPUTED_VALUE"""),"Bloomberg")</f>
        <v>Bloomberg</v>
      </c>
      <c r="CJ5" s="32" t="str">
        <f>IFERROR(__xludf.DUMMYFUNCTION("""COMPUTED_VALUE"""),"Sedol Symbol")</f>
        <v>Sedol Symbol</v>
      </c>
      <c r="CK5" s="32" t="str">
        <f>IFERROR(__xludf.DUMMYFUNCTION("""COMPUTED_VALUE"""),"Cusip Symbol")</f>
        <v>Cusip Symbol</v>
      </c>
      <c r="CL5" s="32" t="str">
        <f>IFERROR(__xludf.DUMMYFUNCTION("""COMPUTED_VALUE"""),"ISIN")</f>
        <v>ISIN</v>
      </c>
      <c r="CM5" s="32" t="str">
        <f>IFERROR(__xludf.DUMMYFUNCTION("""COMPUTED_VALUE"""),"OSISSymbol")</f>
        <v>OSISSymbol</v>
      </c>
      <c r="CN5" s="32" t="str">
        <f>IFERROR(__xludf.DUMMYFUNCTION("""COMPUTED_VALUE"""),"IDCOSymbol")</f>
        <v>IDCOSymbol</v>
      </c>
      <c r="CO5" s="32" t="str">
        <f>IFERROR(__xludf.DUMMYFUNCTION("""COMPUTED_VALUE"""),"Underlying Delta")</f>
        <v>Underlying Delta</v>
      </c>
      <c r="CP5" s="32" t="str">
        <f>IFERROR(__xludf.DUMMYFUNCTION("""COMPUTED_VALUE"""),"Proxy Symbol")</f>
        <v>Proxy Symbol</v>
      </c>
      <c r="CQ5" s="32" t="str">
        <f>IFERROR(__xludf.DUMMYFUNCTION("""COMPUTED_VALUE"""),"Transaction Source")</f>
        <v>Transaction Source</v>
      </c>
      <c r="CR5" s="32" t="str">
        <f>IFERROR(__xludf.DUMMYFUNCTION("""COMPUTED_VALUE"""),"Import File Name")</f>
        <v>Import File Name</v>
      </c>
      <c r="CS5" s="32" t="str">
        <f>IFERROR(__xludf.DUMMYFUNCTION("""COMPUTED_VALUE"""),"MasterFund")</f>
        <v>MasterFund</v>
      </c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16</v>
      </c>
      <c r="C6" s="9">
        <v>50.0</v>
      </c>
      <c r="D6" s="42">
        <v>43031.0</v>
      </c>
      <c r="F6" s="9" t="s">
        <v>20</v>
      </c>
      <c r="K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24</v>
      </c>
      <c r="D3" s="5" t="s">
        <v>9</v>
      </c>
      <c r="E3" s="24" t="s">
        <v>79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IFERROR(__xludf.DUMMYFUNCTION("""COMPUTED_VALUE"""),"GetDataAllocation")</f>
        <v>GetDataAllocation</v>
      </c>
      <c r="E4" s="27" t="str">
        <f>IFERROR(__xludf.DUMMYFUNCTION("""COMPUTED_VALUE"""),"SelectAllocatedGroup")</f>
        <v>SelectAllocatedGroup</v>
      </c>
      <c r="F4" s="27" t="str">
        <f>IFERROR(__xludf.DUMMYFUNCTION("""COMPUTED_VALUE"""),"EditTradesAllocated")</f>
        <v>EditTradesAllocated</v>
      </c>
      <c r="G4" s="27" t="str">
        <f>IFERROR(__xludf.DUMMYFUNCTION("""COMPUTED_VALUE"""),"EditTradesUnallocated")</f>
        <v>EditTradesUnallocated</v>
      </c>
      <c r="H4" s="27" t="str">
        <f>IFERROR(__xludf.DUMMYFUNCTION("""COMPUTED_VALUE"""),"EditTradesAllocated")</f>
        <v>EditTradesAllocated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IFERROR(__xludf.DUMMYFUNCTION("""COMPUTED_VALUE"""),"DisableChecksideForAsset")</f>
        <v>DisableChecksideForAsset</v>
      </c>
      <c r="CX4" s="28" t="str">
        <f>IFERROR(__xludf.DUMMYFUNCTION("""COMPUTED_VALUE"""),"DisableChecksideForAccount")</f>
        <v>DisableChecksideForAccount</v>
      </c>
      <c r="CY4" s="28" t="str">
        <f>IFERROR(__xludf.DUMMYFUNCTION("""COMPUTED_VALUE"""),"DisableChecksideForCounterParty")</f>
        <v>DisableChecksideForCounterParty</v>
      </c>
      <c r="CZ4" s="28" t="str">
        <f>IFERROR(__xludf.DUMMYFUNCTION("""COMPUTED_VALUE"""),"DisableCheckside")</f>
        <v>DisableCheckside</v>
      </c>
      <c r="DA4" s="28" t="str">
        <f>IFERROR(__xludf.DUMMYFUNCTION("""COMPUTED_VALUE"""),"ApplyMasterFundFilter")</f>
        <v>ApplyMasterFundFilter</v>
      </c>
      <c r="DB4" s="28" t="str">
        <f>IFERROR(__xludf.DUMMYFUNCTION("""COMPUTED_VALUE"""),"ShowMasterFundOnTT")</f>
        <v>ShowMasterFundOnTT</v>
      </c>
      <c r="DC4" s="28" t="str">
        <f>IFERROR(__xludf.DUMMYFUNCTION("""COMPUTED_VALUE"""),"ShowMasterFundAsClient")</f>
        <v>ShowMasterFundAsClient</v>
      </c>
      <c r="DD4" s="28" t="str">
        <f>IFERROR(__xludf.DUMMYFUNCTION("""COMPUTED_VALUE"""),"SetBrokerAccountMapping")</f>
        <v>SetBrokerAccountMapping</v>
      </c>
      <c r="DE4" s="28" t="str">
        <f>IFERROR(__xludf.DUMMYFUNCTION("""COMPUTED_VALUE"""),"EditUnallocatedGridWPF")</f>
        <v>EditUnallocatedGridWPF</v>
      </c>
      <c r="DF4" s="28" t="str">
        <f>IFERROR(__xludf.DUMMYFUNCTION("""COMPUTED_VALUE"""),"EditAllocatedGridWPF")</f>
        <v>EditAllocatedGridWPF</v>
      </c>
      <c r="DG4" s="28" t="str">
        <f>IFERROR(__xludf.DUMMYFUNCTION("""COMPUTED_VALUE"""),"EditAllocatedGridTaxlot")</f>
        <v>EditAllocatedGridTaxlot</v>
      </c>
      <c r="DH4" s="28" t="str">
        <f>IFERROR(__xludf.DUMMYFUNCTION("""COMPUTED_VALUE"""),"ExpandCollapseAllocatedGrid")</f>
        <v>ExpandCollapseAllocatedGrid</v>
      </c>
      <c r="DI4" s="28" t="str">
        <f>IFERROR(__xludf.DUMMYFUNCTION("""COMPUTED_VALUE"""),"ExpandCollapseUnallocatedGrid")</f>
        <v>ExpandCollapseUnallocatedGrid</v>
      </c>
      <c r="DJ4" s="28" t="str">
        <f>IFERROR(__xludf.DUMMYFUNCTION("""COMPUTED_VALUE"""),"SetTradeAttributePreferences")</f>
        <v>SetTradeAttributePreferences</v>
      </c>
      <c r="DK4" s="28" t="str">
        <f>IFERROR(__xludf.DUMMYFUNCTION("""COMPUTED_VALUE"""),"EnterCustomAllocatePreference")</f>
        <v>EnterCustomAllocatePreference</v>
      </c>
      <c r="DL4" s="28" t="str">
        <f>IFERROR(__xludf.DUMMYFUNCTION("""COMPUTED_VALUE"""),"SetAutoGroupingPreferences")</f>
        <v>SetAutoGroupingPreferences</v>
      </c>
      <c r="DM4" s="28" t="str">
        <f>IFERROR(__xludf.DUMMYFUNCTION("""COMPUTED_VALUE"""),"SetAutoGroupingAccount")</f>
        <v>SetAutoGroupingAccount</v>
      </c>
      <c r="DN4" s="28" t="str">
        <f>IFERROR(__xludf.DUMMYFUNCTION("""COMPUTED_VALUE"""),"SetAvgPriceRounding")</f>
        <v>SetAvgPriceRounding</v>
      </c>
      <c r="DO4" s="28" t="str">
        <f>IFERROR(__xludf.DUMMYFUNCTION("""COMPUTED_VALUE"""),"IsAllocationOpen")</f>
        <v>IsAllocationOpen</v>
      </c>
      <c r="DP4" s="28" t="str">
        <f>IFERROR(__xludf.DUMMYFUNCTION("""COMPUTED_VALUE"""),"AllocationAuditTrail")</f>
        <v>AllocationAuditTrail</v>
      </c>
      <c r="DQ4" s="28" t="str">
        <f>IFERROR(__xludf.DUMMYFUNCTION("""COMPUTED_VALUE"""),"GetAuditTrailData")</f>
        <v>GetAuditTrailData</v>
      </c>
      <c r="DR4" s="28" t="str">
        <f>IFERROR(__xludf.DUMMYFUNCTION("""COMPUTED_VALUE"""),"CheckAuditTrailData")</f>
        <v>CheckAuditTrailData</v>
      </c>
      <c r="DS4" s="28" t="str">
        <f>IFERROR(__xludf.DUMMYFUNCTION("""COMPUTED_VALUE"""),"DeleteGroupWithOutSave")</f>
        <v>DeleteGroupWithOutSave</v>
      </c>
      <c r="DT4" s="28" t="str">
        <f>IFERROR(__xludf.DUMMYFUNCTION("""COMPUTED_VALUE"""),"CheckPreferences")</f>
        <v>CheckPreferences</v>
      </c>
      <c r="DU4" s="28" t="str">
        <f>IFERROR(__xludf.DUMMYFUNCTION("""COMPUTED_VALUE"""),"AllocateWithPopUp")</f>
        <v>AllocateWithPopUp</v>
      </c>
      <c r="DV4" s="28" t="str">
        <f>IFERROR(__xludf.DUMMYFUNCTION("""COMPUTED_VALUE"""),"SelectAllRowsAllocated")</f>
        <v>SelectAllRowsAllocated</v>
      </c>
      <c r="DW4" s="28" t="str">
        <f>IFERROR(__xludf.DUMMYFUNCTION("""COMPUTED_VALUE"""),"ModifyGRPreferenceValues")</f>
        <v>ModifyGRPreferenceValues</v>
      </c>
      <c r="DX4" s="28" t="str">
        <f>IFERROR(__xludf.DUMMYFUNCTION("""COMPUTED_VALUE"""),"VerifyAllocationNavLockPopup")</f>
        <v>VerifyAllocationNavLockPopup</v>
      </c>
      <c r="DY4" s="28" t="str">
        <f>IFERROR(__xludf.DUMMYFUNCTION("""COMPUTED_VALUE"""),"ReviewExistingPositions")</f>
        <v>ReviewExistingPositions</v>
      </c>
      <c r="DZ4" s="28" t="str">
        <f>IFERROR(__xludf.DUMMYFUNCTION("""COMPUTED_VALUE"""),"OperationsonAllocation")</f>
        <v>OperationsonAllocation</v>
      </c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IFERROR(__xludf.DUMMYFUNCTION("""COMPUTED_VALUE"""),"AvgPrice")</f>
        <v>AvgPrice</v>
      </c>
      <c r="C5" s="41" t="str">
        <f>IFERROR(__xludf.DUMMYFUNCTION("""COMPUTED_VALUE"""),"Commission")</f>
        <v>Commission</v>
      </c>
      <c r="D5" s="41" t="str">
        <f>IFERROR(__xludf.DUMMYFUNCTION("""COMPUTED_VALUE"""),"SoftCommission")</f>
        <v>SoftCommission</v>
      </c>
      <c r="E5" s="41" t="str">
        <f>IFERROR(__xludf.DUMMYFUNCTION("""COMPUTED_VALUE"""),"OtherBrokerFees")</f>
        <v>OtherBrokerFees</v>
      </c>
      <c r="F5" s="41" t="str">
        <f>IFERROR(__xludf.DUMMYFUNCTION("""COMPUTED_VALUE"""),"ClearingBrokerFees")</f>
        <v>ClearingBrokerFees</v>
      </c>
      <c r="G5" s="41" t="str">
        <f>IFERROR(__xludf.DUMMYFUNCTION("""COMPUTED_VALUE"""),"StampDuty")</f>
        <v>StampDuty</v>
      </c>
      <c r="H5" s="41" t="str">
        <f>IFERROR(__xludf.DUMMYFUNCTION("""COMPUTED_VALUE"""),"TransactionLevy")</f>
        <v>TransactionLevy</v>
      </c>
      <c r="I5" s="41" t="str">
        <f>IFERROR(__xludf.DUMMYFUNCTION("""COMPUTED_VALUE"""),"AUECFee1")</f>
        <v>AUECFee1</v>
      </c>
      <c r="J5" s="41" t="str">
        <f>IFERROR(__xludf.DUMMYFUNCTION("""COMPUTED_VALUE"""),"TaxOnCommissions")</f>
        <v>TaxOnCommissions</v>
      </c>
      <c r="K5" s="41" t="str">
        <f>IFERROR(__xludf.DUMMYFUNCTION("""COMPUTED_VALUE"""),"AUECFee2")</f>
        <v>AUECFee2</v>
      </c>
      <c r="L5" s="41" t="str">
        <f>IFERROR(__xludf.DUMMYFUNCTION("""COMPUTED_VALUE"""),"SecFee")</f>
        <v>SecFee</v>
      </c>
      <c r="M5" s="41" t="str">
        <f>IFERROR(__xludf.DUMMYFUNCTION("""COMPUTED_VALUE"""),"OccFee")</f>
        <v>OccFee</v>
      </c>
      <c r="N5" s="41" t="str">
        <f>IFERROR(__xludf.DUMMYFUNCTION("""COMPUTED_VALUE"""),"OrfFee")</f>
        <v>OrfFee</v>
      </c>
      <c r="O5" s="41" t="str">
        <f>IFERROR(__xludf.DUMMYFUNCTION("""COMPUTED_VALUE"""),"Broker")</f>
        <v>Broker</v>
      </c>
      <c r="P5" s="41" t="str">
        <f>IFERROR(__xludf.DUMMYFUNCTION("""COMPUTED_VALUE"""),"Venue")</f>
        <v>Venue</v>
      </c>
      <c r="Q5" s="41" t="str">
        <f>IFERROR(__xludf.DUMMYFUNCTION("""COMPUTED_VALUE"""),"Description")</f>
        <v>Description</v>
      </c>
      <c r="R5" s="41" t="str">
        <f>IFERROR(__xludf.DUMMYFUNCTION("""COMPUTED_VALUE"""),"InternalComments")</f>
        <v>InternalComments</v>
      </c>
      <c r="S5" s="41" t="str">
        <f>IFERROR(__xludf.DUMMYFUNCTION("""COMPUTED_VALUE"""),"FXRate")</f>
        <v>FXRate</v>
      </c>
      <c r="T5" s="32" t="str">
        <f>IFERROR(__xludf.DUMMYFUNCTION("""COMPUTED_VALUE"""),"FxConvOperator")</f>
        <v>FxConvOperator</v>
      </c>
      <c r="U5" s="32" t="str">
        <f>IFERROR(__xludf.DUMMYFUNCTION("""COMPUTED_VALUE"""),"AccruedInterest")</f>
        <v>AccruedInterest</v>
      </c>
      <c r="V5" s="32" t="str">
        <f>IFERROR(__xludf.DUMMYFUNCTION("""COMPUTED_VALUE"""),"TradeAttribute1")</f>
        <v>TradeAttribute1</v>
      </c>
      <c r="W5" s="32" t="str">
        <f>IFERROR(__xludf.DUMMYFUNCTION("""COMPUTED_VALUE"""),"TradeAttribute2")</f>
        <v>TradeAttribute2</v>
      </c>
      <c r="X5" s="32" t="str">
        <f>IFERROR(__xludf.DUMMYFUNCTION("""COMPUTED_VALUE"""),"TradeAttribute3")</f>
        <v>TradeAttribute3</v>
      </c>
      <c r="Y5" s="32" t="str">
        <f>IFERROR(__xludf.DUMMYFUNCTION("""COMPUTED_VALUE"""),"TradeAttribute4")</f>
        <v>TradeAttribute4</v>
      </c>
      <c r="Z5" s="32" t="str">
        <f>IFERROR(__xludf.DUMMYFUNCTION("""COMPUTED_VALUE"""),"TradeAttribute5")</f>
        <v>TradeAttribute5</v>
      </c>
      <c r="AA5" s="32" t="str">
        <f>IFERROR(__xludf.DUMMYFUNCTION("""COMPUTED_VALUE"""),"TradeAttribute6")</f>
        <v>TradeAttribute6</v>
      </c>
      <c r="AB5" s="32" t="str">
        <f>IFERROR(__xludf.DUMMYFUNCTION("""COMPUTED_VALUE"""),"SettlementCurrency")</f>
        <v>SettlementCurrency</v>
      </c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U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EditAllocatedGroupSidePanel1!$4:$4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4" width="12.63"/>
    <col customWidth="1" min="5" max="5" width="26.63"/>
    <col customWidth="1" min="6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65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41" t="str">
        <f>IFERROR(__xludf.DUMMYFUNCTION("""COMPUTED_VALUE"""),"MasterFund")</f>
        <v>MasterFund</v>
      </c>
      <c r="C5" s="41" t="str">
        <f>IFERROR(__xludf.DUMMYFUNCTION("""COMPUTED_VALUE"""),"Accounts")</f>
        <v>Accounts</v>
      </c>
      <c r="D5" s="41" t="str">
        <f>IFERROR(__xludf.DUMMYFUNCTION("""COMPUTED_VALUE"""),"Balances as on date")</f>
        <v>Balances as on date</v>
      </c>
      <c r="E5" s="41" t="str">
        <f>IFERROR(__xludf.DUMMYFUNCTION("""COMPUTED_VALUE"""),"IsRunRevalOnGetAccountBalances")</f>
        <v>IsRunRevalOnGetAccountBalances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9" t="s">
        <v>29</v>
      </c>
      <c r="C6" s="9" t="s">
        <v>18</v>
      </c>
      <c r="D6" s="42">
        <v>43031.0</v>
      </c>
      <c r="E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3" width="12.63"/>
    <col customWidth="1" min="4" max="4" width="18.38"/>
    <col customWidth="1" min="5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31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IFERROR(__xludf.DUMMYFUNCTION("""COMPUTED_VALUE"""),"Activity Source")</f>
        <v>Activity Source</v>
      </c>
      <c r="D5" s="30" t="str">
        <f>IFERROR(__xludf.DUMMYFUNCTION("""COMPUTED_VALUE"""),"ActivityType")</f>
        <v>ActivityType</v>
      </c>
      <c r="E5" s="30" t="str">
        <f>IFERROR(__xludf.DUMMYFUNCTION("""COMPUTED_VALUE"""),"Net Amount(Local)")</f>
        <v>Net Amount(Local)</v>
      </c>
      <c r="F5" s="30" t="str">
        <f>IFERROR(__xludf.DUMMYFUNCTION("""COMPUTED_VALUE"""),"AUEC Fee1")</f>
        <v>AUEC Fee1</v>
      </c>
      <c r="G5" s="30" t="str">
        <f>IFERROR(__xludf.DUMMYFUNCTION("""COMPUTED_VALUE"""),"AUEC Fee2")</f>
        <v>AUEC Fee2</v>
      </c>
      <c r="H5" s="30" t="str">
        <f>IFERROR(__xludf.DUMMYFUNCTION("""COMPUTED_VALUE"""),"Balance Type")</f>
        <v>Balance Type</v>
      </c>
      <c r="I5" s="30" t="str">
        <f>IFERROR(__xludf.DUMMYFUNCTION("""COMPUTED_VALUE"""),"Clearing Broker Fees")</f>
        <v>Clearing Broker Fees</v>
      </c>
      <c r="J5" s="30" t="str">
        <f>IFERROR(__xludf.DUMMYFUNCTION("""COMPUTED_VALUE"""),"Commission")</f>
        <v>Commission</v>
      </c>
      <c r="K5" s="30" t="str">
        <f>IFERROR(__xludf.DUMMYFUNCTION("""COMPUTED_VALUE"""),"Currency")</f>
        <v>Currency</v>
      </c>
      <c r="L5" s="30" t="str">
        <f>IFERROR(__xludf.DUMMYFUNCTION("""COMPUTED_VALUE"""),"Description")</f>
        <v>Description</v>
      </c>
      <c r="M5" s="30" t="str">
        <f>IFERROR(__xludf.DUMMYFUNCTION("""COMPUTED_VALUE"""),"Entry Date")</f>
        <v>Entry Date</v>
      </c>
      <c r="N5" s="30" t="str">
        <f>IFERROR(__xludf.DUMMYFUNCTION("""COMPUTED_VALUE"""),"FX Conversion Method Operator")</f>
        <v>FX Conversion Method Operator</v>
      </c>
      <c r="O5" s="30" t="str">
        <f>IFERROR(__xludf.DUMMYFUNCTION("""COMPUTED_VALUE"""),"Fx Rate")</f>
        <v>Fx Rate</v>
      </c>
      <c r="P5" s="30" t="str">
        <f>IFERROR(__xludf.DUMMYFUNCTION("""COMPUTED_VALUE"""),"Lead Currency")</f>
        <v>Lead Currency</v>
      </c>
      <c r="Q5" s="30" t="str">
        <f>IFERROR(__xludf.DUMMYFUNCTION("""COMPUTED_VALUE"""),"Modify date")</f>
        <v>Modify date</v>
      </c>
      <c r="R5" s="30" t="str">
        <f>IFERROR(__xludf.DUMMYFUNCTION("""COMPUTED_VALUE"""),"OCC Fee")</f>
        <v>OCC Fee</v>
      </c>
      <c r="S5" s="30" t="str">
        <f>IFERROR(__xludf.DUMMYFUNCTION("""COMPUTED_VALUE"""),"OptionPremiumAdjustment")</f>
        <v>OptionPremiumAdjustment</v>
      </c>
      <c r="T5" s="32" t="str">
        <f>IFERROR(__xludf.DUMMYFUNCTION("""COMPUTED_VALUE"""),"ORF Fee")</f>
        <v>ORF Fee</v>
      </c>
      <c r="U5" s="32" t="str">
        <f>IFERROR(__xludf.DUMMYFUNCTION("""COMPUTED_VALUE"""),"Other Broker Fees")</f>
        <v>Other Broker Fees</v>
      </c>
      <c r="V5" s="32" t="str">
        <f>IFERROR(__xludf.DUMMYFUNCTION("""COMPUTED_VALUE"""),"Quantity")</f>
        <v>Quantity</v>
      </c>
      <c r="W5" s="32" t="str">
        <f>IFERROR(__xludf.DUMMYFUNCTION("""COMPUTED_VALUE"""),"SEC Fee")</f>
        <v>SEC Fee</v>
      </c>
      <c r="X5" s="32" t="str">
        <f>IFERROR(__xludf.DUMMYFUNCTION("""COMPUTED_VALUE"""),"Settlement Currency")</f>
        <v>Settlement Currency</v>
      </c>
      <c r="Y5" s="32" t="str">
        <f>IFERROR(__xludf.DUMMYFUNCTION("""COMPUTED_VALUE"""),"Settlement Date")</f>
        <v>Settlement Date</v>
      </c>
      <c r="Z5" s="32" t="str">
        <f>IFERROR(__xludf.DUMMYFUNCTION("""COMPUTED_VALUE"""),"Soft Commission")</f>
        <v>Soft Commission</v>
      </c>
      <c r="AA5" s="32" t="str">
        <f>IFERROR(__xludf.DUMMYFUNCTION("""COMPUTED_VALUE"""),"Stamp Duty")</f>
        <v>Stamp Duty</v>
      </c>
      <c r="AB5" s="32" t="str">
        <f>IFERROR(__xludf.DUMMYFUNCTION("""COMPUTED_VALUE"""),"Symbol")</f>
        <v>Symbol</v>
      </c>
      <c r="AC5" s="32" t="str">
        <f>IFERROR(__xludf.DUMMYFUNCTION("""COMPUTED_VALUE"""),"Tax On Commissions")</f>
        <v>Tax On Commissions</v>
      </c>
      <c r="AD5" s="32" t="str">
        <f>IFERROR(__xludf.DUMMYFUNCTION("""COMPUTED_VALUE"""),"Total Commissions")</f>
        <v>Total Commissions</v>
      </c>
      <c r="AE5" s="32" t="str">
        <f>IFERROR(__xludf.DUMMYFUNCTION("""COMPUTED_VALUE"""),"Trade Date")</f>
        <v>Trade Date</v>
      </c>
      <c r="AF5" s="32" t="str">
        <f>IFERROR(__xludf.DUMMYFUNCTION("""COMPUTED_VALUE"""),"Transaction Levy")</f>
        <v>Transaction Levy</v>
      </c>
      <c r="AG5" s="32" t="str">
        <f>IFERROR(__xludf.DUMMYFUNCTION("""COMPUTED_VALUE"""),"Transaction Source")</f>
        <v>Transaction Source</v>
      </c>
      <c r="AH5" s="32" t="str">
        <f>IFERROR(__xludf.DUMMYFUNCTION("""COMPUTED_VALUE"""),"User")</f>
        <v>User</v>
      </c>
      <c r="AI5" s="32" t="str">
        <f>IFERROR(__xludf.DUMMYFUNCTION("""COMPUTED_VALUE"""),"Vs Currency")</f>
        <v>Vs Currency</v>
      </c>
      <c r="AJ5" s="32" t="str">
        <f>IFERROR(__xludf.DUMMYFUNCTION("""COMPUTED_VALUE"""),"SettlCurrencyID")</f>
        <v>SettlCurrencyID</v>
      </c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4"/>
      <c r="B6" s="59" t="s">
        <v>18</v>
      </c>
      <c r="C6" s="59" t="s">
        <v>66</v>
      </c>
      <c r="D6" s="59" t="s">
        <v>67</v>
      </c>
      <c r="E6" s="59">
        <v>150.0</v>
      </c>
      <c r="F6" s="59">
        <v>0.0</v>
      </c>
      <c r="G6" s="59">
        <v>0.0</v>
      </c>
      <c r="H6" s="59" t="s">
        <v>34</v>
      </c>
      <c r="I6" s="59">
        <v>0.0</v>
      </c>
      <c r="J6" s="59">
        <v>0.0</v>
      </c>
      <c r="K6" s="59" t="s">
        <v>35</v>
      </c>
      <c r="L6" s="59"/>
      <c r="M6" s="64"/>
      <c r="N6" s="59" t="s">
        <v>36</v>
      </c>
      <c r="O6" s="59">
        <v>1.0</v>
      </c>
      <c r="P6" s="65"/>
      <c r="Q6" s="64"/>
      <c r="R6" s="59">
        <v>0.0</v>
      </c>
      <c r="S6" s="59">
        <v>0.0</v>
      </c>
      <c r="T6" s="59">
        <v>0.0</v>
      </c>
      <c r="U6" s="59">
        <v>0.0</v>
      </c>
      <c r="V6" s="59">
        <v>0.0</v>
      </c>
      <c r="W6" s="59">
        <v>0.0</v>
      </c>
      <c r="X6" s="65"/>
      <c r="Y6" s="66"/>
      <c r="Z6" s="59">
        <v>0.0</v>
      </c>
      <c r="AA6" s="59">
        <v>0.0</v>
      </c>
      <c r="AB6" s="59" t="s">
        <v>16</v>
      </c>
      <c r="AC6" s="59">
        <v>0.0</v>
      </c>
      <c r="AD6" s="59">
        <v>0.0</v>
      </c>
      <c r="AE6" s="55">
        <v>43024.0</v>
      </c>
      <c r="AF6" s="59">
        <v>0.0</v>
      </c>
      <c r="AG6" s="59" t="s">
        <v>66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4"/>
      <c r="B7" s="59" t="s">
        <v>18</v>
      </c>
      <c r="C7" s="59" t="s">
        <v>32</v>
      </c>
      <c r="D7" s="59" t="s">
        <v>33</v>
      </c>
      <c r="E7" s="59">
        <v>-1975.0</v>
      </c>
      <c r="F7" s="59">
        <v>5.0</v>
      </c>
      <c r="G7" s="59">
        <v>0.0</v>
      </c>
      <c r="H7" s="59" t="s">
        <v>34</v>
      </c>
      <c r="I7" s="59">
        <v>11.0</v>
      </c>
      <c r="J7" s="59">
        <v>70.0</v>
      </c>
      <c r="K7" s="59" t="s">
        <v>35</v>
      </c>
      <c r="L7" s="59"/>
      <c r="M7" s="56"/>
      <c r="N7" s="59" t="s">
        <v>36</v>
      </c>
      <c r="O7" s="59">
        <v>1.0</v>
      </c>
      <c r="P7" s="65"/>
      <c r="Q7" s="64"/>
      <c r="R7" s="59">
        <v>0.0</v>
      </c>
      <c r="S7" s="59">
        <v>0.0</v>
      </c>
      <c r="T7" s="59">
        <v>0.0</v>
      </c>
      <c r="U7" s="59">
        <v>1.0</v>
      </c>
      <c r="V7" s="59">
        <v>50.0</v>
      </c>
      <c r="W7" s="59">
        <v>0.0</v>
      </c>
      <c r="X7" s="59" t="s">
        <v>35</v>
      </c>
      <c r="Y7" s="56"/>
      <c r="Z7" s="59">
        <v>0.0</v>
      </c>
      <c r="AA7" s="59">
        <v>1.0</v>
      </c>
      <c r="AB7" s="59" t="s">
        <v>16</v>
      </c>
      <c r="AC7" s="59">
        <v>0.0</v>
      </c>
      <c r="AD7" s="59">
        <v>100.0</v>
      </c>
      <c r="AE7" s="55">
        <v>43024.0</v>
      </c>
      <c r="AF7" s="59">
        <v>12.0</v>
      </c>
      <c r="AG7" s="59" t="s">
        <v>32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4"/>
      <c r="B8" s="59" t="s">
        <v>18</v>
      </c>
      <c r="C8" s="59" t="s">
        <v>32</v>
      </c>
      <c r="D8" s="59" t="s">
        <v>37</v>
      </c>
      <c r="E8" s="59">
        <v>0.0</v>
      </c>
      <c r="F8" s="59">
        <v>0.0</v>
      </c>
      <c r="G8" s="59">
        <v>0.0</v>
      </c>
      <c r="H8" s="59" t="s">
        <v>34</v>
      </c>
      <c r="I8" s="59">
        <v>0.0</v>
      </c>
      <c r="J8" s="59">
        <v>0.0</v>
      </c>
      <c r="K8" s="59" t="s">
        <v>35</v>
      </c>
      <c r="L8" s="59"/>
      <c r="M8" s="56"/>
      <c r="N8" s="59" t="s">
        <v>36</v>
      </c>
      <c r="O8" s="59">
        <v>1.0</v>
      </c>
      <c r="P8" s="65"/>
      <c r="Q8" s="64"/>
      <c r="R8" s="59">
        <v>0.0</v>
      </c>
      <c r="S8" s="59">
        <v>0.0</v>
      </c>
      <c r="T8" s="59">
        <v>0.0</v>
      </c>
      <c r="U8" s="59">
        <v>0.0</v>
      </c>
      <c r="V8" s="59">
        <v>50.0</v>
      </c>
      <c r="W8" s="59">
        <v>0.0</v>
      </c>
      <c r="X8" s="59" t="s">
        <v>35</v>
      </c>
      <c r="Y8" s="56"/>
      <c r="Z8" s="59">
        <v>0.0</v>
      </c>
      <c r="AA8" s="59">
        <v>0.0</v>
      </c>
      <c r="AB8" s="59" t="s">
        <v>16</v>
      </c>
      <c r="AC8" s="59">
        <v>0.0</v>
      </c>
      <c r="AD8" s="59">
        <v>0.0</v>
      </c>
      <c r="AE8" s="55">
        <v>43024.0</v>
      </c>
      <c r="AF8" s="59">
        <v>0.0</v>
      </c>
      <c r="AG8" s="59" t="s">
        <v>32</v>
      </c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</row>
    <row r="9" ht="15.75" customHeight="1">
      <c r="A9" s="4"/>
      <c r="B9" s="59" t="s">
        <v>18</v>
      </c>
      <c r="C9" s="59" t="s">
        <v>32</v>
      </c>
      <c r="D9" s="59" t="s">
        <v>50</v>
      </c>
      <c r="E9" s="59">
        <v>0.0</v>
      </c>
      <c r="F9" s="59">
        <v>0.0</v>
      </c>
      <c r="G9" s="59">
        <v>0.0</v>
      </c>
      <c r="H9" s="59" t="s">
        <v>68</v>
      </c>
      <c r="I9" s="59">
        <v>0.0</v>
      </c>
      <c r="J9" s="59">
        <v>0.0</v>
      </c>
      <c r="K9" s="59" t="s">
        <v>35</v>
      </c>
      <c r="L9" s="59"/>
      <c r="M9" s="56"/>
      <c r="N9" s="59" t="s">
        <v>36</v>
      </c>
      <c r="O9" s="59">
        <v>1.0</v>
      </c>
      <c r="P9" s="65"/>
      <c r="Q9" s="64"/>
      <c r="R9" s="59">
        <v>0.0</v>
      </c>
      <c r="S9" s="59">
        <v>0.0</v>
      </c>
      <c r="T9" s="59">
        <v>0.0</v>
      </c>
      <c r="U9" s="59">
        <v>0.0</v>
      </c>
      <c r="V9" s="59">
        <v>50.0</v>
      </c>
      <c r="W9" s="59">
        <v>0.0</v>
      </c>
      <c r="X9" s="59" t="s">
        <v>35</v>
      </c>
      <c r="Y9" s="56"/>
      <c r="Z9" s="59">
        <v>0.0</v>
      </c>
      <c r="AA9" s="59">
        <v>0.0</v>
      </c>
      <c r="AB9" s="59" t="s">
        <v>16</v>
      </c>
      <c r="AC9" s="59">
        <v>0.0</v>
      </c>
      <c r="AD9" s="59">
        <v>0.0</v>
      </c>
      <c r="AE9" s="55">
        <v>43024.0</v>
      </c>
      <c r="AF9" s="59">
        <v>0.0</v>
      </c>
      <c r="AG9" s="59" t="s">
        <v>52</v>
      </c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</row>
    <row r="10" ht="15.75" customHeight="1">
      <c r="A10" s="4"/>
      <c r="B10" s="59" t="s">
        <v>18</v>
      </c>
      <c r="C10" s="59" t="s">
        <v>66</v>
      </c>
      <c r="D10" s="59" t="s">
        <v>67</v>
      </c>
      <c r="E10" s="59">
        <v>-150.0</v>
      </c>
      <c r="F10" s="59">
        <v>0.0</v>
      </c>
      <c r="G10" s="59">
        <v>0.0</v>
      </c>
      <c r="H10" s="59" t="s">
        <v>34</v>
      </c>
      <c r="I10" s="59">
        <v>0.0</v>
      </c>
      <c r="J10" s="59">
        <v>0.0</v>
      </c>
      <c r="K10" s="59" t="s">
        <v>35</v>
      </c>
      <c r="L10" s="59"/>
      <c r="M10" s="64"/>
      <c r="N10" s="59" t="s">
        <v>36</v>
      </c>
      <c r="O10" s="59">
        <v>1.0</v>
      </c>
      <c r="P10" s="65"/>
      <c r="Q10" s="64"/>
      <c r="R10" s="59">
        <v>0.0</v>
      </c>
      <c r="S10" s="59">
        <v>0.0</v>
      </c>
      <c r="T10" s="59">
        <v>0.0</v>
      </c>
      <c r="U10" s="59">
        <v>0.0</v>
      </c>
      <c r="V10" s="59">
        <v>0.0</v>
      </c>
      <c r="W10" s="59">
        <v>0.0</v>
      </c>
      <c r="X10" s="65"/>
      <c r="Y10" s="66"/>
      <c r="Z10" s="59">
        <v>0.0</v>
      </c>
      <c r="AA10" s="59">
        <v>0.0</v>
      </c>
      <c r="AB10" s="59" t="s">
        <v>16</v>
      </c>
      <c r="AC10" s="59">
        <v>0.0</v>
      </c>
      <c r="AD10" s="59">
        <v>0.0</v>
      </c>
      <c r="AE10" s="55">
        <v>43025.0</v>
      </c>
      <c r="AF10" s="59">
        <v>0.0</v>
      </c>
      <c r="AG10" s="59" t="s">
        <v>66</v>
      </c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</row>
    <row r="11" ht="15.75" customHeight="1">
      <c r="A11" s="4"/>
      <c r="B11" s="59" t="s">
        <v>18</v>
      </c>
      <c r="C11" s="59" t="s">
        <v>66</v>
      </c>
      <c r="D11" s="59" t="s">
        <v>67</v>
      </c>
      <c r="E11" s="59">
        <v>-1975.0</v>
      </c>
      <c r="F11" s="59">
        <v>0.0</v>
      </c>
      <c r="G11" s="59">
        <v>0.0</v>
      </c>
      <c r="H11" s="59" t="s">
        <v>34</v>
      </c>
      <c r="I11" s="59">
        <v>0.0</v>
      </c>
      <c r="J11" s="59">
        <v>0.0</v>
      </c>
      <c r="K11" s="59" t="s">
        <v>35</v>
      </c>
      <c r="L11" s="59"/>
      <c r="M11" s="64"/>
      <c r="N11" s="59" t="s">
        <v>36</v>
      </c>
      <c r="O11" s="59">
        <v>1.0</v>
      </c>
      <c r="P11" s="65"/>
      <c r="Q11" s="64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5"/>
      <c r="Y11" s="66"/>
      <c r="Z11" s="59">
        <v>0.0</v>
      </c>
      <c r="AA11" s="59">
        <v>0.0</v>
      </c>
      <c r="AB11" s="59" t="s">
        <v>16</v>
      </c>
      <c r="AC11" s="59">
        <v>0.0</v>
      </c>
      <c r="AD11" s="59">
        <v>0.0</v>
      </c>
      <c r="AE11" s="55">
        <v>43025.0</v>
      </c>
      <c r="AF11" s="59">
        <v>0.0</v>
      </c>
      <c r="AG11" s="59" t="s">
        <v>66</v>
      </c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ht="15.75" customHeight="1">
      <c r="A12" s="4"/>
      <c r="B12" s="59" t="s">
        <v>18</v>
      </c>
      <c r="C12" s="59" t="s">
        <v>32</v>
      </c>
      <c r="D12" s="59" t="s">
        <v>50</v>
      </c>
      <c r="E12" s="59">
        <v>0.0</v>
      </c>
      <c r="F12" s="59">
        <v>0.0</v>
      </c>
      <c r="G12" s="59">
        <v>0.0</v>
      </c>
      <c r="H12" s="59" t="s">
        <v>68</v>
      </c>
      <c r="I12" s="59">
        <v>0.0</v>
      </c>
      <c r="J12" s="59">
        <v>0.0</v>
      </c>
      <c r="K12" s="59" t="s">
        <v>35</v>
      </c>
      <c r="L12" s="59"/>
      <c r="M12" s="56"/>
      <c r="N12" s="59" t="s">
        <v>36</v>
      </c>
      <c r="O12" s="59">
        <v>0.0</v>
      </c>
      <c r="P12" s="65"/>
      <c r="Q12" s="64"/>
      <c r="R12" s="59">
        <v>0.0</v>
      </c>
      <c r="S12" s="59">
        <v>0.0</v>
      </c>
      <c r="T12" s="59">
        <v>0.0</v>
      </c>
      <c r="U12" s="59">
        <v>0.0</v>
      </c>
      <c r="V12" s="59">
        <v>50.0</v>
      </c>
      <c r="W12" s="59">
        <v>0.0</v>
      </c>
      <c r="X12" s="59" t="s">
        <v>35</v>
      </c>
      <c r="Y12" s="56"/>
      <c r="Z12" s="59">
        <v>0.0</v>
      </c>
      <c r="AA12" s="59">
        <v>0.0</v>
      </c>
      <c r="AB12" s="59" t="s">
        <v>16</v>
      </c>
      <c r="AC12" s="59">
        <v>0.0</v>
      </c>
      <c r="AD12" s="59">
        <v>0.0</v>
      </c>
      <c r="AE12" s="55">
        <v>43025.0</v>
      </c>
      <c r="AF12" s="59">
        <v>0.0</v>
      </c>
      <c r="AG12" s="59" t="s">
        <v>52</v>
      </c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</row>
    <row r="13" ht="15.75" customHeight="1">
      <c r="A13" s="4"/>
      <c r="B13" s="59" t="s">
        <v>18</v>
      </c>
      <c r="C13" s="59" t="s">
        <v>66</v>
      </c>
      <c r="D13" s="59" t="s">
        <v>67</v>
      </c>
      <c r="E13" s="59">
        <v>1975.0</v>
      </c>
      <c r="F13" s="59">
        <v>0.0</v>
      </c>
      <c r="G13" s="59">
        <v>0.0</v>
      </c>
      <c r="H13" s="59" t="s">
        <v>34</v>
      </c>
      <c r="I13" s="59">
        <v>0.0</v>
      </c>
      <c r="J13" s="59">
        <v>0.0</v>
      </c>
      <c r="K13" s="59" t="s">
        <v>35</v>
      </c>
      <c r="L13" s="59"/>
      <c r="M13" s="64"/>
      <c r="N13" s="59" t="s">
        <v>36</v>
      </c>
      <c r="O13" s="59">
        <v>1.0</v>
      </c>
      <c r="P13" s="65"/>
      <c r="Q13" s="64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5"/>
      <c r="Y13" s="66"/>
      <c r="Z13" s="59">
        <v>0.0</v>
      </c>
      <c r="AA13" s="59">
        <v>0.0</v>
      </c>
      <c r="AB13" s="59" t="s">
        <v>16</v>
      </c>
      <c r="AC13" s="59">
        <v>0.0</v>
      </c>
      <c r="AD13" s="59">
        <v>0.0</v>
      </c>
      <c r="AE13" s="55">
        <v>43026.0</v>
      </c>
      <c r="AF13" s="59">
        <v>0.0</v>
      </c>
      <c r="AG13" s="59" t="s">
        <v>66</v>
      </c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</row>
    <row r="14" ht="15.75" customHeight="1">
      <c r="A14" s="4"/>
      <c r="B14" s="59" t="s">
        <v>18</v>
      </c>
      <c r="C14" s="59" t="s">
        <v>66</v>
      </c>
      <c r="D14" s="59" t="s">
        <v>67</v>
      </c>
      <c r="E14" s="59">
        <v>-1975.0</v>
      </c>
      <c r="F14" s="59">
        <v>0.0</v>
      </c>
      <c r="G14" s="59">
        <v>0.0</v>
      </c>
      <c r="H14" s="59" t="s">
        <v>34</v>
      </c>
      <c r="I14" s="59">
        <v>0.0</v>
      </c>
      <c r="J14" s="59">
        <v>0.0</v>
      </c>
      <c r="K14" s="59" t="s">
        <v>35</v>
      </c>
      <c r="L14" s="59"/>
      <c r="M14" s="64"/>
      <c r="N14" s="59" t="s">
        <v>36</v>
      </c>
      <c r="O14" s="59">
        <v>1.0</v>
      </c>
      <c r="P14" s="65"/>
      <c r="Q14" s="64"/>
      <c r="R14" s="59">
        <v>0.0</v>
      </c>
      <c r="S14" s="59">
        <v>0.0</v>
      </c>
      <c r="T14" s="59">
        <v>0.0</v>
      </c>
      <c r="U14" s="59">
        <v>0.0</v>
      </c>
      <c r="V14" s="59">
        <v>0.0</v>
      </c>
      <c r="W14" s="59">
        <v>0.0</v>
      </c>
      <c r="X14" s="65"/>
      <c r="Y14" s="66"/>
      <c r="Z14" s="59">
        <v>0.0</v>
      </c>
      <c r="AA14" s="59">
        <v>0.0</v>
      </c>
      <c r="AB14" s="59" t="s">
        <v>16</v>
      </c>
      <c r="AC14" s="59">
        <v>0.0</v>
      </c>
      <c r="AD14" s="59">
        <v>0.0</v>
      </c>
      <c r="AE14" s="55">
        <v>43026.0</v>
      </c>
      <c r="AF14" s="59">
        <v>0.0</v>
      </c>
      <c r="AG14" s="59" t="s">
        <v>66</v>
      </c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</row>
    <row r="15" ht="15.75" customHeight="1">
      <c r="A15" s="4"/>
      <c r="B15" s="59" t="s">
        <v>18</v>
      </c>
      <c r="C15" s="59" t="s">
        <v>32</v>
      </c>
      <c r="D15" s="59" t="s">
        <v>50</v>
      </c>
      <c r="E15" s="59">
        <v>0.0</v>
      </c>
      <c r="F15" s="59">
        <v>0.0</v>
      </c>
      <c r="G15" s="59">
        <v>0.0</v>
      </c>
      <c r="H15" s="59" t="s">
        <v>68</v>
      </c>
      <c r="I15" s="59">
        <v>0.0</v>
      </c>
      <c r="J15" s="59">
        <v>0.0</v>
      </c>
      <c r="K15" s="59" t="s">
        <v>35</v>
      </c>
      <c r="L15" s="59"/>
      <c r="M15" s="56"/>
      <c r="N15" s="59" t="s">
        <v>36</v>
      </c>
      <c r="O15" s="59">
        <v>0.0</v>
      </c>
      <c r="P15" s="65"/>
      <c r="Q15" s="64"/>
      <c r="R15" s="59">
        <v>0.0</v>
      </c>
      <c r="S15" s="59">
        <v>0.0</v>
      </c>
      <c r="T15" s="59">
        <v>0.0</v>
      </c>
      <c r="U15" s="59">
        <v>0.0</v>
      </c>
      <c r="V15" s="59">
        <v>50.0</v>
      </c>
      <c r="W15" s="59">
        <v>0.0</v>
      </c>
      <c r="X15" s="59" t="s">
        <v>35</v>
      </c>
      <c r="Y15" s="56"/>
      <c r="Z15" s="59">
        <v>0.0</v>
      </c>
      <c r="AA15" s="59">
        <v>0.0</v>
      </c>
      <c r="AB15" s="59" t="s">
        <v>16</v>
      </c>
      <c r="AC15" s="59">
        <v>0.0</v>
      </c>
      <c r="AD15" s="59">
        <v>0.0</v>
      </c>
      <c r="AE15" s="55">
        <v>43026.0</v>
      </c>
      <c r="AF15" s="59">
        <v>0.0</v>
      </c>
      <c r="AG15" s="59" t="s">
        <v>52</v>
      </c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</row>
    <row r="16" ht="15.75" customHeight="1">
      <c r="A16" s="4"/>
      <c r="B16" s="59" t="s">
        <v>18</v>
      </c>
      <c r="C16" s="59" t="s">
        <v>66</v>
      </c>
      <c r="D16" s="59" t="s">
        <v>67</v>
      </c>
      <c r="E16" s="59">
        <v>1975.0</v>
      </c>
      <c r="F16" s="59">
        <v>0.0</v>
      </c>
      <c r="G16" s="59">
        <v>0.0</v>
      </c>
      <c r="H16" s="59" t="s">
        <v>34</v>
      </c>
      <c r="I16" s="59">
        <v>0.0</v>
      </c>
      <c r="J16" s="59">
        <v>0.0</v>
      </c>
      <c r="K16" s="59" t="s">
        <v>35</v>
      </c>
      <c r="L16" s="59"/>
      <c r="M16" s="64"/>
      <c r="N16" s="59" t="s">
        <v>36</v>
      </c>
      <c r="O16" s="59">
        <v>1.0</v>
      </c>
      <c r="P16" s="65"/>
      <c r="Q16" s="64"/>
      <c r="R16" s="59">
        <v>0.0</v>
      </c>
      <c r="S16" s="59">
        <v>0.0</v>
      </c>
      <c r="T16" s="59">
        <v>0.0</v>
      </c>
      <c r="U16" s="59">
        <v>0.0</v>
      </c>
      <c r="V16" s="59">
        <v>0.0</v>
      </c>
      <c r="W16" s="59">
        <v>0.0</v>
      </c>
      <c r="X16" s="65"/>
      <c r="Y16" s="66"/>
      <c r="Z16" s="59">
        <v>0.0</v>
      </c>
      <c r="AA16" s="59">
        <v>0.0</v>
      </c>
      <c r="AB16" s="59" t="s">
        <v>16</v>
      </c>
      <c r="AC16" s="59">
        <v>0.0</v>
      </c>
      <c r="AD16" s="59">
        <v>0.0</v>
      </c>
      <c r="AE16" s="55">
        <v>43027.0</v>
      </c>
      <c r="AF16" s="59">
        <v>0.0</v>
      </c>
      <c r="AG16" s="59" t="s">
        <v>66</v>
      </c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</row>
    <row r="17" ht="15.75" customHeight="1">
      <c r="A17" s="4"/>
      <c r="B17" s="59" t="s">
        <v>18</v>
      </c>
      <c r="C17" s="59" t="s">
        <v>66</v>
      </c>
      <c r="D17" s="59" t="s">
        <v>67</v>
      </c>
      <c r="E17" s="59">
        <v>-1975.0</v>
      </c>
      <c r="F17" s="59">
        <v>0.0</v>
      </c>
      <c r="G17" s="59">
        <v>0.0</v>
      </c>
      <c r="H17" s="59" t="s">
        <v>34</v>
      </c>
      <c r="I17" s="59">
        <v>0.0</v>
      </c>
      <c r="J17" s="59">
        <v>0.0</v>
      </c>
      <c r="K17" s="59" t="s">
        <v>35</v>
      </c>
      <c r="L17" s="59"/>
      <c r="M17" s="64"/>
      <c r="N17" s="59" t="s">
        <v>36</v>
      </c>
      <c r="O17" s="59">
        <v>1.0</v>
      </c>
      <c r="P17" s="65"/>
      <c r="Q17" s="64"/>
      <c r="R17" s="59">
        <v>0.0</v>
      </c>
      <c r="S17" s="59">
        <v>0.0</v>
      </c>
      <c r="T17" s="59">
        <v>0.0</v>
      </c>
      <c r="U17" s="59">
        <v>0.0</v>
      </c>
      <c r="V17" s="59">
        <v>0.0</v>
      </c>
      <c r="W17" s="59">
        <v>0.0</v>
      </c>
      <c r="X17" s="65"/>
      <c r="Y17" s="66"/>
      <c r="Z17" s="59">
        <v>0.0</v>
      </c>
      <c r="AA17" s="59">
        <v>0.0</v>
      </c>
      <c r="AB17" s="59" t="s">
        <v>16</v>
      </c>
      <c r="AC17" s="59">
        <v>0.0</v>
      </c>
      <c r="AD17" s="59">
        <v>0.0</v>
      </c>
      <c r="AE17" s="55">
        <v>43027.0</v>
      </c>
      <c r="AF17" s="59">
        <v>0.0</v>
      </c>
      <c r="AG17" s="59" t="s">
        <v>66</v>
      </c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</row>
    <row r="18" ht="15.75" customHeight="1">
      <c r="A18" s="4"/>
      <c r="B18" s="59" t="s">
        <v>18</v>
      </c>
      <c r="C18" s="59" t="s">
        <v>32</v>
      </c>
      <c r="D18" s="59" t="s">
        <v>50</v>
      </c>
      <c r="E18" s="59">
        <v>0.0</v>
      </c>
      <c r="F18" s="59">
        <v>0.0</v>
      </c>
      <c r="G18" s="59">
        <v>0.0</v>
      </c>
      <c r="H18" s="59" t="s">
        <v>68</v>
      </c>
      <c r="I18" s="59">
        <v>0.0</v>
      </c>
      <c r="J18" s="59">
        <v>0.0</v>
      </c>
      <c r="K18" s="59" t="s">
        <v>35</v>
      </c>
      <c r="L18" s="59"/>
      <c r="M18" s="56"/>
      <c r="N18" s="59" t="s">
        <v>36</v>
      </c>
      <c r="O18" s="59">
        <v>0.0</v>
      </c>
      <c r="P18" s="65"/>
      <c r="Q18" s="64"/>
      <c r="R18" s="59">
        <v>0.0</v>
      </c>
      <c r="S18" s="59">
        <v>0.0</v>
      </c>
      <c r="T18" s="59">
        <v>0.0</v>
      </c>
      <c r="U18" s="59">
        <v>0.0</v>
      </c>
      <c r="V18" s="59">
        <v>50.0</v>
      </c>
      <c r="W18" s="59">
        <v>0.0</v>
      </c>
      <c r="X18" s="59" t="s">
        <v>35</v>
      </c>
      <c r="Y18" s="56"/>
      <c r="Z18" s="59">
        <v>0.0</v>
      </c>
      <c r="AA18" s="59">
        <v>0.0</v>
      </c>
      <c r="AB18" s="59" t="s">
        <v>16</v>
      </c>
      <c r="AC18" s="59">
        <v>0.0</v>
      </c>
      <c r="AD18" s="59">
        <v>0.0</v>
      </c>
      <c r="AE18" s="55">
        <v>43027.0</v>
      </c>
      <c r="AF18" s="59">
        <v>0.0</v>
      </c>
      <c r="AG18" s="59" t="s">
        <v>52</v>
      </c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</row>
    <row r="19" ht="15.75" customHeight="1">
      <c r="A19" s="4"/>
      <c r="B19" s="59" t="s">
        <v>18</v>
      </c>
      <c r="C19" s="59" t="s">
        <v>66</v>
      </c>
      <c r="D19" s="59" t="s">
        <v>67</v>
      </c>
      <c r="E19" s="59">
        <v>1975.0</v>
      </c>
      <c r="F19" s="59">
        <v>0.0</v>
      </c>
      <c r="G19" s="59">
        <v>0.0</v>
      </c>
      <c r="H19" s="59" t="s">
        <v>34</v>
      </c>
      <c r="I19" s="59">
        <v>0.0</v>
      </c>
      <c r="J19" s="59">
        <v>0.0</v>
      </c>
      <c r="K19" s="59" t="s">
        <v>35</v>
      </c>
      <c r="L19" s="59"/>
      <c r="M19" s="64"/>
      <c r="N19" s="59" t="s">
        <v>36</v>
      </c>
      <c r="O19" s="59">
        <v>1.0</v>
      </c>
      <c r="P19" s="65"/>
      <c r="Q19" s="64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5"/>
      <c r="Y19" s="66"/>
      <c r="Z19" s="59">
        <v>0.0</v>
      </c>
      <c r="AA19" s="59">
        <v>0.0</v>
      </c>
      <c r="AB19" s="59" t="s">
        <v>16</v>
      </c>
      <c r="AC19" s="59">
        <v>0.0</v>
      </c>
      <c r="AD19" s="59">
        <v>0.0</v>
      </c>
      <c r="AE19" s="55">
        <v>43028.0</v>
      </c>
      <c r="AF19" s="59">
        <v>0.0</v>
      </c>
      <c r="AG19" s="59" t="s">
        <v>66</v>
      </c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</row>
    <row r="20" ht="15.75" customHeight="1">
      <c r="A20" s="4"/>
      <c r="B20" s="59" t="s">
        <v>18</v>
      </c>
      <c r="C20" s="59" t="s">
        <v>66</v>
      </c>
      <c r="D20" s="59" t="s">
        <v>67</v>
      </c>
      <c r="E20" s="59">
        <v>-1975.0</v>
      </c>
      <c r="F20" s="59">
        <v>0.0</v>
      </c>
      <c r="G20" s="59">
        <v>0.0</v>
      </c>
      <c r="H20" s="59" t="s">
        <v>34</v>
      </c>
      <c r="I20" s="59">
        <v>0.0</v>
      </c>
      <c r="J20" s="59">
        <v>0.0</v>
      </c>
      <c r="K20" s="59" t="s">
        <v>35</v>
      </c>
      <c r="L20" s="59"/>
      <c r="M20" s="64"/>
      <c r="N20" s="59" t="s">
        <v>36</v>
      </c>
      <c r="O20" s="59">
        <v>1.0</v>
      </c>
      <c r="P20" s="65"/>
      <c r="Q20" s="64"/>
      <c r="R20" s="59">
        <v>0.0</v>
      </c>
      <c r="S20" s="59">
        <v>0.0</v>
      </c>
      <c r="T20" s="59">
        <v>0.0</v>
      </c>
      <c r="U20" s="59">
        <v>0.0</v>
      </c>
      <c r="V20" s="59">
        <v>0.0</v>
      </c>
      <c r="W20" s="59">
        <v>0.0</v>
      </c>
      <c r="X20" s="65"/>
      <c r="Y20" s="66"/>
      <c r="Z20" s="59">
        <v>0.0</v>
      </c>
      <c r="AA20" s="59">
        <v>0.0</v>
      </c>
      <c r="AB20" s="59" t="s">
        <v>16</v>
      </c>
      <c r="AC20" s="59">
        <v>0.0</v>
      </c>
      <c r="AD20" s="59">
        <v>0.0</v>
      </c>
      <c r="AE20" s="55">
        <v>43028.0</v>
      </c>
      <c r="AF20" s="59">
        <v>0.0</v>
      </c>
      <c r="AG20" s="59" t="s">
        <v>66</v>
      </c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</row>
    <row r="21" ht="15.75" customHeight="1">
      <c r="A21" s="4"/>
      <c r="B21" s="59" t="s">
        <v>18</v>
      </c>
      <c r="C21" s="59" t="s">
        <v>32</v>
      </c>
      <c r="D21" s="59" t="s">
        <v>50</v>
      </c>
      <c r="E21" s="59">
        <v>1.74</v>
      </c>
      <c r="F21" s="59">
        <v>0.0</v>
      </c>
      <c r="G21" s="59">
        <v>0.0</v>
      </c>
      <c r="H21" s="59" t="s">
        <v>68</v>
      </c>
      <c r="I21" s="59">
        <v>0.0</v>
      </c>
      <c r="J21" s="59">
        <v>0.0</v>
      </c>
      <c r="K21" s="59" t="s">
        <v>35</v>
      </c>
      <c r="L21" s="59"/>
      <c r="M21" s="56"/>
      <c r="N21" s="59" t="s">
        <v>36</v>
      </c>
      <c r="O21" s="59">
        <v>0.0</v>
      </c>
      <c r="P21" s="65"/>
      <c r="Q21" s="64"/>
      <c r="R21" s="59">
        <v>0.0</v>
      </c>
      <c r="S21" s="59">
        <v>0.0</v>
      </c>
      <c r="T21" s="59">
        <v>0.0</v>
      </c>
      <c r="U21" s="59">
        <v>0.0</v>
      </c>
      <c r="V21" s="59">
        <v>50.0</v>
      </c>
      <c r="W21" s="59">
        <v>0.0</v>
      </c>
      <c r="X21" s="59" t="s">
        <v>35</v>
      </c>
      <c r="Y21" s="56"/>
      <c r="Z21" s="59">
        <v>0.0</v>
      </c>
      <c r="AA21" s="59">
        <v>0.0</v>
      </c>
      <c r="AB21" s="59" t="s">
        <v>16</v>
      </c>
      <c r="AC21" s="59">
        <v>0.0</v>
      </c>
      <c r="AD21" s="59">
        <v>0.0</v>
      </c>
      <c r="AE21" s="55">
        <v>43028.0</v>
      </c>
      <c r="AF21" s="59">
        <v>0.0</v>
      </c>
      <c r="AG21" s="59" t="s">
        <v>52</v>
      </c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</row>
    <row r="22" ht="15.75" customHeight="1">
      <c r="A22" s="4"/>
      <c r="B22" s="59" t="s">
        <v>18</v>
      </c>
      <c r="C22" s="59" t="s">
        <v>66</v>
      </c>
      <c r="D22" s="59" t="s">
        <v>67</v>
      </c>
      <c r="E22" s="59">
        <v>1975.0</v>
      </c>
      <c r="F22" s="59">
        <v>0.0</v>
      </c>
      <c r="G22" s="59">
        <v>0.0</v>
      </c>
      <c r="H22" s="59" t="s">
        <v>34</v>
      </c>
      <c r="I22" s="59">
        <v>0.0</v>
      </c>
      <c r="J22" s="59">
        <v>0.0</v>
      </c>
      <c r="K22" s="59" t="s">
        <v>35</v>
      </c>
      <c r="L22" s="59"/>
      <c r="M22" s="64"/>
      <c r="N22" s="59" t="s">
        <v>36</v>
      </c>
      <c r="O22" s="59">
        <v>1.0</v>
      </c>
      <c r="P22" s="65"/>
      <c r="Q22" s="64"/>
      <c r="R22" s="59">
        <v>0.0</v>
      </c>
      <c r="S22" s="59">
        <v>0.0</v>
      </c>
      <c r="T22" s="59">
        <v>0.0</v>
      </c>
      <c r="U22" s="59">
        <v>0.0</v>
      </c>
      <c r="V22" s="59">
        <v>0.0</v>
      </c>
      <c r="W22" s="59">
        <v>0.0</v>
      </c>
      <c r="X22" s="65"/>
      <c r="Y22" s="66"/>
      <c r="Z22" s="59">
        <v>0.0</v>
      </c>
      <c r="AA22" s="59">
        <v>0.0</v>
      </c>
      <c r="AB22" s="59" t="s">
        <v>16</v>
      </c>
      <c r="AC22" s="59">
        <v>0.0</v>
      </c>
      <c r="AD22" s="59">
        <v>0.0</v>
      </c>
      <c r="AE22" s="55">
        <v>43029.0</v>
      </c>
      <c r="AF22" s="59">
        <v>0.0</v>
      </c>
      <c r="AG22" s="59" t="s">
        <v>66</v>
      </c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</row>
    <row r="23" ht="15.75" customHeight="1">
      <c r="A23" s="4"/>
      <c r="B23" s="59" t="s">
        <v>18</v>
      </c>
      <c r="C23" s="59" t="s">
        <v>66</v>
      </c>
      <c r="D23" s="59" t="s">
        <v>67</v>
      </c>
      <c r="E23" s="59">
        <v>-1975.0</v>
      </c>
      <c r="F23" s="59">
        <v>0.0</v>
      </c>
      <c r="G23" s="59">
        <v>0.0</v>
      </c>
      <c r="H23" s="59" t="s">
        <v>34</v>
      </c>
      <c r="I23" s="59">
        <v>0.0</v>
      </c>
      <c r="J23" s="59">
        <v>0.0</v>
      </c>
      <c r="K23" s="59" t="s">
        <v>35</v>
      </c>
      <c r="L23" s="59"/>
      <c r="M23" s="64"/>
      <c r="N23" s="59" t="s">
        <v>36</v>
      </c>
      <c r="O23" s="59">
        <v>1.0</v>
      </c>
      <c r="P23" s="65"/>
      <c r="Q23" s="64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5"/>
      <c r="Y23" s="66"/>
      <c r="Z23" s="59">
        <v>0.0</v>
      </c>
      <c r="AA23" s="59">
        <v>0.0</v>
      </c>
      <c r="AB23" s="59" t="s">
        <v>16</v>
      </c>
      <c r="AC23" s="59">
        <v>0.0</v>
      </c>
      <c r="AD23" s="59">
        <v>0.0</v>
      </c>
      <c r="AE23" s="55">
        <v>43029.0</v>
      </c>
      <c r="AF23" s="59">
        <v>0.0</v>
      </c>
      <c r="AG23" s="59" t="s">
        <v>66</v>
      </c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</row>
    <row r="24" ht="15.75" customHeight="1">
      <c r="A24" s="4"/>
      <c r="B24" s="59" t="s">
        <v>18</v>
      </c>
      <c r="C24" s="59" t="s">
        <v>32</v>
      </c>
      <c r="D24" s="59" t="s">
        <v>50</v>
      </c>
      <c r="E24" s="59">
        <v>1.74</v>
      </c>
      <c r="F24" s="59">
        <v>0.0</v>
      </c>
      <c r="G24" s="59">
        <v>0.0</v>
      </c>
      <c r="H24" s="59" t="s">
        <v>68</v>
      </c>
      <c r="I24" s="59">
        <v>0.0</v>
      </c>
      <c r="J24" s="59">
        <v>0.0</v>
      </c>
      <c r="K24" s="59" t="s">
        <v>35</v>
      </c>
      <c r="L24" s="59"/>
      <c r="M24" s="56"/>
      <c r="N24" s="59" t="s">
        <v>36</v>
      </c>
      <c r="O24" s="59">
        <v>0.0</v>
      </c>
      <c r="P24" s="65"/>
      <c r="Q24" s="64"/>
      <c r="R24" s="59">
        <v>0.0</v>
      </c>
      <c r="S24" s="59">
        <v>0.0</v>
      </c>
      <c r="T24" s="59">
        <v>0.0</v>
      </c>
      <c r="U24" s="59">
        <v>0.0</v>
      </c>
      <c r="V24" s="59">
        <v>50.0</v>
      </c>
      <c r="W24" s="59">
        <v>0.0</v>
      </c>
      <c r="X24" s="59" t="s">
        <v>35</v>
      </c>
      <c r="Y24" s="56"/>
      <c r="Z24" s="59">
        <v>0.0</v>
      </c>
      <c r="AA24" s="59">
        <v>0.0</v>
      </c>
      <c r="AB24" s="59" t="s">
        <v>16</v>
      </c>
      <c r="AC24" s="59">
        <v>0.0</v>
      </c>
      <c r="AD24" s="59">
        <v>0.0</v>
      </c>
      <c r="AE24" s="55">
        <v>43029.0</v>
      </c>
      <c r="AF24" s="59">
        <v>0.0</v>
      </c>
      <c r="AG24" s="59" t="s">
        <v>52</v>
      </c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</row>
    <row r="25" ht="15.75" customHeight="1">
      <c r="A25" s="4"/>
      <c r="B25" s="59" t="s">
        <v>18</v>
      </c>
      <c r="C25" s="59" t="s">
        <v>66</v>
      </c>
      <c r="D25" s="59" t="s">
        <v>67</v>
      </c>
      <c r="E25" s="59">
        <v>1975.0</v>
      </c>
      <c r="F25" s="59">
        <v>0.0</v>
      </c>
      <c r="G25" s="59">
        <v>0.0</v>
      </c>
      <c r="H25" s="59" t="s">
        <v>34</v>
      </c>
      <c r="I25" s="59">
        <v>0.0</v>
      </c>
      <c r="J25" s="59">
        <v>0.0</v>
      </c>
      <c r="K25" s="59" t="s">
        <v>35</v>
      </c>
      <c r="L25" s="59"/>
      <c r="M25" s="64"/>
      <c r="N25" s="59" t="s">
        <v>36</v>
      </c>
      <c r="O25" s="59">
        <v>1.0</v>
      </c>
      <c r="P25" s="65"/>
      <c r="Q25" s="64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5"/>
      <c r="Y25" s="66"/>
      <c r="Z25" s="59">
        <v>0.0</v>
      </c>
      <c r="AA25" s="59">
        <v>0.0</v>
      </c>
      <c r="AB25" s="59" t="s">
        <v>16</v>
      </c>
      <c r="AC25" s="59">
        <v>0.0</v>
      </c>
      <c r="AD25" s="59">
        <v>0.0</v>
      </c>
      <c r="AE25" s="55">
        <v>43030.0</v>
      </c>
      <c r="AF25" s="59">
        <v>0.0</v>
      </c>
      <c r="AG25" s="59" t="s">
        <v>66</v>
      </c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</row>
    <row r="26" ht="15.75" customHeight="1">
      <c r="A26" s="4"/>
      <c r="B26" s="59" t="s">
        <v>18</v>
      </c>
      <c r="C26" s="59" t="s">
        <v>66</v>
      </c>
      <c r="D26" s="59" t="s">
        <v>67</v>
      </c>
      <c r="E26" s="59">
        <v>-1975.0</v>
      </c>
      <c r="F26" s="59">
        <v>0.0</v>
      </c>
      <c r="G26" s="59">
        <v>0.0</v>
      </c>
      <c r="H26" s="59" t="s">
        <v>34</v>
      </c>
      <c r="I26" s="59">
        <v>0.0</v>
      </c>
      <c r="J26" s="59">
        <v>0.0</v>
      </c>
      <c r="K26" s="59" t="s">
        <v>35</v>
      </c>
      <c r="L26" s="59"/>
      <c r="M26" s="64"/>
      <c r="N26" s="59" t="s">
        <v>36</v>
      </c>
      <c r="O26" s="59">
        <v>1.0</v>
      </c>
      <c r="P26" s="65"/>
      <c r="Q26" s="64"/>
      <c r="R26" s="59">
        <v>0.0</v>
      </c>
      <c r="S26" s="59">
        <v>0.0</v>
      </c>
      <c r="T26" s="59">
        <v>0.0</v>
      </c>
      <c r="U26" s="59">
        <v>0.0</v>
      </c>
      <c r="V26" s="59">
        <v>0.0</v>
      </c>
      <c r="W26" s="59">
        <v>0.0</v>
      </c>
      <c r="X26" s="65"/>
      <c r="Y26" s="66"/>
      <c r="Z26" s="59">
        <v>0.0</v>
      </c>
      <c r="AA26" s="59">
        <v>0.0</v>
      </c>
      <c r="AB26" s="59" t="s">
        <v>16</v>
      </c>
      <c r="AC26" s="59">
        <v>0.0</v>
      </c>
      <c r="AD26" s="59">
        <v>0.0</v>
      </c>
      <c r="AE26" s="55">
        <v>43030.0</v>
      </c>
      <c r="AF26" s="59">
        <v>0.0</v>
      </c>
      <c r="AG26" s="59" t="s">
        <v>66</v>
      </c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</row>
    <row r="27" ht="15.75" customHeight="1">
      <c r="A27" s="4"/>
      <c r="B27" s="59" t="s">
        <v>18</v>
      </c>
      <c r="C27" s="59" t="s">
        <v>32</v>
      </c>
      <c r="D27" s="59" t="s">
        <v>50</v>
      </c>
      <c r="E27" s="59">
        <v>1.74</v>
      </c>
      <c r="F27" s="59">
        <v>0.0</v>
      </c>
      <c r="G27" s="59">
        <v>0.0</v>
      </c>
      <c r="H27" s="59" t="s">
        <v>68</v>
      </c>
      <c r="I27" s="59">
        <v>0.0</v>
      </c>
      <c r="J27" s="59">
        <v>0.0</v>
      </c>
      <c r="K27" s="59" t="s">
        <v>35</v>
      </c>
      <c r="L27" s="59"/>
      <c r="M27" s="56"/>
      <c r="N27" s="59" t="s">
        <v>36</v>
      </c>
      <c r="O27" s="59">
        <v>0.0</v>
      </c>
      <c r="P27" s="65"/>
      <c r="Q27" s="64"/>
      <c r="R27" s="59">
        <v>0.0</v>
      </c>
      <c r="S27" s="59">
        <v>0.0</v>
      </c>
      <c r="T27" s="59">
        <v>0.0</v>
      </c>
      <c r="U27" s="59">
        <v>0.0</v>
      </c>
      <c r="V27" s="59">
        <v>50.0</v>
      </c>
      <c r="W27" s="59">
        <v>0.0</v>
      </c>
      <c r="X27" s="59" t="s">
        <v>35</v>
      </c>
      <c r="Y27" s="56"/>
      <c r="Z27" s="59">
        <v>0.0</v>
      </c>
      <c r="AA27" s="59">
        <v>0.0</v>
      </c>
      <c r="AB27" s="59" t="s">
        <v>16</v>
      </c>
      <c r="AC27" s="59">
        <v>0.0</v>
      </c>
      <c r="AD27" s="59">
        <v>0.0</v>
      </c>
      <c r="AE27" s="55">
        <v>43030.0</v>
      </c>
      <c r="AF27" s="59">
        <v>0.0</v>
      </c>
      <c r="AG27" s="59" t="s">
        <v>52</v>
      </c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</row>
    <row r="28" ht="15.75" customHeight="1">
      <c r="A28" s="4"/>
      <c r="B28" s="59" t="s">
        <v>18</v>
      </c>
      <c r="C28" s="59" t="s">
        <v>66</v>
      </c>
      <c r="D28" s="59" t="s">
        <v>67</v>
      </c>
      <c r="E28" s="59">
        <v>1975.0</v>
      </c>
      <c r="F28" s="59">
        <v>0.0</v>
      </c>
      <c r="G28" s="59">
        <v>0.0</v>
      </c>
      <c r="H28" s="59" t="s">
        <v>34</v>
      </c>
      <c r="I28" s="59">
        <v>0.0</v>
      </c>
      <c r="J28" s="59">
        <v>0.0</v>
      </c>
      <c r="K28" s="59" t="s">
        <v>35</v>
      </c>
      <c r="L28" s="59"/>
      <c r="M28" s="64"/>
      <c r="N28" s="59" t="s">
        <v>36</v>
      </c>
      <c r="O28" s="59">
        <v>1.0</v>
      </c>
      <c r="P28" s="65"/>
      <c r="Q28" s="64"/>
      <c r="R28" s="59">
        <v>0.0</v>
      </c>
      <c r="S28" s="59">
        <v>0.0</v>
      </c>
      <c r="T28" s="59">
        <v>0.0</v>
      </c>
      <c r="U28" s="59">
        <v>0.0</v>
      </c>
      <c r="V28" s="59">
        <v>0.0</v>
      </c>
      <c r="W28" s="59">
        <v>0.0</v>
      </c>
      <c r="X28" s="65"/>
      <c r="Y28" s="66"/>
      <c r="Z28" s="59">
        <v>0.0</v>
      </c>
      <c r="AA28" s="59">
        <v>0.0</v>
      </c>
      <c r="AB28" s="59" t="s">
        <v>16</v>
      </c>
      <c r="AC28" s="59">
        <v>0.0</v>
      </c>
      <c r="AD28" s="59">
        <v>0.0</v>
      </c>
      <c r="AE28" s="55">
        <v>43031.0</v>
      </c>
      <c r="AF28" s="59">
        <v>0.0</v>
      </c>
      <c r="AG28" s="59" t="s">
        <v>66</v>
      </c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</row>
    <row r="29" ht="15.75" customHeight="1">
      <c r="A29" s="4"/>
      <c r="B29" s="59" t="s">
        <v>18</v>
      </c>
      <c r="C29" s="59" t="s">
        <v>66</v>
      </c>
      <c r="D29" s="59" t="s">
        <v>69</v>
      </c>
      <c r="E29" s="59">
        <v>-755.0</v>
      </c>
      <c r="F29" s="59">
        <v>0.0</v>
      </c>
      <c r="G29" s="59">
        <v>0.0</v>
      </c>
      <c r="H29" s="59" t="s">
        <v>34</v>
      </c>
      <c r="I29" s="59">
        <v>0.0</v>
      </c>
      <c r="J29" s="59">
        <v>0.0</v>
      </c>
      <c r="K29" s="59" t="s">
        <v>35</v>
      </c>
      <c r="L29" s="59"/>
      <c r="M29" s="64"/>
      <c r="N29" s="59" t="s">
        <v>36</v>
      </c>
      <c r="O29" s="59">
        <v>1.0</v>
      </c>
      <c r="P29" s="65"/>
      <c r="Q29" s="64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5"/>
      <c r="Y29" s="66"/>
      <c r="Z29" s="59">
        <v>0.0</v>
      </c>
      <c r="AA29" s="59">
        <v>0.0</v>
      </c>
      <c r="AB29" s="59" t="s">
        <v>16</v>
      </c>
      <c r="AC29" s="59">
        <v>0.0</v>
      </c>
      <c r="AD29" s="59">
        <v>0.0</v>
      </c>
      <c r="AE29" s="55">
        <v>43031.0</v>
      </c>
      <c r="AF29" s="59">
        <v>0.0</v>
      </c>
      <c r="AG29" s="59" t="s">
        <v>66</v>
      </c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</row>
    <row r="30" ht="15.75" customHeight="1">
      <c r="A30" s="4"/>
      <c r="B30" s="59" t="s">
        <v>18</v>
      </c>
      <c r="C30" s="59" t="s">
        <v>32</v>
      </c>
      <c r="D30" s="59" t="s">
        <v>50</v>
      </c>
      <c r="E30" s="59">
        <v>6.94</v>
      </c>
      <c r="F30" s="59">
        <v>0.0</v>
      </c>
      <c r="G30" s="59">
        <v>0.0</v>
      </c>
      <c r="H30" s="59" t="s">
        <v>68</v>
      </c>
      <c r="I30" s="59">
        <v>0.0</v>
      </c>
      <c r="J30" s="59">
        <v>0.0</v>
      </c>
      <c r="K30" s="59" t="s">
        <v>35</v>
      </c>
      <c r="L30" s="59"/>
      <c r="M30" s="56"/>
      <c r="N30" s="59" t="s">
        <v>36</v>
      </c>
      <c r="O30" s="59">
        <v>0.0</v>
      </c>
      <c r="P30" s="65"/>
      <c r="Q30" s="64"/>
      <c r="R30" s="59">
        <v>0.0</v>
      </c>
      <c r="S30" s="59">
        <v>0.0</v>
      </c>
      <c r="T30" s="59">
        <v>0.0</v>
      </c>
      <c r="U30" s="59">
        <v>0.0</v>
      </c>
      <c r="V30" s="59">
        <v>50.0</v>
      </c>
      <c r="W30" s="59">
        <v>0.0</v>
      </c>
      <c r="X30" s="59" t="s">
        <v>35</v>
      </c>
      <c r="Y30" s="56"/>
      <c r="Z30" s="59">
        <v>0.0</v>
      </c>
      <c r="AA30" s="59">
        <v>0.0</v>
      </c>
      <c r="AB30" s="59" t="s">
        <v>16</v>
      </c>
      <c r="AC30" s="59">
        <v>0.0</v>
      </c>
      <c r="AD30" s="59">
        <v>0.0</v>
      </c>
      <c r="AE30" s="55">
        <v>43031.0</v>
      </c>
      <c r="AF30" s="59">
        <v>0.0</v>
      </c>
      <c r="AG30" s="59" t="s">
        <v>52</v>
      </c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</row>
    <row r="31" ht="15.75" customHeight="1">
      <c r="A31" s="4"/>
      <c r="B31" s="59" t="s">
        <v>18</v>
      </c>
      <c r="C31" s="59" t="s">
        <v>32</v>
      </c>
      <c r="D31" s="59" t="s">
        <v>50</v>
      </c>
      <c r="E31" s="59">
        <v>0.0</v>
      </c>
      <c r="F31" s="59">
        <v>0.0</v>
      </c>
      <c r="G31" s="59">
        <v>0.0</v>
      </c>
      <c r="H31" s="59" t="s">
        <v>68</v>
      </c>
      <c r="I31" s="59">
        <v>0.0</v>
      </c>
      <c r="J31" s="59">
        <v>0.0</v>
      </c>
      <c r="K31" s="59" t="s">
        <v>35</v>
      </c>
      <c r="L31" s="59"/>
      <c r="M31" s="56"/>
      <c r="N31" s="59" t="s">
        <v>36</v>
      </c>
      <c r="O31" s="59">
        <v>1.0</v>
      </c>
      <c r="P31" s="65"/>
      <c r="Q31" s="64"/>
      <c r="R31" s="59">
        <v>0.0</v>
      </c>
      <c r="S31" s="59">
        <v>0.0</v>
      </c>
      <c r="T31" s="59">
        <v>0.0</v>
      </c>
      <c r="U31" s="59">
        <v>0.0</v>
      </c>
      <c r="V31" s="59">
        <v>50.0</v>
      </c>
      <c r="W31" s="59">
        <v>0.0</v>
      </c>
      <c r="X31" s="59" t="s">
        <v>35</v>
      </c>
      <c r="Y31" s="56"/>
      <c r="Z31" s="59">
        <v>0.0</v>
      </c>
      <c r="AA31" s="59">
        <v>0.0</v>
      </c>
      <c r="AB31" s="59" t="s">
        <v>16</v>
      </c>
      <c r="AC31" s="59">
        <v>0.0</v>
      </c>
      <c r="AD31" s="59">
        <v>0.0</v>
      </c>
      <c r="AE31" s="55">
        <v>43031.0</v>
      </c>
      <c r="AF31" s="59">
        <v>0.0</v>
      </c>
      <c r="AG31" s="59" t="s">
        <v>52</v>
      </c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</row>
    <row r="32" ht="15.75" customHeight="1">
      <c r="A32" s="4"/>
      <c r="B32" s="59" t="s">
        <v>18</v>
      </c>
      <c r="C32" s="59" t="s">
        <v>32</v>
      </c>
      <c r="D32" s="59" t="s">
        <v>33</v>
      </c>
      <c r="E32" s="59">
        <v>1220.0</v>
      </c>
      <c r="F32" s="59">
        <v>0.0</v>
      </c>
      <c r="G32" s="59">
        <v>0.0</v>
      </c>
      <c r="H32" s="59" t="s">
        <v>34</v>
      </c>
      <c r="I32" s="59">
        <v>0.0</v>
      </c>
      <c r="J32" s="59">
        <v>30.0</v>
      </c>
      <c r="K32" s="59" t="s">
        <v>35</v>
      </c>
      <c r="L32" s="59"/>
      <c r="M32" s="56"/>
      <c r="N32" s="59" t="s">
        <v>36</v>
      </c>
      <c r="O32" s="59">
        <v>1.0</v>
      </c>
      <c r="P32" s="65"/>
      <c r="Q32" s="64"/>
      <c r="R32" s="59">
        <v>0.0</v>
      </c>
      <c r="S32" s="59">
        <v>0.0</v>
      </c>
      <c r="T32" s="59">
        <v>0.0</v>
      </c>
      <c r="U32" s="59">
        <v>0.0</v>
      </c>
      <c r="V32" s="59">
        <v>50.0</v>
      </c>
      <c r="W32" s="59">
        <v>0.0</v>
      </c>
      <c r="X32" s="59" t="s">
        <v>35</v>
      </c>
      <c r="Y32" s="56"/>
      <c r="Z32" s="59">
        <v>0.0</v>
      </c>
      <c r="AA32" s="59">
        <v>0.0</v>
      </c>
      <c r="AB32" s="59" t="s">
        <v>16</v>
      </c>
      <c r="AC32" s="59">
        <v>0.0</v>
      </c>
      <c r="AD32" s="59">
        <v>30.0</v>
      </c>
      <c r="AE32" s="55">
        <v>43031.0</v>
      </c>
      <c r="AF32" s="59">
        <v>0.0</v>
      </c>
      <c r="AG32" s="59" t="s">
        <v>32</v>
      </c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</row>
    <row r="33" ht="15.75" customHeight="1">
      <c r="A33" s="4"/>
      <c r="B33" s="59" t="s">
        <v>18</v>
      </c>
      <c r="C33" s="59" t="s">
        <v>32</v>
      </c>
      <c r="D33" s="59" t="s">
        <v>38</v>
      </c>
      <c r="E33" s="59">
        <v>0.0</v>
      </c>
      <c r="F33" s="59">
        <v>0.0</v>
      </c>
      <c r="G33" s="59">
        <v>0.0</v>
      </c>
      <c r="H33" s="59" t="s">
        <v>34</v>
      </c>
      <c r="I33" s="59">
        <v>0.0</v>
      </c>
      <c r="J33" s="59">
        <v>0.0</v>
      </c>
      <c r="K33" s="59" t="s">
        <v>35</v>
      </c>
      <c r="L33" s="59"/>
      <c r="M33" s="56"/>
      <c r="N33" s="59" t="s">
        <v>36</v>
      </c>
      <c r="O33" s="59">
        <v>1.0</v>
      </c>
      <c r="P33" s="65"/>
      <c r="Q33" s="64"/>
      <c r="R33" s="59">
        <v>0.0</v>
      </c>
      <c r="S33" s="59">
        <v>0.0</v>
      </c>
      <c r="T33" s="59">
        <v>0.0</v>
      </c>
      <c r="U33" s="59">
        <v>0.0</v>
      </c>
      <c r="V33" s="59">
        <v>50.0</v>
      </c>
      <c r="W33" s="59">
        <v>0.0</v>
      </c>
      <c r="X33" s="59" t="s">
        <v>35</v>
      </c>
      <c r="Y33" s="56"/>
      <c r="Z33" s="59">
        <v>0.0</v>
      </c>
      <c r="AA33" s="59">
        <v>0.0</v>
      </c>
      <c r="AB33" s="59" t="s">
        <v>16</v>
      </c>
      <c r="AC33" s="59">
        <v>0.0</v>
      </c>
      <c r="AD33" s="59">
        <v>0.0</v>
      </c>
      <c r="AE33" s="55">
        <v>43031.0</v>
      </c>
      <c r="AF33" s="59">
        <v>0.0</v>
      </c>
      <c r="AG33" s="59" t="s">
        <v>32</v>
      </c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8" width="12.63"/>
    <col customWidth="1" min="9" max="9" width="15.88"/>
    <col customWidth="1" min="10" max="11" width="15.25"/>
    <col customWidth="1" min="12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40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30" t="str">
        <f>IFERROR(__xludf.DUMMYFUNCTION("""COMPUTED_VALUE"""),"Modify Date")</f>
        <v>Modify Date</v>
      </c>
      <c r="D5" s="30" t="str">
        <f>IFERROR(__xludf.DUMMYFUNCTION("""COMPUTED_VALUE"""),"Entry Date")</f>
        <v>Entry Date</v>
      </c>
      <c r="E5" s="30" t="str">
        <f>IFERROR(__xludf.DUMMYFUNCTION("""COMPUTED_VALUE"""),"DR")</f>
        <v>DR</v>
      </c>
      <c r="F5" s="30" t="str">
        <f>IFERROR(__xludf.DUMMYFUNCTION("""COMPUTED_VALUE"""),"CR")</f>
        <v>CR</v>
      </c>
      <c r="G5" s="30" t="str">
        <f>IFERROR(__xludf.DUMMYFUNCTION("""COMPUTED_VALUE"""),"Fx Rate")</f>
        <v>Fx Rate</v>
      </c>
      <c r="H5" s="30" t="str">
        <f>IFERROR(__xludf.DUMMYFUNCTION("""COMPUTED_VALUE"""),"FX Conversion Method Operator")</f>
        <v>FX Conversion Method Operator</v>
      </c>
      <c r="I5" s="30" t="str">
        <f>IFERROR(__xludf.DUMMYFUNCTION("""COMPUTED_VALUE"""),"Account Side")</f>
        <v>Account Side</v>
      </c>
      <c r="J5" s="30" t="str">
        <f>IFERROR(__xludf.DUMMYFUNCTION("""COMPUTED_VALUE"""),"TransactionSource")</f>
        <v>TransactionSource</v>
      </c>
      <c r="K5" s="30" t="str">
        <f>IFERROR(__xludf.DUMMYFUNCTION("""COMPUTED_VALUE"""),"Currency")</f>
        <v>Currency</v>
      </c>
      <c r="L5" s="30" t="str">
        <f>IFERROR(__xludf.DUMMYFUNCTION("""COMPUTED_VALUE"""),"Base Currency")</f>
        <v>Base Currency</v>
      </c>
      <c r="M5" s="30" t="str">
        <f>IFERROR(__xludf.DUMMYFUNCTION("""COMPUTED_VALUE"""),"Symbol")</f>
        <v>Symbol</v>
      </c>
      <c r="N5" s="30" t="str">
        <f>IFERROR(__xludf.DUMMYFUNCTION("""COMPUTED_VALUE"""),"Description")</f>
        <v>Description</v>
      </c>
      <c r="O5" s="30" t="str">
        <f>IFERROR(__xludf.DUMMYFUNCTION("""COMPUTED_VALUE"""),"DR (Base)")</f>
        <v>DR (Base)</v>
      </c>
      <c r="P5" s="30" t="str">
        <f>IFERROR(__xludf.DUMMYFUNCTION("""COMPUTED_VALUE"""),"CR (Base)")</f>
        <v>CR (Base)</v>
      </c>
      <c r="Q5" s="30" t="str">
        <f>IFERROR(__xludf.DUMMYFUNCTION("""COMPUTED_VALUE"""),"Cash Sub-Account")</f>
        <v>Cash Sub-Account</v>
      </c>
      <c r="R5" s="30" t="str">
        <f>IFERROR(__xludf.DUMMYFUNCTION("""COMPUTED_VALUE"""),"Account")</f>
        <v>Account</v>
      </c>
      <c r="S5" s="30" t="str">
        <f>IFERROR(__xludf.DUMMYFUNCTION("""COMPUTED_VALUE"""),"TaxLotId")</f>
        <v>TaxLotId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8"/>
      <c r="B6" s="55">
        <v>43024.0</v>
      </c>
      <c r="C6" s="74"/>
      <c r="D6" s="59"/>
      <c r="E6" s="57">
        <v>1975.0</v>
      </c>
      <c r="F6" s="58">
        <v>0.0</v>
      </c>
      <c r="G6" s="59">
        <v>1.0</v>
      </c>
      <c r="H6" s="59" t="s">
        <v>36</v>
      </c>
      <c r="I6" s="59" t="s">
        <v>41</v>
      </c>
      <c r="J6" s="59" t="s">
        <v>32</v>
      </c>
      <c r="K6" s="59" t="s">
        <v>35</v>
      </c>
      <c r="L6" s="59" t="s">
        <v>35</v>
      </c>
      <c r="M6" s="59" t="s">
        <v>16</v>
      </c>
      <c r="O6" s="57">
        <v>1975.0</v>
      </c>
      <c r="P6" s="57">
        <v>0.0</v>
      </c>
      <c r="Q6" s="59" t="s">
        <v>42</v>
      </c>
      <c r="R6" s="59" t="s">
        <v>18</v>
      </c>
    </row>
    <row r="7" ht="15.75" customHeight="1">
      <c r="A7" s="8"/>
      <c r="B7" s="55">
        <v>43024.0</v>
      </c>
      <c r="C7" s="74"/>
      <c r="D7" s="59"/>
      <c r="E7" s="60">
        <v>0.0</v>
      </c>
      <c r="F7" s="57">
        <v>1975.0</v>
      </c>
      <c r="G7" s="59">
        <v>1.0</v>
      </c>
      <c r="H7" s="59" t="s">
        <v>36</v>
      </c>
      <c r="I7" s="59" t="s">
        <v>43</v>
      </c>
      <c r="J7" s="59" t="s">
        <v>32</v>
      </c>
      <c r="K7" s="59" t="s">
        <v>35</v>
      </c>
      <c r="L7" s="59" t="s">
        <v>35</v>
      </c>
      <c r="M7" s="59" t="s">
        <v>16</v>
      </c>
      <c r="O7" s="57">
        <v>0.0</v>
      </c>
      <c r="P7" s="57">
        <v>1975.0</v>
      </c>
      <c r="Q7" s="59" t="s">
        <v>44</v>
      </c>
      <c r="R7" s="59" t="s">
        <v>18</v>
      </c>
    </row>
    <row r="8" ht="15.75" customHeight="1">
      <c r="A8" s="8"/>
      <c r="B8" s="55">
        <v>43024.0</v>
      </c>
      <c r="C8" s="74"/>
      <c r="D8" s="59"/>
      <c r="E8" s="57">
        <v>0.0</v>
      </c>
      <c r="F8" s="58">
        <v>0.0</v>
      </c>
      <c r="G8" s="59">
        <v>1.0</v>
      </c>
      <c r="H8" s="59" t="s">
        <v>36</v>
      </c>
      <c r="I8" s="59" t="s">
        <v>41</v>
      </c>
      <c r="J8" s="59" t="s">
        <v>32</v>
      </c>
      <c r="K8" s="59" t="s">
        <v>35</v>
      </c>
      <c r="L8" s="59" t="s">
        <v>35</v>
      </c>
      <c r="M8" s="59" t="s">
        <v>16</v>
      </c>
      <c r="O8" s="57">
        <v>0.0</v>
      </c>
      <c r="P8" s="57">
        <v>0.0</v>
      </c>
      <c r="Q8" s="59" t="s">
        <v>44</v>
      </c>
      <c r="R8" s="59" t="s">
        <v>18</v>
      </c>
    </row>
    <row r="9" ht="15.75" customHeight="1">
      <c r="A9" s="8"/>
      <c r="B9" s="55">
        <v>43024.0</v>
      </c>
      <c r="C9" s="74"/>
      <c r="D9" s="59"/>
      <c r="E9" s="60">
        <v>0.0</v>
      </c>
      <c r="F9" s="57">
        <v>0.0</v>
      </c>
      <c r="G9" s="59">
        <v>1.0</v>
      </c>
      <c r="H9" s="59" t="s">
        <v>36</v>
      </c>
      <c r="I9" s="59" t="s">
        <v>43</v>
      </c>
      <c r="J9" s="59" t="s">
        <v>32</v>
      </c>
      <c r="K9" s="59" t="s">
        <v>35</v>
      </c>
      <c r="L9" s="59" t="s">
        <v>35</v>
      </c>
      <c r="M9" s="59" t="s">
        <v>16</v>
      </c>
      <c r="O9" s="57">
        <v>0.0</v>
      </c>
      <c r="P9" s="57">
        <v>0.0</v>
      </c>
      <c r="Q9" s="59" t="s">
        <v>45</v>
      </c>
      <c r="R9" s="59" t="s">
        <v>18</v>
      </c>
    </row>
    <row r="10" ht="15.75" customHeight="1">
      <c r="A10" s="8"/>
      <c r="B10" s="55">
        <v>43028.0</v>
      </c>
      <c r="C10" s="74"/>
      <c r="D10" s="59"/>
      <c r="E10" s="57">
        <v>1.74</v>
      </c>
      <c r="F10" s="58">
        <v>0.0</v>
      </c>
      <c r="G10" s="59">
        <v>0.0</v>
      </c>
      <c r="H10" s="59" t="s">
        <v>36</v>
      </c>
      <c r="I10" s="59" t="s">
        <v>41</v>
      </c>
      <c r="J10" s="59" t="s">
        <v>52</v>
      </c>
      <c r="K10" s="59" t="s">
        <v>35</v>
      </c>
      <c r="L10" s="59" t="s">
        <v>35</v>
      </c>
      <c r="M10" s="59" t="s">
        <v>16</v>
      </c>
      <c r="O10" s="57">
        <v>0.0</v>
      </c>
      <c r="P10" s="57">
        <v>0.0</v>
      </c>
      <c r="Q10" s="59" t="s">
        <v>46</v>
      </c>
      <c r="R10" s="59" t="s">
        <v>18</v>
      </c>
    </row>
    <row r="11" ht="15.75" customHeight="1">
      <c r="A11" s="8"/>
      <c r="B11" s="55">
        <v>43028.0</v>
      </c>
      <c r="C11" s="74"/>
      <c r="D11" s="59"/>
      <c r="E11" s="60">
        <v>0.0</v>
      </c>
      <c r="F11" s="57">
        <v>1.74</v>
      </c>
      <c r="G11" s="59">
        <v>0.0</v>
      </c>
      <c r="H11" s="59" t="s">
        <v>36</v>
      </c>
      <c r="I11" s="59" t="s">
        <v>43</v>
      </c>
      <c r="J11" s="59" t="s">
        <v>52</v>
      </c>
      <c r="K11" s="59" t="s">
        <v>35</v>
      </c>
      <c r="L11" s="59" t="s">
        <v>35</v>
      </c>
      <c r="M11" s="59" t="s">
        <v>16</v>
      </c>
      <c r="O11" s="57">
        <v>0.0</v>
      </c>
      <c r="P11" s="57">
        <v>0.0</v>
      </c>
      <c r="Q11" s="59" t="s">
        <v>53</v>
      </c>
      <c r="R11" s="59" t="s">
        <v>18</v>
      </c>
    </row>
    <row r="12" ht="15.75" customHeight="1">
      <c r="A12" s="8"/>
      <c r="B12" s="55">
        <v>43029.0</v>
      </c>
      <c r="C12" s="74"/>
      <c r="D12" s="59"/>
      <c r="E12" s="57">
        <v>1.74</v>
      </c>
      <c r="F12" s="58">
        <v>0.0</v>
      </c>
      <c r="G12" s="59">
        <v>0.0</v>
      </c>
      <c r="H12" s="59" t="s">
        <v>36</v>
      </c>
      <c r="I12" s="59" t="s">
        <v>41</v>
      </c>
      <c r="J12" s="59" t="s">
        <v>52</v>
      </c>
      <c r="K12" s="59" t="s">
        <v>35</v>
      </c>
      <c r="L12" s="59" t="s">
        <v>35</v>
      </c>
      <c r="M12" s="59" t="s">
        <v>16</v>
      </c>
      <c r="O12" s="57">
        <v>0.0</v>
      </c>
      <c r="P12" s="57">
        <v>0.0</v>
      </c>
      <c r="Q12" s="59" t="s">
        <v>46</v>
      </c>
      <c r="R12" s="59" t="s">
        <v>18</v>
      </c>
    </row>
    <row r="13" ht="15.75" customHeight="1">
      <c r="A13" s="8"/>
      <c r="B13" s="55">
        <v>43029.0</v>
      </c>
      <c r="C13" s="74"/>
      <c r="D13" s="59"/>
      <c r="E13" s="60">
        <v>0.0</v>
      </c>
      <c r="F13" s="57">
        <v>1.74</v>
      </c>
      <c r="G13" s="59">
        <v>0.0</v>
      </c>
      <c r="H13" s="59" t="s">
        <v>36</v>
      </c>
      <c r="I13" s="59" t="s">
        <v>43</v>
      </c>
      <c r="J13" s="59" t="s">
        <v>52</v>
      </c>
      <c r="K13" s="59" t="s">
        <v>35</v>
      </c>
      <c r="L13" s="59" t="s">
        <v>35</v>
      </c>
      <c r="M13" s="59" t="s">
        <v>16</v>
      </c>
      <c r="O13" s="57">
        <v>0.0</v>
      </c>
      <c r="P13" s="57">
        <v>0.0</v>
      </c>
      <c r="Q13" s="59" t="s">
        <v>53</v>
      </c>
      <c r="R13" s="59" t="s">
        <v>18</v>
      </c>
    </row>
    <row r="14" ht="15.75" customHeight="1">
      <c r="A14" s="8"/>
      <c r="B14" s="55">
        <v>43030.0</v>
      </c>
      <c r="C14" s="74"/>
      <c r="D14" s="59"/>
      <c r="E14" s="57">
        <v>1.74</v>
      </c>
      <c r="F14" s="58">
        <v>0.0</v>
      </c>
      <c r="G14" s="59">
        <v>0.0</v>
      </c>
      <c r="H14" s="59" t="s">
        <v>36</v>
      </c>
      <c r="I14" s="59" t="s">
        <v>41</v>
      </c>
      <c r="J14" s="59" t="s">
        <v>52</v>
      </c>
      <c r="K14" s="59" t="s">
        <v>35</v>
      </c>
      <c r="L14" s="59" t="s">
        <v>35</v>
      </c>
      <c r="M14" s="59" t="s">
        <v>16</v>
      </c>
      <c r="O14" s="57">
        <v>0.0</v>
      </c>
      <c r="P14" s="57">
        <v>0.0</v>
      </c>
      <c r="Q14" s="59" t="s">
        <v>46</v>
      </c>
      <c r="R14" s="59" t="s">
        <v>18</v>
      </c>
    </row>
    <row r="15" ht="15.75" customHeight="1">
      <c r="A15" s="8"/>
      <c r="B15" s="55">
        <v>43030.0</v>
      </c>
      <c r="C15" s="74"/>
      <c r="D15" s="59"/>
      <c r="E15" s="60">
        <v>0.0</v>
      </c>
      <c r="F15" s="57">
        <v>1.74</v>
      </c>
      <c r="G15" s="59">
        <v>0.0</v>
      </c>
      <c r="H15" s="59" t="s">
        <v>36</v>
      </c>
      <c r="I15" s="59" t="s">
        <v>43</v>
      </c>
      <c r="J15" s="59" t="s">
        <v>52</v>
      </c>
      <c r="K15" s="59" t="s">
        <v>35</v>
      </c>
      <c r="L15" s="59" t="s">
        <v>35</v>
      </c>
      <c r="M15" s="59" t="s">
        <v>16</v>
      </c>
      <c r="O15" s="57">
        <v>0.0</v>
      </c>
      <c r="P15" s="57">
        <v>0.0</v>
      </c>
      <c r="Q15" s="59" t="s">
        <v>53</v>
      </c>
      <c r="R15" s="59" t="s">
        <v>18</v>
      </c>
    </row>
    <row r="16" ht="15.75" customHeight="1">
      <c r="A16" s="8"/>
      <c r="B16" s="55">
        <v>43031.0</v>
      </c>
      <c r="C16" s="74"/>
      <c r="D16" s="59"/>
      <c r="E16" s="57">
        <v>6.94</v>
      </c>
      <c r="F16" s="58">
        <v>0.0</v>
      </c>
      <c r="G16" s="59">
        <v>0.0</v>
      </c>
      <c r="H16" s="59" t="s">
        <v>36</v>
      </c>
      <c r="I16" s="59" t="s">
        <v>41</v>
      </c>
      <c r="J16" s="59" t="s">
        <v>52</v>
      </c>
      <c r="K16" s="59" t="s">
        <v>35</v>
      </c>
      <c r="L16" s="59" t="s">
        <v>35</v>
      </c>
      <c r="M16" s="59" t="s">
        <v>16</v>
      </c>
      <c r="O16" s="57">
        <v>0.0</v>
      </c>
      <c r="P16" s="57">
        <v>0.0</v>
      </c>
      <c r="Q16" s="59" t="s">
        <v>46</v>
      </c>
      <c r="R16" s="59" t="s">
        <v>18</v>
      </c>
    </row>
    <row r="17" ht="15.75" customHeight="1">
      <c r="A17" s="8"/>
      <c r="B17" s="55">
        <v>43031.0</v>
      </c>
      <c r="C17" s="74"/>
      <c r="D17" s="59"/>
      <c r="E17" s="60">
        <v>0.0</v>
      </c>
      <c r="F17" s="57">
        <v>6.94</v>
      </c>
      <c r="G17" s="59">
        <v>0.0</v>
      </c>
      <c r="H17" s="59" t="s">
        <v>36</v>
      </c>
      <c r="I17" s="59" t="s">
        <v>43</v>
      </c>
      <c r="J17" s="59" t="s">
        <v>52</v>
      </c>
      <c r="K17" s="59" t="s">
        <v>35</v>
      </c>
      <c r="L17" s="59" t="s">
        <v>35</v>
      </c>
      <c r="M17" s="59" t="s">
        <v>16</v>
      </c>
      <c r="O17" s="57">
        <v>0.0</v>
      </c>
      <c r="P17" s="57">
        <v>0.0</v>
      </c>
      <c r="Q17" s="59" t="s">
        <v>53</v>
      </c>
      <c r="R17" s="59" t="s">
        <v>18</v>
      </c>
    </row>
    <row r="18" ht="15.75" customHeight="1">
      <c r="A18" s="8"/>
      <c r="B18" s="55">
        <v>43031.0</v>
      </c>
      <c r="C18" s="74"/>
      <c r="D18" s="59"/>
      <c r="E18" s="57">
        <v>30.0</v>
      </c>
      <c r="F18" s="58">
        <v>0.0</v>
      </c>
      <c r="G18" s="59">
        <v>1.0</v>
      </c>
      <c r="H18" s="59" t="s">
        <v>36</v>
      </c>
      <c r="I18" s="59" t="s">
        <v>41</v>
      </c>
      <c r="J18" s="59" t="s">
        <v>32</v>
      </c>
      <c r="K18" s="59" t="s">
        <v>35</v>
      </c>
      <c r="L18" s="59" t="s">
        <v>35</v>
      </c>
      <c r="M18" s="59" t="s">
        <v>16</v>
      </c>
      <c r="O18" s="57">
        <v>30.0</v>
      </c>
      <c r="P18" s="57">
        <v>0.0</v>
      </c>
      <c r="Q18" s="59" t="s">
        <v>42</v>
      </c>
      <c r="R18" s="59" t="s">
        <v>18</v>
      </c>
    </row>
    <row r="19" ht="15.75" customHeight="1">
      <c r="A19" s="8"/>
      <c r="B19" s="55">
        <v>43031.0</v>
      </c>
      <c r="C19" s="74"/>
      <c r="D19" s="59"/>
      <c r="E19" s="60">
        <v>0.0</v>
      </c>
      <c r="F19" s="57">
        <v>30.0</v>
      </c>
      <c r="G19" s="59">
        <v>1.0</v>
      </c>
      <c r="H19" s="59" t="s">
        <v>36</v>
      </c>
      <c r="I19" s="59" t="s">
        <v>43</v>
      </c>
      <c r="J19" s="59" t="s">
        <v>32</v>
      </c>
      <c r="K19" s="59" t="s">
        <v>35</v>
      </c>
      <c r="L19" s="59" t="s">
        <v>35</v>
      </c>
      <c r="M19" s="59" t="s">
        <v>16</v>
      </c>
      <c r="O19" s="57">
        <v>0.0</v>
      </c>
      <c r="P19" s="57">
        <v>30.0</v>
      </c>
      <c r="Q19" s="59" t="s">
        <v>44</v>
      </c>
      <c r="R19" s="59" t="s">
        <v>18</v>
      </c>
    </row>
    <row r="20" ht="15.75" customHeight="1">
      <c r="A20" s="8"/>
      <c r="B20" s="55">
        <v>43031.0</v>
      </c>
      <c r="C20" s="74"/>
      <c r="D20" s="59"/>
      <c r="E20" s="57">
        <v>1250.0</v>
      </c>
      <c r="F20" s="58">
        <v>0.0</v>
      </c>
      <c r="G20" s="59">
        <v>1.0</v>
      </c>
      <c r="H20" s="59" t="s">
        <v>36</v>
      </c>
      <c r="I20" s="59" t="s">
        <v>41</v>
      </c>
      <c r="J20" s="59" t="s">
        <v>32</v>
      </c>
      <c r="K20" s="59" t="s">
        <v>35</v>
      </c>
      <c r="L20" s="59" t="s">
        <v>35</v>
      </c>
      <c r="M20" s="59" t="s">
        <v>16</v>
      </c>
      <c r="O20" s="57">
        <v>1250.0</v>
      </c>
      <c r="P20" s="57">
        <v>0.0</v>
      </c>
      <c r="Q20" s="59" t="s">
        <v>44</v>
      </c>
      <c r="R20" s="59" t="s">
        <v>18</v>
      </c>
    </row>
    <row r="21" ht="15.75" customHeight="1">
      <c r="A21" s="8"/>
      <c r="B21" s="55">
        <v>43031.0</v>
      </c>
      <c r="C21" s="74"/>
      <c r="D21" s="59"/>
      <c r="E21" s="60">
        <v>0.0</v>
      </c>
      <c r="F21" s="57">
        <v>1250.0</v>
      </c>
      <c r="G21" s="59">
        <v>1.0</v>
      </c>
      <c r="H21" s="59" t="s">
        <v>36</v>
      </c>
      <c r="I21" s="59" t="s">
        <v>43</v>
      </c>
      <c r="J21" s="59" t="s">
        <v>32</v>
      </c>
      <c r="K21" s="59" t="s">
        <v>35</v>
      </c>
      <c r="L21" s="59" t="s">
        <v>35</v>
      </c>
      <c r="M21" s="59" t="s">
        <v>16</v>
      </c>
      <c r="O21" s="57">
        <v>0.0</v>
      </c>
      <c r="P21" s="57">
        <v>1250.0</v>
      </c>
      <c r="Q21" s="59" t="s">
        <v>42</v>
      </c>
      <c r="R21" s="59" t="s">
        <v>18</v>
      </c>
    </row>
    <row r="22" ht="15.75" customHeight="1">
      <c r="A22" s="8"/>
      <c r="B22" s="55">
        <v>43031.0</v>
      </c>
      <c r="C22" s="74"/>
      <c r="D22" s="59"/>
      <c r="E22" s="57">
        <v>0.0</v>
      </c>
      <c r="F22" s="58">
        <v>0.0</v>
      </c>
      <c r="G22" s="59">
        <v>1.0</v>
      </c>
      <c r="H22" s="59" t="s">
        <v>36</v>
      </c>
      <c r="I22" s="59" t="s">
        <v>41</v>
      </c>
      <c r="J22" s="59" t="s">
        <v>32</v>
      </c>
      <c r="K22" s="59" t="s">
        <v>35</v>
      </c>
      <c r="L22" s="59" t="s">
        <v>35</v>
      </c>
      <c r="M22" s="59" t="s">
        <v>16</v>
      </c>
      <c r="O22" s="57">
        <v>0.0</v>
      </c>
      <c r="P22" s="57">
        <v>0.0</v>
      </c>
      <c r="Q22" s="59" t="s">
        <v>46</v>
      </c>
      <c r="R22" s="59" t="s">
        <v>18</v>
      </c>
    </row>
    <row r="23" ht="15.75" customHeight="1">
      <c r="A23" s="8"/>
      <c r="B23" s="55">
        <v>43031.0</v>
      </c>
      <c r="C23" s="74"/>
      <c r="D23" s="59"/>
      <c r="E23" s="60">
        <v>0.0</v>
      </c>
      <c r="F23" s="57">
        <v>0.0</v>
      </c>
      <c r="G23" s="59">
        <v>1.0</v>
      </c>
      <c r="H23" s="59" t="s">
        <v>36</v>
      </c>
      <c r="I23" s="59" t="s">
        <v>43</v>
      </c>
      <c r="J23" s="59" t="s">
        <v>32</v>
      </c>
      <c r="K23" s="59" t="s">
        <v>35</v>
      </c>
      <c r="L23" s="59" t="s">
        <v>35</v>
      </c>
      <c r="M23" s="59" t="s">
        <v>16</v>
      </c>
      <c r="O23" s="57">
        <v>0.0</v>
      </c>
      <c r="P23" s="57">
        <v>0.0</v>
      </c>
      <c r="Q23" s="59" t="s">
        <v>44</v>
      </c>
      <c r="R23" s="59" t="s">
        <v>18</v>
      </c>
    </row>
    <row r="24" ht="15.75" customHeight="1">
      <c r="A24" s="8"/>
      <c r="B24" s="56"/>
      <c r="C24" s="74"/>
      <c r="D24" s="59"/>
      <c r="E24" s="57"/>
      <c r="F24" s="58"/>
      <c r="G24" s="59"/>
      <c r="H24" s="59"/>
      <c r="I24" s="59"/>
      <c r="J24" s="59"/>
      <c r="K24" s="59"/>
      <c r="L24" s="59"/>
      <c r="M24" s="59"/>
      <c r="O24" s="57"/>
      <c r="P24" s="57"/>
      <c r="Q24" s="59"/>
      <c r="R24" s="59"/>
    </row>
    <row r="25" ht="15.75" customHeight="1">
      <c r="A25" s="8"/>
      <c r="B25" s="56"/>
      <c r="C25" s="74"/>
      <c r="D25" s="59"/>
      <c r="E25" s="60"/>
      <c r="F25" s="57"/>
      <c r="G25" s="59"/>
      <c r="H25" s="59"/>
      <c r="I25" s="59"/>
      <c r="J25" s="59"/>
      <c r="K25" s="59"/>
      <c r="L25" s="59"/>
      <c r="M25" s="59"/>
      <c r="O25" s="57"/>
      <c r="P25" s="57"/>
      <c r="Q25" s="59"/>
      <c r="R25" s="5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.0"/>
    <col customWidth="1" min="2" max="5" width="12.63"/>
    <col customWidth="1" min="6" max="6" width="29.5"/>
    <col customWidth="1" min="7" max="8" width="12.63"/>
    <col customWidth="1" min="9" max="9" width="15.88"/>
    <col customWidth="1" min="10" max="11" width="15.25"/>
    <col customWidth="1" min="12" max="16" width="12.63"/>
    <col customWidth="1" min="17" max="17" width="25.63"/>
    <col customWidth="1" min="18" max="153" width="12.63"/>
  </cols>
  <sheetData>
    <row r="1" ht="15.75" customHeight="1">
      <c r="A1" s="20"/>
      <c r="B1" s="1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40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5" t="s">
        <v>8</v>
      </c>
      <c r="C3" s="24" t="s">
        <v>27</v>
      </c>
      <c r="D3" s="5" t="s">
        <v>9</v>
      </c>
      <c r="E3" s="24" t="s">
        <v>71</v>
      </c>
      <c r="F3" s="5" t="s">
        <v>14</v>
      </c>
      <c r="G3" s="25" t="s">
        <v>15</v>
      </c>
      <c r="H3" s="5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8" t="str">
        <f>IFERROR(__xludf.DUMMYFUNCTION("""COMPUTED_VALUE"""),"VerifyDividend")</f>
        <v>VerifyDividend</v>
      </c>
      <c r="Q4" s="28" t="str">
        <f>IFERROR(__xludf.DUMMYFUNCTION("""COMPUTED_VALUE"""),"GetOpeningBalanceData")</f>
        <v>GetOpeningBalanceData</v>
      </c>
      <c r="R4" s="28" t="str">
        <f>IFERROR(__xludf.DUMMYFUNCTION("""COMPUTED_VALUE"""),"GetAccountBalance")</f>
        <v>GetAccountBalance</v>
      </c>
      <c r="S4" s="28" t="str">
        <f>IFERROR(__xludf.DUMMYFUNCTION("""COMPUTED_VALUE"""),"SelectNonTradingTransaction")</f>
        <v>SelectNonTradingTransaction</v>
      </c>
      <c r="T4" s="28" t="str">
        <f>IFERROR(__xludf.DUMMYFUNCTION("""COMPUTED_VALUE"""),"SelectNonTradingTranItem")</f>
        <v>SelectNonTradingTranItem</v>
      </c>
      <c r="U4" s="28" t="str">
        <f>IFERROR(__xludf.DUMMYFUNCTION("""COMPUTED_VALUE"""),"DeleteNonTradingTransaction")</f>
        <v>DeleteNonTradingTransaction</v>
      </c>
      <c r="V4" s="28" t="str">
        <f>IFERROR(__xludf.DUMMYFUNCTION("""COMPUTED_VALUE"""),"DeleteNonTradingTranItem")</f>
        <v>DeleteNonTradingTranItem</v>
      </c>
      <c r="W4" s="28" t="str">
        <f>IFERROR(__xludf.DUMMYFUNCTION("""COMPUTED_VALUE"""),"AddNonTradingTransaction")</f>
        <v>AddNonTradingTransaction</v>
      </c>
      <c r="X4" s="28" t="str">
        <f>IFERROR(__xludf.DUMMYFUNCTION("""COMPUTED_VALUE"""),"AddNonTradingTranItem")</f>
        <v>AddNonTradingTranItem</v>
      </c>
      <c r="Y4" s="28" t="str">
        <f>IFERROR(__xludf.DUMMYFUNCTION("""COMPUTED_VALUE"""),"VerifyOpeningBalanceData")</f>
        <v>VerifyOpeningBalanceData</v>
      </c>
      <c r="Z4" s="28" t="str">
        <f>IFERROR(__xludf.DUMMYFUNCTION("""COMPUTED_VALUE"""),"SelectOpeningBalanceTransaction")</f>
        <v>SelectOpeningBalanceTransaction</v>
      </c>
      <c r="AA4" s="28" t="str">
        <f>IFERROR(__xludf.DUMMYFUNCTION("""COMPUTED_VALUE"""),"SelectOpeningBalanceTranItem")</f>
        <v>SelectOpeningBalanceTranItem</v>
      </c>
      <c r="AB4" s="28" t="str">
        <f>IFERROR(__xludf.DUMMYFUNCTION("""COMPUTED_VALUE"""),"EditNonTradingTransaction")</f>
        <v>EditNonTradingTransaction</v>
      </c>
      <c r="AC4" s="28" t="str">
        <f>IFERROR(__xludf.DUMMYFUNCTION("""COMPUTED_VALUE"""),"EditNonTradingTranItem")</f>
        <v>EditNonTradingTranItem</v>
      </c>
      <c r="AD4" s="28" t="str">
        <f>IFERROR(__xludf.DUMMYFUNCTION("""COMPUTED_VALUE"""),"DeleteOpeningBalanceTransaction")</f>
        <v>DeleteOpeningBalanceTransaction</v>
      </c>
      <c r="AE4" s="28" t="str">
        <f>IFERROR(__xludf.DUMMYFUNCTION("""COMPUTED_VALUE"""),"DeleteOpeningBalanceTranItem")</f>
        <v>DeleteOpeningBalanceTranItem</v>
      </c>
      <c r="AF4" s="28" t="str">
        <f>IFERROR(__xludf.DUMMYFUNCTION("""COMPUTED_VALUE"""),"GetDayEndCash")</f>
        <v>GetDayEndCash</v>
      </c>
      <c r="AG4" s="28" t="str">
        <f>IFERROR(__xludf.DUMMYFUNCTION("""COMPUTED_VALUE"""),"VerifyDayEndCash")</f>
        <v>VerifyDayEndCash</v>
      </c>
      <c r="AH4" s="28" t="str">
        <f>IFERROR(__xludf.DUMMYFUNCTION("""COMPUTED_VALUE"""),"RunRevaluation")</f>
        <v>RunRevaluation</v>
      </c>
      <c r="AI4" s="28" t="str">
        <f>IFERROR(__xludf.DUMMYFUNCTION("""COMPUTED_VALUE"""),"CalculateDayEndCash")</f>
        <v>CalculateDayEndCash</v>
      </c>
      <c r="AJ4" s="28" t="str">
        <f>IFERROR(__xludf.DUMMYFUNCTION("""COMPUTED_VALUE"""),"GetCashTransaction")</f>
        <v>GetCashTransaction</v>
      </c>
      <c r="AK4" s="28" t="str">
        <f>IFERROR(__xludf.DUMMYFUNCTION("""COMPUTED_VALUE"""),"SelectCashTransaction")</f>
        <v>SelectCashTransaction</v>
      </c>
      <c r="AL4" s="28" t="str">
        <f>IFERROR(__xludf.DUMMYFUNCTION("""COMPUTED_VALUE"""),"DeleteCashTransaction")</f>
        <v>DeleteCashTransaction</v>
      </c>
      <c r="AM4" s="28" t="str">
        <f>IFERROR(__xludf.DUMMYFUNCTION("""COMPUTED_VALUE"""),"EditCashTransaction")</f>
        <v>EditCashTransaction</v>
      </c>
      <c r="AN4" s="28" t="str">
        <f>IFERROR(__xludf.DUMMYFUNCTION("""COMPUTED_VALUE"""),"AddCashTransaction")</f>
        <v>AddCashTransaction</v>
      </c>
      <c r="AO4" s="28" t="str">
        <f>IFERROR(__xludf.DUMMYFUNCTION("""COMPUTED_VALUE"""),"AddOpeningBalanceTransaction")</f>
        <v>AddOpeningBalanceTransaction</v>
      </c>
      <c r="AP4" s="28" t="str">
        <f>IFERROR(__xludf.DUMMYFUNCTION("""COMPUTED_VALUE"""),"AddOpeningBalanceTranItem")</f>
        <v>AddOpeningBalanceTranItem</v>
      </c>
      <c r="AQ4" s="28" t="str">
        <f>IFERROR(__xludf.DUMMYFUNCTION("""COMPUTED_VALUE"""),"GetDailyCalculationsData")</f>
        <v>GetDailyCalculationsData</v>
      </c>
      <c r="AR4" s="28" t="str">
        <f>IFERROR(__xludf.DUMMYFUNCTION("""COMPUTED_VALUE"""),"CalculateDailyCalculations")</f>
        <v>CalculateDailyCalculations</v>
      </c>
      <c r="AS4" s="28" t="str">
        <f>IFERROR(__xludf.DUMMYFUNCTION("""COMPUTED_VALUE"""),"EditOpeningBalanceTransaction")</f>
        <v>EditOpeningBalanceTransaction</v>
      </c>
      <c r="AT4" s="28" t="str">
        <f>IFERROR(__xludf.DUMMYFUNCTION("""COMPUTED_VALUE"""),"EditOpeningBalanceTranItem")</f>
        <v>EditOpeningBalanceTranItem</v>
      </c>
      <c r="AU4" s="28" t="str">
        <f>IFERROR(__xludf.DUMMYFUNCTION("""COMPUTED_VALUE"""),"VerifyDailyCalTransactions")</f>
        <v>VerifyDailyCalTransactions</v>
      </c>
      <c r="AV4" s="28" t="str">
        <f>IFERROR(__xludf.DUMMYFUNCTION("""COMPUTED_VALUE"""),"CloseGeneralLedger")</f>
        <v>CloseGeneralLedger</v>
      </c>
      <c r="AW4" s="28" t="str">
        <f>IFERROR(__xludf.DUMMYFUNCTION("""COMPUTED_VALUE"""),"VerifyAccountDetails")</f>
        <v>VerifyAccountDetails</v>
      </c>
      <c r="AX4" s="28" t="str">
        <f>IFERROR(__xludf.DUMMYFUNCTION("""COMPUTED_VALUE"""),"SaveTransaction")</f>
        <v>SaveTransaction</v>
      </c>
      <c r="AY4" s="28" t="str">
        <f>IFERROR(__xludf.DUMMYFUNCTION("""COMPUTED_VALUE"""),"VerifyCashTransaction")</f>
        <v>VerifyCashTransaction</v>
      </c>
      <c r="AZ4" s="28" t="str">
        <f>IFERROR(__xludf.DUMMYFUNCTION("""COMPUTED_VALUE"""),"VerifyAccountBalances")</f>
        <v>VerifyAccountBalances</v>
      </c>
      <c r="BA4" s="28" t="str">
        <f>IFERROR(__xludf.DUMMYFUNCTION("""COMPUTED_VALUE"""),"AddMultipleOpeningBalTranItem")</f>
        <v>AddMultipleOpeningBalTranItem</v>
      </c>
      <c r="BB4" s="28" t="str">
        <f>IFERROR(__xludf.DUMMYFUNCTION("""COMPUTED_VALUE"""),"FilterCashTransactionGrid")</f>
        <v>FilterCashTransactionGrid</v>
      </c>
      <c r="BC4" s="28" t="str">
        <f>IFERROR(__xludf.DUMMYFUNCTION("""COMPUTED_VALUE"""),"EditGridCashTransactions")</f>
        <v>EditGridCashTransactions</v>
      </c>
      <c r="BD4" s="28" t="str">
        <f>IFERROR(__xludf.DUMMYFUNCTION("""COMPUTED_VALUE"""),"SaveCashTransaction")</f>
        <v>SaveCashTransaction</v>
      </c>
      <c r="BE4" s="28" t="str">
        <f>IFERROR(__xludf.DUMMYFUNCTION("""COMPUTED_VALUE"""),"RunManualRevaluation")</f>
        <v>RunManualRevaluation</v>
      </c>
      <c r="BF4" s="28" t="str">
        <f>IFERROR(__xludf.DUMMYFUNCTION("""COMPUTED_VALUE"""),"VerifyGLNavLockPopup")</f>
        <v>VerifyGLNavLockPopup</v>
      </c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30" t="str">
        <f>IFERROR(__xludf.DUMMYFUNCTION("""COMPUTED_VALUE"""),"Account")</f>
        <v>Account</v>
      </c>
      <c r="D5" s="30" t="str">
        <f>IFERROR(__xludf.DUMMYFUNCTION("""COMPUTED_VALUE"""),"Symbol")</f>
        <v>Symbol</v>
      </c>
      <c r="E5" s="30" t="str">
        <f>IFERROR(__xludf.DUMMYFUNCTION("""COMPUTED_VALUE"""),"Currency")</f>
        <v>Currency</v>
      </c>
      <c r="F5" s="30" t="str">
        <f>IFERROR(__xludf.DUMMYFUNCTION("""COMPUTED_VALUE"""),"Cash Sub-Account")</f>
        <v>Cash Sub-Account</v>
      </c>
      <c r="G5" s="30" t="str">
        <f>IFERROR(__xludf.DUMMYFUNCTION("""COMPUTED_VALUE"""),"DR")</f>
        <v>DR</v>
      </c>
      <c r="H5" s="30" t="str">
        <f>IFERROR(__xludf.DUMMYFUNCTION("""COMPUTED_VALUE"""),"CR")</f>
        <v>CR</v>
      </c>
      <c r="I5" s="30" t="str">
        <f>IFERROR(__xludf.DUMMYFUNCTION("""COMPUTED_VALUE"""),"Modify Date")</f>
        <v>Modify Date</v>
      </c>
      <c r="J5" s="30" t="str">
        <f>IFERROR(__xludf.DUMMYFUNCTION("""COMPUTED_VALUE"""),"Entry Date")</f>
        <v>Entry Date</v>
      </c>
      <c r="K5" s="30" t="str">
        <f>IFERROR(__xludf.DUMMYFUNCTION("""COMPUTED_VALUE"""),"User")</f>
        <v>User</v>
      </c>
      <c r="L5" s="30" t="str">
        <f>IFERROR(__xludf.DUMMYFUNCTION("""COMPUTED_VALUE"""),"Fx Rate")</f>
        <v>Fx Rate</v>
      </c>
      <c r="M5" s="30" t="str">
        <f>IFERROR(__xludf.DUMMYFUNCTION("""COMPUTED_VALUE"""),"FX Conversion Method Operator")</f>
        <v>FX Conversion Method Operator</v>
      </c>
      <c r="N5" s="30" t="str">
        <f>IFERROR(__xludf.DUMMYFUNCTION("""COMPUTED_VALUE"""),"Account Side")</f>
        <v>Account Side</v>
      </c>
      <c r="O5" s="30" t="str">
        <f>IFERROR(__xludf.DUMMYFUNCTION("""COMPUTED_VALUE"""),"TransactionSource")</f>
        <v>TransactionSource</v>
      </c>
      <c r="P5" s="30" t="str">
        <f>IFERROR(__xludf.DUMMYFUNCTION("""COMPUTED_VALUE"""),"Base Currency")</f>
        <v>Base Currency</v>
      </c>
      <c r="Q5" s="30" t="str">
        <f>IFERROR(__xludf.DUMMYFUNCTION("""COMPUTED_VALUE"""),"Description")</f>
        <v>Description</v>
      </c>
      <c r="R5" s="30" t="str">
        <f>IFERROR(__xludf.DUMMYFUNCTION("""COMPUTED_VALUE"""),"DR (Base)")</f>
        <v>DR (Base)</v>
      </c>
      <c r="S5" s="30" t="str">
        <f>IFERROR(__xludf.DUMMYFUNCTION("""COMPUTED_VALUE"""),"CR (Base)")</f>
        <v>CR (Base)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</row>
    <row r="6" ht="15.75" customHeight="1">
      <c r="A6" s="4"/>
      <c r="B6" s="55">
        <v>43024.0</v>
      </c>
      <c r="C6" s="59" t="s">
        <v>18</v>
      </c>
      <c r="D6" s="59" t="s">
        <v>16</v>
      </c>
      <c r="E6" s="59" t="s">
        <v>35</v>
      </c>
      <c r="F6" s="59" t="s">
        <v>72</v>
      </c>
      <c r="G6" s="57">
        <v>150.0</v>
      </c>
      <c r="H6" s="58">
        <v>0.0</v>
      </c>
      <c r="I6" s="64"/>
      <c r="J6" s="64"/>
      <c r="K6" s="59"/>
      <c r="L6" s="59">
        <v>1.0</v>
      </c>
      <c r="M6" s="59" t="s">
        <v>36</v>
      </c>
      <c r="N6" s="59"/>
      <c r="O6" s="59" t="s">
        <v>66</v>
      </c>
      <c r="P6" s="59" t="s">
        <v>35</v>
      </c>
      <c r="Q6" s="59" t="s">
        <v>73</v>
      </c>
      <c r="R6" s="57">
        <v>150.0</v>
      </c>
      <c r="S6" s="57">
        <v>0.0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4"/>
      <c r="B7" s="55">
        <v>43024.0</v>
      </c>
      <c r="C7" s="59" t="s">
        <v>18</v>
      </c>
      <c r="D7" s="59" t="s">
        <v>16</v>
      </c>
      <c r="E7" s="59" t="s">
        <v>35</v>
      </c>
      <c r="F7" s="59" t="s">
        <v>74</v>
      </c>
      <c r="G7" s="60">
        <v>0.0</v>
      </c>
      <c r="H7" s="57">
        <v>150.0</v>
      </c>
      <c r="I7" s="64"/>
      <c r="J7" s="64"/>
      <c r="K7" s="59"/>
      <c r="L7" s="59">
        <v>1.0</v>
      </c>
      <c r="M7" s="59" t="s">
        <v>36</v>
      </c>
      <c r="N7" s="59"/>
      <c r="O7" s="59" t="s">
        <v>66</v>
      </c>
      <c r="P7" s="59" t="s">
        <v>35</v>
      </c>
      <c r="Q7" s="59" t="s">
        <v>73</v>
      </c>
      <c r="R7" s="57">
        <v>0.0</v>
      </c>
      <c r="S7" s="57">
        <v>150.0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4"/>
      <c r="B8" s="55">
        <v>43025.0</v>
      </c>
      <c r="C8" s="59" t="s">
        <v>18</v>
      </c>
      <c r="D8" s="59" t="s">
        <v>16</v>
      </c>
      <c r="E8" s="59" t="s">
        <v>35</v>
      </c>
      <c r="F8" s="59" t="s">
        <v>74</v>
      </c>
      <c r="G8" s="57">
        <v>150.0</v>
      </c>
      <c r="H8" s="58">
        <v>0.0</v>
      </c>
      <c r="I8" s="64"/>
      <c r="J8" s="64"/>
      <c r="K8" s="59"/>
      <c r="L8" s="59">
        <v>1.0</v>
      </c>
      <c r="M8" s="59" t="s">
        <v>36</v>
      </c>
      <c r="N8" s="59"/>
      <c r="O8" s="59" t="s">
        <v>66</v>
      </c>
      <c r="P8" s="59" t="s">
        <v>35</v>
      </c>
      <c r="Q8" s="59" t="s">
        <v>75</v>
      </c>
      <c r="R8" s="57">
        <v>150.0</v>
      </c>
      <c r="S8" s="57">
        <v>0.0</v>
      </c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</row>
    <row r="9" ht="15.75" customHeight="1">
      <c r="A9" s="4"/>
      <c r="B9" s="55">
        <v>43025.0</v>
      </c>
      <c r="C9" s="59" t="s">
        <v>18</v>
      </c>
      <c r="D9" s="59" t="s">
        <v>16</v>
      </c>
      <c r="E9" s="59" t="s">
        <v>35</v>
      </c>
      <c r="F9" s="59" t="s">
        <v>72</v>
      </c>
      <c r="G9" s="60">
        <v>0.0</v>
      </c>
      <c r="H9" s="57">
        <v>150.0</v>
      </c>
      <c r="I9" s="64"/>
      <c r="J9" s="64"/>
      <c r="K9" s="59"/>
      <c r="L9" s="59">
        <v>1.0</v>
      </c>
      <c r="M9" s="59" t="s">
        <v>36</v>
      </c>
      <c r="N9" s="59"/>
      <c r="O9" s="59" t="s">
        <v>66</v>
      </c>
      <c r="P9" s="59" t="s">
        <v>35</v>
      </c>
      <c r="Q9" s="59" t="s">
        <v>75</v>
      </c>
      <c r="R9" s="57">
        <v>0.0</v>
      </c>
      <c r="S9" s="57">
        <v>150.0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</row>
    <row r="10" ht="15.75" customHeight="1">
      <c r="A10" s="4"/>
      <c r="B10" s="55">
        <v>43025.0</v>
      </c>
      <c r="C10" s="59" t="s">
        <v>18</v>
      </c>
      <c r="D10" s="59" t="s">
        <v>16</v>
      </c>
      <c r="E10" s="59" t="s">
        <v>35</v>
      </c>
      <c r="F10" s="59" t="s">
        <v>74</v>
      </c>
      <c r="G10" s="57">
        <v>1975.0</v>
      </c>
      <c r="H10" s="58">
        <v>0.0</v>
      </c>
      <c r="I10" s="64"/>
      <c r="J10" s="64"/>
      <c r="K10" s="59"/>
      <c r="L10" s="59">
        <v>1.0</v>
      </c>
      <c r="M10" s="59" t="s">
        <v>36</v>
      </c>
      <c r="N10" s="59"/>
      <c r="O10" s="59" t="s">
        <v>66</v>
      </c>
      <c r="P10" s="59" t="s">
        <v>35</v>
      </c>
      <c r="Q10" s="59" t="s">
        <v>73</v>
      </c>
      <c r="R10" s="57">
        <v>1975.0</v>
      </c>
      <c r="S10" s="57">
        <v>0.0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</row>
    <row r="11" ht="15.75" customHeight="1">
      <c r="A11" s="4"/>
      <c r="B11" s="55">
        <v>43025.0</v>
      </c>
      <c r="C11" s="59" t="s">
        <v>18</v>
      </c>
      <c r="D11" s="59" t="s">
        <v>16</v>
      </c>
      <c r="E11" s="59" t="s">
        <v>35</v>
      </c>
      <c r="F11" s="59" t="s">
        <v>72</v>
      </c>
      <c r="G11" s="60">
        <v>0.0</v>
      </c>
      <c r="H11" s="57">
        <v>1975.0</v>
      </c>
      <c r="I11" s="64"/>
      <c r="J11" s="64"/>
      <c r="K11" s="59"/>
      <c r="L11" s="59">
        <v>1.0</v>
      </c>
      <c r="M11" s="59" t="s">
        <v>36</v>
      </c>
      <c r="N11" s="59"/>
      <c r="O11" s="59" t="s">
        <v>66</v>
      </c>
      <c r="P11" s="59" t="s">
        <v>35</v>
      </c>
      <c r="Q11" s="59" t="s">
        <v>73</v>
      </c>
      <c r="R11" s="57">
        <v>0.0</v>
      </c>
      <c r="S11" s="57">
        <v>1975.0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ht="15.75" customHeight="1">
      <c r="A12" s="4"/>
      <c r="B12" s="55">
        <v>43026.0</v>
      </c>
      <c r="C12" s="59" t="s">
        <v>18</v>
      </c>
      <c r="D12" s="59" t="s">
        <v>16</v>
      </c>
      <c r="E12" s="59" t="s">
        <v>35</v>
      </c>
      <c r="F12" s="59" t="s">
        <v>72</v>
      </c>
      <c r="G12" s="57">
        <v>1975.0</v>
      </c>
      <c r="H12" s="58">
        <v>0.0</v>
      </c>
      <c r="I12" s="64"/>
      <c r="J12" s="64"/>
      <c r="K12" s="59"/>
      <c r="L12" s="59">
        <v>1.0</v>
      </c>
      <c r="M12" s="59" t="s">
        <v>36</v>
      </c>
      <c r="N12" s="59"/>
      <c r="O12" s="59" t="s">
        <v>66</v>
      </c>
      <c r="P12" s="59" t="s">
        <v>35</v>
      </c>
      <c r="Q12" s="59" t="s">
        <v>75</v>
      </c>
      <c r="R12" s="57">
        <v>1975.0</v>
      </c>
      <c r="S12" s="57">
        <v>0.0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</row>
    <row r="13" ht="15.75" customHeight="1">
      <c r="A13" s="4"/>
      <c r="B13" s="55">
        <v>43026.0</v>
      </c>
      <c r="C13" s="59" t="s">
        <v>18</v>
      </c>
      <c r="D13" s="59" t="s">
        <v>16</v>
      </c>
      <c r="E13" s="59" t="s">
        <v>35</v>
      </c>
      <c r="F13" s="59" t="s">
        <v>74</v>
      </c>
      <c r="G13" s="60">
        <v>0.0</v>
      </c>
      <c r="H13" s="57">
        <v>1975.0</v>
      </c>
      <c r="I13" s="64"/>
      <c r="J13" s="64"/>
      <c r="K13" s="59"/>
      <c r="L13" s="59">
        <v>1.0</v>
      </c>
      <c r="M13" s="59" t="s">
        <v>36</v>
      </c>
      <c r="N13" s="59"/>
      <c r="O13" s="59" t="s">
        <v>66</v>
      </c>
      <c r="P13" s="59" t="s">
        <v>35</v>
      </c>
      <c r="Q13" s="59" t="s">
        <v>75</v>
      </c>
      <c r="R13" s="57">
        <v>0.0</v>
      </c>
      <c r="S13" s="57">
        <v>1975.0</v>
      </c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</row>
    <row r="14" ht="15.75" customHeight="1">
      <c r="A14" s="4"/>
      <c r="B14" s="55">
        <v>43026.0</v>
      </c>
      <c r="C14" s="59" t="s">
        <v>18</v>
      </c>
      <c r="D14" s="59" t="s">
        <v>16</v>
      </c>
      <c r="E14" s="59" t="s">
        <v>35</v>
      </c>
      <c r="F14" s="59" t="s">
        <v>74</v>
      </c>
      <c r="G14" s="57">
        <v>1975.0</v>
      </c>
      <c r="H14" s="58">
        <v>0.0</v>
      </c>
      <c r="I14" s="64"/>
      <c r="J14" s="64"/>
      <c r="K14" s="59"/>
      <c r="L14" s="59">
        <v>1.0</v>
      </c>
      <c r="M14" s="59" t="s">
        <v>36</v>
      </c>
      <c r="N14" s="59"/>
      <c r="O14" s="59" t="s">
        <v>66</v>
      </c>
      <c r="P14" s="59" t="s">
        <v>35</v>
      </c>
      <c r="Q14" s="59" t="s">
        <v>73</v>
      </c>
      <c r="R14" s="57">
        <v>1975.0</v>
      </c>
      <c r="S14" s="57">
        <v>0.0</v>
      </c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</row>
    <row r="15" ht="15.75" customHeight="1">
      <c r="A15" s="4"/>
      <c r="B15" s="55">
        <v>43026.0</v>
      </c>
      <c r="C15" s="59" t="s">
        <v>18</v>
      </c>
      <c r="D15" s="59" t="s">
        <v>16</v>
      </c>
      <c r="E15" s="59" t="s">
        <v>35</v>
      </c>
      <c r="F15" s="59" t="s">
        <v>72</v>
      </c>
      <c r="G15" s="60">
        <v>0.0</v>
      </c>
      <c r="H15" s="57">
        <v>1975.0</v>
      </c>
      <c r="I15" s="64"/>
      <c r="J15" s="64"/>
      <c r="K15" s="59"/>
      <c r="L15" s="59">
        <v>1.0</v>
      </c>
      <c r="M15" s="59" t="s">
        <v>36</v>
      </c>
      <c r="N15" s="59"/>
      <c r="O15" s="59" t="s">
        <v>66</v>
      </c>
      <c r="P15" s="59" t="s">
        <v>35</v>
      </c>
      <c r="Q15" s="59" t="s">
        <v>73</v>
      </c>
      <c r="R15" s="57">
        <v>0.0</v>
      </c>
      <c r="S15" s="57">
        <v>1975.0</v>
      </c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</row>
    <row r="16" ht="15.75" customHeight="1">
      <c r="A16" s="4"/>
      <c r="B16" s="56">
        <v>43027.0</v>
      </c>
      <c r="C16" s="59" t="s">
        <v>18</v>
      </c>
      <c r="D16" s="59" t="s">
        <v>16</v>
      </c>
      <c r="E16" s="59" t="s">
        <v>35</v>
      </c>
      <c r="F16" s="59" t="s">
        <v>72</v>
      </c>
      <c r="G16" s="57">
        <v>1975.0</v>
      </c>
      <c r="H16" s="58">
        <v>0.0</v>
      </c>
      <c r="I16" s="64"/>
      <c r="J16" s="64"/>
      <c r="K16" s="59"/>
      <c r="L16" s="59">
        <v>1.0</v>
      </c>
      <c r="M16" s="59" t="s">
        <v>36</v>
      </c>
      <c r="N16" s="59"/>
      <c r="O16" s="59" t="s">
        <v>66</v>
      </c>
      <c r="P16" s="59" t="s">
        <v>35</v>
      </c>
      <c r="Q16" s="59" t="s">
        <v>75</v>
      </c>
      <c r="R16" s="57">
        <v>1975.0</v>
      </c>
      <c r="S16" s="57">
        <v>0.0</v>
      </c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</row>
    <row r="17" ht="15.75" customHeight="1">
      <c r="A17" s="4"/>
      <c r="B17" s="56">
        <v>43027.0</v>
      </c>
      <c r="C17" s="59" t="s">
        <v>18</v>
      </c>
      <c r="D17" s="59" t="s">
        <v>16</v>
      </c>
      <c r="E17" s="59" t="s">
        <v>35</v>
      </c>
      <c r="F17" s="59" t="s">
        <v>74</v>
      </c>
      <c r="G17" s="60">
        <v>0.0</v>
      </c>
      <c r="H17" s="57">
        <v>1975.0</v>
      </c>
      <c r="I17" s="64"/>
      <c r="J17" s="64"/>
      <c r="K17" s="59"/>
      <c r="L17" s="59">
        <v>1.0</v>
      </c>
      <c r="M17" s="59" t="s">
        <v>36</v>
      </c>
      <c r="N17" s="59"/>
      <c r="O17" s="59" t="s">
        <v>66</v>
      </c>
      <c r="P17" s="59" t="s">
        <v>35</v>
      </c>
      <c r="Q17" s="59" t="s">
        <v>75</v>
      </c>
      <c r="R17" s="57">
        <v>0.0</v>
      </c>
      <c r="S17" s="57">
        <v>1975.0</v>
      </c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</row>
    <row r="18" ht="15.75" customHeight="1">
      <c r="A18" s="4"/>
      <c r="B18" s="56">
        <v>43027.0</v>
      </c>
      <c r="C18" s="59" t="s">
        <v>18</v>
      </c>
      <c r="D18" s="59" t="s">
        <v>16</v>
      </c>
      <c r="E18" s="59" t="s">
        <v>35</v>
      </c>
      <c r="F18" s="59" t="s">
        <v>74</v>
      </c>
      <c r="G18" s="57">
        <v>1975.0</v>
      </c>
      <c r="H18" s="58">
        <v>0.0</v>
      </c>
      <c r="I18" s="64"/>
      <c r="J18" s="64"/>
      <c r="K18" s="59"/>
      <c r="L18" s="59">
        <v>1.0</v>
      </c>
      <c r="M18" s="59" t="s">
        <v>36</v>
      </c>
      <c r="N18" s="59"/>
      <c r="O18" s="59" t="s">
        <v>66</v>
      </c>
      <c r="P18" s="59" t="s">
        <v>35</v>
      </c>
      <c r="Q18" s="59" t="s">
        <v>73</v>
      </c>
      <c r="R18" s="57">
        <v>1975.0</v>
      </c>
      <c r="S18" s="57">
        <v>0.0</v>
      </c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</row>
    <row r="19" ht="15.75" customHeight="1">
      <c r="A19" s="4"/>
      <c r="B19" s="56">
        <v>43027.0</v>
      </c>
      <c r="C19" s="59" t="s">
        <v>18</v>
      </c>
      <c r="D19" s="59" t="s">
        <v>16</v>
      </c>
      <c r="E19" s="59" t="s">
        <v>35</v>
      </c>
      <c r="F19" s="59" t="s">
        <v>72</v>
      </c>
      <c r="G19" s="60">
        <v>0.0</v>
      </c>
      <c r="H19" s="57">
        <v>1975.0</v>
      </c>
      <c r="I19" s="64"/>
      <c r="J19" s="64"/>
      <c r="K19" s="59"/>
      <c r="L19" s="59">
        <v>1.0</v>
      </c>
      <c r="M19" s="59" t="s">
        <v>36</v>
      </c>
      <c r="N19" s="59"/>
      <c r="O19" s="59" t="s">
        <v>66</v>
      </c>
      <c r="P19" s="59" t="s">
        <v>35</v>
      </c>
      <c r="Q19" s="59" t="s">
        <v>73</v>
      </c>
      <c r="R19" s="57">
        <v>0.0</v>
      </c>
      <c r="S19" s="57">
        <v>1975.0</v>
      </c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</row>
    <row r="20" ht="15.75" customHeight="1">
      <c r="A20" s="4"/>
      <c r="B20" s="56">
        <v>43028.0</v>
      </c>
      <c r="C20" s="59" t="s">
        <v>18</v>
      </c>
      <c r="D20" s="59" t="s">
        <v>16</v>
      </c>
      <c r="E20" s="59" t="s">
        <v>35</v>
      </c>
      <c r="F20" s="59" t="s">
        <v>72</v>
      </c>
      <c r="G20" s="57">
        <v>1975.0</v>
      </c>
      <c r="H20" s="58">
        <v>0.0</v>
      </c>
      <c r="I20" s="64"/>
      <c r="J20" s="64"/>
      <c r="K20" s="59"/>
      <c r="L20" s="59">
        <v>1.0</v>
      </c>
      <c r="M20" s="59" t="s">
        <v>36</v>
      </c>
      <c r="N20" s="59"/>
      <c r="O20" s="59" t="s">
        <v>66</v>
      </c>
      <c r="P20" s="59" t="s">
        <v>35</v>
      </c>
      <c r="Q20" s="59" t="s">
        <v>75</v>
      </c>
      <c r="R20" s="57">
        <v>1975.0</v>
      </c>
      <c r="S20" s="57">
        <v>0.0</v>
      </c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</row>
    <row r="21" ht="15.75" customHeight="1">
      <c r="A21" s="4"/>
      <c r="B21" s="56">
        <v>43028.0</v>
      </c>
      <c r="C21" s="59" t="s">
        <v>18</v>
      </c>
      <c r="D21" s="59" t="s">
        <v>16</v>
      </c>
      <c r="E21" s="59" t="s">
        <v>35</v>
      </c>
      <c r="F21" s="59" t="s">
        <v>74</v>
      </c>
      <c r="G21" s="60">
        <v>0.0</v>
      </c>
      <c r="H21" s="57">
        <v>1975.0</v>
      </c>
      <c r="I21" s="64"/>
      <c r="J21" s="64"/>
      <c r="K21" s="59"/>
      <c r="L21" s="59">
        <v>1.0</v>
      </c>
      <c r="M21" s="59" t="s">
        <v>36</v>
      </c>
      <c r="N21" s="59"/>
      <c r="O21" s="59" t="s">
        <v>66</v>
      </c>
      <c r="P21" s="59" t="s">
        <v>35</v>
      </c>
      <c r="Q21" s="59" t="s">
        <v>75</v>
      </c>
      <c r="R21" s="57">
        <v>0.0</v>
      </c>
      <c r="S21" s="57">
        <v>1975.0</v>
      </c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</row>
    <row r="22" ht="15.75" customHeight="1">
      <c r="A22" s="4"/>
      <c r="B22" s="56">
        <v>43028.0</v>
      </c>
      <c r="C22" s="59" t="s">
        <v>18</v>
      </c>
      <c r="D22" s="59" t="s">
        <v>16</v>
      </c>
      <c r="E22" s="59" t="s">
        <v>35</v>
      </c>
      <c r="F22" s="59" t="s">
        <v>74</v>
      </c>
      <c r="G22" s="57">
        <v>1975.0</v>
      </c>
      <c r="H22" s="58">
        <v>0.0</v>
      </c>
      <c r="I22" s="64"/>
      <c r="J22" s="64"/>
      <c r="K22" s="59"/>
      <c r="L22" s="59">
        <v>1.0</v>
      </c>
      <c r="M22" s="59" t="s">
        <v>36</v>
      </c>
      <c r="N22" s="59"/>
      <c r="O22" s="59" t="s">
        <v>66</v>
      </c>
      <c r="P22" s="59" t="s">
        <v>35</v>
      </c>
      <c r="Q22" s="59" t="s">
        <v>73</v>
      </c>
      <c r="R22" s="57">
        <v>1975.0</v>
      </c>
      <c r="S22" s="57">
        <v>0.0</v>
      </c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</row>
    <row r="23" ht="15.75" customHeight="1">
      <c r="A23" s="4"/>
      <c r="B23" s="56">
        <v>43028.0</v>
      </c>
      <c r="C23" s="59" t="s">
        <v>18</v>
      </c>
      <c r="D23" s="59" t="s">
        <v>16</v>
      </c>
      <c r="E23" s="59" t="s">
        <v>35</v>
      </c>
      <c r="F23" s="59" t="s">
        <v>72</v>
      </c>
      <c r="G23" s="60">
        <v>0.0</v>
      </c>
      <c r="H23" s="57">
        <v>1975.0</v>
      </c>
      <c r="I23" s="64"/>
      <c r="J23" s="64"/>
      <c r="K23" s="59"/>
      <c r="L23" s="59">
        <v>1.0</v>
      </c>
      <c r="M23" s="59" t="s">
        <v>36</v>
      </c>
      <c r="N23" s="59"/>
      <c r="O23" s="59" t="s">
        <v>66</v>
      </c>
      <c r="P23" s="59" t="s">
        <v>35</v>
      </c>
      <c r="Q23" s="59" t="s">
        <v>73</v>
      </c>
      <c r="R23" s="57">
        <v>0.0</v>
      </c>
      <c r="S23" s="57">
        <v>1975.0</v>
      </c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</row>
    <row r="24" ht="15.75" customHeight="1">
      <c r="A24" s="4"/>
      <c r="B24" s="56">
        <v>43029.0</v>
      </c>
      <c r="C24" s="59" t="s">
        <v>18</v>
      </c>
      <c r="D24" s="59" t="s">
        <v>16</v>
      </c>
      <c r="E24" s="59" t="s">
        <v>35</v>
      </c>
      <c r="F24" s="59" t="s">
        <v>72</v>
      </c>
      <c r="G24" s="57">
        <v>1975.0</v>
      </c>
      <c r="H24" s="58">
        <v>0.0</v>
      </c>
      <c r="I24" s="64"/>
      <c r="J24" s="64"/>
      <c r="K24" s="59"/>
      <c r="L24" s="59">
        <v>1.0</v>
      </c>
      <c r="M24" s="59" t="s">
        <v>36</v>
      </c>
      <c r="N24" s="59"/>
      <c r="O24" s="59" t="s">
        <v>66</v>
      </c>
      <c r="P24" s="59" t="s">
        <v>35</v>
      </c>
      <c r="Q24" s="59" t="s">
        <v>75</v>
      </c>
      <c r="R24" s="57">
        <v>1975.0</v>
      </c>
      <c r="S24" s="57">
        <v>0.0</v>
      </c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</row>
    <row r="25" ht="15.75" customHeight="1">
      <c r="A25" s="4"/>
      <c r="B25" s="56">
        <v>43029.0</v>
      </c>
      <c r="C25" s="59" t="s">
        <v>18</v>
      </c>
      <c r="D25" s="59" t="s">
        <v>16</v>
      </c>
      <c r="E25" s="59" t="s">
        <v>35</v>
      </c>
      <c r="F25" s="59" t="s">
        <v>74</v>
      </c>
      <c r="G25" s="60">
        <v>0.0</v>
      </c>
      <c r="H25" s="57">
        <v>1975.0</v>
      </c>
      <c r="I25" s="64"/>
      <c r="J25" s="64"/>
      <c r="K25" s="59"/>
      <c r="L25" s="59">
        <v>1.0</v>
      </c>
      <c r="M25" s="59" t="s">
        <v>36</v>
      </c>
      <c r="N25" s="59"/>
      <c r="O25" s="59" t="s">
        <v>66</v>
      </c>
      <c r="P25" s="59" t="s">
        <v>35</v>
      </c>
      <c r="Q25" s="59" t="s">
        <v>75</v>
      </c>
      <c r="R25" s="57">
        <v>0.0</v>
      </c>
      <c r="S25" s="57">
        <v>1975.0</v>
      </c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</row>
    <row r="26" ht="15.75" customHeight="1">
      <c r="A26" s="4"/>
      <c r="B26" s="56">
        <v>43029.0</v>
      </c>
      <c r="C26" s="59" t="s">
        <v>18</v>
      </c>
      <c r="D26" s="59" t="s">
        <v>16</v>
      </c>
      <c r="E26" s="59" t="s">
        <v>35</v>
      </c>
      <c r="F26" s="59" t="s">
        <v>74</v>
      </c>
      <c r="G26" s="57">
        <v>1975.0</v>
      </c>
      <c r="H26" s="58">
        <v>0.0</v>
      </c>
      <c r="I26" s="64"/>
      <c r="J26" s="64"/>
      <c r="K26" s="59"/>
      <c r="L26" s="59">
        <v>1.0</v>
      </c>
      <c r="M26" s="59" t="s">
        <v>36</v>
      </c>
      <c r="N26" s="59"/>
      <c r="O26" s="59" t="s">
        <v>66</v>
      </c>
      <c r="P26" s="59" t="s">
        <v>35</v>
      </c>
      <c r="Q26" s="59" t="s">
        <v>73</v>
      </c>
      <c r="R26" s="57">
        <v>1975.0</v>
      </c>
      <c r="S26" s="57">
        <v>0.0</v>
      </c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</row>
    <row r="27" ht="15.75" customHeight="1">
      <c r="A27" s="4"/>
      <c r="B27" s="56">
        <v>43029.0</v>
      </c>
      <c r="C27" s="59" t="s">
        <v>18</v>
      </c>
      <c r="D27" s="59" t="s">
        <v>16</v>
      </c>
      <c r="E27" s="59" t="s">
        <v>35</v>
      </c>
      <c r="F27" s="59" t="s">
        <v>72</v>
      </c>
      <c r="G27" s="60">
        <v>0.0</v>
      </c>
      <c r="H27" s="57">
        <v>1975.0</v>
      </c>
      <c r="I27" s="64"/>
      <c r="J27" s="64"/>
      <c r="K27" s="59"/>
      <c r="L27" s="59">
        <v>1.0</v>
      </c>
      <c r="M27" s="59" t="s">
        <v>36</v>
      </c>
      <c r="N27" s="59"/>
      <c r="O27" s="59" t="s">
        <v>66</v>
      </c>
      <c r="P27" s="59" t="s">
        <v>35</v>
      </c>
      <c r="Q27" s="59" t="s">
        <v>73</v>
      </c>
      <c r="R27" s="57">
        <v>0.0</v>
      </c>
      <c r="S27" s="57">
        <v>1975.0</v>
      </c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</row>
    <row r="28" ht="15.75" customHeight="1">
      <c r="A28" s="4"/>
      <c r="B28" s="56">
        <v>43030.0</v>
      </c>
      <c r="C28" s="59" t="s">
        <v>18</v>
      </c>
      <c r="D28" s="59" t="s">
        <v>16</v>
      </c>
      <c r="E28" s="59" t="s">
        <v>35</v>
      </c>
      <c r="F28" s="59" t="s">
        <v>72</v>
      </c>
      <c r="G28" s="57">
        <v>1975.0</v>
      </c>
      <c r="H28" s="58">
        <v>0.0</v>
      </c>
      <c r="I28" s="64"/>
      <c r="J28" s="64"/>
      <c r="K28" s="59"/>
      <c r="L28" s="59">
        <v>1.0</v>
      </c>
      <c r="M28" s="59" t="s">
        <v>36</v>
      </c>
      <c r="N28" s="59"/>
      <c r="O28" s="59" t="s">
        <v>66</v>
      </c>
      <c r="P28" s="59" t="s">
        <v>35</v>
      </c>
      <c r="Q28" s="59" t="s">
        <v>75</v>
      </c>
      <c r="R28" s="57">
        <v>1975.0</v>
      </c>
      <c r="S28" s="57">
        <v>0.0</v>
      </c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</row>
    <row r="29" ht="15.75" customHeight="1">
      <c r="A29" s="4"/>
      <c r="B29" s="56">
        <v>43030.0</v>
      </c>
      <c r="C29" s="59" t="s">
        <v>18</v>
      </c>
      <c r="D29" s="59" t="s">
        <v>16</v>
      </c>
      <c r="E29" s="59" t="s">
        <v>35</v>
      </c>
      <c r="F29" s="59" t="s">
        <v>74</v>
      </c>
      <c r="G29" s="60">
        <v>0.0</v>
      </c>
      <c r="H29" s="57">
        <v>1975.0</v>
      </c>
      <c r="I29" s="64"/>
      <c r="J29" s="64"/>
      <c r="K29" s="59"/>
      <c r="L29" s="59">
        <v>1.0</v>
      </c>
      <c r="M29" s="59" t="s">
        <v>36</v>
      </c>
      <c r="N29" s="59"/>
      <c r="O29" s="59" t="s">
        <v>66</v>
      </c>
      <c r="P29" s="59" t="s">
        <v>35</v>
      </c>
      <c r="Q29" s="59" t="s">
        <v>75</v>
      </c>
      <c r="R29" s="57">
        <v>0.0</v>
      </c>
      <c r="S29" s="57">
        <v>1975.0</v>
      </c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</row>
    <row r="30" ht="15.75" customHeight="1">
      <c r="A30" s="4"/>
      <c r="B30" s="56">
        <v>43030.0</v>
      </c>
      <c r="C30" s="59" t="s">
        <v>18</v>
      </c>
      <c r="D30" s="59" t="s">
        <v>16</v>
      </c>
      <c r="E30" s="59" t="s">
        <v>35</v>
      </c>
      <c r="F30" s="59" t="s">
        <v>74</v>
      </c>
      <c r="G30" s="57">
        <v>1975.0</v>
      </c>
      <c r="H30" s="58">
        <v>0.0</v>
      </c>
      <c r="I30" s="64"/>
      <c r="J30" s="64"/>
      <c r="K30" s="59"/>
      <c r="L30" s="59">
        <v>1.0</v>
      </c>
      <c r="M30" s="59" t="s">
        <v>36</v>
      </c>
      <c r="N30" s="59"/>
      <c r="O30" s="59" t="s">
        <v>66</v>
      </c>
      <c r="P30" s="59" t="s">
        <v>35</v>
      </c>
      <c r="Q30" s="59" t="s">
        <v>73</v>
      </c>
      <c r="R30" s="57">
        <v>1975.0</v>
      </c>
      <c r="S30" s="57">
        <v>0.0</v>
      </c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</row>
    <row r="31" ht="15.75" customHeight="1">
      <c r="A31" s="4"/>
      <c r="B31" s="56">
        <v>43030.0</v>
      </c>
      <c r="C31" s="59" t="s">
        <v>18</v>
      </c>
      <c r="D31" s="59" t="s">
        <v>16</v>
      </c>
      <c r="E31" s="59" t="s">
        <v>35</v>
      </c>
      <c r="F31" s="59" t="s">
        <v>72</v>
      </c>
      <c r="G31" s="60">
        <v>0.0</v>
      </c>
      <c r="H31" s="57">
        <v>1975.0</v>
      </c>
      <c r="I31" s="64"/>
      <c r="J31" s="64"/>
      <c r="K31" s="59"/>
      <c r="L31" s="59">
        <v>1.0</v>
      </c>
      <c r="M31" s="59" t="s">
        <v>36</v>
      </c>
      <c r="N31" s="59"/>
      <c r="O31" s="59" t="s">
        <v>66</v>
      </c>
      <c r="P31" s="59" t="s">
        <v>35</v>
      </c>
      <c r="Q31" s="59" t="s">
        <v>73</v>
      </c>
      <c r="R31" s="57">
        <v>0.0</v>
      </c>
      <c r="S31" s="57">
        <v>1975.0</v>
      </c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</row>
    <row r="32" ht="15.75" customHeight="1">
      <c r="A32" s="4"/>
      <c r="B32" s="56">
        <v>43031.0</v>
      </c>
      <c r="C32" s="59" t="s">
        <v>18</v>
      </c>
      <c r="D32" s="59" t="s">
        <v>16</v>
      </c>
      <c r="E32" s="59" t="s">
        <v>35</v>
      </c>
      <c r="F32" s="59" t="s">
        <v>72</v>
      </c>
      <c r="G32" s="57">
        <v>1975.0</v>
      </c>
      <c r="H32" s="58">
        <v>0.0</v>
      </c>
      <c r="I32" s="64"/>
      <c r="J32" s="64"/>
      <c r="K32" s="59"/>
      <c r="L32" s="59">
        <v>1.0</v>
      </c>
      <c r="M32" s="59" t="s">
        <v>36</v>
      </c>
      <c r="N32" s="59"/>
      <c r="O32" s="59" t="s">
        <v>66</v>
      </c>
      <c r="P32" s="59" t="s">
        <v>35</v>
      </c>
      <c r="Q32" s="59" t="s">
        <v>75</v>
      </c>
      <c r="R32" s="57">
        <v>1975.0</v>
      </c>
      <c r="S32" s="57">
        <v>0.0</v>
      </c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</row>
    <row r="33" ht="15.75" customHeight="1">
      <c r="A33" s="4"/>
      <c r="B33" s="56">
        <v>43031.0</v>
      </c>
      <c r="C33" s="59" t="s">
        <v>18</v>
      </c>
      <c r="D33" s="59" t="s">
        <v>16</v>
      </c>
      <c r="E33" s="59" t="s">
        <v>35</v>
      </c>
      <c r="F33" s="59" t="s">
        <v>74</v>
      </c>
      <c r="G33" s="60">
        <v>0.0</v>
      </c>
      <c r="H33" s="57">
        <v>1975.0</v>
      </c>
      <c r="I33" s="64"/>
      <c r="J33" s="64"/>
      <c r="K33" s="59"/>
      <c r="L33" s="59">
        <v>1.0</v>
      </c>
      <c r="M33" s="59" t="s">
        <v>36</v>
      </c>
      <c r="N33" s="59"/>
      <c r="O33" s="59" t="s">
        <v>66</v>
      </c>
      <c r="P33" s="59" t="s">
        <v>35</v>
      </c>
      <c r="Q33" s="59" t="s">
        <v>75</v>
      </c>
      <c r="R33" s="57">
        <v>0.0</v>
      </c>
      <c r="S33" s="57">
        <v>1975.0</v>
      </c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</row>
    <row r="34" ht="15.75" customHeight="1">
      <c r="A34" s="4"/>
      <c r="B34" s="56">
        <v>43031.0</v>
      </c>
      <c r="C34" s="59" t="s">
        <v>18</v>
      </c>
      <c r="D34" s="59" t="s">
        <v>16</v>
      </c>
      <c r="E34" s="59" t="s">
        <v>35</v>
      </c>
      <c r="F34" s="59" t="s">
        <v>76</v>
      </c>
      <c r="G34" s="57">
        <v>755.0</v>
      </c>
      <c r="H34" s="58">
        <v>0.0</v>
      </c>
      <c r="I34" s="64"/>
      <c r="J34" s="64"/>
      <c r="K34" s="59"/>
      <c r="L34" s="59">
        <v>1.0</v>
      </c>
      <c r="M34" s="59" t="s">
        <v>36</v>
      </c>
      <c r="N34" s="59"/>
      <c r="O34" s="59" t="s">
        <v>66</v>
      </c>
      <c r="P34" s="59" t="s">
        <v>35</v>
      </c>
      <c r="Q34" s="59" t="s">
        <v>77</v>
      </c>
      <c r="R34" s="57">
        <v>755.0</v>
      </c>
      <c r="S34" s="57">
        <v>0.0</v>
      </c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</row>
    <row r="35" ht="15.75" customHeight="1">
      <c r="A35" s="4"/>
      <c r="B35" s="56">
        <v>43031.0</v>
      </c>
      <c r="C35" s="59" t="s">
        <v>18</v>
      </c>
      <c r="D35" s="59" t="s">
        <v>16</v>
      </c>
      <c r="E35" s="59" t="s">
        <v>35</v>
      </c>
      <c r="F35" s="59" t="s">
        <v>42</v>
      </c>
      <c r="G35" s="60">
        <v>0.0</v>
      </c>
      <c r="H35" s="57">
        <v>755.0</v>
      </c>
      <c r="I35" s="64"/>
      <c r="J35" s="64"/>
      <c r="K35" s="59"/>
      <c r="L35" s="59">
        <v>1.0</v>
      </c>
      <c r="M35" s="59" t="s">
        <v>36</v>
      </c>
      <c r="N35" s="59"/>
      <c r="O35" s="59" t="s">
        <v>66</v>
      </c>
      <c r="P35" s="59" t="s">
        <v>35</v>
      </c>
      <c r="Q35" s="59" t="s">
        <v>77</v>
      </c>
      <c r="R35" s="57">
        <v>0.0</v>
      </c>
      <c r="S35" s="57">
        <v>755.0</v>
      </c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