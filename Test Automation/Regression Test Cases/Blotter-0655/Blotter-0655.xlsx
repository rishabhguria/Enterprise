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Order" sheetId="11" r:id="rId13"/>
    <sheet state="visible" name="VerifyOrder1" sheetId="12" r:id="rId14"/>
    <sheet state="visible" name="ExecuteTrade1" sheetId="13" r:id="rId15"/>
    <sheet state="visible" name="VerifyOrder2" sheetId="14" r:id="rId16"/>
    <sheet state="visible" name="CreateDoneAwayOrder" sheetId="15" r:id="rId17"/>
    <sheet state="visible" name="VerifyOrder3" sheetId="16" r:id="rId18"/>
    <sheet state="visible" name="SelectTradeOnOrderGrid1" sheetId="17" r:id="rId19"/>
    <sheet state="visible" name="ReplaceSubOrder1" sheetId="18" r:id="rId20"/>
    <sheet state="visible" name="CreateReplaceOrder1" sheetId="19" r:id="rId21"/>
    <sheet state="visible" name="VerifyOrder4" sheetId="20" r:id="rId22"/>
    <sheet state="visible" name="GetDataAllocation" sheetId="21" r:id="rId23"/>
    <sheet state="visible" name="CheckAllocatedGroups" sheetId="22" r:id="rId24"/>
  </sheets>
  <definedNames/>
  <calcPr/>
</workbook>
</file>

<file path=xl/sharedStrings.xml><?xml version="1.0" encoding="utf-8"?>
<sst xmlns="http://schemas.openxmlformats.org/spreadsheetml/2006/main" count="456" uniqueCount="64">
  <si>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</si>
  <si>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</si>
  <si>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</si>
  <si>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</si>
  <si>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</si>
  <si>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</si>
  <si>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</si>
  <si>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</si>
  <si>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</si>
  <si>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</si>
  <si>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</si>
  <si>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</si>
  <si>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</si>
  <si>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</si>
  <si>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</si>
  <si>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</si>
  <si>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FRU-TC</t>
  </si>
  <si>
    <t>Send</t>
  </si>
  <si>
    <t>Buy</t>
  </si>
  <si>
    <t>Allocation1,Allocation2,Allocation3</t>
  </si>
  <si>
    <t>33,33,34</t>
  </si>
  <si>
    <t>DoneAway</t>
  </si>
  <si>
    <t>AAPL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</si>
  <si>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</si>
  <si>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</si>
  <si>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</si>
  <si>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</si>
  <si>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</si>
  <si>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</si>
  <si>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</si>
  <si>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ReplaceSubOrder</t>
  </si>
  <si>
    <t>CreateReplaceOrder</t>
  </si>
  <si>
    <t>VerifyOrder</t>
  </si>
  <si>
    <t>D</t>
  </si>
  <si>
    <t>Replaced</t>
  </si>
  <si>
    <t>MS</t>
  </si>
  <si>
    <t>Filled</t>
  </si>
  <si>
    <t>CreateDoneAwayOrder</t>
  </si>
  <si>
    <t>MSFT</t>
  </si>
  <si>
    <t>M</t>
  </si>
  <si>
    <t>Allocation</t>
  </si>
  <si>
    <t>GetDataAllocation</t>
  </si>
  <si>
    <t>Historical</t>
  </si>
  <si>
    <t>CheckAllocatedGroups</t>
  </si>
  <si>
    <t/>
  </si>
  <si>
    <t>Allocation1</t>
  </si>
  <si>
    <t>Actual_365</t>
  </si>
  <si>
    <t>Equity</t>
  </si>
  <si>
    <t>FRU CN EQUITY</t>
  </si>
  <si>
    <t>Treasury</t>
  </si>
  <si>
    <t>Open</t>
  </si>
  <si>
    <t>CAD</t>
  </si>
  <si>
    <t>FRU-TC.C</t>
  </si>
  <si>
    <t>BrokerNotes</t>
  </si>
  <si>
    <t>TSX</t>
  </si>
  <si>
    <t>None</t>
  </si>
  <si>
    <t>Market</t>
  </si>
  <si>
    <t>InternalOrder</t>
  </si>
  <si>
    <t>Strategy Unallocated</t>
  </si>
  <si>
    <t>MSFT US EQUITY</t>
  </si>
  <si>
    <t>MICROSOFT INC</t>
  </si>
  <si>
    <t>USD</t>
  </si>
  <si>
    <t>NASDAQ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</si>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</sst>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3">
        <v>10.0</v>
      </c>
      <c r="E6" s="32" t="s">
        <v>17</v>
      </c>
      <c r="F6" s="31"/>
      <c r="G6" s="31"/>
      <c r="H6" s="31"/>
      <c r="I6" s="31"/>
      <c r="J6" s="32" t="s">
        <v>18</v>
      </c>
      <c r="K6" s="31"/>
      <c r="L6" s="31"/>
      <c r="M6" s="31"/>
      <c r="N6" s="31"/>
      <c r="O6" s="31"/>
      <c r="P6" s="31" t="s">
        <v>19</v>
      </c>
      <c r="Q6" s="31" t="s">
        <v>20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16</v>
      </c>
      <c r="C7" s="33">
        <v>100.0</v>
      </c>
      <c r="D7" s="33">
        <v>10.0</v>
      </c>
      <c r="E7" s="32" t="s">
        <v>21</v>
      </c>
      <c r="F7" s="31"/>
      <c r="G7" s="31"/>
      <c r="H7" s="31"/>
      <c r="I7" s="31"/>
      <c r="J7" s="32" t="s">
        <v>18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22</v>
      </c>
      <c r="C8" s="33">
        <v>100.0</v>
      </c>
      <c r="D8" s="36">
        <v>10.0</v>
      </c>
      <c r="E8" s="32" t="s">
        <v>17</v>
      </c>
      <c r="F8" s="31"/>
      <c r="G8" s="31"/>
      <c r="H8" s="31"/>
      <c r="I8" s="31"/>
      <c r="J8" s="32" t="s">
        <v>18</v>
      </c>
      <c r="K8" s="31"/>
      <c r="L8" s="31"/>
      <c r="M8" s="31"/>
      <c r="N8" s="31"/>
      <c r="O8" s="31"/>
      <c r="P8" s="31" t="s">
        <v>19</v>
      </c>
      <c r="Q8" s="31" t="s">
        <v>20</v>
      </c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/>
      <c r="C9" s="33"/>
      <c r="D9" s="33"/>
      <c r="E9" s="32"/>
      <c r="F9" s="31"/>
      <c r="G9" s="31"/>
      <c r="H9" s="31"/>
      <c r="I9" s="31"/>
      <c r="J9" s="32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32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32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75.0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2" t="s">
        <v>16</v>
      </c>
      <c r="F6" s="13" t="s">
        <v>18</v>
      </c>
      <c r="G6" s="13" t="s">
        <v>29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  <c r="AL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200.0</v>
      </c>
      <c r="E6" s="37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D6" s="9">
        <v>0.0</v>
      </c>
      <c r="AF6" s="9" t="s">
        <v>33</v>
      </c>
      <c r="AI6" s="9" t="s">
        <v>16</v>
      </c>
      <c r="AJ6" s="9" t="s">
        <v>18</v>
      </c>
      <c r="AK6" s="9" t="s">
        <v>34</v>
      </c>
      <c r="AS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D6" s="9">
        <v>0.0</v>
      </c>
      <c r="AF6" s="9" t="s">
        <v>33</v>
      </c>
      <c r="AI6" s="9" t="s">
        <v>16</v>
      </c>
      <c r="AJ6" s="9" t="s">
        <v>18</v>
      </c>
      <c r="AK6" s="9" t="s">
        <v>34</v>
      </c>
      <c r="AS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125.0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D6" s="9">
        <v>0.0</v>
      </c>
      <c r="AF6" s="9" t="s">
        <v>33</v>
      </c>
      <c r="AI6" s="9" t="s">
        <v>16</v>
      </c>
      <c r="AJ6" s="9" t="s">
        <v>18</v>
      </c>
      <c r="AK6" s="9" t="s">
        <v>36</v>
      </c>
      <c r="AS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18</v>
      </c>
      <c r="D6" s="13">
        <v>100.0</v>
      </c>
      <c r="E6" s="13">
        <v>10.0</v>
      </c>
      <c r="F6" s="8"/>
      <c r="G6" s="13" t="s">
        <v>35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39</v>
      </c>
      <c r="AI6" s="9" t="s">
        <v>38</v>
      </c>
      <c r="AJ6" s="9" t="s">
        <v>18</v>
      </c>
      <c r="AK6" s="9" t="s">
        <v>29</v>
      </c>
      <c r="AL6" s="9">
        <v>100.0</v>
      </c>
      <c r="AM6" s="9">
        <v>10.0</v>
      </c>
      <c r="AS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38</v>
      </c>
      <c r="E6" s="37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38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200.0</v>
      </c>
      <c r="E6" s="37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39</v>
      </c>
      <c r="AI6" s="9" t="s">
        <v>38</v>
      </c>
      <c r="AJ6" s="9" t="s">
        <v>18</v>
      </c>
      <c r="AK6" s="9" t="s">
        <v>34</v>
      </c>
      <c r="AS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VerifyOrder4!$4:$4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38">
        <f>today()-1</f>
        <v>45868</v>
      </c>
      <c r="D6" s="39">
        <f>today()</f>
        <v>45869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44</v>
      </c>
      <c r="B6" s="40" t="s">
        <v>45</v>
      </c>
      <c r="C6" s="8" t="s">
        <v>46</v>
      </c>
      <c r="D6" s="40"/>
      <c r="E6" s="8">
        <v>100.0</v>
      </c>
      <c r="F6" s="8"/>
      <c r="G6" s="8" t="s">
        <v>47</v>
      </c>
      <c r="H6" s="8">
        <v>0.0</v>
      </c>
      <c r="I6" s="8">
        <v>0.0</v>
      </c>
      <c r="J6" s="8">
        <v>73.0</v>
      </c>
      <c r="K6" s="8">
        <v>0.0</v>
      </c>
      <c r="L6" s="8">
        <v>10.0</v>
      </c>
      <c r="M6" s="8" t="s">
        <v>48</v>
      </c>
      <c r="N6" s="8" t="s">
        <v>49</v>
      </c>
      <c r="O6" s="8" t="s">
        <v>35</v>
      </c>
      <c r="Q6">
        <v>3.0</v>
      </c>
      <c r="S6" t="s">
        <v>50</v>
      </c>
      <c r="V6" t="s">
        <v>16</v>
      </c>
      <c r="W6">
        <v>1.0</v>
      </c>
      <c r="Y6" t="s">
        <v>44</v>
      </c>
      <c r="Z6" t="s">
        <v>51</v>
      </c>
      <c r="AA6" t="s">
        <v>52</v>
      </c>
      <c r="AB6">
        <v>1.0</v>
      </c>
      <c r="AC6" t="s">
        <v>53</v>
      </c>
      <c r="AD6" t="s">
        <v>54</v>
      </c>
      <c r="AE6">
        <v>100.0</v>
      </c>
      <c r="AF6" t="s">
        <v>44</v>
      </c>
      <c r="AH6" t="s">
        <v>33</v>
      </c>
      <c r="AI6">
        <v>0.0</v>
      </c>
      <c r="AJ6" t="s">
        <v>55</v>
      </c>
      <c r="AT6">
        <v>0.0</v>
      </c>
      <c r="AU6">
        <v>1000.0</v>
      </c>
      <c r="AY6" t="s">
        <v>56</v>
      </c>
      <c r="BD6" t="s">
        <v>57</v>
      </c>
      <c r="BE6">
        <v>0.0</v>
      </c>
      <c r="BF6">
        <v>1000.0</v>
      </c>
      <c r="BJ6">
        <v>100.0</v>
      </c>
      <c r="BL6" t="s">
        <v>44</v>
      </c>
      <c r="BM6" t="s">
        <v>51</v>
      </c>
      <c r="BO6" t="s">
        <v>18</v>
      </c>
      <c r="BR6">
        <v>0.0</v>
      </c>
      <c r="BS6" t="s">
        <v>58</v>
      </c>
      <c r="BT6" t="s">
        <v>16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44</v>
      </c>
      <c r="B7" s="8" t="s">
        <v>45</v>
      </c>
      <c r="C7" s="8" t="s">
        <v>46</v>
      </c>
      <c r="D7" s="8"/>
      <c r="E7" s="8">
        <v>10.0</v>
      </c>
      <c r="F7" s="8"/>
      <c r="G7" s="8" t="s">
        <v>47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59</v>
      </c>
      <c r="N7" s="8" t="s">
        <v>49</v>
      </c>
      <c r="O7" s="8" t="s">
        <v>35</v>
      </c>
      <c r="Q7">
        <v>3.0</v>
      </c>
      <c r="S7" t="s">
        <v>50</v>
      </c>
      <c r="V7" t="s">
        <v>60</v>
      </c>
      <c r="W7">
        <v>1.0</v>
      </c>
      <c r="Y7" t="s">
        <v>44</v>
      </c>
      <c r="Z7" t="s">
        <v>61</v>
      </c>
      <c r="AA7">
        <v>5.94918104E8</v>
      </c>
      <c r="AB7">
        <v>1.0</v>
      </c>
      <c r="AC7" t="s">
        <v>53</v>
      </c>
      <c r="AD7" t="s">
        <v>62</v>
      </c>
      <c r="AE7">
        <v>10.0</v>
      </c>
      <c r="AF7" t="s">
        <v>44</v>
      </c>
      <c r="AH7" t="s">
        <v>39</v>
      </c>
      <c r="AI7">
        <v>1.0</v>
      </c>
      <c r="AJ7" t="s">
        <v>55</v>
      </c>
      <c r="AT7">
        <v>114.0001</v>
      </c>
      <c r="AU7">
        <v>114.0001</v>
      </c>
      <c r="AY7" t="s">
        <v>56</v>
      </c>
      <c r="BD7" t="s">
        <v>57</v>
      </c>
      <c r="BE7">
        <v>100.0</v>
      </c>
      <c r="BF7">
        <v>100.0</v>
      </c>
      <c r="BJ7">
        <v>200.0</v>
      </c>
      <c r="BL7" t="s">
        <v>44</v>
      </c>
      <c r="BM7" t="s">
        <v>61</v>
      </c>
      <c r="BO7" t="s">
        <v>18</v>
      </c>
      <c r="BR7">
        <v>1.0E-4</v>
      </c>
      <c r="BS7" t="s">
        <v>58</v>
      </c>
      <c r="BT7" t="s">
        <v>38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 t="s">
        <v>44</v>
      </c>
      <c r="B8" s="8" t="s">
        <v>63</v>
      </c>
      <c r="C8" s="8" t="s">
        <v>46</v>
      </c>
      <c r="D8" s="8"/>
      <c r="E8" s="8">
        <v>200.0</v>
      </c>
      <c r="F8" s="8"/>
      <c r="G8" s="8" t="s">
        <v>47</v>
      </c>
      <c r="H8" s="8">
        <v>0.0</v>
      </c>
      <c r="I8" s="8">
        <v>0.0</v>
      </c>
      <c r="J8" s="8">
        <v>73.0</v>
      </c>
      <c r="K8" s="8">
        <v>0.0</v>
      </c>
      <c r="L8" s="8">
        <v>10.0</v>
      </c>
      <c r="M8" s="8" t="s">
        <v>48</v>
      </c>
      <c r="N8" s="8" t="s">
        <v>49</v>
      </c>
      <c r="O8" s="8" t="s">
        <v>35</v>
      </c>
      <c r="Q8">
        <v>3.0</v>
      </c>
      <c r="S8" t="s">
        <v>50</v>
      </c>
      <c r="V8" t="s">
        <v>16</v>
      </c>
      <c r="W8">
        <v>1.0</v>
      </c>
      <c r="Y8" t="s">
        <v>44</v>
      </c>
      <c r="Z8" t="s">
        <v>51</v>
      </c>
      <c r="AA8" t="s">
        <v>52</v>
      </c>
      <c r="AB8">
        <v>1.0</v>
      </c>
      <c r="AD8" t="s">
        <v>54</v>
      </c>
      <c r="AE8">
        <v>200.0</v>
      </c>
      <c r="AF8" t="s">
        <v>44</v>
      </c>
      <c r="AH8" t="s">
        <v>33</v>
      </c>
      <c r="AI8">
        <v>0.0</v>
      </c>
      <c r="AJ8" t="s">
        <v>55</v>
      </c>
      <c r="AT8">
        <v>0.0</v>
      </c>
      <c r="AU8">
        <v>2000.0</v>
      </c>
      <c r="AY8" t="s">
        <v>56</v>
      </c>
      <c r="BD8" t="s">
        <v>57</v>
      </c>
      <c r="BE8">
        <v>0.0</v>
      </c>
      <c r="BF8">
        <v>2000.0</v>
      </c>
      <c r="BJ8">
        <v>200.0</v>
      </c>
      <c r="BL8" t="s">
        <v>44</v>
      </c>
      <c r="BM8" t="s">
        <v>51</v>
      </c>
      <c r="BO8" t="s">
        <v>18</v>
      </c>
      <c r="BR8">
        <v>0.0</v>
      </c>
      <c r="BS8" t="s">
        <v>58</v>
      </c>
      <c r="BT8" t="s">
        <v>16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