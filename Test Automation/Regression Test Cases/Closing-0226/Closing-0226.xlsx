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ditSMGridUi" sheetId="4" r:id="rId6"/>
    <sheet state="visible" name="UpdateExpirationDate" sheetId="5" r:id="rId7"/>
    <sheet state="visible" name="SetClosingPreference" sheetId="6" r:id="rId8"/>
    <sheet state="visible" name="CreateDoneAwayOrder" sheetId="7" r:id="rId9"/>
    <sheet state="visible" name="GetMarkPriceData" sheetId="8" r:id="rId10"/>
    <sheet state="visible" name="UpdateMarkPrice" sheetId="9" r:id="rId11"/>
    <sheet state="visible" name="GetDataClosing" sheetId="10" r:id="rId12"/>
    <sheet state="visible" name="SelectTradeUnexpiredUnsettled" sheetId="11" r:id="rId13"/>
    <sheet state="visible" name="ExerciseAssignment" sheetId="12" r:id="rId14"/>
    <sheet state="visible" name="GetDataAllocation" sheetId="13" r:id="rId15"/>
    <sheet state="visible" name="CheckPortfolioManagement" sheetId="14" r:id="rId16"/>
    <sheet state="visible" name="GetDataClosing1" sheetId="15" r:id="rId17"/>
    <sheet state="visible" name="SelectTradeUnexpiredUnsettled1" sheetId="16" r:id="rId18"/>
    <sheet state="visible" name="GetDataClosing2" sheetId="17" r:id="rId19"/>
    <sheet state="visible" name="SelectTradeUnexpiredUnsettled2" sheetId="18" r:id="rId20"/>
    <sheet state="visible" name="GetDataClosing3" sheetId="19" r:id="rId21"/>
    <sheet state="visible" name="SelectTradeUnexpiredUnsettled3" sheetId="20" r:id="rId22"/>
    <sheet state="visible" name="CheckAllocatedGroups" sheetId="21" r:id="rId23"/>
  </sheets>
  <definedNames/>
  <calcPr/>
</workbook>
</file>

<file path=xl/sharedStrings.xml><?xml version="1.0" encoding="utf-8"?>
<sst xmlns="http://schemas.openxmlformats.org/spreadsheetml/2006/main" count="2246" uniqueCount="85">
  <si>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</si>
  <si>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</si>
  <si>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</si>
  <si>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</si>
  <si>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</si>
  <si>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</si>
  <si>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</si>
  <si>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</si>
  <si>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</si>
  <si>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</si>
  <si>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</si>
  <si>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</si>
  <si>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SymbolLookup</t>
  </si>
  <si>
    <t>EditSMGridUi</t>
  </si>
  <si>
    <t>Data Format</t>
  </si>
  <si>
    <t>Input Format</t>
  </si>
  <si>
    <t>O:MSFT 14C36.00</t>
  </si>
  <si>
    <t>Yes</t>
  </si>
  <si>
    <t>O:MSFT 14D35.00</t>
  </si>
  <si>
    <t>O:MSFT 14H35.00</t>
  </si>
  <si>
    <t>O:FB 12K18.00</t>
  </si>
  <si>
    <t>O:FB 12L17.00</t>
  </si>
  <si>
    <t>O:AMZN 15X650.00D18</t>
  </si>
  <si>
    <t>O:AMZN 15X610.00D18</t>
  </si>
  <si>
    <t>Admin</t>
  </si>
  <si>
    <t>UpdateExpirationDate</t>
  </si>
  <si>
    <t>O:AAPL 23P50.00D21</t>
  </si>
  <si>
    <t>O:AAPL 23P60.00D21</t>
  </si>
  <si>
    <t>O:AAPL 23P70.00D21</t>
  </si>
  <si>
    <t>Closing</t>
  </si>
  <si>
    <t>SetClosingPreference</t>
  </si>
  <si>
    <t>BTAX</t>
  </si>
  <si>
    <t>TradingTicket</t>
  </si>
  <si>
    <t>CreateDoneAwayOrder</t>
  </si>
  <si>
    <t>AAPL</t>
  </si>
  <si>
    <t>Sell short</t>
  </si>
  <si>
    <t>Allocation1</t>
  </si>
  <si>
    <t>Sell to Open</t>
  </si>
  <si>
    <t>Short</t>
  </si>
  <si>
    <t>MSFT</t>
  </si>
  <si>
    <t>Allocation2</t>
  </si>
  <si>
    <t>FB</t>
  </si>
  <si>
    <t>Buy</t>
  </si>
  <si>
    <t>rt</t>
  </si>
  <si>
    <t>AMZN</t>
  </si>
  <si>
    <t>Allocation5</t>
  </si>
  <si>
    <t>Buy to Open</t>
  </si>
  <si>
    <t>Long</t>
  </si>
  <si>
    <t>DailyValuation</t>
  </si>
  <si>
    <t>GetMarkPriceData</t>
  </si>
  <si>
    <t>UpdateMarkPrice</t>
  </si>
  <si>
    <t>GetDataClosing</t>
  </si>
  <si>
    <t>Historical</t>
  </si>
  <si>
    <t>1/1/1800</t>
  </si>
  <si>
    <t>SelectTradeUnexpiredUnsettled</t>
  </si>
  <si>
    <t>ExerciseAssignment</t>
  </si>
  <si>
    <t>Allocation</t>
  </si>
  <si>
    <t>GetDataAllocation</t>
  </si>
  <si>
    <t>PortfolioManagement</t>
  </si>
  <si>
    <t>CheckPortfolioManagement</t>
  </si>
  <si>
    <t/>
  </si>
  <si>
    <t>NewMF</t>
  </si>
  <si>
    <t>FIMAT</t>
  </si>
  <si>
    <t>Strategy Unallocated</t>
  </si>
  <si>
    <t>Equity</t>
  </si>
  <si>
    <t>US</t>
  </si>
  <si>
    <t>NASDAQ</t>
  </si>
  <si>
    <t>USD</t>
  </si>
  <si>
    <t>New Hedge</t>
  </si>
  <si>
    <t>jpearce</t>
  </si>
  <si>
    <t>MS</t>
  </si>
  <si>
    <t>Buy to Close</t>
  </si>
  <si>
    <t>NewMF1</t>
  </si>
  <si>
    <t>Equity General</t>
  </si>
  <si>
    <t>NewMF2</t>
  </si>
  <si>
    <t>Sell</t>
  </si>
  <si>
    <t>NewMF3</t>
  </si>
  <si>
    <t>CheckAllocatedGroups</t>
  </si>
  <si>
    <t>Manual</t>
  </si>
  <si>
    <t>APPLE</t>
  </si>
  <si>
    <t>D</t>
  </si>
  <si>
    <t>M</t>
  </si>
  <si>
    <t>MICROSOFT INC</t>
  </si>
  <si>
    <t>FACEBOOK INC</t>
  </si>
  <si>
    <t>AMAZON.COM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</si>
</sst>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/d/yyyy"/>
  </numFmts>
  <fonts count="18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Docs-Calibri"/>
    </font>
    <font>
      <sz val="11.0"/>
      <color rgb="FF1F1F1F"/>
      <name val="&quot;Google Sans&quot;"/>
    </font>
    <font>
      <color rgb="FF000000"/>
      <name val="Arial"/>
    </font>
    <font>
      <sz val="9.0"/>
      <color rgb="FF1155CC"/>
      <name val="&quot;Google Sans Mono&quot;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6" fontId="14" numFmtId="0" xfId="0" applyAlignment="1" applyFill="1" applyFont="1">
      <alignment horizontal="left" readingOrder="0"/>
    </xf>
    <xf borderId="0" fillId="6" fontId="15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shrinkToFit="0" wrapText="0"/>
    </xf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vertical="bottom"/>
    </xf>
    <xf borderId="0" fillId="6" fontId="16" numFmtId="0" xfId="0" applyAlignment="1" applyFont="1">
      <alignment horizontal="left" readingOrder="0"/>
    </xf>
    <xf borderId="0" fillId="0" fontId="5" numFmtId="14" xfId="0" applyAlignment="1" applyFont="1" applyNumberFormat="1">
      <alignment readingOrder="0" shrinkToFit="0" wrapText="0"/>
    </xf>
    <xf borderId="0" fillId="0" fontId="5" numFmtId="164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6" fontId="17" numFmtId="0" xfId="0" applyFont="1"/>
    <xf borderId="0" fillId="0" fontId="5" numFmtId="0" xfId="0" applyAlignment="1" applyFont="1">
      <alignment shrinkToFit="0" wrapText="0"/>
    </xf>
    <xf borderId="0" fillId="0" fontId="3" numFmtId="165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6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6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6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6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6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6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6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6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IFERROR(__xludf.DUMMYFUNCTION("IF(C3="""","""",Transpose(IMPORTRANGE('_Settings'!$B$3,C3&amp;""!A4:A1000"")))"),"EditSMGridUi")</f>
        <v>EditSMGridUi</v>
      </c>
      <c r="C4" s="25" t="str">
        <f>IFERROR(__xludf.DUMMYFUNCTION("""COMPUTED_VALUE"""),"SelectFromSMGridUI")</f>
        <v>SelectFromSMGridUI</v>
      </c>
      <c r="D4" s="25" t="str">
        <f>IFERROR(__xludf.DUMMYFUNCTION("""COMPUTED_VALUE"""),"VerifySymbolLookUp")</f>
        <v>VerifySymbolLookUp</v>
      </c>
      <c r="E4" s="25" t="str">
        <f>IFERROR(__xludf.DUMMYFUNCTION("""COMPUTED_VALUE"""),"SymbolLookupFromTT")</f>
        <v>SymbolLookupFromTT</v>
      </c>
      <c r="F4" s="25" t="str">
        <f>IFERROR(__xludf.DUMMYFUNCTION("""COMPUTED_VALUE"""),"UpdateUDA")</f>
        <v>UpdateUDA</v>
      </c>
      <c r="G4" s="25" t="str">
        <f>IFERROR(__xludf.DUMMYFUNCTION("""COMPUTED_VALUE"""),"GetSymbol")</f>
        <v>GetSymbol</v>
      </c>
      <c r="H4" s="25" t="str">
        <f>IFERROR(__xludf.DUMMYFUNCTION("""COMPUTED_VALUE"""),"AddSymbol")</f>
        <v>AddSymbol</v>
      </c>
      <c r="I4" s="25" t="str">
        <f>IFERROR(__xludf.DUMMYFUNCTION("""COMPUTED_VALUE"""),"GetDataSymbolLookup")</f>
        <v>GetDataSymbolLookup</v>
      </c>
      <c r="J4" s="25" t="str">
        <f>IFERROR(__xludf.DUMMYFUNCTION("""COMPUTED_VALUE"""),"DeleteValidateSymbol")</f>
        <v>DeleteValidateSymbol</v>
      </c>
      <c r="K4" s="25" t="str">
        <f>IFERROR(__xludf.DUMMYFUNCTION("""COMPUTED_VALUE"""),"TradeSymbolFromSM")</f>
        <v>TradeSymbolFromSM</v>
      </c>
      <c r="L4" s="25" t="str">
        <f>IFERROR(__xludf.DUMMYFUNCTION("""COMPUTED_VALUE"""),"UpdateSecurityInfoOnSM")</f>
        <v>UpdateSecurityInfoOnSM</v>
      </c>
      <c r="M4" s="25" t="str">
        <f>IFERROR(__xludf.DUMMYFUNCTION("""COMPUTED_VALUE"""),"EnterEquity")</f>
        <v>EnterEquity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IFERROR(__xludf.DUMMYFUNCTION("""COMPUTED_VALUE"""),"UseUDAFromUnderlyingOrRoot")</f>
        <v>UseUDAFromUnderlyingOrRoot</v>
      </c>
      <c r="C5" s="28" t="str">
        <f>IFERROR(__xludf.DUMMYFUNCTION("""COMPUTED_VALUE"""),"Is NDF")</f>
        <v>Is NDF</v>
      </c>
      <c r="D5" s="28" t="str">
        <f>IFERROR(__xludf.DUMMYFUNCTION("""COMPUTED_VALUE"""),"IsZero")</f>
        <v>IsZero</v>
      </c>
      <c r="E5" s="28" t="str">
        <f>IFERROR(__xludf.DUMMYFUNCTION("""COMPUTED_VALUE"""),"IsSecApproved")</f>
        <v>IsSecApproved</v>
      </c>
      <c r="F5" s="29" t="str">
        <f>IFERROR(__xludf.DUMMYFUNCTION("""COMPUTED_VALUE"""),"Strike Price")</f>
        <v>Strike Price</v>
      </c>
      <c r="G5" s="28" t="str">
        <f>IFERROR(__xludf.DUMMYFUNCTION("""COMPUTED_VALUE"""),"Search Type")</f>
        <v>Search Type</v>
      </c>
      <c r="H5" s="28" t="str">
        <f>IFERROR(__xludf.DUMMYFUNCTION("""COMPUTED_VALUE"""),"Symbol")</f>
        <v>Symbol</v>
      </c>
      <c r="I5" s="28" t="str">
        <f>IFERROR(__xludf.DUMMYFUNCTION("""COMPUTED_VALUE"""),"SearchBeforeEdit")</f>
        <v>SearchBeforeEdit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13">
        <v>50.0</v>
      </c>
      <c r="G6" s="8"/>
      <c r="H6" s="9" t="s">
        <v>16</v>
      </c>
      <c r="I6" s="13" t="s">
        <v>17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13">
        <v>60.0</v>
      </c>
      <c r="G7" s="8"/>
      <c r="H7" s="9" t="s">
        <v>18</v>
      </c>
      <c r="I7" s="32" t="s">
        <v>17</v>
      </c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13">
        <v>70.0</v>
      </c>
      <c r="G8" s="8"/>
      <c r="H8" s="9" t="s">
        <v>19</v>
      </c>
      <c r="I8" s="32" t="s">
        <v>17</v>
      </c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13">
        <v>50.0</v>
      </c>
      <c r="G9" s="8"/>
      <c r="H9" s="13" t="s">
        <v>20</v>
      </c>
      <c r="I9" s="32" t="s">
        <v>17</v>
      </c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13">
        <v>60.0</v>
      </c>
      <c r="G10" s="8"/>
      <c r="H10" s="13" t="s">
        <v>21</v>
      </c>
      <c r="I10" s="32" t="s">
        <v>17</v>
      </c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13">
        <v>50.0</v>
      </c>
      <c r="G11" s="8"/>
      <c r="H11" s="33" t="s">
        <v>22</v>
      </c>
      <c r="I11" s="32" t="s">
        <v>17</v>
      </c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13">
        <v>60.0</v>
      </c>
      <c r="G12" s="8"/>
      <c r="H12" s="13" t="s">
        <v>23</v>
      </c>
      <c r="I12" s="32" t="s">
        <v>17</v>
      </c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EditSMGridUi!$4:$4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 t="s">
        <v>26</v>
      </c>
      <c r="C6" s="35">
        <f>TODAY()-11</f>
        <v>45128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6" t="s">
        <v>27</v>
      </c>
      <c r="C7" s="35">
        <f t="shared" ref="C7:C9" si="1">TODAY()-10</f>
        <v>45129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6" t="s">
        <v>27</v>
      </c>
      <c r="C8" s="35">
        <f t="shared" si="1"/>
        <v>45129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6" t="s">
        <v>28</v>
      </c>
      <c r="C9" s="35">
        <f t="shared" si="1"/>
        <v>45129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9" t="s">
        <v>16</v>
      </c>
      <c r="C10" s="35">
        <f>TODAY()-11</f>
        <v>45128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9" t="s">
        <v>18</v>
      </c>
      <c r="C11" s="35">
        <f t="shared" ref="C11:C12" si="2">TODAY()-10</f>
        <v>45129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9" t="s">
        <v>19</v>
      </c>
      <c r="C12" s="35">
        <f t="shared" si="2"/>
        <v>45129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13" t="s">
        <v>20</v>
      </c>
      <c r="C13" s="35">
        <f>TODAY()-11</f>
        <v>45128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13" t="s">
        <v>21</v>
      </c>
      <c r="C14" s="35">
        <f>TODAY()-10</f>
        <v>45129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33" t="s">
        <v>22</v>
      </c>
      <c r="C15" s="37">
        <f>TODAY()-11</f>
        <v>45128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13" t="s">
        <v>23</v>
      </c>
      <c r="C16" s="37">
        <f>TODAY()-10</f>
        <v>45129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 t="str">
        <f>IFERROR(__xludf.DUMMYFUNCTION("""COMPUTED_VALUE"""),"Auto Option Excercise Value")</f>
        <v>Auto Option Excercise Value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8"/>
      <c r="C6" s="39" t="s">
        <v>31</v>
      </c>
      <c r="D6" s="34"/>
      <c r="E6" s="40" t="b">
        <v>1</v>
      </c>
      <c r="F6" s="36"/>
      <c r="G6" s="36"/>
      <c r="H6" s="36"/>
      <c r="I6" s="36"/>
      <c r="J6" s="40" t="b">
        <v>1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34</v>
      </c>
      <c r="C6" s="13" t="s">
        <v>35</v>
      </c>
      <c r="D6" s="13">
        <v>1100.0</v>
      </c>
      <c r="E6" s="31"/>
      <c r="F6" s="13" t="s">
        <v>36</v>
      </c>
      <c r="G6" s="8"/>
      <c r="H6" s="8"/>
      <c r="I6" s="8"/>
      <c r="J6" s="13">
        <v>1.0</v>
      </c>
      <c r="K6" s="8"/>
      <c r="L6" s="8"/>
      <c r="M6" s="8"/>
      <c r="N6" s="35">
        <f t="shared" ref="N6:N7" si="1">TODAY()-25</f>
        <v>45114</v>
      </c>
      <c r="O6" s="8"/>
    </row>
    <row r="7" ht="15.75" customHeight="1">
      <c r="A7" s="8"/>
      <c r="B7" s="34" t="s">
        <v>26</v>
      </c>
      <c r="C7" s="13" t="s">
        <v>37</v>
      </c>
      <c r="D7" s="13">
        <v>10.0</v>
      </c>
      <c r="E7" s="8"/>
      <c r="F7" s="13" t="s">
        <v>36</v>
      </c>
      <c r="G7" s="8"/>
      <c r="H7" s="8"/>
      <c r="I7" s="8"/>
      <c r="J7" s="13">
        <v>10.0</v>
      </c>
      <c r="K7" s="8"/>
      <c r="L7" s="8"/>
      <c r="M7" s="8"/>
      <c r="N7" s="35">
        <f t="shared" si="1"/>
        <v>45114</v>
      </c>
      <c r="O7" s="8"/>
    </row>
    <row r="8" ht="15.75" customHeight="1">
      <c r="A8" s="8"/>
      <c r="B8" s="36" t="s">
        <v>27</v>
      </c>
      <c r="C8" s="13" t="s">
        <v>37</v>
      </c>
      <c r="D8" s="13">
        <v>10.0</v>
      </c>
      <c r="E8" s="8"/>
      <c r="F8" s="13" t="s">
        <v>36</v>
      </c>
      <c r="G8" s="8"/>
      <c r="H8" s="8"/>
      <c r="I8" s="8"/>
      <c r="J8" s="13">
        <v>10.0</v>
      </c>
      <c r="K8" s="8"/>
      <c r="L8" s="8"/>
      <c r="M8" s="8"/>
      <c r="N8" s="35">
        <f>TODAY()-24</f>
        <v>45115</v>
      </c>
      <c r="O8" s="8"/>
    </row>
    <row r="9" ht="15.75" customHeight="1">
      <c r="A9" s="8"/>
      <c r="B9" s="36" t="s">
        <v>27</v>
      </c>
      <c r="C9" s="13" t="s">
        <v>37</v>
      </c>
      <c r="D9" s="13">
        <v>10.0</v>
      </c>
      <c r="E9" s="8"/>
      <c r="F9" s="13" t="s">
        <v>36</v>
      </c>
      <c r="G9" s="8"/>
      <c r="H9" s="8"/>
      <c r="I9" s="8"/>
      <c r="J9" s="13">
        <v>10.0</v>
      </c>
      <c r="K9" s="8"/>
      <c r="L9" s="8"/>
      <c r="M9" s="13" t="s">
        <v>38</v>
      </c>
      <c r="N9" s="35">
        <f>TODAY()-23</f>
        <v>45116</v>
      </c>
      <c r="O9" s="8"/>
    </row>
    <row r="10" ht="15.75" customHeight="1">
      <c r="A10" s="8"/>
      <c r="B10" s="36" t="s">
        <v>28</v>
      </c>
      <c r="C10" s="13" t="s">
        <v>37</v>
      </c>
      <c r="D10" s="13">
        <v>10.0</v>
      </c>
      <c r="E10" s="8"/>
      <c r="F10" s="13" t="s">
        <v>36</v>
      </c>
      <c r="G10" s="8"/>
      <c r="H10" s="8"/>
      <c r="I10" s="8"/>
      <c r="J10" s="13">
        <v>10.0</v>
      </c>
      <c r="K10" s="8"/>
      <c r="L10" s="8"/>
      <c r="M10" s="8"/>
      <c r="N10" s="35">
        <f>TODAY()-21</f>
        <v>45118</v>
      </c>
      <c r="O10" s="8"/>
    </row>
    <row r="11" ht="15.75" customHeight="1">
      <c r="A11" s="36"/>
      <c r="B11" s="41" t="s">
        <v>39</v>
      </c>
      <c r="C11" s="39" t="s">
        <v>35</v>
      </c>
      <c r="D11" s="42">
        <v>1000.0</v>
      </c>
      <c r="E11" s="36"/>
      <c r="F11" s="13" t="s">
        <v>40</v>
      </c>
      <c r="G11" s="36"/>
      <c r="H11" s="36"/>
      <c r="I11" s="36"/>
      <c r="J11" s="42">
        <v>1.0</v>
      </c>
      <c r="K11" s="36"/>
      <c r="L11" s="36"/>
      <c r="M11" s="36"/>
      <c r="N11" s="37">
        <f t="shared" ref="N11:N12" si="2">TODAY()-25</f>
        <v>45114</v>
      </c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  <c r="BH11" s="36"/>
      <c r="BI11" s="36"/>
      <c r="BJ11" s="36"/>
      <c r="BK11" s="36"/>
      <c r="BL11" s="36"/>
      <c r="BM11" s="36"/>
      <c r="BN11" s="36"/>
      <c r="BO11" s="36"/>
      <c r="BP11" s="36"/>
      <c r="BQ11" s="36"/>
      <c r="BR11" s="36"/>
      <c r="BS11" s="36"/>
      <c r="BT11" s="36"/>
      <c r="BU11" s="36"/>
      <c r="BV11" s="36"/>
      <c r="BW11" s="36"/>
      <c r="BX11" s="36"/>
      <c r="BY11" s="36"/>
      <c r="BZ11" s="36"/>
      <c r="CA11" s="36"/>
      <c r="CB11" s="36"/>
      <c r="CC11" s="36"/>
      <c r="CD11" s="36"/>
      <c r="CE11" s="36"/>
      <c r="CF11" s="36"/>
      <c r="CG11" s="36"/>
      <c r="CH11" s="36"/>
      <c r="CI11" s="36"/>
      <c r="CJ11" s="36"/>
      <c r="CK11" s="36"/>
      <c r="CL11" s="36"/>
      <c r="CM11" s="36"/>
      <c r="CN11" s="36"/>
      <c r="CO11" s="36"/>
      <c r="CP11" s="36"/>
      <c r="CQ11" s="36"/>
      <c r="CR11" s="36"/>
      <c r="CS11" s="36"/>
      <c r="CT11" s="36"/>
      <c r="CU11" s="36"/>
      <c r="CV11" s="36"/>
      <c r="CW11" s="36"/>
      <c r="CX11" s="36"/>
      <c r="CY11" s="36"/>
      <c r="CZ11" s="36"/>
      <c r="DA11" s="36"/>
      <c r="DB11" s="36"/>
      <c r="DC11" s="36"/>
      <c r="DD11" s="36"/>
      <c r="DE11" s="36"/>
      <c r="DF11" s="36"/>
      <c r="DG11" s="36"/>
      <c r="DH11" s="36"/>
      <c r="DI11" s="36"/>
      <c r="DJ11" s="36"/>
      <c r="DK11" s="36"/>
      <c r="DL11" s="36"/>
      <c r="DM11" s="36"/>
      <c r="DN11" s="36"/>
      <c r="DO11" s="36"/>
      <c r="DP11" s="36"/>
      <c r="DQ11" s="36"/>
      <c r="DR11" s="36"/>
      <c r="DS11" s="36"/>
      <c r="DT11" s="36"/>
      <c r="DU11" s="36"/>
      <c r="DV11" s="36"/>
      <c r="DW11" s="36"/>
      <c r="DX11" s="36"/>
      <c r="DY11" s="36"/>
      <c r="DZ11" s="36"/>
      <c r="EA11" s="36"/>
      <c r="EB11" s="36"/>
      <c r="EC11" s="36"/>
      <c r="ED11" s="36"/>
      <c r="EE11" s="36"/>
      <c r="EF11" s="36"/>
      <c r="EG11" s="36"/>
      <c r="EH11" s="36"/>
      <c r="EI11" s="36"/>
      <c r="EJ11" s="36"/>
      <c r="EK11" s="36"/>
      <c r="EL11" s="36"/>
      <c r="EM11" s="36"/>
      <c r="EN11" s="36"/>
      <c r="EO11" s="36"/>
      <c r="EP11" s="36"/>
      <c r="EQ11" s="36"/>
      <c r="ER11" s="36"/>
      <c r="ES11" s="36"/>
      <c r="ET11" s="36"/>
      <c r="EU11" s="36"/>
      <c r="EV11" s="36"/>
      <c r="EW11" s="36"/>
      <c r="EX11" s="36"/>
    </row>
    <row r="12" ht="15.75" customHeight="1">
      <c r="A12" s="36"/>
      <c r="B12" s="9" t="s">
        <v>16</v>
      </c>
      <c r="C12" s="39" t="s">
        <v>37</v>
      </c>
      <c r="D12" s="42">
        <v>10.0</v>
      </c>
      <c r="E12" s="36"/>
      <c r="F12" s="13" t="s">
        <v>40</v>
      </c>
      <c r="G12" s="36"/>
      <c r="H12" s="36"/>
      <c r="I12" s="36"/>
      <c r="J12" s="42">
        <v>10.0</v>
      </c>
      <c r="K12" s="36"/>
      <c r="L12" s="36"/>
      <c r="M12" s="36"/>
      <c r="N12" s="37">
        <f t="shared" si="2"/>
        <v>45114</v>
      </c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  <c r="BH12" s="36"/>
      <c r="BI12" s="36"/>
      <c r="BJ12" s="36"/>
      <c r="BK12" s="36"/>
      <c r="BL12" s="36"/>
      <c r="BM12" s="36"/>
      <c r="BN12" s="36"/>
      <c r="BO12" s="36"/>
      <c r="BP12" s="36"/>
      <c r="BQ12" s="36"/>
      <c r="BR12" s="36"/>
      <c r="BS12" s="36"/>
      <c r="BT12" s="36"/>
      <c r="BU12" s="36"/>
      <c r="BV12" s="36"/>
      <c r="BW12" s="36"/>
      <c r="BX12" s="36"/>
      <c r="BY12" s="36"/>
      <c r="BZ12" s="36"/>
      <c r="CA12" s="36"/>
      <c r="CB12" s="36"/>
      <c r="CC12" s="36"/>
      <c r="CD12" s="36"/>
      <c r="CE12" s="36"/>
      <c r="CF12" s="36"/>
      <c r="CG12" s="36"/>
      <c r="CH12" s="36"/>
      <c r="CI12" s="36"/>
      <c r="CJ12" s="36"/>
      <c r="CK12" s="36"/>
      <c r="CL12" s="36"/>
      <c r="CM12" s="36"/>
      <c r="CN12" s="36"/>
      <c r="CO12" s="36"/>
      <c r="CP12" s="36"/>
      <c r="CQ12" s="36"/>
      <c r="CR12" s="36"/>
      <c r="CS12" s="36"/>
      <c r="CT12" s="36"/>
      <c r="CU12" s="36"/>
      <c r="CV12" s="36"/>
      <c r="CW12" s="36"/>
      <c r="CX12" s="36"/>
      <c r="CY12" s="36"/>
      <c r="CZ12" s="36"/>
      <c r="DA12" s="36"/>
      <c r="DB12" s="36"/>
      <c r="DC12" s="36"/>
      <c r="DD12" s="36"/>
      <c r="DE12" s="36"/>
      <c r="DF12" s="36"/>
      <c r="DG12" s="36"/>
      <c r="DH12" s="36"/>
      <c r="DI12" s="36"/>
      <c r="DJ12" s="36"/>
      <c r="DK12" s="36"/>
      <c r="DL12" s="36"/>
      <c r="DM12" s="36"/>
      <c r="DN12" s="36"/>
      <c r="DO12" s="36"/>
      <c r="DP12" s="36"/>
      <c r="DQ12" s="36"/>
      <c r="DR12" s="36"/>
      <c r="DS12" s="36"/>
      <c r="DT12" s="36"/>
      <c r="DU12" s="36"/>
      <c r="DV12" s="36"/>
      <c r="DW12" s="36"/>
      <c r="DX12" s="36"/>
      <c r="DY12" s="36"/>
      <c r="DZ12" s="36"/>
      <c r="EA12" s="36"/>
      <c r="EB12" s="36"/>
      <c r="EC12" s="36"/>
      <c r="ED12" s="36"/>
      <c r="EE12" s="36"/>
      <c r="EF12" s="36"/>
      <c r="EG12" s="36"/>
      <c r="EH12" s="36"/>
      <c r="EI12" s="36"/>
      <c r="EJ12" s="36"/>
      <c r="EK12" s="36"/>
      <c r="EL12" s="36"/>
      <c r="EM12" s="36"/>
      <c r="EN12" s="36"/>
      <c r="EO12" s="36"/>
      <c r="EP12" s="36"/>
      <c r="EQ12" s="36"/>
      <c r="ER12" s="36"/>
      <c r="ES12" s="36"/>
      <c r="ET12" s="36"/>
      <c r="EU12" s="36"/>
      <c r="EV12" s="36"/>
      <c r="EW12" s="36"/>
      <c r="EX12" s="36"/>
    </row>
    <row r="13" ht="15.75" customHeight="1">
      <c r="A13" s="36"/>
      <c r="B13" s="9" t="s">
        <v>18</v>
      </c>
      <c r="C13" s="39" t="s">
        <v>37</v>
      </c>
      <c r="D13" s="42">
        <v>10.0</v>
      </c>
      <c r="E13" s="36"/>
      <c r="F13" s="13" t="s">
        <v>40</v>
      </c>
      <c r="G13" s="36"/>
      <c r="H13" s="36"/>
      <c r="I13" s="36"/>
      <c r="J13" s="42">
        <v>10.0</v>
      </c>
      <c r="K13" s="36"/>
      <c r="L13" s="36"/>
      <c r="M13" s="36"/>
      <c r="N13" s="37">
        <f>TODAY()-24</f>
        <v>45115</v>
      </c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</row>
    <row r="14" ht="15.75" customHeight="1">
      <c r="A14" s="36"/>
      <c r="B14" s="9" t="s">
        <v>18</v>
      </c>
      <c r="C14" s="39" t="s">
        <v>37</v>
      </c>
      <c r="D14" s="42">
        <v>10.0</v>
      </c>
      <c r="E14" s="36"/>
      <c r="F14" s="13" t="s">
        <v>40</v>
      </c>
      <c r="G14" s="36"/>
      <c r="H14" s="36"/>
      <c r="I14" s="36"/>
      <c r="J14" s="42">
        <v>10.0</v>
      </c>
      <c r="K14" s="36"/>
      <c r="L14" s="36"/>
      <c r="M14" s="13" t="s">
        <v>38</v>
      </c>
      <c r="N14" s="37">
        <f>TODAY()-23</f>
        <v>45116</v>
      </c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</row>
    <row r="15" ht="15.75" customHeight="1">
      <c r="A15" s="36"/>
      <c r="B15" s="9" t="s">
        <v>19</v>
      </c>
      <c r="C15" s="39" t="s">
        <v>37</v>
      </c>
      <c r="D15" s="42">
        <v>10.0</v>
      </c>
      <c r="E15" s="36"/>
      <c r="F15" s="13" t="s">
        <v>40</v>
      </c>
      <c r="G15" s="36"/>
      <c r="H15" s="36"/>
      <c r="I15" s="36"/>
      <c r="J15" s="42">
        <v>10.0</v>
      </c>
      <c r="K15" s="36"/>
      <c r="L15" s="36"/>
      <c r="M15" s="36"/>
      <c r="N15" s="37">
        <f>TODAY()-21</f>
        <v>45118</v>
      </c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</row>
    <row r="16" ht="15.75" customHeight="1">
      <c r="A16" s="8"/>
      <c r="B16" s="9" t="s">
        <v>41</v>
      </c>
      <c r="C16" s="39" t="s">
        <v>42</v>
      </c>
      <c r="D16" s="42">
        <v>1100.0</v>
      </c>
      <c r="E16" s="36"/>
      <c r="F16" s="43" t="s">
        <v>43</v>
      </c>
      <c r="G16" s="36"/>
      <c r="H16" s="36"/>
      <c r="I16" s="36"/>
      <c r="J16" s="42">
        <v>1.0</v>
      </c>
      <c r="K16" s="36"/>
      <c r="L16" s="36"/>
      <c r="M16" s="36"/>
      <c r="N16" s="37">
        <f t="shared" ref="N16:N17" si="3">TODAY()-25</f>
        <v>45114</v>
      </c>
      <c r="O16" s="8"/>
    </row>
    <row r="17" ht="15.75" customHeight="1">
      <c r="A17" s="8"/>
      <c r="B17" s="13" t="s">
        <v>20</v>
      </c>
      <c r="C17" s="39" t="s">
        <v>37</v>
      </c>
      <c r="D17" s="42">
        <v>10.0</v>
      </c>
      <c r="E17" s="36"/>
      <c r="F17" s="32" t="s">
        <v>43</v>
      </c>
      <c r="G17" s="36"/>
      <c r="H17" s="36"/>
      <c r="I17" s="36"/>
      <c r="J17" s="42">
        <v>10.0</v>
      </c>
      <c r="K17" s="36"/>
      <c r="L17" s="36"/>
      <c r="M17" s="36"/>
      <c r="N17" s="37">
        <f t="shared" si="3"/>
        <v>45114</v>
      </c>
      <c r="O17" s="8"/>
    </row>
    <row r="18" ht="15.75" customHeight="1">
      <c r="A18" s="8"/>
      <c r="B18" s="13" t="s">
        <v>21</v>
      </c>
      <c r="C18" s="39" t="s">
        <v>37</v>
      </c>
      <c r="D18" s="42">
        <v>10.0</v>
      </c>
      <c r="E18" s="36"/>
      <c r="F18" s="32" t="s">
        <v>43</v>
      </c>
      <c r="G18" s="36"/>
      <c r="H18" s="36"/>
      <c r="I18" s="36"/>
      <c r="J18" s="42">
        <v>10.0</v>
      </c>
      <c r="K18" s="36"/>
      <c r="L18" s="36"/>
      <c r="M18" s="36"/>
      <c r="N18" s="37">
        <f>TODAY()-24</f>
        <v>45115</v>
      </c>
      <c r="O18" s="8"/>
    </row>
    <row r="19" ht="15.75" customHeight="1">
      <c r="A19" s="8"/>
      <c r="B19" s="13" t="s">
        <v>21</v>
      </c>
      <c r="C19" s="39" t="s">
        <v>37</v>
      </c>
      <c r="D19" s="42">
        <v>10.0</v>
      </c>
      <c r="E19" s="36"/>
      <c r="F19" s="32" t="s">
        <v>43</v>
      </c>
      <c r="G19" s="36"/>
      <c r="H19" s="36"/>
      <c r="I19" s="36"/>
      <c r="J19" s="42">
        <v>10.0</v>
      </c>
      <c r="K19" s="36"/>
      <c r="L19" s="36"/>
      <c r="M19" s="39" t="s">
        <v>38</v>
      </c>
      <c r="N19" s="37">
        <f>TODAY()-23</f>
        <v>45116</v>
      </c>
      <c r="O19" s="8"/>
    </row>
    <row r="20" ht="15.75" customHeight="1">
      <c r="A20" s="8"/>
      <c r="B20" s="13" t="s">
        <v>44</v>
      </c>
      <c r="C20" s="39" t="s">
        <v>42</v>
      </c>
      <c r="D20" s="42">
        <v>1100.0</v>
      </c>
      <c r="E20" s="36"/>
      <c r="F20" s="41" t="s">
        <v>45</v>
      </c>
      <c r="G20" s="36"/>
      <c r="H20" s="36"/>
      <c r="I20" s="36"/>
      <c r="J20" s="42">
        <v>1.0</v>
      </c>
      <c r="K20" s="36"/>
      <c r="L20" s="36"/>
      <c r="M20" s="36"/>
      <c r="N20" s="37">
        <f t="shared" ref="N20:N21" si="4">TODAY()-25</f>
        <v>45114</v>
      </c>
      <c r="O20" s="36"/>
      <c r="P20" s="36"/>
      <c r="Q20" s="36"/>
      <c r="R20" s="36"/>
      <c r="S20" s="36"/>
      <c r="T20" s="36"/>
      <c r="U20" s="36"/>
    </row>
    <row r="21" ht="15.75" customHeight="1">
      <c r="A21" s="8"/>
      <c r="B21" s="33" t="s">
        <v>22</v>
      </c>
      <c r="C21" s="39" t="s">
        <v>46</v>
      </c>
      <c r="D21" s="42">
        <v>10.0</v>
      </c>
      <c r="E21" s="36"/>
      <c r="F21" s="44" t="s">
        <v>45</v>
      </c>
      <c r="G21" s="36"/>
      <c r="H21" s="36"/>
      <c r="I21" s="36"/>
      <c r="J21" s="42">
        <v>10.0</v>
      </c>
      <c r="K21" s="36"/>
      <c r="L21" s="36"/>
      <c r="M21" s="36"/>
      <c r="N21" s="37">
        <f t="shared" si="4"/>
        <v>45114</v>
      </c>
      <c r="O21" s="36"/>
      <c r="P21" s="36"/>
      <c r="Q21" s="36"/>
      <c r="R21" s="36"/>
      <c r="S21" s="36"/>
      <c r="T21" s="36"/>
      <c r="U21" s="36"/>
    </row>
    <row r="22" ht="15.75" customHeight="1">
      <c r="A22" s="8"/>
      <c r="B22" s="13" t="s">
        <v>23</v>
      </c>
      <c r="C22" s="39" t="s">
        <v>46</v>
      </c>
      <c r="D22" s="42">
        <v>10.0</v>
      </c>
      <c r="E22" s="36"/>
      <c r="F22" s="44" t="s">
        <v>45</v>
      </c>
      <c r="G22" s="36"/>
      <c r="H22" s="36"/>
      <c r="I22" s="36"/>
      <c r="J22" s="42">
        <v>10.0</v>
      </c>
      <c r="K22" s="36"/>
      <c r="L22" s="36"/>
      <c r="M22" s="36"/>
      <c r="N22" s="37">
        <f>TODAY()-24</f>
        <v>45115</v>
      </c>
      <c r="O22" s="36"/>
      <c r="P22" s="36"/>
      <c r="Q22" s="36"/>
      <c r="R22" s="36"/>
      <c r="S22" s="36"/>
      <c r="T22" s="36"/>
      <c r="U22" s="36"/>
    </row>
    <row r="23" ht="15.75" customHeight="1">
      <c r="A23" s="8"/>
      <c r="B23" s="13" t="s">
        <v>23</v>
      </c>
      <c r="C23" s="39" t="s">
        <v>46</v>
      </c>
      <c r="D23" s="42">
        <v>10.0</v>
      </c>
      <c r="E23" s="36"/>
      <c r="F23" s="44" t="s">
        <v>45</v>
      </c>
      <c r="G23" s="36"/>
      <c r="H23" s="36"/>
      <c r="I23" s="36"/>
      <c r="J23" s="42">
        <v>10.0</v>
      </c>
      <c r="K23" s="36"/>
      <c r="L23" s="36"/>
      <c r="M23" s="39" t="s">
        <v>47</v>
      </c>
      <c r="N23" s="37">
        <f>TODAY()-23</f>
        <v>45116</v>
      </c>
      <c r="O23" s="36"/>
      <c r="P23" s="36"/>
      <c r="Q23" s="36"/>
      <c r="R23" s="36"/>
      <c r="S23" s="36"/>
      <c r="T23" s="36"/>
      <c r="U23" s="36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48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5">
        <f>TODAY()-1</f>
        <v>45138</v>
      </c>
      <c r="C6" s="35">
        <f>TODAY()</f>
        <v>45139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48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34</v>
      </c>
      <c r="C6" s="13">
        <v>120.0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39</v>
      </c>
      <c r="C7" s="13">
        <v>120.0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41</v>
      </c>
      <c r="C8" s="13">
        <v>120.0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44</v>
      </c>
      <c r="C9" s="13">
        <v>120.0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8" t="s">
        <v>52</v>
      </c>
      <c r="C6" s="46" t="s">
        <v>53</v>
      </c>
      <c r="D6" s="46">
        <f>TODAY()</f>
        <v>45139</v>
      </c>
      <c r="E6" s="13" t="s">
        <v>36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13"/>
      <c r="B6" s="38" t="s">
        <v>36</v>
      </c>
      <c r="C6" s="36"/>
      <c r="D6" s="34"/>
      <c r="E6" s="39"/>
      <c r="F6" s="36"/>
      <c r="G6" s="36"/>
      <c r="H6" s="36"/>
      <c r="I6" s="42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47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13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47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4" t="s">
        <v>26</v>
      </c>
      <c r="DI6" s="36"/>
    </row>
    <row r="7" ht="15.75" customHeight="1">
      <c r="A7" s="8"/>
      <c r="B7" s="39" t="s">
        <v>36</v>
      </c>
      <c r="C7" s="36"/>
      <c r="D7" s="36"/>
      <c r="E7" s="39"/>
      <c r="F7" s="36"/>
      <c r="G7" s="36"/>
      <c r="H7" s="36"/>
      <c r="I7" s="42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47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13"/>
      <c r="BW7" s="48"/>
      <c r="BX7" s="36"/>
      <c r="BY7" s="36"/>
      <c r="BZ7" s="36"/>
      <c r="CA7" s="36"/>
      <c r="CB7" s="36"/>
      <c r="CC7" s="36"/>
      <c r="CD7" s="36"/>
      <c r="CE7" s="36"/>
      <c r="CF7" s="36"/>
      <c r="CG7" s="47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 t="s">
        <v>27</v>
      </c>
      <c r="DI7" s="36"/>
    </row>
    <row r="8" ht="15.75" customHeight="1">
      <c r="A8" s="8"/>
      <c r="B8" s="39" t="s">
        <v>36</v>
      </c>
      <c r="C8" s="36"/>
      <c r="D8" s="36"/>
      <c r="E8" s="39"/>
      <c r="F8" s="36"/>
      <c r="G8" s="36"/>
      <c r="H8" s="36"/>
      <c r="I8" s="42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47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13"/>
      <c r="BX8" s="36"/>
      <c r="BY8" s="36"/>
      <c r="BZ8" s="36"/>
      <c r="CA8" s="36"/>
      <c r="CB8" s="36"/>
      <c r="CC8" s="36"/>
      <c r="CD8" s="36"/>
      <c r="CE8" s="36"/>
      <c r="CF8" s="36"/>
      <c r="CG8" s="47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41" t="s">
        <v>38</v>
      </c>
      <c r="DE8" s="36"/>
      <c r="DF8" s="36"/>
      <c r="DG8" s="36"/>
      <c r="DH8" s="36"/>
      <c r="DI8" s="36"/>
    </row>
    <row r="9" ht="15.75" customHeight="1">
      <c r="A9" s="8"/>
      <c r="B9" s="39" t="s">
        <v>36</v>
      </c>
      <c r="C9" s="36"/>
      <c r="D9" s="36"/>
      <c r="E9" s="39"/>
      <c r="F9" s="36"/>
      <c r="G9" s="36"/>
      <c r="H9" s="36"/>
      <c r="I9" s="42"/>
      <c r="J9" s="8"/>
      <c r="K9" s="8"/>
      <c r="L9" s="8"/>
      <c r="M9" s="8"/>
      <c r="N9" s="8"/>
      <c r="O9" s="8"/>
      <c r="BV9" s="13"/>
      <c r="DH9" s="36" t="s">
        <v>28</v>
      </c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SelectTradeUnexpiredUnsettled!$4:$4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56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8" t="s">
        <v>52</v>
      </c>
      <c r="C6" s="46" t="s">
        <v>53</v>
      </c>
      <c r="D6" s="46">
        <f>TODAY()</f>
        <v>45139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58</v>
      </c>
      <c r="D3" s="5" t="s">
        <v>9</v>
      </c>
      <c r="E3" s="23" t="s">
        <v>59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9" t="s">
        <v>60</v>
      </c>
      <c r="B6" s="49"/>
      <c r="C6" s="8" t="s">
        <v>34</v>
      </c>
      <c r="D6" s="49">
        <v>-1100.0</v>
      </c>
      <c r="E6" s="8" t="s">
        <v>36</v>
      </c>
      <c r="F6" s="8" t="s">
        <v>61</v>
      </c>
      <c r="G6" s="8">
        <v>1.0</v>
      </c>
      <c r="H6" s="8" t="s">
        <v>47</v>
      </c>
      <c r="I6" s="8"/>
      <c r="J6" s="8"/>
      <c r="K6" s="8"/>
      <c r="L6" s="8"/>
      <c r="M6" s="8"/>
      <c r="N6" s="8"/>
      <c r="O6" s="8"/>
      <c r="R6" t="s">
        <v>62</v>
      </c>
      <c r="S6" t="s">
        <v>63</v>
      </c>
      <c r="T6" t="s">
        <v>64</v>
      </c>
      <c r="U6" t="s">
        <v>65</v>
      </c>
      <c r="V6" t="s">
        <v>66</v>
      </c>
      <c r="W6" t="s">
        <v>67</v>
      </c>
      <c r="X6">
        <v>1.0</v>
      </c>
      <c r="Y6">
        <v>1.0</v>
      </c>
      <c r="AN6" t="s">
        <v>35</v>
      </c>
      <c r="AQ6" t="s">
        <v>34</v>
      </c>
      <c r="BE6" t="s">
        <v>64</v>
      </c>
      <c r="BF6" t="s">
        <v>68</v>
      </c>
      <c r="BQ6" t="s">
        <v>69</v>
      </c>
      <c r="BR6" t="s">
        <v>70</v>
      </c>
      <c r="FL6" t="s">
        <v>60</v>
      </c>
      <c r="FM6" t="s">
        <v>60</v>
      </c>
      <c r="FN6" t="s">
        <v>60</v>
      </c>
      <c r="FO6" t="s">
        <v>60</v>
      </c>
      <c r="FP6" t="s">
        <v>60</v>
      </c>
      <c r="FQ6" t="s">
        <v>60</v>
      </c>
    </row>
    <row r="7" ht="15.75" customHeight="1">
      <c r="A7" s="8" t="s">
        <v>60</v>
      </c>
      <c r="B7" s="8"/>
      <c r="C7" s="8" t="s">
        <v>34</v>
      </c>
      <c r="D7" s="8">
        <v>1000.0</v>
      </c>
      <c r="E7" s="8" t="s">
        <v>36</v>
      </c>
      <c r="F7" s="8" t="s">
        <v>61</v>
      </c>
      <c r="G7" s="8">
        <v>70.0</v>
      </c>
      <c r="H7" s="8" t="s">
        <v>47</v>
      </c>
      <c r="I7" s="8"/>
      <c r="J7" s="8"/>
      <c r="K7" s="8"/>
      <c r="L7" s="8"/>
      <c r="M7" s="8"/>
      <c r="N7" s="8"/>
      <c r="O7" s="8"/>
      <c r="R7" t="s">
        <v>62</v>
      </c>
      <c r="S7" t="s">
        <v>63</v>
      </c>
      <c r="T7" t="s">
        <v>64</v>
      </c>
      <c r="U7" t="s">
        <v>65</v>
      </c>
      <c r="V7" t="s">
        <v>66</v>
      </c>
      <c r="W7" t="s">
        <v>67</v>
      </c>
      <c r="X7">
        <v>1.0</v>
      </c>
      <c r="Y7">
        <v>1.0</v>
      </c>
      <c r="AN7" t="s">
        <v>42</v>
      </c>
      <c r="AQ7" t="s">
        <v>34</v>
      </c>
      <c r="BE7" t="s">
        <v>64</v>
      </c>
      <c r="BF7" t="s">
        <v>68</v>
      </c>
      <c r="BQ7" t="s">
        <v>69</v>
      </c>
      <c r="BR7" t="s">
        <v>70</v>
      </c>
      <c r="FL7" t="s">
        <v>60</v>
      </c>
      <c r="FM7" t="s">
        <v>60</v>
      </c>
      <c r="FN7" t="s">
        <v>60</v>
      </c>
      <c r="FO7" t="s">
        <v>60</v>
      </c>
      <c r="FP7" t="s">
        <v>60</v>
      </c>
      <c r="FQ7" t="s">
        <v>60</v>
      </c>
    </row>
    <row r="8" ht="15.75" customHeight="1">
      <c r="A8" s="8" t="s">
        <v>60</v>
      </c>
      <c r="B8" s="8"/>
      <c r="C8" s="8" t="s">
        <v>34</v>
      </c>
      <c r="D8" s="8">
        <v>100.0</v>
      </c>
      <c r="E8" s="8" t="s">
        <v>36</v>
      </c>
      <c r="F8" s="8" t="s">
        <v>61</v>
      </c>
      <c r="G8" s="8">
        <v>60.0</v>
      </c>
      <c r="H8" s="8" t="s">
        <v>47</v>
      </c>
      <c r="I8" s="8"/>
      <c r="J8" s="8"/>
      <c r="K8" s="8"/>
      <c r="L8" s="8"/>
      <c r="M8" s="8"/>
      <c r="N8" s="8"/>
      <c r="O8" s="8"/>
      <c r="R8" t="s">
        <v>62</v>
      </c>
      <c r="S8" t="s">
        <v>63</v>
      </c>
      <c r="T8" t="s">
        <v>64</v>
      </c>
      <c r="U8" t="s">
        <v>65</v>
      </c>
      <c r="V8" t="s">
        <v>66</v>
      </c>
      <c r="W8" t="s">
        <v>67</v>
      </c>
      <c r="X8">
        <v>1.0</v>
      </c>
      <c r="Y8">
        <v>1.0</v>
      </c>
      <c r="AN8" t="s">
        <v>71</v>
      </c>
      <c r="AQ8" t="s">
        <v>34</v>
      </c>
      <c r="BE8" t="s">
        <v>64</v>
      </c>
      <c r="BF8" t="s">
        <v>68</v>
      </c>
      <c r="BQ8" t="s">
        <v>69</v>
      </c>
      <c r="BR8" t="s">
        <v>70</v>
      </c>
      <c r="FL8" t="s">
        <v>60</v>
      </c>
      <c r="FM8" t="s">
        <v>60</v>
      </c>
      <c r="FN8" t="s">
        <v>60</v>
      </c>
      <c r="FO8" t="s">
        <v>60</v>
      </c>
      <c r="FP8" t="s">
        <v>60</v>
      </c>
      <c r="FQ8" t="s">
        <v>60</v>
      </c>
    </row>
    <row r="9" ht="15.75" customHeight="1">
      <c r="A9" s="8" t="s">
        <v>60</v>
      </c>
      <c r="B9" s="8"/>
      <c r="C9" s="8" t="s">
        <v>34</v>
      </c>
      <c r="D9" s="8">
        <v>900.0</v>
      </c>
      <c r="E9" s="8" t="s">
        <v>36</v>
      </c>
      <c r="F9" s="8" t="s">
        <v>61</v>
      </c>
      <c r="G9" s="8">
        <v>60.0</v>
      </c>
      <c r="H9" s="8" t="s">
        <v>47</v>
      </c>
      <c r="I9" s="8"/>
      <c r="J9" s="8"/>
      <c r="K9" s="8"/>
      <c r="L9" s="8"/>
      <c r="M9" s="8"/>
      <c r="N9" s="8"/>
      <c r="O9" s="8"/>
      <c r="R9" t="s">
        <v>62</v>
      </c>
      <c r="S9" t="s">
        <v>63</v>
      </c>
      <c r="T9" t="s">
        <v>64</v>
      </c>
      <c r="U9" t="s">
        <v>65</v>
      </c>
      <c r="V9" t="s">
        <v>66</v>
      </c>
      <c r="W9" t="s">
        <v>67</v>
      </c>
      <c r="X9">
        <v>1.0</v>
      </c>
      <c r="Y9">
        <v>1.0</v>
      </c>
      <c r="AN9" t="s">
        <v>42</v>
      </c>
      <c r="AQ9" t="s">
        <v>34</v>
      </c>
      <c r="BE9" t="s">
        <v>64</v>
      </c>
      <c r="BF9" t="s">
        <v>68</v>
      </c>
      <c r="BQ9" t="s">
        <v>69</v>
      </c>
      <c r="BR9" t="s">
        <v>70</v>
      </c>
      <c r="FL9" t="s">
        <v>60</v>
      </c>
      <c r="FM9" t="s">
        <v>60</v>
      </c>
      <c r="FN9" t="s">
        <v>60</v>
      </c>
      <c r="FO9" t="s">
        <v>60</v>
      </c>
      <c r="FP9" t="s">
        <v>60</v>
      </c>
      <c r="FQ9" t="s">
        <v>60</v>
      </c>
    </row>
    <row r="10" ht="15.75" customHeight="1">
      <c r="A10" s="8" t="s">
        <v>60</v>
      </c>
      <c r="B10" s="8"/>
      <c r="C10" s="8" t="s">
        <v>34</v>
      </c>
      <c r="D10" s="8">
        <v>1000.0</v>
      </c>
      <c r="E10" s="8" t="s">
        <v>36</v>
      </c>
      <c r="F10" s="8" t="s">
        <v>61</v>
      </c>
      <c r="G10" s="8">
        <v>50.0</v>
      </c>
      <c r="H10" s="8" t="s">
        <v>47</v>
      </c>
      <c r="I10" s="8"/>
      <c r="J10" s="8"/>
      <c r="K10" s="8"/>
      <c r="L10" s="8"/>
      <c r="M10" s="8"/>
      <c r="N10" s="8"/>
      <c r="O10" s="8"/>
      <c r="R10" t="s">
        <v>62</v>
      </c>
      <c r="S10" t="s">
        <v>63</v>
      </c>
      <c r="T10" t="s">
        <v>64</v>
      </c>
      <c r="U10" t="s">
        <v>65</v>
      </c>
      <c r="V10" t="s">
        <v>66</v>
      </c>
      <c r="W10" t="s">
        <v>67</v>
      </c>
      <c r="X10">
        <v>1.0</v>
      </c>
      <c r="Y10">
        <v>1.0</v>
      </c>
      <c r="AN10" t="s">
        <v>71</v>
      </c>
      <c r="AQ10" t="s">
        <v>34</v>
      </c>
      <c r="BE10" t="s">
        <v>64</v>
      </c>
      <c r="BF10" t="s">
        <v>68</v>
      </c>
      <c r="BQ10" t="s">
        <v>69</v>
      </c>
      <c r="BR10" t="s">
        <v>70</v>
      </c>
      <c r="FL10" t="s">
        <v>60</v>
      </c>
      <c r="FM10" t="s">
        <v>60</v>
      </c>
      <c r="FN10" t="s">
        <v>60</v>
      </c>
      <c r="FO10" t="s">
        <v>60</v>
      </c>
      <c r="FP10" t="s">
        <v>60</v>
      </c>
      <c r="FQ10" t="s">
        <v>60</v>
      </c>
    </row>
    <row r="11" ht="15.75" customHeight="1">
      <c r="A11" s="8" t="s">
        <v>60</v>
      </c>
      <c r="B11" s="8"/>
      <c r="C11" s="8" t="s">
        <v>34</v>
      </c>
      <c r="D11" s="8">
        <v>1000.0</v>
      </c>
      <c r="E11" s="8" t="s">
        <v>36</v>
      </c>
      <c r="F11" s="8" t="s">
        <v>61</v>
      </c>
      <c r="G11" s="8">
        <v>60.0</v>
      </c>
      <c r="H11" s="8" t="s">
        <v>47</v>
      </c>
      <c r="I11" s="8"/>
      <c r="J11" s="8"/>
      <c r="K11" s="8"/>
      <c r="L11" s="8"/>
      <c r="M11" s="8"/>
      <c r="N11" s="8"/>
      <c r="O11" s="8"/>
      <c r="R11" t="s">
        <v>62</v>
      </c>
      <c r="S11" t="s">
        <v>38</v>
      </c>
      <c r="T11" t="s">
        <v>64</v>
      </c>
      <c r="U11" t="s">
        <v>65</v>
      </c>
      <c r="V11" t="s">
        <v>66</v>
      </c>
      <c r="W11" t="s">
        <v>67</v>
      </c>
      <c r="X11">
        <v>1.0</v>
      </c>
      <c r="Y11">
        <v>1.0</v>
      </c>
      <c r="AN11" t="s">
        <v>42</v>
      </c>
      <c r="AQ11" t="s">
        <v>34</v>
      </c>
      <c r="BE11" t="s">
        <v>64</v>
      </c>
      <c r="BF11" t="s">
        <v>68</v>
      </c>
      <c r="BQ11" t="s">
        <v>69</v>
      </c>
      <c r="BR11" t="s">
        <v>70</v>
      </c>
      <c r="FL11" t="s">
        <v>60</v>
      </c>
      <c r="FM11" t="s">
        <v>60</v>
      </c>
      <c r="FN11" t="s">
        <v>60</v>
      </c>
      <c r="FO11" t="s">
        <v>60</v>
      </c>
      <c r="FP11" t="s">
        <v>60</v>
      </c>
      <c r="FQ11" t="s">
        <v>60</v>
      </c>
    </row>
    <row r="12" ht="15.75" customHeight="1">
      <c r="A12" s="8" t="s">
        <v>60</v>
      </c>
      <c r="B12" s="8"/>
      <c r="C12" s="8" t="s">
        <v>39</v>
      </c>
      <c r="D12" s="8">
        <v>-1000.0</v>
      </c>
      <c r="E12" s="8" t="s">
        <v>40</v>
      </c>
      <c r="F12" s="8" t="s">
        <v>72</v>
      </c>
      <c r="G12" s="8">
        <v>1.0</v>
      </c>
      <c r="H12" s="8" t="s">
        <v>38</v>
      </c>
      <c r="I12" s="8"/>
      <c r="J12" s="8"/>
      <c r="K12" s="8"/>
      <c r="L12" s="8"/>
      <c r="M12" s="8"/>
      <c r="N12" s="8"/>
      <c r="O12" s="8"/>
      <c r="R12" t="s">
        <v>70</v>
      </c>
      <c r="S12" t="s">
        <v>63</v>
      </c>
      <c r="T12" t="s">
        <v>64</v>
      </c>
      <c r="U12" t="s">
        <v>65</v>
      </c>
      <c r="V12" t="s">
        <v>66</v>
      </c>
      <c r="W12" t="s">
        <v>67</v>
      </c>
      <c r="X12">
        <v>1.0</v>
      </c>
      <c r="Y12">
        <v>1.0</v>
      </c>
      <c r="AN12" t="s">
        <v>35</v>
      </c>
      <c r="AQ12" t="s">
        <v>39</v>
      </c>
      <c r="BE12" t="s">
        <v>64</v>
      </c>
      <c r="BF12" t="s">
        <v>73</v>
      </c>
      <c r="BQ12" t="s">
        <v>69</v>
      </c>
      <c r="BR12" t="s">
        <v>70</v>
      </c>
      <c r="FL12" t="s">
        <v>60</v>
      </c>
      <c r="FM12" t="s">
        <v>60</v>
      </c>
      <c r="FN12" t="s">
        <v>60</v>
      </c>
      <c r="FO12" t="s">
        <v>60</v>
      </c>
      <c r="FP12" t="s">
        <v>60</v>
      </c>
      <c r="FQ12" t="s">
        <v>60</v>
      </c>
    </row>
    <row r="13" ht="15.75" customHeight="1">
      <c r="A13" s="8" t="s">
        <v>60</v>
      </c>
      <c r="B13" s="8"/>
      <c r="C13" s="8" t="s">
        <v>39</v>
      </c>
      <c r="D13" s="8">
        <v>-1000.0</v>
      </c>
      <c r="E13" s="8" t="s">
        <v>40</v>
      </c>
      <c r="F13" s="8" t="s">
        <v>72</v>
      </c>
      <c r="G13" s="8">
        <v>70.0</v>
      </c>
      <c r="H13" s="8" t="s">
        <v>38</v>
      </c>
      <c r="I13" s="8"/>
      <c r="J13" s="8"/>
      <c r="K13" s="8"/>
      <c r="L13" s="8"/>
      <c r="M13" s="8"/>
      <c r="N13" s="8"/>
      <c r="O13" s="8"/>
      <c r="R13" t="s">
        <v>70</v>
      </c>
      <c r="S13" t="s">
        <v>63</v>
      </c>
      <c r="T13" t="s">
        <v>64</v>
      </c>
      <c r="U13" t="s">
        <v>65</v>
      </c>
      <c r="V13" t="s">
        <v>66</v>
      </c>
      <c r="W13" t="s">
        <v>67</v>
      </c>
      <c r="X13">
        <v>1.0</v>
      </c>
      <c r="Y13">
        <v>1.0</v>
      </c>
      <c r="AN13" t="s">
        <v>35</v>
      </c>
      <c r="AQ13" t="s">
        <v>39</v>
      </c>
      <c r="BE13" t="s">
        <v>64</v>
      </c>
      <c r="BF13" t="s">
        <v>73</v>
      </c>
      <c r="BQ13" t="s">
        <v>69</v>
      </c>
      <c r="BR13" t="s">
        <v>70</v>
      </c>
      <c r="FL13" t="s">
        <v>60</v>
      </c>
      <c r="FM13" t="s">
        <v>60</v>
      </c>
      <c r="FN13" t="s">
        <v>60</v>
      </c>
      <c r="FO13" t="s">
        <v>60</v>
      </c>
      <c r="FP13" t="s">
        <v>60</v>
      </c>
      <c r="FQ13" t="s">
        <v>60</v>
      </c>
    </row>
    <row r="14" ht="15.75" customHeight="1">
      <c r="A14" s="8" t="s">
        <v>60</v>
      </c>
      <c r="B14" s="8"/>
      <c r="C14" s="8" t="s">
        <v>39</v>
      </c>
      <c r="D14" s="8">
        <v>-1000.0</v>
      </c>
      <c r="E14" s="8" t="s">
        <v>40</v>
      </c>
      <c r="F14" s="8" t="s">
        <v>72</v>
      </c>
      <c r="G14" s="8">
        <v>60.0</v>
      </c>
      <c r="H14" s="8" t="s">
        <v>38</v>
      </c>
      <c r="I14" s="8"/>
      <c r="J14" s="8"/>
      <c r="K14" s="8"/>
      <c r="L14" s="8"/>
      <c r="M14" s="8"/>
      <c r="N14" s="8"/>
      <c r="O14" s="8"/>
      <c r="R14" t="s">
        <v>70</v>
      </c>
      <c r="S14" t="s">
        <v>63</v>
      </c>
      <c r="T14" t="s">
        <v>64</v>
      </c>
      <c r="U14" t="s">
        <v>65</v>
      </c>
      <c r="V14" t="s">
        <v>66</v>
      </c>
      <c r="W14" t="s">
        <v>67</v>
      </c>
      <c r="X14">
        <v>1.0</v>
      </c>
      <c r="Y14">
        <v>1.0</v>
      </c>
      <c r="AN14" t="s">
        <v>35</v>
      </c>
      <c r="AQ14" t="s">
        <v>39</v>
      </c>
      <c r="BE14" t="s">
        <v>64</v>
      </c>
      <c r="BF14" t="s">
        <v>73</v>
      </c>
      <c r="BQ14" t="s">
        <v>69</v>
      </c>
      <c r="BR14" t="s">
        <v>70</v>
      </c>
      <c r="FL14" t="s">
        <v>60</v>
      </c>
      <c r="FM14" t="s">
        <v>60</v>
      </c>
      <c r="FN14" t="s">
        <v>60</v>
      </c>
      <c r="FO14" t="s">
        <v>60</v>
      </c>
      <c r="FP14" t="s">
        <v>60</v>
      </c>
      <c r="FQ14" t="s">
        <v>60</v>
      </c>
    </row>
    <row r="15" ht="15.75" customHeight="1">
      <c r="A15" s="8" t="s">
        <v>60</v>
      </c>
      <c r="B15" s="8"/>
      <c r="C15" s="8" t="s">
        <v>39</v>
      </c>
      <c r="D15" s="8">
        <v>-1000.0</v>
      </c>
      <c r="E15" s="8" t="s">
        <v>40</v>
      </c>
      <c r="F15" s="8" t="s">
        <v>72</v>
      </c>
      <c r="G15" s="8">
        <v>50.0</v>
      </c>
      <c r="H15" s="8" t="s">
        <v>38</v>
      </c>
      <c r="I15" s="8"/>
      <c r="J15" s="8"/>
      <c r="K15" s="8"/>
      <c r="L15" s="8"/>
      <c r="M15" s="8"/>
      <c r="N15" s="8"/>
      <c r="O15" s="8"/>
      <c r="R15" t="s">
        <v>70</v>
      </c>
      <c r="S15" t="s">
        <v>63</v>
      </c>
      <c r="T15" t="s">
        <v>64</v>
      </c>
      <c r="U15" t="s">
        <v>65</v>
      </c>
      <c r="V15" t="s">
        <v>66</v>
      </c>
      <c r="W15" t="s">
        <v>67</v>
      </c>
      <c r="X15">
        <v>1.0</v>
      </c>
      <c r="Y15">
        <v>1.0</v>
      </c>
      <c r="AN15" t="s">
        <v>35</v>
      </c>
      <c r="AQ15" t="s">
        <v>39</v>
      </c>
      <c r="BE15" t="s">
        <v>64</v>
      </c>
      <c r="BF15" t="s">
        <v>73</v>
      </c>
      <c r="BQ15" t="s">
        <v>69</v>
      </c>
      <c r="BR15" t="s">
        <v>70</v>
      </c>
      <c r="FL15" t="s">
        <v>60</v>
      </c>
      <c r="FM15" t="s">
        <v>60</v>
      </c>
      <c r="FN15" t="s">
        <v>60</v>
      </c>
      <c r="FO15" t="s">
        <v>60</v>
      </c>
      <c r="FP15" t="s">
        <v>60</v>
      </c>
      <c r="FQ15" t="s">
        <v>60</v>
      </c>
    </row>
    <row r="16" ht="15.75" customHeight="1">
      <c r="A16" s="8" t="s">
        <v>60</v>
      </c>
      <c r="B16" s="8"/>
      <c r="C16" s="8" t="s">
        <v>39</v>
      </c>
      <c r="D16" s="8">
        <v>-1000.0</v>
      </c>
      <c r="E16" s="8" t="s">
        <v>40</v>
      </c>
      <c r="F16" s="8" t="s">
        <v>72</v>
      </c>
      <c r="G16" s="8">
        <v>60.0</v>
      </c>
      <c r="H16" s="8" t="s">
        <v>38</v>
      </c>
      <c r="I16" s="8"/>
      <c r="J16" s="8"/>
      <c r="K16" s="8"/>
      <c r="L16" s="8"/>
      <c r="M16" s="8"/>
      <c r="N16" s="8"/>
      <c r="O16" s="8"/>
      <c r="R16" t="s">
        <v>70</v>
      </c>
      <c r="S16" t="s">
        <v>38</v>
      </c>
      <c r="T16" t="s">
        <v>64</v>
      </c>
      <c r="U16" t="s">
        <v>65</v>
      </c>
      <c r="V16" t="s">
        <v>66</v>
      </c>
      <c r="W16" t="s">
        <v>67</v>
      </c>
      <c r="X16">
        <v>1.0</v>
      </c>
      <c r="Y16">
        <v>1.0</v>
      </c>
      <c r="AN16" t="s">
        <v>35</v>
      </c>
      <c r="AQ16" t="s">
        <v>39</v>
      </c>
      <c r="BE16" t="s">
        <v>64</v>
      </c>
      <c r="BF16" t="s">
        <v>73</v>
      </c>
      <c r="BQ16" t="s">
        <v>69</v>
      </c>
      <c r="BR16" t="s">
        <v>70</v>
      </c>
      <c r="FL16" t="s">
        <v>60</v>
      </c>
      <c r="FM16" t="s">
        <v>60</v>
      </c>
      <c r="FN16" t="s">
        <v>60</v>
      </c>
      <c r="FO16" t="s">
        <v>60</v>
      </c>
      <c r="FP16" t="s">
        <v>60</v>
      </c>
      <c r="FQ16" t="s">
        <v>60</v>
      </c>
    </row>
    <row r="17" ht="15.75" customHeight="1">
      <c r="A17" s="8" t="s">
        <v>60</v>
      </c>
      <c r="B17" s="8"/>
      <c r="C17" s="8" t="s">
        <v>41</v>
      </c>
      <c r="D17" s="8">
        <v>1100.0</v>
      </c>
      <c r="E17" s="8" t="s">
        <v>43</v>
      </c>
      <c r="F17" s="8" t="s">
        <v>74</v>
      </c>
      <c r="G17" s="8">
        <v>1.0</v>
      </c>
      <c r="H17" s="8" t="s">
        <v>38</v>
      </c>
      <c r="I17" s="8"/>
      <c r="J17" s="8"/>
      <c r="K17" s="8"/>
      <c r="L17" s="8"/>
      <c r="M17" s="8"/>
      <c r="N17" s="8"/>
      <c r="O17" s="8"/>
      <c r="R17" t="s">
        <v>70</v>
      </c>
      <c r="S17" t="s">
        <v>63</v>
      </c>
      <c r="T17" t="s">
        <v>64</v>
      </c>
      <c r="U17" t="s">
        <v>65</v>
      </c>
      <c r="V17" t="s">
        <v>66</v>
      </c>
      <c r="W17" t="s">
        <v>67</v>
      </c>
      <c r="X17">
        <v>1.0</v>
      </c>
      <c r="Y17">
        <v>1.0</v>
      </c>
      <c r="AN17" t="s">
        <v>42</v>
      </c>
      <c r="AQ17" t="s">
        <v>41</v>
      </c>
      <c r="BE17" t="s">
        <v>64</v>
      </c>
      <c r="BF17" t="s">
        <v>73</v>
      </c>
      <c r="BQ17" t="s">
        <v>69</v>
      </c>
      <c r="BR17" t="s">
        <v>70</v>
      </c>
      <c r="FL17" t="s">
        <v>60</v>
      </c>
      <c r="FM17" t="s">
        <v>60</v>
      </c>
      <c r="FN17" t="s">
        <v>60</v>
      </c>
      <c r="FO17" t="s">
        <v>60</v>
      </c>
      <c r="FP17" t="s">
        <v>60</v>
      </c>
      <c r="FQ17" t="s">
        <v>60</v>
      </c>
    </row>
    <row r="18" ht="15.75" customHeight="1">
      <c r="A18" s="8" t="s">
        <v>60</v>
      </c>
      <c r="B18" s="8"/>
      <c r="C18" s="8" t="s">
        <v>41</v>
      </c>
      <c r="D18" s="8">
        <v>-1000.0</v>
      </c>
      <c r="E18" s="8" t="s">
        <v>43</v>
      </c>
      <c r="F18" s="8" t="s">
        <v>74</v>
      </c>
      <c r="G18" s="8">
        <v>60.0</v>
      </c>
      <c r="H18" s="8" t="s">
        <v>38</v>
      </c>
      <c r="I18" s="8"/>
      <c r="J18" s="8"/>
      <c r="K18" s="8"/>
      <c r="L18" s="8"/>
      <c r="M18" s="8"/>
      <c r="N18" s="8"/>
      <c r="O18" s="8"/>
      <c r="R18" t="s">
        <v>70</v>
      </c>
      <c r="S18" t="s">
        <v>38</v>
      </c>
      <c r="T18" t="s">
        <v>64</v>
      </c>
      <c r="U18" t="s">
        <v>65</v>
      </c>
      <c r="V18" t="s">
        <v>66</v>
      </c>
      <c r="W18" t="s">
        <v>67</v>
      </c>
      <c r="X18">
        <v>1.0</v>
      </c>
      <c r="Y18">
        <v>1.0</v>
      </c>
      <c r="AN18" t="s">
        <v>35</v>
      </c>
      <c r="AQ18" t="s">
        <v>41</v>
      </c>
      <c r="BE18" t="s">
        <v>64</v>
      </c>
      <c r="BF18" t="s">
        <v>73</v>
      </c>
      <c r="BQ18" t="s">
        <v>69</v>
      </c>
      <c r="BR18" t="s">
        <v>70</v>
      </c>
      <c r="FL18" t="s">
        <v>60</v>
      </c>
      <c r="FM18" t="s">
        <v>60</v>
      </c>
      <c r="FN18" t="s">
        <v>60</v>
      </c>
      <c r="FO18" t="s">
        <v>60</v>
      </c>
      <c r="FP18" t="s">
        <v>60</v>
      </c>
      <c r="FQ18" t="s">
        <v>60</v>
      </c>
    </row>
    <row r="19" ht="15.75" customHeight="1">
      <c r="A19" s="8" t="s">
        <v>60</v>
      </c>
      <c r="B19" s="8"/>
      <c r="C19" s="8" t="s">
        <v>41</v>
      </c>
      <c r="D19" s="8">
        <v>-100.0</v>
      </c>
      <c r="E19" s="8" t="s">
        <v>43</v>
      </c>
      <c r="F19" s="8" t="s">
        <v>74</v>
      </c>
      <c r="G19" s="8">
        <v>60.0</v>
      </c>
      <c r="H19" s="8" t="s">
        <v>38</v>
      </c>
      <c r="I19" s="8"/>
      <c r="J19" s="8"/>
      <c r="K19" s="8"/>
      <c r="L19" s="8"/>
      <c r="M19" s="8"/>
      <c r="N19" s="8"/>
      <c r="O19" s="8"/>
      <c r="R19" t="s">
        <v>70</v>
      </c>
      <c r="S19" t="s">
        <v>63</v>
      </c>
      <c r="T19" t="s">
        <v>64</v>
      </c>
      <c r="U19" t="s">
        <v>65</v>
      </c>
      <c r="V19" t="s">
        <v>66</v>
      </c>
      <c r="W19" t="s">
        <v>67</v>
      </c>
      <c r="X19">
        <v>1.0</v>
      </c>
      <c r="Y19">
        <v>1.0</v>
      </c>
      <c r="AN19" t="s">
        <v>75</v>
      </c>
      <c r="AQ19" t="s">
        <v>41</v>
      </c>
      <c r="BE19" t="s">
        <v>64</v>
      </c>
      <c r="BF19" t="s">
        <v>73</v>
      </c>
      <c r="BQ19" t="s">
        <v>69</v>
      </c>
      <c r="BR19" t="s">
        <v>70</v>
      </c>
      <c r="FL19" t="s">
        <v>60</v>
      </c>
      <c r="FM19" t="s">
        <v>60</v>
      </c>
      <c r="FN19" t="s">
        <v>60</v>
      </c>
      <c r="FO19" t="s">
        <v>60</v>
      </c>
      <c r="FP19" t="s">
        <v>60</v>
      </c>
      <c r="FQ19" t="s">
        <v>60</v>
      </c>
    </row>
    <row r="20" ht="15.75" customHeight="1">
      <c r="A20" s="8" t="s">
        <v>60</v>
      </c>
      <c r="B20" s="8"/>
      <c r="C20" s="8" t="s">
        <v>41</v>
      </c>
      <c r="D20" s="8">
        <v>-900.0</v>
      </c>
      <c r="E20" s="8" t="s">
        <v>43</v>
      </c>
      <c r="F20" s="8" t="s">
        <v>74</v>
      </c>
      <c r="G20" s="8">
        <v>60.0</v>
      </c>
      <c r="H20" s="8" t="s">
        <v>38</v>
      </c>
      <c r="I20" s="8"/>
      <c r="J20" s="8"/>
      <c r="K20" s="8"/>
      <c r="L20" s="8"/>
      <c r="M20" s="8"/>
      <c r="N20" s="8"/>
      <c r="O20" s="8"/>
      <c r="R20" t="s">
        <v>70</v>
      </c>
      <c r="S20" t="s">
        <v>63</v>
      </c>
      <c r="T20" t="s">
        <v>64</v>
      </c>
      <c r="U20" t="s">
        <v>65</v>
      </c>
      <c r="V20" t="s">
        <v>66</v>
      </c>
      <c r="W20" t="s">
        <v>67</v>
      </c>
      <c r="X20">
        <v>1.0</v>
      </c>
      <c r="Y20">
        <v>1.0</v>
      </c>
      <c r="AN20" t="s">
        <v>35</v>
      </c>
      <c r="AQ20" t="s">
        <v>41</v>
      </c>
      <c r="BE20" t="s">
        <v>64</v>
      </c>
      <c r="BF20" t="s">
        <v>73</v>
      </c>
      <c r="BQ20" t="s">
        <v>69</v>
      </c>
      <c r="BR20" t="s">
        <v>70</v>
      </c>
      <c r="FL20" t="s">
        <v>60</v>
      </c>
      <c r="FM20" t="s">
        <v>60</v>
      </c>
      <c r="FN20" t="s">
        <v>60</v>
      </c>
      <c r="FO20" t="s">
        <v>60</v>
      </c>
      <c r="FP20" t="s">
        <v>60</v>
      </c>
      <c r="FQ20" t="s">
        <v>60</v>
      </c>
    </row>
    <row r="21" ht="15.75" customHeight="1">
      <c r="A21" s="8" t="s">
        <v>60</v>
      </c>
      <c r="B21" s="8"/>
      <c r="C21" s="8" t="s">
        <v>41</v>
      </c>
      <c r="D21" s="8">
        <v>-1000.0</v>
      </c>
      <c r="E21" s="8" t="s">
        <v>43</v>
      </c>
      <c r="F21" s="8" t="s">
        <v>74</v>
      </c>
      <c r="G21" s="8">
        <v>50.0</v>
      </c>
      <c r="H21" s="8" t="s">
        <v>38</v>
      </c>
      <c r="I21" s="8"/>
      <c r="J21" s="8"/>
      <c r="K21" s="8"/>
      <c r="L21" s="8"/>
      <c r="M21" s="8"/>
      <c r="N21" s="8"/>
      <c r="O21" s="8"/>
      <c r="R21" t="s">
        <v>70</v>
      </c>
      <c r="S21" t="s">
        <v>63</v>
      </c>
      <c r="T21" t="s">
        <v>64</v>
      </c>
      <c r="U21" t="s">
        <v>65</v>
      </c>
      <c r="V21" t="s">
        <v>66</v>
      </c>
      <c r="W21" t="s">
        <v>67</v>
      </c>
      <c r="X21">
        <v>1.0</v>
      </c>
      <c r="Y21">
        <v>1.0</v>
      </c>
      <c r="AN21" t="s">
        <v>75</v>
      </c>
      <c r="AQ21" t="s">
        <v>41</v>
      </c>
      <c r="BE21" t="s">
        <v>64</v>
      </c>
      <c r="BF21" t="s">
        <v>73</v>
      </c>
      <c r="BQ21" t="s">
        <v>69</v>
      </c>
      <c r="BR21" t="s">
        <v>70</v>
      </c>
      <c r="FL21" t="s">
        <v>60</v>
      </c>
      <c r="FM21" t="s">
        <v>60</v>
      </c>
      <c r="FN21" t="s">
        <v>60</v>
      </c>
      <c r="FO21" t="s">
        <v>60</v>
      </c>
      <c r="FP21" t="s">
        <v>60</v>
      </c>
      <c r="FQ21" t="s">
        <v>60</v>
      </c>
    </row>
    <row r="22" ht="15.75" customHeight="1">
      <c r="A22" s="8" t="s">
        <v>60</v>
      </c>
      <c r="B22" s="8"/>
      <c r="C22" s="8" t="s">
        <v>44</v>
      </c>
      <c r="D22" s="8">
        <v>1100.0</v>
      </c>
      <c r="E22" s="8" t="s">
        <v>45</v>
      </c>
      <c r="F22" s="8" t="s">
        <v>76</v>
      </c>
      <c r="G22" s="8">
        <v>1.0</v>
      </c>
      <c r="H22" s="8" t="s">
        <v>38</v>
      </c>
      <c r="I22" s="8"/>
      <c r="J22" s="8"/>
      <c r="K22" s="8"/>
      <c r="L22" s="8"/>
      <c r="M22" s="8"/>
      <c r="N22" s="8"/>
      <c r="O22" s="8"/>
      <c r="R22" t="s">
        <v>62</v>
      </c>
      <c r="S22" t="s">
        <v>63</v>
      </c>
      <c r="T22" t="s">
        <v>64</v>
      </c>
      <c r="U22" t="s">
        <v>65</v>
      </c>
      <c r="V22" t="s">
        <v>66</v>
      </c>
      <c r="W22" t="s">
        <v>67</v>
      </c>
      <c r="X22">
        <v>1.0</v>
      </c>
      <c r="Y22">
        <v>1.0</v>
      </c>
      <c r="AN22" t="s">
        <v>42</v>
      </c>
      <c r="AQ22" t="s">
        <v>44</v>
      </c>
      <c r="BE22" t="s">
        <v>64</v>
      </c>
      <c r="BF22" t="s">
        <v>73</v>
      </c>
      <c r="BQ22" t="s">
        <v>69</v>
      </c>
      <c r="BR22" t="s">
        <v>70</v>
      </c>
      <c r="FL22" t="s">
        <v>60</v>
      </c>
      <c r="FM22" t="s">
        <v>60</v>
      </c>
      <c r="FN22" t="s">
        <v>60</v>
      </c>
      <c r="FO22" t="s">
        <v>60</v>
      </c>
      <c r="FP22" t="s">
        <v>60</v>
      </c>
      <c r="FQ22" t="s">
        <v>60</v>
      </c>
    </row>
    <row r="23" ht="15.75" customHeight="1">
      <c r="A23" s="8" t="s">
        <v>60</v>
      </c>
      <c r="B23" s="8"/>
      <c r="C23" s="8" t="s">
        <v>44</v>
      </c>
      <c r="D23" s="8">
        <v>-1000.0</v>
      </c>
      <c r="E23" s="8" t="s">
        <v>45</v>
      </c>
      <c r="F23" s="8" t="s">
        <v>76</v>
      </c>
      <c r="G23" s="8">
        <v>60.0</v>
      </c>
      <c r="H23" s="8" t="s">
        <v>38</v>
      </c>
      <c r="I23" s="8"/>
      <c r="J23" s="8"/>
      <c r="K23" s="8"/>
      <c r="L23" s="8"/>
      <c r="M23" s="8"/>
      <c r="N23" s="8"/>
      <c r="O23" s="8"/>
      <c r="R23" t="s">
        <v>62</v>
      </c>
      <c r="S23" t="s">
        <v>47</v>
      </c>
      <c r="T23" t="s">
        <v>64</v>
      </c>
      <c r="U23" t="s">
        <v>65</v>
      </c>
      <c r="V23" t="s">
        <v>66</v>
      </c>
      <c r="W23" t="s">
        <v>67</v>
      </c>
      <c r="X23">
        <v>1.0</v>
      </c>
      <c r="Y23">
        <v>1.0</v>
      </c>
      <c r="AN23" t="s">
        <v>35</v>
      </c>
      <c r="AQ23" t="s">
        <v>44</v>
      </c>
      <c r="BE23" t="s">
        <v>64</v>
      </c>
      <c r="BF23" t="s">
        <v>73</v>
      </c>
      <c r="BQ23" t="s">
        <v>69</v>
      </c>
      <c r="BR23" t="s">
        <v>70</v>
      </c>
      <c r="FL23" t="s">
        <v>60</v>
      </c>
      <c r="FM23" t="s">
        <v>60</v>
      </c>
      <c r="FN23" t="s">
        <v>60</v>
      </c>
      <c r="FO23" t="s">
        <v>60</v>
      </c>
      <c r="FP23" t="s">
        <v>60</v>
      </c>
      <c r="FQ23" t="s">
        <v>60</v>
      </c>
    </row>
    <row r="24" ht="15.75" customHeight="1">
      <c r="A24" s="8" t="s">
        <v>60</v>
      </c>
      <c r="B24" s="8"/>
      <c r="C24" s="8" t="s">
        <v>44</v>
      </c>
      <c r="D24" s="8">
        <v>-100.0</v>
      </c>
      <c r="E24" s="8" t="s">
        <v>45</v>
      </c>
      <c r="F24" s="8" t="s">
        <v>76</v>
      </c>
      <c r="G24" s="8">
        <v>60.0</v>
      </c>
      <c r="H24" s="8" t="s">
        <v>38</v>
      </c>
      <c r="I24" s="8"/>
      <c r="J24" s="8"/>
      <c r="K24" s="8"/>
      <c r="L24" s="8"/>
      <c r="M24" s="8"/>
      <c r="N24" s="8"/>
      <c r="O24" s="8"/>
      <c r="R24" t="s">
        <v>62</v>
      </c>
      <c r="S24" t="s">
        <v>63</v>
      </c>
      <c r="T24" t="s">
        <v>64</v>
      </c>
      <c r="U24" t="s">
        <v>65</v>
      </c>
      <c r="V24" t="s">
        <v>66</v>
      </c>
      <c r="W24" t="s">
        <v>67</v>
      </c>
      <c r="X24">
        <v>1.0</v>
      </c>
      <c r="Y24">
        <v>1.0</v>
      </c>
      <c r="AN24" t="s">
        <v>75</v>
      </c>
      <c r="AQ24" t="s">
        <v>44</v>
      </c>
      <c r="BE24" t="s">
        <v>64</v>
      </c>
      <c r="BF24" t="s">
        <v>73</v>
      </c>
      <c r="BQ24" t="s">
        <v>69</v>
      </c>
      <c r="BR24" t="s">
        <v>70</v>
      </c>
      <c r="FL24" t="s">
        <v>60</v>
      </c>
      <c r="FM24" t="s">
        <v>60</v>
      </c>
      <c r="FN24" t="s">
        <v>60</v>
      </c>
      <c r="FO24" t="s">
        <v>60</v>
      </c>
      <c r="FP24" t="s">
        <v>60</v>
      </c>
      <c r="FQ24" t="s">
        <v>60</v>
      </c>
    </row>
    <row r="25" ht="15.75" customHeight="1">
      <c r="A25" s="8" t="s">
        <v>60</v>
      </c>
      <c r="B25" s="8"/>
      <c r="C25" s="8" t="s">
        <v>44</v>
      </c>
      <c r="D25" s="8">
        <v>-900.0</v>
      </c>
      <c r="E25" s="8" t="s">
        <v>45</v>
      </c>
      <c r="F25" s="8" t="s">
        <v>76</v>
      </c>
      <c r="G25" s="8">
        <v>60.0</v>
      </c>
      <c r="H25" s="8" t="s">
        <v>38</v>
      </c>
      <c r="I25" s="8"/>
      <c r="J25" s="8"/>
      <c r="K25" s="8"/>
      <c r="L25" s="8"/>
      <c r="M25" s="8"/>
      <c r="N25" s="8"/>
      <c r="O25" s="8"/>
      <c r="R25" t="s">
        <v>62</v>
      </c>
      <c r="S25" t="s">
        <v>63</v>
      </c>
      <c r="T25" t="s">
        <v>64</v>
      </c>
      <c r="U25" t="s">
        <v>65</v>
      </c>
      <c r="V25" t="s">
        <v>66</v>
      </c>
      <c r="W25" t="s">
        <v>67</v>
      </c>
      <c r="X25">
        <v>1.0</v>
      </c>
      <c r="Y25">
        <v>1.0</v>
      </c>
      <c r="AN25" t="s">
        <v>35</v>
      </c>
      <c r="AQ25" t="s">
        <v>44</v>
      </c>
      <c r="BE25" t="s">
        <v>64</v>
      </c>
      <c r="BF25" t="s">
        <v>73</v>
      </c>
      <c r="BQ25" t="s">
        <v>69</v>
      </c>
      <c r="BR25" t="s">
        <v>70</v>
      </c>
      <c r="FL25" t="s">
        <v>60</v>
      </c>
      <c r="FM25" t="s">
        <v>60</v>
      </c>
      <c r="FN25" t="s">
        <v>60</v>
      </c>
      <c r="FO25" t="s">
        <v>60</v>
      </c>
      <c r="FP25" t="s">
        <v>60</v>
      </c>
      <c r="FQ25" t="s">
        <v>60</v>
      </c>
    </row>
    <row r="26" ht="15.75" customHeight="1">
      <c r="A26" s="8" t="s">
        <v>60</v>
      </c>
      <c r="B26" s="8"/>
      <c r="C26" s="8" t="s">
        <v>44</v>
      </c>
      <c r="D26" s="8">
        <v>-1000.0</v>
      </c>
      <c r="E26" s="8" t="s">
        <v>45</v>
      </c>
      <c r="F26" s="8" t="s">
        <v>76</v>
      </c>
      <c r="G26" s="8">
        <v>50.0</v>
      </c>
      <c r="H26" s="8" t="s">
        <v>38</v>
      </c>
      <c r="I26" s="8"/>
      <c r="J26" s="8"/>
      <c r="K26" s="8"/>
      <c r="L26" s="8"/>
      <c r="M26" s="8"/>
      <c r="N26" s="8"/>
      <c r="O26" s="8"/>
      <c r="R26" t="s">
        <v>62</v>
      </c>
      <c r="S26" t="s">
        <v>63</v>
      </c>
      <c r="T26" t="s">
        <v>64</v>
      </c>
      <c r="U26" t="s">
        <v>65</v>
      </c>
      <c r="V26" t="s">
        <v>66</v>
      </c>
      <c r="W26" t="s">
        <v>67</v>
      </c>
      <c r="X26">
        <v>1.0</v>
      </c>
      <c r="Y26">
        <v>1.0</v>
      </c>
      <c r="AN26" t="s">
        <v>75</v>
      </c>
      <c r="AQ26" t="s">
        <v>44</v>
      </c>
      <c r="BE26" t="s">
        <v>64</v>
      </c>
      <c r="BF26" t="s">
        <v>73</v>
      </c>
      <c r="BQ26" t="s">
        <v>69</v>
      </c>
      <c r="BR26" t="s">
        <v>70</v>
      </c>
      <c r="FL26" t="s">
        <v>60</v>
      </c>
      <c r="FM26" t="s">
        <v>60</v>
      </c>
      <c r="FN26" t="s">
        <v>60</v>
      </c>
      <c r="FO26" t="s">
        <v>60</v>
      </c>
      <c r="FP26" t="s">
        <v>60</v>
      </c>
      <c r="FQ26" t="s">
        <v>60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8" t="s">
        <v>52</v>
      </c>
      <c r="C6" s="46" t="s">
        <v>53</v>
      </c>
      <c r="D6" s="46">
        <f>TODAY()</f>
        <v>45139</v>
      </c>
      <c r="E6" s="13" t="s">
        <v>40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8"/>
      <c r="B6" s="39" t="s">
        <v>40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DH6" s="9" t="s">
        <v>16</v>
      </c>
    </row>
    <row r="7" ht="15.75" customHeight="1">
      <c r="A7" s="8"/>
      <c r="B7" s="39" t="s">
        <v>40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DH7" s="9" t="s">
        <v>18</v>
      </c>
    </row>
    <row r="8" ht="15.75" customHeight="1">
      <c r="A8" s="8"/>
      <c r="B8" s="39" t="s">
        <v>40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DD8" s="41" t="s">
        <v>38</v>
      </c>
    </row>
    <row r="9" ht="15.75" customHeight="1">
      <c r="A9" s="8"/>
      <c r="B9" s="39" t="s">
        <v>40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DH9" s="9" t="s">
        <v>19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SelectTradeUnexpiredUnsettled1!$4:$4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8" t="s">
        <v>52</v>
      </c>
      <c r="C6" s="46" t="s">
        <v>53</v>
      </c>
      <c r="D6" s="46">
        <f>TODAY()</f>
        <v>45139</v>
      </c>
      <c r="E6" s="13" t="s">
        <v>43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GetDataClosing2!$4:$4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43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DH6" s="13" t="s">
        <v>20</v>
      </c>
    </row>
    <row r="7" ht="15.75" customHeight="1">
      <c r="A7" s="8"/>
      <c r="B7" s="13" t="s">
        <v>43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DH7" s="13" t="s">
        <v>21</v>
      </c>
    </row>
    <row r="8" ht="15.75" customHeight="1">
      <c r="A8" s="8"/>
      <c r="B8" s="13" t="s">
        <v>43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DD8" s="9" t="s">
        <v>38</v>
      </c>
      <c r="DH8" s="1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SelectTradeUnexpiredUnsettled2!$4:$4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8" t="s">
        <v>52</v>
      </c>
      <c r="C6" s="46" t="s">
        <v>53</v>
      </c>
      <c r="D6" s="46">
        <f>TODAY()</f>
        <v>45139</v>
      </c>
      <c r="E6" s="13" t="s">
        <v>45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45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DH6" s="33" t="s">
        <v>22</v>
      </c>
    </row>
    <row r="7" ht="15.75" customHeight="1">
      <c r="A7" s="8"/>
      <c r="B7" s="32" t="s">
        <v>45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DH7" s="13" t="s">
        <v>23</v>
      </c>
    </row>
    <row r="8" ht="15.75" customHeight="1">
      <c r="A8" s="8"/>
      <c r="B8" s="32" t="s">
        <v>45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DD8" s="9" t="s">
        <v>47</v>
      </c>
      <c r="DH8" s="1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SelectTradeUnexpiredUnsettled3!$4:$4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89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  <c r="AMM1" s="20"/>
      <c r="AMN1" s="20"/>
      <c r="AMO1" s="20"/>
      <c r="AMP1" s="20"/>
      <c r="AMQ1" s="20"/>
      <c r="AMR1" s="20"/>
      <c r="AMS1" s="20"/>
      <c r="AMT1" s="20"/>
      <c r="AMU1" s="20"/>
      <c r="AMV1" s="20"/>
      <c r="AMW1" s="20"/>
      <c r="AMX1" s="20"/>
      <c r="AMY1" s="20"/>
      <c r="AMZ1" s="20"/>
      <c r="ANA1" s="20"/>
      <c r="ANB1" s="20"/>
      <c r="ANC1" s="20"/>
      <c r="AND1" s="20"/>
      <c r="ANE1" s="20"/>
      <c r="ANF1" s="20"/>
      <c r="ANG1" s="20"/>
      <c r="ANH1" s="20"/>
      <c r="ANI1" s="20"/>
      <c r="ANJ1" s="20"/>
      <c r="ANK1" s="20"/>
      <c r="ANL1" s="20"/>
      <c r="ANM1" s="20"/>
      <c r="ANN1" s="20"/>
      <c r="ANO1" s="20"/>
      <c r="ANP1" s="20"/>
      <c r="ANQ1" s="20"/>
      <c r="ANR1" s="20"/>
      <c r="ANS1" s="20"/>
      <c r="ANT1" s="20"/>
      <c r="ANU1" s="20"/>
      <c r="ANV1" s="20"/>
      <c r="ANW1" s="20"/>
      <c r="ANX1" s="20"/>
      <c r="ANY1" s="20"/>
      <c r="ANZ1" s="20"/>
      <c r="AOA1" s="20"/>
      <c r="AOB1" s="20"/>
      <c r="AOC1" s="20"/>
      <c r="AOD1" s="20"/>
      <c r="AOE1" s="20"/>
      <c r="AOF1" s="20"/>
      <c r="AOG1" s="20"/>
      <c r="AOH1" s="20"/>
      <c r="AOI1" s="20"/>
      <c r="AOJ1" s="20"/>
      <c r="AOK1" s="20"/>
      <c r="AOL1" s="20"/>
      <c r="AOM1" s="20"/>
      <c r="AON1" s="20"/>
      <c r="AOO1" s="20"/>
      <c r="AOP1" s="20"/>
      <c r="AOQ1" s="20"/>
      <c r="AOR1" s="20"/>
      <c r="AOS1" s="20"/>
      <c r="AOT1" s="20"/>
      <c r="AOU1" s="20"/>
      <c r="AOV1" s="20"/>
      <c r="AOW1" s="20"/>
      <c r="AOX1" s="20"/>
      <c r="AOY1" s="20"/>
      <c r="AOZ1" s="20"/>
      <c r="APA1" s="20"/>
      <c r="APB1" s="20"/>
      <c r="APC1" s="20"/>
      <c r="APD1" s="20"/>
      <c r="APE1" s="20"/>
      <c r="APF1" s="20"/>
      <c r="APG1" s="20"/>
      <c r="APH1" s="20"/>
      <c r="API1" s="20"/>
      <c r="APJ1" s="20"/>
      <c r="APK1" s="20"/>
      <c r="APL1" s="20"/>
      <c r="APM1" s="20"/>
      <c r="APN1" s="20"/>
      <c r="APO1" s="20"/>
      <c r="APP1" s="20"/>
      <c r="APQ1" s="20"/>
      <c r="APR1" s="20"/>
      <c r="APS1" s="20"/>
      <c r="APT1" s="20"/>
      <c r="APU1" s="20"/>
      <c r="APV1" s="20"/>
      <c r="APW1" s="20"/>
      <c r="APX1" s="20"/>
      <c r="APY1" s="20"/>
      <c r="APZ1" s="20"/>
      <c r="AQA1" s="20"/>
      <c r="AQB1" s="20"/>
      <c r="AQC1" s="20"/>
      <c r="AQD1" s="20"/>
      <c r="AQE1" s="20"/>
      <c r="AQF1" s="20"/>
      <c r="AQG1" s="20"/>
      <c r="AQH1" s="20"/>
      <c r="AQI1" s="20"/>
      <c r="AQJ1" s="20"/>
      <c r="AQK1" s="20"/>
      <c r="AQL1" s="20"/>
      <c r="AQM1" s="20"/>
      <c r="AQN1" s="20"/>
      <c r="AQO1" s="20"/>
      <c r="AQP1" s="20"/>
      <c r="AQQ1" s="20"/>
      <c r="AQR1" s="20"/>
      <c r="AQS1" s="20"/>
      <c r="AQT1" s="20"/>
      <c r="AQU1" s="20"/>
      <c r="AQV1" s="20"/>
      <c r="AQW1" s="20"/>
      <c r="AQX1" s="20"/>
      <c r="AQY1" s="20"/>
      <c r="AQZ1" s="20"/>
      <c r="ARA1" s="20"/>
      <c r="ARB1" s="20"/>
      <c r="ARC1" s="20"/>
      <c r="ARD1" s="20"/>
      <c r="ARE1" s="20"/>
      <c r="ARF1" s="20"/>
      <c r="ARG1" s="20"/>
      <c r="ARH1" s="20"/>
      <c r="ARI1" s="20"/>
      <c r="ARJ1" s="20"/>
      <c r="ARK1" s="20"/>
      <c r="ARL1" s="20"/>
      <c r="ARM1" s="20"/>
      <c r="ARN1" s="20"/>
      <c r="ARO1" s="20"/>
      <c r="ARP1" s="20"/>
      <c r="ARQ1" s="20"/>
      <c r="ARR1" s="20"/>
      <c r="ARS1" s="20"/>
      <c r="ART1" s="20"/>
      <c r="ARU1" s="20"/>
      <c r="ARV1" s="20"/>
      <c r="ARW1" s="20"/>
      <c r="ARX1" s="20"/>
      <c r="ARY1" s="20"/>
      <c r="ARZ1" s="20"/>
      <c r="ASA1" s="20"/>
      <c r="ASB1" s="20"/>
      <c r="ASC1" s="20"/>
      <c r="ASD1" s="20"/>
      <c r="ASE1" s="20"/>
      <c r="ASF1" s="20"/>
      <c r="ASG1" s="20"/>
      <c r="ASH1" s="20"/>
      <c r="ASI1" s="20"/>
      <c r="ASJ1" s="20"/>
      <c r="ASK1" s="20"/>
      <c r="ASL1" s="20"/>
      <c r="ASM1" s="20"/>
      <c r="ASN1" s="20"/>
      <c r="ASO1" s="20"/>
      <c r="ASP1" s="20"/>
      <c r="ASQ1" s="20"/>
      <c r="ASR1" s="20"/>
      <c r="ASS1" s="20"/>
      <c r="AST1" s="20"/>
      <c r="ASU1" s="20"/>
      <c r="ASV1" s="20"/>
      <c r="ASW1" s="20"/>
      <c r="ASX1" s="20"/>
      <c r="ASY1" s="20"/>
      <c r="ASZ1" s="20"/>
      <c r="ATA1" s="20"/>
      <c r="ATB1" s="20"/>
      <c r="ATC1" s="20"/>
      <c r="ATD1" s="20"/>
      <c r="ATE1" s="20"/>
      <c r="ATF1" s="20"/>
      <c r="ATG1" s="20"/>
      <c r="ATH1" s="20"/>
      <c r="ATI1" s="20"/>
      <c r="ATJ1" s="20"/>
      <c r="ATK1" s="20"/>
      <c r="ATL1" s="20"/>
      <c r="ATM1" s="20"/>
      <c r="ATN1" s="20"/>
      <c r="ATO1" s="20"/>
      <c r="ATP1" s="20"/>
      <c r="ATQ1" s="20"/>
      <c r="ATR1" s="20"/>
      <c r="ATS1" s="20"/>
      <c r="ATT1" s="20"/>
      <c r="ATU1" s="20"/>
      <c r="ATV1" s="20"/>
      <c r="ATW1" s="20"/>
      <c r="ATX1" s="20"/>
      <c r="ATY1" s="20"/>
      <c r="ATZ1" s="20"/>
      <c r="AUA1" s="20"/>
      <c r="AUB1" s="20"/>
      <c r="AUC1" s="20"/>
      <c r="AUD1" s="20"/>
      <c r="AUE1" s="20"/>
      <c r="AUF1" s="20"/>
      <c r="AUG1" s="20"/>
      <c r="AUH1" s="20"/>
      <c r="AUI1" s="20"/>
      <c r="AUJ1" s="20"/>
      <c r="AUK1" s="20"/>
      <c r="AUL1" s="20"/>
      <c r="AUM1" s="20"/>
      <c r="AUN1" s="20"/>
      <c r="AUO1" s="20"/>
      <c r="AUP1" s="20"/>
      <c r="AUQ1" s="20"/>
      <c r="AUR1" s="20"/>
      <c r="AUS1" s="20"/>
      <c r="AUT1" s="20"/>
      <c r="AUU1" s="20"/>
      <c r="AUV1" s="20"/>
      <c r="AUW1" s="20"/>
      <c r="AUX1" s="20"/>
      <c r="AUY1" s="20"/>
      <c r="AUZ1" s="20"/>
      <c r="AVA1" s="20"/>
      <c r="AVB1" s="20"/>
      <c r="AVC1" s="20"/>
      <c r="AVD1" s="20"/>
      <c r="AVE1" s="20"/>
      <c r="AVF1" s="20"/>
      <c r="AVG1" s="20"/>
      <c r="AVH1" s="20"/>
      <c r="AVI1" s="20"/>
      <c r="AVJ1" s="20"/>
      <c r="AVK1" s="20"/>
      <c r="AVL1" s="20"/>
      <c r="AVM1" s="20"/>
      <c r="AVN1" s="20"/>
      <c r="AVO1" s="20"/>
      <c r="AVP1" s="20"/>
      <c r="AVQ1" s="20"/>
      <c r="AVR1" s="20"/>
      <c r="AVS1" s="20"/>
      <c r="AVT1" s="20"/>
      <c r="AVU1" s="20"/>
      <c r="AVV1" s="20"/>
      <c r="AVW1" s="20"/>
      <c r="AVX1" s="20"/>
      <c r="AVY1" s="20"/>
      <c r="AVZ1" s="20"/>
      <c r="AWA1" s="20"/>
      <c r="AWB1" s="20"/>
      <c r="AWC1" s="20"/>
      <c r="AWD1" s="20"/>
      <c r="AWE1" s="20"/>
      <c r="AWF1" s="20"/>
      <c r="AWG1" s="20"/>
      <c r="AWH1" s="20"/>
      <c r="AWI1" s="20"/>
      <c r="AWJ1" s="20"/>
      <c r="AWK1" s="20"/>
      <c r="AWL1" s="20"/>
      <c r="AWM1" s="20"/>
      <c r="AWN1" s="20"/>
      <c r="AWO1" s="20"/>
      <c r="AWP1" s="20"/>
      <c r="AWQ1" s="20"/>
      <c r="AWR1" s="20"/>
      <c r="AWS1" s="20"/>
      <c r="AWT1" s="20"/>
      <c r="AWU1" s="20"/>
      <c r="AWV1" s="20"/>
      <c r="AWW1" s="20"/>
      <c r="AWX1" s="20"/>
      <c r="AWY1" s="20"/>
      <c r="AWZ1" s="20"/>
      <c r="AXA1" s="20"/>
      <c r="AXB1" s="20"/>
      <c r="AXC1" s="20"/>
      <c r="AXD1" s="20"/>
      <c r="AXE1" s="20"/>
      <c r="AXF1" s="20"/>
      <c r="AXG1" s="20"/>
      <c r="AXH1" s="20"/>
      <c r="AXI1" s="20"/>
      <c r="AXJ1" s="20"/>
      <c r="AXK1" s="20"/>
      <c r="AXL1" s="20"/>
      <c r="AXM1" s="20"/>
      <c r="AXN1" s="20"/>
      <c r="AXO1" s="20"/>
      <c r="AXP1" s="20"/>
      <c r="AXQ1" s="20"/>
      <c r="AXR1" s="20"/>
      <c r="AXS1" s="20"/>
      <c r="AXT1" s="20"/>
      <c r="AXU1" s="20"/>
      <c r="AXV1" s="20"/>
      <c r="AXW1" s="20"/>
      <c r="AXX1" s="20"/>
      <c r="AXY1" s="20"/>
      <c r="AXZ1" s="20"/>
      <c r="AYA1" s="20"/>
      <c r="AYB1" s="20"/>
      <c r="AYC1" s="20"/>
      <c r="AYD1" s="20"/>
      <c r="AYE1" s="20"/>
      <c r="AYF1" s="20"/>
      <c r="AYG1" s="20"/>
      <c r="AYH1" s="20"/>
      <c r="AYI1" s="20"/>
      <c r="AYJ1" s="20"/>
      <c r="AYK1" s="20"/>
      <c r="AYL1" s="20"/>
      <c r="AYM1" s="20"/>
      <c r="AYN1" s="20"/>
      <c r="AYO1" s="20"/>
      <c r="AYP1" s="20"/>
      <c r="AYQ1" s="20"/>
      <c r="AYR1" s="20"/>
      <c r="AYS1" s="20"/>
      <c r="AYT1" s="20"/>
      <c r="AYU1" s="20"/>
      <c r="AYV1" s="20"/>
      <c r="AYW1" s="20"/>
      <c r="AYX1" s="20"/>
      <c r="AYY1" s="20"/>
      <c r="AYZ1" s="20"/>
      <c r="AZA1" s="20"/>
      <c r="AZB1" s="20"/>
      <c r="AZC1" s="20"/>
      <c r="AZD1" s="20"/>
      <c r="AZE1" s="20"/>
      <c r="AZF1" s="20"/>
      <c r="AZG1" s="20"/>
      <c r="AZH1" s="20"/>
      <c r="AZI1" s="20"/>
      <c r="AZJ1" s="20"/>
      <c r="AZK1" s="20"/>
      <c r="AZL1" s="20"/>
      <c r="AZM1" s="20"/>
      <c r="AZN1" s="20"/>
      <c r="AZO1" s="20"/>
      <c r="AZP1" s="20"/>
      <c r="AZQ1" s="20"/>
      <c r="AZR1" s="20"/>
      <c r="AZS1" s="20"/>
      <c r="AZT1" s="20"/>
      <c r="AZU1" s="20"/>
      <c r="AZV1" s="20"/>
      <c r="AZW1" s="20"/>
      <c r="AZX1" s="20"/>
      <c r="AZY1" s="20"/>
      <c r="AZZ1" s="20"/>
      <c r="BAA1" s="20"/>
      <c r="BAB1" s="20"/>
      <c r="BAC1" s="20"/>
      <c r="BAD1" s="20"/>
      <c r="BAE1" s="20"/>
      <c r="BAF1" s="20"/>
      <c r="BAG1" s="20"/>
      <c r="BAH1" s="20"/>
      <c r="BAI1" s="20"/>
      <c r="BAJ1" s="20"/>
      <c r="BAK1" s="20"/>
      <c r="BAL1" s="20"/>
      <c r="BAM1" s="20"/>
      <c r="BAN1" s="20"/>
      <c r="BAO1" s="20"/>
      <c r="BAP1" s="20"/>
      <c r="BAQ1" s="20"/>
      <c r="BAR1" s="20"/>
      <c r="BAS1" s="20"/>
      <c r="BAT1" s="20"/>
      <c r="BAU1" s="20"/>
      <c r="BAV1" s="20"/>
      <c r="BAW1" s="20"/>
      <c r="BAX1" s="20"/>
      <c r="BAY1" s="20"/>
      <c r="BAZ1" s="20"/>
      <c r="BBA1" s="20"/>
      <c r="BBB1" s="20"/>
      <c r="BBC1" s="20"/>
      <c r="BBD1" s="20"/>
      <c r="BBE1" s="20"/>
      <c r="BBF1" s="20"/>
      <c r="BBG1" s="20"/>
      <c r="BBH1" s="20"/>
      <c r="BBI1" s="20"/>
      <c r="BBJ1" s="20"/>
      <c r="BBK1" s="20"/>
      <c r="BBL1" s="20"/>
      <c r="BBM1" s="20"/>
      <c r="BBN1" s="20"/>
      <c r="BBO1" s="20"/>
      <c r="BBP1" s="20"/>
      <c r="BBQ1" s="20"/>
      <c r="BBR1" s="20"/>
      <c r="BBS1" s="20"/>
      <c r="BBT1" s="20"/>
      <c r="BBU1" s="20"/>
      <c r="BBV1" s="20"/>
      <c r="BBW1" s="20"/>
      <c r="BBX1" s="20"/>
      <c r="BBY1" s="20"/>
      <c r="BBZ1" s="20"/>
      <c r="BCA1" s="20"/>
      <c r="BCB1" s="20"/>
      <c r="BCC1" s="20"/>
      <c r="BCD1" s="20"/>
      <c r="BCE1" s="20"/>
      <c r="BCF1" s="20"/>
      <c r="BCG1" s="20"/>
      <c r="BCH1" s="20"/>
      <c r="BCI1" s="20"/>
      <c r="BCJ1" s="20"/>
      <c r="BCK1" s="20"/>
      <c r="BCL1" s="20"/>
      <c r="BCM1" s="20"/>
      <c r="BCN1" s="20"/>
      <c r="BCO1" s="20"/>
      <c r="BCP1" s="20"/>
      <c r="BCQ1" s="20"/>
      <c r="BCR1" s="20"/>
      <c r="BCS1" s="20"/>
      <c r="BCT1" s="20"/>
      <c r="BCU1" s="20"/>
      <c r="BCV1" s="20"/>
      <c r="BCW1" s="20"/>
      <c r="BCX1" s="20"/>
      <c r="BCY1" s="20"/>
      <c r="BCZ1" s="20"/>
      <c r="BDA1" s="20"/>
      <c r="BDB1" s="20"/>
      <c r="BDC1" s="20"/>
      <c r="BDD1" s="20"/>
      <c r="BDE1" s="20"/>
      <c r="BDF1" s="20"/>
      <c r="BDG1" s="20"/>
      <c r="BDH1" s="20"/>
      <c r="BDI1" s="20"/>
      <c r="BDJ1" s="20"/>
      <c r="BDK1" s="20"/>
      <c r="BDL1" s="20"/>
      <c r="BDM1" s="20"/>
      <c r="BDN1" s="20"/>
      <c r="BDO1" s="20"/>
      <c r="BDP1" s="20"/>
      <c r="BDQ1" s="20"/>
      <c r="BDR1" s="20"/>
      <c r="BDS1" s="20"/>
      <c r="BDT1" s="20"/>
      <c r="BDU1" s="20"/>
      <c r="BDV1" s="20"/>
      <c r="BDW1" s="20"/>
      <c r="BDX1" s="20"/>
      <c r="BDY1" s="20"/>
      <c r="BDZ1" s="20"/>
      <c r="BEA1" s="20"/>
      <c r="BEB1" s="20"/>
      <c r="BEC1" s="20"/>
      <c r="BED1" s="20"/>
      <c r="BEE1" s="20"/>
      <c r="BEF1" s="20"/>
      <c r="BEG1" s="20"/>
      <c r="BEH1" s="20"/>
      <c r="BEI1" s="20"/>
      <c r="BEJ1" s="20"/>
      <c r="BEK1" s="20"/>
      <c r="BEL1" s="20"/>
      <c r="BEM1" s="20"/>
      <c r="BEN1" s="20"/>
      <c r="BEO1" s="20"/>
      <c r="BEP1" s="20"/>
      <c r="BEQ1" s="20"/>
      <c r="BER1" s="20"/>
      <c r="BES1" s="20"/>
      <c r="BET1" s="20"/>
      <c r="BEU1" s="20"/>
      <c r="BEV1" s="20"/>
      <c r="BEW1" s="20"/>
      <c r="BEX1" s="20"/>
      <c r="BEY1" s="20"/>
      <c r="BEZ1" s="20"/>
      <c r="BFA1" s="20"/>
      <c r="BFB1" s="20"/>
      <c r="BFC1" s="20"/>
      <c r="BFD1" s="20"/>
      <c r="BFE1" s="20"/>
      <c r="BFF1" s="20"/>
      <c r="BFG1" s="20"/>
      <c r="BFH1" s="20"/>
      <c r="BFI1" s="20"/>
      <c r="BFJ1" s="20"/>
      <c r="BFK1" s="20"/>
      <c r="BFL1" s="20"/>
      <c r="BFM1" s="20"/>
      <c r="BFN1" s="20"/>
      <c r="BFO1" s="20"/>
      <c r="BFP1" s="20"/>
      <c r="BFQ1" s="20"/>
      <c r="BFR1" s="20"/>
      <c r="BFS1" s="20"/>
      <c r="BFT1" s="20"/>
      <c r="BFU1" s="20"/>
      <c r="BFV1" s="20"/>
      <c r="BFW1" s="20"/>
      <c r="BFX1" s="20"/>
      <c r="BFY1" s="20"/>
      <c r="BFZ1" s="20"/>
      <c r="BGA1" s="20"/>
      <c r="BGB1" s="20"/>
      <c r="BGC1" s="20"/>
      <c r="BGD1" s="20"/>
      <c r="BGE1" s="20"/>
      <c r="BGF1" s="20"/>
      <c r="BGG1" s="20"/>
      <c r="BGH1" s="20"/>
      <c r="BGI1" s="20"/>
      <c r="BGJ1" s="20"/>
      <c r="BGK1" s="20"/>
      <c r="BGL1" s="20"/>
      <c r="BGM1" s="20"/>
      <c r="BGN1" s="20"/>
      <c r="BGO1" s="20"/>
      <c r="BGP1" s="20"/>
      <c r="BGQ1" s="20"/>
      <c r="BGR1" s="20"/>
      <c r="BGS1" s="20"/>
      <c r="BGT1" s="20"/>
      <c r="BGU1" s="20"/>
      <c r="BGV1" s="20"/>
      <c r="BGW1" s="20"/>
      <c r="BGX1" s="20"/>
      <c r="BGY1" s="20"/>
      <c r="BGZ1" s="20"/>
      <c r="BHA1" s="20"/>
      <c r="BHB1" s="20"/>
      <c r="BHC1" s="20"/>
      <c r="BHD1" s="20"/>
      <c r="BHE1" s="20"/>
      <c r="BHF1" s="20"/>
      <c r="BHG1" s="20"/>
      <c r="BHH1" s="20"/>
      <c r="BHI1" s="20"/>
      <c r="BHJ1" s="20"/>
      <c r="BHK1" s="20"/>
      <c r="BHL1" s="20"/>
      <c r="BHM1" s="20"/>
      <c r="BHN1" s="20"/>
      <c r="BHO1" s="20"/>
      <c r="BHP1" s="20"/>
      <c r="BHQ1" s="20"/>
      <c r="BHR1" s="20"/>
      <c r="BHS1" s="20"/>
      <c r="BHT1" s="20"/>
      <c r="BHU1" s="20"/>
      <c r="BHV1" s="20"/>
      <c r="BHW1" s="20"/>
      <c r="BHX1" s="20"/>
      <c r="BHY1" s="20"/>
      <c r="BHZ1" s="20"/>
      <c r="BIA1" s="20"/>
      <c r="BIB1" s="20"/>
      <c r="BIC1" s="20"/>
      <c r="BID1" s="20"/>
      <c r="BIE1" s="20"/>
      <c r="BIF1" s="20"/>
      <c r="BIG1" s="20"/>
      <c r="BIH1" s="20"/>
      <c r="BII1" s="20"/>
      <c r="BIJ1" s="20"/>
      <c r="BIK1" s="20"/>
      <c r="BIL1" s="20"/>
      <c r="BIM1" s="20"/>
      <c r="BIN1" s="20"/>
      <c r="BIO1" s="20"/>
      <c r="BIP1" s="20"/>
      <c r="BIQ1" s="20"/>
      <c r="BIR1" s="20"/>
      <c r="BIS1" s="20"/>
      <c r="BIT1" s="20"/>
      <c r="BIU1" s="20"/>
      <c r="BIV1" s="20"/>
      <c r="BIW1" s="20"/>
      <c r="BIX1" s="20"/>
      <c r="BIY1" s="20"/>
      <c r="BIZ1" s="20"/>
      <c r="BJA1" s="20"/>
      <c r="BJB1" s="20"/>
      <c r="BJC1" s="20"/>
      <c r="BJD1" s="20"/>
      <c r="BJE1" s="20"/>
      <c r="BJF1" s="20"/>
      <c r="BJG1" s="20"/>
      <c r="BJH1" s="20"/>
      <c r="BJI1" s="20"/>
      <c r="BJJ1" s="20"/>
      <c r="BJK1" s="20"/>
      <c r="BJL1" s="20"/>
      <c r="BJM1" s="20"/>
      <c r="BJN1" s="20"/>
      <c r="BJO1" s="20"/>
      <c r="BJP1" s="20"/>
      <c r="BJQ1" s="20"/>
      <c r="BJR1" s="20"/>
      <c r="BJS1" s="20"/>
      <c r="BJT1" s="20"/>
      <c r="BJU1" s="20"/>
      <c r="BJV1" s="20"/>
      <c r="BJW1" s="20"/>
      <c r="BJX1" s="20"/>
      <c r="BJY1" s="20"/>
      <c r="BJZ1" s="20"/>
      <c r="BKA1" s="20"/>
      <c r="BKB1" s="20"/>
      <c r="BKC1" s="20"/>
      <c r="BKD1" s="20"/>
      <c r="BKE1" s="20"/>
      <c r="BKF1" s="20"/>
      <c r="BKG1" s="20"/>
      <c r="BKH1" s="20"/>
      <c r="BKI1" s="20"/>
      <c r="BKJ1" s="20"/>
      <c r="BKK1" s="20"/>
      <c r="BKL1" s="20"/>
      <c r="BKM1" s="20"/>
      <c r="BKN1" s="20"/>
      <c r="BKO1" s="20"/>
      <c r="BKP1" s="20"/>
      <c r="BKQ1" s="20"/>
      <c r="BKR1" s="20"/>
      <c r="BKS1" s="20"/>
      <c r="BKT1" s="20"/>
      <c r="BKU1" s="20"/>
      <c r="BKV1" s="20"/>
      <c r="BKW1" s="20"/>
      <c r="BKX1" s="20"/>
      <c r="BKY1" s="20"/>
      <c r="BKZ1" s="20"/>
      <c r="BLA1" s="20"/>
      <c r="BLB1" s="20"/>
      <c r="BLC1" s="20"/>
      <c r="BLD1" s="20"/>
      <c r="BLE1" s="20"/>
      <c r="BLF1" s="20"/>
      <c r="BLG1" s="20"/>
      <c r="BLH1" s="20"/>
      <c r="BLI1" s="20"/>
      <c r="BLJ1" s="20"/>
      <c r="BLK1" s="20"/>
      <c r="BLL1" s="20"/>
      <c r="BLM1" s="20"/>
      <c r="BLN1" s="20"/>
      <c r="BLO1" s="20"/>
      <c r="BLP1" s="20"/>
      <c r="BLQ1" s="20"/>
      <c r="BLR1" s="20"/>
      <c r="BLS1" s="20"/>
      <c r="BLT1" s="20"/>
      <c r="BLU1" s="20"/>
      <c r="BLV1" s="20"/>
      <c r="BLW1" s="20"/>
      <c r="BLX1" s="20"/>
      <c r="BLY1" s="20"/>
      <c r="BLZ1" s="20"/>
      <c r="BMA1" s="20"/>
      <c r="BMB1" s="20"/>
      <c r="BMC1" s="20"/>
      <c r="BMD1" s="20"/>
      <c r="BME1" s="20"/>
      <c r="BMF1" s="20"/>
      <c r="BMG1" s="20"/>
      <c r="BMH1" s="20"/>
      <c r="BMI1" s="20"/>
      <c r="BMJ1" s="20"/>
      <c r="BMK1" s="20"/>
      <c r="BML1" s="20"/>
      <c r="BMM1" s="20"/>
      <c r="BMN1" s="20"/>
      <c r="BMO1" s="20"/>
      <c r="BMP1" s="20"/>
      <c r="BMQ1" s="20"/>
      <c r="BMR1" s="20"/>
      <c r="BMS1" s="20"/>
      <c r="BMT1" s="20"/>
      <c r="BMU1" s="20"/>
      <c r="BMV1" s="20"/>
      <c r="BMW1" s="20"/>
      <c r="BMX1" s="20"/>
      <c r="BMY1" s="20"/>
      <c r="BMZ1" s="20"/>
      <c r="BNA1" s="20"/>
      <c r="BNB1" s="20"/>
      <c r="BNC1" s="20"/>
      <c r="BND1" s="20"/>
      <c r="BNE1" s="20"/>
      <c r="BNF1" s="20"/>
      <c r="BNG1" s="20"/>
      <c r="BNH1" s="20"/>
      <c r="BNI1" s="20"/>
      <c r="BNJ1" s="20"/>
      <c r="BNK1" s="20"/>
      <c r="BNL1" s="20"/>
      <c r="BNM1" s="20"/>
      <c r="BNN1" s="20"/>
      <c r="BNO1" s="20"/>
      <c r="BNP1" s="20"/>
      <c r="BNQ1" s="20"/>
      <c r="BNR1" s="20"/>
      <c r="BNS1" s="20"/>
      <c r="BNT1" s="20"/>
      <c r="BNU1" s="20"/>
      <c r="BNV1" s="20"/>
      <c r="BNW1" s="20"/>
      <c r="BNX1" s="20"/>
      <c r="BNY1" s="20"/>
      <c r="BNZ1" s="20"/>
      <c r="BOA1" s="20"/>
      <c r="BOB1" s="20"/>
      <c r="BOC1" s="20"/>
      <c r="BOD1" s="20"/>
      <c r="BOE1" s="20"/>
      <c r="BOF1" s="20"/>
      <c r="BOG1" s="20"/>
      <c r="BOH1" s="20"/>
      <c r="BOI1" s="20"/>
      <c r="BOJ1" s="20"/>
      <c r="BOK1" s="20"/>
      <c r="BOL1" s="20"/>
      <c r="BOM1" s="20"/>
      <c r="BON1" s="20"/>
      <c r="BOO1" s="20"/>
      <c r="BOP1" s="20"/>
      <c r="BOQ1" s="20"/>
      <c r="BOR1" s="20"/>
      <c r="BOS1" s="20"/>
      <c r="BOT1" s="20"/>
      <c r="BOU1" s="20"/>
      <c r="BOV1" s="20"/>
      <c r="BOW1" s="20"/>
      <c r="BOX1" s="20"/>
      <c r="BOY1" s="20"/>
      <c r="BOZ1" s="20"/>
      <c r="BPA1" s="20"/>
      <c r="BPB1" s="20"/>
      <c r="BPC1" s="20"/>
      <c r="BPD1" s="20"/>
      <c r="BPE1" s="20"/>
      <c r="BPF1" s="20"/>
      <c r="BPG1" s="20"/>
      <c r="BPH1" s="20"/>
      <c r="BPI1" s="20"/>
      <c r="BPJ1" s="20"/>
      <c r="BPK1" s="20"/>
      <c r="BPL1" s="20"/>
      <c r="BPM1" s="20"/>
      <c r="BPN1" s="20"/>
      <c r="BPO1" s="20"/>
      <c r="BPP1" s="20"/>
      <c r="BPQ1" s="20"/>
      <c r="BPR1" s="20"/>
      <c r="BPS1" s="20"/>
      <c r="BPT1" s="20"/>
      <c r="BPU1" s="20"/>
      <c r="BPV1" s="20"/>
      <c r="BPW1" s="20"/>
      <c r="BPX1" s="20"/>
      <c r="BPY1" s="20"/>
      <c r="BPZ1" s="20"/>
      <c r="BQA1" s="20"/>
      <c r="BQB1" s="20"/>
      <c r="BQC1" s="20"/>
      <c r="BQD1" s="20"/>
      <c r="BQE1" s="20"/>
      <c r="BQF1" s="20"/>
      <c r="BQG1" s="20"/>
      <c r="BQH1" s="20"/>
      <c r="BQI1" s="20"/>
      <c r="BQJ1" s="20"/>
      <c r="BQK1" s="20"/>
      <c r="BQL1" s="20"/>
      <c r="BQM1" s="20"/>
      <c r="BQN1" s="20"/>
      <c r="BQO1" s="20"/>
      <c r="BQP1" s="20"/>
      <c r="BQQ1" s="20"/>
      <c r="BQR1" s="20"/>
      <c r="BQS1" s="20"/>
      <c r="BQT1" s="20"/>
      <c r="BQU1" s="20"/>
      <c r="BQV1" s="20"/>
      <c r="BQW1" s="20"/>
      <c r="BQX1" s="20"/>
      <c r="BQY1" s="20"/>
      <c r="BQZ1" s="20"/>
      <c r="BRA1" s="20"/>
      <c r="BRB1" s="20"/>
      <c r="BRC1" s="20"/>
      <c r="BRD1" s="20"/>
      <c r="BRE1" s="20"/>
      <c r="BRF1" s="20"/>
      <c r="BRG1" s="20"/>
      <c r="BRH1" s="20"/>
      <c r="BRI1" s="20"/>
      <c r="BRJ1" s="20"/>
      <c r="BRK1" s="20"/>
      <c r="BRL1" s="20"/>
      <c r="BRM1" s="20"/>
      <c r="BRN1" s="20"/>
      <c r="BRO1" s="20"/>
      <c r="BRP1" s="20"/>
      <c r="BRQ1" s="20"/>
      <c r="BRR1" s="20"/>
      <c r="BRS1" s="20"/>
      <c r="BRT1" s="20"/>
      <c r="BRU1" s="20"/>
      <c r="BRV1" s="20"/>
      <c r="BRW1" s="20"/>
      <c r="BRX1" s="20"/>
      <c r="BRY1" s="20"/>
      <c r="BRZ1" s="20"/>
      <c r="BSA1" s="20"/>
      <c r="BSB1" s="20"/>
      <c r="BSC1" s="20"/>
      <c r="BSD1" s="20"/>
      <c r="BSE1" s="20"/>
      <c r="BSF1" s="20"/>
      <c r="BSG1" s="20"/>
      <c r="BSH1" s="20"/>
      <c r="BSI1" s="20"/>
      <c r="BSJ1" s="20"/>
      <c r="BSK1" s="20"/>
      <c r="BSL1" s="20"/>
      <c r="BSM1" s="20"/>
      <c r="BSN1" s="20"/>
      <c r="BSO1" s="20"/>
      <c r="BSP1" s="20"/>
      <c r="BSQ1" s="20"/>
      <c r="BSR1" s="20"/>
      <c r="BSS1" s="20"/>
      <c r="BST1" s="20"/>
      <c r="BSU1" s="20"/>
      <c r="BSV1" s="20"/>
      <c r="BSW1" s="20"/>
      <c r="BSX1" s="20"/>
      <c r="BSY1" s="20"/>
      <c r="BSZ1" s="20"/>
      <c r="BTA1" s="20"/>
      <c r="BTB1" s="20"/>
      <c r="BTC1" s="20"/>
      <c r="BTD1" s="20"/>
      <c r="BTE1" s="20"/>
      <c r="BTF1" s="20"/>
      <c r="BTG1" s="20"/>
      <c r="BTH1" s="20"/>
      <c r="BTI1" s="20"/>
      <c r="BTJ1" s="20"/>
      <c r="BTK1" s="20"/>
      <c r="BTL1" s="20"/>
      <c r="BTM1" s="20"/>
      <c r="BTN1" s="20"/>
      <c r="BTO1" s="20"/>
      <c r="BTP1" s="20"/>
      <c r="BTQ1" s="20"/>
      <c r="BTR1" s="20"/>
      <c r="BTS1" s="20"/>
      <c r="BTT1" s="20"/>
      <c r="BTU1" s="20"/>
      <c r="BTV1" s="20"/>
      <c r="BTW1" s="20"/>
      <c r="BT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56</v>
      </c>
      <c r="D3" s="5" t="s">
        <v>9</v>
      </c>
      <c r="E3" s="23" t="s">
        <v>77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  <c r="AMM3" s="24"/>
      <c r="AMN3" s="24"/>
      <c r="AMO3" s="24"/>
      <c r="AMP3" s="24"/>
      <c r="AMQ3" s="24"/>
      <c r="AMR3" s="24"/>
      <c r="AMS3" s="24"/>
      <c r="AMT3" s="24"/>
      <c r="AMU3" s="24"/>
      <c r="AMV3" s="24"/>
      <c r="AMW3" s="24"/>
      <c r="AMX3" s="24"/>
      <c r="AMY3" s="24"/>
      <c r="AMZ3" s="24"/>
      <c r="ANA3" s="24"/>
      <c r="ANB3" s="24"/>
      <c r="ANC3" s="24"/>
      <c r="AND3" s="24"/>
      <c r="ANE3" s="24"/>
      <c r="ANF3" s="24"/>
      <c r="ANG3" s="24"/>
      <c r="ANH3" s="24"/>
      <c r="ANI3" s="24"/>
      <c r="ANJ3" s="24"/>
      <c r="ANK3" s="24"/>
      <c r="ANL3" s="24"/>
      <c r="ANM3" s="24"/>
      <c r="ANN3" s="24"/>
      <c r="ANO3" s="24"/>
      <c r="ANP3" s="24"/>
      <c r="ANQ3" s="24"/>
      <c r="ANR3" s="24"/>
      <c r="ANS3" s="24"/>
      <c r="ANT3" s="24"/>
      <c r="ANU3" s="24"/>
      <c r="ANV3" s="24"/>
      <c r="ANW3" s="24"/>
      <c r="ANX3" s="24"/>
      <c r="ANY3" s="24"/>
      <c r="ANZ3" s="24"/>
      <c r="AOA3" s="24"/>
      <c r="AOB3" s="24"/>
      <c r="AOC3" s="24"/>
      <c r="AOD3" s="24"/>
      <c r="AOE3" s="24"/>
      <c r="AOF3" s="24"/>
      <c r="AOG3" s="24"/>
      <c r="AOH3" s="24"/>
      <c r="AOI3" s="24"/>
      <c r="AOJ3" s="24"/>
      <c r="AOK3" s="24"/>
      <c r="AOL3" s="24"/>
      <c r="AOM3" s="24"/>
      <c r="AON3" s="24"/>
      <c r="AOO3" s="24"/>
      <c r="AOP3" s="24"/>
      <c r="AOQ3" s="24"/>
      <c r="AOR3" s="24"/>
      <c r="AOS3" s="24"/>
      <c r="AOT3" s="24"/>
      <c r="AOU3" s="24"/>
      <c r="AOV3" s="24"/>
      <c r="AOW3" s="24"/>
      <c r="AOX3" s="24"/>
      <c r="AOY3" s="24"/>
      <c r="AOZ3" s="24"/>
      <c r="APA3" s="24"/>
      <c r="APB3" s="24"/>
      <c r="APC3" s="24"/>
      <c r="APD3" s="24"/>
      <c r="APE3" s="24"/>
      <c r="APF3" s="24"/>
      <c r="APG3" s="24"/>
      <c r="APH3" s="24"/>
      <c r="API3" s="24"/>
      <c r="APJ3" s="24"/>
      <c r="APK3" s="24"/>
      <c r="APL3" s="24"/>
      <c r="APM3" s="24"/>
      <c r="APN3" s="24"/>
      <c r="APO3" s="24"/>
      <c r="APP3" s="24"/>
      <c r="APQ3" s="24"/>
      <c r="APR3" s="24"/>
      <c r="APS3" s="24"/>
      <c r="APT3" s="24"/>
      <c r="APU3" s="24"/>
      <c r="APV3" s="24"/>
      <c r="APW3" s="24"/>
      <c r="APX3" s="24"/>
      <c r="APY3" s="24"/>
      <c r="APZ3" s="24"/>
      <c r="AQA3" s="24"/>
      <c r="AQB3" s="24"/>
      <c r="AQC3" s="24"/>
      <c r="AQD3" s="24"/>
      <c r="AQE3" s="24"/>
      <c r="AQF3" s="24"/>
      <c r="AQG3" s="24"/>
      <c r="AQH3" s="24"/>
      <c r="AQI3" s="24"/>
      <c r="AQJ3" s="24"/>
      <c r="AQK3" s="24"/>
      <c r="AQL3" s="24"/>
      <c r="AQM3" s="24"/>
      <c r="AQN3" s="24"/>
      <c r="AQO3" s="24"/>
      <c r="AQP3" s="24"/>
      <c r="AQQ3" s="24"/>
      <c r="AQR3" s="24"/>
      <c r="AQS3" s="24"/>
      <c r="AQT3" s="24"/>
      <c r="AQU3" s="24"/>
      <c r="AQV3" s="24"/>
      <c r="AQW3" s="24"/>
      <c r="AQX3" s="24"/>
      <c r="AQY3" s="24"/>
      <c r="AQZ3" s="24"/>
      <c r="ARA3" s="24"/>
      <c r="ARB3" s="24"/>
      <c r="ARC3" s="24"/>
      <c r="ARD3" s="24"/>
      <c r="ARE3" s="24"/>
      <c r="ARF3" s="24"/>
      <c r="ARG3" s="24"/>
      <c r="ARH3" s="24"/>
      <c r="ARI3" s="24"/>
      <c r="ARJ3" s="24"/>
      <c r="ARK3" s="24"/>
      <c r="ARL3" s="24"/>
      <c r="ARM3" s="24"/>
      <c r="ARN3" s="24"/>
      <c r="ARO3" s="24"/>
      <c r="ARP3" s="24"/>
      <c r="ARQ3" s="24"/>
      <c r="ARR3" s="24"/>
      <c r="ARS3" s="24"/>
      <c r="ART3" s="24"/>
      <c r="ARU3" s="24"/>
      <c r="ARV3" s="24"/>
      <c r="ARW3" s="24"/>
      <c r="ARX3" s="24"/>
      <c r="ARY3" s="24"/>
      <c r="ARZ3" s="24"/>
      <c r="ASA3" s="24"/>
      <c r="ASB3" s="24"/>
      <c r="ASC3" s="24"/>
      <c r="ASD3" s="24"/>
      <c r="ASE3" s="24"/>
      <c r="ASF3" s="24"/>
      <c r="ASG3" s="24"/>
      <c r="ASH3" s="24"/>
      <c r="ASI3" s="24"/>
      <c r="ASJ3" s="24"/>
      <c r="ASK3" s="24"/>
      <c r="ASL3" s="24"/>
      <c r="ASM3" s="24"/>
      <c r="ASN3" s="24"/>
      <c r="ASO3" s="24"/>
      <c r="ASP3" s="24"/>
      <c r="ASQ3" s="24"/>
      <c r="ASR3" s="24"/>
      <c r="ASS3" s="24"/>
      <c r="AST3" s="24"/>
      <c r="ASU3" s="24"/>
      <c r="ASV3" s="24"/>
      <c r="ASW3" s="24"/>
      <c r="ASX3" s="24"/>
      <c r="ASY3" s="24"/>
      <c r="ASZ3" s="24"/>
      <c r="ATA3" s="24"/>
      <c r="ATB3" s="24"/>
      <c r="ATC3" s="24"/>
      <c r="ATD3" s="24"/>
      <c r="ATE3" s="24"/>
      <c r="ATF3" s="24"/>
      <c r="ATG3" s="24"/>
      <c r="ATH3" s="24"/>
      <c r="ATI3" s="24"/>
      <c r="ATJ3" s="24"/>
      <c r="ATK3" s="24"/>
      <c r="ATL3" s="24"/>
      <c r="ATM3" s="24"/>
      <c r="ATN3" s="24"/>
      <c r="ATO3" s="24"/>
      <c r="ATP3" s="24"/>
      <c r="ATQ3" s="24"/>
      <c r="ATR3" s="24"/>
      <c r="ATS3" s="24"/>
      <c r="ATT3" s="24"/>
      <c r="ATU3" s="24"/>
      <c r="ATV3" s="24"/>
      <c r="ATW3" s="24"/>
      <c r="ATX3" s="24"/>
      <c r="ATY3" s="24"/>
      <c r="ATZ3" s="24"/>
      <c r="AUA3" s="24"/>
      <c r="AUB3" s="24"/>
      <c r="AUC3" s="24"/>
      <c r="AUD3" s="24"/>
      <c r="AUE3" s="24"/>
      <c r="AUF3" s="24"/>
      <c r="AUG3" s="24"/>
      <c r="AUH3" s="24"/>
      <c r="AUI3" s="24"/>
      <c r="AUJ3" s="24"/>
      <c r="AUK3" s="24"/>
      <c r="AUL3" s="24"/>
      <c r="AUM3" s="24"/>
      <c r="AUN3" s="24"/>
      <c r="AUO3" s="24"/>
      <c r="AUP3" s="24"/>
      <c r="AUQ3" s="24"/>
      <c r="AUR3" s="24"/>
      <c r="AUS3" s="24"/>
      <c r="AUT3" s="24"/>
      <c r="AUU3" s="24"/>
      <c r="AUV3" s="24"/>
      <c r="AUW3" s="24"/>
      <c r="AUX3" s="24"/>
      <c r="AUY3" s="24"/>
      <c r="AUZ3" s="24"/>
      <c r="AVA3" s="24"/>
      <c r="AVB3" s="24"/>
      <c r="AVC3" s="24"/>
      <c r="AVD3" s="24"/>
      <c r="AVE3" s="24"/>
      <c r="AVF3" s="24"/>
      <c r="AVG3" s="24"/>
      <c r="AVH3" s="24"/>
      <c r="AVI3" s="24"/>
      <c r="AVJ3" s="24"/>
      <c r="AVK3" s="24"/>
      <c r="AVL3" s="24"/>
      <c r="AVM3" s="24"/>
      <c r="AVN3" s="24"/>
      <c r="AVO3" s="24"/>
      <c r="AVP3" s="24"/>
      <c r="AVQ3" s="24"/>
      <c r="AVR3" s="24"/>
      <c r="AVS3" s="24"/>
      <c r="AVT3" s="24"/>
      <c r="AVU3" s="24"/>
      <c r="AVV3" s="24"/>
      <c r="AVW3" s="24"/>
      <c r="AVX3" s="24"/>
      <c r="AVY3" s="24"/>
      <c r="AVZ3" s="24"/>
      <c r="AWA3" s="24"/>
      <c r="AWB3" s="24"/>
      <c r="AWC3" s="24"/>
      <c r="AWD3" s="24"/>
      <c r="AWE3" s="24"/>
      <c r="AWF3" s="24"/>
      <c r="AWG3" s="24"/>
      <c r="AWH3" s="24"/>
      <c r="AWI3" s="24"/>
      <c r="AWJ3" s="24"/>
      <c r="AWK3" s="24"/>
      <c r="AWL3" s="24"/>
      <c r="AWM3" s="24"/>
      <c r="AWN3" s="24"/>
      <c r="AWO3" s="24"/>
      <c r="AWP3" s="24"/>
      <c r="AWQ3" s="24"/>
      <c r="AWR3" s="24"/>
      <c r="AWS3" s="24"/>
      <c r="AWT3" s="24"/>
      <c r="AWU3" s="24"/>
      <c r="AWV3" s="24"/>
      <c r="AWW3" s="24"/>
      <c r="AWX3" s="24"/>
      <c r="AWY3" s="24"/>
      <c r="AWZ3" s="24"/>
      <c r="AXA3" s="24"/>
      <c r="AXB3" s="24"/>
      <c r="AXC3" s="24"/>
      <c r="AXD3" s="24"/>
      <c r="AXE3" s="24"/>
      <c r="AXF3" s="24"/>
      <c r="AXG3" s="24"/>
      <c r="AXH3" s="24"/>
      <c r="AXI3" s="24"/>
      <c r="AXJ3" s="24"/>
      <c r="AXK3" s="24"/>
      <c r="AXL3" s="24"/>
      <c r="AXM3" s="24"/>
      <c r="AXN3" s="24"/>
      <c r="AXO3" s="24"/>
      <c r="AXP3" s="24"/>
      <c r="AXQ3" s="24"/>
      <c r="AXR3" s="24"/>
      <c r="AXS3" s="24"/>
      <c r="AXT3" s="24"/>
      <c r="AXU3" s="24"/>
      <c r="AXV3" s="24"/>
      <c r="AXW3" s="24"/>
      <c r="AXX3" s="24"/>
      <c r="AXY3" s="24"/>
      <c r="AXZ3" s="24"/>
      <c r="AYA3" s="24"/>
      <c r="AYB3" s="24"/>
      <c r="AYC3" s="24"/>
      <c r="AYD3" s="24"/>
      <c r="AYE3" s="24"/>
      <c r="AYF3" s="24"/>
      <c r="AYG3" s="24"/>
      <c r="AYH3" s="24"/>
      <c r="AYI3" s="24"/>
      <c r="AYJ3" s="24"/>
      <c r="AYK3" s="24"/>
      <c r="AYL3" s="24"/>
      <c r="AYM3" s="24"/>
      <c r="AYN3" s="24"/>
      <c r="AYO3" s="24"/>
      <c r="AYP3" s="24"/>
      <c r="AYQ3" s="24"/>
      <c r="AYR3" s="24"/>
      <c r="AYS3" s="24"/>
      <c r="AYT3" s="24"/>
      <c r="AYU3" s="24"/>
      <c r="AYV3" s="24"/>
      <c r="AYW3" s="24"/>
      <c r="AYX3" s="24"/>
      <c r="AYY3" s="24"/>
      <c r="AYZ3" s="24"/>
      <c r="AZA3" s="24"/>
      <c r="AZB3" s="24"/>
      <c r="AZC3" s="24"/>
      <c r="AZD3" s="24"/>
      <c r="AZE3" s="24"/>
      <c r="AZF3" s="24"/>
      <c r="AZG3" s="24"/>
      <c r="AZH3" s="24"/>
      <c r="AZI3" s="24"/>
      <c r="AZJ3" s="24"/>
      <c r="AZK3" s="24"/>
      <c r="AZL3" s="24"/>
      <c r="AZM3" s="24"/>
      <c r="AZN3" s="24"/>
      <c r="AZO3" s="24"/>
      <c r="AZP3" s="24"/>
      <c r="AZQ3" s="24"/>
      <c r="AZR3" s="24"/>
      <c r="AZS3" s="24"/>
      <c r="AZT3" s="24"/>
      <c r="AZU3" s="24"/>
      <c r="AZV3" s="24"/>
      <c r="AZW3" s="24"/>
      <c r="AZX3" s="24"/>
      <c r="AZY3" s="24"/>
      <c r="AZZ3" s="24"/>
      <c r="BAA3" s="24"/>
      <c r="BAB3" s="24"/>
      <c r="BAC3" s="24"/>
      <c r="BAD3" s="24"/>
      <c r="BAE3" s="24"/>
      <c r="BAF3" s="24"/>
      <c r="BAG3" s="24"/>
      <c r="BAH3" s="24"/>
      <c r="BAI3" s="24"/>
      <c r="BAJ3" s="24"/>
      <c r="BAK3" s="24"/>
      <c r="BAL3" s="24"/>
      <c r="BAM3" s="24"/>
      <c r="BAN3" s="24"/>
      <c r="BAO3" s="24"/>
      <c r="BAP3" s="24"/>
      <c r="BAQ3" s="24"/>
      <c r="BAR3" s="24"/>
      <c r="BAS3" s="24"/>
      <c r="BAT3" s="24"/>
      <c r="BAU3" s="24"/>
      <c r="BAV3" s="24"/>
      <c r="BAW3" s="24"/>
      <c r="BAX3" s="24"/>
      <c r="BAY3" s="24"/>
      <c r="BAZ3" s="24"/>
      <c r="BBA3" s="24"/>
      <c r="BBB3" s="24"/>
      <c r="BBC3" s="24"/>
      <c r="BBD3" s="24"/>
      <c r="BBE3" s="24"/>
      <c r="BBF3" s="24"/>
      <c r="BBG3" s="24"/>
      <c r="BBH3" s="24"/>
      <c r="BBI3" s="24"/>
      <c r="BBJ3" s="24"/>
      <c r="BBK3" s="24"/>
      <c r="BBL3" s="24"/>
      <c r="BBM3" s="24"/>
      <c r="BBN3" s="24"/>
      <c r="BBO3" s="24"/>
      <c r="BBP3" s="24"/>
      <c r="BBQ3" s="24"/>
      <c r="BBR3" s="24"/>
      <c r="BBS3" s="24"/>
      <c r="BBT3" s="24"/>
      <c r="BBU3" s="24"/>
      <c r="BBV3" s="24"/>
      <c r="BBW3" s="24"/>
      <c r="BBX3" s="24"/>
      <c r="BBY3" s="24"/>
      <c r="BBZ3" s="24"/>
      <c r="BCA3" s="24"/>
      <c r="BCB3" s="24"/>
      <c r="BCC3" s="24"/>
      <c r="BCD3" s="24"/>
      <c r="BCE3" s="24"/>
      <c r="BCF3" s="24"/>
      <c r="BCG3" s="24"/>
      <c r="BCH3" s="24"/>
      <c r="BCI3" s="24"/>
      <c r="BCJ3" s="24"/>
      <c r="BCK3" s="24"/>
      <c r="BCL3" s="24"/>
      <c r="BCM3" s="24"/>
      <c r="BCN3" s="24"/>
      <c r="BCO3" s="24"/>
      <c r="BCP3" s="24"/>
      <c r="BCQ3" s="24"/>
      <c r="BCR3" s="24"/>
      <c r="BCS3" s="24"/>
      <c r="BCT3" s="24"/>
      <c r="BCU3" s="24"/>
      <c r="BCV3" s="24"/>
      <c r="BCW3" s="24"/>
      <c r="BCX3" s="24"/>
      <c r="BCY3" s="24"/>
      <c r="BCZ3" s="24"/>
      <c r="BDA3" s="24"/>
      <c r="BDB3" s="24"/>
      <c r="BDC3" s="24"/>
      <c r="BDD3" s="24"/>
      <c r="BDE3" s="24"/>
      <c r="BDF3" s="24"/>
      <c r="BDG3" s="24"/>
      <c r="BDH3" s="24"/>
      <c r="BDI3" s="24"/>
      <c r="BDJ3" s="24"/>
      <c r="BDK3" s="24"/>
      <c r="BDL3" s="24"/>
      <c r="BDM3" s="24"/>
      <c r="BDN3" s="24"/>
      <c r="BDO3" s="24"/>
      <c r="BDP3" s="24"/>
      <c r="BDQ3" s="24"/>
      <c r="BDR3" s="24"/>
      <c r="BDS3" s="24"/>
      <c r="BDT3" s="24"/>
      <c r="BDU3" s="24"/>
      <c r="BDV3" s="24"/>
      <c r="BDW3" s="24"/>
      <c r="BDX3" s="24"/>
      <c r="BDY3" s="24"/>
      <c r="BDZ3" s="24"/>
      <c r="BEA3" s="24"/>
      <c r="BEB3" s="24"/>
      <c r="BEC3" s="24"/>
      <c r="BED3" s="24"/>
      <c r="BEE3" s="24"/>
      <c r="BEF3" s="24"/>
      <c r="BEG3" s="24"/>
      <c r="BEH3" s="24"/>
      <c r="BEI3" s="24"/>
      <c r="BEJ3" s="24"/>
      <c r="BEK3" s="24"/>
      <c r="BEL3" s="24"/>
      <c r="BEM3" s="24"/>
      <c r="BEN3" s="24"/>
      <c r="BEO3" s="24"/>
      <c r="BEP3" s="24"/>
      <c r="BEQ3" s="24"/>
      <c r="BER3" s="24"/>
      <c r="BES3" s="24"/>
      <c r="BET3" s="24"/>
      <c r="BEU3" s="24"/>
      <c r="BEV3" s="24"/>
      <c r="BEW3" s="24"/>
      <c r="BEX3" s="24"/>
      <c r="BEY3" s="24"/>
      <c r="BEZ3" s="24"/>
      <c r="BFA3" s="24"/>
      <c r="BFB3" s="24"/>
      <c r="BFC3" s="24"/>
      <c r="BFD3" s="24"/>
      <c r="BFE3" s="24"/>
      <c r="BFF3" s="24"/>
      <c r="BFG3" s="24"/>
      <c r="BFH3" s="24"/>
      <c r="BFI3" s="24"/>
      <c r="BFJ3" s="24"/>
      <c r="BFK3" s="24"/>
      <c r="BFL3" s="24"/>
      <c r="BFM3" s="24"/>
      <c r="BFN3" s="24"/>
      <c r="BFO3" s="24"/>
      <c r="BFP3" s="24"/>
      <c r="BFQ3" s="24"/>
      <c r="BFR3" s="24"/>
      <c r="BFS3" s="24"/>
      <c r="BFT3" s="24"/>
      <c r="BFU3" s="24"/>
      <c r="BFV3" s="24"/>
      <c r="BFW3" s="24"/>
      <c r="BFX3" s="24"/>
      <c r="BFY3" s="24"/>
      <c r="BFZ3" s="24"/>
      <c r="BGA3" s="24"/>
      <c r="BGB3" s="24"/>
      <c r="BGC3" s="24"/>
      <c r="BGD3" s="24"/>
      <c r="BGE3" s="24"/>
      <c r="BGF3" s="24"/>
      <c r="BGG3" s="24"/>
      <c r="BGH3" s="24"/>
      <c r="BGI3" s="24"/>
      <c r="BGJ3" s="24"/>
      <c r="BGK3" s="24"/>
      <c r="BGL3" s="24"/>
      <c r="BGM3" s="24"/>
      <c r="BGN3" s="24"/>
      <c r="BGO3" s="24"/>
      <c r="BGP3" s="24"/>
      <c r="BGQ3" s="24"/>
      <c r="BGR3" s="24"/>
      <c r="BGS3" s="24"/>
      <c r="BGT3" s="24"/>
      <c r="BGU3" s="24"/>
      <c r="BGV3" s="24"/>
      <c r="BGW3" s="24"/>
      <c r="BGX3" s="24"/>
      <c r="BGY3" s="24"/>
      <c r="BGZ3" s="24"/>
      <c r="BHA3" s="24"/>
      <c r="BHB3" s="24"/>
      <c r="BHC3" s="24"/>
      <c r="BHD3" s="24"/>
      <c r="BHE3" s="24"/>
      <c r="BHF3" s="24"/>
      <c r="BHG3" s="24"/>
      <c r="BHH3" s="24"/>
      <c r="BHI3" s="24"/>
      <c r="BHJ3" s="24"/>
      <c r="BHK3" s="24"/>
      <c r="BHL3" s="24"/>
      <c r="BHM3" s="24"/>
      <c r="BHN3" s="24"/>
      <c r="BHO3" s="24"/>
      <c r="BHP3" s="24"/>
      <c r="BHQ3" s="24"/>
      <c r="BHR3" s="24"/>
      <c r="BHS3" s="24"/>
      <c r="BHT3" s="24"/>
      <c r="BHU3" s="24"/>
      <c r="BHV3" s="24"/>
      <c r="BHW3" s="24"/>
      <c r="BHX3" s="24"/>
      <c r="BHY3" s="24"/>
      <c r="BHZ3" s="24"/>
      <c r="BIA3" s="24"/>
      <c r="BIB3" s="24"/>
      <c r="BIC3" s="24"/>
      <c r="BID3" s="24"/>
      <c r="BIE3" s="24"/>
      <c r="BIF3" s="24"/>
      <c r="BIG3" s="24"/>
      <c r="BIH3" s="24"/>
      <c r="BII3" s="24"/>
      <c r="BIJ3" s="24"/>
      <c r="BIK3" s="24"/>
      <c r="BIL3" s="24"/>
      <c r="BIM3" s="24"/>
      <c r="BIN3" s="24"/>
      <c r="BIO3" s="24"/>
      <c r="BIP3" s="24"/>
      <c r="BIQ3" s="24"/>
      <c r="BIR3" s="24"/>
      <c r="BIS3" s="24"/>
      <c r="BIT3" s="24"/>
      <c r="BIU3" s="24"/>
      <c r="BIV3" s="24"/>
      <c r="BIW3" s="24"/>
      <c r="BIX3" s="24"/>
      <c r="BIY3" s="24"/>
      <c r="BIZ3" s="24"/>
      <c r="BJA3" s="24"/>
      <c r="BJB3" s="24"/>
      <c r="BJC3" s="24"/>
      <c r="BJD3" s="24"/>
      <c r="BJE3" s="24"/>
      <c r="BJF3" s="24"/>
      <c r="BJG3" s="24"/>
      <c r="BJH3" s="24"/>
      <c r="BJI3" s="24"/>
      <c r="BJJ3" s="24"/>
      <c r="BJK3" s="24"/>
      <c r="BJL3" s="24"/>
      <c r="BJM3" s="24"/>
      <c r="BJN3" s="24"/>
      <c r="BJO3" s="24"/>
      <c r="BJP3" s="24"/>
      <c r="BJQ3" s="24"/>
      <c r="BJR3" s="24"/>
      <c r="BJS3" s="24"/>
      <c r="BJT3" s="24"/>
      <c r="BJU3" s="24"/>
      <c r="BJV3" s="24"/>
      <c r="BJW3" s="24"/>
      <c r="BJX3" s="24"/>
      <c r="BJY3" s="24"/>
      <c r="BJZ3" s="24"/>
      <c r="BKA3" s="24"/>
      <c r="BKB3" s="24"/>
      <c r="BKC3" s="24"/>
      <c r="BKD3" s="24"/>
      <c r="BKE3" s="24"/>
      <c r="BKF3" s="24"/>
      <c r="BKG3" s="24"/>
      <c r="BKH3" s="24"/>
      <c r="BKI3" s="24"/>
      <c r="BKJ3" s="24"/>
      <c r="BKK3" s="24"/>
      <c r="BKL3" s="24"/>
      <c r="BKM3" s="24"/>
      <c r="BKN3" s="24"/>
      <c r="BKO3" s="24"/>
      <c r="BKP3" s="24"/>
      <c r="BKQ3" s="24"/>
      <c r="BKR3" s="24"/>
      <c r="BKS3" s="24"/>
      <c r="BKT3" s="24"/>
      <c r="BKU3" s="24"/>
      <c r="BKV3" s="24"/>
      <c r="BKW3" s="24"/>
      <c r="BKX3" s="24"/>
      <c r="BKY3" s="24"/>
      <c r="BKZ3" s="24"/>
      <c r="BLA3" s="24"/>
      <c r="BLB3" s="24"/>
      <c r="BLC3" s="24"/>
      <c r="BLD3" s="24"/>
      <c r="BLE3" s="24"/>
      <c r="BLF3" s="24"/>
      <c r="BLG3" s="24"/>
      <c r="BLH3" s="24"/>
      <c r="BLI3" s="24"/>
      <c r="BLJ3" s="24"/>
      <c r="BLK3" s="24"/>
      <c r="BLL3" s="24"/>
      <c r="BLM3" s="24"/>
      <c r="BLN3" s="24"/>
      <c r="BLO3" s="24"/>
      <c r="BLP3" s="24"/>
      <c r="BLQ3" s="24"/>
      <c r="BLR3" s="24"/>
      <c r="BLS3" s="24"/>
      <c r="BLT3" s="24"/>
      <c r="BLU3" s="24"/>
      <c r="BLV3" s="24"/>
      <c r="BLW3" s="24"/>
      <c r="BLX3" s="24"/>
      <c r="BLY3" s="24"/>
      <c r="BLZ3" s="24"/>
      <c r="BMA3" s="24"/>
      <c r="BMB3" s="24"/>
      <c r="BMC3" s="24"/>
      <c r="BMD3" s="24"/>
      <c r="BME3" s="24"/>
      <c r="BMF3" s="24"/>
      <c r="BMG3" s="24"/>
      <c r="BMH3" s="24"/>
      <c r="BMI3" s="24"/>
      <c r="BMJ3" s="24"/>
      <c r="BMK3" s="24"/>
      <c r="BML3" s="24"/>
      <c r="BMM3" s="24"/>
      <c r="BMN3" s="24"/>
      <c r="BMO3" s="24"/>
      <c r="BMP3" s="24"/>
      <c r="BMQ3" s="24"/>
      <c r="BMR3" s="24"/>
      <c r="BMS3" s="24"/>
      <c r="BMT3" s="24"/>
      <c r="BMU3" s="24"/>
      <c r="BMV3" s="24"/>
      <c r="BMW3" s="24"/>
      <c r="BMX3" s="24"/>
      <c r="BMY3" s="24"/>
      <c r="BMZ3" s="24"/>
      <c r="BNA3" s="24"/>
      <c r="BNB3" s="24"/>
      <c r="BNC3" s="24"/>
      <c r="BND3" s="24"/>
      <c r="BNE3" s="24"/>
      <c r="BNF3" s="24"/>
      <c r="BNG3" s="24"/>
      <c r="BNH3" s="24"/>
      <c r="BNI3" s="24"/>
      <c r="BNJ3" s="24"/>
      <c r="BNK3" s="24"/>
      <c r="BNL3" s="24"/>
      <c r="BNM3" s="24"/>
      <c r="BNN3" s="24"/>
      <c r="BNO3" s="24"/>
      <c r="BNP3" s="24"/>
      <c r="BNQ3" s="24"/>
      <c r="BNR3" s="24"/>
      <c r="BNS3" s="24"/>
      <c r="BNT3" s="24"/>
      <c r="BNU3" s="24"/>
      <c r="BNV3" s="24"/>
      <c r="BNW3" s="24"/>
      <c r="BNX3" s="24"/>
      <c r="BNY3" s="24"/>
      <c r="BNZ3" s="24"/>
      <c r="BOA3" s="24"/>
      <c r="BOB3" s="24"/>
      <c r="BOC3" s="24"/>
      <c r="BOD3" s="24"/>
      <c r="BOE3" s="24"/>
      <c r="BOF3" s="24"/>
      <c r="BOG3" s="24"/>
      <c r="BOH3" s="24"/>
      <c r="BOI3" s="24"/>
      <c r="BOJ3" s="24"/>
      <c r="BOK3" s="24"/>
      <c r="BOL3" s="24"/>
      <c r="BOM3" s="24"/>
      <c r="BON3" s="24"/>
      <c r="BOO3" s="24"/>
      <c r="BOP3" s="24"/>
      <c r="BOQ3" s="24"/>
      <c r="BOR3" s="24"/>
      <c r="BOS3" s="24"/>
      <c r="BOT3" s="24"/>
      <c r="BOU3" s="24"/>
      <c r="BOV3" s="24"/>
      <c r="BOW3" s="24"/>
      <c r="BOX3" s="24"/>
      <c r="BOY3" s="24"/>
      <c r="BOZ3" s="24"/>
      <c r="BPA3" s="24"/>
      <c r="BPB3" s="24"/>
      <c r="BPC3" s="24"/>
      <c r="BPD3" s="24"/>
      <c r="BPE3" s="24"/>
      <c r="BPF3" s="24"/>
      <c r="BPG3" s="24"/>
      <c r="BPH3" s="24"/>
      <c r="BPI3" s="24"/>
      <c r="BPJ3" s="24"/>
      <c r="BPK3" s="24"/>
      <c r="BPL3" s="24"/>
      <c r="BPM3" s="24"/>
      <c r="BPN3" s="24"/>
      <c r="BPO3" s="24"/>
      <c r="BPP3" s="24"/>
      <c r="BPQ3" s="24"/>
      <c r="BPR3" s="24"/>
      <c r="BPS3" s="24"/>
      <c r="BPT3" s="24"/>
      <c r="BPU3" s="24"/>
      <c r="BPV3" s="24"/>
      <c r="BPW3" s="24"/>
      <c r="BPX3" s="24"/>
      <c r="BPY3" s="24"/>
      <c r="BPZ3" s="24"/>
      <c r="BQA3" s="24"/>
      <c r="BQB3" s="24"/>
      <c r="BQC3" s="24"/>
      <c r="BQD3" s="24"/>
      <c r="BQE3" s="24"/>
      <c r="BQF3" s="24"/>
      <c r="BQG3" s="24"/>
      <c r="BQH3" s="24"/>
      <c r="BQI3" s="24"/>
      <c r="BQJ3" s="24"/>
      <c r="BQK3" s="24"/>
      <c r="BQL3" s="24"/>
      <c r="BQM3" s="24"/>
      <c r="BQN3" s="24"/>
      <c r="BQO3" s="24"/>
      <c r="BQP3" s="24"/>
      <c r="BQQ3" s="24"/>
      <c r="BQR3" s="24"/>
      <c r="BQS3" s="24"/>
      <c r="BQT3" s="24"/>
      <c r="BQU3" s="24"/>
      <c r="BQV3" s="24"/>
      <c r="BQW3" s="24"/>
      <c r="BQX3" s="24"/>
      <c r="BQY3" s="24"/>
      <c r="BQZ3" s="24"/>
      <c r="BRA3" s="24"/>
      <c r="BRB3" s="24"/>
      <c r="BRC3" s="24"/>
      <c r="BRD3" s="24"/>
      <c r="BRE3" s="24"/>
      <c r="BRF3" s="24"/>
      <c r="BRG3" s="24"/>
      <c r="BRH3" s="24"/>
      <c r="BRI3" s="24"/>
      <c r="BRJ3" s="24"/>
      <c r="BRK3" s="24"/>
      <c r="BRL3" s="24"/>
      <c r="BRM3" s="24"/>
      <c r="BRN3" s="24"/>
      <c r="BRO3" s="24"/>
      <c r="BRP3" s="24"/>
      <c r="BRQ3" s="24"/>
      <c r="BRR3" s="24"/>
      <c r="BRS3" s="24"/>
      <c r="BRT3" s="24"/>
      <c r="BRU3" s="24"/>
      <c r="BRV3" s="24"/>
      <c r="BRW3" s="24"/>
      <c r="BRX3" s="24"/>
      <c r="BRY3" s="24"/>
      <c r="BRZ3" s="24"/>
      <c r="BSA3" s="24"/>
      <c r="BSB3" s="24"/>
      <c r="BSC3" s="24"/>
      <c r="BSD3" s="24"/>
      <c r="BSE3" s="24"/>
      <c r="BSF3" s="24"/>
      <c r="BSG3" s="24"/>
      <c r="BSH3" s="24"/>
      <c r="BSI3" s="24"/>
      <c r="BSJ3" s="24"/>
      <c r="BSK3" s="24"/>
      <c r="BSL3" s="24"/>
      <c r="BSM3" s="24"/>
      <c r="BSN3" s="24"/>
      <c r="BSO3" s="24"/>
      <c r="BSP3" s="24"/>
      <c r="BSQ3" s="24"/>
      <c r="BSR3" s="24"/>
      <c r="BSS3" s="24"/>
      <c r="BST3" s="24"/>
      <c r="BSU3" s="24"/>
      <c r="BSV3" s="24"/>
      <c r="BSW3" s="24"/>
      <c r="BSX3" s="24"/>
      <c r="BSY3" s="24"/>
      <c r="BSZ3" s="24"/>
      <c r="BTA3" s="24"/>
      <c r="BTB3" s="24"/>
      <c r="BTC3" s="24"/>
      <c r="BTD3" s="24"/>
      <c r="BTE3" s="24"/>
      <c r="BTF3" s="24"/>
      <c r="BTG3" s="24"/>
      <c r="BTH3" s="24"/>
      <c r="BTI3" s="24"/>
      <c r="BTJ3" s="24"/>
      <c r="BTK3" s="24"/>
      <c r="BTL3" s="24"/>
      <c r="BTM3" s="24"/>
      <c r="BTN3" s="24"/>
      <c r="BTO3" s="24"/>
      <c r="BTP3" s="24"/>
      <c r="BTQ3" s="24"/>
      <c r="BTR3" s="24"/>
      <c r="BTS3" s="24"/>
      <c r="BTT3" s="24"/>
      <c r="BTU3" s="24"/>
      <c r="BTV3" s="24"/>
      <c r="BTW3" s="24"/>
      <c r="BT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  <c r="AMM4" s="26"/>
      <c r="AMN4" s="26"/>
      <c r="AMO4" s="26"/>
      <c r="AMP4" s="26"/>
      <c r="AMQ4" s="26"/>
      <c r="AMR4" s="26"/>
      <c r="AMS4" s="26"/>
      <c r="AMT4" s="26"/>
      <c r="AMU4" s="26"/>
      <c r="AMV4" s="26"/>
      <c r="AMW4" s="26"/>
      <c r="AMX4" s="26"/>
      <c r="AMY4" s="26"/>
      <c r="AMZ4" s="26"/>
      <c r="ANA4" s="26"/>
      <c r="ANB4" s="26"/>
      <c r="ANC4" s="26"/>
      <c r="AND4" s="26"/>
      <c r="ANE4" s="26"/>
      <c r="ANF4" s="26"/>
      <c r="ANG4" s="26"/>
      <c r="ANH4" s="26"/>
      <c r="ANI4" s="26"/>
      <c r="ANJ4" s="26"/>
      <c r="ANK4" s="26"/>
      <c r="ANL4" s="26"/>
      <c r="ANM4" s="26"/>
      <c r="ANN4" s="26"/>
      <c r="ANO4" s="26"/>
      <c r="ANP4" s="26"/>
      <c r="ANQ4" s="26"/>
      <c r="ANR4" s="26"/>
      <c r="ANS4" s="26"/>
      <c r="ANT4" s="26"/>
      <c r="ANU4" s="26"/>
      <c r="ANV4" s="26"/>
      <c r="ANW4" s="26"/>
      <c r="ANX4" s="26"/>
      <c r="ANY4" s="26"/>
      <c r="ANZ4" s="26"/>
      <c r="AOA4" s="26"/>
      <c r="AOB4" s="26"/>
      <c r="AOC4" s="26"/>
      <c r="AOD4" s="26"/>
      <c r="AOE4" s="26"/>
      <c r="AOF4" s="26"/>
      <c r="AOG4" s="26"/>
      <c r="AOH4" s="26"/>
      <c r="AOI4" s="26"/>
      <c r="AOJ4" s="26"/>
      <c r="AOK4" s="26"/>
      <c r="AOL4" s="26"/>
      <c r="AOM4" s="26"/>
      <c r="AON4" s="26"/>
      <c r="AOO4" s="26"/>
      <c r="AOP4" s="26"/>
      <c r="AOQ4" s="26"/>
      <c r="AOR4" s="26"/>
      <c r="AOS4" s="26"/>
      <c r="AOT4" s="26"/>
      <c r="AOU4" s="26"/>
      <c r="AOV4" s="26"/>
      <c r="AOW4" s="26"/>
      <c r="AOX4" s="26"/>
      <c r="AOY4" s="26"/>
      <c r="AOZ4" s="26"/>
      <c r="APA4" s="26"/>
      <c r="APB4" s="26"/>
      <c r="APC4" s="26"/>
      <c r="APD4" s="26"/>
      <c r="APE4" s="26"/>
      <c r="APF4" s="26"/>
      <c r="APG4" s="26"/>
      <c r="APH4" s="26"/>
      <c r="API4" s="26"/>
      <c r="APJ4" s="26"/>
      <c r="APK4" s="26"/>
      <c r="APL4" s="26"/>
      <c r="APM4" s="26"/>
      <c r="APN4" s="26"/>
      <c r="APO4" s="26"/>
      <c r="APP4" s="26"/>
      <c r="APQ4" s="26"/>
      <c r="APR4" s="26"/>
      <c r="APS4" s="26"/>
      <c r="APT4" s="26"/>
      <c r="APU4" s="26"/>
      <c r="APV4" s="26"/>
      <c r="APW4" s="26"/>
      <c r="APX4" s="26"/>
      <c r="APY4" s="26"/>
      <c r="APZ4" s="26"/>
      <c r="AQA4" s="26"/>
      <c r="AQB4" s="26"/>
      <c r="AQC4" s="26"/>
      <c r="AQD4" s="26"/>
      <c r="AQE4" s="26"/>
      <c r="AQF4" s="26"/>
      <c r="AQG4" s="26"/>
      <c r="AQH4" s="26"/>
      <c r="AQI4" s="26"/>
      <c r="AQJ4" s="26"/>
      <c r="AQK4" s="26"/>
      <c r="AQL4" s="26"/>
      <c r="AQM4" s="26"/>
      <c r="AQN4" s="26"/>
      <c r="AQO4" s="26"/>
      <c r="AQP4" s="26"/>
      <c r="AQQ4" s="26"/>
      <c r="AQR4" s="26"/>
      <c r="AQS4" s="26"/>
      <c r="AQT4" s="26"/>
      <c r="AQU4" s="26"/>
      <c r="AQV4" s="26"/>
      <c r="AQW4" s="26"/>
      <c r="AQX4" s="26"/>
      <c r="AQY4" s="26"/>
      <c r="AQZ4" s="26"/>
      <c r="ARA4" s="26"/>
      <c r="ARB4" s="26"/>
      <c r="ARC4" s="26"/>
      <c r="ARD4" s="26"/>
      <c r="ARE4" s="26"/>
      <c r="ARF4" s="26"/>
      <c r="ARG4" s="26"/>
      <c r="ARH4" s="26"/>
      <c r="ARI4" s="26"/>
      <c r="ARJ4" s="26"/>
      <c r="ARK4" s="26"/>
      <c r="ARL4" s="26"/>
      <c r="ARM4" s="26"/>
      <c r="ARN4" s="26"/>
      <c r="ARO4" s="26"/>
      <c r="ARP4" s="26"/>
      <c r="ARQ4" s="26"/>
      <c r="ARR4" s="26"/>
      <c r="ARS4" s="26"/>
      <c r="ART4" s="26"/>
      <c r="ARU4" s="26"/>
      <c r="ARV4" s="26"/>
      <c r="ARW4" s="26"/>
      <c r="ARX4" s="26"/>
      <c r="ARY4" s="26"/>
      <c r="ARZ4" s="26"/>
      <c r="ASA4" s="26"/>
      <c r="ASB4" s="26"/>
      <c r="ASC4" s="26"/>
      <c r="ASD4" s="26"/>
      <c r="ASE4" s="26"/>
      <c r="ASF4" s="26"/>
      <c r="ASG4" s="26"/>
      <c r="ASH4" s="26"/>
      <c r="ASI4" s="26"/>
      <c r="ASJ4" s="26"/>
      <c r="ASK4" s="26"/>
      <c r="ASL4" s="26"/>
      <c r="ASM4" s="26"/>
      <c r="ASN4" s="26"/>
      <c r="ASO4" s="26"/>
      <c r="ASP4" s="26"/>
      <c r="ASQ4" s="26"/>
      <c r="ASR4" s="26"/>
      <c r="ASS4" s="26"/>
      <c r="AST4" s="26"/>
      <c r="ASU4" s="26"/>
      <c r="ASV4" s="26"/>
      <c r="ASW4" s="26"/>
      <c r="ASX4" s="26"/>
      <c r="ASY4" s="26"/>
      <c r="ASZ4" s="26"/>
      <c r="ATA4" s="26"/>
      <c r="ATB4" s="26"/>
      <c r="ATC4" s="26"/>
      <c r="ATD4" s="26"/>
      <c r="ATE4" s="26"/>
      <c r="ATF4" s="26"/>
      <c r="ATG4" s="26"/>
      <c r="ATH4" s="26"/>
      <c r="ATI4" s="26"/>
      <c r="ATJ4" s="26"/>
      <c r="ATK4" s="26"/>
      <c r="ATL4" s="26"/>
      <c r="ATM4" s="26"/>
      <c r="ATN4" s="26"/>
      <c r="ATO4" s="26"/>
      <c r="ATP4" s="26"/>
      <c r="ATQ4" s="26"/>
      <c r="ATR4" s="26"/>
      <c r="ATS4" s="26"/>
      <c r="ATT4" s="26"/>
      <c r="ATU4" s="26"/>
      <c r="ATV4" s="26"/>
      <c r="ATW4" s="26"/>
      <c r="ATX4" s="26"/>
      <c r="ATY4" s="26"/>
      <c r="ATZ4" s="26"/>
      <c r="AUA4" s="26"/>
      <c r="AUB4" s="26"/>
      <c r="AUC4" s="26"/>
      <c r="AUD4" s="26"/>
      <c r="AUE4" s="26"/>
      <c r="AUF4" s="26"/>
      <c r="AUG4" s="26"/>
      <c r="AUH4" s="26"/>
      <c r="AUI4" s="26"/>
      <c r="AUJ4" s="26"/>
      <c r="AUK4" s="26"/>
      <c r="AUL4" s="26"/>
      <c r="AUM4" s="26"/>
      <c r="AUN4" s="26"/>
      <c r="AUO4" s="26"/>
      <c r="AUP4" s="26"/>
      <c r="AUQ4" s="26"/>
      <c r="AUR4" s="26"/>
      <c r="AUS4" s="26"/>
      <c r="AUT4" s="26"/>
      <c r="AUU4" s="26"/>
      <c r="AUV4" s="26"/>
      <c r="AUW4" s="26"/>
      <c r="AUX4" s="26"/>
      <c r="AUY4" s="26"/>
      <c r="AUZ4" s="26"/>
      <c r="AVA4" s="26"/>
      <c r="AVB4" s="26"/>
      <c r="AVC4" s="26"/>
      <c r="AVD4" s="26"/>
      <c r="AVE4" s="26"/>
      <c r="AVF4" s="26"/>
      <c r="AVG4" s="26"/>
      <c r="AVH4" s="26"/>
      <c r="AVI4" s="26"/>
      <c r="AVJ4" s="26"/>
      <c r="AVK4" s="26"/>
      <c r="AVL4" s="26"/>
      <c r="AVM4" s="26"/>
      <c r="AVN4" s="26"/>
      <c r="AVO4" s="26"/>
      <c r="AVP4" s="26"/>
      <c r="AVQ4" s="26"/>
      <c r="AVR4" s="26"/>
      <c r="AVS4" s="26"/>
      <c r="AVT4" s="26"/>
      <c r="AVU4" s="26"/>
      <c r="AVV4" s="26"/>
      <c r="AVW4" s="26"/>
      <c r="AVX4" s="26"/>
      <c r="AVY4" s="26"/>
      <c r="AVZ4" s="26"/>
      <c r="AWA4" s="26"/>
      <c r="AWB4" s="26"/>
      <c r="AWC4" s="26"/>
      <c r="AWD4" s="26"/>
      <c r="AWE4" s="26"/>
      <c r="AWF4" s="26"/>
      <c r="AWG4" s="26"/>
      <c r="AWH4" s="26"/>
      <c r="AWI4" s="26"/>
      <c r="AWJ4" s="26"/>
      <c r="AWK4" s="26"/>
      <c r="AWL4" s="26"/>
      <c r="AWM4" s="26"/>
      <c r="AWN4" s="26"/>
      <c r="AWO4" s="26"/>
      <c r="AWP4" s="26"/>
      <c r="AWQ4" s="26"/>
      <c r="AWR4" s="26"/>
      <c r="AWS4" s="26"/>
      <c r="AWT4" s="26"/>
      <c r="AWU4" s="26"/>
      <c r="AWV4" s="26"/>
      <c r="AWW4" s="26"/>
      <c r="AWX4" s="26"/>
      <c r="AWY4" s="26"/>
      <c r="AWZ4" s="26"/>
      <c r="AXA4" s="26"/>
      <c r="AXB4" s="26"/>
      <c r="AXC4" s="26"/>
      <c r="AXD4" s="26"/>
      <c r="AXE4" s="26"/>
      <c r="AXF4" s="26"/>
      <c r="AXG4" s="26"/>
      <c r="AXH4" s="26"/>
      <c r="AXI4" s="26"/>
      <c r="AXJ4" s="26"/>
      <c r="AXK4" s="26"/>
      <c r="AXL4" s="26"/>
      <c r="AXM4" s="26"/>
      <c r="AXN4" s="26"/>
      <c r="AXO4" s="26"/>
      <c r="AXP4" s="26"/>
      <c r="AXQ4" s="26"/>
      <c r="AXR4" s="26"/>
      <c r="AXS4" s="26"/>
      <c r="AXT4" s="26"/>
      <c r="AXU4" s="26"/>
      <c r="AXV4" s="26"/>
      <c r="AXW4" s="26"/>
      <c r="AXX4" s="26"/>
      <c r="AXY4" s="26"/>
      <c r="AXZ4" s="26"/>
      <c r="AYA4" s="26"/>
      <c r="AYB4" s="26"/>
      <c r="AYC4" s="26"/>
      <c r="AYD4" s="26"/>
      <c r="AYE4" s="26"/>
      <c r="AYF4" s="26"/>
      <c r="AYG4" s="26"/>
      <c r="AYH4" s="26"/>
      <c r="AYI4" s="26"/>
      <c r="AYJ4" s="26"/>
      <c r="AYK4" s="26"/>
      <c r="AYL4" s="26"/>
      <c r="AYM4" s="26"/>
      <c r="AYN4" s="26"/>
      <c r="AYO4" s="26"/>
      <c r="AYP4" s="26"/>
      <c r="AYQ4" s="26"/>
      <c r="AYR4" s="26"/>
      <c r="AYS4" s="26"/>
      <c r="AYT4" s="26"/>
      <c r="AYU4" s="26"/>
      <c r="AYV4" s="26"/>
      <c r="AYW4" s="26"/>
      <c r="AYX4" s="26"/>
      <c r="AYY4" s="26"/>
      <c r="AYZ4" s="26"/>
      <c r="AZA4" s="26"/>
      <c r="AZB4" s="26"/>
      <c r="AZC4" s="26"/>
      <c r="AZD4" s="26"/>
      <c r="AZE4" s="26"/>
      <c r="AZF4" s="26"/>
      <c r="AZG4" s="26"/>
      <c r="AZH4" s="26"/>
      <c r="AZI4" s="26"/>
      <c r="AZJ4" s="26"/>
      <c r="AZK4" s="26"/>
      <c r="AZL4" s="26"/>
      <c r="AZM4" s="26"/>
      <c r="AZN4" s="26"/>
      <c r="AZO4" s="26"/>
      <c r="AZP4" s="26"/>
      <c r="AZQ4" s="26"/>
      <c r="AZR4" s="26"/>
      <c r="AZS4" s="26"/>
      <c r="AZT4" s="26"/>
      <c r="AZU4" s="26"/>
      <c r="AZV4" s="26"/>
      <c r="AZW4" s="26"/>
      <c r="AZX4" s="26"/>
      <c r="AZY4" s="26"/>
      <c r="AZZ4" s="26"/>
      <c r="BAA4" s="26"/>
      <c r="BAB4" s="26"/>
      <c r="BAC4" s="26"/>
      <c r="BAD4" s="26"/>
      <c r="BAE4" s="26"/>
      <c r="BAF4" s="26"/>
      <c r="BAG4" s="26"/>
      <c r="BAH4" s="26"/>
      <c r="BAI4" s="26"/>
      <c r="BAJ4" s="26"/>
      <c r="BAK4" s="26"/>
      <c r="BAL4" s="26"/>
      <c r="BAM4" s="26"/>
      <c r="BAN4" s="26"/>
      <c r="BAO4" s="26"/>
      <c r="BAP4" s="26"/>
      <c r="BAQ4" s="26"/>
      <c r="BAR4" s="26"/>
      <c r="BAS4" s="26"/>
      <c r="BAT4" s="26"/>
      <c r="BAU4" s="26"/>
      <c r="BAV4" s="26"/>
      <c r="BAW4" s="26"/>
      <c r="BAX4" s="26"/>
      <c r="BAY4" s="26"/>
      <c r="BAZ4" s="26"/>
      <c r="BBA4" s="26"/>
      <c r="BBB4" s="26"/>
      <c r="BBC4" s="26"/>
      <c r="BBD4" s="26"/>
      <c r="BBE4" s="26"/>
      <c r="BBF4" s="26"/>
      <c r="BBG4" s="26"/>
      <c r="BBH4" s="26"/>
      <c r="BBI4" s="26"/>
      <c r="BBJ4" s="26"/>
      <c r="BBK4" s="26"/>
      <c r="BBL4" s="26"/>
      <c r="BBM4" s="26"/>
      <c r="BBN4" s="26"/>
      <c r="BBO4" s="26"/>
      <c r="BBP4" s="26"/>
      <c r="BBQ4" s="26"/>
      <c r="BBR4" s="26"/>
      <c r="BBS4" s="26"/>
      <c r="BBT4" s="26"/>
      <c r="BBU4" s="26"/>
      <c r="BBV4" s="26"/>
      <c r="BBW4" s="26"/>
      <c r="BBX4" s="26"/>
      <c r="BBY4" s="26"/>
      <c r="BBZ4" s="26"/>
      <c r="BCA4" s="26"/>
      <c r="BCB4" s="26"/>
      <c r="BCC4" s="26"/>
      <c r="BCD4" s="26"/>
      <c r="BCE4" s="26"/>
      <c r="BCF4" s="26"/>
      <c r="BCG4" s="26"/>
      <c r="BCH4" s="26"/>
      <c r="BCI4" s="26"/>
      <c r="BCJ4" s="26"/>
      <c r="BCK4" s="26"/>
      <c r="BCL4" s="26"/>
      <c r="BCM4" s="26"/>
      <c r="BCN4" s="26"/>
      <c r="BCO4" s="26"/>
      <c r="BCP4" s="26"/>
      <c r="BCQ4" s="26"/>
      <c r="BCR4" s="26"/>
      <c r="BCS4" s="26"/>
      <c r="BCT4" s="26"/>
      <c r="BCU4" s="26"/>
      <c r="BCV4" s="26"/>
      <c r="BCW4" s="26"/>
      <c r="BCX4" s="26"/>
      <c r="BCY4" s="26"/>
      <c r="BCZ4" s="26"/>
      <c r="BDA4" s="26"/>
      <c r="BDB4" s="26"/>
      <c r="BDC4" s="26"/>
      <c r="BDD4" s="26"/>
      <c r="BDE4" s="26"/>
      <c r="BDF4" s="26"/>
      <c r="BDG4" s="26"/>
      <c r="BDH4" s="26"/>
      <c r="BDI4" s="26"/>
      <c r="BDJ4" s="26"/>
      <c r="BDK4" s="26"/>
      <c r="BDL4" s="26"/>
      <c r="BDM4" s="26"/>
      <c r="BDN4" s="26"/>
      <c r="BDO4" s="26"/>
      <c r="BDP4" s="26"/>
      <c r="BDQ4" s="26"/>
      <c r="BDR4" s="26"/>
      <c r="BDS4" s="26"/>
      <c r="BDT4" s="26"/>
      <c r="BDU4" s="26"/>
      <c r="BDV4" s="26"/>
      <c r="BDW4" s="26"/>
      <c r="BDX4" s="26"/>
      <c r="BDY4" s="26"/>
      <c r="BDZ4" s="26"/>
      <c r="BEA4" s="26"/>
      <c r="BEB4" s="26"/>
      <c r="BEC4" s="26"/>
      <c r="BED4" s="26"/>
      <c r="BEE4" s="26"/>
      <c r="BEF4" s="26"/>
      <c r="BEG4" s="26"/>
      <c r="BEH4" s="26"/>
      <c r="BEI4" s="26"/>
      <c r="BEJ4" s="26"/>
      <c r="BEK4" s="26"/>
      <c r="BEL4" s="26"/>
      <c r="BEM4" s="26"/>
      <c r="BEN4" s="26"/>
      <c r="BEO4" s="26"/>
      <c r="BEP4" s="26"/>
      <c r="BEQ4" s="26"/>
      <c r="BER4" s="26"/>
      <c r="BES4" s="26"/>
      <c r="BET4" s="26"/>
      <c r="BEU4" s="26"/>
      <c r="BEV4" s="26"/>
      <c r="BEW4" s="26"/>
      <c r="BEX4" s="26"/>
      <c r="BEY4" s="26"/>
      <c r="BEZ4" s="26"/>
      <c r="BFA4" s="26"/>
      <c r="BFB4" s="26"/>
      <c r="BFC4" s="26"/>
      <c r="BFD4" s="26"/>
      <c r="BFE4" s="26"/>
      <c r="BFF4" s="26"/>
      <c r="BFG4" s="26"/>
      <c r="BFH4" s="26"/>
      <c r="BFI4" s="26"/>
      <c r="BFJ4" s="26"/>
      <c r="BFK4" s="26"/>
      <c r="BFL4" s="26"/>
      <c r="BFM4" s="26"/>
      <c r="BFN4" s="26"/>
      <c r="BFO4" s="26"/>
      <c r="BFP4" s="26"/>
      <c r="BFQ4" s="26"/>
      <c r="BFR4" s="26"/>
      <c r="BFS4" s="26"/>
      <c r="BFT4" s="26"/>
      <c r="BFU4" s="26"/>
      <c r="BFV4" s="26"/>
      <c r="BFW4" s="26"/>
      <c r="BFX4" s="26"/>
      <c r="BFY4" s="26"/>
      <c r="BFZ4" s="26"/>
      <c r="BGA4" s="26"/>
      <c r="BGB4" s="26"/>
      <c r="BGC4" s="26"/>
      <c r="BGD4" s="26"/>
      <c r="BGE4" s="26"/>
      <c r="BGF4" s="26"/>
      <c r="BGG4" s="26"/>
      <c r="BGH4" s="26"/>
      <c r="BGI4" s="26"/>
      <c r="BGJ4" s="26"/>
      <c r="BGK4" s="26"/>
      <c r="BGL4" s="26"/>
      <c r="BGM4" s="26"/>
      <c r="BGN4" s="26"/>
      <c r="BGO4" s="26"/>
      <c r="BGP4" s="26"/>
      <c r="BGQ4" s="26"/>
      <c r="BGR4" s="26"/>
      <c r="BGS4" s="26"/>
      <c r="BGT4" s="26"/>
      <c r="BGU4" s="26"/>
      <c r="BGV4" s="26"/>
      <c r="BGW4" s="26"/>
      <c r="BGX4" s="26"/>
      <c r="BGY4" s="26"/>
      <c r="BGZ4" s="26"/>
      <c r="BHA4" s="26"/>
      <c r="BHB4" s="26"/>
      <c r="BHC4" s="26"/>
      <c r="BHD4" s="26"/>
      <c r="BHE4" s="26"/>
      <c r="BHF4" s="26"/>
      <c r="BHG4" s="26"/>
      <c r="BHH4" s="26"/>
      <c r="BHI4" s="26"/>
      <c r="BHJ4" s="26"/>
      <c r="BHK4" s="26"/>
      <c r="BHL4" s="26"/>
      <c r="BHM4" s="26"/>
      <c r="BHN4" s="26"/>
      <c r="BHO4" s="26"/>
      <c r="BHP4" s="26"/>
      <c r="BHQ4" s="26"/>
      <c r="BHR4" s="26"/>
      <c r="BHS4" s="26"/>
      <c r="BHT4" s="26"/>
      <c r="BHU4" s="26"/>
      <c r="BHV4" s="26"/>
      <c r="BHW4" s="26"/>
      <c r="BHX4" s="26"/>
      <c r="BHY4" s="26"/>
      <c r="BHZ4" s="26"/>
      <c r="BIA4" s="26"/>
      <c r="BIB4" s="26"/>
      <c r="BIC4" s="26"/>
      <c r="BID4" s="26"/>
      <c r="BIE4" s="26"/>
      <c r="BIF4" s="26"/>
      <c r="BIG4" s="26"/>
      <c r="BIH4" s="26"/>
      <c r="BII4" s="26"/>
      <c r="BIJ4" s="26"/>
      <c r="BIK4" s="26"/>
      <c r="BIL4" s="26"/>
      <c r="BIM4" s="26"/>
      <c r="BIN4" s="26"/>
      <c r="BIO4" s="26"/>
      <c r="BIP4" s="26"/>
      <c r="BIQ4" s="26"/>
      <c r="BIR4" s="26"/>
      <c r="BIS4" s="26"/>
      <c r="BIT4" s="26"/>
      <c r="BIU4" s="26"/>
      <c r="BIV4" s="26"/>
      <c r="BIW4" s="26"/>
      <c r="BIX4" s="26"/>
      <c r="BIY4" s="26"/>
      <c r="BIZ4" s="26"/>
      <c r="BJA4" s="26"/>
      <c r="BJB4" s="26"/>
      <c r="BJC4" s="26"/>
      <c r="BJD4" s="26"/>
      <c r="BJE4" s="26"/>
      <c r="BJF4" s="26"/>
      <c r="BJG4" s="26"/>
      <c r="BJH4" s="26"/>
      <c r="BJI4" s="26"/>
      <c r="BJJ4" s="26"/>
      <c r="BJK4" s="26"/>
      <c r="BJL4" s="26"/>
      <c r="BJM4" s="26"/>
      <c r="BJN4" s="26"/>
      <c r="BJO4" s="26"/>
      <c r="BJP4" s="26"/>
      <c r="BJQ4" s="26"/>
      <c r="BJR4" s="26"/>
      <c r="BJS4" s="26"/>
      <c r="BJT4" s="26"/>
      <c r="BJU4" s="26"/>
      <c r="BJV4" s="26"/>
      <c r="BJW4" s="26"/>
      <c r="BJX4" s="26"/>
      <c r="BJY4" s="26"/>
      <c r="BJZ4" s="26"/>
      <c r="BKA4" s="26"/>
      <c r="BKB4" s="26"/>
      <c r="BKC4" s="26"/>
      <c r="BKD4" s="26"/>
      <c r="BKE4" s="26"/>
      <c r="BKF4" s="26"/>
      <c r="BKG4" s="26"/>
      <c r="BKH4" s="26"/>
      <c r="BKI4" s="26"/>
      <c r="BKJ4" s="26"/>
      <c r="BKK4" s="26"/>
      <c r="BKL4" s="26"/>
      <c r="BKM4" s="26"/>
      <c r="BKN4" s="26"/>
      <c r="BKO4" s="26"/>
      <c r="BKP4" s="26"/>
      <c r="BKQ4" s="26"/>
      <c r="BKR4" s="26"/>
      <c r="BKS4" s="26"/>
      <c r="BKT4" s="26"/>
      <c r="BKU4" s="26"/>
      <c r="BKV4" s="26"/>
      <c r="BKW4" s="26"/>
      <c r="BKX4" s="26"/>
      <c r="BKY4" s="26"/>
      <c r="BKZ4" s="26"/>
      <c r="BLA4" s="26"/>
      <c r="BLB4" s="26"/>
      <c r="BLC4" s="26"/>
      <c r="BLD4" s="26"/>
      <c r="BLE4" s="26"/>
      <c r="BLF4" s="26"/>
      <c r="BLG4" s="26"/>
      <c r="BLH4" s="26"/>
      <c r="BLI4" s="26"/>
      <c r="BLJ4" s="26"/>
      <c r="BLK4" s="26"/>
      <c r="BLL4" s="26"/>
      <c r="BLM4" s="26"/>
      <c r="BLN4" s="26"/>
      <c r="BLO4" s="26"/>
      <c r="BLP4" s="26"/>
      <c r="BLQ4" s="26"/>
      <c r="BLR4" s="26"/>
      <c r="BLS4" s="26"/>
      <c r="BLT4" s="26"/>
      <c r="BLU4" s="26"/>
      <c r="BLV4" s="26"/>
      <c r="BLW4" s="26"/>
      <c r="BLX4" s="26"/>
      <c r="BLY4" s="26"/>
      <c r="BLZ4" s="26"/>
      <c r="BMA4" s="26"/>
      <c r="BMB4" s="26"/>
      <c r="BMC4" s="26"/>
      <c r="BMD4" s="26"/>
      <c r="BME4" s="26"/>
      <c r="BMF4" s="26"/>
      <c r="BMG4" s="26"/>
      <c r="BMH4" s="26"/>
      <c r="BMI4" s="26"/>
      <c r="BMJ4" s="26"/>
      <c r="BMK4" s="26"/>
      <c r="BML4" s="26"/>
      <c r="BMM4" s="26"/>
      <c r="BMN4" s="26"/>
      <c r="BMO4" s="26"/>
      <c r="BMP4" s="26"/>
      <c r="BMQ4" s="26"/>
      <c r="BMR4" s="26"/>
      <c r="BMS4" s="26"/>
      <c r="BMT4" s="26"/>
      <c r="BMU4" s="26"/>
      <c r="BMV4" s="26"/>
      <c r="BMW4" s="26"/>
      <c r="BMX4" s="26"/>
      <c r="BMY4" s="26"/>
      <c r="BMZ4" s="26"/>
      <c r="BNA4" s="26"/>
      <c r="BNB4" s="26"/>
      <c r="BNC4" s="26"/>
      <c r="BND4" s="26"/>
      <c r="BNE4" s="26"/>
      <c r="BNF4" s="26"/>
      <c r="BNG4" s="26"/>
      <c r="BNH4" s="26"/>
      <c r="BNI4" s="26"/>
      <c r="BNJ4" s="26"/>
      <c r="BNK4" s="26"/>
      <c r="BNL4" s="26"/>
      <c r="BNM4" s="26"/>
      <c r="BNN4" s="26"/>
      <c r="BNO4" s="26"/>
      <c r="BNP4" s="26"/>
      <c r="BNQ4" s="26"/>
      <c r="BNR4" s="26"/>
      <c r="BNS4" s="26"/>
      <c r="BNT4" s="26"/>
      <c r="BNU4" s="26"/>
      <c r="BNV4" s="26"/>
      <c r="BNW4" s="26"/>
      <c r="BNX4" s="26"/>
      <c r="BNY4" s="26"/>
      <c r="BNZ4" s="26"/>
      <c r="BOA4" s="26"/>
      <c r="BOB4" s="26"/>
      <c r="BOC4" s="26"/>
      <c r="BOD4" s="26"/>
      <c r="BOE4" s="26"/>
      <c r="BOF4" s="26"/>
      <c r="BOG4" s="26"/>
      <c r="BOH4" s="26"/>
      <c r="BOI4" s="26"/>
      <c r="BOJ4" s="26"/>
      <c r="BOK4" s="26"/>
      <c r="BOL4" s="26"/>
      <c r="BOM4" s="26"/>
      <c r="BON4" s="26"/>
      <c r="BOO4" s="26"/>
      <c r="BOP4" s="26"/>
      <c r="BOQ4" s="26"/>
      <c r="BOR4" s="26"/>
      <c r="BOS4" s="26"/>
      <c r="BOT4" s="26"/>
      <c r="BOU4" s="26"/>
      <c r="BOV4" s="26"/>
      <c r="BOW4" s="26"/>
      <c r="BOX4" s="26"/>
      <c r="BOY4" s="26"/>
      <c r="BOZ4" s="26"/>
      <c r="BPA4" s="26"/>
      <c r="BPB4" s="26"/>
      <c r="BPC4" s="26"/>
      <c r="BPD4" s="26"/>
      <c r="BPE4" s="26"/>
      <c r="BPF4" s="26"/>
      <c r="BPG4" s="26"/>
      <c r="BPH4" s="26"/>
      <c r="BPI4" s="26"/>
      <c r="BPJ4" s="26"/>
      <c r="BPK4" s="26"/>
      <c r="BPL4" s="26"/>
      <c r="BPM4" s="26"/>
      <c r="BPN4" s="26"/>
      <c r="BPO4" s="26"/>
      <c r="BPP4" s="26"/>
      <c r="BPQ4" s="26"/>
      <c r="BPR4" s="26"/>
      <c r="BPS4" s="26"/>
      <c r="BPT4" s="26"/>
      <c r="BPU4" s="26"/>
      <c r="BPV4" s="26"/>
      <c r="BPW4" s="26"/>
      <c r="BPX4" s="26"/>
      <c r="BPY4" s="26"/>
      <c r="BPZ4" s="26"/>
      <c r="BQA4" s="26"/>
      <c r="BQB4" s="26"/>
      <c r="BQC4" s="26"/>
      <c r="BQD4" s="26"/>
      <c r="BQE4" s="26"/>
      <c r="BQF4" s="26"/>
      <c r="BQG4" s="26"/>
      <c r="BQH4" s="26"/>
      <c r="BQI4" s="26"/>
      <c r="BQJ4" s="26"/>
      <c r="BQK4" s="26"/>
      <c r="BQL4" s="26"/>
      <c r="BQM4" s="26"/>
      <c r="BQN4" s="26"/>
      <c r="BQO4" s="26"/>
      <c r="BQP4" s="26"/>
      <c r="BQQ4" s="26"/>
      <c r="BQR4" s="26"/>
      <c r="BQS4" s="26"/>
      <c r="BQT4" s="26"/>
      <c r="BQU4" s="26"/>
      <c r="BQV4" s="26"/>
      <c r="BQW4" s="26"/>
      <c r="BQX4" s="26"/>
      <c r="BQY4" s="26"/>
      <c r="BQZ4" s="26"/>
      <c r="BRA4" s="26"/>
      <c r="BRB4" s="26"/>
      <c r="BRC4" s="26"/>
      <c r="BRD4" s="26"/>
      <c r="BRE4" s="26"/>
      <c r="BRF4" s="26"/>
      <c r="BRG4" s="26"/>
      <c r="BRH4" s="26"/>
      <c r="BRI4" s="26"/>
      <c r="BRJ4" s="26"/>
      <c r="BRK4" s="26"/>
      <c r="BRL4" s="26"/>
      <c r="BRM4" s="26"/>
      <c r="BRN4" s="26"/>
      <c r="BRO4" s="26"/>
      <c r="BRP4" s="26"/>
      <c r="BRQ4" s="26"/>
      <c r="BRR4" s="26"/>
      <c r="BRS4" s="26"/>
      <c r="BRT4" s="26"/>
      <c r="BRU4" s="26"/>
      <c r="BRV4" s="26"/>
      <c r="BRW4" s="26"/>
      <c r="BRX4" s="26"/>
      <c r="BRY4" s="26"/>
      <c r="BRZ4" s="26"/>
      <c r="BSA4" s="26"/>
      <c r="BSB4" s="26"/>
      <c r="BSC4" s="26"/>
      <c r="BSD4" s="26"/>
      <c r="BSE4" s="26"/>
      <c r="BSF4" s="26"/>
      <c r="BSG4" s="26"/>
      <c r="BSH4" s="26"/>
      <c r="BSI4" s="26"/>
      <c r="BSJ4" s="26"/>
      <c r="BSK4" s="26"/>
      <c r="BSL4" s="26"/>
      <c r="BSM4" s="26"/>
      <c r="BSN4" s="26"/>
      <c r="BSO4" s="26"/>
      <c r="BSP4" s="26"/>
      <c r="BSQ4" s="26"/>
      <c r="BSR4" s="26"/>
      <c r="BSS4" s="26"/>
      <c r="BST4" s="26"/>
      <c r="BSU4" s="26"/>
      <c r="BSV4" s="26"/>
      <c r="BSW4" s="26"/>
      <c r="BSX4" s="26"/>
      <c r="BSY4" s="26"/>
      <c r="BSZ4" s="26"/>
      <c r="BTA4" s="26"/>
      <c r="BTB4" s="26"/>
      <c r="BTC4" s="26"/>
      <c r="BTD4" s="26"/>
      <c r="BTE4" s="26"/>
      <c r="BTF4" s="26"/>
      <c r="BTG4" s="26"/>
      <c r="BTH4" s="26"/>
      <c r="BTI4" s="26"/>
      <c r="BTJ4" s="26"/>
      <c r="BTK4" s="26"/>
      <c r="BTL4" s="26"/>
      <c r="BTM4" s="26"/>
      <c r="BTN4" s="26"/>
      <c r="BTO4" s="26"/>
      <c r="BTP4" s="26"/>
      <c r="BTQ4" s="26"/>
      <c r="BTR4" s="26"/>
      <c r="BTS4" s="26"/>
      <c r="BTT4" s="26"/>
      <c r="BTU4" s="26"/>
      <c r="BTV4" s="26"/>
      <c r="BTW4" s="26"/>
      <c r="BT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  <c r="AMM5" s="30"/>
      <c r="AMN5" s="30"/>
      <c r="AMO5" s="30"/>
      <c r="AMP5" s="30"/>
      <c r="AMQ5" s="30"/>
      <c r="AMR5" s="30"/>
      <c r="AMS5" s="30"/>
      <c r="AMT5" s="30"/>
      <c r="AMU5" s="30"/>
      <c r="AMV5" s="30"/>
      <c r="AMW5" s="30"/>
      <c r="AMX5" s="30"/>
      <c r="AMY5" s="30"/>
      <c r="AMZ5" s="30"/>
      <c r="ANA5" s="30"/>
      <c r="ANB5" s="30"/>
      <c r="ANC5" s="30"/>
      <c r="AND5" s="30"/>
      <c r="ANE5" s="30"/>
      <c r="ANF5" s="30"/>
      <c r="ANG5" s="30"/>
      <c r="ANH5" s="30"/>
      <c r="ANI5" s="30"/>
      <c r="ANJ5" s="30"/>
      <c r="ANK5" s="30"/>
      <c r="ANL5" s="30"/>
      <c r="ANM5" s="30"/>
      <c r="ANN5" s="30"/>
      <c r="ANO5" s="30"/>
      <c r="ANP5" s="30"/>
      <c r="ANQ5" s="30"/>
      <c r="ANR5" s="30"/>
      <c r="ANS5" s="30"/>
      <c r="ANT5" s="30"/>
      <c r="ANU5" s="30"/>
      <c r="ANV5" s="30"/>
      <c r="ANW5" s="30"/>
      <c r="ANX5" s="30"/>
      <c r="ANY5" s="30"/>
      <c r="ANZ5" s="30"/>
      <c r="AOA5" s="30"/>
      <c r="AOB5" s="30"/>
      <c r="AOC5" s="30"/>
      <c r="AOD5" s="30"/>
      <c r="AOE5" s="30"/>
      <c r="AOF5" s="30"/>
      <c r="AOG5" s="30"/>
      <c r="AOH5" s="30"/>
      <c r="AOI5" s="30"/>
      <c r="AOJ5" s="30"/>
      <c r="AOK5" s="30"/>
      <c r="AOL5" s="30"/>
      <c r="AOM5" s="30"/>
      <c r="AON5" s="30"/>
      <c r="AOO5" s="30"/>
      <c r="AOP5" s="30"/>
      <c r="AOQ5" s="30"/>
      <c r="AOR5" s="30"/>
      <c r="AOS5" s="30"/>
      <c r="AOT5" s="30"/>
      <c r="AOU5" s="30"/>
      <c r="AOV5" s="30"/>
      <c r="AOW5" s="30"/>
      <c r="AOX5" s="30"/>
      <c r="AOY5" s="30"/>
      <c r="AOZ5" s="30"/>
      <c r="APA5" s="30"/>
      <c r="APB5" s="30"/>
      <c r="APC5" s="30"/>
      <c r="APD5" s="30"/>
      <c r="APE5" s="30"/>
      <c r="APF5" s="30"/>
      <c r="APG5" s="30"/>
      <c r="APH5" s="30"/>
      <c r="API5" s="30"/>
      <c r="APJ5" s="30"/>
      <c r="APK5" s="30"/>
      <c r="APL5" s="30"/>
      <c r="APM5" s="30"/>
      <c r="APN5" s="30"/>
      <c r="APO5" s="30"/>
      <c r="APP5" s="30"/>
      <c r="APQ5" s="30"/>
      <c r="APR5" s="30"/>
      <c r="APS5" s="30"/>
      <c r="APT5" s="30"/>
      <c r="APU5" s="30"/>
      <c r="APV5" s="30"/>
      <c r="APW5" s="30"/>
      <c r="APX5" s="30"/>
      <c r="APY5" s="30"/>
      <c r="APZ5" s="30"/>
      <c r="AQA5" s="30"/>
      <c r="AQB5" s="30"/>
      <c r="AQC5" s="30"/>
      <c r="AQD5" s="30"/>
      <c r="AQE5" s="30"/>
      <c r="AQF5" s="30"/>
      <c r="AQG5" s="30"/>
      <c r="AQH5" s="30"/>
      <c r="AQI5" s="30"/>
      <c r="AQJ5" s="30"/>
      <c r="AQK5" s="30"/>
      <c r="AQL5" s="30"/>
      <c r="AQM5" s="30"/>
      <c r="AQN5" s="30"/>
      <c r="AQO5" s="30"/>
      <c r="AQP5" s="30"/>
      <c r="AQQ5" s="30"/>
      <c r="AQR5" s="30"/>
      <c r="AQS5" s="30"/>
      <c r="AQT5" s="30"/>
      <c r="AQU5" s="30"/>
      <c r="AQV5" s="30"/>
      <c r="AQW5" s="30"/>
      <c r="AQX5" s="30"/>
      <c r="AQY5" s="30"/>
      <c r="AQZ5" s="30"/>
      <c r="ARA5" s="30"/>
      <c r="ARB5" s="30"/>
      <c r="ARC5" s="30"/>
      <c r="ARD5" s="30"/>
      <c r="ARE5" s="30"/>
      <c r="ARF5" s="30"/>
      <c r="ARG5" s="30"/>
      <c r="ARH5" s="30"/>
      <c r="ARI5" s="30"/>
      <c r="ARJ5" s="30"/>
      <c r="ARK5" s="30"/>
      <c r="ARL5" s="30"/>
      <c r="ARM5" s="30"/>
      <c r="ARN5" s="30"/>
      <c r="ARO5" s="30"/>
      <c r="ARP5" s="30"/>
      <c r="ARQ5" s="30"/>
      <c r="ARR5" s="30"/>
      <c r="ARS5" s="30"/>
      <c r="ART5" s="30"/>
      <c r="ARU5" s="30"/>
      <c r="ARV5" s="30"/>
      <c r="ARW5" s="30"/>
      <c r="ARX5" s="30"/>
      <c r="ARY5" s="30"/>
      <c r="ARZ5" s="30"/>
      <c r="ASA5" s="30"/>
      <c r="ASB5" s="30"/>
      <c r="ASC5" s="30"/>
      <c r="ASD5" s="30"/>
      <c r="ASE5" s="30"/>
      <c r="ASF5" s="30"/>
      <c r="ASG5" s="30"/>
      <c r="ASH5" s="30"/>
      <c r="ASI5" s="30"/>
      <c r="ASJ5" s="30"/>
      <c r="ASK5" s="30"/>
      <c r="ASL5" s="30"/>
      <c r="ASM5" s="30"/>
      <c r="ASN5" s="30"/>
      <c r="ASO5" s="30"/>
      <c r="ASP5" s="30"/>
      <c r="ASQ5" s="30"/>
      <c r="ASR5" s="30"/>
      <c r="ASS5" s="30"/>
      <c r="AST5" s="30"/>
      <c r="ASU5" s="30"/>
      <c r="ASV5" s="30"/>
      <c r="ASW5" s="30"/>
      <c r="ASX5" s="30"/>
      <c r="ASY5" s="30"/>
      <c r="ASZ5" s="30"/>
      <c r="ATA5" s="30"/>
      <c r="ATB5" s="30"/>
      <c r="ATC5" s="30"/>
      <c r="ATD5" s="30"/>
      <c r="ATE5" s="30"/>
      <c r="ATF5" s="30"/>
      <c r="ATG5" s="30"/>
      <c r="ATH5" s="30"/>
      <c r="ATI5" s="30"/>
      <c r="ATJ5" s="30"/>
      <c r="ATK5" s="30"/>
      <c r="ATL5" s="30"/>
      <c r="ATM5" s="30"/>
      <c r="ATN5" s="30"/>
      <c r="ATO5" s="30"/>
      <c r="ATP5" s="30"/>
      <c r="ATQ5" s="30"/>
      <c r="ATR5" s="30"/>
      <c r="ATS5" s="30"/>
      <c r="ATT5" s="30"/>
      <c r="ATU5" s="30"/>
      <c r="ATV5" s="30"/>
      <c r="ATW5" s="30"/>
      <c r="ATX5" s="30"/>
      <c r="ATY5" s="30"/>
      <c r="ATZ5" s="30"/>
      <c r="AUA5" s="30"/>
      <c r="AUB5" s="30"/>
      <c r="AUC5" s="30"/>
      <c r="AUD5" s="30"/>
      <c r="AUE5" s="30"/>
      <c r="AUF5" s="30"/>
      <c r="AUG5" s="30"/>
      <c r="AUH5" s="30"/>
      <c r="AUI5" s="30"/>
      <c r="AUJ5" s="30"/>
      <c r="AUK5" s="30"/>
      <c r="AUL5" s="30"/>
      <c r="AUM5" s="30"/>
      <c r="AUN5" s="30"/>
      <c r="AUO5" s="30"/>
      <c r="AUP5" s="30"/>
      <c r="AUQ5" s="30"/>
      <c r="AUR5" s="30"/>
      <c r="AUS5" s="30"/>
      <c r="AUT5" s="30"/>
      <c r="AUU5" s="30"/>
      <c r="AUV5" s="30"/>
      <c r="AUW5" s="30"/>
      <c r="AUX5" s="30"/>
      <c r="AUY5" s="30"/>
      <c r="AUZ5" s="30"/>
      <c r="AVA5" s="30"/>
      <c r="AVB5" s="30"/>
      <c r="AVC5" s="30"/>
      <c r="AVD5" s="30"/>
      <c r="AVE5" s="30"/>
      <c r="AVF5" s="30"/>
      <c r="AVG5" s="30"/>
      <c r="AVH5" s="30"/>
      <c r="AVI5" s="30"/>
      <c r="AVJ5" s="30"/>
      <c r="AVK5" s="30"/>
      <c r="AVL5" s="30"/>
      <c r="AVM5" s="30"/>
      <c r="AVN5" s="30"/>
      <c r="AVO5" s="30"/>
      <c r="AVP5" s="30"/>
      <c r="AVQ5" s="30"/>
      <c r="AVR5" s="30"/>
      <c r="AVS5" s="30"/>
      <c r="AVT5" s="30"/>
      <c r="AVU5" s="30"/>
      <c r="AVV5" s="30"/>
      <c r="AVW5" s="30"/>
      <c r="AVX5" s="30"/>
      <c r="AVY5" s="30"/>
      <c r="AVZ5" s="30"/>
      <c r="AWA5" s="30"/>
      <c r="AWB5" s="30"/>
      <c r="AWC5" s="30"/>
      <c r="AWD5" s="30"/>
      <c r="AWE5" s="30"/>
      <c r="AWF5" s="30"/>
      <c r="AWG5" s="30"/>
      <c r="AWH5" s="30"/>
      <c r="AWI5" s="30"/>
      <c r="AWJ5" s="30"/>
      <c r="AWK5" s="30"/>
      <c r="AWL5" s="30"/>
      <c r="AWM5" s="30"/>
      <c r="AWN5" s="30"/>
      <c r="AWO5" s="30"/>
      <c r="AWP5" s="30"/>
      <c r="AWQ5" s="30"/>
      <c r="AWR5" s="30"/>
      <c r="AWS5" s="30"/>
      <c r="AWT5" s="30"/>
      <c r="AWU5" s="30"/>
      <c r="AWV5" s="30"/>
      <c r="AWW5" s="30"/>
      <c r="AWX5" s="30"/>
      <c r="AWY5" s="30"/>
      <c r="AWZ5" s="30"/>
      <c r="AXA5" s="30"/>
      <c r="AXB5" s="30"/>
      <c r="AXC5" s="30"/>
      <c r="AXD5" s="30"/>
      <c r="AXE5" s="30"/>
      <c r="AXF5" s="30"/>
      <c r="AXG5" s="30"/>
      <c r="AXH5" s="30"/>
      <c r="AXI5" s="30"/>
      <c r="AXJ5" s="30"/>
      <c r="AXK5" s="30"/>
      <c r="AXL5" s="30"/>
      <c r="AXM5" s="30"/>
      <c r="AXN5" s="30"/>
      <c r="AXO5" s="30"/>
      <c r="AXP5" s="30"/>
      <c r="AXQ5" s="30"/>
      <c r="AXR5" s="30"/>
      <c r="AXS5" s="30"/>
      <c r="AXT5" s="30"/>
      <c r="AXU5" s="30"/>
      <c r="AXV5" s="30"/>
      <c r="AXW5" s="30"/>
      <c r="AXX5" s="30"/>
      <c r="AXY5" s="30"/>
      <c r="AXZ5" s="30"/>
      <c r="AYA5" s="30"/>
      <c r="AYB5" s="30"/>
      <c r="AYC5" s="30"/>
      <c r="AYD5" s="30"/>
      <c r="AYE5" s="30"/>
      <c r="AYF5" s="30"/>
      <c r="AYG5" s="30"/>
      <c r="AYH5" s="30"/>
      <c r="AYI5" s="30"/>
      <c r="AYJ5" s="30"/>
      <c r="AYK5" s="30"/>
      <c r="AYL5" s="30"/>
      <c r="AYM5" s="30"/>
      <c r="AYN5" s="30"/>
      <c r="AYO5" s="30"/>
      <c r="AYP5" s="30"/>
      <c r="AYQ5" s="30"/>
      <c r="AYR5" s="30"/>
      <c r="AYS5" s="30"/>
      <c r="AYT5" s="30"/>
      <c r="AYU5" s="30"/>
      <c r="AYV5" s="30"/>
      <c r="AYW5" s="30"/>
      <c r="AYX5" s="30"/>
      <c r="AYY5" s="30"/>
      <c r="AYZ5" s="30"/>
      <c r="AZA5" s="30"/>
      <c r="AZB5" s="30"/>
      <c r="AZC5" s="30"/>
      <c r="AZD5" s="30"/>
      <c r="AZE5" s="30"/>
      <c r="AZF5" s="30"/>
      <c r="AZG5" s="30"/>
      <c r="AZH5" s="30"/>
      <c r="AZI5" s="30"/>
      <c r="AZJ5" s="30"/>
      <c r="AZK5" s="30"/>
      <c r="AZL5" s="30"/>
      <c r="AZM5" s="30"/>
      <c r="AZN5" s="30"/>
      <c r="AZO5" s="30"/>
      <c r="AZP5" s="30"/>
      <c r="AZQ5" s="30"/>
      <c r="AZR5" s="30"/>
      <c r="AZS5" s="30"/>
      <c r="AZT5" s="30"/>
      <c r="AZU5" s="30"/>
      <c r="AZV5" s="30"/>
      <c r="AZW5" s="30"/>
      <c r="AZX5" s="30"/>
      <c r="AZY5" s="30"/>
      <c r="AZZ5" s="30"/>
      <c r="BAA5" s="30"/>
      <c r="BAB5" s="30"/>
      <c r="BAC5" s="30"/>
      <c r="BAD5" s="30"/>
      <c r="BAE5" s="30"/>
      <c r="BAF5" s="30"/>
      <c r="BAG5" s="30"/>
      <c r="BAH5" s="30"/>
      <c r="BAI5" s="30"/>
      <c r="BAJ5" s="30"/>
      <c r="BAK5" s="30"/>
      <c r="BAL5" s="30"/>
      <c r="BAM5" s="30"/>
      <c r="BAN5" s="30"/>
      <c r="BAO5" s="30"/>
      <c r="BAP5" s="30"/>
      <c r="BAQ5" s="30"/>
      <c r="BAR5" s="30"/>
      <c r="BAS5" s="30"/>
      <c r="BAT5" s="30"/>
      <c r="BAU5" s="30"/>
      <c r="BAV5" s="30"/>
      <c r="BAW5" s="30"/>
      <c r="BAX5" s="30"/>
      <c r="BAY5" s="30"/>
      <c r="BAZ5" s="30"/>
      <c r="BBA5" s="30"/>
      <c r="BBB5" s="30"/>
      <c r="BBC5" s="30"/>
      <c r="BBD5" s="30"/>
      <c r="BBE5" s="30"/>
      <c r="BBF5" s="30"/>
      <c r="BBG5" s="30"/>
      <c r="BBH5" s="30"/>
      <c r="BBI5" s="30"/>
      <c r="BBJ5" s="30"/>
      <c r="BBK5" s="30"/>
      <c r="BBL5" s="30"/>
      <c r="BBM5" s="30"/>
      <c r="BBN5" s="30"/>
      <c r="BBO5" s="30"/>
      <c r="BBP5" s="30"/>
      <c r="BBQ5" s="30"/>
      <c r="BBR5" s="30"/>
      <c r="BBS5" s="30"/>
      <c r="BBT5" s="30"/>
      <c r="BBU5" s="30"/>
      <c r="BBV5" s="30"/>
      <c r="BBW5" s="30"/>
      <c r="BBX5" s="30"/>
      <c r="BBY5" s="30"/>
      <c r="BBZ5" s="30"/>
      <c r="BCA5" s="30"/>
      <c r="BCB5" s="30"/>
      <c r="BCC5" s="30"/>
      <c r="BCD5" s="30"/>
      <c r="BCE5" s="30"/>
      <c r="BCF5" s="30"/>
      <c r="BCG5" s="30"/>
      <c r="BCH5" s="30"/>
      <c r="BCI5" s="30"/>
      <c r="BCJ5" s="30"/>
      <c r="BCK5" s="30"/>
      <c r="BCL5" s="30"/>
      <c r="BCM5" s="30"/>
      <c r="BCN5" s="30"/>
      <c r="BCO5" s="30"/>
      <c r="BCP5" s="30"/>
      <c r="BCQ5" s="30"/>
      <c r="BCR5" s="30"/>
      <c r="BCS5" s="30"/>
      <c r="BCT5" s="30"/>
      <c r="BCU5" s="30"/>
      <c r="BCV5" s="30"/>
      <c r="BCW5" s="30"/>
      <c r="BCX5" s="30"/>
      <c r="BCY5" s="30"/>
      <c r="BCZ5" s="30"/>
      <c r="BDA5" s="30"/>
      <c r="BDB5" s="30"/>
      <c r="BDC5" s="30"/>
      <c r="BDD5" s="30"/>
      <c r="BDE5" s="30"/>
      <c r="BDF5" s="30"/>
      <c r="BDG5" s="30"/>
      <c r="BDH5" s="30"/>
      <c r="BDI5" s="30"/>
      <c r="BDJ5" s="30"/>
      <c r="BDK5" s="30"/>
      <c r="BDL5" s="30"/>
      <c r="BDM5" s="30"/>
      <c r="BDN5" s="30"/>
      <c r="BDO5" s="30"/>
      <c r="BDP5" s="30"/>
      <c r="BDQ5" s="30"/>
      <c r="BDR5" s="30"/>
      <c r="BDS5" s="30"/>
      <c r="BDT5" s="30"/>
      <c r="BDU5" s="30"/>
      <c r="BDV5" s="30"/>
      <c r="BDW5" s="30"/>
      <c r="BDX5" s="30"/>
      <c r="BDY5" s="30"/>
      <c r="BDZ5" s="30"/>
      <c r="BEA5" s="30"/>
      <c r="BEB5" s="30"/>
      <c r="BEC5" s="30"/>
      <c r="BED5" s="30"/>
      <c r="BEE5" s="30"/>
      <c r="BEF5" s="30"/>
      <c r="BEG5" s="30"/>
      <c r="BEH5" s="30"/>
      <c r="BEI5" s="30"/>
      <c r="BEJ5" s="30"/>
      <c r="BEK5" s="30"/>
      <c r="BEL5" s="30"/>
      <c r="BEM5" s="30"/>
      <c r="BEN5" s="30"/>
      <c r="BEO5" s="30"/>
      <c r="BEP5" s="30"/>
      <c r="BEQ5" s="30"/>
      <c r="BER5" s="30"/>
      <c r="BES5" s="30"/>
      <c r="BET5" s="30"/>
      <c r="BEU5" s="30"/>
      <c r="BEV5" s="30"/>
      <c r="BEW5" s="30"/>
      <c r="BEX5" s="30"/>
      <c r="BEY5" s="30"/>
      <c r="BEZ5" s="30"/>
      <c r="BFA5" s="30"/>
      <c r="BFB5" s="30"/>
      <c r="BFC5" s="30"/>
      <c r="BFD5" s="30"/>
      <c r="BFE5" s="30"/>
      <c r="BFF5" s="30"/>
      <c r="BFG5" s="30"/>
      <c r="BFH5" s="30"/>
      <c r="BFI5" s="30"/>
      <c r="BFJ5" s="30"/>
      <c r="BFK5" s="30"/>
      <c r="BFL5" s="30"/>
      <c r="BFM5" s="30"/>
      <c r="BFN5" s="30"/>
      <c r="BFO5" s="30"/>
      <c r="BFP5" s="30"/>
      <c r="BFQ5" s="30"/>
      <c r="BFR5" s="30"/>
      <c r="BFS5" s="30"/>
      <c r="BFT5" s="30"/>
      <c r="BFU5" s="30"/>
      <c r="BFV5" s="30"/>
      <c r="BFW5" s="30"/>
      <c r="BFX5" s="30"/>
      <c r="BFY5" s="30"/>
      <c r="BFZ5" s="30"/>
      <c r="BGA5" s="30"/>
      <c r="BGB5" s="30"/>
      <c r="BGC5" s="30"/>
      <c r="BGD5" s="30"/>
      <c r="BGE5" s="30"/>
      <c r="BGF5" s="30"/>
      <c r="BGG5" s="30"/>
      <c r="BGH5" s="30"/>
      <c r="BGI5" s="30"/>
      <c r="BGJ5" s="30"/>
      <c r="BGK5" s="30"/>
      <c r="BGL5" s="30"/>
      <c r="BGM5" s="30"/>
      <c r="BGN5" s="30"/>
      <c r="BGO5" s="30"/>
      <c r="BGP5" s="30"/>
      <c r="BGQ5" s="30"/>
      <c r="BGR5" s="30"/>
      <c r="BGS5" s="30"/>
      <c r="BGT5" s="30"/>
      <c r="BGU5" s="30"/>
      <c r="BGV5" s="30"/>
      <c r="BGW5" s="30"/>
      <c r="BGX5" s="30"/>
      <c r="BGY5" s="30"/>
      <c r="BGZ5" s="30"/>
      <c r="BHA5" s="30"/>
      <c r="BHB5" s="30"/>
      <c r="BHC5" s="30"/>
      <c r="BHD5" s="30"/>
      <c r="BHE5" s="30"/>
      <c r="BHF5" s="30"/>
      <c r="BHG5" s="30"/>
      <c r="BHH5" s="30"/>
      <c r="BHI5" s="30"/>
      <c r="BHJ5" s="30"/>
      <c r="BHK5" s="30"/>
      <c r="BHL5" s="30"/>
      <c r="BHM5" s="30"/>
      <c r="BHN5" s="30"/>
      <c r="BHO5" s="30"/>
      <c r="BHP5" s="30"/>
      <c r="BHQ5" s="30"/>
      <c r="BHR5" s="30"/>
      <c r="BHS5" s="30"/>
      <c r="BHT5" s="30"/>
      <c r="BHU5" s="30"/>
      <c r="BHV5" s="30"/>
      <c r="BHW5" s="30"/>
      <c r="BHX5" s="30"/>
      <c r="BHY5" s="30"/>
      <c r="BHZ5" s="30"/>
      <c r="BIA5" s="30"/>
      <c r="BIB5" s="30"/>
      <c r="BIC5" s="30"/>
      <c r="BID5" s="30"/>
      <c r="BIE5" s="30"/>
      <c r="BIF5" s="30"/>
      <c r="BIG5" s="30"/>
      <c r="BIH5" s="30"/>
      <c r="BII5" s="30"/>
      <c r="BIJ5" s="30"/>
      <c r="BIK5" s="30"/>
      <c r="BIL5" s="30"/>
      <c r="BIM5" s="30"/>
      <c r="BIN5" s="30"/>
      <c r="BIO5" s="30"/>
      <c r="BIP5" s="30"/>
      <c r="BIQ5" s="30"/>
      <c r="BIR5" s="30"/>
      <c r="BIS5" s="30"/>
      <c r="BIT5" s="30"/>
      <c r="BIU5" s="30"/>
      <c r="BIV5" s="30"/>
      <c r="BIW5" s="30"/>
      <c r="BIX5" s="30"/>
      <c r="BIY5" s="30"/>
      <c r="BIZ5" s="30"/>
      <c r="BJA5" s="30"/>
      <c r="BJB5" s="30"/>
      <c r="BJC5" s="30"/>
      <c r="BJD5" s="30"/>
      <c r="BJE5" s="30"/>
      <c r="BJF5" s="30"/>
      <c r="BJG5" s="30"/>
      <c r="BJH5" s="30"/>
      <c r="BJI5" s="30"/>
      <c r="BJJ5" s="30"/>
      <c r="BJK5" s="30"/>
      <c r="BJL5" s="30"/>
      <c r="BJM5" s="30"/>
      <c r="BJN5" s="30"/>
      <c r="BJO5" s="30"/>
      <c r="BJP5" s="30"/>
      <c r="BJQ5" s="30"/>
      <c r="BJR5" s="30"/>
      <c r="BJS5" s="30"/>
      <c r="BJT5" s="30"/>
      <c r="BJU5" s="30"/>
      <c r="BJV5" s="30"/>
      <c r="BJW5" s="30"/>
      <c r="BJX5" s="30"/>
      <c r="BJY5" s="30"/>
      <c r="BJZ5" s="30"/>
      <c r="BKA5" s="30"/>
      <c r="BKB5" s="30"/>
      <c r="BKC5" s="30"/>
      <c r="BKD5" s="30"/>
      <c r="BKE5" s="30"/>
      <c r="BKF5" s="30"/>
      <c r="BKG5" s="30"/>
      <c r="BKH5" s="30"/>
      <c r="BKI5" s="30"/>
      <c r="BKJ5" s="30"/>
      <c r="BKK5" s="30"/>
      <c r="BKL5" s="30"/>
      <c r="BKM5" s="30"/>
      <c r="BKN5" s="30"/>
      <c r="BKO5" s="30"/>
      <c r="BKP5" s="30"/>
      <c r="BKQ5" s="30"/>
      <c r="BKR5" s="30"/>
      <c r="BKS5" s="30"/>
      <c r="BKT5" s="30"/>
      <c r="BKU5" s="30"/>
      <c r="BKV5" s="30"/>
      <c r="BKW5" s="30"/>
      <c r="BKX5" s="30"/>
      <c r="BKY5" s="30"/>
      <c r="BKZ5" s="30"/>
      <c r="BLA5" s="30"/>
      <c r="BLB5" s="30"/>
      <c r="BLC5" s="30"/>
      <c r="BLD5" s="30"/>
      <c r="BLE5" s="30"/>
      <c r="BLF5" s="30"/>
      <c r="BLG5" s="30"/>
      <c r="BLH5" s="30"/>
      <c r="BLI5" s="30"/>
      <c r="BLJ5" s="30"/>
      <c r="BLK5" s="30"/>
      <c r="BLL5" s="30"/>
      <c r="BLM5" s="30"/>
      <c r="BLN5" s="30"/>
      <c r="BLO5" s="30"/>
      <c r="BLP5" s="30"/>
      <c r="BLQ5" s="30"/>
      <c r="BLR5" s="30"/>
      <c r="BLS5" s="30"/>
      <c r="BLT5" s="30"/>
      <c r="BLU5" s="30"/>
      <c r="BLV5" s="30"/>
      <c r="BLW5" s="30"/>
      <c r="BLX5" s="30"/>
      <c r="BLY5" s="30"/>
      <c r="BLZ5" s="30"/>
      <c r="BMA5" s="30"/>
      <c r="BMB5" s="30"/>
      <c r="BMC5" s="30"/>
      <c r="BMD5" s="30"/>
      <c r="BME5" s="30"/>
      <c r="BMF5" s="30"/>
      <c r="BMG5" s="30"/>
      <c r="BMH5" s="30"/>
      <c r="BMI5" s="30"/>
      <c r="BMJ5" s="30"/>
      <c r="BMK5" s="30"/>
      <c r="BML5" s="30"/>
      <c r="BMM5" s="30"/>
      <c r="BMN5" s="30"/>
      <c r="BMO5" s="30"/>
      <c r="BMP5" s="30"/>
      <c r="BMQ5" s="30"/>
      <c r="BMR5" s="30"/>
      <c r="BMS5" s="30"/>
      <c r="BMT5" s="30"/>
      <c r="BMU5" s="30"/>
      <c r="BMV5" s="30"/>
      <c r="BMW5" s="30"/>
      <c r="BMX5" s="30"/>
      <c r="BMY5" s="30"/>
      <c r="BMZ5" s="30"/>
      <c r="BNA5" s="30"/>
      <c r="BNB5" s="30"/>
      <c r="BNC5" s="30"/>
      <c r="BND5" s="30"/>
      <c r="BNE5" s="30"/>
      <c r="BNF5" s="30"/>
      <c r="BNG5" s="30"/>
      <c r="BNH5" s="30"/>
      <c r="BNI5" s="30"/>
      <c r="BNJ5" s="30"/>
      <c r="BNK5" s="30"/>
      <c r="BNL5" s="30"/>
      <c r="BNM5" s="30"/>
      <c r="BNN5" s="30"/>
      <c r="BNO5" s="30"/>
      <c r="BNP5" s="30"/>
      <c r="BNQ5" s="30"/>
      <c r="BNR5" s="30"/>
      <c r="BNS5" s="30"/>
      <c r="BNT5" s="30"/>
      <c r="BNU5" s="30"/>
      <c r="BNV5" s="30"/>
      <c r="BNW5" s="30"/>
      <c r="BNX5" s="30"/>
      <c r="BNY5" s="30"/>
      <c r="BNZ5" s="30"/>
      <c r="BOA5" s="30"/>
      <c r="BOB5" s="30"/>
      <c r="BOC5" s="30"/>
      <c r="BOD5" s="30"/>
      <c r="BOE5" s="30"/>
      <c r="BOF5" s="30"/>
      <c r="BOG5" s="30"/>
      <c r="BOH5" s="30"/>
      <c r="BOI5" s="30"/>
      <c r="BOJ5" s="30"/>
      <c r="BOK5" s="30"/>
      <c r="BOL5" s="30"/>
      <c r="BOM5" s="30"/>
      <c r="BON5" s="30"/>
      <c r="BOO5" s="30"/>
      <c r="BOP5" s="30"/>
      <c r="BOQ5" s="30"/>
      <c r="BOR5" s="30"/>
      <c r="BOS5" s="30"/>
      <c r="BOT5" s="30"/>
      <c r="BOU5" s="30"/>
      <c r="BOV5" s="30"/>
      <c r="BOW5" s="30"/>
      <c r="BOX5" s="30"/>
      <c r="BOY5" s="30"/>
      <c r="BOZ5" s="30"/>
      <c r="BPA5" s="30"/>
      <c r="BPB5" s="30"/>
      <c r="BPC5" s="30"/>
      <c r="BPD5" s="30"/>
      <c r="BPE5" s="30"/>
      <c r="BPF5" s="30"/>
      <c r="BPG5" s="30"/>
      <c r="BPH5" s="30"/>
      <c r="BPI5" s="30"/>
      <c r="BPJ5" s="30"/>
      <c r="BPK5" s="30"/>
      <c r="BPL5" s="30"/>
      <c r="BPM5" s="30"/>
      <c r="BPN5" s="30"/>
      <c r="BPO5" s="30"/>
      <c r="BPP5" s="30"/>
      <c r="BPQ5" s="30"/>
      <c r="BPR5" s="30"/>
      <c r="BPS5" s="30"/>
      <c r="BPT5" s="30"/>
      <c r="BPU5" s="30"/>
      <c r="BPV5" s="30"/>
      <c r="BPW5" s="30"/>
      <c r="BPX5" s="30"/>
      <c r="BPY5" s="30"/>
      <c r="BPZ5" s="30"/>
      <c r="BQA5" s="30"/>
      <c r="BQB5" s="30"/>
      <c r="BQC5" s="30"/>
      <c r="BQD5" s="30"/>
      <c r="BQE5" s="30"/>
      <c r="BQF5" s="30"/>
      <c r="BQG5" s="30"/>
      <c r="BQH5" s="30"/>
      <c r="BQI5" s="30"/>
      <c r="BQJ5" s="30"/>
      <c r="BQK5" s="30"/>
      <c r="BQL5" s="30"/>
      <c r="BQM5" s="30"/>
      <c r="BQN5" s="30"/>
      <c r="BQO5" s="30"/>
      <c r="BQP5" s="30"/>
      <c r="BQQ5" s="30"/>
      <c r="BQR5" s="30"/>
      <c r="BQS5" s="30"/>
      <c r="BQT5" s="30"/>
      <c r="BQU5" s="30"/>
      <c r="BQV5" s="30"/>
      <c r="BQW5" s="30"/>
      <c r="BQX5" s="30"/>
      <c r="BQY5" s="30"/>
      <c r="BQZ5" s="30"/>
      <c r="BRA5" s="30"/>
      <c r="BRB5" s="30"/>
      <c r="BRC5" s="30"/>
      <c r="BRD5" s="30"/>
      <c r="BRE5" s="30"/>
      <c r="BRF5" s="30"/>
      <c r="BRG5" s="30"/>
      <c r="BRH5" s="30"/>
      <c r="BRI5" s="30"/>
      <c r="BRJ5" s="30"/>
      <c r="BRK5" s="30"/>
      <c r="BRL5" s="30"/>
      <c r="BRM5" s="30"/>
      <c r="BRN5" s="30"/>
      <c r="BRO5" s="30"/>
      <c r="BRP5" s="30"/>
      <c r="BRQ5" s="30"/>
      <c r="BRR5" s="30"/>
      <c r="BRS5" s="30"/>
      <c r="BRT5" s="30"/>
      <c r="BRU5" s="30"/>
      <c r="BRV5" s="30"/>
      <c r="BRW5" s="30"/>
      <c r="BRX5" s="30"/>
      <c r="BRY5" s="30"/>
      <c r="BRZ5" s="30"/>
      <c r="BSA5" s="30"/>
      <c r="BSB5" s="30"/>
      <c r="BSC5" s="30"/>
      <c r="BSD5" s="30"/>
      <c r="BSE5" s="30"/>
      <c r="BSF5" s="30"/>
      <c r="BSG5" s="30"/>
      <c r="BSH5" s="30"/>
      <c r="BSI5" s="30"/>
      <c r="BSJ5" s="30"/>
      <c r="BSK5" s="30"/>
      <c r="BSL5" s="30"/>
      <c r="BSM5" s="30"/>
      <c r="BSN5" s="30"/>
      <c r="BSO5" s="30"/>
      <c r="BSP5" s="30"/>
      <c r="BSQ5" s="30"/>
      <c r="BSR5" s="30"/>
      <c r="BSS5" s="30"/>
      <c r="BST5" s="30"/>
      <c r="BSU5" s="30"/>
      <c r="BSV5" s="30"/>
      <c r="BSW5" s="30"/>
      <c r="BSX5" s="30"/>
      <c r="BSY5" s="30"/>
      <c r="BSZ5" s="30"/>
      <c r="BTA5" s="30"/>
      <c r="BTB5" s="30"/>
      <c r="BTC5" s="30"/>
      <c r="BTD5" s="30"/>
      <c r="BTE5" s="30"/>
      <c r="BTF5" s="30"/>
      <c r="BTG5" s="30"/>
      <c r="BTH5" s="30"/>
      <c r="BTI5" s="30"/>
      <c r="BTJ5" s="30"/>
      <c r="BTK5" s="30"/>
      <c r="BTL5" s="30"/>
      <c r="BTM5" s="30"/>
      <c r="BTN5" s="30"/>
      <c r="BTO5" s="30"/>
      <c r="BTP5" s="30"/>
      <c r="BTQ5" s="30"/>
      <c r="BTR5" s="30"/>
      <c r="BTS5" s="30"/>
      <c r="BTT5" s="30"/>
      <c r="BTU5" s="30"/>
      <c r="BTV5" s="30"/>
      <c r="BTW5" s="30"/>
      <c r="BTX5" s="30"/>
    </row>
    <row r="6" ht="15.75" customHeight="1">
      <c r="A6" s="8" t="s">
        <v>60</v>
      </c>
      <c r="B6" s="8" t="s">
        <v>36</v>
      </c>
      <c r="C6" s="8"/>
      <c r="D6" s="8"/>
      <c r="E6" s="8">
        <v>1000.0</v>
      </c>
      <c r="F6" s="8" t="s">
        <v>78</v>
      </c>
      <c r="G6" s="8" t="s">
        <v>64</v>
      </c>
      <c r="H6" s="8"/>
      <c r="I6" s="8"/>
      <c r="J6" s="8"/>
      <c r="K6" s="8">
        <v>70.0</v>
      </c>
      <c r="L6" s="8">
        <v>70.0</v>
      </c>
      <c r="M6" s="8"/>
      <c r="N6" s="8"/>
      <c r="O6" s="8" t="s">
        <v>70</v>
      </c>
      <c r="V6" t="s">
        <v>79</v>
      </c>
      <c r="Z6" t="s">
        <v>67</v>
      </c>
      <c r="AD6" t="s">
        <v>66</v>
      </c>
      <c r="AE6">
        <v>1000.0</v>
      </c>
      <c r="AF6" t="s">
        <v>60</v>
      </c>
      <c r="AH6" t="s">
        <v>80</v>
      </c>
      <c r="AI6">
        <v>1.0</v>
      </c>
      <c r="AP6" t="b">
        <v>1</v>
      </c>
      <c r="AQ6" t="b">
        <v>0</v>
      </c>
      <c r="AR6" t="b">
        <v>1</v>
      </c>
      <c r="BE6">
        <v>70000.0</v>
      </c>
      <c r="BF6">
        <v>70000.0</v>
      </c>
      <c r="BJ6">
        <v>1000.0</v>
      </c>
      <c r="BM6" t="s">
        <v>67</v>
      </c>
      <c r="BO6" t="s">
        <v>42</v>
      </c>
      <c r="BT6" t="s">
        <v>34</v>
      </c>
      <c r="CK6" t="s">
        <v>65</v>
      </c>
      <c r="CL6">
        <v>1.0</v>
      </c>
      <c r="CM6" t="s">
        <v>34</v>
      </c>
      <c r="CN6" t="s">
        <v>69</v>
      </c>
      <c r="CX6" t="s">
        <v>60</v>
      </c>
      <c r="CY6" t="s">
        <v>60</v>
      </c>
      <c r="CZ6" t="s">
        <v>60</v>
      </c>
      <c r="DA6" t="s">
        <v>60</v>
      </c>
      <c r="DB6" t="s">
        <v>60</v>
      </c>
      <c r="DC6" t="s">
        <v>60</v>
      </c>
      <c r="DD6" t="s">
        <v>60</v>
      </c>
      <c r="DE6" t="s">
        <v>60</v>
      </c>
      <c r="DF6" t="s">
        <v>60</v>
      </c>
      <c r="DG6" t="s">
        <v>60</v>
      </c>
      <c r="DH6" t="s">
        <v>60</v>
      </c>
      <c r="DI6" t="s">
        <v>60</v>
      </c>
      <c r="DJ6" t="s">
        <v>60</v>
      </c>
      <c r="DK6" t="s">
        <v>60</v>
      </c>
      <c r="DL6" t="s">
        <v>60</v>
      </c>
      <c r="DM6" t="s">
        <v>60</v>
      </c>
      <c r="DN6" t="s">
        <v>60</v>
      </c>
      <c r="DO6" t="s">
        <v>60</v>
      </c>
      <c r="DP6" t="s">
        <v>60</v>
      </c>
      <c r="DQ6" t="s">
        <v>60</v>
      </c>
      <c r="DR6" t="s">
        <v>60</v>
      </c>
      <c r="DS6" t="s">
        <v>60</v>
      </c>
      <c r="DT6" t="s">
        <v>60</v>
      </c>
      <c r="DU6" t="s">
        <v>60</v>
      </c>
      <c r="DV6" t="s">
        <v>60</v>
      </c>
      <c r="DW6" t="s">
        <v>60</v>
      </c>
      <c r="DX6" t="s">
        <v>60</v>
      </c>
      <c r="DY6" t="s">
        <v>60</v>
      </c>
      <c r="DZ6" t="s">
        <v>60</v>
      </c>
      <c r="EA6" t="s">
        <v>60</v>
      </c>
      <c r="EB6" t="s">
        <v>60</v>
      </c>
      <c r="EC6" t="s">
        <v>60</v>
      </c>
      <c r="ED6" t="s">
        <v>60</v>
      </c>
      <c r="EE6" t="s">
        <v>60</v>
      </c>
      <c r="EF6" t="s">
        <v>60</v>
      </c>
      <c r="EG6" t="s">
        <v>60</v>
      </c>
      <c r="EH6" t="s">
        <v>60</v>
      </c>
      <c r="EI6" t="s">
        <v>60</v>
      </c>
      <c r="EJ6" t="s">
        <v>60</v>
      </c>
      <c r="EK6" t="s">
        <v>60</v>
      </c>
      <c r="EL6" t="s">
        <v>60</v>
      </c>
      <c r="EM6" t="s">
        <v>60</v>
      </c>
      <c r="EN6" t="s">
        <v>60</v>
      </c>
      <c r="EO6" t="s">
        <v>60</v>
      </c>
      <c r="EP6" t="s">
        <v>60</v>
      </c>
      <c r="EQ6" t="s">
        <v>60</v>
      </c>
      <c r="ER6" t="s">
        <v>60</v>
      </c>
      <c r="ES6" t="s">
        <v>60</v>
      </c>
      <c r="ET6" t="s">
        <v>60</v>
      </c>
      <c r="EU6" t="s">
        <v>60</v>
      </c>
      <c r="EV6" t="s">
        <v>60</v>
      </c>
      <c r="EW6" t="s">
        <v>60</v>
      </c>
      <c r="EX6" t="s">
        <v>60</v>
      </c>
      <c r="EY6" t="s">
        <v>60</v>
      </c>
      <c r="EZ6" t="s">
        <v>60</v>
      </c>
      <c r="FA6" t="s">
        <v>60</v>
      </c>
      <c r="FB6" t="s">
        <v>60</v>
      </c>
      <c r="FC6" t="s">
        <v>60</v>
      </c>
      <c r="FD6" t="s">
        <v>60</v>
      </c>
      <c r="FE6" t="s">
        <v>60</v>
      </c>
      <c r="FF6" t="s">
        <v>60</v>
      </c>
      <c r="FG6" t="s">
        <v>60</v>
      </c>
      <c r="FH6" t="s">
        <v>60</v>
      </c>
      <c r="FI6" t="s">
        <v>60</v>
      </c>
      <c r="FJ6" t="s">
        <v>60</v>
      </c>
      <c r="FK6" t="s">
        <v>60</v>
      </c>
      <c r="FL6" t="s">
        <v>60</v>
      </c>
      <c r="FM6" t="s">
        <v>60</v>
      </c>
      <c r="FN6" t="s">
        <v>60</v>
      </c>
      <c r="FO6" t="s">
        <v>60</v>
      </c>
      <c r="FP6" t="s">
        <v>60</v>
      </c>
      <c r="FQ6" t="s">
        <v>60</v>
      </c>
      <c r="AML6" s="36" t="str">
        <f t="shared" ref="AML6:AND6" si="1">iferror(INDEX('Input(Other)'!$A:$FF,MATCH($A6,'Input(Other)'!$A$1:$A$210,0),MATCH(AML$1,'Input(Other)'!$1:$1,0)),"")</f>
        <v/>
      </c>
      <c r="AMM6" s="36" t="str">
        <f t="shared" si="1"/>
        <v/>
      </c>
      <c r="AMN6" s="36" t="str">
        <f t="shared" si="1"/>
        <v/>
      </c>
      <c r="AMO6" s="36" t="str">
        <f t="shared" si="1"/>
        <v/>
      </c>
      <c r="AMP6" s="36" t="str">
        <f t="shared" si="1"/>
        <v/>
      </c>
      <c r="AMQ6" s="36" t="str">
        <f t="shared" si="1"/>
        <v/>
      </c>
      <c r="AMR6" s="36" t="str">
        <f t="shared" si="1"/>
        <v/>
      </c>
      <c r="AMS6" s="36" t="str">
        <f t="shared" si="1"/>
        <v/>
      </c>
      <c r="AMT6" s="36" t="str">
        <f t="shared" si="1"/>
        <v/>
      </c>
      <c r="AMU6" s="36" t="str">
        <f t="shared" si="1"/>
        <v/>
      </c>
      <c r="AMV6" s="36" t="str">
        <f t="shared" si="1"/>
        <v/>
      </c>
      <c r="AMW6" s="36" t="str">
        <f t="shared" si="1"/>
        <v/>
      </c>
      <c r="AMX6" s="36" t="str">
        <f t="shared" si="1"/>
        <v/>
      </c>
      <c r="AMY6" s="36" t="str">
        <f t="shared" si="1"/>
        <v/>
      </c>
      <c r="AMZ6" s="36" t="str">
        <f t="shared" si="1"/>
        <v/>
      </c>
      <c r="ANA6" s="36" t="str">
        <f t="shared" si="1"/>
        <v/>
      </c>
      <c r="ANB6" s="36" t="str">
        <f t="shared" si="1"/>
        <v/>
      </c>
      <c r="ANC6" s="36" t="str">
        <f t="shared" si="1"/>
        <v/>
      </c>
      <c r="AND6" s="36" t="str">
        <f t="shared" si="1"/>
        <v/>
      </c>
      <c r="ANE6" s="50"/>
      <c r="ANF6" s="50"/>
      <c r="ANG6" s="50"/>
      <c r="ANH6" s="50"/>
      <c r="ANI6" s="50"/>
      <c r="ANJ6" s="50"/>
      <c r="ANK6" s="50"/>
      <c r="ANL6" s="50"/>
      <c r="ANM6" s="50"/>
      <c r="ANN6" s="50"/>
      <c r="ANO6" s="50"/>
      <c r="ANP6" s="50"/>
      <c r="ANQ6" s="50"/>
      <c r="ANR6" s="50"/>
      <c r="ANS6" s="50"/>
      <c r="ANT6" s="50"/>
      <c r="ANU6" s="50"/>
      <c r="ANV6" s="50"/>
      <c r="ANW6" s="50"/>
      <c r="ANX6" s="50"/>
      <c r="ANY6" s="50"/>
      <c r="ANZ6" s="50"/>
      <c r="AOA6" s="50"/>
      <c r="AOB6" s="50"/>
      <c r="AOC6" s="50"/>
      <c r="AOD6" s="50"/>
      <c r="AOE6" s="50"/>
      <c r="AOF6" s="50"/>
      <c r="AOG6" s="50"/>
      <c r="AOH6" s="50"/>
      <c r="AOI6" s="50"/>
      <c r="AOJ6" s="50"/>
      <c r="AOK6" s="50"/>
      <c r="AOL6" s="50"/>
      <c r="AOM6" s="50"/>
      <c r="AON6" s="50"/>
      <c r="AOO6" s="50"/>
      <c r="AOP6" s="50"/>
      <c r="AOQ6" s="50"/>
      <c r="AOR6" s="50"/>
      <c r="AOS6" s="50"/>
      <c r="AOT6" s="50"/>
      <c r="AOU6" s="50"/>
      <c r="AOV6" s="50"/>
      <c r="AOW6" s="50"/>
      <c r="AOX6" s="50"/>
      <c r="AOY6" s="50"/>
      <c r="AOZ6" s="50"/>
      <c r="APA6" s="50"/>
      <c r="APB6" s="50"/>
      <c r="APC6" s="50"/>
      <c r="APD6" s="50"/>
      <c r="APE6" s="50"/>
      <c r="APF6" s="50"/>
      <c r="APG6" s="50"/>
      <c r="APH6" s="50"/>
      <c r="API6" s="50"/>
      <c r="APJ6" s="50"/>
      <c r="APK6" s="50"/>
      <c r="APL6" s="50"/>
      <c r="APM6" s="50"/>
      <c r="APN6" s="50"/>
      <c r="APO6" s="50"/>
      <c r="APP6" s="50"/>
      <c r="APQ6" s="50"/>
      <c r="APR6" s="50"/>
      <c r="APS6" s="50"/>
      <c r="APT6" s="50"/>
      <c r="APU6" s="50"/>
      <c r="APV6" s="50"/>
      <c r="APW6" s="50"/>
      <c r="APX6" s="50"/>
      <c r="APY6" s="50"/>
      <c r="APZ6" s="50"/>
      <c r="AQA6" s="50"/>
      <c r="AQB6" s="50"/>
      <c r="AQC6" s="50"/>
      <c r="AQD6" s="50"/>
      <c r="AQE6" s="50"/>
      <c r="AQF6" s="50"/>
      <c r="AQG6" s="50"/>
      <c r="AQH6" s="50"/>
      <c r="AQI6" s="50"/>
      <c r="AQJ6" s="50"/>
      <c r="AQK6" s="50"/>
      <c r="AQL6" s="50"/>
      <c r="AQM6" s="50"/>
      <c r="AQN6" s="50"/>
      <c r="AQO6" s="50"/>
      <c r="AQP6" s="50"/>
      <c r="AQQ6" s="50"/>
      <c r="AQR6" s="50"/>
      <c r="AQS6" s="50"/>
      <c r="AQT6" s="50"/>
      <c r="AQU6" s="50"/>
      <c r="AQV6" s="50"/>
      <c r="AQW6" s="50"/>
      <c r="AQX6" s="50"/>
      <c r="AQY6" s="50"/>
      <c r="AQZ6" s="50"/>
      <c r="ARA6" s="50"/>
      <c r="ARB6" s="50"/>
      <c r="ARC6" s="50"/>
      <c r="ARD6" s="50"/>
      <c r="ARE6" s="50"/>
      <c r="ARF6" s="50"/>
      <c r="ARG6" s="50"/>
      <c r="ARH6" s="50"/>
      <c r="ARI6" s="50"/>
      <c r="ARJ6" s="50"/>
      <c r="ARK6" s="50"/>
      <c r="ARL6" s="50"/>
      <c r="ARM6" s="50"/>
      <c r="ARN6" s="50"/>
      <c r="ARO6" s="50"/>
      <c r="ARP6" s="50"/>
      <c r="ARQ6" s="50"/>
      <c r="ARR6" s="50"/>
      <c r="ARS6" s="50"/>
      <c r="ART6" s="50"/>
      <c r="ARU6" s="50"/>
      <c r="ARV6" s="50"/>
      <c r="ARW6" s="50"/>
      <c r="ARX6" s="50"/>
      <c r="ARY6" s="50"/>
      <c r="ARZ6" s="50"/>
      <c r="ASA6" s="50"/>
      <c r="ASB6" s="50"/>
      <c r="ASC6" s="50"/>
      <c r="ASD6" s="50"/>
      <c r="ASE6" s="50"/>
      <c r="ASF6" s="50"/>
      <c r="ASG6" s="50"/>
      <c r="ASH6" s="50"/>
      <c r="ASI6" s="50"/>
      <c r="ASJ6" s="50"/>
      <c r="ASK6" s="50"/>
      <c r="ASL6" s="50"/>
      <c r="ASM6" s="50"/>
      <c r="ASN6" s="50"/>
      <c r="ASO6" s="50"/>
      <c r="ASP6" s="50"/>
      <c r="ASQ6" s="50"/>
      <c r="ASR6" s="50"/>
      <c r="ASS6" s="50"/>
      <c r="AST6" s="50"/>
      <c r="ASU6" s="50"/>
      <c r="ASV6" s="50"/>
      <c r="ASW6" s="50"/>
      <c r="ASX6" s="50"/>
      <c r="ASY6" s="50"/>
      <c r="ASZ6" s="50"/>
      <c r="ATA6" s="50"/>
      <c r="ATB6" s="50"/>
      <c r="ATC6" s="50"/>
      <c r="ATD6" s="50"/>
      <c r="ATE6" s="50"/>
      <c r="ATF6" s="50"/>
      <c r="ATG6" s="50"/>
      <c r="ATH6" s="50"/>
      <c r="ATI6" s="50"/>
      <c r="ATJ6" s="50"/>
      <c r="ATK6" s="50"/>
      <c r="ATL6" s="50"/>
      <c r="ATM6" s="50"/>
      <c r="ATN6" s="50"/>
      <c r="ATO6" s="50"/>
      <c r="ATP6" s="50"/>
      <c r="ATQ6" s="50"/>
      <c r="ATR6" s="50"/>
      <c r="ATS6" s="50"/>
      <c r="ATT6" s="50"/>
      <c r="ATU6" s="50"/>
      <c r="ATV6" s="50"/>
      <c r="ATW6" s="50"/>
      <c r="ATX6" s="50"/>
      <c r="ATY6" s="50"/>
      <c r="ATZ6" s="50"/>
      <c r="AUA6" s="50"/>
      <c r="AUB6" s="50"/>
      <c r="AUC6" s="50"/>
      <c r="AUD6" s="50"/>
      <c r="AUE6" s="50"/>
      <c r="AUF6" s="50"/>
      <c r="AUG6" s="50"/>
      <c r="AUH6" s="50"/>
      <c r="AUI6" s="50"/>
      <c r="AUJ6" s="50"/>
      <c r="AUK6" s="50"/>
      <c r="AUL6" s="50"/>
      <c r="AUM6" s="50"/>
      <c r="AUN6" s="50"/>
      <c r="AUO6" s="50"/>
      <c r="AUP6" s="50"/>
      <c r="AUQ6" s="50"/>
      <c r="AUR6" s="50"/>
      <c r="AUS6" s="50"/>
      <c r="AUT6" s="50"/>
      <c r="AUU6" s="50"/>
      <c r="AUV6" s="50"/>
      <c r="AUW6" s="50"/>
      <c r="AUX6" s="50"/>
      <c r="AUY6" s="50"/>
      <c r="AUZ6" s="50"/>
      <c r="AVA6" s="50"/>
      <c r="AVB6" s="50"/>
      <c r="AVC6" s="50"/>
      <c r="AVD6" s="50"/>
      <c r="AVE6" s="50"/>
      <c r="AVF6" s="50"/>
      <c r="AVG6" s="50"/>
      <c r="AVH6" s="50"/>
      <c r="AVI6" s="50"/>
      <c r="AVJ6" s="50"/>
      <c r="AVK6" s="50"/>
      <c r="AVL6" s="50"/>
      <c r="AVM6" s="50"/>
      <c r="AVN6" s="50"/>
      <c r="AVO6" s="50"/>
      <c r="AVP6" s="50"/>
      <c r="AVQ6" s="50"/>
      <c r="AVR6" s="50"/>
      <c r="AVS6" s="50"/>
      <c r="AVT6" s="50"/>
      <c r="AVU6" s="50"/>
      <c r="AVV6" s="50"/>
      <c r="AVW6" s="50"/>
      <c r="AVX6" s="50"/>
      <c r="AVY6" s="50"/>
      <c r="AVZ6" s="50"/>
      <c r="AWA6" s="50"/>
      <c r="AWB6" s="50"/>
      <c r="AWC6" s="50"/>
      <c r="AWD6" s="50"/>
      <c r="AWE6" s="50"/>
      <c r="AWF6" s="50"/>
      <c r="AWG6" s="50"/>
      <c r="AWH6" s="50"/>
      <c r="AWI6" s="50"/>
      <c r="AWJ6" s="50"/>
      <c r="AWK6" s="50"/>
      <c r="AWL6" s="50"/>
      <c r="AWM6" s="50"/>
      <c r="AWN6" s="50"/>
      <c r="AWO6" s="50"/>
      <c r="AWP6" s="50"/>
      <c r="AWQ6" s="50"/>
      <c r="AWR6" s="50"/>
      <c r="AWS6" s="50"/>
      <c r="AWT6" s="50"/>
      <c r="AWU6" s="50"/>
      <c r="AWV6" s="50"/>
      <c r="AWW6" s="50"/>
      <c r="AWX6" s="50"/>
      <c r="AWY6" s="50"/>
      <c r="AWZ6" s="50"/>
      <c r="AXA6" s="50"/>
      <c r="AXB6" s="50"/>
      <c r="AXC6" s="50"/>
      <c r="AXD6" s="50"/>
      <c r="AXE6" s="50"/>
      <c r="AXF6" s="50"/>
      <c r="AXG6" s="50"/>
      <c r="AXH6" s="50"/>
      <c r="AXI6" s="50"/>
      <c r="AXJ6" s="50"/>
      <c r="AXK6" s="50"/>
      <c r="AXL6" s="50"/>
      <c r="AXM6" s="50"/>
      <c r="AXN6" s="50"/>
      <c r="AXO6" s="50"/>
      <c r="AXP6" s="50"/>
      <c r="AXQ6" s="50"/>
      <c r="AXR6" s="50"/>
      <c r="AXS6" s="50"/>
      <c r="AXT6" s="50"/>
      <c r="AXU6" s="50"/>
      <c r="AXV6" s="50"/>
      <c r="AXW6" s="50"/>
      <c r="AXX6" s="50"/>
      <c r="AXY6" s="50"/>
      <c r="AXZ6" s="50"/>
      <c r="AYA6" s="50"/>
      <c r="AYB6" s="50"/>
      <c r="AYC6" s="50"/>
      <c r="AYD6" s="50"/>
      <c r="AYE6" s="50"/>
      <c r="AYF6" s="50"/>
      <c r="AYG6" s="50"/>
      <c r="AYH6" s="50"/>
      <c r="AYI6" s="50"/>
      <c r="AYJ6" s="50"/>
      <c r="AYK6" s="50"/>
      <c r="AYL6" s="50"/>
      <c r="AYM6" s="50"/>
      <c r="AYN6" s="50"/>
      <c r="AYO6" s="50"/>
      <c r="AYP6" s="50"/>
      <c r="AYQ6" s="50"/>
      <c r="AYR6" s="50"/>
      <c r="AYS6" s="50"/>
      <c r="AYT6" s="50"/>
      <c r="AYU6" s="50"/>
      <c r="AYV6" s="50"/>
      <c r="AYW6" s="50"/>
      <c r="AYX6" s="50"/>
      <c r="AYY6" s="50"/>
      <c r="AYZ6" s="50"/>
      <c r="AZA6" s="50"/>
      <c r="AZB6" s="50"/>
      <c r="AZC6" s="50"/>
      <c r="AZD6" s="50"/>
      <c r="AZE6" s="50"/>
      <c r="AZF6" s="50"/>
      <c r="AZG6" s="50"/>
      <c r="AZH6" s="50"/>
      <c r="AZI6" s="50"/>
      <c r="AZJ6" s="50"/>
      <c r="AZK6" s="50"/>
      <c r="AZL6" s="50"/>
      <c r="AZM6" s="50"/>
      <c r="AZN6" s="50"/>
      <c r="AZO6" s="50"/>
      <c r="AZP6" s="50"/>
      <c r="AZQ6" s="50"/>
      <c r="AZR6" s="50"/>
      <c r="AZS6" s="50"/>
      <c r="AZT6" s="50"/>
      <c r="AZU6" s="50"/>
      <c r="AZV6" s="50"/>
      <c r="AZW6" s="50"/>
      <c r="AZX6" s="50"/>
      <c r="AZY6" s="50"/>
      <c r="AZZ6" s="50"/>
      <c r="BAA6" s="50"/>
      <c r="BAB6" s="50"/>
      <c r="BAC6" s="50"/>
      <c r="BAD6" s="50"/>
      <c r="BAE6" s="50"/>
      <c r="BAF6" s="50"/>
      <c r="BAG6" s="50"/>
      <c r="BAH6" s="50"/>
      <c r="BAI6" s="50"/>
      <c r="BAJ6" s="50"/>
      <c r="BAK6" s="50"/>
      <c r="BAL6" s="50"/>
      <c r="BAM6" s="50"/>
      <c r="BAN6" s="50"/>
      <c r="BAO6" s="50"/>
      <c r="BAP6" s="50"/>
      <c r="BAQ6" s="50"/>
      <c r="BAR6" s="50"/>
      <c r="BAS6" s="50"/>
      <c r="BAT6" s="50"/>
      <c r="BAU6" s="50"/>
      <c r="BAV6" s="50"/>
      <c r="BAW6" s="50"/>
      <c r="BAX6" s="50"/>
      <c r="BAY6" s="50"/>
      <c r="BAZ6" s="50"/>
      <c r="BBA6" s="50"/>
      <c r="BBB6" s="50"/>
      <c r="BBC6" s="50"/>
      <c r="BBD6" s="50"/>
      <c r="BBE6" s="50"/>
      <c r="BBF6" s="50"/>
      <c r="BBG6" s="50"/>
      <c r="BBH6" s="50"/>
      <c r="BBI6" s="50"/>
      <c r="BBJ6" s="50"/>
      <c r="BBK6" s="50"/>
      <c r="BBL6" s="50"/>
      <c r="BBM6" s="50"/>
      <c r="BBN6" s="50"/>
      <c r="BBO6" s="50"/>
      <c r="BBP6" s="50"/>
      <c r="BBQ6" s="50"/>
      <c r="BBR6" s="50"/>
      <c r="BBS6" s="50"/>
      <c r="BBT6" s="50"/>
      <c r="BBU6" s="50"/>
      <c r="BBV6" s="50"/>
      <c r="BBW6" s="50"/>
      <c r="BBX6" s="50"/>
      <c r="BBY6" s="50"/>
      <c r="BBZ6" s="50"/>
      <c r="BCA6" s="50"/>
      <c r="BCB6" s="50"/>
      <c r="BCC6" s="50"/>
      <c r="BCD6" s="50"/>
      <c r="BCE6" s="50"/>
      <c r="BCF6" s="50"/>
      <c r="BCG6" s="50"/>
      <c r="BCH6" s="50"/>
      <c r="BCI6" s="50"/>
      <c r="BCJ6" s="50"/>
      <c r="BCK6" s="50"/>
      <c r="BCL6" s="50"/>
      <c r="BCM6" s="50"/>
      <c r="BCN6" s="50"/>
      <c r="BCO6" s="50"/>
      <c r="BCP6" s="50"/>
      <c r="BCQ6" s="50"/>
      <c r="BCR6" s="50"/>
      <c r="BCS6" s="50"/>
      <c r="BCT6" s="50"/>
      <c r="BCU6" s="50"/>
      <c r="BCV6" s="50"/>
      <c r="BCW6" s="50"/>
      <c r="BCX6" s="50"/>
      <c r="BCY6" s="50"/>
      <c r="BCZ6" s="50"/>
      <c r="BDA6" s="50"/>
      <c r="BDB6" s="50"/>
      <c r="BDC6" s="50"/>
      <c r="BDD6" s="50"/>
      <c r="BDE6" s="50"/>
      <c r="BDF6" s="50"/>
      <c r="BDG6" s="50"/>
      <c r="BDH6" s="50"/>
      <c r="BDI6" s="50"/>
      <c r="BDJ6" s="50"/>
      <c r="BDK6" s="50"/>
      <c r="BDL6" s="50"/>
      <c r="BDM6" s="50"/>
      <c r="BDN6" s="50"/>
      <c r="BDO6" s="50"/>
      <c r="BDP6" s="50"/>
      <c r="BDQ6" s="50"/>
      <c r="BDR6" s="50"/>
      <c r="BDS6" s="50"/>
      <c r="BDT6" s="50"/>
      <c r="BDU6" s="50"/>
      <c r="BDV6" s="50"/>
      <c r="BDW6" s="50"/>
      <c r="BDX6" s="50"/>
      <c r="BDY6" s="50"/>
      <c r="BDZ6" s="50"/>
      <c r="BEA6" s="50"/>
      <c r="BEB6" s="50"/>
      <c r="BEC6" s="50"/>
      <c r="BED6" s="50"/>
      <c r="BEE6" s="50"/>
      <c r="BEF6" s="50"/>
      <c r="BEG6" s="50"/>
      <c r="BEH6" s="50"/>
      <c r="BEI6" s="50"/>
      <c r="BEJ6" s="50"/>
      <c r="BEK6" s="50"/>
      <c r="BEL6" s="50"/>
      <c r="BEM6" s="50"/>
      <c r="BEN6" s="50"/>
      <c r="BEO6" s="50"/>
      <c r="BEP6" s="50"/>
      <c r="BEQ6" s="50"/>
      <c r="BER6" s="50"/>
      <c r="BES6" s="50"/>
      <c r="BET6" s="50"/>
      <c r="BEU6" s="50"/>
      <c r="BEV6" s="50"/>
      <c r="BEW6" s="50"/>
      <c r="BEX6" s="50"/>
      <c r="BEY6" s="50"/>
      <c r="BEZ6" s="50"/>
      <c r="BFA6" s="50"/>
      <c r="BFB6" s="50"/>
      <c r="BFC6" s="50"/>
      <c r="BFD6" s="50"/>
      <c r="BFE6" s="50"/>
      <c r="BFF6" s="50"/>
      <c r="BFG6" s="50"/>
      <c r="BFH6" s="50"/>
      <c r="BFI6" s="50"/>
      <c r="BFJ6" s="50"/>
      <c r="BFK6" s="50"/>
      <c r="BFL6" s="50"/>
      <c r="BFM6" s="50"/>
      <c r="BFN6" s="50"/>
      <c r="BFO6" s="50"/>
      <c r="BFP6" s="50"/>
      <c r="BFQ6" s="50"/>
      <c r="BFR6" s="50"/>
      <c r="BFS6" s="50"/>
      <c r="BFT6" s="50"/>
      <c r="BFU6" s="50"/>
      <c r="BFV6" s="50"/>
      <c r="BFW6" s="50"/>
      <c r="BFX6" s="50"/>
      <c r="BFY6" s="50"/>
      <c r="BFZ6" s="50"/>
      <c r="BGA6" s="50"/>
      <c r="BGB6" s="50"/>
      <c r="BGC6" s="50"/>
      <c r="BGD6" s="50"/>
      <c r="BGE6" s="50"/>
      <c r="BGF6" s="50"/>
      <c r="BGG6" s="50"/>
      <c r="BGH6" s="50"/>
      <c r="BGI6" s="50"/>
      <c r="BGJ6" s="50"/>
      <c r="BGK6" s="50"/>
      <c r="BGL6" s="50"/>
      <c r="BGM6" s="50"/>
      <c r="BGN6" s="50"/>
      <c r="BGO6" s="50"/>
      <c r="BGP6" s="50"/>
      <c r="BGQ6" s="50"/>
      <c r="BGR6" s="50"/>
      <c r="BGS6" s="50"/>
      <c r="BGT6" s="50"/>
      <c r="BGU6" s="50"/>
      <c r="BGV6" s="50"/>
      <c r="BGW6" s="50"/>
      <c r="BGX6" s="50"/>
      <c r="BGY6" s="50"/>
      <c r="BGZ6" s="50"/>
      <c r="BHA6" s="50"/>
      <c r="BHB6" s="50"/>
      <c r="BHC6" s="50"/>
      <c r="BHD6" s="50"/>
      <c r="BHE6" s="50"/>
      <c r="BHF6" s="50"/>
      <c r="BHG6" s="50"/>
      <c r="BHH6" s="50"/>
      <c r="BHI6" s="50"/>
      <c r="BHJ6" s="50"/>
      <c r="BHK6" s="50"/>
      <c r="BHL6" s="50"/>
      <c r="BHM6" s="50"/>
      <c r="BHN6" s="50"/>
      <c r="BHO6" s="50"/>
      <c r="BHP6" s="50"/>
      <c r="BHQ6" s="50"/>
      <c r="BHR6" s="50"/>
      <c r="BHS6" s="50"/>
      <c r="BHT6" s="50"/>
      <c r="BHU6" s="50"/>
      <c r="BHV6" s="50"/>
      <c r="BHW6" s="50"/>
      <c r="BHX6" s="50"/>
      <c r="BHY6" s="50"/>
      <c r="BHZ6" s="50"/>
      <c r="BIA6" s="50"/>
      <c r="BIB6" s="50"/>
      <c r="BIC6" s="50"/>
      <c r="BID6" s="50"/>
      <c r="BIE6" s="50"/>
      <c r="BIF6" s="50"/>
      <c r="BIG6" s="50"/>
      <c r="BIH6" s="50"/>
      <c r="BII6" s="50"/>
      <c r="BIJ6" s="50"/>
      <c r="BIK6" s="50"/>
      <c r="BIL6" s="50"/>
      <c r="BIM6" s="50"/>
      <c r="BIN6" s="50"/>
      <c r="BIO6" s="50"/>
      <c r="BIP6" s="50"/>
      <c r="BIQ6" s="50"/>
      <c r="BIR6" s="50"/>
      <c r="BIS6" s="50"/>
      <c r="BIT6" s="50"/>
      <c r="BIU6" s="50"/>
      <c r="BIV6" s="50"/>
      <c r="BIW6" s="50"/>
      <c r="BIX6" s="50"/>
      <c r="BIY6" s="50"/>
      <c r="BIZ6" s="50"/>
      <c r="BJA6" s="50"/>
      <c r="BJB6" s="50"/>
      <c r="BJC6" s="50"/>
      <c r="BJD6" s="50"/>
      <c r="BJE6" s="50"/>
      <c r="BJF6" s="50"/>
      <c r="BJG6" s="50"/>
      <c r="BJH6" s="50"/>
      <c r="BJI6" s="50"/>
      <c r="BJJ6" s="50"/>
      <c r="BJK6" s="50"/>
      <c r="BJL6" s="50"/>
      <c r="BJM6" s="50"/>
      <c r="BJN6" s="50"/>
      <c r="BJO6" s="50"/>
      <c r="BJP6" s="50"/>
      <c r="BJQ6" s="50"/>
      <c r="BJR6" s="50"/>
      <c r="BJS6" s="50"/>
      <c r="BJT6" s="50"/>
      <c r="BJU6" s="50"/>
      <c r="BJV6" s="50"/>
      <c r="BJW6" s="50"/>
      <c r="BJX6" s="50"/>
      <c r="BJY6" s="50"/>
      <c r="BJZ6" s="50"/>
      <c r="BKA6" s="50"/>
      <c r="BKB6" s="50"/>
      <c r="BKC6" s="50"/>
      <c r="BKD6" s="50"/>
      <c r="BKE6" s="50"/>
      <c r="BKF6" s="50"/>
      <c r="BKG6" s="50"/>
      <c r="BKH6" s="50"/>
      <c r="BKI6" s="50"/>
      <c r="BKJ6" s="50"/>
      <c r="BKK6" s="50"/>
      <c r="BKL6" s="50"/>
      <c r="BKM6" s="50"/>
      <c r="BKN6" s="50"/>
      <c r="BKO6" s="50"/>
      <c r="BKP6" s="50"/>
      <c r="BKQ6" s="50"/>
      <c r="BKR6" s="50"/>
      <c r="BKS6" s="50"/>
      <c r="BKT6" s="50"/>
      <c r="BKU6" s="50"/>
      <c r="BKV6" s="50"/>
      <c r="BKW6" s="50"/>
      <c r="BKX6" s="50"/>
      <c r="BKY6" s="50"/>
      <c r="BKZ6" s="50"/>
      <c r="BLA6" s="50"/>
      <c r="BLB6" s="50"/>
      <c r="BLC6" s="50"/>
      <c r="BLD6" s="50"/>
      <c r="BLE6" s="50"/>
      <c r="BLF6" s="50"/>
      <c r="BLG6" s="50"/>
      <c r="BLH6" s="50"/>
      <c r="BLI6" s="50"/>
      <c r="BLJ6" s="50"/>
      <c r="BLK6" s="50"/>
      <c r="BLL6" s="50"/>
      <c r="BLM6" s="50"/>
      <c r="BLN6" s="50"/>
      <c r="BLO6" s="50"/>
      <c r="BLP6" s="50"/>
      <c r="BLQ6" s="50"/>
      <c r="BLR6" s="50"/>
      <c r="BLS6" s="50"/>
      <c r="BLT6" s="50"/>
      <c r="BLU6" s="50"/>
      <c r="BLV6" s="50"/>
      <c r="BLW6" s="50"/>
      <c r="BLX6" s="50"/>
      <c r="BLY6" s="50"/>
      <c r="BLZ6" s="50"/>
      <c r="BMA6" s="50"/>
      <c r="BMB6" s="50"/>
      <c r="BMC6" s="50"/>
      <c r="BMD6" s="50"/>
      <c r="BME6" s="50"/>
      <c r="BMF6" s="50"/>
      <c r="BMG6" s="50"/>
      <c r="BMH6" s="50"/>
      <c r="BMI6" s="50"/>
      <c r="BMJ6" s="50"/>
      <c r="BMK6" s="50"/>
      <c r="BML6" s="50"/>
      <c r="BMM6" s="50"/>
      <c r="BMN6" s="50"/>
      <c r="BMO6" s="50"/>
      <c r="BMP6" s="50"/>
      <c r="BMQ6" s="50"/>
      <c r="BMR6" s="50"/>
      <c r="BMS6" s="50"/>
      <c r="BMT6" s="50"/>
      <c r="BMU6" s="50"/>
      <c r="BMV6" s="50"/>
      <c r="BMW6" s="50"/>
      <c r="BMX6" s="50"/>
      <c r="BMY6" s="50"/>
      <c r="BMZ6" s="50"/>
      <c r="BNA6" s="50"/>
      <c r="BNB6" s="50"/>
      <c r="BNC6" s="50"/>
      <c r="BND6" s="50"/>
      <c r="BNE6" s="50"/>
      <c r="BNF6" s="50"/>
      <c r="BNG6" s="50"/>
      <c r="BNH6" s="50"/>
      <c r="BNI6" s="50"/>
      <c r="BNJ6" s="50"/>
      <c r="BNK6" s="50"/>
      <c r="BNL6" s="50"/>
      <c r="BNM6" s="50"/>
      <c r="BNN6" s="50"/>
      <c r="BNO6" s="50"/>
      <c r="BNP6" s="50"/>
      <c r="BNQ6" s="50"/>
      <c r="BNR6" s="50"/>
      <c r="BNS6" s="50"/>
      <c r="BNT6" s="50"/>
      <c r="BNU6" s="50"/>
      <c r="BNV6" s="50"/>
      <c r="BNW6" s="50"/>
      <c r="BNX6" s="50"/>
      <c r="BNY6" s="50"/>
      <c r="BNZ6" s="50"/>
      <c r="BOA6" s="50"/>
      <c r="BOB6" s="50"/>
      <c r="BOC6" s="50"/>
      <c r="BOD6" s="50"/>
      <c r="BOE6" s="50"/>
      <c r="BOF6" s="50"/>
      <c r="BOG6" s="50"/>
      <c r="BOH6" s="50"/>
      <c r="BOI6" s="50"/>
      <c r="BOJ6" s="50"/>
      <c r="BOK6" s="50"/>
      <c r="BOL6" s="50"/>
      <c r="BOM6" s="50"/>
      <c r="BON6" s="50"/>
      <c r="BOO6" s="50"/>
      <c r="BOP6" s="50"/>
      <c r="BOQ6" s="50"/>
      <c r="BOR6" s="50"/>
      <c r="BOS6" s="50"/>
      <c r="BOT6" s="50"/>
      <c r="BOU6" s="50"/>
      <c r="BOV6" s="50"/>
      <c r="BOW6" s="50"/>
      <c r="BOX6" s="50"/>
      <c r="BOY6" s="50"/>
      <c r="BOZ6" s="50"/>
      <c r="BPA6" s="50"/>
      <c r="BPB6" s="50"/>
      <c r="BPC6" s="50"/>
      <c r="BPD6" s="50"/>
      <c r="BPE6" s="50"/>
      <c r="BPF6" s="50"/>
      <c r="BPG6" s="50"/>
      <c r="BPH6" s="50"/>
      <c r="BPI6" s="50"/>
      <c r="BPJ6" s="50"/>
      <c r="BPK6" s="50"/>
      <c r="BPL6" s="50"/>
      <c r="BPM6" s="50"/>
      <c r="BPN6" s="50"/>
      <c r="BPO6" s="50"/>
      <c r="BPP6" s="50"/>
      <c r="BPQ6" s="50"/>
      <c r="BPR6" s="50"/>
      <c r="BPS6" s="50"/>
      <c r="BPT6" s="50"/>
      <c r="BPU6" s="50"/>
      <c r="BPV6" s="50"/>
      <c r="BPW6" s="50"/>
      <c r="BPX6" s="50"/>
      <c r="BPY6" s="50"/>
      <c r="BPZ6" s="50"/>
      <c r="BQA6" s="50"/>
      <c r="BQB6" s="50"/>
      <c r="BQC6" s="50"/>
      <c r="BQD6" s="50"/>
      <c r="BQE6" s="50"/>
      <c r="BQF6" s="50"/>
      <c r="BQG6" s="50"/>
      <c r="BQH6" s="50"/>
      <c r="BQI6" s="50"/>
      <c r="BQJ6" s="50"/>
      <c r="BQK6" s="50"/>
      <c r="BQL6" s="50"/>
      <c r="BQM6" s="50"/>
      <c r="BQN6" s="50"/>
      <c r="BQO6" s="50"/>
      <c r="BQP6" s="50"/>
      <c r="BQQ6" s="50"/>
      <c r="BQR6" s="50"/>
      <c r="BQS6" s="50"/>
      <c r="BQT6" s="50"/>
      <c r="BQU6" s="50"/>
      <c r="BQV6" s="50"/>
      <c r="BQW6" s="50"/>
      <c r="BQX6" s="50"/>
      <c r="BQY6" s="50"/>
      <c r="BQZ6" s="50"/>
      <c r="BRA6" s="50"/>
      <c r="BRB6" s="50"/>
      <c r="BRC6" s="50"/>
      <c r="BRD6" s="50"/>
      <c r="BRE6" s="50"/>
      <c r="BRF6" s="50"/>
      <c r="BRG6" s="50"/>
      <c r="BRH6" s="50"/>
      <c r="BRI6" s="50"/>
      <c r="BRJ6" s="50"/>
      <c r="BRK6" s="50"/>
      <c r="BRL6" s="50"/>
      <c r="BRM6" s="50"/>
      <c r="BRN6" s="50"/>
      <c r="BRO6" s="50"/>
      <c r="BRP6" s="50"/>
      <c r="BRQ6" s="50"/>
      <c r="BRR6" s="50"/>
      <c r="BRS6" s="50"/>
      <c r="BRT6" s="50"/>
      <c r="BRU6" s="50"/>
      <c r="BRV6" s="50"/>
      <c r="BRW6" s="50"/>
      <c r="BRX6" s="50"/>
      <c r="BRY6" s="50"/>
      <c r="BRZ6" s="50"/>
      <c r="BSA6" s="50"/>
      <c r="BSB6" s="50"/>
      <c r="BSC6" s="50"/>
      <c r="BSD6" s="50"/>
      <c r="BSE6" s="50"/>
      <c r="BSF6" s="50"/>
      <c r="BSG6" s="50"/>
      <c r="BSH6" s="50"/>
      <c r="BSI6" s="50"/>
      <c r="BSJ6" s="50"/>
      <c r="BSK6" s="50"/>
      <c r="BSL6" s="50"/>
      <c r="BSM6" s="50"/>
      <c r="BSN6" s="50"/>
      <c r="BSO6" s="50"/>
      <c r="BSP6" s="50"/>
      <c r="BSQ6" s="50"/>
      <c r="BSR6" s="50"/>
      <c r="BSS6" s="50"/>
      <c r="BST6" s="50"/>
      <c r="BSU6" s="50"/>
      <c r="BSV6" s="50"/>
      <c r="BSW6" s="50"/>
      <c r="BSX6" s="50"/>
      <c r="BSY6" s="50"/>
      <c r="BSZ6" s="50"/>
      <c r="BTA6" s="50"/>
      <c r="BTB6" s="50"/>
      <c r="BTC6" s="50"/>
      <c r="BTD6" s="50"/>
      <c r="BTE6" s="50"/>
      <c r="BTF6" s="50"/>
      <c r="BTG6" s="50"/>
      <c r="BTH6" s="50"/>
      <c r="BTI6" s="50"/>
      <c r="BTJ6" s="50"/>
      <c r="BTK6" s="50"/>
      <c r="BTL6" s="50"/>
      <c r="BTM6" s="50"/>
      <c r="BTN6" s="50"/>
      <c r="BTO6" s="50"/>
      <c r="BTP6" s="50"/>
      <c r="BTQ6" s="50"/>
      <c r="BTR6" s="50"/>
      <c r="BTS6" s="50"/>
      <c r="BTT6" s="50"/>
      <c r="BTU6" s="50"/>
      <c r="BTV6" s="50"/>
      <c r="BTW6" s="50"/>
      <c r="BTX6" s="50"/>
    </row>
    <row r="7" ht="15.75" customHeight="1">
      <c r="A7" s="8" t="s">
        <v>60</v>
      </c>
      <c r="B7" s="8" t="s">
        <v>36</v>
      </c>
      <c r="C7" s="8"/>
      <c r="D7" s="8"/>
      <c r="E7" s="8">
        <v>100.0</v>
      </c>
      <c r="F7" s="8" t="s">
        <v>78</v>
      </c>
      <c r="G7" s="8" t="s">
        <v>64</v>
      </c>
      <c r="H7" s="8"/>
      <c r="I7" s="8"/>
      <c r="J7" s="8"/>
      <c r="K7" s="8">
        <v>60.0</v>
      </c>
      <c r="L7" s="8">
        <v>60.0</v>
      </c>
      <c r="M7" s="8"/>
      <c r="N7" s="8"/>
      <c r="O7" s="8" t="s">
        <v>70</v>
      </c>
      <c r="V7" t="s">
        <v>79</v>
      </c>
      <c r="Z7" t="s">
        <v>67</v>
      </c>
      <c r="AD7" t="s">
        <v>66</v>
      </c>
      <c r="AE7">
        <v>100.0</v>
      </c>
      <c r="AF7" t="s">
        <v>60</v>
      </c>
      <c r="AH7" t="s">
        <v>80</v>
      </c>
      <c r="AI7">
        <v>1.0</v>
      </c>
      <c r="AP7" t="b">
        <v>1</v>
      </c>
      <c r="AQ7" t="b">
        <v>0</v>
      </c>
      <c r="AR7" t="b">
        <v>1</v>
      </c>
      <c r="BE7">
        <v>6000.0</v>
      </c>
      <c r="BF7">
        <v>6000.0</v>
      </c>
      <c r="BJ7">
        <v>100.0</v>
      </c>
      <c r="BM7" t="s">
        <v>67</v>
      </c>
      <c r="BO7" t="s">
        <v>71</v>
      </c>
      <c r="BT7" t="s">
        <v>34</v>
      </c>
      <c r="CK7" t="s">
        <v>65</v>
      </c>
      <c r="CL7">
        <v>1.0</v>
      </c>
      <c r="CM7" t="s">
        <v>34</v>
      </c>
      <c r="CN7" t="s">
        <v>69</v>
      </c>
      <c r="CX7" t="s">
        <v>60</v>
      </c>
      <c r="CY7" t="s">
        <v>60</v>
      </c>
      <c r="CZ7" t="s">
        <v>60</v>
      </c>
      <c r="DA7" t="s">
        <v>60</v>
      </c>
      <c r="DB7" t="s">
        <v>60</v>
      </c>
      <c r="DC7" t="s">
        <v>60</v>
      </c>
      <c r="DD7" t="s">
        <v>60</v>
      </c>
      <c r="DE7" t="s">
        <v>60</v>
      </c>
      <c r="DF7" t="s">
        <v>60</v>
      </c>
      <c r="DG7" t="s">
        <v>60</v>
      </c>
      <c r="DH7" t="s">
        <v>60</v>
      </c>
      <c r="DI7" t="s">
        <v>60</v>
      </c>
      <c r="DJ7" t="s">
        <v>60</v>
      </c>
      <c r="DK7" t="s">
        <v>60</v>
      </c>
      <c r="DL7" t="s">
        <v>60</v>
      </c>
      <c r="DM7" t="s">
        <v>60</v>
      </c>
      <c r="DN7" t="s">
        <v>60</v>
      </c>
      <c r="DO7" t="s">
        <v>60</v>
      </c>
      <c r="DP7" t="s">
        <v>60</v>
      </c>
      <c r="DQ7" t="s">
        <v>60</v>
      </c>
      <c r="DR7" t="s">
        <v>60</v>
      </c>
      <c r="DS7" t="s">
        <v>60</v>
      </c>
      <c r="DT7" t="s">
        <v>60</v>
      </c>
      <c r="DU7" t="s">
        <v>60</v>
      </c>
      <c r="DV7" t="s">
        <v>60</v>
      </c>
      <c r="DW7" t="s">
        <v>60</v>
      </c>
      <c r="DX7" t="s">
        <v>60</v>
      </c>
      <c r="DY7" t="s">
        <v>60</v>
      </c>
      <c r="DZ7" t="s">
        <v>60</v>
      </c>
      <c r="EA7" t="s">
        <v>60</v>
      </c>
      <c r="EB7" t="s">
        <v>60</v>
      </c>
      <c r="EC7" t="s">
        <v>60</v>
      </c>
      <c r="ED7" t="s">
        <v>60</v>
      </c>
      <c r="EE7" t="s">
        <v>60</v>
      </c>
      <c r="EF7" t="s">
        <v>60</v>
      </c>
      <c r="EG7" t="s">
        <v>60</v>
      </c>
      <c r="EH7" t="s">
        <v>60</v>
      </c>
      <c r="EI7" t="s">
        <v>60</v>
      </c>
      <c r="EJ7" t="s">
        <v>60</v>
      </c>
      <c r="EK7" t="s">
        <v>60</v>
      </c>
      <c r="EL7" t="s">
        <v>60</v>
      </c>
      <c r="EM7" t="s">
        <v>60</v>
      </c>
      <c r="EN7" t="s">
        <v>60</v>
      </c>
      <c r="EO7" t="s">
        <v>60</v>
      </c>
      <c r="EP7" t="s">
        <v>60</v>
      </c>
      <c r="EQ7" t="s">
        <v>60</v>
      </c>
      <c r="ER7" t="s">
        <v>60</v>
      </c>
      <c r="ES7" t="s">
        <v>60</v>
      </c>
      <c r="ET7" t="s">
        <v>60</v>
      </c>
      <c r="EU7" t="s">
        <v>60</v>
      </c>
      <c r="EV7" t="s">
        <v>60</v>
      </c>
      <c r="EW7" t="s">
        <v>60</v>
      </c>
      <c r="EX7" t="s">
        <v>60</v>
      </c>
      <c r="EY7" t="s">
        <v>60</v>
      </c>
      <c r="EZ7" t="s">
        <v>60</v>
      </c>
      <c r="FA7" t="s">
        <v>60</v>
      </c>
      <c r="FB7" t="s">
        <v>60</v>
      </c>
      <c r="FC7" t="s">
        <v>60</v>
      </c>
      <c r="FD7" t="s">
        <v>60</v>
      </c>
      <c r="FE7" t="s">
        <v>60</v>
      </c>
      <c r="FF7" t="s">
        <v>60</v>
      </c>
      <c r="FG7" t="s">
        <v>60</v>
      </c>
      <c r="FH7" t="s">
        <v>60</v>
      </c>
      <c r="FI7" t="s">
        <v>60</v>
      </c>
      <c r="FJ7" t="s">
        <v>60</v>
      </c>
      <c r="FK7" t="s">
        <v>60</v>
      </c>
      <c r="FL7" t="s">
        <v>60</v>
      </c>
      <c r="FM7" t="s">
        <v>60</v>
      </c>
      <c r="FN7" t="s">
        <v>60</v>
      </c>
      <c r="FO7" t="s">
        <v>60</v>
      </c>
      <c r="FP7" t="s">
        <v>60</v>
      </c>
      <c r="FQ7" t="s">
        <v>60</v>
      </c>
      <c r="AML7" s="36" t="str">
        <f t="shared" ref="AML7:AND7" si="2">iferror(INDEX('Input(Other)'!$A:$FF,MATCH($A7,'Input(Other)'!$A$1:$A$210,0),MATCH(AML$1,'Input(Other)'!$1:$1,0)),"")</f>
        <v/>
      </c>
      <c r="AMM7" s="36" t="str">
        <f t="shared" si="2"/>
        <v/>
      </c>
      <c r="AMN7" s="36" t="str">
        <f t="shared" si="2"/>
        <v/>
      </c>
      <c r="AMO7" s="36" t="str">
        <f t="shared" si="2"/>
        <v/>
      </c>
      <c r="AMP7" s="36" t="str">
        <f t="shared" si="2"/>
        <v/>
      </c>
      <c r="AMQ7" s="36" t="str">
        <f t="shared" si="2"/>
        <v/>
      </c>
      <c r="AMR7" s="36" t="str">
        <f t="shared" si="2"/>
        <v/>
      </c>
      <c r="AMS7" s="36" t="str">
        <f t="shared" si="2"/>
        <v/>
      </c>
      <c r="AMT7" s="36" t="str">
        <f t="shared" si="2"/>
        <v/>
      </c>
      <c r="AMU7" s="36" t="str">
        <f t="shared" si="2"/>
        <v/>
      </c>
      <c r="AMV7" s="36" t="str">
        <f t="shared" si="2"/>
        <v/>
      </c>
      <c r="AMW7" s="36" t="str">
        <f t="shared" si="2"/>
        <v/>
      </c>
      <c r="AMX7" s="36" t="str">
        <f t="shared" si="2"/>
        <v/>
      </c>
      <c r="AMY7" s="36" t="str">
        <f t="shared" si="2"/>
        <v/>
      </c>
      <c r="AMZ7" s="36" t="str">
        <f t="shared" si="2"/>
        <v/>
      </c>
      <c r="ANA7" s="36" t="str">
        <f t="shared" si="2"/>
        <v/>
      </c>
      <c r="ANB7" s="36" t="str">
        <f t="shared" si="2"/>
        <v/>
      </c>
      <c r="ANC7" s="36" t="str">
        <f t="shared" si="2"/>
        <v/>
      </c>
      <c r="AND7" s="36" t="str">
        <f t="shared" si="2"/>
        <v/>
      </c>
      <c r="ANE7" s="50"/>
      <c r="ANF7" s="50"/>
      <c r="ANG7" s="50"/>
      <c r="ANH7" s="50"/>
      <c r="ANI7" s="50"/>
      <c r="ANJ7" s="50"/>
      <c r="ANK7" s="50"/>
      <c r="ANL7" s="50"/>
      <c r="ANM7" s="50"/>
      <c r="ANN7" s="50"/>
      <c r="ANO7" s="50"/>
      <c r="ANP7" s="50"/>
      <c r="ANQ7" s="50"/>
      <c r="ANR7" s="50"/>
      <c r="ANS7" s="50"/>
      <c r="ANT7" s="50"/>
      <c r="ANU7" s="50"/>
      <c r="ANV7" s="50"/>
      <c r="ANW7" s="50"/>
      <c r="ANX7" s="50"/>
      <c r="ANY7" s="50"/>
      <c r="ANZ7" s="50"/>
      <c r="AOA7" s="50"/>
      <c r="AOB7" s="50"/>
      <c r="AOC7" s="50"/>
      <c r="AOD7" s="50"/>
      <c r="AOE7" s="50"/>
      <c r="AOF7" s="50"/>
      <c r="AOG7" s="50"/>
      <c r="AOH7" s="50"/>
      <c r="AOI7" s="50"/>
      <c r="AOJ7" s="50"/>
      <c r="AOK7" s="50"/>
      <c r="AOL7" s="50"/>
      <c r="AOM7" s="50"/>
      <c r="AON7" s="50"/>
      <c r="AOO7" s="50"/>
      <c r="AOP7" s="50"/>
      <c r="AOQ7" s="50"/>
      <c r="AOR7" s="50"/>
      <c r="AOS7" s="50"/>
      <c r="AOT7" s="50"/>
      <c r="AOU7" s="50"/>
      <c r="AOV7" s="50"/>
      <c r="AOW7" s="50"/>
      <c r="AOX7" s="50"/>
      <c r="AOY7" s="50"/>
      <c r="AOZ7" s="50"/>
      <c r="APA7" s="50"/>
      <c r="APB7" s="50"/>
      <c r="APC7" s="50"/>
      <c r="APD7" s="50"/>
      <c r="APE7" s="50"/>
      <c r="APF7" s="50"/>
      <c r="APG7" s="50"/>
      <c r="APH7" s="50"/>
      <c r="API7" s="50"/>
      <c r="APJ7" s="50"/>
      <c r="APK7" s="50"/>
      <c r="APL7" s="50"/>
      <c r="APM7" s="50"/>
      <c r="APN7" s="50"/>
      <c r="APO7" s="50"/>
      <c r="APP7" s="50"/>
      <c r="APQ7" s="50"/>
      <c r="APR7" s="50"/>
      <c r="APS7" s="50"/>
      <c r="APT7" s="50"/>
      <c r="APU7" s="50"/>
      <c r="APV7" s="50"/>
      <c r="APW7" s="50"/>
      <c r="APX7" s="50"/>
      <c r="APY7" s="50"/>
      <c r="APZ7" s="50"/>
      <c r="AQA7" s="50"/>
      <c r="AQB7" s="50"/>
      <c r="AQC7" s="50"/>
      <c r="AQD7" s="50"/>
      <c r="AQE7" s="50"/>
      <c r="AQF7" s="50"/>
      <c r="AQG7" s="50"/>
      <c r="AQH7" s="50"/>
      <c r="AQI7" s="50"/>
      <c r="AQJ7" s="50"/>
      <c r="AQK7" s="50"/>
      <c r="AQL7" s="50"/>
      <c r="AQM7" s="50"/>
      <c r="AQN7" s="50"/>
      <c r="AQO7" s="50"/>
      <c r="AQP7" s="50"/>
      <c r="AQQ7" s="50"/>
      <c r="AQR7" s="50"/>
      <c r="AQS7" s="50"/>
      <c r="AQT7" s="50"/>
      <c r="AQU7" s="50"/>
      <c r="AQV7" s="50"/>
      <c r="AQW7" s="50"/>
      <c r="AQX7" s="50"/>
      <c r="AQY7" s="50"/>
      <c r="AQZ7" s="50"/>
      <c r="ARA7" s="50"/>
      <c r="ARB7" s="50"/>
      <c r="ARC7" s="50"/>
      <c r="ARD7" s="50"/>
      <c r="ARE7" s="50"/>
      <c r="ARF7" s="50"/>
      <c r="ARG7" s="50"/>
      <c r="ARH7" s="50"/>
      <c r="ARI7" s="50"/>
      <c r="ARJ7" s="50"/>
      <c r="ARK7" s="50"/>
      <c r="ARL7" s="50"/>
      <c r="ARM7" s="50"/>
      <c r="ARN7" s="50"/>
      <c r="ARO7" s="50"/>
      <c r="ARP7" s="50"/>
      <c r="ARQ7" s="50"/>
      <c r="ARR7" s="50"/>
      <c r="ARS7" s="50"/>
      <c r="ART7" s="50"/>
      <c r="ARU7" s="50"/>
      <c r="ARV7" s="50"/>
      <c r="ARW7" s="50"/>
      <c r="ARX7" s="50"/>
      <c r="ARY7" s="50"/>
      <c r="ARZ7" s="50"/>
      <c r="ASA7" s="50"/>
      <c r="ASB7" s="50"/>
      <c r="ASC7" s="50"/>
      <c r="ASD7" s="50"/>
      <c r="ASE7" s="50"/>
      <c r="ASF7" s="50"/>
      <c r="ASG7" s="50"/>
      <c r="ASH7" s="50"/>
      <c r="ASI7" s="50"/>
      <c r="ASJ7" s="50"/>
      <c r="ASK7" s="50"/>
      <c r="ASL7" s="50"/>
      <c r="ASM7" s="50"/>
      <c r="ASN7" s="50"/>
      <c r="ASO7" s="50"/>
      <c r="ASP7" s="50"/>
      <c r="ASQ7" s="50"/>
      <c r="ASR7" s="50"/>
      <c r="ASS7" s="50"/>
      <c r="AST7" s="50"/>
      <c r="ASU7" s="50"/>
      <c r="ASV7" s="50"/>
      <c r="ASW7" s="50"/>
      <c r="ASX7" s="50"/>
      <c r="ASY7" s="50"/>
      <c r="ASZ7" s="50"/>
      <c r="ATA7" s="50"/>
      <c r="ATB7" s="50"/>
      <c r="ATC7" s="50"/>
      <c r="ATD7" s="50"/>
      <c r="ATE7" s="50"/>
      <c r="ATF7" s="50"/>
      <c r="ATG7" s="50"/>
      <c r="ATH7" s="50"/>
      <c r="ATI7" s="50"/>
      <c r="ATJ7" s="50"/>
      <c r="ATK7" s="50"/>
      <c r="ATL7" s="50"/>
      <c r="ATM7" s="50"/>
      <c r="ATN7" s="50"/>
      <c r="ATO7" s="50"/>
      <c r="ATP7" s="50"/>
      <c r="ATQ7" s="50"/>
      <c r="ATR7" s="50"/>
      <c r="ATS7" s="50"/>
      <c r="ATT7" s="50"/>
      <c r="ATU7" s="50"/>
      <c r="ATV7" s="50"/>
      <c r="ATW7" s="50"/>
      <c r="ATX7" s="50"/>
      <c r="ATY7" s="50"/>
      <c r="ATZ7" s="50"/>
      <c r="AUA7" s="50"/>
      <c r="AUB7" s="50"/>
      <c r="AUC7" s="50"/>
      <c r="AUD7" s="50"/>
      <c r="AUE7" s="50"/>
      <c r="AUF7" s="50"/>
      <c r="AUG7" s="50"/>
      <c r="AUH7" s="50"/>
      <c r="AUI7" s="50"/>
      <c r="AUJ7" s="50"/>
      <c r="AUK7" s="50"/>
      <c r="AUL7" s="50"/>
      <c r="AUM7" s="50"/>
      <c r="AUN7" s="50"/>
      <c r="AUO7" s="50"/>
      <c r="AUP7" s="50"/>
      <c r="AUQ7" s="50"/>
      <c r="AUR7" s="50"/>
      <c r="AUS7" s="50"/>
      <c r="AUT7" s="50"/>
      <c r="AUU7" s="50"/>
      <c r="AUV7" s="50"/>
      <c r="AUW7" s="50"/>
      <c r="AUX7" s="50"/>
      <c r="AUY7" s="50"/>
      <c r="AUZ7" s="50"/>
      <c r="AVA7" s="50"/>
      <c r="AVB7" s="50"/>
      <c r="AVC7" s="50"/>
      <c r="AVD7" s="50"/>
      <c r="AVE7" s="50"/>
      <c r="AVF7" s="50"/>
      <c r="AVG7" s="50"/>
      <c r="AVH7" s="50"/>
      <c r="AVI7" s="50"/>
      <c r="AVJ7" s="50"/>
      <c r="AVK7" s="50"/>
      <c r="AVL7" s="50"/>
      <c r="AVM7" s="50"/>
      <c r="AVN7" s="50"/>
      <c r="AVO7" s="50"/>
      <c r="AVP7" s="50"/>
      <c r="AVQ7" s="50"/>
      <c r="AVR7" s="50"/>
      <c r="AVS7" s="50"/>
      <c r="AVT7" s="50"/>
      <c r="AVU7" s="50"/>
      <c r="AVV7" s="50"/>
      <c r="AVW7" s="50"/>
      <c r="AVX7" s="50"/>
      <c r="AVY7" s="50"/>
      <c r="AVZ7" s="50"/>
      <c r="AWA7" s="50"/>
      <c r="AWB7" s="50"/>
      <c r="AWC7" s="50"/>
      <c r="AWD7" s="50"/>
      <c r="AWE7" s="50"/>
      <c r="AWF7" s="50"/>
      <c r="AWG7" s="50"/>
      <c r="AWH7" s="50"/>
      <c r="AWI7" s="50"/>
      <c r="AWJ7" s="50"/>
      <c r="AWK7" s="50"/>
      <c r="AWL7" s="50"/>
      <c r="AWM7" s="50"/>
      <c r="AWN7" s="50"/>
      <c r="AWO7" s="50"/>
      <c r="AWP7" s="50"/>
      <c r="AWQ7" s="50"/>
      <c r="AWR7" s="50"/>
      <c r="AWS7" s="50"/>
      <c r="AWT7" s="50"/>
      <c r="AWU7" s="50"/>
      <c r="AWV7" s="50"/>
      <c r="AWW7" s="50"/>
      <c r="AWX7" s="50"/>
      <c r="AWY7" s="50"/>
      <c r="AWZ7" s="50"/>
      <c r="AXA7" s="50"/>
      <c r="AXB7" s="50"/>
      <c r="AXC7" s="50"/>
      <c r="AXD7" s="50"/>
      <c r="AXE7" s="50"/>
      <c r="AXF7" s="50"/>
      <c r="AXG7" s="50"/>
      <c r="AXH7" s="50"/>
      <c r="AXI7" s="50"/>
      <c r="AXJ7" s="50"/>
      <c r="AXK7" s="50"/>
      <c r="AXL7" s="50"/>
      <c r="AXM7" s="50"/>
      <c r="AXN7" s="50"/>
      <c r="AXO7" s="50"/>
      <c r="AXP7" s="50"/>
      <c r="AXQ7" s="50"/>
      <c r="AXR7" s="50"/>
      <c r="AXS7" s="50"/>
      <c r="AXT7" s="50"/>
      <c r="AXU7" s="50"/>
      <c r="AXV7" s="50"/>
      <c r="AXW7" s="50"/>
      <c r="AXX7" s="50"/>
      <c r="AXY7" s="50"/>
      <c r="AXZ7" s="50"/>
      <c r="AYA7" s="50"/>
      <c r="AYB7" s="50"/>
      <c r="AYC7" s="50"/>
      <c r="AYD7" s="50"/>
      <c r="AYE7" s="50"/>
      <c r="AYF7" s="50"/>
      <c r="AYG7" s="50"/>
      <c r="AYH7" s="50"/>
      <c r="AYI7" s="50"/>
      <c r="AYJ7" s="50"/>
      <c r="AYK7" s="50"/>
      <c r="AYL7" s="50"/>
      <c r="AYM7" s="50"/>
      <c r="AYN7" s="50"/>
      <c r="AYO7" s="50"/>
      <c r="AYP7" s="50"/>
      <c r="AYQ7" s="50"/>
      <c r="AYR7" s="50"/>
      <c r="AYS7" s="50"/>
      <c r="AYT7" s="50"/>
      <c r="AYU7" s="50"/>
      <c r="AYV7" s="50"/>
      <c r="AYW7" s="50"/>
      <c r="AYX7" s="50"/>
      <c r="AYY7" s="50"/>
      <c r="AYZ7" s="50"/>
      <c r="AZA7" s="50"/>
      <c r="AZB7" s="50"/>
      <c r="AZC7" s="50"/>
      <c r="AZD7" s="50"/>
      <c r="AZE7" s="50"/>
      <c r="AZF7" s="50"/>
      <c r="AZG7" s="50"/>
      <c r="AZH7" s="50"/>
      <c r="AZI7" s="50"/>
      <c r="AZJ7" s="50"/>
      <c r="AZK7" s="50"/>
      <c r="AZL7" s="50"/>
      <c r="AZM7" s="50"/>
      <c r="AZN7" s="50"/>
      <c r="AZO7" s="50"/>
      <c r="AZP7" s="50"/>
      <c r="AZQ7" s="50"/>
      <c r="AZR7" s="50"/>
      <c r="AZS7" s="50"/>
      <c r="AZT7" s="50"/>
      <c r="AZU7" s="50"/>
      <c r="AZV7" s="50"/>
      <c r="AZW7" s="50"/>
      <c r="AZX7" s="50"/>
      <c r="AZY7" s="50"/>
      <c r="AZZ7" s="50"/>
      <c r="BAA7" s="50"/>
      <c r="BAB7" s="50"/>
      <c r="BAC7" s="50"/>
      <c r="BAD7" s="50"/>
      <c r="BAE7" s="50"/>
      <c r="BAF7" s="50"/>
      <c r="BAG7" s="50"/>
      <c r="BAH7" s="50"/>
      <c r="BAI7" s="50"/>
      <c r="BAJ7" s="50"/>
      <c r="BAK7" s="50"/>
      <c r="BAL7" s="50"/>
      <c r="BAM7" s="50"/>
      <c r="BAN7" s="50"/>
      <c r="BAO7" s="50"/>
      <c r="BAP7" s="50"/>
      <c r="BAQ7" s="50"/>
      <c r="BAR7" s="50"/>
      <c r="BAS7" s="50"/>
      <c r="BAT7" s="50"/>
      <c r="BAU7" s="50"/>
      <c r="BAV7" s="50"/>
      <c r="BAW7" s="50"/>
      <c r="BAX7" s="50"/>
      <c r="BAY7" s="50"/>
      <c r="BAZ7" s="50"/>
      <c r="BBA7" s="50"/>
      <c r="BBB7" s="50"/>
      <c r="BBC7" s="50"/>
      <c r="BBD7" s="50"/>
      <c r="BBE7" s="50"/>
      <c r="BBF7" s="50"/>
      <c r="BBG7" s="50"/>
      <c r="BBH7" s="50"/>
      <c r="BBI7" s="50"/>
      <c r="BBJ7" s="50"/>
      <c r="BBK7" s="50"/>
      <c r="BBL7" s="50"/>
      <c r="BBM7" s="50"/>
      <c r="BBN7" s="50"/>
      <c r="BBO7" s="50"/>
      <c r="BBP7" s="50"/>
      <c r="BBQ7" s="50"/>
      <c r="BBR7" s="50"/>
      <c r="BBS7" s="50"/>
      <c r="BBT7" s="50"/>
      <c r="BBU7" s="50"/>
      <c r="BBV7" s="50"/>
      <c r="BBW7" s="50"/>
      <c r="BBX7" s="50"/>
      <c r="BBY7" s="50"/>
      <c r="BBZ7" s="50"/>
      <c r="BCA7" s="50"/>
      <c r="BCB7" s="50"/>
      <c r="BCC7" s="50"/>
      <c r="BCD7" s="50"/>
      <c r="BCE7" s="50"/>
      <c r="BCF7" s="50"/>
      <c r="BCG7" s="50"/>
      <c r="BCH7" s="50"/>
      <c r="BCI7" s="50"/>
      <c r="BCJ7" s="50"/>
      <c r="BCK7" s="50"/>
      <c r="BCL7" s="50"/>
      <c r="BCM7" s="50"/>
      <c r="BCN7" s="50"/>
      <c r="BCO7" s="50"/>
      <c r="BCP7" s="50"/>
      <c r="BCQ7" s="50"/>
      <c r="BCR7" s="50"/>
      <c r="BCS7" s="50"/>
      <c r="BCT7" s="50"/>
      <c r="BCU7" s="50"/>
      <c r="BCV7" s="50"/>
      <c r="BCW7" s="50"/>
      <c r="BCX7" s="50"/>
      <c r="BCY7" s="50"/>
      <c r="BCZ7" s="50"/>
      <c r="BDA7" s="50"/>
      <c r="BDB7" s="50"/>
      <c r="BDC7" s="50"/>
      <c r="BDD7" s="50"/>
      <c r="BDE7" s="50"/>
      <c r="BDF7" s="50"/>
      <c r="BDG7" s="50"/>
      <c r="BDH7" s="50"/>
      <c r="BDI7" s="50"/>
      <c r="BDJ7" s="50"/>
      <c r="BDK7" s="50"/>
      <c r="BDL7" s="50"/>
      <c r="BDM7" s="50"/>
      <c r="BDN7" s="50"/>
      <c r="BDO7" s="50"/>
      <c r="BDP7" s="50"/>
      <c r="BDQ7" s="50"/>
      <c r="BDR7" s="50"/>
      <c r="BDS7" s="50"/>
      <c r="BDT7" s="50"/>
      <c r="BDU7" s="50"/>
      <c r="BDV7" s="50"/>
      <c r="BDW7" s="50"/>
      <c r="BDX7" s="50"/>
      <c r="BDY7" s="50"/>
      <c r="BDZ7" s="50"/>
      <c r="BEA7" s="50"/>
      <c r="BEB7" s="50"/>
      <c r="BEC7" s="50"/>
      <c r="BED7" s="50"/>
      <c r="BEE7" s="50"/>
      <c r="BEF7" s="50"/>
      <c r="BEG7" s="50"/>
      <c r="BEH7" s="50"/>
      <c r="BEI7" s="50"/>
      <c r="BEJ7" s="50"/>
      <c r="BEK7" s="50"/>
      <c r="BEL7" s="50"/>
      <c r="BEM7" s="50"/>
      <c r="BEN7" s="50"/>
      <c r="BEO7" s="50"/>
      <c r="BEP7" s="50"/>
      <c r="BEQ7" s="50"/>
      <c r="BER7" s="50"/>
      <c r="BES7" s="50"/>
      <c r="BET7" s="50"/>
      <c r="BEU7" s="50"/>
      <c r="BEV7" s="50"/>
      <c r="BEW7" s="50"/>
      <c r="BEX7" s="50"/>
      <c r="BEY7" s="50"/>
      <c r="BEZ7" s="50"/>
      <c r="BFA7" s="50"/>
      <c r="BFB7" s="50"/>
      <c r="BFC7" s="50"/>
      <c r="BFD7" s="50"/>
      <c r="BFE7" s="50"/>
      <c r="BFF7" s="50"/>
      <c r="BFG7" s="50"/>
      <c r="BFH7" s="50"/>
      <c r="BFI7" s="50"/>
      <c r="BFJ7" s="50"/>
      <c r="BFK7" s="50"/>
      <c r="BFL7" s="50"/>
      <c r="BFM7" s="50"/>
      <c r="BFN7" s="50"/>
      <c r="BFO7" s="50"/>
      <c r="BFP7" s="50"/>
      <c r="BFQ7" s="50"/>
      <c r="BFR7" s="50"/>
      <c r="BFS7" s="50"/>
      <c r="BFT7" s="50"/>
      <c r="BFU7" s="50"/>
      <c r="BFV7" s="50"/>
      <c r="BFW7" s="50"/>
      <c r="BFX7" s="50"/>
      <c r="BFY7" s="50"/>
      <c r="BFZ7" s="50"/>
      <c r="BGA7" s="50"/>
      <c r="BGB7" s="50"/>
      <c r="BGC7" s="50"/>
      <c r="BGD7" s="50"/>
      <c r="BGE7" s="50"/>
      <c r="BGF7" s="50"/>
      <c r="BGG7" s="50"/>
      <c r="BGH7" s="50"/>
      <c r="BGI7" s="50"/>
      <c r="BGJ7" s="50"/>
      <c r="BGK7" s="50"/>
      <c r="BGL7" s="50"/>
      <c r="BGM7" s="50"/>
      <c r="BGN7" s="50"/>
      <c r="BGO7" s="50"/>
      <c r="BGP7" s="50"/>
      <c r="BGQ7" s="50"/>
      <c r="BGR7" s="50"/>
      <c r="BGS7" s="50"/>
      <c r="BGT7" s="50"/>
      <c r="BGU7" s="50"/>
      <c r="BGV7" s="50"/>
      <c r="BGW7" s="50"/>
      <c r="BGX7" s="50"/>
      <c r="BGY7" s="50"/>
      <c r="BGZ7" s="50"/>
      <c r="BHA7" s="50"/>
      <c r="BHB7" s="50"/>
      <c r="BHC7" s="50"/>
      <c r="BHD7" s="50"/>
      <c r="BHE7" s="50"/>
      <c r="BHF7" s="50"/>
      <c r="BHG7" s="50"/>
      <c r="BHH7" s="50"/>
      <c r="BHI7" s="50"/>
      <c r="BHJ7" s="50"/>
      <c r="BHK7" s="50"/>
      <c r="BHL7" s="50"/>
      <c r="BHM7" s="50"/>
      <c r="BHN7" s="50"/>
      <c r="BHO7" s="50"/>
      <c r="BHP7" s="50"/>
      <c r="BHQ7" s="50"/>
      <c r="BHR7" s="50"/>
      <c r="BHS7" s="50"/>
      <c r="BHT7" s="50"/>
      <c r="BHU7" s="50"/>
      <c r="BHV7" s="50"/>
      <c r="BHW7" s="50"/>
      <c r="BHX7" s="50"/>
      <c r="BHY7" s="50"/>
      <c r="BHZ7" s="50"/>
      <c r="BIA7" s="50"/>
      <c r="BIB7" s="50"/>
      <c r="BIC7" s="50"/>
      <c r="BID7" s="50"/>
      <c r="BIE7" s="50"/>
      <c r="BIF7" s="50"/>
      <c r="BIG7" s="50"/>
      <c r="BIH7" s="50"/>
      <c r="BII7" s="50"/>
      <c r="BIJ7" s="50"/>
      <c r="BIK7" s="50"/>
      <c r="BIL7" s="50"/>
      <c r="BIM7" s="50"/>
      <c r="BIN7" s="50"/>
      <c r="BIO7" s="50"/>
      <c r="BIP7" s="50"/>
      <c r="BIQ7" s="50"/>
      <c r="BIR7" s="50"/>
      <c r="BIS7" s="50"/>
      <c r="BIT7" s="50"/>
      <c r="BIU7" s="50"/>
      <c r="BIV7" s="50"/>
      <c r="BIW7" s="50"/>
      <c r="BIX7" s="50"/>
      <c r="BIY7" s="50"/>
      <c r="BIZ7" s="50"/>
      <c r="BJA7" s="50"/>
      <c r="BJB7" s="50"/>
      <c r="BJC7" s="50"/>
      <c r="BJD7" s="50"/>
      <c r="BJE7" s="50"/>
      <c r="BJF7" s="50"/>
      <c r="BJG7" s="50"/>
      <c r="BJH7" s="50"/>
      <c r="BJI7" s="50"/>
      <c r="BJJ7" s="50"/>
      <c r="BJK7" s="50"/>
      <c r="BJL7" s="50"/>
      <c r="BJM7" s="50"/>
      <c r="BJN7" s="50"/>
      <c r="BJO7" s="50"/>
      <c r="BJP7" s="50"/>
      <c r="BJQ7" s="50"/>
      <c r="BJR7" s="50"/>
      <c r="BJS7" s="50"/>
      <c r="BJT7" s="50"/>
      <c r="BJU7" s="50"/>
      <c r="BJV7" s="50"/>
      <c r="BJW7" s="50"/>
      <c r="BJX7" s="50"/>
      <c r="BJY7" s="50"/>
      <c r="BJZ7" s="50"/>
      <c r="BKA7" s="50"/>
      <c r="BKB7" s="50"/>
      <c r="BKC7" s="50"/>
      <c r="BKD7" s="50"/>
      <c r="BKE7" s="50"/>
      <c r="BKF7" s="50"/>
      <c r="BKG7" s="50"/>
      <c r="BKH7" s="50"/>
      <c r="BKI7" s="50"/>
      <c r="BKJ7" s="50"/>
      <c r="BKK7" s="50"/>
      <c r="BKL7" s="50"/>
      <c r="BKM7" s="50"/>
      <c r="BKN7" s="50"/>
      <c r="BKO7" s="50"/>
      <c r="BKP7" s="50"/>
      <c r="BKQ7" s="50"/>
      <c r="BKR7" s="50"/>
      <c r="BKS7" s="50"/>
      <c r="BKT7" s="50"/>
      <c r="BKU7" s="50"/>
      <c r="BKV7" s="50"/>
      <c r="BKW7" s="50"/>
      <c r="BKX7" s="50"/>
      <c r="BKY7" s="50"/>
      <c r="BKZ7" s="50"/>
      <c r="BLA7" s="50"/>
      <c r="BLB7" s="50"/>
      <c r="BLC7" s="50"/>
      <c r="BLD7" s="50"/>
      <c r="BLE7" s="50"/>
      <c r="BLF7" s="50"/>
      <c r="BLG7" s="50"/>
      <c r="BLH7" s="50"/>
      <c r="BLI7" s="50"/>
      <c r="BLJ7" s="50"/>
      <c r="BLK7" s="50"/>
      <c r="BLL7" s="50"/>
      <c r="BLM7" s="50"/>
      <c r="BLN7" s="50"/>
      <c r="BLO7" s="50"/>
      <c r="BLP7" s="50"/>
      <c r="BLQ7" s="50"/>
      <c r="BLR7" s="50"/>
      <c r="BLS7" s="50"/>
      <c r="BLT7" s="50"/>
      <c r="BLU7" s="50"/>
      <c r="BLV7" s="50"/>
      <c r="BLW7" s="50"/>
      <c r="BLX7" s="50"/>
      <c r="BLY7" s="50"/>
      <c r="BLZ7" s="50"/>
      <c r="BMA7" s="50"/>
      <c r="BMB7" s="50"/>
      <c r="BMC7" s="50"/>
      <c r="BMD7" s="50"/>
      <c r="BME7" s="50"/>
      <c r="BMF7" s="50"/>
      <c r="BMG7" s="50"/>
      <c r="BMH7" s="50"/>
      <c r="BMI7" s="50"/>
      <c r="BMJ7" s="50"/>
      <c r="BMK7" s="50"/>
      <c r="BML7" s="50"/>
      <c r="BMM7" s="50"/>
      <c r="BMN7" s="50"/>
      <c r="BMO7" s="50"/>
      <c r="BMP7" s="50"/>
      <c r="BMQ7" s="50"/>
      <c r="BMR7" s="50"/>
      <c r="BMS7" s="50"/>
      <c r="BMT7" s="50"/>
      <c r="BMU7" s="50"/>
      <c r="BMV7" s="50"/>
      <c r="BMW7" s="50"/>
      <c r="BMX7" s="50"/>
      <c r="BMY7" s="50"/>
      <c r="BMZ7" s="50"/>
      <c r="BNA7" s="50"/>
      <c r="BNB7" s="50"/>
      <c r="BNC7" s="50"/>
      <c r="BND7" s="50"/>
      <c r="BNE7" s="50"/>
      <c r="BNF7" s="50"/>
      <c r="BNG7" s="50"/>
      <c r="BNH7" s="50"/>
      <c r="BNI7" s="50"/>
      <c r="BNJ7" s="50"/>
      <c r="BNK7" s="50"/>
      <c r="BNL7" s="50"/>
      <c r="BNM7" s="50"/>
      <c r="BNN7" s="50"/>
      <c r="BNO7" s="50"/>
      <c r="BNP7" s="50"/>
      <c r="BNQ7" s="50"/>
      <c r="BNR7" s="50"/>
      <c r="BNS7" s="50"/>
      <c r="BNT7" s="50"/>
      <c r="BNU7" s="50"/>
      <c r="BNV7" s="50"/>
      <c r="BNW7" s="50"/>
      <c r="BNX7" s="50"/>
      <c r="BNY7" s="50"/>
      <c r="BNZ7" s="50"/>
      <c r="BOA7" s="50"/>
      <c r="BOB7" s="50"/>
      <c r="BOC7" s="50"/>
      <c r="BOD7" s="50"/>
      <c r="BOE7" s="50"/>
      <c r="BOF7" s="50"/>
      <c r="BOG7" s="50"/>
      <c r="BOH7" s="50"/>
      <c r="BOI7" s="50"/>
      <c r="BOJ7" s="50"/>
      <c r="BOK7" s="50"/>
      <c r="BOL7" s="50"/>
      <c r="BOM7" s="50"/>
      <c r="BON7" s="50"/>
      <c r="BOO7" s="50"/>
      <c r="BOP7" s="50"/>
      <c r="BOQ7" s="50"/>
      <c r="BOR7" s="50"/>
      <c r="BOS7" s="50"/>
      <c r="BOT7" s="50"/>
      <c r="BOU7" s="50"/>
      <c r="BOV7" s="50"/>
      <c r="BOW7" s="50"/>
      <c r="BOX7" s="50"/>
      <c r="BOY7" s="50"/>
      <c r="BOZ7" s="50"/>
      <c r="BPA7" s="50"/>
      <c r="BPB7" s="50"/>
      <c r="BPC7" s="50"/>
      <c r="BPD7" s="50"/>
      <c r="BPE7" s="50"/>
      <c r="BPF7" s="50"/>
      <c r="BPG7" s="50"/>
      <c r="BPH7" s="50"/>
      <c r="BPI7" s="50"/>
      <c r="BPJ7" s="50"/>
      <c r="BPK7" s="50"/>
      <c r="BPL7" s="50"/>
      <c r="BPM7" s="50"/>
      <c r="BPN7" s="50"/>
      <c r="BPO7" s="50"/>
      <c r="BPP7" s="50"/>
      <c r="BPQ7" s="50"/>
      <c r="BPR7" s="50"/>
      <c r="BPS7" s="50"/>
      <c r="BPT7" s="50"/>
      <c r="BPU7" s="50"/>
      <c r="BPV7" s="50"/>
      <c r="BPW7" s="50"/>
      <c r="BPX7" s="50"/>
      <c r="BPY7" s="50"/>
      <c r="BPZ7" s="50"/>
      <c r="BQA7" s="50"/>
      <c r="BQB7" s="50"/>
      <c r="BQC7" s="50"/>
      <c r="BQD7" s="50"/>
      <c r="BQE7" s="50"/>
      <c r="BQF7" s="50"/>
      <c r="BQG7" s="50"/>
      <c r="BQH7" s="50"/>
      <c r="BQI7" s="50"/>
      <c r="BQJ7" s="50"/>
      <c r="BQK7" s="50"/>
      <c r="BQL7" s="50"/>
      <c r="BQM7" s="50"/>
      <c r="BQN7" s="50"/>
      <c r="BQO7" s="50"/>
      <c r="BQP7" s="50"/>
      <c r="BQQ7" s="50"/>
      <c r="BQR7" s="50"/>
      <c r="BQS7" s="50"/>
      <c r="BQT7" s="50"/>
      <c r="BQU7" s="50"/>
      <c r="BQV7" s="50"/>
      <c r="BQW7" s="50"/>
      <c r="BQX7" s="50"/>
      <c r="BQY7" s="50"/>
      <c r="BQZ7" s="50"/>
      <c r="BRA7" s="50"/>
      <c r="BRB7" s="50"/>
      <c r="BRC7" s="50"/>
      <c r="BRD7" s="50"/>
      <c r="BRE7" s="50"/>
      <c r="BRF7" s="50"/>
      <c r="BRG7" s="50"/>
      <c r="BRH7" s="50"/>
      <c r="BRI7" s="50"/>
      <c r="BRJ7" s="50"/>
      <c r="BRK7" s="50"/>
      <c r="BRL7" s="50"/>
      <c r="BRM7" s="50"/>
      <c r="BRN7" s="50"/>
      <c r="BRO7" s="50"/>
      <c r="BRP7" s="50"/>
      <c r="BRQ7" s="50"/>
      <c r="BRR7" s="50"/>
      <c r="BRS7" s="50"/>
      <c r="BRT7" s="50"/>
      <c r="BRU7" s="50"/>
      <c r="BRV7" s="50"/>
      <c r="BRW7" s="50"/>
      <c r="BRX7" s="50"/>
      <c r="BRY7" s="50"/>
      <c r="BRZ7" s="50"/>
      <c r="BSA7" s="50"/>
      <c r="BSB7" s="50"/>
      <c r="BSC7" s="50"/>
      <c r="BSD7" s="50"/>
      <c r="BSE7" s="50"/>
      <c r="BSF7" s="50"/>
      <c r="BSG7" s="50"/>
      <c r="BSH7" s="50"/>
      <c r="BSI7" s="50"/>
      <c r="BSJ7" s="50"/>
      <c r="BSK7" s="50"/>
      <c r="BSL7" s="50"/>
      <c r="BSM7" s="50"/>
      <c r="BSN7" s="50"/>
      <c r="BSO7" s="50"/>
      <c r="BSP7" s="50"/>
      <c r="BSQ7" s="50"/>
      <c r="BSR7" s="50"/>
      <c r="BSS7" s="50"/>
      <c r="BST7" s="50"/>
      <c r="BSU7" s="50"/>
      <c r="BSV7" s="50"/>
      <c r="BSW7" s="50"/>
      <c r="BSX7" s="50"/>
      <c r="BSY7" s="50"/>
      <c r="BSZ7" s="50"/>
      <c r="BTA7" s="50"/>
      <c r="BTB7" s="50"/>
      <c r="BTC7" s="50"/>
      <c r="BTD7" s="50"/>
      <c r="BTE7" s="50"/>
      <c r="BTF7" s="50"/>
      <c r="BTG7" s="50"/>
      <c r="BTH7" s="50"/>
      <c r="BTI7" s="50"/>
      <c r="BTJ7" s="50"/>
      <c r="BTK7" s="50"/>
      <c r="BTL7" s="50"/>
      <c r="BTM7" s="50"/>
      <c r="BTN7" s="50"/>
      <c r="BTO7" s="50"/>
      <c r="BTP7" s="50"/>
      <c r="BTQ7" s="50"/>
      <c r="BTR7" s="50"/>
      <c r="BTS7" s="50"/>
      <c r="BTT7" s="50"/>
      <c r="BTU7" s="50"/>
      <c r="BTV7" s="50"/>
      <c r="BTW7" s="50"/>
      <c r="BTX7" s="50"/>
    </row>
    <row r="8" ht="15.75" customHeight="1">
      <c r="A8" s="8" t="s">
        <v>60</v>
      </c>
      <c r="B8" s="8" t="s">
        <v>36</v>
      </c>
      <c r="C8" s="8"/>
      <c r="D8" s="8"/>
      <c r="E8" s="8">
        <v>1000.0</v>
      </c>
      <c r="F8" s="8" t="s">
        <v>78</v>
      </c>
      <c r="G8" s="8" t="s">
        <v>64</v>
      </c>
      <c r="H8" s="8"/>
      <c r="I8" s="8"/>
      <c r="J8" s="8"/>
      <c r="K8" s="8">
        <v>60.0</v>
      </c>
      <c r="L8" s="8">
        <v>60.0</v>
      </c>
      <c r="M8" s="8"/>
      <c r="N8" s="8"/>
      <c r="O8" s="8" t="s">
        <v>70</v>
      </c>
      <c r="V8" t="s">
        <v>79</v>
      </c>
      <c r="Z8" t="s">
        <v>67</v>
      </c>
      <c r="AD8" t="s">
        <v>66</v>
      </c>
      <c r="AE8">
        <v>1000.0</v>
      </c>
      <c r="AF8" t="s">
        <v>60</v>
      </c>
      <c r="AH8" t="s">
        <v>80</v>
      </c>
      <c r="AI8">
        <v>1.0</v>
      </c>
      <c r="AP8" t="b">
        <v>1</v>
      </c>
      <c r="AQ8" t="b">
        <v>0</v>
      </c>
      <c r="AR8" t="b">
        <v>1</v>
      </c>
      <c r="BE8">
        <v>60000.0</v>
      </c>
      <c r="BF8">
        <v>60000.0</v>
      </c>
      <c r="BJ8">
        <v>1000.0</v>
      </c>
      <c r="BM8" t="s">
        <v>67</v>
      </c>
      <c r="BO8" t="s">
        <v>42</v>
      </c>
      <c r="BT8" t="s">
        <v>34</v>
      </c>
      <c r="CK8" t="s">
        <v>65</v>
      </c>
      <c r="CL8">
        <v>1.0</v>
      </c>
      <c r="CM8" t="s">
        <v>34</v>
      </c>
      <c r="CN8" t="s">
        <v>69</v>
      </c>
      <c r="CX8" t="s">
        <v>60</v>
      </c>
      <c r="CY8" t="s">
        <v>60</v>
      </c>
      <c r="CZ8" t="s">
        <v>60</v>
      </c>
      <c r="DA8" t="s">
        <v>60</v>
      </c>
      <c r="DB8" t="s">
        <v>60</v>
      </c>
      <c r="DC8" t="s">
        <v>60</v>
      </c>
      <c r="DD8" t="s">
        <v>60</v>
      </c>
      <c r="DE8" t="s">
        <v>60</v>
      </c>
      <c r="DF8" t="s">
        <v>60</v>
      </c>
      <c r="DG8" t="s">
        <v>60</v>
      </c>
      <c r="DH8" t="s">
        <v>60</v>
      </c>
      <c r="DI8" t="s">
        <v>60</v>
      </c>
      <c r="DJ8" t="s">
        <v>60</v>
      </c>
      <c r="DK8" t="s">
        <v>60</v>
      </c>
      <c r="DL8" t="s">
        <v>60</v>
      </c>
      <c r="DM8" t="s">
        <v>60</v>
      </c>
      <c r="DN8" t="s">
        <v>60</v>
      </c>
      <c r="DO8" t="s">
        <v>60</v>
      </c>
      <c r="DP8" t="s">
        <v>60</v>
      </c>
      <c r="DQ8" t="s">
        <v>60</v>
      </c>
      <c r="DR8" t="s">
        <v>60</v>
      </c>
      <c r="DS8" t="s">
        <v>60</v>
      </c>
      <c r="DT8" t="s">
        <v>60</v>
      </c>
      <c r="DU8" t="s">
        <v>60</v>
      </c>
      <c r="DV8" t="s">
        <v>60</v>
      </c>
      <c r="DW8" t="s">
        <v>60</v>
      </c>
      <c r="DX8" t="s">
        <v>60</v>
      </c>
      <c r="DY8" t="s">
        <v>60</v>
      </c>
      <c r="DZ8" t="s">
        <v>60</v>
      </c>
      <c r="EA8" t="s">
        <v>60</v>
      </c>
      <c r="EB8" t="s">
        <v>60</v>
      </c>
      <c r="EC8" t="s">
        <v>60</v>
      </c>
      <c r="ED8" t="s">
        <v>60</v>
      </c>
      <c r="EE8" t="s">
        <v>60</v>
      </c>
      <c r="EF8" t="s">
        <v>60</v>
      </c>
      <c r="EG8" t="s">
        <v>60</v>
      </c>
      <c r="EH8" t="s">
        <v>60</v>
      </c>
      <c r="EI8" t="s">
        <v>60</v>
      </c>
      <c r="EJ8" t="s">
        <v>60</v>
      </c>
      <c r="EK8" t="s">
        <v>60</v>
      </c>
      <c r="EL8" t="s">
        <v>60</v>
      </c>
      <c r="EM8" t="s">
        <v>60</v>
      </c>
      <c r="EN8" t="s">
        <v>60</v>
      </c>
      <c r="EO8" t="s">
        <v>60</v>
      </c>
      <c r="EP8" t="s">
        <v>60</v>
      </c>
      <c r="EQ8" t="s">
        <v>60</v>
      </c>
      <c r="ER8" t="s">
        <v>60</v>
      </c>
      <c r="ES8" t="s">
        <v>60</v>
      </c>
      <c r="ET8" t="s">
        <v>60</v>
      </c>
      <c r="EU8" t="s">
        <v>60</v>
      </c>
      <c r="EV8" t="s">
        <v>60</v>
      </c>
      <c r="EW8" t="s">
        <v>60</v>
      </c>
      <c r="EX8" t="s">
        <v>60</v>
      </c>
      <c r="EY8" t="s">
        <v>60</v>
      </c>
      <c r="EZ8" t="s">
        <v>60</v>
      </c>
      <c r="FA8" t="s">
        <v>60</v>
      </c>
      <c r="FB8" t="s">
        <v>60</v>
      </c>
      <c r="FC8" t="s">
        <v>60</v>
      </c>
      <c r="FD8" t="s">
        <v>60</v>
      </c>
      <c r="FE8" t="s">
        <v>60</v>
      </c>
      <c r="FF8" t="s">
        <v>60</v>
      </c>
      <c r="FG8" t="s">
        <v>60</v>
      </c>
      <c r="FH8" t="s">
        <v>60</v>
      </c>
      <c r="FI8" t="s">
        <v>60</v>
      </c>
      <c r="FJ8" t="s">
        <v>60</v>
      </c>
      <c r="FK8" t="s">
        <v>60</v>
      </c>
      <c r="FL8" t="s">
        <v>60</v>
      </c>
      <c r="FM8" t="s">
        <v>60</v>
      </c>
      <c r="FN8" t="s">
        <v>60</v>
      </c>
      <c r="FO8" t="s">
        <v>60</v>
      </c>
      <c r="FP8" t="s">
        <v>60</v>
      </c>
      <c r="FQ8" t="s">
        <v>60</v>
      </c>
      <c r="AML8" s="36" t="str">
        <f t="shared" ref="AML8:AND8" si="3">iferror(INDEX('Input(Other)'!$A:$FF,MATCH($A8,'Input(Other)'!$A$1:$A$210,0),MATCH(AML$1,'Input(Other)'!$1:$1,0)),"")</f>
        <v/>
      </c>
      <c r="AMM8" s="36" t="str">
        <f t="shared" si="3"/>
        <v/>
      </c>
      <c r="AMN8" s="36" t="str">
        <f t="shared" si="3"/>
        <v/>
      </c>
      <c r="AMO8" s="36" t="str">
        <f t="shared" si="3"/>
        <v/>
      </c>
      <c r="AMP8" s="36" t="str">
        <f t="shared" si="3"/>
        <v/>
      </c>
      <c r="AMQ8" s="36" t="str">
        <f t="shared" si="3"/>
        <v/>
      </c>
      <c r="AMR8" s="36" t="str">
        <f t="shared" si="3"/>
        <v/>
      </c>
      <c r="AMS8" s="36" t="str">
        <f t="shared" si="3"/>
        <v/>
      </c>
      <c r="AMT8" s="36" t="str">
        <f t="shared" si="3"/>
        <v/>
      </c>
      <c r="AMU8" s="36" t="str">
        <f t="shared" si="3"/>
        <v/>
      </c>
      <c r="AMV8" s="36" t="str">
        <f t="shared" si="3"/>
        <v/>
      </c>
      <c r="AMW8" s="36" t="str">
        <f t="shared" si="3"/>
        <v/>
      </c>
      <c r="AMX8" s="36" t="str">
        <f t="shared" si="3"/>
        <v/>
      </c>
      <c r="AMY8" s="36" t="str">
        <f t="shared" si="3"/>
        <v/>
      </c>
      <c r="AMZ8" s="36" t="str">
        <f t="shared" si="3"/>
        <v/>
      </c>
      <c r="ANA8" s="36" t="str">
        <f t="shared" si="3"/>
        <v/>
      </c>
      <c r="ANB8" s="36" t="str">
        <f t="shared" si="3"/>
        <v/>
      </c>
      <c r="ANC8" s="36" t="str">
        <f t="shared" si="3"/>
        <v/>
      </c>
      <c r="AND8" s="36" t="str">
        <f t="shared" si="3"/>
        <v/>
      </c>
      <c r="ANE8" s="50"/>
      <c r="ANF8" s="50"/>
      <c r="ANG8" s="50"/>
      <c r="ANH8" s="50"/>
      <c r="ANI8" s="50"/>
      <c r="ANJ8" s="50"/>
      <c r="ANK8" s="50"/>
      <c r="ANL8" s="50"/>
      <c r="ANM8" s="50"/>
      <c r="ANN8" s="50"/>
      <c r="ANO8" s="50"/>
      <c r="ANP8" s="50"/>
      <c r="ANQ8" s="50"/>
      <c r="ANR8" s="50"/>
      <c r="ANS8" s="50"/>
      <c r="ANT8" s="50"/>
      <c r="ANU8" s="50"/>
      <c r="ANV8" s="50"/>
      <c r="ANW8" s="50"/>
      <c r="ANX8" s="50"/>
      <c r="ANY8" s="50"/>
      <c r="ANZ8" s="50"/>
      <c r="AOA8" s="50"/>
      <c r="AOB8" s="50"/>
      <c r="AOC8" s="50"/>
      <c r="AOD8" s="50"/>
      <c r="AOE8" s="50"/>
      <c r="AOF8" s="50"/>
      <c r="AOG8" s="50"/>
      <c r="AOH8" s="50"/>
      <c r="AOI8" s="50"/>
      <c r="AOJ8" s="50"/>
      <c r="AOK8" s="50"/>
      <c r="AOL8" s="50"/>
      <c r="AOM8" s="50"/>
      <c r="AON8" s="50"/>
      <c r="AOO8" s="50"/>
      <c r="AOP8" s="50"/>
      <c r="AOQ8" s="50"/>
      <c r="AOR8" s="50"/>
      <c r="AOS8" s="50"/>
      <c r="AOT8" s="50"/>
      <c r="AOU8" s="50"/>
      <c r="AOV8" s="50"/>
      <c r="AOW8" s="50"/>
      <c r="AOX8" s="50"/>
      <c r="AOY8" s="50"/>
      <c r="AOZ8" s="50"/>
      <c r="APA8" s="50"/>
      <c r="APB8" s="50"/>
      <c r="APC8" s="50"/>
      <c r="APD8" s="50"/>
      <c r="APE8" s="50"/>
      <c r="APF8" s="50"/>
      <c r="APG8" s="50"/>
      <c r="APH8" s="50"/>
      <c r="API8" s="50"/>
      <c r="APJ8" s="50"/>
      <c r="APK8" s="50"/>
      <c r="APL8" s="50"/>
      <c r="APM8" s="50"/>
      <c r="APN8" s="50"/>
      <c r="APO8" s="50"/>
      <c r="APP8" s="50"/>
      <c r="APQ8" s="50"/>
      <c r="APR8" s="50"/>
      <c r="APS8" s="50"/>
      <c r="APT8" s="50"/>
      <c r="APU8" s="50"/>
      <c r="APV8" s="50"/>
      <c r="APW8" s="50"/>
      <c r="APX8" s="50"/>
      <c r="APY8" s="50"/>
      <c r="APZ8" s="50"/>
      <c r="AQA8" s="50"/>
      <c r="AQB8" s="50"/>
      <c r="AQC8" s="50"/>
      <c r="AQD8" s="50"/>
      <c r="AQE8" s="50"/>
      <c r="AQF8" s="50"/>
      <c r="AQG8" s="50"/>
      <c r="AQH8" s="50"/>
      <c r="AQI8" s="50"/>
      <c r="AQJ8" s="50"/>
      <c r="AQK8" s="50"/>
      <c r="AQL8" s="50"/>
      <c r="AQM8" s="50"/>
      <c r="AQN8" s="50"/>
      <c r="AQO8" s="50"/>
      <c r="AQP8" s="50"/>
      <c r="AQQ8" s="50"/>
      <c r="AQR8" s="50"/>
      <c r="AQS8" s="50"/>
      <c r="AQT8" s="50"/>
      <c r="AQU8" s="50"/>
      <c r="AQV8" s="50"/>
      <c r="AQW8" s="50"/>
      <c r="AQX8" s="50"/>
      <c r="AQY8" s="50"/>
      <c r="AQZ8" s="50"/>
      <c r="ARA8" s="50"/>
      <c r="ARB8" s="50"/>
      <c r="ARC8" s="50"/>
      <c r="ARD8" s="50"/>
      <c r="ARE8" s="50"/>
      <c r="ARF8" s="50"/>
      <c r="ARG8" s="50"/>
      <c r="ARH8" s="50"/>
      <c r="ARI8" s="50"/>
      <c r="ARJ8" s="50"/>
      <c r="ARK8" s="50"/>
      <c r="ARL8" s="50"/>
      <c r="ARM8" s="50"/>
      <c r="ARN8" s="50"/>
      <c r="ARO8" s="50"/>
      <c r="ARP8" s="50"/>
      <c r="ARQ8" s="50"/>
      <c r="ARR8" s="50"/>
      <c r="ARS8" s="50"/>
      <c r="ART8" s="50"/>
      <c r="ARU8" s="50"/>
      <c r="ARV8" s="50"/>
      <c r="ARW8" s="50"/>
      <c r="ARX8" s="50"/>
      <c r="ARY8" s="50"/>
      <c r="ARZ8" s="50"/>
      <c r="ASA8" s="50"/>
      <c r="ASB8" s="50"/>
      <c r="ASC8" s="50"/>
      <c r="ASD8" s="50"/>
      <c r="ASE8" s="50"/>
      <c r="ASF8" s="50"/>
      <c r="ASG8" s="50"/>
      <c r="ASH8" s="50"/>
      <c r="ASI8" s="50"/>
      <c r="ASJ8" s="50"/>
      <c r="ASK8" s="50"/>
      <c r="ASL8" s="50"/>
      <c r="ASM8" s="50"/>
      <c r="ASN8" s="50"/>
      <c r="ASO8" s="50"/>
      <c r="ASP8" s="50"/>
      <c r="ASQ8" s="50"/>
      <c r="ASR8" s="50"/>
      <c r="ASS8" s="50"/>
      <c r="AST8" s="50"/>
      <c r="ASU8" s="50"/>
      <c r="ASV8" s="50"/>
      <c r="ASW8" s="50"/>
      <c r="ASX8" s="50"/>
      <c r="ASY8" s="50"/>
      <c r="ASZ8" s="50"/>
      <c r="ATA8" s="50"/>
      <c r="ATB8" s="50"/>
      <c r="ATC8" s="50"/>
      <c r="ATD8" s="50"/>
      <c r="ATE8" s="50"/>
      <c r="ATF8" s="50"/>
      <c r="ATG8" s="50"/>
      <c r="ATH8" s="50"/>
      <c r="ATI8" s="50"/>
      <c r="ATJ8" s="50"/>
      <c r="ATK8" s="50"/>
      <c r="ATL8" s="50"/>
      <c r="ATM8" s="50"/>
      <c r="ATN8" s="50"/>
      <c r="ATO8" s="50"/>
      <c r="ATP8" s="50"/>
      <c r="ATQ8" s="50"/>
      <c r="ATR8" s="50"/>
      <c r="ATS8" s="50"/>
      <c r="ATT8" s="50"/>
      <c r="ATU8" s="50"/>
      <c r="ATV8" s="50"/>
      <c r="ATW8" s="50"/>
      <c r="ATX8" s="50"/>
      <c r="ATY8" s="50"/>
      <c r="ATZ8" s="50"/>
      <c r="AUA8" s="50"/>
      <c r="AUB8" s="50"/>
      <c r="AUC8" s="50"/>
      <c r="AUD8" s="50"/>
      <c r="AUE8" s="50"/>
      <c r="AUF8" s="50"/>
      <c r="AUG8" s="50"/>
      <c r="AUH8" s="50"/>
      <c r="AUI8" s="50"/>
      <c r="AUJ8" s="50"/>
      <c r="AUK8" s="50"/>
      <c r="AUL8" s="50"/>
      <c r="AUM8" s="50"/>
      <c r="AUN8" s="50"/>
      <c r="AUO8" s="50"/>
      <c r="AUP8" s="50"/>
      <c r="AUQ8" s="50"/>
      <c r="AUR8" s="50"/>
      <c r="AUS8" s="50"/>
      <c r="AUT8" s="50"/>
      <c r="AUU8" s="50"/>
      <c r="AUV8" s="50"/>
      <c r="AUW8" s="50"/>
      <c r="AUX8" s="50"/>
      <c r="AUY8" s="50"/>
      <c r="AUZ8" s="50"/>
      <c r="AVA8" s="50"/>
      <c r="AVB8" s="50"/>
      <c r="AVC8" s="50"/>
      <c r="AVD8" s="50"/>
      <c r="AVE8" s="50"/>
      <c r="AVF8" s="50"/>
      <c r="AVG8" s="50"/>
      <c r="AVH8" s="50"/>
      <c r="AVI8" s="50"/>
      <c r="AVJ8" s="50"/>
      <c r="AVK8" s="50"/>
      <c r="AVL8" s="50"/>
      <c r="AVM8" s="50"/>
      <c r="AVN8" s="50"/>
      <c r="AVO8" s="50"/>
      <c r="AVP8" s="50"/>
      <c r="AVQ8" s="50"/>
      <c r="AVR8" s="50"/>
      <c r="AVS8" s="50"/>
      <c r="AVT8" s="50"/>
      <c r="AVU8" s="50"/>
      <c r="AVV8" s="50"/>
      <c r="AVW8" s="50"/>
      <c r="AVX8" s="50"/>
      <c r="AVY8" s="50"/>
      <c r="AVZ8" s="50"/>
      <c r="AWA8" s="50"/>
      <c r="AWB8" s="50"/>
      <c r="AWC8" s="50"/>
      <c r="AWD8" s="50"/>
      <c r="AWE8" s="50"/>
      <c r="AWF8" s="50"/>
      <c r="AWG8" s="50"/>
      <c r="AWH8" s="50"/>
      <c r="AWI8" s="50"/>
      <c r="AWJ8" s="50"/>
      <c r="AWK8" s="50"/>
      <c r="AWL8" s="50"/>
      <c r="AWM8" s="50"/>
      <c r="AWN8" s="50"/>
      <c r="AWO8" s="50"/>
      <c r="AWP8" s="50"/>
      <c r="AWQ8" s="50"/>
      <c r="AWR8" s="50"/>
      <c r="AWS8" s="50"/>
      <c r="AWT8" s="50"/>
      <c r="AWU8" s="50"/>
      <c r="AWV8" s="50"/>
      <c r="AWW8" s="50"/>
      <c r="AWX8" s="50"/>
      <c r="AWY8" s="50"/>
      <c r="AWZ8" s="50"/>
      <c r="AXA8" s="50"/>
      <c r="AXB8" s="50"/>
      <c r="AXC8" s="50"/>
      <c r="AXD8" s="50"/>
      <c r="AXE8" s="50"/>
      <c r="AXF8" s="50"/>
      <c r="AXG8" s="50"/>
      <c r="AXH8" s="50"/>
      <c r="AXI8" s="50"/>
      <c r="AXJ8" s="50"/>
      <c r="AXK8" s="50"/>
      <c r="AXL8" s="50"/>
      <c r="AXM8" s="50"/>
      <c r="AXN8" s="50"/>
      <c r="AXO8" s="50"/>
      <c r="AXP8" s="50"/>
      <c r="AXQ8" s="50"/>
      <c r="AXR8" s="50"/>
      <c r="AXS8" s="50"/>
      <c r="AXT8" s="50"/>
      <c r="AXU8" s="50"/>
      <c r="AXV8" s="50"/>
      <c r="AXW8" s="50"/>
      <c r="AXX8" s="50"/>
      <c r="AXY8" s="50"/>
      <c r="AXZ8" s="50"/>
      <c r="AYA8" s="50"/>
      <c r="AYB8" s="50"/>
      <c r="AYC8" s="50"/>
      <c r="AYD8" s="50"/>
      <c r="AYE8" s="50"/>
      <c r="AYF8" s="50"/>
      <c r="AYG8" s="50"/>
      <c r="AYH8" s="50"/>
      <c r="AYI8" s="50"/>
      <c r="AYJ8" s="50"/>
      <c r="AYK8" s="50"/>
      <c r="AYL8" s="50"/>
      <c r="AYM8" s="50"/>
      <c r="AYN8" s="50"/>
      <c r="AYO8" s="50"/>
      <c r="AYP8" s="50"/>
      <c r="AYQ8" s="50"/>
      <c r="AYR8" s="50"/>
      <c r="AYS8" s="50"/>
      <c r="AYT8" s="50"/>
      <c r="AYU8" s="50"/>
      <c r="AYV8" s="50"/>
      <c r="AYW8" s="50"/>
      <c r="AYX8" s="50"/>
      <c r="AYY8" s="50"/>
      <c r="AYZ8" s="50"/>
      <c r="AZA8" s="50"/>
      <c r="AZB8" s="50"/>
      <c r="AZC8" s="50"/>
      <c r="AZD8" s="50"/>
      <c r="AZE8" s="50"/>
      <c r="AZF8" s="50"/>
      <c r="AZG8" s="50"/>
      <c r="AZH8" s="50"/>
      <c r="AZI8" s="50"/>
      <c r="AZJ8" s="50"/>
      <c r="AZK8" s="50"/>
      <c r="AZL8" s="50"/>
      <c r="AZM8" s="50"/>
      <c r="AZN8" s="50"/>
      <c r="AZO8" s="50"/>
      <c r="AZP8" s="50"/>
      <c r="AZQ8" s="50"/>
      <c r="AZR8" s="50"/>
      <c r="AZS8" s="50"/>
      <c r="AZT8" s="50"/>
      <c r="AZU8" s="50"/>
      <c r="AZV8" s="50"/>
      <c r="AZW8" s="50"/>
      <c r="AZX8" s="50"/>
      <c r="AZY8" s="50"/>
      <c r="AZZ8" s="50"/>
      <c r="BAA8" s="50"/>
      <c r="BAB8" s="50"/>
      <c r="BAC8" s="50"/>
      <c r="BAD8" s="50"/>
      <c r="BAE8" s="50"/>
      <c r="BAF8" s="50"/>
      <c r="BAG8" s="50"/>
      <c r="BAH8" s="50"/>
      <c r="BAI8" s="50"/>
      <c r="BAJ8" s="50"/>
      <c r="BAK8" s="50"/>
      <c r="BAL8" s="50"/>
      <c r="BAM8" s="50"/>
      <c r="BAN8" s="50"/>
      <c r="BAO8" s="50"/>
      <c r="BAP8" s="50"/>
      <c r="BAQ8" s="50"/>
      <c r="BAR8" s="50"/>
      <c r="BAS8" s="50"/>
      <c r="BAT8" s="50"/>
      <c r="BAU8" s="50"/>
      <c r="BAV8" s="50"/>
      <c r="BAW8" s="50"/>
      <c r="BAX8" s="50"/>
      <c r="BAY8" s="50"/>
      <c r="BAZ8" s="50"/>
      <c r="BBA8" s="50"/>
      <c r="BBB8" s="50"/>
      <c r="BBC8" s="50"/>
      <c r="BBD8" s="50"/>
      <c r="BBE8" s="50"/>
      <c r="BBF8" s="50"/>
      <c r="BBG8" s="50"/>
      <c r="BBH8" s="50"/>
      <c r="BBI8" s="50"/>
      <c r="BBJ8" s="50"/>
      <c r="BBK8" s="50"/>
      <c r="BBL8" s="50"/>
      <c r="BBM8" s="50"/>
      <c r="BBN8" s="50"/>
      <c r="BBO8" s="50"/>
      <c r="BBP8" s="50"/>
      <c r="BBQ8" s="50"/>
      <c r="BBR8" s="50"/>
      <c r="BBS8" s="50"/>
      <c r="BBT8" s="50"/>
      <c r="BBU8" s="50"/>
      <c r="BBV8" s="50"/>
      <c r="BBW8" s="50"/>
      <c r="BBX8" s="50"/>
      <c r="BBY8" s="50"/>
      <c r="BBZ8" s="50"/>
      <c r="BCA8" s="50"/>
      <c r="BCB8" s="50"/>
      <c r="BCC8" s="50"/>
      <c r="BCD8" s="50"/>
      <c r="BCE8" s="50"/>
      <c r="BCF8" s="50"/>
      <c r="BCG8" s="50"/>
      <c r="BCH8" s="50"/>
      <c r="BCI8" s="50"/>
      <c r="BCJ8" s="50"/>
      <c r="BCK8" s="50"/>
      <c r="BCL8" s="50"/>
      <c r="BCM8" s="50"/>
      <c r="BCN8" s="50"/>
      <c r="BCO8" s="50"/>
      <c r="BCP8" s="50"/>
      <c r="BCQ8" s="50"/>
      <c r="BCR8" s="50"/>
      <c r="BCS8" s="50"/>
      <c r="BCT8" s="50"/>
      <c r="BCU8" s="50"/>
      <c r="BCV8" s="50"/>
      <c r="BCW8" s="50"/>
      <c r="BCX8" s="50"/>
      <c r="BCY8" s="50"/>
      <c r="BCZ8" s="50"/>
      <c r="BDA8" s="50"/>
      <c r="BDB8" s="50"/>
      <c r="BDC8" s="50"/>
      <c r="BDD8" s="50"/>
      <c r="BDE8" s="50"/>
      <c r="BDF8" s="50"/>
      <c r="BDG8" s="50"/>
      <c r="BDH8" s="50"/>
      <c r="BDI8" s="50"/>
      <c r="BDJ8" s="50"/>
      <c r="BDK8" s="50"/>
      <c r="BDL8" s="50"/>
      <c r="BDM8" s="50"/>
      <c r="BDN8" s="50"/>
      <c r="BDO8" s="50"/>
      <c r="BDP8" s="50"/>
      <c r="BDQ8" s="50"/>
      <c r="BDR8" s="50"/>
      <c r="BDS8" s="50"/>
      <c r="BDT8" s="50"/>
      <c r="BDU8" s="50"/>
      <c r="BDV8" s="50"/>
      <c r="BDW8" s="50"/>
      <c r="BDX8" s="50"/>
      <c r="BDY8" s="50"/>
      <c r="BDZ8" s="50"/>
      <c r="BEA8" s="50"/>
      <c r="BEB8" s="50"/>
      <c r="BEC8" s="50"/>
      <c r="BED8" s="50"/>
      <c r="BEE8" s="50"/>
      <c r="BEF8" s="50"/>
      <c r="BEG8" s="50"/>
      <c r="BEH8" s="50"/>
      <c r="BEI8" s="50"/>
      <c r="BEJ8" s="50"/>
      <c r="BEK8" s="50"/>
      <c r="BEL8" s="50"/>
      <c r="BEM8" s="50"/>
      <c r="BEN8" s="50"/>
      <c r="BEO8" s="50"/>
      <c r="BEP8" s="50"/>
      <c r="BEQ8" s="50"/>
      <c r="BER8" s="50"/>
      <c r="BES8" s="50"/>
      <c r="BET8" s="50"/>
      <c r="BEU8" s="50"/>
      <c r="BEV8" s="50"/>
      <c r="BEW8" s="50"/>
      <c r="BEX8" s="50"/>
      <c r="BEY8" s="50"/>
      <c r="BEZ8" s="50"/>
      <c r="BFA8" s="50"/>
      <c r="BFB8" s="50"/>
      <c r="BFC8" s="50"/>
      <c r="BFD8" s="50"/>
      <c r="BFE8" s="50"/>
      <c r="BFF8" s="50"/>
      <c r="BFG8" s="50"/>
      <c r="BFH8" s="50"/>
      <c r="BFI8" s="50"/>
      <c r="BFJ8" s="50"/>
      <c r="BFK8" s="50"/>
      <c r="BFL8" s="50"/>
      <c r="BFM8" s="50"/>
      <c r="BFN8" s="50"/>
      <c r="BFO8" s="50"/>
      <c r="BFP8" s="50"/>
      <c r="BFQ8" s="50"/>
      <c r="BFR8" s="50"/>
      <c r="BFS8" s="50"/>
      <c r="BFT8" s="50"/>
      <c r="BFU8" s="50"/>
      <c r="BFV8" s="50"/>
      <c r="BFW8" s="50"/>
      <c r="BFX8" s="50"/>
      <c r="BFY8" s="50"/>
      <c r="BFZ8" s="50"/>
      <c r="BGA8" s="50"/>
      <c r="BGB8" s="50"/>
      <c r="BGC8" s="50"/>
      <c r="BGD8" s="50"/>
      <c r="BGE8" s="50"/>
      <c r="BGF8" s="50"/>
      <c r="BGG8" s="50"/>
      <c r="BGH8" s="50"/>
      <c r="BGI8" s="50"/>
      <c r="BGJ8" s="50"/>
      <c r="BGK8" s="50"/>
      <c r="BGL8" s="50"/>
      <c r="BGM8" s="50"/>
      <c r="BGN8" s="50"/>
      <c r="BGO8" s="50"/>
      <c r="BGP8" s="50"/>
      <c r="BGQ8" s="50"/>
      <c r="BGR8" s="50"/>
      <c r="BGS8" s="50"/>
      <c r="BGT8" s="50"/>
      <c r="BGU8" s="50"/>
      <c r="BGV8" s="50"/>
      <c r="BGW8" s="50"/>
      <c r="BGX8" s="50"/>
      <c r="BGY8" s="50"/>
      <c r="BGZ8" s="50"/>
      <c r="BHA8" s="50"/>
      <c r="BHB8" s="50"/>
      <c r="BHC8" s="50"/>
      <c r="BHD8" s="50"/>
      <c r="BHE8" s="50"/>
      <c r="BHF8" s="50"/>
      <c r="BHG8" s="50"/>
      <c r="BHH8" s="50"/>
      <c r="BHI8" s="50"/>
      <c r="BHJ8" s="50"/>
      <c r="BHK8" s="50"/>
      <c r="BHL8" s="50"/>
      <c r="BHM8" s="50"/>
      <c r="BHN8" s="50"/>
      <c r="BHO8" s="50"/>
      <c r="BHP8" s="50"/>
      <c r="BHQ8" s="50"/>
      <c r="BHR8" s="50"/>
      <c r="BHS8" s="50"/>
      <c r="BHT8" s="50"/>
      <c r="BHU8" s="50"/>
      <c r="BHV8" s="50"/>
      <c r="BHW8" s="50"/>
      <c r="BHX8" s="50"/>
      <c r="BHY8" s="50"/>
      <c r="BHZ8" s="50"/>
      <c r="BIA8" s="50"/>
      <c r="BIB8" s="50"/>
      <c r="BIC8" s="50"/>
      <c r="BID8" s="50"/>
      <c r="BIE8" s="50"/>
      <c r="BIF8" s="50"/>
      <c r="BIG8" s="50"/>
      <c r="BIH8" s="50"/>
      <c r="BII8" s="50"/>
      <c r="BIJ8" s="50"/>
      <c r="BIK8" s="50"/>
      <c r="BIL8" s="50"/>
      <c r="BIM8" s="50"/>
      <c r="BIN8" s="50"/>
      <c r="BIO8" s="50"/>
      <c r="BIP8" s="50"/>
      <c r="BIQ8" s="50"/>
      <c r="BIR8" s="50"/>
      <c r="BIS8" s="50"/>
      <c r="BIT8" s="50"/>
      <c r="BIU8" s="50"/>
      <c r="BIV8" s="50"/>
      <c r="BIW8" s="50"/>
      <c r="BIX8" s="50"/>
      <c r="BIY8" s="50"/>
      <c r="BIZ8" s="50"/>
      <c r="BJA8" s="50"/>
      <c r="BJB8" s="50"/>
      <c r="BJC8" s="50"/>
      <c r="BJD8" s="50"/>
      <c r="BJE8" s="50"/>
      <c r="BJF8" s="50"/>
      <c r="BJG8" s="50"/>
      <c r="BJH8" s="50"/>
      <c r="BJI8" s="50"/>
      <c r="BJJ8" s="50"/>
      <c r="BJK8" s="50"/>
      <c r="BJL8" s="50"/>
      <c r="BJM8" s="50"/>
      <c r="BJN8" s="50"/>
      <c r="BJO8" s="50"/>
      <c r="BJP8" s="50"/>
      <c r="BJQ8" s="50"/>
      <c r="BJR8" s="50"/>
      <c r="BJS8" s="50"/>
      <c r="BJT8" s="50"/>
      <c r="BJU8" s="50"/>
      <c r="BJV8" s="50"/>
      <c r="BJW8" s="50"/>
      <c r="BJX8" s="50"/>
      <c r="BJY8" s="50"/>
      <c r="BJZ8" s="50"/>
      <c r="BKA8" s="50"/>
      <c r="BKB8" s="50"/>
      <c r="BKC8" s="50"/>
      <c r="BKD8" s="50"/>
      <c r="BKE8" s="50"/>
      <c r="BKF8" s="50"/>
      <c r="BKG8" s="50"/>
      <c r="BKH8" s="50"/>
      <c r="BKI8" s="50"/>
      <c r="BKJ8" s="50"/>
      <c r="BKK8" s="50"/>
      <c r="BKL8" s="50"/>
      <c r="BKM8" s="50"/>
      <c r="BKN8" s="50"/>
      <c r="BKO8" s="50"/>
      <c r="BKP8" s="50"/>
      <c r="BKQ8" s="50"/>
      <c r="BKR8" s="50"/>
      <c r="BKS8" s="50"/>
      <c r="BKT8" s="50"/>
      <c r="BKU8" s="50"/>
      <c r="BKV8" s="50"/>
      <c r="BKW8" s="50"/>
      <c r="BKX8" s="50"/>
      <c r="BKY8" s="50"/>
      <c r="BKZ8" s="50"/>
      <c r="BLA8" s="50"/>
      <c r="BLB8" s="50"/>
      <c r="BLC8" s="50"/>
      <c r="BLD8" s="50"/>
      <c r="BLE8" s="50"/>
      <c r="BLF8" s="50"/>
      <c r="BLG8" s="50"/>
      <c r="BLH8" s="50"/>
      <c r="BLI8" s="50"/>
      <c r="BLJ8" s="50"/>
      <c r="BLK8" s="50"/>
      <c r="BLL8" s="50"/>
      <c r="BLM8" s="50"/>
      <c r="BLN8" s="50"/>
      <c r="BLO8" s="50"/>
      <c r="BLP8" s="50"/>
      <c r="BLQ8" s="50"/>
      <c r="BLR8" s="50"/>
      <c r="BLS8" s="50"/>
      <c r="BLT8" s="50"/>
      <c r="BLU8" s="50"/>
      <c r="BLV8" s="50"/>
      <c r="BLW8" s="50"/>
      <c r="BLX8" s="50"/>
      <c r="BLY8" s="50"/>
      <c r="BLZ8" s="50"/>
      <c r="BMA8" s="50"/>
      <c r="BMB8" s="50"/>
      <c r="BMC8" s="50"/>
      <c r="BMD8" s="50"/>
      <c r="BME8" s="50"/>
      <c r="BMF8" s="50"/>
      <c r="BMG8" s="50"/>
      <c r="BMH8" s="50"/>
      <c r="BMI8" s="50"/>
      <c r="BMJ8" s="50"/>
      <c r="BMK8" s="50"/>
      <c r="BML8" s="50"/>
      <c r="BMM8" s="50"/>
      <c r="BMN8" s="50"/>
      <c r="BMO8" s="50"/>
      <c r="BMP8" s="50"/>
      <c r="BMQ8" s="50"/>
      <c r="BMR8" s="50"/>
      <c r="BMS8" s="50"/>
      <c r="BMT8" s="50"/>
      <c r="BMU8" s="50"/>
      <c r="BMV8" s="50"/>
      <c r="BMW8" s="50"/>
      <c r="BMX8" s="50"/>
      <c r="BMY8" s="50"/>
      <c r="BMZ8" s="50"/>
      <c r="BNA8" s="50"/>
      <c r="BNB8" s="50"/>
      <c r="BNC8" s="50"/>
      <c r="BND8" s="50"/>
      <c r="BNE8" s="50"/>
      <c r="BNF8" s="50"/>
      <c r="BNG8" s="50"/>
      <c r="BNH8" s="50"/>
      <c r="BNI8" s="50"/>
      <c r="BNJ8" s="50"/>
      <c r="BNK8" s="50"/>
      <c r="BNL8" s="50"/>
      <c r="BNM8" s="50"/>
      <c r="BNN8" s="50"/>
      <c r="BNO8" s="50"/>
      <c r="BNP8" s="50"/>
      <c r="BNQ8" s="50"/>
      <c r="BNR8" s="50"/>
      <c r="BNS8" s="50"/>
      <c r="BNT8" s="50"/>
      <c r="BNU8" s="50"/>
      <c r="BNV8" s="50"/>
      <c r="BNW8" s="50"/>
      <c r="BNX8" s="50"/>
      <c r="BNY8" s="50"/>
      <c r="BNZ8" s="50"/>
      <c r="BOA8" s="50"/>
      <c r="BOB8" s="50"/>
      <c r="BOC8" s="50"/>
      <c r="BOD8" s="50"/>
      <c r="BOE8" s="50"/>
      <c r="BOF8" s="50"/>
      <c r="BOG8" s="50"/>
      <c r="BOH8" s="50"/>
      <c r="BOI8" s="50"/>
      <c r="BOJ8" s="50"/>
      <c r="BOK8" s="50"/>
      <c r="BOL8" s="50"/>
      <c r="BOM8" s="50"/>
      <c r="BON8" s="50"/>
      <c r="BOO8" s="50"/>
      <c r="BOP8" s="50"/>
      <c r="BOQ8" s="50"/>
      <c r="BOR8" s="50"/>
      <c r="BOS8" s="50"/>
      <c r="BOT8" s="50"/>
      <c r="BOU8" s="50"/>
      <c r="BOV8" s="50"/>
      <c r="BOW8" s="50"/>
      <c r="BOX8" s="50"/>
      <c r="BOY8" s="50"/>
      <c r="BOZ8" s="50"/>
      <c r="BPA8" s="50"/>
      <c r="BPB8" s="50"/>
      <c r="BPC8" s="50"/>
      <c r="BPD8" s="50"/>
      <c r="BPE8" s="50"/>
      <c r="BPF8" s="50"/>
      <c r="BPG8" s="50"/>
      <c r="BPH8" s="50"/>
      <c r="BPI8" s="50"/>
      <c r="BPJ8" s="50"/>
      <c r="BPK8" s="50"/>
      <c r="BPL8" s="50"/>
      <c r="BPM8" s="50"/>
      <c r="BPN8" s="50"/>
      <c r="BPO8" s="50"/>
      <c r="BPP8" s="50"/>
      <c r="BPQ8" s="50"/>
      <c r="BPR8" s="50"/>
      <c r="BPS8" s="50"/>
      <c r="BPT8" s="50"/>
      <c r="BPU8" s="50"/>
      <c r="BPV8" s="50"/>
      <c r="BPW8" s="50"/>
      <c r="BPX8" s="50"/>
      <c r="BPY8" s="50"/>
      <c r="BPZ8" s="50"/>
      <c r="BQA8" s="50"/>
      <c r="BQB8" s="50"/>
      <c r="BQC8" s="50"/>
      <c r="BQD8" s="50"/>
      <c r="BQE8" s="50"/>
      <c r="BQF8" s="50"/>
      <c r="BQG8" s="50"/>
      <c r="BQH8" s="50"/>
      <c r="BQI8" s="50"/>
      <c r="BQJ8" s="50"/>
      <c r="BQK8" s="50"/>
      <c r="BQL8" s="50"/>
      <c r="BQM8" s="50"/>
      <c r="BQN8" s="50"/>
      <c r="BQO8" s="50"/>
      <c r="BQP8" s="50"/>
      <c r="BQQ8" s="50"/>
      <c r="BQR8" s="50"/>
      <c r="BQS8" s="50"/>
      <c r="BQT8" s="50"/>
      <c r="BQU8" s="50"/>
      <c r="BQV8" s="50"/>
      <c r="BQW8" s="50"/>
      <c r="BQX8" s="50"/>
      <c r="BQY8" s="50"/>
      <c r="BQZ8" s="50"/>
      <c r="BRA8" s="50"/>
      <c r="BRB8" s="50"/>
      <c r="BRC8" s="50"/>
      <c r="BRD8" s="50"/>
      <c r="BRE8" s="50"/>
      <c r="BRF8" s="50"/>
      <c r="BRG8" s="50"/>
      <c r="BRH8" s="50"/>
      <c r="BRI8" s="50"/>
      <c r="BRJ8" s="50"/>
      <c r="BRK8" s="50"/>
      <c r="BRL8" s="50"/>
      <c r="BRM8" s="50"/>
      <c r="BRN8" s="50"/>
      <c r="BRO8" s="50"/>
      <c r="BRP8" s="50"/>
      <c r="BRQ8" s="50"/>
      <c r="BRR8" s="50"/>
      <c r="BRS8" s="50"/>
      <c r="BRT8" s="50"/>
      <c r="BRU8" s="50"/>
      <c r="BRV8" s="50"/>
      <c r="BRW8" s="50"/>
      <c r="BRX8" s="50"/>
      <c r="BRY8" s="50"/>
      <c r="BRZ8" s="50"/>
      <c r="BSA8" s="50"/>
      <c r="BSB8" s="50"/>
      <c r="BSC8" s="50"/>
      <c r="BSD8" s="50"/>
      <c r="BSE8" s="50"/>
      <c r="BSF8" s="50"/>
      <c r="BSG8" s="50"/>
      <c r="BSH8" s="50"/>
      <c r="BSI8" s="50"/>
      <c r="BSJ8" s="50"/>
      <c r="BSK8" s="50"/>
      <c r="BSL8" s="50"/>
      <c r="BSM8" s="50"/>
      <c r="BSN8" s="50"/>
      <c r="BSO8" s="50"/>
      <c r="BSP8" s="50"/>
      <c r="BSQ8" s="50"/>
      <c r="BSR8" s="50"/>
      <c r="BSS8" s="50"/>
      <c r="BST8" s="50"/>
      <c r="BSU8" s="50"/>
      <c r="BSV8" s="50"/>
      <c r="BSW8" s="50"/>
      <c r="BSX8" s="50"/>
      <c r="BSY8" s="50"/>
      <c r="BSZ8" s="50"/>
      <c r="BTA8" s="50"/>
      <c r="BTB8" s="50"/>
      <c r="BTC8" s="50"/>
      <c r="BTD8" s="50"/>
      <c r="BTE8" s="50"/>
      <c r="BTF8" s="50"/>
      <c r="BTG8" s="50"/>
      <c r="BTH8" s="50"/>
      <c r="BTI8" s="50"/>
      <c r="BTJ8" s="50"/>
      <c r="BTK8" s="50"/>
      <c r="BTL8" s="50"/>
      <c r="BTM8" s="50"/>
      <c r="BTN8" s="50"/>
      <c r="BTO8" s="50"/>
      <c r="BTP8" s="50"/>
      <c r="BTQ8" s="50"/>
      <c r="BTR8" s="50"/>
      <c r="BTS8" s="50"/>
      <c r="BTT8" s="50"/>
      <c r="BTU8" s="50"/>
      <c r="BTV8" s="50"/>
      <c r="BTW8" s="50"/>
      <c r="BTX8" s="50"/>
    </row>
    <row r="9" ht="15.75" customHeight="1">
      <c r="A9" t="s">
        <v>60</v>
      </c>
      <c r="B9" t="s">
        <v>36</v>
      </c>
      <c r="E9">
        <v>1000.0</v>
      </c>
      <c r="F9" t="s">
        <v>78</v>
      </c>
      <c r="G9" t="s">
        <v>64</v>
      </c>
      <c r="K9">
        <v>50.0</v>
      </c>
      <c r="L9">
        <v>50.0</v>
      </c>
      <c r="O9" t="s">
        <v>70</v>
      </c>
      <c r="V9" t="s">
        <v>79</v>
      </c>
      <c r="Z9" t="s">
        <v>67</v>
      </c>
      <c r="AD9" t="s">
        <v>66</v>
      </c>
      <c r="AE9">
        <v>1000.0</v>
      </c>
      <c r="AF9" t="s">
        <v>60</v>
      </c>
      <c r="AH9" t="s">
        <v>80</v>
      </c>
      <c r="AI9">
        <v>1.0</v>
      </c>
      <c r="AP9" t="b">
        <v>1</v>
      </c>
      <c r="AQ9" t="b">
        <v>0</v>
      </c>
      <c r="AR9" t="b">
        <v>1</v>
      </c>
      <c r="BE9">
        <v>50000.0</v>
      </c>
      <c r="BF9">
        <v>50000.0</v>
      </c>
      <c r="BJ9">
        <v>1000.0</v>
      </c>
      <c r="BM9" t="s">
        <v>67</v>
      </c>
      <c r="BO9" t="s">
        <v>71</v>
      </c>
      <c r="BT9" t="s">
        <v>34</v>
      </c>
      <c r="CK9" t="s">
        <v>65</v>
      </c>
      <c r="CL9">
        <v>1.0</v>
      </c>
      <c r="CM9" t="s">
        <v>34</v>
      </c>
      <c r="CN9" t="s">
        <v>69</v>
      </c>
      <c r="CX9" t="s">
        <v>60</v>
      </c>
      <c r="CY9" t="s">
        <v>60</v>
      </c>
      <c r="CZ9" t="s">
        <v>60</v>
      </c>
      <c r="DA9" t="s">
        <v>60</v>
      </c>
      <c r="DB9" t="s">
        <v>60</v>
      </c>
      <c r="DC9" t="s">
        <v>60</v>
      </c>
      <c r="DD9" t="s">
        <v>60</v>
      </c>
      <c r="DE9" t="s">
        <v>60</v>
      </c>
      <c r="DF9" t="s">
        <v>60</v>
      </c>
      <c r="DG9" t="s">
        <v>60</v>
      </c>
      <c r="DH9" t="s">
        <v>60</v>
      </c>
      <c r="DI9" t="s">
        <v>60</v>
      </c>
      <c r="DJ9" t="s">
        <v>60</v>
      </c>
      <c r="DK9" t="s">
        <v>60</v>
      </c>
      <c r="DL9" t="s">
        <v>60</v>
      </c>
      <c r="DM9" t="s">
        <v>60</v>
      </c>
      <c r="DN9" t="s">
        <v>60</v>
      </c>
      <c r="DO9" t="s">
        <v>60</v>
      </c>
      <c r="DP9" t="s">
        <v>60</v>
      </c>
      <c r="DQ9" t="s">
        <v>60</v>
      </c>
      <c r="DR9" t="s">
        <v>60</v>
      </c>
      <c r="DS9" t="s">
        <v>60</v>
      </c>
      <c r="DT9" t="s">
        <v>60</v>
      </c>
      <c r="DU9" t="s">
        <v>60</v>
      </c>
      <c r="DV9" t="s">
        <v>60</v>
      </c>
      <c r="DW9" t="s">
        <v>60</v>
      </c>
      <c r="DX9" t="s">
        <v>60</v>
      </c>
      <c r="DY9" t="s">
        <v>60</v>
      </c>
      <c r="DZ9" t="s">
        <v>60</v>
      </c>
      <c r="EA9" t="s">
        <v>60</v>
      </c>
      <c r="EB9" t="s">
        <v>60</v>
      </c>
      <c r="EC9" t="s">
        <v>60</v>
      </c>
      <c r="ED9" t="s">
        <v>60</v>
      </c>
      <c r="EE9" t="s">
        <v>60</v>
      </c>
      <c r="EF9" t="s">
        <v>60</v>
      </c>
      <c r="EG9" t="s">
        <v>60</v>
      </c>
      <c r="EH9" t="s">
        <v>60</v>
      </c>
      <c r="EI9" t="s">
        <v>60</v>
      </c>
      <c r="EJ9" t="s">
        <v>60</v>
      </c>
      <c r="EK9" t="s">
        <v>60</v>
      </c>
      <c r="EL9" t="s">
        <v>60</v>
      </c>
      <c r="EM9" t="s">
        <v>60</v>
      </c>
      <c r="EN9" t="s">
        <v>60</v>
      </c>
      <c r="EO9" t="s">
        <v>60</v>
      </c>
      <c r="EP9" t="s">
        <v>60</v>
      </c>
      <c r="EQ9" t="s">
        <v>60</v>
      </c>
      <c r="ER9" t="s">
        <v>60</v>
      </c>
      <c r="ES9" t="s">
        <v>60</v>
      </c>
      <c r="ET9" t="s">
        <v>60</v>
      </c>
      <c r="EU9" t="s">
        <v>60</v>
      </c>
      <c r="EV9" t="s">
        <v>60</v>
      </c>
      <c r="EW9" t="s">
        <v>60</v>
      </c>
      <c r="EX9" t="s">
        <v>60</v>
      </c>
      <c r="EY9" t="s">
        <v>60</v>
      </c>
      <c r="EZ9" t="s">
        <v>60</v>
      </c>
      <c r="FA9" t="s">
        <v>60</v>
      </c>
      <c r="FB9" t="s">
        <v>60</v>
      </c>
      <c r="FC9" t="s">
        <v>60</v>
      </c>
      <c r="FD9" t="s">
        <v>60</v>
      </c>
      <c r="FE9" t="s">
        <v>60</v>
      </c>
      <c r="FF9" t="s">
        <v>60</v>
      </c>
      <c r="FG9" t="s">
        <v>60</v>
      </c>
      <c r="FH9" t="s">
        <v>60</v>
      </c>
      <c r="FI9" t="s">
        <v>60</v>
      </c>
      <c r="FJ9" t="s">
        <v>60</v>
      </c>
      <c r="FK9" t="s">
        <v>60</v>
      </c>
      <c r="FL9" t="s">
        <v>60</v>
      </c>
      <c r="FM9" t="s">
        <v>60</v>
      </c>
      <c r="FN9" t="s">
        <v>60</v>
      </c>
      <c r="FO9" t="s">
        <v>60</v>
      </c>
      <c r="FP9" t="s">
        <v>60</v>
      </c>
      <c r="FQ9" t="s">
        <v>60</v>
      </c>
      <c r="AML9" s="36" t="str">
        <f t="shared" ref="AML9:AND9" si="4">iferror(INDEX('Input(Other)'!$A:$FF,MATCH($A9,'Input(Other)'!$A$1:$A$210,0),MATCH(AML$1,'Input(Other)'!$1:$1,0)),"")</f>
        <v/>
      </c>
      <c r="AMM9" s="36" t="str">
        <f t="shared" si="4"/>
        <v/>
      </c>
      <c r="AMN9" s="36" t="str">
        <f t="shared" si="4"/>
        <v/>
      </c>
      <c r="AMO9" s="36" t="str">
        <f t="shared" si="4"/>
        <v/>
      </c>
      <c r="AMP9" s="36" t="str">
        <f t="shared" si="4"/>
        <v/>
      </c>
      <c r="AMQ9" s="36" t="str">
        <f t="shared" si="4"/>
        <v/>
      </c>
      <c r="AMR9" s="36" t="str">
        <f t="shared" si="4"/>
        <v/>
      </c>
      <c r="AMS9" s="36" t="str">
        <f t="shared" si="4"/>
        <v/>
      </c>
      <c r="AMT9" s="36" t="str">
        <f t="shared" si="4"/>
        <v/>
      </c>
      <c r="AMU9" s="36" t="str">
        <f t="shared" si="4"/>
        <v/>
      </c>
      <c r="AMV9" s="36" t="str">
        <f t="shared" si="4"/>
        <v/>
      </c>
      <c r="AMW9" s="36" t="str">
        <f t="shared" si="4"/>
        <v/>
      </c>
      <c r="AMX9" s="36" t="str">
        <f t="shared" si="4"/>
        <v/>
      </c>
      <c r="AMY9" s="36" t="str">
        <f t="shared" si="4"/>
        <v/>
      </c>
      <c r="AMZ9" s="36" t="str">
        <f t="shared" si="4"/>
        <v/>
      </c>
      <c r="ANA9" s="36" t="str">
        <f t="shared" si="4"/>
        <v/>
      </c>
      <c r="ANB9" s="36" t="str">
        <f t="shared" si="4"/>
        <v/>
      </c>
      <c r="ANC9" s="36" t="str">
        <f t="shared" si="4"/>
        <v/>
      </c>
      <c r="AND9" s="36" t="str">
        <f t="shared" si="4"/>
        <v/>
      </c>
      <c r="ANE9" s="50"/>
      <c r="ANF9" s="50"/>
      <c r="ANG9" s="50"/>
      <c r="ANH9" s="50"/>
      <c r="ANI9" s="50"/>
      <c r="ANJ9" s="50"/>
      <c r="ANK9" s="50"/>
      <c r="ANL9" s="50"/>
      <c r="ANM9" s="50"/>
      <c r="ANN9" s="50"/>
      <c r="ANO9" s="50"/>
      <c r="ANP9" s="50"/>
      <c r="ANQ9" s="50"/>
      <c r="ANR9" s="50"/>
      <c r="ANS9" s="50"/>
      <c r="ANT9" s="50"/>
      <c r="ANU9" s="50"/>
      <c r="ANV9" s="50"/>
      <c r="ANW9" s="50"/>
      <c r="ANX9" s="50"/>
      <c r="ANY9" s="50"/>
      <c r="ANZ9" s="50"/>
      <c r="AOA9" s="50"/>
      <c r="AOB9" s="50"/>
      <c r="AOC9" s="50"/>
      <c r="AOD9" s="50"/>
      <c r="AOE9" s="50"/>
      <c r="AOF9" s="50"/>
      <c r="AOG9" s="50"/>
      <c r="AOH9" s="50"/>
      <c r="AOI9" s="50"/>
      <c r="AOJ9" s="50"/>
      <c r="AOK9" s="50"/>
      <c r="AOL9" s="50"/>
      <c r="AOM9" s="50"/>
      <c r="AON9" s="50"/>
      <c r="AOO9" s="50"/>
      <c r="AOP9" s="50"/>
      <c r="AOQ9" s="50"/>
      <c r="AOR9" s="50"/>
      <c r="AOS9" s="50"/>
      <c r="AOT9" s="50"/>
      <c r="AOU9" s="50"/>
      <c r="AOV9" s="50"/>
      <c r="AOW9" s="50"/>
      <c r="AOX9" s="50"/>
      <c r="AOY9" s="50"/>
      <c r="AOZ9" s="50"/>
      <c r="APA9" s="50"/>
      <c r="APB9" s="50"/>
      <c r="APC9" s="50"/>
      <c r="APD9" s="50"/>
      <c r="APE9" s="50"/>
      <c r="APF9" s="50"/>
      <c r="APG9" s="50"/>
      <c r="APH9" s="50"/>
      <c r="API9" s="50"/>
      <c r="APJ9" s="50"/>
      <c r="APK9" s="50"/>
      <c r="APL9" s="50"/>
      <c r="APM9" s="50"/>
      <c r="APN9" s="50"/>
      <c r="APO9" s="50"/>
      <c r="APP9" s="50"/>
      <c r="APQ9" s="50"/>
      <c r="APR9" s="50"/>
      <c r="APS9" s="50"/>
      <c r="APT9" s="50"/>
      <c r="APU9" s="50"/>
      <c r="APV9" s="50"/>
      <c r="APW9" s="50"/>
      <c r="APX9" s="50"/>
      <c r="APY9" s="50"/>
      <c r="APZ9" s="50"/>
      <c r="AQA9" s="50"/>
      <c r="AQB9" s="50"/>
      <c r="AQC9" s="50"/>
      <c r="AQD9" s="50"/>
      <c r="AQE9" s="50"/>
      <c r="AQF9" s="50"/>
      <c r="AQG9" s="50"/>
      <c r="AQH9" s="50"/>
      <c r="AQI9" s="50"/>
      <c r="AQJ9" s="50"/>
      <c r="AQK9" s="50"/>
      <c r="AQL9" s="50"/>
      <c r="AQM9" s="50"/>
      <c r="AQN9" s="50"/>
      <c r="AQO9" s="50"/>
      <c r="AQP9" s="50"/>
      <c r="AQQ9" s="50"/>
      <c r="AQR9" s="50"/>
      <c r="AQS9" s="50"/>
      <c r="AQT9" s="50"/>
      <c r="AQU9" s="50"/>
      <c r="AQV9" s="50"/>
      <c r="AQW9" s="50"/>
      <c r="AQX9" s="50"/>
      <c r="AQY9" s="50"/>
      <c r="AQZ9" s="50"/>
      <c r="ARA9" s="50"/>
      <c r="ARB9" s="50"/>
      <c r="ARC9" s="50"/>
      <c r="ARD9" s="50"/>
      <c r="ARE9" s="50"/>
      <c r="ARF9" s="50"/>
      <c r="ARG9" s="50"/>
      <c r="ARH9" s="50"/>
      <c r="ARI9" s="50"/>
      <c r="ARJ9" s="50"/>
      <c r="ARK9" s="50"/>
      <c r="ARL9" s="50"/>
      <c r="ARM9" s="50"/>
      <c r="ARN9" s="50"/>
      <c r="ARO9" s="50"/>
      <c r="ARP9" s="50"/>
      <c r="ARQ9" s="50"/>
      <c r="ARR9" s="50"/>
      <c r="ARS9" s="50"/>
      <c r="ART9" s="50"/>
      <c r="ARU9" s="50"/>
      <c r="ARV9" s="50"/>
      <c r="ARW9" s="50"/>
      <c r="ARX9" s="50"/>
      <c r="ARY9" s="50"/>
      <c r="ARZ9" s="50"/>
      <c r="ASA9" s="50"/>
      <c r="ASB9" s="50"/>
      <c r="ASC9" s="50"/>
      <c r="ASD9" s="50"/>
      <c r="ASE9" s="50"/>
      <c r="ASF9" s="50"/>
      <c r="ASG9" s="50"/>
      <c r="ASH9" s="50"/>
      <c r="ASI9" s="50"/>
      <c r="ASJ9" s="50"/>
      <c r="ASK9" s="50"/>
      <c r="ASL9" s="50"/>
      <c r="ASM9" s="50"/>
      <c r="ASN9" s="50"/>
      <c r="ASO9" s="50"/>
      <c r="ASP9" s="50"/>
      <c r="ASQ9" s="50"/>
      <c r="ASR9" s="50"/>
      <c r="ASS9" s="50"/>
      <c r="AST9" s="50"/>
      <c r="ASU9" s="50"/>
      <c r="ASV9" s="50"/>
      <c r="ASW9" s="50"/>
      <c r="ASX9" s="50"/>
      <c r="ASY9" s="50"/>
      <c r="ASZ9" s="50"/>
      <c r="ATA9" s="50"/>
      <c r="ATB9" s="50"/>
      <c r="ATC9" s="50"/>
      <c r="ATD9" s="50"/>
      <c r="ATE9" s="50"/>
      <c r="ATF9" s="50"/>
      <c r="ATG9" s="50"/>
      <c r="ATH9" s="50"/>
      <c r="ATI9" s="50"/>
      <c r="ATJ9" s="50"/>
      <c r="ATK9" s="50"/>
      <c r="ATL9" s="50"/>
      <c r="ATM9" s="50"/>
      <c r="ATN9" s="50"/>
      <c r="ATO9" s="50"/>
      <c r="ATP9" s="50"/>
      <c r="ATQ9" s="50"/>
      <c r="ATR9" s="50"/>
      <c r="ATS9" s="50"/>
      <c r="ATT9" s="50"/>
      <c r="ATU9" s="50"/>
      <c r="ATV9" s="50"/>
      <c r="ATW9" s="50"/>
      <c r="ATX9" s="50"/>
      <c r="ATY9" s="50"/>
      <c r="ATZ9" s="50"/>
      <c r="AUA9" s="50"/>
      <c r="AUB9" s="50"/>
      <c r="AUC9" s="50"/>
      <c r="AUD9" s="50"/>
      <c r="AUE9" s="50"/>
      <c r="AUF9" s="50"/>
      <c r="AUG9" s="50"/>
      <c r="AUH9" s="50"/>
      <c r="AUI9" s="50"/>
      <c r="AUJ9" s="50"/>
      <c r="AUK9" s="50"/>
      <c r="AUL9" s="50"/>
      <c r="AUM9" s="50"/>
      <c r="AUN9" s="50"/>
      <c r="AUO9" s="50"/>
      <c r="AUP9" s="50"/>
      <c r="AUQ9" s="50"/>
      <c r="AUR9" s="50"/>
      <c r="AUS9" s="50"/>
      <c r="AUT9" s="50"/>
      <c r="AUU9" s="50"/>
      <c r="AUV9" s="50"/>
      <c r="AUW9" s="50"/>
      <c r="AUX9" s="50"/>
      <c r="AUY9" s="50"/>
      <c r="AUZ9" s="50"/>
      <c r="AVA9" s="50"/>
      <c r="AVB9" s="50"/>
      <c r="AVC9" s="50"/>
      <c r="AVD9" s="50"/>
      <c r="AVE9" s="50"/>
      <c r="AVF9" s="50"/>
      <c r="AVG9" s="50"/>
      <c r="AVH9" s="50"/>
      <c r="AVI9" s="50"/>
      <c r="AVJ9" s="50"/>
      <c r="AVK9" s="50"/>
      <c r="AVL9" s="50"/>
      <c r="AVM9" s="50"/>
      <c r="AVN9" s="50"/>
      <c r="AVO9" s="50"/>
      <c r="AVP9" s="50"/>
      <c r="AVQ9" s="50"/>
      <c r="AVR9" s="50"/>
      <c r="AVS9" s="50"/>
      <c r="AVT9" s="50"/>
      <c r="AVU9" s="50"/>
      <c r="AVV9" s="50"/>
      <c r="AVW9" s="50"/>
      <c r="AVX9" s="50"/>
      <c r="AVY9" s="50"/>
      <c r="AVZ9" s="50"/>
      <c r="AWA9" s="50"/>
      <c r="AWB9" s="50"/>
      <c r="AWC9" s="50"/>
      <c r="AWD9" s="50"/>
      <c r="AWE9" s="50"/>
      <c r="AWF9" s="50"/>
      <c r="AWG9" s="50"/>
      <c r="AWH9" s="50"/>
      <c r="AWI9" s="50"/>
      <c r="AWJ9" s="50"/>
      <c r="AWK9" s="50"/>
      <c r="AWL9" s="50"/>
      <c r="AWM9" s="50"/>
      <c r="AWN9" s="50"/>
      <c r="AWO9" s="50"/>
      <c r="AWP9" s="50"/>
      <c r="AWQ9" s="50"/>
      <c r="AWR9" s="50"/>
      <c r="AWS9" s="50"/>
      <c r="AWT9" s="50"/>
      <c r="AWU9" s="50"/>
      <c r="AWV9" s="50"/>
      <c r="AWW9" s="50"/>
      <c r="AWX9" s="50"/>
      <c r="AWY9" s="50"/>
      <c r="AWZ9" s="50"/>
      <c r="AXA9" s="50"/>
      <c r="AXB9" s="50"/>
      <c r="AXC9" s="50"/>
      <c r="AXD9" s="50"/>
      <c r="AXE9" s="50"/>
      <c r="AXF9" s="50"/>
      <c r="AXG9" s="50"/>
      <c r="AXH9" s="50"/>
      <c r="AXI9" s="50"/>
      <c r="AXJ9" s="50"/>
      <c r="AXK9" s="50"/>
      <c r="AXL9" s="50"/>
      <c r="AXM9" s="50"/>
      <c r="AXN9" s="50"/>
      <c r="AXO9" s="50"/>
      <c r="AXP9" s="50"/>
      <c r="AXQ9" s="50"/>
      <c r="AXR9" s="50"/>
      <c r="AXS9" s="50"/>
      <c r="AXT9" s="50"/>
      <c r="AXU9" s="50"/>
      <c r="AXV9" s="50"/>
      <c r="AXW9" s="50"/>
      <c r="AXX9" s="50"/>
      <c r="AXY9" s="50"/>
      <c r="AXZ9" s="50"/>
      <c r="AYA9" s="50"/>
      <c r="AYB9" s="50"/>
      <c r="AYC9" s="50"/>
      <c r="AYD9" s="50"/>
      <c r="AYE9" s="50"/>
      <c r="AYF9" s="50"/>
      <c r="AYG9" s="50"/>
      <c r="AYH9" s="50"/>
      <c r="AYI9" s="50"/>
      <c r="AYJ9" s="50"/>
      <c r="AYK9" s="50"/>
      <c r="AYL9" s="50"/>
      <c r="AYM9" s="50"/>
      <c r="AYN9" s="50"/>
      <c r="AYO9" s="50"/>
      <c r="AYP9" s="50"/>
      <c r="AYQ9" s="50"/>
      <c r="AYR9" s="50"/>
      <c r="AYS9" s="50"/>
      <c r="AYT9" s="50"/>
      <c r="AYU9" s="50"/>
      <c r="AYV9" s="50"/>
      <c r="AYW9" s="50"/>
      <c r="AYX9" s="50"/>
      <c r="AYY9" s="50"/>
      <c r="AYZ9" s="50"/>
      <c r="AZA9" s="50"/>
      <c r="AZB9" s="50"/>
      <c r="AZC9" s="50"/>
      <c r="AZD9" s="50"/>
      <c r="AZE9" s="50"/>
      <c r="AZF9" s="50"/>
      <c r="AZG9" s="50"/>
      <c r="AZH9" s="50"/>
      <c r="AZI9" s="50"/>
      <c r="AZJ9" s="50"/>
      <c r="AZK9" s="50"/>
      <c r="AZL9" s="50"/>
      <c r="AZM9" s="50"/>
      <c r="AZN9" s="50"/>
      <c r="AZO9" s="50"/>
      <c r="AZP9" s="50"/>
      <c r="AZQ9" s="50"/>
      <c r="AZR9" s="50"/>
      <c r="AZS9" s="50"/>
      <c r="AZT9" s="50"/>
      <c r="AZU9" s="50"/>
      <c r="AZV9" s="50"/>
      <c r="AZW9" s="50"/>
      <c r="AZX9" s="50"/>
      <c r="AZY9" s="50"/>
      <c r="AZZ9" s="50"/>
      <c r="BAA9" s="50"/>
      <c r="BAB9" s="50"/>
      <c r="BAC9" s="50"/>
      <c r="BAD9" s="50"/>
      <c r="BAE9" s="50"/>
      <c r="BAF9" s="50"/>
      <c r="BAG9" s="50"/>
      <c r="BAH9" s="50"/>
      <c r="BAI9" s="50"/>
      <c r="BAJ9" s="50"/>
      <c r="BAK9" s="50"/>
      <c r="BAL9" s="50"/>
      <c r="BAM9" s="50"/>
      <c r="BAN9" s="50"/>
      <c r="BAO9" s="50"/>
      <c r="BAP9" s="50"/>
      <c r="BAQ9" s="50"/>
      <c r="BAR9" s="50"/>
      <c r="BAS9" s="50"/>
      <c r="BAT9" s="50"/>
      <c r="BAU9" s="50"/>
      <c r="BAV9" s="50"/>
      <c r="BAW9" s="50"/>
      <c r="BAX9" s="50"/>
      <c r="BAY9" s="50"/>
      <c r="BAZ9" s="50"/>
      <c r="BBA9" s="50"/>
      <c r="BBB9" s="50"/>
      <c r="BBC9" s="50"/>
      <c r="BBD9" s="50"/>
      <c r="BBE9" s="50"/>
      <c r="BBF9" s="50"/>
      <c r="BBG9" s="50"/>
      <c r="BBH9" s="50"/>
      <c r="BBI9" s="50"/>
      <c r="BBJ9" s="50"/>
      <c r="BBK9" s="50"/>
      <c r="BBL9" s="50"/>
      <c r="BBM9" s="50"/>
      <c r="BBN9" s="50"/>
      <c r="BBO9" s="50"/>
      <c r="BBP9" s="50"/>
      <c r="BBQ9" s="50"/>
      <c r="BBR9" s="50"/>
      <c r="BBS9" s="50"/>
      <c r="BBT9" s="50"/>
      <c r="BBU9" s="50"/>
      <c r="BBV9" s="50"/>
      <c r="BBW9" s="50"/>
      <c r="BBX9" s="50"/>
      <c r="BBY9" s="50"/>
      <c r="BBZ9" s="50"/>
      <c r="BCA9" s="50"/>
      <c r="BCB9" s="50"/>
      <c r="BCC9" s="50"/>
      <c r="BCD9" s="50"/>
      <c r="BCE9" s="50"/>
      <c r="BCF9" s="50"/>
      <c r="BCG9" s="50"/>
      <c r="BCH9" s="50"/>
      <c r="BCI9" s="50"/>
      <c r="BCJ9" s="50"/>
      <c r="BCK9" s="50"/>
      <c r="BCL9" s="50"/>
      <c r="BCM9" s="50"/>
      <c r="BCN9" s="50"/>
      <c r="BCO9" s="50"/>
      <c r="BCP9" s="50"/>
      <c r="BCQ9" s="50"/>
      <c r="BCR9" s="50"/>
      <c r="BCS9" s="50"/>
      <c r="BCT9" s="50"/>
      <c r="BCU9" s="50"/>
      <c r="BCV9" s="50"/>
      <c r="BCW9" s="50"/>
      <c r="BCX9" s="50"/>
      <c r="BCY9" s="50"/>
      <c r="BCZ9" s="50"/>
      <c r="BDA9" s="50"/>
      <c r="BDB9" s="50"/>
      <c r="BDC9" s="50"/>
      <c r="BDD9" s="50"/>
      <c r="BDE9" s="50"/>
      <c r="BDF9" s="50"/>
      <c r="BDG9" s="50"/>
      <c r="BDH9" s="50"/>
      <c r="BDI9" s="50"/>
      <c r="BDJ9" s="50"/>
      <c r="BDK9" s="50"/>
      <c r="BDL9" s="50"/>
      <c r="BDM9" s="50"/>
      <c r="BDN9" s="50"/>
      <c r="BDO9" s="50"/>
      <c r="BDP9" s="50"/>
      <c r="BDQ9" s="50"/>
      <c r="BDR9" s="50"/>
      <c r="BDS9" s="50"/>
      <c r="BDT9" s="50"/>
      <c r="BDU9" s="50"/>
      <c r="BDV9" s="50"/>
      <c r="BDW9" s="50"/>
      <c r="BDX9" s="50"/>
      <c r="BDY9" s="50"/>
      <c r="BDZ9" s="50"/>
      <c r="BEA9" s="50"/>
      <c r="BEB9" s="50"/>
      <c r="BEC9" s="50"/>
      <c r="BED9" s="50"/>
      <c r="BEE9" s="50"/>
      <c r="BEF9" s="50"/>
      <c r="BEG9" s="50"/>
      <c r="BEH9" s="50"/>
      <c r="BEI9" s="50"/>
      <c r="BEJ9" s="50"/>
      <c r="BEK9" s="50"/>
      <c r="BEL9" s="50"/>
      <c r="BEM9" s="50"/>
      <c r="BEN9" s="50"/>
      <c r="BEO9" s="50"/>
      <c r="BEP9" s="50"/>
      <c r="BEQ9" s="50"/>
      <c r="BER9" s="50"/>
      <c r="BES9" s="50"/>
      <c r="BET9" s="50"/>
      <c r="BEU9" s="50"/>
      <c r="BEV9" s="50"/>
      <c r="BEW9" s="50"/>
      <c r="BEX9" s="50"/>
      <c r="BEY9" s="50"/>
      <c r="BEZ9" s="50"/>
      <c r="BFA9" s="50"/>
      <c r="BFB9" s="50"/>
      <c r="BFC9" s="50"/>
      <c r="BFD9" s="50"/>
      <c r="BFE9" s="50"/>
      <c r="BFF9" s="50"/>
      <c r="BFG9" s="50"/>
      <c r="BFH9" s="50"/>
      <c r="BFI9" s="50"/>
      <c r="BFJ9" s="50"/>
      <c r="BFK9" s="50"/>
      <c r="BFL9" s="50"/>
      <c r="BFM9" s="50"/>
      <c r="BFN9" s="50"/>
      <c r="BFO9" s="50"/>
      <c r="BFP9" s="50"/>
      <c r="BFQ9" s="50"/>
      <c r="BFR9" s="50"/>
      <c r="BFS9" s="50"/>
      <c r="BFT9" s="50"/>
      <c r="BFU9" s="50"/>
      <c r="BFV9" s="50"/>
      <c r="BFW9" s="50"/>
      <c r="BFX9" s="50"/>
      <c r="BFY9" s="50"/>
      <c r="BFZ9" s="50"/>
      <c r="BGA9" s="50"/>
      <c r="BGB9" s="50"/>
      <c r="BGC9" s="50"/>
      <c r="BGD9" s="50"/>
      <c r="BGE9" s="50"/>
      <c r="BGF9" s="50"/>
      <c r="BGG9" s="50"/>
      <c r="BGH9" s="50"/>
      <c r="BGI9" s="50"/>
      <c r="BGJ9" s="50"/>
      <c r="BGK9" s="50"/>
      <c r="BGL9" s="50"/>
      <c r="BGM9" s="50"/>
      <c r="BGN9" s="50"/>
      <c r="BGO9" s="50"/>
      <c r="BGP9" s="50"/>
      <c r="BGQ9" s="50"/>
      <c r="BGR9" s="50"/>
      <c r="BGS9" s="50"/>
      <c r="BGT9" s="50"/>
      <c r="BGU9" s="50"/>
      <c r="BGV9" s="50"/>
      <c r="BGW9" s="50"/>
      <c r="BGX9" s="50"/>
      <c r="BGY9" s="50"/>
      <c r="BGZ9" s="50"/>
      <c r="BHA9" s="50"/>
      <c r="BHB9" s="50"/>
      <c r="BHC9" s="50"/>
      <c r="BHD9" s="50"/>
      <c r="BHE9" s="50"/>
      <c r="BHF9" s="50"/>
      <c r="BHG9" s="50"/>
      <c r="BHH9" s="50"/>
      <c r="BHI9" s="50"/>
      <c r="BHJ9" s="50"/>
      <c r="BHK9" s="50"/>
      <c r="BHL9" s="50"/>
      <c r="BHM9" s="50"/>
      <c r="BHN9" s="50"/>
      <c r="BHO9" s="50"/>
      <c r="BHP9" s="50"/>
      <c r="BHQ9" s="50"/>
      <c r="BHR9" s="50"/>
      <c r="BHS9" s="50"/>
      <c r="BHT9" s="50"/>
      <c r="BHU9" s="50"/>
      <c r="BHV9" s="50"/>
      <c r="BHW9" s="50"/>
      <c r="BHX9" s="50"/>
      <c r="BHY9" s="50"/>
      <c r="BHZ9" s="50"/>
      <c r="BIA9" s="50"/>
      <c r="BIB9" s="50"/>
      <c r="BIC9" s="50"/>
      <c r="BID9" s="50"/>
      <c r="BIE9" s="50"/>
      <c r="BIF9" s="50"/>
      <c r="BIG9" s="50"/>
      <c r="BIH9" s="50"/>
      <c r="BII9" s="50"/>
      <c r="BIJ9" s="50"/>
      <c r="BIK9" s="50"/>
      <c r="BIL9" s="50"/>
      <c r="BIM9" s="50"/>
      <c r="BIN9" s="50"/>
      <c r="BIO9" s="50"/>
      <c r="BIP9" s="50"/>
      <c r="BIQ9" s="50"/>
      <c r="BIR9" s="50"/>
      <c r="BIS9" s="50"/>
      <c r="BIT9" s="50"/>
      <c r="BIU9" s="50"/>
      <c r="BIV9" s="50"/>
      <c r="BIW9" s="50"/>
      <c r="BIX9" s="50"/>
      <c r="BIY9" s="50"/>
      <c r="BIZ9" s="50"/>
      <c r="BJA9" s="50"/>
      <c r="BJB9" s="50"/>
      <c r="BJC9" s="50"/>
      <c r="BJD9" s="50"/>
      <c r="BJE9" s="50"/>
      <c r="BJF9" s="50"/>
      <c r="BJG9" s="50"/>
      <c r="BJH9" s="50"/>
      <c r="BJI9" s="50"/>
      <c r="BJJ9" s="50"/>
      <c r="BJK9" s="50"/>
      <c r="BJL9" s="50"/>
      <c r="BJM9" s="50"/>
      <c r="BJN9" s="50"/>
      <c r="BJO9" s="50"/>
      <c r="BJP9" s="50"/>
      <c r="BJQ9" s="50"/>
      <c r="BJR9" s="50"/>
      <c r="BJS9" s="50"/>
      <c r="BJT9" s="50"/>
      <c r="BJU9" s="50"/>
      <c r="BJV9" s="50"/>
      <c r="BJW9" s="50"/>
      <c r="BJX9" s="50"/>
      <c r="BJY9" s="50"/>
      <c r="BJZ9" s="50"/>
      <c r="BKA9" s="50"/>
      <c r="BKB9" s="50"/>
      <c r="BKC9" s="50"/>
      <c r="BKD9" s="50"/>
      <c r="BKE9" s="50"/>
      <c r="BKF9" s="50"/>
      <c r="BKG9" s="50"/>
      <c r="BKH9" s="50"/>
      <c r="BKI9" s="50"/>
      <c r="BKJ9" s="50"/>
      <c r="BKK9" s="50"/>
      <c r="BKL9" s="50"/>
      <c r="BKM9" s="50"/>
      <c r="BKN9" s="50"/>
      <c r="BKO9" s="50"/>
      <c r="BKP9" s="50"/>
      <c r="BKQ9" s="50"/>
      <c r="BKR9" s="50"/>
      <c r="BKS9" s="50"/>
      <c r="BKT9" s="50"/>
      <c r="BKU9" s="50"/>
      <c r="BKV9" s="50"/>
      <c r="BKW9" s="50"/>
      <c r="BKX9" s="50"/>
      <c r="BKY9" s="50"/>
      <c r="BKZ9" s="50"/>
      <c r="BLA9" s="50"/>
      <c r="BLB9" s="50"/>
      <c r="BLC9" s="50"/>
      <c r="BLD9" s="50"/>
      <c r="BLE9" s="50"/>
      <c r="BLF9" s="50"/>
      <c r="BLG9" s="50"/>
      <c r="BLH9" s="50"/>
      <c r="BLI9" s="50"/>
      <c r="BLJ9" s="50"/>
      <c r="BLK9" s="50"/>
      <c r="BLL9" s="50"/>
      <c r="BLM9" s="50"/>
      <c r="BLN9" s="50"/>
      <c r="BLO9" s="50"/>
      <c r="BLP9" s="50"/>
      <c r="BLQ9" s="50"/>
      <c r="BLR9" s="50"/>
      <c r="BLS9" s="50"/>
      <c r="BLT9" s="50"/>
      <c r="BLU9" s="50"/>
      <c r="BLV9" s="50"/>
      <c r="BLW9" s="50"/>
      <c r="BLX9" s="50"/>
      <c r="BLY9" s="50"/>
      <c r="BLZ9" s="50"/>
      <c r="BMA9" s="50"/>
      <c r="BMB9" s="50"/>
      <c r="BMC9" s="50"/>
      <c r="BMD9" s="50"/>
      <c r="BME9" s="50"/>
      <c r="BMF9" s="50"/>
      <c r="BMG9" s="50"/>
      <c r="BMH9" s="50"/>
      <c r="BMI9" s="50"/>
      <c r="BMJ9" s="50"/>
      <c r="BMK9" s="50"/>
      <c r="BML9" s="50"/>
      <c r="BMM9" s="50"/>
      <c r="BMN9" s="50"/>
      <c r="BMO9" s="50"/>
      <c r="BMP9" s="50"/>
      <c r="BMQ9" s="50"/>
      <c r="BMR9" s="50"/>
      <c r="BMS9" s="50"/>
      <c r="BMT9" s="50"/>
      <c r="BMU9" s="50"/>
      <c r="BMV9" s="50"/>
      <c r="BMW9" s="50"/>
      <c r="BMX9" s="50"/>
      <c r="BMY9" s="50"/>
      <c r="BMZ9" s="50"/>
      <c r="BNA9" s="50"/>
      <c r="BNB9" s="50"/>
      <c r="BNC9" s="50"/>
      <c r="BND9" s="50"/>
      <c r="BNE9" s="50"/>
      <c r="BNF9" s="50"/>
      <c r="BNG9" s="50"/>
      <c r="BNH9" s="50"/>
      <c r="BNI9" s="50"/>
      <c r="BNJ9" s="50"/>
      <c r="BNK9" s="50"/>
      <c r="BNL9" s="50"/>
      <c r="BNM9" s="50"/>
      <c r="BNN9" s="50"/>
      <c r="BNO9" s="50"/>
      <c r="BNP9" s="50"/>
      <c r="BNQ9" s="50"/>
      <c r="BNR9" s="50"/>
      <c r="BNS9" s="50"/>
      <c r="BNT9" s="50"/>
      <c r="BNU9" s="50"/>
      <c r="BNV9" s="50"/>
      <c r="BNW9" s="50"/>
      <c r="BNX9" s="50"/>
      <c r="BNY9" s="50"/>
      <c r="BNZ9" s="50"/>
      <c r="BOA9" s="50"/>
      <c r="BOB9" s="50"/>
      <c r="BOC9" s="50"/>
      <c r="BOD9" s="50"/>
      <c r="BOE9" s="50"/>
      <c r="BOF9" s="50"/>
      <c r="BOG9" s="50"/>
      <c r="BOH9" s="50"/>
      <c r="BOI9" s="50"/>
      <c r="BOJ9" s="50"/>
      <c r="BOK9" s="50"/>
      <c r="BOL9" s="50"/>
      <c r="BOM9" s="50"/>
      <c r="BON9" s="50"/>
      <c r="BOO9" s="50"/>
      <c r="BOP9" s="50"/>
      <c r="BOQ9" s="50"/>
      <c r="BOR9" s="50"/>
      <c r="BOS9" s="50"/>
      <c r="BOT9" s="50"/>
      <c r="BOU9" s="50"/>
      <c r="BOV9" s="50"/>
      <c r="BOW9" s="50"/>
      <c r="BOX9" s="50"/>
      <c r="BOY9" s="50"/>
      <c r="BOZ9" s="50"/>
      <c r="BPA9" s="50"/>
      <c r="BPB9" s="50"/>
      <c r="BPC9" s="50"/>
      <c r="BPD9" s="50"/>
      <c r="BPE9" s="50"/>
      <c r="BPF9" s="50"/>
      <c r="BPG9" s="50"/>
      <c r="BPH9" s="50"/>
      <c r="BPI9" s="50"/>
      <c r="BPJ9" s="50"/>
      <c r="BPK9" s="50"/>
      <c r="BPL9" s="50"/>
      <c r="BPM9" s="50"/>
      <c r="BPN9" s="50"/>
      <c r="BPO9" s="50"/>
      <c r="BPP9" s="50"/>
      <c r="BPQ9" s="50"/>
      <c r="BPR9" s="50"/>
      <c r="BPS9" s="50"/>
      <c r="BPT9" s="50"/>
      <c r="BPU9" s="50"/>
      <c r="BPV9" s="50"/>
      <c r="BPW9" s="50"/>
      <c r="BPX9" s="50"/>
      <c r="BPY9" s="50"/>
      <c r="BPZ9" s="50"/>
      <c r="BQA9" s="50"/>
      <c r="BQB9" s="50"/>
      <c r="BQC9" s="50"/>
      <c r="BQD9" s="50"/>
      <c r="BQE9" s="50"/>
      <c r="BQF9" s="50"/>
      <c r="BQG9" s="50"/>
      <c r="BQH9" s="50"/>
      <c r="BQI9" s="50"/>
      <c r="BQJ9" s="50"/>
      <c r="BQK9" s="50"/>
      <c r="BQL9" s="50"/>
      <c r="BQM9" s="50"/>
      <c r="BQN9" s="50"/>
      <c r="BQO9" s="50"/>
      <c r="BQP9" s="50"/>
      <c r="BQQ9" s="50"/>
      <c r="BQR9" s="50"/>
      <c r="BQS9" s="50"/>
      <c r="BQT9" s="50"/>
      <c r="BQU9" s="50"/>
      <c r="BQV9" s="50"/>
      <c r="BQW9" s="50"/>
      <c r="BQX9" s="50"/>
      <c r="BQY9" s="50"/>
      <c r="BQZ9" s="50"/>
      <c r="BRA9" s="50"/>
      <c r="BRB9" s="50"/>
      <c r="BRC9" s="50"/>
      <c r="BRD9" s="50"/>
      <c r="BRE9" s="50"/>
      <c r="BRF9" s="50"/>
      <c r="BRG9" s="50"/>
      <c r="BRH9" s="50"/>
      <c r="BRI9" s="50"/>
      <c r="BRJ9" s="50"/>
      <c r="BRK9" s="50"/>
      <c r="BRL9" s="50"/>
      <c r="BRM9" s="50"/>
      <c r="BRN9" s="50"/>
      <c r="BRO9" s="50"/>
      <c r="BRP9" s="50"/>
      <c r="BRQ9" s="50"/>
      <c r="BRR9" s="50"/>
      <c r="BRS9" s="50"/>
      <c r="BRT9" s="50"/>
      <c r="BRU9" s="50"/>
      <c r="BRV9" s="50"/>
      <c r="BRW9" s="50"/>
      <c r="BRX9" s="50"/>
      <c r="BRY9" s="50"/>
      <c r="BRZ9" s="50"/>
      <c r="BSA9" s="50"/>
      <c r="BSB9" s="50"/>
      <c r="BSC9" s="50"/>
      <c r="BSD9" s="50"/>
      <c r="BSE9" s="50"/>
      <c r="BSF9" s="50"/>
      <c r="BSG9" s="50"/>
      <c r="BSH9" s="50"/>
      <c r="BSI9" s="50"/>
      <c r="BSJ9" s="50"/>
      <c r="BSK9" s="50"/>
      <c r="BSL9" s="50"/>
      <c r="BSM9" s="50"/>
      <c r="BSN9" s="50"/>
      <c r="BSO9" s="50"/>
      <c r="BSP9" s="50"/>
      <c r="BSQ9" s="50"/>
      <c r="BSR9" s="50"/>
      <c r="BSS9" s="50"/>
      <c r="BST9" s="50"/>
      <c r="BSU9" s="50"/>
      <c r="BSV9" s="50"/>
      <c r="BSW9" s="50"/>
      <c r="BSX9" s="50"/>
      <c r="BSY9" s="50"/>
      <c r="BSZ9" s="50"/>
      <c r="BTA9" s="50"/>
      <c r="BTB9" s="50"/>
      <c r="BTC9" s="50"/>
      <c r="BTD9" s="50"/>
      <c r="BTE9" s="50"/>
      <c r="BTF9" s="50"/>
      <c r="BTG9" s="50"/>
      <c r="BTH9" s="50"/>
      <c r="BTI9" s="50"/>
      <c r="BTJ9" s="50"/>
      <c r="BTK9" s="50"/>
      <c r="BTL9" s="50"/>
      <c r="BTM9" s="50"/>
      <c r="BTN9" s="50"/>
      <c r="BTO9" s="50"/>
      <c r="BTP9" s="50"/>
      <c r="BTQ9" s="50"/>
      <c r="BTR9" s="50"/>
      <c r="BTS9" s="50"/>
      <c r="BTT9" s="50"/>
      <c r="BTU9" s="50"/>
      <c r="BTV9" s="50"/>
      <c r="BTW9" s="50"/>
      <c r="BTX9" s="50"/>
    </row>
    <row r="10" ht="15.75" customHeight="1">
      <c r="A10" t="s">
        <v>60</v>
      </c>
      <c r="B10" t="s">
        <v>36</v>
      </c>
      <c r="E10">
        <v>900.0</v>
      </c>
      <c r="F10" t="s">
        <v>78</v>
      </c>
      <c r="G10" t="s">
        <v>64</v>
      </c>
      <c r="K10">
        <v>60.0</v>
      </c>
      <c r="L10">
        <v>60.0</v>
      </c>
      <c r="O10" t="s">
        <v>70</v>
      </c>
      <c r="V10" t="s">
        <v>79</v>
      </c>
      <c r="Z10" t="s">
        <v>67</v>
      </c>
      <c r="AD10" t="s">
        <v>66</v>
      </c>
      <c r="AE10">
        <v>900.0</v>
      </c>
      <c r="AF10" t="s">
        <v>60</v>
      </c>
      <c r="AH10" t="s">
        <v>81</v>
      </c>
      <c r="AI10">
        <v>1.0</v>
      </c>
      <c r="AP10" t="b">
        <v>1</v>
      </c>
      <c r="AQ10" t="b">
        <v>0</v>
      </c>
      <c r="AR10" t="b">
        <v>1</v>
      </c>
      <c r="BE10">
        <v>54000.0</v>
      </c>
      <c r="BF10">
        <v>54000.0</v>
      </c>
      <c r="BJ10">
        <v>900.0</v>
      </c>
      <c r="BM10" t="s">
        <v>67</v>
      </c>
      <c r="BO10" t="s">
        <v>42</v>
      </c>
      <c r="BT10" t="s">
        <v>34</v>
      </c>
      <c r="CK10" t="s">
        <v>65</v>
      </c>
      <c r="CL10">
        <v>1.0</v>
      </c>
      <c r="CM10" t="s">
        <v>34</v>
      </c>
      <c r="CN10" t="s">
        <v>69</v>
      </c>
      <c r="CX10" t="s">
        <v>60</v>
      </c>
      <c r="CY10" t="s">
        <v>60</v>
      </c>
      <c r="CZ10" t="s">
        <v>60</v>
      </c>
      <c r="DA10" t="s">
        <v>60</v>
      </c>
      <c r="DB10" t="s">
        <v>60</v>
      </c>
      <c r="DC10" t="s">
        <v>60</v>
      </c>
      <c r="DD10" t="s">
        <v>60</v>
      </c>
      <c r="DE10" t="s">
        <v>60</v>
      </c>
      <c r="DF10" t="s">
        <v>60</v>
      </c>
      <c r="DG10" t="s">
        <v>60</v>
      </c>
      <c r="DH10" t="s">
        <v>60</v>
      </c>
      <c r="DI10" t="s">
        <v>60</v>
      </c>
      <c r="DJ10" t="s">
        <v>60</v>
      </c>
      <c r="DK10" t="s">
        <v>60</v>
      </c>
      <c r="DL10" t="s">
        <v>60</v>
      </c>
      <c r="DM10" t="s">
        <v>60</v>
      </c>
      <c r="DN10" t="s">
        <v>60</v>
      </c>
      <c r="DO10" t="s">
        <v>60</v>
      </c>
      <c r="DP10" t="s">
        <v>60</v>
      </c>
      <c r="DQ10" t="s">
        <v>60</v>
      </c>
      <c r="DR10" t="s">
        <v>60</v>
      </c>
      <c r="DS10" t="s">
        <v>60</v>
      </c>
      <c r="DT10" t="s">
        <v>60</v>
      </c>
      <c r="DU10" t="s">
        <v>60</v>
      </c>
      <c r="DV10" t="s">
        <v>60</v>
      </c>
      <c r="DW10" t="s">
        <v>60</v>
      </c>
      <c r="DX10" t="s">
        <v>60</v>
      </c>
      <c r="DY10" t="s">
        <v>60</v>
      </c>
      <c r="DZ10" t="s">
        <v>60</v>
      </c>
      <c r="EA10" t="s">
        <v>60</v>
      </c>
      <c r="EB10" t="s">
        <v>60</v>
      </c>
      <c r="EC10" t="s">
        <v>60</v>
      </c>
      <c r="ED10" t="s">
        <v>60</v>
      </c>
      <c r="EE10" t="s">
        <v>60</v>
      </c>
      <c r="EF10" t="s">
        <v>60</v>
      </c>
      <c r="EG10" t="s">
        <v>60</v>
      </c>
      <c r="EH10" t="s">
        <v>60</v>
      </c>
      <c r="EI10" t="s">
        <v>60</v>
      </c>
      <c r="EJ10" t="s">
        <v>60</v>
      </c>
      <c r="EK10" t="s">
        <v>60</v>
      </c>
      <c r="EL10" t="s">
        <v>60</v>
      </c>
      <c r="EM10" t="s">
        <v>60</v>
      </c>
      <c r="EN10" t="s">
        <v>60</v>
      </c>
      <c r="EO10" t="s">
        <v>60</v>
      </c>
      <c r="EP10" t="s">
        <v>60</v>
      </c>
      <c r="EQ10" t="s">
        <v>60</v>
      </c>
      <c r="ER10" t="s">
        <v>60</v>
      </c>
      <c r="ES10" t="s">
        <v>60</v>
      </c>
      <c r="ET10" t="s">
        <v>60</v>
      </c>
      <c r="EU10" t="s">
        <v>60</v>
      </c>
      <c r="EV10" t="s">
        <v>60</v>
      </c>
      <c r="EW10" t="s">
        <v>60</v>
      </c>
      <c r="EX10" t="s">
        <v>60</v>
      </c>
      <c r="EY10" t="s">
        <v>60</v>
      </c>
      <c r="EZ10" t="s">
        <v>60</v>
      </c>
      <c r="FA10" t="s">
        <v>60</v>
      </c>
      <c r="FB10" t="s">
        <v>60</v>
      </c>
      <c r="FC10" t="s">
        <v>60</v>
      </c>
      <c r="FD10" t="s">
        <v>60</v>
      </c>
      <c r="FE10" t="s">
        <v>60</v>
      </c>
      <c r="FF10" t="s">
        <v>60</v>
      </c>
      <c r="FG10" t="s">
        <v>60</v>
      </c>
      <c r="FH10" t="s">
        <v>60</v>
      </c>
      <c r="FI10" t="s">
        <v>60</v>
      </c>
      <c r="FJ10" t="s">
        <v>60</v>
      </c>
      <c r="FK10" t="s">
        <v>60</v>
      </c>
      <c r="FL10" t="s">
        <v>60</v>
      </c>
      <c r="FM10" t="s">
        <v>60</v>
      </c>
      <c r="FN10" t="s">
        <v>60</v>
      </c>
      <c r="FO10" t="s">
        <v>60</v>
      </c>
      <c r="FP10" t="s">
        <v>60</v>
      </c>
      <c r="FQ10" t="s">
        <v>60</v>
      </c>
      <c r="AML10" s="36" t="str">
        <f t="shared" ref="AML10:AND10" si="5">iferror(INDEX('Input(Other)'!$A:$FF,MATCH($A10,'Input(Other)'!$A$1:$A$210,0),MATCH(AML$1,'Input(Other)'!$1:$1,0)),"")</f>
        <v/>
      </c>
      <c r="AMM10" s="36" t="str">
        <f t="shared" si="5"/>
        <v/>
      </c>
      <c r="AMN10" s="36" t="str">
        <f t="shared" si="5"/>
        <v/>
      </c>
      <c r="AMO10" s="36" t="str">
        <f t="shared" si="5"/>
        <v/>
      </c>
      <c r="AMP10" s="36" t="str">
        <f t="shared" si="5"/>
        <v/>
      </c>
      <c r="AMQ10" s="36" t="str">
        <f t="shared" si="5"/>
        <v/>
      </c>
      <c r="AMR10" s="36" t="str">
        <f t="shared" si="5"/>
        <v/>
      </c>
      <c r="AMS10" s="36" t="str">
        <f t="shared" si="5"/>
        <v/>
      </c>
      <c r="AMT10" s="36" t="str">
        <f t="shared" si="5"/>
        <v/>
      </c>
      <c r="AMU10" s="36" t="str">
        <f t="shared" si="5"/>
        <v/>
      </c>
      <c r="AMV10" s="36" t="str">
        <f t="shared" si="5"/>
        <v/>
      </c>
      <c r="AMW10" s="36" t="str">
        <f t="shared" si="5"/>
        <v/>
      </c>
      <c r="AMX10" s="36" t="str">
        <f t="shared" si="5"/>
        <v/>
      </c>
      <c r="AMY10" s="36" t="str">
        <f t="shared" si="5"/>
        <v/>
      </c>
      <c r="AMZ10" s="36" t="str">
        <f t="shared" si="5"/>
        <v/>
      </c>
      <c r="ANA10" s="36" t="str">
        <f t="shared" si="5"/>
        <v/>
      </c>
      <c r="ANB10" s="36" t="str">
        <f t="shared" si="5"/>
        <v/>
      </c>
      <c r="ANC10" s="36" t="str">
        <f t="shared" si="5"/>
        <v/>
      </c>
      <c r="AND10" s="36" t="str">
        <f t="shared" si="5"/>
        <v/>
      </c>
      <c r="ANE10" s="50"/>
      <c r="ANF10" s="50"/>
      <c r="ANG10" s="50"/>
      <c r="ANH10" s="50"/>
      <c r="ANI10" s="50"/>
      <c r="ANJ10" s="50"/>
      <c r="ANK10" s="50"/>
      <c r="ANL10" s="50"/>
      <c r="ANM10" s="50"/>
      <c r="ANN10" s="50"/>
      <c r="ANO10" s="50"/>
      <c r="ANP10" s="50"/>
      <c r="ANQ10" s="50"/>
      <c r="ANR10" s="50"/>
      <c r="ANS10" s="50"/>
      <c r="ANT10" s="50"/>
      <c r="ANU10" s="50"/>
      <c r="ANV10" s="50"/>
      <c r="ANW10" s="50"/>
      <c r="ANX10" s="50"/>
      <c r="ANY10" s="50"/>
      <c r="ANZ10" s="50"/>
      <c r="AOA10" s="50"/>
      <c r="AOB10" s="50"/>
      <c r="AOC10" s="50"/>
      <c r="AOD10" s="50"/>
      <c r="AOE10" s="50"/>
      <c r="AOF10" s="50"/>
      <c r="AOG10" s="50"/>
      <c r="AOH10" s="50"/>
      <c r="AOI10" s="50"/>
      <c r="AOJ10" s="50"/>
      <c r="AOK10" s="50"/>
      <c r="AOL10" s="50"/>
      <c r="AOM10" s="50"/>
      <c r="AON10" s="50"/>
      <c r="AOO10" s="50"/>
      <c r="AOP10" s="50"/>
      <c r="AOQ10" s="50"/>
      <c r="AOR10" s="50"/>
      <c r="AOS10" s="50"/>
      <c r="AOT10" s="50"/>
      <c r="AOU10" s="50"/>
      <c r="AOV10" s="50"/>
      <c r="AOW10" s="50"/>
      <c r="AOX10" s="50"/>
      <c r="AOY10" s="50"/>
      <c r="AOZ10" s="50"/>
      <c r="APA10" s="50"/>
      <c r="APB10" s="50"/>
      <c r="APC10" s="50"/>
      <c r="APD10" s="50"/>
      <c r="APE10" s="50"/>
      <c r="APF10" s="50"/>
      <c r="APG10" s="50"/>
      <c r="APH10" s="50"/>
      <c r="API10" s="50"/>
      <c r="APJ10" s="50"/>
      <c r="APK10" s="50"/>
      <c r="APL10" s="50"/>
      <c r="APM10" s="50"/>
      <c r="APN10" s="50"/>
      <c r="APO10" s="50"/>
      <c r="APP10" s="50"/>
      <c r="APQ10" s="50"/>
      <c r="APR10" s="50"/>
      <c r="APS10" s="50"/>
      <c r="APT10" s="50"/>
      <c r="APU10" s="50"/>
      <c r="APV10" s="50"/>
      <c r="APW10" s="50"/>
      <c r="APX10" s="50"/>
      <c r="APY10" s="50"/>
      <c r="APZ10" s="50"/>
      <c r="AQA10" s="50"/>
      <c r="AQB10" s="50"/>
      <c r="AQC10" s="50"/>
      <c r="AQD10" s="50"/>
      <c r="AQE10" s="50"/>
      <c r="AQF10" s="50"/>
      <c r="AQG10" s="50"/>
      <c r="AQH10" s="50"/>
      <c r="AQI10" s="50"/>
      <c r="AQJ10" s="50"/>
      <c r="AQK10" s="50"/>
      <c r="AQL10" s="50"/>
      <c r="AQM10" s="50"/>
      <c r="AQN10" s="50"/>
      <c r="AQO10" s="50"/>
      <c r="AQP10" s="50"/>
      <c r="AQQ10" s="50"/>
      <c r="AQR10" s="50"/>
      <c r="AQS10" s="50"/>
      <c r="AQT10" s="50"/>
      <c r="AQU10" s="50"/>
      <c r="AQV10" s="50"/>
      <c r="AQW10" s="50"/>
      <c r="AQX10" s="50"/>
      <c r="AQY10" s="50"/>
      <c r="AQZ10" s="50"/>
      <c r="ARA10" s="50"/>
      <c r="ARB10" s="50"/>
      <c r="ARC10" s="50"/>
      <c r="ARD10" s="50"/>
      <c r="ARE10" s="50"/>
      <c r="ARF10" s="50"/>
      <c r="ARG10" s="50"/>
      <c r="ARH10" s="50"/>
      <c r="ARI10" s="50"/>
      <c r="ARJ10" s="50"/>
      <c r="ARK10" s="50"/>
      <c r="ARL10" s="50"/>
      <c r="ARM10" s="50"/>
      <c r="ARN10" s="50"/>
      <c r="ARO10" s="50"/>
      <c r="ARP10" s="50"/>
      <c r="ARQ10" s="50"/>
      <c r="ARR10" s="50"/>
      <c r="ARS10" s="50"/>
      <c r="ART10" s="50"/>
      <c r="ARU10" s="50"/>
      <c r="ARV10" s="50"/>
      <c r="ARW10" s="50"/>
      <c r="ARX10" s="50"/>
      <c r="ARY10" s="50"/>
      <c r="ARZ10" s="50"/>
      <c r="ASA10" s="50"/>
      <c r="ASB10" s="50"/>
      <c r="ASC10" s="50"/>
      <c r="ASD10" s="50"/>
      <c r="ASE10" s="50"/>
      <c r="ASF10" s="50"/>
      <c r="ASG10" s="50"/>
      <c r="ASH10" s="50"/>
      <c r="ASI10" s="50"/>
      <c r="ASJ10" s="50"/>
      <c r="ASK10" s="50"/>
      <c r="ASL10" s="50"/>
      <c r="ASM10" s="50"/>
      <c r="ASN10" s="50"/>
      <c r="ASO10" s="50"/>
      <c r="ASP10" s="50"/>
      <c r="ASQ10" s="50"/>
      <c r="ASR10" s="50"/>
      <c r="ASS10" s="50"/>
      <c r="AST10" s="50"/>
      <c r="ASU10" s="50"/>
      <c r="ASV10" s="50"/>
      <c r="ASW10" s="50"/>
      <c r="ASX10" s="50"/>
      <c r="ASY10" s="50"/>
      <c r="ASZ10" s="50"/>
      <c r="ATA10" s="50"/>
      <c r="ATB10" s="50"/>
      <c r="ATC10" s="50"/>
      <c r="ATD10" s="50"/>
      <c r="ATE10" s="50"/>
      <c r="ATF10" s="50"/>
      <c r="ATG10" s="50"/>
      <c r="ATH10" s="50"/>
      <c r="ATI10" s="50"/>
      <c r="ATJ10" s="50"/>
      <c r="ATK10" s="50"/>
      <c r="ATL10" s="50"/>
      <c r="ATM10" s="50"/>
      <c r="ATN10" s="50"/>
      <c r="ATO10" s="50"/>
      <c r="ATP10" s="50"/>
      <c r="ATQ10" s="50"/>
      <c r="ATR10" s="50"/>
      <c r="ATS10" s="50"/>
      <c r="ATT10" s="50"/>
      <c r="ATU10" s="50"/>
      <c r="ATV10" s="50"/>
      <c r="ATW10" s="50"/>
      <c r="ATX10" s="50"/>
      <c r="ATY10" s="50"/>
      <c r="ATZ10" s="50"/>
      <c r="AUA10" s="50"/>
      <c r="AUB10" s="50"/>
      <c r="AUC10" s="50"/>
      <c r="AUD10" s="50"/>
      <c r="AUE10" s="50"/>
      <c r="AUF10" s="50"/>
      <c r="AUG10" s="50"/>
      <c r="AUH10" s="50"/>
      <c r="AUI10" s="50"/>
      <c r="AUJ10" s="50"/>
      <c r="AUK10" s="50"/>
      <c r="AUL10" s="50"/>
      <c r="AUM10" s="50"/>
      <c r="AUN10" s="50"/>
      <c r="AUO10" s="50"/>
      <c r="AUP10" s="50"/>
      <c r="AUQ10" s="50"/>
      <c r="AUR10" s="50"/>
      <c r="AUS10" s="50"/>
      <c r="AUT10" s="50"/>
      <c r="AUU10" s="50"/>
      <c r="AUV10" s="50"/>
      <c r="AUW10" s="50"/>
      <c r="AUX10" s="50"/>
      <c r="AUY10" s="50"/>
      <c r="AUZ10" s="50"/>
      <c r="AVA10" s="50"/>
      <c r="AVB10" s="50"/>
      <c r="AVC10" s="50"/>
      <c r="AVD10" s="50"/>
      <c r="AVE10" s="50"/>
      <c r="AVF10" s="50"/>
      <c r="AVG10" s="50"/>
      <c r="AVH10" s="50"/>
      <c r="AVI10" s="50"/>
      <c r="AVJ10" s="50"/>
      <c r="AVK10" s="50"/>
      <c r="AVL10" s="50"/>
      <c r="AVM10" s="50"/>
      <c r="AVN10" s="50"/>
      <c r="AVO10" s="50"/>
      <c r="AVP10" s="50"/>
      <c r="AVQ10" s="50"/>
      <c r="AVR10" s="50"/>
      <c r="AVS10" s="50"/>
      <c r="AVT10" s="50"/>
      <c r="AVU10" s="50"/>
      <c r="AVV10" s="50"/>
      <c r="AVW10" s="50"/>
      <c r="AVX10" s="50"/>
      <c r="AVY10" s="50"/>
      <c r="AVZ10" s="50"/>
      <c r="AWA10" s="50"/>
      <c r="AWB10" s="50"/>
      <c r="AWC10" s="50"/>
      <c r="AWD10" s="50"/>
      <c r="AWE10" s="50"/>
      <c r="AWF10" s="50"/>
      <c r="AWG10" s="50"/>
      <c r="AWH10" s="50"/>
      <c r="AWI10" s="50"/>
      <c r="AWJ10" s="50"/>
      <c r="AWK10" s="50"/>
      <c r="AWL10" s="50"/>
      <c r="AWM10" s="50"/>
      <c r="AWN10" s="50"/>
      <c r="AWO10" s="50"/>
      <c r="AWP10" s="50"/>
      <c r="AWQ10" s="50"/>
      <c r="AWR10" s="50"/>
      <c r="AWS10" s="50"/>
      <c r="AWT10" s="50"/>
      <c r="AWU10" s="50"/>
      <c r="AWV10" s="50"/>
      <c r="AWW10" s="50"/>
      <c r="AWX10" s="50"/>
      <c r="AWY10" s="50"/>
      <c r="AWZ10" s="50"/>
      <c r="AXA10" s="50"/>
      <c r="AXB10" s="50"/>
      <c r="AXC10" s="50"/>
      <c r="AXD10" s="50"/>
      <c r="AXE10" s="50"/>
      <c r="AXF10" s="50"/>
      <c r="AXG10" s="50"/>
      <c r="AXH10" s="50"/>
      <c r="AXI10" s="50"/>
      <c r="AXJ10" s="50"/>
      <c r="AXK10" s="50"/>
      <c r="AXL10" s="50"/>
      <c r="AXM10" s="50"/>
      <c r="AXN10" s="50"/>
      <c r="AXO10" s="50"/>
      <c r="AXP10" s="50"/>
      <c r="AXQ10" s="50"/>
      <c r="AXR10" s="50"/>
      <c r="AXS10" s="50"/>
      <c r="AXT10" s="50"/>
      <c r="AXU10" s="50"/>
      <c r="AXV10" s="50"/>
      <c r="AXW10" s="50"/>
      <c r="AXX10" s="50"/>
      <c r="AXY10" s="50"/>
      <c r="AXZ10" s="50"/>
      <c r="AYA10" s="50"/>
      <c r="AYB10" s="50"/>
      <c r="AYC10" s="50"/>
      <c r="AYD10" s="50"/>
      <c r="AYE10" s="50"/>
      <c r="AYF10" s="50"/>
      <c r="AYG10" s="50"/>
      <c r="AYH10" s="50"/>
      <c r="AYI10" s="50"/>
      <c r="AYJ10" s="50"/>
      <c r="AYK10" s="50"/>
      <c r="AYL10" s="50"/>
      <c r="AYM10" s="50"/>
      <c r="AYN10" s="50"/>
      <c r="AYO10" s="50"/>
      <c r="AYP10" s="50"/>
      <c r="AYQ10" s="50"/>
      <c r="AYR10" s="50"/>
      <c r="AYS10" s="50"/>
      <c r="AYT10" s="50"/>
      <c r="AYU10" s="50"/>
      <c r="AYV10" s="50"/>
      <c r="AYW10" s="50"/>
      <c r="AYX10" s="50"/>
      <c r="AYY10" s="50"/>
      <c r="AYZ10" s="50"/>
      <c r="AZA10" s="50"/>
      <c r="AZB10" s="50"/>
      <c r="AZC10" s="50"/>
      <c r="AZD10" s="50"/>
      <c r="AZE10" s="50"/>
      <c r="AZF10" s="50"/>
      <c r="AZG10" s="50"/>
      <c r="AZH10" s="50"/>
      <c r="AZI10" s="50"/>
      <c r="AZJ10" s="50"/>
      <c r="AZK10" s="50"/>
      <c r="AZL10" s="50"/>
      <c r="AZM10" s="50"/>
      <c r="AZN10" s="50"/>
      <c r="AZO10" s="50"/>
      <c r="AZP10" s="50"/>
      <c r="AZQ10" s="50"/>
      <c r="AZR10" s="50"/>
      <c r="AZS10" s="50"/>
      <c r="AZT10" s="50"/>
      <c r="AZU10" s="50"/>
      <c r="AZV10" s="50"/>
      <c r="AZW10" s="50"/>
      <c r="AZX10" s="50"/>
      <c r="AZY10" s="50"/>
      <c r="AZZ10" s="50"/>
      <c r="BAA10" s="50"/>
      <c r="BAB10" s="50"/>
      <c r="BAC10" s="50"/>
      <c r="BAD10" s="50"/>
      <c r="BAE10" s="50"/>
      <c r="BAF10" s="50"/>
      <c r="BAG10" s="50"/>
      <c r="BAH10" s="50"/>
      <c r="BAI10" s="50"/>
      <c r="BAJ10" s="50"/>
      <c r="BAK10" s="50"/>
      <c r="BAL10" s="50"/>
      <c r="BAM10" s="50"/>
      <c r="BAN10" s="50"/>
      <c r="BAO10" s="50"/>
      <c r="BAP10" s="50"/>
      <c r="BAQ10" s="50"/>
      <c r="BAR10" s="50"/>
      <c r="BAS10" s="50"/>
      <c r="BAT10" s="50"/>
      <c r="BAU10" s="50"/>
      <c r="BAV10" s="50"/>
      <c r="BAW10" s="50"/>
      <c r="BAX10" s="50"/>
      <c r="BAY10" s="50"/>
      <c r="BAZ10" s="50"/>
      <c r="BBA10" s="50"/>
      <c r="BBB10" s="50"/>
      <c r="BBC10" s="50"/>
      <c r="BBD10" s="50"/>
      <c r="BBE10" s="50"/>
      <c r="BBF10" s="50"/>
      <c r="BBG10" s="50"/>
      <c r="BBH10" s="50"/>
      <c r="BBI10" s="50"/>
      <c r="BBJ10" s="50"/>
      <c r="BBK10" s="50"/>
      <c r="BBL10" s="50"/>
      <c r="BBM10" s="50"/>
      <c r="BBN10" s="50"/>
      <c r="BBO10" s="50"/>
      <c r="BBP10" s="50"/>
      <c r="BBQ10" s="50"/>
      <c r="BBR10" s="50"/>
      <c r="BBS10" s="50"/>
      <c r="BBT10" s="50"/>
      <c r="BBU10" s="50"/>
      <c r="BBV10" s="50"/>
      <c r="BBW10" s="50"/>
      <c r="BBX10" s="50"/>
      <c r="BBY10" s="50"/>
      <c r="BBZ10" s="50"/>
      <c r="BCA10" s="50"/>
      <c r="BCB10" s="50"/>
      <c r="BCC10" s="50"/>
      <c r="BCD10" s="50"/>
      <c r="BCE10" s="50"/>
      <c r="BCF10" s="50"/>
      <c r="BCG10" s="50"/>
      <c r="BCH10" s="50"/>
      <c r="BCI10" s="50"/>
      <c r="BCJ10" s="50"/>
      <c r="BCK10" s="50"/>
      <c r="BCL10" s="50"/>
      <c r="BCM10" s="50"/>
      <c r="BCN10" s="50"/>
      <c r="BCO10" s="50"/>
      <c r="BCP10" s="50"/>
      <c r="BCQ10" s="50"/>
      <c r="BCR10" s="50"/>
      <c r="BCS10" s="50"/>
      <c r="BCT10" s="50"/>
      <c r="BCU10" s="50"/>
      <c r="BCV10" s="50"/>
      <c r="BCW10" s="50"/>
      <c r="BCX10" s="50"/>
      <c r="BCY10" s="50"/>
      <c r="BCZ10" s="50"/>
      <c r="BDA10" s="50"/>
      <c r="BDB10" s="50"/>
      <c r="BDC10" s="50"/>
      <c r="BDD10" s="50"/>
      <c r="BDE10" s="50"/>
      <c r="BDF10" s="50"/>
      <c r="BDG10" s="50"/>
      <c r="BDH10" s="50"/>
      <c r="BDI10" s="50"/>
      <c r="BDJ10" s="50"/>
      <c r="BDK10" s="50"/>
      <c r="BDL10" s="50"/>
      <c r="BDM10" s="50"/>
      <c r="BDN10" s="50"/>
      <c r="BDO10" s="50"/>
      <c r="BDP10" s="50"/>
      <c r="BDQ10" s="50"/>
      <c r="BDR10" s="50"/>
      <c r="BDS10" s="50"/>
      <c r="BDT10" s="50"/>
      <c r="BDU10" s="50"/>
      <c r="BDV10" s="50"/>
      <c r="BDW10" s="50"/>
      <c r="BDX10" s="50"/>
      <c r="BDY10" s="50"/>
      <c r="BDZ10" s="50"/>
      <c r="BEA10" s="50"/>
      <c r="BEB10" s="50"/>
      <c r="BEC10" s="50"/>
      <c r="BED10" s="50"/>
      <c r="BEE10" s="50"/>
      <c r="BEF10" s="50"/>
      <c r="BEG10" s="50"/>
      <c r="BEH10" s="50"/>
      <c r="BEI10" s="50"/>
      <c r="BEJ10" s="50"/>
      <c r="BEK10" s="50"/>
      <c r="BEL10" s="50"/>
      <c r="BEM10" s="50"/>
      <c r="BEN10" s="50"/>
      <c r="BEO10" s="50"/>
      <c r="BEP10" s="50"/>
      <c r="BEQ10" s="50"/>
      <c r="BER10" s="50"/>
      <c r="BES10" s="50"/>
      <c r="BET10" s="50"/>
      <c r="BEU10" s="50"/>
      <c r="BEV10" s="50"/>
      <c r="BEW10" s="50"/>
      <c r="BEX10" s="50"/>
      <c r="BEY10" s="50"/>
      <c r="BEZ10" s="50"/>
      <c r="BFA10" s="50"/>
      <c r="BFB10" s="50"/>
      <c r="BFC10" s="50"/>
      <c r="BFD10" s="50"/>
      <c r="BFE10" s="50"/>
      <c r="BFF10" s="50"/>
      <c r="BFG10" s="50"/>
      <c r="BFH10" s="50"/>
      <c r="BFI10" s="50"/>
      <c r="BFJ10" s="50"/>
      <c r="BFK10" s="50"/>
      <c r="BFL10" s="50"/>
      <c r="BFM10" s="50"/>
      <c r="BFN10" s="50"/>
      <c r="BFO10" s="50"/>
      <c r="BFP10" s="50"/>
      <c r="BFQ10" s="50"/>
      <c r="BFR10" s="50"/>
      <c r="BFS10" s="50"/>
      <c r="BFT10" s="50"/>
      <c r="BFU10" s="50"/>
      <c r="BFV10" s="50"/>
      <c r="BFW10" s="50"/>
      <c r="BFX10" s="50"/>
      <c r="BFY10" s="50"/>
      <c r="BFZ10" s="50"/>
      <c r="BGA10" s="50"/>
      <c r="BGB10" s="50"/>
      <c r="BGC10" s="50"/>
      <c r="BGD10" s="50"/>
      <c r="BGE10" s="50"/>
      <c r="BGF10" s="50"/>
      <c r="BGG10" s="50"/>
      <c r="BGH10" s="50"/>
      <c r="BGI10" s="50"/>
      <c r="BGJ10" s="50"/>
      <c r="BGK10" s="50"/>
      <c r="BGL10" s="50"/>
      <c r="BGM10" s="50"/>
      <c r="BGN10" s="50"/>
      <c r="BGO10" s="50"/>
      <c r="BGP10" s="50"/>
      <c r="BGQ10" s="50"/>
      <c r="BGR10" s="50"/>
      <c r="BGS10" s="50"/>
      <c r="BGT10" s="50"/>
      <c r="BGU10" s="50"/>
      <c r="BGV10" s="50"/>
      <c r="BGW10" s="50"/>
      <c r="BGX10" s="50"/>
      <c r="BGY10" s="50"/>
      <c r="BGZ10" s="50"/>
      <c r="BHA10" s="50"/>
      <c r="BHB10" s="50"/>
      <c r="BHC10" s="50"/>
      <c r="BHD10" s="50"/>
      <c r="BHE10" s="50"/>
      <c r="BHF10" s="50"/>
      <c r="BHG10" s="50"/>
      <c r="BHH10" s="50"/>
      <c r="BHI10" s="50"/>
      <c r="BHJ10" s="50"/>
      <c r="BHK10" s="50"/>
      <c r="BHL10" s="50"/>
      <c r="BHM10" s="50"/>
      <c r="BHN10" s="50"/>
      <c r="BHO10" s="50"/>
      <c r="BHP10" s="50"/>
      <c r="BHQ10" s="50"/>
      <c r="BHR10" s="50"/>
      <c r="BHS10" s="50"/>
      <c r="BHT10" s="50"/>
      <c r="BHU10" s="50"/>
      <c r="BHV10" s="50"/>
      <c r="BHW10" s="50"/>
      <c r="BHX10" s="50"/>
      <c r="BHY10" s="50"/>
      <c r="BHZ10" s="50"/>
      <c r="BIA10" s="50"/>
      <c r="BIB10" s="50"/>
      <c r="BIC10" s="50"/>
      <c r="BID10" s="50"/>
      <c r="BIE10" s="50"/>
      <c r="BIF10" s="50"/>
      <c r="BIG10" s="50"/>
      <c r="BIH10" s="50"/>
      <c r="BII10" s="50"/>
      <c r="BIJ10" s="50"/>
      <c r="BIK10" s="50"/>
      <c r="BIL10" s="50"/>
      <c r="BIM10" s="50"/>
      <c r="BIN10" s="50"/>
      <c r="BIO10" s="50"/>
      <c r="BIP10" s="50"/>
      <c r="BIQ10" s="50"/>
      <c r="BIR10" s="50"/>
      <c r="BIS10" s="50"/>
      <c r="BIT10" s="50"/>
      <c r="BIU10" s="50"/>
      <c r="BIV10" s="50"/>
      <c r="BIW10" s="50"/>
      <c r="BIX10" s="50"/>
      <c r="BIY10" s="50"/>
      <c r="BIZ10" s="50"/>
      <c r="BJA10" s="50"/>
      <c r="BJB10" s="50"/>
      <c r="BJC10" s="50"/>
      <c r="BJD10" s="50"/>
      <c r="BJE10" s="50"/>
      <c r="BJF10" s="50"/>
      <c r="BJG10" s="50"/>
      <c r="BJH10" s="50"/>
      <c r="BJI10" s="50"/>
      <c r="BJJ10" s="50"/>
      <c r="BJK10" s="50"/>
      <c r="BJL10" s="50"/>
      <c r="BJM10" s="50"/>
      <c r="BJN10" s="50"/>
      <c r="BJO10" s="50"/>
      <c r="BJP10" s="50"/>
      <c r="BJQ10" s="50"/>
      <c r="BJR10" s="50"/>
      <c r="BJS10" s="50"/>
      <c r="BJT10" s="50"/>
      <c r="BJU10" s="50"/>
      <c r="BJV10" s="50"/>
      <c r="BJW10" s="50"/>
      <c r="BJX10" s="50"/>
      <c r="BJY10" s="50"/>
      <c r="BJZ10" s="50"/>
      <c r="BKA10" s="50"/>
      <c r="BKB10" s="50"/>
      <c r="BKC10" s="50"/>
      <c r="BKD10" s="50"/>
      <c r="BKE10" s="50"/>
      <c r="BKF10" s="50"/>
      <c r="BKG10" s="50"/>
      <c r="BKH10" s="50"/>
      <c r="BKI10" s="50"/>
      <c r="BKJ10" s="50"/>
      <c r="BKK10" s="50"/>
      <c r="BKL10" s="50"/>
      <c r="BKM10" s="50"/>
      <c r="BKN10" s="50"/>
      <c r="BKO10" s="50"/>
      <c r="BKP10" s="50"/>
      <c r="BKQ10" s="50"/>
      <c r="BKR10" s="50"/>
      <c r="BKS10" s="50"/>
      <c r="BKT10" s="50"/>
      <c r="BKU10" s="50"/>
      <c r="BKV10" s="50"/>
      <c r="BKW10" s="50"/>
      <c r="BKX10" s="50"/>
      <c r="BKY10" s="50"/>
      <c r="BKZ10" s="50"/>
      <c r="BLA10" s="50"/>
      <c r="BLB10" s="50"/>
      <c r="BLC10" s="50"/>
      <c r="BLD10" s="50"/>
      <c r="BLE10" s="50"/>
      <c r="BLF10" s="50"/>
      <c r="BLG10" s="50"/>
      <c r="BLH10" s="50"/>
      <c r="BLI10" s="50"/>
      <c r="BLJ10" s="50"/>
      <c r="BLK10" s="50"/>
      <c r="BLL10" s="50"/>
      <c r="BLM10" s="50"/>
      <c r="BLN10" s="50"/>
      <c r="BLO10" s="50"/>
      <c r="BLP10" s="50"/>
      <c r="BLQ10" s="50"/>
      <c r="BLR10" s="50"/>
      <c r="BLS10" s="50"/>
      <c r="BLT10" s="50"/>
      <c r="BLU10" s="50"/>
      <c r="BLV10" s="50"/>
      <c r="BLW10" s="50"/>
      <c r="BLX10" s="50"/>
      <c r="BLY10" s="50"/>
      <c r="BLZ10" s="50"/>
      <c r="BMA10" s="50"/>
      <c r="BMB10" s="50"/>
      <c r="BMC10" s="50"/>
      <c r="BMD10" s="50"/>
      <c r="BME10" s="50"/>
      <c r="BMF10" s="50"/>
      <c r="BMG10" s="50"/>
      <c r="BMH10" s="50"/>
      <c r="BMI10" s="50"/>
      <c r="BMJ10" s="50"/>
      <c r="BMK10" s="50"/>
      <c r="BML10" s="50"/>
      <c r="BMM10" s="50"/>
      <c r="BMN10" s="50"/>
      <c r="BMO10" s="50"/>
      <c r="BMP10" s="50"/>
      <c r="BMQ10" s="50"/>
      <c r="BMR10" s="50"/>
      <c r="BMS10" s="50"/>
      <c r="BMT10" s="50"/>
      <c r="BMU10" s="50"/>
      <c r="BMV10" s="50"/>
      <c r="BMW10" s="50"/>
      <c r="BMX10" s="50"/>
      <c r="BMY10" s="50"/>
      <c r="BMZ10" s="50"/>
      <c r="BNA10" s="50"/>
      <c r="BNB10" s="50"/>
      <c r="BNC10" s="50"/>
      <c r="BND10" s="50"/>
      <c r="BNE10" s="50"/>
      <c r="BNF10" s="50"/>
      <c r="BNG10" s="50"/>
      <c r="BNH10" s="50"/>
      <c r="BNI10" s="50"/>
      <c r="BNJ10" s="50"/>
      <c r="BNK10" s="50"/>
      <c r="BNL10" s="50"/>
      <c r="BNM10" s="50"/>
      <c r="BNN10" s="50"/>
      <c r="BNO10" s="50"/>
      <c r="BNP10" s="50"/>
      <c r="BNQ10" s="50"/>
      <c r="BNR10" s="50"/>
      <c r="BNS10" s="50"/>
      <c r="BNT10" s="50"/>
      <c r="BNU10" s="50"/>
      <c r="BNV10" s="50"/>
      <c r="BNW10" s="50"/>
      <c r="BNX10" s="50"/>
      <c r="BNY10" s="50"/>
      <c r="BNZ10" s="50"/>
      <c r="BOA10" s="50"/>
      <c r="BOB10" s="50"/>
      <c r="BOC10" s="50"/>
      <c r="BOD10" s="50"/>
      <c r="BOE10" s="50"/>
      <c r="BOF10" s="50"/>
      <c r="BOG10" s="50"/>
      <c r="BOH10" s="50"/>
      <c r="BOI10" s="50"/>
      <c r="BOJ10" s="50"/>
      <c r="BOK10" s="50"/>
      <c r="BOL10" s="50"/>
      <c r="BOM10" s="50"/>
      <c r="BON10" s="50"/>
      <c r="BOO10" s="50"/>
      <c r="BOP10" s="50"/>
      <c r="BOQ10" s="50"/>
      <c r="BOR10" s="50"/>
      <c r="BOS10" s="50"/>
      <c r="BOT10" s="50"/>
      <c r="BOU10" s="50"/>
      <c r="BOV10" s="50"/>
      <c r="BOW10" s="50"/>
      <c r="BOX10" s="50"/>
      <c r="BOY10" s="50"/>
      <c r="BOZ10" s="50"/>
      <c r="BPA10" s="50"/>
      <c r="BPB10" s="50"/>
      <c r="BPC10" s="50"/>
      <c r="BPD10" s="50"/>
      <c r="BPE10" s="50"/>
      <c r="BPF10" s="50"/>
      <c r="BPG10" s="50"/>
      <c r="BPH10" s="50"/>
      <c r="BPI10" s="50"/>
      <c r="BPJ10" s="50"/>
      <c r="BPK10" s="50"/>
      <c r="BPL10" s="50"/>
      <c r="BPM10" s="50"/>
      <c r="BPN10" s="50"/>
      <c r="BPO10" s="50"/>
      <c r="BPP10" s="50"/>
      <c r="BPQ10" s="50"/>
      <c r="BPR10" s="50"/>
      <c r="BPS10" s="50"/>
      <c r="BPT10" s="50"/>
      <c r="BPU10" s="50"/>
      <c r="BPV10" s="50"/>
      <c r="BPW10" s="50"/>
      <c r="BPX10" s="50"/>
      <c r="BPY10" s="50"/>
      <c r="BPZ10" s="50"/>
      <c r="BQA10" s="50"/>
      <c r="BQB10" s="50"/>
      <c r="BQC10" s="50"/>
      <c r="BQD10" s="50"/>
      <c r="BQE10" s="50"/>
      <c r="BQF10" s="50"/>
      <c r="BQG10" s="50"/>
      <c r="BQH10" s="50"/>
      <c r="BQI10" s="50"/>
      <c r="BQJ10" s="50"/>
      <c r="BQK10" s="50"/>
      <c r="BQL10" s="50"/>
      <c r="BQM10" s="50"/>
      <c r="BQN10" s="50"/>
      <c r="BQO10" s="50"/>
      <c r="BQP10" s="50"/>
      <c r="BQQ10" s="50"/>
      <c r="BQR10" s="50"/>
      <c r="BQS10" s="50"/>
      <c r="BQT10" s="50"/>
      <c r="BQU10" s="50"/>
      <c r="BQV10" s="50"/>
      <c r="BQW10" s="50"/>
      <c r="BQX10" s="50"/>
      <c r="BQY10" s="50"/>
      <c r="BQZ10" s="50"/>
      <c r="BRA10" s="50"/>
      <c r="BRB10" s="50"/>
      <c r="BRC10" s="50"/>
      <c r="BRD10" s="50"/>
      <c r="BRE10" s="50"/>
      <c r="BRF10" s="50"/>
      <c r="BRG10" s="50"/>
      <c r="BRH10" s="50"/>
      <c r="BRI10" s="50"/>
      <c r="BRJ10" s="50"/>
      <c r="BRK10" s="50"/>
      <c r="BRL10" s="50"/>
      <c r="BRM10" s="50"/>
      <c r="BRN10" s="50"/>
      <c r="BRO10" s="50"/>
      <c r="BRP10" s="50"/>
      <c r="BRQ10" s="50"/>
      <c r="BRR10" s="50"/>
      <c r="BRS10" s="50"/>
      <c r="BRT10" s="50"/>
      <c r="BRU10" s="50"/>
      <c r="BRV10" s="50"/>
      <c r="BRW10" s="50"/>
      <c r="BRX10" s="50"/>
      <c r="BRY10" s="50"/>
      <c r="BRZ10" s="50"/>
      <c r="BSA10" s="50"/>
      <c r="BSB10" s="50"/>
      <c r="BSC10" s="50"/>
      <c r="BSD10" s="50"/>
      <c r="BSE10" s="50"/>
      <c r="BSF10" s="50"/>
      <c r="BSG10" s="50"/>
      <c r="BSH10" s="50"/>
      <c r="BSI10" s="50"/>
      <c r="BSJ10" s="50"/>
      <c r="BSK10" s="50"/>
      <c r="BSL10" s="50"/>
      <c r="BSM10" s="50"/>
      <c r="BSN10" s="50"/>
      <c r="BSO10" s="50"/>
      <c r="BSP10" s="50"/>
      <c r="BSQ10" s="50"/>
      <c r="BSR10" s="50"/>
      <c r="BSS10" s="50"/>
      <c r="BST10" s="50"/>
      <c r="BSU10" s="50"/>
      <c r="BSV10" s="50"/>
      <c r="BSW10" s="50"/>
      <c r="BSX10" s="50"/>
      <c r="BSY10" s="50"/>
      <c r="BSZ10" s="50"/>
      <c r="BTA10" s="50"/>
      <c r="BTB10" s="50"/>
      <c r="BTC10" s="50"/>
      <c r="BTD10" s="50"/>
      <c r="BTE10" s="50"/>
      <c r="BTF10" s="50"/>
      <c r="BTG10" s="50"/>
      <c r="BTH10" s="50"/>
      <c r="BTI10" s="50"/>
      <c r="BTJ10" s="50"/>
      <c r="BTK10" s="50"/>
      <c r="BTL10" s="50"/>
      <c r="BTM10" s="50"/>
      <c r="BTN10" s="50"/>
      <c r="BTO10" s="50"/>
      <c r="BTP10" s="50"/>
      <c r="BTQ10" s="50"/>
      <c r="BTR10" s="50"/>
      <c r="BTS10" s="50"/>
      <c r="BTT10" s="50"/>
      <c r="BTU10" s="50"/>
      <c r="BTV10" s="50"/>
      <c r="BTW10" s="50"/>
      <c r="BTX10" s="50"/>
    </row>
    <row r="11" ht="15.75" customHeight="1">
      <c r="A11" t="s">
        <v>60</v>
      </c>
      <c r="B11" t="s">
        <v>40</v>
      </c>
      <c r="E11">
        <v>1000.0</v>
      </c>
      <c r="F11" t="s">
        <v>78</v>
      </c>
      <c r="G11" t="s">
        <v>64</v>
      </c>
      <c r="K11">
        <v>70.0</v>
      </c>
      <c r="L11">
        <v>70.0</v>
      </c>
      <c r="O11" t="s">
        <v>70</v>
      </c>
      <c r="V11" t="s">
        <v>82</v>
      </c>
      <c r="Z11" t="s">
        <v>67</v>
      </c>
      <c r="AD11" t="s">
        <v>66</v>
      </c>
      <c r="AE11">
        <v>1000.0</v>
      </c>
      <c r="AF11" t="s">
        <v>60</v>
      </c>
      <c r="AH11" t="s">
        <v>80</v>
      </c>
      <c r="AI11">
        <v>1.0</v>
      </c>
      <c r="AP11" t="b">
        <v>1</v>
      </c>
      <c r="AQ11" t="b">
        <v>0</v>
      </c>
      <c r="AR11" t="b">
        <v>1</v>
      </c>
      <c r="BE11">
        <v>70000.0</v>
      </c>
      <c r="BF11">
        <v>70000.0</v>
      </c>
      <c r="BJ11">
        <v>1000.0</v>
      </c>
      <c r="BM11" t="s">
        <v>67</v>
      </c>
      <c r="BO11" t="s">
        <v>35</v>
      </c>
      <c r="BT11" t="s">
        <v>39</v>
      </c>
      <c r="CK11" t="s">
        <v>65</v>
      </c>
      <c r="CL11">
        <v>1.0</v>
      </c>
      <c r="CM11" t="s">
        <v>39</v>
      </c>
      <c r="CN11" t="s">
        <v>69</v>
      </c>
      <c r="CX11" t="s">
        <v>60</v>
      </c>
      <c r="CY11" t="s">
        <v>60</v>
      </c>
      <c r="CZ11" t="s">
        <v>60</v>
      </c>
      <c r="DA11" t="s">
        <v>60</v>
      </c>
      <c r="DB11" t="s">
        <v>60</v>
      </c>
      <c r="DC11" t="s">
        <v>60</v>
      </c>
      <c r="DD11" t="s">
        <v>60</v>
      </c>
      <c r="DE11" t="s">
        <v>60</v>
      </c>
      <c r="DF11" t="s">
        <v>60</v>
      </c>
      <c r="DG11" t="s">
        <v>60</v>
      </c>
      <c r="DH11" t="s">
        <v>60</v>
      </c>
      <c r="DI11" t="s">
        <v>60</v>
      </c>
      <c r="DJ11" t="s">
        <v>60</v>
      </c>
      <c r="DK11" t="s">
        <v>60</v>
      </c>
      <c r="DL11" t="s">
        <v>60</v>
      </c>
      <c r="DM11" t="s">
        <v>60</v>
      </c>
      <c r="DN11" t="s">
        <v>60</v>
      </c>
      <c r="DO11" t="s">
        <v>60</v>
      </c>
      <c r="DP11" t="s">
        <v>60</v>
      </c>
      <c r="DQ11" t="s">
        <v>60</v>
      </c>
      <c r="DR11" t="s">
        <v>60</v>
      </c>
      <c r="DS11" t="s">
        <v>60</v>
      </c>
      <c r="DT11" t="s">
        <v>60</v>
      </c>
      <c r="DU11" t="s">
        <v>60</v>
      </c>
      <c r="DV11" t="s">
        <v>60</v>
      </c>
      <c r="DW11" t="s">
        <v>60</v>
      </c>
      <c r="DX11" t="s">
        <v>60</v>
      </c>
      <c r="DY11" t="s">
        <v>60</v>
      </c>
      <c r="DZ11" t="s">
        <v>60</v>
      </c>
      <c r="EA11" t="s">
        <v>60</v>
      </c>
      <c r="EB11" t="s">
        <v>60</v>
      </c>
      <c r="EC11" t="s">
        <v>60</v>
      </c>
      <c r="ED11" t="s">
        <v>60</v>
      </c>
      <c r="EE11" t="s">
        <v>60</v>
      </c>
      <c r="EF11" t="s">
        <v>60</v>
      </c>
      <c r="EG11" t="s">
        <v>60</v>
      </c>
      <c r="EH11" t="s">
        <v>60</v>
      </c>
      <c r="EI11" t="s">
        <v>60</v>
      </c>
      <c r="EJ11" t="s">
        <v>60</v>
      </c>
      <c r="EK11" t="s">
        <v>60</v>
      </c>
      <c r="EL11" t="s">
        <v>60</v>
      </c>
      <c r="EM11" t="s">
        <v>60</v>
      </c>
      <c r="EN11" t="s">
        <v>60</v>
      </c>
      <c r="EO11" t="s">
        <v>60</v>
      </c>
      <c r="EP11" t="s">
        <v>60</v>
      </c>
      <c r="EQ11" t="s">
        <v>60</v>
      </c>
      <c r="ER11" t="s">
        <v>60</v>
      </c>
      <c r="ES11" t="s">
        <v>60</v>
      </c>
      <c r="ET11" t="s">
        <v>60</v>
      </c>
      <c r="EU11" t="s">
        <v>60</v>
      </c>
      <c r="EV11" t="s">
        <v>60</v>
      </c>
      <c r="EW11" t="s">
        <v>60</v>
      </c>
      <c r="EX11" t="s">
        <v>60</v>
      </c>
      <c r="EY11" t="s">
        <v>60</v>
      </c>
      <c r="EZ11" t="s">
        <v>60</v>
      </c>
      <c r="FA11" t="s">
        <v>60</v>
      </c>
      <c r="FB11" t="s">
        <v>60</v>
      </c>
      <c r="FC11" t="s">
        <v>60</v>
      </c>
      <c r="FD11" t="s">
        <v>60</v>
      </c>
      <c r="FE11" t="s">
        <v>60</v>
      </c>
      <c r="FF11" t="s">
        <v>60</v>
      </c>
      <c r="FG11" t="s">
        <v>60</v>
      </c>
      <c r="FH11" t="s">
        <v>60</v>
      </c>
      <c r="FI11" t="s">
        <v>60</v>
      </c>
      <c r="FJ11" t="s">
        <v>60</v>
      </c>
      <c r="FK11" t="s">
        <v>60</v>
      </c>
      <c r="FL11" t="s">
        <v>60</v>
      </c>
      <c r="FM11" t="s">
        <v>60</v>
      </c>
      <c r="FN11" t="s">
        <v>60</v>
      </c>
      <c r="FO11" t="s">
        <v>60</v>
      </c>
      <c r="FP11" t="s">
        <v>60</v>
      </c>
      <c r="FQ11" t="s">
        <v>60</v>
      </c>
      <c r="AML11" s="36" t="str">
        <f t="shared" ref="AML11:AND11" si="6">iferror(INDEX('Input(Other)'!$A:$FF,MATCH($A11,'Input(Other)'!$A$1:$A$210,0),MATCH(AML$1,'Input(Other)'!$1:$1,0)),"")</f>
        <v/>
      </c>
      <c r="AMM11" s="36" t="str">
        <f t="shared" si="6"/>
        <v/>
      </c>
      <c r="AMN11" s="36" t="str">
        <f t="shared" si="6"/>
        <v/>
      </c>
      <c r="AMO11" s="36" t="str">
        <f t="shared" si="6"/>
        <v/>
      </c>
      <c r="AMP11" s="36" t="str">
        <f t="shared" si="6"/>
        <v/>
      </c>
      <c r="AMQ11" s="36" t="str">
        <f t="shared" si="6"/>
        <v/>
      </c>
      <c r="AMR11" s="36" t="str">
        <f t="shared" si="6"/>
        <v/>
      </c>
      <c r="AMS11" s="36" t="str">
        <f t="shared" si="6"/>
        <v/>
      </c>
      <c r="AMT11" s="36" t="str">
        <f t="shared" si="6"/>
        <v/>
      </c>
      <c r="AMU11" s="36" t="str">
        <f t="shared" si="6"/>
        <v/>
      </c>
      <c r="AMV11" s="36" t="str">
        <f t="shared" si="6"/>
        <v/>
      </c>
      <c r="AMW11" s="36" t="str">
        <f t="shared" si="6"/>
        <v/>
      </c>
      <c r="AMX11" s="36" t="str">
        <f t="shared" si="6"/>
        <v/>
      </c>
      <c r="AMY11" s="36" t="str">
        <f t="shared" si="6"/>
        <v/>
      </c>
      <c r="AMZ11" s="36" t="str">
        <f t="shared" si="6"/>
        <v/>
      </c>
      <c r="ANA11" s="36" t="str">
        <f t="shared" si="6"/>
        <v/>
      </c>
      <c r="ANB11" s="36" t="str">
        <f t="shared" si="6"/>
        <v/>
      </c>
      <c r="ANC11" s="36" t="str">
        <f t="shared" si="6"/>
        <v/>
      </c>
      <c r="AND11" s="36" t="str">
        <f t="shared" si="6"/>
        <v/>
      </c>
      <c r="ANE11" s="50"/>
      <c r="ANF11" s="50"/>
      <c r="ANG11" s="50"/>
      <c r="ANH11" s="50"/>
      <c r="ANI11" s="50"/>
      <c r="ANJ11" s="50"/>
      <c r="ANK11" s="50"/>
      <c r="ANL11" s="50"/>
      <c r="ANM11" s="50"/>
      <c r="ANN11" s="50"/>
      <c r="ANO11" s="50"/>
      <c r="ANP11" s="50"/>
      <c r="ANQ11" s="50"/>
      <c r="ANR11" s="50"/>
      <c r="ANS11" s="50"/>
      <c r="ANT11" s="50"/>
      <c r="ANU11" s="50"/>
      <c r="ANV11" s="50"/>
      <c r="ANW11" s="50"/>
      <c r="ANX11" s="50"/>
      <c r="ANY11" s="50"/>
      <c r="ANZ11" s="50"/>
      <c r="AOA11" s="50"/>
      <c r="AOB11" s="50"/>
      <c r="AOC11" s="50"/>
      <c r="AOD11" s="50"/>
      <c r="AOE11" s="50"/>
      <c r="AOF11" s="50"/>
      <c r="AOG11" s="50"/>
      <c r="AOH11" s="50"/>
      <c r="AOI11" s="50"/>
      <c r="AOJ11" s="50"/>
      <c r="AOK11" s="50"/>
      <c r="AOL11" s="50"/>
      <c r="AOM11" s="50"/>
      <c r="AON11" s="50"/>
      <c r="AOO11" s="50"/>
      <c r="AOP11" s="50"/>
      <c r="AOQ11" s="50"/>
      <c r="AOR11" s="50"/>
      <c r="AOS11" s="50"/>
      <c r="AOT11" s="50"/>
      <c r="AOU11" s="50"/>
      <c r="AOV11" s="50"/>
      <c r="AOW11" s="50"/>
      <c r="AOX11" s="50"/>
      <c r="AOY11" s="50"/>
      <c r="AOZ11" s="50"/>
      <c r="APA11" s="50"/>
      <c r="APB11" s="50"/>
      <c r="APC11" s="50"/>
      <c r="APD11" s="50"/>
      <c r="APE11" s="50"/>
      <c r="APF11" s="50"/>
      <c r="APG11" s="50"/>
      <c r="APH11" s="50"/>
      <c r="API11" s="50"/>
      <c r="APJ11" s="50"/>
      <c r="APK11" s="50"/>
      <c r="APL11" s="50"/>
      <c r="APM11" s="50"/>
      <c r="APN11" s="50"/>
      <c r="APO11" s="50"/>
      <c r="APP11" s="50"/>
      <c r="APQ11" s="50"/>
      <c r="APR11" s="50"/>
      <c r="APS11" s="50"/>
      <c r="APT11" s="50"/>
      <c r="APU11" s="50"/>
      <c r="APV11" s="50"/>
      <c r="APW11" s="50"/>
      <c r="APX11" s="50"/>
      <c r="APY11" s="50"/>
      <c r="APZ11" s="50"/>
      <c r="AQA11" s="50"/>
      <c r="AQB11" s="50"/>
      <c r="AQC11" s="50"/>
      <c r="AQD11" s="50"/>
      <c r="AQE11" s="50"/>
      <c r="AQF11" s="50"/>
      <c r="AQG11" s="50"/>
      <c r="AQH11" s="50"/>
      <c r="AQI11" s="50"/>
      <c r="AQJ11" s="50"/>
      <c r="AQK11" s="50"/>
      <c r="AQL11" s="50"/>
      <c r="AQM11" s="50"/>
      <c r="AQN11" s="50"/>
      <c r="AQO11" s="50"/>
      <c r="AQP11" s="50"/>
      <c r="AQQ11" s="50"/>
      <c r="AQR11" s="50"/>
      <c r="AQS11" s="50"/>
      <c r="AQT11" s="50"/>
      <c r="AQU11" s="50"/>
      <c r="AQV11" s="50"/>
      <c r="AQW11" s="50"/>
      <c r="AQX11" s="50"/>
      <c r="AQY11" s="50"/>
      <c r="AQZ11" s="50"/>
      <c r="ARA11" s="50"/>
      <c r="ARB11" s="50"/>
      <c r="ARC11" s="50"/>
      <c r="ARD11" s="50"/>
      <c r="ARE11" s="50"/>
      <c r="ARF11" s="50"/>
      <c r="ARG11" s="50"/>
      <c r="ARH11" s="50"/>
      <c r="ARI11" s="50"/>
      <c r="ARJ11" s="50"/>
      <c r="ARK11" s="50"/>
      <c r="ARL11" s="50"/>
      <c r="ARM11" s="50"/>
      <c r="ARN11" s="50"/>
      <c r="ARO11" s="50"/>
      <c r="ARP11" s="50"/>
      <c r="ARQ11" s="50"/>
      <c r="ARR11" s="50"/>
      <c r="ARS11" s="50"/>
      <c r="ART11" s="50"/>
      <c r="ARU11" s="50"/>
      <c r="ARV11" s="50"/>
      <c r="ARW11" s="50"/>
      <c r="ARX11" s="50"/>
      <c r="ARY11" s="50"/>
      <c r="ARZ11" s="50"/>
      <c r="ASA11" s="50"/>
      <c r="ASB11" s="50"/>
      <c r="ASC11" s="50"/>
      <c r="ASD11" s="50"/>
      <c r="ASE11" s="50"/>
      <c r="ASF11" s="50"/>
      <c r="ASG11" s="50"/>
      <c r="ASH11" s="50"/>
      <c r="ASI11" s="50"/>
      <c r="ASJ11" s="50"/>
      <c r="ASK11" s="50"/>
      <c r="ASL11" s="50"/>
      <c r="ASM11" s="50"/>
      <c r="ASN11" s="50"/>
      <c r="ASO11" s="50"/>
      <c r="ASP11" s="50"/>
      <c r="ASQ11" s="50"/>
      <c r="ASR11" s="50"/>
      <c r="ASS11" s="50"/>
      <c r="AST11" s="50"/>
      <c r="ASU11" s="50"/>
      <c r="ASV11" s="50"/>
      <c r="ASW11" s="50"/>
      <c r="ASX11" s="50"/>
      <c r="ASY11" s="50"/>
      <c r="ASZ11" s="50"/>
      <c r="ATA11" s="50"/>
      <c r="ATB11" s="50"/>
      <c r="ATC11" s="50"/>
      <c r="ATD11" s="50"/>
      <c r="ATE11" s="50"/>
      <c r="ATF11" s="50"/>
      <c r="ATG11" s="50"/>
      <c r="ATH11" s="50"/>
      <c r="ATI11" s="50"/>
      <c r="ATJ11" s="50"/>
      <c r="ATK11" s="50"/>
      <c r="ATL11" s="50"/>
      <c r="ATM11" s="50"/>
      <c r="ATN11" s="50"/>
      <c r="ATO11" s="50"/>
      <c r="ATP11" s="50"/>
      <c r="ATQ11" s="50"/>
      <c r="ATR11" s="50"/>
      <c r="ATS11" s="50"/>
      <c r="ATT11" s="50"/>
      <c r="ATU11" s="50"/>
      <c r="ATV11" s="50"/>
      <c r="ATW11" s="50"/>
      <c r="ATX11" s="50"/>
      <c r="ATY11" s="50"/>
      <c r="ATZ11" s="50"/>
      <c r="AUA11" s="50"/>
      <c r="AUB11" s="50"/>
      <c r="AUC11" s="50"/>
      <c r="AUD11" s="50"/>
      <c r="AUE11" s="50"/>
      <c r="AUF11" s="50"/>
      <c r="AUG11" s="50"/>
      <c r="AUH11" s="50"/>
      <c r="AUI11" s="50"/>
      <c r="AUJ11" s="50"/>
      <c r="AUK11" s="50"/>
      <c r="AUL11" s="50"/>
      <c r="AUM11" s="50"/>
      <c r="AUN11" s="50"/>
      <c r="AUO11" s="50"/>
      <c r="AUP11" s="50"/>
      <c r="AUQ11" s="50"/>
      <c r="AUR11" s="50"/>
      <c r="AUS11" s="50"/>
      <c r="AUT11" s="50"/>
      <c r="AUU11" s="50"/>
      <c r="AUV11" s="50"/>
      <c r="AUW11" s="50"/>
      <c r="AUX11" s="50"/>
      <c r="AUY11" s="50"/>
      <c r="AUZ11" s="50"/>
      <c r="AVA11" s="50"/>
      <c r="AVB11" s="50"/>
      <c r="AVC11" s="50"/>
      <c r="AVD11" s="50"/>
      <c r="AVE11" s="50"/>
      <c r="AVF11" s="50"/>
      <c r="AVG11" s="50"/>
      <c r="AVH11" s="50"/>
      <c r="AVI11" s="50"/>
      <c r="AVJ11" s="50"/>
      <c r="AVK11" s="50"/>
      <c r="AVL11" s="50"/>
      <c r="AVM11" s="50"/>
      <c r="AVN11" s="50"/>
      <c r="AVO11" s="50"/>
      <c r="AVP11" s="50"/>
      <c r="AVQ11" s="50"/>
      <c r="AVR11" s="50"/>
      <c r="AVS11" s="50"/>
      <c r="AVT11" s="50"/>
      <c r="AVU11" s="50"/>
      <c r="AVV11" s="50"/>
      <c r="AVW11" s="50"/>
      <c r="AVX11" s="50"/>
      <c r="AVY11" s="50"/>
      <c r="AVZ11" s="50"/>
      <c r="AWA11" s="50"/>
      <c r="AWB11" s="50"/>
      <c r="AWC11" s="50"/>
      <c r="AWD11" s="50"/>
      <c r="AWE11" s="50"/>
      <c r="AWF11" s="50"/>
      <c r="AWG11" s="50"/>
      <c r="AWH11" s="50"/>
      <c r="AWI11" s="50"/>
      <c r="AWJ11" s="50"/>
      <c r="AWK11" s="50"/>
      <c r="AWL11" s="50"/>
      <c r="AWM11" s="50"/>
      <c r="AWN11" s="50"/>
      <c r="AWO11" s="50"/>
      <c r="AWP11" s="50"/>
      <c r="AWQ11" s="50"/>
      <c r="AWR11" s="50"/>
      <c r="AWS11" s="50"/>
      <c r="AWT11" s="50"/>
      <c r="AWU11" s="50"/>
      <c r="AWV11" s="50"/>
      <c r="AWW11" s="50"/>
      <c r="AWX11" s="50"/>
      <c r="AWY11" s="50"/>
      <c r="AWZ11" s="50"/>
      <c r="AXA11" s="50"/>
      <c r="AXB11" s="50"/>
      <c r="AXC11" s="50"/>
      <c r="AXD11" s="50"/>
      <c r="AXE11" s="50"/>
      <c r="AXF11" s="50"/>
      <c r="AXG11" s="50"/>
      <c r="AXH11" s="50"/>
      <c r="AXI11" s="50"/>
      <c r="AXJ11" s="50"/>
      <c r="AXK11" s="50"/>
      <c r="AXL11" s="50"/>
      <c r="AXM11" s="50"/>
      <c r="AXN11" s="50"/>
      <c r="AXO11" s="50"/>
      <c r="AXP11" s="50"/>
      <c r="AXQ11" s="50"/>
      <c r="AXR11" s="50"/>
      <c r="AXS11" s="50"/>
      <c r="AXT11" s="50"/>
      <c r="AXU11" s="50"/>
      <c r="AXV11" s="50"/>
      <c r="AXW11" s="50"/>
      <c r="AXX11" s="50"/>
      <c r="AXY11" s="50"/>
      <c r="AXZ11" s="50"/>
      <c r="AYA11" s="50"/>
      <c r="AYB11" s="50"/>
      <c r="AYC11" s="50"/>
      <c r="AYD11" s="50"/>
      <c r="AYE11" s="50"/>
      <c r="AYF11" s="50"/>
      <c r="AYG11" s="50"/>
      <c r="AYH11" s="50"/>
      <c r="AYI11" s="50"/>
      <c r="AYJ11" s="50"/>
      <c r="AYK11" s="50"/>
      <c r="AYL11" s="50"/>
      <c r="AYM11" s="50"/>
      <c r="AYN11" s="50"/>
      <c r="AYO11" s="50"/>
      <c r="AYP11" s="50"/>
      <c r="AYQ11" s="50"/>
      <c r="AYR11" s="50"/>
      <c r="AYS11" s="50"/>
      <c r="AYT11" s="50"/>
      <c r="AYU11" s="50"/>
      <c r="AYV11" s="50"/>
      <c r="AYW11" s="50"/>
      <c r="AYX11" s="50"/>
      <c r="AYY11" s="50"/>
      <c r="AYZ11" s="50"/>
      <c r="AZA11" s="50"/>
      <c r="AZB11" s="50"/>
      <c r="AZC11" s="50"/>
      <c r="AZD11" s="50"/>
      <c r="AZE11" s="50"/>
      <c r="AZF11" s="50"/>
      <c r="AZG11" s="50"/>
      <c r="AZH11" s="50"/>
      <c r="AZI11" s="50"/>
      <c r="AZJ11" s="50"/>
      <c r="AZK11" s="50"/>
      <c r="AZL11" s="50"/>
      <c r="AZM11" s="50"/>
      <c r="AZN11" s="50"/>
      <c r="AZO11" s="50"/>
      <c r="AZP11" s="50"/>
      <c r="AZQ11" s="50"/>
      <c r="AZR11" s="50"/>
      <c r="AZS11" s="50"/>
      <c r="AZT11" s="50"/>
      <c r="AZU11" s="50"/>
      <c r="AZV11" s="50"/>
      <c r="AZW11" s="50"/>
      <c r="AZX11" s="50"/>
      <c r="AZY11" s="50"/>
      <c r="AZZ11" s="50"/>
      <c r="BAA11" s="50"/>
      <c r="BAB11" s="50"/>
      <c r="BAC11" s="50"/>
      <c r="BAD11" s="50"/>
      <c r="BAE11" s="50"/>
      <c r="BAF11" s="50"/>
      <c r="BAG11" s="50"/>
      <c r="BAH11" s="50"/>
      <c r="BAI11" s="50"/>
      <c r="BAJ11" s="50"/>
      <c r="BAK11" s="50"/>
      <c r="BAL11" s="50"/>
      <c r="BAM11" s="50"/>
      <c r="BAN11" s="50"/>
      <c r="BAO11" s="50"/>
      <c r="BAP11" s="50"/>
      <c r="BAQ11" s="50"/>
      <c r="BAR11" s="50"/>
      <c r="BAS11" s="50"/>
      <c r="BAT11" s="50"/>
      <c r="BAU11" s="50"/>
      <c r="BAV11" s="50"/>
      <c r="BAW11" s="50"/>
      <c r="BAX11" s="50"/>
      <c r="BAY11" s="50"/>
      <c r="BAZ11" s="50"/>
      <c r="BBA11" s="50"/>
      <c r="BBB11" s="50"/>
      <c r="BBC11" s="50"/>
      <c r="BBD11" s="50"/>
      <c r="BBE11" s="50"/>
      <c r="BBF11" s="50"/>
      <c r="BBG11" s="50"/>
      <c r="BBH11" s="50"/>
      <c r="BBI11" s="50"/>
      <c r="BBJ11" s="50"/>
      <c r="BBK11" s="50"/>
      <c r="BBL11" s="50"/>
      <c r="BBM11" s="50"/>
      <c r="BBN11" s="50"/>
      <c r="BBO11" s="50"/>
      <c r="BBP11" s="50"/>
      <c r="BBQ11" s="50"/>
      <c r="BBR11" s="50"/>
      <c r="BBS11" s="50"/>
      <c r="BBT11" s="50"/>
      <c r="BBU11" s="50"/>
      <c r="BBV11" s="50"/>
      <c r="BBW11" s="50"/>
      <c r="BBX11" s="50"/>
      <c r="BBY11" s="50"/>
      <c r="BBZ11" s="50"/>
      <c r="BCA11" s="50"/>
      <c r="BCB11" s="50"/>
      <c r="BCC11" s="50"/>
      <c r="BCD11" s="50"/>
      <c r="BCE11" s="50"/>
      <c r="BCF11" s="50"/>
      <c r="BCG11" s="50"/>
      <c r="BCH11" s="50"/>
      <c r="BCI11" s="50"/>
      <c r="BCJ11" s="50"/>
      <c r="BCK11" s="50"/>
      <c r="BCL11" s="50"/>
      <c r="BCM11" s="50"/>
      <c r="BCN11" s="50"/>
      <c r="BCO11" s="50"/>
      <c r="BCP11" s="50"/>
      <c r="BCQ11" s="50"/>
      <c r="BCR11" s="50"/>
      <c r="BCS11" s="50"/>
      <c r="BCT11" s="50"/>
      <c r="BCU11" s="50"/>
      <c r="BCV11" s="50"/>
      <c r="BCW11" s="50"/>
      <c r="BCX11" s="50"/>
      <c r="BCY11" s="50"/>
      <c r="BCZ11" s="50"/>
      <c r="BDA11" s="50"/>
      <c r="BDB11" s="50"/>
      <c r="BDC11" s="50"/>
      <c r="BDD11" s="50"/>
      <c r="BDE11" s="50"/>
      <c r="BDF11" s="50"/>
      <c r="BDG11" s="50"/>
      <c r="BDH11" s="50"/>
      <c r="BDI11" s="50"/>
      <c r="BDJ11" s="50"/>
      <c r="BDK11" s="50"/>
      <c r="BDL11" s="50"/>
      <c r="BDM11" s="50"/>
      <c r="BDN11" s="50"/>
      <c r="BDO11" s="50"/>
      <c r="BDP11" s="50"/>
      <c r="BDQ11" s="50"/>
      <c r="BDR11" s="50"/>
      <c r="BDS11" s="50"/>
      <c r="BDT11" s="50"/>
      <c r="BDU11" s="50"/>
      <c r="BDV11" s="50"/>
      <c r="BDW11" s="50"/>
      <c r="BDX11" s="50"/>
      <c r="BDY11" s="50"/>
      <c r="BDZ11" s="50"/>
      <c r="BEA11" s="50"/>
      <c r="BEB11" s="50"/>
      <c r="BEC11" s="50"/>
      <c r="BED11" s="50"/>
      <c r="BEE11" s="50"/>
      <c r="BEF11" s="50"/>
      <c r="BEG11" s="50"/>
      <c r="BEH11" s="50"/>
      <c r="BEI11" s="50"/>
      <c r="BEJ11" s="50"/>
      <c r="BEK11" s="50"/>
      <c r="BEL11" s="50"/>
      <c r="BEM11" s="50"/>
      <c r="BEN11" s="50"/>
      <c r="BEO11" s="50"/>
      <c r="BEP11" s="50"/>
      <c r="BEQ11" s="50"/>
      <c r="BER11" s="50"/>
      <c r="BES11" s="50"/>
      <c r="BET11" s="50"/>
      <c r="BEU11" s="50"/>
      <c r="BEV11" s="50"/>
      <c r="BEW11" s="50"/>
      <c r="BEX11" s="50"/>
      <c r="BEY11" s="50"/>
      <c r="BEZ11" s="50"/>
      <c r="BFA11" s="50"/>
      <c r="BFB11" s="50"/>
      <c r="BFC11" s="50"/>
      <c r="BFD11" s="50"/>
      <c r="BFE11" s="50"/>
      <c r="BFF11" s="50"/>
      <c r="BFG11" s="50"/>
      <c r="BFH11" s="50"/>
      <c r="BFI11" s="50"/>
      <c r="BFJ11" s="50"/>
      <c r="BFK11" s="50"/>
      <c r="BFL11" s="50"/>
      <c r="BFM11" s="50"/>
      <c r="BFN11" s="50"/>
      <c r="BFO11" s="50"/>
      <c r="BFP11" s="50"/>
      <c r="BFQ11" s="50"/>
      <c r="BFR11" s="50"/>
      <c r="BFS11" s="50"/>
      <c r="BFT11" s="50"/>
      <c r="BFU11" s="50"/>
      <c r="BFV11" s="50"/>
      <c r="BFW11" s="50"/>
      <c r="BFX11" s="50"/>
      <c r="BFY11" s="50"/>
      <c r="BFZ11" s="50"/>
      <c r="BGA11" s="50"/>
      <c r="BGB11" s="50"/>
      <c r="BGC11" s="50"/>
      <c r="BGD11" s="50"/>
      <c r="BGE11" s="50"/>
      <c r="BGF11" s="50"/>
      <c r="BGG11" s="50"/>
      <c r="BGH11" s="50"/>
      <c r="BGI11" s="50"/>
      <c r="BGJ11" s="50"/>
      <c r="BGK11" s="50"/>
      <c r="BGL11" s="50"/>
      <c r="BGM11" s="50"/>
      <c r="BGN11" s="50"/>
      <c r="BGO11" s="50"/>
      <c r="BGP11" s="50"/>
      <c r="BGQ11" s="50"/>
      <c r="BGR11" s="50"/>
      <c r="BGS11" s="50"/>
      <c r="BGT11" s="50"/>
      <c r="BGU11" s="50"/>
      <c r="BGV11" s="50"/>
      <c r="BGW11" s="50"/>
      <c r="BGX11" s="50"/>
      <c r="BGY11" s="50"/>
      <c r="BGZ11" s="50"/>
      <c r="BHA11" s="50"/>
      <c r="BHB11" s="50"/>
      <c r="BHC11" s="50"/>
      <c r="BHD11" s="50"/>
      <c r="BHE11" s="50"/>
      <c r="BHF11" s="50"/>
      <c r="BHG11" s="50"/>
      <c r="BHH11" s="50"/>
      <c r="BHI11" s="50"/>
      <c r="BHJ11" s="50"/>
      <c r="BHK11" s="50"/>
      <c r="BHL11" s="50"/>
      <c r="BHM11" s="50"/>
      <c r="BHN11" s="50"/>
      <c r="BHO11" s="50"/>
      <c r="BHP11" s="50"/>
      <c r="BHQ11" s="50"/>
      <c r="BHR11" s="50"/>
      <c r="BHS11" s="50"/>
      <c r="BHT11" s="50"/>
      <c r="BHU11" s="50"/>
      <c r="BHV11" s="50"/>
      <c r="BHW11" s="50"/>
      <c r="BHX11" s="50"/>
      <c r="BHY11" s="50"/>
      <c r="BHZ11" s="50"/>
      <c r="BIA11" s="50"/>
      <c r="BIB11" s="50"/>
      <c r="BIC11" s="50"/>
      <c r="BID11" s="50"/>
      <c r="BIE11" s="50"/>
      <c r="BIF11" s="50"/>
      <c r="BIG11" s="50"/>
      <c r="BIH11" s="50"/>
      <c r="BII11" s="50"/>
      <c r="BIJ11" s="50"/>
      <c r="BIK11" s="50"/>
      <c r="BIL11" s="50"/>
      <c r="BIM11" s="50"/>
      <c r="BIN11" s="50"/>
      <c r="BIO11" s="50"/>
      <c r="BIP11" s="50"/>
      <c r="BIQ11" s="50"/>
      <c r="BIR11" s="50"/>
      <c r="BIS11" s="50"/>
      <c r="BIT11" s="50"/>
      <c r="BIU11" s="50"/>
      <c r="BIV11" s="50"/>
      <c r="BIW11" s="50"/>
      <c r="BIX11" s="50"/>
      <c r="BIY11" s="50"/>
      <c r="BIZ11" s="50"/>
      <c r="BJA11" s="50"/>
      <c r="BJB11" s="50"/>
      <c r="BJC11" s="50"/>
      <c r="BJD11" s="50"/>
      <c r="BJE11" s="50"/>
      <c r="BJF11" s="50"/>
      <c r="BJG11" s="50"/>
      <c r="BJH11" s="50"/>
      <c r="BJI11" s="50"/>
      <c r="BJJ11" s="50"/>
      <c r="BJK11" s="50"/>
      <c r="BJL11" s="50"/>
      <c r="BJM11" s="50"/>
      <c r="BJN11" s="50"/>
      <c r="BJO11" s="50"/>
      <c r="BJP11" s="50"/>
      <c r="BJQ11" s="50"/>
      <c r="BJR11" s="50"/>
      <c r="BJS11" s="50"/>
      <c r="BJT11" s="50"/>
      <c r="BJU11" s="50"/>
      <c r="BJV11" s="50"/>
      <c r="BJW11" s="50"/>
      <c r="BJX11" s="50"/>
      <c r="BJY11" s="50"/>
      <c r="BJZ11" s="50"/>
      <c r="BKA11" s="50"/>
      <c r="BKB11" s="50"/>
      <c r="BKC11" s="50"/>
      <c r="BKD11" s="50"/>
      <c r="BKE11" s="50"/>
      <c r="BKF11" s="50"/>
      <c r="BKG11" s="50"/>
      <c r="BKH11" s="50"/>
      <c r="BKI11" s="50"/>
      <c r="BKJ11" s="50"/>
      <c r="BKK11" s="50"/>
      <c r="BKL11" s="50"/>
      <c r="BKM11" s="50"/>
      <c r="BKN11" s="50"/>
      <c r="BKO11" s="50"/>
      <c r="BKP11" s="50"/>
      <c r="BKQ11" s="50"/>
      <c r="BKR11" s="50"/>
      <c r="BKS11" s="50"/>
      <c r="BKT11" s="50"/>
      <c r="BKU11" s="50"/>
      <c r="BKV11" s="50"/>
      <c r="BKW11" s="50"/>
      <c r="BKX11" s="50"/>
      <c r="BKY11" s="50"/>
      <c r="BKZ11" s="50"/>
      <c r="BLA11" s="50"/>
      <c r="BLB11" s="50"/>
      <c r="BLC11" s="50"/>
      <c r="BLD11" s="50"/>
      <c r="BLE11" s="50"/>
      <c r="BLF11" s="50"/>
      <c r="BLG11" s="50"/>
      <c r="BLH11" s="50"/>
      <c r="BLI11" s="50"/>
      <c r="BLJ11" s="50"/>
      <c r="BLK11" s="50"/>
      <c r="BLL11" s="50"/>
      <c r="BLM11" s="50"/>
      <c r="BLN11" s="50"/>
      <c r="BLO11" s="50"/>
      <c r="BLP11" s="50"/>
      <c r="BLQ11" s="50"/>
      <c r="BLR11" s="50"/>
      <c r="BLS11" s="50"/>
      <c r="BLT11" s="50"/>
      <c r="BLU11" s="50"/>
      <c r="BLV11" s="50"/>
      <c r="BLW11" s="50"/>
      <c r="BLX11" s="50"/>
      <c r="BLY11" s="50"/>
      <c r="BLZ11" s="50"/>
      <c r="BMA11" s="50"/>
      <c r="BMB11" s="50"/>
      <c r="BMC11" s="50"/>
      <c r="BMD11" s="50"/>
      <c r="BME11" s="50"/>
      <c r="BMF11" s="50"/>
      <c r="BMG11" s="50"/>
      <c r="BMH11" s="50"/>
      <c r="BMI11" s="50"/>
      <c r="BMJ11" s="50"/>
      <c r="BMK11" s="50"/>
      <c r="BML11" s="50"/>
      <c r="BMM11" s="50"/>
      <c r="BMN11" s="50"/>
      <c r="BMO11" s="50"/>
      <c r="BMP11" s="50"/>
      <c r="BMQ11" s="50"/>
      <c r="BMR11" s="50"/>
      <c r="BMS11" s="50"/>
      <c r="BMT11" s="50"/>
      <c r="BMU11" s="50"/>
      <c r="BMV11" s="50"/>
      <c r="BMW11" s="50"/>
      <c r="BMX11" s="50"/>
      <c r="BMY11" s="50"/>
      <c r="BMZ11" s="50"/>
      <c r="BNA11" s="50"/>
      <c r="BNB11" s="50"/>
      <c r="BNC11" s="50"/>
      <c r="BND11" s="50"/>
      <c r="BNE11" s="50"/>
      <c r="BNF11" s="50"/>
      <c r="BNG11" s="50"/>
      <c r="BNH11" s="50"/>
      <c r="BNI11" s="50"/>
      <c r="BNJ11" s="50"/>
      <c r="BNK11" s="50"/>
      <c r="BNL11" s="50"/>
      <c r="BNM11" s="50"/>
      <c r="BNN11" s="50"/>
      <c r="BNO11" s="50"/>
      <c r="BNP11" s="50"/>
      <c r="BNQ11" s="50"/>
      <c r="BNR11" s="50"/>
      <c r="BNS11" s="50"/>
      <c r="BNT11" s="50"/>
      <c r="BNU11" s="50"/>
      <c r="BNV11" s="50"/>
      <c r="BNW11" s="50"/>
      <c r="BNX11" s="50"/>
      <c r="BNY11" s="50"/>
      <c r="BNZ11" s="50"/>
      <c r="BOA11" s="50"/>
      <c r="BOB11" s="50"/>
      <c r="BOC11" s="50"/>
      <c r="BOD11" s="50"/>
      <c r="BOE11" s="50"/>
      <c r="BOF11" s="50"/>
      <c r="BOG11" s="50"/>
      <c r="BOH11" s="50"/>
      <c r="BOI11" s="50"/>
      <c r="BOJ11" s="50"/>
      <c r="BOK11" s="50"/>
      <c r="BOL11" s="50"/>
      <c r="BOM11" s="50"/>
      <c r="BON11" s="50"/>
      <c r="BOO11" s="50"/>
      <c r="BOP11" s="50"/>
      <c r="BOQ11" s="50"/>
      <c r="BOR11" s="50"/>
      <c r="BOS11" s="50"/>
      <c r="BOT11" s="50"/>
      <c r="BOU11" s="50"/>
      <c r="BOV11" s="50"/>
      <c r="BOW11" s="50"/>
      <c r="BOX11" s="50"/>
      <c r="BOY11" s="50"/>
      <c r="BOZ11" s="50"/>
      <c r="BPA11" s="50"/>
      <c r="BPB11" s="50"/>
      <c r="BPC11" s="50"/>
      <c r="BPD11" s="50"/>
      <c r="BPE11" s="50"/>
      <c r="BPF11" s="50"/>
      <c r="BPG11" s="50"/>
      <c r="BPH11" s="50"/>
      <c r="BPI11" s="50"/>
      <c r="BPJ11" s="50"/>
      <c r="BPK11" s="50"/>
      <c r="BPL11" s="50"/>
      <c r="BPM11" s="50"/>
      <c r="BPN11" s="50"/>
      <c r="BPO11" s="50"/>
      <c r="BPP11" s="50"/>
      <c r="BPQ11" s="50"/>
      <c r="BPR11" s="50"/>
      <c r="BPS11" s="50"/>
      <c r="BPT11" s="50"/>
      <c r="BPU11" s="50"/>
      <c r="BPV11" s="50"/>
      <c r="BPW11" s="50"/>
      <c r="BPX11" s="50"/>
      <c r="BPY11" s="50"/>
      <c r="BPZ11" s="50"/>
      <c r="BQA11" s="50"/>
      <c r="BQB11" s="50"/>
      <c r="BQC11" s="50"/>
      <c r="BQD11" s="50"/>
      <c r="BQE11" s="50"/>
      <c r="BQF11" s="50"/>
      <c r="BQG11" s="50"/>
      <c r="BQH11" s="50"/>
      <c r="BQI11" s="50"/>
      <c r="BQJ11" s="50"/>
      <c r="BQK11" s="50"/>
      <c r="BQL11" s="50"/>
      <c r="BQM11" s="50"/>
      <c r="BQN11" s="50"/>
      <c r="BQO11" s="50"/>
      <c r="BQP11" s="50"/>
      <c r="BQQ11" s="50"/>
      <c r="BQR11" s="50"/>
      <c r="BQS11" s="50"/>
      <c r="BQT11" s="50"/>
      <c r="BQU11" s="50"/>
      <c r="BQV11" s="50"/>
      <c r="BQW11" s="50"/>
      <c r="BQX11" s="50"/>
      <c r="BQY11" s="50"/>
      <c r="BQZ11" s="50"/>
      <c r="BRA11" s="50"/>
      <c r="BRB11" s="50"/>
      <c r="BRC11" s="50"/>
      <c r="BRD11" s="50"/>
      <c r="BRE11" s="50"/>
      <c r="BRF11" s="50"/>
      <c r="BRG11" s="50"/>
      <c r="BRH11" s="50"/>
      <c r="BRI11" s="50"/>
      <c r="BRJ11" s="50"/>
      <c r="BRK11" s="50"/>
      <c r="BRL11" s="50"/>
      <c r="BRM11" s="50"/>
      <c r="BRN11" s="50"/>
      <c r="BRO11" s="50"/>
      <c r="BRP11" s="50"/>
      <c r="BRQ11" s="50"/>
      <c r="BRR11" s="50"/>
      <c r="BRS11" s="50"/>
      <c r="BRT11" s="50"/>
      <c r="BRU11" s="50"/>
      <c r="BRV11" s="50"/>
      <c r="BRW11" s="50"/>
      <c r="BRX11" s="50"/>
      <c r="BRY11" s="50"/>
      <c r="BRZ11" s="50"/>
      <c r="BSA11" s="50"/>
      <c r="BSB11" s="50"/>
      <c r="BSC11" s="50"/>
      <c r="BSD11" s="50"/>
      <c r="BSE11" s="50"/>
      <c r="BSF11" s="50"/>
      <c r="BSG11" s="50"/>
      <c r="BSH11" s="50"/>
      <c r="BSI11" s="50"/>
      <c r="BSJ11" s="50"/>
      <c r="BSK11" s="50"/>
      <c r="BSL11" s="50"/>
      <c r="BSM11" s="50"/>
      <c r="BSN11" s="50"/>
      <c r="BSO11" s="50"/>
      <c r="BSP11" s="50"/>
      <c r="BSQ11" s="50"/>
      <c r="BSR11" s="50"/>
      <c r="BSS11" s="50"/>
      <c r="BST11" s="50"/>
      <c r="BSU11" s="50"/>
      <c r="BSV11" s="50"/>
      <c r="BSW11" s="50"/>
      <c r="BSX11" s="50"/>
      <c r="BSY11" s="50"/>
      <c r="BSZ11" s="50"/>
      <c r="BTA11" s="50"/>
      <c r="BTB11" s="50"/>
      <c r="BTC11" s="50"/>
      <c r="BTD11" s="50"/>
      <c r="BTE11" s="50"/>
      <c r="BTF11" s="50"/>
      <c r="BTG11" s="50"/>
      <c r="BTH11" s="50"/>
      <c r="BTI11" s="50"/>
      <c r="BTJ11" s="50"/>
      <c r="BTK11" s="50"/>
      <c r="BTL11" s="50"/>
      <c r="BTM11" s="50"/>
      <c r="BTN11" s="50"/>
      <c r="BTO11" s="50"/>
      <c r="BTP11" s="50"/>
      <c r="BTQ11" s="50"/>
      <c r="BTR11" s="50"/>
      <c r="BTS11" s="50"/>
      <c r="BTT11" s="50"/>
      <c r="BTU11" s="50"/>
      <c r="BTV11" s="50"/>
      <c r="BTW11" s="50"/>
      <c r="BTX11" s="50"/>
    </row>
    <row r="12" ht="15.75" customHeight="1">
      <c r="A12" t="s">
        <v>60</v>
      </c>
      <c r="B12" t="s">
        <v>40</v>
      </c>
      <c r="E12">
        <v>1000.0</v>
      </c>
      <c r="F12" t="s">
        <v>78</v>
      </c>
      <c r="G12" t="s">
        <v>64</v>
      </c>
      <c r="K12">
        <v>60.0</v>
      </c>
      <c r="L12">
        <v>60.0</v>
      </c>
      <c r="O12" t="s">
        <v>70</v>
      </c>
      <c r="V12" t="s">
        <v>82</v>
      </c>
      <c r="Z12" t="s">
        <v>67</v>
      </c>
      <c r="AD12" t="s">
        <v>66</v>
      </c>
      <c r="AE12">
        <v>1000.0</v>
      </c>
      <c r="AF12" t="s">
        <v>60</v>
      </c>
      <c r="AH12" t="s">
        <v>80</v>
      </c>
      <c r="AI12">
        <v>1.0</v>
      </c>
      <c r="AP12" t="b">
        <v>1</v>
      </c>
      <c r="AQ12" t="b">
        <v>0</v>
      </c>
      <c r="AR12" t="b">
        <v>1</v>
      </c>
      <c r="BE12">
        <v>60000.0</v>
      </c>
      <c r="BF12">
        <v>60000.0</v>
      </c>
      <c r="BJ12">
        <v>1000.0</v>
      </c>
      <c r="BM12" t="s">
        <v>67</v>
      </c>
      <c r="BO12" t="s">
        <v>35</v>
      </c>
      <c r="BT12" t="s">
        <v>39</v>
      </c>
      <c r="CK12" t="s">
        <v>65</v>
      </c>
      <c r="CL12">
        <v>1.0</v>
      </c>
      <c r="CM12" t="s">
        <v>39</v>
      </c>
      <c r="CN12" t="s">
        <v>69</v>
      </c>
      <c r="CX12" t="s">
        <v>60</v>
      </c>
      <c r="CY12" t="s">
        <v>60</v>
      </c>
      <c r="CZ12" t="s">
        <v>60</v>
      </c>
      <c r="DA12" t="s">
        <v>60</v>
      </c>
      <c r="DB12" t="s">
        <v>60</v>
      </c>
      <c r="DC12" t="s">
        <v>60</v>
      </c>
      <c r="DD12" t="s">
        <v>60</v>
      </c>
      <c r="DE12" t="s">
        <v>60</v>
      </c>
      <c r="DF12" t="s">
        <v>60</v>
      </c>
      <c r="DG12" t="s">
        <v>60</v>
      </c>
      <c r="DH12" t="s">
        <v>60</v>
      </c>
      <c r="DI12" t="s">
        <v>60</v>
      </c>
      <c r="DJ12" t="s">
        <v>60</v>
      </c>
      <c r="DK12" t="s">
        <v>60</v>
      </c>
      <c r="DL12" t="s">
        <v>60</v>
      </c>
      <c r="DM12" t="s">
        <v>60</v>
      </c>
      <c r="DN12" t="s">
        <v>60</v>
      </c>
      <c r="DO12" t="s">
        <v>60</v>
      </c>
      <c r="DP12" t="s">
        <v>60</v>
      </c>
      <c r="DQ12" t="s">
        <v>60</v>
      </c>
      <c r="DR12" t="s">
        <v>60</v>
      </c>
      <c r="DS12" t="s">
        <v>60</v>
      </c>
      <c r="DT12" t="s">
        <v>60</v>
      </c>
      <c r="DU12" t="s">
        <v>60</v>
      </c>
      <c r="DV12" t="s">
        <v>60</v>
      </c>
      <c r="DW12" t="s">
        <v>60</v>
      </c>
      <c r="DX12" t="s">
        <v>60</v>
      </c>
      <c r="DY12" t="s">
        <v>60</v>
      </c>
      <c r="DZ12" t="s">
        <v>60</v>
      </c>
      <c r="EA12" t="s">
        <v>60</v>
      </c>
      <c r="EB12" t="s">
        <v>60</v>
      </c>
      <c r="EC12" t="s">
        <v>60</v>
      </c>
      <c r="ED12" t="s">
        <v>60</v>
      </c>
      <c r="EE12" t="s">
        <v>60</v>
      </c>
      <c r="EF12" t="s">
        <v>60</v>
      </c>
      <c r="EG12" t="s">
        <v>60</v>
      </c>
      <c r="EH12" t="s">
        <v>60</v>
      </c>
      <c r="EI12" t="s">
        <v>60</v>
      </c>
      <c r="EJ12" t="s">
        <v>60</v>
      </c>
      <c r="EK12" t="s">
        <v>60</v>
      </c>
      <c r="EL12" t="s">
        <v>60</v>
      </c>
      <c r="EM12" t="s">
        <v>60</v>
      </c>
      <c r="EN12" t="s">
        <v>60</v>
      </c>
      <c r="EO12" t="s">
        <v>60</v>
      </c>
      <c r="EP12" t="s">
        <v>60</v>
      </c>
      <c r="EQ12" t="s">
        <v>60</v>
      </c>
      <c r="ER12" t="s">
        <v>60</v>
      </c>
      <c r="ES12" t="s">
        <v>60</v>
      </c>
      <c r="ET12" t="s">
        <v>60</v>
      </c>
      <c r="EU12" t="s">
        <v>60</v>
      </c>
      <c r="EV12" t="s">
        <v>60</v>
      </c>
      <c r="EW12" t="s">
        <v>60</v>
      </c>
      <c r="EX12" t="s">
        <v>60</v>
      </c>
      <c r="EY12" t="s">
        <v>60</v>
      </c>
      <c r="EZ12" t="s">
        <v>60</v>
      </c>
      <c r="FA12" t="s">
        <v>60</v>
      </c>
      <c r="FB12" t="s">
        <v>60</v>
      </c>
      <c r="FC12" t="s">
        <v>60</v>
      </c>
      <c r="FD12" t="s">
        <v>60</v>
      </c>
      <c r="FE12" t="s">
        <v>60</v>
      </c>
      <c r="FF12" t="s">
        <v>60</v>
      </c>
      <c r="FG12" t="s">
        <v>60</v>
      </c>
      <c r="FH12" t="s">
        <v>60</v>
      </c>
      <c r="FI12" t="s">
        <v>60</v>
      </c>
      <c r="FJ12" t="s">
        <v>60</v>
      </c>
      <c r="FK12" t="s">
        <v>60</v>
      </c>
      <c r="FL12" t="s">
        <v>60</v>
      </c>
      <c r="FM12" t="s">
        <v>60</v>
      </c>
      <c r="FN12" t="s">
        <v>60</v>
      </c>
      <c r="FO12" t="s">
        <v>60</v>
      </c>
      <c r="FP12" t="s">
        <v>60</v>
      </c>
      <c r="FQ12" t="s">
        <v>60</v>
      </c>
      <c r="AML12" s="36" t="str">
        <f t="shared" ref="AML12:AND12" si="7">iferror(INDEX('Input(Other)'!$A:$FF,MATCH($A12,'Input(Other)'!$A$1:$A$210,0),MATCH(AML$1,'Input(Other)'!$1:$1,0)),"")</f>
        <v/>
      </c>
      <c r="AMM12" s="36" t="str">
        <f t="shared" si="7"/>
        <v/>
      </c>
      <c r="AMN12" s="36" t="str">
        <f t="shared" si="7"/>
        <v/>
      </c>
      <c r="AMO12" s="36" t="str">
        <f t="shared" si="7"/>
        <v/>
      </c>
      <c r="AMP12" s="36" t="str">
        <f t="shared" si="7"/>
        <v/>
      </c>
      <c r="AMQ12" s="36" t="str">
        <f t="shared" si="7"/>
        <v/>
      </c>
      <c r="AMR12" s="36" t="str">
        <f t="shared" si="7"/>
        <v/>
      </c>
      <c r="AMS12" s="36" t="str">
        <f t="shared" si="7"/>
        <v/>
      </c>
      <c r="AMT12" s="36" t="str">
        <f t="shared" si="7"/>
        <v/>
      </c>
      <c r="AMU12" s="36" t="str">
        <f t="shared" si="7"/>
        <v/>
      </c>
      <c r="AMV12" s="36" t="str">
        <f t="shared" si="7"/>
        <v/>
      </c>
      <c r="AMW12" s="36" t="str">
        <f t="shared" si="7"/>
        <v/>
      </c>
      <c r="AMX12" s="36" t="str">
        <f t="shared" si="7"/>
        <v/>
      </c>
      <c r="AMY12" s="36" t="str">
        <f t="shared" si="7"/>
        <v/>
      </c>
      <c r="AMZ12" s="36" t="str">
        <f t="shared" si="7"/>
        <v/>
      </c>
      <c r="ANA12" s="36" t="str">
        <f t="shared" si="7"/>
        <v/>
      </c>
      <c r="ANB12" s="36" t="str">
        <f t="shared" si="7"/>
        <v/>
      </c>
      <c r="ANC12" s="36" t="str">
        <f t="shared" si="7"/>
        <v/>
      </c>
      <c r="AND12" s="36" t="str">
        <f t="shared" si="7"/>
        <v/>
      </c>
      <c r="ANE12" s="50"/>
      <c r="ANF12" s="50"/>
      <c r="ANG12" s="50"/>
      <c r="ANH12" s="50"/>
      <c r="ANI12" s="50"/>
      <c r="ANJ12" s="50"/>
      <c r="ANK12" s="50"/>
      <c r="ANL12" s="50"/>
      <c r="ANM12" s="50"/>
      <c r="ANN12" s="50"/>
      <c r="ANO12" s="50"/>
      <c r="ANP12" s="50"/>
      <c r="ANQ12" s="50"/>
      <c r="ANR12" s="50"/>
      <c r="ANS12" s="50"/>
      <c r="ANT12" s="50"/>
      <c r="ANU12" s="50"/>
      <c r="ANV12" s="50"/>
      <c r="ANW12" s="50"/>
      <c r="ANX12" s="50"/>
      <c r="ANY12" s="50"/>
      <c r="ANZ12" s="50"/>
      <c r="AOA12" s="50"/>
      <c r="AOB12" s="50"/>
      <c r="AOC12" s="50"/>
      <c r="AOD12" s="50"/>
      <c r="AOE12" s="50"/>
      <c r="AOF12" s="50"/>
      <c r="AOG12" s="50"/>
      <c r="AOH12" s="50"/>
      <c r="AOI12" s="50"/>
      <c r="AOJ12" s="50"/>
      <c r="AOK12" s="50"/>
      <c r="AOL12" s="50"/>
      <c r="AOM12" s="50"/>
      <c r="AON12" s="50"/>
      <c r="AOO12" s="50"/>
      <c r="AOP12" s="50"/>
      <c r="AOQ12" s="50"/>
      <c r="AOR12" s="50"/>
      <c r="AOS12" s="50"/>
      <c r="AOT12" s="50"/>
      <c r="AOU12" s="50"/>
      <c r="AOV12" s="50"/>
      <c r="AOW12" s="50"/>
      <c r="AOX12" s="50"/>
      <c r="AOY12" s="50"/>
      <c r="AOZ12" s="50"/>
      <c r="APA12" s="50"/>
      <c r="APB12" s="50"/>
      <c r="APC12" s="50"/>
      <c r="APD12" s="50"/>
      <c r="APE12" s="50"/>
      <c r="APF12" s="50"/>
      <c r="APG12" s="50"/>
      <c r="APH12" s="50"/>
      <c r="API12" s="50"/>
      <c r="APJ12" s="50"/>
      <c r="APK12" s="50"/>
      <c r="APL12" s="50"/>
      <c r="APM12" s="50"/>
      <c r="APN12" s="50"/>
      <c r="APO12" s="50"/>
      <c r="APP12" s="50"/>
      <c r="APQ12" s="50"/>
      <c r="APR12" s="50"/>
      <c r="APS12" s="50"/>
      <c r="APT12" s="50"/>
      <c r="APU12" s="50"/>
      <c r="APV12" s="50"/>
      <c r="APW12" s="50"/>
      <c r="APX12" s="50"/>
      <c r="APY12" s="50"/>
      <c r="APZ12" s="50"/>
      <c r="AQA12" s="50"/>
      <c r="AQB12" s="50"/>
      <c r="AQC12" s="50"/>
      <c r="AQD12" s="50"/>
      <c r="AQE12" s="50"/>
      <c r="AQF12" s="50"/>
      <c r="AQG12" s="50"/>
      <c r="AQH12" s="50"/>
      <c r="AQI12" s="50"/>
      <c r="AQJ12" s="50"/>
      <c r="AQK12" s="50"/>
      <c r="AQL12" s="50"/>
      <c r="AQM12" s="50"/>
      <c r="AQN12" s="50"/>
      <c r="AQO12" s="50"/>
      <c r="AQP12" s="50"/>
      <c r="AQQ12" s="50"/>
      <c r="AQR12" s="50"/>
      <c r="AQS12" s="50"/>
      <c r="AQT12" s="50"/>
      <c r="AQU12" s="50"/>
      <c r="AQV12" s="50"/>
      <c r="AQW12" s="50"/>
      <c r="AQX12" s="50"/>
      <c r="AQY12" s="50"/>
      <c r="AQZ12" s="50"/>
      <c r="ARA12" s="50"/>
      <c r="ARB12" s="50"/>
      <c r="ARC12" s="50"/>
      <c r="ARD12" s="50"/>
      <c r="ARE12" s="50"/>
      <c r="ARF12" s="50"/>
      <c r="ARG12" s="50"/>
      <c r="ARH12" s="50"/>
      <c r="ARI12" s="50"/>
      <c r="ARJ12" s="50"/>
      <c r="ARK12" s="50"/>
      <c r="ARL12" s="50"/>
      <c r="ARM12" s="50"/>
      <c r="ARN12" s="50"/>
      <c r="ARO12" s="50"/>
      <c r="ARP12" s="50"/>
      <c r="ARQ12" s="50"/>
      <c r="ARR12" s="50"/>
      <c r="ARS12" s="50"/>
      <c r="ART12" s="50"/>
      <c r="ARU12" s="50"/>
      <c r="ARV12" s="50"/>
      <c r="ARW12" s="50"/>
      <c r="ARX12" s="50"/>
      <c r="ARY12" s="50"/>
      <c r="ARZ12" s="50"/>
      <c r="ASA12" s="50"/>
      <c r="ASB12" s="50"/>
      <c r="ASC12" s="50"/>
      <c r="ASD12" s="50"/>
      <c r="ASE12" s="50"/>
      <c r="ASF12" s="50"/>
      <c r="ASG12" s="50"/>
      <c r="ASH12" s="50"/>
      <c r="ASI12" s="50"/>
      <c r="ASJ12" s="50"/>
      <c r="ASK12" s="50"/>
      <c r="ASL12" s="50"/>
      <c r="ASM12" s="50"/>
      <c r="ASN12" s="50"/>
      <c r="ASO12" s="50"/>
      <c r="ASP12" s="50"/>
      <c r="ASQ12" s="50"/>
      <c r="ASR12" s="50"/>
      <c r="ASS12" s="50"/>
      <c r="AST12" s="50"/>
      <c r="ASU12" s="50"/>
      <c r="ASV12" s="50"/>
      <c r="ASW12" s="50"/>
      <c r="ASX12" s="50"/>
      <c r="ASY12" s="50"/>
      <c r="ASZ12" s="50"/>
      <c r="ATA12" s="50"/>
      <c r="ATB12" s="50"/>
      <c r="ATC12" s="50"/>
      <c r="ATD12" s="50"/>
      <c r="ATE12" s="50"/>
      <c r="ATF12" s="50"/>
      <c r="ATG12" s="50"/>
      <c r="ATH12" s="50"/>
      <c r="ATI12" s="50"/>
      <c r="ATJ12" s="50"/>
      <c r="ATK12" s="50"/>
      <c r="ATL12" s="50"/>
      <c r="ATM12" s="50"/>
      <c r="ATN12" s="50"/>
      <c r="ATO12" s="50"/>
      <c r="ATP12" s="50"/>
      <c r="ATQ12" s="50"/>
      <c r="ATR12" s="50"/>
      <c r="ATS12" s="50"/>
      <c r="ATT12" s="50"/>
      <c r="ATU12" s="50"/>
      <c r="ATV12" s="50"/>
      <c r="ATW12" s="50"/>
      <c r="ATX12" s="50"/>
      <c r="ATY12" s="50"/>
      <c r="ATZ12" s="50"/>
      <c r="AUA12" s="50"/>
      <c r="AUB12" s="50"/>
      <c r="AUC12" s="50"/>
      <c r="AUD12" s="50"/>
      <c r="AUE12" s="50"/>
      <c r="AUF12" s="50"/>
      <c r="AUG12" s="50"/>
      <c r="AUH12" s="50"/>
      <c r="AUI12" s="50"/>
      <c r="AUJ12" s="50"/>
      <c r="AUK12" s="50"/>
      <c r="AUL12" s="50"/>
      <c r="AUM12" s="50"/>
      <c r="AUN12" s="50"/>
      <c r="AUO12" s="50"/>
      <c r="AUP12" s="50"/>
      <c r="AUQ12" s="50"/>
      <c r="AUR12" s="50"/>
      <c r="AUS12" s="50"/>
      <c r="AUT12" s="50"/>
      <c r="AUU12" s="50"/>
      <c r="AUV12" s="50"/>
      <c r="AUW12" s="50"/>
      <c r="AUX12" s="50"/>
      <c r="AUY12" s="50"/>
      <c r="AUZ12" s="50"/>
      <c r="AVA12" s="50"/>
      <c r="AVB12" s="50"/>
      <c r="AVC12" s="50"/>
      <c r="AVD12" s="50"/>
      <c r="AVE12" s="50"/>
      <c r="AVF12" s="50"/>
      <c r="AVG12" s="50"/>
      <c r="AVH12" s="50"/>
      <c r="AVI12" s="50"/>
      <c r="AVJ12" s="50"/>
      <c r="AVK12" s="50"/>
      <c r="AVL12" s="50"/>
      <c r="AVM12" s="50"/>
      <c r="AVN12" s="50"/>
      <c r="AVO12" s="50"/>
      <c r="AVP12" s="50"/>
      <c r="AVQ12" s="50"/>
      <c r="AVR12" s="50"/>
      <c r="AVS12" s="50"/>
      <c r="AVT12" s="50"/>
      <c r="AVU12" s="50"/>
      <c r="AVV12" s="50"/>
      <c r="AVW12" s="50"/>
      <c r="AVX12" s="50"/>
      <c r="AVY12" s="50"/>
      <c r="AVZ12" s="50"/>
      <c r="AWA12" s="50"/>
      <c r="AWB12" s="50"/>
      <c r="AWC12" s="50"/>
      <c r="AWD12" s="50"/>
      <c r="AWE12" s="50"/>
      <c r="AWF12" s="50"/>
      <c r="AWG12" s="50"/>
      <c r="AWH12" s="50"/>
      <c r="AWI12" s="50"/>
      <c r="AWJ12" s="50"/>
      <c r="AWK12" s="50"/>
      <c r="AWL12" s="50"/>
      <c r="AWM12" s="50"/>
      <c r="AWN12" s="50"/>
      <c r="AWO12" s="50"/>
      <c r="AWP12" s="50"/>
      <c r="AWQ12" s="50"/>
      <c r="AWR12" s="50"/>
      <c r="AWS12" s="50"/>
      <c r="AWT12" s="50"/>
      <c r="AWU12" s="50"/>
      <c r="AWV12" s="50"/>
      <c r="AWW12" s="50"/>
      <c r="AWX12" s="50"/>
      <c r="AWY12" s="50"/>
      <c r="AWZ12" s="50"/>
      <c r="AXA12" s="50"/>
      <c r="AXB12" s="50"/>
      <c r="AXC12" s="50"/>
      <c r="AXD12" s="50"/>
      <c r="AXE12" s="50"/>
      <c r="AXF12" s="50"/>
      <c r="AXG12" s="50"/>
      <c r="AXH12" s="50"/>
      <c r="AXI12" s="50"/>
      <c r="AXJ12" s="50"/>
      <c r="AXK12" s="50"/>
      <c r="AXL12" s="50"/>
      <c r="AXM12" s="50"/>
      <c r="AXN12" s="50"/>
      <c r="AXO12" s="50"/>
      <c r="AXP12" s="50"/>
      <c r="AXQ12" s="50"/>
      <c r="AXR12" s="50"/>
      <c r="AXS12" s="50"/>
      <c r="AXT12" s="50"/>
      <c r="AXU12" s="50"/>
      <c r="AXV12" s="50"/>
      <c r="AXW12" s="50"/>
      <c r="AXX12" s="50"/>
      <c r="AXY12" s="50"/>
      <c r="AXZ12" s="50"/>
      <c r="AYA12" s="50"/>
      <c r="AYB12" s="50"/>
      <c r="AYC12" s="50"/>
      <c r="AYD12" s="50"/>
      <c r="AYE12" s="50"/>
      <c r="AYF12" s="50"/>
      <c r="AYG12" s="50"/>
      <c r="AYH12" s="50"/>
      <c r="AYI12" s="50"/>
      <c r="AYJ12" s="50"/>
      <c r="AYK12" s="50"/>
      <c r="AYL12" s="50"/>
      <c r="AYM12" s="50"/>
      <c r="AYN12" s="50"/>
      <c r="AYO12" s="50"/>
      <c r="AYP12" s="50"/>
      <c r="AYQ12" s="50"/>
      <c r="AYR12" s="50"/>
      <c r="AYS12" s="50"/>
      <c r="AYT12" s="50"/>
      <c r="AYU12" s="50"/>
      <c r="AYV12" s="50"/>
      <c r="AYW12" s="50"/>
      <c r="AYX12" s="50"/>
      <c r="AYY12" s="50"/>
      <c r="AYZ12" s="50"/>
      <c r="AZA12" s="50"/>
      <c r="AZB12" s="50"/>
      <c r="AZC12" s="50"/>
      <c r="AZD12" s="50"/>
      <c r="AZE12" s="50"/>
      <c r="AZF12" s="50"/>
      <c r="AZG12" s="50"/>
      <c r="AZH12" s="50"/>
      <c r="AZI12" s="50"/>
      <c r="AZJ12" s="50"/>
      <c r="AZK12" s="50"/>
      <c r="AZL12" s="50"/>
      <c r="AZM12" s="50"/>
      <c r="AZN12" s="50"/>
      <c r="AZO12" s="50"/>
      <c r="AZP12" s="50"/>
      <c r="AZQ12" s="50"/>
      <c r="AZR12" s="50"/>
      <c r="AZS12" s="50"/>
      <c r="AZT12" s="50"/>
      <c r="AZU12" s="50"/>
      <c r="AZV12" s="50"/>
      <c r="AZW12" s="50"/>
      <c r="AZX12" s="50"/>
      <c r="AZY12" s="50"/>
      <c r="AZZ12" s="50"/>
      <c r="BAA12" s="50"/>
      <c r="BAB12" s="50"/>
      <c r="BAC12" s="50"/>
      <c r="BAD12" s="50"/>
      <c r="BAE12" s="50"/>
      <c r="BAF12" s="50"/>
      <c r="BAG12" s="50"/>
      <c r="BAH12" s="50"/>
      <c r="BAI12" s="50"/>
      <c r="BAJ12" s="50"/>
      <c r="BAK12" s="50"/>
      <c r="BAL12" s="50"/>
      <c r="BAM12" s="50"/>
      <c r="BAN12" s="50"/>
      <c r="BAO12" s="50"/>
      <c r="BAP12" s="50"/>
      <c r="BAQ12" s="50"/>
      <c r="BAR12" s="50"/>
      <c r="BAS12" s="50"/>
      <c r="BAT12" s="50"/>
      <c r="BAU12" s="50"/>
      <c r="BAV12" s="50"/>
      <c r="BAW12" s="50"/>
      <c r="BAX12" s="50"/>
      <c r="BAY12" s="50"/>
      <c r="BAZ12" s="50"/>
      <c r="BBA12" s="50"/>
      <c r="BBB12" s="50"/>
      <c r="BBC12" s="50"/>
      <c r="BBD12" s="50"/>
      <c r="BBE12" s="50"/>
      <c r="BBF12" s="50"/>
      <c r="BBG12" s="50"/>
      <c r="BBH12" s="50"/>
      <c r="BBI12" s="50"/>
      <c r="BBJ12" s="50"/>
      <c r="BBK12" s="50"/>
      <c r="BBL12" s="50"/>
      <c r="BBM12" s="50"/>
      <c r="BBN12" s="50"/>
      <c r="BBO12" s="50"/>
      <c r="BBP12" s="50"/>
      <c r="BBQ12" s="50"/>
      <c r="BBR12" s="50"/>
      <c r="BBS12" s="50"/>
      <c r="BBT12" s="50"/>
      <c r="BBU12" s="50"/>
      <c r="BBV12" s="50"/>
      <c r="BBW12" s="50"/>
      <c r="BBX12" s="50"/>
      <c r="BBY12" s="50"/>
      <c r="BBZ12" s="50"/>
      <c r="BCA12" s="50"/>
      <c r="BCB12" s="50"/>
      <c r="BCC12" s="50"/>
      <c r="BCD12" s="50"/>
      <c r="BCE12" s="50"/>
      <c r="BCF12" s="50"/>
      <c r="BCG12" s="50"/>
      <c r="BCH12" s="50"/>
      <c r="BCI12" s="50"/>
      <c r="BCJ12" s="50"/>
      <c r="BCK12" s="50"/>
      <c r="BCL12" s="50"/>
      <c r="BCM12" s="50"/>
      <c r="BCN12" s="50"/>
      <c r="BCO12" s="50"/>
      <c r="BCP12" s="50"/>
      <c r="BCQ12" s="50"/>
      <c r="BCR12" s="50"/>
      <c r="BCS12" s="50"/>
      <c r="BCT12" s="50"/>
      <c r="BCU12" s="50"/>
      <c r="BCV12" s="50"/>
      <c r="BCW12" s="50"/>
      <c r="BCX12" s="50"/>
      <c r="BCY12" s="50"/>
      <c r="BCZ12" s="50"/>
      <c r="BDA12" s="50"/>
      <c r="BDB12" s="50"/>
      <c r="BDC12" s="50"/>
      <c r="BDD12" s="50"/>
      <c r="BDE12" s="50"/>
      <c r="BDF12" s="50"/>
      <c r="BDG12" s="50"/>
      <c r="BDH12" s="50"/>
      <c r="BDI12" s="50"/>
      <c r="BDJ12" s="50"/>
      <c r="BDK12" s="50"/>
      <c r="BDL12" s="50"/>
      <c r="BDM12" s="50"/>
      <c r="BDN12" s="50"/>
      <c r="BDO12" s="50"/>
      <c r="BDP12" s="50"/>
      <c r="BDQ12" s="50"/>
      <c r="BDR12" s="50"/>
      <c r="BDS12" s="50"/>
      <c r="BDT12" s="50"/>
      <c r="BDU12" s="50"/>
      <c r="BDV12" s="50"/>
      <c r="BDW12" s="50"/>
      <c r="BDX12" s="50"/>
      <c r="BDY12" s="50"/>
      <c r="BDZ12" s="50"/>
      <c r="BEA12" s="50"/>
      <c r="BEB12" s="50"/>
      <c r="BEC12" s="50"/>
      <c r="BED12" s="50"/>
      <c r="BEE12" s="50"/>
      <c r="BEF12" s="50"/>
      <c r="BEG12" s="50"/>
      <c r="BEH12" s="50"/>
      <c r="BEI12" s="50"/>
      <c r="BEJ12" s="50"/>
      <c r="BEK12" s="50"/>
      <c r="BEL12" s="50"/>
      <c r="BEM12" s="50"/>
      <c r="BEN12" s="50"/>
      <c r="BEO12" s="50"/>
      <c r="BEP12" s="50"/>
      <c r="BEQ12" s="50"/>
      <c r="BER12" s="50"/>
      <c r="BES12" s="50"/>
      <c r="BET12" s="50"/>
      <c r="BEU12" s="50"/>
      <c r="BEV12" s="50"/>
      <c r="BEW12" s="50"/>
      <c r="BEX12" s="50"/>
      <c r="BEY12" s="50"/>
      <c r="BEZ12" s="50"/>
      <c r="BFA12" s="50"/>
      <c r="BFB12" s="50"/>
      <c r="BFC12" s="50"/>
      <c r="BFD12" s="50"/>
      <c r="BFE12" s="50"/>
      <c r="BFF12" s="50"/>
      <c r="BFG12" s="50"/>
      <c r="BFH12" s="50"/>
      <c r="BFI12" s="50"/>
      <c r="BFJ12" s="50"/>
      <c r="BFK12" s="50"/>
      <c r="BFL12" s="50"/>
      <c r="BFM12" s="50"/>
      <c r="BFN12" s="50"/>
      <c r="BFO12" s="50"/>
      <c r="BFP12" s="50"/>
      <c r="BFQ12" s="50"/>
      <c r="BFR12" s="50"/>
      <c r="BFS12" s="50"/>
      <c r="BFT12" s="50"/>
      <c r="BFU12" s="50"/>
      <c r="BFV12" s="50"/>
      <c r="BFW12" s="50"/>
      <c r="BFX12" s="50"/>
      <c r="BFY12" s="50"/>
      <c r="BFZ12" s="50"/>
      <c r="BGA12" s="50"/>
      <c r="BGB12" s="50"/>
      <c r="BGC12" s="50"/>
      <c r="BGD12" s="50"/>
      <c r="BGE12" s="50"/>
      <c r="BGF12" s="50"/>
      <c r="BGG12" s="50"/>
      <c r="BGH12" s="50"/>
      <c r="BGI12" s="50"/>
      <c r="BGJ12" s="50"/>
      <c r="BGK12" s="50"/>
      <c r="BGL12" s="50"/>
      <c r="BGM12" s="50"/>
      <c r="BGN12" s="50"/>
      <c r="BGO12" s="50"/>
      <c r="BGP12" s="50"/>
      <c r="BGQ12" s="50"/>
      <c r="BGR12" s="50"/>
      <c r="BGS12" s="50"/>
      <c r="BGT12" s="50"/>
      <c r="BGU12" s="50"/>
      <c r="BGV12" s="50"/>
      <c r="BGW12" s="50"/>
      <c r="BGX12" s="50"/>
      <c r="BGY12" s="50"/>
      <c r="BGZ12" s="50"/>
      <c r="BHA12" s="50"/>
      <c r="BHB12" s="50"/>
      <c r="BHC12" s="50"/>
      <c r="BHD12" s="50"/>
      <c r="BHE12" s="50"/>
      <c r="BHF12" s="50"/>
      <c r="BHG12" s="50"/>
      <c r="BHH12" s="50"/>
      <c r="BHI12" s="50"/>
      <c r="BHJ12" s="50"/>
      <c r="BHK12" s="50"/>
      <c r="BHL12" s="50"/>
      <c r="BHM12" s="50"/>
      <c r="BHN12" s="50"/>
      <c r="BHO12" s="50"/>
      <c r="BHP12" s="50"/>
      <c r="BHQ12" s="50"/>
      <c r="BHR12" s="50"/>
      <c r="BHS12" s="50"/>
      <c r="BHT12" s="50"/>
      <c r="BHU12" s="50"/>
      <c r="BHV12" s="50"/>
      <c r="BHW12" s="50"/>
      <c r="BHX12" s="50"/>
      <c r="BHY12" s="50"/>
      <c r="BHZ12" s="50"/>
      <c r="BIA12" s="50"/>
      <c r="BIB12" s="50"/>
      <c r="BIC12" s="50"/>
      <c r="BID12" s="50"/>
      <c r="BIE12" s="50"/>
      <c r="BIF12" s="50"/>
      <c r="BIG12" s="50"/>
      <c r="BIH12" s="50"/>
      <c r="BII12" s="50"/>
      <c r="BIJ12" s="50"/>
      <c r="BIK12" s="50"/>
      <c r="BIL12" s="50"/>
      <c r="BIM12" s="50"/>
      <c r="BIN12" s="50"/>
      <c r="BIO12" s="50"/>
      <c r="BIP12" s="50"/>
      <c r="BIQ12" s="50"/>
      <c r="BIR12" s="50"/>
      <c r="BIS12" s="50"/>
      <c r="BIT12" s="50"/>
      <c r="BIU12" s="50"/>
      <c r="BIV12" s="50"/>
      <c r="BIW12" s="50"/>
      <c r="BIX12" s="50"/>
      <c r="BIY12" s="50"/>
      <c r="BIZ12" s="50"/>
      <c r="BJA12" s="50"/>
      <c r="BJB12" s="50"/>
      <c r="BJC12" s="50"/>
      <c r="BJD12" s="50"/>
      <c r="BJE12" s="50"/>
      <c r="BJF12" s="50"/>
      <c r="BJG12" s="50"/>
      <c r="BJH12" s="50"/>
      <c r="BJI12" s="50"/>
      <c r="BJJ12" s="50"/>
      <c r="BJK12" s="50"/>
      <c r="BJL12" s="50"/>
      <c r="BJM12" s="50"/>
      <c r="BJN12" s="50"/>
      <c r="BJO12" s="50"/>
      <c r="BJP12" s="50"/>
      <c r="BJQ12" s="50"/>
      <c r="BJR12" s="50"/>
      <c r="BJS12" s="50"/>
      <c r="BJT12" s="50"/>
      <c r="BJU12" s="50"/>
      <c r="BJV12" s="50"/>
      <c r="BJW12" s="50"/>
      <c r="BJX12" s="50"/>
      <c r="BJY12" s="50"/>
      <c r="BJZ12" s="50"/>
      <c r="BKA12" s="50"/>
      <c r="BKB12" s="50"/>
      <c r="BKC12" s="50"/>
      <c r="BKD12" s="50"/>
      <c r="BKE12" s="50"/>
      <c r="BKF12" s="50"/>
      <c r="BKG12" s="50"/>
      <c r="BKH12" s="50"/>
      <c r="BKI12" s="50"/>
      <c r="BKJ12" s="50"/>
      <c r="BKK12" s="50"/>
      <c r="BKL12" s="50"/>
      <c r="BKM12" s="50"/>
      <c r="BKN12" s="50"/>
      <c r="BKO12" s="50"/>
      <c r="BKP12" s="50"/>
      <c r="BKQ12" s="50"/>
      <c r="BKR12" s="50"/>
      <c r="BKS12" s="50"/>
      <c r="BKT12" s="50"/>
      <c r="BKU12" s="50"/>
      <c r="BKV12" s="50"/>
      <c r="BKW12" s="50"/>
      <c r="BKX12" s="50"/>
      <c r="BKY12" s="50"/>
      <c r="BKZ12" s="50"/>
      <c r="BLA12" s="50"/>
      <c r="BLB12" s="50"/>
      <c r="BLC12" s="50"/>
      <c r="BLD12" s="50"/>
      <c r="BLE12" s="50"/>
      <c r="BLF12" s="50"/>
      <c r="BLG12" s="50"/>
      <c r="BLH12" s="50"/>
      <c r="BLI12" s="50"/>
      <c r="BLJ12" s="50"/>
      <c r="BLK12" s="50"/>
      <c r="BLL12" s="50"/>
      <c r="BLM12" s="50"/>
      <c r="BLN12" s="50"/>
      <c r="BLO12" s="50"/>
      <c r="BLP12" s="50"/>
      <c r="BLQ12" s="50"/>
      <c r="BLR12" s="50"/>
      <c r="BLS12" s="50"/>
      <c r="BLT12" s="50"/>
      <c r="BLU12" s="50"/>
      <c r="BLV12" s="50"/>
      <c r="BLW12" s="50"/>
      <c r="BLX12" s="50"/>
      <c r="BLY12" s="50"/>
      <c r="BLZ12" s="50"/>
      <c r="BMA12" s="50"/>
      <c r="BMB12" s="50"/>
      <c r="BMC12" s="50"/>
      <c r="BMD12" s="50"/>
      <c r="BME12" s="50"/>
      <c r="BMF12" s="50"/>
      <c r="BMG12" s="50"/>
      <c r="BMH12" s="50"/>
      <c r="BMI12" s="50"/>
      <c r="BMJ12" s="50"/>
      <c r="BMK12" s="50"/>
      <c r="BML12" s="50"/>
      <c r="BMM12" s="50"/>
      <c r="BMN12" s="50"/>
      <c r="BMO12" s="50"/>
      <c r="BMP12" s="50"/>
      <c r="BMQ12" s="50"/>
      <c r="BMR12" s="50"/>
      <c r="BMS12" s="50"/>
      <c r="BMT12" s="50"/>
      <c r="BMU12" s="50"/>
      <c r="BMV12" s="50"/>
      <c r="BMW12" s="50"/>
      <c r="BMX12" s="50"/>
      <c r="BMY12" s="50"/>
      <c r="BMZ12" s="50"/>
      <c r="BNA12" s="50"/>
      <c r="BNB12" s="50"/>
      <c r="BNC12" s="50"/>
      <c r="BND12" s="50"/>
      <c r="BNE12" s="50"/>
      <c r="BNF12" s="50"/>
      <c r="BNG12" s="50"/>
      <c r="BNH12" s="50"/>
      <c r="BNI12" s="50"/>
      <c r="BNJ12" s="50"/>
      <c r="BNK12" s="50"/>
      <c r="BNL12" s="50"/>
      <c r="BNM12" s="50"/>
      <c r="BNN12" s="50"/>
      <c r="BNO12" s="50"/>
      <c r="BNP12" s="50"/>
      <c r="BNQ12" s="50"/>
      <c r="BNR12" s="50"/>
      <c r="BNS12" s="50"/>
      <c r="BNT12" s="50"/>
      <c r="BNU12" s="50"/>
      <c r="BNV12" s="50"/>
      <c r="BNW12" s="50"/>
      <c r="BNX12" s="50"/>
      <c r="BNY12" s="50"/>
      <c r="BNZ12" s="50"/>
      <c r="BOA12" s="50"/>
      <c r="BOB12" s="50"/>
      <c r="BOC12" s="50"/>
      <c r="BOD12" s="50"/>
      <c r="BOE12" s="50"/>
      <c r="BOF12" s="50"/>
      <c r="BOG12" s="50"/>
      <c r="BOH12" s="50"/>
      <c r="BOI12" s="50"/>
      <c r="BOJ12" s="50"/>
      <c r="BOK12" s="50"/>
      <c r="BOL12" s="50"/>
      <c r="BOM12" s="50"/>
      <c r="BON12" s="50"/>
      <c r="BOO12" s="50"/>
      <c r="BOP12" s="50"/>
      <c r="BOQ12" s="50"/>
      <c r="BOR12" s="50"/>
      <c r="BOS12" s="50"/>
      <c r="BOT12" s="50"/>
      <c r="BOU12" s="50"/>
      <c r="BOV12" s="50"/>
      <c r="BOW12" s="50"/>
      <c r="BOX12" s="50"/>
      <c r="BOY12" s="50"/>
      <c r="BOZ12" s="50"/>
      <c r="BPA12" s="50"/>
      <c r="BPB12" s="50"/>
      <c r="BPC12" s="50"/>
      <c r="BPD12" s="50"/>
      <c r="BPE12" s="50"/>
      <c r="BPF12" s="50"/>
      <c r="BPG12" s="50"/>
      <c r="BPH12" s="50"/>
      <c r="BPI12" s="50"/>
      <c r="BPJ12" s="50"/>
      <c r="BPK12" s="50"/>
      <c r="BPL12" s="50"/>
      <c r="BPM12" s="50"/>
      <c r="BPN12" s="50"/>
      <c r="BPO12" s="50"/>
      <c r="BPP12" s="50"/>
      <c r="BPQ12" s="50"/>
      <c r="BPR12" s="50"/>
      <c r="BPS12" s="50"/>
      <c r="BPT12" s="50"/>
      <c r="BPU12" s="50"/>
      <c r="BPV12" s="50"/>
      <c r="BPW12" s="50"/>
      <c r="BPX12" s="50"/>
      <c r="BPY12" s="50"/>
      <c r="BPZ12" s="50"/>
      <c r="BQA12" s="50"/>
      <c r="BQB12" s="50"/>
      <c r="BQC12" s="50"/>
      <c r="BQD12" s="50"/>
      <c r="BQE12" s="50"/>
      <c r="BQF12" s="50"/>
      <c r="BQG12" s="50"/>
      <c r="BQH12" s="50"/>
      <c r="BQI12" s="50"/>
      <c r="BQJ12" s="50"/>
      <c r="BQK12" s="50"/>
      <c r="BQL12" s="50"/>
      <c r="BQM12" s="50"/>
      <c r="BQN12" s="50"/>
      <c r="BQO12" s="50"/>
      <c r="BQP12" s="50"/>
      <c r="BQQ12" s="50"/>
      <c r="BQR12" s="50"/>
      <c r="BQS12" s="50"/>
      <c r="BQT12" s="50"/>
      <c r="BQU12" s="50"/>
      <c r="BQV12" s="50"/>
      <c r="BQW12" s="50"/>
      <c r="BQX12" s="50"/>
      <c r="BQY12" s="50"/>
      <c r="BQZ12" s="50"/>
      <c r="BRA12" s="50"/>
      <c r="BRB12" s="50"/>
      <c r="BRC12" s="50"/>
      <c r="BRD12" s="50"/>
      <c r="BRE12" s="50"/>
      <c r="BRF12" s="50"/>
      <c r="BRG12" s="50"/>
      <c r="BRH12" s="50"/>
      <c r="BRI12" s="50"/>
      <c r="BRJ12" s="50"/>
      <c r="BRK12" s="50"/>
      <c r="BRL12" s="50"/>
      <c r="BRM12" s="50"/>
      <c r="BRN12" s="50"/>
      <c r="BRO12" s="50"/>
      <c r="BRP12" s="50"/>
      <c r="BRQ12" s="50"/>
      <c r="BRR12" s="50"/>
      <c r="BRS12" s="50"/>
      <c r="BRT12" s="50"/>
      <c r="BRU12" s="50"/>
      <c r="BRV12" s="50"/>
      <c r="BRW12" s="50"/>
      <c r="BRX12" s="50"/>
      <c r="BRY12" s="50"/>
      <c r="BRZ12" s="50"/>
      <c r="BSA12" s="50"/>
      <c r="BSB12" s="50"/>
      <c r="BSC12" s="50"/>
      <c r="BSD12" s="50"/>
      <c r="BSE12" s="50"/>
      <c r="BSF12" s="50"/>
      <c r="BSG12" s="50"/>
      <c r="BSH12" s="50"/>
      <c r="BSI12" s="50"/>
      <c r="BSJ12" s="50"/>
      <c r="BSK12" s="50"/>
      <c r="BSL12" s="50"/>
      <c r="BSM12" s="50"/>
      <c r="BSN12" s="50"/>
      <c r="BSO12" s="50"/>
      <c r="BSP12" s="50"/>
      <c r="BSQ12" s="50"/>
      <c r="BSR12" s="50"/>
      <c r="BSS12" s="50"/>
      <c r="BST12" s="50"/>
      <c r="BSU12" s="50"/>
      <c r="BSV12" s="50"/>
      <c r="BSW12" s="50"/>
      <c r="BSX12" s="50"/>
      <c r="BSY12" s="50"/>
      <c r="BSZ12" s="50"/>
      <c r="BTA12" s="50"/>
      <c r="BTB12" s="50"/>
      <c r="BTC12" s="50"/>
      <c r="BTD12" s="50"/>
      <c r="BTE12" s="50"/>
      <c r="BTF12" s="50"/>
      <c r="BTG12" s="50"/>
      <c r="BTH12" s="50"/>
      <c r="BTI12" s="50"/>
      <c r="BTJ12" s="50"/>
      <c r="BTK12" s="50"/>
      <c r="BTL12" s="50"/>
      <c r="BTM12" s="50"/>
      <c r="BTN12" s="50"/>
      <c r="BTO12" s="50"/>
      <c r="BTP12" s="50"/>
      <c r="BTQ12" s="50"/>
      <c r="BTR12" s="50"/>
      <c r="BTS12" s="50"/>
      <c r="BTT12" s="50"/>
      <c r="BTU12" s="50"/>
      <c r="BTV12" s="50"/>
      <c r="BTW12" s="50"/>
      <c r="BTX12" s="50"/>
    </row>
    <row r="13" ht="15.75" customHeight="1">
      <c r="A13" t="s">
        <v>60</v>
      </c>
      <c r="B13" t="s">
        <v>40</v>
      </c>
      <c r="E13">
        <v>1000.0</v>
      </c>
      <c r="F13" t="s">
        <v>78</v>
      </c>
      <c r="G13" t="s">
        <v>64</v>
      </c>
      <c r="K13">
        <v>60.0</v>
      </c>
      <c r="L13">
        <v>60.0</v>
      </c>
      <c r="O13" t="s">
        <v>70</v>
      </c>
      <c r="V13" t="s">
        <v>82</v>
      </c>
      <c r="Z13" t="s">
        <v>67</v>
      </c>
      <c r="AD13" t="s">
        <v>66</v>
      </c>
      <c r="AE13">
        <v>1000.0</v>
      </c>
      <c r="AF13" t="s">
        <v>60</v>
      </c>
      <c r="AH13" t="s">
        <v>80</v>
      </c>
      <c r="AI13">
        <v>1.0</v>
      </c>
      <c r="AP13" t="b">
        <v>1</v>
      </c>
      <c r="AQ13" t="b">
        <v>0</v>
      </c>
      <c r="AR13" t="b">
        <v>1</v>
      </c>
      <c r="BE13">
        <v>60000.0</v>
      </c>
      <c r="BF13">
        <v>60000.0</v>
      </c>
      <c r="BJ13">
        <v>1000.0</v>
      </c>
      <c r="BM13" t="s">
        <v>67</v>
      </c>
      <c r="BO13" t="s">
        <v>35</v>
      </c>
      <c r="BT13" t="s">
        <v>39</v>
      </c>
      <c r="CK13" t="s">
        <v>65</v>
      </c>
      <c r="CL13">
        <v>1.0</v>
      </c>
      <c r="CM13" t="s">
        <v>39</v>
      </c>
      <c r="CN13" t="s">
        <v>69</v>
      </c>
      <c r="CX13" t="s">
        <v>60</v>
      </c>
      <c r="CY13" t="s">
        <v>60</v>
      </c>
      <c r="CZ13" t="s">
        <v>60</v>
      </c>
      <c r="DA13" t="s">
        <v>60</v>
      </c>
      <c r="DB13" t="s">
        <v>60</v>
      </c>
      <c r="DC13" t="s">
        <v>60</v>
      </c>
      <c r="DD13" t="s">
        <v>60</v>
      </c>
      <c r="DE13" t="s">
        <v>60</v>
      </c>
      <c r="DF13" t="s">
        <v>60</v>
      </c>
      <c r="DG13" t="s">
        <v>60</v>
      </c>
      <c r="DH13" t="s">
        <v>60</v>
      </c>
      <c r="DI13" t="s">
        <v>60</v>
      </c>
      <c r="DJ13" t="s">
        <v>60</v>
      </c>
      <c r="DK13" t="s">
        <v>60</v>
      </c>
      <c r="DL13" t="s">
        <v>60</v>
      </c>
      <c r="DM13" t="s">
        <v>60</v>
      </c>
      <c r="DN13" t="s">
        <v>60</v>
      </c>
      <c r="DO13" t="s">
        <v>60</v>
      </c>
      <c r="DP13" t="s">
        <v>60</v>
      </c>
      <c r="DQ13" t="s">
        <v>60</v>
      </c>
      <c r="DR13" t="s">
        <v>60</v>
      </c>
      <c r="DS13" t="s">
        <v>60</v>
      </c>
      <c r="DT13" t="s">
        <v>60</v>
      </c>
      <c r="DU13" t="s">
        <v>60</v>
      </c>
      <c r="DV13" t="s">
        <v>60</v>
      </c>
      <c r="DW13" t="s">
        <v>60</v>
      </c>
      <c r="DX13" t="s">
        <v>60</v>
      </c>
      <c r="DY13" t="s">
        <v>60</v>
      </c>
      <c r="DZ13" t="s">
        <v>60</v>
      </c>
      <c r="EA13" t="s">
        <v>60</v>
      </c>
      <c r="EB13" t="s">
        <v>60</v>
      </c>
      <c r="EC13" t="s">
        <v>60</v>
      </c>
      <c r="ED13" t="s">
        <v>60</v>
      </c>
      <c r="EE13" t="s">
        <v>60</v>
      </c>
      <c r="EF13" t="s">
        <v>60</v>
      </c>
      <c r="EG13" t="s">
        <v>60</v>
      </c>
      <c r="EH13" t="s">
        <v>60</v>
      </c>
      <c r="EI13" t="s">
        <v>60</v>
      </c>
      <c r="EJ13" t="s">
        <v>60</v>
      </c>
      <c r="EK13" t="s">
        <v>60</v>
      </c>
      <c r="EL13" t="s">
        <v>60</v>
      </c>
      <c r="EM13" t="s">
        <v>60</v>
      </c>
      <c r="EN13" t="s">
        <v>60</v>
      </c>
      <c r="EO13" t="s">
        <v>60</v>
      </c>
      <c r="EP13" t="s">
        <v>60</v>
      </c>
      <c r="EQ13" t="s">
        <v>60</v>
      </c>
      <c r="ER13" t="s">
        <v>60</v>
      </c>
      <c r="ES13" t="s">
        <v>60</v>
      </c>
      <c r="ET13" t="s">
        <v>60</v>
      </c>
      <c r="EU13" t="s">
        <v>60</v>
      </c>
      <c r="EV13" t="s">
        <v>60</v>
      </c>
      <c r="EW13" t="s">
        <v>60</v>
      </c>
      <c r="EX13" t="s">
        <v>60</v>
      </c>
      <c r="EY13" t="s">
        <v>60</v>
      </c>
      <c r="EZ13" t="s">
        <v>60</v>
      </c>
      <c r="FA13" t="s">
        <v>60</v>
      </c>
      <c r="FB13" t="s">
        <v>60</v>
      </c>
      <c r="FC13" t="s">
        <v>60</v>
      </c>
      <c r="FD13" t="s">
        <v>60</v>
      </c>
      <c r="FE13" t="s">
        <v>60</v>
      </c>
      <c r="FF13" t="s">
        <v>60</v>
      </c>
      <c r="FG13" t="s">
        <v>60</v>
      </c>
      <c r="FH13" t="s">
        <v>60</v>
      </c>
      <c r="FI13" t="s">
        <v>60</v>
      </c>
      <c r="FJ13" t="s">
        <v>60</v>
      </c>
      <c r="FK13" t="s">
        <v>60</v>
      </c>
      <c r="FL13" t="s">
        <v>60</v>
      </c>
      <c r="FM13" t="s">
        <v>60</v>
      </c>
      <c r="FN13" t="s">
        <v>60</v>
      </c>
      <c r="FO13" t="s">
        <v>60</v>
      </c>
      <c r="FP13" t="s">
        <v>60</v>
      </c>
      <c r="FQ13" t="s">
        <v>60</v>
      </c>
      <c r="AML13" s="36" t="str">
        <f t="shared" ref="AML13:AND13" si="8">iferror(INDEX('Input(Other)'!$A:$FF,MATCH($A13,'Input(Other)'!$A$1:$A$210,0),MATCH(AML$1,'Input(Other)'!$1:$1,0)),"")</f>
        <v/>
      </c>
      <c r="AMM13" s="36" t="str">
        <f t="shared" si="8"/>
        <v/>
      </c>
      <c r="AMN13" s="36" t="str">
        <f t="shared" si="8"/>
        <v/>
      </c>
      <c r="AMO13" s="36" t="str">
        <f t="shared" si="8"/>
        <v/>
      </c>
      <c r="AMP13" s="36" t="str">
        <f t="shared" si="8"/>
        <v/>
      </c>
      <c r="AMQ13" s="36" t="str">
        <f t="shared" si="8"/>
        <v/>
      </c>
      <c r="AMR13" s="36" t="str">
        <f t="shared" si="8"/>
        <v/>
      </c>
      <c r="AMS13" s="36" t="str">
        <f t="shared" si="8"/>
        <v/>
      </c>
      <c r="AMT13" s="36" t="str">
        <f t="shared" si="8"/>
        <v/>
      </c>
      <c r="AMU13" s="36" t="str">
        <f t="shared" si="8"/>
        <v/>
      </c>
      <c r="AMV13" s="36" t="str">
        <f t="shared" si="8"/>
        <v/>
      </c>
      <c r="AMW13" s="36" t="str">
        <f t="shared" si="8"/>
        <v/>
      </c>
      <c r="AMX13" s="36" t="str">
        <f t="shared" si="8"/>
        <v/>
      </c>
      <c r="AMY13" s="36" t="str">
        <f t="shared" si="8"/>
        <v/>
      </c>
      <c r="AMZ13" s="36" t="str">
        <f t="shared" si="8"/>
        <v/>
      </c>
      <c r="ANA13" s="36" t="str">
        <f t="shared" si="8"/>
        <v/>
      </c>
      <c r="ANB13" s="36" t="str">
        <f t="shared" si="8"/>
        <v/>
      </c>
      <c r="ANC13" s="36" t="str">
        <f t="shared" si="8"/>
        <v/>
      </c>
      <c r="AND13" s="36" t="str">
        <f t="shared" si="8"/>
        <v/>
      </c>
      <c r="ANE13" s="50"/>
      <c r="ANF13" s="50"/>
      <c r="ANG13" s="50"/>
      <c r="ANH13" s="50"/>
      <c r="ANI13" s="50"/>
      <c r="ANJ13" s="50"/>
      <c r="ANK13" s="50"/>
      <c r="ANL13" s="50"/>
      <c r="ANM13" s="50"/>
      <c r="ANN13" s="50"/>
      <c r="ANO13" s="50"/>
      <c r="ANP13" s="50"/>
      <c r="ANQ13" s="50"/>
      <c r="ANR13" s="50"/>
      <c r="ANS13" s="50"/>
      <c r="ANT13" s="50"/>
      <c r="ANU13" s="50"/>
      <c r="ANV13" s="50"/>
      <c r="ANW13" s="50"/>
      <c r="ANX13" s="50"/>
      <c r="ANY13" s="50"/>
      <c r="ANZ13" s="50"/>
      <c r="AOA13" s="50"/>
      <c r="AOB13" s="50"/>
      <c r="AOC13" s="50"/>
      <c r="AOD13" s="50"/>
      <c r="AOE13" s="50"/>
      <c r="AOF13" s="50"/>
      <c r="AOG13" s="50"/>
      <c r="AOH13" s="50"/>
      <c r="AOI13" s="50"/>
      <c r="AOJ13" s="50"/>
      <c r="AOK13" s="50"/>
      <c r="AOL13" s="50"/>
      <c r="AOM13" s="50"/>
      <c r="AON13" s="50"/>
      <c r="AOO13" s="50"/>
      <c r="AOP13" s="50"/>
      <c r="AOQ13" s="50"/>
      <c r="AOR13" s="50"/>
      <c r="AOS13" s="50"/>
      <c r="AOT13" s="50"/>
      <c r="AOU13" s="50"/>
      <c r="AOV13" s="50"/>
      <c r="AOW13" s="50"/>
      <c r="AOX13" s="50"/>
      <c r="AOY13" s="50"/>
      <c r="AOZ13" s="50"/>
      <c r="APA13" s="50"/>
      <c r="APB13" s="50"/>
      <c r="APC13" s="50"/>
      <c r="APD13" s="50"/>
      <c r="APE13" s="50"/>
      <c r="APF13" s="50"/>
      <c r="APG13" s="50"/>
      <c r="APH13" s="50"/>
      <c r="API13" s="50"/>
      <c r="APJ13" s="50"/>
      <c r="APK13" s="50"/>
      <c r="APL13" s="50"/>
      <c r="APM13" s="50"/>
      <c r="APN13" s="50"/>
      <c r="APO13" s="50"/>
      <c r="APP13" s="50"/>
      <c r="APQ13" s="50"/>
      <c r="APR13" s="50"/>
      <c r="APS13" s="50"/>
      <c r="APT13" s="50"/>
      <c r="APU13" s="50"/>
      <c r="APV13" s="50"/>
      <c r="APW13" s="50"/>
      <c r="APX13" s="50"/>
      <c r="APY13" s="50"/>
      <c r="APZ13" s="50"/>
      <c r="AQA13" s="50"/>
      <c r="AQB13" s="50"/>
      <c r="AQC13" s="50"/>
      <c r="AQD13" s="50"/>
      <c r="AQE13" s="50"/>
      <c r="AQF13" s="50"/>
      <c r="AQG13" s="50"/>
      <c r="AQH13" s="50"/>
      <c r="AQI13" s="50"/>
      <c r="AQJ13" s="50"/>
      <c r="AQK13" s="50"/>
      <c r="AQL13" s="50"/>
      <c r="AQM13" s="50"/>
      <c r="AQN13" s="50"/>
      <c r="AQO13" s="50"/>
      <c r="AQP13" s="50"/>
      <c r="AQQ13" s="50"/>
      <c r="AQR13" s="50"/>
      <c r="AQS13" s="50"/>
      <c r="AQT13" s="50"/>
      <c r="AQU13" s="50"/>
      <c r="AQV13" s="50"/>
      <c r="AQW13" s="50"/>
      <c r="AQX13" s="50"/>
      <c r="AQY13" s="50"/>
      <c r="AQZ13" s="50"/>
      <c r="ARA13" s="50"/>
      <c r="ARB13" s="50"/>
      <c r="ARC13" s="50"/>
      <c r="ARD13" s="50"/>
      <c r="ARE13" s="50"/>
      <c r="ARF13" s="50"/>
      <c r="ARG13" s="50"/>
      <c r="ARH13" s="50"/>
      <c r="ARI13" s="50"/>
      <c r="ARJ13" s="50"/>
      <c r="ARK13" s="50"/>
      <c r="ARL13" s="50"/>
      <c r="ARM13" s="50"/>
      <c r="ARN13" s="50"/>
      <c r="ARO13" s="50"/>
      <c r="ARP13" s="50"/>
      <c r="ARQ13" s="50"/>
      <c r="ARR13" s="50"/>
      <c r="ARS13" s="50"/>
      <c r="ART13" s="50"/>
      <c r="ARU13" s="50"/>
      <c r="ARV13" s="50"/>
      <c r="ARW13" s="50"/>
      <c r="ARX13" s="50"/>
      <c r="ARY13" s="50"/>
      <c r="ARZ13" s="50"/>
      <c r="ASA13" s="50"/>
      <c r="ASB13" s="50"/>
      <c r="ASC13" s="50"/>
      <c r="ASD13" s="50"/>
      <c r="ASE13" s="50"/>
      <c r="ASF13" s="50"/>
      <c r="ASG13" s="50"/>
      <c r="ASH13" s="50"/>
      <c r="ASI13" s="50"/>
      <c r="ASJ13" s="50"/>
      <c r="ASK13" s="50"/>
      <c r="ASL13" s="50"/>
      <c r="ASM13" s="50"/>
      <c r="ASN13" s="50"/>
      <c r="ASO13" s="50"/>
      <c r="ASP13" s="50"/>
      <c r="ASQ13" s="50"/>
      <c r="ASR13" s="50"/>
      <c r="ASS13" s="50"/>
      <c r="AST13" s="50"/>
      <c r="ASU13" s="50"/>
      <c r="ASV13" s="50"/>
      <c r="ASW13" s="50"/>
      <c r="ASX13" s="50"/>
      <c r="ASY13" s="50"/>
      <c r="ASZ13" s="50"/>
      <c r="ATA13" s="50"/>
      <c r="ATB13" s="50"/>
      <c r="ATC13" s="50"/>
      <c r="ATD13" s="50"/>
      <c r="ATE13" s="50"/>
      <c r="ATF13" s="50"/>
      <c r="ATG13" s="50"/>
      <c r="ATH13" s="50"/>
      <c r="ATI13" s="50"/>
      <c r="ATJ13" s="50"/>
      <c r="ATK13" s="50"/>
      <c r="ATL13" s="50"/>
      <c r="ATM13" s="50"/>
      <c r="ATN13" s="50"/>
      <c r="ATO13" s="50"/>
      <c r="ATP13" s="50"/>
      <c r="ATQ13" s="50"/>
      <c r="ATR13" s="50"/>
      <c r="ATS13" s="50"/>
      <c r="ATT13" s="50"/>
      <c r="ATU13" s="50"/>
      <c r="ATV13" s="50"/>
      <c r="ATW13" s="50"/>
      <c r="ATX13" s="50"/>
      <c r="ATY13" s="50"/>
      <c r="ATZ13" s="50"/>
      <c r="AUA13" s="50"/>
      <c r="AUB13" s="50"/>
      <c r="AUC13" s="50"/>
      <c r="AUD13" s="50"/>
      <c r="AUE13" s="50"/>
      <c r="AUF13" s="50"/>
      <c r="AUG13" s="50"/>
      <c r="AUH13" s="50"/>
      <c r="AUI13" s="50"/>
      <c r="AUJ13" s="50"/>
      <c r="AUK13" s="50"/>
      <c r="AUL13" s="50"/>
      <c r="AUM13" s="50"/>
      <c r="AUN13" s="50"/>
      <c r="AUO13" s="50"/>
      <c r="AUP13" s="50"/>
      <c r="AUQ13" s="50"/>
      <c r="AUR13" s="50"/>
      <c r="AUS13" s="50"/>
      <c r="AUT13" s="50"/>
      <c r="AUU13" s="50"/>
      <c r="AUV13" s="50"/>
      <c r="AUW13" s="50"/>
      <c r="AUX13" s="50"/>
      <c r="AUY13" s="50"/>
      <c r="AUZ13" s="50"/>
      <c r="AVA13" s="50"/>
      <c r="AVB13" s="50"/>
      <c r="AVC13" s="50"/>
      <c r="AVD13" s="50"/>
      <c r="AVE13" s="50"/>
      <c r="AVF13" s="50"/>
      <c r="AVG13" s="50"/>
      <c r="AVH13" s="50"/>
      <c r="AVI13" s="50"/>
      <c r="AVJ13" s="50"/>
      <c r="AVK13" s="50"/>
      <c r="AVL13" s="50"/>
      <c r="AVM13" s="50"/>
      <c r="AVN13" s="50"/>
      <c r="AVO13" s="50"/>
      <c r="AVP13" s="50"/>
      <c r="AVQ13" s="50"/>
      <c r="AVR13" s="50"/>
      <c r="AVS13" s="50"/>
      <c r="AVT13" s="50"/>
      <c r="AVU13" s="50"/>
      <c r="AVV13" s="50"/>
      <c r="AVW13" s="50"/>
      <c r="AVX13" s="50"/>
      <c r="AVY13" s="50"/>
      <c r="AVZ13" s="50"/>
      <c r="AWA13" s="50"/>
      <c r="AWB13" s="50"/>
      <c r="AWC13" s="50"/>
      <c r="AWD13" s="50"/>
      <c r="AWE13" s="50"/>
      <c r="AWF13" s="50"/>
      <c r="AWG13" s="50"/>
      <c r="AWH13" s="50"/>
      <c r="AWI13" s="50"/>
      <c r="AWJ13" s="50"/>
      <c r="AWK13" s="50"/>
      <c r="AWL13" s="50"/>
      <c r="AWM13" s="50"/>
      <c r="AWN13" s="50"/>
      <c r="AWO13" s="50"/>
      <c r="AWP13" s="50"/>
      <c r="AWQ13" s="50"/>
      <c r="AWR13" s="50"/>
      <c r="AWS13" s="50"/>
      <c r="AWT13" s="50"/>
      <c r="AWU13" s="50"/>
      <c r="AWV13" s="50"/>
      <c r="AWW13" s="50"/>
      <c r="AWX13" s="50"/>
      <c r="AWY13" s="50"/>
      <c r="AWZ13" s="50"/>
      <c r="AXA13" s="50"/>
      <c r="AXB13" s="50"/>
      <c r="AXC13" s="50"/>
      <c r="AXD13" s="50"/>
      <c r="AXE13" s="50"/>
      <c r="AXF13" s="50"/>
      <c r="AXG13" s="50"/>
      <c r="AXH13" s="50"/>
      <c r="AXI13" s="50"/>
      <c r="AXJ13" s="50"/>
      <c r="AXK13" s="50"/>
      <c r="AXL13" s="50"/>
      <c r="AXM13" s="50"/>
      <c r="AXN13" s="50"/>
      <c r="AXO13" s="50"/>
      <c r="AXP13" s="50"/>
      <c r="AXQ13" s="50"/>
      <c r="AXR13" s="50"/>
      <c r="AXS13" s="50"/>
      <c r="AXT13" s="50"/>
      <c r="AXU13" s="50"/>
      <c r="AXV13" s="50"/>
      <c r="AXW13" s="50"/>
      <c r="AXX13" s="50"/>
      <c r="AXY13" s="50"/>
      <c r="AXZ13" s="50"/>
      <c r="AYA13" s="50"/>
      <c r="AYB13" s="50"/>
      <c r="AYC13" s="50"/>
      <c r="AYD13" s="50"/>
      <c r="AYE13" s="50"/>
      <c r="AYF13" s="50"/>
      <c r="AYG13" s="50"/>
      <c r="AYH13" s="50"/>
      <c r="AYI13" s="50"/>
      <c r="AYJ13" s="50"/>
      <c r="AYK13" s="50"/>
      <c r="AYL13" s="50"/>
      <c r="AYM13" s="50"/>
      <c r="AYN13" s="50"/>
      <c r="AYO13" s="50"/>
      <c r="AYP13" s="50"/>
      <c r="AYQ13" s="50"/>
      <c r="AYR13" s="50"/>
      <c r="AYS13" s="50"/>
      <c r="AYT13" s="50"/>
      <c r="AYU13" s="50"/>
      <c r="AYV13" s="50"/>
      <c r="AYW13" s="50"/>
      <c r="AYX13" s="50"/>
      <c r="AYY13" s="50"/>
      <c r="AYZ13" s="50"/>
      <c r="AZA13" s="50"/>
      <c r="AZB13" s="50"/>
      <c r="AZC13" s="50"/>
      <c r="AZD13" s="50"/>
      <c r="AZE13" s="50"/>
      <c r="AZF13" s="50"/>
      <c r="AZG13" s="50"/>
      <c r="AZH13" s="50"/>
      <c r="AZI13" s="50"/>
      <c r="AZJ13" s="50"/>
      <c r="AZK13" s="50"/>
      <c r="AZL13" s="50"/>
      <c r="AZM13" s="50"/>
      <c r="AZN13" s="50"/>
      <c r="AZO13" s="50"/>
      <c r="AZP13" s="50"/>
      <c r="AZQ13" s="50"/>
      <c r="AZR13" s="50"/>
      <c r="AZS13" s="50"/>
      <c r="AZT13" s="50"/>
      <c r="AZU13" s="50"/>
      <c r="AZV13" s="50"/>
      <c r="AZW13" s="50"/>
      <c r="AZX13" s="50"/>
      <c r="AZY13" s="50"/>
      <c r="AZZ13" s="50"/>
      <c r="BAA13" s="50"/>
      <c r="BAB13" s="50"/>
      <c r="BAC13" s="50"/>
      <c r="BAD13" s="50"/>
      <c r="BAE13" s="50"/>
      <c r="BAF13" s="50"/>
      <c r="BAG13" s="50"/>
      <c r="BAH13" s="50"/>
      <c r="BAI13" s="50"/>
      <c r="BAJ13" s="50"/>
      <c r="BAK13" s="50"/>
      <c r="BAL13" s="50"/>
      <c r="BAM13" s="50"/>
      <c r="BAN13" s="50"/>
      <c r="BAO13" s="50"/>
      <c r="BAP13" s="50"/>
      <c r="BAQ13" s="50"/>
      <c r="BAR13" s="50"/>
      <c r="BAS13" s="50"/>
      <c r="BAT13" s="50"/>
      <c r="BAU13" s="50"/>
      <c r="BAV13" s="50"/>
      <c r="BAW13" s="50"/>
      <c r="BAX13" s="50"/>
      <c r="BAY13" s="50"/>
      <c r="BAZ13" s="50"/>
      <c r="BBA13" s="50"/>
      <c r="BBB13" s="50"/>
      <c r="BBC13" s="50"/>
      <c r="BBD13" s="50"/>
      <c r="BBE13" s="50"/>
      <c r="BBF13" s="50"/>
      <c r="BBG13" s="50"/>
      <c r="BBH13" s="50"/>
      <c r="BBI13" s="50"/>
      <c r="BBJ13" s="50"/>
      <c r="BBK13" s="50"/>
      <c r="BBL13" s="50"/>
      <c r="BBM13" s="50"/>
      <c r="BBN13" s="50"/>
      <c r="BBO13" s="50"/>
      <c r="BBP13" s="50"/>
      <c r="BBQ13" s="50"/>
      <c r="BBR13" s="50"/>
      <c r="BBS13" s="50"/>
      <c r="BBT13" s="50"/>
      <c r="BBU13" s="50"/>
      <c r="BBV13" s="50"/>
      <c r="BBW13" s="50"/>
      <c r="BBX13" s="50"/>
      <c r="BBY13" s="50"/>
      <c r="BBZ13" s="50"/>
      <c r="BCA13" s="50"/>
      <c r="BCB13" s="50"/>
      <c r="BCC13" s="50"/>
      <c r="BCD13" s="50"/>
      <c r="BCE13" s="50"/>
      <c r="BCF13" s="50"/>
      <c r="BCG13" s="50"/>
      <c r="BCH13" s="50"/>
      <c r="BCI13" s="50"/>
      <c r="BCJ13" s="50"/>
      <c r="BCK13" s="50"/>
      <c r="BCL13" s="50"/>
      <c r="BCM13" s="50"/>
      <c r="BCN13" s="50"/>
      <c r="BCO13" s="50"/>
      <c r="BCP13" s="50"/>
      <c r="BCQ13" s="50"/>
      <c r="BCR13" s="50"/>
      <c r="BCS13" s="50"/>
      <c r="BCT13" s="50"/>
      <c r="BCU13" s="50"/>
      <c r="BCV13" s="50"/>
      <c r="BCW13" s="50"/>
      <c r="BCX13" s="50"/>
      <c r="BCY13" s="50"/>
      <c r="BCZ13" s="50"/>
      <c r="BDA13" s="50"/>
      <c r="BDB13" s="50"/>
      <c r="BDC13" s="50"/>
      <c r="BDD13" s="50"/>
      <c r="BDE13" s="50"/>
      <c r="BDF13" s="50"/>
      <c r="BDG13" s="50"/>
      <c r="BDH13" s="50"/>
      <c r="BDI13" s="50"/>
      <c r="BDJ13" s="50"/>
      <c r="BDK13" s="50"/>
      <c r="BDL13" s="50"/>
      <c r="BDM13" s="50"/>
      <c r="BDN13" s="50"/>
      <c r="BDO13" s="50"/>
      <c r="BDP13" s="50"/>
      <c r="BDQ13" s="50"/>
      <c r="BDR13" s="50"/>
      <c r="BDS13" s="50"/>
      <c r="BDT13" s="50"/>
      <c r="BDU13" s="50"/>
      <c r="BDV13" s="50"/>
      <c r="BDW13" s="50"/>
      <c r="BDX13" s="50"/>
      <c r="BDY13" s="50"/>
      <c r="BDZ13" s="50"/>
      <c r="BEA13" s="50"/>
      <c r="BEB13" s="50"/>
      <c r="BEC13" s="50"/>
      <c r="BED13" s="50"/>
      <c r="BEE13" s="50"/>
      <c r="BEF13" s="50"/>
      <c r="BEG13" s="50"/>
      <c r="BEH13" s="50"/>
      <c r="BEI13" s="50"/>
      <c r="BEJ13" s="50"/>
      <c r="BEK13" s="50"/>
      <c r="BEL13" s="50"/>
      <c r="BEM13" s="50"/>
      <c r="BEN13" s="50"/>
      <c r="BEO13" s="50"/>
      <c r="BEP13" s="50"/>
      <c r="BEQ13" s="50"/>
      <c r="BER13" s="50"/>
      <c r="BES13" s="50"/>
      <c r="BET13" s="50"/>
      <c r="BEU13" s="50"/>
      <c r="BEV13" s="50"/>
      <c r="BEW13" s="50"/>
      <c r="BEX13" s="50"/>
      <c r="BEY13" s="50"/>
      <c r="BEZ13" s="50"/>
      <c r="BFA13" s="50"/>
      <c r="BFB13" s="50"/>
      <c r="BFC13" s="50"/>
      <c r="BFD13" s="50"/>
      <c r="BFE13" s="50"/>
      <c r="BFF13" s="50"/>
      <c r="BFG13" s="50"/>
      <c r="BFH13" s="50"/>
      <c r="BFI13" s="50"/>
      <c r="BFJ13" s="50"/>
      <c r="BFK13" s="50"/>
      <c r="BFL13" s="50"/>
      <c r="BFM13" s="50"/>
      <c r="BFN13" s="50"/>
      <c r="BFO13" s="50"/>
      <c r="BFP13" s="50"/>
      <c r="BFQ13" s="50"/>
      <c r="BFR13" s="50"/>
      <c r="BFS13" s="50"/>
      <c r="BFT13" s="50"/>
      <c r="BFU13" s="50"/>
      <c r="BFV13" s="50"/>
      <c r="BFW13" s="50"/>
      <c r="BFX13" s="50"/>
      <c r="BFY13" s="50"/>
      <c r="BFZ13" s="50"/>
      <c r="BGA13" s="50"/>
      <c r="BGB13" s="50"/>
      <c r="BGC13" s="50"/>
      <c r="BGD13" s="50"/>
      <c r="BGE13" s="50"/>
      <c r="BGF13" s="50"/>
      <c r="BGG13" s="50"/>
      <c r="BGH13" s="50"/>
      <c r="BGI13" s="50"/>
      <c r="BGJ13" s="50"/>
      <c r="BGK13" s="50"/>
      <c r="BGL13" s="50"/>
      <c r="BGM13" s="50"/>
      <c r="BGN13" s="50"/>
      <c r="BGO13" s="50"/>
      <c r="BGP13" s="50"/>
      <c r="BGQ13" s="50"/>
      <c r="BGR13" s="50"/>
      <c r="BGS13" s="50"/>
      <c r="BGT13" s="50"/>
      <c r="BGU13" s="50"/>
      <c r="BGV13" s="50"/>
      <c r="BGW13" s="50"/>
      <c r="BGX13" s="50"/>
      <c r="BGY13" s="50"/>
      <c r="BGZ13" s="50"/>
      <c r="BHA13" s="50"/>
      <c r="BHB13" s="50"/>
      <c r="BHC13" s="50"/>
      <c r="BHD13" s="50"/>
      <c r="BHE13" s="50"/>
      <c r="BHF13" s="50"/>
      <c r="BHG13" s="50"/>
      <c r="BHH13" s="50"/>
      <c r="BHI13" s="50"/>
      <c r="BHJ13" s="50"/>
      <c r="BHK13" s="50"/>
      <c r="BHL13" s="50"/>
      <c r="BHM13" s="50"/>
      <c r="BHN13" s="50"/>
      <c r="BHO13" s="50"/>
      <c r="BHP13" s="50"/>
      <c r="BHQ13" s="50"/>
      <c r="BHR13" s="50"/>
      <c r="BHS13" s="50"/>
      <c r="BHT13" s="50"/>
      <c r="BHU13" s="50"/>
      <c r="BHV13" s="50"/>
      <c r="BHW13" s="50"/>
      <c r="BHX13" s="50"/>
      <c r="BHY13" s="50"/>
      <c r="BHZ13" s="50"/>
      <c r="BIA13" s="50"/>
      <c r="BIB13" s="50"/>
      <c r="BIC13" s="50"/>
      <c r="BID13" s="50"/>
      <c r="BIE13" s="50"/>
      <c r="BIF13" s="50"/>
      <c r="BIG13" s="50"/>
      <c r="BIH13" s="50"/>
      <c r="BII13" s="50"/>
      <c r="BIJ13" s="50"/>
      <c r="BIK13" s="50"/>
      <c r="BIL13" s="50"/>
      <c r="BIM13" s="50"/>
      <c r="BIN13" s="50"/>
      <c r="BIO13" s="50"/>
      <c r="BIP13" s="50"/>
      <c r="BIQ13" s="50"/>
      <c r="BIR13" s="50"/>
      <c r="BIS13" s="50"/>
      <c r="BIT13" s="50"/>
      <c r="BIU13" s="50"/>
      <c r="BIV13" s="50"/>
      <c r="BIW13" s="50"/>
      <c r="BIX13" s="50"/>
      <c r="BIY13" s="50"/>
      <c r="BIZ13" s="50"/>
      <c r="BJA13" s="50"/>
      <c r="BJB13" s="50"/>
      <c r="BJC13" s="50"/>
      <c r="BJD13" s="50"/>
      <c r="BJE13" s="50"/>
      <c r="BJF13" s="50"/>
      <c r="BJG13" s="50"/>
      <c r="BJH13" s="50"/>
      <c r="BJI13" s="50"/>
      <c r="BJJ13" s="50"/>
      <c r="BJK13" s="50"/>
      <c r="BJL13" s="50"/>
      <c r="BJM13" s="50"/>
      <c r="BJN13" s="50"/>
      <c r="BJO13" s="50"/>
      <c r="BJP13" s="50"/>
      <c r="BJQ13" s="50"/>
      <c r="BJR13" s="50"/>
      <c r="BJS13" s="50"/>
      <c r="BJT13" s="50"/>
      <c r="BJU13" s="50"/>
      <c r="BJV13" s="50"/>
      <c r="BJW13" s="50"/>
      <c r="BJX13" s="50"/>
      <c r="BJY13" s="50"/>
      <c r="BJZ13" s="50"/>
      <c r="BKA13" s="50"/>
      <c r="BKB13" s="50"/>
      <c r="BKC13" s="50"/>
      <c r="BKD13" s="50"/>
      <c r="BKE13" s="50"/>
      <c r="BKF13" s="50"/>
      <c r="BKG13" s="50"/>
      <c r="BKH13" s="50"/>
      <c r="BKI13" s="50"/>
      <c r="BKJ13" s="50"/>
      <c r="BKK13" s="50"/>
      <c r="BKL13" s="50"/>
      <c r="BKM13" s="50"/>
      <c r="BKN13" s="50"/>
      <c r="BKO13" s="50"/>
      <c r="BKP13" s="50"/>
      <c r="BKQ13" s="50"/>
      <c r="BKR13" s="50"/>
      <c r="BKS13" s="50"/>
      <c r="BKT13" s="50"/>
      <c r="BKU13" s="50"/>
      <c r="BKV13" s="50"/>
      <c r="BKW13" s="50"/>
      <c r="BKX13" s="50"/>
      <c r="BKY13" s="50"/>
      <c r="BKZ13" s="50"/>
      <c r="BLA13" s="50"/>
      <c r="BLB13" s="50"/>
      <c r="BLC13" s="50"/>
      <c r="BLD13" s="50"/>
      <c r="BLE13" s="50"/>
      <c r="BLF13" s="50"/>
      <c r="BLG13" s="50"/>
      <c r="BLH13" s="50"/>
      <c r="BLI13" s="50"/>
      <c r="BLJ13" s="50"/>
      <c r="BLK13" s="50"/>
      <c r="BLL13" s="50"/>
      <c r="BLM13" s="50"/>
      <c r="BLN13" s="50"/>
      <c r="BLO13" s="50"/>
      <c r="BLP13" s="50"/>
      <c r="BLQ13" s="50"/>
      <c r="BLR13" s="50"/>
      <c r="BLS13" s="50"/>
      <c r="BLT13" s="50"/>
      <c r="BLU13" s="50"/>
      <c r="BLV13" s="50"/>
      <c r="BLW13" s="50"/>
      <c r="BLX13" s="50"/>
      <c r="BLY13" s="50"/>
      <c r="BLZ13" s="50"/>
      <c r="BMA13" s="50"/>
      <c r="BMB13" s="50"/>
      <c r="BMC13" s="50"/>
      <c r="BMD13" s="50"/>
      <c r="BME13" s="50"/>
      <c r="BMF13" s="50"/>
      <c r="BMG13" s="50"/>
      <c r="BMH13" s="50"/>
      <c r="BMI13" s="50"/>
      <c r="BMJ13" s="50"/>
      <c r="BMK13" s="50"/>
      <c r="BML13" s="50"/>
      <c r="BMM13" s="50"/>
      <c r="BMN13" s="50"/>
      <c r="BMO13" s="50"/>
      <c r="BMP13" s="50"/>
      <c r="BMQ13" s="50"/>
      <c r="BMR13" s="50"/>
      <c r="BMS13" s="50"/>
      <c r="BMT13" s="50"/>
      <c r="BMU13" s="50"/>
      <c r="BMV13" s="50"/>
      <c r="BMW13" s="50"/>
      <c r="BMX13" s="50"/>
      <c r="BMY13" s="50"/>
      <c r="BMZ13" s="50"/>
      <c r="BNA13" s="50"/>
      <c r="BNB13" s="50"/>
      <c r="BNC13" s="50"/>
      <c r="BND13" s="50"/>
      <c r="BNE13" s="50"/>
      <c r="BNF13" s="50"/>
      <c r="BNG13" s="50"/>
      <c r="BNH13" s="50"/>
      <c r="BNI13" s="50"/>
      <c r="BNJ13" s="50"/>
      <c r="BNK13" s="50"/>
      <c r="BNL13" s="50"/>
      <c r="BNM13" s="50"/>
      <c r="BNN13" s="50"/>
      <c r="BNO13" s="50"/>
      <c r="BNP13" s="50"/>
      <c r="BNQ13" s="50"/>
      <c r="BNR13" s="50"/>
      <c r="BNS13" s="50"/>
      <c r="BNT13" s="50"/>
      <c r="BNU13" s="50"/>
      <c r="BNV13" s="50"/>
      <c r="BNW13" s="50"/>
      <c r="BNX13" s="50"/>
      <c r="BNY13" s="50"/>
      <c r="BNZ13" s="50"/>
      <c r="BOA13" s="50"/>
      <c r="BOB13" s="50"/>
      <c r="BOC13" s="50"/>
      <c r="BOD13" s="50"/>
      <c r="BOE13" s="50"/>
      <c r="BOF13" s="50"/>
      <c r="BOG13" s="50"/>
      <c r="BOH13" s="50"/>
      <c r="BOI13" s="50"/>
      <c r="BOJ13" s="50"/>
      <c r="BOK13" s="50"/>
      <c r="BOL13" s="50"/>
      <c r="BOM13" s="50"/>
      <c r="BON13" s="50"/>
      <c r="BOO13" s="50"/>
      <c r="BOP13" s="50"/>
      <c r="BOQ13" s="50"/>
      <c r="BOR13" s="50"/>
      <c r="BOS13" s="50"/>
      <c r="BOT13" s="50"/>
      <c r="BOU13" s="50"/>
      <c r="BOV13" s="50"/>
      <c r="BOW13" s="50"/>
      <c r="BOX13" s="50"/>
      <c r="BOY13" s="50"/>
      <c r="BOZ13" s="50"/>
      <c r="BPA13" s="50"/>
      <c r="BPB13" s="50"/>
      <c r="BPC13" s="50"/>
      <c r="BPD13" s="50"/>
      <c r="BPE13" s="50"/>
      <c r="BPF13" s="50"/>
      <c r="BPG13" s="50"/>
      <c r="BPH13" s="50"/>
      <c r="BPI13" s="50"/>
      <c r="BPJ13" s="50"/>
      <c r="BPK13" s="50"/>
      <c r="BPL13" s="50"/>
      <c r="BPM13" s="50"/>
      <c r="BPN13" s="50"/>
      <c r="BPO13" s="50"/>
      <c r="BPP13" s="50"/>
      <c r="BPQ13" s="50"/>
      <c r="BPR13" s="50"/>
      <c r="BPS13" s="50"/>
      <c r="BPT13" s="50"/>
      <c r="BPU13" s="50"/>
      <c r="BPV13" s="50"/>
      <c r="BPW13" s="50"/>
      <c r="BPX13" s="50"/>
      <c r="BPY13" s="50"/>
      <c r="BPZ13" s="50"/>
      <c r="BQA13" s="50"/>
      <c r="BQB13" s="50"/>
      <c r="BQC13" s="50"/>
      <c r="BQD13" s="50"/>
      <c r="BQE13" s="50"/>
      <c r="BQF13" s="50"/>
      <c r="BQG13" s="50"/>
      <c r="BQH13" s="50"/>
      <c r="BQI13" s="50"/>
      <c r="BQJ13" s="50"/>
      <c r="BQK13" s="50"/>
      <c r="BQL13" s="50"/>
      <c r="BQM13" s="50"/>
      <c r="BQN13" s="50"/>
      <c r="BQO13" s="50"/>
      <c r="BQP13" s="50"/>
      <c r="BQQ13" s="50"/>
      <c r="BQR13" s="50"/>
      <c r="BQS13" s="50"/>
      <c r="BQT13" s="50"/>
      <c r="BQU13" s="50"/>
      <c r="BQV13" s="50"/>
      <c r="BQW13" s="50"/>
      <c r="BQX13" s="50"/>
      <c r="BQY13" s="50"/>
      <c r="BQZ13" s="50"/>
      <c r="BRA13" s="50"/>
      <c r="BRB13" s="50"/>
      <c r="BRC13" s="50"/>
      <c r="BRD13" s="50"/>
      <c r="BRE13" s="50"/>
      <c r="BRF13" s="50"/>
      <c r="BRG13" s="50"/>
      <c r="BRH13" s="50"/>
      <c r="BRI13" s="50"/>
      <c r="BRJ13" s="50"/>
      <c r="BRK13" s="50"/>
      <c r="BRL13" s="50"/>
      <c r="BRM13" s="50"/>
      <c r="BRN13" s="50"/>
      <c r="BRO13" s="50"/>
      <c r="BRP13" s="50"/>
      <c r="BRQ13" s="50"/>
      <c r="BRR13" s="50"/>
      <c r="BRS13" s="50"/>
      <c r="BRT13" s="50"/>
      <c r="BRU13" s="50"/>
      <c r="BRV13" s="50"/>
      <c r="BRW13" s="50"/>
      <c r="BRX13" s="50"/>
      <c r="BRY13" s="50"/>
      <c r="BRZ13" s="50"/>
      <c r="BSA13" s="50"/>
      <c r="BSB13" s="50"/>
      <c r="BSC13" s="50"/>
      <c r="BSD13" s="50"/>
      <c r="BSE13" s="50"/>
      <c r="BSF13" s="50"/>
      <c r="BSG13" s="50"/>
      <c r="BSH13" s="50"/>
      <c r="BSI13" s="50"/>
      <c r="BSJ13" s="50"/>
      <c r="BSK13" s="50"/>
      <c r="BSL13" s="50"/>
      <c r="BSM13" s="50"/>
      <c r="BSN13" s="50"/>
      <c r="BSO13" s="50"/>
      <c r="BSP13" s="50"/>
      <c r="BSQ13" s="50"/>
      <c r="BSR13" s="50"/>
      <c r="BSS13" s="50"/>
      <c r="BST13" s="50"/>
      <c r="BSU13" s="50"/>
      <c r="BSV13" s="50"/>
      <c r="BSW13" s="50"/>
      <c r="BSX13" s="50"/>
      <c r="BSY13" s="50"/>
      <c r="BSZ13" s="50"/>
      <c r="BTA13" s="50"/>
      <c r="BTB13" s="50"/>
      <c r="BTC13" s="50"/>
      <c r="BTD13" s="50"/>
      <c r="BTE13" s="50"/>
      <c r="BTF13" s="50"/>
      <c r="BTG13" s="50"/>
      <c r="BTH13" s="50"/>
      <c r="BTI13" s="50"/>
      <c r="BTJ13" s="50"/>
      <c r="BTK13" s="50"/>
      <c r="BTL13" s="50"/>
      <c r="BTM13" s="50"/>
      <c r="BTN13" s="50"/>
      <c r="BTO13" s="50"/>
      <c r="BTP13" s="50"/>
      <c r="BTQ13" s="50"/>
      <c r="BTR13" s="50"/>
      <c r="BTS13" s="50"/>
      <c r="BTT13" s="50"/>
      <c r="BTU13" s="50"/>
      <c r="BTV13" s="50"/>
      <c r="BTW13" s="50"/>
      <c r="BTX13" s="50"/>
    </row>
    <row r="14" ht="15.75" customHeight="1">
      <c r="A14" t="s">
        <v>60</v>
      </c>
      <c r="B14" t="s">
        <v>40</v>
      </c>
      <c r="E14">
        <v>1000.0</v>
      </c>
      <c r="F14" t="s">
        <v>78</v>
      </c>
      <c r="G14" t="s">
        <v>64</v>
      </c>
      <c r="K14">
        <v>50.0</v>
      </c>
      <c r="L14">
        <v>50.0</v>
      </c>
      <c r="O14" t="s">
        <v>70</v>
      </c>
      <c r="V14" t="s">
        <v>82</v>
      </c>
      <c r="Z14" t="s">
        <v>67</v>
      </c>
      <c r="AD14" t="s">
        <v>66</v>
      </c>
      <c r="AE14">
        <v>1000.0</v>
      </c>
      <c r="AF14" t="s">
        <v>60</v>
      </c>
      <c r="AH14" t="s">
        <v>80</v>
      </c>
      <c r="AI14">
        <v>1.0</v>
      </c>
      <c r="AP14" t="b">
        <v>1</v>
      </c>
      <c r="AQ14" t="b">
        <v>0</v>
      </c>
      <c r="AR14" t="b">
        <v>1</v>
      </c>
      <c r="BE14">
        <v>50000.0</v>
      </c>
      <c r="BF14">
        <v>50000.0</v>
      </c>
      <c r="BJ14">
        <v>1000.0</v>
      </c>
      <c r="BM14" t="s">
        <v>67</v>
      </c>
      <c r="BO14" t="s">
        <v>35</v>
      </c>
      <c r="BT14" t="s">
        <v>39</v>
      </c>
      <c r="CK14" t="s">
        <v>65</v>
      </c>
      <c r="CL14">
        <v>1.0</v>
      </c>
      <c r="CM14" t="s">
        <v>39</v>
      </c>
      <c r="CN14" t="s">
        <v>69</v>
      </c>
      <c r="CX14" t="s">
        <v>60</v>
      </c>
      <c r="CY14" t="s">
        <v>60</v>
      </c>
      <c r="CZ14" t="s">
        <v>60</v>
      </c>
      <c r="DA14" t="s">
        <v>60</v>
      </c>
      <c r="DB14" t="s">
        <v>60</v>
      </c>
      <c r="DC14" t="s">
        <v>60</v>
      </c>
      <c r="DD14" t="s">
        <v>60</v>
      </c>
      <c r="DE14" t="s">
        <v>60</v>
      </c>
      <c r="DF14" t="s">
        <v>60</v>
      </c>
      <c r="DG14" t="s">
        <v>60</v>
      </c>
      <c r="DH14" t="s">
        <v>60</v>
      </c>
      <c r="DI14" t="s">
        <v>60</v>
      </c>
      <c r="DJ14" t="s">
        <v>60</v>
      </c>
      <c r="DK14" t="s">
        <v>60</v>
      </c>
      <c r="DL14" t="s">
        <v>60</v>
      </c>
      <c r="DM14" t="s">
        <v>60</v>
      </c>
      <c r="DN14" t="s">
        <v>60</v>
      </c>
      <c r="DO14" t="s">
        <v>60</v>
      </c>
      <c r="DP14" t="s">
        <v>60</v>
      </c>
      <c r="DQ14" t="s">
        <v>60</v>
      </c>
      <c r="DR14" t="s">
        <v>60</v>
      </c>
      <c r="DS14" t="s">
        <v>60</v>
      </c>
      <c r="DT14" t="s">
        <v>60</v>
      </c>
      <c r="DU14" t="s">
        <v>60</v>
      </c>
      <c r="DV14" t="s">
        <v>60</v>
      </c>
      <c r="DW14" t="s">
        <v>60</v>
      </c>
      <c r="DX14" t="s">
        <v>60</v>
      </c>
      <c r="DY14" t="s">
        <v>60</v>
      </c>
      <c r="DZ14" t="s">
        <v>60</v>
      </c>
      <c r="EA14" t="s">
        <v>60</v>
      </c>
      <c r="EB14" t="s">
        <v>60</v>
      </c>
      <c r="EC14" t="s">
        <v>60</v>
      </c>
      <c r="ED14" t="s">
        <v>60</v>
      </c>
      <c r="EE14" t="s">
        <v>60</v>
      </c>
      <c r="EF14" t="s">
        <v>60</v>
      </c>
      <c r="EG14" t="s">
        <v>60</v>
      </c>
      <c r="EH14" t="s">
        <v>60</v>
      </c>
      <c r="EI14" t="s">
        <v>60</v>
      </c>
      <c r="EJ14" t="s">
        <v>60</v>
      </c>
      <c r="EK14" t="s">
        <v>60</v>
      </c>
      <c r="EL14" t="s">
        <v>60</v>
      </c>
      <c r="EM14" t="s">
        <v>60</v>
      </c>
      <c r="EN14" t="s">
        <v>60</v>
      </c>
      <c r="EO14" t="s">
        <v>60</v>
      </c>
      <c r="EP14" t="s">
        <v>60</v>
      </c>
      <c r="EQ14" t="s">
        <v>60</v>
      </c>
      <c r="ER14" t="s">
        <v>60</v>
      </c>
      <c r="ES14" t="s">
        <v>60</v>
      </c>
      <c r="ET14" t="s">
        <v>60</v>
      </c>
      <c r="EU14" t="s">
        <v>60</v>
      </c>
      <c r="EV14" t="s">
        <v>60</v>
      </c>
      <c r="EW14" t="s">
        <v>60</v>
      </c>
      <c r="EX14" t="s">
        <v>60</v>
      </c>
      <c r="EY14" t="s">
        <v>60</v>
      </c>
      <c r="EZ14" t="s">
        <v>60</v>
      </c>
      <c r="FA14" t="s">
        <v>60</v>
      </c>
      <c r="FB14" t="s">
        <v>60</v>
      </c>
      <c r="FC14" t="s">
        <v>60</v>
      </c>
      <c r="FD14" t="s">
        <v>60</v>
      </c>
      <c r="FE14" t="s">
        <v>60</v>
      </c>
      <c r="FF14" t="s">
        <v>60</v>
      </c>
      <c r="FG14" t="s">
        <v>60</v>
      </c>
      <c r="FH14" t="s">
        <v>60</v>
      </c>
      <c r="FI14" t="s">
        <v>60</v>
      </c>
      <c r="FJ14" t="s">
        <v>60</v>
      </c>
      <c r="FK14" t="s">
        <v>60</v>
      </c>
      <c r="FL14" t="s">
        <v>60</v>
      </c>
      <c r="FM14" t="s">
        <v>60</v>
      </c>
      <c r="FN14" t="s">
        <v>60</v>
      </c>
      <c r="FO14" t="s">
        <v>60</v>
      </c>
      <c r="FP14" t="s">
        <v>60</v>
      </c>
      <c r="FQ14" t="s">
        <v>60</v>
      </c>
      <c r="AML14" s="36" t="str">
        <f t="shared" ref="AML14:AND14" si="9">iferror(INDEX('Input(Other)'!$A:$FF,MATCH($A14,'Input(Other)'!$A$1:$A$210,0),MATCH(AML$1,'Input(Other)'!$1:$1,0)),"")</f>
        <v/>
      </c>
      <c r="AMM14" s="36" t="str">
        <f t="shared" si="9"/>
        <v/>
      </c>
      <c r="AMN14" s="36" t="str">
        <f t="shared" si="9"/>
        <v/>
      </c>
      <c r="AMO14" s="36" t="str">
        <f t="shared" si="9"/>
        <v/>
      </c>
      <c r="AMP14" s="36" t="str">
        <f t="shared" si="9"/>
        <v/>
      </c>
      <c r="AMQ14" s="36" t="str">
        <f t="shared" si="9"/>
        <v/>
      </c>
      <c r="AMR14" s="36" t="str">
        <f t="shared" si="9"/>
        <v/>
      </c>
      <c r="AMS14" s="36" t="str">
        <f t="shared" si="9"/>
        <v/>
      </c>
      <c r="AMT14" s="36" t="str">
        <f t="shared" si="9"/>
        <v/>
      </c>
      <c r="AMU14" s="36" t="str">
        <f t="shared" si="9"/>
        <v/>
      </c>
      <c r="AMV14" s="36" t="str">
        <f t="shared" si="9"/>
        <v/>
      </c>
      <c r="AMW14" s="36" t="str">
        <f t="shared" si="9"/>
        <v/>
      </c>
      <c r="AMX14" s="36" t="str">
        <f t="shared" si="9"/>
        <v/>
      </c>
      <c r="AMY14" s="36" t="str">
        <f t="shared" si="9"/>
        <v/>
      </c>
      <c r="AMZ14" s="36" t="str">
        <f t="shared" si="9"/>
        <v/>
      </c>
      <c r="ANA14" s="36" t="str">
        <f t="shared" si="9"/>
        <v/>
      </c>
      <c r="ANB14" s="36" t="str">
        <f t="shared" si="9"/>
        <v/>
      </c>
      <c r="ANC14" s="36" t="str">
        <f t="shared" si="9"/>
        <v/>
      </c>
      <c r="AND14" s="36" t="str">
        <f t="shared" si="9"/>
        <v/>
      </c>
      <c r="ANE14" s="50"/>
      <c r="ANF14" s="50"/>
      <c r="ANG14" s="50"/>
      <c r="ANH14" s="50"/>
      <c r="ANI14" s="50"/>
      <c r="ANJ14" s="50"/>
      <c r="ANK14" s="50"/>
      <c r="ANL14" s="50"/>
      <c r="ANM14" s="50"/>
      <c r="ANN14" s="50"/>
      <c r="ANO14" s="50"/>
      <c r="ANP14" s="50"/>
      <c r="ANQ14" s="50"/>
      <c r="ANR14" s="50"/>
      <c r="ANS14" s="50"/>
      <c r="ANT14" s="50"/>
      <c r="ANU14" s="50"/>
      <c r="ANV14" s="50"/>
      <c r="ANW14" s="50"/>
      <c r="ANX14" s="50"/>
      <c r="ANY14" s="50"/>
      <c r="ANZ14" s="50"/>
      <c r="AOA14" s="50"/>
      <c r="AOB14" s="50"/>
      <c r="AOC14" s="50"/>
      <c r="AOD14" s="50"/>
      <c r="AOE14" s="50"/>
      <c r="AOF14" s="50"/>
      <c r="AOG14" s="50"/>
      <c r="AOH14" s="50"/>
      <c r="AOI14" s="50"/>
      <c r="AOJ14" s="50"/>
      <c r="AOK14" s="50"/>
      <c r="AOL14" s="50"/>
      <c r="AOM14" s="50"/>
      <c r="AON14" s="50"/>
      <c r="AOO14" s="50"/>
      <c r="AOP14" s="50"/>
      <c r="AOQ14" s="50"/>
      <c r="AOR14" s="50"/>
      <c r="AOS14" s="50"/>
      <c r="AOT14" s="50"/>
      <c r="AOU14" s="50"/>
      <c r="AOV14" s="50"/>
      <c r="AOW14" s="50"/>
      <c r="AOX14" s="50"/>
      <c r="AOY14" s="50"/>
      <c r="AOZ14" s="50"/>
      <c r="APA14" s="50"/>
      <c r="APB14" s="50"/>
      <c r="APC14" s="50"/>
      <c r="APD14" s="50"/>
      <c r="APE14" s="50"/>
      <c r="APF14" s="50"/>
      <c r="APG14" s="50"/>
      <c r="APH14" s="50"/>
      <c r="API14" s="50"/>
      <c r="APJ14" s="50"/>
      <c r="APK14" s="50"/>
      <c r="APL14" s="50"/>
      <c r="APM14" s="50"/>
      <c r="APN14" s="50"/>
      <c r="APO14" s="50"/>
      <c r="APP14" s="50"/>
      <c r="APQ14" s="50"/>
      <c r="APR14" s="50"/>
      <c r="APS14" s="50"/>
      <c r="APT14" s="50"/>
      <c r="APU14" s="50"/>
      <c r="APV14" s="50"/>
      <c r="APW14" s="50"/>
      <c r="APX14" s="50"/>
      <c r="APY14" s="50"/>
      <c r="APZ14" s="50"/>
      <c r="AQA14" s="50"/>
      <c r="AQB14" s="50"/>
      <c r="AQC14" s="50"/>
      <c r="AQD14" s="50"/>
      <c r="AQE14" s="50"/>
      <c r="AQF14" s="50"/>
      <c r="AQG14" s="50"/>
      <c r="AQH14" s="50"/>
      <c r="AQI14" s="50"/>
      <c r="AQJ14" s="50"/>
      <c r="AQK14" s="50"/>
      <c r="AQL14" s="50"/>
      <c r="AQM14" s="50"/>
      <c r="AQN14" s="50"/>
      <c r="AQO14" s="50"/>
      <c r="AQP14" s="50"/>
      <c r="AQQ14" s="50"/>
      <c r="AQR14" s="50"/>
      <c r="AQS14" s="50"/>
      <c r="AQT14" s="50"/>
      <c r="AQU14" s="50"/>
      <c r="AQV14" s="50"/>
      <c r="AQW14" s="50"/>
      <c r="AQX14" s="50"/>
      <c r="AQY14" s="50"/>
      <c r="AQZ14" s="50"/>
      <c r="ARA14" s="50"/>
      <c r="ARB14" s="50"/>
      <c r="ARC14" s="50"/>
      <c r="ARD14" s="50"/>
      <c r="ARE14" s="50"/>
      <c r="ARF14" s="50"/>
      <c r="ARG14" s="50"/>
      <c r="ARH14" s="50"/>
      <c r="ARI14" s="50"/>
      <c r="ARJ14" s="50"/>
      <c r="ARK14" s="50"/>
      <c r="ARL14" s="50"/>
      <c r="ARM14" s="50"/>
      <c r="ARN14" s="50"/>
      <c r="ARO14" s="50"/>
      <c r="ARP14" s="50"/>
      <c r="ARQ14" s="50"/>
      <c r="ARR14" s="50"/>
      <c r="ARS14" s="50"/>
      <c r="ART14" s="50"/>
      <c r="ARU14" s="50"/>
      <c r="ARV14" s="50"/>
      <c r="ARW14" s="50"/>
      <c r="ARX14" s="50"/>
      <c r="ARY14" s="50"/>
      <c r="ARZ14" s="50"/>
      <c r="ASA14" s="50"/>
      <c r="ASB14" s="50"/>
      <c r="ASC14" s="50"/>
      <c r="ASD14" s="50"/>
      <c r="ASE14" s="50"/>
      <c r="ASF14" s="50"/>
      <c r="ASG14" s="50"/>
      <c r="ASH14" s="50"/>
      <c r="ASI14" s="50"/>
      <c r="ASJ14" s="50"/>
      <c r="ASK14" s="50"/>
      <c r="ASL14" s="50"/>
      <c r="ASM14" s="50"/>
      <c r="ASN14" s="50"/>
      <c r="ASO14" s="50"/>
      <c r="ASP14" s="50"/>
      <c r="ASQ14" s="50"/>
      <c r="ASR14" s="50"/>
      <c r="ASS14" s="50"/>
      <c r="AST14" s="50"/>
      <c r="ASU14" s="50"/>
      <c r="ASV14" s="50"/>
      <c r="ASW14" s="50"/>
      <c r="ASX14" s="50"/>
      <c r="ASY14" s="50"/>
      <c r="ASZ14" s="50"/>
      <c r="ATA14" s="50"/>
      <c r="ATB14" s="50"/>
      <c r="ATC14" s="50"/>
      <c r="ATD14" s="50"/>
      <c r="ATE14" s="50"/>
      <c r="ATF14" s="50"/>
      <c r="ATG14" s="50"/>
      <c r="ATH14" s="50"/>
      <c r="ATI14" s="50"/>
      <c r="ATJ14" s="50"/>
      <c r="ATK14" s="50"/>
      <c r="ATL14" s="50"/>
      <c r="ATM14" s="50"/>
      <c r="ATN14" s="50"/>
      <c r="ATO14" s="50"/>
      <c r="ATP14" s="50"/>
      <c r="ATQ14" s="50"/>
      <c r="ATR14" s="50"/>
      <c r="ATS14" s="50"/>
      <c r="ATT14" s="50"/>
      <c r="ATU14" s="50"/>
      <c r="ATV14" s="50"/>
      <c r="ATW14" s="50"/>
      <c r="ATX14" s="50"/>
      <c r="ATY14" s="50"/>
      <c r="ATZ14" s="50"/>
      <c r="AUA14" s="50"/>
      <c r="AUB14" s="50"/>
      <c r="AUC14" s="50"/>
      <c r="AUD14" s="50"/>
      <c r="AUE14" s="50"/>
      <c r="AUF14" s="50"/>
      <c r="AUG14" s="50"/>
      <c r="AUH14" s="50"/>
      <c r="AUI14" s="50"/>
      <c r="AUJ14" s="50"/>
      <c r="AUK14" s="50"/>
      <c r="AUL14" s="50"/>
      <c r="AUM14" s="50"/>
      <c r="AUN14" s="50"/>
      <c r="AUO14" s="50"/>
      <c r="AUP14" s="50"/>
      <c r="AUQ14" s="50"/>
      <c r="AUR14" s="50"/>
      <c r="AUS14" s="50"/>
      <c r="AUT14" s="50"/>
      <c r="AUU14" s="50"/>
      <c r="AUV14" s="50"/>
      <c r="AUW14" s="50"/>
      <c r="AUX14" s="50"/>
      <c r="AUY14" s="50"/>
      <c r="AUZ14" s="50"/>
      <c r="AVA14" s="50"/>
      <c r="AVB14" s="50"/>
      <c r="AVC14" s="50"/>
      <c r="AVD14" s="50"/>
      <c r="AVE14" s="50"/>
      <c r="AVF14" s="50"/>
      <c r="AVG14" s="50"/>
      <c r="AVH14" s="50"/>
      <c r="AVI14" s="50"/>
      <c r="AVJ14" s="50"/>
      <c r="AVK14" s="50"/>
      <c r="AVL14" s="50"/>
      <c r="AVM14" s="50"/>
      <c r="AVN14" s="50"/>
      <c r="AVO14" s="50"/>
      <c r="AVP14" s="50"/>
      <c r="AVQ14" s="50"/>
      <c r="AVR14" s="50"/>
      <c r="AVS14" s="50"/>
      <c r="AVT14" s="50"/>
      <c r="AVU14" s="50"/>
      <c r="AVV14" s="50"/>
      <c r="AVW14" s="50"/>
      <c r="AVX14" s="50"/>
      <c r="AVY14" s="50"/>
      <c r="AVZ14" s="50"/>
      <c r="AWA14" s="50"/>
      <c r="AWB14" s="50"/>
      <c r="AWC14" s="50"/>
      <c r="AWD14" s="50"/>
      <c r="AWE14" s="50"/>
      <c r="AWF14" s="50"/>
      <c r="AWG14" s="50"/>
      <c r="AWH14" s="50"/>
      <c r="AWI14" s="50"/>
      <c r="AWJ14" s="50"/>
      <c r="AWK14" s="50"/>
      <c r="AWL14" s="50"/>
      <c r="AWM14" s="50"/>
      <c r="AWN14" s="50"/>
      <c r="AWO14" s="50"/>
      <c r="AWP14" s="50"/>
      <c r="AWQ14" s="50"/>
      <c r="AWR14" s="50"/>
      <c r="AWS14" s="50"/>
      <c r="AWT14" s="50"/>
      <c r="AWU14" s="50"/>
      <c r="AWV14" s="50"/>
      <c r="AWW14" s="50"/>
      <c r="AWX14" s="50"/>
      <c r="AWY14" s="50"/>
      <c r="AWZ14" s="50"/>
      <c r="AXA14" s="50"/>
      <c r="AXB14" s="50"/>
      <c r="AXC14" s="50"/>
      <c r="AXD14" s="50"/>
      <c r="AXE14" s="50"/>
      <c r="AXF14" s="50"/>
      <c r="AXG14" s="50"/>
      <c r="AXH14" s="50"/>
      <c r="AXI14" s="50"/>
      <c r="AXJ14" s="50"/>
      <c r="AXK14" s="50"/>
      <c r="AXL14" s="50"/>
      <c r="AXM14" s="50"/>
      <c r="AXN14" s="50"/>
      <c r="AXO14" s="50"/>
      <c r="AXP14" s="50"/>
      <c r="AXQ14" s="50"/>
      <c r="AXR14" s="50"/>
      <c r="AXS14" s="50"/>
      <c r="AXT14" s="50"/>
      <c r="AXU14" s="50"/>
      <c r="AXV14" s="50"/>
      <c r="AXW14" s="50"/>
      <c r="AXX14" s="50"/>
      <c r="AXY14" s="50"/>
      <c r="AXZ14" s="50"/>
      <c r="AYA14" s="50"/>
      <c r="AYB14" s="50"/>
      <c r="AYC14" s="50"/>
      <c r="AYD14" s="50"/>
      <c r="AYE14" s="50"/>
      <c r="AYF14" s="50"/>
      <c r="AYG14" s="50"/>
      <c r="AYH14" s="50"/>
      <c r="AYI14" s="50"/>
      <c r="AYJ14" s="50"/>
      <c r="AYK14" s="50"/>
      <c r="AYL14" s="50"/>
      <c r="AYM14" s="50"/>
      <c r="AYN14" s="50"/>
      <c r="AYO14" s="50"/>
      <c r="AYP14" s="50"/>
      <c r="AYQ14" s="50"/>
      <c r="AYR14" s="50"/>
      <c r="AYS14" s="50"/>
      <c r="AYT14" s="50"/>
      <c r="AYU14" s="50"/>
      <c r="AYV14" s="50"/>
      <c r="AYW14" s="50"/>
      <c r="AYX14" s="50"/>
      <c r="AYY14" s="50"/>
      <c r="AYZ14" s="50"/>
      <c r="AZA14" s="50"/>
      <c r="AZB14" s="50"/>
      <c r="AZC14" s="50"/>
      <c r="AZD14" s="50"/>
      <c r="AZE14" s="50"/>
      <c r="AZF14" s="50"/>
      <c r="AZG14" s="50"/>
      <c r="AZH14" s="50"/>
      <c r="AZI14" s="50"/>
      <c r="AZJ14" s="50"/>
      <c r="AZK14" s="50"/>
      <c r="AZL14" s="50"/>
      <c r="AZM14" s="50"/>
      <c r="AZN14" s="50"/>
      <c r="AZO14" s="50"/>
      <c r="AZP14" s="50"/>
      <c r="AZQ14" s="50"/>
      <c r="AZR14" s="50"/>
      <c r="AZS14" s="50"/>
      <c r="AZT14" s="50"/>
      <c r="AZU14" s="50"/>
      <c r="AZV14" s="50"/>
      <c r="AZW14" s="50"/>
      <c r="AZX14" s="50"/>
      <c r="AZY14" s="50"/>
      <c r="AZZ14" s="50"/>
      <c r="BAA14" s="50"/>
      <c r="BAB14" s="50"/>
      <c r="BAC14" s="50"/>
      <c r="BAD14" s="50"/>
      <c r="BAE14" s="50"/>
      <c r="BAF14" s="50"/>
      <c r="BAG14" s="50"/>
      <c r="BAH14" s="50"/>
      <c r="BAI14" s="50"/>
      <c r="BAJ14" s="50"/>
      <c r="BAK14" s="50"/>
      <c r="BAL14" s="50"/>
      <c r="BAM14" s="50"/>
      <c r="BAN14" s="50"/>
      <c r="BAO14" s="50"/>
      <c r="BAP14" s="50"/>
      <c r="BAQ14" s="50"/>
      <c r="BAR14" s="50"/>
      <c r="BAS14" s="50"/>
      <c r="BAT14" s="50"/>
      <c r="BAU14" s="50"/>
      <c r="BAV14" s="50"/>
      <c r="BAW14" s="50"/>
      <c r="BAX14" s="50"/>
      <c r="BAY14" s="50"/>
      <c r="BAZ14" s="50"/>
      <c r="BBA14" s="50"/>
      <c r="BBB14" s="50"/>
      <c r="BBC14" s="50"/>
      <c r="BBD14" s="50"/>
      <c r="BBE14" s="50"/>
      <c r="BBF14" s="50"/>
      <c r="BBG14" s="50"/>
      <c r="BBH14" s="50"/>
      <c r="BBI14" s="50"/>
      <c r="BBJ14" s="50"/>
      <c r="BBK14" s="50"/>
      <c r="BBL14" s="50"/>
      <c r="BBM14" s="50"/>
      <c r="BBN14" s="50"/>
      <c r="BBO14" s="50"/>
      <c r="BBP14" s="50"/>
      <c r="BBQ14" s="50"/>
      <c r="BBR14" s="50"/>
      <c r="BBS14" s="50"/>
      <c r="BBT14" s="50"/>
      <c r="BBU14" s="50"/>
      <c r="BBV14" s="50"/>
      <c r="BBW14" s="50"/>
      <c r="BBX14" s="50"/>
      <c r="BBY14" s="50"/>
      <c r="BBZ14" s="50"/>
      <c r="BCA14" s="50"/>
      <c r="BCB14" s="50"/>
      <c r="BCC14" s="50"/>
      <c r="BCD14" s="50"/>
      <c r="BCE14" s="50"/>
      <c r="BCF14" s="50"/>
      <c r="BCG14" s="50"/>
      <c r="BCH14" s="50"/>
      <c r="BCI14" s="50"/>
      <c r="BCJ14" s="50"/>
      <c r="BCK14" s="50"/>
      <c r="BCL14" s="50"/>
      <c r="BCM14" s="50"/>
      <c r="BCN14" s="50"/>
      <c r="BCO14" s="50"/>
      <c r="BCP14" s="50"/>
      <c r="BCQ14" s="50"/>
      <c r="BCR14" s="50"/>
      <c r="BCS14" s="50"/>
      <c r="BCT14" s="50"/>
      <c r="BCU14" s="50"/>
      <c r="BCV14" s="50"/>
      <c r="BCW14" s="50"/>
      <c r="BCX14" s="50"/>
      <c r="BCY14" s="50"/>
      <c r="BCZ14" s="50"/>
      <c r="BDA14" s="50"/>
      <c r="BDB14" s="50"/>
      <c r="BDC14" s="50"/>
      <c r="BDD14" s="50"/>
      <c r="BDE14" s="50"/>
      <c r="BDF14" s="50"/>
      <c r="BDG14" s="50"/>
      <c r="BDH14" s="50"/>
      <c r="BDI14" s="50"/>
      <c r="BDJ14" s="50"/>
      <c r="BDK14" s="50"/>
      <c r="BDL14" s="50"/>
      <c r="BDM14" s="50"/>
      <c r="BDN14" s="50"/>
      <c r="BDO14" s="50"/>
      <c r="BDP14" s="50"/>
      <c r="BDQ14" s="50"/>
      <c r="BDR14" s="50"/>
      <c r="BDS14" s="50"/>
      <c r="BDT14" s="50"/>
      <c r="BDU14" s="50"/>
      <c r="BDV14" s="50"/>
      <c r="BDW14" s="50"/>
      <c r="BDX14" s="50"/>
      <c r="BDY14" s="50"/>
      <c r="BDZ14" s="50"/>
      <c r="BEA14" s="50"/>
      <c r="BEB14" s="50"/>
      <c r="BEC14" s="50"/>
      <c r="BED14" s="50"/>
      <c r="BEE14" s="50"/>
      <c r="BEF14" s="50"/>
      <c r="BEG14" s="50"/>
      <c r="BEH14" s="50"/>
      <c r="BEI14" s="50"/>
      <c r="BEJ14" s="50"/>
      <c r="BEK14" s="50"/>
      <c r="BEL14" s="50"/>
      <c r="BEM14" s="50"/>
      <c r="BEN14" s="50"/>
      <c r="BEO14" s="50"/>
      <c r="BEP14" s="50"/>
      <c r="BEQ14" s="50"/>
      <c r="BER14" s="50"/>
      <c r="BES14" s="50"/>
      <c r="BET14" s="50"/>
      <c r="BEU14" s="50"/>
      <c r="BEV14" s="50"/>
      <c r="BEW14" s="50"/>
      <c r="BEX14" s="50"/>
      <c r="BEY14" s="50"/>
      <c r="BEZ14" s="50"/>
      <c r="BFA14" s="50"/>
      <c r="BFB14" s="50"/>
      <c r="BFC14" s="50"/>
      <c r="BFD14" s="50"/>
      <c r="BFE14" s="50"/>
      <c r="BFF14" s="50"/>
      <c r="BFG14" s="50"/>
      <c r="BFH14" s="50"/>
      <c r="BFI14" s="50"/>
      <c r="BFJ14" s="50"/>
      <c r="BFK14" s="50"/>
      <c r="BFL14" s="50"/>
      <c r="BFM14" s="50"/>
      <c r="BFN14" s="50"/>
      <c r="BFO14" s="50"/>
      <c r="BFP14" s="50"/>
      <c r="BFQ14" s="50"/>
      <c r="BFR14" s="50"/>
      <c r="BFS14" s="50"/>
      <c r="BFT14" s="50"/>
      <c r="BFU14" s="50"/>
      <c r="BFV14" s="50"/>
      <c r="BFW14" s="50"/>
      <c r="BFX14" s="50"/>
      <c r="BFY14" s="50"/>
      <c r="BFZ14" s="50"/>
      <c r="BGA14" s="50"/>
      <c r="BGB14" s="50"/>
      <c r="BGC14" s="50"/>
      <c r="BGD14" s="50"/>
      <c r="BGE14" s="50"/>
      <c r="BGF14" s="50"/>
      <c r="BGG14" s="50"/>
      <c r="BGH14" s="50"/>
      <c r="BGI14" s="50"/>
      <c r="BGJ14" s="50"/>
      <c r="BGK14" s="50"/>
      <c r="BGL14" s="50"/>
      <c r="BGM14" s="50"/>
      <c r="BGN14" s="50"/>
      <c r="BGO14" s="50"/>
      <c r="BGP14" s="50"/>
      <c r="BGQ14" s="50"/>
      <c r="BGR14" s="50"/>
      <c r="BGS14" s="50"/>
      <c r="BGT14" s="50"/>
      <c r="BGU14" s="50"/>
      <c r="BGV14" s="50"/>
      <c r="BGW14" s="50"/>
      <c r="BGX14" s="50"/>
      <c r="BGY14" s="50"/>
      <c r="BGZ14" s="50"/>
      <c r="BHA14" s="50"/>
      <c r="BHB14" s="50"/>
      <c r="BHC14" s="50"/>
      <c r="BHD14" s="50"/>
      <c r="BHE14" s="50"/>
      <c r="BHF14" s="50"/>
      <c r="BHG14" s="50"/>
      <c r="BHH14" s="50"/>
      <c r="BHI14" s="50"/>
      <c r="BHJ14" s="50"/>
      <c r="BHK14" s="50"/>
      <c r="BHL14" s="50"/>
      <c r="BHM14" s="50"/>
      <c r="BHN14" s="50"/>
      <c r="BHO14" s="50"/>
      <c r="BHP14" s="50"/>
      <c r="BHQ14" s="50"/>
      <c r="BHR14" s="50"/>
      <c r="BHS14" s="50"/>
      <c r="BHT14" s="50"/>
      <c r="BHU14" s="50"/>
      <c r="BHV14" s="50"/>
      <c r="BHW14" s="50"/>
      <c r="BHX14" s="50"/>
      <c r="BHY14" s="50"/>
      <c r="BHZ14" s="50"/>
      <c r="BIA14" s="50"/>
      <c r="BIB14" s="50"/>
      <c r="BIC14" s="50"/>
      <c r="BID14" s="50"/>
      <c r="BIE14" s="50"/>
      <c r="BIF14" s="50"/>
      <c r="BIG14" s="50"/>
      <c r="BIH14" s="50"/>
      <c r="BII14" s="50"/>
      <c r="BIJ14" s="50"/>
      <c r="BIK14" s="50"/>
      <c r="BIL14" s="50"/>
      <c r="BIM14" s="50"/>
      <c r="BIN14" s="50"/>
      <c r="BIO14" s="50"/>
      <c r="BIP14" s="50"/>
      <c r="BIQ14" s="50"/>
      <c r="BIR14" s="50"/>
      <c r="BIS14" s="50"/>
      <c r="BIT14" s="50"/>
      <c r="BIU14" s="50"/>
      <c r="BIV14" s="50"/>
      <c r="BIW14" s="50"/>
      <c r="BIX14" s="50"/>
      <c r="BIY14" s="50"/>
      <c r="BIZ14" s="50"/>
      <c r="BJA14" s="50"/>
      <c r="BJB14" s="50"/>
      <c r="BJC14" s="50"/>
      <c r="BJD14" s="50"/>
      <c r="BJE14" s="50"/>
      <c r="BJF14" s="50"/>
      <c r="BJG14" s="50"/>
      <c r="BJH14" s="50"/>
      <c r="BJI14" s="50"/>
      <c r="BJJ14" s="50"/>
      <c r="BJK14" s="50"/>
      <c r="BJL14" s="50"/>
      <c r="BJM14" s="50"/>
      <c r="BJN14" s="50"/>
      <c r="BJO14" s="50"/>
      <c r="BJP14" s="50"/>
      <c r="BJQ14" s="50"/>
      <c r="BJR14" s="50"/>
      <c r="BJS14" s="50"/>
      <c r="BJT14" s="50"/>
      <c r="BJU14" s="50"/>
      <c r="BJV14" s="50"/>
      <c r="BJW14" s="50"/>
      <c r="BJX14" s="50"/>
      <c r="BJY14" s="50"/>
      <c r="BJZ14" s="50"/>
      <c r="BKA14" s="50"/>
      <c r="BKB14" s="50"/>
      <c r="BKC14" s="50"/>
      <c r="BKD14" s="50"/>
      <c r="BKE14" s="50"/>
      <c r="BKF14" s="50"/>
      <c r="BKG14" s="50"/>
      <c r="BKH14" s="50"/>
      <c r="BKI14" s="50"/>
      <c r="BKJ14" s="50"/>
      <c r="BKK14" s="50"/>
      <c r="BKL14" s="50"/>
      <c r="BKM14" s="50"/>
      <c r="BKN14" s="50"/>
      <c r="BKO14" s="50"/>
      <c r="BKP14" s="50"/>
      <c r="BKQ14" s="50"/>
      <c r="BKR14" s="50"/>
      <c r="BKS14" s="50"/>
      <c r="BKT14" s="50"/>
      <c r="BKU14" s="50"/>
      <c r="BKV14" s="50"/>
      <c r="BKW14" s="50"/>
      <c r="BKX14" s="50"/>
      <c r="BKY14" s="50"/>
      <c r="BKZ14" s="50"/>
      <c r="BLA14" s="50"/>
      <c r="BLB14" s="50"/>
      <c r="BLC14" s="50"/>
      <c r="BLD14" s="50"/>
      <c r="BLE14" s="50"/>
      <c r="BLF14" s="50"/>
      <c r="BLG14" s="50"/>
      <c r="BLH14" s="50"/>
      <c r="BLI14" s="50"/>
      <c r="BLJ14" s="50"/>
      <c r="BLK14" s="50"/>
      <c r="BLL14" s="50"/>
      <c r="BLM14" s="50"/>
      <c r="BLN14" s="50"/>
      <c r="BLO14" s="50"/>
      <c r="BLP14" s="50"/>
      <c r="BLQ14" s="50"/>
      <c r="BLR14" s="50"/>
      <c r="BLS14" s="50"/>
      <c r="BLT14" s="50"/>
      <c r="BLU14" s="50"/>
      <c r="BLV14" s="50"/>
      <c r="BLW14" s="50"/>
      <c r="BLX14" s="50"/>
      <c r="BLY14" s="50"/>
      <c r="BLZ14" s="50"/>
      <c r="BMA14" s="50"/>
      <c r="BMB14" s="50"/>
      <c r="BMC14" s="50"/>
      <c r="BMD14" s="50"/>
      <c r="BME14" s="50"/>
      <c r="BMF14" s="50"/>
      <c r="BMG14" s="50"/>
      <c r="BMH14" s="50"/>
      <c r="BMI14" s="50"/>
      <c r="BMJ14" s="50"/>
      <c r="BMK14" s="50"/>
      <c r="BML14" s="50"/>
      <c r="BMM14" s="50"/>
      <c r="BMN14" s="50"/>
      <c r="BMO14" s="50"/>
      <c r="BMP14" s="50"/>
      <c r="BMQ14" s="50"/>
      <c r="BMR14" s="50"/>
      <c r="BMS14" s="50"/>
      <c r="BMT14" s="50"/>
      <c r="BMU14" s="50"/>
      <c r="BMV14" s="50"/>
      <c r="BMW14" s="50"/>
      <c r="BMX14" s="50"/>
      <c r="BMY14" s="50"/>
      <c r="BMZ14" s="50"/>
      <c r="BNA14" s="50"/>
      <c r="BNB14" s="50"/>
      <c r="BNC14" s="50"/>
      <c r="BND14" s="50"/>
      <c r="BNE14" s="50"/>
      <c r="BNF14" s="50"/>
      <c r="BNG14" s="50"/>
      <c r="BNH14" s="50"/>
      <c r="BNI14" s="50"/>
      <c r="BNJ14" s="50"/>
      <c r="BNK14" s="50"/>
      <c r="BNL14" s="50"/>
      <c r="BNM14" s="50"/>
      <c r="BNN14" s="50"/>
      <c r="BNO14" s="50"/>
      <c r="BNP14" s="50"/>
      <c r="BNQ14" s="50"/>
      <c r="BNR14" s="50"/>
      <c r="BNS14" s="50"/>
      <c r="BNT14" s="50"/>
      <c r="BNU14" s="50"/>
      <c r="BNV14" s="50"/>
      <c r="BNW14" s="50"/>
      <c r="BNX14" s="50"/>
      <c r="BNY14" s="50"/>
      <c r="BNZ14" s="50"/>
      <c r="BOA14" s="50"/>
      <c r="BOB14" s="50"/>
      <c r="BOC14" s="50"/>
      <c r="BOD14" s="50"/>
      <c r="BOE14" s="50"/>
      <c r="BOF14" s="50"/>
      <c r="BOG14" s="50"/>
      <c r="BOH14" s="50"/>
      <c r="BOI14" s="50"/>
      <c r="BOJ14" s="50"/>
      <c r="BOK14" s="50"/>
      <c r="BOL14" s="50"/>
      <c r="BOM14" s="50"/>
      <c r="BON14" s="50"/>
      <c r="BOO14" s="50"/>
      <c r="BOP14" s="50"/>
      <c r="BOQ14" s="50"/>
      <c r="BOR14" s="50"/>
      <c r="BOS14" s="50"/>
      <c r="BOT14" s="50"/>
      <c r="BOU14" s="50"/>
      <c r="BOV14" s="50"/>
      <c r="BOW14" s="50"/>
      <c r="BOX14" s="50"/>
      <c r="BOY14" s="50"/>
      <c r="BOZ14" s="50"/>
      <c r="BPA14" s="50"/>
      <c r="BPB14" s="50"/>
      <c r="BPC14" s="50"/>
      <c r="BPD14" s="50"/>
      <c r="BPE14" s="50"/>
      <c r="BPF14" s="50"/>
      <c r="BPG14" s="50"/>
      <c r="BPH14" s="50"/>
      <c r="BPI14" s="50"/>
      <c r="BPJ14" s="50"/>
      <c r="BPK14" s="50"/>
      <c r="BPL14" s="50"/>
      <c r="BPM14" s="50"/>
      <c r="BPN14" s="50"/>
      <c r="BPO14" s="50"/>
      <c r="BPP14" s="50"/>
      <c r="BPQ14" s="50"/>
      <c r="BPR14" s="50"/>
      <c r="BPS14" s="50"/>
      <c r="BPT14" s="50"/>
      <c r="BPU14" s="50"/>
      <c r="BPV14" s="50"/>
      <c r="BPW14" s="50"/>
      <c r="BPX14" s="50"/>
      <c r="BPY14" s="50"/>
      <c r="BPZ14" s="50"/>
      <c r="BQA14" s="50"/>
      <c r="BQB14" s="50"/>
      <c r="BQC14" s="50"/>
      <c r="BQD14" s="50"/>
      <c r="BQE14" s="50"/>
      <c r="BQF14" s="50"/>
      <c r="BQG14" s="50"/>
      <c r="BQH14" s="50"/>
      <c r="BQI14" s="50"/>
      <c r="BQJ14" s="50"/>
      <c r="BQK14" s="50"/>
      <c r="BQL14" s="50"/>
      <c r="BQM14" s="50"/>
      <c r="BQN14" s="50"/>
      <c r="BQO14" s="50"/>
      <c r="BQP14" s="50"/>
      <c r="BQQ14" s="50"/>
      <c r="BQR14" s="50"/>
      <c r="BQS14" s="50"/>
      <c r="BQT14" s="50"/>
      <c r="BQU14" s="50"/>
      <c r="BQV14" s="50"/>
      <c r="BQW14" s="50"/>
      <c r="BQX14" s="50"/>
      <c r="BQY14" s="50"/>
      <c r="BQZ14" s="50"/>
      <c r="BRA14" s="50"/>
      <c r="BRB14" s="50"/>
      <c r="BRC14" s="50"/>
      <c r="BRD14" s="50"/>
      <c r="BRE14" s="50"/>
      <c r="BRF14" s="50"/>
      <c r="BRG14" s="50"/>
      <c r="BRH14" s="50"/>
      <c r="BRI14" s="50"/>
      <c r="BRJ14" s="50"/>
      <c r="BRK14" s="50"/>
      <c r="BRL14" s="50"/>
      <c r="BRM14" s="50"/>
      <c r="BRN14" s="50"/>
      <c r="BRO14" s="50"/>
      <c r="BRP14" s="50"/>
      <c r="BRQ14" s="50"/>
      <c r="BRR14" s="50"/>
      <c r="BRS14" s="50"/>
      <c r="BRT14" s="50"/>
      <c r="BRU14" s="50"/>
      <c r="BRV14" s="50"/>
      <c r="BRW14" s="50"/>
      <c r="BRX14" s="50"/>
      <c r="BRY14" s="50"/>
      <c r="BRZ14" s="50"/>
      <c r="BSA14" s="50"/>
      <c r="BSB14" s="50"/>
      <c r="BSC14" s="50"/>
      <c r="BSD14" s="50"/>
      <c r="BSE14" s="50"/>
      <c r="BSF14" s="50"/>
      <c r="BSG14" s="50"/>
      <c r="BSH14" s="50"/>
      <c r="BSI14" s="50"/>
      <c r="BSJ14" s="50"/>
      <c r="BSK14" s="50"/>
      <c r="BSL14" s="50"/>
      <c r="BSM14" s="50"/>
      <c r="BSN14" s="50"/>
      <c r="BSO14" s="50"/>
      <c r="BSP14" s="50"/>
      <c r="BSQ14" s="50"/>
      <c r="BSR14" s="50"/>
      <c r="BSS14" s="50"/>
      <c r="BST14" s="50"/>
      <c r="BSU14" s="50"/>
      <c r="BSV14" s="50"/>
      <c r="BSW14" s="50"/>
      <c r="BSX14" s="50"/>
      <c r="BSY14" s="50"/>
      <c r="BSZ14" s="50"/>
      <c r="BTA14" s="50"/>
      <c r="BTB14" s="50"/>
      <c r="BTC14" s="50"/>
      <c r="BTD14" s="50"/>
      <c r="BTE14" s="50"/>
      <c r="BTF14" s="50"/>
      <c r="BTG14" s="50"/>
      <c r="BTH14" s="50"/>
      <c r="BTI14" s="50"/>
      <c r="BTJ14" s="50"/>
      <c r="BTK14" s="50"/>
      <c r="BTL14" s="50"/>
      <c r="BTM14" s="50"/>
      <c r="BTN14" s="50"/>
      <c r="BTO14" s="50"/>
      <c r="BTP14" s="50"/>
      <c r="BTQ14" s="50"/>
      <c r="BTR14" s="50"/>
      <c r="BTS14" s="50"/>
      <c r="BTT14" s="50"/>
      <c r="BTU14" s="50"/>
      <c r="BTV14" s="50"/>
      <c r="BTW14" s="50"/>
      <c r="BTX14" s="50"/>
    </row>
    <row r="15" ht="15.75" customHeight="1">
      <c r="A15" t="s">
        <v>60</v>
      </c>
      <c r="B15" t="s">
        <v>43</v>
      </c>
      <c r="E15">
        <v>100.0</v>
      </c>
      <c r="F15" t="s">
        <v>78</v>
      </c>
      <c r="G15" t="s">
        <v>64</v>
      </c>
      <c r="K15">
        <v>60.0</v>
      </c>
      <c r="L15">
        <v>60.0</v>
      </c>
      <c r="O15" t="s">
        <v>70</v>
      </c>
      <c r="V15" t="s">
        <v>83</v>
      </c>
      <c r="Z15" t="s">
        <v>67</v>
      </c>
      <c r="AD15" t="s">
        <v>66</v>
      </c>
      <c r="AE15">
        <v>100.0</v>
      </c>
      <c r="AF15" t="s">
        <v>60</v>
      </c>
      <c r="AH15" t="s">
        <v>80</v>
      </c>
      <c r="AI15">
        <v>1.0</v>
      </c>
      <c r="AP15" t="b">
        <v>1</v>
      </c>
      <c r="AQ15" t="b">
        <v>0</v>
      </c>
      <c r="AR15" t="b">
        <v>1</v>
      </c>
      <c r="BE15">
        <v>6000.0</v>
      </c>
      <c r="BF15">
        <v>6000.0</v>
      </c>
      <c r="BJ15">
        <v>100.0</v>
      </c>
      <c r="BM15" t="s">
        <v>67</v>
      </c>
      <c r="BO15" t="s">
        <v>75</v>
      </c>
      <c r="BT15" t="s">
        <v>41</v>
      </c>
      <c r="CK15" t="s">
        <v>65</v>
      </c>
      <c r="CL15">
        <v>1.0</v>
      </c>
      <c r="CM15" t="s">
        <v>41</v>
      </c>
      <c r="CN15" t="s">
        <v>69</v>
      </c>
      <c r="CX15" t="s">
        <v>60</v>
      </c>
      <c r="CY15" t="s">
        <v>60</v>
      </c>
      <c r="CZ15" t="s">
        <v>60</v>
      </c>
      <c r="DA15" t="s">
        <v>60</v>
      </c>
      <c r="DB15" t="s">
        <v>60</v>
      </c>
      <c r="DC15" t="s">
        <v>60</v>
      </c>
      <c r="DD15" t="s">
        <v>60</v>
      </c>
      <c r="DE15" t="s">
        <v>60</v>
      </c>
      <c r="DF15" t="s">
        <v>60</v>
      </c>
      <c r="DG15" t="s">
        <v>60</v>
      </c>
      <c r="DH15" t="s">
        <v>60</v>
      </c>
      <c r="DI15" t="s">
        <v>60</v>
      </c>
      <c r="DJ15" t="s">
        <v>60</v>
      </c>
      <c r="DK15" t="s">
        <v>60</v>
      </c>
      <c r="DL15" t="s">
        <v>60</v>
      </c>
      <c r="DM15" t="s">
        <v>60</v>
      </c>
      <c r="DN15" t="s">
        <v>60</v>
      </c>
      <c r="DO15" t="s">
        <v>60</v>
      </c>
      <c r="DP15" t="s">
        <v>60</v>
      </c>
      <c r="DQ15" t="s">
        <v>60</v>
      </c>
      <c r="DR15" t="s">
        <v>60</v>
      </c>
      <c r="DS15" t="s">
        <v>60</v>
      </c>
      <c r="DT15" t="s">
        <v>60</v>
      </c>
      <c r="DU15" t="s">
        <v>60</v>
      </c>
      <c r="DV15" t="s">
        <v>60</v>
      </c>
      <c r="DW15" t="s">
        <v>60</v>
      </c>
      <c r="DX15" t="s">
        <v>60</v>
      </c>
      <c r="DY15" t="s">
        <v>60</v>
      </c>
      <c r="DZ15" t="s">
        <v>60</v>
      </c>
      <c r="EA15" t="s">
        <v>60</v>
      </c>
      <c r="EB15" t="s">
        <v>60</v>
      </c>
      <c r="EC15" t="s">
        <v>60</v>
      </c>
      <c r="ED15" t="s">
        <v>60</v>
      </c>
      <c r="EE15" t="s">
        <v>60</v>
      </c>
      <c r="EF15" t="s">
        <v>60</v>
      </c>
      <c r="EG15" t="s">
        <v>60</v>
      </c>
      <c r="EH15" t="s">
        <v>60</v>
      </c>
      <c r="EI15" t="s">
        <v>60</v>
      </c>
      <c r="EJ15" t="s">
        <v>60</v>
      </c>
      <c r="EK15" t="s">
        <v>60</v>
      </c>
      <c r="EL15" t="s">
        <v>60</v>
      </c>
      <c r="EM15" t="s">
        <v>60</v>
      </c>
      <c r="EN15" t="s">
        <v>60</v>
      </c>
      <c r="EO15" t="s">
        <v>60</v>
      </c>
      <c r="EP15" t="s">
        <v>60</v>
      </c>
      <c r="EQ15" t="s">
        <v>60</v>
      </c>
      <c r="ER15" t="s">
        <v>60</v>
      </c>
      <c r="ES15" t="s">
        <v>60</v>
      </c>
      <c r="ET15" t="s">
        <v>60</v>
      </c>
      <c r="EU15" t="s">
        <v>60</v>
      </c>
      <c r="EV15" t="s">
        <v>60</v>
      </c>
      <c r="EW15" t="s">
        <v>60</v>
      </c>
      <c r="EX15" t="s">
        <v>60</v>
      </c>
      <c r="EY15" t="s">
        <v>60</v>
      </c>
      <c r="EZ15" t="s">
        <v>60</v>
      </c>
      <c r="FA15" t="s">
        <v>60</v>
      </c>
      <c r="FB15" t="s">
        <v>60</v>
      </c>
      <c r="FC15" t="s">
        <v>60</v>
      </c>
      <c r="FD15" t="s">
        <v>60</v>
      </c>
      <c r="FE15" t="s">
        <v>60</v>
      </c>
      <c r="FF15" t="s">
        <v>60</v>
      </c>
      <c r="FG15" t="s">
        <v>60</v>
      </c>
      <c r="FH15" t="s">
        <v>60</v>
      </c>
      <c r="FI15" t="s">
        <v>60</v>
      </c>
      <c r="FJ15" t="s">
        <v>60</v>
      </c>
      <c r="FK15" t="s">
        <v>60</v>
      </c>
      <c r="FL15" t="s">
        <v>60</v>
      </c>
      <c r="FM15" t="s">
        <v>60</v>
      </c>
      <c r="FN15" t="s">
        <v>60</v>
      </c>
      <c r="FO15" t="s">
        <v>60</v>
      </c>
      <c r="FP15" t="s">
        <v>60</v>
      </c>
      <c r="FQ15" t="s">
        <v>60</v>
      </c>
      <c r="AML15" s="36" t="str">
        <f t="shared" ref="AML15:AND15" si="10">iferror(INDEX('Input(Other)'!$A:$FF,MATCH($A15,'Input(Other)'!$A$1:$A$210,0),MATCH(AML$1,'Input(Other)'!$1:$1,0)),"")</f>
        <v/>
      </c>
      <c r="AMM15" s="36" t="str">
        <f t="shared" si="10"/>
        <v/>
      </c>
      <c r="AMN15" s="36" t="str">
        <f t="shared" si="10"/>
        <v/>
      </c>
      <c r="AMO15" s="36" t="str">
        <f t="shared" si="10"/>
        <v/>
      </c>
      <c r="AMP15" s="36" t="str">
        <f t="shared" si="10"/>
        <v/>
      </c>
      <c r="AMQ15" s="36" t="str">
        <f t="shared" si="10"/>
        <v/>
      </c>
      <c r="AMR15" s="36" t="str">
        <f t="shared" si="10"/>
        <v/>
      </c>
      <c r="AMS15" s="36" t="str">
        <f t="shared" si="10"/>
        <v/>
      </c>
      <c r="AMT15" s="36" t="str">
        <f t="shared" si="10"/>
        <v/>
      </c>
      <c r="AMU15" s="36" t="str">
        <f t="shared" si="10"/>
        <v/>
      </c>
      <c r="AMV15" s="36" t="str">
        <f t="shared" si="10"/>
        <v/>
      </c>
      <c r="AMW15" s="36" t="str">
        <f t="shared" si="10"/>
        <v/>
      </c>
      <c r="AMX15" s="36" t="str">
        <f t="shared" si="10"/>
        <v/>
      </c>
      <c r="AMY15" s="36" t="str">
        <f t="shared" si="10"/>
        <v/>
      </c>
      <c r="AMZ15" s="36" t="str">
        <f t="shared" si="10"/>
        <v/>
      </c>
      <c r="ANA15" s="36" t="str">
        <f t="shared" si="10"/>
        <v/>
      </c>
      <c r="ANB15" s="36" t="str">
        <f t="shared" si="10"/>
        <v/>
      </c>
      <c r="ANC15" s="36" t="str">
        <f t="shared" si="10"/>
        <v/>
      </c>
      <c r="AND15" s="36" t="str">
        <f t="shared" si="10"/>
        <v/>
      </c>
      <c r="ANE15" s="50"/>
      <c r="ANF15" s="50"/>
      <c r="ANG15" s="50"/>
      <c r="ANH15" s="50"/>
      <c r="ANI15" s="50"/>
      <c r="ANJ15" s="50"/>
      <c r="ANK15" s="50"/>
      <c r="ANL15" s="50"/>
      <c r="ANM15" s="50"/>
      <c r="ANN15" s="50"/>
      <c r="ANO15" s="50"/>
      <c r="ANP15" s="50"/>
      <c r="ANQ15" s="50"/>
      <c r="ANR15" s="50"/>
      <c r="ANS15" s="50"/>
      <c r="ANT15" s="50"/>
      <c r="ANU15" s="50"/>
      <c r="ANV15" s="50"/>
      <c r="ANW15" s="50"/>
      <c r="ANX15" s="50"/>
      <c r="ANY15" s="50"/>
      <c r="ANZ15" s="50"/>
      <c r="AOA15" s="50"/>
      <c r="AOB15" s="50"/>
      <c r="AOC15" s="50"/>
      <c r="AOD15" s="50"/>
      <c r="AOE15" s="50"/>
      <c r="AOF15" s="50"/>
      <c r="AOG15" s="50"/>
      <c r="AOH15" s="50"/>
      <c r="AOI15" s="50"/>
      <c r="AOJ15" s="50"/>
      <c r="AOK15" s="50"/>
      <c r="AOL15" s="50"/>
      <c r="AOM15" s="50"/>
      <c r="AON15" s="50"/>
      <c r="AOO15" s="50"/>
      <c r="AOP15" s="50"/>
      <c r="AOQ15" s="50"/>
      <c r="AOR15" s="50"/>
      <c r="AOS15" s="50"/>
      <c r="AOT15" s="50"/>
      <c r="AOU15" s="50"/>
      <c r="AOV15" s="50"/>
      <c r="AOW15" s="50"/>
      <c r="AOX15" s="50"/>
      <c r="AOY15" s="50"/>
      <c r="AOZ15" s="50"/>
      <c r="APA15" s="50"/>
      <c r="APB15" s="50"/>
      <c r="APC15" s="50"/>
      <c r="APD15" s="50"/>
      <c r="APE15" s="50"/>
      <c r="APF15" s="50"/>
      <c r="APG15" s="50"/>
      <c r="APH15" s="50"/>
      <c r="API15" s="50"/>
      <c r="APJ15" s="50"/>
      <c r="APK15" s="50"/>
      <c r="APL15" s="50"/>
      <c r="APM15" s="50"/>
      <c r="APN15" s="50"/>
      <c r="APO15" s="50"/>
      <c r="APP15" s="50"/>
      <c r="APQ15" s="50"/>
      <c r="APR15" s="50"/>
      <c r="APS15" s="50"/>
      <c r="APT15" s="50"/>
      <c r="APU15" s="50"/>
      <c r="APV15" s="50"/>
      <c r="APW15" s="50"/>
      <c r="APX15" s="50"/>
      <c r="APY15" s="50"/>
      <c r="APZ15" s="50"/>
      <c r="AQA15" s="50"/>
      <c r="AQB15" s="50"/>
      <c r="AQC15" s="50"/>
      <c r="AQD15" s="50"/>
      <c r="AQE15" s="50"/>
      <c r="AQF15" s="50"/>
      <c r="AQG15" s="50"/>
      <c r="AQH15" s="50"/>
      <c r="AQI15" s="50"/>
      <c r="AQJ15" s="50"/>
      <c r="AQK15" s="50"/>
      <c r="AQL15" s="50"/>
      <c r="AQM15" s="50"/>
      <c r="AQN15" s="50"/>
      <c r="AQO15" s="50"/>
      <c r="AQP15" s="50"/>
      <c r="AQQ15" s="50"/>
      <c r="AQR15" s="50"/>
      <c r="AQS15" s="50"/>
      <c r="AQT15" s="50"/>
      <c r="AQU15" s="50"/>
      <c r="AQV15" s="50"/>
      <c r="AQW15" s="50"/>
      <c r="AQX15" s="50"/>
      <c r="AQY15" s="50"/>
      <c r="AQZ15" s="50"/>
      <c r="ARA15" s="50"/>
      <c r="ARB15" s="50"/>
      <c r="ARC15" s="50"/>
      <c r="ARD15" s="50"/>
      <c r="ARE15" s="50"/>
      <c r="ARF15" s="50"/>
      <c r="ARG15" s="50"/>
      <c r="ARH15" s="50"/>
      <c r="ARI15" s="50"/>
      <c r="ARJ15" s="50"/>
      <c r="ARK15" s="50"/>
      <c r="ARL15" s="50"/>
      <c r="ARM15" s="50"/>
      <c r="ARN15" s="50"/>
      <c r="ARO15" s="50"/>
      <c r="ARP15" s="50"/>
      <c r="ARQ15" s="50"/>
      <c r="ARR15" s="50"/>
      <c r="ARS15" s="50"/>
      <c r="ART15" s="50"/>
      <c r="ARU15" s="50"/>
      <c r="ARV15" s="50"/>
      <c r="ARW15" s="50"/>
      <c r="ARX15" s="50"/>
      <c r="ARY15" s="50"/>
      <c r="ARZ15" s="50"/>
      <c r="ASA15" s="50"/>
      <c r="ASB15" s="50"/>
      <c r="ASC15" s="50"/>
      <c r="ASD15" s="50"/>
      <c r="ASE15" s="50"/>
      <c r="ASF15" s="50"/>
      <c r="ASG15" s="50"/>
      <c r="ASH15" s="50"/>
      <c r="ASI15" s="50"/>
      <c r="ASJ15" s="50"/>
      <c r="ASK15" s="50"/>
      <c r="ASL15" s="50"/>
      <c r="ASM15" s="50"/>
      <c r="ASN15" s="50"/>
      <c r="ASO15" s="50"/>
      <c r="ASP15" s="50"/>
      <c r="ASQ15" s="50"/>
      <c r="ASR15" s="50"/>
      <c r="ASS15" s="50"/>
      <c r="AST15" s="50"/>
      <c r="ASU15" s="50"/>
      <c r="ASV15" s="50"/>
      <c r="ASW15" s="50"/>
      <c r="ASX15" s="50"/>
      <c r="ASY15" s="50"/>
      <c r="ASZ15" s="50"/>
      <c r="ATA15" s="50"/>
      <c r="ATB15" s="50"/>
      <c r="ATC15" s="50"/>
      <c r="ATD15" s="50"/>
      <c r="ATE15" s="50"/>
      <c r="ATF15" s="50"/>
      <c r="ATG15" s="50"/>
      <c r="ATH15" s="50"/>
      <c r="ATI15" s="50"/>
      <c r="ATJ15" s="50"/>
      <c r="ATK15" s="50"/>
      <c r="ATL15" s="50"/>
      <c r="ATM15" s="50"/>
      <c r="ATN15" s="50"/>
      <c r="ATO15" s="50"/>
      <c r="ATP15" s="50"/>
      <c r="ATQ15" s="50"/>
      <c r="ATR15" s="50"/>
      <c r="ATS15" s="50"/>
      <c r="ATT15" s="50"/>
      <c r="ATU15" s="50"/>
      <c r="ATV15" s="50"/>
      <c r="ATW15" s="50"/>
      <c r="ATX15" s="50"/>
      <c r="ATY15" s="50"/>
      <c r="ATZ15" s="50"/>
      <c r="AUA15" s="50"/>
      <c r="AUB15" s="50"/>
      <c r="AUC15" s="50"/>
      <c r="AUD15" s="50"/>
      <c r="AUE15" s="50"/>
      <c r="AUF15" s="50"/>
      <c r="AUG15" s="50"/>
      <c r="AUH15" s="50"/>
      <c r="AUI15" s="50"/>
      <c r="AUJ15" s="50"/>
      <c r="AUK15" s="50"/>
      <c r="AUL15" s="50"/>
      <c r="AUM15" s="50"/>
      <c r="AUN15" s="50"/>
      <c r="AUO15" s="50"/>
      <c r="AUP15" s="50"/>
      <c r="AUQ15" s="50"/>
      <c r="AUR15" s="50"/>
      <c r="AUS15" s="50"/>
      <c r="AUT15" s="50"/>
      <c r="AUU15" s="50"/>
      <c r="AUV15" s="50"/>
      <c r="AUW15" s="50"/>
      <c r="AUX15" s="50"/>
      <c r="AUY15" s="50"/>
      <c r="AUZ15" s="50"/>
      <c r="AVA15" s="50"/>
      <c r="AVB15" s="50"/>
      <c r="AVC15" s="50"/>
      <c r="AVD15" s="50"/>
      <c r="AVE15" s="50"/>
      <c r="AVF15" s="50"/>
      <c r="AVG15" s="50"/>
      <c r="AVH15" s="50"/>
      <c r="AVI15" s="50"/>
      <c r="AVJ15" s="50"/>
      <c r="AVK15" s="50"/>
      <c r="AVL15" s="50"/>
      <c r="AVM15" s="50"/>
      <c r="AVN15" s="50"/>
      <c r="AVO15" s="50"/>
      <c r="AVP15" s="50"/>
      <c r="AVQ15" s="50"/>
      <c r="AVR15" s="50"/>
      <c r="AVS15" s="50"/>
      <c r="AVT15" s="50"/>
      <c r="AVU15" s="50"/>
      <c r="AVV15" s="50"/>
      <c r="AVW15" s="50"/>
      <c r="AVX15" s="50"/>
      <c r="AVY15" s="50"/>
      <c r="AVZ15" s="50"/>
      <c r="AWA15" s="50"/>
      <c r="AWB15" s="50"/>
      <c r="AWC15" s="50"/>
      <c r="AWD15" s="50"/>
      <c r="AWE15" s="50"/>
      <c r="AWF15" s="50"/>
      <c r="AWG15" s="50"/>
      <c r="AWH15" s="50"/>
      <c r="AWI15" s="50"/>
      <c r="AWJ15" s="50"/>
      <c r="AWK15" s="50"/>
      <c r="AWL15" s="50"/>
      <c r="AWM15" s="50"/>
      <c r="AWN15" s="50"/>
      <c r="AWO15" s="50"/>
      <c r="AWP15" s="50"/>
      <c r="AWQ15" s="50"/>
      <c r="AWR15" s="50"/>
      <c r="AWS15" s="50"/>
      <c r="AWT15" s="50"/>
      <c r="AWU15" s="50"/>
      <c r="AWV15" s="50"/>
      <c r="AWW15" s="50"/>
      <c r="AWX15" s="50"/>
      <c r="AWY15" s="50"/>
      <c r="AWZ15" s="50"/>
      <c r="AXA15" s="50"/>
      <c r="AXB15" s="50"/>
      <c r="AXC15" s="50"/>
      <c r="AXD15" s="50"/>
      <c r="AXE15" s="50"/>
      <c r="AXF15" s="50"/>
      <c r="AXG15" s="50"/>
      <c r="AXH15" s="50"/>
      <c r="AXI15" s="50"/>
      <c r="AXJ15" s="50"/>
      <c r="AXK15" s="50"/>
      <c r="AXL15" s="50"/>
      <c r="AXM15" s="50"/>
      <c r="AXN15" s="50"/>
      <c r="AXO15" s="50"/>
      <c r="AXP15" s="50"/>
      <c r="AXQ15" s="50"/>
      <c r="AXR15" s="50"/>
      <c r="AXS15" s="50"/>
      <c r="AXT15" s="50"/>
      <c r="AXU15" s="50"/>
      <c r="AXV15" s="50"/>
      <c r="AXW15" s="50"/>
      <c r="AXX15" s="50"/>
      <c r="AXY15" s="50"/>
      <c r="AXZ15" s="50"/>
      <c r="AYA15" s="50"/>
      <c r="AYB15" s="50"/>
      <c r="AYC15" s="50"/>
      <c r="AYD15" s="50"/>
      <c r="AYE15" s="50"/>
      <c r="AYF15" s="50"/>
      <c r="AYG15" s="50"/>
      <c r="AYH15" s="50"/>
      <c r="AYI15" s="50"/>
      <c r="AYJ15" s="50"/>
      <c r="AYK15" s="50"/>
      <c r="AYL15" s="50"/>
      <c r="AYM15" s="50"/>
      <c r="AYN15" s="50"/>
      <c r="AYO15" s="50"/>
      <c r="AYP15" s="50"/>
      <c r="AYQ15" s="50"/>
      <c r="AYR15" s="50"/>
      <c r="AYS15" s="50"/>
      <c r="AYT15" s="50"/>
      <c r="AYU15" s="50"/>
      <c r="AYV15" s="50"/>
      <c r="AYW15" s="50"/>
      <c r="AYX15" s="50"/>
      <c r="AYY15" s="50"/>
      <c r="AYZ15" s="50"/>
      <c r="AZA15" s="50"/>
      <c r="AZB15" s="50"/>
      <c r="AZC15" s="50"/>
      <c r="AZD15" s="50"/>
      <c r="AZE15" s="50"/>
      <c r="AZF15" s="50"/>
      <c r="AZG15" s="50"/>
      <c r="AZH15" s="50"/>
      <c r="AZI15" s="50"/>
      <c r="AZJ15" s="50"/>
      <c r="AZK15" s="50"/>
      <c r="AZL15" s="50"/>
      <c r="AZM15" s="50"/>
      <c r="AZN15" s="50"/>
      <c r="AZO15" s="50"/>
      <c r="AZP15" s="50"/>
      <c r="AZQ15" s="50"/>
      <c r="AZR15" s="50"/>
      <c r="AZS15" s="50"/>
      <c r="AZT15" s="50"/>
      <c r="AZU15" s="50"/>
      <c r="AZV15" s="50"/>
      <c r="AZW15" s="50"/>
      <c r="AZX15" s="50"/>
      <c r="AZY15" s="50"/>
      <c r="AZZ15" s="50"/>
      <c r="BAA15" s="50"/>
      <c r="BAB15" s="50"/>
      <c r="BAC15" s="50"/>
      <c r="BAD15" s="50"/>
      <c r="BAE15" s="50"/>
      <c r="BAF15" s="50"/>
      <c r="BAG15" s="50"/>
      <c r="BAH15" s="50"/>
      <c r="BAI15" s="50"/>
      <c r="BAJ15" s="50"/>
      <c r="BAK15" s="50"/>
      <c r="BAL15" s="50"/>
      <c r="BAM15" s="50"/>
      <c r="BAN15" s="50"/>
      <c r="BAO15" s="50"/>
      <c r="BAP15" s="50"/>
      <c r="BAQ15" s="50"/>
      <c r="BAR15" s="50"/>
      <c r="BAS15" s="50"/>
      <c r="BAT15" s="50"/>
      <c r="BAU15" s="50"/>
      <c r="BAV15" s="50"/>
      <c r="BAW15" s="50"/>
      <c r="BAX15" s="50"/>
      <c r="BAY15" s="50"/>
      <c r="BAZ15" s="50"/>
      <c r="BBA15" s="50"/>
      <c r="BBB15" s="50"/>
      <c r="BBC15" s="50"/>
      <c r="BBD15" s="50"/>
      <c r="BBE15" s="50"/>
      <c r="BBF15" s="50"/>
      <c r="BBG15" s="50"/>
      <c r="BBH15" s="50"/>
      <c r="BBI15" s="50"/>
      <c r="BBJ15" s="50"/>
      <c r="BBK15" s="50"/>
      <c r="BBL15" s="50"/>
      <c r="BBM15" s="50"/>
      <c r="BBN15" s="50"/>
      <c r="BBO15" s="50"/>
      <c r="BBP15" s="50"/>
      <c r="BBQ15" s="50"/>
      <c r="BBR15" s="50"/>
      <c r="BBS15" s="50"/>
      <c r="BBT15" s="50"/>
      <c r="BBU15" s="50"/>
      <c r="BBV15" s="50"/>
      <c r="BBW15" s="50"/>
      <c r="BBX15" s="50"/>
      <c r="BBY15" s="50"/>
      <c r="BBZ15" s="50"/>
      <c r="BCA15" s="50"/>
      <c r="BCB15" s="50"/>
      <c r="BCC15" s="50"/>
      <c r="BCD15" s="50"/>
      <c r="BCE15" s="50"/>
      <c r="BCF15" s="50"/>
      <c r="BCG15" s="50"/>
      <c r="BCH15" s="50"/>
      <c r="BCI15" s="50"/>
      <c r="BCJ15" s="50"/>
      <c r="BCK15" s="50"/>
      <c r="BCL15" s="50"/>
      <c r="BCM15" s="50"/>
      <c r="BCN15" s="50"/>
      <c r="BCO15" s="50"/>
      <c r="BCP15" s="50"/>
      <c r="BCQ15" s="50"/>
      <c r="BCR15" s="50"/>
      <c r="BCS15" s="50"/>
      <c r="BCT15" s="50"/>
      <c r="BCU15" s="50"/>
      <c r="BCV15" s="50"/>
      <c r="BCW15" s="50"/>
      <c r="BCX15" s="50"/>
      <c r="BCY15" s="50"/>
      <c r="BCZ15" s="50"/>
      <c r="BDA15" s="50"/>
      <c r="BDB15" s="50"/>
      <c r="BDC15" s="50"/>
      <c r="BDD15" s="50"/>
      <c r="BDE15" s="50"/>
      <c r="BDF15" s="50"/>
      <c r="BDG15" s="50"/>
      <c r="BDH15" s="50"/>
      <c r="BDI15" s="50"/>
      <c r="BDJ15" s="50"/>
      <c r="BDK15" s="50"/>
      <c r="BDL15" s="50"/>
      <c r="BDM15" s="50"/>
      <c r="BDN15" s="50"/>
      <c r="BDO15" s="50"/>
      <c r="BDP15" s="50"/>
      <c r="BDQ15" s="50"/>
      <c r="BDR15" s="50"/>
      <c r="BDS15" s="50"/>
      <c r="BDT15" s="50"/>
      <c r="BDU15" s="50"/>
      <c r="BDV15" s="50"/>
      <c r="BDW15" s="50"/>
      <c r="BDX15" s="50"/>
      <c r="BDY15" s="50"/>
      <c r="BDZ15" s="50"/>
      <c r="BEA15" s="50"/>
      <c r="BEB15" s="50"/>
      <c r="BEC15" s="50"/>
      <c r="BED15" s="50"/>
      <c r="BEE15" s="50"/>
      <c r="BEF15" s="50"/>
      <c r="BEG15" s="50"/>
      <c r="BEH15" s="50"/>
      <c r="BEI15" s="50"/>
      <c r="BEJ15" s="50"/>
      <c r="BEK15" s="50"/>
      <c r="BEL15" s="50"/>
      <c r="BEM15" s="50"/>
      <c r="BEN15" s="50"/>
      <c r="BEO15" s="50"/>
      <c r="BEP15" s="50"/>
      <c r="BEQ15" s="50"/>
      <c r="BER15" s="50"/>
      <c r="BES15" s="50"/>
      <c r="BET15" s="50"/>
      <c r="BEU15" s="50"/>
      <c r="BEV15" s="50"/>
      <c r="BEW15" s="50"/>
      <c r="BEX15" s="50"/>
      <c r="BEY15" s="50"/>
      <c r="BEZ15" s="50"/>
      <c r="BFA15" s="50"/>
      <c r="BFB15" s="50"/>
      <c r="BFC15" s="50"/>
      <c r="BFD15" s="50"/>
      <c r="BFE15" s="50"/>
      <c r="BFF15" s="50"/>
      <c r="BFG15" s="50"/>
      <c r="BFH15" s="50"/>
      <c r="BFI15" s="50"/>
      <c r="BFJ15" s="50"/>
      <c r="BFK15" s="50"/>
      <c r="BFL15" s="50"/>
      <c r="BFM15" s="50"/>
      <c r="BFN15" s="50"/>
      <c r="BFO15" s="50"/>
      <c r="BFP15" s="50"/>
      <c r="BFQ15" s="50"/>
      <c r="BFR15" s="50"/>
      <c r="BFS15" s="50"/>
      <c r="BFT15" s="50"/>
      <c r="BFU15" s="50"/>
      <c r="BFV15" s="50"/>
      <c r="BFW15" s="50"/>
      <c r="BFX15" s="50"/>
      <c r="BFY15" s="50"/>
      <c r="BFZ15" s="50"/>
      <c r="BGA15" s="50"/>
      <c r="BGB15" s="50"/>
      <c r="BGC15" s="50"/>
      <c r="BGD15" s="50"/>
      <c r="BGE15" s="50"/>
      <c r="BGF15" s="50"/>
      <c r="BGG15" s="50"/>
      <c r="BGH15" s="50"/>
      <c r="BGI15" s="50"/>
      <c r="BGJ15" s="50"/>
      <c r="BGK15" s="50"/>
      <c r="BGL15" s="50"/>
      <c r="BGM15" s="50"/>
      <c r="BGN15" s="50"/>
      <c r="BGO15" s="50"/>
      <c r="BGP15" s="50"/>
      <c r="BGQ15" s="50"/>
      <c r="BGR15" s="50"/>
      <c r="BGS15" s="50"/>
      <c r="BGT15" s="50"/>
      <c r="BGU15" s="50"/>
      <c r="BGV15" s="50"/>
      <c r="BGW15" s="50"/>
      <c r="BGX15" s="50"/>
      <c r="BGY15" s="50"/>
      <c r="BGZ15" s="50"/>
      <c r="BHA15" s="50"/>
      <c r="BHB15" s="50"/>
      <c r="BHC15" s="50"/>
      <c r="BHD15" s="50"/>
      <c r="BHE15" s="50"/>
      <c r="BHF15" s="50"/>
      <c r="BHG15" s="50"/>
      <c r="BHH15" s="50"/>
      <c r="BHI15" s="50"/>
      <c r="BHJ15" s="50"/>
      <c r="BHK15" s="50"/>
      <c r="BHL15" s="50"/>
      <c r="BHM15" s="50"/>
      <c r="BHN15" s="50"/>
      <c r="BHO15" s="50"/>
      <c r="BHP15" s="50"/>
      <c r="BHQ15" s="50"/>
      <c r="BHR15" s="50"/>
      <c r="BHS15" s="50"/>
      <c r="BHT15" s="50"/>
      <c r="BHU15" s="50"/>
      <c r="BHV15" s="50"/>
      <c r="BHW15" s="50"/>
      <c r="BHX15" s="50"/>
      <c r="BHY15" s="50"/>
      <c r="BHZ15" s="50"/>
      <c r="BIA15" s="50"/>
      <c r="BIB15" s="50"/>
      <c r="BIC15" s="50"/>
      <c r="BID15" s="50"/>
      <c r="BIE15" s="50"/>
      <c r="BIF15" s="50"/>
      <c r="BIG15" s="50"/>
      <c r="BIH15" s="50"/>
      <c r="BII15" s="50"/>
      <c r="BIJ15" s="50"/>
      <c r="BIK15" s="50"/>
      <c r="BIL15" s="50"/>
      <c r="BIM15" s="50"/>
      <c r="BIN15" s="50"/>
      <c r="BIO15" s="50"/>
      <c r="BIP15" s="50"/>
      <c r="BIQ15" s="50"/>
      <c r="BIR15" s="50"/>
      <c r="BIS15" s="50"/>
      <c r="BIT15" s="50"/>
      <c r="BIU15" s="50"/>
      <c r="BIV15" s="50"/>
      <c r="BIW15" s="50"/>
      <c r="BIX15" s="50"/>
      <c r="BIY15" s="50"/>
      <c r="BIZ15" s="50"/>
      <c r="BJA15" s="50"/>
      <c r="BJB15" s="50"/>
      <c r="BJC15" s="50"/>
      <c r="BJD15" s="50"/>
      <c r="BJE15" s="50"/>
      <c r="BJF15" s="50"/>
      <c r="BJG15" s="50"/>
      <c r="BJH15" s="50"/>
      <c r="BJI15" s="50"/>
      <c r="BJJ15" s="50"/>
      <c r="BJK15" s="50"/>
      <c r="BJL15" s="50"/>
      <c r="BJM15" s="50"/>
      <c r="BJN15" s="50"/>
      <c r="BJO15" s="50"/>
      <c r="BJP15" s="50"/>
      <c r="BJQ15" s="50"/>
      <c r="BJR15" s="50"/>
      <c r="BJS15" s="50"/>
      <c r="BJT15" s="50"/>
      <c r="BJU15" s="50"/>
      <c r="BJV15" s="50"/>
      <c r="BJW15" s="50"/>
      <c r="BJX15" s="50"/>
      <c r="BJY15" s="50"/>
      <c r="BJZ15" s="50"/>
      <c r="BKA15" s="50"/>
      <c r="BKB15" s="50"/>
      <c r="BKC15" s="50"/>
      <c r="BKD15" s="50"/>
      <c r="BKE15" s="50"/>
      <c r="BKF15" s="50"/>
      <c r="BKG15" s="50"/>
      <c r="BKH15" s="50"/>
      <c r="BKI15" s="50"/>
      <c r="BKJ15" s="50"/>
      <c r="BKK15" s="50"/>
      <c r="BKL15" s="50"/>
      <c r="BKM15" s="50"/>
      <c r="BKN15" s="50"/>
      <c r="BKO15" s="50"/>
      <c r="BKP15" s="50"/>
      <c r="BKQ15" s="50"/>
      <c r="BKR15" s="50"/>
      <c r="BKS15" s="50"/>
      <c r="BKT15" s="50"/>
      <c r="BKU15" s="50"/>
      <c r="BKV15" s="50"/>
      <c r="BKW15" s="50"/>
      <c r="BKX15" s="50"/>
      <c r="BKY15" s="50"/>
      <c r="BKZ15" s="50"/>
      <c r="BLA15" s="50"/>
      <c r="BLB15" s="50"/>
      <c r="BLC15" s="50"/>
      <c r="BLD15" s="50"/>
      <c r="BLE15" s="50"/>
      <c r="BLF15" s="50"/>
      <c r="BLG15" s="50"/>
      <c r="BLH15" s="50"/>
      <c r="BLI15" s="50"/>
      <c r="BLJ15" s="50"/>
      <c r="BLK15" s="50"/>
      <c r="BLL15" s="50"/>
      <c r="BLM15" s="50"/>
      <c r="BLN15" s="50"/>
      <c r="BLO15" s="50"/>
      <c r="BLP15" s="50"/>
      <c r="BLQ15" s="50"/>
      <c r="BLR15" s="50"/>
      <c r="BLS15" s="50"/>
      <c r="BLT15" s="50"/>
      <c r="BLU15" s="50"/>
      <c r="BLV15" s="50"/>
      <c r="BLW15" s="50"/>
      <c r="BLX15" s="50"/>
      <c r="BLY15" s="50"/>
      <c r="BLZ15" s="50"/>
      <c r="BMA15" s="50"/>
      <c r="BMB15" s="50"/>
      <c r="BMC15" s="50"/>
      <c r="BMD15" s="50"/>
      <c r="BME15" s="50"/>
      <c r="BMF15" s="50"/>
      <c r="BMG15" s="50"/>
      <c r="BMH15" s="50"/>
      <c r="BMI15" s="50"/>
      <c r="BMJ15" s="50"/>
      <c r="BMK15" s="50"/>
      <c r="BML15" s="50"/>
      <c r="BMM15" s="50"/>
      <c r="BMN15" s="50"/>
      <c r="BMO15" s="50"/>
      <c r="BMP15" s="50"/>
      <c r="BMQ15" s="50"/>
      <c r="BMR15" s="50"/>
      <c r="BMS15" s="50"/>
      <c r="BMT15" s="50"/>
      <c r="BMU15" s="50"/>
      <c r="BMV15" s="50"/>
      <c r="BMW15" s="50"/>
      <c r="BMX15" s="50"/>
      <c r="BMY15" s="50"/>
      <c r="BMZ15" s="50"/>
      <c r="BNA15" s="50"/>
      <c r="BNB15" s="50"/>
      <c r="BNC15" s="50"/>
      <c r="BND15" s="50"/>
      <c r="BNE15" s="50"/>
      <c r="BNF15" s="50"/>
      <c r="BNG15" s="50"/>
      <c r="BNH15" s="50"/>
      <c r="BNI15" s="50"/>
      <c r="BNJ15" s="50"/>
      <c r="BNK15" s="50"/>
      <c r="BNL15" s="50"/>
      <c r="BNM15" s="50"/>
      <c r="BNN15" s="50"/>
      <c r="BNO15" s="50"/>
      <c r="BNP15" s="50"/>
      <c r="BNQ15" s="50"/>
      <c r="BNR15" s="50"/>
      <c r="BNS15" s="50"/>
      <c r="BNT15" s="50"/>
      <c r="BNU15" s="50"/>
      <c r="BNV15" s="50"/>
      <c r="BNW15" s="50"/>
      <c r="BNX15" s="50"/>
      <c r="BNY15" s="50"/>
      <c r="BNZ15" s="50"/>
      <c r="BOA15" s="50"/>
      <c r="BOB15" s="50"/>
      <c r="BOC15" s="50"/>
      <c r="BOD15" s="50"/>
      <c r="BOE15" s="50"/>
      <c r="BOF15" s="50"/>
      <c r="BOG15" s="50"/>
      <c r="BOH15" s="50"/>
      <c r="BOI15" s="50"/>
      <c r="BOJ15" s="50"/>
      <c r="BOK15" s="50"/>
      <c r="BOL15" s="50"/>
      <c r="BOM15" s="50"/>
      <c r="BON15" s="50"/>
      <c r="BOO15" s="50"/>
      <c r="BOP15" s="50"/>
      <c r="BOQ15" s="50"/>
      <c r="BOR15" s="50"/>
      <c r="BOS15" s="50"/>
      <c r="BOT15" s="50"/>
      <c r="BOU15" s="50"/>
      <c r="BOV15" s="50"/>
      <c r="BOW15" s="50"/>
      <c r="BOX15" s="50"/>
      <c r="BOY15" s="50"/>
      <c r="BOZ15" s="50"/>
      <c r="BPA15" s="50"/>
      <c r="BPB15" s="50"/>
      <c r="BPC15" s="50"/>
      <c r="BPD15" s="50"/>
      <c r="BPE15" s="50"/>
      <c r="BPF15" s="50"/>
      <c r="BPG15" s="50"/>
      <c r="BPH15" s="50"/>
      <c r="BPI15" s="50"/>
      <c r="BPJ15" s="50"/>
      <c r="BPK15" s="50"/>
      <c r="BPL15" s="50"/>
      <c r="BPM15" s="50"/>
      <c r="BPN15" s="50"/>
      <c r="BPO15" s="50"/>
      <c r="BPP15" s="50"/>
      <c r="BPQ15" s="50"/>
      <c r="BPR15" s="50"/>
      <c r="BPS15" s="50"/>
      <c r="BPT15" s="50"/>
      <c r="BPU15" s="50"/>
      <c r="BPV15" s="50"/>
      <c r="BPW15" s="50"/>
      <c r="BPX15" s="50"/>
      <c r="BPY15" s="50"/>
      <c r="BPZ15" s="50"/>
      <c r="BQA15" s="50"/>
      <c r="BQB15" s="50"/>
      <c r="BQC15" s="50"/>
      <c r="BQD15" s="50"/>
      <c r="BQE15" s="50"/>
      <c r="BQF15" s="50"/>
      <c r="BQG15" s="50"/>
      <c r="BQH15" s="50"/>
      <c r="BQI15" s="50"/>
      <c r="BQJ15" s="50"/>
      <c r="BQK15" s="50"/>
      <c r="BQL15" s="50"/>
      <c r="BQM15" s="50"/>
      <c r="BQN15" s="50"/>
      <c r="BQO15" s="50"/>
      <c r="BQP15" s="50"/>
      <c r="BQQ15" s="50"/>
      <c r="BQR15" s="50"/>
      <c r="BQS15" s="50"/>
      <c r="BQT15" s="50"/>
      <c r="BQU15" s="50"/>
      <c r="BQV15" s="50"/>
      <c r="BQW15" s="50"/>
      <c r="BQX15" s="50"/>
      <c r="BQY15" s="50"/>
      <c r="BQZ15" s="50"/>
      <c r="BRA15" s="50"/>
      <c r="BRB15" s="50"/>
      <c r="BRC15" s="50"/>
      <c r="BRD15" s="50"/>
      <c r="BRE15" s="50"/>
      <c r="BRF15" s="50"/>
      <c r="BRG15" s="50"/>
      <c r="BRH15" s="50"/>
      <c r="BRI15" s="50"/>
      <c r="BRJ15" s="50"/>
      <c r="BRK15" s="50"/>
      <c r="BRL15" s="50"/>
      <c r="BRM15" s="50"/>
      <c r="BRN15" s="50"/>
      <c r="BRO15" s="50"/>
      <c r="BRP15" s="50"/>
      <c r="BRQ15" s="50"/>
      <c r="BRR15" s="50"/>
      <c r="BRS15" s="50"/>
      <c r="BRT15" s="50"/>
      <c r="BRU15" s="50"/>
      <c r="BRV15" s="50"/>
      <c r="BRW15" s="50"/>
      <c r="BRX15" s="50"/>
      <c r="BRY15" s="50"/>
      <c r="BRZ15" s="50"/>
      <c r="BSA15" s="50"/>
      <c r="BSB15" s="50"/>
      <c r="BSC15" s="50"/>
      <c r="BSD15" s="50"/>
      <c r="BSE15" s="50"/>
      <c r="BSF15" s="50"/>
      <c r="BSG15" s="50"/>
      <c r="BSH15" s="50"/>
      <c r="BSI15" s="50"/>
      <c r="BSJ15" s="50"/>
      <c r="BSK15" s="50"/>
      <c r="BSL15" s="50"/>
      <c r="BSM15" s="50"/>
      <c r="BSN15" s="50"/>
      <c r="BSO15" s="50"/>
      <c r="BSP15" s="50"/>
      <c r="BSQ15" s="50"/>
      <c r="BSR15" s="50"/>
      <c r="BSS15" s="50"/>
      <c r="BST15" s="50"/>
      <c r="BSU15" s="50"/>
      <c r="BSV15" s="50"/>
      <c r="BSW15" s="50"/>
      <c r="BSX15" s="50"/>
      <c r="BSY15" s="50"/>
      <c r="BSZ15" s="50"/>
      <c r="BTA15" s="50"/>
      <c r="BTB15" s="50"/>
      <c r="BTC15" s="50"/>
      <c r="BTD15" s="50"/>
      <c r="BTE15" s="50"/>
      <c r="BTF15" s="50"/>
      <c r="BTG15" s="50"/>
      <c r="BTH15" s="50"/>
      <c r="BTI15" s="50"/>
      <c r="BTJ15" s="50"/>
      <c r="BTK15" s="50"/>
      <c r="BTL15" s="50"/>
      <c r="BTM15" s="50"/>
      <c r="BTN15" s="50"/>
      <c r="BTO15" s="50"/>
      <c r="BTP15" s="50"/>
      <c r="BTQ15" s="50"/>
      <c r="BTR15" s="50"/>
      <c r="BTS15" s="50"/>
      <c r="BTT15" s="50"/>
      <c r="BTU15" s="50"/>
      <c r="BTV15" s="50"/>
      <c r="BTW15" s="50"/>
      <c r="BTX15" s="50"/>
    </row>
    <row r="16" ht="15.75" customHeight="1">
      <c r="A16" t="s">
        <v>60</v>
      </c>
      <c r="B16" t="s">
        <v>43</v>
      </c>
      <c r="E16">
        <v>1000.0</v>
      </c>
      <c r="F16" t="s">
        <v>78</v>
      </c>
      <c r="G16" t="s">
        <v>64</v>
      </c>
      <c r="K16">
        <v>60.0</v>
      </c>
      <c r="L16">
        <v>60.0</v>
      </c>
      <c r="O16" t="s">
        <v>70</v>
      </c>
      <c r="V16" t="s">
        <v>83</v>
      </c>
      <c r="Z16" t="s">
        <v>67</v>
      </c>
      <c r="AD16" t="s">
        <v>66</v>
      </c>
      <c r="AE16">
        <v>1000.0</v>
      </c>
      <c r="AF16" t="s">
        <v>60</v>
      </c>
      <c r="AH16" t="s">
        <v>80</v>
      </c>
      <c r="AI16">
        <v>1.0</v>
      </c>
      <c r="AP16" t="b">
        <v>1</v>
      </c>
      <c r="AQ16" t="b">
        <v>0</v>
      </c>
      <c r="AR16" t="b">
        <v>1</v>
      </c>
      <c r="BE16">
        <v>60000.0</v>
      </c>
      <c r="BF16">
        <v>60000.0</v>
      </c>
      <c r="BJ16">
        <v>1000.0</v>
      </c>
      <c r="BM16" t="s">
        <v>67</v>
      </c>
      <c r="BO16" t="s">
        <v>35</v>
      </c>
      <c r="BT16" t="s">
        <v>41</v>
      </c>
      <c r="CK16" t="s">
        <v>65</v>
      </c>
      <c r="CL16">
        <v>1.0</v>
      </c>
      <c r="CM16" t="s">
        <v>41</v>
      </c>
      <c r="CN16" t="s">
        <v>69</v>
      </c>
      <c r="CX16" t="s">
        <v>60</v>
      </c>
      <c r="CY16" t="s">
        <v>60</v>
      </c>
      <c r="CZ16" t="s">
        <v>60</v>
      </c>
      <c r="DA16" t="s">
        <v>60</v>
      </c>
      <c r="DB16" t="s">
        <v>60</v>
      </c>
      <c r="DC16" t="s">
        <v>60</v>
      </c>
      <c r="DD16" t="s">
        <v>60</v>
      </c>
      <c r="DE16" t="s">
        <v>60</v>
      </c>
      <c r="DF16" t="s">
        <v>60</v>
      </c>
      <c r="DG16" t="s">
        <v>60</v>
      </c>
      <c r="DH16" t="s">
        <v>60</v>
      </c>
      <c r="DI16" t="s">
        <v>60</v>
      </c>
      <c r="DJ16" t="s">
        <v>60</v>
      </c>
      <c r="DK16" t="s">
        <v>60</v>
      </c>
      <c r="DL16" t="s">
        <v>60</v>
      </c>
      <c r="DM16" t="s">
        <v>60</v>
      </c>
      <c r="DN16" t="s">
        <v>60</v>
      </c>
      <c r="DO16" t="s">
        <v>60</v>
      </c>
      <c r="DP16" t="s">
        <v>60</v>
      </c>
      <c r="DQ16" t="s">
        <v>60</v>
      </c>
      <c r="DR16" t="s">
        <v>60</v>
      </c>
      <c r="DS16" t="s">
        <v>60</v>
      </c>
      <c r="DT16" t="s">
        <v>60</v>
      </c>
      <c r="DU16" t="s">
        <v>60</v>
      </c>
      <c r="DV16" t="s">
        <v>60</v>
      </c>
      <c r="DW16" t="s">
        <v>60</v>
      </c>
      <c r="DX16" t="s">
        <v>60</v>
      </c>
      <c r="DY16" t="s">
        <v>60</v>
      </c>
      <c r="DZ16" t="s">
        <v>60</v>
      </c>
      <c r="EA16" t="s">
        <v>60</v>
      </c>
      <c r="EB16" t="s">
        <v>60</v>
      </c>
      <c r="EC16" t="s">
        <v>60</v>
      </c>
      <c r="ED16" t="s">
        <v>60</v>
      </c>
      <c r="EE16" t="s">
        <v>60</v>
      </c>
      <c r="EF16" t="s">
        <v>60</v>
      </c>
      <c r="EG16" t="s">
        <v>60</v>
      </c>
      <c r="EH16" t="s">
        <v>60</v>
      </c>
      <c r="EI16" t="s">
        <v>60</v>
      </c>
      <c r="EJ16" t="s">
        <v>60</v>
      </c>
      <c r="EK16" t="s">
        <v>60</v>
      </c>
      <c r="EL16" t="s">
        <v>60</v>
      </c>
      <c r="EM16" t="s">
        <v>60</v>
      </c>
      <c r="EN16" t="s">
        <v>60</v>
      </c>
      <c r="EO16" t="s">
        <v>60</v>
      </c>
      <c r="EP16" t="s">
        <v>60</v>
      </c>
      <c r="EQ16" t="s">
        <v>60</v>
      </c>
      <c r="ER16" t="s">
        <v>60</v>
      </c>
      <c r="ES16" t="s">
        <v>60</v>
      </c>
      <c r="ET16" t="s">
        <v>60</v>
      </c>
      <c r="EU16" t="s">
        <v>60</v>
      </c>
      <c r="EV16" t="s">
        <v>60</v>
      </c>
      <c r="EW16" t="s">
        <v>60</v>
      </c>
      <c r="EX16" t="s">
        <v>60</v>
      </c>
      <c r="EY16" t="s">
        <v>60</v>
      </c>
      <c r="EZ16" t="s">
        <v>60</v>
      </c>
      <c r="FA16" t="s">
        <v>60</v>
      </c>
      <c r="FB16" t="s">
        <v>60</v>
      </c>
      <c r="FC16" t="s">
        <v>60</v>
      </c>
      <c r="FD16" t="s">
        <v>60</v>
      </c>
      <c r="FE16" t="s">
        <v>60</v>
      </c>
      <c r="FF16" t="s">
        <v>60</v>
      </c>
      <c r="FG16" t="s">
        <v>60</v>
      </c>
      <c r="FH16" t="s">
        <v>60</v>
      </c>
      <c r="FI16" t="s">
        <v>60</v>
      </c>
      <c r="FJ16" t="s">
        <v>60</v>
      </c>
      <c r="FK16" t="s">
        <v>60</v>
      </c>
      <c r="FL16" t="s">
        <v>60</v>
      </c>
      <c r="FM16" t="s">
        <v>60</v>
      </c>
      <c r="FN16" t="s">
        <v>60</v>
      </c>
      <c r="FO16" t="s">
        <v>60</v>
      </c>
      <c r="FP16" t="s">
        <v>60</v>
      </c>
      <c r="FQ16" t="s">
        <v>60</v>
      </c>
      <c r="AML16" s="36" t="str">
        <f t="shared" ref="AML16:AND16" si="11">iferror(INDEX('Input(Other)'!$A:$FF,MATCH($A16,'Input(Other)'!$A$1:$A$210,0),MATCH(AML$1,'Input(Other)'!$1:$1,0)),"")</f>
        <v/>
      </c>
      <c r="AMM16" s="36" t="str">
        <f t="shared" si="11"/>
        <v/>
      </c>
      <c r="AMN16" s="36" t="str">
        <f t="shared" si="11"/>
        <v/>
      </c>
      <c r="AMO16" s="36" t="str">
        <f t="shared" si="11"/>
        <v/>
      </c>
      <c r="AMP16" s="36" t="str">
        <f t="shared" si="11"/>
        <v/>
      </c>
      <c r="AMQ16" s="36" t="str">
        <f t="shared" si="11"/>
        <v/>
      </c>
      <c r="AMR16" s="36" t="str">
        <f t="shared" si="11"/>
        <v/>
      </c>
      <c r="AMS16" s="36" t="str">
        <f t="shared" si="11"/>
        <v/>
      </c>
      <c r="AMT16" s="36" t="str">
        <f t="shared" si="11"/>
        <v/>
      </c>
      <c r="AMU16" s="36" t="str">
        <f t="shared" si="11"/>
        <v/>
      </c>
      <c r="AMV16" s="36" t="str">
        <f t="shared" si="11"/>
        <v/>
      </c>
      <c r="AMW16" s="36" t="str">
        <f t="shared" si="11"/>
        <v/>
      </c>
      <c r="AMX16" s="36" t="str">
        <f t="shared" si="11"/>
        <v/>
      </c>
      <c r="AMY16" s="36" t="str">
        <f t="shared" si="11"/>
        <v/>
      </c>
      <c r="AMZ16" s="36" t="str">
        <f t="shared" si="11"/>
        <v/>
      </c>
      <c r="ANA16" s="36" t="str">
        <f t="shared" si="11"/>
        <v/>
      </c>
      <c r="ANB16" s="36" t="str">
        <f t="shared" si="11"/>
        <v/>
      </c>
      <c r="ANC16" s="36" t="str">
        <f t="shared" si="11"/>
        <v/>
      </c>
      <c r="AND16" s="36" t="str">
        <f t="shared" si="11"/>
        <v/>
      </c>
      <c r="ANE16" s="50"/>
      <c r="ANF16" s="50"/>
      <c r="ANG16" s="50"/>
      <c r="ANH16" s="50"/>
      <c r="ANI16" s="50"/>
      <c r="ANJ16" s="50"/>
      <c r="ANK16" s="50"/>
      <c r="ANL16" s="50"/>
      <c r="ANM16" s="50"/>
      <c r="ANN16" s="50"/>
      <c r="ANO16" s="50"/>
      <c r="ANP16" s="50"/>
      <c r="ANQ16" s="50"/>
      <c r="ANR16" s="50"/>
      <c r="ANS16" s="50"/>
      <c r="ANT16" s="50"/>
      <c r="ANU16" s="50"/>
      <c r="ANV16" s="50"/>
      <c r="ANW16" s="50"/>
      <c r="ANX16" s="50"/>
      <c r="ANY16" s="50"/>
      <c r="ANZ16" s="50"/>
      <c r="AOA16" s="50"/>
      <c r="AOB16" s="50"/>
      <c r="AOC16" s="50"/>
      <c r="AOD16" s="50"/>
      <c r="AOE16" s="50"/>
      <c r="AOF16" s="50"/>
      <c r="AOG16" s="50"/>
      <c r="AOH16" s="50"/>
      <c r="AOI16" s="50"/>
      <c r="AOJ16" s="50"/>
      <c r="AOK16" s="50"/>
      <c r="AOL16" s="50"/>
      <c r="AOM16" s="50"/>
      <c r="AON16" s="50"/>
      <c r="AOO16" s="50"/>
      <c r="AOP16" s="50"/>
      <c r="AOQ16" s="50"/>
      <c r="AOR16" s="50"/>
      <c r="AOS16" s="50"/>
      <c r="AOT16" s="50"/>
      <c r="AOU16" s="50"/>
      <c r="AOV16" s="50"/>
      <c r="AOW16" s="50"/>
      <c r="AOX16" s="50"/>
      <c r="AOY16" s="50"/>
      <c r="AOZ16" s="50"/>
      <c r="APA16" s="50"/>
      <c r="APB16" s="50"/>
      <c r="APC16" s="50"/>
      <c r="APD16" s="50"/>
      <c r="APE16" s="50"/>
      <c r="APF16" s="50"/>
      <c r="APG16" s="50"/>
      <c r="APH16" s="50"/>
      <c r="API16" s="50"/>
      <c r="APJ16" s="50"/>
      <c r="APK16" s="50"/>
      <c r="APL16" s="50"/>
      <c r="APM16" s="50"/>
      <c r="APN16" s="50"/>
      <c r="APO16" s="50"/>
      <c r="APP16" s="50"/>
      <c r="APQ16" s="50"/>
      <c r="APR16" s="50"/>
      <c r="APS16" s="50"/>
      <c r="APT16" s="50"/>
      <c r="APU16" s="50"/>
      <c r="APV16" s="50"/>
      <c r="APW16" s="50"/>
      <c r="APX16" s="50"/>
      <c r="APY16" s="50"/>
      <c r="APZ16" s="50"/>
      <c r="AQA16" s="50"/>
      <c r="AQB16" s="50"/>
      <c r="AQC16" s="50"/>
      <c r="AQD16" s="50"/>
      <c r="AQE16" s="50"/>
      <c r="AQF16" s="50"/>
      <c r="AQG16" s="50"/>
      <c r="AQH16" s="50"/>
      <c r="AQI16" s="50"/>
      <c r="AQJ16" s="50"/>
      <c r="AQK16" s="50"/>
      <c r="AQL16" s="50"/>
      <c r="AQM16" s="50"/>
      <c r="AQN16" s="50"/>
      <c r="AQO16" s="50"/>
      <c r="AQP16" s="50"/>
      <c r="AQQ16" s="50"/>
      <c r="AQR16" s="50"/>
      <c r="AQS16" s="50"/>
      <c r="AQT16" s="50"/>
      <c r="AQU16" s="50"/>
      <c r="AQV16" s="50"/>
      <c r="AQW16" s="50"/>
      <c r="AQX16" s="50"/>
      <c r="AQY16" s="50"/>
      <c r="AQZ16" s="50"/>
      <c r="ARA16" s="50"/>
      <c r="ARB16" s="50"/>
      <c r="ARC16" s="50"/>
      <c r="ARD16" s="50"/>
      <c r="ARE16" s="50"/>
      <c r="ARF16" s="50"/>
      <c r="ARG16" s="50"/>
      <c r="ARH16" s="50"/>
      <c r="ARI16" s="50"/>
      <c r="ARJ16" s="50"/>
      <c r="ARK16" s="50"/>
      <c r="ARL16" s="50"/>
      <c r="ARM16" s="50"/>
      <c r="ARN16" s="50"/>
      <c r="ARO16" s="50"/>
      <c r="ARP16" s="50"/>
      <c r="ARQ16" s="50"/>
      <c r="ARR16" s="50"/>
      <c r="ARS16" s="50"/>
      <c r="ART16" s="50"/>
      <c r="ARU16" s="50"/>
      <c r="ARV16" s="50"/>
      <c r="ARW16" s="50"/>
      <c r="ARX16" s="50"/>
      <c r="ARY16" s="50"/>
      <c r="ARZ16" s="50"/>
      <c r="ASA16" s="50"/>
      <c r="ASB16" s="50"/>
      <c r="ASC16" s="50"/>
      <c r="ASD16" s="50"/>
      <c r="ASE16" s="50"/>
      <c r="ASF16" s="50"/>
      <c r="ASG16" s="50"/>
      <c r="ASH16" s="50"/>
      <c r="ASI16" s="50"/>
      <c r="ASJ16" s="50"/>
      <c r="ASK16" s="50"/>
      <c r="ASL16" s="50"/>
      <c r="ASM16" s="50"/>
      <c r="ASN16" s="50"/>
      <c r="ASO16" s="50"/>
      <c r="ASP16" s="50"/>
      <c r="ASQ16" s="50"/>
      <c r="ASR16" s="50"/>
      <c r="ASS16" s="50"/>
      <c r="AST16" s="50"/>
      <c r="ASU16" s="50"/>
      <c r="ASV16" s="50"/>
      <c r="ASW16" s="50"/>
      <c r="ASX16" s="50"/>
      <c r="ASY16" s="50"/>
      <c r="ASZ16" s="50"/>
      <c r="ATA16" s="50"/>
      <c r="ATB16" s="50"/>
      <c r="ATC16" s="50"/>
      <c r="ATD16" s="50"/>
      <c r="ATE16" s="50"/>
      <c r="ATF16" s="50"/>
      <c r="ATG16" s="50"/>
      <c r="ATH16" s="50"/>
      <c r="ATI16" s="50"/>
      <c r="ATJ16" s="50"/>
      <c r="ATK16" s="50"/>
      <c r="ATL16" s="50"/>
      <c r="ATM16" s="50"/>
      <c r="ATN16" s="50"/>
      <c r="ATO16" s="50"/>
      <c r="ATP16" s="50"/>
      <c r="ATQ16" s="50"/>
      <c r="ATR16" s="50"/>
      <c r="ATS16" s="50"/>
      <c r="ATT16" s="50"/>
      <c r="ATU16" s="50"/>
      <c r="ATV16" s="50"/>
      <c r="ATW16" s="50"/>
      <c r="ATX16" s="50"/>
      <c r="ATY16" s="50"/>
      <c r="ATZ16" s="50"/>
      <c r="AUA16" s="50"/>
      <c r="AUB16" s="50"/>
      <c r="AUC16" s="50"/>
      <c r="AUD16" s="50"/>
      <c r="AUE16" s="50"/>
      <c r="AUF16" s="50"/>
      <c r="AUG16" s="50"/>
      <c r="AUH16" s="50"/>
      <c r="AUI16" s="50"/>
      <c r="AUJ16" s="50"/>
      <c r="AUK16" s="50"/>
      <c r="AUL16" s="50"/>
      <c r="AUM16" s="50"/>
      <c r="AUN16" s="50"/>
      <c r="AUO16" s="50"/>
      <c r="AUP16" s="50"/>
      <c r="AUQ16" s="50"/>
      <c r="AUR16" s="50"/>
      <c r="AUS16" s="50"/>
      <c r="AUT16" s="50"/>
      <c r="AUU16" s="50"/>
      <c r="AUV16" s="50"/>
      <c r="AUW16" s="50"/>
      <c r="AUX16" s="50"/>
      <c r="AUY16" s="50"/>
      <c r="AUZ16" s="50"/>
      <c r="AVA16" s="50"/>
      <c r="AVB16" s="50"/>
      <c r="AVC16" s="50"/>
      <c r="AVD16" s="50"/>
      <c r="AVE16" s="50"/>
      <c r="AVF16" s="50"/>
      <c r="AVG16" s="50"/>
      <c r="AVH16" s="50"/>
      <c r="AVI16" s="50"/>
      <c r="AVJ16" s="50"/>
      <c r="AVK16" s="50"/>
      <c r="AVL16" s="50"/>
      <c r="AVM16" s="50"/>
      <c r="AVN16" s="50"/>
      <c r="AVO16" s="50"/>
      <c r="AVP16" s="50"/>
      <c r="AVQ16" s="50"/>
      <c r="AVR16" s="50"/>
      <c r="AVS16" s="50"/>
      <c r="AVT16" s="50"/>
      <c r="AVU16" s="50"/>
      <c r="AVV16" s="50"/>
      <c r="AVW16" s="50"/>
      <c r="AVX16" s="50"/>
      <c r="AVY16" s="50"/>
      <c r="AVZ16" s="50"/>
      <c r="AWA16" s="50"/>
      <c r="AWB16" s="50"/>
      <c r="AWC16" s="50"/>
      <c r="AWD16" s="50"/>
      <c r="AWE16" s="50"/>
      <c r="AWF16" s="50"/>
      <c r="AWG16" s="50"/>
      <c r="AWH16" s="50"/>
      <c r="AWI16" s="50"/>
      <c r="AWJ16" s="50"/>
      <c r="AWK16" s="50"/>
      <c r="AWL16" s="50"/>
      <c r="AWM16" s="50"/>
      <c r="AWN16" s="50"/>
      <c r="AWO16" s="50"/>
      <c r="AWP16" s="50"/>
      <c r="AWQ16" s="50"/>
      <c r="AWR16" s="50"/>
      <c r="AWS16" s="50"/>
      <c r="AWT16" s="50"/>
      <c r="AWU16" s="50"/>
      <c r="AWV16" s="50"/>
      <c r="AWW16" s="50"/>
      <c r="AWX16" s="50"/>
      <c r="AWY16" s="50"/>
      <c r="AWZ16" s="50"/>
      <c r="AXA16" s="50"/>
      <c r="AXB16" s="50"/>
      <c r="AXC16" s="50"/>
      <c r="AXD16" s="50"/>
      <c r="AXE16" s="50"/>
      <c r="AXF16" s="50"/>
      <c r="AXG16" s="50"/>
      <c r="AXH16" s="50"/>
      <c r="AXI16" s="50"/>
      <c r="AXJ16" s="50"/>
      <c r="AXK16" s="50"/>
      <c r="AXL16" s="50"/>
      <c r="AXM16" s="50"/>
      <c r="AXN16" s="50"/>
      <c r="AXO16" s="50"/>
      <c r="AXP16" s="50"/>
      <c r="AXQ16" s="50"/>
      <c r="AXR16" s="50"/>
      <c r="AXS16" s="50"/>
      <c r="AXT16" s="50"/>
      <c r="AXU16" s="50"/>
      <c r="AXV16" s="50"/>
      <c r="AXW16" s="50"/>
      <c r="AXX16" s="50"/>
      <c r="AXY16" s="50"/>
      <c r="AXZ16" s="50"/>
      <c r="AYA16" s="50"/>
      <c r="AYB16" s="50"/>
      <c r="AYC16" s="50"/>
      <c r="AYD16" s="50"/>
      <c r="AYE16" s="50"/>
      <c r="AYF16" s="50"/>
      <c r="AYG16" s="50"/>
      <c r="AYH16" s="50"/>
      <c r="AYI16" s="50"/>
      <c r="AYJ16" s="50"/>
      <c r="AYK16" s="50"/>
      <c r="AYL16" s="50"/>
      <c r="AYM16" s="50"/>
      <c r="AYN16" s="50"/>
      <c r="AYO16" s="50"/>
      <c r="AYP16" s="50"/>
      <c r="AYQ16" s="50"/>
      <c r="AYR16" s="50"/>
      <c r="AYS16" s="50"/>
      <c r="AYT16" s="50"/>
      <c r="AYU16" s="50"/>
      <c r="AYV16" s="50"/>
      <c r="AYW16" s="50"/>
      <c r="AYX16" s="50"/>
      <c r="AYY16" s="50"/>
      <c r="AYZ16" s="50"/>
      <c r="AZA16" s="50"/>
      <c r="AZB16" s="50"/>
      <c r="AZC16" s="50"/>
      <c r="AZD16" s="50"/>
      <c r="AZE16" s="50"/>
      <c r="AZF16" s="50"/>
      <c r="AZG16" s="50"/>
      <c r="AZH16" s="50"/>
      <c r="AZI16" s="50"/>
      <c r="AZJ16" s="50"/>
      <c r="AZK16" s="50"/>
      <c r="AZL16" s="50"/>
      <c r="AZM16" s="50"/>
      <c r="AZN16" s="50"/>
      <c r="AZO16" s="50"/>
      <c r="AZP16" s="50"/>
      <c r="AZQ16" s="50"/>
      <c r="AZR16" s="50"/>
      <c r="AZS16" s="50"/>
      <c r="AZT16" s="50"/>
      <c r="AZU16" s="50"/>
      <c r="AZV16" s="50"/>
      <c r="AZW16" s="50"/>
      <c r="AZX16" s="50"/>
      <c r="AZY16" s="50"/>
      <c r="AZZ16" s="50"/>
      <c r="BAA16" s="50"/>
      <c r="BAB16" s="50"/>
      <c r="BAC16" s="50"/>
      <c r="BAD16" s="50"/>
      <c r="BAE16" s="50"/>
      <c r="BAF16" s="50"/>
      <c r="BAG16" s="50"/>
      <c r="BAH16" s="50"/>
      <c r="BAI16" s="50"/>
      <c r="BAJ16" s="50"/>
      <c r="BAK16" s="50"/>
      <c r="BAL16" s="50"/>
      <c r="BAM16" s="50"/>
      <c r="BAN16" s="50"/>
      <c r="BAO16" s="50"/>
      <c r="BAP16" s="50"/>
      <c r="BAQ16" s="50"/>
      <c r="BAR16" s="50"/>
      <c r="BAS16" s="50"/>
      <c r="BAT16" s="50"/>
      <c r="BAU16" s="50"/>
      <c r="BAV16" s="50"/>
      <c r="BAW16" s="50"/>
      <c r="BAX16" s="50"/>
      <c r="BAY16" s="50"/>
      <c r="BAZ16" s="50"/>
      <c r="BBA16" s="50"/>
      <c r="BBB16" s="50"/>
      <c r="BBC16" s="50"/>
      <c r="BBD16" s="50"/>
      <c r="BBE16" s="50"/>
      <c r="BBF16" s="50"/>
      <c r="BBG16" s="50"/>
      <c r="BBH16" s="50"/>
      <c r="BBI16" s="50"/>
      <c r="BBJ16" s="50"/>
      <c r="BBK16" s="50"/>
      <c r="BBL16" s="50"/>
      <c r="BBM16" s="50"/>
      <c r="BBN16" s="50"/>
      <c r="BBO16" s="50"/>
      <c r="BBP16" s="50"/>
      <c r="BBQ16" s="50"/>
      <c r="BBR16" s="50"/>
      <c r="BBS16" s="50"/>
      <c r="BBT16" s="50"/>
      <c r="BBU16" s="50"/>
      <c r="BBV16" s="50"/>
      <c r="BBW16" s="50"/>
      <c r="BBX16" s="50"/>
      <c r="BBY16" s="50"/>
      <c r="BBZ16" s="50"/>
      <c r="BCA16" s="50"/>
      <c r="BCB16" s="50"/>
      <c r="BCC16" s="50"/>
      <c r="BCD16" s="50"/>
      <c r="BCE16" s="50"/>
      <c r="BCF16" s="50"/>
      <c r="BCG16" s="50"/>
      <c r="BCH16" s="50"/>
      <c r="BCI16" s="50"/>
      <c r="BCJ16" s="50"/>
      <c r="BCK16" s="50"/>
      <c r="BCL16" s="50"/>
      <c r="BCM16" s="50"/>
      <c r="BCN16" s="50"/>
      <c r="BCO16" s="50"/>
      <c r="BCP16" s="50"/>
      <c r="BCQ16" s="50"/>
      <c r="BCR16" s="50"/>
      <c r="BCS16" s="50"/>
      <c r="BCT16" s="50"/>
      <c r="BCU16" s="50"/>
      <c r="BCV16" s="50"/>
      <c r="BCW16" s="50"/>
      <c r="BCX16" s="50"/>
      <c r="BCY16" s="50"/>
      <c r="BCZ16" s="50"/>
      <c r="BDA16" s="50"/>
      <c r="BDB16" s="50"/>
      <c r="BDC16" s="50"/>
      <c r="BDD16" s="50"/>
      <c r="BDE16" s="50"/>
      <c r="BDF16" s="50"/>
      <c r="BDG16" s="50"/>
      <c r="BDH16" s="50"/>
      <c r="BDI16" s="50"/>
      <c r="BDJ16" s="50"/>
      <c r="BDK16" s="50"/>
      <c r="BDL16" s="50"/>
      <c r="BDM16" s="50"/>
      <c r="BDN16" s="50"/>
      <c r="BDO16" s="50"/>
      <c r="BDP16" s="50"/>
      <c r="BDQ16" s="50"/>
      <c r="BDR16" s="50"/>
      <c r="BDS16" s="50"/>
      <c r="BDT16" s="50"/>
      <c r="BDU16" s="50"/>
      <c r="BDV16" s="50"/>
      <c r="BDW16" s="50"/>
      <c r="BDX16" s="50"/>
      <c r="BDY16" s="50"/>
      <c r="BDZ16" s="50"/>
      <c r="BEA16" s="50"/>
      <c r="BEB16" s="50"/>
      <c r="BEC16" s="50"/>
      <c r="BED16" s="50"/>
      <c r="BEE16" s="50"/>
      <c r="BEF16" s="50"/>
      <c r="BEG16" s="50"/>
      <c r="BEH16" s="50"/>
      <c r="BEI16" s="50"/>
      <c r="BEJ16" s="50"/>
      <c r="BEK16" s="50"/>
      <c r="BEL16" s="50"/>
      <c r="BEM16" s="50"/>
      <c r="BEN16" s="50"/>
      <c r="BEO16" s="50"/>
      <c r="BEP16" s="50"/>
      <c r="BEQ16" s="50"/>
      <c r="BER16" s="50"/>
      <c r="BES16" s="50"/>
      <c r="BET16" s="50"/>
      <c r="BEU16" s="50"/>
      <c r="BEV16" s="50"/>
      <c r="BEW16" s="50"/>
      <c r="BEX16" s="50"/>
      <c r="BEY16" s="50"/>
      <c r="BEZ16" s="50"/>
      <c r="BFA16" s="50"/>
      <c r="BFB16" s="50"/>
      <c r="BFC16" s="50"/>
      <c r="BFD16" s="50"/>
      <c r="BFE16" s="50"/>
      <c r="BFF16" s="50"/>
      <c r="BFG16" s="50"/>
      <c r="BFH16" s="50"/>
      <c r="BFI16" s="50"/>
      <c r="BFJ16" s="50"/>
      <c r="BFK16" s="50"/>
      <c r="BFL16" s="50"/>
      <c r="BFM16" s="50"/>
      <c r="BFN16" s="50"/>
      <c r="BFO16" s="50"/>
      <c r="BFP16" s="50"/>
      <c r="BFQ16" s="50"/>
      <c r="BFR16" s="50"/>
      <c r="BFS16" s="50"/>
      <c r="BFT16" s="50"/>
      <c r="BFU16" s="50"/>
      <c r="BFV16" s="50"/>
      <c r="BFW16" s="50"/>
      <c r="BFX16" s="50"/>
      <c r="BFY16" s="50"/>
      <c r="BFZ16" s="50"/>
      <c r="BGA16" s="50"/>
      <c r="BGB16" s="50"/>
      <c r="BGC16" s="50"/>
      <c r="BGD16" s="50"/>
      <c r="BGE16" s="50"/>
      <c r="BGF16" s="50"/>
      <c r="BGG16" s="50"/>
      <c r="BGH16" s="50"/>
      <c r="BGI16" s="50"/>
      <c r="BGJ16" s="50"/>
      <c r="BGK16" s="50"/>
      <c r="BGL16" s="50"/>
      <c r="BGM16" s="50"/>
      <c r="BGN16" s="50"/>
      <c r="BGO16" s="50"/>
      <c r="BGP16" s="50"/>
      <c r="BGQ16" s="50"/>
      <c r="BGR16" s="50"/>
      <c r="BGS16" s="50"/>
      <c r="BGT16" s="50"/>
      <c r="BGU16" s="50"/>
      <c r="BGV16" s="50"/>
      <c r="BGW16" s="50"/>
      <c r="BGX16" s="50"/>
      <c r="BGY16" s="50"/>
      <c r="BGZ16" s="50"/>
      <c r="BHA16" s="50"/>
      <c r="BHB16" s="50"/>
      <c r="BHC16" s="50"/>
      <c r="BHD16" s="50"/>
      <c r="BHE16" s="50"/>
      <c r="BHF16" s="50"/>
      <c r="BHG16" s="50"/>
      <c r="BHH16" s="50"/>
      <c r="BHI16" s="50"/>
      <c r="BHJ16" s="50"/>
      <c r="BHK16" s="50"/>
      <c r="BHL16" s="50"/>
      <c r="BHM16" s="50"/>
      <c r="BHN16" s="50"/>
      <c r="BHO16" s="50"/>
      <c r="BHP16" s="50"/>
      <c r="BHQ16" s="50"/>
      <c r="BHR16" s="50"/>
      <c r="BHS16" s="50"/>
      <c r="BHT16" s="50"/>
      <c r="BHU16" s="50"/>
      <c r="BHV16" s="50"/>
      <c r="BHW16" s="50"/>
      <c r="BHX16" s="50"/>
      <c r="BHY16" s="50"/>
      <c r="BHZ16" s="50"/>
      <c r="BIA16" s="50"/>
      <c r="BIB16" s="50"/>
      <c r="BIC16" s="50"/>
      <c r="BID16" s="50"/>
      <c r="BIE16" s="50"/>
      <c r="BIF16" s="50"/>
      <c r="BIG16" s="50"/>
      <c r="BIH16" s="50"/>
      <c r="BII16" s="50"/>
      <c r="BIJ16" s="50"/>
      <c r="BIK16" s="50"/>
      <c r="BIL16" s="50"/>
      <c r="BIM16" s="50"/>
      <c r="BIN16" s="50"/>
      <c r="BIO16" s="50"/>
      <c r="BIP16" s="50"/>
      <c r="BIQ16" s="50"/>
      <c r="BIR16" s="50"/>
      <c r="BIS16" s="50"/>
      <c r="BIT16" s="50"/>
      <c r="BIU16" s="50"/>
      <c r="BIV16" s="50"/>
      <c r="BIW16" s="50"/>
      <c r="BIX16" s="50"/>
      <c r="BIY16" s="50"/>
      <c r="BIZ16" s="50"/>
      <c r="BJA16" s="50"/>
      <c r="BJB16" s="50"/>
      <c r="BJC16" s="50"/>
      <c r="BJD16" s="50"/>
      <c r="BJE16" s="50"/>
      <c r="BJF16" s="50"/>
      <c r="BJG16" s="50"/>
      <c r="BJH16" s="50"/>
      <c r="BJI16" s="50"/>
      <c r="BJJ16" s="50"/>
      <c r="BJK16" s="50"/>
      <c r="BJL16" s="50"/>
      <c r="BJM16" s="50"/>
      <c r="BJN16" s="50"/>
      <c r="BJO16" s="50"/>
      <c r="BJP16" s="50"/>
      <c r="BJQ16" s="50"/>
      <c r="BJR16" s="50"/>
      <c r="BJS16" s="50"/>
      <c r="BJT16" s="50"/>
      <c r="BJU16" s="50"/>
      <c r="BJV16" s="50"/>
      <c r="BJW16" s="50"/>
      <c r="BJX16" s="50"/>
      <c r="BJY16" s="50"/>
      <c r="BJZ16" s="50"/>
      <c r="BKA16" s="50"/>
      <c r="BKB16" s="50"/>
      <c r="BKC16" s="50"/>
      <c r="BKD16" s="50"/>
      <c r="BKE16" s="50"/>
      <c r="BKF16" s="50"/>
      <c r="BKG16" s="50"/>
      <c r="BKH16" s="50"/>
      <c r="BKI16" s="50"/>
      <c r="BKJ16" s="50"/>
      <c r="BKK16" s="50"/>
      <c r="BKL16" s="50"/>
      <c r="BKM16" s="50"/>
      <c r="BKN16" s="50"/>
      <c r="BKO16" s="50"/>
      <c r="BKP16" s="50"/>
      <c r="BKQ16" s="50"/>
      <c r="BKR16" s="50"/>
      <c r="BKS16" s="50"/>
      <c r="BKT16" s="50"/>
      <c r="BKU16" s="50"/>
      <c r="BKV16" s="50"/>
      <c r="BKW16" s="50"/>
      <c r="BKX16" s="50"/>
      <c r="BKY16" s="50"/>
      <c r="BKZ16" s="50"/>
      <c r="BLA16" s="50"/>
      <c r="BLB16" s="50"/>
      <c r="BLC16" s="50"/>
      <c r="BLD16" s="50"/>
      <c r="BLE16" s="50"/>
      <c r="BLF16" s="50"/>
      <c r="BLG16" s="50"/>
      <c r="BLH16" s="50"/>
      <c r="BLI16" s="50"/>
      <c r="BLJ16" s="50"/>
      <c r="BLK16" s="50"/>
      <c r="BLL16" s="50"/>
      <c r="BLM16" s="50"/>
      <c r="BLN16" s="50"/>
      <c r="BLO16" s="50"/>
      <c r="BLP16" s="50"/>
      <c r="BLQ16" s="50"/>
      <c r="BLR16" s="50"/>
      <c r="BLS16" s="50"/>
      <c r="BLT16" s="50"/>
      <c r="BLU16" s="50"/>
      <c r="BLV16" s="50"/>
      <c r="BLW16" s="50"/>
      <c r="BLX16" s="50"/>
      <c r="BLY16" s="50"/>
      <c r="BLZ16" s="50"/>
      <c r="BMA16" s="50"/>
      <c r="BMB16" s="50"/>
      <c r="BMC16" s="50"/>
      <c r="BMD16" s="50"/>
      <c r="BME16" s="50"/>
      <c r="BMF16" s="50"/>
      <c r="BMG16" s="50"/>
      <c r="BMH16" s="50"/>
      <c r="BMI16" s="50"/>
      <c r="BMJ16" s="50"/>
      <c r="BMK16" s="50"/>
      <c r="BML16" s="50"/>
      <c r="BMM16" s="50"/>
      <c r="BMN16" s="50"/>
      <c r="BMO16" s="50"/>
      <c r="BMP16" s="50"/>
      <c r="BMQ16" s="50"/>
      <c r="BMR16" s="50"/>
      <c r="BMS16" s="50"/>
      <c r="BMT16" s="50"/>
      <c r="BMU16" s="50"/>
      <c r="BMV16" s="50"/>
      <c r="BMW16" s="50"/>
      <c r="BMX16" s="50"/>
      <c r="BMY16" s="50"/>
      <c r="BMZ16" s="50"/>
      <c r="BNA16" s="50"/>
      <c r="BNB16" s="50"/>
      <c r="BNC16" s="50"/>
      <c r="BND16" s="50"/>
      <c r="BNE16" s="50"/>
      <c r="BNF16" s="50"/>
      <c r="BNG16" s="50"/>
      <c r="BNH16" s="50"/>
      <c r="BNI16" s="50"/>
      <c r="BNJ16" s="50"/>
      <c r="BNK16" s="50"/>
      <c r="BNL16" s="50"/>
      <c r="BNM16" s="50"/>
      <c r="BNN16" s="50"/>
      <c r="BNO16" s="50"/>
      <c r="BNP16" s="50"/>
      <c r="BNQ16" s="50"/>
      <c r="BNR16" s="50"/>
      <c r="BNS16" s="50"/>
      <c r="BNT16" s="50"/>
      <c r="BNU16" s="50"/>
      <c r="BNV16" s="50"/>
      <c r="BNW16" s="50"/>
      <c r="BNX16" s="50"/>
      <c r="BNY16" s="50"/>
      <c r="BNZ16" s="50"/>
      <c r="BOA16" s="50"/>
      <c r="BOB16" s="50"/>
      <c r="BOC16" s="50"/>
      <c r="BOD16" s="50"/>
      <c r="BOE16" s="50"/>
      <c r="BOF16" s="50"/>
      <c r="BOG16" s="50"/>
      <c r="BOH16" s="50"/>
      <c r="BOI16" s="50"/>
      <c r="BOJ16" s="50"/>
      <c r="BOK16" s="50"/>
      <c r="BOL16" s="50"/>
      <c r="BOM16" s="50"/>
      <c r="BON16" s="50"/>
      <c r="BOO16" s="50"/>
      <c r="BOP16" s="50"/>
      <c r="BOQ16" s="50"/>
      <c r="BOR16" s="50"/>
      <c r="BOS16" s="50"/>
      <c r="BOT16" s="50"/>
      <c r="BOU16" s="50"/>
      <c r="BOV16" s="50"/>
      <c r="BOW16" s="50"/>
      <c r="BOX16" s="50"/>
      <c r="BOY16" s="50"/>
      <c r="BOZ16" s="50"/>
      <c r="BPA16" s="50"/>
      <c r="BPB16" s="50"/>
      <c r="BPC16" s="50"/>
      <c r="BPD16" s="50"/>
      <c r="BPE16" s="50"/>
      <c r="BPF16" s="50"/>
      <c r="BPG16" s="50"/>
      <c r="BPH16" s="50"/>
      <c r="BPI16" s="50"/>
      <c r="BPJ16" s="50"/>
      <c r="BPK16" s="50"/>
      <c r="BPL16" s="50"/>
      <c r="BPM16" s="50"/>
      <c r="BPN16" s="50"/>
      <c r="BPO16" s="50"/>
      <c r="BPP16" s="50"/>
      <c r="BPQ16" s="50"/>
      <c r="BPR16" s="50"/>
      <c r="BPS16" s="50"/>
      <c r="BPT16" s="50"/>
      <c r="BPU16" s="50"/>
      <c r="BPV16" s="50"/>
      <c r="BPW16" s="50"/>
      <c r="BPX16" s="50"/>
      <c r="BPY16" s="50"/>
      <c r="BPZ16" s="50"/>
      <c r="BQA16" s="50"/>
      <c r="BQB16" s="50"/>
      <c r="BQC16" s="50"/>
      <c r="BQD16" s="50"/>
      <c r="BQE16" s="50"/>
      <c r="BQF16" s="50"/>
      <c r="BQG16" s="50"/>
      <c r="BQH16" s="50"/>
      <c r="BQI16" s="50"/>
      <c r="BQJ16" s="50"/>
      <c r="BQK16" s="50"/>
      <c r="BQL16" s="50"/>
      <c r="BQM16" s="50"/>
      <c r="BQN16" s="50"/>
      <c r="BQO16" s="50"/>
      <c r="BQP16" s="50"/>
      <c r="BQQ16" s="50"/>
      <c r="BQR16" s="50"/>
      <c r="BQS16" s="50"/>
      <c r="BQT16" s="50"/>
      <c r="BQU16" s="50"/>
      <c r="BQV16" s="50"/>
      <c r="BQW16" s="50"/>
      <c r="BQX16" s="50"/>
      <c r="BQY16" s="50"/>
      <c r="BQZ16" s="50"/>
      <c r="BRA16" s="50"/>
      <c r="BRB16" s="50"/>
      <c r="BRC16" s="50"/>
      <c r="BRD16" s="50"/>
      <c r="BRE16" s="50"/>
      <c r="BRF16" s="50"/>
      <c r="BRG16" s="50"/>
      <c r="BRH16" s="50"/>
      <c r="BRI16" s="50"/>
      <c r="BRJ16" s="50"/>
      <c r="BRK16" s="50"/>
      <c r="BRL16" s="50"/>
      <c r="BRM16" s="50"/>
      <c r="BRN16" s="50"/>
      <c r="BRO16" s="50"/>
      <c r="BRP16" s="50"/>
      <c r="BRQ16" s="50"/>
      <c r="BRR16" s="50"/>
      <c r="BRS16" s="50"/>
      <c r="BRT16" s="50"/>
      <c r="BRU16" s="50"/>
      <c r="BRV16" s="50"/>
      <c r="BRW16" s="50"/>
      <c r="BRX16" s="50"/>
      <c r="BRY16" s="50"/>
      <c r="BRZ16" s="50"/>
      <c r="BSA16" s="50"/>
      <c r="BSB16" s="50"/>
      <c r="BSC16" s="50"/>
      <c r="BSD16" s="50"/>
      <c r="BSE16" s="50"/>
      <c r="BSF16" s="50"/>
      <c r="BSG16" s="50"/>
      <c r="BSH16" s="50"/>
      <c r="BSI16" s="50"/>
      <c r="BSJ16" s="50"/>
      <c r="BSK16" s="50"/>
      <c r="BSL16" s="50"/>
      <c r="BSM16" s="50"/>
      <c r="BSN16" s="50"/>
      <c r="BSO16" s="50"/>
      <c r="BSP16" s="50"/>
      <c r="BSQ16" s="50"/>
      <c r="BSR16" s="50"/>
      <c r="BSS16" s="50"/>
      <c r="BST16" s="50"/>
      <c r="BSU16" s="50"/>
      <c r="BSV16" s="50"/>
      <c r="BSW16" s="50"/>
      <c r="BSX16" s="50"/>
      <c r="BSY16" s="50"/>
      <c r="BSZ16" s="50"/>
      <c r="BTA16" s="50"/>
      <c r="BTB16" s="50"/>
      <c r="BTC16" s="50"/>
      <c r="BTD16" s="50"/>
      <c r="BTE16" s="50"/>
      <c r="BTF16" s="50"/>
      <c r="BTG16" s="50"/>
      <c r="BTH16" s="50"/>
      <c r="BTI16" s="50"/>
      <c r="BTJ16" s="50"/>
      <c r="BTK16" s="50"/>
      <c r="BTL16" s="50"/>
      <c r="BTM16" s="50"/>
      <c r="BTN16" s="50"/>
      <c r="BTO16" s="50"/>
      <c r="BTP16" s="50"/>
      <c r="BTQ16" s="50"/>
      <c r="BTR16" s="50"/>
      <c r="BTS16" s="50"/>
      <c r="BTT16" s="50"/>
      <c r="BTU16" s="50"/>
      <c r="BTV16" s="50"/>
      <c r="BTW16" s="50"/>
      <c r="BTX16" s="50"/>
    </row>
    <row r="17" ht="15.75" customHeight="1">
      <c r="A17" t="s">
        <v>60</v>
      </c>
      <c r="B17" t="s">
        <v>43</v>
      </c>
      <c r="E17">
        <v>1000.0</v>
      </c>
      <c r="F17" t="s">
        <v>78</v>
      </c>
      <c r="G17" t="s">
        <v>64</v>
      </c>
      <c r="K17">
        <v>50.0</v>
      </c>
      <c r="L17">
        <v>50.0</v>
      </c>
      <c r="O17" t="s">
        <v>70</v>
      </c>
      <c r="V17" t="s">
        <v>83</v>
      </c>
      <c r="Z17" t="s">
        <v>67</v>
      </c>
      <c r="AD17" t="s">
        <v>66</v>
      </c>
      <c r="AE17">
        <v>1000.0</v>
      </c>
      <c r="AF17" t="s">
        <v>60</v>
      </c>
      <c r="AH17" t="s">
        <v>80</v>
      </c>
      <c r="AI17">
        <v>1.0</v>
      </c>
      <c r="AP17" t="b">
        <v>1</v>
      </c>
      <c r="AQ17" t="b">
        <v>0</v>
      </c>
      <c r="AR17" t="b">
        <v>1</v>
      </c>
      <c r="BE17">
        <v>50000.0</v>
      </c>
      <c r="BF17">
        <v>50000.0</v>
      </c>
      <c r="BJ17">
        <v>1000.0</v>
      </c>
      <c r="BM17" t="s">
        <v>67</v>
      </c>
      <c r="BO17" t="s">
        <v>75</v>
      </c>
      <c r="BT17" t="s">
        <v>41</v>
      </c>
      <c r="CK17" t="s">
        <v>65</v>
      </c>
      <c r="CL17">
        <v>1.0</v>
      </c>
      <c r="CM17" t="s">
        <v>41</v>
      </c>
      <c r="CN17" t="s">
        <v>69</v>
      </c>
      <c r="CX17" t="s">
        <v>60</v>
      </c>
      <c r="CY17" t="s">
        <v>60</v>
      </c>
      <c r="CZ17" t="s">
        <v>60</v>
      </c>
      <c r="DA17" t="s">
        <v>60</v>
      </c>
      <c r="DB17" t="s">
        <v>60</v>
      </c>
      <c r="DC17" t="s">
        <v>60</v>
      </c>
      <c r="DD17" t="s">
        <v>60</v>
      </c>
      <c r="DE17" t="s">
        <v>60</v>
      </c>
      <c r="DF17" t="s">
        <v>60</v>
      </c>
      <c r="DG17" t="s">
        <v>60</v>
      </c>
      <c r="DH17" t="s">
        <v>60</v>
      </c>
      <c r="DI17" t="s">
        <v>60</v>
      </c>
      <c r="DJ17" t="s">
        <v>60</v>
      </c>
      <c r="DK17" t="s">
        <v>60</v>
      </c>
      <c r="DL17" t="s">
        <v>60</v>
      </c>
      <c r="DM17" t="s">
        <v>60</v>
      </c>
      <c r="DN17" t="s">
        <v>60</v>
      </c>
      <c r="DO17" t="s">
        <v>60</v>
      </c>
      <c r="DP17" t="s">
        <v>60</v>
      </c>
      <c r="DQ17" t="s">
        <v>60</v>
      </c>
      <c r="DR17" t="s">
        <v>60</v>
      </c>
      <c r="DS17" t="s">
        <v>60</v>
      </c>
      <c r="DT17" t="s">
        <v>60</v>
      </c>
      <c r="DU17" t="s">
        <v>60</v>
      </c>
      <c r="DV17" t="s">
        <v>60</v>
      </c>
      <c r="DW17" t="s">
        <v>60</v>
      </c>
      <c r="DX17" t="s">
        <v>60</v>
      </c>
      <c r="DY17" t="s">
        <v>60</v>
      </c>
      <c r="DZ17" t="s">
        <v>60</v>
      </c>
      <c r="EA17" t="s">
        <v>60</v>
      </c>
      <c r="EB17" t="s">
        <v>60</v>
      </c>
      <c r="EC17" t="s">
        <v>60</v>
      </c>
      <c r="ED17" t="s">
        <v>60</v>
      </c>
      <c r="EE17" t="s">
        <v>60</v>
      </c>
      <c r="EF17" t="s">
        <v>60</v>
      </c>
      <c r="EG17" t="s">
        <v>60</v>
      </c>
      <c r="EH17" t="s">
        <v>60</v>
      </c>
      <c r="EI17" t="s">
        <v>60</v>
      </c>
      <c r="EJ17" t="s">
        <v>60</v>
      </c>
      <c r="EK17" t="s">
        <v>60</v>
      </c>
      <c r="EL17" t="s">
        <v>60</v>
      </c>
      <c r="EM17" t="s">
        <v>60</v>
      </c>
      <c r="EN17" t="s">
        <v>60</v>
      </c>
      <c r="EO17" t="s">
        <v>60</v>
      </c>
      <c r="EP17" t="s">
        <v>60</v>
      </c>
      <c r="EQ17" t="s">
        <v>60</v>
      </c>
      <c r="ER17" t="s">
        <v>60</v>
      </c>
      <c r="ES17" t="s">
        <v>60</v>
      </c>
      <c r="ET17" t="s">
        <v>60</v>
      </c>
      <c r="EU17" t="s">
        <v>60</v>
      </c>
      <c r="EV17" t="s">
        <v>60</v>
      </c>
      <c r="EW17" t="s">
        <v>60</v>
      </c>
      <c r="EX17" t="s">
        <v>60</v>
      </c>
      <c r="EY17" t="s">
        <v>60</v>
      </c>
      <c r="EZ17" t="s">
        <v>60</v>
      </c>
      <c r="FA17" t="s">
        <v>60</v>
      </c>
      <c r="FB17" t="s">
        <v>60</v>
      </c>
      <c r="FC17" t="s">
        <v>60</v>
      </c>
      <c r="FD17" t="s">
        <v>60</v>
      </c>
      <c r="FE17" t="s">
        <v>60</v>
      </c>
      <c r="FF17" t="s">
        <v>60</v>
      </c>
      <c r="FG17" t="s">
        <v>60</v>
      </c>
      <c r="FH17" t="s">
        <v>60</v>
      </c>
      <c r="FI17" t="s">
        <v>60</v>
      </c>
      <c r="FJ17" t="s">
        <v>60</v>
      </c>
      <c r="FK17" t="s">
        <v>60</v>
      </c>
      <c r="FL17" t="s">
        <v>60</v>
      </c>
      <c r="FM17" t="s">
        <v>60</v>
      </c>
      <c r="FN17" t="s">
        <v>60</v>
      </c>
      <c r="FO17" t="s">
        <v>60</v>
      </c>
      <c r="FP17" t="s">
        <v>60</v>
      </c>
      <c r="FQ17" t="s">
        <v>60</v>
      </c>
      <c r="AML17" s="36" t="str">
        <f t="shared" ref="AML17:AND17" si="12">iferror(INDEX('Input(Other)'!$A:$FF,MATCH($A17,'Input(Other)'!$A$1:$A$210,0),MATCH(AML$1,'Input(Other)'!$1:$1,0)),"")</f>
        <v/>
      </c>
      <c r="AMM17" s="36" t="str">
        <f t="shared" si="12"/>
        <v/>
      </c>
      <c r="AMN17" s="36" t="str">
        <f t="shared" si="12"/>
        <v/>
      </c>
      <c r="AMO17" s="36" t="str">
        <f t="shared" si="12"/>
        <v/>
      </c>
      <c r="AMP17" s="36" t="str">
        <f t="shared" si="12"/>
        <v/>
      </c>
      <c r="AMQ17" s="36" t="str">
        <f t="shared" si="12"/>
        <v/>
      </c>
      <c r="AMR17" s="36" t="str">
        <f t="shared" si="12"/>
        <v/>
      </c>
      <c r="AMS17" s="36" t="str">
        <f t="shared" si="12"/>
        <v/>
      </c>
      <c r="AMT17" s="36" t="str">
        <f t="shared" si="12"/>
        <v/>
      </c>
      <c r="AMU17" s="36" t="str">
        <f t="shared" si="12"/>
        <v/>
      </c>
      <c r="AMV17" s="36" t="str">
        <f t="shared" si="12"/>
        <v/>
      </c>
      <c r="AMW17" s="36" t="str">
        <f t="shared" si="12"/>
        <v/>
      </c>
      <c r="AMX17" s="36" t="str">
        <f t="shared" si="12"/>
        <v/>
      </c>
      <c r="AMY17" s="36" t="str">
        <f t="shared" si="12"/>
        <v/>
      </c>
      <c r="AMZ17" s="36" t="str">
        <f t="shared" si="12"/>
        <v/>
      </c>
      <c r="ANA17" s="36" t="str">
        <f t="shared" si="12"/>
        <v/>
      </c>
      <c r="ANB17" s="36" t="str">
        <f t="shared" si="12"/>
        <v/>
      </c>
      <c r="ANC17" s="36" t="str">
        <f t="shared" si="12"/>
        <v/>
      </c>
      <c r="AND17" s="36" t="str">
        <f t="shared" si="12"/>
        <v/>
      </c>
      <c r="ANE17" s="50"/>
      <c r="ANF17" s="50"/>
      <c r="ANG17" s="50"/>
      <c r="ANH17" s="50"/>
      <c r="ANI17" s="50"/>
      <c r="ANJ17" s="50"/>
      <c r="ANK17" s="50"/>
      <c r="ANL17" s="50"/>
      <c r="ANM17" s="50"/>
      <c r="ANN17" s="50"/>
      <c r="ANO17" s="50"/>
      <c r="ANP17" s="50"/>
      <c r="ANQ17" s="50"/>
      <c r="ANR17" s="50"/>
      <c r="ANS17" s="50"/>
      <c r="ANT17" s="50"/>
      <c r="ANU17" s="50"/>
      <c r="ANV17" s="50"/>
      <c r="ANW17" s="50"/>
      <c r="ANX17" s="50"/>
      <c r="ANY17" s="50"/>
      <c r="ANZ17" s="50"/>
      <c r="AOA17" s="50"/>
      <c r="AOB17" s="50"/>
      <c r="AOC17" s="50"/>
      <c r="AOD17" s="50"/>
      <c r="AOE17" s="50"/>
      <c r="AOF17" s="50"/>
      <c r="AOG17" s="50"/>
      <c r="AOH17" s="50"/>
      <c r="AOI17" s="50"/>
      <c r="AOJ17" s="50"/>
      <c r="AOK17" s="50"/>
      <c r="AOL17" s="50"/>
      <c r="AOM17" s="50"/>
      <c r="AON17" s="50"/>
      <c r="AOO17" s="50"/>
      <c r="AOP17" s="50"/>
      <c r="AOQ17" s="50"/>
      <c r="AOR17" s="50"/>
      <c r="AOS17" s="50"/>
      <c r="AOT17" s="50"/>
      <c r="AOU17" s="50"/>
      <c r="AOV17" s="50"/>
      <c r="AOW17" s="50"/>
      <c r="AOX17" s="50"/>
      <c r="AOY17" s="50"/>
      <c r="AOZ17" s="50"/>
      <c r="APA17" s="50"/>
      <c r="APB17" s="50"/>
      <c r="APC17" s="50"/>
      <c r="APD17" s="50"/>
      <c r="APE17" s="50"/>
      <c r="APF17" s="50"/>
      <c r="APG17" s="50"/>
      <c r="APH17" s="50"/>
      <c r="API17" s="50"/>
      <c r="APJ17" s="50"/>
      <c r="APK17" s="50"/>
      <c r="APL17" s="50"/>
      <c r="APM17" s="50"/>
      <c r="APN17" s="50"/>
      <c r="APO17" s="50"/>
      <c r="APP17" s="50"/>
      <c r="APQ17" s="50"/>
      <c r="APR17" s="50"/>
      <c r="APS17" s="50"/>
      <c r="APT17" s="50"/>
      <c r="APU17" s="50"/>
      <c r="APV17" s="50"/>
      <c r="APW17" s="50"/>
      <c r="APX17" s="50"/>
      <c r="APY17" s="50"/>
      <c r="APZ17" s="50"/>
      <c r="AQA17" s="50"/>
      <c r="AQB17" s="50"/>
      <c r="AQC17" s="50"/>
      <c r="AQD17" s="50"/>
      <c r="AQE17" s="50"/>
      <c r="AQF17" s="50"/>
      <c r="AQG17" s="50"/>
      <c r="AQH17" s="50"/>
      <c r="AQI17" s="50"/>
      <c r="AQJ17" s="50"/>
      <c r="AQK17" s="50"/>
      <c r="AQL17" s="50"/>
      <c r="AQM17" s="50"/>
      <c r="AQN17" s="50"/>
      <c r="AQO17" s="50"/>
      <c r="AQP17" s="50"/>
      <c r="AQQ17" s="50"/>
      <c r="AQR17" s="50"/>
      <c r="AQS17" s="50"/>
      <c r="AQT17" s="50"/>
      <c r="AQU17" s="50"/>
      <c r="AQV17" s="50"/>
      <c r="AQW17" s="50"/>
      <c r="AQX17" s="50"/>
      <c r="AQY17" s="50"/>
      <c r="AQZ17" s="50"/>
      <c r="ARA17" s="50"/>
      <c r="ARB17" s="50"/>
      <c r="ARC17" s="50"/>
      <c r="ARD17" s="50"/>
      <c r="ARE17" s="50"/>
      <c r="ARF17" s="50"/>
      <c r="ARG17" s="50"/>
      <c r="ARH17" s="50"/>
      <c r="ARI17" s="50"/>
      <c r="ARJ17" s="50"/>
      <c r="ARK17" s="50"/>
      <c r="ARL17" s="50"/>
      <c r="ARM17" s="50"/>
      <c r="ARN17" s="50"/>
      <c r="ARO17" s="50"/>
      <c r="ARP17" s="50"/>
      <c r="ARQ17" s="50"/>
      <c r="ARR17" s="50"/>
      <c r="ARS17" s="50"/>
      <c r="ART17" s="50"/>
      <c r="ARU17" s="50"/>
      <c r="ARV17" s="50"/>
      <c r="ARW17" s="50"/>
      <c r="ARX17" s="50"/>
      <c r="ARY17" s="50"/>
      <c r="ARZ17" s="50"/>
      <c r="ASA17" s="50"/>
      <c r="ASB17" s="50"/>
      <c r="ASC17" s="50"/>
      <c r="ASD17" s="50"/>
      <c r="ASE17" s="50"/>
      <c r="ASF17" s="50"/>
      <c r="ASG17" s="50"/>
      <c r="ASH17" s="50"/>
      <c r="ASI17" s="50"/>
      <c r="ASJ17" s="50"/>
      <c r="ASK17" s="50"/>
      <c r="ASL17" s="50"/>
      <c r="ASM17" s="50"/>
      <c r="ASN17" s="50"/>
      <c r="ASO17" s="50"/>
      <c r="ASP17" s="50"/>
      <c r="ASQ17" s="50"/>
      <c r="ASR17" s="50"/>
      <c r="ASS17" s="50"/>
      <c r="AST17" s="50"/>
      <c r="ASU17" s="50"/>
      <c r="ASV17" s="50"/>
      <c r="ASW17" s="50"/>
      <c r="ASX17" s="50"/>
      <c r="ASY17" s="50"/>
      <c r="ASZ17" s="50"/>
      <c r="ATA17" s="50"/>
      <c r="ATB17" s="50"/>
      <c r="ATC17" s="50"/>
      <c r="ATD17" s="50"/>
      <c r="ATE17" s="50"/>
      <c r="ATF17" s="50"/>
      <c r="ATG17" s="50"/>
      <c r="ATH17" s="50"/>
      <c r="ATI17" s="50"/>
      <c r="ATJ17" s="50"/>
      <c r="ATK17" s="50"/>
      <c r="ATL17" s="50"/>
      <c r="ATM17" s="50"/>
      <c r="ATN17" s="50"/>
      <c r="ATO17" s="50"/>
      <c r="ATP17" s="50"/>
      <c r="ATQ17" s="50"/>
      <c r="ATR17" s="50"/>
      <c r="ATS17" s="50"/>
      <c r="ATT17" s="50"/>
      <c r="ATU17" s="50"/>
      <c r="ATV17" s="50"/>
      <c r="ATW17" s="50"/>
      <c r="ATX17" s="50"/>
      <c r="ATY17" s="50"/>
      <c r="ATZ17" s="50"/>
      <c r="AUA17" s="50"/>
      <c r="AUB17" s="50"/>
      <c r="AUC17" s="50"/>
      <c r="AUD17" s="50"/>
      <c r="AUE17" s="50"/>
      <c r="AUF17" s="50"/>
      <c r="AUG17" s="50"/>
      <c r="AUH17" s="50"/>
      <c r="AUI17" s="50"/>
      <c r="AUJ17" s="50"/>
      <c r="AUK17" s="50"/>
      <c r="AUL17" s="50"/>
      <c r="AUM17" s="50"/>
      <c r="AUN17" s="50"/>
      <c r="AUO17" s="50"/>
      <c r="AUP17" s="50"/>
      <c r="AUQ17" s="50"/>
      <c r="AUR17" s="50"/>
      <c r="AUS17" s="50"/>
      <c r="AUT17" s="50"/>
      <c r="AUU17" s="50"/>
      <c r="AUV17" s="50"/>
      <c r="AUW17" s="50"/>
      <c r="AUX17" s="50"/>
      <c r="AUY17" s="50"/>
      <c r="AUZ17" s="50"/>
      <c r="AVA17" s="50"/>
      <c r="AVB17" s="50"/>
      <c r="AVC17" s="50"/>
      <c r="AVD17" s="50"/>
      <c r="AVE17" s="50"/>
      <c r="AVF17" s="50"/>
      <c r="AVG17" s="50"/>
      <c r="AVH17" s="50"/>
      <c r="AVI17" s="50"/>
      <c r="AVJ17" s="50"/>
      <c r="AVK17" s="50"/>
      <c r="AVL17" s="50"/>
      <c r="AVM17" s="50"/>
      <c r="AVN17" s="50"/>
      <c r="AVO17" s="50"/>
      <c r="AVP17" s="50"/>
      <c r="AVQ17" s="50"/>
      <c r="AVR17" s="50"/>
      <c r="AVS17" s="50"/>
      <c r="AVT17" s="50"/>
      <c r="AVU17" s="50"/>
      <c r="AVV17" s="50"/>
      <c r="AVW17" s="50"/>
      <c r="AVX17" s="50"/>
      <c r="AVY17" s="50"/>
      <c r="AVZ17" s="50"/>
      <c r="AWA17" s="50"/>
      <c r="AWB17" s="50"/>
      <c r="AWC17" s="50"/>
      <c r="AWD17" s="50"/>
      <c r="AWE17" s="50"/>
      <c r="AWF17" s="50"/>
      <c r="AWG17" s="50"/>
      <c r="AWH17" s="50"/>
      <c r="AWI17" s="50"/>
      <c r="AWJ17" s="50"/>
      <c r="AWK17" s="50"/>
      <c r="AWL17" s="50"/>
      <c r="AWM17" s="50"/>
      <c r="AWN17" s="50"/>
      <c r="AWO17" s="50"/>
      <c r="AWP17" s="50"/>
      <c r="AWQ17" s="50"/>
      <c r="AWR17" s="50"/>
      <c r="AWS17" s="50"/>
      <c r="AWT17" s="50"/>
      <c r="AWU17" s="50"/>
      <c r="AWV17" s="50"/>
      <c r="AWW17" s="50"/>
      <c r="AWX17" s="50"/>
      <c r="AWY17" s="50"/>
      <c r="AWZ17" s="50"/>
      <c r="AXA17" s="50"/>
      <c r="AXB17" s="50"/>
      <c r="AXC17" s="50"/>
      <c r="AXD17" s="50"/>
      <c r="AXE17" s="50"/>
      <c r="AXF17" s="50"/>
      <c r="AXG17" s="50"/>
      <c r="AXH17" s="50"/>
      <c r="AXI17" s="50"/>
      <c r="AXJ17" s="50"/>
      <c r="AXK17" s="50"/>
      <c r="AXL17" s="50"/>
      <c r="AXM17" s="50"/>
      <c r="AXN17" s="50"/>
      <c r="AXO17" s="50"/>
      <c r="AXP17" s="50"/>
      <c r="AXQ17" s="50"/>
      <c r="AXR17" s="50"/>
      <c r="AXS17" s="50"/>
      <c r="AXT17" s="50"/>
      <c r="AXU17" s="50"/>
      <c r="AXV17" s="50"/>
      <c r="AXW17" s="50"/>
      <c r="AXX17" s="50"/>
      <c r="AXY17" s="50"/>
      <c r="AXZ17" s="50"/>
      <c r="AYA17" s="50"/>
      <c r="AYB17" s="50"/>
      <c r="AYC17" s="50"/>
      <c r="AYD17" s="50"/>
      <c r="AYE17" s="50"/>
      <c r="AYF17" s="50"/>
      <c r="AYG17" s="50"/>
      <c r="AYH17" s="50"/>
      <c r="AYI17" s="50"/>
      <c r="AYJ17" s="50"/>
      <c r="AYK17" s="50"/>
      <c r="AYL17" s="50"/>
      <c r="AYM17" s="50"/>
      <c r="AYN17" s="50"/>
      <c r="AYO17" s="50"/>
      <c r="AYP17" s="50"/>
      <c r="AYQ17" s="50"/>
      <c r="AYR17" s="50"/>
      <c r="AYS17" s="50"/>
      <c r="AYT17" s="50"/>
      <c r="AYU17" s="50"/>
      <c r="AYV17" s="50"/>
      <c r="AYW17" s="50"/>
      <c r="AYX17" s="50"/>
      <c r="AYY17" s="50"/>
      <c r="AYZ17" s="50"/>
      <c r="AZA17" s="50"/>
      <c r="AZB17" s="50"/>
      <c r="AZC17" s="50"/>
      <c r="AZD17" s="50"/>
      <c r="AZE17" s="50"/>
      <c r="AZF17" s="50"/>
      <c r="AZG17" s="50"/>
      <c r="AZH17" s="50"/>
      <c r="AZI17" s="50"/>
      <c r="AZJ17" s="50"/>
      <c r="AZK17" s="50"/>
      <c r="AZL17" s="50"/>
      <c r="AZM17" s="50"/>
      <c r="AZN17" s="50"/>
      <c r="AZO17" s="50"/>
      <c r="AZP17" s="50"/>
      <c r="AZQ17" s="50"/>
      <c r="AZR17" s="50"/>
      <c r="AZS17" s="50"/>
      <c r="AZT17" s="50"/>
      <c r="AZU17" s="50"/>
      <c r="AZV17" s="50"/>
      <c r="AZW17" s="50"/>
      <c r="AZX17" s="50"/>
      <c r="AZY17" s="50"/>
      <c r="AZZ17" s="50"/>
      <c r="BAA17" s="50"/>
      <c r="BAB17" s="50"/>
      <c r="BAC17" s="50"/>
      <c r="BAD17" s="50"/>
      <c r="BAE17" s="50"/>
      <c r="BAF17" s="50"/>
      <c r="BAG17" s="50"/>
      <c r="BAH17" s="50"/>
      <c r="BAI17" s="50"/>
      <c r="BAJ17" s="50"/>
      <c r="BAK17" s="50"/>
      <c r="BAL17" s="50"/>
      <c r="BAM17" s="50"/>
      <c r="BAN17" s="50"/>
      <c r="BAO17" s="50"/>
      <c r="BAP17" s="50"/>
      <c r="BAQ17" s="50"/>
      <c r="BAR17" s="50"/>
      <c r="BAS17" s="50"/>
      <c r="BAT17" s="50"/>
      <c r="BAU17" s="50"/>
      <c r="BAV17" s="50"/>
      <c r="BAW17" s="50"/>
      <c r="BAX17" s="50"/>
      <c r="BAY17" s="50"/>
      <c r="BAZ17" s="50"/>
      <c r="BBA17" s="50"/>
      <c r="BBB17" s="50"/>
      <c r="BBC17" s="50"/>
      <c r="BBD17" s="50"/>
      <c r="BBE17" s="50"/>
      <c r="BBF17" s="50"/>
      <c r="BBG17" s="50"/>
      <c r="BBH17" s="50"/>
      <c r="BBI17" s="50"/>
      <c r="BBJ17" s="50"/>
      <c r="BBK17" s="50"/>
      <c r="BBL17" s="50"/>
      <c r="BBM17" s="50"/>
      <c r="BBN17" s="50"/>
      <c r="BBO17" s="50"/>
      <c r="BBP17" s="50"/>
      <c r="BBQ17" s="50"/>
      <c r="BBR17" s="50"/>
      <c r="BBS17" s="50"/>
      <c r="BBT17" s="50"/>
      <c r="BBU17" s="50"/>
      <c r="BBV17" s="50"/>
      <c r="BBW17" s="50"/>
      <c r="BBX17" s="50"/>
      <c r="BBY17" s="50"/>
      <c r="BBZ17" s="50"/>
      <c r="BCA17" s="50"/>
      <c r="BCB17" s="50"/>
      <c r="BCC17" s="50"/>
      <c r="BCD17" s="50"/>
      <c r="BCE17" s="50"/>
      <c r="BCF17" s="50"/>
      <c r="BCG17" s="50"/>
      <c r="BCH17" s="50"/>
      <c r="BCI17" s="50"/>
      <c r="BCJ17" s="50"/>
      <c r="BCK17" s="50"/>
      <c r="BCL17" s="50"/>
      <c r="BCM17" s="50"/>
      <c r="BCN17" s="50"/>
      <c r="BCO17" s="50"/>
      <c r="BCP17" s="50"/>
      <c r="BCQ17" s="50"/>
      <c r="BCR17" s="50"/>
      <c r="BCS17" s="50"/>
      <c r="BCT17" s="50"/>
      <c r="BCU17" s="50"/>
      <c r="BCV17" s="50"/>
      <c r="BCW17" s="50"/>
      <c r="BCX17" s="50"/>
      <c r="BCY17" s="50"/>
      <c r="BCZ17" s="50"/>
      <c r="BDA17" s="50"/>
      <c r="BDB17" s="50"/>
      <c r="BDC17" s="50"/>
      <c r="BDD17" s="50"/>
      <c r="BDE17" s="50"/>
      <c r="BDF17" s="50"/>
      <c r="BDG17" s="50"/>
      <c r="BDH17" s="50"/>
      <c r="BDI17" s="50"/>
      <c r="BDJ17" s="50"/>
      <c r="BDK17" s="50"/>
      <c r="BDL17" s="50"/>
      <c r="BDM17" s="50"/>
      <c r="BDN17" s="50"/>
      <c r="BDO17" s="50"/>
      <c r="BDP17" s="50"/>
      <c r="BDQ17" s="50"/>
      <c r="BDR17" s="50"/>
      <c r="BDS17" s="50"/>
      <c r="BDT17" s="50"/>
      <c r="BDU17" s="50"/>
      <c r="BDV17" s="50"/>
      <c r="BDW17" s="50"/>
      <c r="BDX17" s="50"/>
      <c r="BDY17" s="50"/>
      <c r="BDZ17" s="50"/>
      <c r="BEA17" s="50"/>
      <c r="BEB17" s="50"/>
      <c r="BEC17" s="50"/>
      <c r="BED17" s="50"/>
      <c r="BEE17" s="50"/>
      <c r="BEF17" s="50"/>
      <c r="BEG17" s="50"/>
      <c r="BEH17" s="50"/>
      <c r="BEI17" s="50"/>
      <c r="BEJ17" s="50"/>
      <c r="BEK17" s="50"/>
      <c r="BEL17" s="50"/>
      <c r="BEM17" s="50"/>
      <c r="BEN17" s="50"/>
      <c r="BEO17" s="50"/>
      <c r="BEP17" s="50"/>
      <c r="BEQ17" s="50"/>
      <c r="BER17" s="50"/>
      <c r="BES17" s="50"/>
      <c r="BET17" s="50"/>
      <c r="BEU17" s="50"/>
      <c r="BEV17" s="50"/>
      <c r="BEW17" s="50"/>
      <c r="BEX17" s="50"/>
      <c r="BEY17" s="50"/>
      <c r="BEZ17" s="50"/>
      <c r="BFA17" s="50"/>
      <c r="BFB17" s="50"/>
      <c r="BFC17" s="50"/>
      <c r="BFD17" s="50"/>
      <c r="BFE17" s="50"/>
      <c r="BFF17" s="50"/>
      <c r="BFG17" s="50"/>
      <c r="BFH17" s="50"/>
      <c r="BFI17" s="50"/>
      <c r="BFJ17" s="50"/>
      <c r="BFK17" s="50"/>
      <c r="BFL17" s="50"/>
      <c r="BFM17" s="50"/>
      <c r="BFN17" s="50"/>
      <c r="BFO17" s="50"/>
      <c r="BFP17" s="50"/>
      <c r="BFQ17" s="50"/>
      <c r="BFR17" s="50"/>
      <c r="BFS17" s="50"/>
      <c r="BFT17" s="50"/>
      <c r="BFU17" s="50"/>
      <c r="BFV17" s="50"/>
      <c r="BFW17" s="50"/>
      <c r="BFX17" s="50"/>
      <c r="BFY17" s="50"/>
      <c r="BFZ17" s="50"/>
      <c r="BGA17" s="50"/>
      <c r="BGB17" s="50"/>
      <c r="BGC17" s="50"/>
      <c r="BGD17" s="50"/>
      <c r="BGE17" s="50"/>
      <c r="BGF17" s="50"/>
      <c r="BGG17" s="50"/>
      <c r="BGH17" s="50"/>
      <c r="BGI17" s="50"/>
      <c r="BGJ17" s="50"/>
      <c r="BGK17" s="50"/>
      <c r="BGL17" s="50"/>
      <c r="BGM17" s="50"/>
      <c r="BGN17" s="50"/>
      <c r="BGO17" s="50"/>
      <c r="BGP17" s="50"/>
      <c r="BGQ17" s="50"/>
      <c r="BGR17" s="50"/>
      <c r="BGS17" s="50"/>
      <c r="BGT17" s="50"/>
      <c r="BGU17" s="50"/>
      <c r="BGV17" s="50"/>
      <c r="BGW17" s="50"/>
      <c r="BGX17" s="50"/>
      <c r="BGY17" s="50"/>
      <c r="BGZ17" s="50"/>
      <c r="BHA17" s="50"/>
      <c r="BHB17" s="50"/>
      <c r="BHC17" s="50"/>
      <c r="BHD17" s="50"/>
      <c r="BHE17" s="50"/>
      <c r="BHF17" s="50"/>
      <c r="BHG17" s="50"/>
      <c r="BHH17" s="50"/>
      <c r="BHI17" s="50"/>
      <c r="BHJ17" s="50"/>
      <c r="BHK17" s="50"/>
      <c r="BHL17" s="50"/>
      <c r="BHM17" s="50"/>
      <c r="BHN17" s="50"/>
      <c r="BHO17" s="50"/>
      <c r="BHP17" s="50"/>
      <c r="BHQ17" s="50"/>
      <c r="BHR17" s="50"/>
      <c r="BHS17" s="50"/>
      <c r="BHT17" s="50"/>
      <c r="BHU17" s="50"/>
      <c r="BHV17" s="50"/>
      <c r="BHW17" s="50"/>
      <c r="BHX17" s="50"/>
      <c r="BHY17" s="50"/>
      <c r="BHZ17" s="50"/>
      <c r="BIA17" s="50"/>
      <c r="BIB17" s="50"/>
      <c r="BIC17" s="50"/>
      <c r="BID17" s="50"/>
      <c r="BIE17" s="50"/>
      <c r="BIF17" s="50"/>
      <c r="BIG17" s="50"/>
      <c r="BIH17" s="50"/>
      <c r="BII17" s="50"/>
      <c r="BIJ17" s="50"/>
      <c r="BIK17" s="50"/>
      <c r="BIL17" s="50"/>
      <c r="BIM17" s="50"/>
      <c r="BIN17" s="50"/>
      <c r="BIO17" s="50"/>
      <c r="BIP17" s="50"/>
      <c r="BIQ17" s="50"/>
      <c r="BIR17" s="50"/>
      <c r="BIS17" s="50"/>
      <c r="BIT17" s="50"/>
      <c r="BIU17" s="50"/>
      <c r="BIV17" s="50"/>
      <c r="BIW17" s="50"/>
      <c r="BIX17" s="50"/>
      <c r="BIY17" s="50"/>
      <c r="BIZ17" s="50"/>
      <c r="BJA17" s="50"/>
      <c r="BJB17" s="50"/>
      <c r="BJC17" s="50"/>
      <c r="BJD17" s="50"/>
      <c r="BJE17" s="50"/>
      <c r="BJF17" s="50"/>
      <c r="BJG17" s="50"/>
      <c r="BJH17" s="50"/>
      <c r="BJI17" s="50"/>
      <c r="BJJ17" s="50"/>
      <c r="BJK17" s="50"/>
      <c r="BJL17" s="50"/>
      <c r="BJM17" s="50"/>
      <c r="BJN17" s="50"/>
      <c r="BJO17" s="50"/>
      <c r="BJP17" s="50"/>
      <c r="BJQ17" s="50"/>
      <c r="BJR17" s="50"/>
      <c r="BJS17" s="50"/>
      <c r="BJT17" s="50"/>
      <c r="BJU17" s="50"/>
      <c r="BJV17" s="50"/>
      <c r="BJW17" s="50"/>
      <c r="BJX17" s="50"/>
      <c r="BJY17" s="50"/>
      <c r="BJZ17" s="50"/>
      <c r="BKA17" s="50"/>
      <c r="BKB17" s="50"/>
      <c r="BKC17" s="50"/>
      <c r="BKD17" s="50"/>
      <c r="BKE17" s="50"/>
      <c r="BKF17" s="50"/>
      <c r="BKG17" s="50"/>
      <c r="BKH17" s="50"/>
      <c r="BKI17" s="50"/>
      <c r="BKJ17" s="50"/>
      <c r="BKK17" s="50"/>
      <c r="BKL17" s="50"/>
      <c r="BKM17" s="50"/>
      <c r="BKN17" s="50"/>
      <c r="BKO17" s="50"/>
      <c r="BKP17" s="50"/>
      <c r="BKQ17" s="50"/>
      <c r="BKR17" s="50"/>
      <c r="BKS17" s="50"/>
      <c r="BKT17" s="50"/>
      <c r="BKU17" s="50"/>
      <c r="BKV17" s="50"/>
      <c r="BKW17" s="50"/>
      <c r="BKX17" s="50"/>
      <c r="BKY17" s="50"/>
      <c r="BKZ17" s="50"/>
      <c r="BLA17" s="50"/>
      <c r="BLB17" s="50"/>
      <c r="BLC17" s="50"/>
      <c r="BLD17" s="50"/>
      <c r="BLE17" s="50"/>
      <c r="BLF17" s="50"/>
      <c r="BLG17" s="50"/>
      <c r="BLH17" s="50"/>
      <c r="BLI17" s="50"/>
      <c r="BLJ17" s="50"/>
      <c r="BLK17" s="50"/>
      <c r="BLL17" s="50"/>
      <c r="BLM17" s="50"/>
      <c r="BLN17" s="50"/>
      <c r="BLO17" s="50"/>
      <c r="BLP17" s="50"/>
      <c r="BLQ17" s="50"/>
      <c r="BLR17" s="50"/>
      <c r="BLS17" s="50"/>
      <c r="BLT17" s="50"/>
      <c r="BLU17" s="50"/>
      <c r="BLV17" s="50"/>
      <c r="BLW17" s="50"/>
      <c r="BLX17" s="50"/>
      <c r="BLY17" s="50"/>
      <c r="BLZ17" s="50"/>
      <c r="BMA17" s="50"/>
      <c r="BMB17" s="50"/>
      <c r="BMC17" s="50"/>
      <c r="BMD17" s="50"/>
      <c r="BME17" s="50"/>
      <c r="BMF17" s="50"/>
      <c r="BMG17" s="50"/>
      <c r="BMH17" s="50"/>
      <c r="BMI17" s="50"/>
      <c r="BMJ17" s="50"/>
      <c r="BMK17" s="50"/>
      <c r="BML17" s="50"/>
      <c r="BMM17" s="50"/>
      <c r="BMN17" s="50"/>
      <c r="BMO17" s="50"/>
      <c r="BMP17" s="50"/>
      <c r="BMQ17" s="50"/>
      <c r="BMR17" s="50"/>
      <c r="BMS17" s="50"/>
      <c r="BMT17" s="50"/>
      <c r="BMU17" s="50"/>
      <c r="BMV17" s="50"/>
      <c r="BMW17" s="50"/>
      <c r="BMX17" s="50"/>
      <c r="BMY17" s="50"/>
      <c r="BMZ17" s="50"/>
      <c r="BNA17" s="50"/>
      <c r="BNB17" s="50"/>
      <c r="BNC17" s="50"/>
      <c r="BND17" s="50"/>
      <c r="BNE17" s="50"/>
      <c r="BNF17" s="50"/>
      <c r="BNG17" s="50"/>
      <c r="BNH17" s="50"/>
      <c r="BNI17" s="50"/>
      <c r="BNJ17" s="50"/>
      <c r="BNK17" s="50"/>
      <c r="BNL17" s="50"/>
      <c r="BNM17" s="50"/>
      <c r="BNN17" s="50"/>
      <c r="BNO17" s="50"/>
      <c r="BNP17" s="50"/>
      <c r="BNQ17" s="50"/>
      <c r="BNR17" s="50"/>
      <c r="BNS17" s="50"/>
      <c r="BNT17" s="50"/>
      <c r="BNU17" s="50"/>
      <c r="BNV17" s="50"/>
      <c r="BNW17" s="50"/>
      <c r="BNX17" s="50"/>
      <c r="BNY17" s="50"/>
      <c r="BNZ17" s="50"/>
      <c r="BOA17" s="50"/>
      <c r="BOB17" s="50"/>
      <c r="BOC17" s="50"/>
      <c r="BOD17" s="50"/>
      <c r="BOE17" s="50"/>
      <c r="BOF17" s="50"/>
      <c r="BOG17" s="50"/>
      <c r="BOH17" s="50"/>
      <c r="BOI17" s="50"/>
      <c r="BOJ17" s="50"/>
      <c r="BOK17" s="50"/>
      <c r="BOL17" s="50"/>
      <c r="BOM17" s="50"/>
      <c r="BON17" s="50"/>
      <c r="BOO17" s="50"/>
      <c r="BOP17" s="50"/>
      <c r="BOQ17" s="50"/>
      <c r="BOR17" s="50"/>
      <c r="BOS17" s="50"/>
      <c r="BOT17" s="50"/>
      <c r="BOU17" s="50"/>
      <c r="BOV17" s="50"/>
      <c r="BOW17" s="50"/>
      <c r="BOX17" s="50"/>
      <c r="BOY17" s="50"/>
      <c r="BOZ17" s="50"/>
      <c r="BPA17" s="50"/>
      <c r="BPB17" s="50"/>
      <c r="BPC17" s="50"/>
      <c r="BPD17" s="50"/>
      <c r="BPE17" s="50"/>
      <c r="BPF17" s="50"/>
      <c r="BPG17" s="50"/>
      <c r="BPH17" s="50"/>
      <c r="BPI17" s="50"/>
      <c r="BPJ17" s="50"/>
      <c r="BPK17" s="50"/>
      <c r="BPL17" s="50"/>
      <c r="BPM17" s="50"/>
      <c r="BPN17" s="50"/>
      <c r="BPO17" s="50"/>
      <c r="BPP17" s="50"/>
      <c r="BPQ17" s="50"/>
      <c r="BPR17" s="50"/>
      <c r="BPS17" s="50"/>
      <c r="BPT17" s="50"/>
      <c r="BPU17" s="50"/>
      <c r="BPV17" s="50"/>
      <c r="BPW17" s="50"/>
      <c r="BPX17" s="50"/>
      <c r="BPY17" s="50"/>
      <c r="BPZ17" s="50"/>
      <c r="BQA17" s="50"/>
      <c r="BQB17" s="50"/>
      <c r="BQC17" s="50"/>
      <c r="BQD17" s="50"/>
      <c r="BQE17" s="50"/>
      <c r="BQF17" s="50"/>
      <c r="BQG17" s="50"/>
      <c r="BQH17" s="50"/>
      <c r="BQI17" s="50"/>
      <c r="BQJ17" s="50"/>
      <c r="BQK17" s="50"/>
      <c r="BQL17" s="50"/>
      <c r="BQM17" s="50"/>
      <c r="BQN17" s="50"/>
      <c r="BQO17" s="50"/>
      <c r="BQP17" s="50"/>
      <c r="BQQ17" s="50"/>
      <c r="BQR17" s="50"/>
      <c r="BQS17" s="50"/>
      <c r="BQT17" s="50"/>
      <c r="BQU17" s="50"/>
      <c r="BQV17" s="50"/>
      <c r="BQW17" s="50"/>
      <c r="BQX17" s="50"/>
      <c r="BQY17" s="50"/>
      <c r="BQZ17" s="50"/>
      <c r="BRA17" s="50"/>
      <c r="BRB17" s="50"/>
      <c r="BRC17" s="50"/>
      <c r="BRD17" s="50"/>
      <c r="BRE17" s="50"/>
      <c r="BRF17" s="50"/>
      <c r="BRG17" s="50"/>
      <c r="BRH17" s="50"/>
      <c r="BRI17" s="50"/>
      <c r="BRJ17" s="50"/>
      <c r="BRK17" s="50"/>
      <c r="BRL17" s="50"/>
      <c r="BRM17" s="50"/>
      <c r="BRN17" s="50"/>
      <c r="BRO17" s="50"/>
      <c r="BRP17" s="50"/>
      <c r="BRQ17" s="50"/>
      <c r="BRR17" s="50"/>
      <c r="BRS17" s="50"/>
      <c r="BRT17" s="50"/>
      <c r="BRU17" s="50"/>
      <c r="BRV17" s="50"/>
      <c r="BRW17" s="50"/>
      <c r="BRX17" s="50"/>
      <c r="BRY17" s="50"/>
      <c r="BRZ17" s="50"/>
      <c r="BSA17" s="50"/>
      <c r="BSB17" s="50"/>
      <c r="BSC17" s="50"/>
      <c r="BSD17" s="50"/>
      <c r="BSE17" s="50"/>
      <c r="BSF17" s="50"/>
      <c r="BSG17" s="50"/>
      <c r="BSH17" s="50"/>
      <c r="BSI17" s="50"/>
      <c r="BSJ17" s="50"/>
      <c r="BSK17" s="50"/>
      <c r="BSL17" s="50"/>
      <c r="BSM17" s="50"/>
      <c r="BSN17" s="50"/>
      <c r="BSO17" s="50"/>
      <c r="BSP17" s="50"/>
      <c r="BSQ17" s="50"/>
      <c r="BSR17" s="50"/>
      <c r="BSS17" s="50"/>
      <c r="BST17" s="50"/>
      <c r="BSU17" s="50"/>
      <c r="BSV17" s="50"/>
      <c r="BSW17" s="50"/>
      <c r="BSX17" s="50"/>
      <c r="BSY17" s="50"/>
      <c r="BSZ17" s="50"/>
      <c r="BTA17" s="50"/>
      <c r="BTB17" s="50"/>
      <c r="BTC17" s="50"/>
      <c r="BTD17" s="50"/>
      <c r="BTE17" s="50"/>
      <c r="BTF17" s="50"/>
      <c r="BTG17" s="50"/>
      <c r="BTH17" s="50"/>
      <c r="BTI17" s="50"/>
      <c r="BTJ17" s="50"/>
      <c r="BTK17" s="50"/>
      <c r="BTL17" s="50"/>
      <c r="BTM17" s="50"/>
      <c r="BTN17" s="50"/>
      <c r="BTO17" s="50"/>
      <c r="BTP17" s="50"/>
      <c r="BTQ17" s="50"/>
      <c r="BTR17" s="50"/>
      <c r="BTS17" s="50"/>
      <c r="BTT17" s="50"/>
      <c r="BTU17" s="50"/>
      <c r="BTV17" s="50"/>
      <c r="BTW17" s="50"/>
      <c r="BTX17" s="50"/>
    </row>
    <row r="18" ht="15.75" customHeight="1">
      <c r="A18" t="s">
        <v>60</v>
      </c>
      <c r="B18" t="s">
        <v>43</v>
      </c>
      <c r="E18">
        <v>900.0</v>
      </c>
      <c r="F18" t="s">
        <v>78</v>
      </c>
      <c r="G18" t="s">
        <v>64</v>
      </c>
      <c r="K18">
        <v>60.0</v>
      </c>
      <c r="L18">
        <v>60.0</v>
      </c>
      <c r="O18" t="s">
        <v>70</v>
      </c>
      <c r="V18" t="s">
        <v>83</v>
      </c>
      <c r="Z18" t="s">
        <v>67</v>
      </c>
      <c r="AD18" t="s">
        <v>66</v>
      </c>
      <c r="AE18">
        <v>900.0</v>
      </c>
      <c r="AF18" t="s">
        <v>60</v>
      </c>
      <c r="AH18" t="s">
        <v>81</v>
      </c>
      <c r="AI18">
        <v>1.0</v>
      </c>
      <c r="AP18" t="b">
        <v>1</v>
      </c>
      <c r="AQ18" t="b">
        <v>0</v>
      </c>
      <c r="AR18" t="b">
        <v>1</v>
      </c>
      <c r="BE18">
        <v>54000.0</v>
      </c>
      <c r="BF18">
        <v>54000.0</v>
      </c>
      <c r="BJ18">
        <v>900.0</v>
      </c>
      <c r="BM18" t="s">
        <v>67</v>
      </c>
      <c r="BO18" t="s">
        <v>35</v>
      </c>
      <c r="BT18" t="s">
        <v>41</v>
      </c>
      <c r="CK18" t="s">
        <v>65</v>
      </c>
      <c r="CL18">
        <v>1.0</v>
      </c>
      <c r="CM18" t="s">
        <v>41</v>
      </c>
      <c r="CN18" t="s">
        <v>69</v>
      </c>
      <c r="CX18" t="s">
        <v>60</v>
      </c>
      <c r="CY18" t="s">
        <v>60</v>
      </c>
      <c r="CZ18" t="s">
        <v>60</v>
      </c>
      <c r="DA18" t="s">
        <v>60</v>
      </c>
      <c r="DB18" t="s">
        <v>60</v>
      </c>
      <c r="DC18" t="s">
        <v>60</v>
      </c>
      <c r="DD18" t="s">
        <v>60</v>
      </c>
      <c r="DE18" t="s">
        <v>60</v>
      </c>
      <c r="DF18" t="s">
        <v>60</v>
      </c>
      <c r="DG18" t="s">
        <v>60</v>
      </c>
      <c r="DH18" t="s">
        <v>60</v>
      </c>
      <c r="DI18" t="s">
        <v>60</v>
      </c>
      <c r="DJ18" t="s">
        <v>60</v>
      </c>
      <c r="DK18" t="s">
        <v>60</v>
      </c>
      <c r="DL18" t="s">
        <v>60</v>
      </c>
      <c r="DM18" t="s">
        <v>60</v>
      </c>
      <c r="DN18" t="s">
        <v>60</v>
      </c>
      <c r="DO18" t="s">
        <v>60</v>
      </c>
      <c r="DP18" t="s">
        <v>60</v>
      </c>
      <c r="DQ18" t="s">
        <v>60</v>
      </c>
      <c r="DR18" t="s">
        <v>60</v>
      </c>
      <c r="DS18" t="s">
        <v>60</v>
      </c>
      <c r="DT18" t="s">
        <v>60</v>
      </c>
      <c r="DU18" t="s">
        <v>60</v>
      </c>
      <c r="DV18" t="s">
        <v>60</v>
      </c>
      <c r="DW18" t="s">
        <v>60</v>
      </c>
      <c r="DX18" t="s">
        <v>60</v>
      </c>
      <c r="DY18" t="s">
        <v>60</v>
      </c>
      <c r="DZ18" t="s">
        <v>60</v>
      </c>
      <c r="EA18" t="s">
        <v>60</v>
      </c>
      <c r="EB18" t="s">
        <v>60</v>
      </c>
      <c r="EC18" t="s">
        <v>60</v>
      </c>
      <c r="ED18" t="s">
        <v>60</v>
      </c>
      <c r="EE18" t="s">
        <v>60</v>
      </c>
      <c r="EF18" t="s">
        <v>60</v>
      </c>
      <c r="EG18" t="s">
        <v>60</v>
      </c>
      <c r="EH18" t="s">
        <v>60</v>
      </c>
      <c r="EI18" t="s">
        <v>60</v>
      </c>
      <c r="EJ18" t="s">
        <v>60</v>
      </c>
      <c r="EK18" t="s">
        <v>60</v>
      </c>
      <c r="EL18" t="s">
        <v>60</v>
      </c>
      <c r="EM18" t="s">
        <v>60</v>
      </c>
      <c r="EN18" t="s">
        <v>60</v>
      </c>
      <c r="EO18" t="s">
        <v>60</v>
      </c>
      <c r="EP18" t="s">
        <v>60</v>
      </c>
      <c r="EQ18" t="s">
        <v>60</v>
      </c>
      <c r="ER18" t="s">
        <v>60</v>
      </c>
      <c r="ES18" t="s">
        <v>60</v>
      </c>
      <c r="ET18" t="s">
        <v>60</v>
      </c>
      <c r="EU18" t="s">
        <v>60</v>
      </c>
      <c r="EV18" t="s">
        <v>60</v>
      </c>
      <c r="EW18" t="s">
        <v>60</v>
      </c>
      <c r="EX18" t="s">
        <v>60</v>
      </c>
      <c r="EY18" t="s">
        <v>60</v>
      </c>
      <c r="EZ18" t="s">
        <v>60</v>
      </c>
      <c r="FA18" t="s">
        <v>60</v>
      </c>
      <c r="FB18" t="s">
        <v>60</v>
      </c>
      <c r="FC18" t="s">
        <v>60</v>
      </c>
      <c r="FD18" t="s">
        <v>60</v>
      </c>
      <c r="FE18" t="s">
        <v>60</v>
      </c>
      <c r="FF18" t="s">
        <v>60</v>
      </c>
      <c r="FG18" t="s">
        <v>60</v>
      </c>
      <c r="FH18" t="s">
        <v>60</v>
      </c>
      <c r="FI18" t="s">
        <v>60</v>
      </c>
      <c r="FJ18" t="s">
        <v>60</v>
      </c>
      <c r="FK18" t="s">
        <v>60</v>
      </c>
      <c r="FL18" t="s">
        <v>60</v>
      </c>
      <c r="FM18" t="s">
        <v>60</v>
      </c>
      <c r="FN18" t="s">
        <v>60</v>
      </c>
      <c r="FO18" t="s">
        <v>60</v>
      </c>
      <c r="FP18" t="s">
        <v>60</v>
      </c>
      <c r="FQ18" t="s">
        <v>60</v>
      </c>
      <c r="AML18" s="36" t="str">
        <f t="shared" ref="AML18:AND18" si="13">iferror(INDEX('Input(Other)'!$A:$FF,MATCH($A18,'Input(Other)'!$A$1:$A$210,0),MATCH(AML$1,'Input(Other)'!$1:$1,0)),"")</f>
        <v/>
      </c>
      <c r="AMM18" s="36" t="str">
        <f t="shared" si="13"/>
        <v/>
      </c>
      <c r="AMN18" s="36" t="str">
        <f t="shared" si="13"/>
        <v/>
      </c>
      <c r="AMO18" s="36" t="str">
        <f t="shared" si="13"/>
        <v/>
      </c>
      <c r="AMP18" s="36" t="str">
        <f t="shared" si="13"/>
        <v/>
      </c>
      <c r="AMQ18" s="36" t="str">
        <f t="shared" si="13"/>
        <v/>
      </c>
      <c r="AMR18" s="36" t="str">
        <f t="shared" si="13"/>
        <v/>
      </c>
      <c r="AMS18" s="36" t="str">
        <f t="shared" si="13"/>
        <v/>
      </c>
      <c r="AMT18" s="36" t="str">
        <f t="shared" si="13"/>
        <v/>
      </c>
      <c r="AMU18" s="36" t="str">
        <f t="shared" si="13"/>
        <v/>
      </c>
      <c r="AMV18" s="36" t="str">
        <f t="shared" si="13"/>
        <v/>
      </c>
      <c r="AMW18" s="36" t="str">
        <f t="shared" si="13"/>
        <v/>
      </c>
      <c r="AMX18" s="36" t="str">
        <f t="shared" si="13"/>
        <v/>
      </c>
      <c r="AMY18" s="36" t="str">
        <f t="shared" si="13"/>
        <v/>
      </c>
      <c r="AMZ18" s="36" t="str">
        <f t="shared" si="13"/>
        <v/>
      </c>
      <c r="ANA18" s="36" t="str">
        <f t="shared" si="13"/>
        <v/>
      </c>
      <c r="ANB18" s="36" t="str">
        <f t="shared" si="13"/>
        <v/>
      </c>
      <c r="ANC18" s="36" t="str">
        <f t="shared" si="13"/>
        <v/>
      </c>
      <c r="AND18" s="36" t="str">
        <f t="shared" si="13"/>
        <v/>
      </c>
      <c r="ANE18" s="50"/>
      <c r="ANF18" s="50"/>
      <c r="ANG18" s="50"/>
      <c r="ANH18" s="50"/>
      <c r="ANI18" s="50"/>
      <c r="ANJ18" s="50"/>
      <c r="ANK18" s="50"/>
      <c r="ANL18" s="50"/>
      <c r="ANM18" s="50"/>
      <c r="ANN18" s="50"/>
      <c r="ANO18" s="50"/>
      <c r="ANP18" s="50"/>
      <c r="ANQ18" s="50"/>
      <c r="ANR18" s="50"/>
      <c r="ANS18" s="50"/>
      <c r="ANT18" s="50"/>
      <c r="ANU18" s="50"/>
      <c r="ANV18" s="50"/>
      <c r="ANW18" s="50"/>
      <c r="ANX18" s="50"/>
      <c r="ANY18" s="50"/>
      <c r="ANZ18" s="50"/>
      <c r="AOA18" s="50"/>
      <c r="AOB18" s="50"/>
      <c r="AOC18" s="50"/>
      <c r="AOD18" s="50"/>
      <c r="AOE18" s="50"/>
      <c r="AOF18" s="50"/>
      <c r="AOG18" s="50"/>
      <c r="AOH18" s="50"/>
      <c r="AOI18" s="50"/>
      <c r="AOJ18" s="50"/>
      <c r="AOK18" s="50"/>
      <c r="AOL18" s="50"/>
      <c r="AOM18" s="50"/>
      <c r="AON18" s="50"/>
      <c r="AOO18" s="50"/>
      <c r="AOP18" s="50"/>
      <c r="AOQ18" s="50"/>
      <c r="AOR18" s="50"/>
      <c r="AOS18" s="50"/>
      <c r="AOT18" s="50"/>
      <c r="AOU18" s="50"/>
      <c r="AOV18" s="50"/>
      <c r="AOW18" s="50"/>
      <c r="AOX18" s="50"/>
      <c r="AOY18" s="50"/>
      <c r="AOZ18" s="50"/>
      <c r="APA18" s="50"/>
      <c r="APB18" s="50"/>
      <c r="APC18" s="50"/>
      <c r="APD18" s="50"/>
      <c r="APE18" s="50"/>
      <c r="APF18" s="50"/>
      <c r="APG18" s="50"/>
      <c r="APH18" s="50"/>
      <c r="API18" s="50"/>
      <c r="APJ18" s="50"/>
      <c r="APK18" s="50"/>
      <c r="APL18" s="50"/>
      <c r="APM18" s="50"/>
      <c r="APN18" s="50"/>
      <c r="APO18" s="50"/>
      <c r="APP18" s="50"/>
      <c r="APQ18" s="50"/>
      <c r="APR18" s="50"/>
      <c r="APS18" s="50"/>
      <c r="APT18" s="50"/>
      <c r="APU18" s="50"/>
      <c r="APV18" s="50"/>
      <c r="APW18" s="50"/>
      <c r="APX18" s="50"/>
      <c r="APY18" s="50"/>
      <c r="APZ18" s="50"/>
      <c r="AQA18" s="50"/>
      <c r="AQB18" s="50"/>
      <c r="AQC18" s="50"/>
      <c r="AQD18" s="50"/>
      <c r="AQE18" s="50"/>
      <c r="AQF18" s="50"/>
      <c r="AQG18" s="50"/>
      <c r="AQH18" s="50"/>
      <c r="AQI18" s="50"/>
      <c r="AQJ18" s="50"/>
      <c r="AQK18" s="50"/>
      <c r="AQL18" s="50"/>
      <c r="AQM18" s="50"/>
      <c r="AQN18" s="50"/>
      <c r="AQO18" s="50"/>
      <c r="AQP18" s="50"/>
      <c r="AQQ18" s="50"/>
      <c r="AQR18" s="50"/>
      <c r="AQS18" s="50"/>
      <c r="AQT18" s="50"/>
      <c r="AQU18" s="50"/>
      <c r="AQV18" s="50"/>
      <c r="AQW18" s="50"/>
      <c r="AQX18" s="50"/>
      <c r="AQY18" s="50"/>
      <c r="AQZ18" s="50"/>
      <c r="ARA18" s="50"/>
      <c r="ARB18" s="50"/>
      <c r="ARC18" s="50"/>
      <c r="ARD18" s="50"/>
      <c r="ARE18" s="50"/>
      <c r="ARF18" s="50"/>
      <c r="ARG18" s="50"/>
      <c r="ARH18" s="50"/>
      <c r="ARI18" s="50"/>
      <c r="ARJ18" s="50"/>
      <c r="ARK18" s="50"/>
      <c r="ARL18" s="50"/>
      <c r="ARM18" s="50"/>
      <c r="ARN18" s="50"/>
      <c r="ARO18" s="50"/>
      <c r="ARP18" s="50"/>
      <c r="ARQ18" s="50"/>
      <c r="ARR18" s="50"/>
      <c r="ARS18" s="50"/>
      <c r="ART18" s="50"/>
      <c r="ARU18" s="50"/>
      <c r="ARV18" s="50"/>
      <c r="ARW18" s="50"/>
      <c r="ARX18" s="50"/>
      <c r="ARY18" s="50"/>
      <c r="ARZ18" s="50"/>
      <c r="ASA18" s="50"/>
      <c r="ASB18" s="50"/>
      <c r="ASC18" s="50"/>
      <c r="ASD18" s="50"/>
      <c r="ASE18" s="50"/>
      <c r="ASF18" s="50"/>
      <c r="ASG18" s="50"/>
      <c r="ASH18" s="50"/>
      <c r="ASI18" s="50"/>
      <c r="ASJ18" s="50"/>
      <c r="ASK18" s="50"/>
      <c r="ASL18" s="50"/>
      <c r="ASM18" s="50"/>
      <c r="ASN18" s="50"/>
      <c r="ASO18" s="50"/>
      <c r="ASP18" s="50"/>
      <c r="ASQ18" s="50"/>
      <c r="ASR18" s="50"/>
      <c r="ASS18" s="50"/>
      <c r="AST18" s="50"/>
      <c r="ASU18" s="50"/>
      <c r="ASV18" s="50"/>
      <c r="ASW18" s="50"/>
      <c r="ASX18" s="50"/>
      <c r="ASY18" s="50"/>
      <c r="ASZ18" s="50"/>
      <c r="ATA18" s="50"/>
      <c r="ATB18" s="50"/>
      <c r="ATC18" s="50"/>
      <c r="ATD18" s="50"/>
      <c r="ATE18" s="50"/>
      <c r="ATF18" s="50"/>
      <c r="ATG18" s="50"/>
      <c r="ATH18" s="50"/>
      <c r="ATI18" s="50"/>
      <c r="ATJ18" s="50"/>
      <c r="ATK18" s="50"/>
      <c r="ATL18" s="50"/>
      <c r="ATM18" s="50"/>
      <c r="ATN18" s="50"/>
      <c r="ATO18" s="50"/>
      <c r="ATP18" s="50"/>
      <c r="ATQ18" s="50"/>
      <c r="ATR18" s="50"/>
      <c r="ATS18" s="50"/>
      <c r="ATT18" s="50"/>
      <c r="ATU18" s="50"/>
      <c r="ATV18" s="50"/>
      <c r="ATW18" s="50"/>
      <c r="ATX18" s="50"/>
      <c r="ATY18" s="50"/>
      <c r="ATZ18" s="50"/>
      <c r="AUA18" s="50"/>
      <c r="AUB18" s="50"/>
      <c r="AUC18" s="50"/>
      <c r="AUD18" s="50"/>
      <c r="AUE18" s="50"/>
      <c r="AUF18" s="50"/>
      <c r="AUG18" s="50"/>
      <c r="AUH18" s="50"/>
      <c r="AUI18" s="50"/>
      <c r="AUJ18" s="50"/>
      <c r="AUK18" s="50"/>
      <c r="AUL18" s="50"/>
      <c r="AUM18" s="50"/>
      <c r="AUN18" s="50"/>
      <c r="AUO18" s="50"/>
      <c r="AUP18" s="50"/>
      <c r="AUQ18" s="50"/>
      <c r="AUR18" s="50"/>
      <c r="AUS18" s="50"/>
      <c r="AUT18" s="50"/>
      <c r="AUU18" s="50"/>
      <c r="AUV18" s="50"/>
      <c r="AUW18" s="50"/>
      <c r="AUX18" s="50"/>
      <c r="AUY18" s="50"/>
      <c r="AUZ18" s="50"/>
      <c r="AVA18" s="50"/>
      <c r="AVB18" s="50"/>
      <c r="AVC18" s="50"/>
      <c r="AVD18" s="50"/>
      <c r="AVE18" s="50"/>
      <c r="AVF18" s="50"/>
      <c r="AVG18" s="50"/>
      <c r="AVH18" s="50"/>
      <c r="AVI18" s="50"/>
      <c r="AVJ18" s="50"/>
      <c r="AVK18" s="50"/>
      <c r="AVL18" s="50"/>
      <c r="AVM18" s="50"/>
      <c r="AVN18" s="50"/>
      <c r="AVO18" s="50"/>
      <c r="AVP18" s="50"/>
      <c r="AVQ18" s="50"/>
      <c r="AVR18" s="50"/>
      <c r="AVS18" s="50"/>
      <c r="AVT18" s="50"/>
      <c r="AVU18" s="50"/>
      <c r="AVV18" s="50"/>
      <c r="AVW18" s="50"/>
      <c r="AVX18" s="50"/>
      <c r="AVY18" s="50"/>
      <c r="AVZ18" s="50"/>
      <c r="AWA18" s="50"/>
      <c r="AWB18" s="50"/>
      <c r="AWC18" s="50"/>
      <c r="AWD18" s="50"/>
      <c r="AWE18" s="50"/>
      <c r="AWF18" s="50"/>
      <c r="AWG18" s="50"/>
      <c r="AWH18" s="50"/>
      <c r="AWI18" s="50"/>
      <c r="AWJ18" s="50"/>
      <c r="AWK18" s="50"/>
      <c r="AWL18" s="50"/>
      <c r="AWM18" s="50"/>
      <c r="AWN18" s="50"/>
      <c r="AWO18" s="50"/>
      <c r="AWP18" s="50"/>
      <c r="AWQ18" s="50"/>
      <c r="AWR18" s="50"/>
      <c r="AWS18" s="50"/>
      <c r="AWT18" s="50"/>
      <c r="AWU18" s="50"/>
      <c r="AWV18" s="50"/>
      <c r="AWW18" s="50"/>
      <c r="AWX18" s="50"/>
      <c r="AWY18" s="50"/>
      <c r="AWZ18" s="50"/>
      <c r="AXA18" s="50"/>
      <c r="AXB18" s="50"/>
      <c r="AXC18" s="50"/>
      <c r="AXD18" s="50"/>
      <c r="AXE18" s="50"/>
      <c r="AXF18" s="50"/>
      <c r="AXG18" s="50"/>
      <c r="AXH18" s="50"/>
      <c r="AXI18" s="50"/>
      <c r="AXJ18" s="50"/>
      <c r="AXK18" s="50"/>
      <c r="AXL18" s="50"/>
      <c r="AXM18" s="50"/>
      <c r="AXN18" s="50"/>
      <c r="AXO18" s="50"/>
      <c r="AXP18" s="50"/>
      <c r="AXQ18" s="50"/>
      <c r="AXR18" s="50"/>
      <c r="AXS18" s="50"/>
      <c r="AXT18" s="50"/>
      <c r="AXU18" s="50"/>
      <c r="AXV18" s="50"/>
      <c r="AXW18" s="50"/>
      <c r="AXX18" s="50"/>
      <c r="AXY18" s="50"/>
      <c r="AXZ18" s="50"/>
      <c r="AYA18" s="50"/>
      <c r="AYB18" s="50"/>
      <c r="AYC18" s="50"/>
      <c r="AYD18" s="50"/>
      <c r="AYE18" s="50"/>
      <c r="AYF18" s="50"/>
      <c r="AYG18" s="50"/>
      <c r="AYH18" s="50"/>
      <c r="AYI18" s="50"/>
      <c r="AYJ18" s="50"/>
      <c r="AYK18" s="50"/>
      <c r="AYL18" s="50"/>
      <c r="AYM18" s="50"/>
      <c r="AYN18" s="50"/>
      <c r="AYO18" s="50"/>
      <c r="AYP18" s="50"/>
      <c r="AYQ18" s="50"/>
      <c r="AYR18" s="50"/>
      <c r="AYS18" s="50"/>
      <c r="AYT18" s="50"/>
      <c r="AYU18" s="50"/>
      <c r="AYV18" s="50"/>
      <c r="AYW18" s="50"/>
      <c r="AYX18" s="50"/>
      <c r="AYY18" s="50"/>
      <c r="AYZ18" s="50"/>
      <c r="AZA18" s="50"/>
      <c r="AZB18" s="50"/>
      <c r="AZC18" s="50"/>
      <c r="AZD18" s="50"/>
      <c r="AZE18" s="50"/>
      <c r="AZF18" s="50"/>
      <c r="AZG18" s="50"/>
      <c r="AZH18" s="50"/>
      <c r="AZI18" s="50"/>
      <c r="AZJ18" s="50"/>
      <c r="AZK18" s="50"/>
      <c r="AZL18" s="50"/>
      <c r="AZM18" s="50"/>
      <c r="AZN18" s="50"/>
      <c r="AZO18" s="50"/>
      <c r="AZP18" s="50"/>
      <c r="AZQ18" s="50"/>
      <c r="AZR18" s="50"/>
      <c r="AZS18" s="50"/>
      <c r="AZT18" s="50"/>
      <c r="AZU18" s="50"/>
      <c r="AZV18" s="50"/>
      <c r="AZW18" s="50"/>
      <c r="AZX18" s="50"/>
      <c r="AZY18" s="50"/>
      <c r="AZZ18" s="50"/>
      <c r="BAA18" s="50"/>
      <c r="BAB18" s="50"/>
      <c r="BAC18" s="50"/>
      <c r="BAD18" s="50"/>
      <c r="BAE18" s="50"/>
      <c r="BAF18" s="50"/>
      <c r="BAG18" s="50"/>
      <c r="BAH18" s="50"/>
      <c r="BAI18" s="50"/>
      <c r="BAJ18" s="50"/>
      <c r="BAK18" s="50"/>
      <c r="BAL18" s="50"/>
      <c r="BAM18" s="50"/>
      <c r="BAN18" s="50"/>
      <c r="BAO18" s="50"/>
      <c r="BAP18" s="50"/>
      <c r="BAQ18" s="50"/>
      <c r="BAR18" s="50"/>
      <c r="BAS18" s="50"/>
      <c r="BAT18" s="50"/>
      <c r="BAU18" s="50"/>
      <c r="BAV18" s="50"/>
      <c r="BAW18" s="50"/>
      <c r="BAX18" s="50"/>
      <c r="BAY18" s="50"/>
      <c r="BAZ18" s="50"/>
      <c r="BBA18" s="50"/>
      <c r="BBB18" s="50"/>
      <c r="BBC18" s="50"/>
      <c r="BBD18" s="50"/>
      <c r="BBE18" s="50"/>
      <c r="BBF18" s="50"/>
      <c r="BBG18" s="50"/>
      <c r="BBH18" s="50"/>
      <c r="BBI18" s="50"/>
      <c r="BBJ18" s="50"/>
      <c r="BBK18" s="50"/>
      <c r="BBL18" s="50"/>
      <c r="BBM18" s="50"/>
      <c r="BBN18" s="50"/>
      <c r="BBO18" s="50"/>
      <c r="BBP18" s="50"/>
      <c r="BBQ18" s="50"/>
      <c r="BBR18" s="50"/>
      <c r="BBS18" s="50"/>
      <c r="BBT18" s="50"/>
      <c r="BBU18" s="50"/>
      <c r="BBV18" s="50"/>
      <c r="BBW18" s="50"/>
      <c r="BBX18" s="50"/>
      <c r="BBY18" s="50"/>
      <c r="BBZ18" s="50"/>
      <c r="BCA18" s="50"/>
      <c r="BCB18" s="50"/>
      <c r="BCC18" s="50"/>
      <c r="BCD18" s="50"/>
      <c r="BCE18" s="50"/>
      <c r="BCF18" s="50"/>
      <c r="BCG18" s="50"/>
      <c r="BCH18" s="50"/>
      <c r="BCI18" s="50"/>
      <c r="BCJ18" s="50"/>
      <c r="BCK18" s="50"/>
      <c r="BCL18" s="50"/>
      <c r="BCM18" s="50"/>
      <c r="BCN18" s="50"/>
      <c r="BCO18" s="50"/>
      <c r="BCP18" s="50"/>
      <c r="BCQ18" s="50"/>
      <c r="BCR18" s="50"/>
      <c r="BCS18" s="50"/>
      <c r="BCT18" s="50"/>
      <c r="BCU18" s="50"/>
      <c r="BCV18" s="50"/>
      <c r="BCW18" s="50"/>
      <c r="BCX18" s="50"/>
      <c r="BCY18" s="50"/>
      <c r="BCZ18" s="50"/>
      <c r="BDA18" s="50"/>
      <c r="BDB18" s="50"/>
      <c r="BDC18" s="50"/>
      <c r="BDD18" s="50"/>
      <c r="BDE18" s="50"/>
      <c r="BDF18" s="50"/>
      <c r="BDG18" s="50"/>
      <c r="BDH18" s="50"/>
      <c r="BDI18" s="50"/>
      <c r="BDJ18" s="50"/>
      <c r="BDK18" s="50"/>
      <c r="BDL18" s="50"/>
      <c r="BDM18" s="50"/>
      <c r="BDN18" s="50"/>
      <c r="BDO18" s="50"/>
      <c r="BDP18" s="50"/>
      <c r="BDQ18" s="50"/>
      <c r="BDR18" s="50"/>
      <c r="BDS18" s="50"/>
      <c r="BDT18" s="50"/>
      <c r="BDU18" s="50"/>
      <c r="BDV18" s="50"/>
      <c r="BDW18" s="50"/>
      <c r="BDX18" s="50"/>
      <c r="BDY18" s="50"/>
      <c r="BDZ18" s="50"/>
      <c r="BEA18" s="50"/>
      <c r="BEB18" s="50"/>
      <c r="BEC18" s="50"/>
      <c r="BED18" s="50"/>
      <c r="BEE18" s="50"/>
      <c r="BEF18" s="50"/>
      <c r="BEG18" s="50"/>
      <c r="BEH18" s="50"/>
      <c r="BEI18" s="50"/>
      <c r="BEJ18" s="50"/>
      <c r="BEK18" s="50"/>
      <c r="BEL18" s="50"/>
      <c r="BEM18" s="50"/>
      <c r="BEN18" s="50"/>
      <c r="BEO18" s="50"/>
      <c r="BEP18" s="50"/>
      <c r="BEQ18" s="50"/>
      <c r="BER18" s="50"/>
      <c r="BES18" s="50"/>
      <c r="BET18" s="50"/>
      <c r="BEU18" s="50"/>
      <c r="BEV18" s="50"/>
      <c r="BEW18" s="50"/>
      <c r="BEX18" s="50"/>
      <c r="BEY18" s="50"/>
      <c r="BEZ18" s="50"/>
      <c r="BFA18" s="50"/>
      <c r="BFB18" s="50"/>
      <c r="BFC18" s="50"/>
      <c r="BFD18" s="50"/>
      <c r="BFE18" s="50"/>
      <c r="BFF18" s="50"/>
      <c r="BFG18" s="50"/>
      <c r="BFH18" s="50"/>
      <c r="BFI18" s="50"/>
      <c r="BFJ18" s="50"/>
      <c r="BFK18" s="50"/>
      <c r="BFL18" s="50"/>
      <c r="BFM18" s="50"/>
      <c r="BFN18" s="50"/>
      <c r="BFO18" s="50"/>
      <c r="BFP18" s="50"/>
      <c r="BFQ18" s="50"/>
      <c r="BFR18" s="50"/>
      <c r="BFS18" s="50"/>
      <c r="BFT18" s="50"/>
      <c r="BFU18" s="50"/>
      <c r="BFV18" s="50"/>
      <c r="BFW18" s="50"/>
      <c r="BFX18" s="50"/>
      <c r="BFY18" s="50"/>
      <c r="BFZ18" s="50"/>
      <c r="BGA18" s="50"/>
      <c r="BGB18" s="50"/>
      <c r="BGC18" s="50"/>
      <c r="BGD18" s="50"/>
      <c r="BGE18" s="50"/>
      <c r="BGF18" s="50"/>
      <c r="BGG18" s="50"/>
      <c r="BGH18" s="50"/>
      <c r="BGI18" s="50"/>
      <c r="BGJ18" s="50"/>
      <c r="BGK18" s="50"/>
      <c r="BGL18" s="50"/>
      <c r="BGM18" s="50"/>
      <c r="BGN18" s="50"/>
      <c r="BGO18" s="50"/>
      <c r="BGP18" s="50"/>
      <c r="BGQ18" s="50"/>
      <c r="BGR18" s="50"/>
      <c r="BGS18" s="50"/>
      <c r="BGT18" s="50"/>
      <c r="BGU18" s="50"/>
      <c r="BGV18" s="50"/>
      <c r="BGW18" s="50"/>
      <c r="BGX18" s="50"/>
      <c r="BGY18" s="50"/>
      <c r="BGZ18" s="50"/>
      <c r="BHA18" s="50"/>
      <c r="BHB18" s="50"/>
      <c r="BHC18" s="50"/>
      <c r="BHD18" s="50"/>
      <c r="BHE18" s="50"/>
      <c r="BHF18" s="50"/>
      <c r="BHG18" s="50"/>
      <c r="BHH18" s="50"/>
      <c r="BHI18" s="50"/>
      <c r="BHJ18" s="50"/>
      <c r="BHK18" s="50"/>
      <c r="BHL18" s="50"/>
      <c r="BHM18" s="50"/>
      <c r="BHN18" s="50"/>
      <c r="BHO18" s="50"/>
      <c r="BHP18" s="50"/>
      <c r="BHQ18" s="50"/>
      <c r="BHR18" s="50"/>
      <c r="BHS18" s="50"/>
      <c r="BHT18" s="50"/>
      <c r="BHU18" s="50"/>
      <c r="BHV18" s="50"/>
      <c r="BHW18" s="50"/>
      <c r="BHX18" s="50"/>
      <c r="BHY18" s="50"/>
      <c r="BHZ18" s="50"/>
      <c r="BIA18" s="50"/>
      <c r="BIB18" s="50"/>
      <c r="BIC18" s="50"/>
      <c r="BID18" s="50"/>
      <c r="BIE18" s="50"/>
      <c r="BIF18" s="50"/>
      <c r="BIG18" s="50"/>
      <c r="BIH18" s="50"/>
      <c r="BII18" s="50"/>
      <c r="BIJ18" s="50"/>
      <c r="BIK18" s="50"/>
      <c r="BIL18" s="50"/>
      <c r="BIM18" s="50"/>
      <c r="BIN18" s="50"/>
      <c r="BIO18" s="50"/>
      <c r="BIP18" s="50"/>
      <c r="BIQ18" s="50"/>
      <c r="BIR18" s="50"/>
      <c r="BIS18" s="50"/>
      <c r="BIT18" s="50"/>
      <c r="BIU18" s="50"/>
      <c r="BIV18" s="50"/>
      <c r="BIW18" s="50"/>
      <c r="BIX18" s="50"/>
      <c r="BIY18" s="50"/>
      <c r="BIZ18" s="50"/>
      <c r="BJA18" s="50"/>
      <c r="BJB18" s="50"/>
      <c r="BJC18" s="50"/>
      <c r="BJD18" s="50"/>
      <c r="BJE18" s="50"/>
      <c r="BJF18" s="50"/>
      <c r="BJG18" s="50"/>
      <c r="BJH18" s="50"/>
      <c r="BJI18" s="50"/>
      <c r="BJJ18" s="50"/>
      <c r="BJK18" s="50"/>
      <c r="BJL18" s="50"/>
      <c r="BJM18" s="50"/>
      <c r="BJN18" s="50"/>
      <c r="BJO18" s="50"/>
      <c r="BJP18" s="50"/>
      <c r="BJQ18" s="50"/>
      <c r="BJR18" s="50"/>
      <c r="BJS18" s="50"/>
      <c r="BJT18" s="50"/>
      <c r="BJU18" s="50"/>
      <c r="BJV18" s="50"/>
      <c r="BJW18" s="50"/>
      <c r="BJX18" s="50"/>
      <c r="BJY18" s="50"/>
      <c r="BJZ18" s="50"/>
      <c r="BKA18" s="50"/>
      <c r="BKB18" s="50"/>
      <c r="BKC18" s="50"/>
      <c r="BKD18" s="50"/>
      <c r="BKE18" s="50"/>
      <c r="BKF18" s="50"/>
      <c r="BKG18" s="50"/>
      <c r="BKH18" s="50"/>
      <c r="BKI18" s="50"/>
      <c r="BKJ18" s="50"/>
      <c r="BKK18" s="50"/>
      <c r="BKL18" s="50"/>
      <c r="BKM18" s="50"/>
      <c r="BKN18" s="50"/>
      <c r="BKO18" s="50"/>
      <c r="BKP18" s="50"/>
      <c r="BKQ18" s="50"/>
      <c r="BKR18" s="50"/>
      <c r="BKS18" s="50"/>
      <c r="BKT18" s="50"/>
      <c r="BKU18" s="50"/>
      <c r="BKV18" s="50"/>
      <c r="BKW18" s="50"/>
      <c r="BKX18" s="50"/>
      <c r="BKY18" s="50"/>
      <c r="BKZ18" s="50"/>
      <c r="BLA18" s="50"/>
      <c r="BLB18" s="50"/>
      <c r="BLC18" s="50"/>
      <c r="BLD18" s="50"/>
      <c r="BLE18" s="50"/>
      <c r="BLF18" s="50"/>
      <c r="BLG18" s="50"/>
      <c r="BLH18" s="50"/>
      <c r="BLI18" s="50"/>
      <c r="BLJ18" s="50"/>
      <c r="BLK18" s="50"/>
      <c r="BLL18" s="50"/>
      <c r="BLM18" s="50"/>
      <c r="BLN18" s="50"/>
      <c r="BLO18" s="50"/>
      <c r="BLP18" s="50"/>
      <c r="BLQ18" s="50"/>
      <c r="BLR18" s="50"/>
      <c r="BLS18" s="50"/>
      <c r="BLT18" s="50"/>
      <c r="BLU18" s="50"/>
      <c r="BLV18" s="50"/>
      <c r="BLW18" s="50"/>
      <c r="BLX18" s="50"/>
      <c r="BLY18" s="50"/>
      <c r="BLZ18" s="50"/>
      <c r="BMA18" s="50"/>
      <c r="BMB18" s="50"/>
      <c r="BMC18" s="50"/>
      <c r="BMD18" s="50"/>
      <c r="BME18" s="50"/>
      <c r="BMF18" s="50"/>
      <c r="BMG18" s="50"/>
      <c r="BMH18" s="50"/>
      <c r="BMI18" s="50"/>
      <c r="BMJ18" s="50"/>
      <c r="BMK18" s="50"/>
      <c r="BML18" s="50"/>
      <c r="BMM18" s="50"/>
      <c r="BMN18" s="50"/>
      <c r="BMO18" s="50"/>
      <c r="BMP18" s="50"/>
      <c r="BMQ18" s="50"/>
      <c r="BMR18" s="50"/>
      <c r="BMS18" s="50"/>
      <c r="BMT18" s="50"/>
      <c r="BMU18" s="50"/>
      <c r="BMV18" s="50"/>
      <c r="BMW18" s="50"/>
      <c r="BMX18" s="50"/>
      <c r="BMY18" s="50"/>
      <c r="BMZ18" s="50"/>
      <c r="BNA18" s="50"/>
      <c r="BNB18" s="50"/>
      <c r="BNC18" s="50"/>
      <c r="BND18" s="50"/>
      <c r="BNE18" s="50"/>
      <c r="BNF18" s="50"/>
      <c r="BNG18" s="50"/>
      <c r="BNH18" s="50"/>
      <c r="BNI18" s="50"/>
      <c r="BNJ18" s="50"/>
      <c r="BNK18" s="50"/>
      <c r="BNL18" s="50"/>
      <c r="BNM18" s="50"/>
      <c r="BNN18" s="50"/>
      <c r="BNO18" s="50"/>
      <c r="BNP18" s="50"/>
      <c r="BNQ18" s="50"/>
      <c r="BNR18" s="50"/>
      <c r="BNS18" s="50"/>
      <c r="BNT18" s="50"/>
      <c r="BNU18" s="50"/>
      <c r="BNV18" s="50"/>
      <c r="BNW18" s="50"/>
      <c r="BNX18" s="50"/>
      <c r="BNY18" s="50"/>
      <c r="BNZ18" s="50"/>
      <c r="BOA18" s="50"/>
      <c r="BOB18" s="50"/>
      <c r="BOC18" s="50"/>
      <c r="BOD18" s="50"/>
      <c r="BOE18" s="50"/>
      <c r="BOF18" s="50"/>
      <c r="BOG18" s="50"/>
      <c r="BOH18" s="50"/>
      <c r="BOI18" s="50"/>
      <c r="BOJ18" s="50"/>
      <c r="BOK18" s="50"/>
      <c r="BOL18" s="50"/>
      <c r="BOM18" s="50"/>
      <c r="BON18" s="50"/>
      <c r="BOO18" s="50"/>
      <c r="BOP18" s="50"/>
      <c r="BOQ18" s="50"/>
      <c r="BOR18" s="50"/>
      <c r="BOS18" s="50"/>
      <c r="BOT18" s="50"/>
      <c r="BOU18" s="50"/>
      <c r="BOV18" s="50"/>
      <c r="BOW18" s="50"/>
      <c r="BOX18" s="50"/>
      <c r="BOY18" s="50"/>
      <c r="BOZ18" s="50"/>
      <c r="BPA18" s="50"/>
      <c r="BPB18" s="50"/>
      <c r="BPC18" s="50"/>
      <c r="BPD18" s="50"/>
      <c r="BPE18" s="50"/>
      <c r="BPF18" s="50"/>
      <c r="BPG18" s="50"/>
      <c r="BPH18" s="50"/>
      <c r="BPI18" s="50"/>
      <c r="BPJ18" s="50"/>
      <c r="BPK18" s="50"/>
      <c r="BPL18" s="50"/>
      <c r="BPM18" s="50"/>
      <c r="BPN18" s="50"/>
      <c r="BPO18" s="50"/>
      <c r="BPP18" s="50"/>
      <c r="BPQ18" s="50"/>
      <c r="BPR18" s="50"/>
      <c r="BPS18" s="50"/>
      <c r="BPT18" s="50"/>
      <c r="BPU18" s="50"/>
      <c r="BPV18" s="50"/>
      <c r="BPW18" s="50"/>
      <c r="BPX18" s="50"/>
      <c r="BPY18" s="50"/>
      <c r="BPZ18" s="50"/>
      <c r="BQA18" s="50"/>
      <c r="BQB18" s="50"/>
      <c r="BQC18" s="50"/>
      <c r="BQD18" s="50"/>
      <c r="BQE18" s="50"/>
      <c r="BQF18" s="50"/>
      <c r="BQG18" s="50"/>
      <c r="BQH18" s="50"/>
      <c r="BQI18" s="50"/>
      <c r="BQJ18" s="50"/>
      <c r="BQK18" s="50"/>
      <c r="BQL18" s="50"/>
      <c r="BQM18" s="50"/>
      <c r="BQN18" s="50"/>
      <c r="BQO18" s="50"/>
      <c r="BQP18" s="50"/>
      <c r="BQQ18" s="50"/>
      <c r="BQR18" s="50"/>
      <c r="BQS18" s="50"/>
      <c r="BQT18" s="50"/>
      <c r="BQU18" s="50"/>
      <c r="BQV18" s="50"/>
      <c r="BQW18" s="50"/>
      <c r="BQX18" s="50"/>
      <c r="BQY18" s="50"/>
      <c r="BQZ18" s="50"/>
      <c r="BRA18" s="50"/>
      <c r="BRB18" s="50"/>
      <c r="BRC18" s="50"/>
      <c r="BRD18" s="50"/>
      <c r="BRE18" s="50"/>
      <c r="BRF18" s="50"/>
      <c r="BRG18" s="50"/>
      <c r="BRH18" s="50"/>
      <c r="BRI18" s="50"/>
      <c r="BRJ18" s="50"/>
      <c r="BRK18" s="50"/>
      <c r="BRL18" s="50"/>
      <c r="BRM18" s="50"/>
      <c r="BRN18" s="50"/>
      <c r="BRO18" s="50"/>
      <c r="BRP18" s="50"/>
      <c r="BRQ18" s="50"/>
      <c r="BRR18" s="50"/>
      <c r="BRS18" s="50"/>
      <c r="BRT18" s="50"/>
      <c r="BRU18" s="50"/>
      <c r="BRV18" s="50"/>
      <c r="BRW18" s="50"/>
      <c r="BRX18" s="50"/>
      <c r="BRY18" s="50"/>
      <c r="BRZ18" s="50"/>
      <c r="BSA18" s="50"/>
      <c r="BSB18" s="50"/>
      <c r="BSC18" s="50"/>
      <c r="BSD18" s="50"/>
      <c r="BSE18" s="50"/>
      <c r="BSF18" s="50"/>
      <c r="BSG18" s="50"/>
      <c r="BSH18" s="50"/>
      <c r="BSI18" s="50"/>
      <c r="BSJ18" s="50"/>
      <c r="BSK18" s="50"/>
      <c r="BSL18" s="50"/>
      <c r="BSM18" s="50"/>
      <c r="BSN18" s="50"/>
      <c r="BSO18" s="50"/>
      <c r="BSP18" s="50"/>
      <c r="BSQ18" s="50"/>
      <c r="BSR18" s="50"/>
      <c r="BSS18" s="50"/>
      <c r="BST18" s="50"/>
      <c r="BSU18" s="50"/>
      <c r="BSV18" s="50"/>
      <c r="BSW18" s="50"/>
      <c r="BSX18" s="50"/>
      <c r="BSY18" s="50"/>
      <c r="BSZ18" s="50"/>
      <c r="BTA18" s="50"/>
      <c r="BTB18" s="50"/>
      <c r="BTC18" s="50"/>
      <c r="BTD18" s="50"/>
      <c r="BTE18" s="50"/>
      <c r="BTF18" s="50"/>
      <c r="BTG18" s="50"/>
      <c r="BTH18" s="50"/>
      <c r="BTI18" s="50"/>
      <c r="BTJ18" s="50"/>
      <c r="BTK18" s="50"/>
      <c r="BTL18" s="50"/>
      <c r="BTM18" s="50"/>
      <c r="BTN18" s="50"/>
      <c r="BTO18" s="50"/>
      <c r="BTP18" s="50"/>
      <c r="BTQ18" s="50"/>
      <c r="BTR18" s="50"/>
      <c r="BTS18" s="50"/>
      <c r="BTT18" s="50"/>
      <c r="BTU18" s="50"/>
      <c r="BTV18" s="50"/>
      <c r="BTW18" s="50"/>
      <c r="BTX18" s="50"/>
    </row>
    <row r="19" ht="15.75" customHeight="1">
      <c r="A19" t="s">
        <v>60</v>
      </c>
      <c r="B19" t="s">
        <v>45</v>
      </c>
      <c r="E19">
        <v>900.0</v>
      </c>
      <c r="F19" t="s">
        <v>78</v>
      </c>
      <c r="G19" t="s">
        <v>64</v>
      </c>
      <c r="K19">
        <v>60.0</v>
      </c>
      <c r="L19">
        <v>60.0</v>
      </c>
      <c r="O19" t="s">
        <v>70</v>
      </c>
      <c r="V19" t="s">
        <v>84</v>
      </c>
      <c r="Z19" t="s">
        <v>67</v>
      </c>
      <c r="AD19" t="s">
        <v>66</v>
      </c>
      <c r="AE19">
        <v>900.0</v>
      </c>
      <c r="AF19" t="s">
        <v>60</v>
      </c>
      <c r="AH19" t="s">
        <v>81</v>
      </c>
      <c r="AI19">
        <v>1.0</v>
      </c>
      <c r="AP19" t="b">
        <v>1</v>
      </c>
      <c r="AQ19" t="b">
        <v>0</v>
      </c>
      <c r="AR19" t="b">
        <v>1</v>
      </c>
      <c r="BE19">
        <v>54000.0</v>
      </c>
      <c r="BF19">
        <v>54000.0</v>
      </c>
      <c r="BJ19">
        <v>900.0</v>
      </c>
      <c r="BM19" t="s">
        <v>67</v>
      </c>
      <c r="BO19" t="s">
        <v>35</v>
      </c>
      <c r="BT19" t="s">
        <v>44</v>
      </c>
      <c r="CK19" t="s">
        <v>65</v>
      </c>
      <c r="CL19">
        <v>1.0</v>
      </c>
      <c r="CM19" t="s">
        <v>44</v>
      </c>
      <c r="CN19" t="s">
        <v>69</v>
      </c>
      <c r="CX19" t="s">
        <v>60</v>
      </c>
      <c r="CY19" t="s">
        <v>60</v>
      </c>
      <c r="CZ19" t="s">
        <v>60</v>
      </c>
      <c r="DA19" t="s">
        <v>60</v>
      </c>
      <c r="DB19" t="s">
        <v>60</v>
      </c>
      <c r="DC19" t="s">
        <v>60</v>
      </c>
      <c r="DD19" t="s">
        <v>60</v>
      </c>
      <c r="DE19" t="s">
        <v>60</v>
      </c>
      <c r="DF19" t="s">
        <v>60</v>
      </c>
      <c r="DG19" t="s">
        <v>60</v>
      </c>
      <c r="DH19" t="s">
        <v>60</v>
      </c>
      <c r="DI19" t="s">
        <v>60</v>
      </c>
      <c r="DJ19" t="s">
        <v>60</v>
      </c>
      <c r="DK19" t="s">
        <v>60</v>
      </c>
      <c r="DL19" t="s">
        <v>60</v>
      </c>
      <c r="DM19" t="s">
        <v>60</v>
      </c>
      <c r="DN19" t="s">
        <v>60</v>
      </c>
      <c r="DO19" t="s">
        <v>60</v>
      </c>
      <c r="DP19" t="s">
        <v>60</v>
      </c>
      <c r="DQ19" t="s">
        <v>60</v>
      </c>
      <c r="DR19" t="s">
        <v>60</v>
      </c>
      <c r="DS19" t="s">
        <v>60</v>
      </c>
      <c r="DT19" t="s">
        <v>60</v>
      </c>
      <c r="DU19" t="s">
        <v>60</v>
      </c>
      <c r="DV19" t="s">
        <v>60</v>
      </c>
      <c r="DW19" t="s">
        <v>60</v>
      </c>
      <c r="DX19" t="s">
        <v>60</v>
      </c>
      <c r="DY19" t="s">
        <v>60</v>
      </c>
      <c r="DZ19" t="s">
        <v>60</v>
      </c>
      <c r="EA19" t="s">
        <v>60</v>
      </c>
      <c r="EB19" t="s">
        <v>60</v>
      </c>
      <c r="EC19" t="s">
        <v>60</v>
      </c>
      <c r="ED19" t="s">
        <v>60</v>
      </c>
      <c r="EE19" t="s">
        <v>60</v>
      </c>
      <c r="EF19" t="s">
        <v>60</v>
      </c>
      <c r="EG19" t="s">
        <v>60</v>
      </c>
      <c r="EH19" t="s">
        <v>60</v>
      </c>
      <c r="EI19" t="s">
        <v>60</v>
      </c>
      <c r="EJ19" t="s">
        <v>60</v>
      </c>
      <c r="EK19" t="s">
        <v>60</v>
      </c>
      <c r="EL19" t="s">
        <v>60</v>
      </c>
      <c r="EM19" t="s">
        <v>60</v>
      </c>
      <c r="EN19" t="s">
        <v>60</v>
      </c>
      <c r="EO19" t="s">
        <v>60</v>
      </c>
      <c r="EP19" t="s">
        <v>60</v>
      </c>
      <c r="EQ19" t="s">
        <v>60</v>
      </c>
      <c r="ER19" t="s">
        <v>60</v>
      </c>
      <c r="ES19" t="s">
        <v>60</v>
      </c>
      <c r="ET19" t="s">
        <v>60</v>
      </c>
      <c r="EU19" t="s">
        <v>60</v>
      </c>
      <c r="EV19" t="s">
        <v>60</v>
      </c>
      <c r="EW19" t="s">
        <v>60</v>
      </c>
      <c r="EX19" t="s">
        <v>60</v>
      </c>
      <c r="EY19" t="s">
        <v>60</v>
      </c>
      <c r="EZ19" t="s">
        <v>60</v>
      </c>
      <c r="FA19" t="s">
        <v>60</v>
      </c>
      <c r="FB19" t="s">
        <v>60</v>
      </c>
      <c r="FC19" t="s">
        <v>60</v>
      </c>
      <c r="FD19" t="s">
        <v>60</v>
      </c>
      <c r="FE19" t="s">
        <v>60</v>
      </c>
      <c r="FF19" t="s">
        <v>60</v>
      </c>
      <c r="FG19" t="s">
        <v>60</v>
      </c>
      <c r="FH19" t="s">
        <v>60</v>
      </c>
      <c r="FI19" t="s">
        <v>60</v>
      </c>
      <c r="FJ19" t="s">
        <v>60</v>
      </c>
      <c r="FK19" t="s">
        <v>60</v>
      </c>
      <c r="FL19" t="s">
        <v>60</v>
      </c>
      <c r="FM19" t="s">
        <v>60</v>
      </c>
      <c r="FN19" t="s">
        <v>60</v>
      </c>
      <c r="FO19" t="s">
        <v>60</v>
      </c>
      <c r="FP19" t="s">
        <v>60</v>
      </c>
      <c r="FQ19" t="s">
        <v>60</v>
      </c>
      <c r="AML19" s="36" t="str">
        <f t="shared" ref="AML19:AND19" si="14">iferror(INDEX('Input(Other)'!$A:$FF,MATCH($A19,'Input(Other)'!$A$1:$A$210,0),MATCH(AML$1,'Input(Other)'!$1:$1,0)),"")</f>
        <v/>
      </c>
      <c r="AMM19" s="36" t="str">
        <f t="shared" si="14"/>
        <v/>
      </c>
      <c r="AMN19" s="36" t="str">
        <f t="shared" si="14"/>
        <v/>
      </c>
      <c r="AMO19" s="36" t="str">
        <f t="shared" si="14"/>
        <v/>
      </c>
      <c r="AMP19" s="36" t="str">
        <f t="shared" si="14"/>
        <v/>
      </c>
      <c r="AMQ19" s="36" t="str">
        <f t="shared" si="14"/>
        <v/>
      </c>
      <c r="AMR19" s="36" t="str">
        <f t="shared" si="14"/>
        <v/>
      </c>
      <c r="AMS19" s="36" t="str">
        <f t="shared" si="14"/>
        <v/>
      </c>
      <c r="AMT19" s="36" t="str">
        <f t="shared" si="14"/>
        <v/>
      </c>
      <c r="AMU19" s="36" t="str">
        <f t="shared" si="14"/>
        <v/>
      </c>
      <c r="AMV19" s="36" t="str">
        <f t="shared" si="14"/>
        <v/>
      </c>
      <c r="AMW19" s="36" t="str">
        <f t="shared" si="14"/>
        <v/>
      </c>
      <c r="AMX19" s="36" t="str">
        <f t="shared" si="14"/>
        <v/>
      </c>
      <c r="AMY19" s="36" t="str">
        <f t="shared" si="14"/>
        <v/>
      </c>
      <c r="AMZ19" s="36" t="str">
        <f t="shared" si="14"/>
        <v/>
      </c>
      <c r="ANA19" s="36" t="str">
        <f t="shared" si="14"/>
        <v/>
      </c>
      <c r="ANB19" s="36" t="str">
        <f t="shared" si="14"/>
        <v/>
      </c>
      <c r="ANC19" s="36" t="str">
        <f t="shared" si="14"/>
        <v/>
      </c>
      <c r="AND19" s="36" t="str">
        <f t="shared" si="14"/>
        <v/>
      </c>
      <c r="ANE19" s="50"/>
      <c r="ANF19" s="50"/>
      <c r="ANG19" s="50"/>
      <c r="ANH19" s="50"/>
      <c r="ANI19" s="50"/>
      <c r="ANJ19" s="50"/>
      <c r="ANK19" s="50"/>
      <c r="ANL19" s="50"/>
      <c r="ANM19" s="50"/>
      <c r="ANN19" s="50"/>
      <c r="ANO19" s="50"/>
      <c r="ANP19" s="50"/>
      <c r="ANQ19" s="50"/>
      <c r="ANR19" s="50"/>
      <c r="ANS19" s="50"/>
      <c r="ANT19" s="50"/>
      <c r="ANU19" s="50"/>
      <c r="ANV19" s="50"/>
      <c r="ANW19" s="50"/>
      <c r="ANX19" s="50"/>
      <c r="ANY19" s="50"/>
      <c r="ANZ19" s="50"/>
      <c r="AOA19" s="50"/>
      <c r="AOB19" s="50"/>
      <c r="AOC19" s="50"/>
      <c r="AOD19" s="50"/>
      <c r="AOE19" s="50"/>
      <c r="AOF19" s="50"/>
      <c r="AOG19" s="50"/>
      <c r="AOH19" s="50"/>
      <c r="AOI19" s="50"/>
      <c r="AOJ19" s="50"/>
      <c r="AOK19" s="50"/>
      <c r="AOL19" s="50"/>
      <c r="AOM19" s="50"/>
      <c r="AON19" s="50"/>
      <c r="AOO19" s="50"/>
      <c r="AOP19" s="50"/>
      <c r="AOQ19" s="50"/>
      <c r="AOR19" s="50"/>
      <c r="AOS19" s="50"/>
      <c r="AOT19" s="50"/>
      <c r="AOU19" s="50"/>
      <c r="AOV19" s="50"/>
      <c r="AOW19" s="50"/>
      <c r="AOX19" s="50"/>
      <c r="AOY19" s="50"/>
      <c r="AOZ19" s="50"/>
      <c r="APA19" s="50"/>
      <c r="APB19" s="50"/>
      <c r="APC19" s="50"/>
      <c r="APD19" s="50"/>
      <c r="APE19" s="50"/>
      <c r="APF19" s="50"/>
      <c r="APG19" s="50"/>
      <c r="APH19" s="50"/>
      <c r="API19" s="50"/>
      <c r="APJ19" s="50"/>
      <c r="APK19" s="50"/>
      <c r="APL19" s="50"/>
      <c r="APM19" s="50"/>
      <c r="APN19" s="50"/>
      <c r="APO19" s="50"/>
      <c r="APP19" s="50"/>
      <c r="APQ19" s="50"/>
      <c r="APR19" s="50"/>
      <c r="APS19" s="50"/>
      <c r="APT19" s="50"/>
      <c r="APU19" s="50"/>
      <c r="APV19" s="50"/>
      <c r="APW19" s="50"/>
      <c r="APX19" s="50"/>
      <c r="APY19" s="50"/>
      <c r="APZ19" s="50"/>
      <c r="AQA19" s="50"/>
      <c r="AQB19" s="50"/>
      <c r="AQC19" s="50"/>
      <c r="AQD19" s="50"/>
      <c r="AQE19" s="50"/>
      <c r="AQF19" s="50"/>
      <c r="AQG19" s="50"/>
      <c r="AQH19" s="50"/>
      <c r="AQI19" s="50"/>
      <c r="AQJ19" s="50"/>
      <c r="AQK19" s="50"/>
      <c r="AQL19" s="50"/>
      <c r="AQM19" s="50"/>
      <c r="AQN19" s="50"/>
      <c r="AQO19" s="50"/>
      <c r="AQP19" s="50"/>
      <c r="AQQ19" s="50"/>
      <c r="AQR19" s="50"/>
      <c r="AQS19" s="50"/>
      <c r="AQT19" s="50"/>
      <c r="AQU19" s="50"/>
      <c r="AQV19" s="50"/>
      <c r="AQW19" s="50"/>
      <c r="AQX19" s="50"/>
      <c r="AQY19" s="50"/>
      <c r="AQZ19" s="50"/>
      <c r="ARA19" s="50"/>
      <c r="ARB19" s="50"/>
      <c r="ARC19" s="50"/>
      <c r="ARD19" s="50"/>
      <c r="ARE19" s="50"/>
      <c r="ARF19" s="50"/>
      <c r="ARG19" s="50"/>
      <c r="ARH19" s="50"/>
      <c r="ARI19" s="50"/>
      <c r="ARJ19" s="50"/>
      <c r="ARK19" s="50"/>
      <c r="ARL19" s="50"/>
      <c r="ARM19" s="50"/>
      <c r="ARN19" s="50"/>
      <c r="ARO19" s="50"/>
      <c r="ARP19" s="50"/>
      <c r="ARQ19" s="50"/>
      <c r="ARR19" s="50"/>
      <c r="ARS19" s="50"/>
      <c r="ART19" s="50"/>
      <c r="ARU19" s="50"/>
      <c r="ARV19" s="50"/>
      <c r="ARW19" s="50"/>
      <c r="ARX19" s="50"/>
      <c r="ARY19" s="50"/>
      <c r="ARZ19" s="50"/>
      <c r="ASA19" s="50"/>
      <c r="ASB19" s="50"/>
      <c r="ASC19" s="50"/>
      <c r="ASD19" s="50"/>
      <c r="ASE19" s="50"/>
      <c r="ASF19" s="50"/>
      <c r="ASG19" s="50"/>
      <c r="ASH19" s="50"/>
      <c r="ASI19" s="50"/>
      <c r="ASJ19" s="50"/>
      <c r="ASK19" s="50"/>
      <c r="ASL19" s="50"/>
      <c r="ASM19" s="50"/>
      <c r="ASN19" s="50"/>
      <c r="ASO19" s="50"/>
      <c r="ASP19" s="50"/>
      <c r="ASQ19" s="50"/>
      <c r="ASR19" s="50"/>
      <c r="ASS19" s="50"/>
      <c r="AST19" s="50"/>
      <c r="ASU19" s="50"/>
      <c r="ASV19" s="50"/>
      <c r="ASW19" s="50"/>
      <c r="ASX19" s="50"/>
      <c r="ASY19" s="50"/>
      <c r="ASZ19" s="50"/>
      <c r="ATA19" s="50"/>
      <c r="ATB19" s="50"/>
      <c r="ATC19" s="50"/>
      <c r="ATD19" s="50"/>
      <c r="ATE19" s="50"/>
      <c r="ATF19" s="50"/>
      <c r="ATG19" s="50"/>
      <c r="ATH19" s="50"/>
      <c r="ATI19" s="50"/>
      <c r="ATJ19" s="50"/>
      <c r="ATK19" s="50"/>
      <c r="ATL19" s="50"/>
      <c r="ATM19" s="50"/>
      <c r="ATN19" s="50"/>
      <c r="ATO19" s="50"/>
      <c r="ATP19" s="50"/>
      <c r="ATQ19" s="50"/>
      <c r="ATR19" s="50"/>
      <c r="ATS19" s="50"/>
      <c r="ATT19" s="50"/>
      <c r="ATU19" s="50"/>
      <c r="ATV19" s="50"/>
      <c r="ATW19" s="50"/>
      <c r="ATX19" s="50"/>
      <c r="ATY19" s="50"/>
      <c r="ATZ19" s="50"/>
      <c r="AUA19" s="50"/>
      <c r="AUB19" s="50"/>
      <c r="AUC19" s="50"/>
      <c r="AUD19" s="50"/>
      <c r="AUE19" s="50"/>
      <c r="AUF19" s="50"/>
      <c r="AUG19" s="50"/>
      <c r="AUH19" s="50"/>
      <c r="AUI19" s="50"/>
      <c r="AUJ19" s="50"/>
      <c r="AUK19" s="50"/>
      <c r="AUL19" s="50"/>
      <c r="AUM19" s="50"/>
      <c r="AUN19" s="50"/>
      <c r="AUO19" s="50"/>
      <c r="AUP19" s="50"/>
      <c r="AUQ19" s="50"/>
      <c r="AUR19" s="50"/>
      <c r="AUS19" s="50"/>
      <c r="AUT19" s="50"/>
      <c r="AUU19" s="50"/>
      <c r="AUV19" s="50"/>
      <c r="AUW19" s="50"/>
      <c r="AUX19" s="50"/>
      <c r="AUY19" s="50"/>
      <c r="AUZ19" s="50"/>
      <c r="AVA19" s="50"/>
      <c r="AVB19" s="50"/>
      <c r="AVC19" s="50"/>
      <c r="AVD19" s="50"/>
      <c r="AVE19" s="50"/>
      <c r="AVF19" s="50"/>
      <c r="AVG19" s="50"/>
      <c r="AVH19" s="50"/>
      <c r="AVI19" s="50"/>
      <c r="AVJ19" s="50"/>
      <c r="AVK19" s="50"/>
      <c r="AVL19" s="50"/>
      <c r="AVM19" s="50"/>
      <c r="AVN19" s="50"/>
      <c r="AVO19" s="50"/>
      <c r="AVP19" s="50"/>
      <c r="AVQ19" s="50"/>
      <c r="AVR19" s="50"/>
      <c r="AVS19" s="50"/>
      <c r="AVT19" s="50"/>
      <c r="AVU19" s="50"/>
      <c r="AVV19" s="50"/>
      <c r="AVW19" s="50"/>
      <c r="AVX19" s="50"/>
      <c r="AVY19" s="50"/>
      <c r="AVZ19" s="50"/>
      <c r="AWA19" s="50"/>
      <c r="AWB19" s="50"/>
      <c r="AWC19" s="50"/>
      <c r="AWD19" s="50"/>
      <c r="AWE19" s="50"/>
      <c r="AWF19" s="50"/>
      <c r="AWG19" s="50"/>
      <c r="AWH19" s="50"/>
      <c r="AWI19" s="50"/>
      <c r="AWJ19" s="50"/>
      <c r="AWK19" s="50"/>
      <c r="AWL19" s="50"/>
      <c r="AWM19" s="50"/>
      <c r="AWN19" s="50"/>
      <c r="AWO19" s="50"/>
      <c r="AWP19" s="50"/>
      <c r="AWQ19" s="50"/>
      <c r="AWR19" s="50"/>
      <c r="AWS19" s="50"/>
      <c r="AWT19" s="50"/>
      <c r="AWU19" s="50"/>
      <c r="AWV19" s="50"/>
      <c r="AWW19" s="50"/>
      <c r="AWX19" s="50"/>
      <c r="AWY19" s="50"/>
      <c r="AWZ19" s="50"/>
      <c r="AXA19" s="50"/>
      <c r="AXB19" s="50"/>
      <c r="AXC19" s="50"/>
      <c r="AXD19" s="50"/>
      <c r="AXE19" s="50"/>
      <c r="AXF19" s="50"/>
      <c r="AXG19" s="50"/>
      <c r="AXH19" s="50"/>
      <c r="AXI19" s="50"/>
      <c r="AXJ19" s="50"/>
      <c r="AXK19" s="50"/>
      <c r="AXL19" s="50"/>
      <c r="AXM19" s="50"/>
      <c r="AXN19" s="50"/>
      <c r="AXO19" s="50"/>
      <c r="AXP19" s="50"/>
      <c r="AXQ19" s="50"/>
      <c r="AXR19" s="50"/>
      <c r="AXS19" s="50"/>
      <c r="AXT19" s="50"/>
      <c r="AXU19" s="50"/>
      <c r="AXV19" s="50"/>
      <c r="AXW19" s="50"/>
      <c r="AXX19" s="50"/>
      <c r="AXY19" s="50"/>
      <c r="AXZ19" s="50"/>
      <c r="AYA19" s="50"/>
      <c r="AYB19" s="50"/>
      <c r="AYC19" s="50"/>
      <c r="AYD19" s="50"/>
      <c r="AYE19" s="50"/>
      <c r="AYF19" s="50"/>
      <c r="AYG19" s="50"/>
      <c r="AYH19" s="50"/>
      <c r="AYI19" s="50"/>
      <c r="AYJ19" s="50"/>
      <c r="AYK19" s="50"/>
      <c r="AYL19" s="50"/>
      <c r="AYM19" s="50"/>
      <c r="AYN19" s="50"/>
      <c r="AYO19" s="50"/>
      <c r="AYP19" s="50"/>
      <c r="AYQ19" s="50"/>
      <c r="AYR19" s="50"/>
      <c r="AYS19" s="50"/>
      <c r="AYT19" s="50"/>
      <c r="AYU19" s="50"/>
      <c r="AYV19" s="50"/>
      <c r="AYW19" s="50"/>
      <c r="AYX19" s="50"/>
      <c r="AYY19" s="50"/>
      <c r="AYZ19" s="50"/>
      <c r="AZA19" s="50"/>
      <c r="AZB19" s="50"/>
      <c r="AZC19" s="50"/>
      <c r="AZD19" s="50"/>
      <c r="AZE19" s="50"/>
      <c r="AZF19" s="50"/>
      <c r="AZG19" s="50"/>
      <c r="AZH19" s="50"/>
      <c r="AZI19" s="50"/>
      <c r="AZJ19" s="50"/>
      <c r="AZK19" s="50"/>
      <c r="AZL19" s="50"/>
      <c r="AZM19" s="50"/>
      <c r="AZN19" s="50"/>
      <c r="AZO19" s="50"/>
      <c r="AZP19" s="50"/>
      <c r="AZQ19" s="50"/>
      <c r="AZR19" s="50"/>
      <c r="AZS19" s="50"/>
      <c r="AZT19" s="50"/>
      <c r="AZU19" s="50"/>
      <c r="AZV19" s="50"/>
      <c r="AZW19" s="50"/>
      <c r="AZX19" s="50"/>
      <c r="AZY19" s="50"/>
      <c r="AZZ19" s="50"/>
      <c r="BAA19" s="50"/>
      <c r="BAB19" s="50"/>
      <c r="BAC19" s="50"/>
      <c r="BAD19" s="50"/>
      <c r="BAE19" s="50"/>
      <c r="BAF19" s="50"/>
      <c r="BAG19" s="50"/>
      <c r="BAH19" s="50"/>
      <c r="BAI19" s="50"/>
      <c r="BAJ19" s="50"/>
      <c r="BAK19" s="50"/>
      <c r="BAL19" s="50"/>
      <c r="BAM19" s="50"/>
      <c r="BAN19" s="50"/>
      <c r="BAO19" s="50"/>
      <c r="BAP19" s="50"/>
      <c r="BAQ19" s="50"/>
      <c r="BAR19" s="50"/>
      <c r="BAS19" s="50"/>
      <c r="BAT19" s="50"/>
      <c r="BAU19" s="50"/>
      <c r="BAV19" s="50"/>
      <c r="BAW19" s="50"/>
      <c r="BAX19" s="50"/>
      <c r="BAY19" s="50"/>
      <c r="BAZ19" s="50"/>
      <c r="BBA19" s="50"/>
      <c r="BBB19" s="50"/>
      <c r="BBC19" s="50"/>
      <c r="BBD19" s="50"/>
      <c r="BBE19" s="50"/>
      <c r="BBF19" s="50"/>
      <c r="BBG19" s="50"/>
      <c r="BBH19" s="50"/>
      <c r="BBI19" s="50"/>
      <c r="BBJ19" s="50"/>
      <c r="BBK19" s="50"/>
      <c r="BBL19" s="50"/>
      <c r="BBM19" s="50"/>
      <c r="BBN19" s="50"/>
      <c r="BBO19" s="50"/>
      <c r="BBP19" s="50"/>
      <c r="BBQ19" s="50"/>
      <c r="BBR19" s="50"/>
      <c r="BBS19" s="50"/>
      <c r="BBT19" s="50"/>
      <c r="BBU19" s="50"/>
      <c r="BBV19" s="50"/>
      <c r="BBW19" s="50"/>
      <c r="BBX19" s="50"/>
      <c r="BBY19" s="50"/>
      <c r="BBZ19" s="50"/>
      <c r="BCA19" s="50"/>
      <c r="BCB19" s="50"/>
      <c r="BCC19" s="50"/>
      <c r="BCD19" s="50"/>
      <c r="BCE19" s="50"/>
      <c r="BCF19" s="50"/>
      <c r="BCG19" s="50"/>
      <c r="BCH19" s="50"/>
      <c r="BCI19" s="50"/>
      <c r="BCJ19" s="50"/>
      <c r="BCK19" s="50"/>
      <c r="BCL19" s="50"/>
      <c r="BCM19" s="50"/>
      <c r="BCN19" s="50"/>
      <c r="BCO19" s="50"/>
      <c r="BCP19" s="50"/>
      <c r="BCQ19" s="50"/>
      <c r="BCR19" s="50"/>
      <c r="BCS19" s="50"/>
      <c r="BCT19" s="50"/>
      <c r="BCU19" s="50"/>
      <c r="BCV19" s="50"/>
      <c r="BCW19" s="50"/>
      <c r="BCX19" s="50"/>
      <c r="BCY19" s="50"/>
      <c r="BCZ19" s="50"/>
      <c r="BDA19" s="50"/>
      <c r="BDB19" s="50"/>
      <c r="BDC19" s="50"/>
      <c r="BDD19" s="50"/>
      <c r="BDE19" s="50"/>
      <c r="BDF19" s="50"/>
      <c r="BDG19" s="50"/>
      <c r="BDH19" s="50"/>
      <c r="BDI19" s="50"/>
      <c r="BDJ19" s="50"/>
      <c r="BDK19" s="50"/>
      <c r="BDL19" s="50"/>
      <c r="BDM19" s="50"/>
      <c r="BDN19" s="50"/>
      <c r="BDO19" s="50"/>
      <c r="BDP19" s="50"/>
      <c r="BDQ19" s="50"/>
      <c r="BDR19" s="50"/>
      <c r="BDS19" s="50"/>
      <c r="BDT19" s="50"/>
      <c r="BDU19" s="50"/>
      <c r="BDV19" s="50"/>
      <c r="BDW19" s="50"/>
      <c r="BDX19" s="50"/>
      <c r="BDY19" s="50"/>
      <c r="BDZ19" s="50"/>
      <c r="BEA19" s="50"/>
      <c r="BEB19" s="50"/>
      <c r="BEC19" s="50"/>
      <c r="BED19" s="50"/>
      <c r="BEE19" s="50"/>
      <c r="BEF19" s="50"/>
      <c r="BEG19" s="50"/>
      <c r="BEH19" s="50"/>
      <c r="BEI19" s="50"/>
      <c r="BEJ19" s="50"/>
      <c r="BEK19" s="50"/>
      <c r="BEL19" s="50"/>
      <c r="BEM19" s="50"/>
      <c r="BEN19" s="50"/>
      <c r="BEO19" s="50"/>
      <c r="BEP19" s="50"/>
      <c r="BEQ19" s="50"/>
      <c r="BER19" s="50"/>
      <c r="BES19" s="50"/>
      <c r="BET19" s="50"/>
      <c r="BEU19" s="50"/>
      <c r="BEV19" s="50"/>
      <c r="BEW19" s="50"/>
      <c r="BEX19" s="50"/>
      <c r="BEY19" s="50"/>
      <c r="BEZ19" s="50"/>
      <c r="BFA19" s="50"/>
      <c r="BFB19" s="50"/>
      <c r="BFC19" s="50"/>
      <c r="BFD19" s="50"/>
      <c r="BFE19" s="50"/>
      <c r="BFF19" s="50"/>
      <c r="BFG19" s="50"/>
      <c r="BFH19" s="50"/>
      <c r="BFI19" s="50"/>
      <c r="BFJ19" s="50"/>
      <c r="BFK19" s="50"/>
      <c r="BFL19" s="50"/>
      <c r="BFM19" s="50"/>
      <c r="BFN19" s="50"/>
      <c r="BFO19" s="50"/>
      <c r="BFP19" s="50"/>
      <c r="BFQ19" s="50"/>
      <c r="BFR19" s="50"/>
      <c r="BFS19" s="50"/>
      <c r="BFT19" s="50"/>
      <c r="BFU19" s="50"/>
      <c r="BFV19" s="50"/>
      <c r="BFW19" s="50"/>
      <c r="BFX19" s="50"/>
      <c r="BFY19" s="50"/>
      <c r="BFZ19" s="50"/>
      <c r="BGA19" s="50"/>
      <c r="BGB19" s="50"/>
      <c r="BGC19" s="50"/>
      <c r="BGD19" s="50"/>
      <c r="BGE19" s="50"/>
      <c r="BGF19" s="50"/>
      <c r="BGG19" s="50"/>
      <c r="BGH19" s="50"/>
      <c r="BGI19" s="50"/>
      <c r="BGJ19" s="50"/>
      <c r="BGK19" s="50"/>
      <c r="BGL19" s="50"/>
      <c r="BGM19" s="50"/>
      <c r="BGN19" s="50"/>
      <c r="BGO19" s="50"/>
      <c r="BGP19" s="50"/>
      <c r="BGQ19" s="50"/>
      <c r="BGR19" s="50"/>
      <c r="BGS19" s="50"/>
      <c r="BGT19" s="50"/>
      <c r="BGU19" s="50"/>
      <c r="BGV19" s="50"/>
      <c r="BGW19" s="50"/>
      <c r="BGX19" s="50"/>
      <c r="BGY19" s="50"/>
      <c r="BGZ19" s="50"/>
      <c r="BHA19" s="50"/>
      <c r="BHB19" s="50"/>
      <c r="BHC19" s="50"/>
      <c r="BHD19" s="50"/>
      <c r="BHE19" s="50"/>
      <c r="BHF19" s="50"/>
      <c r="BHG19" s="50"/>
      <c r="BHH19" s="50"/>
      <c r="BHI19" s="50"/>
      <c r="BHJ19" s="50"/>
      <c r="BHK19" s="50"/>
      <c r="BHL19" s="50"/>
      <c r="BHM19" s="50"/>
      <c r="BHN19" s="50"/>
      <c r="BHO19" s="50"/>
      <c r="BHP19" s="50"/>
      <c r="BHQ19" s="50"/>
      <c r="BHR19" s="50"/>
      <c r="BHS19" s="50"/>
      <c r="BHT19" s="50"/>
      <c r="BHU19" s="50"/>
      <c r="BHV19" s="50"/>
      <c r="BHW19" s="50"/>
      <c r="BHX19" s="50"/>
      <c r="BHY19" s="50"/>
      <c r="BHZ19" s="50"/>
      <c r="BIA19" s="50"/>
      <c r="BIB19" s="50"/>
      <c r="BIC19" s="50"/>
      <c r="BID19" s="50"/>
      <c r="BIE19" s="50"/>
      <c r="BIF19" s="50"/>
      <c r="BIG19" s="50"/>
      <c r="BIH19" s="50"/>
      <c r="BII19" s="50"/>
      <c r="BIJ19" s="50"/>
      <c r="BIK19" s="50"/>
      <c r="BIL19" s="50"/>
      <c r="BIM19" s="50"/>
      <c r="BIN19" s="50"/>
      <c r="BIO19" s="50"/>
      <c r="BIP19" s="50"/>
      <c r="BIQ19" s="50"/>
      <c r="BIR19" s="50"/>
      <c r="BIS19" s="50"/>
      <c r="BIT19" s="50"/>
      <c r="BIU19" s="50"/>
      <c r="BIV19" s="50"/>
      <c r="BIW19" s="50"/>
      <c r="BIX19" s="50"/>
      <c r="BIY19" s="50"/>
      <c r="BIZ19" s="50"/>
      <c r="BJA19" s="50"/>
      <c r="BJB19" s="50"/>
      <c r="BJC19" s="50"/>
      <c r="BJD19" s="50"/>
      <c r="BJE19" s="50"/>
      <c r="BJF19" s="50"/>
      <c r="BJG19" s="50"/>
      <c r="BJH19" s="50"/>
      <c r="BJI19" s="50"/>
      <c r="BJJ19" s="50"/>
      <c r="BJK19" s="50"/>
      <c r="BJL19" s="50"/>
      <c r="BJM19" s="50"/>
      <c r="BJN19" s="50"/>
      <c r="BJO19" s="50"/>
      <c r="BJP19" s="50"/>
      <c r="BJQ19" s="50"/>
      <c r="BJR19" s="50"/>
      <c r="BJS19" s="50"/>
      <c r="BJT19" s="50"/>
      <c r="BJU19" s="50"/>
      <c r="BJV19" s="50"/>
      <c r="BJW19" s="50"/>
      <c r="BJX19" s="50"/>
      <c r="BJY19" s="50"/>
      <c r="BJZ19" s="50"/>
      <c r="BKA19" s="50"/>
      <c r="BKB19" s="50"/>
      <c r="BKC19" s="50"/>
      <c r="BKD19" s="50"/>
      <c r="BKE19" s="50"/>
      <c r="BKF19" s="50"/>
      <c r="BKG19" s="50"/>
      <c r="BKH19" s="50"/>
      <c r="BKI19" s="50"/>
      <c r="BKJ19" s="50"/>
      <c r="BKK19" s="50"/>
      <c r="BKL19" s="50"/>
      <c r="BKM19" s="50"/>
      <c r="BKN19" s="50"/>
      <c r="BKO19" s="50"/>
      <c r="BKP19" s="50"/>
      <c r="BKQ19" s="50"/>
      <c r="BKR19" s="50"/>
      <c r="BKS19" s="50"/>
      <c r="BKT19" s="50"/>
      <c r="BKU19" s="50"/>
      <c r="BKV19" s="50"/>
      <c r="BKW19" s="50"/>
      <c r="BKX19" s="50"/>
      <c r="BKY19" s="50"/>
      <c r="BKZ19" s="50"/>
      <c r="BLA19" s="50"/>
      <c r="BLB19" s="50"/>
      <c r="BLC19" s="50"/>
      <c r="BLD19" s="50"/>
      <c r="BLE19" s="50"/>
      <c r="BLF19" s="50"/>
      <c r="BLG19" s="50"/>
      <c r="BLH19" s="50"/>
      <c r="BLI19" s="50"/>
      <c r="BLJ19" s="50"/>
      <c r="BLK19" s="50"/>
      <c r="BLL19" s="50"/>
      <c r="BLM19" s="50"/>
      <c r="BLN19" s="50"/>
      <c r="BLO19" s="50"/>
      <c r="BLP19" s="50"/>
      <c r="BLQ19" s="50"/>
      <c r="BLR19" s="50"/>
      <c r="BLS19" s="50"/>
      <c r="BLT19" s="50"/>
      <c r="BLU19" s="50"/>
      <c r="BLV19" s="50"/>
      <c r="BLW19" s="50"/>
      <c r="BLX19" s="50"/>
      <c r="BLY19" s="50"/>
      <c r="BLZ19" s="50"/>
      <c r="BMA19" s="50"/>
      <c r="BMB19" s="50"/>
      <c r="BMC19" s="50"/>
      <c r="BMD19" s="50"/>
      <c r="BME19" s="50"/>
      <c r="BMF19" s="50"/>
      <c r="BMG19" s="50"/>
      <c r="BMH19" s="50"/>
      <c r="BMI19" s="50"/>
      <c r="BMJ19" s="50"/>
      <c r="BMK19" s="50"/>
      <c r="BML19" s="50"/>
      <c r="BMM19" s="50"/>
      <c r="BMN19" s="50"/>
      <c r="BMO19" s="50"/>
      <c r="BMP19" s="50"/>
      <c r="BMQ19" s="50"/>
      <c r="BMR19" s="50"/>
      <c r="BMS19" s="50"/>
      <c r="BMT19" s="50"/>
      <c r="BMU19" s="50"/>
      <c r="BMV19" s="50"/>
      <c r="BMW19" s="50"/>
      <c r="BMX19" s="50"/>
      <c r="BMY19" s="50"/>
      <c r="BMZ19" s="50"/>
      <c r="BNA19" s="50"/>
      <c r="BNB19" s="50"/>
      <c r="BNC19" s="50"/>
      <c r="BND19" s="50"/>
      <c r="BNE19" s="50"/>
      <c r="BNF19" s="50"/>
      <c r="BNG19" s="50"/>
      <c r="BNH19" s="50"/>
      <c r="BNI19" s="50"/>
      <c r="BNJ19" s="50"/>
      <c r="BNK19" s="50"/>
      <c r="BNL19" s="50"/>
      <c r="BNM19" s="50"/>
      <c r="BNN19" s="50"/>
      <c r="BNO19" s="50"/>
      <c r="BNP19" s="50"/>
      <c r="BNQ19" s="50"/>
      <c r="BNR19" s="50"/>
      <c r="BNS19" s="50"/>
      <c r="BNT19" s="50"/>
      <c r="BNU19" s="50"/>
      <c r="BNV19" s="50"/>
      <c r="BNW19" s="50"/>
      <c r="BNX19" s="50"/>
      <c r="BNY19" s="50"/>
      <c r="BNZ19" s="50"/>
      <c r="BOA19" s="50"/>
      <c r="BOB19" s="50"/>
      <c r="BOC19" s="50"/>
      <c r="BOD19" s="50"/>
      <c r="BOE19" s="50"/>
      <c r="BOF19" s="50"/>
      <c r="BOG19" s="50"/>
      <c r="BOH19" s="50"/>
      <c r="BOI19" s="50"/>
      <c r="BOJ19" s="50"/>
      <c r="BOK19" s="50"/>
      <c r="BOL19" s="50"/>
      <c r="BOM19" s="50"/>
      <c r="BON19" s="50"/>
      <c r="BOO19" s="50"/>
      <c r="BOP19" s="50"/>
      <c r="BOQ19" s="50"/>
      <c r="BOR19" s="50"/>
      <c r="BOS19" s="50"/>
      <c r="BOT19" s="50"/>
      <c r="BOU19" s="50"/>
      <c r="BOV19" s="50"/>
      <c r="BOW19" s="50"/>
      <c r="BOX19" s="50"/>
      <c r="BOY19" s="50"/>
      <c r="BOZ19" s="50"/>
      <c r="BPA19" s="50"/>
      <c r="BPB19" s="50"/>
      <c r="BPC19" s="50"/>
      <c r="BPD19" s="50"/>
      <c r="BPE19" s="50"/>
      <c r="BPF19" s="50"/>
      <c r="BPG19" s="50"/>
      <c r="BPH19" s="50"/>
      <c r="BPI19" s="50"/>
      <c r="BPJ19" s="50"/>
      <c r="BPK19" s="50"/>
      <c r="BPL19" s="50"/>
      <c r="BPM19" s="50"/>
      <c r="BPN19" s="50"/>
      <c r="BPO19" s="50"/>
      <c r="BPP19" s="50"/>
      <c r="BPQ19" s="50"/>
      <c r="BPR19" s="50"/>
      <c r="BPS19" s="50"/>
      <c r="BPT19" s="50"/>
      <c r="BPU19" s="50"/>
      <c r="BPV19" s="50"/>
      <c r="BPW19" s="50"/>
      <c r="BPX19" s="50"/>
      <c r="BPY19" s="50"/>
      <c r="BPZ19" s="50"/>
      <c r="BQA19" s="50"/>
      <c r="BQB19" s="50"/>
      <c r="BQC19" s="50"/>
      <c r="BQD19" s="50"/>
      <c r="BQE19" s="50"/>
      <c r="BQF19" s="50"/>
      <c r="BQG19" s="50"/>
      <c r="BQH19" s="50"/>
      <c r="BQI19" s="50"/>
      <c r="BQJ19" s="50"/>
      <c r="BQK19" s="50"/>
      <c r="BQL19" s="50"/>
      <c r="BQM19" s="50"/>
      <c r="BQN19" s="50"/>
      <c r="BQO19" s="50"/>
      <c r="BQP19" s="50"/>
      <c r="BQQ19" s="50"/>
      <c r="BQR19" s="50"/>
      <c r="BQS19" s="50"/>
      <c r="BQT19" s="50"/>
      <c r="BQU19" s="50"/>
      <c r="BQV19" s="50"/>
      <c r="BQW19" s="50"/>
      <c r="BQX19" s="50"/>
      <c r="BQY19" s="50"/>
      <c r="BQZ19" s="50"/>
      <c r="BRA19" s="50"/>
      <c r="BRB19" s="50"/>
      <c r="BRC19" s="50"/>
      <c r="BRD19" s="50"/>
      <c r="BRE19" s="50"/>
      <c r="BRF19" s="50"/>
      <c r="BRG19" s="50"/>
      <c r="BRH19" s="50"/>
      <c r="BRI19" s="50"/>
      <c r="BRJ19" s="50"/>
      <c r="BRK19" s="50"/>
      <c r="BRL19" s="50"/>
      <c r="BRM19" s="50"/>
      <c r="BRN19" s="50"/>
      <c r="BRO19" s="50"/>
      <c r="BRP19" s="50"/>
      <c r="BRQ19" s="50"/>
      <c r="BRR19" s="50"/>
      <c r="BRS19" s="50"/>
      <c r="BRT19" s="50"/>
      <c r="BRU19" s="50"/>
      <c r="BRV19" s="50"/>
      <c r="BRW19" s="50"/>
      <c r="BRX19" s="50"/>
      <c r="BRY19" s="50"/>
      <c r="BRZ19" s="50"/>
      <c r="BSA19" s="50"/>
      <c r="BSB19" s="50"/>
      <c r="BSC19" s="50"/>
      <c r="BSD19" s="50"/>
      <c r="BSE19" s="50"/>
      <c r="BSF19" s="50"/>
      <c r="BSG19" s="50"/>
      <c r="BSH19" s="50"/>
      <c r="BSI19" s="50"/>
      <c r="BSJ19" s="50"/>
      <c r="BSK19" s="50"/>
      <c r="BSL19" s="50"/>
      <c r="BSM19" s="50"/>
      <c r="BSN19" s="50"/>
      <c r="BSO19" s="50"/>
      <c r="BSP19" s="50"/>
      <c r="BSQ19" s="50"/>
      <c r="BSR19" s="50"/>
      <c r="BSS19" s="50"/>
      <c r="BST19" s="50"/>
      <c r="BSU19" s="50"/>
      <c r="BSV19" s="50"/>
      <c r="BSW19" s="50"/>
      <c r="BSX19" s="50"/>
      <c r="BSY19" s="50"/>
      <c r="BSZ19" s="50"/>
      <c r="BTA19" s="50"/>
      <c r="BTB19" s="50"/>
      <c r="BTC19" s="50"/>
      <c r="BTD19" s="50"/>
      <c r="BTE19" s="50"/>
      <c r="BTF19" s="50"/>
      <c r="BTG19" s="50"/>
      <c r="BTH19" s="50"/>
      <c r="BTI19" s="50"/>
      <c r="BTJ19" s="50"/>
      <c r="BTK19" s="50"/>
      <c r="BTL19" s="50"/>
      <c r="BTM19" s="50"/>
      <c r="BTN19" s="50"/>
      <c r="BTO19" s="50"/>
      <c r="BTP19" s="50"/>
      <c r="BTQ19" s="50"/>
      <c r="BTR19" s="50"/>
      <c r="BTS19" s="50"/>
      <c r="BTT19" s="50"/>
      <c r="BTU19" s="50"/>
      <c r="BTV19" s="50"/>
      <c r="BTW19" s="50"/>
      <c r="BTX19" s="50"/>
    </row>
    <row r="20" ht="15.75" customHeight="1">
      <c r="A20" t="s">
        <v>60</v>
      </c>
      <c r="B20" t="s">
        <v>45</v>
      </c>
      <c r="E20">
        <v>1000.0</v>
      </c>
      <c r="F20" t="s">
        <v>78</v>
      </c>
      <c r="G20" t="s">
        <v>64</v>
      </c>
      <c r="K20">
        <v>60.0</v>
      </c>
      <c r="L20">
        <v>60.0</v>
      </c>
      <c r="O20" t="s">
        <v>70</v>
      </c>
      <c r="V20" t="s">
        <v>84</v>
      </c>
      <c r="Z20" t="s">
        <v>67</v>
      </c>
      <c r="AD20" t="s">
        <v>66</v>
      </c>
      <c r="AE20">
        <v>1000.0</v>
      </c>
      <c r="AF20" t="s">
        <v>60</v>
      </c>
      <c r="AH20" t="s">
        <v>80</v>
      </c>
      <c r="AI20">
        <v>1.0</v>
      </c>
      <c r="AP20" t="b">
        <v>1</v>
      </c>
      <c r="AQ20" t="b">
        <v>0</v>
      </c>
      <c r="AR20" t="b">
        <v>1</v>
      </c>
      <c r="BE20">
        <v>60000.0</v>
      </c>
      <c r="BF20">
        <v>60000.0</v>
      </c>
      <c r="BJ20">
        <v>1000.0</v>
      </c>
      <c r="BM20" t="s">
        <v>67</v>
      </c>
      <c r="BO20" t="s">
        <v>35</v>
      </c>
      <c r="BT20" t="s">
        <v>44</v>
      </c>
      <c r="CK20" t="s">
        <v>65</v>
      </c>
      <c r="CL20">
        <v>1.0</v>
      </c>
      <c r="CM20" t="s">
        <v>44</v>
      </c>
      <c r="CN20" t="s">
        <v>69</v>
      </c>
      <c r="CX20" t="s">
        <v>60</v>
      </c>
      <c r="CY20" t="s">
        <v>60</v>
      </c>
      <c r="CZ20" t="s">
        <v>60</v>
      </c>
      <c r="DA20" t="s">
        <v>60</v>
      </c>
      <c r="DB20" t="s">
        <v>60</v>
      </c>
      <c r="DC20" t="s">
        <v>60</v>
      </c>
      <c r="DD20" t="s">
        <v>60</v>
      </c>
      <c r="DE20" t="s">
        <v>60</v>
      </c>
      <c r="DF20" t="s">
        <v>60</v>
      </c>
      <c r="DG20" t="s">
        <v>60</v>
      </c>
      <c r="DH20" t="s">
        <v>60</v>
      </c>
      <c r="DI20" t="s">
        <v>60</v>
      </c>
      <c r="DJ20" t="s">
        <v>60</v>
      </c>
      <c r="DK20" t="s">
        <v>60</v>
      </c>
      <c r="DL20" t="s">
        <v>60</v>
      </c>
      <c r="DM20" t="s">
        <v>60</v>
      </c>
      <c r="DN20" t="s">
        <v>60</v>
      </c>
      <c r="DO20" t="s">
        <v>60</v>
      </c>
      <c r="DP20" t="s">
        <v>60</v>
      </c>
      <c r="DQ20" t="s">
        <v>60</v>
      </c>
      <c r="DR20" t="s">
        <v>60</v>
      </c>
      <c r="DS20" t="s">
        <v>60</v>
      </c>
      <c r="DT20" t="s">
        <v>60</v>
      </c>
      <c r="DU20" t="s">
        <v>60</v>
      </c>
      <c r="DV20" t="s">
        <v>60</v>
      </c>
      <c r="DW20" t="s">
        <v>60</v>
      </c>
      <c r="DX20" t="s">
        <v>60</v>
      </c>
      <c r="DY20" t="s">
        <v>60</v>
      </c>
      <c r="DZ20" t="s">
        <v>60</v>
      </c>
      <c r="EA20" t="s">
        <v>60</v>
      </c>
      <c r="EB20" t="s">
        <v>60</v>
      </c>
      <c r="EC20" t="s">
        <v>60</v>
      </c>
      <c r="ED20" t="s">
        <v>60</v>
      </c>
      <c r="EE20" t="s">
        <v>60</v>
      </c>
      <c r="EF20" t="s">
        <v>60</v>
      </c>
      <c r="EG20" t="s">
        <v>60</v>
      </c>
      <c r="EH20" t="s">
        <v>60</v>
      </c>
      <c r="EI20" t="s">
        <v>60</v>
      </c>
      <c r="EJ20" t="s">
        <v>60</v>
      </c>
      <c r="EK20" t="s">
        <v>60</v>
      </c>
      <c r="EL20" t="s">
        <v>60</v>
      </c>
      <c r="EM20" t="s">
        <v>60</v>
      </c>
      <c r="EN20" t="s">
        <v>60</v>
      </c>
      <c r="EO20" t="s">
        <v>60</v>
      </c>
      <c r="EP20" t="s">
        <v>60</v>
      </c>
      <c r="EQ20" t="s">
        <v>60</v>
      </c>
      <c r="ER20" t="s">
        <v>60</v>
      </c>
      <c r="ES20" t="s">
        <v>60</v>
      </c>
      <c r="ET20" t="s">
        <v>60</v>
      </c>
      <c r="EU20" t="s">
        <v>60</v>
      </c>
      <c r="EV20" t="s">
        <v>60</v>
      </c>
      <c r="EW20" t="s">
        <v>60</v>
      </c>
      <c r="EX20" t="s">
        <v>60</v>
      </c>
      <c r="EY20" t="s">
        <v>60</v>
      </c>
      <c r="EZ20" t="s">
        <v>60</v>
      </c>
      <c r="FA20" t="s">
        <v>60</v>
      </c>
      <c r="FB20" t="s">
        <v>60</v>
      </c>
      <c r="FC20" t="s">
        <v>60</v>
      </c>
      <c r="FD20" t="s">
        <v>60</v>
      </c>
      <c r="FE20" t="s">
        <v>60</v>
      </c>
      <c r="FF20" t="s">
        <v>60</v>
      </c>
      <c r="FG20" t="s">
        <v>60</v>
      </c>
      <c r="FH20" t="s">
        <v>60</v>
      </c>
      <c r="FI20" t="s">
        <v>60</v>
      </c>
      <c r="FJ20" t="s">
        <v>60</v>
      </c>
      <c r="FK20" t="s">
        <v>60</v>
      </c>
      <c r="FL20" t="s">
        <v>60</v>
      </c>
      <c r="FM20" t="s">
        <v>60</v>
      </c>
      <c r="FN20" t="s">
        <v>60</v>
      </c>
      <c r="FO20" t="s">
        <v>60</v>
      </c>
      <c r="FP20" t="s">
        <v>60</v>
      </c>
      <c r="FQ20" t="s">
        <v>60</v>
      </c>
      <c r="AML20" s="36" t="str">
        <f t="shared" ref="AML20:AND20" si="15">iferror(INDEX('Input(Other)'!$A:$FF,MATCH($A20,'Input(Other)'!$A$1:$A$210,0),MATCH(AML$1,'Input(Other)'!$1:$1,0)),"")</f>
        <v/>
      </c>
      <c r="AMM20" s="36" t="str">
        <f t="shared" si="15"/>
        <v/>
      </c>
      <c r="AMN20" s="36" t="str">
        <f t="shared" si="15"/>
        <v/>
      </c>
      <c r="AMO20" s="36" t="str">
        <f t="shared" si="15"/>
        <v/>
      </c>
      <c r="AMP20" s="36" t="str">
        <f t="shared" si="15"/>
        <v/>
      </c>
      <c r="AMQ20" s="36" t="str">
        <f t="shared" si="15"/>
        <v/>
      </c>
      <c r="AMR20" s="36" t="str">
        <f t="shared" si="15"/>
        <v/>
      </c>
      <c r="AMS20" s="36" t="str">
        <f t="shared" si="15"/>
        <v/>
      </c>
      <c r="AMT20" s="36" t="str">
        <f t="shared" si="15"/>
        <v/>
      </c>
      <c r="AMU20" s="36" t="str">
        <f t="shared" si="15"/>
        <v/>
      </c>
      <c r="AMV20" s="36" t="str">
        <f t="shared" si="15"/>
        <v/>
      </c>
      <c r="AMW20" s="36" t="str">
        <f t="shared" si="15"/>
        <v/>
      </c>
      <c r="AMX20" s="36" t="str">
        <f t="shared" si="15"/>
        <v/>
      </c>
      <c r="AMY20" s="36" t="str">
        <f t="shared" si="15"/>
        <v/>
      </c>
      <c r="AMZ20" s="36" t="str">
        <f t="shared" si="15"/>
        <v/>
      </c>
      <c r="ANA20" s="36" t="str">
        <f t="shared" si="15"/>
        <v/>
      </c>
      <c r="ANB20" s="36" t="str">
        <f t="shared" si="15"/>
        <v/>
      </c>
      <c r="ANC20" s="36" t="str">
        <f t="shared" si="15"/>
        <v/>
      </c>
      <c r="AND20" s="36" t="str">
        <f t="shared" si="15"/>
        <v/>
      </c>
      <c r="ANE20" s="50"/>
      <c r="ANF20" s="50"/>
      <c r="ANG20" s="50"/>
      <c r="ANH20" s="50"/>
      <c r="ANI20" s="50"/>
      <c r="ANJ20" s="50"/>
      <c r="ANK20" s="50"/>
      <c r="ANL20" s="50"/>
      <c r="ANM20" s="50"/>
      <c r="ANN20" s="50"/>
      <c r="ANO20" s="50"/>
      <c r="ANP20" s="50"/>
      <c r="ANQ20" s="50"/>
      <c r="ANR20" s="50"/>
      <c r="ANS20" s="50"/>
      <c r="ANT20" s="50"/>
      <c r="ANU20" s="50"/>
      <c r="ANV20" s="50"/>
      <c r="ANW20" s="50"/>
      <c r="ANX20" s="50"/>
      <c r="ANY20" s="50"/>
      <c r="ANZ20" s="50"/>
      <c r="AOA20" s="50"/>
      <c r="AOB20" s="50"/>
      <c r="AOC20" s="50"/>
      <c r="AOD20" s="50"/>
      <c r="AOE20" s="50"/>
      <c r="AOF20" s="50"/>
      <c r="AOG20" s="50"/>
      <c r="AOH20" s="50"/>
      <c r="AOI20" s="50"/>
      <c r="AOJ20" s="50"/>
      <c r="AOK20" s="50"/>
      <c r="AOL20" s="50"/>
      <c r="AOM20" s="50"/>
      <c r="AON20" s="50"/>
      <c r="AOO20" s="50"/>
      <c r="AOP20" s="50"/>
      <c r="AOQ20" s="50"/>
      <c r="AOR20" s="50"/>
      <c r="AOS20" s="50"/>
      <c r="AOT20" s="50"/>
      <c r="AOU20" s="50"/>
      <c r="AOV20" s="50"/>
      <c r="AOW20" s="50"/>
      <c r="AOX20" s="50"/>
      <c r="AOY20" s="50"/>
      <c r="AOZ20" s="50"/>
      <c r="APA20" s="50"/>
      <c r="APB20" s="50"/>
      <c r="APC20" s="50"/>
      <c r="APD20" s="50"/>
      <c r="APE20" s="50"/>
      <c r="APF20" s="50"/>
      <c r="APG20" s="50"/>
      <c r="APH20" s="50"/>
      <c r="API20" s="50"/>
      <c r="APJ20" s="50"/>
      <c r="APK20" s="50"/>
      <c r="APL20" s="50"/>
      <c r="APM20" s="50"/>
      <c r="APN20" s="50"/>
      <c r="APO20" s="50"/>
      <c r="APP20" s="50"/>
      <c r="APQ20" s="50"/>
      <c r="APR20" s="50"/>
      <c r="APS20" s="50"/>
      <c r="APT20" s="50"/>
      <c r="APU20" s="50"/>
      <c r="APV20" s="50"/>
      <c r="APW20" s="50"/>
      <c r="APX20" s="50"/>
      <c r="APY20" s="50"/>
      <c r="APZ20" s="50"/>
      <c r="AQA20" s="50"/>
      <c r="AQB20" s="50"/>
      <c r="AQC20" s="50"/>
      <c r="AQD20" s="50"/>
      <c r="AQE20" s="50"/>
      <c r="AQF20" s="50"/>
      <c r="AQG20" s="50"/>
      <c r="AQH20" s="50"/>
      <c r="AQI20" s="50"/>
      <c r="AQJ20" s="50"/>
      <c r="AQK20" s="50"/>
      <c r="AQL20" s="50"/>
      <c r="AQM20" s="50"/>
      <c r="AQN20" s="50"/>
      <c r="AQO20" s="50"/>
      <c r="AQP20" s="50"/>
      <c r="AQQ20" s="50"/>
      <c r="AQR20" s="50"/>
      <c r="AQS20" s="50"/>
      <c r="AQT20" s="50"/>
      <c r="AQU20" s="50"/>
      <c r="AQV20" s="50"/>
      <c r="AQW20" s="50"/>
      <c r="AQX20" s="50"/>
      <c r="AQY20" s="50"/>
      <c r="AQZ20" s="50"/>
      <c r="ARA20" s="50"/>
      <c r="ARB20" s="50"/>
      <c r="ARC20" s="50"/>
      <c r="ARD20" s="50"/>
      <c r="ARE20" s="50"/>
      <c r="ARF20" s="50"/>
      <c r="ARG20" s="50"/>
      <c r="ARH20" s="50"/>
      <c r="ARI20" s="50"/>
      <c r="ARJ20" s="50"/>
      <c r="ARK20" s="50"/>
      <c r="ARL20" s="50"/>
      <c r="ARM20" s="50"/>
      <c r="ARN20" s="50"/>
      <c r="ARO20" s="50"/>
      <c r="ARP20" s="50"/>
      <c r="ARQ20" s="50"/>
      <c r="ARR20" s="50"/>
      <c r="ARS20" s="50"/>
      <c r="ART20" s="50"/>
      <c r="ARU20" s="50"/>
      <c r="ARV20" s="50"/>
      <c r="ARW20" s="50"/>
      <c r="ARX20" s="50"/>
      <c r="ARY20" s="50"/>
      <c r="ARZ20" s="50"/>
      <c r="ASA20" s="50"/>
      <c r="ASB20" s="50"/>
      <c r="ASC20" s="50"/>
      <c r="ASD20" s="50"/>
      <c r="ASE20" s="50"/>
      <c r="ASF20" s="50"/>
      <c r="ASG20" s="50"/>
      <c r="ASH20" s="50"/>
      <c r="ASI20" s="50"/>
      <c r="ASJ20" s="50"/>
      <c r="ASK20" s="50"/>
      <c r="ASL20" s="50"/>
      <c r="ASM20" s="50"/>
      <c r="ASN20" s="50"/>
      <c r="ASO20" s="50"/>
      <c r="ASP20" s="50"/>
      <c r="ASQ20" s="50"/>
      <c r="ASR20" s="50"/>
      <c r="ASS20" s="50"/>
      <c r="AST20" s="50"/>
      <c r="ASU20" s="50"/>
      <c r="ASV20" s="50"/>
      <c r="ASW20" s="50"/>
      <c r="ASX20" s="50"/>
      <c r="ASY20" s="50"/>
      <c r="ASZ20" s="50"/>
      <c r="ATA20" s="50"/>
      <c r="ATB20" s="50"/>
      <c r="ATC20" s="50"/>
      <c r="ATD20" s="50"/>
      <c r="ATE20" s="50"/>
      <c r="ATF20" s="50"/>
      <c r="ATG20" s="50"/>
      <c r="ATH20" s="50"/>
      <c r="ATI20" s="50"/>
      <c r="ATJ20" s="50"/>
      <c r="ATK20" s="50"/>
      <c r="ATL20" s="50"/>
      <c r="ATM20" s="50"/>
      <c r="ATN20" s="50"/>
      <c r="ATO20" s="50"/>
      <c r="ATP20" s="50"/>
      <c r="ATQ20" s="50"/>
      <c r="ATR20" s="50"/>
      <c r="ATS20" s="50"/>
      <c r="ATT20" s="50"/>
      <c r="ATU20" s="50"/>
      <c r="ATV20" s="50"/>
      <c r="ATW20" s="50"/>
      <c r="ATX20" s="50"/>
      <c r="ATY20" s="50"/>
      <c r="ATZ20" s="50"/>
      <c r="AUA20" s="50"/>
      <c r="AUB20" s="50"/>
      <c r="AUC20" s="50"/>
      <c r="AUD20" s="50"/>
      <c r="AUE20" s="50"/>
      <c r="AUF20" s="50"/>
      <c r="AUG20" s="50"/>
      <c r="AUH20" s="50"/>
      <c r="AUI20" s="50"/>
      <c r="AUJ20" s="50"/>
      <c r="AUK20" s="50"/>
      <c r="AUL20" s="50"/>
      <c r="AUM20" s="50"/>
      <c r="AUN20" s="50"/>
      <c r="AUO20" s="50"/>
      <c r="AUP20" s="50"/>
      <c r="AUQ20" s="50"/>
      <c r="AUR20" s="50"/>
      <c r="AUS20" s="50"/>
      <c r="AUT20" s="50"/>
      <c r="AUU20" s="50"/>
      <c r="AUV20" s="50"/>
      <c r="AUW20" s="50"/>
      <c r="AUX20" s="50"/>
      <c r="AUY20" s="50"/>
      <c r="AUZ20" s="50"/>
      <c r="AVA20" s="50"/>
      <c r="AVB20" s="50"/>
      <c r="AVC20" s="50"/>
      <c r="AVD20" s="50"/>
      <c r="AVE20" s="50"/>
      <c r="AVF20" s="50"/>
      <c r="AVG20" s="50"/>
      <c r="AVH20" s="50"/>
      <c r="AVI20" s="50"/>
      <c r="AVJ20" s="50"/>
      <c r="AVK20" s="50"/>
      <c r="AVL20" s="50"/>
      <c r="AVM20" s="50"/>
      <c r="AVN20" s="50"/>
      <c r="AVO20" s="50"/>
      <c r="AVP20" s="50"/>
      <c r="AVQ20" s="50"/>
      <c r="AVR20" s="50"/>
      <c r="AVS20" s="50"/>
      <c r="AVT20" s="50"/>
      <c r="AVU20" s="50"/>
      <c r="AVV20" s="50"/>
      <c r="AVW20" s="50"/>
      <c r="AVX20" s="50"/>
      <c r="AVY20" s="50"/>
      <c r="AVZ20" s="50"/>
      <c r="AWA20" s="50"/>
      <c r="AWB20" s="50"/>
      <c r="AWC20" s="50"/>
      <c r="AWD20" s="50"/>
      <c r="AWE20" s="50"/>
      <c r="AWF20" s="50"/>
      <c r="AWG20" s="50"/>
      <c r="AWH20" s="50"/>
      <c r="AWI20" s="50"/>
      <c r="AWJ20" s="50"/>
      <c r="AWK20" s="50"/>
      <c r="AWL20" s="50"/>
      <c r="AWM20" s="50"/>
      <c r="AWN20" s="50"/>
      <c r="AWO20" s="50"/>
      <c r="AWP20" s="50"/>
      <c r="AWQ20" s="50"/>
      <c r="AWR20" s="50"/>
      <c r="AWS20" s="50"/>
      <c r="AWT20" s="50"/>
      <c r="AWU20" s="50"/>
      <c r="AWV20" s="50"/>
      <c r="AWW20" s="50"/>
      <c r="AWX20" s="50"/>
      <c r="AWY20" s="50"/>
      <c r="AWZ20" s="50"/>
      <c r="AXA20" s="50"/>
      <c r="AXB20" s="50"/>
      <c r="AXC20" s="50"/>
      <c r="AXD20" s="50"/>
      <c r="AXE20" s="50"/>
      <c r="AXF20" s="50"/>
      <c r="AXG20" s="50"/>
      <c r="AXH20" s="50"/>
      <c r="AXI20" s="50"/>
      <c r="AXJ20" s="50"/>
      <c r="AXK20" s="50"/>
      <c r="AXL20" s="50"/>
      <c r="AXM20" s="50"/>
      <c r="AXN20" s="50"/>
      <c r="AXO20" s="50"/>
      <c r="AXP20" s="50"/>
      <c r="AXQ20" s="50"/>
      <c r="AXR20" s="50"/>
      <c r="AXS20" s="50"/>
      <c r="AXT20" s="50"/>
      <c r="AXU20" s="50"/>
      <c r="AXV20" s="50"/>
      <c r="AXW20" s="50"/>
      <c r="AXX20" s="50"/>
      <c r="AXY20" s="50"/>
      <c r="AXZ20" s="50"/>
      <c r="AYA20" s="50"/>
      <c r="AYB20" s="50"/>
      <c r="AYC20" s="50"/>
      <c r="AYD20" s="50"/>
      <c r="AYE20" s="50"/>
      <c r="AYF20" s="50"/>
      <c r="AYG20" s="50"/>
      <c r="AYH20" s="50"/>
      <c r="AYI20" s="50"/>
      <c r="AYJ20" s="50"/>
      <c r="AYK20" s="50"/>
      <c r="AYL20" s="50"/>
      <c r="AYM20" s="50"/>
      <c r="AYN20" s="50"/>
      <c r="AYO20" s="50"/>
      <c r="AYP20" s="50"/>
      <c r="AYQ20" s="50"/>
      <c r="AYR20" s="50"/>
      <c r="AYS20" s="50"/>
      <c r="AYT20" s="50"/>
      <c r="AYU20" s="50"/>
      <c r="AYV20" s="50"/>
      <c r="AYW20" s="50"/>
      <c r="AYX20" s="50"/>
      <c r="AYY20" s="50"/>
      <c r="AYZ20" s="50"/>
      <c r="AZA20" s="50"/>
      <c r="AZB20" s="50"/>
      <c r="AZC20" s="50"/>
      <c r="AZD20" s="50"/>
      <c r="AZE20" s="50"/>
      <c r="AZF20" s="50"/>
      <c r="AZG20" s="50"/>
      <c r="AZH20" s="50"/>
      <c r="AZI20" s="50"/>
      <c r="AZJ20" s="50"/>
      <c r="AZK20" s="50"/>
      <c r="AZL20" s="50"/>
      <c r="AZM20" s="50"/>
      <c r="AZN20" s="50"/>
      <c r="AZO20" s="50"/>
      <c r="AZP20" s="50"/>
      <c r="AZQ20" s="50"/>
      <c r="AZR20" s="50"/>
      <c r="AZS20" s="50"/>
      <c r="AZT20" s="50"/>
      <c r="AZU20" s="50"/>
      <c r="AZV20" s="50"/>
      <c r="AZW20" s="50"/>
      <c r="AZX20" s="50"/>
      <c r="AZY20" s="50"/>
      <c r="AZZ20" s="50"/>
      <c r="BAA20" s="50"/>
      <c r="BAB20" s="50"/>
      <c r="BAC20" s="50"/>
      <c r="BAD20" s="50"/>
      <c r="BAE20" s="50"/>
      <c r="BAF20" s="50"/>
      <c r="BAG20" s="50"/>
      <c r="BAH20" s="50"/>
      <c r="BAI20" s="50"/>
      <c r="BAJ20" s="50"/>
      <c r="BAK20" s="50"/>
      <c r="BAL20" s="50"/>
      <c r="BAM20" s="50"/>
      <c r="BAN20" s="50"/>
      <c r="BAO20" s="50"/>
      <c r="BAP20" s="50"/>
      <c r="BAQ20" s="50"/>
      <c r="BAR20" s="50"/>
      <c r="BAS20" s="50"/>
      <c r="BAT20" s="50"/>
      <c r="BAU20" s="50"/>
      <c r="BAV20" s="50"/>
      <c r="BAW20" s="50"/>
      <c r="BAX20" s="50"/>
      <c r="BAY20" s="50"/>
      <c r="BAZ20" s="50"/>
      <c r="BBA20" s="50"/>
      <c r="BBB20" s="50"/>
      <c r="BBC20" s="50"/>
      <c r="BBD20" s="50"/>
      <c r="BBE20" s="50"/>
      <c r="BBF20" s="50"/>
      <c r="BBG20" s="50"/>
      <c r="BBH20" s="50"/>
      <c r="BBI20" s="50"/>
      <c r="BBJ20" s="50"/>
      <c r="BBK20" s="50"/>
      <c r="BBL20" s="50"/>
      <c r="BBM20" s="50"/>
      <c r="BBN20" s="50"/>
      <c r="BBO20" s="50"/>
      <c r="BBP20" s="50"/>
      <c r="BBQ20" s="50"/>
      <c r="BBR20" s="50"/>
      <c r="BBS20" s="50"/>
      <c r="BBT20" s="50"/>
      <c r="BBU20" s="50"/>
      <c r="BBV20" s="50"/>
      <c r="BBW20" s="50"/>
      <c r="BBX20" s="50"/>
      <c r="BBY20" s="50"/>
      <c r="BBZ20" s="50"/>
      <c r="BCA20" s="50"/>
      <c r="BCB20" s="50"/>
      <c r="BCC20" s="50"/>
      <c r="BCD20" s="50"/>
      <c r="BCE20" s="50"/>
      <c r="BCF20" s="50"/>
      <c r="BCG20" s="50"/>
      <c r="BCH20" s="50"/>
      <c r="BCI20" s="50"/>
      <c r="BCJ20" s="50"/>
      <c r="BCK20" s="50"/>
      <c r="BCL20" s="50"/>
      <c r="BCM20" s="50"/>
      <c r="BCN20" s="50"/>
      <c r="BCO20" s="50"/>
      <c r="BCP20" s="50"/>
      <c r="BCQ20" s="50"/>
      <c r="BCR20" s="50"/>
      <c r="BCS20" s="50"/>
      <c r="BCT20" s="50"/>
      <c r="BCU20" s="50"/>
      <c r="BCV20" s="50"/>
      <c r="BCW20" s="50"/>
      <c r="BCX20" s="50"/>
      <c r="BCY20" s="50"/>
      <c r="BCZ20" s="50"/>
      <c r="BDA20" s="50"/>
      <c r="BDB20" s="50"/>
      <c r="BDC20" s="50"/>
      <c r="BDD20" s="50"/>
      <c r="BDE20" s="50"/>
      <c r="BDF20" s="50"/>
      <c r="BDG20" s="50"/>
      <c r="BDH20" s="50"/>
      <c r="BDI20" s="50"/>
      <c r="BDJ20" s="50"/>
      <c r="BDK20" s="50"/>
      <c r="BDL20" s="50"/>
      <c r="BDM20" s="50"/>
      <c r="BDN20" s="50"/>
      <c r="BDO20" s="50"/>
      <c r="BDP20" s="50"/>
      <c r="BDQ20" s="50"/>
      <c r="BDR20" s="50"/>
      <c r="BDS20" s="50"/>
      <c r="BDT20" s="50"/>
      <c r="BDU20" s="50"/>
      <c r="BDV20" s="50"/>
      <c r="BDW20" s="50"/>
      <c r="BDX20" s="50"/>
      <c r="BDY20" s="50"/>
      <c r="BDZ20" s="50"/>
      <c r="BEA20" s="50"/>
      <c r="BEB20" s="50"/>
      <c r="BEC20" s="50"/>
      <c r="BED20" s="50"/>
      <c r="BEE20" s="50"/>
      <c r="BEF20" s="50"/>
      <c r="BEG20" s="50"/>
      <c r="BEH20" s="50"/>
      <c r="BEI20" s="50"/>
      <c r="BEJ20" s="50"/>
      <c r="BEK20" s="50"/>
      <c r="BEL20" s="50"/>
      <c r="BEM20" s="50"/>
      <c r="BEN20" s="50"/>
      <c r="BEO20" s="50"/>
      <c r="BEP20" s="50"/>
      <c r="BEQ20" s="50"/>
      <c r="BER20" s="50"/>
      <c r="BES20" s="50"/>
      <c r="BET20" s="50"/>
      <c r="BEU20" s="50"/>
      <c r="BEV20" s="50"/>
      <c r="BEW20" s="50"/>
      <c r="BEX20" s="50"/>
      <c r="BEY20" s="50"/>
      <c r="BEZ20" s="50"/>
      <c r="BFA20" s="50"/>
      <c r="BFB20" s="50"/>
      <c r="BFC20" s="50"/>
      <c r="BFD20" s="50"/>
      <c r="BFE20" s="50"/>
      <c r="BFF20" s="50"/>
      <c r="BFG20" s="50"/>
      <c r="BFH20" s="50"/>
      <c r="BFI20" s="50"/>
      <c r="BFJ20" s="50"/>
      <c r="BFK20" s="50"/>
      <c r="BFL20" s="50"/>
      <c r="BFM20" s="50"/>
      <c r="BFN20" s="50"/>
      <c r="BFO20" s="50"/>
      <c r="BFP20" s="50"/>
      <c r="BFQ20" s="50"/>
      <c r="BFR20" s="50"/>
      <c r="BFS20" s="50"/>
      <c r="BFT20" s="50"/>
      <c r="BFU20" s="50"/>
      <c r="BFV20" s="50"/>
      <c r="BFW20" s="50"/>
      <c r="BFX20" s="50"/>
      <c r="BFY20" s="50"/>
      <c r="BFZ20" s="50"/>
      <c r="BGA20" s="50"/>
      <c r="BGB20" s="50"/>
      <c r="BGC20" s="50"/>
      <c r="BGD20" s="50"/>
      <c r="BGE20" s="50"/>
      <c r="BGF20" s="50"/>
      <c r="BGG20" s="50"/>
      <c r="BGH20" s="50"/>
      <c r="BGI20" s="50"/>
      <c r="BGJ20" s="50"/>
      <c r="BGK20" s="50"/>
      <c r="BGL20" s="50"/>
      <c r="BGM20" s="50"/>
      <c r="BGN20" s="50"/>
      <c r="BGO20" s="50"/>
      <c r="BGP20" s="50"/>
      <c r="BGQ20" s="50"/>
      <c r="BGR20" s="50"/>
      <c r="BGS20" s="50"/>
      <c r="BGT20" s="50"/>
      <c r="BGU20" s="50"/>
      <c r="BGV20" s="50"/>
      <c r="BGW20" s="50"/>
      <c r="BGX20" s="50"/>
      <c r="BGY20" s="50"/>
      <c r="BGZ20" s="50"/>
      <c r="BHA20" s="50"/>
      <c r="BHB20" s="50"/>
      <c r="BHC20" s="50"/>
      <c r="BHD20" s="50"/>
      <c r="BHE20" s="50"/>
      <c r="BHF20" s="50"/>
      <c r="BHG20" s="50"/>
      <c r="BHH20" s="50"/>
      <c r="BHI20" s="50"/>
      <c r="BHJ20" s="50"/>
      <c r="BHK20" s="50"/>
      <c r="BHL20" s="50"/>
      <c r="BHM20" s="50"/>
      <c r="BHN20" s="50"/>
      <c r="BHO20" s="50"/>
      <c r="BHP20" s="50"/>
      <c r="BHQ20" s="50"/>
      <c r="BHR20" s="50"/>
      <c r="BHS20" s="50"/>
      <c r="BHT20" s="50"/>
      <c r="BHU20" s="50"/>
      <c r="BHV20" s="50"/>
      <c r="BHW20" s="50"/>
      <c r="BHX20" s="50"/>
      <c r="BHY20" s="50"/>
      <c r="BHZ20" s="50"/>
      <c r="BIA20" s="50"/>
      <c r="BIB20" s="50"/>
      <c r="BIC20" s="50"/>
      <c r="BID20" s="50"/>
      <c r="BIE20" s="50"/>
      <c r="BIF20" s="50"/>
      <c r="BIG20" s="50"/>
      <c r="BIH20" s="50"/>
      <c r="BII20" s="50"/>
      <c r="BIJ20" s="50"/>
      <c r="BIK20" s="50"/>
      <c r="BIL20" s="50"/>
      <c r="BIM20" s="50"/>
      <c r="BIN20" s="50"/>
      <c r="BIO20" s="50"/>
      <c r="BIP20" s="50"/>
      <c r="BIQ20" s="50"/>
      <c r="BIR20" s="50"/>
      <c r="BIS20" s="50"/>
      <c r="BIT20" s="50"/>
      <c r="BIU20" s="50"/>
      <c r="BIV20" s="50"/>
      <c r="BIW20" s="50"/>
      <c r="BIX20" s="50"/>
      <c r="BIY20" s="50"/>
      <c r="BIZ20" s="50"/>
      <c r="BJA20" s="50"/>
      <c r="BJB20" s="50"/>
      <c r="BJC20" s="50"/>
      <c r="BJD20" s="50"/>
      <c r="BJE20" s="50"/>
      <c r="BJF20" s="50"/>
      <c r="BJG20" s="50"/>
      <c r="BJH20" s="50"/>
      <c r="BJI20" s="50"/>
      <c r="BJJ20" s="50"/>
      <c r="BJK20" s="50"/>
      <c r="BJL20" s="50"/>
      <c r="BJM20" s="50"/>
      <c r="BJN20" s="50"/>
      <c r="BJO20" s="50"/>
      <c r="BJP20" s="50"/>
      <c r="BJQ20" s="50"/>
      <c r="BJR20" s="50"/>
      <c r="BJS20" s="50"/>
      <c r="BJT20" s="50"/>
      <c r="BJU20" s="50"/>
      <c r="BJV20" s="50"/>
      <c r="BJW20" s="50"/>
      <c r="BJX20" s="50"/>
      <c r="BJY20" s="50"/>
      <c r="BJZ20" s="50"/>
      <c r="BKA20" s="50"/>
      <c r="BKB20" s="50"/>
      <c r="BKC20" s="50"/>
      <c r="BKD20" s="50"/>
      <c r="BKE20" s="50"/>
      <c r="BKF20" s="50"/>
      <c r="BKG20" s="50"/>
      <c r="BKH20" s="50"/>
      <c r="BKI20" s="50"/>
      <c r="BKJ20" s="50"/>
      <c r="BKK20" s="50"/>
      <c r="BKL20" s="50"/>
      <c r="BKM20" s="50"/>
      <c r="BKN20" s="50"/>
      <c r="BKO20" s="50"/>
      <c r="BKP20" s="50"/>
      <c r="BKQ20" s="50"/>
      <c r="BKR20" s="50"/>
      <c r="BKS20" s="50"/>
      <c r="BKT20" s="50"/>
      <c r="BKU20" s="50"/>
      <c r="BKV20" s="50"/>
      <c r="BKW20" s="50"/>
      <c r="BKX20" s="50"/>
      <c r="BKY20" s="50"/>
      <c r="BKZ20" s="50"/>
      <c r="BLA20" s="50"/>
      <c r="BLB20" s="50"/>
      <c r="BLC20" s="50"/>
      <c r="BLD20" s="50"/>
      <c r="BLE20" s="50"/>
      <c r="BLF20" s="50"/>
      <c r="BLG20" s="50"/>
      <c r="BLH20" s="50"/>
      <c r="BLI20" s="50"/>
      <c r="BLJ20" s="50"/>
      <c r="BLK20" s="50"/>
      <c r="BLL20" s="50"/>
      <c r="BLM20" s="50"/>
      <c r="BLN20" s="50"/>
      <c r="BLO20" s="50"/>
      <c r="BLP20" s="50"/>
      <c r="BLQ20" s="50"/>
      <c r="BLR20" s="50"/>
      <c r="BLS20" s="50"/>
      <c r="BLT20" s="50"/>
      <c r="BLU20" s="50"/>
      <c r="BLV20" s="50"/>
      <c r="BLW20" s="50"/>
      <c r="BLX20" s="50"/>
      <c r="BLY20" s="50"/>
      <c r="BLZ20" s="50"/>
      <c r="BMA20" s="50"/>
      <c r="BMB20" s="50"/>
      <c r="BMC20" s="50"/>
      <c r="BMD20" s="50"/>
      <c r="BME20" s="50"/>
      <c r="BMF20" s="50"/>
      <c r="BMG20" s="50"/>
      <c r="BMH20" s="50"/>
      <c r="BMI20" s="50"/>
      <c r="BMJ20" s="50"/>
      <c r="BMK20" s="50"/>
      <c r="BML20" s="50"/>
      <c r="BMM20" s="50"/>
      <c r="BMN20" s="50"/>
      <c r="BMO20" s="50"/>
      <c r="BMP20" s="50"/>
      <c r="BMQ20" s="50"/>
      <c r="BMR20" s="50"/>
      <c r="BMS20" s="50"/>
      <c r="BMT20" s="50"/>
      <c r="BMU20" s="50"/>
      <c r="BMV20" s="50"/>
      <c r="BMW20" s="50"/>
      <c r="BMX20" s="50"/>
      <c r="BMY20" s="50"/>
      <c r="BMZ20" s="50"/>
      <c r="BNA20" s="50"/>
      <c r="BNB20" s="50"/>
      <c r="BNC20" s="50"/>
      <c r="BND20" s="50"/>
      <c r="BNE20" s="50"/>
      <c r="BNF20" s="50"/>
      <c r="BNG20" s="50"/>
      <c r="BNH20" s="50"/>
      <c r="BNI20" s="50"/>
      <c r="BNJ20" s="50"/>
      <c r="BNK20" s="50"/>
      <c r="BNL20" s="50"/>
      <c r="BNM20" s="50"/>
      <c r="BNN20" s="50"/>
      <c r="BNO20" s="50"/>
      <c r="BNP20" s="50"/>
      <c r="BNQ20" s="50"/>
      <c r="BNR20" s="50"/>
      <c r="BNS20" s="50"/>
      <c r="BNT20" s="50"/>
      <c r="BNU20" s="50"/>
      <c r="BNV20" s="50"/>
      <c r="BNW20" s="50"/>
      <c r="BNX20" s="50"/>
      <c r="BNY20" s="50"/>
      <c r="BNZ20" s="50"/>
      <c r="BOA20" s="50"/>
      <c r="BOB20" s="50"/>
      <c r="BOC20" s="50"/>
      <c r="BOD20" s="50"/>
      <c r="BOE20" s="50"/>
      <c r="BOF20" s="50"/>
      <c r="BOG20" s="50"/>
      <c r="BOH20" s="50"/>
      <c r="BOI20" s="50"/>
      <c r="BOJ20" s="50"/>
      <c r="BOK20" s="50"/>
      <c r="BOL20" s="50"/>
      <c r="BOM20" s="50"/>
      <c r="BON20" s="50"/>
      <c r="BOO20" s="50"/>
      <c r="BOP20" s="50"/>
      <c r="BOQ20" s="50"/>
      <c r="BOR20" s="50"/>
      <c r="BOS20" s="50"/>
      <c r="BOT20" s="50"/>
      <c r="BOU20" s="50"/>
      <c r="BOV20" s="50"/>
      <c r="BOW20" s="50"/>
      <c r="BOX20" s="50"/>
      <c r="BOY20" s="50"/>
      <c r="BOZ20" s="50"/>
      <c r="BPA20" s="50"/>
      <c r="BPB20" s="50"/>
      <c r="BPC20" s="50"/>
      <c r="BPD20" s="50"/>
      <c r="BPE20" s="50"/>
      <c r="BPF20" s="50"/>
      <c r="BPG20" s="50"/>
      <c r="BPH20" s="50"/>
      <c r="BPI20" s="50"/>
      <c r="BPJ20" s="50"/>
      <c r="BPK20" s="50"/>
      <c r="BPL20" s="50"/>
      <c r="BPM20" s="50"/>
      <c r="BPN20" s="50"/>
      <c r="BPO20" s="50"/>
      <c r="BPP20" s="50"/>
      <c r="BPQ20" s="50"/>
      <c r="BPR20" s="50"/>
      <c r="BPS20" s="50"/>
      <c r="BPT20" s="50"/>
      <c r="BPU20" s="50"/>
      <c r="BPV20" s="50"/>
      <c r="BPW20" s="50"/>
      <c r="BPX20" s="50"/>
      <c r="BPY20" s="50"/>
      <c r="BPZ20" s="50"/>
      <c r="BQA20" s="50"/>
      <c r="BQB20" s="50"/>
      <c r="BQC20" s="50"/>
      <c r="BQD20" s="50"/>
      <c r="BQE20" s="50"/>
      <c r="BQF20" s="50"/>
      <c r="BQG20" s="50"/>
      <c r="BQH20" s="50"/>
      <c r="BQI20" s="50"/>
      <c r="BQJ20" s="50"/>
      <c r="BQK20" s="50"/>
      <c r="BQL20" s="50"/>
      <c r="BQM20" s="50"/>
      <c r="BQN20" s="50"/>
      <c r="BQO20" s="50"/>
      <c r="BQP20" s="50"/>
      <c r="BQQ20" s="50"/>
      <c r="BQR20" s="50"/>
      <c r="BQS20" s="50"/>
      <c r="BQT20" s="50"/>
      <c r="BQU20" s="50"/>
      <c r="BQV20" s="50"/>
      <c r="BQW20" s="50"/>
      <c r="BQX20" s="50"/>
      <c r="BQY20" s="50"/>
      <c r="BQZ20" s="50"/>
      <c r="BRA20" s="50"/>
      <c r="BRB20" s="50"/>
      <c r="BRC20" s="50"/>
      <c r="BRD20" s="50"/>
      <c r="BRE20" s="50"/>
      <c r="BRF20" s="50"/>
      <c r="BRG20" s="50"/>
      <c r="BRH20" s="50"/>
      <c r="BRI20" s="50"/>
      <c r="BRJ20" s="50"/>
      <c r="BRK20" s="50"/>
      <c r="BRL20" s="50"/>
      <c r="BRM20" s="50"/>
      <c r="BRN20" s="50"/>
      <c r="BRO20" s="50"/>
      <c r="BRP20" s="50"/>
      <c r="BRQ20" s="50"/>
      <c r="BRR20" s="50"/>
      <c r="BRS20" s="50"/>
      <c r="BRT20" s="50"/>
      <c r="BRU20" s="50"/>
      <c r="BRV20" s="50"/>
      <c r="BRW20" s="50"/>
      <c r="BRX20" s="50"/>
      <c r="BRY20" s="50"/>
      <c r="BRZ20" s="50"/>
      <c r="BSA20" s="50"/>
      <c r="BSB20" s="50"/>
      <c r="BSC20" s="50"/>
      <c r="BSD20" s="50"/>
      <c r="BSE20" s="50"/>
      <c r="BSF20" s="50"/>
      <c r="BSG20" s="50"/>
      <c r="BSH20" s="50"/>
      <c r="BSI20" s="50"/>
      <c r="BSJ20" s="50"/>
      <c r="BSK20" s="50"/>
      <c r="BSL20" s="50"/>
      <c r="BSM20" s="50"/>
      <c r="BSN20" s="50"/>
      <c r="BSO20" s="50"/>
      <c r="BSP20" s="50"/>
      <c r="BSQ20" s="50"/>
      <c r="BSR20" s="50"/>
      <c r="BSS20" s="50"/>
      <c r="BST20" s="50"/>
      <c r="BSU20" s="50"/>
      <c r="BSV20" s="50"/>
      <c r="BSW20" s="50"/>
      <c r="BSX20" s="50"/>
      <c r="BSY20" s="50"/>
      <c r="BSZ20" s="50"/>
      <c r="BTA20" s="50"/>
      <c r="BTB20" s="50"/>
      <c r="BTC20" s="50"/>
      <c r="BTD20" s="50"/>
      <c r="BTE20" s="50"/>
      <c r="BTF20" s="50"/>
      <c r="BTG20" s="50"/>
      <c r="BTH20" s="50"/>
      <c r="BTI20" s="50"/>
      <c r="BTJ20" s="50"/>
      <c r="BTK20" s="50"/>
      <c r="BTL20" s="50"/>
      <c r="BTM20" s="50"/>
      <c r="BTN20" s="50"/>
      <c r="BTO20" s="50"/>
      <c r="BTP20" s="50"/>
      <c r="BTQ20" s="50"/>
      <c r="BTR20" s="50"/>
      <c r="BTS20" s="50"/>
      <c r="BTT20" s="50"/>
      <c r="BTU20" s="50"/>
      <c r="BTV20" s="50"/>
      <c r="BTW20" s="50"/>
      <c r="BTX20" s="50"/>
    </row>
    <row r="21" ht="15.75" customHeight="1">
      <c r="A21" t="s">
        <v>60</v>
      </c>
      <c r="B21" t="s">
        <v>45</v>
      </c>
      <c r="E21">
        <v>1000.0</v>
      </c>
      <c r="F21" t="s">
        <v>78</v>
      </c>
      <c r="G21" t="s">
        <v>64</v>
      </c>
      <c r="K21">
        <v>50.0</v>
      </c>
      <c r="L21">
        <v>50.0</v>
      </c>
      <c r="O21" t="s">
        <v>70</v>
      </c>
      <c r="V21" t="s">
        <v>84</v>
      </c>
      <c r="Z21" t="s">
        <v>67</v>
      </c>
      <c r="AD21" t="s">
        <v>66</v>
      </c>
      <c r="AE21">
        <v>1000.0</v>
      </c>
      <c r="AF21" t="s">
        <v>60</v>
      </c>
      <c r="AH21" t="s">
        <v>80</v>
      </c>
      <c r="AI21">
        <v>1.0</v>
      </c>
      <c r="AP21" t="b">
        <v>1</v>
      </c>
      <c r="AQ21" t="b">
        <v>0</v>
      </c>
      <c r="AR21" t="b">
        <v>1</v>
      </c>
      <c r="BE21">
        <v>50000.0</v>
      </c>
      <c r="BF21">
        <v>50000.0</v>
      </c>
      <c r="BJ21">
        <v>1000.0</v>
      </c>
      <c r="BM21" t="s">
        <v>67</v>
      </c>
      <c r="BO21" t="s">
        <v>75</v>
      </c>
      <c r="BT21" t="s">
        <v>44</v>
      </c>
      <c r="CK21" t="s">
        <v>65</v>
      </c>
      <c r="CL21">
        <v>1.0</v>
      </c>
      <c r="CM21" t="s">
        <v>44</v>
      </c>
      <c r="CN21" t="s">
        <v>69</v>
      </c>
      <c r="CX21" t="s">
        <v>60</v>
      </c>
      <c r="CY21" t="s">
        <v>60</v>
      </c>
      <c r="CZ21" t="s">
        <v>60</v>
      </c>
      <c r="DA21" t="s">
        <v>60</v>
      </c>
      <c r="DB21" t="s">
        <v>60</v>
      </c>
      <c r="DC21" t="s">
        <v>60</v>
      </c>
      <c r="DD21" t="s">
        <v>60</v>
      </c>
      <c r="DE21" t="s">
        <v>60</v>
      </c>
      <c r="DF21" t="s">
        <v>60</v>
      </c>
      <c r="DG21" t="s">
        <v>60</v>
      </c>
      <c r="DH21" t="s">
        <v>60</v>
      </c>
      <c r="DI21" t="s">
        <v>60</v>
      </c>
      <c r="DJ21" t="s">
        <v>60</v>
      </c>
      <c r="DK21" t="s">
        <v>60</v>
      </c>
      <c r="DL21" t="s">
        <v>60</v>
      </c>
      <c r="DM21" t="s">
        <v>60</v>
      </c>
      <c r="DN21" t="s">
        <v>60</v>
      </c>
      <c r="DO21" t="s">
        <v>60</v>
      </c>
      <c r="DP21" t="s">
        <v>60</v>
      </c>
      <c r="DQ21" t="s">
        <v>60</v>
      </c>
      <c r="DR21" t="s">
        <v>60</v>
      </c>
      <c r="DS21" t="s">
        <v>60</v>
      </c>
      <c r="DT21" t="s">
        <v>60</v>
      </c>
      <c r="DU21" t="s">
        <v>60</v>
      </c>
      <c r="DV21" t="s">
        <v>60</v>
      </c>
      <c r="DW21" t="s">
        <v>60</v>
      </c>
      <c r="DX21" t="s">
        <v>60</v>
      </c>
      <c r="DY21" t="s">
        <v>60</v>
      </c>
      <c r="DZ21" t="s">
        <v>60</v>
      </c>
      <c r="EA21" t="s">
        <v>60</v>
      </c>
      <c r="EB21" t="s">
        <v>60</v>
      </c>
      <c r="EC21" t="s">
        <v>60</v>
      </c>
      <c r="ED21" t="s">
        <v>60</v>
      </c>
      <c r="EE21" t="s">
        <v>60</v>
      </c>
      <c r="EF21" t="s">
        <v>60</v>
      </c>
      <c r="EG21" t="s">
        <v>60</v>
      </c>
      <c r="EH21" t="s">
        <v>60</v>
      </c>
      <c r="EI21" t="s">
        <v>60</v>
      </c>
      <c r="EJ21" t="s">
        <v>60</v>
      </c>
      <c r="EK21" t="s">
        <v>60</v>
      </c>
      <c r="EL21" t="s">
        <v>60</v>
      </c>
      <c r="EM21" t="s">
        <v>60</v>
      </c>
      <c r="EN21" t="s">
        <v>60</v>
      </c>
      <c r="EO21" t="s">
        <v>60</v>
      </c>
      <c r="EP21" t="s">
        <v>60</v>
      </c>
      <c r="EQ21" t="s">
        <v>60</v>
      </c>
      <c r="ER21" t="s">
        <v>60</v>
      </c>
      <c r="ES21" t="s">
        <v>60</v>
      </c>
      <c r="ET21" t="s">
        <v>60</v>
      </c>
      <c r="EU21" t="s">
        <v>60</v>
      </c>
      <c r="EV21" t="s">
        <v>60</v>
      </c>
      <c r="EW21" t="s">
        <v>60</v>
      </c>
      <c r="EX21" t="s">
        <v>60</v>
      </c>
      <c r="EY21" t="s">
        <v>60</v>
      </c>
      <c r="EZ21" t="s">
        <v>60</v>
      </c>
      <c r="FA21" t="s">
        <v>60</v>
      </c>
      <c r="FB21" t="s">
        <v>60</v>
      </c>
      <c r="FC21" t="s">
        <v>60</v>
      </c>
      <c r="FD21" t="s">
        <v>60</v>
      </c>
      <c r="FE21" t="s">
        <v>60</v>
      </c>
      <c r="FF21" t="s">
        <v>60</v>
      </c>
      <c r="FG21" t="s">
        <v>60</v>
      </c>
      <c r="FH21" t="s">
        <v>60</v>
      </c>
      <c r="FI21" t="s">
        <v>60</v>
      </c>
      <c r="FJ21" t="s">
        <v>60</v>
      </c>
      <c r="FK21" t="s">
        <v>60</v>
      </c>
      <c r="FL21" t="s">
        <v>60</v>
      </c>
      <c r="FM21" t="s">
        <v>60</v>
      </c>
      <c r="FN21" t="s">
        <v>60</v>
      </c>
      <c r="FO21" t="s">
        <v>60</v>
      </c>
      <c r="FP21" t="s">
        <v>60</v>
      </c>
      <c r="FQ21" t="s">
        <v>60</v>
      </c>
      <c r="AML21" s="36" t="str">
        <f t="shared" ref="AML21:AND21" si="16">iferror(INDEX('Input(Other)'!$A:$FF,MATCH($A21,'Input(Other)'!$A$1:$A$210,0),MATCH(AML$1,'Input(Other)'!$1:$1,0)),"")</f>
        <v/>
      </c>
      <c r="AMM21" s="36" t="str">
        <f t="shared" si="16"/>
        <v/>
      </c>
      <c r="AMN21" s="36" t="str">
        <f t="shared" si="16"/>
        <v/>
      </c>
      <c r="AMO21" s="36" t="str">
        <f t="shared" si="16"/>
        <v/>
      </c>
      <c r="AMP21" s="36" t="str">
        <f t="shared" si="16"/>
        <v/>
      </c>
      <c r="AMQ21" s="36" t="str">
        <f t="shared" si="16"/>
        <v/>
      </c>
      <c r="AMR21" s="36" t="str">
        <f t="shared" si="16"/>
        <v/>
      </c>
      <c r="AMS21" s="36" t="str">
        <f t="shared" si="16"/>
        <v/>
      </c>
      <c r="AMT21" s="36" t="str">
        <f t="shared" si="16"/>
        <v/>
      </c>
      <c r="AMU21" s="36" t="str">
        <f t="shared" si="16"/>
        <v/>
      </c>
      <c r="AMV21" s="36" t="str">
        <f t="shared" si="16"/>
        <v/>
      </c>
      <c r="AMW21" s="36" t="str">
        <f t="shared" si="16"/>
        <v/>
      </c>
      <c r="AMX21" s="36" t="str">
        <f t="shared" si="16"/>
        <v/>
      </c>
      <c r="AMY21" s="36" t="str">
        <f t="shared" si="16"/>
        <v/>
      </c>
      <c r="AMZ21" s="36" t="str">
        <f t="shared" si="16"/>
        <v/>
      </c>
      <c r="ANA21" s="36" t="str">
        <f t="shared" si="16"/>
        <v/>
      </c>
      <c r="ANB21" s="36" t="str">
        <f t="shared" si="16"/>
        <v/>
      </c>
      <c r="ANC21" s="36" t="str">
        <f t="shared" si="16"/>
        <v/>
      </c>
      <c r="AND21" s="36" t="str">
        <f t="shared" si="16"/>
        <v/>
      </c>
      <c r="ANE21" s="50"/>
      <c r="ANF21" s="50"/>
      <c r="ANG21" s="50"/>
      <c r="ANH21" s="50"/>
      <c r="ANI21" s="50"/>
      <c r="ANJ21" s="50"/>
      <c r="ANK21" s="50"/>
      <c r="ANL21" s="50"/>
      <c r="ANM21" s="50"/>
      <c r="ANN21" s="50"/>
      <c r="ANO21" s="50"/>
      <c r="ANP21" s="50"/>
      <c r="ANQ21" s="50"/>
      <c r="ANR21" s="50"/>
      <c r="ANS21" s="50"/>
      <c r="ANT21" s="50"/>
      <c r="ANU21" s="50"/>
      <c r="ANV21" s="50"/>
      <c r="ANW21" s="50"/>
      <c r="ANX21" s="50"/>
      <c r="ANY21" s="50"/>
      <c r="ANZ21" s="50"/>
      <c r="AOA21" s="50"/>
      <c r="AOB21" s="50"/>
      <c r="AOC21" s="50"/>
      <c r="AOD21" s="50"/>
      <c r="AOE21" s="50"/>
      <c r="AOF21" s="50"/>
      <c r="AOG21" s="50"/>
      <c r="AOH21" s="50"/>
      <c r="AOI21" s="50"/>
      <c r="AOJ21" s="50"/>
      <c r="AOK21" s="50"/>
      <c r="AOL21" s="50"/>
      <c r="AOM21" s="50"/>
      <c r="AON21" s="50"/>
      <c r="AOO21" s="50"/>
      <c r="AOP21" s="50"/>
      <c r="AOQ21" s="50"/>
      <c r="AOR21" s="50"/>
      <c r="AOS21" s="50"/>
      <c r="AOT21" s="50"/>
      <c r="AOU21" s="50"/>
      <c r="AOV21" s="50"/>
      <c r="AOW21" s="50"/>
      <c r="AOX21" s="50"/>
      <c r="AOY21" s="50"/>
      <c r="AOZ21" s="50"/>
      <c r="APA21" s="50"/>
      <c r="APB21" s="50"/>
      <c r="APC21" s="50"/>
      <c r="APD21" s="50"/>
      <c r="APE21" s="50"/>
      <c r="APF21" s="50"/>
      <c r="APG21" s="50"/>
      <c r="APH21" s="50"/>
      <c r="API21" s="50"/>
      <c r="APJ21" s="50"/>
      <c r="APK21" s="50"/>
      <c r="APL21" s="50"/>
      <c r="APM21" s="50"/>
      <c r="APN21" s="50"/>
      <c r="APO21" s="50"/>
      <c r="APP21" s="50"/>
      <c r="APQ21" s="50"/>
      <c r="APR21" s="50"/>
      <c r="APS21" s="50"/>
      <c r="APT21" s="50"/>
      <c r="APU21" s="50"/>
      <c r="APV21" s="50"/>
      <c r="APW21" s="50"/>
      <c r="APX21" s="50"/>
      <c r="APY21" s="50"/>
      <c r="APZ21" s="50"/>
      <c r="AQA21" s="50"/>
      <c r="AQB21" s="50"/>
      <c r="AQC21" s="50"/>
      <c r="AQD21" s="50"/>
      <c r="AQE21" s="50"/>
      <c r="AQF21" s="50"/>
      <c r="AQG21" s="50"/>
      <c r="AQH21" s="50"/>
      <c r="AQI21" s="50"/>
      <c r="AQJ21" s="50"/>
      <c r="AQK21" s="50"/>
      <c r="AQL21" s="50"/>
      <c r="AQM21" s="50"/>
      <c r="AQN21" s="50"/>
      <c r="AQO21" s="50"/>
      <c r="AQP21" s="50"/>
      <c r="AQQ21" s="50"/>
      <c r="AQR21" s="50"/>
      <c r="AQS21" s="50"/>
      <c r="AQT21" s="50"/>
      <c r="AQU21" s="50"/>
      <c r="AQV21" s="50"/>
      <c r="AQW21" s="50"/>
      <c r="AQX21" s="50"/>
      <c r="AQY21" s="50"/>
      <c r="AQZ21" s="50"/>
      <c r="ARA21" s="50"/>
      <c r="ARB21" s="50"/>
      <c r="ARC21" s="50"/>
      <c r="ARD21" s="50"/>
      <c r="ARE21" s="50"/>
      <c r="ARF21" s="50"/>
      <c r="ARG21" s="50"/>
      <c r="ARH21" s="50"/>
      <c r="ARI21" s="50"/>
      <c r="ARJ21" s="50"/>
      <c r="ARK21" s="50"/>
      <c r="ARL21" s="50"/>
      <c r="ARM21" s="50"/>
      <c r="ARN21" s="50"/>
      <c r="ARO21" s="50"/>
      <c r="ARP21" s="50"/>
      <c r="ARQ21" s="50"/>
      <c r="ARR21" s="50"/>
      <c r="ARS21" s="50"/>
      <c r="ART21" s="50"/>
      <c r="ARU21" s="50"/>
      <c r="ARV21" s="50"/>
      <c r="ARW21" s="50"/>
      <c r="ARX21" s="50"/>
      <c r="ARY21" s="50"/>
      <c r="ARZ21" s="50"/>
      <c r="ASA21" s="50"/>
      <c r="ASB21" s="50"/>
      <c r="ASC21" s="50"/>
      <c r="ASD21" s="50"/>
      <c r="ASE21" s="50"/>
      <c r="ASF21" s="50"/>
      <c r="ASG21" s="50"/>
      <c r="ASH21" s="50"/>
      <c r="ASI21" s="50"/>
      <c r="ASJ21" s="50"/>
      <c r="ASK21" s="50"/>
      <c r="ASL21" s="50"/>
      <c r="ASM21" s="50"/>
      <c r="ASN21" s="50"/>
      <c r="ASO21" s="50"/>
      <c r="ASP21" s="50"/>
      <c r="ASQ21" s="50"/>
      <c r="ASR21" s="50"/>
      <c r="ASS21" s="50"/>
      <c r="AST21" s="50"/>
      <c r="ASU21" s="50"/>
      <c r="ASV21" s="50"/>
      <c r="ASW21" s="50"/>
      <c r="ASX21" s="50"/>
      <c r="ASY21" s="50"/>
      <c r="ASZ21" s="50"/>
      <c r="ATA21" s="50"/>
      <c r="ATB21" s="50"/>
      <c r="ATC21" s="50"/>
      <c r="ATD21" s="50"/>
      <c r="ATE21" s="50"/>
      <c r="ATF21" s="50"/>
      <c r="ATG21" s="50"/>
      <c r="ATH21" s="50"/>
      <c r="ATI21" s="50"/>
      <c r="ATJ21" s="50"/>
      <c r="ATK21" s="50"/>
      <c r="ATL21" s="50"/>
      <c r="ATM21" s="50"/>
      <c r="ATN21" s="50"/>
      <c r="ATO21" s="50"/>
      <c r="ATP21" s="50"/>
      <c r="ATQ21" s="50"/>
      <c r="ATR21" s="50"/>
      <c r="ATS21" s="50"/>
      <c r="ATT21" s="50"/>
      <c r="ATU21" s="50"/>
      <c r="ATV21" s="50"/>
      <c r="ATW21" s="50"/>
      <c r="ATX21" s="50"/>
      <c r="ATY21" s="50"/>
      <c r="ATZ21" s="50"/>
      <c r="AUA21" s="50"/>
      <c r="AUB21" s="50"/>
      <c r="AUC21" s="50"/>
      <c r="AUD21" s="50"/>
      <c r="AUE21" s="50"/>
      <c r="AUF21" s="50"/>
      <c r="AUG21" s="50"/>
      <c r="AUH21" s="50"/>
      <c r="AUI21" s="50"/>
      <c r="AUJ21" s="50"/>
      <c r="AUK21" s="50"/>
      <c r="AUL21" s="50"/>
      <c r="AUM21" s="50"/>
      <c r="AUN21" s="50"/>
      <c r="AUO21" s="50"/>
      <c r="AUP21" s="50"/>
      <c r="AUQ21" s="50"/>
      <c r="AUR21" s="50"/>
      <c r="AUS21" s="50"/>
      <c r="AUT21" s="50"/>
      <c r="AUU21" s="50"/>
      <c r="AUV21" s="50"/>
      <c r="AUW21" s="50"/>
      <c r="AUX21" s="50"/>
      <c r="AUY21" s="50"/>
      <c r="AUZ21" s="50"/>
      <c r="AVA21" s="50"/>
      <c r="AVB21" s="50"/>
      <c r="AVC21" s="50"/>
      <c r="AVD21" s="50"/>
      <c r="AVE21" s="50"/>
      <c r="AVF21" s="50"/>
      <c r="AVG21" s="50"/>
      <c r="AVH21" s="50"/>
      <c r="AVI21" s="50"/>
      <c r="AVJ21" s="50"/>
      <c r="AVK21" s="50"/>
      <c r="AVL21" s="50"/>
      <c r="AVM21" s="50"/>
      <c r="AVN21" s="50"/>
      <c r="AVO21" s="50"/>
      <c r="AVP21" s="50"/>
      <c r="AVQ21" s="50"/>
      <c r="AVR21" s="50"/>
      <c r="AVS21" s="50"/>
      <c r="AVT21" s="50"/>
      <c r="AVU21" s="50"/>
      <c r="AVV21" s="50"/>
      <c r="AVW21" s="50"/>
      <c r="AVX21" s="50"/>
      <c r="AVY21" s="50"/>
      <c r="AVZ21" s="50"/>
      <c r="AWA21" s="50"/>
      <c r="AWB21" s="50"/>
      <c r="AWC21" s="50"/>
      <c r="AWD21" s="50"/>
      <c r="AWE21" s="50"/>
      <c r="AWF21" s="50"/>
      <c r="AWG21" s="50"/>
      <c r="AWH21" s="50"/>
      <c r="AWI21" s="50"/>
      <c r="AWJ21" s="50"/>
      <c r="AWK21" s="50"/>
      <c r="AWL21" s="50"/>
      <c r="AWM21" s="50"/>
      <c r="AWN21" s="50"/>
      <c r="AWO21" s="50"/>
      <c r="AWP21" s="50"/>
      <c r="AWQ21" s="50"/>
      <c r="AWR21" s="50"/>
      <c r="AWS21" s="50"/>
      <c r="AWT21" s="50"/>
      <c r="AWU21" s="50"/>
      <c r="AWV21" s="50"/>
      <c r="AWW21" s="50"/>
      <c r="AWX21" s="50"/>
      <c r="AWY21" s="50"/>
      <c r="AWZ21" s="50"/>
      <c r="AXA21" s="50"/>
      <c r="AXB21" s="50"/>
      <c r="AXC21" s="50"/>
      <c r="AXD21" s="50"/>
      <c r="AXE21" s="50"/>
      <c r="AXF21" s="50"/>
      <c r="AXG21" s="50"/>
      <c r="AXH21" s="50"/>
      <c r="AXI21" s="50"/>
      <c r="AXJ21" s="50"/>
      <c r="AXK21" s="50"/>
      <c r="AXL21" s="50"/>
      <c r="AXM21" s="50"/>
      <c r="AXN21" s="50"/>
      <c r="AXO21" s="50"/>
      <c r="AXP21" s="50"/>
      <c r="AXQ21" s="50"/>
      <c r="AXR21" s="50"/>
      <c r="AXS21" s="50"/>
      <c r="AXT21" s="50"/>
      <c r="AXU21" s="50"/>
      <c r="AXV21" s="50"/>
      <c r="AXW21" s="50"/>
      <c r="AXX21" s="50"/>
      <c r="AXY21" s="50"/>
      <c r="AXZ21" s="50"/>
      <c r="AYA21" s="50"/>
      <c r="AYB21" s="50"/>
      <c r="AYC21" s="50"/>
      <c r="AYD21" s="50"/>
      <c r="AYE21" s="50"/>
      <c r="AYF21" s="50"/>
      <c r="AYG21" s="50"/>
      <c r="AYH21" s="50"/>
      <c r="AYI21" s="50"/>
      <c r="AYJ21" s="50"/>
      <c r="AYK21" s="50"/>
      <c r="AYL21" s="50"/>
      <c r="AYM21" s="50"/>
      <c r="AYN21" s="50"/>
      <c r="AYO21" s="50"/>
      <c r="AYP21" s="50"/>
      <c r="AYQ21" s="50"/>
      <c r="AYR21" s="50"/>
      <c r="AYS21" s="50"/>
      <c r="AYT21" s="50"/>
      <c r="AYU21" s="50"/>
      <c r="AYV21" s="50"/>
      <c r="AYW21" s="50"/>
      <c r="AYX21" s="50"/>
      <c r="AYY21" s="50"/>
      <c r="AYZ21" s="50"/>
      <c r="AZA21" s="50"/>
      <c r="AZB21" s="50"/>
      <c r="AZC21" s="50"/>
      <c r="AZD21" s="50"/>
      <c r="AZE21" s="50"/>
      <c r="AZF21" s="50"/>
      <c r="AZG21" s="50"/>
      <c r="AZH21" s="50"/>
      <c r="AZI21" s="50"/>
      <c r="AZJ21" s="50"/>
      <c r="AZK21" s="50"/>
      <c r="AZL21" s="50"/>
      <c r="AZM21" s="50"/>
      <c r="AZN21" s="50"/>
      <c r="AZO21" s="50"/>
      <c r="AZP21" s="50"/>
      <c r="AZQ21" s="50"/>
      <c r="AZR21" s="50"/>
      <c r="AZS21" s="50"/>
      <c r="AZT21" s="50"/>
      <c r="AZU21" s="50"/>
      <c r="AZV21" s="50"/>
      <c r="AZW21" s="50"/>
      <c r="AZX21" s="50"/>
      <c r="AZY21" s="50"/>
      <c r="AZZ21" s="50"/>
      <c r="BAA21" s="50"/>
      <c r="BAB21" s="50"/>
      <c r="BAC21" s="50"/>
      <c r="BAD21" s="50"/>
      <c r="BAE21" s="50"/>
      <c r="BAF21" s="50"/>
      <c r="BAG21" s="50"/>
      <c r="BAH21" s="50"/>
      <c r="BAI21" s="50"/>
      <c r="BAJ21" s="50"/>
      <c r="BAK21" s="50"/>
      <c r="BAL21" s="50"/>
      <c r="BAM21" s="50"/>
      <c r="BAN21" s="50"/>
      <c r="BAO21" s="50"/>
      <c r="BAP21" s="50"/>
      <c r="BAQ21" s="50"/>
      <c r="BAR21" s="50"/>
      <c r="BAS21" s="50"/>
      <c r="BAT21" s="50"/>
      <c r="BAU21" s="50"/>
      <c r="BAV21" s="50"/>
      <c r="BAW21" s="50"/>
      <c r="BAX21" s="50"/>
      <c r="BAY21" s="50"/>
      <c r="BAZ21" s="50"/>
      <c r="BBA21" s="50"/>
      <c r="BBB21" s="50"/>
      <c r="BBC21" s="50"/>
      <c r="BBD21" s="50"/>
      <c r="BBE21" s="50"/>
      <c r="BBF21" s="50"/>
      <c r="BBG21" s="50"/>
      <c r="BBH21" s="50"/>
      <c r="BBI21" s="50"/>
      <c r="BBJ21" s="50"/>
      <c r="BBK21" s="50"/>
      <c r="BBL21" s="50"/>
      <c r="BBM21" s="50"/>
      <c r="BBN21" s="50"/>
      <c r="BBO21" s="50"/>
      <c r="BBP21" s="50"/>
      <c r="BBQ21" s="50"/>
      <c r="BBR21" s="50"/>
      <c r="BBS21" s="50"/>
      <c r="BBT21" s="50"/>
      <c r="BBU21" s="50"/>
      <c r="BBV21" s="50"/>
      <c r="BBW21" s="50"/>
      <c r="BBX21" s="50"/>
      <c r="BBY21" s="50"/>
      <c r="BBZ21" s="50"/>
      <c r="BCA21" s="50"/>
      <c r="BCB21" s="50"/>
      <c r="BCC21" s="50"/>
      <c r="BCD21" s="50"/>
      <c r="BCE21" s="50"/>
      <c r="BCF21" s="50"/>
      <c r="BCG21" s="50"/>
      <c r="BCH21" s="50"/>
      <c r="BCI21" s="50"/>
      <c r="BCJ21" s="50"/>
      <c r="BCK21" s="50"/>
      <c r="BCL21" s="50"/>
      <c r="BCM21" s="50"/>
      <c r="BCN21" s="50"/>
      <c r="BCO21" s="50"/>
      <c r="BCP21" s="50"/>
      <c r="BCQ21" s="50"/>
      <c r="BCR21" s="50"/>
      <c r="BCS21" s="50"/>
      <c r="BCT21" s="50"/>
      <c r="BCU21" s="50"/>
      <c r="BCV21" s="50"/>
      <c r="BCW21" s="50"/>
      <c r="BCX21" s="50"/>
      <c r="BCY21" s="50"/>
      <c r="BCZ21" s="50"/>
      <c r="BDA21" s="50"/>
      <c r="BDB21" s="50"/>
      <c r="BDC21" s="50"/>
      <c r="BDD21" s="50"/>
      <c r="BDE21" s="50"/>
      <c r="BDF21" s="50"/>
      <c r="BDG21" s="50"/>
      <c r="BDH21" s="50"/>
      <c r="BDI21" s="50"/>
      <c r="BDJ21" s="50"/>
      <c r="BDK21" s="50"/>
      <c r="BDL21" s="50"/>
      <c r="BDM21" s="50"/>
      <c r="BDN21" s="50"/>
      <c r="BDO21" s="50"/>
      <c r="BDP21" s="50"/>
      <c r="BDQ21" s="50"/>
      <c r="BDR21" s="50"/>
      <c r="BDS21" s="50"/>
      <c r="BDT21" s="50"/>
      <c r="BDU21" s="50"/>
      <c r="BDV21" s="50"/>
      <c r="BDW21" s="50"/>
      <c r="BDX21" s="50"/>
      <c r="BDY21" s="50"/>
      <c r="BDZ21" s="50"/>
      <c r="BEA21" s="50"/>
      <c r="BEB21" s="50"/>
      <c r="BEC21" s="50"/>
      <c r="BED21" s="50"/>
      <c r="BEE21" s="50"/>
      <c r="BEF21" s="50"/>
      <c r="BEG21" s="50"/>
      <c r="BEH21" s="50"/>
      <c r="BEI21" s="50"/>
      <c r="BEJ21" s="50"/>
      <c r="BEK21" s="50"/>
      <c r="BEL21" s="50"/>
      <c r="BEM21" s="50"/>
      <c r="BEN21" s="50"/>
      <c r="BEO21" s="50"/>
      <c r="BEP21" s="50"/>
      <c r="BEQ21" s="50"/>
      <c r="BER21" s="50"/>
      <c r="BES21" s="50"/>
      <c r="BET21" s="50"/>
      <c r="BEU21" s="50"/>
      <c r="BEV21" s="50"/>
      <c r="BEW21" s="50"/>
      <c r="BEX21" s="50"/>
      <c r="BEY21" s="50"/>
      <c r="BEZ21" s="50"/>
      <c r="BFA21" s="50"/>
      <c r="BFB21" s="50"/>
      <c r="BFC21" s="50"/>
      <c r="BFD21" s="50"/>
      <c r="BFE21" s="50"/>
      <c r="BFF21" s="50"/>
      <c r="BFG21" s="50"/>
      <c r="BFH21" s="50"/>
      <c r="BFI21" s="50"/>
      <c r="BFJ21" s="50"/>
      <c r="BFK21" s="50"/>
      <c r="BFL21" s="50"/>
      <c r="BFM21" s="50"/>
      <c r="BFN21" s="50"/>
      <c r="BFO21" s="50"/>
      <c r="BFP21" s="50"/>
      <c r="BFQ21" s="50"/>
      <c r="BFR21" s="50"/>
      <c r="BFS21" s="50"/>
      <c r="BFT21" s="50"/>
      <c r="BFU21" s="50"/>
      <c r="BFV21" s="50"/>
      <c r="BFW21" s="50"/>
      <c r="BFX21" s="50"/>
      <c r="BFY21" s="50"/>
      <c r="BFZ21" s="50"/>
      <c r="BGA21" s="50"/>
      <c r="BGB21" s="50"/>
      <c r="BGC21" s="50"/>
      <c r="BGD21" s="50"/>
      <c r="BGE21" s="50"/>
      <c r="BGF21" s="50"/>
      <c r="BGG21" s="50"/>
      <c r="BGH21" s="50"/>
      <c r="BGI21" s="50"/>
      <c r="BGJ21" s="50"/>
      <c r="BGK21" s="50"/>
      <c r="BGL21" s="50"/>
      <c r="BGM21" s="50"/>
      <c r="BGN21" s="50"/>
      <c r="BGO21" s="50"/>
      <c r="BGP21" s="50"/>
      <c r="BGQ21" s="50"/>
      <c r="BGR21" s="50"/>
      <c r="BGS21" s="50"/>
      <c r="BGT21" s="50"/>
      <c r="BGU21" s="50"/>
      <c r="BGV21" s="50"/>
      <c r="BGW21" s="50"/>
      <c r="BGX21" s="50"/>
      <c r="BGY21" s="50"/>
      <c r="BGZ21" s="50"/>
      <c r="BHA21" s="50"/>
      <c r="BHB21" s="50"/>
      <c r="BHC21" s="50"/>
      <c r="BHD21" s="50"/>
      <c r="BHE21" s="50"/>
      <c r="BHF21" s="50"/>
      <c r="BHG21" s="50"/>
      <c r="BHH21" s="50"/>
      <c r="BHI21" s="50"/>
      <c r="BHJ21" s="50"/>
      <c r="BHK21" s="50"/>
      <c r="BHL21" s="50"/>
      <c r="BHM21" s="50"/>
      <c r="BHN21" s="50"/>
      <c r="BHO21" s="50"/>
      <c r="BHP21" s="50"/>
      <c r="BHQ21" s="50"/>
      <c r="BHR21" s="50"/>
      <c r="BHS21" s="50"/>
      <c r="BHT21" s="50"/>
      <c r="BHU21" s="50"/>
      <c r="BHV21" s="50"/>
      <c r="BHW21" s="50"/>
      <c r="BHX21" s="50"/>
      <c r="BHY21" s="50"/>
      <c r="BHZ21" s="50"/>
      <c r="BIA21" s="50"/>
      <c r="BIB21" s="50"/>
      <c r="BIC21" s="50"/>
      <c r="BID21" s="50"/>
      <c r="BIE21" s="50"/>
      <c r="BIF21" s="50"/>
      <c r="BIG21" s="50"/>
      <c r="BIH21" s="50"/>
      <c r="BII21" s="50"/>
      <c r="BIJ21" s="50"/>
      <c r="BIK21" s="50"/>
      <c r="BIL21" s="50"/>
      <c r="BIM21" s="50"/>
      <c r="BIN21" s="50"/>
      <c r="BIO21" s="50"/>
      <c r="BIP21" s="50"/>
      <c r="BIQ21" s="50"/>
      <c r="BIR21" s="50"/>
      <c r="BIS21" s="50"/>
      <c r="BIT21" s="50"/>
      <c r="BIU21" s="50"/>
      <c r="BIV21" s="50"/>
      <c r="BIW21" s="50"/>
      <c r="BIX21" s="50"/>
      <c r="BIY21" s="50"/>
      <c r="BIZ21" s="50"/>
      <c r="BJA21" s="50"/>
      <c r="BJB21" s="50"/>
      <c r="BJC21" s="50"/>
      <c r="BJD21" s="50"/>
      <c r="BJE21" s="50"/>
      <c r="BJF21" s="50"/>
      <c r="BJG21" s="50"/>
      <c r="BJH21" s="50"/>
      <c r="BJI21" s="50"/>
      <c r="BJJ21" s="50"/>
      <c r="BJK21" s="50"/>
      <c r="BJL21" s="50"/>
      <c r="BJM21" s="50"/>
      <c r="BJN21" s="50"/>
      <c r="BJO21" s="50"/>
      <c r="BJP21" s="50"/>
      <c r="BJQ21" s="50"/>
      <c r="BJR21" s="50"/>
      <c r="BJS21" s="50"/>
      <c r="BJT21" s="50"/>
      <c r="BJU21" s="50"/>
      <c r="BJV21" s="50"/>
      <c r="BJW21" s="50"/>
      <c r="BJX21" s="50"/>
      <c r="BJY21" s="50"/>
      <c r="BJZ21" s="50"/>
      <c r="BKA21" s="50"/>
      <c r="BKB21" s="50"/>
      <c r="BKC21" s="50"/>
      <c r="BKD21" s="50"/>
      <c r="BKE21" s="50"/>
      <c r="BKF21" s="50"/>
      <c r="BKG21" s="50"/>
      <c r="BKH21" s="50"/>
      <c r="BKI21" s="50"/>
      <c r="BKJ21" s="50"/>
      <c r="BKK21" s="50"/>
      <c r="BKL21" s="50"/>
      <c r="BKM21" s="50"/>
      <c r="BKN21" s="50"/>
      <c r="BKO21" s="50"/>
      <c r="BKP21" s="50"/>
      <c r="BKQ21" s="50"/>
      <c r="BKR21" s="50"/>
      <c r="BKS21" s="50"/>
      <c r="BKT21" s="50"/>
      <c r="BKU21" s="50"/>
      <c r="BKV21" s="50"/>
      <c r="BKW21" s="50"/>
      <c r="BKX21" s="50"/>
      <c r="BKY21" s="50"/>
      <c r="BKZ21" s="50"/>
      <c r="BLA21" s="50"/>
      <c r="BLB21" s="50"/>
      <c r="BLC21" s="50"/>
      <c r="BLD21" s="50"/>
      <c r="BLE21" s="50"/>
      <c r="BLF21" s="50"/>
      <c r="BLG21" s="50"/>
      <c r="BLH21" s="50"/>
      <c r="BLI21" s="50"/>
      <c r="BLJ21" s="50"/>
      <c r="BLK21" s="50"/>
      <c r="BLL21" s="50"/>
      <c r="BLM21" s="50"/>
      <c r="BLN21" s="50"/>
      <c r="BLO21" s="50"/>
      <c r="BLP21" s="50"/>
      <c r="BLQ21" s="50"/>
      <c r="BLR21" s="50"/>
      <c r="BLS21" s="50"/>
      <c r="BLT21" s="50"/>
      <c r="BLU21" s="50"/>
      <c r="BLV21" s="50"/>
      <c r="BLW21" s="50"/>
      <c r="BLX21" s="50"/>
      <c r="BLY21" s="50"/>
      <c r="BLZ21" s="50"/>
      <c r="BMA21" s="50"/>
      <c r="BMB21" s="50"/>
      <c r="BMC21" s="50"/>
      <c r="BMD21" s="50"/>
      <c r="BME21" s="50"/>
      <c r="BMF21" s="50"/>
      <c r="BMG21" s="50"/>
      <c r="BMH21" s="50"/>
      <c r="BMI21" s="50"/>
      <c r="BMJ21" s="50"/>
      <c r="BMK21" s="50"/>
      <c r="BML21" s="50"/>
      <c r="BMM21" s="50"/>
      <c r="BMN21" s="50"/>
      <c r="BMO21" s="50"/>
      <c r="BMP21" s="50"/>
      <c r="BMQ21" s="50"/>
      <c r="BMR21" s="50"/>
      <c r="BMS21" s="50"/>
      <c r="BMT21" s="50"/>
      <c r="BMU21" s="50"/>
      <c r="BMV21" s="50"/>
      <c r="BMW21" s="50"/>
      <c r="BMX21" s="50"/>
      <c r="BMY21" s="50"/>
      <c r="BMZ21" s="50"/>
      <c r="BNA21" s="50"/>
      <c r="BNB21" s="50"/>
      <c r="BNC21" s="50"/>
      <c r="BND21" s="50"/>
      <c r="BNE21" s="50"/>
      <c r="BNF21" s="50"/>
      <c r="BNG21" s="50"/>
      <c r="BNH21" s="50"/>
      <c r="BNI21" s="50"/>
      <c r="BNJ21" s="50"/>
      <c r="BNK21" s="50"/>
      <c r="BNL21" s="50"/>
      <c r="BNM21" s="50"/>
      <c r="BNN21" s="50"/>
      <c r="BNO21" s="50"/>
      <c r="BNP21" s="50"/>
      <c r="BNQ21" s="50"/>
      <c r="BNR21" s="50"/>
      <c r="BNS21" s="50"/>
      <c r="BNT21" s="50"/>
      <c r="BNU21" s="50"/>
      <c r="BNV21" s="50"/>
      <c r="BNW21" s="50"/>
      <c r="BNX21" s="50"/>
      <c r="BNY21" s="50"/>
      <c r="BNZ21" s="50"/>
      <c r="BOA21" s="50"/>
      <c r="BOB21" s="50"/>
      <c r="BOC21" s="50"/>
      <c r="BOD21" s="50"/>
      <c r="BOE21" s="50"/>
      <c r="BOF21" s="50"/>
      <c r="BOG21" s="50"/>
      <c r="BOH21" s="50"/>
      <c r="BOI21" s="50"/>
      <c r="BOJ21" s="50"/>
      <c r="BOK21" s="50"/>
      <c r="BOL21" s="50"/>
      <c r="BOM21" s="50"/>
      <c r="BON21" s="50"/>
      <c r="BOO21" s="50"/>
      <c r="BOP21" s="50"/>
      <c r="BOQ21" s="50"/>
      <c r="BOR21" s="50"/>
      <c r="BOS21" s="50"/>
      <c r="BOT21" s="50"/>
      <c r="BOU21" s="50"/>
      <c r="BOV21" s="50"/>
      <c r="BOW21" s="50"/>
      <c r="BOX21" s="50"/>
      <c r="BOY21" s="50"/>
      <c r="BOZ21" s="50"/>
      <c r="BPA21" s="50"/>
      <c r="BPB21" s="50"/>
      <c r="BPC21" s="50"/>
      <c r="BPD21" s="50"/>
      <c r="BPE21" s="50"/>
      <c r="BPF21" s="50"/>
      <c r="BPG21" s="50"/>
      <c r="BPH21" s="50"/>
      <c r="BPI21" s="50"/>
      <c r="BPJ21" s="50"/>
      <c r="BPK21" s="50"/>
      <c r="BPL21" s="50"/>
      <c r="BPM21" s="50"/>
      <c r="BPN21" s="50"/>
      <c r="BPO21" s="50"/>
      <c r="BPP21" s="50"/>
      <c r="BPQ21" s="50"/>
      <c r="BPR21" s="50"/>
      <c r="BPS21" s="50"/>
      <c r="BPT21" s="50"/>
      <c r="BPU21" s="50"/>
      <c r="BPV21" s="50"/>
      <c r="BPW21" s="50"/>
      <c r="BPX21" s="50"/>
      <c r="BPY21" s="50"/>
      <c r="BPZ21" s="50"/>
      <c r="BQA21" s="50"/>
      <c r="BQB21" s="50"/>
      <c r="BQC21" s="50"/>
      <c r="BQD21" s="50"/>
      <c r="BQE21" s="50"/>
      <c r="BQF21" s="50"/>
      <c r="BQG21" s="50"/>
      <c r="BQH21" s="50"/>
      <c r="BQI21" s="50"/>
      <c r="BQJ21" s="50"/>
      <c r="BQK21" s="50"/>
      <c r="BQL21" s="50"/>
      <c r="BQM21" s="50"/>
      <c r="BQN21" s="50"/>
      <c r="BQO21" s="50"/>
      <c r="BQP21" s="50"/>
      <c r="BQQ21" s="50"/>
      <c r="BQR21" s="50"/>
      <c r="BQS21" s="50"/>
      <c r="BQT21" s="50"/>
      <c r="BQU21" s="50"/>
      <c r="BQV21" s="50"/>
      <c r="BQW21" s="50"/>
      <c r="BQX21" s="50"/>
      <c r="BQY21" s="50"/>
      <c r="BQZ21" s="50"/>
      <c r="BRA21" s="50"/>
      <c r="BRB21" s="50"/>
      <c r="BRC21" s="50"/>
      <c r="BRD21" s="50"/>
      <c r="BRE21" s="50"/>
      <c r="BRF21" s="50"/>
      <c r="BRG21" s="50"/>
      <c r="BRH21" s="50"/>
      <c r="BRI21" s="50"/>
      <c r="BRJ21" s="50"/>
      <c r="BRK21" s="50"/>
      <c r="BRL21" s="50"/>
      <c r="BRM21" s="50"/>
      <c r="BRN21" s="50"/>
      <c r="BRO21" s="50"/>
      <c r="BRP21" s="50"/>
      <c r="BRQ21" s="50"/>
      <c r="BRR21" s="50"/>
      <c r="BRS21" s="50"/>
      <c r="BRT21" s="50"/>
      <c r="BRU21" s="50"/>
      <c r="BRV21" s="50"/>
      <c r="BRW21" s="50"/>
      <c r="BRX21" s="50"/>
      <c r="BRY21" s="50"/>
      <c r="BRZ21" s="50"/>
      <c r="BSA21" s="50"/>
      <c r="BSB21" s="50"/>
      <c r="BSC21" s="50"/>
      <c r="BSD21" s="50"/>
      <c r="BSE21" s="50"/>
      <c r="BSF21" s="50"/>
      <c r="BSG21" s="50"/>
      <c r="BSH21" s="50"/>
      <c r="BSI21" s="50"/>
      <c r="BSJ21" s="50"/>
      <c r="BSK21" s="50"/>
      <c r="BSL21" s="50"/>
      <c r="BSM21" s="50"/>
      <c r="BSN21" s="50"/>
      <c r="BSO21" s="50"/>
      <c r="BSP21" s="50"/>
      <c r="BSQ21" s="50"/>
      <c r="BSR21" s="50"/>
      <c r="BSS21" s="50"/>
      <c r="BST21" s="50"/>
      <c r="BSU21" s="50"/>
      <c r="BSV21" s="50"/>
      <c r="BSW21" s="50"/>
      <c r="BSX21" s="50"/>
      <c r="BSY21" s="50"/>
      <c r="BSZ21" s="50"/>
      <c r="BTA21" s="50"/>
      <c r="BTB21" s="50"/>
      <c r="BTC21" s="50"/>
      <c r="BTD21" s="50"/>
      <c r="BTE21" s="50"/>
      <c r="BTF21" s="50"/>
      <c r="BTG21" s="50"/>
      <c r="BTH21" s="50"/>
      <c r="BTI21" s="50"/>
      <c r="BTJ21" s="50"/>
      <c r="BTK21" s="50"/>
      <c r="BTL21" s="50"/>
      <c r="BTM21" s="50"/>
      <c r="BTN21" s="50"/>
      <c r="BTO21" s="50"/>
      <c r="BTP21" s="50"/>
      <c r="BTQ21" s="50"/>
      <c r="BTR21" s="50"/>
      <c r="BTS21" s="50"/>
      <c r="BTT21" s="50"/>
      <c r="BTU21" s="50"/>
      <c r="BTV21" s="50"/>
      <c r="BTW21" s="50"/>
      <c r="BTX21" s="50"/>
    </row>
    <row r="22" ht="15.75" customHeight="1">
      <c r="A22" t="s">
        <v>60</v>
      </c>
      <c r="B22" t="s">
        <v>45</v>
      </c>
      <c r="E22">
        <v>100.0</v>
      </c>
      <c r="F22" t="s">
        <v>78</v>
      </c>
      <c r="G22" t="s">
        <v>64</v>
      </c>
      <c r="K22">
        <v>60.0</v>
      </c>
      <c r="L22">
        <v>60.0</v>
      </c>
      <c r="O22" t="s">
        <v>70</v>
      </c>
      <c r="V22" t="s">
        <v>84</v>
      </c>
      <c r="Z22" t="s">
        <v>67</v>
      </c>
      <c r="AD22" t="s">
        <v>66</v>
      </c>
      <c r="AE22">
        <v>100.0</v>
      </c>
      <c r="AF22" t="s">
        <v>60</v>
      </c>
      <c r="AH22" t="s">
        <v>80</v>
      </c>
      <c r="AI22">
        <v>1.0</v>
      </c>
      <c r="AP22" t="b">
        <v>1</v>
      </c>
      <c r="AQ22" t="b">
        <v>0</v>
      </c>
      <c r="AR22" t="b">
        <v>1</v>
      </c>
      <c r="BE22">
        <v>6000.0</v>
      </c>
      <c r="BF22">
        <v>6000.0</v>
      </c>
      <c r="BJ22">
        <v>100.0</v>
      </c>
      <c r="BM22" t="s">
        <v>67</v>
      </c>
      <c r="BO22" t="s">
        <v>75</v>
      </c>
      <c r="BT22" t="s">
        <v>44</v>
      </c>
      <c r="CK22" t="s">
        <v>65</v>
      </c>
      <c r="CL22">
        <v>1.0</v>
      </c>
      <c r="CM22" t="s">
        <v>44</v>
      </c>
      <c r="CN22" t="s">
        <v>69</v>
      </c>
      <c r="CX22" t="s">
        <v>60</v>
      </c>
      <c r="CY22" t="s">
        <v>60</v>
      </c>
      <c r="CZ22" t="s">
        <v>60</v>
      </c>
      <c r="DA22" t="s">
        <v>60</v>
      </c>
      <c r="DB22" t="s">
        <v>60</v>
      </c>
      <c r="DC22" t="s">
        <v>60</v>
      </c>
      <c r="DD22" t="s">
        <v>60</v>
      </c>
      <c r="DE22" t="s">
        <v>60</v>
      </c>
      <c r="DF22" t="s">
        <v>60</v>
      </c>
      <c r="DG22" t="s">
        <v>60</v>
      </c>
      <c r="DH22" t="s">
        <v>60</v>
      </c>
      <c r="DI22" t="s">
        <v>60</v>
      </c>
      <c r="DJ22" t="s">
        <v>60</v>
      </c>
      <c r="DK22" t="s">
        <v>60</v>
      </c>
      <c r="DL22" t="s">
        <v>60</v>
      </c>
      <c r="DM22" t="s">
        <v>60</v>
      </c>
      <c r="DN22" t="s">
        <v>60</v>
      </c>
      <c r="DO22" t="s">
        <v>60</v>
      </c>
      <c r="DP22" t="s">
        <v>60</v>
      </c>
      <c r="DQ22" t="s">
        <v>60</v>
      </c>
      <c r="DR22" t="s">
        <v>60</v>
      </c>
      <c r="DS22" t="s">
        <v>60</v>
      </c>
      <c r="DT22" t="s">
        <v>60</v>
      </c>
      <c r="DU22" t="s">
        <v>60</v>
      </c>
      <c r="DV22" t="s">
        <v>60</v>
      </c>
      <c r="DW22" t="s">
        <v>60</v>
      </c>
      <c r="DX22" t="s">
        <v>60</v>
      </c>
      <c r="DY22" t="s">
        <v>60</v>
      </c>
      <c r="DZ22" t="s">
        <v>60</v>
      </c>
      <c r="EA22" t="s">
        <v>60</v>
      </c>
      <c r="EB22" t="s">
        <v>60</v>
      </c>
      <c r="EC22" t="s">
        <v>60</v>
      </c>
      <c r="ED22" t="s">
        <v>60</v>
      </c>
      <c r="EE22" t="s">
        <v>60</v>
      </c>
      <c r="EF22" t="s">
        <v>60</v>
      </c>
      <c r="EG22" t="s">
        <v>60</v>
      </c>
      <c r="EH22" t="s">
        <v>60</v>
      </c>
      <c r="EI22" t="s">
        <v>60</v>
      </c>
      <c r="EJ22" t="s">
        <v>60</v>
      </c>
      <c r="EK22" t="s">
        <v>60</v>
      </c>
      <c r="EL22" t="s">
        <v>60</v>
      </c>
      <c r="EM22" t="s">
        <v>60</v>
      </c>
      <c r="EN22" t="s">
        <v>60</v>
      </c>
      <c r="EO22" t="s">
        <v>60</v>
      </c>
      <c r="EP22" t="s">
        <v>60</v>
      </c>
      <c r="EQ22" t="s">
        <v>60</v>
      </c>
      <c r="ER22" t="s">
        <v>60</v>
      </c>
      <c r="ES22" t="s">
        <v>60</v>
      </c>
      <c r="ET22" t="s">
        <v>60</v>
      </c>
      <c r="EU22" t="s">
        <v>60</v>
      </c>
      <c r="EV22" t="s">
        <v>60</v>
      </c>
      <c r="EW22" t="s">
        <v>60</v>
      </c>
      <c r="EX22" t="s">
        <v>60</v>
      </c>
      <c r="EY22" t="s">
        <v>60</v>
      </c>
      <c r="EZ22" t="s">
        <v>60</v>
      </c>
      <c r="FA22" t="s">
        <v>60</v>
      </c>
      <c r="FB22" t="s">
        <v>60</v>
      </c>
      <c r="FC22" t="s">
        <v>60</v>
      </c>
      <c r="FD22" t="s">
        <v>60</v>
      </c>
      <c r="FE22" t="s">
        <v>60</v>
      </c>
      <c r="FF22" t="s">
        <v>60</v>
      </c>
      <c r="FG22" t="s">
        <v>60</v>
      </c>
      <c r="FH22" t="s">
        <v>60</v>
      </c>
      <c r="FI22" t="s">
        <v>60</v>
      </c>
      <c r="FJ22" t="s">
        <v>60</v>
      </c>
      <c r="FK22" t="s">
        <v>60</v>
      </c>
      <c r="FL22" t="s">
        <v>60</v>
      </c>
      <c r="FM22" t="s">
        <v>60</v>
      </c>
      <c r="FN22" t="s">
        <v>60</v>
      </c>
      <c r="FO22" t="s">
        <v>60</v>
      </c>
      <c r="FP22" t="s">
        <v>60</v>
      </c>
      <c r="FQ22" t="s">
        <v>60</v>
      </c>
      <c r="AML22" s="36" t="str">
        <f t="shared" ref="AML22:AND22" si="17">iferror(INDEX('Input(Other)'!$A:$FF,MATCH($A22,'Input(Other)'!$A$1:$A$210,0),MATCH(AML$1,'Input(Other)'!$1:$1,0)),"")</f>
        <v/>
      </c>
      <c r="AMM22" s="36" t="str">
        <f t="shared" si="17"/>
        <v/>
      </c>
      <c r="AMN22" s="36" t="str">
        <f t="shared" si="17"/>
        <v/>
      </c>
      <c r="AMO22" s="36" t="str">
        <f t="shared" si="17"/>
        <v/>
      </c>
      <c r="AMP22" s="36" t="str">
        <f t="shared" si="17"/>
        <v/>
      </c>
      <c r="AMQ22" s="36" t="str">
        <f t="shared" si="17"/>
        <v/>
      </c>
      <c r="AMR22" s="36" t="str">
        <f t="shared" si="17"/>
        <v/>
      </c>
      <c r="AMS22" s="36" t="str">
        <f t="shared" si="17"/>
        <v/>
      </c>
      <c r="AMT22" s="36" t="str">
        <f t="shared" si="17"/>
        <v/>
      </c>
      <c r="AMU22" s="36" t="str">
        <f t="shared" si="17"/>
        <v/>
      </c>
      <c r="AMV22" s="36" t="str">
        <f t="shared" si="17"/>
        <v/>
      </c>
      <c r="AMW22" s="36" t="str">
        <f t="shared" si="17"/>
        <v/>
      </c>
      <c r="AMX22" s="36" t="str">
        <f t="shared" si="17"/>
        <v/>
      </c>
      <c r="AMY22" s="36" t="str">
        <f t="shared" si="17"/>
        <v/>
      </c>
      <c r="AMZ22" s="36" t="str">
        <f t="shared" si="17"/>
        <v/>
      </c>
      <c r="ANA22" s="36" t="str">
        <f t="shared" si="17"/>
        <v/>
      </c>
      <c r="ANB22" s="36" t="str">
        <f t="shared" si="17"/>
        <v/>
      </c>
      <c r="ANC22" s="36" t="str">
        <f t="shared" si="17"/>
        <v/>
      </c>
      <c r="AND22" s="36" t="str">
        <f t="shared" si="17"/>
        <v/>
      </c>
      <c r="ANE22" s="50"/>
      <c r="ANF22" s="50"/>
      <c r="ANG22" s="50"/>
      <c r="ANH22" s="50"/>
      <c r="ANI22" s="50"/>
      <c r="ANJ22" s="50"/>
      <c r="ANK22" s="50"/>
      <c r="ANL22" s="50"/>
      <c r="ANM22" s="50"/>
      <c r="ANN22" s="50"/>
      <c r="ANO22" s="50"/>
      <c r="ANP22" s="50"/>
      <c r="ANQ22" s="50"/>
      <c r="ANR22" s="50"/>
      <c r="ANS22" s="50"/>
      <c r="ANT22" s="50"/>
      <c r="ANU22" s="50"/>
      <c r="ANV22" s="50"/>
      <c r="ANW22" s="50"/>
      <c r="ANX22" s="50"/>
      <c r="ANY22" s="50"/>
      <c r="ANZ22" s="50"/>
      <c r="AOA22" s="50"/>
      <c r="AOB22" s="50"/>
      <c r="AOC22" s="50"/>
      <c r="AOD22" s="50"/>
      <c r="AOE22" s="50"/>
      <c r="AOF22" s="50"/>
      <c r="AOG22" s="50"/>
      <c r="AOH22" s="50"/>
      <c r="AOI22" s="50"/>
      <c r="AOJ22" s="50"/>
      <c r="AOK22" s="50"/>
      <c r="AOL22" s="50"/>
      <c r="AOM22" s="50"/>
      <c r="AON22" s="50"/>
      <c r="AOO22" s="50"/>
      <c r="AOP22" s="50"/>
      <c r="AOQ22" s="50"/>
      <c r="AOR22" s="50"/>
      <c r="AOS22" s="50"/>
      <c r="AOT22" s="50"/>
      <c r="AOU22" s="50"/>
      <c r="AOV22" s="50"/>
      <c r="AOW22" s="50"/>
      <c r="AOX22" s="50"/>
      <c r="AOY22" s="50"/>
      <c r="AOZ22" s="50"/>
      <c r="APA22" s="50"/>
      <c r="APB22" s="50"/>
      <c r="APC22" s="50"/>
      <c r="APD22" s="50"/>
      <c r="APE22" s="50"/>
      <c r="APF22" s="50"/>
      <c r="APG22" s="50"/>
      <c r="APH22" s="50"/>
      <c r="API22" s="50"/>
      <c r="APJ22" s="50"/>
      <c r="APK22" s="50"/>
      <c r="APL22" s="50"/>
      <c r="APM22" s="50"/>
      <c r="APN22" s="50"/>
      <c r="APO22" s="50"/>
      <c r="APP22" s="50"/>
      <c r="APQ22" s="50"/>
      <c r="APR22" s="50"/>
      <c r="APS22" s="50"/>
      <c r="APT22" s="50"/>
      <c r="APU22" s="50"/>
      <c r="APV22" s="50"/>
      <c r="APW22" s="50"/>
      <c r="APX22" s="50"/>
      <c r="APY22" s="50"/>
      <c r="APZ22" s="50"/>
      <c r="AQA22" s="50"/>
      <c r="AQB22" s="50"/>
      <c r="AQC22" s="50"/>
      <c r="AQD22" s="50"/>
      <c r="AQE22" s="50"/>
      <c r="AQF22" s="50"/>
      <c r="AQG22" s="50"/>
      <c r="AQH22" s="50"/>
      <c r="AQI22" s="50"/>
      <c r="AQJ22" s="50"/>
      <c r="AQK22" s="50"/>
      <c r="AQL22" s="50"/>
      <c r="AQM22" s="50"/>
      <c r="AQN22" s="50"/>
      <c r="AQO22" s="50"/>
      <c r="AQP22" s="50"/>
      <c r="AQQ22" s="50"/>
      <c r="AQR22" s="50"/>
      <c r="AQS22" s="50"/>
      <c r="AQT22" s="50"/>
      <c r="AQU22" s="50"/>
      <c r="AQV22" s="50"/>
      <c r="AQW22" s="50"/>
      <c r="AQX22" s="50"/>
      <c r="AQY22" s="50"/>
      <c r="AQZ22" s="50"/>
      <c r="ARA22" s="50"/>
      <c r="ARB22" s="50"/>
      <c r="ARC22" s="50"/>
      <c r="ARD22" s="50"/>
      <c r="ARE22" s="50"/>
      <c r="ARF22" s="50"/>
      <c r="ARG22" s="50"/>
      <c r="ARH22" s="50"/>
      <c r="ARI22" s="50"/>
      <c r="ARJ22" s="50"/>
      <c r="ARK22" s="50"/>
      <c r="ARL22" s="50"/>
      <c r="ARM22" s="50"/>
      <c r="ARN22" s="50"/>
      <c r="ARO22" s="50"/>
      <c r="ARP22" s="50"/>
      <c r="ARQ22" s="50"/>
      <c r="ARR22" s="50"/>
      <c r="ARS22" s="50"/>
      <c r="ART22" s="50"/>
      <c r="ARU22" s="50"/>
      <c r="ARV22" s="50"/>
      <c r="ARW22" s="50"/>
      <c r="ARX22" s="50"/>
      <c r="ARY22" s="50"/>
      <c r="ARZ22" s="50"/>
      <c r="ASA22" s="50"/>
      <c r="ASB22" s="50"/>
      <c r="ASC22" s="50"/>
      <c r="ASD22" s="50"/>
      <c r="ASE22" s="50"/>
      <c r="ASF22" s="50"/>
      <c r="ASG22" s="50"/>
      <c r="ASH22" s="50"/>
      <c r="ASI22" s="50"/>
      <c r="ASJ22" s="50"/>
      <c r="ASK22" s="50"/>
      <c r="ASL22" s="50"/>
      <c r="ASM22" s="50"/>
      <c r="ASN22" s="50"/>
      <c r="ASO22" s="50"/>
      <c r="ASP22" s="50"/>
      <c r="ASQ22" s="50"/>
      <c r="ASR22" s="50"/>
      <c r="ASS22" s="50"/>
      <c r="AST22" s="50"/>
      <c r="ASU22" s="50"/>
      <c r="ASV22" s="50"/>
      <c r="ASW22" s="50"/>
      <c r="ASX22" s="50"/>
      <c r="ASY22" s="50"/>
      <c r="ASZ22" s="50"/>
      <c r="ATA22" s="50"/>
      <c r="ATB22" s="50"/>
      <c r="ATC22" s="50"/>
      <c r="ATD22" s="50"/>
      <c r="ATE22" s="50"/>
      <c r="ATF22" s="50"/>
      <c r="ATG22" s="50"/>
      <c r="ATH22" s="50"/>
      <c r="ATI22" s="50"/>
      <c r="ATJ22" s="50"/>
      <c r="ATK22" s="50"/>
      <c r="ATL22" s="50"/>
      <c r="ATM22" s="50"/>
      <c r="ATN22" s="50"/>
      <c r="ATO22" s="50"/>
      <c r="ATP22" s="50"/>
      <c r="ATQ22" s="50"/>
      <c r="ATR22" s="50"/>
      <c r="ATS22" s="50"/>
      <c r="ATT22" s="50"/>
      <c r="ATU22" s="50"/>
      <c r="ATV22" s="50"/>
      <c r="ATW22" s="50"/>
      <c r="ATX22" s="50"/>
      <c r="ATY22" s="50"/>
      <c r="ATZ22" s="50"/>
      <c r="AUA22" s="50"/>
      <c r="AUB22" s="50"/>
      <c r="AUC22" s="50"/>
      <c r="AUD22" s="50"/>
      <c r="AUE22" s="50"/>
      <c r="AUF22" s="50"/>
      <c r="AUG22" s="50"/>
      <c r="AUH22" s="50"/>
      <c r="AUI22" s="50"/>
      <c r="AUJ22" s="50"/>
      <c r="AUK22" s="50"/>
      <c r="AUL22" s="50"/>
      <c r="AUM22" s="50"/>
      <c r="AUN22" s="50"/>
      <c r="AUO22" s="50"/>
      <c r="AUP22" s="50"/>
      <c r="AUQ22" s="50"/>
      <c r="AUR22" s="50"/>
      <c r="AUS22" s="50"/>
      <c r="AUT22" s="50"/>
      <c r="AUU22" s="50"/>
      <c r="AUV22" s="50"/>
      <c r="AUW22" s="50"/>
      <c r="AUX22" s="50"/>
      <c r="AUY22" s="50"/>
      <c r="AUZ22" s="50"/>
      <c r="AVA22" s="50"/>
      <c r="AVB22" s="50"/>
      <c r="AVC22" s="50"/>
      <c r="AVD22" s="50"/>
      <c r="AVE22" s="50"/>
      <c r="AVF22" s="50"/>
      <c r="AVG22" s="50"/>
      <c r="AVH22" s="50"/>
      <c r="AVI22" s="50"/>
      <c r="AVJ22" s="50"/>
      <c r="AVK22" s="50"/>
      <c r="AVL22" s="50"/>
      <c r="AVM22" s="50"/>
      <c r="AVN22" s="50"/>
      <c r="AVO22" s="50"/>
      <c r="AVP22" s="50"/>
      <c r="AVQ22" s="50"/>
      <c r="AVR22" s="50"/>
      <c r="AVS22" s="50"/>
      <c r="AVT22" s="50"/>
      <c r="AVU22" s="50"/>
      <c r="AVV22" s="50"/>
      <c r="AVW22" s="50"/>
      <c r="AVX22" s="50"/>
      <c r="AVY22" s="50"/>
      <c r="AVZ22" s="50"/>
      <c r="AWA22" s="50"/>
      <c r="AWB22" s="50"/>
      <c r="AWC22" s="50"/>
      <c r="AWD22" s="50"/>
      <c r="AWE22" s="50"/>
      <c r="AWF22" s="50"/>
      <c r="AWG22" s="50"/>
      <c r="AWH22" s="50"/>
      <c r="AWI22" s="50"/>
      <c r="AWJ22" s="50"/>
      <c r="AWK22" s="50"/>
      <c r="AWL22" s="50"/>
      <c r="AWM22" s="50"/>
      <c r="AWN22" s="50"/>
      <c r="AWO22" s="50"/>
      <c r="AWP22" s="50"/>
      <c r="AWQ22" s="50"/>
      <c r="AWR22" s="50"/>
      <c r="AWS22" s="50"/>
      <c r="AWT22" s="50"/>
      <c r="AWU22" s="50"/>
      <c r="AWV22" s="50"/>
      <c r="AWW22" s="50"/>
      <c r="AWX22" s="50"/>
      <c r="AWY22" s="50"/>
      <c r="AWZ22" s="50"/>
      <c r="AXA22" s="50"/>
      <c r="AXB22" s="50"/>
      <c r="AXC22" s="50"/>
      <c r="AXD22" s="50"/>
      <c r="AXE22" s="50"/>
      <c r="AXF22" s="50"/>
      <c r="AXG22" s="50"/>
      <c r="AXH22" s="50"/>
      <c r="AXI22" s="50"/>
      <c r="AXJ22" s="50"/>
      <c r="AXK22" s="50"/>
      <c r="AXL22" s="50"/>
      <c r="AXM22" s="50"/>
      <c r="AXN22" s="50"/>
      <c r="AXO22" s="50"/>
      <c r="AXP22" s="50"/>
      <c r="AXQ22" s="50"/>
      <c r="AXR22" s="50"/>
      <c r="AXS22" s="50"/>
      <c r="AXT22" s="50"/>
      <c r="AXU22" s="50"/>
      <c r="AXV22" s="50"/>
      <c r="AXW22" s="50"/>
      <c r="AXX22" s="50"/>
      <c r="AXY22" s="50"/>
      <c r="AXZ22" s="50"/>
      <c r="AYA22" s="50"/>
      <c r="AYB22" s="50"/>
      <c r="AYC22" s="50"/>
      <c r="AYD22" s="50"/>
      <c r="AYE22" s="50"/>
      <c r="AYF22" s="50"/>
      <c r="AYG22" s="50"/>
      <c r="AYH22" s="50"/>
      <c r="AYI22" s="50"/>
      <c r="AYJ22" s="50"/>
      <c r="AYK22" s="50"/>
      <c r="AYL22" s="50"/>
      <c r="AYM22" s="50"/>
      <c r="AYN22" s="50"/>
      <c r="AYO22" s="50"/>
      <c r="AYP22" s="50"/>
      <c r="AYQ22" s="50"/>
      <c r="AYR22" s="50"/>
      <c r="AYS22" s="50"/>
      <c r="AYT22" s="50"/>
      <c r="AYU22" s="50"/>
      <c r="AYV22" s="50"/>
      <c r="AYW22" s="50"/>
      <c r="AYX22" s="50"/>
      <c r="AYY22" s="50"/>
      <c r="AYZ22" s="50"/>
      <c r="AZA22" s="50"/>
      <c r="AZB22" s="50"/>
      <c r="AZC22" s="50"/>
      <c r="AZD22" s="50"/>
      <c r="AZE22" s="50"/>
      <c r="AZF22" s="50"/>
      <c r="AZG22" s="50"/>
      <c r="AZH22" s="50"/>
      <c r="AZI22" s="50"/>
      <c r="AZJ22" s="50"/>
      <c r="AZK22" s="50"/>
      <c r="AZL22" s="50"/>
      <c r="AZM22" s="50"/>
      <c r="AZN22" s="50"/>
      <c r="AZO22" s="50"/>
      <c r="AZP22" s="50"/>
      <c r="AZQ22" s="50"/>
      <c r="AZR22" s="50"/>
      <c r="AZS22" s="50"/>
      <c r="AZT22" s="50"/>
      <c r="AZU22" s="50"/>
      <c r="AZV22" s="50"/>
      <c r="AZW22" s="50"/>
      <c r="AZX22" s="50"/>
      <c r="AZY22" s="50"/>
      <c r="AZZ22" s="50"/>
      <c r="BAA22" s="50"/>
      <c r="BAB22" s="50"/>
      <c r="BAC22" s="50"/>
      <c r="BAD22" s="50"/>
      <c r="BAE22" s="50"/>
      <c r="BAF22" s="50"/>
      <c r="BAG22" s="50"/>
      <c r="BAH22" s="50"/>
      <c r="BAI22" s="50"/>
      <c r="BAJ22" s="50"/>
      <c r="BAK22" s="50"/>
      <c r="BAL22" s="50"/>
      <c r="BAM22" s="50"/>
      <c r="BAN22" s="50"/>
      <c r="BAO22" s="50"/>
      <c r="BAP22" s="50"/>
      <c r="BAQ22" s="50"/>
      <c r="BAR22" s="50"/>
      <c r="BAS22" s="50"/>
      <c r="BAT22" s="50"/>
      <c r="BAU22" s="50"/>
      <c r="BAV22" s="50"/>
      <c r="BAW22" s="50"/>
      <c r="BAX22" s="50"/>
      <c r="BAY22" s="50"/>
      <c r="BAZ22" s="50"/>
      <c r="BBA22" s="50"/>
      <c r="BBB22" s="50"/>
      <c r="BBC22" s="50"/>
      <c r="BBD22" s="50"/>
      <c r="BBE22" s="50"/>
      <c r="BBF22" s="50"/>
      <c r="BBG22" s="50"/>
      <c r="BBH22" s="50"/>
      <c r="BBI22" s="50"/>
      <c r="BBJ22" s="50"/>
      <c r="BBK22" s="50"/>
      <c r="BBL22" s="50"/>
      <c r="BBM22" s="50"/>
      <c r="BBN22" s="50"/>
      <c r="BBO22" s="50"/>
      <c r="BBP22" s="50"/>
      <c r="BBQ22" s="50"/>
      <c r="BBR22" s="50"/>
      <c r="BBS22" s="50"/>
      <c r="BBT22" s="50"/>
      <c r="BBU22" s="50"/>
      <c r="BBV22" s="50"/>
      <c r="BBW22" s="50"/>
      <c r="BBX22" s="50"/>
      <c r="BBY22" s="50"/>
      <c r="BBZ22" s="50"/>
      <c r="BCA22" s="50"/>
      <c r="BCB22" s="50"/>
      <c r="BCC22" s="50"/>
      <c r="BCD22" s="50"/>
      <c r="BCE22" s="50"/>
      <c r="BCF22" s="50"/>
      <c r="BCG22" s="50"/>
      <c r="BCH22" s="50"/>
      <c r="BCI22" s="50"/>
      <c r="BCJ22" s="50"/>
      <c r="BCK22" s="50"/>
      <c r="BCL22" s="50"/>
      <c r="BCM22" s="50"/>
      <c r="BCN22" s="50"/>
      <c r="BCO22" s="50"/>
      <c r="BCP22" s="50"/>
      <c r="BCQ22" s="50"/>
      <c r="BCR22" s="50"/>
      <c r="BCS22" s="50"/>
      <c r="BCT22" s="50"/>
      <c r="BCU22" s="50"/>
      <c r="BCV22" s="50"/>
      <c r="BCW22" s="50"/>
      <c r="BCX22" s="50"/>
      <c r="BCY22" s="50"/>
      <c r="BCZ22" s="50"/>
      <c r="BDA22" s="50"/>
      <c r="BDB22" s="50"/>
      <c r="BDC22" s="50"/>
      <c r="BDD22" s="50"/>
      <c r="BDE22" s="50"/>
      <c r="BDF22" s="50"/>
      <c r="BDG22" s="50"/>
      <c r="BDH22" s="50"/>
      <c r="BDI22" s="50"/>
      <c r="BDJ22" s="50"/>
      <c r="BDK22" s="50"/>
      <c r="BDL22" s="50"/>
      <c r="BDM22" s="50"/>
      <c r="BDN22" s="50"/>
      <c r="BDO22" s="50"/>
      <c r="BDP22" s="50"/>
      <c r="BDQ22" s="50"/>
      <c r="BDR22" s="50"/>
      <c r="BDS22" s="50"/>
      <c r="BDT22" s="50"/>
      <c r="BDU22" s="50"/>
      <c r="BDV22" s="50"/>
      <c r="BDW22" s="50"/>
      <c r="BDX22" s="50"/>
      <c r="BDY22" s="50"/>
      <c r="BDZ22" s="50"/>
      <c r="BEA22" s="50"/>
      <c r="BEB22" s="50"/>
      <c r="BEC22" s="50"/>
      <c r="BED22" s="50"/>
      <c r="BEE22" s="50"/>
      <c r="BEF22" s="50"/>
      <c r="BEG22" s="50"/>
      <c r="BEH22" s="50"/>
      <c r="BEI22" s="50"/>
      <c r="BEJ22" s="50"/>
      <c r="BEK22" s="50"/>
      <c r="BEL22" s="50"/>
      <c r="BEM22" s="50"/>
      <c r="BEN22" s="50"/>
      <c r="BEO22" s="50"/>
      <c r="BEP22" s="50"/>
      <c r="BEQ22" s="50"/>
      <c r="BER22" s="50"/>
      <c r="BES22" s="50"/>
      <c r="BET22" s="50"/>
      <c r="BEU22" s="50"/>
      <c r="BEV22" s="50"/>
      <c r="BEW22" s="50"/>
      <c r="BEX22" s="50"/>
      <c r="BEY22" s="50"/>
      <c r="BEZ22" s="50"/>
      <c r="BFA22" s="50"/>
      <c r="BFB22" s="50"/>
      <c r="BFC22" s="50"/>
      <c r="BFD22" s="50"/>
      <c r="BFE22" s="50"/>
      <c r="BFF22" s="50"/>
      <c r="BFG22" s="50"/>
      <c r="BFH22" s="50"/>
      <c r="BFI22" s="50"/>
      <c r="BFJ22" s="50"/>
      <c r="BFK22" s="50"/>
      <c r="BFL22" s="50"/>
      <c r="BFM22" s="50"/>
      <c r="BFN22" s="50"/>
      <c r="BFO22" s="50"/>
      <c r="BFP22" s="50"/>
      <c r="BFQ22" s="50"/>
      <c r="BFR22" s="50"/>
      <c r="BFS22" s="50"/>
      <c r="BFT22" s="50"/>
      <c r="BFU22" s="50"/>
      <c r="BFV22" s="50"/>
      <c r="BFW22" s="50"/>
      <c r="BFX22" s="50"/>
      <c r="BFY22" s="50"/>
      <c r="BFZ22" s="50"/>
      <c r="BGA22" s="50"/>
      <c r="BGB22" s="50"/>
      <c r="BGC22" s="50"/>
      <c r="BGD22" s="50"/>
      <c r="BGE22" s="50"/>
      <c r="BGF22" s="50"/>
      <c r="BGG22" s="50"/>
      <c r="BGH22" s="50"/>
      <c r="BGI22" s="50"/>
      <c r="BGJ22" s="50"/>
      <c r="BGK22" s="50"/>
      <c r="BGL22" s="50"/>
      <c r="BGM22" s="50"/>
      <c r="BGN22" s="50"/>
      <c r="BGO22" s="50"/>
      <c r="BGP22" s="50"/>
      <c r="BGQ22" s="50"/>
      <c r="BGR22" s="50"/>
      <c r="BGS22" s="50"/>
      <c r="BGT22" s="50"/>
      <c r="BGU22" s="50"/>
      <c r="BGV22" s="50"/>
      <c r="BGW22" s="50"/>
      <c r="BGX22" s="50"/>
      <c r="BGY22" s="50"/>
      <c r="BGZ22" s="50"/>
      <c r="BHA22" s="50"/>
      <c r="BHB22" s="50"/>
      <c r="BHC22" s="50"/>
      <c r="BHD22" s="50"/>
      <c r="BHE22" s="50"/>
      <c r="BHF22" s="50"/>
      <c r="BHG22" s="50"/>
      <c r="BHH22" s="50"/>
      <c r="BHI22" s="50"/>
      <c r="BHJ22" s="50"/>
      <c r="BHK22" s="50"/>
      <c r="BHL22" s="50"/>
      <c r="BHM22" s="50"/>
      <c r="BHN22" s="50"/>
      <c r="BHO22" s="50"/>
      <c r="BHP22" s="50"/>
      <c r="BHQ22" s="50"/>
      <c r="BHR22" s="50"/>
      <c r="BHS22" s="50"/>
      <c r="BHT22" s="50"/>
      <c r="BHU22" s="50"/>
      <c r="BHV22" s="50"/>
      <c r="BHW22" s="50"/>
      <c r="BHX22" s="50"/>
      <c r="BHY22" s="50"/>
      <c r="BHZ22" s="50"/>
      <c r="BIA22" s="50"/>
      <c r="BIB22" s="50"/>
      <c r="BIC22" s="50"/>
      <c r="BID22" s="50"/>
      <c r="BIE22" s="50"/>
      <c r="BIF22" s="50"/>
      <c r="BIG22" s="50"/>
      <c r="BIH22" s="50"/>
      <c r="BII22" s="50"/>
      <c r="BIJ22" s="50"/>
      <c r="BIK22" s="50"/>
      <c r="BIL22" s="50"/>
      <c r="BIM22" s="50"/>
      <c r="BIN22" s="50"/>
      <c r="BIO22" s="50"/>
      <c r="BIP22" s="50"/>
      <c r="BIQ22" s="50"/>
      <c r="BIR22" s="50"/>
      <c r="BIS22" s="50"/>
      <c r="BIT22" s="50"/>
      <c r="BIU22" s="50"/>
      <c r="BIV22" s="50"/>
      <c r="BIW22" s="50"/>
      <c r="BIX22" s="50"/>
      <c r="BIY22" s="50"/>
      <c r="BIZ22" s="50"/>
      <c r="BJA22" s="50"/>
      <c r="BJB22" s="50"/>
      <c r="BJC22" s="50"/>
      <c r="BJD22" s="50"/>
      <c r="BJE22" s="50"/>
      <c r="BJF22" s="50"/>
      <c r="BJG22" s="50"/>
      <c r="BJH22" s="50"/>
      <c r="BJI22" s="50"/>
      <c r="BJJ22" s="50"/>
      <c r="BJK22" s="50"/>
      <c r="BJL22" s="50"/>
      <c r="BJM22" s="50"/>
      <c r="BJN22" s="50"/>
      <c r="BJO22" s="50"/>
      <c r="BJP22" s="50"/>
      <c r="BJQ22" s="50"/>
      <c r="BJR22" s="50"/>
      <c r="BJS22" s="50"/>
      <c r="BJT22" s="50"/>
      <c r="BJU22" s="50"/>
      <c r="BJV22" s="50"/>
      <c r="BJW22" s="50"/>
      <c r="BJX22" s="50"/>
      <c r="BJY22" s="50"/>
      <c r="BJZ22" s="50"/>
      <c r="BKA22" s="50"/>
      <c r="BKB22" s="50"/>
      <c r="BKC22" s="50"/>
      <c r="BKD22" s="50"/>
      <c r="BKE22" s="50"/>
      <c r="BKF22" s="50"/>
      <c r="BKG22" s="50"/>
      <c r="BKH22" s="50"/>
      <c r="BKI22" s="50"/>
      <c r="BKJ22" s="50"/>
      <c r="BKK22" s="50"/>
      <c r="BKL22" s="50"/>
      <c r="BKM22" s="50"/>
      <c r="BKN22" s="50"/>
      <c r="BKO22" s="50"/>
      <c r="BKP22" s="50"/>
      <c r="BKQ22" s="50"/>
      <c r="BKR22" s="50"/>
      <c r="BKS22" s="50"/>
      <c r="BKT22" s="50"/>
      <c r="BKU22" s="50"/>
      <c r="BKV22" s="50"/>
      <c r="BKW22" s="50"/>
      <c r="BKX22" s="50"/>
      <c r="BKY22" s="50"/>
      <c r="BKZ22" s="50"/>
      <c r="BLA22" s="50"/>
      <c r="BLB22" s="50"/>
      <c r="BLC22" s="50"/>
      <c r="BLD22" s="50"/>
      <c r="BLE22" s="50"/>
      <c r="BLF22" s="50"/>
      <c r="BLG22" s="50"/>
      <c r="BLH22" s="50"/>
      <c r="BLI22" s="50"/>
      <c r="BLJ22" s="50"/>
      <c r="BLK22" s="50"/>
      <c r="BLL22" s="50"/>
      <c r="BLM22" s="50"/>
      <c r="BLN22" s="50"/>
      <c r="BLO22" s="50"/>
      <c r="BLP22" s="50"/>
      <c r="BLQ22" s="50"/>
      <c r="BLR22" s="50"/>
      <c r="BLS22" s="50"/>
      <c r="BLT22" s="50"/>
      <c r="BLU22" s="50"/>
      <c r="BLV22" s="50"/>
      <c r="BLW22" s="50"/>
      <c r="BLX22" s="50"/>
      <c r="BLY22" s="50"/>
      <c r="BLZ22" s="50"/>
      <c r="BMA22" s="50"/>
      <c r="BMB22" s="50"/>
      <c r="BMC22" s="50"/>
      <c r="BMD22" s="50"/>
      <c r="BME22" s="50"/>
      <c r="BMF22" s="50"/>
      <c r="BMG22" s="50"/>
      <c r="BMH22" s="50"/>
      <c r="BMI22" s="50"/>
      <c r="BMJ22" s="50"/>
      <c r="BMK22" s="50"/>
      <c r="BML22" s="50"/>
      <c r="BMM22" s="50"/>
      <c r="BMN22" s="50"/>
      <c r="BMO22" s="50"/>
      <c r="BMP22" s="50"/>
      <c r="BMQ22" s="50"/>
      <c r="BMR22" s="50"/>
      <c r="BMS22" s="50"/>
      <c r="BMT22" s="50"/>
      <c r="BMU22" s="50"/>
      <c r="BMV22" s="50"/>
      <c r="BMW22" s="50"/>
      <c r="BMX22" s="50"/>
      <c r="BMY22" s="50"/>
      <c r="BMZ22" s="50"/>
      <c r="BNA22" s="50"/>
      <c r="BNB22" s="50"/>
      <c r="BNC22" s="50"/>
      <c r="BND22" s="50"/>
      <c r="BNE22" s="50"/>
      <c r="BNF22" s="50"/>
      <c r="BNG22" s="50"/>
      <c r="BNH22" s="50"/>
      <c r="BNI22" s="50"/>
      <c r="BNJ22" s="50"/>
      <c r="BNK22" s="50"/>
      <c r="BNL22" s="50"/>
      <c r="BNM22" s="50"/>
      <c r="BNN22" s="50"/>
      <c r="BNO22" s="50"/>
      <c r="BNP22" s="50"/>
      <c r="BNQ22" s="50"/>
      <c r="BNR22" s="50"/>
      <c r="BNS22" s="50"/>
      <c r="BNT22" s="50"/>
      <c r="BNU22" s="50"/>
      <c r="BNV22" s="50"/>
      <c r="BNW22" s="50"/>
      <c r="BNX22" s="50"/>
      <c r="BNY22" s="50"/>
      <c r="BNZ22" s="50"/>
      <c r="BOA22" s="50"/>
      <c r="BOB22" s="50"/>
      <c r="BOC22" s="50"/>
      <c r="BOD22" s="50"/>
      <c r="BOE22" s="50"/>
      <c r="BOF22" s="50"/>
      <c r="BOG22" s="50"/>
      <c r="BOH22" s="50"/>
      <c r="BOI22" s="50"/>
      <c r="BOJ22" s="50"/>
      <c r="BOK22" s="50"/>
      <c r="BOL22" s="50"/>
      <c r="BOM22" s="50"/>
      <c r="BON22" s="50"/>
      <c r="BOO22" s="50"/>
      <c r="BOP22" s="50"/>
      <c r="BOQ22" s="50"/>
      <c r="BOR22" s="50"/>
      <c r="BOS22" s="50"/>
      <c r="BOT22" s="50"/>
      <c r="BOU22" s="50"/>
      <c r="BOV22" s="50"/>
      <c r="BOW22" s="50"/>
      <c r="BOX22" s="50"/>
      <c r="BOY22" s="50"/>
      <c r="BOZ22" s="50"/>
      <c r="BPA22" s="50"/>
      <c r="BPB22" s="50"/>
      <c r="BPC22" s="50"/>
      <c r="BPD22" s="50"/>
      <c r="BPE22" s="50"/>
      <c r="BPF22" s="50"/>
      <c r="BPG22" s="50"/>
      <c r="BPH22" s="50"/>
      <c r="BPI22" s="50"/>
      <c r="BPJ22" s="50"/>
      <c r="BPK22" s="50"/>
      <c r="BPL22" s="50"/>
      <c r="BPM22" s="50"/>
      <c r="BPN22" s="50"/>
      <c r="BPO22" s="50"/>
      <c r="BPP22" s="50"/>
      <c r="BPQ22" s="50"/>
      <c r="BPR22" s="50"/>
      <c r="BPS22" s="50"/>
      <c r="BPT22" s="50"/>
      <c r="BPU22" s="50"/>
      <c r="BPV22" s="50"/>
      <c r="BPW22" s="50"/>
      <c r="BPX22" s="50"/>
      <c r="BPY22" s="50"/>
      <c r="BPZ22" s="50"/>
      <c r="BQA22" s="50"/>
      <c r="BQB22" s="50"/>
      <c r="BQC22" s="50"/>
      <c r="BQD22" s="50"/>
      <c r="BQE22" s="50"/>
      <c r="BQF22" s="50"/>
      <c r="BQG22" s="50"/>
      <c r="BQH22" s="50"/>
      <c r="BQI22" s="50"/>
      <c r="BQJ22" s="50"/>
      <c r="BQK22" s="50"/>
      <c r="BQL22" s="50"/>
      <c r="BQM22" s="50"/>
      <c r="BQN22" s="50"/>
      <c r="BQO22" s="50"/>
      <c r="BQP22" s="50"/>
      <c r="BQQ22" s="50"/>
      <c r="BQR22" s="50"/>
      <c r="BQS22" s="50"/>
      <c r="BQT22" s="50"/>
      <c r="BQU22" s="50"/>
      <c r="BQV22" s="50"/>
      <c r="BQW22" s="50"/>
      <c r="BQX22" s="50"/>
      <c r="BQY22" s="50"/>
      <c r="BQZ22" s="50"/>
      <c r="BRA22" s="50"/>
      <c r="BRB22" s="50"/>
      <c r="BRC22" s="50"/>
      <c r="BRD22" s="50"/>
      <c r="BRE22" s="50"/>
      <c r="BRF22" s="50"/>
      <c r="BRG22" s="50"/>
      <c r="BRH22" s="50"/>
      <c r="BRI22" s="50"/>
      <c r="BRJ22" s="50"/>
      <c r="BRK22" s="50"/>
      <c r="BRL22" s="50"/>
      <c r="BRM22" s="50"/>
      <c r="BRN22" s="50"/>
      <c r="BRO22" s="50"/>
      <c r="BRP22" s="50"/>
      <c r="BRQ22" s="50"/>
      <c r="BRR22" s="50"/>
      <c r="BRS22" s="50"/>
      <c r="BRT22" s="50"/>
      <c r="BRU22" s="50"/>
      <c r="BRV22" s="50"/>
      <c r="BRW22" s="50"/>
      <c r="BRX22" s="50"/>
      <c r="BRY22" s="50"/>
      <c r="BRZ22" s="50"/>
      <c r="BSA22" s="50"/>
      <c r="BSB22" s="50"/>
      <c r="BSC22" s="50"/>
      <c r="BSD22" s="50"/>
      <c r="BSE22" s="50"/>
      <c r="BSF22" s="50"/>
      <c r="BSG22" s="50"/>
      <c r="BSH22" s="50"/>
      <c r="BSI22" s="50"/>
      <c r="BSJ22" s="50"/>
      <c r="BSK22" s="50"/>
      <c r="BSL22" s="50"/>
      <c r="BSM22" s="50"/>
      <c r="BSN22" s="50"/>
      <c r="BSO22" s="50"/>
      <c r="BSP22" s="50"/>
      <c r="BSQ22" s="50"/>
      <c r="BSR22" s="50"/>
      <c r="BSS22" s="50"/>
      <c r="BST22" s="50"/>
      <c r="BSU22" s="50"/>
      <c r="BSV22" s="50"/>
      <c r="BSW22" s="50"/>
      <c r="BSX22" s="50"/>
      <c r="BSY22" s="50"/>
      <c r="BSZ22" s="50"/>
      <c r="BTA22" s="50"/>
      <c r="BTB22" s="50"/>
      <c r="BTC22" s="50"/>
      <c r="BTD22" s="50"/>
      <c r="BTE22" s="50"/>
      <c r="BTF22" s="50"/>
      <c r="BTG22" s="50"/>
      <c r="BTH22" s="50"/>
      <c r="BTI22" s="50"/>
      <c r="BTJ22" s="50"/>
      <c r="BTK22" s="50"/>
      <c r="BTL22" s="50"/>
      <c r="BTM22" s="50"/>
      <c r="BTN22" s="50"/>
      <c r="BTO22" s="50"/>
      <c r="BTP22" s="50"/>
      <c r="BTQ22" s="50"/>
      <c r="BTR22" s="50"/>
      <c r="BTS22" s="50"/>
      <c r="BTT22" s="50"/>
      <c r="BTU22" s="50"/>
      <c r="BTV22" s="50"/>
      <c r="BTW22" s="50"/>
      <c r="BTX22" s="50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