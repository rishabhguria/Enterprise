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ApplyFilterOnImport" sheetId="5" r:id="rId7"/>
    <sheet state="visible" name="SelectAllOnImport" sheetId="6" r:id="rId8"/>
    <sheet state="visible" name="GetDataClosing" sheetId="7" r:id="rId9"/>
    <sheet state="visible" name="CheckAllocatedGroups" sheetId="8" r:id="rId10"/>
    <sheet state="visible" name="CheckUnallocatedGroups" sheetId="9" r:id="rId11"/>
    <sheet state="visible" name="CheckPortfolioManagement" sheetId="10" r:id="rId12"/>
    <sheet state="visible" name="VerifyLongPositionsGrid" sheetId="11" r:id="rId13"/>
    <sheet state="visible" name="Import1" sheetId="12" r:id="rId14"/>
    <sheet state="visible" name="ApplyFilterOnImport1" sheetId="13" r:id="rId15"/>
    <sheet state="visible" name="SelectAllOnImport1" sheetId="14" r:id="rId16"/>
    <sheet state="visible" name="DisableCheckside" sheetId="15" r:id="rId17"/>
    <sheet state="visible" name="DisableCheckside1" sheetId="16" r:id="rId18"/>
    <sheet state="visible" name="GetDataAllocation" sheetId="17" r:id="rId19"/>
  </sheets>
  <definedNames/>
  <calcPr/>
</workbook>
</file>

<file path=xl/sharedStrings.xml><?xml version="1.0" encoding="utf-8"?>
<sst xmlns="http://schemas.openxmlformats.org/spreadsheetml/2006/main" count="150" uniqueCount="43">
  <si>
    <t>Modules Info</t>
  </si>
  <si>
    <t>Modules</t>
  </si>
  <si>
    <t>Settings</t>
  </si>
  <si>
    <t>Module Step Setting File</t>
  </si>
  <si>
    <t>1Uza8_cfcgL7xAOCk597yoYnaq5pzovqYqdM8WMBrVDQ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</si>
  <si>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</si>
  <si>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</si>
  <si>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</si>
  <si>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</si>
  <si>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</si>
  <si>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</si>
  <si>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</si>
  <si>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</si>
  <si>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</si>
  <si>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</si>
  <si>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Allocation1</t>
  </si>
  <si>
    <t>\\192.168.2.108\DistributedAutomation_Master\Import Cases\Transaction_Import1.csv</t>
  </si>
  <si>
    <t>Cameron</t>
  </si>
  <si>
    <t>Transaction</t>
  </si>
  <si>
    <t>ApplyFilterOnImport</t>
  </si>
  <si>
    <t>Trade Date</t>
  </si>
  <si>
    <t>SelectAllOnImport</t>
  </si>
  <si>
    <t>Closing</t>
  </si>
  <si>
    <t>GetDataClosing</t>
  </si>
  <si>
    <t>Historical</t>
  </si>
  <si>
    <t>Allocation</t>
  </si>
  <si>
    <t>CheckAllocatedGroups</t>
  </si>
  <si>
    <t>Equity</t>
  </si>
  <si>
    <t>Open</t>
  </si>
  <si>
    <t>Buy</t>
  </si>
  <si>
    <t>AAPL</t>
  </si>
  <si>
    <t>TradeImport</t>
  </si>
  <si>
    <t>NONE</t>
  </si>
  <si>
    <t>CheckUnallocatedGroups</t>
  </si>
  <si>
    <t>Sell</t>
  </si>
  <si>
    <t>MSFT</t>
  </si>
  <si>
    <t>PortfolioManagement</t>
  </si>
  <si>
    <t>CheckPortfolioManagement</t>
  </si>
  <si>
    <t>Long</t>
  </si>
  <si>
    <t>Short</t>
  </si>
  <si>
    <t>VerifyLongPositionsGrid</t>
  </si>
  <si>
    <t>DisableCheckside</t>
  </si>
  <si>
    <t>GetDataAllocation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</si>
</sst>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0000FF"/>
      <name val="Arial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readingOrder="0" shrinkToFit="0" vertical="bottom" wrapText="0"/>
    </xf>
    <xf borderId="4" fillId="5" fontId="4" numFmtId="164" xfId="0" applyAlignment="1" applyBorder="1" applyFont="1" applyNumberFormat="1">
      <alignment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5" fillId="0" fontId="5" numFmtId="0" xfId="0" applyAlignment="1" applyBorder="1" applyFont="1">
      <alignment vertical="bottom"/>
    </xf>
    <xf borderId="0" fillId="0" fontId="5" numFmtId="165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15</v>
      </c>
      <c r="C6" s="11" t="b">
        <v>0</v>
      </c>
      <c r="D6" s="11"/>
      <c r="E6" s="30" t="s">
        <v>16</v>
      </c>
      <c r="F6" s="11" t="s">
        <v>17</v>
      </c>
      <c r="G6" s="11" t="s">
        <v>18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11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hyperlinks>
    <hyperlink r:id="rId1" ref="E6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31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32">
        <v>44089.0</v>
      </c>
      <c r="D6" s="1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ApplyFilterOnImport!$4:$4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31" t="str">
        <f>IFERROR(__xludf.DUMMYFUNCTION("""COMPUTED_VALUE"""),"From")</f>
        <v>From</v>
      </c>
      <c r="D5" s="31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32">
        <v>44089.0</v>
      </c>
      <c r="D6" s="32">
        <v>44089.0</v>
      </c>
      <c r="E6" s="11" t="s">
        <v>15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15</v>
      </c>
      <c r="C6" s="8"/>
      <c r="D6" s="11"/>
      <c r="E6" s="11">
        <v>3000.0</v>
      </c>
      <c r="F6" s="8"/>
      <c r="G6" s="11" t="s">
        <v>27</v>
      </c>
      <c r="H6" s="11">
        <v>4.0</v>
      </c>
      <c r="I6" s="11">
        <v>5.0</v>
      </c>
      <c r="J6" s="8"/>
      <c r="K6" s="11">
        <v>20.0</v>
      </c>
      <c r="L6" s="11">
        <v>20.0</v>
      </c>
      <c r="M6" s="8"/>
      <c r="N6" s="8"/>
      <c r="O6" s="8"/>
      <c r="S6" s="9" t="s">
        <v>28</v>
      </c>
      <c r="AE6" s="9">
        <v>3000.0</v>
      </c>
      <c r="AT6" s="9">
        <v>60046.536</v>
      </c>
      <c r="AU6" s="9">
        <v>60046.536</v>
      </c>
      <c r="BJ6" s="9">
        <v>3000.0</v>
      </c>
      <c r="BO6" s="9" t="s">
        <v>29</v>
      </c>
      <c r="BT6" s="9" t="s">
        <v>30</v>
      </c>
      <c r="CH6" s="9" t="s">
        <v>31</v>
      </c>
      <c r="CP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1c7aP-E18Fb8lEVGiXac03BLoNVdUNRzodD2Xjn-9pzU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33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1000.0</v>
      </c>
      <c r="E6" s="33"/>
      <c r="F6" s="11" t="s">
        <v>27</v>
      </c>
      <c r="G6" s="11">
        <v>4.0</v>
      </c>
      <c r="H6" s="11">
        <v>5.0</v>
      </c>
      <c r="I6" s="8"/>
      <c r="J6" s="11">
        <v>20.0</v>
      </c>
      <c r="K6" s="11">
        <v>20.0</v>
      </c>
      <c r="L6" s="8"/>
      <c r="M6" s="8"/>
      <c r="N6" s="8"/>
      <c r="O6" s="8"/>
      <c r="R6" s="9" t="s">
        <v>32</v>
      </c>
      <c r="S6" s="9" t="s">
        <v>28</v>
      </c>
      <c r="AE6" s="9">
        <v>1000.0</v>
      </c>
      <c r="AT6" s="9">
        <v>19953.464</v>
      </c>
      <c r="AU6" s="9">
        <v>19953.464</v>
      </c>
      <c r="BJ6" s="9">
        <v>1000.0</v>
      </c>
      <c r="BO6" s="9" t="s">
        <v>34</v>
      </c>
      <c r="BS6" s="9" t="s">
        <v>35</v>
      </c>
      <c r="CG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" width="12.63"/>
    <col customWidth="1" min="17" max="17" width="17.0"/>
    <col customWidth="1" min="18" max="31" width="12.63"/>
    <col customWidth="1" min="32" max="32" width="16.0"/>
    <col customWidth="1" min="33" max="48" width="12.63"/>
    <col customWidth="1" min="49" max="49" width="18.63"/>
    <col customWidth="1" min="50" max="52" width="12.63"/>
    <col customWidth="1" min="53" max="53" width="17.13"/>
    <col customWidth="1" min="54" max="85" width="12.63"/>
    <col customWidth="1" min="86" max="86" width="16.25"/>
    <col customWidth="1" min="87" max="16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</row>
    <row r="6" ht="15.75" customHeight="1">
      <c r="A6" s="11"/>
      <c r="B6" s="11"/>
      <c r="C6" s="11" t="s">
        <v>30</v>
      </c>
      <c r="D6" s="11">
        <v>3000.0</v>
      </c>
      <c r="E6" s="11" t="s">
        <v>15</v>
      </c>
      <c r="F6" s="8"/>
      <c r="G6" s="8"/>
      <c r="H6" s="11" t="s">
        <v>38</v>
      </c>
      <c r="I6" s="8"/>
      <c r="J6" s="8"/>
      <c r="K6" s="8"/>
      <c r="L6" s="8"/>
      <c r="M6" s="8"/>
      <c r="N6" s="11">
        <v>0.0</v>
      </c>
      <c r="O6" s="8"/>
      <c r="Q6" s="9">
        <v>-60000.0</v>
      </c>
      <c r="T6" s="9" t="s">
        <v>27</v>
      </c>
      <c r="AF6" s="9">
        <v>3000.0</v>
      </c>
      <c r="AN6" s="9" t="s">
        <v>29</v>
      </c>
      <c r="AW6" s="9">
        <v>-60000.0</v>
      </c>
      <c r="CH6" s="9">
        <v>-100.0</v>
      </c>
    </row>
    <row r="7" ht="15.75" customHeight="1">
      <c r="A7" s="8"/>
      <c r="B7" s="8"/>
      <c r="C7" s="11" t="s">
        <v>35</v>
      </c>
      <c r="D7" s="11">
        <v>-1000.0</v>
      </c>
      <c r="E7" s="8"/>
      <c r="F7" s="8"/>
      <c r="G7" s="8"/>
      <c r="H7" s="11" t="s">
        <v>39</v>
      </c>
      <c r="I7" s="8"/>
      <c r="J7" s="8"/>
      <c r="K7" s="8"/>
      <c r="L7" s="8"/>
      <c r="M7" s="8"/>
      <c r="N7" s="11">
        <v>0.0</v>
      </c>
      <c r="O7" s="8"/>
      <c r="Q7" s="9">
        <v>20000.0</v>
      </c>
      <c r="T7" s="9" t="s">
        <v>27</v>
      </c>
      <c r="AF7" s="9">
        <v>-1000.0</v>
      </c>
      <c r="AN7" s="9" t="s">
        <v>34</v>
      </c>
      <c r="AW7" s="9">
        <v>20000.0</v>
      </c>
      <c r="CH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40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15</v>
      </c>
      <c r="C6" s="11" t="s">
        <v>27</v>
      </c>
      <c r="D6" s="11"/>
      <c r="E6" s="33"/>
      <c r="F6" s="8"/>
      <c r="G6" s="8"/>
      <c r="H6" s="8"/>
      <c r="I6" s="11">
        <v>20.0</v>
      </c>
      <c r="J6" s="8"/>
      <c r="K6" s="8"/>
      <c r="L6" s="8"/>
      <c r="M6" s="11">
        <v>3000.0</v>
      </c>
      <c r="N6" s="8"/>
      <c r="O6" s="8"/>
      <c r="P6" s="9" t="s">
        <v>29</v>
      </c>
      <c r="R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15</v>
      </c>
      <c r="C6" s="35" t="b">
        <v>0</v>
      </c>
      <c r="D6" s="34"/>
      <c r="E6" s="36" t="s">
        <v>16</v>
      </c>
      <c r="F6" s="37" t="s">
        <v>17</v>
      </c>
      <c r="G6" s="37" t="s">
        <v>18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31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32">
        <v>44090.0</v>
      </c>
      <c r="D6" s="1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ApplyFilterOnImport1!$4:$4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41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IFERROR(__xludf.DUMMYFUNCTION("""COMPUTED_VALUE"""),"Asset")</f>
        <v>Asset</v>
      </c>
      <c r="C5" s="27" t="str">
        <f>IFERROR(__xludf.DUMMYFUNCTION("""COMPUTED_VALUE"""),"Account Name")</f>
        <v>Account Name</v>
      </c>
      <c r="D5" s="27" t="str">
        <f>IFERROR(__xludf.DUMMYFUNCTION("""COMPUTED_VALUE"""),"Broker")</f>
        <v>Broker</v>
      </c>
      <c r="E5" s="27" t="str">
        <f>IFERROR(__xludf.DUMMYFUNCTION("""COMPUTED_VALUE"""),"ValidateCheckSide")</f>
        <v>ValidateCheckSide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DisableCheckside!$4:$4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41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IFERROR(__xludf.DUMMYFUNCTION("""COMPUTED_VALUE"""),"Asset")</f>
        <v>Asset</v>
      </c>
      <c r="C5" s="27" t="str">
        <f>IFERROR(__xludf.DUMMYFUNCTION("""COMPUTED_VALUE"""),"Account Name")</f>
        <v>Account Name</v>
      </c>
      <c r="D5" s="27" t="str">
        <f>IFERROR(__xludf.DUMMYFUNCTION("""COMPUTED_VALUE"""),"Broker")</f>
        <v>Broker</v>
      </c>
      <c r="E5" s="27" t="str">
        <f>IFERROR(__xludf.DUMMYFUNCTION("""COMPUTED_VALUE"""),"ValidateCheckSide")</f>
        <v>ValidateCheckSide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DisableCheckside1!$4:$4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38">
        <v>44089.0</v>
      </c>
      <c r="D6" s="38">
        <v>44090.0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