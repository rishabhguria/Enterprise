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BookAsSwap" sheetId="5" r:id="rId7"/>
    <sheet state="visible" name="TradeNewSubOrder" sheetId="6" r:id="rId8"/>
    <sheet state="visible" name="CreateNewSubOrder" sheetId="7" r:id="rId9"/>
    <sheet state="visible" name="OpenRTPNL" sheetId="8" r:id="rId10"/>
    <sheet state="visible" name="CheckRealTimeSymAccountMonitor" sheetId="9" r:id="rId11"/>
    <sheet state="visible" name="IncreaseOrUnwindPositionRTPNL" sheetId="10" r:id="rId12"/>
    <sheet state="visible" name="CustomOrderTT1" sheetId="11" r:id="rId13"/>
    <sheet state="visible" name="IncreaseOrUnwindPositionRTPNL1" sheetId="12" r:id="rId14"/>
    <sheet state="visible" name="PricingInput" sheetId="13" r:id="rId15"/>
    <sheet state="visible" name="CheckRealTimeSymAccountMonitor1" sheetId="14" r:id="rId16"/>
    <sheet state="visible" name="VerifyBlotter" sheetId="15" r:id="rId17"/>
  </sheets>
  <definedNames/>
  <calcPr/>
</workbook>
</file>

<file path=xl/sharedStrings.xml><?xml version="1.0" encoding="utf-8"?>
<sst xmlns="http://schemas.openxmlformats.org/spreadsheetml/2006/main" count="871" uniqueCount="122">
  <si>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</si>
  <si>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</si>
  <si>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</si>
  <si>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</si>
  <si>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</si>
  <si>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</si>
  <si>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</si>
  <si>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</si>
  <si>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</si>
  <si>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</si>
  <si>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</si>
  <si>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</si>
  <si>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</si>
  <si>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</si>
  <si>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</si>
  <si>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</si>
  <si>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</si>
  <si>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</si>
  <si>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</si>
  <si>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</si>
  <si>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</si>
  <si>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</si>
  <si>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</si>
  <si>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</si>
  <si>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</si>
  <si>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</si>
  <si>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</si>
  <si>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</si>
  <si>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</si>
  <si>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</si>
  <si>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</si>
  <si>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</si>
  <si>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</si>
  <si>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</si>
  <si>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</si>
  <si>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</si>
  <si>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</si>
  <si>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</si>
  <si>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</si>
  <si>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</si>
  <si>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</si>
  <si>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</si>
  <si>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</si>
  <si>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</si>
  <si>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</si>
  <si>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</si>
  <si>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</si>
  <si>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</si>
  <si>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</si>
  <si>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</si>
  <si>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AAPL</t>
  </si>
  <si>
    <t>DoneAway</t>
  </si>
  <si>
    <t>Yes</t>
  </si>
  <si>
    <t>MSFT</t>
  </si>
  <si>
    <t>CreateOrder</t>
  </si>
  <si>
    <t>Blotter</t>
  </si>
  <si>
    <t>TradeNewSubOrder</t>
  </si>
  <si>
    <t>CreateNewSubOrder</t>
  </si>
  <si>
    <t>RTPNL</t>
  </si>
  <si>
    <t>OpenRTPNL</t>
  </si>
  <si>
    <t>Nirvana,PM</t>
  </si>
  <si>
    <t>CheckRealTimeSymAccountMonitor</t>
  </si>
  <si>
    <t>APPLE</t>
  </si>
  <si>
    <t>NewMF</t>
  </si>
  <si>
    <t>Allocation1</t>
  </si>
  <si>
    <t>EquitySwap</t>
  </si>
  <si>
    <t>Long</t>
  </si>
  <si>
    <t>MICROSOFT INC</t>
  </si>
  <si>
    <t>IncreaseOrUnwindPositionRTPNL</t>
  </si>
  <si>
    <t>Increase</t>
  </si>
  <si>
    <t>No</t>
  </si>
  <si>
    <t>PricingInput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</si>
  <si>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</si>
  <si>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</si>
  <si>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</si>
  <si>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</si>
  <si>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</si>
  <si>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</si>
  <si>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</si>
  <si>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</si>
  <si>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</si>
  <si>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</si>
  <si>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</si>
  <si>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</si>
  <si>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</si>
  <si>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</si>
  <si>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</si>
  <si>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</si>
  <si>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</si>
  <si>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</si>
  <si>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</si>
  <si>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</si>
  <si>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</si>
  <si>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</si>
  <si>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</si>
  <si>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</si>
  <si>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</si>
  <si>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</si>
  <si>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</si>
  <si>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</si>
  <si>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</si>
  <si>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</si>
  <si>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</si>
  <si>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</si>
  <si>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</si>
  <si>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</si>
  <si>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</si>
  <si>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</si>
  <si>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</si>
  <si>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</si>
  <si>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</si>
  <si>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</si>
  <si>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</si>
  <si>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</si>
  <si>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Filled</t>
  </si>
  <si>
    <t>Manual</t>
  </si>
  <si>
    <t>AAPL US EQUITY</t>
  </si>
  <si>
    <t>Buy</t>
  </si>
  <si>
    <t>Samsara</t>
  </si>
  <si>
    <t>MS</t>
  </si>
  <si>
    <t>NASDAQ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</si>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</sst>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color rgb="FF000000"/>
      <name val="Calibri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6" numFmtId="4" xfId="0" applyAlignment="1" applyBorder="1" applyFill="1" applyFont="1" applyNumberFormat="1">
      <alignment horizontal="right" vertical="bottom"/>
    </xf>
    <xf borderId="0" fillId="0" fontId="2" numFmtId="164" xfId="0" applyFont="1" applyNumberFormat="1"/>
    <xf borderId="5" fillId="7" fontId="16" numFmtId="4" xfId="0" applyAlignment="1" applyBorder="1" applyFill="1" applyFont="1" applyNumberFormat="1">
      <alignment horizontal="right" vertical="bottom"/>
    </xf>
    <xf borderId="5" fillId="6" fontId="16" numFmtId="0" xfId="0" applyAlignment="1" applyBorder="1" applyFont="1">
      <alignment horizontal="right" vertical="bottom"/>
    </xf>
    <xf borderId="5" fillId="7" fontId="1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0"/>
      <c r="B6" s="31" t="s">
        <v>50</v>
      </c>
      <c r="C6" s="32">
        <v>100.0</v>
      </c>
      <c r="D6" s="33">
        <v>10.0</v>
      </c>
      <c r="E6" s="34" t="s">
        <v>51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 t="s">
        <v>52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2" t="s">
        <v>53</v>
      </c>
      <c r="C7" s="32">
        <v>100.0</v>
      </c>
      <c r="D7" s="33">
        <v>10.0</v>
      </c>
      <c r="E7" s="12" t="s">
        <v>54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IFERROR(__xludf.DUMMYFUNCTION("""COMPUTED_VALUE"""),"Transaction Time")</f>
        <v>Transaction Time</v>
      </c>
      <c r="C5" s="38" t="str">
        <f>IFERROR(__xludf.DUMMYFUNCTION("""COMPUTED_VALUE"""),"Algo")</f>
        <v>Algo</v>
      </c>
      <c r="D5" s="38" t="str">
        <f>IFERROR(__xludf.DUMMYFUNCTION("""COMPUTED_VALUE"""),"Avg Fill Price (Base)")</f>
        <v>Avg Fill Price (Base)</v>
      </c>
      <c r="E5" s="38" t="str">
        <f>IFERROR(__xludf.DUMMYFUNCTION("""COMPUTED_VALUE"""),"Bloomberg Symbol")</f>
        <v>Bloomberg Symbol</v>
      </c>
      <c r="F5" s="39" t="str">
        <f>IFERROR(__xludf.DUMMYFUNCTION("""COMPUTED_VALUE"""),"Limit Price")</f>
        <v>Limit Price</v>
      </c>
      <c r="G5" s="38" t="str">
        <f>IFERROR(__xludf.DUMMYFUNCTION("""COMPUTED_VALUE"""),"Working Qty")</f>
        <v>Working Qty</v>
      </c>
      <c r="H5" s="38" t="str">
        <f>IFERROR(__xludf.DUMMYFUNCTION("""COMPUTED_VALUE"""),"Venue")</f>
        <v>Venue</v>
      </c>
      <c r="I5" s="38" t="str">
        <f>IFERROR(__xludf.DUMMYFUNCTION("""COMPUTED_VALUE"""),"User")</f>
        <v>User</v>
      </c>
      <c r="J5" s="38" t="str">
        <f>IFERROR(__xludf.DUMMYFUNCTION("""COMPUTED_VALUE"""),"Underlying Symbol")</f>
        <v>Underlying Symbol</v>
      </c>
      <c r="K5" s="38" t="str">
        <f>IFERROR(__xludf.DUMMYFUNCTION("""COMPUTED_VALUE"""),"Underlying Country")</f>
        <v>Underlying Country</v>
      </c>
      <c r="L5" s="38" t="str">
        <f>IFERROR(__xludf.DUMMYFUNCTION("""COMPUTED_VALUE"""),"Trader")</f>
        <v>Trader</v>
      </c>
      <c r="M5" s="38" t="str">
        <f>IFERROR(__xludf.DUMMYFUNCTION("""COMPUTED_VALUE"""),"Trade Attribute 6")</f>
        <v>Trade Attribute 6</v>
      </c>
      <c r="N5" s="38" t="str">
        <f>IFERROR(__xludf.DUMMYFUNCTION("""COMPUTED_VALUE"""),"Trade Attribute 5")</f>
        <v>Trade Attribute 5</v>
      </c>
      <c r="O5" s="38" t="str">
        <f>IFERROR(__xludf.DUMMYFUNCTION("""COMPUTED_VALUE"""),"Trade Attribute 4")</f>
        <v>Trade Attribute 4</v>
      </c>
      <c r="P5" s="38" t="str">
        <f>IFERROR(__xludf.DUMMYFUNCTION("""COMPUTED_VALUE"""),"Trade Attribute 3")</f>
        <v>Trade Attribute 3</v>
      </c>
      <c r="Q5" s="38" t="str">
        <f>IFERROR(__xludf.DUMMYFUNCTION("""COMPUTED_VALUE"""),"Trade Attribute 1")</f>
        <v>Trade Attribute 1</v>
      </c>
      <c r="R5" s="38" t="str">
        <f>IFERROR(__xludf.DUMMYFUNCTION("""COMPUTED_VALUE"""),"Trade Attribute 2")</f>
        <v>Trade Attribute 2</v>
      </c>
      <c r="S5" s="38" t="str">
        <f>IFERROR(__xludf.DUMMYFUNCTION("""COMPUTED_VALUE"""),"Strike Price")</f>
        <v>Strike Price</v>
      </c>
      <c r="T5" s="40" t="str">
        <f>IFERROR(__xludf.DUMMYFUNCTION("""COMPUTED_VALUE"""),"Stop Price")</f>
        <v>Stop Price</v>
      </c>
      <c r="U5" s="40" t="str">
        <f>IFERROR(__xludf.DUMMYFUNCTION("""COMPUTED_VALUE"""),"Settlement Currency")</f>
        <v>Settlement Currency</v>
      </c>
      <c r="V5" s="40" t="str">
        <f>IFERROR(__xludf.DUMMYFUNCTION("""COMPUTED_VALUE"""),"Put/Call")</f>
        <v>Put/Call</v>
      </c>
      <c r="W5" s="40" t="str">
        <f>IFERROR(__xludf.DUMMYFUNCTION("""COMPUTED_VALUE"""),"Process Date")</f>
        <v>Process Date</v>
      </c>
      <c r="X5" s="40" t="str">
        <f>IFERROR(__xludf.DUMMYFUNCTION("""COMPUTED_VALUE"""),"Peg")</f>
        <v>Peg</v>
      </c>
      <c r="Y5" s="40" t="str">
        <f>IFERROR(__xludf.DUMMYFUNCTION("""COMPUTED_VALUE"""),"ParentClOrderID")</f>
        <v>ParentClOrderID</v>
      </c>
      <c r="Z5" s="40" t="str">
        <f>IFERROR(__xludf.DUMMYFUNCTION("""COMPUTED_VALUE"""),"OrderID")</f>
        <v>OrderID</v>
      </c>
      <c r="AA5" s="40" t="str">
        <f>IFERROR(__xludf.DUMMYFUNCTION("""COMPUTED_VALUE"""),"Master Fund")</f>
        <v>Master Fund</v>
      </c>
      <c r="AB5" s="40" t="str">
        <f>IFERROR(__xludf.DUMMYFUNCTION("""COMPUTED_VALUE"""),"Last Shares")</f>
        <v>Last Shares</v>
      </c>
      <c r="AC5" s="40" t="str">
        <f>IFERROR(__xludf.DUMMYFUNCTION("""COMPUTED_VALUE"""),"Internal Comments")</f>
        <v>Internal Comments</v>
      </c>
      <c r="AD5" s="40" t="str">
        <f>IFERROR(__xludf.DUMMYFUNCTION("""COMPUTED_VALUE"""),"FX Rate")</f>
        <v>FX Rate</v>
      </c>
      <c r="AE5" s="40" t="str">
        <f>IFERROR(__xludf.DUMMYFUNCTION("""COMPUTED_VALUE"""),"Imported File Name")</f>
        <v>Imported File Name</v>
      </c>
      <c r="AF5" s="40" t="str">
        <f>IFERROR(__xludf.DUMMYFUNCTION("""COMPUTED_VALUE"""),"FX Conversion Operator")</f>
        <v>FX Conversion Operator</v>
      </c>
      <c r="AG5" s="40" t="str">
        <f>IFERROR(__xludf.DUMMYFUNCTION("""COMPUTED_VALUE"""),"Day Average Price")</f>
        <v>Day Average Price</v>
      </c>
      <c r="AH5" s="40" t="str">
        <f>IFERROR(__xludf.DUMMYFUNCTION("""COMPUTED_VALUE"""),"Asset Class")</f>
        <v>Asset Class</v>
      </c>
      <c r="AI5" s="40" t="str">
        <f>IFERROR(__xludf.DUMMYFUNCTION("""COMPUTED_VALUE"""),"Symbol")</f>
        <v>Symbol</v>
      </c>
      <c r="AJ5" s="40" t="str">
        <f>IFERROR(__xludf.DUMMYFUNCTION("""COMPUTED_VALUE"""),"Side")</f>
        <v>Side</v>
      </c>
      <c r="AK5" s="40" t="str">
        <f>IFERROR(__xludf.DUMMYFUNCTION("""COMPUTED_VALUE"""),"Status")</f>
        <v>Status</v>
      </c>
      <c r="AL5" s="40" t="str">
        <f>IFERROR(__xludf.DUMMYFUNCTION("""COMPUTED_VALUE"""),"Target Qty")</f>
        <v>Target Qty</v>
      </c>
      <c r="AM5" s="40" t="str">
        <f>IFERROR(__xludf.DUMMYFUNCTION("""COMPUTED_VALUE"""),"Total Executed Qty")</f>
        <v>Total Executed Qty</v>
      </c>
      <c r="AN5" s="40" t="str">
        <f>IFERROR(__xludf.DUMMYFUNCTION("""COMPUTED_VALUE"""),"% Executed")</f>
        <v>% Executed</v>
      </c>
      <c r="AO5" s="40" t="str">
        <f>IFERROR(__xludf.DUMMYFUNCTION("""COMPUTED_VALUE"""),"Day Executed Qty")</f>
        <v>Day Executed Qty</v>
      </c>
      <c r="AP5" s="40" t="str">
        <f>IFERROR(__xludf.DUMMYFUNCTION("""COMPUTED_VALUE"""),"Uncommitted Qty")</f>
        <v>Uncommitted Qty</v>
      </c>
      <c r="AQ5" s="40" t="str">
        <f>IFERROR(__xludf.DUMMYFUNCTION("""COMPUTED_VALUE"""),"Last Fill Price (Local)")</f>
        <v>Last Fill Price (Local)</v>
      </c>
      <c r="AR5" s="40" t="str">
        <f>IFERROR(__xludf.DUMMYFUNCTION("""COMPUTED_VALUE"""),"Avg Fill Price (Local)")</f>
        <v>Avg Fill Price (Local)</v>
      </c>
      <c r="AS5" s="40" t="str">
        <f>IFERROR(__xludf.DUMMYFUNCTION("""COMPUTED_VALUE"""),"Broker")</f>
        <v>Broker</v>
      </c>
      <c r="AT5" s="40" t="str">
        <f>IFERROR(__xludf.DUMMYFUNCTION("""COMPUTED_VALUE"""),"Account")</f>
        <v>Account</v>
      </c>
      <c r="AU5" s="40" t="str">
        <f>IFERROR(__xludf.DUMMYFUNCTION("""COMPUTED_VALUE"""),"Order Type")</f>
        <v>Order Type</v>
      </c>
      <c r="AV5" s="40" t="str">
        <f>IFERROR(__xludf.DUMMYFUNCTION("""COMPUTED_VALUE"""),"Principal Amount (Local)")</f>
        <v>Principal Amount (Local)</v>
      </c>
      <c r="AW5" s="40" t="str">
        <f>IFERROR(__xludf.DUMMYFUNCTION("""COMPUTED_VALUE"""),"Principal Amount (Base)")</f>
        <v>Principal Amount (Base)</v>
      </c>
      <c r="AX5" s="40" t="str">
        <f>IFERROR(__xludf.DUMMYFUNCTION("""COMPUTED_VALUE"""),"Allocation Scheme Name")</f>
        <v>Allocation Scheme Name</v>
      </c>
      <c r="AY5" s="40" t="str">
        <f>IFERROR(__xludf.DUMMYFUNCTION("""COMPUTED_VALUE"""),"Status (With Rollover)")</f>
        <v>Status (With Rollover)</v>
      </c>
      <c r="AZ5" s="40" t="str">
        <f>IFERROR(__xludf.DUMMYFUNCTION("""COMPUTED_VALUE"""),"Start of Day Qty")</f>
        <v>Start of Day Qty</v>
      </c>
      <c r="BA5" s="40" t="str">
        <f>IFERROR(__xludf.DUMMYFUNCTION("""COMPUTED_VALUE"""),"Leaves")</f>
        <v>Leaves</v>
      </c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12"/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BookAsSwap!$4:$4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IFERROR(__xludf.DUMMYFUNCTION("""COMPUTED_VALUE"""),"Transaction Time")</f>
        <v>Transaction Time</v>
      </c>
      <c r="C5" s="38" t="str">
        <f>IFERROR(__xludf.DUMMYFUNCTION("""COMPUTED_VALUE"""),"Algo")</f>
        <v>Algo</v>
      </c>
      <c r="D5" s="38" t="str">
        <f>IFERROR(__xludf.DUMMYFUNCTION("""COMPUTED_VALUE"""),"Avg Fill Price (Base)")</f>
        <v>Avg Fill Price (Base)</v>
      </c>
      <c r="E5" s="38" t="str">
        <f>IFERROR(__xludf.DUMMYFUNCTION("""COMPUTED_VALUE"""),"Bloomberg Symbol")</f>
        <v>Bloomberg Symbol</v>
      </c>
      <c r="F5" s="39" t="str">
        <f>IFERROR(__xludf.DUMMYFUNCTION("""COMPUTED_VALUE"""),"Limit Price")</f>
        <v>Limit Price</v>
      </c>
      <c r="G5" s="38" t="str">
        <f>IFERROR(__xludf.DUMMYFUNCTION("""COMPUTED_VALUE"""),"Working Qty")</f>
        <v>Working Qty</v>
      </c>
      <c r="H5" s="38" t="str">
        <f>IFERROR(__xludf.DUMMYFUNCTION("""COMPUTED_VALUE"""),"Venue")</f>
        <v>Venue</v>
      </c>
      <c r="I5" s="38" t="str">
        <f>IFERROR(__xludf.DUMMYFUNCTION("""COMPUTED_VALUE"""),"User")</f>
        <v>User</v>
      </c>
      <c r="J5" s="38" t="str">
        <f>IFERROR(__xludf.DUMMYFUNCTION("""COMPUTED_VALUE"""),"Underlying Symbol")</f>
        <v>Underlying Symbol</v>
      </c>
      <c r="K5" s="38" t="str">
        <f>IFERROR(__xludf.DUMMYFUNCTION("""COMPUTED_VALUE"""),"Underlying Country")</f>
        <v>Underlying Country</v>
      </c>
      <c r="L5" s="38" t="str">
        <f>IFERROR(__xludf.DUMMYFUNCTION("""COMPUTED_VALUE"""),"Trader")</f>
        <v>Trader</v>
      </c>
      <c r="M5" s="38" t="str">
        <f>IFERROR(__xludf.DUMMYFUNCTION("""COMPUTED_VALUE"""),"Trade Attribute 6")</f>
        <v>Trade Attribute 6</v>
      </c>
      <c r="N5" s="38" t="str">
        <f>IFERROR(__xludf.DUMMYFUNCTION("""COMPUTED_VALUE"""),"Trade Attribute 5")</f>
        <v>Trade Attribute 5</v>
      </c>
      <c r="O5" s="38" t="str">
        <f>IFERROR(__xludf.DUMMYFUNCTION("""COMPUTED_VALUE"""),"Trade Attribute 4")</f>
        <v>Trade Attribute 4</v>
      </c>
      <c r="P5" s="38" t="str">
        <f>IFERROR(__xludf.DUMMYFUNCTION("""COMPUTED_VALUE"""),"Trade Attribute 3")</f>
        <v>Trade Attribute 3</v>
      </c>
      <c r="Q5" s="38" t="str">
        <f>IFERROR(__xludf.DUMMYFUNCTION("""COMPUTED_VALUE"""),"Trade Attribute 1")</f>
        <v>Trade Attribute 1</v>
      </c>
      <c r="R5" s="38" t="str">
        <f>IFERROR(__xludf.DUMMYFUNCTION("""COMPUTED_VALUE"""),"Trade Attribute 2")</f>
        <v>Trade Attribute 2</v>
      </c>
      <c r="S5" s="38" t="str">
        <f>IFERROR(__xludf.DUMMYFUNCTION("""COMPUTED_VALUE"""),"Strike Price")</f>
        <v>Strike Price</v>
      </c>
      <c r="T5" s="40" t="str">
        <f>IFERROR(__xludf.DUMMYFUNCTION("""COMPUTED_VALUE"""),"Stop Price")</f>
        <v>Stop Price</v>
      </c>
      <c r="U5" s="40" t="str">
        <f>IFERROR(__xludf.DUMMYFUNCTION("""COMPUTED_VALUE"""),"Settlement Currency")</f>
        <v>Settlement Currency</v>
      </c>
      <c r="V5" s="40" t="str">
        <f>IFERROR(__xludf.DUMMYFUNCTION("""COMPUTED_VALUE"""),"Put/Call")</f>
        <v>Put/Call</v>
      </c>
      <c r="W5" s="40" t="str">
        <f>IFERROR(__xludf.DUMMYFUNCTION("""COMPUTED_VALUE"""),"Process Date")</f>
        <v>Process Date</v>
      </c>
      <c r="X5" s="40" t="str">
        <f>IFERROR(__xludf.DUMMYFUNCTION("""COMPUTED_VALUE"""),"Peg")</f>
        <v>Peg</v>
      </c>
      <c r="Y5" s="40" t="str">
        <f>IFERROR(__xludf.DUMMYFUNCTION("""COMPUTED_VALUE"""),"ParentClOrderID")</f>
        <v>ParentClOrderID</v>
      </c>
      <c r="Z5" s="40" t="str">
        <f>IFERROR(__xludf.DUMMYFUNCTION("""COMPUTED_VALUE"""),"OrderID")</f>
        <v>OrderID</v>
      </c>
      <c r="AA5" s="40" t="str">
        <f>IFERROR(__xludf.DUMMYFUNCTION("""COMPUTED_VALUE"""),"Master Fund")</f>
        <v>Master Fund</v>
      </c>
      <c r="AB5" s="40" t="str">
        <f>IFERROR(__xludf.DUMMYFUNCTION("""COMPUTED_VALUE"""),"Last Shares")</f>
        <v>Last Shares</v>
      </c>
      <c r="AC5" s="40" t="str">
        <f>IFERROR(__xludf.DUMMYFUNCTION("""COMPUTED_VALUE"""),"Internal Comments")</f>
        <v>Internal Comments</v>
      </c>
      <c r="AD5" s="40" t="str">
        <f>IFERROR(__xludf.DUMMYFUNCTION("""COMPUTED_VALUE"""),"FX Rate")</f>
        <v>FX Rate</v>
      </c>
      <c r="AE5" s="40" t="str">
        <f>IFERROR(__xludf.DUMMYFUNCTION("""COMPUTED_VALUE"""),"Imported File Name")</f>
        <v>Imported File Name</v>
      </c>
      <c r="AF5" s="40" t="str">
        <f>IFERROR(__xludf.DUMMYFUNCTION("""COMPUTED_VALUE"""),"FX Conversion Operator")</f>
        <v>FX Conversion Operator</v>
      </c>
      <c r="AG5" s="40" t="str">
        <f>IFERROR(__xludf.DUMMYFUNCTION("""COMPUTED_VALUE"""),"Day Average Price")</f>
        <v>Day Average Price</v>
      </c>
      <c r="AH5" s="40" t="str">
        <f>IFERROR(__xludf.DUMMYFUNCTION("""COMPUTED_VALUE"""),"Asset Class")</f>
        <v>Asset Class</v>
      </c>
      <c r="AI5" s="40" t="str">
        <f>IFERROR(__xludf.DUMMYFUNCTION("""COMPUTED_VALUE"""),"Symbol")</f>
        <v>Symbol</v>
      </c>
      <c r="AJ5" s="40" t="str">
        <f>IFERROR(__xludf.DUMMYFUNCTION("""COMPUTED_VALUE"""),"Side")</f>
        <v>Side</v>
      </c>
      <c r="AK5" s="40" t="str">
        <f>IFERROR(__xludf.DUMMYFUNCTION("""COMPUTED_VALUE"""),"Status")</f>
        <v>Status</v>
      </c>
      <c r="AL5" s="40" t="str">
        <f>IFERROR(__xludf.DUMMYFUNCTION("""COMPUTED_VALUE"""),"Target Qty")</f>
        <v>Target Qty</v>
      </c>
      <c r="AM5" s="40" t="str">
        <f>IFERROR(__xludf.DUMMYFUNCTION("""COMPUTED_VALUE"""),"Total Executed Qty")</f>
        <v>Total Executed Qty</v>
      </c>
      <c r="AN5" s="40" t="str">
        <f>IFERROR(__xludf.DUMMYFUNCTION("""COMPUTED_VALUE"""),"% Executed")</f>
        <v>% Executed</v>
      </c>
      <c r="AO5" s="40" t="str">
        <f>IFERROR(__xludf.DUMMYFUNCTION("""COMPUTED_VALUE"""),"Day Executed Qty")</f>
        <v>Day Executed Qty</v>
      </c>
      <c r="AP5" s="40" t="str">
        <f>IFERROR(__xludf.DUMMYFUNCTION("""COMPUTED_VALUE"""),"Uncommitted Qty")</f>
        <v>Uncommitted Qty</v>
      </c>
      <c r="AQ5" s="40" t="str">
        <f>IFERROR(__xludf.DUMMYFUNCTION("""COMPUTED_VALUE"""),"Last Fill Price (Local)")</f>
        <v>Last Fill Price (Local)</v>
      </c>
      <c r="AR5" s="40" t="str">
        <f>IFERROR(__xludf.DUMMYFUNCTION("""COMPUTED_VALUE"""),"Avg Fill Price (Local)")</f>
        <v>Avg Fill Price (Local)</v>
      </c>
      <c r="AS5" s="40" t="str">
        <f>IFERROR(__xludf.DUMMYFUNCTION("""COMPUTED_VALUE"""),"Broker")</f>
        <v>Broker</v>
      </c>
      <c r="AT5" s="40" t="str">
        <f>IFERROR(__xludf.DUMMYFUNCTION("""COMPUTED_VALUE"""),"Account")</f>
        <v>Account</v>
      </c>
      <c r="AU5" s="40" t="str">
        <f>IFERROR(__xludf.DUMMYFUNCTION("""COMPUTED_VALUE"""),"Order Type")</f>
        <v>Order Type</v>
      </c>
      <c r="AV5" s="40" t="str">
        <f>IFERROR(__xludf.DUMMYFUNCTION("""COMPUTED_VALUE"""),"Principal Amount (Local)")</f>
        <v>Principal Amount (Local)</v>
      </c>
      <c r="AW5" s="40" t="str">
        <f>IFERROR(__xludf.DUMMYFUNCTION("""COMPUTED_VALUE"""),"Principal Amount (Base)")</f>
        <v>Principal Amount (Base)</v>
      </c>
      <c r="AX5" s="40" t="str">
        <f>IFERROR(__xludf.DUMMYFUNCTION("""COMPUTED_VALUE"""),"Allocation Scheme Name")</f>
        <v>Allocation Scheme Name</v>
      </c>
      <c r="AY5" s="40" t="str">
        <f>IFERROR(__xludf.DUMMYFUNCTION("""COMPUTED_VALUE"""),"Status (With Rollover)")</f>
        <v>Status (With Rollover)</v>
      </c>
      <c r="AZ5" s="40" t="str">
        <f>IFERROR(__xludf.DUMMYFUNCTION("""COMPUTED_VALUE"""),"Start of Day Qty")</f>
        <v>Start of Day Qty</v>
      </c>
      <c r="BA5" s="40" t="str">
        <f>IFERROR(__xludf.DUMMYFUNCTION("""COMPUTED_VALUE"""),"Leaves")</f>
        <v>Leaves</v>
      </c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12"/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IFERROR(__xludf.DUMMYFUNCTION("""COMPUTED_VALUE"""),"Order Side")</f>
        <v>Order Side</v>
      </c>
      <c r="D5" s="38" t="str">
        <f>IFERROR(__xludf.DUMMYFUNCTION("""COMPUTED_VALUE"""),"Quantity")</f>
        <v>Quantity</v>
      </c>
      <c r="E5" s="38" t="str">
        <f>IFERROR(__xludf.DUMMYFUNCTION("""COMPUTED_VALUE"""),"TargetQuantityIn")</f>
        <v>TargetQuantityIn</v>
      </c>
      <c r="F5" s="39" t="str">
        <f>IFERROR(__xludf.DUMMYFUNCTION("""COMPUTED_VALUE"""),"AllocationMethod")</f>
        <v>AllocationMethod</v>
      </c>
      <c r="G5" s="38" t="str">
        <f>IFERROR(__xludf.DUMMYFUNCTION("""COMPUTED_VALUE"""),"Broker")</f>
        <v>Broker</v>
      </c>
      <c r="H5" s="38" t="str">
        <f>IFERROR(__xludf.DUMMYFUNCTION("""COMPUTED_VALUE"""),"TIF")</f>
        <v>TIF</v>
      </c>
      <c r="I5" s="38" t="str">
        <f>IFERROR(__xludf.DUMMYFUNCTION("""COMPUTED_VALUE"""),"Order Type")</f>
        <v>Order Type</v>
      </c>
      <c r="J5" s="38" t="str">
        <f>IFERROR(__xludf.DUMMYFUNCTION("""COMPUTED_VALUE"""),"Price")</f>
        <v>Price</v>
      </c>
      <c r="K5" s="38" t="str">
        <f>IFERROR(__xludf.DUMMYFUNCTION("""COMPUTED_VALUE"""),"Stop")</f>
        <v>Stop</v>
      </c>
      <c r="L5" s="38" t="str">
        <f>IFERROR(__xludf.DUMMYFUNCTION("""COMPUTED_VALUE"""),"Limit")</f>
        <v>Limit</v>
      </c>
      <c r="M5" s="38" t="str">
        <f>IFERROR(__xludf.DUMMYFUNCTION("""COMPUTED_VALUE"""),"Strategy")</f>
        <v>Strategy</v>
      </c>
      <c r="N5" s="38" t="str">
        <f>IFERROR(__xludf.DUMMYFUNCTION("""COMPUTED_VALUE"""),"Trade Date")</f>
        <v>Trade Date</v>
      </c>
      <c r="O5" s="38" t="str">
        <f>IFERROR(__xludf.DUMMYFUNCTION("""COMPUTED_VALUE"""),"FxRate")</f>
        <v>FxRate</v>
      </c>
      <c r="P5" s="38" t="str">
        <f>IFERROR(__xludf.DUMMYFUNCTION("""COMPUTED_VALUE"""),"Notes")</f>
        <v>Notes</v>
      </c>
      <c r="Q5" s="38" t="str">
        <f>IFERROR(__xludf.DUMMYFUNCTION("""COMPUTED_VALUE"""),"Broker Notes")</f>
        <v>Broker Notes</v>
      </c>
      <c r="R5" s="38" t="str">
        <f>IFERROR(__xludf.DUMMYFUNCTION("""COMPUTED_VALUE"""),"CommissionBasis")</f>
        <v>CommissionBasis</v>
      </c>
      <c r="S5" s="38" t="str">
        <f>IFERROR(__xludf.DUMMYFUNCTION("""COMPUTED_VALUE"""),"CommissionRate")</f>
        <v>CommissionRate</v>
      </c>
      <c r="T5" s="40" t="str">
        <f>IFERROR(__xludf.DUMMYFUNCTION("""COMPUTED_VALUE"""),"SoftBasis")</f>
        <v>SoftBasis</v>
      </c>
      <c r="U5" s="40" t="str">
        <f>IFERROR(__xludf.DUMMYFUNCTION("""COMPUTED_VALUE"""),"SoftRate")</f>
        <v>SoftRate</v>
      </c>
      <c r="V5" s="40" t="str">
        <f>IFERROR(__xludf.DUMMYFUNCTION("""COMPUTED_VALUE"""),"TradeAttribute1")</f>
        <v>TradeAttribute1</v>
      </c>
      <c r="W5" s="40" t="str">
        <f>IFERROR(__xludf.DUMMYFUNCTION("""COMPUTED_VALUE"""),"TradeAttribute2")</f>
        <v>TradeAttribute2</v>
      </c>
      <c r="X5" s="40" t="str">
        <f>IFERROR(__xludf.DUMMYFUNCTION("""COMPUTED_VALUE"""),"TradeAttribute3")</f>
        <v>TradeAttribute3</v>
      </c>
      <c r="Y5" s="40" t="str">
        <f>IFERROR(__xludf.DUMMYFUNCTION("""COMPUTED_VALUE"""),"TradeAttribute4")</f>
        <v>TradeAttribute4</v>
      </c>
      <c r="Z5" s="40" t="str">
        <f>IFERROR(__xludf.DUMMYFUNCTION("""COMPUTED_VALUE"""),"TradeAttribute5")</f>
        <v>TradeAttribute5</v>
      </c>
      <c r="AA5" s="40" t="str">
        <f>IFERROR(__xludf.DUMMYFUNCTION("""COMPUTED_VALUE"""),"TradeAttribute6")</f>
        <v>TradeAttribute6</v>
      </c>
      <c r="AB5" s="40" t="str">
        <f>IFERROR(__xludf.DUMMYFUNCTION("""COMPUTED_VALUE"""),"Venue")</f>
        <v>Venue</v>
      </c>
      <c r="AC5" s="40" t="str">
        <f>IFERROR(__xludf.DUMMYFUNCTION("""COMPUTED_VALUE"""),"ExecutionInstructions")</f>
        <v>ExecutionInstructions</v>
      </c>
      <c r="AD5" s="40" t="str">
        <f>IFERROR(__xludf.DUMMYFUNCTION("""COMPUTED_VALUE"""),"HandlingInstructions")</f>
        <v>HandlingInstructions</v>
      </c>
      <c r="AE5" s="40" t="str">
        <f>IFERROR(__xludf.DUMMYFUNCTION("""COMPUTED_VALUE"""),"Trader")</f>
        <v>Trader</v>
      </c>
      <c r="AF5" s="40" t="str">
        <f>IFERROR(__xludf.DUMMYFUNCTION("""COMPUTED_VALUE"""),"SettlementCurrency")</f>
        <v>SettlementCurrency</v>
      </c>
      <c r="AG5" s="40" t="str">
        <f>IFERROR(__xludf.DUMMYFUNCTION("""COMPUTED_VALUE"""),"SettlementFXRate")</f>
        <v>SettlementFXRate</v>
      </c>
      <c r="AH5" s="40" t="str">
        <f>IFERROR(__xludf.DUMMYFUNCTION("""COMPUTED_VALUE"""),"SettlementAmount")</f>
        <v>SettlementAmount</v>
      </c>
      <c r="AI5" s="40" t="str">
        <f>IFERROR(__xludf.DUMMYFUNCTION("""COMPUTED_VALUE"""),"SettlementFXOperator")</f>
        <v>SettlementFXOperator</v>
      </c>
      <c r="AJ5" s="40" t="str">
        <f>IFERROR(__xludf.DUMMYFUNCTION("""COMPUTED_VALUE"""),"SettleByBroker")</f>
        <v>SettleByBroker</v>
      </c>
      <c r="AK5" s="40" t="str">
        <f>IFERROR(__xludf.DUMMYFUNCTION("""COMPUTED_VALUE"""),"Account")</f>
        <v>Account</v>
      </c>
      <c r="AL5" s="40" t="str">
        <f>IFERROR(__xludf.DUMMYFUNCTION("""COMPUTED_VALUE"""),"Account %")</f>
        <v>Account %</v>
      </c>
      <c r="AM5" s="40" t="str">
        <f>IFERROR(__xludf.DUMMYFUNCTION("""COMPUTED_VALUE"""),"Deal In")</f>
        <v>Deal In</v>
      </c>
      <c r="AN5" s="40" t="str">
        <f>IFERROR(__xludf.DUMMYFUNCTION("""COMPUTED_VALUE"""),"PopUpQuantity")</f>
        <v>PopUpQuantity</v>
      </c>
      <c r="AO5" s="40" t="str">
        <f>IFERROR(__xludf.DUMMYFUNCTION("""COMPUTED_VALUE"""),"ShortLocate")</f>
        <v>ShortLocate</v>
      </c>
      <c r="AP5" s="40" t="str">
        <f>IFERROR(__xludf.DUMMYFUNCTION("""COMPUTED_VALUE"""),"ChkBoxBookAsSwap")</f>
        <v>ChkBoxBookAsSwap</v>
      </c>
      <c r="AQ5" s="40" t="str">
        <f>IFERROR(__xludf.DUMMYFUNCTION("""COMPUTED_VALUE"""),"Interest Rate")</f>
        <v>Interest Rate</v>
      </c>
      <c r="AR5" s="40" t="str">
        <f>IFERROR(__xludf.DUMMYFUNCTION("""COMPUTED_VALUE"""),"SharesOutstandingPopUp")</f>
        <v>SharesOutstandingPopUp</v>
      </c>
      <c r="AS5" s="40" t="str">
        <f>IFERROR(__xludf.DUMMYFUNCTION("""COMPUTED_VALUE"""),"AllowTrade")</f>
        <v>AllowTrade</v>
      </c>
      <c r="AT5" s="40" t="str">
        <f>IFERROR(__xludf.DUMMYFUNCTION("""COMPUTED_VALUE"""),"ClearOldCA")</f>
        <v>ClearOldCA</v>
      </c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12"/>
      <c r="C6" s="8"/>
      <c r="D6" s="12">
        <v>100.0</v>
      </c>
      <c r="E6" s="41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IFERROR(__xludf.DUMMYFUNCTION("""COMPUTED_VALUE"""),"OpenWindow")</f>
        <v>OpenWindow</v>
      </c>
      <c r="C5" s="38" t="str">
        <f>IFERROR(__xludf.DUMMYFUNCTION("""COMPUTED_VALUE"""),"TabName")</f>
        <v>TabName</v>
      </c>
      <c r="D5" s="38" t="str">
        <f>IFERROR(__xludf.DUMMYFUNCTION("""COMPUTED_VALUE"""),"Description")</f>
        <v>Description</v>
      </c>
      <c r="E5" s="38" t="str">
        <f>IFERROR(__xludf.DUMMYFUNCTION("""COMPUTED_VALUE"""),"Save?")</f>
        <v>Save?</v>
      </c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12" t="s">
        <v>60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IFERROR(__xludf.DUMMYFUNCTION("""COMPUTED_VALUE"""),"Security Name")</f>
        <v>Security Name</v>
      </c>
      <c r="D5" s="38" t="str">
        <f>IFERROR(__xludf.DUMMYFUNCTION("""COMPUTED_VALUE"""),"Fund")</f>
        <v>Fund</v>
      </c>
      <c r="E5" s="38" t="str">
        <f>IFERROR(__xludf.DUMMYFUNCTION("""COMPUTED_VALUE"""),"Account")</f>
        <v>Account</v>
      </c>
      <c r="F5" s="39" t="str">
        <f>IFERROR(__xludf.DUMMYFUNCTION("""COMPUTED_VALUE"""),"Asset Class")</f>
        <v>Asset Class</v>
      </c>
      <c r="G5" s="38" t="str">
        <f>IFERROR(__xludf.DUMMYFUNCTION("""COMPUTED_VALUE"""),"Position")</f>
        <v>Position</v>
      </c>
      <c r="H5" s="38" t="str">
        <f>IFERROR(__xludf.DUMMYFUNCTION("""COMPUTED_VALUE"""),"Position Side")</f>
        <v>Position Side</v>
      </c>
      <c r="I5" s="38" t="str">
        <f>IFERROR(__xludf.DUMMYFUNCTION("""COMPUTED_VALUE"""),"Px Selected Feed (Local)")</f>
        <v>Px Selected Feed (Local)</v>
      </c>
      <c r="J5" s="38" t="str">
        <f>IFERROR(__xludf.DUMMYFUNCTION("""COMPUTED_VALUE"""),"Px Selected Feed (Base)")</f>
        <v>Px Selected Feed (Base)</v>
      </c>
      <c r="K5" s="38" t="str">
        <f>IFERROR(__xludf.DUMMYFUNCTION("""COMPUTED_VALUE"""),"Market Value (Base)")</f>
        <v>Market Value (Base)</v>
      </c>
      <c r="L5" s="38" t="str">
        <f>IFERROR(__xludf.DUMMYFUNCTION("""COMPUTED_VALUE"""),"% Net Market Value (Base)")</f>
        <v>% Net Market Value (Base)</v>
      </c>
      <c r="M5" s="38" t="str">
        <f>IFERROR(__xludf.DUMMYFUNCTION("""COMPUTED_VALUE"""),"Cost Basis P&amp;L (Base)")</f>
        <v>Cost Basis P&amp;L (Base)</v>
      </c>
      <c r="N5" s="38" t="str">
        <f>IFERROR(__xludf.DUMMYFUNCTION("""COMPUTED_VALUE"""),"% Gain/Loss Cost")</f>
        <v>% Gain/Loss Cost</v>
      </c>
      <c r="O5" s="38" t="str">
        <f>IFERROR(__xludf.DUMMYFUNCTION("""COMPUTED_VALUE"""),"Day P&amp;L (Base)")</f>
        <v>Day P&amp;L (Base)</v>
      </c>
      <c r="P5" s="38" t="str">
        <f>IFERROR(__xludf.DUMMYFUNCTION("""COMPUTED_VALUE"""),"% Gain/Loss Day")</f>
        <v>% Gain/Loss Day</v>
      </c>
      <c r="Q5" s="38" t="str">
        <f>IFERROR(__xludf.DUMMYFUNCTION("""COMPUTED_VALUE"""),"Exposure (Base)")</f>
        <v>Exposure (Base)</v>
      </c>
      <c r="R5" s="38" t="str">
        <f>IFERROR(__xludf.DUMMYFUNCTION("""COMPUTED_VALUE"""),"% Exposure (Base)")</f>
        <v>% Exposure (Base)</v>
      </c>
      <c r="S5" s="38" t="str">
        <f>IFERROR(__xludf.DUMMYFUNCTION("""COMPUTED_VALUE"""),"Live Feed Provider Ticker")</f>
        <v>Live Feed Provider Ticker</v>
      </c>
      <c r="T5" s="40" t="str">
        <f>IFERROR(__xludf.DUMMYFUNCTION("""COMPUTED_VALUE"""),"Testing Type")</f>
        <v>Testing Type</v>
      </c>
      <c r="U5" s="40" t="str">
        <f>IFERROR(__xludf.DUMMYFUNCTION("""COMPUTED_VALUE"""),"Testing Column")</f>
        <v>Testing Column</v>
      </c>
      <c r="V5" s="40" t="str">
        <f>IFERROR(__xludf.DUMMYFUNCTION("""COMPUTED_VALUE"""),"Testing Col Value")</f>
        <v>Testing Col Value</v>
      </c>
      <c r="W5" s="40" t="str">
        <f>IFERROR(__xludf.DUMMYFUNCTION("""COMPUTED_VALUE"""),"DuplicateCountOnUI")</f>
        <v>DuplicateCountOnUI</v>
      </c>
      <c r="X5" s="40" t="str">
        <f>IFERROR(__xludf.DUMMYFUNCTION("""COMPUTED_VALUE"""),"DuplicateRow")</f>
        <v>DuplicateRow</v>
      </c>
      <c r="Y5" s="40" t="str">
        <f>IFERROR(__xludf.DUMMYFUNCTION("""COMPUTED_VALUE"""),"TabName")</f>
        <v>TabName</v>
      </c>
      <c r="Z5" s="40" t="str">
        <f>IFERROR(__xludf.DUMMYFUNCTION("""COMPUTED_VALUE"""),"GridDataWidgetName")</f>
        <v>GridDataWidgetName</v>
      </c>
      <c r="AA5" s="40" t="str">
        <f>IFERROR(__xludf.DUMMYFUNCTION("""COMPUTED_VALUE"""),"Bloomberg Symbol")</f>
        <v>Bloomberg Symbol</v>
      </c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31" t="s">
        <v>50</v>
      </c>
      <c r="C6" s="42" t="s">
        <v>62</v>
      </c>
      <c r="D6" s="42" t="s">
        <v>63</v>
      </c>
      <c r="E6" s="42" t="s">
        <v>64</v>
      </c>
      <c r="F6" s="42" t="s">
        <v>65</v>
      </c>
      <c r="G6" s="12">
        <v>100.0</v>
      </c>
      <c r="H6" s="42" t="s">
        <v>66</v>
      </c>
      <c r="I6" s="42">
        <v>10.0</v>
      </c>
      <c r="J6" s="42">
        <v>10.0</v>
      </c>
      <c r="K6" s="8"/>
      <c r="L6" s="8"/>
      <c r="M6" s="8"/>
      <c r="N6" s="8"/>
      <c r="O6" s="8"/>
    </row>
    <row r="7" ht="15.75" customHeight="1">
      <c r="A7" s="8"/>
      <c r="B7" s="12" t="s">
        <v>53</v>
      </c>
      <c r="C7" s="42" t="s">
        <v>67</v>
      </c>
      <c r="D7" s="42" t="s">
        <v>63</v>
      </c>
      <c r="E7" s="42" t="s">
        <v>64</v>
      </c>
      <c r="F7" s="42" t="s">
        <v>65</v>
      </c>
      <c r="G7" s="12">
        <v>100.0</v>
      </c>
      <c r="H7" s="42" t="s">
        <v>66</v>
      </c>
      <c r="I7" s="42">
        <v>10.0</v>
      </c>
      <c r="J7" s="4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IFERROR(__xludf.DUMMYFUNCTION("""COMPUTED_VALUE"""),"Security Name")</f>
        <v>Security Name</v>
      </c>
      <c r="D5" s="38" t="str">
        <f>IFERROR(__xludf.DUMMYFUNCTION("""COMPUTED_VALUE"""),"Fund")</f>
        <v>Fund</v>
      </c>
      <c r="E5" s="38" t="str">
        <f>IFERROR(__xludf.DUMMYFUNCTION("""COMPUTED_VALUE"""),"Account")</f>
        <v>Account</v>
      </c>
      <c r="F5" s="39" t="str">
        <f>IFERROR(__xludf.DUMMYFUNCTION("""COMPUTED_VALUE"""),"Asset Class")</f>
        <v>Asset Class</v>
      </c>
      <c r="G5" s="38" t="str">
        <f>IFERROR(__xludf.DUMMYFUNCTION("""COMPUTED_VALUE"""),"Position")</f>
        <v>Position</v>
      </c>
      <c r="H5" s="38" t="str">
        <f>IFERROR(__xludf.DUMMYFUNCTION("""COMPUTED_VALUE"""),"Position Side")</f>
        <v>Position Side</v>
      </c>
      <c r="I5" s="38" t="str">
        <f>IFERROR(__xludf.DUMMYFUNCTION("""COMPUTED_VALUE"""),"Px Selected Feed (Local)")</f>
        <v>Px Selected Feed (Local)</v>
      </c>
      <c r="J5" s="38" t="str">
        <f>IFERROR(__xludf.DUMMYFUNCTION("""COMPUTED_VALUE"""),"Px Selected Feed (Base)")</f>
        <v>Px Selected Feed (Base)</v>
      </c>
      <c r="K5" s="38" t="str">
        <f>IFERROR(__xludf.DUMMYFUNCTION("""COMPUTED_VALUE"""),"Market Value (Base)")</f>
        <v>Market Value (Base)</v>
      </c>
      <c r="L5" s="38" t="str">
        <f>IFERROR(__xludf.DUMMYFUNCTION("""COMPUTED_VALUE"""),"% Net Market Value (Base)")</f>
        <v>% Net Market Value (Base)</v>
      </c>
      <c r="M5" s="38" t="str">
        <f>IFERROR(__xludf.DUMMYFUNCTION("""COMPUTED_VALUE"""),"Cost Basis P&amp;L (Base)")</f>
        <v>Cost Basis P&amp;L (Base)</v>
      </c>
      <c r="N5" s="38" t="str">
        <f>IFERROR(__xludf.DUMMYFUNCTION("""COMPUTED_VALUE"""),"% Gain/Loss Cost")</f>
        <v>% Gain/Loss Cost</v>
      </c>
      <c r="O5" s="38" t="str">
        <f>IFERROR(__xludf.DUMMYFUNCTION("""COMPUTED_VALUE"""),"Day P&amp;L (Base)")</f>
        <v>Day P&amp;L (Base)</v>
      </c>
      <c r="P5" s="38" t="str">
        <f>IFERROR(__xludf.DUMMYFUNCTION("""COMPUTED_VALUE"""),"% Gain/Loss Day")</f>
        <v>% Gain/Loss Day</v>
      </c>
      <c r="Q5" s="38" t="str">
        <f>IFERROR(__xludf.DUMMYFUNCTION("""COMPUTED_VALUE"""),"Exposure (Base)")</f>
        <v>Exposure (Base)</v>
      </c>
      <c r="R5" s="38" t="str">
        <f>IFERROR(__xludf.DUMMYFUNCTION("""COMPUTED_VALUE"""),"% Exposure (Base)")</f>
        <v>% Exposure (Base)</v>
      </c>
      <c r="S5" s="38" t="str">
        <f>IFERROR(__xludf.DUMMYFUNCTION("""COMPUTED_VALUE"""),"Live Feed Provider Ticker")</f>
        <v>Live Feed Provider Ticker</v>
      </c>
      <c r="T5" s="40" t="str">
        <f>IFERROR(__xludf.DUMMYFUNCTION("""COMPUTED_VALUE"""),"PositionAction")</f>
        <v>PositionAction</v>
      </c>
      <c r="U5" s="40" t="str">
        <f>IFERROR(__xludf.DUMMYFUNCTION("""COMPUTED_VALUE"""),"VerifyOptionsList")</f>
        <v>VerifyOptionsList</v>
      </c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12" t="s">
        <v>50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/>
      <c r="C6" s="12">
        <v>100.0</v>
      </c>
      <c r="D6" s="12">
        <v>10.0</v>
      </c>
      <c r="E6" s="12" t="s">
        <v>51</v>
      </c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IFERROR(__xludf.DUMMYFUNCTION("""COMPUTED_VALUE"""),"Security Name")</f>
        <v>Security Name</v>
      </c>
      <c r="D5" s="38" t="str">
        <f>IFERROR(__xludf.DUMMYFUNCTION("""COMPUTED_VALUE"""),"Fund")</f>
        <v>Fund</v>
      </c>
      <c r="E5" s="38" t="str">
        <f>IFERROR(__xludf.DUMMYFUNCTION("""COMPUTED_VALUE"""),"Account")</f>
        <v>Account</v>
      </c>
      <c r="F5" s="39" t="str">
        <f>IFERROR(__xludf.DUMMYFUNCTION("""COMPUTED_VALUE"""),"Asset Class")</f>
        <v>Asset Class</v>
      </c>
      <c r="G5" s="38" t="str">
        <f>IFERROR(__xludf.DUMMYFUNCTION("""COMPUTED_VALUE"""),"Position")</f>
        <v>Position</v>
      </c>
      <c r="H5" s="38" t="str">
        <f>IFERROR(__xludf.DUMMYFUNCTION("""COMPUTED_VALUE"""),"Position Side")</f>
        <v>Position Side</v>
      </c>
      <c r="I5" s="38" t="str">
        <f>IFERROR(__xludf.DUMMYFUNCTION("""COMPUTED_VALUE"""),"Px Selected Feed (Local)")</f>
        <v>Px Selected Feed (Local)</v>
      </c>
      <c r="J5" s="38" t="str">
        <f>IFERROR(__xludf.DUMMYFUNCTION("""COMPUTED_VALUE"""),"Px Selected Feed (Base)")</f>
        <v>Px Selected Feed (Base)</v>
      </c>
      <c r="K5" s="38" t="str">
        <f>IFERROR(__xludf.DUMMYFUNCTION("""COMPUTED_VALUE"""),"Market Value (Base)")</f>
        <v>Market Value (Base)</v>
      </c>
      <c r="L5" s="38" t="str">
        <f>IFERROR(__xludf.DUMMYFUNCTION("""COMPUTED_VALUE"""),"% Net Market Value (Base)")</f>
        <v>% Net Market Value (Base)</v>
      </c>
      <c r="M5" s="38" t="str">
        <f>IFERROR(__xludf.DUMMYFUNCTION("""COMPUTED_VALUE"""),"Cost Basis P&amp;L (Base)")</f>
        <v>Cost Basis P&amp;L (Base)</v>
      </c>
      <c r="N5" s="38" t="str">
        <f>IFERROR(__xludf.DUMMYFUNCTION("""COMPUTED_VALUE"""),"% Gain/Loss Cost")</f>
        <v>% Gain/Loss Cost</v>
      </c>
      <c r="O5" s="38" t="str">
        <f>IFERROR(__xludf.DUMMYFUNCTION("""COMPUTED_VALUE"""),"Day P&amp;L (Base)")</f>
        <v>Day P&amp;L (Base)</v>
      </c>
      <c r="P5" s="38" t="str">
        <f>IFERROR(__xludf.DUMMYFUNCTION("""COMPUTED_VALUE"""),"% Gain/Loss Day")</f>
        <v>% Gain/Loss Day</v>
      </c>
      <c r="Q5" s="38" t="str">
        <f>IFERROR(__xludf.DUMMYFUNCTION("""COMPUTED_VALUE"""),"Exposure (Base)")</f>
        <v>Exposure (Base)</v>
      </c>
      <c r="R5" s="38" t="str">
        <f>IFERROR(__xludf.DUMMYFUNCTION("""COMPUTED_VALUE"""),"% Exposure (Base)")</f>
        <v>% Exposure (Base)</v>
      </c>
      <c r="S5" s="38" t="str">
        <f>IFERROR(__xludf.DUMMYFUNCTION("""COMPUTED_VALUE"""),"Live Feed Provider Ticker")</f>
        <v>Live Feed Provider Ticker</v>
      </c>
      <c r="T5" s="40" t="str">
        <f>IFERROR(__xludf.DUMMYFUNCTION("""COMPUTED_VALUE"""),"PositionAction")</f>
        <v>PositionAction</v>
      </c>
      <c r="U5" s="40" t="str">
        <f>IFERROR(__xludf.DUMMYFUNCTION("""COMPUTED_VALUE"""),"VerifyOptionsList")</f>
        <v>VerifyOptionsList</v>
      </c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12" t="s">
        <v>53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69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IFERROR(__xludf.DUMMYFUNCTION("""COMPUTED_VALUE"""),"User Px")</f>
        <v>User Px</v>
      </c>
      <c r="D5" s="38" t="str">
        <f>IFERROR(__xludf.DUMMYFUNCTION("""COMPUTED_VALUE"""),"Asset Class")</f>
        <v>Asset Class</v>
      </c>
      <c r="E5" s="38" t="str">
        <f>IFERROR(__xludf.DUMMYFUNCTION("""COMPUTED_VALUE"""),"Volatility(%)")</f>
        <v>Volatility(%)</v>
      </c>
      <c r="F5" s="39" t="str">
        <f>IFERROR(__xludf.DUMMYFUNCTION("""COMPUTED_VALUE"""),"Historical Volatility")</f>
        <v>Historical Volatility</v>
      </c>
      <c r="G5" s="38" t="str">
        <f>IFERROR(__xludf.DUMMYFUNCTION("""COMPUTED_VALUE"""),"User Volatility")</f>
        <v>User Volatility</v>
      </c>
      <c r="H5" s="38" t="str">
        <f>IFERROR(__xludf.DUMMYFUNCTION("""COMPUTED_VALUE"""),"Interest Rate")</f>
        <v>Interest Rate</v>
      </c>
      <c r="I5" s="38" t="str">
        <f>IFERROR(__xludf.DUMMYFUNCTION("""COMPUTED_VALUE"""),"User Interest Rate")</f>
        <v>User Interest Rate</v>
      </c>
      <c r="J5" s="38" t="str">
        <f>IFERROR(__xludf.DUMMYFUNCTION("""COMPUTED_VALUE"""),"Dividend Yield")</f>
        <v>Dividend Yield</v>
      </c>
      <c r="K5" s="38" t="str">
        <f>IFERROR(__xludf.DUMMYFUNCTION("""COMPUTED_VALUE"""),"User Dividend Yield")</f>
        <v>User Dividend Yield</v>
      </c>
      <c r="L5" s="38" t="str">
        <f>IFERROR(__xludf.DUMMYFUNCTION("""COMPUTED_VALUE"""),"Actual Delta")</f>
        <v>Actual Delta</v>
      </c>
      <c r="M5" s="38" t="str">
        <f>IFERROR(__xludf.DUMMYFUNCTION("""COMPUTED_VALUE"""),"User Delta")</f>
        <v>User Delta</v>
      </c>
      <c r="N5" s="38" t="str">
        <f>IFERROR(__xludf.DUMMYFUNCTION("""COMPUTED_VALUE"""),"Selected Px")</f>
        <v>Selected Px</v>
      </c>
      <c r="O5" s="38" t="str">
        <f>IFERROR(__xludf.DUMMYFUNCTION("""COMPUTED_VALUE"""),"Forward Points")</f>
        <v>Forward Points</v>
      </c>
      <c r="P5" s="38" t="str">
        <f>IFERROR(__xludf.DUMMYFUNCTION("""COMPUTED_VALUE"""),"Shares Outstanding")</f>
        <v>Shares Outstanding</v>
      </c>
      <c r="Q5" s="38" t="str">
        <f>IFERROR(__xludf.DUMMYFUNCTION("""COMPUTED_VALUE"""),"User Shares Outstanding")</f>
        <v>User Shares Outstanding</v>
      </c>
      <c r="R5" s="38" t="str">
        <f>IFERROR(__xludf.DUMMYFUNCTION("""COMPUTED_VALUE"""),"LastPriceUsed")</f>
        <v>LastPriceUsed</v>
      </c>
      <c r="S5" s="38" t="str">
        <f>IFERROR(__xludf.DUMMYFUNCTION("""COMPUTED_VALUE"""),"VolatilityUsed")</f>
        <v>VolatilityUsed</v>
      </c>
      <c r="T5" s="40" t="str">
        <f>IFERROR(__xludf.DUMMYFUNCTION("""COMPUTED_VALUE"""),"IntRateUsed")</f>
        <v>IntRateUsed</v>
      </c>
      <c r="U5" s="40" t="str">
        <f>IFERROR(__xludf.DUMMYFUNCTION("""COMPUTED_VALUE"""),"SM Shares Outstanding")</f>
        <v>SM Shares Outstanding</v>
      </c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31" t="s">
        <v>50</v>
      </c>
      <c r="C6" s="12">
        <v>10.0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7" t="str">
        <f>IFERROR(__xludf.DUMMYFUNCTION("TRANSPOSE(IMPORTRANGE(VLOOKUP($E$3,IMPORTRANGE('_Settings'!$B$3,$C$3&amp;""!A4:B1000""),2,FALSE),$G$3&amp;""!A4:A1000""))"),"")</f>
        <v/>
      </c>
      <c r="B5" s="38" t="str">
        <f>IFERROR(__xludf.DUMMYFUNCTION("""COMPUTED_VALUE"""),"Symbol")</f>
        <v>Symbol</v>
      </c>
      <c r="C5" s="38" t="str">
        <f>IFERROR(__xludf.DUMMYFUNCTION("""COMPUTED_VALUE"""),"Security Name")</f>
        <v>Security Name</v>
      </c>
      <c r="D5" s="38" t="str">
        <f>IFERROR(__xludf.DUMMYFUNCTION("""COMPUTED_VALUE"""),"Fund")</f>
        <v>Fund</v>
      </c>
      <c r="E5" s="38" t="str">
        <f>IFERROR(__xludf.DUMMYFUNCTION("""COMPUTED_VALUE"""),"Account")</f>
        <v>Account</v>
      </c>
      <c r="F5" s="39" t="str">
        <f>IFERROR(__xludf.DUMMYFUNCTION("""COMPUTED_VALUE"""),"Asset Class")</f>
        <v>Asset Class</v>
      </c>
      <c r="G5" s="38" t="str">
        <f>IFERROR(__xludf.DUMMYFUNCTION("""COMPUTED_VALUE"""),"Position")</f>
        <v>Position</v>
      </c>
      <c r="H5" s="38" t="str">
        <f>IFERROR(__xludf.DUMMYFUNCTION("""COMPUTED_VALUE"""),"Position Side")</f>
        <v>Position Side</v>
      </c>
      <c r="I5" s="38" t="str">
        <f>IFERROR(__xludf.DUMMYFUNCTION("""COMPUTED_VALUE"""),"Px Selected Feed (Local)")</f>
        <v>Px Selected Feed (Local)</v>
      </c>
      <c r="J5" s="38" t="str">
        <f>IFERROR(__xludf.DUMMYFUNCTION("""COMPUTED_VALUE"""),"Px Selected Feed (Base)")</f>
        <v>Px Selected Feed (Base)</v>
      </c>
      <c r="K5" s="38" t="str">
        <f>IFERROR(__xludf.DUMMYFUNCTION("""COMPUTED_VALUE"""),"Market Value (Base)")</f>
        <v>Market Value (Base)</v>
      </c>
      <c r="L5" s="38" t="str">
        <f>IFERROR(__xludf.DUMMYFUNCTION("""COMPUTED_VALUE"""),"% Net Market Value (Base)")</f>
        <v>% Net Market Value (Base)</v>
      </c>
      <c r="M5" s="38" t="str">
        <f>IFERROR(__xludf.DUMMYFUNCTION("""COMPUTED_VALUE"""),"Cost Basis P&amp;L (Base)")</f>
        <v>Cost Basis P&amp;L (Base)</v>
      </c>
      <c r="N5" s="38" t="str">
        <f>IFERROR(__xludf.DUMMYFUNCTION("""COMPUTED_VALUE"""),"% Gain/Loss Cost")</f>
        <v>% Gain/Loss Cost</v>
      </c>
      <c r="O5" s="38" t="str">
        <f>IFERROR(__xludf.DUMMYFUNCTION("""COMPUTED_VALUE"""),"Day P&amp;L (Base)")</f>
        <v>Day P&amp;L (Base)</v>
      </c>
      <c r="P5" s="38" t="str">
        <f>IFERROR(__xludf.DUMMYFUNCTION("""COMPUTED_VALUE"""),"% Gain/Loss Day")</f>
        <v>% Gain/Loss Day</v>
      </c>
      <c r="Q5" s="38" t="str">
        <f>IFERROR(__xludf.DUMMYFUNCTION("""COMPUTED_VALUE"""),"Exposure (Base)")</f>
        <v>Exposure (Base)</v>
      </c>
      <c r="R5" s="38" t="str">
        <f>IFERROR(__xludf.DUMMYFUNCTION("""COMPUTED_VALUE"""),"% Exposure (Base)")</f>
        <v>% Exposure (Base)</v>
      </c>
      <c r="S5" s="38" t="str">
        <f>IFERROR(__xludf.DUMMYFUNCTION("""COMPUTED_VALUE"""),"Live Feed Provider Ticker")</f>
        <v>Live Feed Provider Ticker</v>
      </c>
      <c r="T5" s="40" t="str">
        <f>IFERROR(__xludf.DUMMYFUNCTION("""COMPUTED_VALUE"""),"Testing Type")</f>
        <v>Testing Type</v>
      </c>
      <c r="U5" s="40" t="str">
        <f>IFERROR(__xludf.DUMMYFUNCTION("""COMPUTED_VALUE"""),"Testing Column")</f>
        <v>Testing Column</v>
      </c>
      <c r="V5" s="40" t="str">
        <f>IFERROR(__xludf.DUMMYFUNCTION("""COMPUTED_VALUE"""),"Testing Col Value")</f>
        <v>Testing Col Value</v>
      </c>
      <c r="W5" s="40" t="str">
        <f>IFERROR(__xludf.DUMMYFUNCTION("""COMPUTED_VALUE"""),"DuplicateCountOnUI")</f>
        <v>DuplicateCountOnUI</v>
      </c>
      <c r="X5" s="40" t="str">
        <f>IFERROR(__xludf.DUMMYFUNCTION("""COMPUTED_VALUE"""),"DuplicateRow")</f>
        <v>DuplicateRow</v>
      </c>
      <c r="Y5" s="40" t="str">
        <f>IFERROR(__xludf.DUMMYFUNCTION("""COMPUTED_VALUE"""),"TabName")</f>
        <v>TabName</v>
      </c>
      <c r="Z5" s="40" t="str">
        <f>IFERROR(__xludf.DUMMYFUNCTION("""COMPUTED_VALUE"""),"GridDataWidgetName")</f>
        <v>GridDataWidgetName</v>
      </c>
      <c r="AA5" s="40" t="str">
        <f>IFERROR(__xludf.DUMMYFUNCTION("""COMPUTED_VALUE"""),"Bloomberg Symbol")</f>
        <v>Bloomberg Symbol</v>
      </c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31" t="s">
        <v>50</v>
      </c>
      <c r="C6" s="42" t="s">
        <v>62</v>
      </c>
      <c r="D6" s="42" t="s">
        <v>63</v>
      </c>
      <c r="E6" s="42" t="s">
        <v>64</v>
      </c>
      <c r="F6" s="42" t="s">
        <v>65</v>
      </c>
      <c r="G6" s="42">
        <v>200.0</v>
      </c>
      <c r="H6" s="42" t="s">
        <v>66</v>
      </c>
      <c r="I6" s="42">
        <v>10.0</v>
      </c>
      <c r="J6" s="42">
        <v>10.0</v>
      </c>
      <c r="K6" s="8"/>
      <c r="L6" s="8"/>
      <c r="M6" s="8"/>
      <c r="N6" s="8"/>
      <c r="O6" s="8"/>
    </row>
    <row r="7" ht="15.75" customHeight="1">
      <c r="A7" s="8"/>
      <c r="B7" s="12" t="s">
        <v>53</v>
      </c>
      <c r="C7" s="42" t="s">
        <v>67</v>
      </c>
      <c r="D7" s="42" t="s">
        <v>63</v>
      </c>
      <c r="E7" s="42" t="s">
        <v>64</v>
      </c>
      <c r="F7" s="42" t="s">
        <v>65</v>
      </c>
      <c r="G7" s="42">
        <v>200.0</v>
      </c>
      <c r="H7" s="42" t="s">
        <v>66</v>
      </c>
      <c r="I7" s="42">
        <v>10.0</v>
      </c>
      <c r="J7" s="4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5"/>
      <c r="B5" s="43" t="s">
        <v>73</v>
      </c>
      <c r="C5" s="43" t="s">
        <v>74</v>
      </c>
      <c r="D5" s="43" t="s">
        <v>75</v>
      </c>
      <c r="E5" s="43" t="s">
        <v>76</v>
      </c>
      <c r="F5" s="44" t="s">
        <v>77</v>
      </c>
      <c r="G5" s="43" t="s">
        <v>78</v>
      </c>
      <c r="H5" s="43" t="s">
        <v>79</v>
      </c>
      <c r="I5" s="43" t="s">
        <v>80</v>
      </c>
      <c r="J5" s="43" t="s">
        <v>81</v>
      </c>
      <c r="K5" s="43" t="s">
        <v>82</v>
      </c>
      <c r="L5" s="43" t="s">
        <v>83</v>
      </c>
      <c r="M5" s="43" t="s">
        <v>84</v>
      </c>
      <c r="N5" s="43" t="s">
        <v>85</v>
      </c>
      <c r="O5" s="43" t="s">
        <v>86</v>
      </c>
      <c r="P5" s="43" t="s">
        <v>87</v>
      </c>
      <c r="Q5" s="43" t="s">
        <v>88</v>
      </c>
      <c r="R5" s="43" t="s">
        <v>89</v>
      </c>
      <c r="S5" s="43" t="s">
        <v>90</v>
      </c>
      <c r="T5" s="43" t="s">
        <v>91</v>
      </c>
      <c r="U5" s="43" t="s">
        <v>30</v>
      </c>
      <c r="V5" s="43" t="s">
        <v>92</v>
      </c>
      <c r="W5" s="43" t="s">
        <v>93</v>
      </c>
      <c r="X5" s="43" t="s">
        <v>94</v>
      </c>
      <c r="Y5" s="43" t="s">
        <v>95</v>
      </c>
      <c r="Z5" s="43" t="s">
        <v>96</v>
      </c>
      <c r="AA5" s="43" t="s">
        <v>36</v>
      </c>
      <c r="AB5" s="43" t="s">
        <v>16</v>
      </c>
      <c r="AC5" s="43" t="s">
        <v>97</v>
      </c>
      <c r="AD5" s="43" t="s">
        <v>98</v>
      </c>
      <c r="AE5" s="43" t="s">
        <v>99</v>
      </c>
      <c r="AF5" s="43" t="s">
        <v>100</v>
      </c>
      <c r="AG5" s="43" t="s">
        <v>101</v>
      </c>
      <c r="AH5" s="43" t="s">
        <v>102</v>
      </c>
      <c r="AI5" s="43" t="s">
        <v>103</v>
      </c>
      <c r="AJ5" s="43" t="s">
        <v>104</v>
      </c>
      <c r="AK5" s="43" t="s">
        <v>41</v>
      </c>
      <c r="AL5" s="43" t="s">
        <v>44</v>
      </c>
      <c r="AM5" s="43" t="s">
        <v>105</v>
      </c>
      <c r="AN5" s="43" t="s">
        <v>106</v>
      </c>
      <c r="AO5" s="43" t="s">
        <v>107</v>
      </c>
      <c r="AP5" s="43" t="s">
        <v>108</v>
      </c>
      <c r="AQ5" s="43" t="s">
        <v>109</v>
      </c>
      <c r="AR5" s="43" t="s">
        <v>110</v>
      </c>
      <c r="AS5" s="43" t="s">
        <v>111</v>
      </c>
      <c r="AT5" s="43" t="s">
        <v>112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</row>
    <row r="6" ht="15.75" customHeight="1">
      <c r="A6" s="45" t="s">
        <v>113</v>
      </c>
      <c r="B6" s="45" t="s">
        <v>113</v>
      </c>
      <c r="C6" s="8" t="s">
        <v>113</v>
      </c>
      <c r="D6" s="45" t="s">
        <v>113</v>
      </c>
      <c r="E6" s="8"/>
      <c r="F6" s="8" t="s">
        <v>114</v>
      </c>
      <c r="G6" s="8" t="s">
        <v>113</v>
      </c>
      <c r="H6" s="8" t="s">
        <v>113</v>
      </c>
      <c r="I6" s="8"/>
      <c r="J6" s="8" t="s">
        <v>115</v>
      </c>
      <c r="K6" s="8" t="s">
        <v>113</v>
      </c>
      <c r="L6" s="8" t="s">
        <v>113</v>
      </c>
      <c r="M6" s="8" t="s">
        <v>113</v>
      </c>
      <c r="N6" s="8"/>
      <c r="O6" s="8"/>
      <c r="Q6" t="s">
        <v>116</v>
      </c>
      <c r="R6" t="s">
        <v>113</v>
      </c>
      <c r="S6" t="s">
        <v>113</v>
      </c>
      <c r="U6" t="s">
        <v>64</v>
      </c>
      <c r="Y6" t="s">
        <v>113</v>
      </c>
      <c r="Z6" t="s">
        <v>117</v>
      </c>
      <c r="AB6" t="s">
        <v>50</v>
      </c>
      <c r="AC6" s="46">
        <v>100.0</v>
      </c>
      <c r="AD6" t="s">
        <v>113</v>
      </c>
      <c r="AE6" t="s">
        <v>113</v>
      </c>
      <c r="AF6" t="s">
        <v>65</v>
      </c>
      <c r="AG6" t="s">
        <v>113</v>
      </c>
      <c r="AH6" t="s">
        <v>113</v>
      </c>
      <c r="AI6" t="s">
        <v>118</v>
      </c>
      <c r="AJ6" t="s">
        <v>118</v>
      </c>
      <c r="AK6" t="s">
        <v>119</v>
      </c>
      <c r="AL6" t="s">
        <v>120</v>
      </c>
      <c r="AM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113</v>
      </c>
      <c r="CL6" t="s">
        <v>113</v>
      </c>
      <c r="CM6" t="s">
        <v>113</v>
      </c>
      <c r="CN6" t="s">
        <v>113</v>
      </c>
      <c r="CO6" t="s">
        <v>113</v>
      </c>
      <c r="CP6" t="s">
        <v>113</v>
      </c>
      <c r="CQ6" t="s">
        <v>113</v>
      </c>
      <c r="CR6" t="s">
        <v>113</v>
      </c>
      <c r="CS6" t="s">
        <v>113</v>
      </c>
      <c r="CT6" t="s">
        <v>113</v>
      </c>
      <c r="CU6" t="s">
        <v>113</v>
      </c>
      <c r="CV6" t="s">
        <v>113</v>
      </c>
      <c r="CW6" t="s">
        <v>113</v>
      </c>
      <c r="CX6" t="s">
        <v>113</v>
      </c>
      <c r="CY6" t="s">
        <v>113</v>
      </c>
      <c r="CZ6" t="s">
        <v>113</v>
      </c>
      <c r="DA6" t="s">
        <v>113</v>
      </c>
      <c r="DB6" t="s">
        <v>113</v>
      </c>
      <c r="DC6" t="s">
        <v>113</v>
      </c>
      <c r="DD6" t="s">
        <v>113</v>
      </c>
      <c r="DE6" t="s">
        <v>113</v>
      </c>
      <c r="DF6" t="s">
        <v>113</v>
      </c>
      <c r="DG6" t="s">
        <v>113</v>
      </c>
      <c r="DH6" t="s">
        <v>113</v>
      </c>
      <c r="DI6" t="s">
        <v>113</v>
      </c>
      <c r="DJ6" t="s">
        <v>113</v>
      </c>
      <c r="DK6" t="s">
        <v>113</v>
      </c>
      <c r="DL6" t="s">
        <v>113</v>
      </c>
      <c r="DM6" t="s">
        <v>113</v>
      </c>
      <c r="DN6" t="s">
        <v>113</v>
      </c>
      <c r="DO6" t="s">
        <v>113</v>
      </c>
      <c r="DP6" t="s">
        <v>113</v>
      </c>
      <c r="DQ6" t="s">
        <v>113</v>
      </c>
      <c r="DR6" t="s">
        <v>113</v>
      </c>
      <c r="DS6" t="s">
        <v>113</v>
      </c>
      <c r="DT6" t="s">
        <v>113</v>
      </c>
      <c r="DU6" t="s">
        <v>113</v>
      </c>
      <c r="DV6" t="s">
        <v>113</v>
      </c>
      <c r="DW6" t="s">
        <v>113</v>
      </c>
      <c r="DX6" t="s">
        <v>113</v>
      </c>
      <c r="DY6" t="s">
        <v>113</v>
      </c>
      <c r="DZ6" t="s">
        <v>113</v>
      </c>
      <c r="EA6" t="s">
        <v>113</v>
      </c>
      <c r="EB6" t="s">
        <v>113</v>
      </c>
      <c r="EC6" t="s">
        <v>113</v>
      </c>
      <c r="ED6" t="s">
        <v>113</v>
      </c>
      <c r="EE6" t="s">
        <v>113</v>
      </c>
      <c r="EF6" t="s">
        <v>113</v>
      </c>
      <c r="EG6" t="s">
        <v>113</v>
      </c>
      <c r="EH6" t="s">
        <v>113</v>
      </c>
      <c r="EI6" t="s">
        <v>113</v>
      </c>
      <c r="EJ6" t="s">
        <v>113</v>
      </c>
      <c r="EK6" t="s">
        <v>113</v>
      </c>
      <c r="EL6" t="s">
        <v>113</v>
      </c>
      <c r="EM6" t="s">
        <v>113</v>
      </c>
      <c r="EN6" t="s">
        <v>113</v>
      </c>
      <c r="EO6" t="s">
        <v>113</v>
      </c>
      <c r="EP6" t="s">
        <v>113</v>
      </c>
      <c r="EQ6" t="s">
        <v>113</v>
      </c>
      <c r="ER6" t="s">
        <v>113</v>
      </c>
      <c r="ES6" t="s">
        <v>113</v>
      </c>
      <c r="ET6" t="s">
        <v>113</v>
      </c>
      <c r="EU6" t="s">
        <v>113</v>
      </c>
      <c r="EV6" t="s">
        <v>113</v>
      </c>
      <c r="EW6" t="s">
        <v>113</v>
      </c>
      <c r="EX6" t="s">
        <v>113</v>
      </c>
      <c r="EY6" t="s">
        <v>113</v>
      </c>
      <c r="EZ6" t="s">
        <v>113</v>
      </c>
      <c r="FA6" t="s">
        <v>113</v>
      </c>
      <c r="FB6" t="s">
        <v>113</v>
      </c>
      <c r="FC6" t="s">
        <v>113</v>
      </c>
      <c r="FD6" t="s">
        <v>113</v>
      </c>
      <c r="FE6" t="s">
        <v>113</v>
      </c>
      <c r="FF6" t="s">
        <v>113</v>
      </c>
      <c r="FG6" t="s">
        <v>113</v>
      </c>
      <c r="FH6" t="s">
        <v>113</v>
      </c>
      <c r="FI6" t="s">
        <v>113</v>
      </c>
      <c r="FJ6" t="s">
        <v>113</v>
      </c>
      <c r="FK6" t="s">
        <v>113</v>
      </c>
      <c r="FL6" t="s">
        <v>113</v>
      </c>
      <c r="FM6" t="s">
        <v>113</v>
      </c>
      <c r="FN6" t="s">
        <v>113</v>
      </c>
      <c r="FO6" t="s">
        <v>113</v>
      </c>
      <c r="FP6" t="s">
        <v>113</v>
      </c>
      <c r="FQ6" t="s">
        <v>113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113</v>
      </c>
      <c r="B7" s="8" t="s">
        <v>113</v>
      </c>
      <c r="C7" s="8" t="s">
        <v>113</v>
      </c>
      <c r="D7" s="8" t="s">
        <v>113</v>
      </c>
      <c r="E7" s="8"/>
      <c r="F7" s="8" t="s">
        <v>114</v>
      </c>
      <c r="G7" s="8" t="s">
        <v>113</v>
      </c>
      <c r="H7" s="8" t="s">
        <v>113</v>
      </c>
      <c r="I7" s="8"/>
      <c r="J7" s="8" t="s">
        <v>115</v>
      </c>
      <c r="K7" s="8" t="s">
        <v>113</v>
      </c>
      <c r="L7" s="8" t="s">
        <v>113</v>
      </c>
      <c r="M7" s="8" t="s">
        <v>113</v>
      </c>
      <c r="N7" s="8"/>
      <c r="O7" s="8"/>
      <c r="Q7" t="s">
        <v>121</v>
      </c>
      <c r="R7" t="s">
        <v>113</v>
      </c>
      <c r="S7" t="s">
        <v>113</v>
      </c>
      <c r="U7" t="s">
        <v>64</v>
      </c>
      <c r="Y7" t="s">
        <v>113</v>
      </c>
      <c r="Z7" t="s">
        <v>117</v>
      </c>
      <c r="AB7" t="s">
        <v>53</v>
      </c>
      <c r="AC7" s="48">
        <v>100.0</v>
      </c>
      <c r="AD7" t="s">
        <v>113</v>
      </c>
      <c r="AE7" t="s">
        <v>113</v>
      </c>
      <c r="AF7" t="s">
        <v>65</v>
      </c>
      <c r="AG7" t="s">
        <v>113</v>
      </c>
      <c r="AH7" t="s">
        <v>113</v>
      </c>
      <c r="AI7" t="s">
        <v>118</v>
      </c>
      <c r="AJ7" t="s">
        <v>118</v>
      </c>
      <c r="AK7" t="s">
        <v>119</v>
      </c>
      <c r="AL7" t="s">
        <v>120</v>
      </c>
      <c r="AM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113</v>
      </c>
      <c r="CL7" t="s">
        <v>113</v>
      </c>
      <c r="CM7" t="s">
        <v>113</v>
      </c>
      <c r="CN7" t="s">
        <v>113</v>
      </c>
      <c r="CO7" t="s">
        <v>113</v>
      </c>
      <c r="CP7" t="s">
        <v>113</v>
      </c>
      <c r="CQ7" t="s">
        <v>113</v>
      </c>
      <c r="CR7" t="s">
        <v>113</v>
      </c>
      <c r="CS7" t="s">
        <v>113</v>
      </c>
      <c r="CT7" t="s">
        <v>113</v>
      </c>
      <c r="CU7" t="s">
        <v>113</v>
      </c>
      <c r="CV7" t="s">
        <v>113</v>
      </c>
      <c r="CW7" t="s">
        <v>113</v>
      </c>
      <c r="CX7" t="s">
        <v>113</v>
      </c>
      <c r="CY7" t="s">
        <v>113</v>
      </c>
      <c r="CZ7" t="s">
        <v>113</v>
      </c>
      <c r="DA7" t="s">
        <v>113</v>
      </c>
      <c r="DB7" t="s">
        <v>113</v>
      </c>
      <c r="DC7" t="s">
        <v>113</v>
      </c>
      <c r="DD7" t="s">
        <v>113</v>
      </c>
      <c r="DE7" t="s">
        <v>113</v>
      </c>
      <c r="DF7" t="s">
        <v>113</v>
      </c>
      <c r="DG7" t="s">
        <v>113</v>
      </c>
      <c r="DH7" t="s">
        <v>113</v>
      </c>
      <c r="DI7" t="s">
        <v>113</v>
      </c>
      <c r="DJ7" t="s">
        <v>113</v>
      </c>
      <c r="DK7" t="s">
        <v>113</v>
      </c>
      <c r="DL7" t="s">
        <v>113</v>
      </c>
      <c r="DM7" t="s">
        <v>113</v>
      </c>
      <c r="DN7" t="s">
        <v>113</v>
      </c>
      <c r="DO7" t="s">
        <v>113</v>
      </c>
      <c r="DP7" t="s">
        <v>113</v>
      </c>
      <c r="DQ7" t="s">
        <v>113</v>
      </c>
      <c r="DR7" t="s">
        <v>113</v>
      </c>
      <c r="DS7" t="s">
        <v>113</v>
      </c>
      <c r="DT7" t="s">
        <v>113</v>
      </c>
      <c r="DU7" t="s">
        <v>113</v>
      </c>
      <c r="DV7" t="s">
        <v>113</v>
      </c>
      <c r="DW7" t="s">
        <v>113</v>
      </c>
      <c r="DX7" t="s">
        <v>113</v>
      </c>
      <c r="DY7" t="s">
        <v>113</v>
      </c>
      <c r="DZ7" t="s">
        <v>113</v>
      </c>
      <c r="EA7" t="s">
        <v>113</v>
      </c>
      <c r="EB7" t="s">
        <v>113</v>
      </c>
      <c r="EC7" t="s">
        <v>113</v>
      </c>
      <c r="ED7" t="s">
        <v>113</v>
      </c>
      <c r="EE7" t="s">
        <v>113</v>
      </c>
      <c r="EF7" t="s">
        <v>113</v>
      </c>
      <c r="EG7" t="s">
        <v>113</v>
      </c>
      <c r="EH7" t="s">
        <v>113</v>
      </c>
      <c r="EI7" t="s">
        <v>113</v>
      </c>
      <c r="EJ7" t="s">
        <v>113</v>
      </c>
      <c r="EK7" t="s">
        <v>113</v>
      </c>
      <c r="EL7" t="s">
        <v>113</v>
      </c>
      <c r="EM7" t="s">
        <v>113</v>
      </c>
      <c r="EN7" t="s">
        <v>113</v>
      </c>
      <c r="EO7" t="s">
        <v>113</v>
      </c>
      <c r="EP7" t="s">
        <v>113</v>
      </c>
      <c r="EQ7" t="s">
        <v>113</v>
      </c>
      <c r="ER7" t="s">
        <v>113</v>
      </c>
      <c r="ES7" t="s">
        <v>113</v>
      </c>
      <c r="ET7" t="s">
        <v>113</v>
      </c>
      <c r="EU7" t="s">
        <v>113</v>
      </c>
      <c r="EV7" t="s">
        <v>113</v>
      </c>
      <c r="EW7" t="s">
        <v>113</v>
      </c>
      <c r="EX7" t="s">
        <v>113</v>
      </c>
      <c r="EY7" t="s">
        <v>113</v>
      </c>
      <c r="EZ7" t="s">
        <v>113</v>
      </c>
      <c r="FA7" t="s">
        <v>113</v>
      </c>
      <c r="FB7" t="s">
        <v>113</v>
      </c>
      <c r="FC7" t="s">
        <v>113</v>
      </c>
      <c r="FD7" t="s">
        <v>113</v>
      </c>
      <c r="FE7" t="s">
        <v>113</v>
      </c>
      <c r="FF7" t="s">
        <v>113</v>
      </c>
      <c r="FG7" t="s">
        <v>113</v>
      </c>
      <c r="FH7" t="s">
        <v>113</v>
      </c>
      <c r="FI7" t="s">
        <v>113</v>
      </c>
      <c r="FJ7" t="s">
        <v>113</v>
      </c>
      <c r="FK7" t="s">
        <v>113</v>
      </c>
      <c r="FL7" t="s">
        <v>113</v>
      </c>
      <c r="FM7" t="s">
        <v>113</v>
      </c>
      <c r="FN7" t="s">
        <v>113</v>
      </c>
      <c r="FO7" t="s">
        <v>113</v>
      </c>
      <c r="FP7" t="s">
        <v>113</v>
      </c>
      <c r="FQ7" t="s">
        <v>113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 t="s">
        <v>113</v>
      </c>
      <c r="B8" s="8" t="s">
        <v>113</v>
      </c>
      <c r="C8" s="8" t="s">
        <v>113</v>
      </c>
      <c r="D8" s="8" t="s">
        <v>113</v>
      </c>
      <c r="E8" s="8"/>
      <c r="F8" s="8" t="s">
        <v>114</v>
      </c>
      <c r="G8" s="8" t="s">
        <v>113</v>
      </c>
      <c r="H8" s="8" t="s">
        <v>113</v>
      </c>
      <c r="I8" s="8"/>
      <c r="J8" s="8" t="s">
        <v>115</v>
      </c>
      <c r="K8" s="8" t="s">
        <v>113</v>
      </c>
      <c r="L8" s="8" t="s">
        <v>113</v>
      </c>
      <c r="M8" s="8" t="s">
        <v>113</v>
      </c>
      <c r="N8" s="8"/>
      <c r="O8" s="8"/>
      <c r="Q8" t="s">
        <v>116</v>
      </c>
      <c r="R8" t="s">
        <v>113</v>
      </c>
      <c r="S8" t="s">
        <v>113</v>
      </c>
      <c r="U8" t="s">
        <v>64</v>
      </c>
      <c r="Y8" t="s">
        <v>113</v>
      </c>
      <c r="Z8" t="s">
        <v>117</v>
      </c>
      <c r="AB8" t="s">
        <v>50</v>
      </c>
      <c r="AC8" s="49">
        <v>100.0</v>
      </c>
      <c r="AD8" t="s">
        <v>113</v>
      </c>
      <c r="AE8" t="s">
        <v>113</v>
      </c>
      <c r="AF8" t="s">
        <v>65</v>
      </c>
      <c r="AG8" t="s">
        <v>113</v>
      </c>
      <c r="AH8" t="s">
        <v>113</v>
      </c>
      <c r="AI8" t="s">
        <v>118</v>
      </c>
      <c r="AJ8" t="s">
        <v>118</v>
      </c>
      <c r="AK8" t="s">
        <v>119</v>
      </c>
      <c r="AL8" t="s">
        <v>120</v>
      </c>
      <c r="AM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113</v>
      </c>
      <c r="CL8" t="s">
        <v>113</v>
      </c>
      <c r="CM8" t="s">
        <v>113</v>
      </c>
      <c r="CN8" t="s">
        <v>113</v>
      </c>
      <c r="CO8" t="s">
        <v>113</v>
      </c>
      <c r="CP8" t="s">
        <v>113</v>
      </c>
      <c r="CQ8" t="s">
        <v>113</v>
      </c>
      <c r="CR8" t="s">
        <v>113</v>
      </c>
      <c r="CS8" t="s">
        <v>113</v>
      </c>
      <c r="CT8" t="s">
        <v>113</v>
      </c>
      <c r="CU8" t="s">
        <v>113</v>
      </c>
      <c r="CV8" t="s">
        <v>113</v>
      </c>
      <c r="CW8" t="s">
        <v>113</v>
      </c>
      <c r="CX8" t="s">
        <v>113</v>
      </c>
      <c r="CY8" t="s">
        <v>113</v>
      </c>
      <c r="CZ8" t="s">
        <v>113</v>
      </c>
      <c r="DA8" t="s">
        <v>113</v>
      </c>
      <c r="DB8" t="s">
        <v>113</v>
      </c>
      <c r="DC8" t="s">
        <v>113</v>
      </c>
      <c r="DD8" t="s">
        <v>113</v>
      </c>
      <c r="DE8" t="s">
        <v>113</v>
      </c>
      <c r="DF8" t="s">
        <v>113</v>
      </c>
      <c r="DG8" t="s">
        <v>113</v>
      </c>
      <c r="DH8" t="s">
        <v>113</v>
      </c>
      <c r="DI8" t="s">
        <v>113</v>
      </c>
      <c r="DJ8" t="s">
        <v>113</v>
      </c>
      <c r="DK8" t="s">
        <v>113</v>
      </c>
      <c r="DL8" t="s">
        <v>113</v>
      </c>
      <c r="DM8" t="s">
        <v>113</v>
      </c>
      <c r="DN8" t="s">
        <v>113</v>
      </c>
      <c r="DO8" t="s">
        <v>113</v>
      </c>
      <c r="DP8" t="s">
        <v>113</v>
      </c>
      <c r="DQ8" t="s">
        <v>113</v>
      </c>
      <c r="DR8" t="s">
        <v>113</v>
      </c>
      <c r="DS8" t="s">
        <v>113</v>
      </c>
      <c r="DT8" t="s">
        <v>113</v>
      </c>
      <c r="DU8" t="s">
        <v>113</v>
      </c>
      <c r="DV8" t="s">
        <v>113</v>
      </c>
      <c r="DW8" t="s">
        <v>113</v>
      </c>
      <c r="DX8" t="s">
        <v>113</v>
      </c>
      <c r="DY8" t="s">
        <v>113</v>
      </c>
      <c r="DZ8" t="s">
        <v>113</v>
      </c>
      <c r="EA8" t="s">
        <v>113</v>
      </c>
      <c r="EB8" t="s">
        <v>113</v>
      </c>
      <c r="EC8" t="s">
        <v>113</v>
      </c>
      <c r="ED8" t="s">
        <v>113</v>
      </c>
      <c r="EE8" t="s">
        <v>113</v>
      </c>
      <c r="EF8" t="s">
        <v>113</v>
      </c>
      <c r="EG8" t="s">
        <v>113</v>
      </c>
      <c r="EH8" t="s">
        <v>113</v>
      </c>
      <c r="EI8" t="s">
        <v>113</v>
      </c>
      <c r="EJ8" t="s">
        <v>113</v>
      </c>
      <c r="EK8" t="s">
        <v>113</v>
      </c>
      <c r="EL8" t="s">
        <v>113</v>
      </c>
      <c r="EM8" t="s">
        <v>113</v>
      </c>
      <c r="EN8" t="s">
        <v>113</v>
      </c>
      <c r="EO8" t="s">
        <v>113</v>
      </c>
      <c r="EP8" t="s">
        <v>113</v>
      </c>
      <c r="EQ8" t="s">
        <v>113</v>
      </c>
      <c r="ER8" t="s">
        <v>113</v>
      </c>
      <c r="ES8" t="s">
        <v>113</v>
      </c>
      <c r="ET8" t="s">
        <v>113</v>
      </c>
      <c r="EU8" t="s">
        <v>113</v>
      </c>
      <c r="EV8" t="s">
        <v>113</v>
      </c>
      <c r="EW8" t="s">
        <v>113</v>
      </c>
      <c r="EX8" t="s">
        <v>113</v>
      </c>
      <c r="EY8" t="s">
        <v>113</v>
      </c>
      <c r="EZ8" t="s">
        <v>113</v>
      </c>
      <c r="FA8" t="s">
        <v>113</v>
      </c>
      <c r="FB8" t="s">
        <v>113</v>
      </c>
      <c r="FC8" t="s">
        <v>113</v>
      </c>
      <c r="FD8" t="s">
        <v>113</v>
      </c>
      <c r="FE8" t="s">
        <v>113</v>
      </c>
      <c r="FF8" t="s">
        <v>113</v>
      </c>
      <c r="FG8" t="s">
        <v>113</v>
      </c>
      <c r="FH8" t="s">
        <v>113</v>
      </c>
      <c r="FI8" t="s">
        <v>113</v>
      </c>
      <c r="FJ8" t="s">
        <v>113</v>
      </c>
      <c r="FK8" t="s">
        <v>113</v>
      </c>
      <c r="FL8" t="s">
        <v>113</v>
      </c>
      <c r="FM8" t="s">
        <v>113</v>
      </c>
      <c r="FN8" t="s">
        <v>113</v>
      </c>
      <c r="FO8" t="s">
        <v>113</v>
      </c>
      <c r="FP8" t="s">
        <v>113</v>
      </c>
      <c r="FQ8" t="s">
        <v>113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  <c r="AML8" s="47"/>
    </row>
    <row r="9" ht="15.75" customHeight="1">
      <c r="A9" s="8" t="s">
        <v>113</v>
      </c>
      <c r="B9" s="8" t="s">
        <v>113</v>
      </c>
      <c r="C9" s="8" t="s">
        <v>113</v>
      </c>
      <c r="D9" s="8" t="s">
        <v>113</v>
      </c>
      <c r="E9" s="8"/>
      <c r="F9" s="8" t="s">
        <v>114</v>
      </c>
      <c r="G9" s="8" t="s">
        <v>113</v>
      </c>
      <c r="H9" s="8" t="s">
        <v>113</v>
      </c>
      <c r="I9" s="8"/>
      <c r="J9" s="8" t="s">
        <v>115</v>
      </c>
      <c r="K9" s="8" t="s">
        <v>113</v>
      </c>
      <c r="L9" s="8" t="s">
        <v>113</v>
      </c>
      <c r="M9" s="8" t="s">
        <v>113</v>
      </c>
      <c r="N9" s="8"/>
      <c r="O9" s="8"/>
      <c r="Q9" t="s">
        <v>121</v>
      </c>
      <c r="R9" t="s">
        <v>113</v>
      </c>
      <c r="S9" t="s">
        <v>113</v>
      </c>
      <c r="U9" t="s">
        <v>64</v>
      </c>
      <c r="Y9" t="s">
        <v>113</v>
      </c>
      <c r="Z9" t="s">
        <v>117</v>
      </c>
      <c r="AB9" t="s">
        <v>53</v>
      </c>
      <c r="AC9" s="50">
        <v>100.0</v>
      </c>
      <c r="AD9" t="s">
        <v>113</v>
      </c>
      <c r="AE9" t="s">
        <v>113</v>
      </c>
      <c r="AF9" t="s">
        <v>65</v>
      </c>
      <c r="AG9" t="s">
        <v>113</v>
      </c>
      <c r="AH9" t="s">
        <v>113</v>
      </c>
      <c r="AI9" t="s">
        <v>118</v>
      </c>
      <c r="AJ9" t="s">
        <v>118</v>
      </c>
      <c r="AK9" t="s">
        <v>119</v>
      </c>
      <c r="AL9" t="s">
        <v>120</v>
      </c>
      <c r="AM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113</v>
      </c>
      <c r="CL9" t="s">
        <v>113</v>
      </c>
      <c r="CM9" t="s">
        <v>113</v>
      </c>
      <c r="CN9" t="s">
        <v>113</v>
      </c>
      <c r="CO9" t="s">
        <v>113</v>
      </c>
      <c r="CP9" t="s">
        <v>113</v>
      </c>
      <c r="CQ9" t="s">
        <v>113</v>
      </c>
      <c r="CR9" t="s">
        <v>113</v>
      </c>
      <c r="CS9" t="s">
        <v>113</v>
      </c>
      <c r="CT9" t="s">
        <v>113</v>
      </c>
      <c r="CU9" t="s">
        <v>113</v>
      </c>
      <c r="CV9" t="s">
        <v>113</v>
      </c>
      <c r="CW9" t="s">
        <v>113</v>
      </c>
      <c r="CX9" t="s">
        <v>113</v>
      </c>
      <c r="CY9" t="s">
        <v>113</v>
      </c>
      <c r="CZ9" t="s">
        <v>113</v>
      </c>
      <c r="DA9" t="s">
        <v>113</v>
      </c>
      <c r="DB9" t="s">
        <v>113</v>
      </c>
      <c r="DC9" t="s">
        <v>113</v>
      </c>
      <c r="DD9" t="s">
        <v>113</v>
      </c>
      <c r="DE9" t="s">
        <v>113</v>
      </c>
      <c r="DF9" t="s">
        <v>113</v>
      </c>
      <c r="DG9" t="s">
        <v>113</v>
      </c>
      <c r="DH9" t="s">
        <v>113</v>
      </c>
      <c r="DI9" t="s">
        <v>113</v>
      </c>
      <c r="DJ9" t="s">
        <v>113</v>
      </c>
      <c r="DK9" t="s">
        <v>113</v>
      </c>
      <c r="DL9" t="s">
        <v>113</v>
      </c>
      <c r="DM9" t="s">
        <v>113</v>
      </c>
      <c r="DN9" t="s">
        <v>113</v>
      </c>
      <c r="DO9" t="s">
        <v>113</v>
      </c>
      <c r="DP9" t="s">
        <v>113</v>
      </c>
      <c r="DQ9" t="s">
        <v>113</v>
      </c>
      <c r="DR9" t="s">
        <v>113</v>
      </c>
      <c r="DS9" t="s">
        <v>113</v>
      </c>
      <c r="DT9" t="s">
        <v>113</v>
      </c>
      <c r="DU9" t="s">
        <v>113</v>
      </c>
      <c r="DV9" t="s">
        <v>113</v>
      </c>
      <c r="DW9" t="s">
        <v>113</v>
      </c>
      <c r="DX9" t="s">
        <v>113</v>
      </c>
      <c r="DY9" t="s">
        <v>113</v>
      </c>
      <c r="DZ9" t="s">
        <v>113</v>
      </c>
      <c r="EA9" t="s">
        <v>113</v>
      </c>
      <c r="EB9" t="s">
        <v>113</v>
      </c>
      <c r="EC9" t="s">
        <v>113</v>
      </c>
      <c r="ED9" t="s">
        <v>113</v>
      </c>
      <c r="EE9" t="s">
        <v>113</v>
      </c>
      <c r="EF9" t="s">
        <v>113</v>
      </c>
      <c r="EG9" t="s">
        <v>113</v>
      </c>
      <c r="EH9" t="s">
        <v>113</v>
      </c>
      <c r="EI9" t="s">
        <v>113</v>
      </c>
      <c r="EJ9" t="s">
        <v>113</v>
      </c>
      <c r="EK9" t="s">
        <v>113</v>
      </c>
      <c r="EL9" t="s">
        <v>113</v>
      </c>
      <c r="EM9" t="s">
        <v>113</v>
      </c>
      <c r="EN9" t="s">
        <v>113</v>
      </c>
      <c r="EO9" t="s">
        <v>113</v>
      </c>
      <c r="EP9" t="s">
        <v>113</v>
      </c>
      <c r="EQ9" t="s">
        <v>113</v>
      </c>
      <c r="ER9" t="s">
        <v>113</v>
      </c>
      <c r="ES9" t="s">
        <v>113</v>
      </c>
      <c r="ET9" t="s">
        <v>113</v>
      </c>
      <c r="EU9" t="s">
        <v>113</v>
      </c>
      <c r="EV9" t="s">
        <v>113</v>
      </c>
      <c r="EW9" t="s">
        <v>113</v>
      </c>
      <c r="EX9" t="s">
        <v>113</v>
      </c>
      <c r="EY9" t="s">
        <v>113</v>
      </c>
      <c r="EZ9" t="s">
        <v>113</v>
      </c>
      <c r="FA9" t="s">
        <v>113</v>
      </c>
      <c r="FB9" t="s">
        <v>113</v>
      </c>
      <c r="FC9" t="s">
        <v>113</v>
      </c>
      <c r="FD9" t="s">
        <v>113</v>
      </c>
      <c r="FE9" t="s">
        <v>113</v>
      </c>
      <c r="FF9" t="s">
        <v>113</v>
      </c>
      <c r="FG9" t="s">
        <v>113</v>
      </c>
      <c r="FH9" t="s">
        <v>113</v>
      </c>
      <c r="FI9" t="s">
        <v>113</v>
      </c>
      <c r="FJ9" t="s">
        <v>113</v>
      </c>
      <c r="FK9" t="s">
        <v>113</v>
      </c>
      <c r="FL9" t="s">
        <v>113</v>
      </c>
      <c r="FM9" t="s">
        <v>113</v>
      </c>
      <c r="FN9" t="s">
        <v>113</v>
      </c>
      <c r="FO9" t="s">
        <v>113</v>
      </c>
      <c r="FP9" t="s">
        <v>113</v>
      </c>
      <c r="FQ9" t="s">
        <v>113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  <c r="AML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