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AddCalculatedPreferences" sheetId="5" r:id="rId7"/>
    <sheet state="visible" name="SetAccountValueCalculatedPref" sheetId="6" r:id="rId8"/>
    <sheet state="visible" name="SetStrategyValueCalculatedPref" sheetId="7" r:id="rId9"/>
    <sheet state="visible" name="SetDefaultRuleCalculatedPref" sheetId="8" r:id="rId10"/>
    <sheet state="visible" name="CreateDoneAwayOrder" sheetId="9" r:id="rId11"/>
    <sheet state="visible" name="CheckPortfolioManagement" sheetId="10" r:id="rId12"/>
    <sheet state="visible" name="PricingInput" sheetId="11" r:id="rId13"/>
    <sheet state="visible" name="CreateDoneAwayOrder1" sheetId="12" r:id="rId14"/>
    <sheet state="visible" name="CheckPortfolioManagement1" sheetId="13" r:id="rId15"/>
    <sheet state="visible" name="GetDataAllocation" sheetId="14" r:id="rId16"/>
    <sheet state="visible" name="CheckAllocatedTaxlots" sheetId="15" r:id="rId17"/>
    <sheet state="visible" name="CheckAllocatedGroups" sheetId="16" r:id="rId18"/>
  </sheets>
  <definedNames/>
  <calcPr/>
</workbook>
</file>

<file path=xl/sharedStrings.xml><?xml version="1.0" encoding="utf-8"?>
<sst xmlns="http://schemas.openxmlformats.org/spreadsheetml/2006/main" count="484" uniqueCount="71">
  <si>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</si>
  <si>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</si>
  <si>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</si>
  <si>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</si>
  <si>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</si>
  <si>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</si>
  <si>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</si>
  <si>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</si>
  <si>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</si>
  <si>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</si>
  <si>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</si>
  <si>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</si>
  <si>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</si>
  <si>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</si>
  <si>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</si>
  <si>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</si>
  <si>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Account</t>
  </si>
  <si>
    <t>Allocation</t>
  </si>
  <si>
    <t>AddCalculatedPreferences</t>
  </si>
  <si>
    <t>PrefSt</t>
  </si>
  <si>
    <t>SetAccountValueCalculatedPref</t>
  </si>
  <si>
    <t>Allocation2</t>
  </si>
  <si>
    <t>Allocation3</t>
  </si>
  <si>
    <t>SetStrategyValueCalculatedPref</t>
  </si>
  <si>
    <t>S1</t>
  </si>
  <si>
    <t>S2</t>
  </si>
  <si>
    <t>SetDefaultRuleCalculatedPref</t>
  </si>
  <si>
    <t>Trade Quantity</t>
  </si>
  <si>
    <t>Current Preference</t>
  </si>
  <si>
    <t>TradingTicket</t>
  </si>
  <si>
    <t>CreateDoneAwayOrder</t>
  </si>
  <si>
    <t>AAPL</t>
  </si>
  <si>
    <t>Buy</t>
  </si>
  <si>
    <t>Allocation1</t>
  </si>
  <si>
    <t>PortfolioManagement</t>
  </si>
  <si>
    <t>CheckPortfolioManagement</t>
  </si>
  <si>
    <t>NewMF</t>
  </si>
  <si>
    <t>Long</t>
  </si>
  <si>
    <t>APPLE</t>
  </si>
  <si>
    <t>Undefined</t>
  </si>
  <si>
    <t>FIMAT</t>
  </si>
  <si>
    <t>Strategy Unallocated</t>
  </si>
  <si>
    <t>Equity</t>
  </si>
  <si>
    <t>US</t>
  </si>
  <si>
    <t>NASDAQ</t>
  </si>
  <si>
    <t>USD</t>
  </si>
  <si>
    <t>New Hedge</t>
  </si>
  <si>
    <t>Small Cap</t>
  </si>
  <si>
    <t>jpearce</t>
  </si>
  <si>
    <t>MS</t>
  </si>
  <si>
    <t>AAPL US EQUITY</t>
  </si>
  <si>
    <t>None</t>
  </si>
  <si>
    <t>Default</t>
  </si>
  <si>
    <t>test1</t>
  </si>
  <si>
    <t>india</t>
  </si>
  <si>
    <t>test 1</t>
  </si>
  <si>
    <t>Yes</t>
  </si>
  <si>
    <t>PricingInput</t>
  </si>
  <si>
    <t>User Defined</t>
  </si>
  <si>
    <t>NewMF1</t>
  </si>
  <si>
    <t>GetDataAllocation</t>
  </si>
  <si>
    <t>Current</t>
  </si>
  <si>
    <t>CheckAllocatedTaxlots</t>
  </si>
  <si>
    <t>M</t>
  </si>
  <si>
    <t>Open</t>
  </si>
  <si>
    <t>CheckAllocatedGroups</t>
  </si>
  <si>
    <t>Manual</t>
  </si>
  <si>
    <t>Market</t>
  </si>
  <si>
    <t>GCCAP1</t>
  </si>
  <si>
    <t>NONE</t>
  </si>
  <si>
    <t>Multiple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</si>
</sst>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"/>
    <numFmt numFmtId="165" formatCode="m/d/yyyy h:mm:ss am/pm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Inconsolata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horizontal="right" readingOrder="0" vertical="bottom"/>
    </xf>
    <xf borderId="5" fillId="0" fontId="3" numFmtId="0" xfId="0" applyAlignment="1" applyBorder="1" applyFont="1">
      <alignment readingOrder="0" shrinkToFit="0" vertical="bottom" wrapText="0"/>
    </xf>
    <xf borderId="5" fillId="0" fontId="3" numFmtId="0" xfId="0" applyAlignment="1" applyBorder="1" applyFont="1">
      <alignment horizontal="center" vertical="bottom"/>
    </xf>
    <xf borderId="5" fillId="6" fontId="13" numFmtId="0" xfId="0" applyAlignment="1" applyBorder="1" applyFill="1" applyFont="1">
      <alignment readingOrder="0" shrinkToFit="0" vertical="bottom" wrapText="0"/>
    </xf>
    <xf borderId="0" fillId="0" fontId="3" numFmtId="0" xfId="0" applyAlignment="1" applyFont="1">
      <alignment horizontal="right" vertical="bottom"/>
    </xf>
    <xf borderId="5" fillId="0" fontId="14" numFmtId="0" xfId="0" applyAlignment="1" applyBorder="1" applyFont="1">
      <alignment vertical="bottom"/>
    </xf>
    <xf borderId="5" fillId="0" fontId="14" numFmtId="3" xfId="0" applyAlignment="1" applyBorder="1" applyFont="1" applyNumberFormat="1">
      <alignment horizontal="right" vertical="bottom"/>
    </xf>
    <xf borderId="5" fillId="0" fontId="14" numFmtId="0" xfId="0" applyAlignment="1" applyBorder="1" applyFont="1">
      <alignment horizontal="right"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right" vertical="bottom"/>
    </xf>
    <xf borderId="0" fillId="0" fontId="14" numFmtId="3" xfId="0" applyAlignment="1" applyFont="1" applyNumberFormat="1">
      <alignment horizontal="right" vertical="bottom"/>
    </xf>
    <xf borderId="0" fillId="0" fontId="14" numFmtId="0" xfId="0" applyAlignment="1" applyFont="1">
      <alignment horizontal="center" vertical="bottom"/>
    </xf>
    <xf borderId="5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readingOrder="0" vertical="bottom"/>
    </xf>
    <xf borderId="0" fillId="0" fontId="3" numFmtId="0" xfId="0" applyAlignment="1" applyFont="1">
      <alignment readingOrder="0" vertical="bottom"/>
    </xf>
    <xf borderId="0" fillId="0" fontId="14" numFmtId="164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14" numFmtId="3" xfId="0" applyAlignment="1" applyFont="1" applyNumberForma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3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14" numFmtId="165" xfId="0" applyAlignment="1" applyFont="1" applyNumberFormat="1">
      <alignment readingOrder="0" shrinkToFit="0" vertical="bottom" wrapText="0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14" numFmtId="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2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0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1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9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2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>
      <c r="A513" t="str">
        <f>IFERROR(__xludf.DUMMYFUNCTION("""COMPUTED_VALUE"""),"PortfolioManagement")</f>
        <v>PortfolioManagement</v>
      </c>
      <c r="B513" t="str">
        <f>IFERROR(__xludf.DUMMYFUNCTION("""COMPUTED_VALUE"""),"IncreasePositionFromPM")</f>
        <v>IncreasePositionFromPM</v>
      </c>
      <c r="C513" t="str">
        <f>IFERROR(__xludf.DUMMYFUNCTION("""COMPUTED_VALUE"""),"1eE569Brgsjqyathy0MKO50Wmj5QCDLuax0S-29Hix4A")</f>
        <v>1eE569Brgsjqyathy0MKO50Wmj5QCDLuax0S-29Hix4A</v>
      </c>
    </row>
    <row r="514" ht="15.75" customHeight="1">
      <c r="A514" t="str">
        <f>IFERROR(__xludf.DUMMYFUNCTION("""COMPUTED_VALUE"""),"TradingTicket")</f>
        <v>TradingTicket</v>
      </c>
      <c r="B514" t="str">
        <f>IFERROR(__xludf.DUMMYFUNCTION("""COMPUTED_VALUE"""),"SendLiveBloomberg")</f>
        <v>SendLiveBloomberg</v>
      </c>
      <c r="C514" t="str">
        <f>IFERROR(__xludf.DUMMYFUNCTION("""COMPUTED_VALUE"""),"1jm-Rrun0S1nkf5N9L0XR0cK07laQ4i2IyhTZ_88GUUQ")</f>
        <v>1jm-Rrun0S1nkf5N9L0XR0cK07laQ4i2IyhTZ_88GUUQ</v>
      </c>
    </row>
    <row r="515" ht="15.75" customHeight="1">
      <c r="A515" t="str">
        <f>IFERROR(__xludf.DUMMYFUNCTION("""COMPUTED_VALUE"""),"TradingTicket")</f>
        <v>TradingTicket</v>
      </c>
      <c r="B515" t="str">
        <f>IFERROR(__xludf.DUMMYFUNCTION("""COMPUTED_VALUE"""),"AddOptionTrade")</f>
        <v>AddOptionTrade</v>
      </c>
      <c r="C515" t="str">
        <f>IFERROR(__xludf.DUMMYFUNCTION("""COMPUTED_VALUE"""),"1S77RUpuNPEdRdFAsltgJ4BQ2n1UATWQLWerXZ4PXTkk")</f>
        <v>1S77RUpuNPEdRdFAsltgJ4BQ2n1UATWQLWerXZ4PXTkk</v>
      </c>
    </row>
    <row r="516" ht="15.75" customHeight="1">
      <c r="A516" t="str">
        <f>IFERROR(__xludf.DUMMYFUNCTION("""COMPUTED_VALUE"""),"Closing")</f>
        <v>Closing</v>
      </c>
      <c r="B516" t="str">
        <f>IFERROR(__xludf.DUMMYFUNCTION("""COMPUTED_VALUE"""),"AutoExercise")</f>
        <v>AutoExercise</v>
      </c>
      <c r="C516" t="str">
        <f>IFERROR(__xludf.DUMMYFUNCTION("""COMPUTED_VALUE"""),"1hfy0JEIqBV_drZcgmDPPTyHwSQxbE1sD97UL33FyUKI")</f>
        <v>1hfy0JEIqBV_drZcgmDPPTyHwSQxbE1sD97UL33FyUKI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IFERROR(__xludf.DUMMYFUNCTION("""COMPUTED_VALUE"""),"UpdateExpirationDate")</f>
        <v>UpdateExpirationDate</v>
      </c>
      <c r="C517" t="str">
        <f>IFERROR(__xludf.DUMMYFUNCTION("""COMPUTED_VALUE"""),"1dylWul81BFmbZVj_Z-Xiz11zLj_QrhKk5QXK_mf_uUE")</f>
        <v>1dylWul81BFmbZVj_Z-Xiz11zLj_QrhKk5QXK_mf_uUE</v>
      </c>
    </row>
    <row r="518" ht="15.75" customHeight="1">
      <c r="A518" t="str">
        <f>IFERROR(__xludf.DUMMYFUNCTION("""COMPUTED_VALUE"""),"PricingInput")</f>
        <v>PricingInput</v>
      </c>
      <c r="B518" t="str">
        <f>IFERROR(__xludf.DUMMYFUNCTION("""COMPUTED_VALUE"""),"UncheckDividendYield")</f>
        <v>UncheckDividendYield</v>
      </c>
      <c r="C518" t="str">
        <f>IFERROR(__xludf.DUMMYFUNCTION("""COMPUTED_VALUE"""),"1tE_B1MbYuONekKo2FJCjz81vOxEukuWLbDI84AvoR2Y")</f>
        <v>1tE_B1MbYuONekKo2FJCjz81vOxEukuWLbDI84AvoR2Y</v>
      </c>
    </row>
    <row r="519" ht="15.75" customHeight="1">
      <c r="A519" t="str">
        <f>IFERROR(__xludf.DUMMYFUNCTION("""COMPUTED_VALUE"""),"PranaClient")</f>
        <v>PranaClient</v>
      </c>
      <c r="B519" t="str">
        <f>IFERROR(__xludf.DUMMYFUNCTION("""COMPUTED_VALUE"""),"LoginClient")</f>
        <v>LoginClient</v>
      </c>
      <c r="C519" t="str">
        <f>IFERROR(__xludf.DUMMYFUNCTION("""COMPUTED_VALUE"""),"1q8zAoreC7MIeJDU3n8P82NH8qIhpvWC2BtDtEAyBLPg")</f>
        <v>1q8zAoreC7MIeJDU3n8P82NH8qIhpvWC2BtDtEAyBLPg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IFERROR(__xludf.DUMMYFUNCTION("""COMPUTED_VALUE"""),"ViewAllocation")</f>
        <v>ViewAllocation</v>
      </c>
      <c r="C520" t="str">
        <f>IFERROR(__xludf.DUMMYFUNCTION("""COMPUTED_VALUE"""),"1oyfT0NXu05XUQfzB3__UfSsQJxHsjU5EfujHM7zFMlY")</f>
        <v>1oyfT0NXu05XUQfzB3__UfSsQJxHsjU5EfujHM7zFMlY</v>
      </c>
    </row>
    <row r="521" ht="15.75" customHeight="1">
      <c r="A521" t="str">
        <f>IFERROR(__xludf.DUMMYFUNCTION("""COMPUTED_VALUE"""),"Admin")</f>
        <v>Admin</v>
      </c>
      <c r="B521" t="str">
        <f>IFERROR(__xludf.DUMMYFUNCTION("""COMPUTED_VALUE"""),"UpdateSecFee")</f>
        <v>UpdateSecFee</v>
      </c>
      <c r="C521" t="str">
        <f>IFERROR(__xludf.DUMMYFUNCTION("""COMPUTED_VALUE"""),"1ptHqTt8wfxoCZvvS0BozaQuRsKg0DRBnN_lMfrOuCt4")</f>
        <v>1ptHqTt8wfxoCZvvS0BozaQuRsKg0DRBnN_lMfrOuCt4</v>
      </c>
    </row>
    <row r="522" ht="15.75" customHeight="1">
      <c r="A522" t="str">
        <f>IFERROR(__xludf.DUMMYFUNCTION("""COMPUTED_VALUE"""),"Blotter")</f>
        <v>Blotter</v>
      </c>
      <c r="B522" t="str">
        <f>IFERROR(__xludf.DUMMYFUNCTION("""COMPUTED_VALUE"""),"AllocateFromBlotter")</f>
        <v>AllocateFromBlotter</v>
      </c>
      <c r="C522" t="str">
        <f>IFERROR(__xludf.DUMMYFUNCTION("""COMPUTED_VALUE"""),"1oly-GUleCLstbhsLqb5z_nrN6IcuRDzo7dau3mRro2g")</f>
        <v>1oly-GUleCLstbhsLqb5z_nrN6IcuRDzo7dau3mRro2g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IFERROR(__xludf.DUMMYFUNCTION("""COMPUTED_VALUE"""),"UpdateFee")</f>
        <v>UpdateFee</v>
      </c>
      <c r="C523" t="str">
        <f>IFERROR(__xludf.DUMMYFUNCTION("""COMPUTED_VALUE"""),"19Rcvs50oHXGL5FsIW3nGsIY2a3BShYxifQZnyCdj5YI")</f>
        <v>19Rcvs50oHXGL5FsIW3nGsIY2a3BShYxifQZnyCdj5YI</v>
      </c>
    </row>
    <row r="524" ht="15.75" customHeight="1">
      <c r="A524" t="str">
        <f>IFERROR(__xludf.DUMMYFUNCTION("""COMPUTED_VALUE"""),"Allocation")</f>
        <v>Allocation</v>
      </c>
      <c r="B524" t="str">
        <f>IFERROR(__xludf.DUMMYFUNCTION("""COMPUTED_VALUE"""),"CheckPreferences")</f>
        <v>CheckPreferences</v>
      </c>
      <c r="C524" t="str">
        <f>IFERROR(__xludf.DUMMYFUNCTION("""COMPUTED_VALUE"""),"19LWAFgtJK8TJic3Bigl3vokyu1yraGt63a_sVpP1MUU")</f>
        <v>19LWAFgtJK8TJic3Bigl3vokyu1yraGt63a_sVpP1MUU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IFERROR(__xludf.DUMMYFUNCTION("""COMPUTED_VALUE"""),"SetTTUIAdminPreferences")</f>
        <v>SetTTUIAdminPreferences</v>
      </c>
      <c r="C525" t="str">
        <f>IFERROR(__xludf.DUMMYFUNCTION("""COMPUTED_VALUE"""),"1XGzqnk2nunw7F--MNGHLzH3F0YYmIumyegAncIZZB6k")</f>
        <v>1XGzqnk2nunw7F--MNGHLzH3F0YYmIumyegAncIZZB6k</v>
      </c>
    </row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IFERROR(__xludf.DUMMYFUNCTION("""COMPUTED_VALUE"""),"UpdateSecFee")</f>
        <v>UpdateSecFee</v>
      </c>
      <c r="S4" s="25" t="str">
        <f>IFERROR(__xludf.DUMMYFUNCTION("""COMPUTED_VALUE"""),"UpdateFee")</f>
        <v>UpdateFee</v>
      </c>
      <c r="T4" s="25" t="str">
        <f>IFERROR(__xludf.DUMMYFUNCTION("""COMPUTED_VALUE"""),"SetTTUIAdminPreferences")</f>
        <v>SetTTUIAdminPreferences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IFERROR(__xludf.DUMMYFUNCTION("""COMPUTED_VALUE"""),"OverSellTradingRule")</f>
        <v>OverSellTradingRule</v>
      </c>
      <c r="C5" s="27" t="str">
        <f>IFERROR(__xludf.DUMMYFUNCTION("""COMPUTED_VALUE"""),"OverBuyTradingRule")</f>
        <v>OverBuyTradingRule</v>
      </c>
      <c r="D5" s="27" t="str">
        <f>IFERROR(__xludf.DUMMYFUNCTION("""COMPUTED_VALUE"""),"FatFingerTradingRule")</f>
        <v>FatFingerTradingRule</v>
      </c>
      <c r="E5" s="27" t="str">
        <f>IFERROR(__xludf.DUMMYFUNCTION("""COMPUTED_VALUE"""),"UnallocatedTradeAlert")</f>
        <v>UnallocatedTradeAlert</v>
      </c>
      <c r="F5" s="28" t="str">
        <f>IFERROR(__xludf.DUMMYFUNCTION("""COMPUTED_VALUE"""),"DuplicateTradeAlert")</f>
        <v>DuplicateTradeAlert</v>
      </c>
      <c r="G5" s="27" t="str">
        <f>IFERROR(__xludf.DUMMYFUNCTION("""COMPUTED_VALUE"""),"PendingNewOrderAlert")</f>
        <v>PendingNewOrderAlert</v>
      </c>
      <c r="H5" s="27" t="str">
        <f>IFERROR(__xludf.DUMMYFUNCTION("""COMPUTED_VALUE"""),"FatFingerPercent")</f>
        <v>FatFingerPercent</v>
      </c>
      <c r="I5" s="27" t="str">
        <f>IFERROR(__xludf.DUMMYFUNCTION("""COMPUTED_VALUE"""),"DuplicateTradeAlertTime")</f>
        <v>DuplicateTradeAlertTime</v>
      </c>
      <c r="J5" s="27" t="str">
        <f>IFERROR(__xludf.DUMMYFUNCTION("""COMPUTED_VALUE"""),"PendingNewOrderAlertTime")</f>
        <v>PendingNewOrderAlertTime</v>
      </c>
      <c r="K5" s="27" t="str">
        <f>IFERROR(__xludf.DUMMYFUNCTION("""COMPUTED_VALUE"""),"FatFingerAccountOrMasterFund")</f>
        <v>FatFingerAccountOrMasterFund</v>
      </c>
      <c r="L5" s="27" t="str">
        <f>IFERROR(__xludf.DUMMYFUNCTION("""COMPUTED_VALUE"""),"IsAbsoluteAmountOrDefinePercent")</f>
        <v>IsAbsoluteAmountOrDefinePercent</v>
      </c>
      <c r="M5" s="27" t="str">
        <f>IFERROR(__xludf.DUMMYFUNCTION("""COMPUTED_VALUE"""),"IsInMarketIncluded")</f>
        <v>IsInMarketIncluded</v>
      </c>
      <c r="N5" s="27" t="str">
        <f>IFERROR(__xludf.DUMMYFUNCTION("""COMPUTED_VALUE"""),"IsSharesOutstandingRule")</f>
        <v>IsSharesOutstandingRule</v>
      </c>
      <c r="O5" s="27" t="str">
        <f>IFERROR(__xludf.DUMMYFUNCTION("""COMPUTED_VALUE"""),"SharesOutstandingPercent")</f>
        <v>SharesOutstandingPercent</v>
      </c>
      <c r="P5" s="27" t="str">
        <f>IFERROR(__xludf.DUMMYFUNCTION("""COMPUTED_VALUE"""),"SharesOutstandingAccountOrMF")</f>
        <v>SharesOutstandingAccountOrMF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3" t="b">
        <v>1</v>
      </c>
      <c r="O6" s="34">
        <v>2.0</v>
      </c>
      <c r="P6" s="32" t="s">
        <v>16</v>
      </c>
      <c r="Q6" s="32"/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SetTradingComplianceRules!$4:$4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IFERROR(__xludf.DUMMYFUNCTION("""COMPUTED_VALUE"""),"CheckPreferences")</f>
        <v>CheckPreferences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19</v>
      </c>
      <c r="C6" s="8"/>
      <c r="D6" s="11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1svq-61dzaRHeNDz1TSSUPXQbbN3Mi4bhNQabvGVoz2c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IFERROR(__xludf.DUMMYFUNCTION("""COMPUTED_VALUE"""),"CheckPreferences")</f>
        <v>CheckPreferences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IFERROR(__xludf.DUMMYFUNCTION("""COMPUTED_VALUE"""),"AccountName")</f>
        <v>AccountName</v>
      </c>
      <c r="D5" s="27" t="str">
        <f>IFERROR(__xludf.DUMMYFUNCTION("""COMPUTED_VALUE"""),"Percentage")</f>
        <v>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11" t="s">
        <v>19</v>
      </c>
      <c r="C6" s="32" t="s">
        <v>21</v>
      </c>
      <c r="D6" s="37">
        <v>50.0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11" t="s">
        <v>19</v>
      </c>
      <c r="C7" s="35" t="s">
        <v>22</v>
      </c>
      <c r="D7" s="38">
        <v>50.0</v>
      </c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SetAccountValueCalculatedPref!$4:$4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1rt8inh4u7qHUhCAFSaa2kmPKLkqeh3uljucYajdto60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IFERROR(__xludf.DUMMYFUNCTION("""COMPUTED_VALUE"""),"CheckPreferences")</f>
        <v>CheckPreferences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IFERROR(__xludf.DUMMYFUNCTION("""COMPUTED_VALUE"""),"AccountName")</f>
        <v>AccountName</v>
      </c>
      <c r="D5" s="27" t="str">
        <f>IFERROR(__xludf.DUMMYFUNCTION("""COMPUTED_VALUE"""),"StrategyName")</f>
        <v>StrategyName</v>
      </c>
      <c r="E5" s="27" t="str">
        <f>IFERROR(__xludf.DUMMYFUNCTION("""COMPUTED_VALUE"""),"Percentage")</f>
        <v>Percentage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19</v>
      </c>
      <c r="C6" s="32" t="s">
        <v>21</v>
      </c>
      <c r="D6" s="11" t="s">
        <v>24</v>
      </c>
      <c r="E6" s="11">
        <v>50.0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1" t="s">
        <v>19</v>
      </c>
      <c r="C7" s="32" t="s">
        <v>21</v>
      </c>
      <c r="D7" s="11" t="s">
        <v>25</v>
      </c>
      <c r="E7" s="11">
        <v>50.0</v>
      </c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1" t="s">
        <v>19</v>
      </c>
      <c r="C8" s="35" t="s">
        <v>22</v>
      </c>
      <c r="D8" s="11" t="s">
        <v>24</v>
      </c>
      <c r="E8" s="11">
        <v>75.0</v>
      </c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1" t="s">
        <v>19</v>
      </c>
      <c r="C9" s="35" t="s">
        <v>22</v>
      </c>
      <c r="D9" s="11" t="s">
        <v>25</v>
      </c>
      <c r="E9" s="11">
        <v>25.0</v>
      </c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SetStrategyValueCalculatedPref!$4:$4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1j6MD8nFEuJNo52Mp8uXbXRmrJs802rnEIiTOEuZFdWA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IFERROR(__xludf.DUMMYFUNCTION("""COMPUTED_VALUE"""),"CheckPreferences")</f>
        <v>CheckPreferences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IFERROR(__xludf.DUMMYFUNCTION("""COMPUTED_VALUE"""),"AllocationMethod")</f>
        <v>AllocationMethod</v>
      </c>
      <c r="C5" s="27" t="str">
        <f>IFERROR(__xludf.DUMMYFUNCTION("""COMPUTED_VALUE"""),"RemainderAllocationTo")</f>
        <v>RemainderAllocationTo</v>
      </c>
      <c r="D5" s="27" t="str">
        <f>IFERROR(__xludf.DUMMYFUNCTION("""COMPUTED_VALUE"""),"Target%AsOf")</f>
        <v>Target%AsOf</v>
      </c>
      <c r="E5" s="27" t="str">
        <f>IFERROR(__xludf.DUMMYFUNCTION("""COMPUTED_VALUE"""),"ProrataAccounts")</f>
        <v>ProrataAccounts</v>
      </c>
      <c r="F5" s="28" t="str">
        <f>IFERROR(__xludf.DUMMYFUNCTION("""COMPUTED_VALUE"""),"DateUptoDays")</f>
        <v>DateUptoDays</v>
      </c>
      <c r="G5" s="27" t="str">
        <f>IFERROR(__xludf.DUMMYFUNCTION("""COMPUTED_VALUE"""),"MatchClosingTransactions")</f>
        <v>MatchClosingTransactions</v>
      </c>
      <c r="H5" s="27" t="str">
        <f>IFERROR(__xludf.DUMMYFUNCTION("""COMPUTED_VALUE"""),"PreferenceName")</f>
        <v>PreferenceName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 t="s">
        <v>27</v>
      </c>
      <c r="C6" s="32"/>
      <c r="D6" s="39" t="s">
        <v>28</v>
      </c>
      <c r="E6" s="32"/>
      <c r="F6" s="32"/>
      <c r="G6" s="40" t="b">
        <v>0</v>
      </c>
      <c r="H6" s="41" t="s">
        <v>19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 t="str">
        <f>IFERROR(__xludf.DUMMYFUNCTION("""COMPUTED_VALUE"""),"SharesOutstandingPopUpQty")</f>
        <v>SharesOutstandingPopUpQty</v>
      </c>
      <c r="AT5" s="29" t="str">
        <f>IFERROR(__xludf.DUMMYFUNCTION("""COMPUTED_VALUE"""),"SharesOutstandingPopUp")</f>
        <v>SharesOutstandingPopUp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 t="s">
        <v>31</v>
      </c>
      <c r="C6" s="32" t="s">
        <v>32</v>
      </c>
      <c r="D6" s="37">
        <v>1000.0</v>
      </c>
      <c r="E6" s="34">
        <v>1000.0</v>
      </c>
      <c r="F6" s="32" t="s">
        <v>33</v>
      </c>
      <c r="G6" s="32"/>
      <c r="H6" s="32"/>
      <c r="I6" s="32"/>
      <c r="J6" s="34">
        <v>10.0</v>
      </c>
      <c r="K6" s="32"/>
      <c r="L6" s="32"/>
      <c r="M6" s="32"/>
      <c r="N6" s="32"/>
      <c r="O6" s="32"/>
      <c r="P6" s="32"/>
      <c r="Q6" s="32"/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42">
        <v>0.0</v>
      </c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ITM/OTM")</f>
        <v>% of ITM/OTM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IFERROR(__xludf.DUMMYFUNCTION("""COMPUTED_VALUE"""),"isRowCountCheck")</f>
        <v>isRowCountCheck</v>
      </c>
      <c r="FI5" s="29"/>
      <c r="FJ5" s="29"/>
      <c r="FK5" s="29"/>
      <c r="FL5" s="29"/>
      <c r="FM5" s="29"/>
      <c r="FN5" s="29"/>
      <c r="FO5" s="29"/>
      <c r="FP5" s="29"/>
      <c r="FQ5" s="29"/>
    </row>
    <row r="6" ht="15.75" customHeight="1">
      <c r="A6" s="30"/>
      <c r="B6" s="31"/>
      <c r="C6" s="43" t="s">
        <v>31</v>
      </c>
      <c r="D6" s="44">
        <v>1000.0</v>
      </c>
      <c r="E6" s="43" t="s">
        <v>33</v>
      </c>
      <c r="F6" s="43" t="s">
        <v>36</v>
      </c>
      <c r="G6" s="45">
        <v>10.0</v>
      </c>
      <c r="H6" s="43" t="s">
        <v>37</v>
      </c>
      <c r="I6" s="45">
        <v>0.0</v>
      </c>
      <c r="J6" s="32"/>
      <c r="K6" s="45">
        <v>0.0</v>
      </c>
      <c r="L6" s="32"/>
      <c r="M6" s="32"/>
      <c r="N6" s="44">
        <v>-10000.0</v>
      </c>
      <c r="O6" s="43" t="s">
        <v>38</v>
      </c>
      <c r="P6" s="45" t="s">
        <v>39</v>
      </c>
      <c r="Q6" s="44">
        <v>-10000.0</v>
      </c>
      <c r="R6" s="43" t="s">
        <v>40</v>
      </c>
      <c r="S6" s="43" t="s">
        <v>41</v>
      </c>
      <c r="T6" s="46" t="s">
        <v>42</v>
      </c>
      <c r="U6" s="46" t="s">
        <v>43</v>
      </c>
      <c r="V6" s="46" t="s">
        <v>44</v>
      </c>
      <c r="W6" s="46" t="s">
        <v>45</v>
      </c>
      <c r="X6" s="35"/>
      <c r="Y6" s="47">
        <v>1.0</v>
      </c>
      <c r="Z6" s="35"/>
      <c r="AA6" s="35"/>
      <c r="AB6" s="47">
        <v>0.0</v>
      </c>
      <c r="AC6" s="47">
        <v>0.0</v>
      </c>
      <c r="AD6" s="47">
        <v>0.0</v>
      </c>
      <c r="AE6" s="47">
        <v>0.0</v>
      </c>
      <c r="AF6" s="48">
        <v>1000.0</v>
      </c>
      <c r="AG6" s="47">
        <v>0.0</v>
      </c>
      <c r="AH6" s="47">
        <v>0.0</v>
      </c>
      <c r="AI6" s="47">
        <v>0.0</v>
      </c>
      <c r="AJ6" s="47">
        <v>0.0</v>
      </c>
      <c r="AK6" s="48">
        <v>-10000.0</v>
      </c>
      <c r="AL6" s="47">
        <v>1.0</v>
      </c>
      <c r="AM6" s="47">
        <v>1.0</v>
      </c>
      <c r="AN6" s="35" t="s">
        <v>32</v>
      </c>
      <c r="AO6" s="35"/>
      <c r="AP6" s="46" t="s">
        <v>37</v>
      </c>
      <c r="AQ6" s="46" t="s">
        <v>31</v>
      </c>
      <c r="AR6" s="47">
        <v>0.0</v>
      </c>
      <c r="AS6" s="35"/>
      <c r="AT6" s="35"/>
      <c r="AU6" s="35"/>
      <c r="AV6" s="47">
        <v>1.0</v>
      </c>
      <c r="AW6" s="48">
        <v>-10000.0</v>
      </c>
      <c r="AX6" s="47">
        <v>0.0</v>
      </c>
      <c r="AY6" s="47">
        <v>0.0</v>
      </c>
      <c r="AZ6" s="47">
        <v>0.0</v>
      </c>
      <c r="BA6" s="47">
        <v>-100.0</v>
      </c>
      <c r="BB6" s="35"/>
      <c r="BC6" s="47">
        <v>1.0</v>
      </c>
      <c r="BD6" s="48">
        <v>-10000.0</v>
      </c>
      <c r="BE6" s="46" t="s">
        <v>42</v>
      </c>
      <c r="BF6" s="46" t="s">
        <v>46</v>
      </c>
      <c r="BG6" s="46" t="s">
        <v>47</v>
      </c>
      <c r="BH6" s="46" t="s">
        <v>39</v>
      </c>
      <c r="BI6" s="47">
        <v>5.0</v>
      </c>
      <c r="BJ6" s="47">
        <v>0.0</v>
      </c>
      <c r="BK6" s="47">
        <v>0.0</v>
      </c>
      <c r="BL6" s="47">
        <v>0.0</v>
      </c>
      <c r="BM6" s="47">
        <v>0.0</v>
      </c>
      <c r="BN6" s="35"/>
      <c r="BO6" s="48">
        <v>-10000.0</v>
      </c>
      <c r="BP6" s="47">
        <v>0.0</v>
      </c>
      <c r="BQ6" s="46" t="s">
        <v>48</v>
      </c>
      <c r="BR6" s="46" t="s">
        <v>49</v>
      </c>
      <c r="BS6" s="47">
        <v>0.0</v>
      </c>
      <c r="BT6" s="47">
        <v>0.0</v>
      </c>
      <c r="BU6" s="46" t="s">
        <v>42</v>
      </c>
      <c r="BV6" s="35"/>
      <c r="BW6" s="47">
        <v>0.0</v>
      </c>
      <c r="BX6" s="47">
        <v>0.0</v>
      </c>
      <c r="BY6" s="47">
        <v>0.0</v>
      </c>
      <c r="BZ6" s="47">
        <v>0.0</v>
      </c>
      <c r="CA6" s="47">
        <v>0.0</v>
      </c>
      <c r="CB6" s="35"/>
      <c r="CC6" s="47">
        <v>0.0</v>
      </c>
      <c r="CD6" s="48">
        <v>-10000.0</v>
      </c>
      <c r="CE6" s="47">
        <v>0.0</v>
      </c>
      <c r="CF6" s="47">
        <v>0.0</v>
      </c>
      <c r="CG6" s="48">
        <v>-10000.0</v>
      </c>
      <c r="CH6" s="47">
        <v>-100.0</v>
      </c>
      <c r="CI6" s="47">
        <v>0.0</v>
      </c>
      <c r="CJ6" s="47">
        <v>0.0</v>
      </c>
      <c r="CK6" s="49" t="b">
        <v>0</v>
      </c>
      <c r="CL6" s="35"/>
      <c r="CM6" s="35"/>
      <c r="CN6" s="46" t="s">
        <v>31</v>
      </c>
      <c r="CO6" s="46" t="s">
        <v>31</v>
      </c>
      <c r="CP6" s="46" t="s">
        <v>50</v>
      </c>
      <c r="CQ6" s="35"/>
      <c r="CR6" s="35"/>
      <c r="CS6" s="47">
        <v>10.0</v>
      </c>
      <c r="CT6" s="35"/>
      <c r="CU6" s="35"/>
      <c r="CV6" s="35"/>
      <c r="CW6" s="35"/>
      <c r="CX6" s="35"/>
      <c r="CY6" s="46" t="s">
        <v>51</v>
      </c>
      <c r="CZ6" s="46" t="s">
        <v>52</v>
      </c>
      <c r="DA6" s="47">
        <v>0.0</v>
      </c>
      <c r="DB6" s="47">
        <v>0.0</v>
      </c>
      <c r="DC6" s="47"/>
      <c r="DD6" s="48">
        <v>1000.0</v>
      </c>
      <c r="DE6" s="47">
        <v>0.0</v>
      </c>
      <c r="DF6" s="47">
        <v>0.0</v>
      </c>
      <c r="DG6" s="47">
        <v>0.0</v>
      </c>
      <c r="DH6" s="47" t="s">
        <v>39</v>
      </c>
      <c r="DI6" s="47">
        <v>0.0</v>
      </c>
      <c r="DJ6" s="46" t="s">
        <v>32</v>
      </c>
      <c r="DK6" s="47">
        <v>0.0</v>
      </c>
      <c r="DL6" s="47">
        <v>0.0</v>
      </c>
      <c r="DM6" s="47">
        <v>1.0</v>
      </c>
      <c r="DN6" s="47">
        <v>0.0</v>
      </c>
      <c r="DO6" s="35"/>
      <c r="DP6" s="46" t="s">
        <v>37</v>
      </c>
      <c r="DQ6" s="46" t="s">
        <v>53</v>
      </c>
      <c r="DR6" s="46" t="s">
        <v>54</v>
      </c>
      <c r="DS6" s="46" t="s">
        <v>53</v>
      </c>
      <c r="DT6" s="46" t="s">
        <v>53</v>
      </c>
      <c r="DU6" s="46" t="s">
        <v>55</v>
      </c>
      <c r="DV6" s="46" t="s">
        <v>53</v>
      </c>
      <c r="DW6" s="46" t="s">
        <v>53</v>
      </c>
      <c r="DX6" s="46" t="s">
        <v>53</v>
      </c>
      <c r="DY6" s="46" t="s">
        <v>53</v>
      </c>
      <c r="DZ6" s="46" t="s">
        <v>38</v>
      </c>
      <c r="EA6" s="46" t="s">
        <v>55</v>
      </c>
      <c r="EB6" s="46" t="s">
        <v>53</v>
      </c>
      <c r="EC6" s="46" t="s">
        <v>53</v>
      </c>
      <c r="ED6" s="46" t="s">
        <v>45</v>
      </c>
      <c r="EE6" s="46" t="s">
        <v>56</v>
      </c>
      <c r="EF6" s="47">
        <v>0.0</v>
      </c>
      <c r="EG6" s="47">
        <v>0.0</v>
      </c>
      <c r="EH6" s="47">
        <v>0.0</v>
      </c>
      <c r="EI6" s="47">
        <v>0.0</v>
      </c>
      <c r="EJ6" s="47">
        <v>0.0</v>
      </c>
      <c r="EK6" s="47">
        <v>0.0</v>
      </c>
      <c r="EL6" s="46" t="s">
        <v>37</v>
      </c>
      <c r="EM6" s="47">
        <v>0.0</v>
      </c>
      <c r="EN6" s="47">
        <v>0.0</v>
      </c>
      <c r="EO6" s="47">
        <v>0.0</v>
      </c>
      <c r="EP6" s="47"/>
      <c r="EQ6" s="47">
        <v>0.0</v>
      </c>
      <c r="ER6" s="47">
        <v>0.0</v>
      </c>
      <c r="ES6" s="35"/>
      <c r="ET6" s="35"/>
      <c r="EU6" s="47">
        <v>0.0</v>
      </c>
      <c r="EV6" s="46" t="s">
        <v>37</v>
      </c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  <c r="FM6" s="35"/>
      <c r="FN6" s="35"/>
      <c r="FO6" s="35"/>
      <c r="FP6" s="35"/>
      <c r="FQ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57</v>
      </c>
      <c r="D3" s="5" t="s">
        <v>9</v>
      </c>
      <c r="E3" s="22" t="s">
        <v>57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 t="s">
        <v>31</v>
      </c>
      <c r="C6" s="50">
        <v>500.0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50">
        <v>1000000.0</v>
      </c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 t="str">
        <f>IFERROR(__xludf.DUMMYFUNCTION("""COMPUTED_VALUE"""),"SharesOutstandingPopUpQty")</f>
        <v>SharesOutstandingPopUpQty</v>
      </c>
      <c r="AT5" s="29" t="str">
        <f>IFERROR(__xludf.DUMMYFUNCTION("""COMPUTED_VALUE"""),"SharesOutstandingPopUp")</f>
        <v>SharesOutstandingPopUp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 t="s">
        <v>31</v>
      </c>
      <c r="C6" s="32" t="s">
        <v>32</v>
      </c>
      <c r="D6" s="37">
        <v>19000.0</v>
      </c>
      <c r="E6" s="34">
        <v>19000.0</v>
      </c>
      <c r="F6" s="51" t="s">
        <v>19</v>
      </c>
      <c r="G6" s="32"/>
      <c r="H6" s="32"/>
      <c r="I6" s="32"/>
      <c r="J6" s="34">
        <v>10.0</v>
      </c>
      <c r="K6" s="32"/>
      <c r="L6" s="32"/>
      <c r="M6" s="32"/>
      <c r="N6" s="32"/>
      <c r="O6" s="32"/>
      <c r="P6" s="32"/>
      <c r="Q6" s="32"/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52">
        <v>0.0</v>
      </c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ITM/OTM")</f>
        <v>% of ITM/OTM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IFERROR(__xludf.DUMMYFUNCTION("""COMPUTED_VALUE"""),"isRowCountCheck")</f>
        <v>isRowCountCheck</v>
      </c>
      <c r="FI5" s="29"/>
      <c r="FJ5" s="29"/>
      <c r="FK5" s="29"/>
      <c r="FL5" s="29"/>
      <c r="FM5" s="29"/>
      <c r="FN5" s="29"/>
      <c r="FO5" s="29"/>
      <c r="FP5" s="29"/>
      <c r="FQ5" s="29"/>
      <c r="FR5" s="29"/>
    </row>
    <row r="6" ht="15.75" customHeight="1">
      <c r="A6" s="11"/>
      <c r="B6" s="53"/>
      <c r="C6" s="54" t="s">
        <v>31</v>
      </c>
      <c r="D6" s="55">
        <v>1000.0</v>
      </c>
      <c r="E6" s="54" t="s">
        <v>33</v>
      </c>
      <c r="F6" s="54" t="s">
        <v>36</v>
      </c>
      <c r="G6" s="56">
        <v>10.0</v>
      </c>
      <c r="H6" s="54" t="s">
        <v>37</v>
      </c>
      <c r="I6" s="57">
        <v>500000.0</v>
      </c>
      <c r="J6" s="56"/>
      <c r="K6" s="57">
        <v>500000.0</v>
      </c>
      <c r="L6" s="57"/>
      <c r="M6" s="57"/>
      <c r="N6" s="57">
        <v>490000.0</v>
      </c>
      <c r="O6" s="54" t="s">
        <v>38</v>
      </c>
      <c r="P6" s="54" t="s">
        <v>39</v>
      </c>
      <c r="Q6" s="57">
        <v>490000.0</v>
      </c>
      <c r="R6" s="54" t="s">
        <v>40</v>
      </c>
      <c r="S6" s="54" t="s">
        <v>41</v>
      </c>
      <c r="T6" s="54" t="s">
        <v>42</v>
      </c>
      <c r="U6" s="54" t="s">
        <v>43</v>
      </c>
      <c r="V6" s="54" t="s">
        <v>44</v>
      </c>
      <c r="W6" s="54" t="s">
        <v>45</v>
      </c>
      <c r="X6" s="56"/>
      <c r="Y6" s="56">
        <v>1.0</v>
      </c>
      <c r="Z6" s="58"/>
      <c r="AA6" s="58"/>
      <c r="AB6" s="56">
        <v>0.0</v>
      </c>
      <c r="AC6" s="56">
        <v>0.0</v>
      </c>
      <c r="AD6" s="57">
        <v>500000.0</v>
      </c>
      <c r="AE6" s="57">
        <v>500000.0</v>
      </c>
      <c r="AF6" s="57">
        <v>1000.0</v>
      </c>
      <c r="AG6" s="57">
        <v>500000.0</v>
      </c>
      <c r="AH6" s="57">
        <v>500000.0</v>
      </c>
      <c r="AI6" s="57">
        <v>500000.0</v>
      </c>
      <c r="AJ6" s="54">
        <v>510.2</v>
      </c>
      <c r="AK6" s="57">
        <v>490000.0</v>
      </c>
      <c r="AL6" s="56">
        <v>1.0</v>
      </c>
      <c r="AM6" s="56">
        <v>1.0</v>
      </c>
      <c r="AN6" s="54" t="s">
        <v>32</v>
      </c>
      <c r="AO6" s="58"/>
      <c r="AP6" s="54" t="s">
        <v>37</v>
      </c>
      <c r="AQ6" s="54" t="s">
        <v>31</v>
      </c>
      <c r="AR6" s="56">
        <v>500.0</v>
      </c>
      <c r="AS6" s="56"/>
      <c r="AT6" s="54"/>
      <c r="AU6" s="54"/>
      <c r="AV6" s="56">
        <v>1.0</v>
      </c>
      <c r="AW6" s="57">
        <v>490000.0</v>
      </c>
      <c r="AX6" s="56">
        <v>0.0</v>
      </c>
      <c r="AY6" s="56">
        <v>0.0</v>
      </c>
      <c r="AZ6" s="57">
        <v>500000.0</v>
      </c>
      <c r="BA6" s="57">
        <v>4900.0</v>
      </c>
      <c r="BB6" s="59"/>
      <c r="BC6" s="56">
        <v>1.0</v>
      </c>
      <c r="BD6" s="57">
        <v>-10000.0</v>
      </c>
      <c r="BE6" s="54" t="s">
        <v>42</v>
      </c>
      <c r="BF6" s="54" t="s">
        <v>46</v>
      </c>
      <c r="BG6" s="54" t="s">
        <v>47</v>
      </c>
      <c r="BH6" s="54" t="s">
        <v>39</v>
      </c>
      <c r="BI6" s="56">
        <v>5.0</v>
      </c>
      <c r="BJ6" s="57">
        <v>5.0E8</v>
      </c>
      <c r="BK6" s="57"/>
      <c r="BL6" s="56">
        <v>0.0</v>
      </c>
      <c r="BM6" s="56">
        <v>0.0</v>
      </c>
      <c r="BN6" s="59"/>
      <c r="BO6" s="57">
        <v>-10000.0</v>
      </c>
      <c r="BP6" s="56">
        <v>0.0</v>
      </c>
      <c r="BQ6" s="54" t="s">
        <v>48</v>
      </c>
      <c r="BR6" s="54" t="s">
        <v>49</v>
      </c>
      <c r="BS6" s="56">
        <v>0.0</v>
      </c>
      <c r="BT6" s="56">
        <v>0.0</v>
      </c>
      <c r="BU6" s="54" t="s">
        <v>42</v>
      </c>
      <c r="BV6" s="56"/>
      <c r="BW6" s="56">
        <v>0.0</v>
      </c>
      <c r="BX6" s="57">
        <v>500000.0</v>
      </c>
      <c r="BY6" s="57">
        <v>500000.0</v>
      </c>
      <c r="BZ6" s="56">
        <v>500.0</v>
      </c>
      <c r="CA6" s="56">
        <v>500.0</v>
      </c>
      <c r="CB6" s="53"/>
      <c r="CC6" s="56">
        <v>0.0</v>
      </c>
      <c r="CD6" s="57">
        <v>490000.0</v>
      </c>
      <c r="CE6" s="56">
        <v>0.0</v>
      </c>
      <c r="CF6" s="56">
        <v>0.0</v>
      </c>
      <c r="CG6" s="57">
        <v>490000.0</v>
      </c>
      <c r="CH6" s="57">
        <v>4900.0</v>
      </c>
      <c r="CI6" s="56">
        <v>0.0</v>
      </c>
      <c r="CJ6" s="56">
        <v>0.0</v>
      </c>
      <c r="CK6" s="54" t="b">
        <v>0</v>
      </c>
      <c r="CL6" s="58"/>
      <c r="CM6" s="58"/>
      <c r="CN6" s="54" t="s">
        <v>31</v>
      </c>
      <c r="CO6" s="54" t="s">
        <v>31</v>
      </c>
      <c r="CP6" s="54" t="s">
        <v>50</v>
      </c>
      <c r="CQ6" s="58"/>
      <c r="CR6" s="53"/>
      <c r="CS6" s="56">
        <v>10.0</v>
      </c>
      <c r="CT6" s="58"/>
      <c r="CU6" s="58"/>
      <c r="CV6" s="58"/>
      <c r="CW6" s="58"/>
      <c r="CX6" s="58"/>
      <c r="CY6" s="54" t="s">
        <v>58</v>
      </c>
      <c r="CZ6" s="54" t="s">
        <v>52</v>
      </c>
      <c r="DA6" s="57">
        <v>500000.0</v>
      </c>
      <c r="DB6" s="56">
        <v>98.0</v>
      </c>
      <c r="DC6" s="59"/>
      <c r="DD6" s="57">
        <v>1000.0</v>
      </c>
      <c r="DE6" s="56">
        <v>0.0</v>
      </c>
      <c r="DF6" s="56">
        <v>0.0</v>
      </c>
      <c r="DG6" s="56">
        <v>0.0</v>
      </c>
      <c r="DH6" s="54" t="s">
        <v>39</v>
      </c>
      <c r="DI6" s="56">
        <v>0.0</v>
      </c>
      <c r="DJ6" s="54" t="s">
        <v>32</v>
      </c>
      <c r="DK6" s="56">
        <v>0.0</v>
      </c>
      <c r="DL6" s="56">
        <v>0.0</v>
      </c>
      <c r="DM6" s="56">
        <v>1.0</v>
      </c>
      <c r="DN6" s="56">
        <v>500.0</v>
      </c>
      <c r="DO6" s="58"/>
      <c r="DP6" s="54" t="s">
        <v>37</v>
      </c>
      <c r="DQ6" s="54" t="s">
        <v>53</v>
      </c>
      <c r="DR6" s="54" t="s">
        <v>54</v>
      </c>
      <c r="DS6" s="54" t="s">
        <v>53</v>
      </c>
      <c r="DT6" s="54" t="s">
        <v>53</v>
      </c>
      <c r="DU6" s="54" t="s">
        <v>55</v>
      </c>
      <c r="DV6" s="54" t="s">
        <v>53</v>
      </c>
      <c r="DW6" s="54" t="s">
        <v>53</v>
      </c>
      <c r="DX6" s="54" t="s">
        <v>53</v>
      </c>
      <c r="DY6" s="54" t="s">
        <v>53</v>
      </c>
      <c r="DZ6" s="54" t="s">
        <v>38</v>
      </c>
      <c r="EA6" s="54" t="s">
        <v>55</v>
      </c>
      <c r="EB6" s="54" t="s">
        <v>53</v>
      </c>
      <c r="EC6" s="54" t="s">
        <v>53</v>
      </c>
      <c r="ED6" s="54" t="s">
        <v>45</v>
      </c>
      <c r="EE6" s="54" t="s">
        <v>56</v>
      </c>
      <c r="EF6" s="56">
        <v>0.0</v>
      </c>
      <c r="EG6" s="54">
        <v>5.1</v>
      </c>
      <c r="EH6" s="54">
        <v>5.1</v>
      </c>
      <c r="EI6" s="54">
        <v>5.1</v>
      </c>
      <c r="EJ6" s="54">
        <v>102.04</v>
      </c>
      <c r="EK6" s="54">
        <v>102.04</v>
      </c>
      <c r="EL6" s="54" t="s">
        <v>37</v>
      </c>
      <c r="EM6" s="57">
        <v>1.0E7</v>
      </c>
      <c r="EN6" s="57">
        <v>1.0E7</v>
      </c>
      <c r="EO6" s="56">
        <v>0.0</v>
      </c>
      <c r="EP6" s="56">
        <v>0.0</v>
      </c>
      <c r="EQ6" s="56">
        <v>5.1</v>
      </c>
      <c r="ER6" s="57">
        <v>1.0E7</v>
      </c>
      <c r="ES6" s="57">
        <v>9800000.0</v>
      </c>
      <c r="ET6" s="56"/>
      <c r="EU6" s="56">
        <v>5.1</v>
      </c>
      <c r="EV6" s="54" t="s">
        <v>37</v>
      </c>
      <c r="EW6" s="57">
        <v>490000.0</v>
      </c>
      <c r="EX6" s="54" t="b">
        <v>0</v>
      </c>
      <c r="EY6" s="54"/>
      <c r="EZ6" s="56"/>
      <c r="FA6" s="56"/>
      <c r="FB6" s="56"/>
      <c r="FC6" s="56"/>
    </row>
    <row r="7" ht="15.75" customHeight="1">
      <c r="A7" s="8"/>
      <c r="B7" s="53"/>
      <c r="C7" s="54" t="s">
        <v>31</v>
      </c>
      <c r="D7" s="55">
        <v>4750.0</v>
      </c>
      <c r="E7" s="54" t="s">
        <v>21</v>
      </c>
      <c r="F7" s="54" t="s">
        <v>59</v>
      </c>
      <c r="G7" s="56">
        <v>10.0</v>
      </c>
      <c r="H7" s="54" t="s">
        <v>37</v>
      </c>
      <c r="I7" s="57">
        <v>2375000.0</v>
      </c>
      <c r="J7" s="56"/>
      <c r="K7" s="57">
        <v>2375000.0</v>
      </c>
      <c r="L7" s="57"/>
      <c r="M7" s="57"/>
      <c r="N7" s="57">
        <v>2327500.0</v>
      </c>
      <c r="O7" s="54" t="s">
        <v>38</v>
      </c>
      <c r="P7" s="54" t="s">
        <v>39</v>
      </c>
      <c r="Q7" s="57">
        <v>2327500.0</v>
      </c>
      <c r="R7" s="54" t="s">
        <v>49</v>
      </c>
      <c r="S7" s="54" t="s">
        <v>24</v>
      </c>
      <c r="T7" s="54" t="s">
        <v>42</v>
      </c>
      <c r="U7" s="54" t="s">
        <v>43</v>
      </c>
      <c r="V7" s="54" t="s">
        <v>44</v>
      </c>
      <c r="W7" s="54" t="s">
        <v>45</v>
      </c>
      <c r="X7" s="56"/>
      <c r="Y7" s="56">
        <v>1.0</v>
      </c>
      <c r="Z7" s="58"/>
      <c r="AA7" s="58"/>
      <c r="AB7" s="56">
        <v>0.0</v>
      </c>
      <c r="AC7" s="56">
        <v>0.0</v>
      </c>
      <c r="AD7" s="57">
        <v>2375000.0</v>
      </c>
      <c r="AE7" s="57">
        <v>2375000.0</v>
      </c>
      <c r="AF7" s="55">
        <v>4750.0</v>
      </c>
      <c r="AG7" s="57">
        <v>2375000.0</v>
      </c>
      <c r="AH7" s="57">
        <v>2375000.0</v>
      </c>
      <c r="AI7" s="57">
        <v>2375000.0</v>
      </c>
      <c r="AJ7" s="55">
        <v>2423.47</v>
      </c>
      <c r="AK7" s="57">
        <v>2327500.0</v>
      </c>
      <c r="AL7" s="56">
        <v>1.0</v>
      </c>
      <c r="AM7" s="56">
        <v>1.0</v>
      </c>
      <c r="AN7" s="54" t="s">
        <v>32</v>
      </c>
      <c r="AO7" s="58"/>
      <c r="AP7" s="54" t="s">
        <v>37</v>
      </c>
      <c r="AQ7" s="54" t="s">
        <v>31</v>
      </c>
      <c r="AR7" s="56">
        <v>500.0</v>
      </c>
      <c r="AS7" s="56"/>
      <c r="AT7" s="54"/>
      <c r="AU7" s="54"/>
      <c r="AV7" s="56">
        <v>1.0</v>
      </c>
      <c r="AW7" s="57">
        <v>2327500.0</v>
      </c>
      <c r="AX7" s="56">
        <v>0.0</v>
      </c>
      <c r="AY7" s="56">
        <v>0.0</v>
      </c>
      <c r="AZ7" s="57">
        <v>2375000.0</v>
      </c>
      <c r="BA7" s="57">
        <v>4900.0</v>
      </c>
      <c r="BB7" s="59"/>
      <c r="BC7" s="56">
        <v>1.0</v>
      </c>
      <c r="BD7" s="57">
        <v>-47500.0</v>
      </c>
      <c r="BE7" s="54" t="s">
        <v>42</v>
      </c>
      <c r="BF7" s="54" t="s">
        <v>46</v>
      </c>
      <c r="BG7" s="54" t="s">
        <v>47</v>
      </c>
      <c r="BH7" s="54" t="s">
        <v>39</v>
      </c>
      <c r="BI7" s="56">
        <v>5.0</v>
      </c>
      <c r="BJ7" s="57">
        <v>5.0E8</v>
      </c>
      <c r="BK7" s="57"/>
      <c r="BL7" s="56">
        <v>0.0</v>
      </c>
      <c r="BM7" s="56">
        <v>0.0</v>
      </c>
      <c r="BN7" s="59"/>
      <c r="BO7" s="57">
        <v>-47500.0</v>
      </c>
      <c r="BP7" s="56">
        <v>0.0</v>
      </c>
      <c r="BQ7" s="54" t="s">
        <v>48</v>
      </c>
      <c r="BR7" s="54" t="s">
        <v>49</v>
      </c>
      <c r="BS7" s="56">
        <v>0.0</v>
      </c>
      <c r="BT7" s="56">
        <v>0.0</v>
      </c>
      <c r="BU7" s="54" t="s">
        <v>42</v>
      </c>
      <c r="BV7" s="56"/>
      <c r="BW7" s="56">
        <v>0.0</v>
      </c>
      <c r="BX7" s="57">
        <v>2375000.0</v>
      </c>
      <c r="BY7" s="57">
        <v>2375000.0</v>
      </c>
      <c r="BZ7" s="56">
        <v>500.0</v>
      </c>
      <c r="CA7" s="56">
        <v>500.0</v>
      </c>
      <c r="CB7" s="53"/>
      <c r="CC7" s="56">
        <v>0.0</v>
      </c>
      <c r="CD7" s="57">
        <v>2327500.0</v>
      </c>
      <c r="CE7" s="56">
        <v>0.0</v>
      </c>
      <c r="CF7" s="56">
        <v>0.0</v>
      </c>
      <c r="CG7" s="57">
        <v>2327500.0</v>
      </c>
      <c r="CH7" s="57">
        <v>4900.0</v>
      </c>
      <c r="CI7" s="56">
        <v>0.0</v>
      </c>
      <c r="CJ7" s="56">
        <v>0.0</v>
      </c>
      <c r="CK7" s="54" t="b">
        <v>0</v>
      </c>
      <c r="CL7" s="58"/>
      <c r="CM7" s="58"/>
      <c r="CN7" s="54" t="s">
        <v>31</v>
      </c>
      <c r="CO7" s="54" t="s">
        <v>31</v>
      </c>
      <c r="CP7" s="54" t="s">
        <v>50</v>
      </c>
      <c r="CQ7" s="58"/>
      <c r="CR7" s="53"/>
      <c r="CS7" s="56">
        <v>10.0</v>
      </c>
      <c r="CT7" s="58"/>
      <c r="CU7" s="58"/>
      <c r="CV7" s="58"/>
      <c r="CW7" s="58"/>
      <c r="CX7" s="58"/>
      <c r="CY7" s="54" t="s">
        <v>58</v>
      </c>
      <c r="CZ7" s="54" t="s">
        <v>52</v>
      </c>
      <c r="DA7" s="57">
        <v>2375000.0</v>
      </c>
      <c r="DB7" s="56">
        <v>98.0</v>
      </c>
      <c r="DC7" s="59"/>
      <c r="DD7" s="57">
        <v>4750.0</v>
      </c>
      <c r="DE7" s="56">
        <v>0.0</v>
      </c>
      <c r="DF7" s="56">
        <v>0.0</v>
      </c>
      <c r="DG7" s="56">
        <v>0.0</v>
      </c>
      <c r="DH7" s="54" t="s">
        <v>39</v>
      </c>
      <c r="DI7" s="56">
        <v>0.0</v>
      </c>
      <c r="DJ7" s="54" t="s">
        <v>32</v>
      </c>
      <c r="DK7" s="56">
        <v>0.0</v>
      </c>
      <c r="DL7" s="56">
        <v>0.0</v>
      </c>
      <c r="DM7" s="56">
        <v>1.0</v>
      </c>
      <c r="DN7" s="56">
        <v>500.0</v>
      </c>
      <c r="DO7" s="58"/>
      <c r="DP7" s="54" t="s">
        <v>37</v>
      </c>
      <c r="DQ7" s="54" t="s">
        <v>53</v>
      </c>
      <c r="DR7" s="54" t="s">
        <v>54</v>
      </c>
      <c r="DS7" s="54" t="s">
        <v>53</v>
      </c>
      <c r="DT7" s="54" t="s">
        <v>53</v>
      </c>
      <c r="DU7" s="54" t="s">
        <v>55</v>
      </c>
      <c r="DV7" s="54" t="s">
        <v>53</v>
      </c>
      <c r="DW7" s="54" t="s">
        <v>53</v>
      </c>
      <c r="DX7" s="54" t="s">
        <v>53</v>
      </c>
      <c r="DY7" s="54" t="s">
        <v>53</v>
      </c>
      <c r="DZ7" s="54" t="s">
        <v>38</v>
      </c>
      <c r="EA7" s="54" t="s">
        <v>55</v>
      </c>
      <c r="EB7" s="54" t="s">
        <v>53</v>
      </c>
      <c r="EC7" s="54" t="s">
        <v>53</v>
      </c>
      <c r="ED7" s="54" t="s">
        <v>45</v>
      </c>
      <c r="EE7" s="54" t="s">
        <v>56</v>
      </c>
      <c r="EF7" s="56">
        <v>0.0</v>
      </c>
      <c r="EG7" s="54">
        <v>24.23</v>
      </c>
      <c r="EH7" s="54">
        <v>24.23</v>
      </c>
      <c r="EI7" s="54">
        <v>24.23</v>
      </c>
      <c r="EJ7" s="54">
        <v>102.04</v>
      </c>
      <c r="EK7" s="54">
        <v>102.04</v>
      </c>
      <c r="EL7" s="54" t="s">
        <v>37</v>
      </c>
      <c r="EM7" s="57">
        <v>1.0E7</v>
      </c>
      <c r="EN7" s="57">
        <v>1.0E7</v>
      </c>
      <c r="EO7" s="56">
        <v>0.0</v>
      </c>
      <c r="EP7" s="56">
        <v>0.0</v>
      </c>
      <c r="EQ7" s="56">
        <v>24.23</v>
      </c>
      <c r="ER7" s="57">
        <v>1.0E7</v>
      </c>
      <c r="ES7" s="57">
        <v>9800000.0</v>
      </c>
      <c r="ET7" s="56"/>
      <c r="EU7" s="56">
        <v>24.23</v>
      </c>
      <c r="EV7" s="54" t="s">
        <v>37</v>
      </c>
      <c r="EW7" s="57">
        <v>4655000.0</v>
      </c>
      <c r="EX7" s="54" t="b">
        <v>0</v>
      </c>
      <c r="EY7" s="54"/>
      <c r="EZ7" s="56"/>
      <c r="FA7" s="56"/>
      <c r="FB7" s="56"/>
      <c r="FC7" s="56"/>
    </row>
    <row r="8" ht="15.75" customHeight="1">
      <c r="A8" s="8"/>
      <c r="B8" s="53"/>
      <c r="C8" s="54" t="s">
        <v>31</v>
      </c>
      <c r="D8" s="55">
        <v>4750.0</v>
      </c>
      <c r="E8" s="54" t="s">
        <v>21</v>
      </c>
      <c r="F8" s="54" t="s">
        <v>59</v>
      </c>
      <c r="G8" s="56">
        <v>10.0</v>
      </c>
      <c r="H8" s="54" t="s">
        <v>37</v>
      </c>
      <c r="I8" s="57">
        <v>2375000.0</v>
      </c>
      <c r="J8" s="56"/>
      <c r="K8" s="57">
        <v>2375000.0</v>
      </c>
      <c r="L8" s="57"/>
      <c r="M8" s="57"/>
      <c r="N8" s="57">
        <v>2327500.0</v>
      </c>
      <c r="O8" s="54" t="s">
        <v>38</v>
      </c>
      <c r="P8" s="54" t="s">
        <v>39</v>
      </c>
      <c r="Q8" s="57">
        <v>2327500.0</v>
      </c>
      <c r="R8" s="54" t="s">
        <v>49</v>
      </c>
      <c r="S8" s="54" t="s">
        <v>25</v>
      </c>
      <c r="T8" s="54" t="s">
        <v>42</v>
      </c>
      <c r="U8" s="54" t="s">
        <v>43</v>
      </c>
      <c r="V8" s="54" t="s">
        <v>44</v>
      </c>
      <c r="W8" s="54" t="s">
        <v>45</v>
      </c>
      <c r="X8" s="56"/>
      <c r="Y8" s="56">
        <v>1.0</v>
      </c>
      <c r="Z8" s="58"/>
      <c r="AA8" s="58"/>
      <c r="AB8" s="56">
        <v>0.0</v>
      </c>
      <c r="AC8" s="56">
        <v>0.0</v>
      </c>
      <c r="AD8" s="57">
        <v>2375000.0</v>
      </c>
      <c r="AE8" s="57">
        <v>2375000.0</v>
      </c>
      <c r="AF8" s="55">
        <v>4750.0</v>
      </c>
      <c r="AG8" s="57">
        <v>2375000.0</v>
      </c>
      <c r="AH8" s="57">
        <v>2375000.0</v>
      </c>
      <c r="AI8" s="57">
        <v>2375000.0</v>
      </c>
      <c r="AJ8" s="55">
        <v>2423.47</v>
      </c>
      <c r="AK8" s="57">
        <v>2327500.0</v>
      </c>
      <c r="AL8" s="56">
        <v>1.0</v>
      </c>
      <c r="AM8" s="56">
        <v>1.0</v>
      </c>
      <c r="AN8" s="54" t="s">
        <v>32</v>
      </c>
      <c r="AO8" s="58"/>
      <c r="AP8" s="54" t="s">
        <v>37</v>
      </c>
      <c r="AQ8" s="54" t="s">
        <v>31</v>
      </c>
      <c r="AR8" s="56">
        <v>500.0</v>
      </c>
      <c r="AS8" s="56"/>
      <c r="AT8" s="54"/>
      <c r="AU8" s="54"/>
      <c r="AV8" s="56">
        <v>1.0</v>
      </c>
      <c r="AW8" s="57">
        <v>2327500.0</v>
      </c>
      <c r="AX8" s="56">
        <v>0.0</v>
      </c>
      <c r="AY8" s="56">
        <v>0.0</v>
      </c>
      <c r="AZ8" s="57">
        <v>2375000.0</v>
      </c>
      <c r="BA8" s="57">
        <v>4900.0</v>
      </c>
      <c r="BB8" s="59"/>
      <c r="BC8" s="56">
        <v>1.0</v>
      </c>
      <c r="BD8" s="57">
        <v>-47500.0</v>
      </c>
      <c r="BE8" s="54" t="s">
        <v>42</v>
      </c>
      <c r="BF8" s="54" t="s">
        <v>46</v>
      </c>
      <c r="BG8" s="54" t="s">
        <v>47</v>
      </c>
      <c r="BH8" s="54" t="s">
        <v>39</v>
      </c>
      <c r="BI8" s="56">
        <v>5.0</v>
      </c>
      <c r="BJ8" s="57">
        <v>5.0E8</v>
      </c>
      <c r="BK8" s="57"/>
      <c r="BL8" s="56">
        <v>0.0</v>
      </c>
      <c r="BM8" s="56">
        <v>0.0</v>
      </c>
      <c r="BN8" s="59"/>
      <c r="BO8" s="57">
        <v>-47500.0</v>
      </c>
      <c r="BP8" s="56">
        <v>0.0</v>
      </c>
      <c r="BQ8" s="54" t="s">
        <v>48</v>
      </c>
      <c r="BR8" s="54" t="s">
        <v>49</v>
      </c>
      <c r="BS8" s="56">
        <v>0.0</v>
      </c>
      <c r="BT8" s="56">
        <v>0.0</v>
      </c>
      <c r="BU8" s="54" t="s">
        <v>42</v>
      </c>
      <c r="BV8" s="56"/>
      <c r="BW8" s="56">
        <v>0.0</v>
      </c>
      <c r="BX8" s="57">
        <v>2375000.0</v>
      </c>
      <c r="BY8" s="57">
        <v>2375000.0</v>
      </c>
      <c r="BZ8" s="56">
        <v>500.0</v>
      </c>
      <c r="CA8" s="56">
        <v>500.0</v>
      </c>
      <c r="CB8" s="53"/>
      <c r="CC8" s="56">
        <v>0.0</v>
      </c>
      <c r="CD8" s="57">
        <v>2327500.0</v>
      </c>
      <c r="CE8" s="56">
        <v>0.0</v>
      </c>
      <c r="CF8" s="56">
        <v>0.0</v>
      </c>
      <c r="CG8" s="57">
        <v>2327500.0</v>
      </c>
      <c r="CH8" s="57">
        <v>4900.0</v>
      </c>
      <c r="CI8" s="56">
        <v>0.0</v>
      </c>
      <c r="CJ8" s="56">
        <v>0.0</v>
      </c>
      <c r="CK8" s="54" t="b">
        <v>0</v>
      </c>
      <c r="CL8" s="58"/>
      <c r="CM8" s="58"/>
      <c r="CN8" s="54" t="s">
        <v>31</v>
      </c>
      <c r="CO8" s="54" t="s">
        <v>31</v>
      </c>
      <c r="CP8" s="54" t="s">
        <v>50</v>
      </c>
      <c r="CQ8" s="58"/>
      <c r="CR8" s="53"/>
      <c r="CS8" s="56">
        <v>10.0</v>
      </c>
      <c r="CT8" s="58"/>
      <c r="CU8" s="58"/>
      <c r="CV8" s="58"/>
      <c r="CW8" s="58"/>
      <c r="CX8" s="58"/>
      <c r="CY8" s="54" t="s">
        <v>58</v>
      </c>
      <c r="CZ8" s="54" t="s">
        <v>52</v>
      </c>
      <c r="DA8" s="57">
        <v>2375000.0</v>
      </c>
      <c r="DB8" s="56">
        <v>98.0</v>
      </c>
      <c r="DC8" s="59"/>
      <c r="DD8" s="57">
        <v>4750.0</v>
      </c>
      <c r="DE8" s="56">
        <v>0.0</v>
      </c>
      <c r="DF8" s="56">
        <v>0.0</v>
      </c>
      <c r="DG8" s="56">
        <v>0.0</v>
      </c>
      <c r="DH8" s="54" t="s">
        <v>39</v>
      </c>
      <c r="DI8" s="56">
        <v>0.0</v>
      </c>
      <c r="DJ8" s="54" t="s">
        <v>32</v>
      </c>
      <c r="DK8" s="56">
        <v>0.0</v>
      </c>
      <c r="DL8" s="56">
        <v>0.0</v>
      </c>
      <c r="DM8" s="56">
        <v>1.0</v>
      </c>
      <c r="DN8" s="56">
        <v>500.0</v>
      </c>
      <c r="DO8" s="58"/>
      <c r="DP8" s="54" t="s">
        <v>37</v>
      </c>
      <c r="DQ8" s="54" t="s">
        <v>53</v>
      </c>
      <c r="DR8" s="54" t="s">
        <v>54</v>
      </c>
      <c r="DS8" s="54" t="s">
        <v>53</v>
      </c>
      <c r="DT8" s="54" t="s">
        <v>53</v>
      </c>
      <c r="DU8" s="54" t="s">
        <v>55</v>
      </c>
      <c r="DV8" s="54" t="s">
        <v>53</v>
      </c>
      <c r="DW8" s="54" t="s">
        <v>53</v>
      </c>
      <c r="DX8" s="54" t="s">
        <v>53</v>
      </c>
      <c r="DY8" s="54" t="s">
        <v>53</v>
      </c>
      <c r="DZ8" s="54" t="s">
        <v>38</v>
      </c>
      <c r="EA8" s="54" t="s">
        <v>55</v>
      </c>
      <c r="EB8" s="54" t="s">
        <v>53</v>
      </c>
      <c r="EC8" s="54" t="s">
        <v>53</v>
      </c>
      <c r="ED8" s="54" t="s">
        <v>45</v>
      </c>
      <c r="EE8" s="54" t="s">
        <v>56</v>
      </c>
      <c r="EF8" s="56">
        <v>0.0</v>
      </c>
      <c r="EG8" s="54">
        <v>24.23</v>
      </c>
      <c r="EH8" s="54">
        <v>24.23</v>
      </c>
      <c r="EI8" s="54">
        <v>24.23</v>
      </c>
      <c r="EJ8" s="54">
        <v>102.04</v>
      </c>
      <c r="EK8" s="54">
        <v>102.04</v>
      </c>
      <c r="EL8" s="54" t="s">
        <v>37</v>
      </c>
      <c r="EM8" s="57">
        <v>1.0E7</v>
      </c>
      <c r="EN8" s="57">
        <v>1.0E7</v>
      </c>
      <c r="EO8" s="56">
        <v>0.0</v>
      </c>
      <c r="EP8" s="56">
        <v>0.0</v>
      </c>
      <c r="EQ8" s="56">
        <v>24.23</v>
      </c>
      <c r="ER8" s="57">
        <v>1.0E7</v>
      </c>
      <c r="ES8" s="57">
        <v>9800000.0</v>
      </c>
      <c r="ET8" s="56"/>
      <c r="EU8" s="56">
        <v>24.23</v>
      </c>
      <c r="EV8" s="54" t="s">
        <v>37</v>
      </c>
      <c r="EW8" s="57">
        <v>4655000.0</v>
      </c>
      <c r="EX8" s="54" t="b">
        <v>0</v>
      </c>
      <c r="EY8" s="54"/>
      <c r="EZ8" s="56"/>
      <c r="FA8" s="56"/>
      <c r="FB8" s="56"/>
      <c r="FC8" s="56"/>
    </row>
    <row r="9" ht="15.75" customHeight="1">
      <c r="A9" s="8"/>
      <c r="B9" s="53"/>
      <c r="C9" s="54" t="s">
        <v>31</v>
      </c>
      <c r="D9" s="55">
        <v>7125.0</v>
      </c>
      <c r="E9" s="54" t="s">
        <v>22</v>
      </c>
      <c r="F9" s="54" t="s">
        <v>36</v>
      </c>
      <c r="G9" s="56">
        <v>10.0</v>
      </c>
      <c r="H9" s="54" t="s">
        <v>37</v>
      </c>
      <c r="I9" s="57">
        <v>3562500.0</v>
      </c>
      <c r="J9" s="56"/>
      <c r="K9" s="57">
        <v>3562500.0</v>
      </c>
      <c r="L9" s="57"/>
      <c r="M9" s="57"/>
      <c r="N9" s="57">
        <v>3491250.0</v>
      </c>
      <c r="O9" s="54" t="s">
        <v>38</v>
      </c>
      <c r="P9" s="54" t="s">
        <v>39</v>
      </c>
      <c r="Q9" s="57">
        <v>3491250.0</v>
      </c>
      <c r="R9" s="54" t="s">
        <v>49</v>
      </c>
      <c r="S9" s="54" t="s">
        <v>24</v>
      </c>
      <c r="T9" s="54" t="s">
        <v>42</v>
      </c>
      <c r="U9" s="54" t="s">
        <v>43</v>
      </c>
      <c r="V9" s="54" t="s">
        <v>44</v>
      </c>
      <c r="W9" s="54" t="s">
        <v>45</v>
      </c>
      <c r="X9" s="56"/>
      <c r="Y9" s="56">
        <v>1.0</v>
      </c>
      <c r="Z9" s="58"/>
      <c r="AA9" s="58"/>
      <c r="AB9" s="56">
        <v>0.0</v>
      </c>
      <c r="AC9" s="56">
        <v>0.0</v>
      </c>
      <c r="AD9" s="57">
        <v>3562500.0</v>
      </c>
      <c r="AE9" s="57">
        <v>3562500.0</v>
      </c>
      <c r="AF9" s="55">
        <v>7125.0</v>
      </c>
      <c r="AG9" s="57">
        <v>3562500.0</v>
      </c>
      <c r="AH9" s="57">
        <v>3562500.0</v>
      </c>
      <c r="AI9" s="57">
        <v>3562500.0</v>
      </c>
      <c r="AJ9" s="55">
        <v>3635.2</v>
      </c>
      <c r="AK9" s="57">
        <v>3491250.0</v>
      </c>
      <c r="AL9" s="56">
        <v>1.0</v>
      </c>
      <c r="AM9" s="56">
        <v>1.0</v>
      </c>
      <c r="AN9" s="54" t="s">
        <v>32</v>
      </c>
      <c r="AO9" s="58"/>
      <c r="AP9" s="54" t="s">
        <v>37</v>
      </c>
      <c r="AQ9" s="54" t="s">
        <v>31</v>
      </c>
      <c r="AR9" s="56">
        <v>500.0</v>
      </c>
      <c r="AS9" s="56"/>
      <c r="AT9" s="54"/>
      <c r="AU9" s="54"/>
      <c r="AV9" s="56">
        <v>1.0</v>
      </c>
      <c r="AW9" s="57">
        <v>3491250.0</v>
      </c>
      <c r="AX9" s="56">
        <v>0.0</v>
      </c>
      <c r="AY9" s="56">
        <v>0.0</v>
      </c>
      <c r="AZ9" s="57">
        <v>3562500.0</v>
      </c>
      <c r="BA9" s="57">
        <v>4900.0</v>
      </c>
      <c r="BB9" s="59"/>
      <c r="BC9" s="56">
        <v>1.0</v>
      </c>
      <c r="BD9" s="57">
        <v>-71250.0</v>
      </c>
      <c r="BE9" s="54" t="s">
        <v>42</v>
      </c>
      <c r="BF9" s="54" t="s">
        <v>46</v>
      </c>
      <c r="BG9" s="54" t="s">
        <v>47</v>
      </c>
      <c r="BH9" s="54" t="s">
        <v>39</v>
      </c>
      <c r="BI9" s="56">
        <v>5.0</v>
      </c>
      <c r="BJ9" s="57">
        <v>5.0E8</v>
      </c>
      <c r="BK9" s="57"/>
      <c r="BL9" s="56">
        <v>0.0</v>
      </c>
      <c r="BM9" s="56">
        <v>0.0</v>
      </c>
      <c r="BN9" s="59"/>
      <c r="BO9" s="57">
        <v>-71250.0</v>
      </c>
      <c r="BP9" s="56">
        <v>0.0</v>
      </c>
      <c r="BQ9" s="54" t="s">
        <v>48</v>
      </c>
      <c r="BR9" s="54" t="s">
        <v>49</v>
      </c>
      <c r="BS9" s="56">
        <v>0.0</v>
      </c>
      <c r="BT9" s="56">
        <v>0.0</v>
      </c>
      <c r="BU9" s="54" t="s">
        <v>42</v>
      </c>
      <c r="BV9" s="56"/>
      <c r="BW9" s="56">
        <v>0.0</v>
      </c>
      <c r="BX9" s="57">
        <v>3562500.0</v>
      </c>
      <c r="BY9" s="57">
        <v>3562500.0</v>
      </c>
      <c r="BZ9" s="56">
        <v>500.0</v>
      </c>
      <c r="CA9" s="56">
        <v>500.0</v>
      </c>
      <c r="CB9" s="53"/>
      <c r="CC9" s="56">
        <v>0.0</v>
      </c>
      <c r="CD9" s="57">
        <v>3491250.0</v>
      </c>
      <c r="CE9" s="56">
        <v>0.0</v>
      </c>
      <c r="CF9" s="56">
        <v>0.0</v>
      </c>
      <c r="CG9" s="57">
        <v>3491250.0</v>
      </c>
      <c r="CH9" s="57">
        <v>4900.0</v>
      </c>
      <c r="CI9" s="56">
        <v>0.0</v>
      </c>
      <c r="CJ9" s="56">
        <v>0.0</v>
      </c>
      <c r="CK9" s="54" t="b">
        <v>0</v>
      </c>
      <c r="CL9" s="58"/>
      <c r="CM9" s="58"/>
      <c r="CN9" s="54" t="s">
        <v>31</v>
      </c>
      <c r="CO9" s="54" t="s">
        <v>31</v>
      </c>
      <c r="CP9" s="54" t="s">
        <v>50</v>
      </c>
      <c r="CQ9" s="58"/>
      <c r="CR9" s="53"/>
      <c r="CS9" s="56">
        <v>10.0</v>
      </c>
      <c r="CT9" s="58"/>
      <c r="CU9" s="58"/>
      <c r="CV9" s="58"/>
      <c r="CW9" s="58"/>
      <c r="CX9" s="58"/>
      <c r="CY9" s="54" t="s">
        <v>58</v>
      </c>
      <c r="CZ9" s="54" t="s">
        <v>52</v>
      </c>
      <c r="DA9" s="57">
        <v>3562500.0</v>
      </c>
      <c r="DB9" s="56">
        <v>98.0</v>
      </c>
      <c r="DC9" s="59"/>
      <c r="DD9" s="57">
        <v>7125.0</v>
      </c>
      <c r="DE9" s="56">
        <v>0.0</v>
      </c>
      <c r="DF9" s="56">
        <v>0.0</v>
      </c>
      <c r="DG9" s="56">
        <v>0.0</v>
      </c>
      <c r="DH9" s="54" t="s">
        <v>39</v>
      </c>
      <c r="DI9" s="56">
        <v>0.0</v>
      </c>
      <c r="DJ9" s="54" t="s">
        <v>32</v>
      </c>
      <c r="DK9" s="56">
        <v>0.0</v>
      </c>
      <c r="DL9" s="56">
        <v>0.0</v>
      </c>
      <c r="DM9" s="56">
        <v>1.0</v>
      </c>
      <c r="DN9" s="56">
        <v>500.0</v>
      </c>
      <c r="DO9" s="58"/>
      <c r="DP9" s="54" t="s">
        <v>37</v>
      </c>
      <c r="DQ9" s="54" t="s">
        <v>53</v>
      </c>
      <c r="DR9" s="54" t="s">
        <v>54</v>
      </c>
      <c r="DS9" s="54" t="s">
        <v>53</v>
      </c>
      <c r="DT9" s="54" t="s">
        <v>53</v>
      </c>
      <c r="DU9" s="54" t="s">
        <v>55</v>
      </c>
      <c r="DV9" s="54" t="s">
        <v>53</v>
      </c>
      <c r="DW9" s="54" t="s">
        <v>53</v>
      </c>
      <c r="DX9" s="54" t="s">
        <v>53</v>
      </c>
      <c r="DY9" s="54" t="s">
        <v>53</v>
      </c>
      <c r="DZ9" s="54" t="s">
        <v>38</v>
      </c>
      <c r="EA9" s="54" t="s">
        <v>55</v>
      </c>
      <c r="EB9" s="54" t="s">
        <v>53</v>
      </c>
      <c r="EC9" s="54" t="s">
        <v>53</v>
      </c>
      <c r="ED9" s="54" t="s">
        <v>45</v>
      </c>
      <c r="EE9" s="54" t="s">
        <v>56</v>
      </c>
      <c r="EF9" s="56">
        <v>0.0</v>
      </c>
      <c r="EG9" s="54">
        <v>36.35</v>
      </c>
      <c r="EH9" s="54">
        <v>36.35</v>
      </c>
      <c r="EI9" s="54">
        <v>36.35</v>
      </c>
      <c r="EJ9" s="54">
        <v>102.04</v>
      </c>
      <c r="EK9" s="54">
        <v>102.04</v>
      </c>
      <c r="EL9" s="54" t="s">
        <v>37</v>
      </c>
      <c r="EM9" s="57">
        <v>1.0E7</v>
      </c>
      <c r="EN9" s="57">
        <v>1.0E7</v>
      </c>
      <c r="EO9" s="56">
        <v>0.0</v>
      </c>
      <c r="EP9" s="56">
        <v>0.0</v>
      </c>
      <c r="EQ9" s="56">
        <v>36.35</v>
      </c>
      <c r="ER9" s="57">
        <v>1.0E7</v>
      </c>
      <c r="ES9" s="57">
        <v>9800000.0</v>
      </c>
      <c r="ET9" s="56"/>
      <c r="EU9" s="56">
        <v>36.35</v>
      </c>
      <c r="EV9" s="54" t="s">
        <v>37</v>
      </c>
      <c r="EW9" s="57">
        <v>4655000.0</v>
      </c>
      <c r="EX9" s="54" t="b">
        <v>0</v>
      </c>
      <c r="EY9" s="54"/>
      <c r="EZ9" s="56"/>
      <c r="FA9" s="56"/>
      <c r="FB9" s="56"/>
      <c r="FC9" s="56"/>
    </row>
    <row r="10" ht="15.75" customHeight="1">
      <c r="A10" s="8"/>
      <c r="B10" s="53"/>
      <c r="C10" s="54" t="s">
        <v>31</v>
      </c>
      <c r="D10" s="55">
        <v>2375.0</v>
      </c>
      <c r="E10" s="54" t="s">
        <v>22</v>
      </c>
      <c r="F10" s="54" t="s">
        <v>36</v>
      </c>
      <c r="G10" s="56">
        <v>10.0</v>
      </c>
      <c r="H10" s="54" t="s">
        <v>37</v>
      </c>
      <c r="I10" s="57">
        <v>1187500.0</v>
      </c>
      <c r="J10" s="56"/>
      <c r="K10" s="57">
        <v>1187500.0</v>
      </c>
      <c r="L10" s="57"/>
      <c r="M10" s="57"/>
      <c r="N10" s="57">
        <v>1163750.0</v>
      </c>
      <c r="O10" s="54" t="s">
        <v>38</v>
      </c>
      <c r="P10" s="54" t="s">
        <v>39</v>
      </c>
      <c r="Q10" s="57">
        <v>1163750.0</v>
      </c>
      <c r="R10" s="54" t="s">
        <v>49</v>
      </c>
      <c r="S10" s="54" t="s">
        <v>25</v>
      </c>
      <c r="T10" s="54" t="s">
        <v>42</v>
      </c>
      <c r="U10" s="54" t="s">
        <v>43</v>
      </c>
      <c r="V10" s="54" t="s">
        <v>44</v>
      </c>
      <c r="W10" s="54" t="s">
        <v>45</v>
      </c>
      <c r="X10" s="56"/>
      <c r="Y10" s="56">
        <v>1.0</v>
      </c>
      <c r="Z10" s="58"/>
      <c r="AA10" s="58"/>
      <c r="AB10" s="56">
        <v>0.0</v>
      </c>
      <c r="AC10" s="56">
        <v>0.0</v>
      </c>
      <c r="AD10" s="57">
        <v>1187500.0</v>
      </c>
      <c r="AE10" s="57">
        <v>1187500.0</v>
      </c>
      <c r="AF10" s="55">
        <v>2375.0</v>
      </c>
      <c r="AG10" s="57">
        <v>1187500.0</v>
      </c>
      <c r="AH10" s="57">
        <v>1187500.0</v>
      </c>
      <c r="AI10" s="57">
        <v>1187500.0</v>
      </c>
      <c r="AJ10" s="55">
        <v>1211.73</v>
      </c>
      <c r="AK10" s="57">
        <v>1163750.0</v>
      </c>
      <c r="AL10" s="56">
        <v>1.0</v>
      </c>
      <c r="AM10" s="56">
        <v>1.0</v>
      </c>
      <c r="AN10" s="54" t="s">
        <v>32</v>
      </c>
      <c r="AO10" s="58"/>
      <c r="AP10" s="54" t="s">
        <v>37</v>
      </c>
      <c r="AQ10" s="54" t="s">
        <v>31</v>
      </c>
      <c r="AR10" s="56">
        <v>500.0</v>
      </c>
      <c r="AS10" s="56"/>
      <c r="AT10" s="54"/>
      <c r="AU10" s="54"/>
      <c r="AV10" s="56">
        <v>1.0</v>
      </c>
      <c r="AW10" s="57">
        <v>1163750.0</v>
      </c>
      <c r="AX10" s="56">
        <v>0.0</v>
      </c>
      <c r="AY10" s="56">
        <v>0.0</v>
      </c>
      <c r="AZ10" s="57">
        <v>1187500.0</v>
      </c>
      <c r="BA10" s="57">
        <v>4900.0</v>
      </c>
      <c r="BB10" s="59"/>
      <c r="BC10" s="56">
        <v>1.0</v>
      </c>
      <c r="BD10" s="57">
        <v>-23750.0</v>
      </c>
      <c r="BE10" s="54" t="s">
        <v>42</v>
      </c>
      <c r="BF10" s="54" t="s">
        <v>46</v>
      </c>
      <c r="BG10" s="54" t="s">
        <v>47</v>
      </c>
      <c r="BH10" s="54" t="s">
        <v>39</v>
      </c>
      <c r="BI10" s="56">
        <v>5.0</v>
      </c>
      <c r="BJ10" s="57">
        <v>5.0E8</v>
      </c>
      <c r="BK10" s="57"/>
      <c r="BL10" s="56">
        <v>0.0</v>
      </c>
      <c r="BM10" s="56">
        <v>0.0</v>
      </c>
      <c r="BN10" s="59"/>
      <c r="BO10" s="57">
        <v>-23750.0</v>
      </c>
      <c r="BP10" s="56">
        <v>0.0</v>
      </c>
      <c r="BQ10" s="54" t="s">
        <v>48</v>
      </c>
      <c r="BR10" s="54" t="s">
        <v>49</v>
      </c>
      <c r="BS10" s="56">
        <v>0.0</v>
      </c>
      <c r="BT10" s="56">
        <v>0.0</v>
      </c>
      <c r="BU10" s="54" t="s">
        <v>42</v>
      </c>
      <c r="BV10" s="56"/>
      <c r="BW10" s="56">
        <v>0.0</v>
      </c>
      <c r="BX10" s="57">
        <v>1187500.0</v>
      </c>
      <c r="BY10" s="57">
        <v>1187500.0</v>
      </c>
      <c r="BZ10" s="56">
        <v>500.0</v>
      </c>
      <c r="CA10" s="56">
        <v>500.0</v>
      </c>
      <c r="CB10" s="53"/>
      <c r="CC10" s="56">
        <v>0.0</v>
      </c>
      <c r="CD10" s="57">
        <v>1163750.0</v>
      </c>
      <c r="CE10" s="56">
        <v>0.0</v>
      </c>
      <c r="CF10" s="56">
        <v>0.0</v>
      </c>
      <c r="CG10" s="57">
        <v>1163750.0</v>
      </c>
      <c r="CH10" s="57">
        <v>4900.0</v>
      </c>
      <c r="CI10" s="56">
        <v>0.0</v>
      </c>
      <c r="CJ10" s="56">
        <v>0.0</v>
      </c>
      <c r="CK10" s="54" t="b">
        <v>0</v>
      </c>
      <c r="CL10" s="58"/>
      <c r="CM10" s="58"/>
      <c r="CN10" s="54" t="s">
        <v>31</v>
      </c>
      <c r="CO10" s="54" t="s">
        <v>31</v>
      </c>
      <c r="CP10" s="54" t="s">
        <v>50</v>
      </c>
      <c r="CQ10" s="58"/>
      <c r="CR10" s="53"/>
      <c r="CS10" s="56">
        <v>10.0</v>
      </c>
      <c r="CT10" s="58"/>
      <c r="CU10" s="58"/>
      <c r="CV10" s="58"/>
      <c r="CW10" s="58"/>
      <c r="CX10" s="58"/>
      <c r="CY10" s="54" t="s">
        <v>58</v>
      </c>
      <c r="CZ10" s="54" t="s">
        <v>52</v>
      </c>
      <c r="DA10" s="57">
        <v>1187500.0</v>
      </c>
      <c r="DB10" s="56">
        <v>98.0</v>
      </c>
      <c r="DC10" s="59"/>
      <c r="DD10" s="57">
        <v>2375.0</v>
      </c>
      <c r="DE10" s="56">
        <v>0.0</v>
      </c>
      <c r="DF10" s="56">
        <v>0.0</v>
      </c>
      <c r="DG10" s="56">
        <v>0.0</v>
      </c>
      <c r="DH10" s="54" t="s">
        <v>39</v>
      </c>
      <c r="DI10" s="56">
        <v>0.0</v>
      </c>
      <c r="DJ10" s="54" t="s">
        <v>32</v>
      </c>
      <c r="DK10" s="56">
        <v>0.0</v>
      </c>
      <c r="DL10" s="56">
        <v>0.0</v>
      </c>
      <c r="DM10" s="56">
        <v>1.0</v>
      </c>
      <c r="DN10" s="56">
        <v>500.0</v>
      </c>
      <c r="DO10" s="58"/>
      <c r="DP10" s="54" t="s">
        <v>37</v>
      </c>
      <c r="DQ10" s="54" t="s">
        <v>53</v>
      </c>
      <c r="DR10" s="54" t="s">
        <v>54</v>
      </c>
      <c r="DS10" s="54" t="s">
        <v>53</v>
      </c>
      <c r="DT10" s="54" t="s">
        <v>53</v>
      </c>
      <c r="DU10" s="54" t="s">
        <v>55</v>
      </c>
      <c r="DV10" s="54" t="s">
        <v>53</v>
      </c>
      <c r="DW10" s="54" t="s">
        <v>53</v>
      </c>
      <c r="DX10" s="54" t="s">
        <v>53</v>
      </c>
      <c r="DY10" s="54" t="s">
        <v>53</v>
      </c>
      <c r="DZ10" s="54" t="s">
        <v>38</v>
      </c>
      <c r="EA10" s="54" t="s">
        <v>55</v>
      </c>
      <c r="EB10" s="54" t="s">
        <v>53</v>
      </c>
      <c r="EC10" s="54" t="s">
        <v>53</v>
      </c>
      <c r="ED10" s="54" t="s">
        <v>45</v>
      </c>
      <c r="EE10" s="54" t="s">
        <v>56</v>
      </c>
      <c r="EF10" s="56">
        <v>0.0</v>
      </c>
      <c r="EG10" s="54">
        <v>12.12</v>
      </c>
      <c r="EH10" s="54">
        <v>12.12</v>
      </c>
      <c r="EI10" s="54">
        <v>12.12</v>
      </c>
      <c r="EJ10" s="54">
        <v>102.04</v>
      </c>
      <c r="EK10" s="54">
        <v>102.04</v>
      </c>
      <c r="EL10" s="54" t="s">
        <v>37</v>
      </c>
      <c r="EM10" s="57">
        <v>1.0E7</v>
      </c>
      <c r="EN10" s="57">
        <v>1.0E7</v>
      </c>
      <c r="EO10" s="56">
        <v>0.0</v>
      </c>
      <c r="EP10" s="56">
        <v>0.0</v>
      </c>
      <c r="EQ10" s="56">
        <v>12.12</v>
      </c>
      <c r="ER10" s="57">
        <v>1.0E7</v>
      </c>
      <c r="ES10" s="57">
        <v>9800000.0</v>
      </c>
      <c r="ET10" s="56"/>
      <c r="EU10" s="56">
        <v>12.12</v>
      </c>
      <c r="EV10" s="54" t="s">
        <v>37</v>
      </c>
      <c r="EW10" s="57">
        <v>4655000.0</v>
      </c>
      <c r="EX10" s="54" t="b">
        <v>0</v>
      </c>
      <c r="EY10" s="54"/>
      <c r="EZ10" s="56"/>
      <c r="FA10" s="56"/>
      <c r="FB10" s="56"/>
      <c r="FC10" s="56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30"/>
      <c r="B12" s="31"/>
      <c r="C12" s="43"/>
      <c r="D12" s="44"/>
      <c r="E12" s="43"/>
      <c r="F12" s="43"/>
      <c r="G12" s="45"/>
      <c r="H12" s="43"/>
      <c r="I12" s="45"/>
      <c r="J12" s="32"/>
      <c r="K12" s="45"/>
      <c r="L12" s="32"/>
      <c r="M12" s="32"/>
      <c r="N12" s="44"/>
      <c r="O12" s="43"/>
      <c r="P12" s="45"/>
      <c r="Q12" s="44"/>
      <c r="R12" s="43"/>
      <c r="S12" s="43"/>
      <c r="T12" s="46"/>
      <c r="U12" s="46"/>
      <c r="V12" s="46"/>
      <c r="W12" s="46"/>
      <c r="X12" s="35"/>
      <c r="Y12" s="47"/>
      <c r="Z12" s="35"/>
      <c r="AA12" s="35"/>
      <c r="AB12" s="47"/>
      <c r="AC12" s="47"/>
      <c r="AD12" s="47"/>
      <c r="AE12" s="47"/>
      <c r="AF12" s="48"/>
      <c r="AG12" s="47"/>
      <c r="AH12" s="47"/>
      <c r="AI12" s="47"/>
      <c r="AJ12" s="47"/>
      <c r="AK12" s="48"/>
      <c r="AL12" s="47"/>
      <c r="AM12" s="47"/>
      <c r="AN12" s="35"/>
      <c r="AO12" s="35"/>
      <c r="AP12" s="46"/>
      <c r="AQ12" s="46"/>
      <c r="AR12" s="47"/>
      <c r="AS12" s="35"/>
      <c r="AT12" s="35"/>
      <c r="AU12" s="35"/>
      <c r="AV12" s="47"/>
      <c r="AW12" s="48"/>
      <c r="AX12" s="47"/>
      <c r="AY12" s="47"/>
      <c r="AZ12" s="47"/>
      <c r="BA12" s="47"/>
      <c r="BB12" s="35"/>
      <c r="BC12" s="47"/>
      <c r="BD12" s="48"/>
      <c r="BE12" s="46"/>
      <c r="BF12" s="46"/>
      <c r="BG12" s="46"/>
      <c r="BH12" s="46"/>
      <c r="BI12" s="47"/>
      <c r="BJ12" s="47"/>
      <c r="BK12" s="47"/>
      <c r="BL12" s="47"/>
      <c r="BM12" s="47"/>
      <c r="BN12" s="35"/>
      <c r="BO12" s="48"/>
      <c r="BP12" s="47"/>
      <c r="BQ12" s="46"/>
      <c r="BR12" s="46"/>
      <c r="BS12" s="47"/>
      <c r="BT12" s="47"/>
      <c r="BU12" s="46"/>
      <c r="BV12" s="35"/>
      <c r="BW12" s="47"/>
      <c r="BX12" s="47"/>
      <c r="BY12" s="47"/>
      <c r="BZ12" s="47"/>
      <c r="CA12" s="47"/>
      <c r="CB12" s="35"/>
      <c r="CC12" s="47"/>
      <c r="CD12" s="48"/>
      <c r="CE12" s="47"/>
      <c r="CF12" s="47"/>
      <c r="CG12" s="48"/>
      <c r="CH12" s="47"/>
      <c r="CI12" s="47"/>
      <c r="CJ12" s="47"/>
      <c r="CK12" s="49"/>
      <c r="CL12" s="35"/>
      <c r="CM12" s="35"/>
      <c r="CN12" s="46"/>
      <c r="CO12" s="46"/>
      <c r="CP12" s="46"/>
      <c r="CQ12" s="35"/>
      <c r="CR12" s="35"/>
      <c r="CS12" s="47"/>
      <c r="CT12" s="35"/>
      <c r="CU12" s="35"/>
      <c r="CV12" s="35"/>
      <c r="CW12" s="35"/>
      <c r="CX12" s="35"/>
      <c r="CY12" s="46"/>
      <c r="CZ12" s="46"/>
      <c r="DA12" s="47"/>
      <c r="DB12" s="47"/>
      <c r="DC12" s="47"/>
      <c r="DD12" s="48"/>
      <c r="DE12" s="47"/>
      <c r="DF12" s="47"/>
      <c r="DG12" s="47"/>
      <c r="DH12" s="47"/>
      <c r="DI12" s="47"/>
      <c r="DJ12" s="46"/>
      <c r="DK12" s="47"/>
      <c r="DL12" s="47"/>
      <c r="DM12" s="47"/>
      <c r="DN12" s="47"/>
      <c r="DO12" s="35"/>
      <c r="DP12" s="46"/>
      <c r="DQ12" s="46"/>
      <c r="DR12" s="46"/>
      <c r="DS12" s="46"/>
      <c r="DT12" s="46"/>
      <c r="DU12" s="46"/>
      <c r="DV12" s="46"/>
      <c r="DW12" s="46"/>
      <c r="DX12" s="46"/>
      <c r="DY12" s="46"/>
      <c r="DZ12" s="46"/>
      <c r="EA12" s="46"/>
      <c r="EB12" s="46"/>
      <c r="EC12" s="46"/>
      <c r="ED12" s="46"/>
      <c r="EE12" s="46"/>
      <c r="EF12" s="47"/>
      <c r="EG12" s="47"/>
      <c r="EH12" s="47"/>
      <c r="EI12" s="47"/>
      <c r="EJ12" s="47"/>
      <c r="EK12" s="47"/>
      <c r="EL12" s="46"/>
      <c r="EM12" s="47"/>
      <c r="EN12" s="47"/>
      <c r="EO12" s="47"/>
      <c r="EP12" s="47"/>
      <c r="EQ12" s="47"/>
      <c r="ER12" s="47"/>
      <c r="ES12" s="35"/>
      <c r="ET12" s="35"/>
      <c r="EU12" s="47"/>
      <c r="EV12" s="46"/>
      <c r="EW12" s="35"/>
      <c r="EX12" s="35"/>
      <c r="EY12" s="35"/>
      <c r="EZ12" s="35"/>
      <c r="FA12" s="35"/>
      <c r="FB12" s="35"/>
      <c r="FC12" s="35"/>
      <c r="FD12" s="35"/>
      <c r="FE12" s="35"/>
      <c r="FF12" s="35"/>
      <c r="FG12" s="35"/>
      <c r="FH12" s="35"/>
      <c r="FI12" s="35"/>
      <c r="FJ12" s="35"/>
      <c r="FK12" s="35"/>
      <c r="FL12" s="35"/>
      <c r="FM12" s="35"/>
      <c r="FN12" s="35"/>
      <c r="FO12" s="35"/>
      <c r="FP12" s="35"/>
      <c r="FQ12" s="35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60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IFERROR(__xludf.DUMMYFUNCTION("""COMPUTED_VALUE"""),"CheckPreferences")</f>
        <v>CheckPreferences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61</v>
      </c>
      <c r="C6" s="8"/>
      <c r="D6" s="11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62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IFERROR(__xludf.DUMMYFUNCTION("""COMPUTED_VALUE"""),"CheckPreferences")</f>
        <v>CheckPreferences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IFERROR(__xludf.DUMMYFUNCTION("""COMPUTED_VALUE"""),"Net Amount(Local)")</f>
        <v>Net Amount(Local)</v>
      </c>
      <c r="C5" s="27" t="str">
        <f>IFERROR(__xludf.DUMMYFUNCTION("""COMPUTED_VALUE"""),"Net Amount(Base)")</f>
        <v>Net Amount(Base)</v>
      </c>
      <c r="D5" s="27" t="str">
        <f>IFERROR(__xludf.DUMMYFUNCTION("""COMPUTED_VALUE"""),"Principal Amount(Local)")</f>
        <v>Principal Amount(Local)</v>
      </c>
      <c r="E5" s="27" t="str">
        <f>IFERROR(__xludf.DUMMYFUNCTION("""COMPUTED_VALUE"""),"Principal Amount(Base)")</f>
        <v>Principal Amount(Base)</v>
      </c>
      <c r="F5" s="28" t="str">
        <f>IFERROR(__xludf.DUMMYFUNCTION("""COMPUTED_VALUE"""),"FX Conversion Operator")</f>
        <v>FX Conversion Operator</v>
      </c>
      <c r="G5" s="27" t="str">
        <f>IFERROR(__xludf.DUMMYFUNCTION("""COMPUTED_VALUE"""),"TaxLotID")</f>
        <v>TaxLotID</v>
      </c>
      <c r="H5" s="27" t="str">
        <f>IFERROR(__xludf.DUMMYFUNCTION("""COMPUTED_VALUE"""),"Settlement Currency")</f>
        <v>Settlement Currency</v>
      </c>
      <c r="I5" s="27" t="str">
        <f>IFERROR(__xludf.DUMMYFUNCTION("""COMPUTED_VALUE"""),"Trade Attribute 1")</f>
        <v>Trade Attribute 1</v>
      </c>
      <c r="J5" s="27" t="str">
        <f>IFERROR(__xludf.DUMMYFUNCTION("""COMPUTED_VALUE"""),"Trade Attribute 2")</f>
        <v>Trade Attribute 2</v>
      </c>
      <c r="K5" s="27" t="str">
        <f>IFERROR(__xludf.DUMMYFUNCTION("""COMPUTED_VALUE"""),"Trade Attribute 3")</f>
        <v>Trade Attribute 3</v>
      </c>
      <c r="L5" s="27" t="str">
        <f>IFERROR(__xludf.DUMMYFUNCTION("""COMPUTED_VALUE"""),"Trade Attribute 4")</f>
        <v>Trade Attribute 4</v>
      </c>
      <c r="M5" s="27" t="str">
        <f>IFERROR(__xludf.DUMMYFUNCTION("""COMPUTED_VALUE"""),"Trade Attribute 5")</f>
        <v>Trade Attribute 5</v>
      </c>
      <c r="N5" s="27" t="str">
        <f>IFERROR(__xludf.DUMMYFUNCTION("""COMPUTED_VALUE"""),"Trade Attribute 6")</f>
        <v>Trade Attribute 6</v>
      </c>
      <c r="O5" s="27" t="str">
        <f>IFERROR(__xludf.DUMMYFUNCTION("""COMPUTED_VALUE"""),"Account Name")</f>
        <v>Account Name</v>
      </c>
      <c r="P5" s="27" t="str">
        <f>IFERROR(__xludf.DUMMYFUNCTION("""COMPUTED_VALUE"""),"Strategy Name")</f>
        <v>Strategy Name</v>
      </c>
      <c r="Q5" s="27" t="str">
        <f>IFERROR(__xludf.DUMMYFUNCTION("""COMPUTED_VALUE"""),"Percentage")</f>
        <v>Percentage</v>
      </c>
      <c r="R5" s="27" t="str">
        <f>IFERROR(__xludf.DUMMYFUNCTION("""COMPUTED_VALUE"""),"Taxlot Qty")</f>
        <v>Taxlot Qty</v>
      </c>
      <c r="S5" s="27" t="str">
        <f>IFERROR(__xludf.DUMMYFUNCTION("""COMPUTED_VALUE"""),"Commission")</f>
        <v>Commission</v>
      </c>
      <c r="T5" s="29" t="str">
        <f>IFERROR(__xludf.DUMMYFUNCTION("""COMPUTED_VALUE"""),"Soft Commission")</f>
        <v>Soft Commission</v>
      </c>
      <c r="U5" s="29" t="str">
        <f>IFERROR(__xludf.DUMMYFUNCTION("""COMPUTED_VALUE"""),"Other Broker Fees")</f>
        <v>Other Broker Fees</v>
      </c>
      <c r="V5" s="29" t="str">
        <f>IFERROR(__xludf.DUMMYFUNCTION("""COMPUTED_VALUE"""),"Clearing Broker Fees")</f>
        <v>Clearing Broker Fees</v>
      </c>
      <c r="W5" s="29" t="str">
        <f>IFERROR(__xludf.DUMMYFUNCTION("""COMPUTED_VALUE"""),"Stamp Duty")</f>
        <v>Stamp Duty</v>
      </c>
      <c r="X5" s="29" t="str">
        <f>IFERROR(__xludf.DUMMYFUNCTION("""COMPUTED_VALUE"""),"Transaction Levy")</f>
        <v>Transaction Levy</v>
      </c>
      <c r="Y5" s="29" t="str">
        <f>IFERROR(__xludf.DUMMYFUNCTION("""COMPUTED_VALUE"""),"AUEC Fee1")</f>
        <v>AUEC Fee1</v>
      </c>
      <c r="Z5" s="29" t="str">
        <f>IFERROR(__xludf.DUMMYFUNCTION("""COMPUTED_VALUE"""),"Tax On Commissions")</f>
        <v>Tax On Commissions</v>
      </c>
      <c r="AA5" s="29" t="str">
        <f>IFERROR(__xludf.DUMMYFUNCTION("""COMPUTED_VALUE"""),"AUEC Fee2")</f>
        <v>AUEC Fee2</v>
      </c>
      <c r="AB5" s="29" t="str">
        <f>IFERROR(__xludf.DUMMYFUNCTION("""COMPUTED_VALUE"""),"SEC Fee")</f>
        <v>SEC Fee</v>
      </c>
      <c r="AC5" s="29" t="str">
        <f>IFERROR(__xludf.DUMMYFUNCTION("""COMPUTED_VALUE"""),"OCC Fee")</f>
        <v>OCC Fee</v>
      </c>
      <c r="AD5" s="29" t="str">
        <f>IFERROR(__xludf.DUMMYFUNCTION("""COMPUTED_VALUE"""),"ORF Fee")</f>
        <v>ORF Fee</v>
      </c>
      <c r="AE5" s="29" t="str">
        <f>IFERROR(__xludf.DUMMYFUNCTION("""COMPUTED_VALUE"""),"Option Premium Adjustment")</f>
        <v>Option Premium Adjustment</v>
      </c>
      <c r="AF5" s="29" t="str">
        <f>IFERROR(__xludf.DUMMYFUNCTION("""COMPUTED_VALUE"""),"Closing Status")</f>
        <v>Closing Status</v>
      </c>
      <c r="AG5" s="29" t="str">
        <f>IFERROR(__xludf.DUMMYFUNCTION("""COMPUTED_VALUE"""),"External Transaction ID")</f>
        <v>External Transaction ID</v>
      </c>
      <c r="AH5" s="29" t="str">
        <f>IFERROR(__xludf.DUMMYFUNCTION("""COMPUTED_VALUE"""),"Lot ID")</f>
        <v>Lot ID</v>
      </c>
      <c r="AI5" s="29" t="str">
        <f>IFERROR(__xludf.DUMMYFUNCTION("""COMPUTED_VALUE"""),"AvgPriceBase")</f>
        <v>AvgPriceBase</v>
      </c>
      <c r="AJ5" s="29" t="str">
        <f>IFERROR(__xludf.DUMMYFUNCTION("""COMPUTED_VALUE"""),"Accrued Interest")</f>
        <v>Accrued Interest</v>
      </c>
      <c r="AK5" s="29" t="str">
        <f>IFERROR(__xludf.DUMMYFUNCTION("""COMPUTED_VALUE"""),"FXRate")</f>
        <v>FXRate</v>
      </c>
      <c r="AL5" s="29" t="str">
        <f>IFERROR(__xludf.DUMMYFUNCTION("""COMPUTED_VALUE"""),"Change Type")</f>
        <v>Change Type</v>
      </c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60">
        <v>10014.0056</v>
      </c>
      <c r="C6" s="60">
        <v>10014.0056</v>
      </c>
      <c r="D6" s="60">
        <v>10000.0</v>
      </c>
      <c r="E6" s="60">
        <v>10000.0</v>
      </c>
      <c r="F6" s="54" t="s">
        <v>63</v>
      </c>
      <c r="G6" s="56"/>
      <c r="H6" s="54" t="s">
        <v>45</v>
      </c>
      <c r="I6" s="58"/>
      <c r="J6" s="58"/>
      <c r="K6" s="58"/>
      <c r="L6" s="58"/>
      <c r="M6" s="58"/>
      <c r="N6" s="58"/>
      <c r="O6" s="54" t="s">
        <v>33</v>
      </c>
      <c r="P6" s="54" t="s">
        <v>41</v>
      </c>
      <c r="Q6" s="56">
        <v>100.0</v>
      </c>
      <c r="R6" s="55">
        <v>1000.0</v>
      </c>
      <c r="S6" s="56">
        <v>0.0</v>
      </c>
      <c r="T6" s="56">
        <v>0.0</v>
      </c>
      <c r="U6" s="56">
        <v>0.0</v>
      </c>
      <c r="V6" s="56">
        <v>0.0</v>
      </c>
      <c r="W6" s="56">
        <v>0.0056</v>
      </c>
      <c r="X6" s="56">
        <v>2.0</v>
      </c>
      <c r="Y6" s="56">
        <v>4.0</v>
      </c>
      <c r="Z6" s="56">
        <v>3.0</v>
      </c>
      <c r="AA6" s="56">
        <v>5.0</v>
      </c>
      <c r="AB6" s="56">
        <v>0.0</v>
      </c>
      <c r="AC6" s="56">
        <v>0.0</v>
      </c>
      <c r="AD6" s="56">
        <v>0.0</v>
      </c>
      <c r="AE6" s="56">
        <v>0.0</v>
      </c>
      <c r="AF6" s="54" t="s">
        <v>64</v>
      </c>
      <c r="AG6" s="58"/>
      <c r="AH6" s="58"/>
      <c r="AI6" s="56">
        <v>10.0</v>
      </c>
      <c r="AJ6" s="56">
        <v>0.0</v>
      </c>
      <c r="AK6" s="56">
        <v>1.0</v>
      </c>
      <c r="AL6" s="56">
        <v>3.0</v>
      </c>
    </row>
    <row r="7" ht="15.75" customHeight="1">
      <c r="A7" s="8"/>
      <c r="B7" s="60">
        <v>47503.5266</v>
      </c>
      <c r="C7" s="60">
        <v>47503.5266</v>
      </c>
      <c r="D7" s="60">
        <v>47500.0</v>
      </c>
      <c r="E7" s="60">
        <v>47500.0</v>
      </c>
      <c r="F7" s="54" t="s">
        <v>63</v>
      </c>
      <c r="G7" s="56"/>
      <c r="H7" s="54" t="s">
        <v>45</v>
      </c>
      <c r="I7" s="58"/>
      <c r="J7" s="58"/>
      <c r="K7" s="58"/>
      <c r="L7" s="58"/>
      <c r="M7" s="58"/>
      <c r="N7" s="58"/>
      <c r="O7" s="54" t="s">
        <v>21</v>
      </c>
      <c r="P7" s="54" t="s">
        <v>24</v>
      </c>
      <c r="Q7" s="56">
        <v>25.0</v>
      </c>
      <c r="R7" s="55">
        <v>4750.0</v>
      </c>
      <c r="S7" s="56">
        <v>0.0</v>
      </c>
      <c r="T7" s="56">
        <v>0.0</v>
      </c>
      <c r="U7" s="56">
        <v>0.0</v>
      </c>
      <c r="V7" s="56">
        <v>0.0</v>
      </c>
      <c r="W7" s="56">
        <v>0.0266</v>
      </c>
      <c r="X7" s="56">
        <v>0.5</v>
      </c>
      <c r="Y7" s="56">
        <v>1.0</v>
      </c>
      <c r="Z7" s="56">
        <v>0.75</v>
      </c>
      <c r="AA7" s="56">
        <v>1.25</v>
      </c>
      <c r="AB7" s="56">
        <v>0.0</v>
      </c>
      <c r="AC7" s="56">
        <v>0.0</v>
      </c>
      <c r="AD7" s="56">
        <v>0.0</v>
      </c>
      <c r="AE7" s="56">
        <v>0.0</v>
      </c>
      <c r="AF7" s="54" t="s">
        <v>64</v>
      </c>
      <c r="AG7" s="58"/>
      <c r="AH7" s="58"/>
      <c r="AI7" s="56">
        <v>10.0</v>
      </c>
      <c r="AJ7" s="56">
        <v>0.0</v>
      </c>
      <c r="AK7" s="56">
        <v>1.0</v>
      </c>
      <c r="AL7" s="56">
        <v>3.0</v>
      </c>
    </row>
    <row r="8" ht="15.75" customHeight="1">
      <c r="A8" s="8"/>
      <c r="B8" s="60">
        <v>47503.5266</v>
      </c>
      <c r="C8" s="60">
        <v>47503.5266</v>
      </c>
      <c r="D8" s="60">
        <v>47500.0</v>
      </c>
      <c r="E8" s="60">
        <v>47500.0</v>
      </c>
      <c r="F8" s="54" t="s">
        <v>63</v>
      </c>
      <c r="G8" s="56"/>
      <c r="H8" s="54" t="s">
        <v>45</v>
      </c>
      <c r="I8" s="58"/>
      <c r="J8" s="58"/>
      <c r="K8" s="58"/>
      <c r="L8" s="58"/>
      <c r="M8" s="58"/>
      <c r="N8" s="58"/>
      <c r="O8" s="54" t="s">
        <v>21</v>
      </c>
      <c r="P8" s="54" t="s">
        <v>25</v>
      </c>
      <c r="Q8" s="56">
        <v>25.0</v>
      </c>
      <c r="R8" s="55">
        <v>4750.0</v>
      </c>
      <c r="S8" s="56">
        <v>0.0</v>
      </c>
      <c r="T8" s="56">
        <v>0.0</v>
      </c>
      <c r="U8" s="56">
        <v>0.0</v>
      </c>
      <c r="V8" s="56">
        <v>0.0</v>
      </c>
      <c r="W8" s="56">
        <v>0.0266</v>
      </c>
      <c r="X8" s="56">
        <v>0.5</v>
      </c>
      <c r="Y8" s="56">
        <v>1.0</v>
      </c>
      <c r="Z8" s="56">
        <v>0.75</v>
      </c>
      <c r="AA8" s="56">
        <v>1.25</v>
      </c>
      <c r="AB8" s="56">
        <v>0.0</v>
      </c>
      <c r="AC8" s="56">
        <v>0.0</v>
      </c>
      <c r="AD8" s="56">
        <v>0.0</v>
      </c>
      <c r="AE8" s="56">
        <v>0.0</v>
      </c>
      <c r="AF8" s="54" t="s">
        <v>64</v>
      </c>
      <c r="AG8" s="58"/>
      <c r="AH8" s="58"/>
      <c r="AI8" s="56">
        <v>10.0</v>
      </c>
      <c r="AJ8" s="56">
        <v>0.0</v>
      </c>
      <c r="AK8" s="56">
        <v>1.0</v>
      </c>
      <c r="AL8" s="56">
        <v>3.0</v>
      </c>
    </row>
    <row r="9" ht="15.75" customHeight="1">
      <c r="A9" s="8"/>
      <c r="B9" s="60">
        <v>71255.2899</v>
      </c>
      <c r="C9" s="60">
        <v>71255.2899</v>
      </c>
      <c r="D9" s="60">
        <v>71250.0</v>
      </c>
      <c r="E9" s="60">
        <v>71250.0</v>
      </c>
      <c r="F9" s="54" t="s">
        <v>63</v>
      </c>
      <c r="G9" s="56"/>
      <c r="H9" s="54" t="s">
        <v>45</v>
      </c>
      <c r="I9" s="58"/>
      <c r="J9" s="58"/>
      <c r="K9" s="58"/>
      <c r="L9" s="58"/>
      <c r="M9" s="58"/>
      <c r="N9" s="58"/>
      <c r="O9" s="54" t="s">
        <v>22</v>
      </c>
      <c r="P9" s="54" t="s">
        <v>24</v>
      </c>
      <c r="Q9" s="56">
        <v>37.5</v>
      </c>
      <c r="R9" s="55">
        <v>7125.0</v>
      </c>
      <c r="S9" s="56">
        <v>0.0</v>
      </c>
      <c r="T9" s="56">
        <v>0.0</v>
      </c>
      <c r="U9" s="56">
        <v>0.0</v>
      </c>
      <c r="V9" s="56">
        <v>0.0</v>
      </c>
      <c r="W9" s="56">
        <v>0.0399</v>
      </c>
      <c r="X9" s="56">
        <v>0.75</v>
      </c>
      <c r="Y9" s="56">
        <v>1.5</v>
      </c>
      <c r="Z9" s="56">
        <v>1.125</v>
      </c>
      <c r="AA9" s="56">
        <v>1.875</v>
      </c>
      <c r="AB9" s="56">
        <v>0.0</v>
      </c>
      <c r="AC9" s="56">
        <v>0.0</v>
      </c>
      <c r="AD9" s="56">
        <v>0.0</v>
      </c>
      <c r="AE9" s="56">
        <v>0.0</v>
      </c>
      <c r="AF9" s="54" t="s">
        <v>64</v>
      </c>
      <c r="AG9" s="58"/>
      <c r="AH9" s="58"/>
      <c r="AI9" s="56">
        <v>10.0</v>
      </c>
      <c r="AJ9" s="56">
        <v>0.0</v>
      </c>
      <c r="AK9" s="56">
        <v>1.0</v>
      </c>
      <c r="AL9" s="56">
        <v>3.0</v>
      </c>
    </row>
    <row r="10" ht="15.75" customHeight="1">
      <c r="A10" s="8"/>
      <c r="B10" s="60">
        <v>23751.7633</v>
      </c>
      <c r="C10" s="60">
        <v>23751.7633</v>
      </c>
      <c r="D10" s="60">
        <v>23750.0</v>
      </c>
      <c r="E10" s="60">
        <v>23750.0</v>
      </c>
      <c r="F10" s="54" t="s">
        <v>63</v>
      </c>
      <c r="G10" s="56"/>
      <c r="H10" s="54" t="s">
        <v>45</v>
      </c>
      <c r="I10" s="58"/>
      <c r="J10" s="58"/>
      <c r="K10" s="58"/>
      <c r="L10" s="58"/>
      <c r="M10" s="58"/>
      <c r="N10" s="58"/>
      <c r="O10" s="54" t="s">
        <v>22</v>
      </c>
      <c r="P10" s="54" t="s">
        <v>25</v>
      </c>
      <c r="Q10" s="56">
        <v>12.5</v>
      </c>
      <c r="R10" s="55">
        <v>2375.0</v>
      </c>
      <c r="S10" s="56">
        <v>0.0</v>
      </c>
      <c r="T10" s="56">
        <v>0.0</v>
      </c>
      <c r="U10" s="56">
        <v>0.0</v>
      </c>
      <c r="V10" s="56">
        <v>0.0</v>
      </c>
      <c r="W10" s="56">
        <v>0.0133</v>
      </c>
      <c r="X10" s="56">
        <v>0.25</v>
      </c>
      <c r="Y10" s="56">
        <v>0.5</v>
      </c>
      <c r="Z10" s="56">
        <v>0.375</v>
      </c>
      <c r="AA10" s="56">
        <v>0.625</v>
      </c>
      <c r="AB10" s="56">
        <v>0.0</v>
      </c>
      <c r="AC10" s="56">
        <v>0.0</v>
      </c>
      <c r="AD10" s="56">
        <v>0.0</v>
      </c>
      <c r="AE10" s="56">
        <v>0.0</v>
      </c>
      <c r="AF10" s="54" t="s">
        <v>64</v>
      </c>
      <c r="AG10" s="58"/>
      <c r="AH10" s="58"/>
      <c r="AI10" s="56">
        <v>10.0</v>
      </c>
      <c r="AJ10" s="56">
        <v>0.0</v>
      </c>
      <c r="AK10" s="56">
        <v>1.0</v>
      </c>
      <c r="AL10" s="56">
        <v>3.0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35"/>
      <c r="B12" s="61"/>
      <c r="C12" s="61"/>
      <c r="D12" s="61"/>
      <c r="E12" s="61"/>
      <c r="F12" s="46"/>
      <c r="G12" s="35"/>
      <c r="H12" s="46"/>
      <c r="I12" s="35"/>
      <c r="J12" s="35"/>
      <c r="K12" s="35"/>
      <c r="L12" s="35"/>
      <c r="M12" s="35"/>
      <c r="N12" s="35"/>
      <c r="O12" s="46"/>
      <c r="P12" s="46"/>
      <c r="Q12" s="35"/>
      <c r="R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46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5"/>
      <c r="BE12" s="35"/>
      <c r="BF12" s="35"/>
      <c r="BG12" s="35"/>
      <c r="BH12" s="35"/>
      <c r="BI12" s="35"/>
      <c r="BJ12" s="35"/>
      <c r="BK12" s="35"/>
      <c r="BL12" s="35"/>
      <c r="BM12" s="35"/>
      <c r="BN12" s="35"/>
      <c r="BO12" s="35"/>
      <c r="BP12" s="35"/>
      <c r="BQ12" s="35"/>
      <c r="BR12" s="35"/>
      <c r="BS12" s="35"/>
      <c r="BT12" s="35"/>
      <c r="BU12" s="35"/>
      <c r="BV12" s="35"/>
      <c r="BW12" s="35"/>
      <c r="BX12" s="35"/>
      <c r="BY12" s="35"/>
      <c r="BZ12" s="35"/>
      <c r="CA12" s="35"/>
      <c r="CB12" s="35"/>
      <c r="CC12" s="35"/>
      <c r="CD12" s="35"/>
      <c r="CE12" s="35"/>
      <c r="CF12" s="35"/>
      <c r="CG12" s="35"/>
      <c r="CH12" s="35"/>
      <c r="CI12" s="35"/>
      <c r="CJ12" s="35"/>
      <c r="CK12" s="35"/>
      <c r="CL12" s="35"/>
      <c r="CM12" s="35"/>
      <c r="CN12" s="35"/>
      <c r="CO12" s="35"/>
      <c r="CP12" s="35"/>
      <c r="CQ12" s="35"/>
      <c r="CR12" s="35"/>
      <c r="CS12" s="35"/>
      <c r="CT12" s="35"/>
      <c r="CU12" s="35"/>
      <c r="CV12" s="35"/>
      <c r="CW12" s="35"/>
      <c r="CX12" s="35"/>
      <c r="CY12" s="35"/>
      <c r="CZ12" s="35"/>
      <c r="DA12" s="35"/>
      <c r="DB12" s="35"/>
      <c r="DC12" s="35"/>
      <c r="DD12" s="35"/>
      <c r="DE12" s="35"/>
      <c r="DF12" s="35"/>
      <c r="DG12" s="35"/>
      <c r="DH12" s="35"/>
      <c r="DI12" s="35"/>
      <c r="DJ12" s="35"/>
      <c r="DK12" s="35"/>
      <c r="DL12" s="35"/>
      <c r="DM12" s="35"/>
      <c r="DN12" s="35"/>
      <c r="DO12" s="35"/>
      <c r="DP12" s="35"/>
      <c r="DQ12" s="35"/>
      <c r="DR12" s="35"/>
      <c r="DS12" s="35"/>
      <c r="DT12" s="35"/>
      <c r="DU12" s="35"/>
      <c r="DV12" s="35"/>
      <c r="DW12" s="35"/>
      <c r="DX12" s="35"/>
      <c r="DY12" s="35"/>
      <c r="DZ12" s="35"/>
      <c r="EA12" s="35"/>
      <c r="EB12" s="35"/>
      <c r="EC12" s="35"/>
      <c r="ED12" s="35"/>
      <c r="EE12" s="35"/>
      <c r="EF12" s="35"/>
      <c r="EG12" s="35"/>
      <c r="EH12" s="35"/>
      <c r="EI12" s="35"/>
      <c r="EJ12" s="35"/>
      <c r="EK12" s="35"/>
      <c r="EL12" s="35"/>
      <c r="EM12" s="35"/>
      <c r="EN12" s="35"/>
      <c r="EO12" s="35"/>
      <c r="EP12" s="35"/>
      <c r="EQ12" s="35"/>
      <c r="ER12" s="35"/>
      <c r="ES12" s="35"/>
      <c r="ET12" s="35"/>
      <c r="EU12" s="35"/>
      <c r="EV12" s="35"/>
      <c r="EW12" s="35"/>
      <c r="EX12" s="35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CheckAllocatedTaxlots!$4:$4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65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IFERROR(__xludf.DUMMYFUNCTION("""COMPUTED_VALUE"""),"CheckPreferences")</f>
        <v>CheckPreferences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IFERROR(__xludf.DUMMYFUNCTION("""COMPUTED_VALUE"""),"isRowCountCheck")</f>
        <v>isRowCountCheck</v>
      </c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54" t="s">
        <v>33</v>
      </c>
      <c r="C6" s="54"/>
      <c r="D6" s="56"/>
      <c r="E6" s="60">
        <v>1000.0</v>
      </c>
      <c r="F6" s="54" t="s">
        <v>66</v>
      </c>
      <c r="G6" s="54" t="s">
        <v>42</v>
      </c>
      <c r="H6" s="56">
        <v>4.0</v>
      </c>
      <c r="I6" s="56">
        <v>5.0</v>
      </c>
      <c r="J6" s="56">
        <v>1.0</v>
      </c>
      <c r="K6" s="56">
        <v>10.0</v>
      </c>
      <c r="L6" s="56">
        <v>10.0</v>
      </c>
      <c r="M6" s="54" t="s">
        <v>50</v>
      </c>
      <c r="N6" s="54"/>
      <c r="O6" s="54" t="s">
        <v>49</v>
      </c>
      <c r="P6" s="58"/>
      <c r="Q6" s="56"/>
      <c r="R6" s="56">
        <v>0.0</v>
      </c>
      <c r="S6" s="54" t="s">
        <v>64</v>
      </c>
      <c r="T6" s="56">
        <v>0.0</v>
      </c>
      <c r="U6" s="56">
        <v>0.0</v>
      </c>
      <c r="V6" s="54"/>
      <c r="W6" s="56"/>
      <c r="X6" s="56"/>
      <c r="Y6" s="58"/>
      <c r="Z6" s="54" t="s">
        <v>45</v>
      </c>
      <c r="AA6" s="54"/>
      <c r="AB6" s="56">
        <v>1.0</v>
      </c>
      <c r="AC6" s="54"/>
      <c r="AD6" s="54" t="s">
        <v>44</v>
      </c>
      <c r="AE6" s="60">
        <v>1000.0</v>
      </c>
      <c r="AF6" s="59"/>
      <c r="AG6" s="59"/>
      <c r="AH6" s="54" t="s">
        <v>63</v>
      </c>
      <c r="AI6" s="56">
        <v>1.0</v>
      </c>
      <c r="AJ6" s="54" t="s">
        <v>51</v>
      </c>
      <c r="AK6" s="58"/>
      <c r="AL6" s="58"/>
      <c r="AM6" s="54"/>
      <c r="AN6" s="54" t="b">
        <v>0</v>
      </c>
      <c r="AO6" s="58"/>
      <c r="AP6" s="54" t="b">
        <v>1</v>
      </c>
      <c r="AQ6" s="54" t="b">
        <v>0</v>
      </c>
      <c r="AR6" s="54" t="b">
        <v>1</v>
      </c>
      <c r="AS6" s="56"/>
      <c r="AT6" s="60">
        <v>10014.0056</v>
      </c>
      <c r="AU6" s="60">
        <v>10014.0056</v>
      </c>
      <c r="AV6" s="53"/>
      <c r="AW6" s="56">
        <v>0.0</v>
      </c>
      <c r="AX6" s="56">
        <v>0.0</v>
      </c>
      <c r="AY6" s="54" t="s">
        <v>67</v>
      </c>
      <c r="AZ6" s="56">
        <v>0.0</v>
      </c>
      <c r="BA6" s="53"/>
      <c r="BB6" s="58"/>
      <c r="BC6" s="56">
        <v>0.0</v>
      </c>
      <c r="BD6" s="54"/>
      <c r="BE6" s="60">
        <v>10000.0</v>
      </c>
      <c r="BF6" s="60">
        <v>10000.0</v>
      </c>
      <c r="BG6" s="53"/>
      <c r="BH6" s="58"/>
      <c r="BI6" s="58"/>
      <c r="BJ6" s="60">
        <v>1000.0</v>
      </c>
      <c r="BK6" s="56">
        <v>0.0</v>
      </c>
      <c r="BL6" s="54"/>
      <c r="BM6" s="54" t="s">
        <v>45</v>
      </c>
      <c r="BN6" s="53"/>
      <c r="BO6" s="54" t="s">
        <v>32</v>
      </c>
      <c r="BP6" s="56">
        <v>0.0</v>
      </c>
      <c r="BQ6" s="56">
        <v>0.0</v>
      </c>
      <c r="BR6" s="56">
        <v>0.0056</v>
      </c>
      <c r="BS6" s="54" t="s">
        <v>41</v>
      </c>
      <c r="BT6" s="54" t="s">
        <v>31</v>
      </c>
      <c r="BU6" s="56">
        <v>3.0</v>
      </c>
      <c r="BV6" s="56">
        <v>0.0</v>
      </c>
      <c r="BW6" s="56">
        <v>14.0056</v>
      </c>
      <c r="BX6" s="56">
        <v>0.0</v>
      </c>
      <c r="CF6" s="54" t="s">
        <v>68</v>
      </c>
      <c r="CG6" s="56">
        <v>2.0</v>
      </c>
      <c r="CH6" s="54" t="s">
        <v>29</v>
      </c>
      <c r="CI6" s="54" t="s">
        <v>32</v>
      </c>
      <c r="CJ6" s="56">
        <v>0.0</v>
      </c>
      <c r="CK6" s="54" t="s">
        <v>43</v>
      </c>
      <c r="CL6" s="56">
        <v>1.0</v>
      </c>
      <c r="CM6" s="54" t="s">
        <v>31</v>
      </c>
      <c r="CN6" s="54" t="s">
        <v>48</v>
      </c>
      <c r="CO6" s="54" t="s">
        <v>44</v>
      </c>
      <c r="CP6" s="54" t="s">
        <v>69</v>
      </c>
      <c r="CQ6" s="58"/>
      <c r="CR6" s="58"/>
      <c r="CS6" s="56"/>
      <c r="CT6" s="58"/>
      <c r="CU6" s="58"/>
      <c r="CV6" s="53"/>
      <c r="CW6" s="59"/>
      <c r="CX6" s="58"/>
      <c r="CY6" s="58"/>
      <c r="CZ6" s="56"/>
      <c r="DA6" s="58"/>
      <c r="DB6" s="56"/>
      <c r="DC6" s="58"/>
      <c r="DD6" s="54"/>
    </row>
    <row r="7" ht="15.75" customHeight="1">
      <c r="A7" s="8"/>
      <c r="B7" s="54" t="s">
        <v>70</v>
      </c>
      <c r="C7" s="54"/>
      <c r="D7" s="56"/>
      <c r="E7" s="60">
        <v>19000.0</v>
      </c>
      <c r="F7" s="54" t="s">
        <v>19</v>
      </c>
      <c r="G7" s="54" t="s">
        <v>42</v>
      </c>
      <c r="H7" s="56">
        <v>4.0</v>
      </c>
      <c r="I7" s="56">
        <v>5.0</v>
      </c>
      <c r="J7" s="56">
        <v>1.0</v>
      </c>
      <c r="K7" s="56">
        <v>10.0</v>
      </c>
      <c r="L7" s="56">
        <v>10.0</v>
      </c>
      <c r="M7" s="54" t="s">
        <v>50</v>
      </c>
      <c r="N7" s="54"/>
      <c r="O7" s="54" t="s">
        <v>49</v>
      </c>
      <c r="P7" s="58"/>
      <c r="Q7" s="56"/>
      <c r="R7" s="56">
        <v>0.0</v>
      </c>
      <c r="S7" s="54" t="s">
        <v>64</v>
      </c>
      <c r="T7" s="56">
        <v>0.0</v>
      </c>
      <c r="U7" s="56">
        <v>0.0</v>
      </c>
      <c r="V7" s="54"/>
      <c r="W7" s="56"/>
      <c r="X7" s="56"/>
      <c r="Y7" s="58"/>
      <c r="Z7" s="54" t="s">
        <v>45</v>
      </c>
      <c r="AA7" s="54"/>
      <c r="AB7" s="56">
        <v>1.0</v>
      </c>
      <c r="AC7" s="54"/>
      <c r="AD7" s="54" t="s">
        <v>44</v>
      </c>
      <c r="AE7" s="60">
        <v>19000.0</v>
      </c>
      <c r="AF7" s="59"/>
      <c r="AG7" s="59"/>
      <c r="AH7" s="54" t="s">
        <v>63</v>
      </c>
      <c r="AI7" s="56">
        <v>1.0</v>
      </c>
      <c r="AJ7" s="54" t="s">
        <v>51</v>
      </c>
      <c r="AK7" s="58"/>
      <c r="AL7" s="58"/>
      <c r="AM7" s="54"/>
      <c r="AN7" s="54" t="b">
        <v>0</v>
      </c>
      <c r="AO7" s="58"/>
      <c r="AP7" s="54" t="b">
        <v>1</v>
      </c>
      <c r="AQ7" s="54" t="b">
        <v>0</v>
      </c>
      <c r="AR7" s="54" t="b">
        <v>1</v>
      </c>
      <c r="AS7" s="56"/>
      <c r="AT7" s="60">
        <v>190014.1064</v>
      </c>
      <c r="AU7" s="60">
        <v>190014.1064</v>
      </c>
      <c r="AV7" s="53"/>
      <c r="AW7" s="56">
        <v>0.0</v>
      </c>
      <c r="AX7" s="56">
        <v>0.0</v>
      </c>
      <c r="AY7" s="54" t="s">
        <v>67</v>
      </c>
      <c r="AZ7" s="56">
        <v>0.0</v>
      </c>
      <c r="BA7" s="53"/>
      <c r="BB7" s="58"/>
      <c r="BC7" s="56">
        <v>0.0</v>
      </c>
      <c r="BD7" s="54"/>
      <c r="BE7" s="60">
        <v>190000.0</v>
      </c>
      <c r="BF7" s="60">
        <v>190000.0</v>
      </c>
      <c r="BG7" s="53"/>
      <c r="BH7" s="58"/>
      <c r="BI7" s="58"/>
      <c r="BJ7" s="60">
        <v>19000.0</v>
      </c>
      <c r="BK7" s="56">
        <v>0.0</v>
      </c>
      <c r="BL7" s="54"/>
      <c r="BM7" s="54" t="s">
        <v>45</v>
      </c>
      <c r="BN7" s="53"/>
      <c r="BO7" s="54" t="s">
        <v>32</v>
      </c>
      <c r="BP7" s="56">
        <v>0.0</v>
      </c>
      <c r="BQ7" s="56">
        <v>0.0</v>
      </c>
      <c r="BR7" s="56">
        <v>0.1064</v>
      </c>
      <c r="BS7" s="54" t="s">
        <v>70</v>
      </c>
      <c r="BT7" s="54" t="s">
        <v>31</v>
      </c>
      <c r="BU7" s="56">
        <v>3.0</v>
      </c>
      <c r="BV7" s="56">
        <v>0.0</v>
      </c>
      <c r="BW7" s="56">
        <v>14.1064</v>
      </c>
      <c r="BX7" s="56">
        <v>0.0</v>
      </c>
      <c r="CF7" s="54" t="s">
        <v>68</v>
      </c>
      <c r="CG7" s="56">
        <v>2.0</v>
      </c>
      <c r="CH7" s="54" t="s">
        <v>29</v>
      </c>
      <c r="CI7" s="54" t="s">
        <v>32</v>
      </c>
      <c r="CJ7" s="56">
        <v>0.0</v>
      </c>
      <c r="CK7" s="54" t="s">
        <v>43</v>
      </c>
      <c r="CL7" s="56">
        <v>1.0</v>
      </c>
      <c r="CM7" s="54" t="s">
        <v>31</v>
      </c>
      <c r="CN7" s="54" t="s">
        <v>48</v>
      </c>
      <c r="CO7" s="54" t="s">
        <v>44</v>
      </c>
      <c r="CP7" s="54" t="s">
        <v>69</v>
      </c>
      <c r="CQ7" s="58"/>
      <c r="CR7" s="58"/>
      <c r="CS7" s="56"/>
      <c r="CT7" s="58"/>
      <c r="CU7" s="58"/>
      <c r="CV7" s="53"/>
      <c r="CW7" s="59"/>
      <c r="CX7" s="58"/>
      <c r="CY7" s="58"/>
      <c r="CZ7" s="56"/>
      <c r="DA7" s="58"/>
      <c r="DB7" s="56"/>
      <c r="DC7" s="58"/>
      <c r="DD7" s="5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