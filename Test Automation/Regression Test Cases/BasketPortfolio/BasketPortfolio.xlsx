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RestartReleasesAndServices" sheetId="5" r:id="rId7"/>
    <sheet state="visible" name="GetDailyCash" sheetId="6" r:id="rId8"/>
    <sheet state="visible" name="UpdateMultipleDailyCash" sheetId="7" r:id="rId9"/>
    <sheet state="visible" name="CustomOrderTT" sheetId="8" r:id="rId10"/>
    <sheet state="visible" name="CreateDoneAwayOrder" sheetId="9" r:id="rId11"/>
    <sheet state="visible" name="GetDataAllocation" sheetId="10" r:id="rId12"/>
    <sheet state="visible" name="SelectAllocatedGroup" sheetId="11" r:id="rId13"/>
    <sheet state="visible" name="BookOrUpdateSwap" sheetId="12" r:id="rId14"/>
    <sheet state="visible" name="PricingInput" sheetId="13" r:id="rId15"/>
    <sheet state="visible" name="GetMarkPriceData" sheetId="14" r:id="rId16"/>
    <sheet state="visible" name="UpdateMarkPrice" sheetId="15" r:id="rId17"/>
    <sheet state="visible" name="GetForexConversion" sheetId="16" r:id="rId18"/>
    <sheet state="visible" name="UpdateForexConversion" sheetId="17" r:id="rId19"/>
    <sheet state="visible" name="UpdateDailyCash" sheetId="18" r:id="rId20"/>
    <sheet state="visible" name="GetCashTransaction" sheetId="19" r:id="rId21"/>
    <sheet state="visible" name="AddCashTransaction" sheetId="20" r:id="rId22"/>
    <sheet state="visible" name="GetAccountBalance" sheetId="21" r:id="rId23"/>
  </sheets>
  <definedNames/>
  <calcPr/>
</workbook>
</file>

<file path=xl/sharedStrings.xml><?xml version="1.0" encoding="utf-8"?>
<sst xmlns="http://schemas.openxmlformats.org/spreadsheetml/2006/main" count="243" uniqueCount="60">
  <si>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</si>
  <si>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</si>
  <si>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</si>
  <si>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</si>
  <si>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</si>
  <si>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</si>
  <si>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</si>
  <si>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</si>
  <si>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</si>
  <si>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</si>
  <si>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</si>
  <si>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</si>
  <si>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</si>
  <si>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</si>
  <si>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</si>
  <si>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</si>
  <si>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CalculateFxGainLossOnFutures</t>
  </si>
  <si>
    <t>IsM2MIncludedInCash</t>
  </si>
  <si>
    <t>Restart Basket</t>
  </si>
  <si>
    <t>DontShutSimulator</t>
  </si>
  <si>
    <t>Yes</t>
  </si>
  <si>
    <t>DailyValuation</t>
  </si>
  <si>
    <t>GetDailyCash</t>
  </si>
  <si>
    <t>UpdateMultipleDailyCash</t>
  </si>
  <si>
    <t>Allocation1</t>
  </si>
  <si>
    <t>USD</t>
  </si>
  <si>
    <t>Allocation3</t>
  </si>
  <si>
    <t>TradingTicket</t>
  </si>
  <si>
    <t>CustomOrderTT</t>
  </si>
  <si>
    <t>AVO-TC</t>
  </si>
  <si>
    <t>Done Away</t>
  </si>
  <si>
    <t>Allocation2</t>
  </si>
  <si>
    <t>AAPL</t>
  </si>
  <si>
    <t>FRU-TC</t>
  </si>
  <si>
    <t>MSFT</t>
  </si>
  <si>
    <t>DBLSX</t>
  </si>
  <si>
    <t>O:COP 14O62.50</t>
  </si>
  <si>
    <t>ES U2</t>
  </si>
  <si>
    <t>Create Order</t>
  </si>
  <si>
    <t>CreateDoneAwayOrder</t>
  </si>
  <si>
    <t>Buy</t>
  </si>
  <si>
    <t>Allocation</t>
  </si>
  <si>
    <t>GetDataAllocation</t>
  </si>
  <si>
    <t>Historical</t>
  </si>
  <si>
    <t>SelectAllocatedGroup</t>
  </si>
  <si>
    <t>BookOrUpdateSwap</t>
  </si>
  <si>
    <t>PricingInput</t>
  </si>
  <si>
    <t>COP</t>
  </si>
  <si>
    <t>GetMarkPriceData</t>
  </si>
  <si>
    <t>UpdateMarkPrice</t>
  </si>
  <si>
    <t>GetForexConversion</t>
  </si>
  <si>
    <t>UpdateForexConversion</t>
  </si>
  <si>
    <t>CAD</t>
  </si>
  <si>
    <t>CAD AO-FX</t>
  </si>
  <si>
    <t>UpdateDailyCash</t>
  </si>
  <si>
    <t>GeneralLedger</t>
  </si>
  <si>
    <t>GetCashTransaction</t>
  </si>
  <si>
    <t>AddCashTransaction</t>
  </si>
  <si>
    <t>DividendIncome</t>
  </si>
  <si>
    <t>GetAccountBalance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</si>
</sst>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readingOrder="0" vertical="bottom"/>
    </xf>
    <xf borderId="4" fillId="5" fontId="3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8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readingOrder="0" vertical="bottom"/>
    </xf>
    <xf borderId="8" fillId="0" fontId="5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6" fontId="13" numFmtId="164" xfId="0" applyAlignment="1" applyBorder="1" applyFill="1" applyFont="1" applyNumberFormat="1">
      <alignment horizontal="right" vertical="bottom"/>
    </xf>
    <xf borderId="6" fillId="0" fontId="5" numFmtId="0" xfId="0" applyAlignment="1" applyBorder="1" applyFont="1">
      <alignment horizontal="right" vertical="bottom"/>
    </xf>
    <xf borderId="6" fillId="6" fontId="13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7" fillId="6" fontId="13" numFmtId="14" xfId="0" applyAlignment="1" applyBorder="1" applyFont="1" applyNumberFormat="1">
      <alignment horizontal="right" vertical="bottom"/>
    </xf>
    <xf borderId="7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7" fillId="0" fontId="3" numFmtId="0" xfId="0" applyAlignment="1" applyBorder="1" applyFont="1">
      <alignment horizontal="right" vertical="bottom"/>
    </xf>
    <xf borderId="8" fillId="0" fontId="5" numFmtId="0" xfId="0" applyAlignment="1" applyBorder="1" applyFont="1">
      <alignment horizontal="right" readingOrder="0"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horizontal="right" vertical="bottom"/>
    </xf>
    <xf borderId="9" fillId="0" fontId="3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10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6" fillId="0" fontId="3" numFmtId="165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b">
        <v>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17</v>
      </c>
      <c r="C7" s="32" t="b">
        <v>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35"/>
      <c r="B5" s="36" t="s">
        <v>18</v>
      </c>
      <c r="C5" s="36" t="s">
        <v>19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</row>
    <row r="6">
      <c r="A6" s="33"/>
      <c r="B6" s="38" t="s">
        <v>20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>
        <f t="shared" ref="B6:C6" si="1">today()-1</f>
        <v>45943</v>
      </c>
      <c r="C6" s="40">
        <f t="shared" si="1"/>
        <v>45943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1" t="s">
        <v>24</v>
      </c>
      <c r="C6" s="42" t="s">
        <v>25</v>
      </c>
      <c r="D6" s="43">
        <v>100000.0</v>
      </c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26</v>
      </c>
      <c r="C7" s="45" t="s">
        <v>25</v>
      </c>
      <c r="D7" s="46">
        <v>100000.0</v>
      </c>
      <c r="E7" s="47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/>
      <c r="C8" s="33"/>
      <c r="D8" s="33"/>
      <c r="E8" s="33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29</v>
      </c>
      <c r="C6" s="48">
        <v>100.0</v>
      </c>
      <c r="D6" s="49">
        <v>10.0</v>
      </c>
      <c r="E6" s="50" t="s">
        <v>30</v>
      </c>
      <c r="G6" s="51"/>
      <c r="H6" s="52"/>
      <c r="I6" s="51" t="s">
        <v>31</v>
      </c>
      <c r="K6" s="52"/>
      <c r="L6" s="52"/>
      <c r="M6" s="52"/>
      <c r="O6" s="52"/>
      <c r="P6" s="52"/>
      <c r="Q6" s="52"/>
      <c r="R6" s="52"/>
      <c r="S6" s="52"/>
      <c r="T6" s="33"/>
      <c r="U6" s="33"/>
      <c r="V6" s="33"/>
      <c r="W6" s="33"/>
      <c r="X6" s="33"/>
      <c r="Y6" s="33"/>
      <c r="Z6" s="53">
        <f>TODAY()-28</f>
        <v>45916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0"/>
      <c r="B7" s="30" t="s">
        <v>32</v>
      </c>
      <c r="C7" s="54">
        <v>100.0</v>
      </c>
      <c r="D7" s="43">
        <v>2.0</v>
      </c>
      <c r="E7" s="50" t="s">
        <v>30</v>
      </c>
      <c r="G7" s="44"/>
      <c r="H7" s="44"/>
      <c r="I7" s="44" t="s">
        <v>24</v>
      </c>
      <c r="K7" s="44"/>
      <c r="L7" s="44"/>
      <c r="M7" s="44"/>
      <c r="O7" s="44"/>
      <c r="P7" s="44"/>
      <c r="Q7" s="44"/>
      <c r="R7" s="44"/>
      <c r="S7" s="44"/>
      <c r="T7" s="33"/>
      <c r="U7" s="33"/>
      <c r="V7" s="33"/>
      <c r="W7" s="33"/>
      <c r="X7" s="33"/>
      <c r="Y7" s="33"/>
      <c r="Z7" s="55">
        <f t="shared" ref="Z7:Z13" si="1">TODAY()-1</f>
        <v>45943</v>
      </c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56"/>
      <c r="B8" s="47" t="s">
        <v>33</v>
      </c>
      <c r="C8" s="46">
        <v>100.0</v>
      </c>
      <c r="D8" s="46">
        <v>2.0</v>
      </c>
      <c r="E8" s="50" t="s">
        <v>30</v>
      </c>
      <c r="G8" s="47"/>
      <c r="H8" s="47"/>
      <c r="I8" s="47" t="s">
        <v>24</v>
      </c>
      <c r="K8" s="47"/>
      <c r="L8" s="47"/>
      <c r="M8" s="47"/>
      <c r="O8" s="47"/>
      <c r="P8" s="47"/>
      <c r="Q8" s="47"/>
      <c r="R8" s="47"/>
      <c r="S8" s="47"/>
      <c r="T8" s="33"/>
      <c r="U8" s="33"/>
      <c r="V8" s="33"/>
      <c r="W8" s="33"/>
      <c r="X8" s="33"/>
      <c r="Y8" s="33"/>
      <c r="Z8" s="57">
        <f t="shared" si="1"/>
        <v>45943</v>
      </c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56"/>
      <c r="B9" s="47" t="s">
        <v>34</v>
      </c>
      <c r="C9" s="46">
        <v>100.0</v>
      </c>
      <c r="D9" s="46">
        <v>2.0</v>
      </c>
      <c r="E9" s="50" t="s">
        <v>30</v>
      </c>
      <c r="G9" s="47"/>
      <c r="H9" s="47"/>
      <c r="I9" s="47" t="s">
        <v>24</v>
      </c>
      <c r="K9" s="47"/>
      <c r="L9" s="47"/>
      <c r="M9" s="47"/>
      <c r="O9" s="47"/>
      <c r="P9" s="47"/>
      <c r="Q9" s="47"/>
      <c r="R9" s="47"/>
      <c r="S9" s="47"/>
      <c r="T9" s="33"/>
      <c r="U9" s="33"/>
      <c r="V9" s="33"/>
      <c r="W9" s="33"/>
      <c r="X9" s="33"/>
      <c r="Y9" s="33"/>
      <c r="Z9" s="57">
        <f t="shared" si="1"/>
        <v>45943</v>
      </c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56"/>
      <c r="B10" s="47" t="s">
        <v>35</v>
      </c>
      <c r="C10" s="46">
        <v>100.0</v>
      </c>
      <c r="D10" s="46">
        <v>2.0</v>
      </c>
      <c r="E10" s="50" t="s">
        <v>30</v>
      </c>
      <c r="G10" s="47"/>
      <c r="H10" s="47"/>
      <c r="I10" s="47" t="s">
        <v>24</v>
      </c>
      <c r="K10" s="47"/>
      <c r="L10" s="47"/>
      <c r="M10" s="47"/>
      <c r="O10" s="47"/>
      <c r="P10" s="47"/>
      <c r="Q10" s="47"/>
      <c r="R10" s="47"/>
      <c r="S10" s="47"/>
      <c r="T10" s="33"/>
      <c r="U10" s="33"/>
      <c r="V10" s="33"/>
      <c r="W10" s="33"/>
      <c r="X10" s="33"/>
      <c r="Y10" s="33"/>
      <c r="Z10" s="57">
        <f t="shared" si="1"/>
        <v>45943</v>
      </c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56"/>
      <c r="B11" s="47" t="s">
        <v>36</v>
      </c>
      <c r="C11" s="46">
        <v>100.0</v>
      </c>
      <c r="D11" s="46">
        <v>2.0</v>
      </c>
      <c r="E11" s="50" t="s">
        <v>30</v>
      </c>
      <c r="G11" s="47"/>
      <c r="H11" s="47"/>
      <c r="I11" s="47" t="s">
        <v>24</v>
      </c>
      <c r="K11" s="47"/>
      <c r="L11" s="47"/>
      <c r="M11" s="47"/>
      <c r="O11" s="47"/>
      <c r="P11" s="47"/>
      <c r="Q11" s="47"/>
      <c r="R11" s="47"/>
      <c r="S11" s="47"/>
      <c r="T11" s="33"/>
      <c r="U11" s="33"/>
      <c r="V11" s="33"/>
      <c r="W11" s="33"/>
      <c r="X11" s="33"/>
      <c r="Y11" s="33"/>
      <c r="Z11" s="57">
        <f t="shared" si="1"/>
        <v>45943</v>
      </c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56"/>
      <c r="B12" s="47" t="s">
        <v>37</v>
      </c>
      <c r="C12" s="46">
        <v>100.0</v>
      </c>
      <c r="D12" s="46">
        <v>2.0</v>
      </c>
      <c r="E12" s="50" t="s">
        <v>30</v>
      </c>
      <c r="G12" s="47"/>
      <c r="H12" s="47"/>
      <c r="I12" s="47" t="s">
        <v>24</v>
      </c>
      <c r="K12" s="47"/>
      <c r="L12" s="47"/>
      <c r="M12" s="47"/>
      <c r="O12" s="47"/>
      <c r="P12" s="47"/>
      <c r="Q12" s="47"/>
      <c r="R12" s="47"/>
      <c r="S12" s="47"/>
      <c r="T12" s="33"/>
      <c r="U12" s="33"/>
      <c r="V12" s="33"/>
      <c r="W12" s="33"/>
      <c r="X12" s="33"/>
      <c r="Y12" s="33"/>
      <c r="Z12" s="57">
        <f t="shared" si="1"/>
        <v>45943</v>
      </c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56"/>
      <c r="B13" s="58">
        <v>1.23456789E8</v>
      </c>
      <c r="C13" s="46">
        <v>100.0</v>
      </c>
      <c r="D13" s="46">
        <v>2.0</v>
      </c>
      <c r="E13" s="50" t="s">
        <v>30</v>
      </c>
      <c r="G13" s="47"/>
      <c r="H13" s="47"/>
      <c r="I13" s="47" t="s">
        <v>24</v>
      </c>
      <c r="K13" s="47"/>
      <c r="L13" s="47"/>
      <c r="M13" s="47"/>
      <c r="O13" s="47"/>
      <c r="P13" s="47"/>
      <c r="Q13" s="47"/>
      <c r="R13" s="47"/>
      <c r="S13" s="47"/>
      <c r="T13" s="33"/>
      <c r="U13" s="33"/>
      <c r="V13" s="33"/>
      <c r="W13" s="33"/>
      <c r="X13" s="33"/>
      <c r="Y13" s="33"/>
      <c r="Z13" s="57">
        <f t="shared" si="1"/>
        <v>45943</v>
      </c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56"/>
      <c r="B14" s="45" t="s">
        <v>32</v>
      </c>
      <c r="C14" s="46">
        <v>100.0</v>
      </c>
      <c r="D14" s="46">
        <v>2.0</v>
      </c>
      <c r="E14" s="50" t="s">
        <v>30</v>
      </c>
      <c r="G14" s="45"/>
      <c r="H14" s="47"/>
      <c r="I14" s="45" t="s">
        <v>26</v>
      </c>
      <c r="K14" s="47"/>
      <c r="L14" s="47"/>
      <c r="M14" s="47"/>
      <c r="O14" s="47"/>
      <c r="P14" s="47"/>
      <c r="Q14" s="47"/>
      <c r="R14" s="47"/>
      <c r="S14" s="47"/>
      <c r="T14" s="33"/>
      <c r="U14" s="33"/>
      <c r="V14" s="33"/>
      <c r="W14" s="33"/>
      <c r="X14" s="33"/>
      <c r="Y14" s="33"/>
      <c r="Z14" s="47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8"/>
      <c r="B15" s="59" t="s">
        <v>32</v>
      </c>
      <c r="C15" s="54">
        <v>100.0</v>
      </c>
      <c r="D15" s="43">
        <v>2.0</v>
      </c>
      <c r="E15" s="60" t="s">
        <v>38</v>
      </c>
      <c r="G15" s="44"/>
      <c r="H15" s="44"/>
      <c r="I15" s="44" t="s">
        <v>24</v>
      </c>
      <c r="K15" s="8"/>
      <c r="L15" s="8"/>
      <c r="M15" s="8"/>
      <c r="N15" s="8"/>
      <c r="O15" s="8"/>
    </row>
    <row r="16" ht="15.75" customHeight="1">
      <c r="A16" s="8"/>
      <c r="B16" s="47" t="s">
        <v>33</v>
      </c>
      <c r="C16" s="46">
        <v>100.0</v>
      </c>
      <c r="D16" s="46">
        <v>2.0</v>
      </c>
      <c r="E16" s="60" t="s">
        <v>38</v>
      </c>
      <c r="G16" s="47"/>
      <c r="H16" s="47"/>
      <c r="I16" s="47" t="s">
        <v>24</v>
      </c>
      <c r="K16" s="8"/>
      <c r="L16" s="8"/>
      <c r="M16" s="8"/>
      <c r="N16" s="8"/>
      <c r="O16" s="8"/>
    </row>
    <row r="17" ht="15.75" customHeight="1">
      <c r="A17" s="8"/>
      <c r="B17" s="47" t="s">
        <v>34</v>
      </c>
      <c r="C17" s="46">
        <v>100.0</v>
      </c>
      <c r="D17" s="46">
        <v>2.0</v>
      </c>
      <c r="E17" s="60" t="s">
        <v>38</v>
      </c>
      <c r="G17" s="47"/>
      <c r="H17" s="47"/>
      <c r="I17" s="47" t="s">
        <v>24</v>
      </c>
      <c r="K17" s="8"/>
      <c r="L17" s="8"/>
      <c r="M17" s="8"/>
      <c r="N17" s="8"/>
      <c r="O17" s="8"/>
    </row>
    <row r="18" ht="15.75" customHeight="1">
      <c r="A18" s="8"/>
      <c r="B18" s="47" t="s">
        <v>35</v>
      </c>
      <c r="C18" s="46">
        <v>100.0</v>
      </c>
      <c r="D18" s="46">
        <v>2.0</v>
      </c>
      <c r="E18" s="60" t="s">
        <v>38</v>
      </c>
      <c r="G18" s="47"/>
      <c r="H18" s="47"/>
      <c r="I18" s="47" t="s">
        <v>24</v>
      </c>
      <c r="K18" s="8"/>
      <c r="L18" s="8"/>
      <c r="M18" s="8"/>
      <c r="N18" s="8"/>
      <c r="O18" s="8"/>
    </row>
    <row r="19" ht="15.75" customHeight="1">
      <c r="A19" s="8"/>
      <c r="B19" s="47" t="s">
        <v>36</v>
      </c>
      <c r="C19" s="46">
        <v>100.0</v>
      </c>
      <c r="D19" s="46">
        <v>2.0</v>
      </c>
      <c r="E19" s="60" t="s">
        <v>38</v>
      </c>
      <c r="G19" s="47"/>
      <c r="H19" s="47"/>
      <c r="I19" s="47" t="s">
        <v>24</v>
      </c>
      <c r="K19" s="8"/>
      <c r="L19" s="8"/>
      <c r="M19" s="8"/>
      <c r="N19" s="8"/>
      <c r="O19" s="8"/>
    </row>
    <row r="20" ht="15.75" customHeight="1">
      <c r="A20" s="8"/>
      <c r="B20" s="47" t="s">
        <v>37</v>
      </c>
      <c r="C20" s="46">
        <v>100.0</v>
      </c>
      <c r="D20" s="46">
        <v>2.0</v>
      </c>
      <c r="E20" s="60" t="s">
        <v>38</v>
      </c>
      <c r="G20" s="47"/>
      <c r="H20" s="47"/>
      <c r="I20" s="47" t="s">
        <v>24</v>
      </c>
      <c r="K20" s="8"/>
      <c r="L20" s="8"/>
      <c r="M20" s="8"/>
      <c r="N20" s="8"/>
      <c r="O20" s="8"/>
    </row>
    <row r="21" ht="15.75" customHeight="1">
      <c r="B21" s="58">
        <v>1.23456789E8</v>
      </c>
      <c r="C21" s="46">
        <v>100.0</v>
      </c>
      <c r="D21" s="46">
        <v>2.0</v>
      </c>
      <c r="E21" s="60" t="s">
        <v>38</v>
      </c>
      <c r="G21" s="47"/>
      <c r="H21" s="47"/>
      <c r="I21" s="47" t="s">
        <v>24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6"/>
      <c r="B6" s="47" t="s">
        <v>32</v>
      </c>
      <c r="C6" s="47" t="s">
        <v>40</v>
      </c>
      <c r="D6" s="46">
        <v>100.0</v>
      </c>
      <c r="E6" s="58">
        <v>0.0</v>
      </c>
      <c r="F6" s="47" t="s">
        <v>24</v>
      </c>
      <c r="G6" s="47"/>
      <c r="H6" s="47"/>
      <c r="I6" s="47"/>
      <c r="J6" s="46">
        <v>2.0</v>
      </c>
      <c r="K6" s="47"/>
      <c r="L6" s="47"/>
      <c r="M6" s="47"/>
      <c r="N6" s="57">
        <f t="shared" ref="N6:N12" si="1">TODAY()-1</f>
        <v>45943</v>
      </c>
      <c r="O6" s="47"/>
      <c r="P6" s="47"/>
      <c r="Q6" s="47"/>
      <c r="R6" s="47"/>
      <c r="S6" s="47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 t="s">
        <v>20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6"/>
      <c r="B7" s="47" t="s">
        <v>33</v>
      </c>
      <c r="C7" s="47" t="s">
        <v>40</v>
      </c>
      <c r="D7" s="46">
        <v>100.0</v>
      </c>
      <c r="E7" s="58">
        <v>0.0</v>
      </c>
      <c r="F7" s="47" t="s">
        <v>24</v>
      </c>
      <c r="G7" s="47"/>
      <c r="H7" s="47"/>
      <c r="I7" s="47"/>
      <c r="J7" s="46">
        <v>2.0</v>
      </c>
      <c r="K7" s="47"/>
      <c r="L7" s="47"/>
      <c r="M7" s="47"/>
      <c r="N7" s="57">
        <f t="shared" si="1"/>
        <v>45943</v>
      </c>
      <c r="O7" s="47"/>
      <c r="P7" s="47"/>
      <c r="Q7" s="47"/>
      <c r="R7" s="47"/>
      <c r="S7" s="47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 t="s">
        <v>20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56"/>
      <c r="B8" s="47" t="s">
        <v>34</v>
      </c>
      <c r="C8" s="47" t="s">
        <v>40</v>
      </c>
      <c r="D8" s="46">
        <v>100.0</v>
      </c>
      <c r="E8" s="58">
        <v>0.0</v>
      </c>
      <c r="F8" s="47" t="s">
        <v>24</v>
      </c>
      <c r="G8" s="47"/>
      <c r="H8" s="47"/>
      <c r="I8" s="47"/>
      <c r="J8" s="46">
        <v>2.0</v>
      </c>
      <c r="K8" s="47"/>
      <c r="L8" s="47"/>
      <c r="M8" s="47"/>
      <c r="N8" s="57">
        <f t="shared" si="1"/>
        <v>45943</v>
      </c>
      <c r="O8" s="47"/>
      <c r="P8" s="47"/>
      <c r="Q8" s="47"/>
      <c r="R8" s="47"/>
      <c r="S8" s="47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 t="s">
        <v>20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56"/>
      <c r="B9" s="47" t="s">
        <v>35</v>
      </c>
      <c r="C9" s="47" t="s">
        <v>40</v>
      </c>
      <c r="D9" s="46">
        <v>100.0</v>
      </c>
      <c r="E9" s="58">
        <v>0.0</v>
      </c>
      <c r="F9" s="47" t="s">
        <v>24</v>
      </c>
      <c r="G9" s="47"/>
      <c r="H9" s="47"/>
      <c r="I9" s="47"/>
      <c r="J9" s="46">
        <v>2.0</v>
      </c>
      <c r="K9" s="47"/>
      <c r="L9" s="47"/>
      <c r="M9" s="47"/>
      <c r="N9" s="57">
        <f t="shared" si="1"/>
        <v>45943</v>
      </c>
      <c r="O9" s="47"/>
      <c r="P9" s="47"/>
      <c r="Q9" s="47"/>
      <c r="R9" s="47"/>
      <c r="S9" s="47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 t="s">
        <v>20</v>
      </c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56"/>
      <c r="B10" s="47" t="s">
        <v>36</v>
      </c>
      <c r="C10" s="47" t="s">
        <v>40</v>
      </c>
      <c r="D10" s="46">
        <v>100.0</v>
      </c>
      <c r="E10" s="58">
        <v>0.0</v>
      </c>
      <c r="F10" s="47" t="s">
        <v>24</v>
      </c>
      <c r="G10" s="47"/>
      <c r="H10" s="47"/>
      <c r="I10" s="47"/>
      <c r="J10" s="46">
        <v>2.0</v>
      </c>
      <c r="K10" s="47"/>
      <c r="L10" s="47"/>
      <c r="M10" s="47"/>
      <c r="N10" s="57">
        <f t="shared" si="1"/>
        <v>45943</v>
      </c>
      <c r="O10" s="47"/>
      <c r="P10" s="47"/>
      <c r="Q10" s="47"/>
      <c r="R10" s="47"/>
      <c r="S10" s="47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 t="s">
        <v>20</v>
      </c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56"/>
      <c r="B11" s="47" t="s">
        <v>37</v>
      </c>
      <c r="C11" s="47" t="s">
        <v>40</v>
      </c>
      <c r="D11" s="46">
        <v>100.0</v>
      </c>
      <c r="E11" s="58">
        <v>0.0</v>
      </c>
      <c r="F11" s="47" t="s">
        <v>24</v>
      </c>
      <c r="G11" s="47"/>
      <c r="H11" s="47"/>
      <c r="I11" s="47"/>
      <c r="J11" s="46">
        <v>2.0</v>
      </c>
      <c r="K11" s="47"/>
      <c r="L11" s="47"/>
      <c r="M11" s="47"/>
      <c r="N11" s="57">
        <f t="shared" si="1"/>
        <v>45943</v>
      </c>
      <c r="O11" s="47"/>
      <c r="P11" s="47"/>
      <c r="Q11" s="47"/>
      <c r="R11" s="47"/>
      <c r="S11" s="47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 t="s">
        <v>20</v>
      </c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56"/>
      <c r="B12" s="58">
        <v>1.23456789E8</v>
      </c>
      <c r="C12" s="47" t="s">
        <v>40</v>
      </c>
      <c r="D12" s="46">
        <v>100.0</v>
      </c>
      <c r="E12" s="58">
        <v>0.0</v>
      </c>
      <c r="F12" s="47" t="s">
        <v>24</v>
      </c>
      <c r="G12" s="47"/>
      <c r="H12" s="47"/>
      <c r="I12" s="47"/>
      <c r="J12" s="46">
        <v>2.0</v>
      </c>
      <c r="K12" s="47"/>
      <c r="L12" s="47"/>
      <c r="M12" s="47"/>
      <c r="N12" s="57">
        <f t="shared" si="1"/>
        <v>45943</v>
      </c>
      <c r="O12" s="47"/>
      <c r="P12" s="47"/>
      <c r="Q12" s="47"/>
      <c r="R12" s="47"/>
      <c r="S12" s="47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 t="s">
        <v>20</v>
      </c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1"/>
      <c r="B6" s="59" t="s">
        <v>43</v>
      </c>
      <c r="C6" s="40">
        <f>today()-1</f>
        <v>45943</v>
      </c>
      <c r="D6" s="40">
        <f>today()</f>
        <v>45944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62" t="s">
        <v>34</v>
      </c>
      <c r="C6" s="43">
        <v>100.0</v>
      </c>
      <c r="D6" s="59"/>
      <c r="E6" s="44" t="s">
        <v>24</v>
      </c>
      <c r="F6" s="44" t="s">
        <v>40</v>
      </c>
      <c r="G6" s="44"/>
      <c r="H6" s="43">
        <v>2.0</v>
      </c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0.0</v>
      </c>
      <c r="D6" s="12"/>
      <c r="E6" s="6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64">
        <v>1.23456789E8</v>
      </c>
      <c r="C6" s="65">
        <v>20.0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6"/>
      <c r="B7" s="33" t="s">
        <v>32</v>
      </c>
      <c r="C7" s="65">
        <v>20.0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56"/>
      <c r="B8" s="66" t="s">
        <v>33</v>
      </c>
      <c r="C8" s="65">
        <v>20.0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56"/>
      <c r="B9" s="66" t="s">
        <v>34</v>
      </c>
      <c r="C9" s="65">
        <v>20.0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56"/>
      <c r="B10" s="66" t="s">
        <v>35</v>
      </c>
      <c r="C10" s="65">
        <v>20.0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56"/>
      <c r="B11" s="66" t="s">
        <v>36</v>
      </c>
      <c r="C11" s="65">
        <v>20.0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56"/>
      <c r="B12" s="66" t="s">
        <v>37</v>
      </c>
      <c r="C12" s="65">
        <v>20.0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4" t="s">
        <v>47</v>
      </c>
      <c r="C13" s="65">
        <v>20.0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>
        <f t="shared" ref="B6:C6" si="1">today()-1</f>
        <v>45943</v>
      </c>
      <c r="C6" s="40">
        <f t="shared" si="1"/>
        <v>45943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67">
        <v>1.23456789E8</v>
      </c>
      <c r="C6" s="43">
        <v>10.0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68" t="s">
        <v>32</v>
      </c>
      <c r="C7" s="69">
        <v>10.0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56"/>
      <c r="B8" s="66" t="s">
        <v>33</v>
      </c>
      <c r="C8" s="69">
        <v>10.0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56"/>
      <c r="B9" s="66" t="s">
        <v>34</v>
      </c>
      <c r="C9" s="69">
        <v>10.0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56"/>
      <c r="B10" s="66" t="s">
        <v>35</v>
      </c>
      <c r="C10" s="69">
        <v>10.0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56"/>
      <c r="B11" s="66" t="s">
        <v>37</v>
      </c>
      <c r="C11" s="69">
        <v>10.0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56"/>
      <c r="B12" s="66" t="s">
        <v>36</v>
      </c>
      <c r="C12" s="69">
        <v>10.0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70" t="s">
        <v>47</v>
      </c>
      <c r="C13" s="69">
        <v>10.0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>
        <f t="shared" ref="B6:C6" si="1">today()-1</f>
        <v>45943</v>
      </c>
      <c r="C6" s="40">
        <f t="shared" si="1"/>
        <v>45943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1"/>
      <c r="B6" s="62" t="s">
        <v>25</v>
      </c>
      <c r="C6" s="42" t="s">
        <v>52</v>
      </c>
      <c r="D6" s="59" t="s">
        <v>53</v>
      </c>
      <c r="E6" s="43">
        <v>1.2</v>
      </c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71" t="s">
        <v>24</v>
      </c>
      <c r="C6" s="42" t="s">
        <v>25</v>
      </c>
      <c r="D6" s="54">
        <v>100000.0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26</v>
      </c>
      <c r="C7" s="34" t="s">
        <v>25</v>
      </c>
      <c r="D7" s="69">
        <v>100000.0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1"/>
      <c r="B6" s="59" t="s">
        <v>24</v>
      </c>
      <c r="C6" s="44"/>
      <c r="D6" s="40">
        <f>today()-3</f>
        <v>45941</v>
      </c>
      <c r="E6" s="40">
        <f>today()</f>
        <v>45944</v>
      </c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GetCashTransaction!$4:$4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9"/>
      <c r="C6" s="44" t="s">
        <v>58</v>
      </c>
      <c r="D6" s="59" t="s">
        <v>32</v>
      </c>
      <c r="E6" s="44"/>
      <c r="F6" s="44" t="s">
        <v>24</v>
      </c>
      <c r="G6" s="44" t="s">
        <v>25</v>
      </c>
      <c r="H6" s="72">
        <v>100000.0</v>
      </c>
      <c r="I6" s="73">
        <f>today()-2</f>
        <v>45942</v>
      </c>
      <c r="J6" s="73">
        <f>today()+8</f>
        <v>45952</v>
      </c>
      <c r="K6" s="73"/>
      <c r="L6" s="73"/>
      <c r="M6" s="44"/>
      <c r="N6" s="44"/>
      <c r="O6" s="44"/>
      <c r="P6" s="44"/>
      <c r="Q6" s="44"/>
      <c r="R6" s="44"/>
      <c r="S6" s="4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1"/>
      <c r="B6" s="59"/>
      <c r="C6" s="44" t="s">
        <v>24</v>
      </c>
      <c r="D6" s="40">
        <f>today()</f>
        <v>45944</v>
      </c>
      <c r="E6" s="74" t="b">
        <v>1</v>
      </c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