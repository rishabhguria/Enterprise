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CreateDoneAwayOrder1" sheetId="6" r:id="rId8"/>
    <sheet state="visible" name="SelectUnallocatedGroup" sheetId="7" r:id="rId9"/>
    <sheet state="visible" name="EnterAccountValuesToAllocate" sheetId="8" r:id="rId10"/>
    <sheet state="visible" name="ReviewExistingPositions" sheetId="9" r:id="rId11"/>
    <sheet state="visible" name="SelectUnallocatedGroup1" sheetId="10" r:id="rId12"/>
    <sheet state="visible" name="EnterAccountValuesToAllocate1" sheetId="11" r:id="rId13"/>
    <sheet state="visible" name="ReviewExistingPositions1" sheetId="12" r:id="rId14"/>
    <sheet state="visible" name="SelectAllocatedGroup" sheetId="13" r:id="rId15"/>
    <sheet state="visible" name="SelectAllocatedGroup1" sheetId="14" r:id="rId16"/>
  </sheets>
  <definedNames/>
  <calcPr/>
</workbook>
</file>

<file path=xl/sharedStrings.xml><?xml version="1.0" encoding="utf-8"?>
<sst xmlns="http://schemas.openxmlformats.org/spreadsheetml/2006/main" count="133" uniqueCount="34">
  <si>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</si>
  <si>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</si>
  <si>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</si>
  <si>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</si>
  <si>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</si>
  <si>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</si>
  <si>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</si>
  <si>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</si>
  <si>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</si>
  <si>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</si>
  <si>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</si>
  <si>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</si>
  <si>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</si>
  <si>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</si>
  <si>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</si>
  <si>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</si>
  <si>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</si>
  <si>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</si>
  <si>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</si>
  <si>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</si>
  <si>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</si>
  <si>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Allocation</t>
  </si>
  <si>
    <t>SetGeneralPreferences</t>
  </si>
  <si>
    <t>Trade Quantity</t>
  </si>
  <si>
    <t>Account Inception</t>
  </si>
  <si>
    <t>Sell short</t>
  </si>
  <si>
    <t>Unallocated</t>
  </si>
  <si>
    <t>Buy to Close</t>
  </si>
  <si>
    <t>SelectUnallocatedGroup</t>
  </si>
  <si>
    <t>EnterAccountValuesToAllocate</t>
  </si>
  <si>
    <t>Allocation4</t>
  </si>
  <si>
    <t>Allocation5</t>
  </si>
  <si>
    <t>ReviewExistingPositions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</si>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</sst>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51.0</v>
      </c>
      <c r="E6" s="31"/>
      <c r="F6" s="13" t="s">
        <v>18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13"/>
      <c r="B7" s="13" t="s">
        <v>16</v>
      </c>
      <c r="C7" s="13" t="s">
        <v>17</v>
      </c>
      <c r="D7" s="13">
        <v>25.0</v>
      </c>
      <c r="E7" s="31"/>
      <c r="F7" s="13" t="s">
        <v>19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13"/>
      <c r="B8" s="13" t="s">
        <v>16</v>
      </c>
      <c r="C8" s="13" t="s">
        <v>17</v>
      </c>
      <c r="D8" s="13">
        <v>25.0</v>
      </c>
      <c r="E8" s="31"/>
      <c r="F8" s="13" t="s">
        <v>20</v>
      </c>
      <c r="G8" s="8"/>
      <c r="H8" s="8"/>
      <c r="I8" s="8"/>
      <c r="J8" s="13">
        <v>12.0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b">
        <v>1</v>
      </c>
      <c r="C6" s="34"/>
      <c r="D6" s="32"/>
      <c r="E6" s="34"/>
      <c r="F6" s="34"/>
      <c r="G6" s="34"/>
      <c r="H6" s="34"/>
      <c r="I6" s="34"/>
      <c r="J6" s="34"/>
      <c r="K6" s="34"/>
      <c r="L6" s="35" t="s">
        <v>23</v>
      </c>
      <c r="M6" s="34"/>
      <c r="N6" s="35" t="s">
        <v>24</v>
      </c>
      <c r="O6" s="34"/>
      <c r="P6" s="34"/>
      <c r="Q6" s="36" t="b">
        <v>0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5" t="s">
        <v>25</v>
      </c>
      <c r="D6" s="37">
        <v>256.0</v>
      </c>
      <c r="E6" s="31"/>
      <c r="F6" s="35" t="s">
        <v>26</v>
      </c>
      <c r="G6" s="8"/>
      <c r="H6" s="8"/>
      <c r="I6" s="8"/>
      <c r="J6" s="37">
        <v>12.0</v>
      </c>
      <c r="K6" s="8"/>
      <c r="L6" s="8"/>
      <c r="M6" s="8"/>
      <c r="N6" s="8"/>
      <c r="O6" s="8"/>
    </row>
    <row r="7" ht="15.75" customHeight="1">
      <c r="A7" s="13"/>
      <c r="B7" s="35" t="s">
        <v>16</v>
      </c>
      <c r="C7" s="38" t="s">
        <v>27</v>
      </c>
      <c r="D7" s="37">
        <v>256.0</v>
      </c>
      <c r="E7" s="31"/>
      <c r="F7" s="35" t="s">
        <v>26</v>
      </c>
      <c r="G7" s="8"/>
      <c r="H7" s="8"/>
      <c r="I7" s="8"/>
      <c r="J7" s="37">
        <v>12.0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5" t="s">
        <v>25</v>
      </c>
      <c r="D6" s="37">
        <v>256.0</v>
      </c>
      <c r="E6" s="37">
        <v>256.0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30</v>
      </c>
      <c r="C6" s="37">
        <v>33.0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31</v>
      </c>
      <c r="C7" s="37">
        <v>67.0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16</v>
      </c>
      <c r="C6" s="38" t="s">
        <v>18</v>
      </c>
      <c r="D6" s="40">
        <v>51.0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 t="s">
        <v>19</v>
      </c>
      <c r="D7" s="37">
        <v>25.0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16</v>
      </c>
      <c r="C8" s="38" t="s">
        <v>20</v>
      </c>
      <c r="D8" s="37">
        <v>25.0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 t="s">
        <v>16</v>
      </c>
      <c r="C9" s="38" t="s">
        <v>30</v>
      </c>
      <c r="D9" s="37">
        <v>-84.0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 t="s">
        <v>16</v>
      </c>
      <c r="C10" s="38" t="s">
        <v>31</v>
      </c>
      <c r="D10" s="37">
        <v>-172.0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ReviewExistingPositions!$4:$4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16</v>
      </c>
      <c r="C6" s="38" t="s">
        <v>27</v>
      </c>
      <c r="D6" s="37">
        <v>256.0</v>
      </c>
      <c r="E6" s="37">
        <v>256.0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9" t="s">
        <v>30</v>
      </c>
      <c r="C6" s="41">
        <v>60.0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31</v>
      </c>
      <c r="C7" s="41">
        <v>40.0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IFERROR(__xludf.DUMMYFUNCTION("""COMPUTED_VALUE"""),"AccountName")</f>
        <v>AccountName</v>
      </c>
      <c r="D5" s="28" t="str">
        <f>IFERROR(__xludf.DUMMYFUNCTION("""COMPUTED_VALUE"""),"Quantity")</f>
        <v>Quantity</v>
      </c>
      <c r="E5" s="28" t="str">
        <f>IFERROR(__xludf.DUMMYFUNCTION("""COMPUTED_VALUE"""),"Notional")</f>
        <v>Notional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 t="s">
        <v>16</v>
      </c>
      <c r="C6" s="38" t="s">
        <v>18</v>
      </c>
      <c r="D6" s="40">
        <v>51.0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16</v>
      </c>
      <c r="C7" s="38" t="s">
        <v>19</v>
      </c>
      <c r="D7" s="37">
        <v>25.0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8" t="s">
        <v>16</v>
      </c>
      <c r="C8" s="38" t="s">
        <v>20</v>
      </c>
      <c r="D8" s="37">
        <v>25.0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8"/>
      <c r="C9" s="38"/>
      <c r="D9" s="41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8"/>
      <c r="C10" s="38"/>
      <c r="D10" s="41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ReviewExistingPositions1!$4:$4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7">
        <v>256.0</v>
      </c>
      <c r="E6" s="31"/>
      <c r="F6" s="35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7">
        <v>256.0</v>
      </c>
      <c r="E6" s="31"/>
      <c r="F6" s="38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