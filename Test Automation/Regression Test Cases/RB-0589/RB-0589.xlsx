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RunRebalance3" sheetId="16" r:id="rId18"/>
    <sheet state="visible" name="SendtoStaging3" sheetId="17" r:id="rId19"/>
    <sheet state="visible" name="RunRebalance4" sheetId="18" r:id="rId20"/>
    <sheet state="visible" name="SendtoStaging4" sheetId="19" r:id="rId21"/>
    <sheet state="visible" name="RunRebalance5" sheetId="20" r:id="rId22"/>
    <sheet state="visible" name="SendtoStaging5" sheetId="21" r:id="rId23"/>
  </sheets>
  <definedNames/>
  <calcPr/>
</workbook>
</file>

<file path=xl/sharedStrings.xml><?xml version="1.0" encoding="utf-8"?>
<sst xmlns="http://schemas.openxmlformats.org/spreadsheetml/2006/main" count="242" uniqueCount="43">
  <si>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</si>
  <si>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</si>
  <si>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</si>
  <si>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</si>
  <si>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</si>
  <si>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</si>
  <si>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</si>
  <si>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</si>
  <si>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</si>
  <si>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</si>
  <si>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</si>
  <si>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AppSetting_Key</t>
  </si>
  <si>
    <t>AppSetting_Value</t>
  </si>
  <si>
    <t>EquitySwapsMarketValueAsEquity</t>
  </si>
  <si>
    <t>Data</t>
  </si>
  <si>
    <t>Rebalancer</t>
  </si>
  <si>
    <t>RebalancePreference</t>
  </si>
  <si>
    <t>Data Format</t>
  </si>
  <si>
    <t>Input Format</t>
  </si>
  <si>
    <t>Allocation1,Other Assets Market Value</t>
  </si>
  <si>
    <t>FetchAccountPositions</t>
  </si>
  <si>
    <t>Allocation5</t>
  </si>
  <si>
    <t>AddCash</t>
  </si>
  <si>
    <t>Impact NAV</t>
  </si>
  <si>
    <t>Target Cash-30</t>
  </si>
  <si>
    <t>RebalanceAcrossSecurities</t>
  </si>
  <si>
    <t>BMW-XET</t>
  </si>
  <si>
    <t>Increase</t>
  </si>
  <si>
    <t>RunRebalance</t>
  </si>
  <si>
    <t>Round Up</t>
  </si>
  <si>
    <t>ModifyRebalance</t>
  </si>
  <si>
    <t>Yes</t>
  </si>
  <si>
    <t>SendtoStaging</t>
  </si>
  <si>
    <t>Buy</t>
  </si>
  <si>
    <t>FRA-FRA</t>
  </si>
  <si>
    <t>SAP</t>
  </si>
  <si>
    <t>SellShort</t>
  </si>
  <si>
    <t>KO</t>
  </si>
  <si>
    <t>INFY</t>
  </si>
  <si>
    <t>AMZN</t>
  </si>
  <si>
    <t>0303-HKG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</si>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</sst>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sz val="11.0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18" t="s">
        <v>11</v>
      </c>
      <c r="C5" s="18" t="s">
        <v>12</v>
      </c>
    </row>
    <row r="6">
      <c r="B6" s="18" t="s">
        <v>13</v>
      </c>
      <c r="C6" s="19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16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IFERROR(__xludf.DUMMYFUNCTION("""COMPUTED_VALUE"""),"RoundLotPreference")</f>
        <v>RoundLotPreference</v>
      </c>
      <c r="C5" s="29" t="str">
        <f>IFERROR(__xludf.DUMMYFUNCTION("""COMPUTED_VALUE"""),"ReinvestCash")</f>
        <v>ReinvestCash</v>
      </c>
      <c r="D5" s="29" t="str">
        <f>IFERROR(__xludf.DUMMYFUNCTION("""COMPUTED_VALUE"""),"Sell to Raise Cash")</f>
        <v>Sell to Raise Cash</v>
      </c>
      <c r="E5" s="29" t="str">
        <f>IFERROR(__xludf.DUMMYFUNCTION("""COMPUTED_VALUE"""),"No Shorting")</f>
        <v>No Shorting</v>
      </c>
      <c r="F5" s="30" t="str">
        <f>IFERROR(__xludf.DUMMYFUNCTION("""COMPUTED_VALUE"""),"Allow Negative Cash")</f>
        <v>Allow Negative Cash</v>
      </c>
      <c r="G5" s="29" t="str">
        <f>IFERROR(__xludf.DUMMYFUNCTION("""COMPUTED_VALUE"""),"Rebalance Across Securities")</f>
        <v>Rebalance Across Securities</v>
      </c>
      <c r="H5" s="29" t="str">
        <f>IFERROR(__xludf.DUMMYFUNCTION("""COMPUTED_VALUE"""),"Other Items Impacting NAV")</f>
        <v>Other Items Impacting NAV</v>
      </c>
      <c r="I5" s="29" t="str">
        <f>IFERROR(__xludf.DUMMYFUNCTION("""COMPUTED_VALUE"""),"NAV Calculation Preference")</f>
        <v>NAV Calculation Preference</v>
      </c>
      <c r="J5" s="29" t="str">
        <f>IFERROR(__xludf.DUMMYFUNCTION("""COMPUTED_VALUE"""),"Account/Groups Visibility")</f>
        <v>Account/Groups Visibility</v>
      </c>
      <c r="K5" s="29" t="str">
        <f>IFERROR(__xludf.DUMMYFUNCTION("""COMPUTED_VALUE"""),"Always Ask for Saving Orders")</f>
        <v>Always Ask for Saving Orders</v>
      </c>
      <c r="L5" s="29" t="str">
        <f>IFERROR(__xludf.DUMMYFUNCTION("""COMPUTED_VALUE"""),"Rounding Type")</f>
        <v>Rounding Type</v>
      </c>
      <c r="M5" s="29" t="str">
        <f>IFERROR(__xludf.DUMMYFUNCTION("""COMPUTED_VALUE"""),"/=/-/=:")</f>
        <v>/=/-/=: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3"/>
      <c r="D6" s="32"/>
      <c r="E6" s="33"/>
      <c r="F6" s="33"/>
      <c r="G6" s="33"/>
      <c r="H6" s="33"/>
      <c r="I6" s="34" t="s">
        <v>19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20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21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 t="str">
        <f>IFERROR(__xludf.DUMMYFUNCTION("""COMPUTED_VALUE"""),"Custom Cash Flow")</f>
        <v>Custom Cash Flow</v>
      </c>
      <c r="F5" s="30" t="str">
        <f>IFERROR(__xludf.DUMMYFUNCTION("""COMPUTED_VALUE"""),"MasterFund Groups")</f>
        <v>MasterFund Groups</v>
      </c>
      <c r="G5" s="29" t="str">
        <f>IFERROR(__xludf.DUMMYFUNCTION("""COMPUTED_VALUE"""),"Accounts")</f>
        <v>Accounts</v>
      </c>
      <c r="H5" s="29" t="str">
        <f>IFERROR(__xludf.DUMMYFUNCTION("""COMPUTED_VALUE"""),"Cash Flow Account Wise")</f>
        <v>Cash Flow Account Wise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6">
        <v>50000.0</v>
      </c>
      <c r="C6" s="37" t="s">
        <v>23</v>
      </c>
      <c r="D6" s="38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25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IFERROR(__xludf.DUMMYFUNCTION("""COMPUTED_VALUE"""),"Set/Inc/Dec")</f>
        <v>Set/Inc/Dec</v>
      </c>
      <c r="D5" s="29" t="str">
        <f>IFERROR(__xludf.DUMMYFUNCTION("""COMPUTED_VALUE"""),"Target%")</f>
        <v>Target%</v>
      </c>
      <c r="E5" s="29" t="str">
        <f>IFERROR(__xludf.DUMMYFUNCTION("""COMPUTED_VALUE"""),"Account/Group")</f>
        <v>Account/Group</v>
      </c>
      <c r="F5" s="30" t="str">
        <f>IFERROR(__xludf.DUMMYFUNCTION("""COMPUTED_VALUE"""),"ReinvestCash")</f>
        <v>ReinvestCash</v>
      </c>
      <c r="G5" s="29" t="str">
        <f>IFERROR(__xludf.DUMMYFUNCTION("""COMPUTED_VALUE"""),"SellToRaiseCash")</f>
        <v>SellToRaiseCash</v>
      </c>
      <c r="H5" s="29" t="str">
        <f>IFERROR(__xludf.DUMMYFUNCTION("""COMPUTED_VALUE"""),"AllowNegCash")</f>
        <v>AllowNegCash</v>
      </c>
      <c r="I5" s="29" t="str">
        <f>IFERROR(__xludf.DUMMYFUNCTION("""COMPUTED_VALUE"""),"NoShortning")</f>
        <v>NoShortning</v>
      </c>
      <c r="J5" s="29" t="str">
        <f>IFERROR(__xludf.DUMMYFUNCTION("""COMPUTED_VALUE"""),"Price")</f>
        <v>Price</v>
      </c>
      <c r="K5" s="29" t="str">
        <f>IFERROR(__xludf.DUMMYFUNCTION("""COMPUTED_VALUE"""),"Fx")</f>
        <v>Fx</v>
      </c>
      <c r="L5" s="29" t="str">
        <f>IFERROR(__xludf.DUMMYFUNCTION("""COMPUTED_VALUE"""),"BPS SET")</f>
        <v>BPS SET</v>
      </c>
      <c r="M5" s="29" t="str">
        <f>IFERROR(__xludf.DUMMYFUNCTION("""COMPUTED_VALUE"""),"SetCashTarget")</f>
        <v>SetCashTarget</v>
      </c>
      <c r="N5" s="29" t="str">
        <f>IFERROR(__xludf.DUMMYFUNCTION("""COMPUTED_VALUE"""),"SetCashTarget%")</f>
        <v>SetCashTarget%</v>
      </c>
      <c r="O5" s="29" t="str">
        <f>IFERROR(__xludf.DUMMYFUNCTION("""COMPUTED_VALUE"""),"SellToRaiseCashAndSetCashTarget")</f>
        <v>SellToRaiseCashAndSetCashTarget</v>
      </c>
      <c r="P5" s="29" t="str">
        <f>IFERROR(__xludf.DUMMYFUNCTION("""COMPUTED_VALUE"""),"AllowNegCashAndSetCashTarget")</f>
        <v>AllowNegCashAndSetCashTarget</v>
      </c>
      <c r="Q5" s="29" t="str">
        <f>IFERROR(__xludf.DUMMYFUNCTION("""COMPUTED_VALUE"""),"DisableCT")</f>
        <v>DisableCT</v>
      </c>
      <c r="R5" s="29" t="str">
        <f>IFERROR(__xludf.DUMMYFUNCTION("""COMPUTED_VALUE"""),"AllowNegCashAndSellToRaise")</f>
        <v>AllowNegCashAndSellToRaise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7" t="s">
        <v>26</v>
      </c>
      <c r="C6" s="39" t="s">
        <v>27</v>
      </c>
      <c r="D6" s="40">
        <v>1.0</v>
      </c>
      <c r="E6" s="33"/>
      <c r="F6" s="33"/>
      <c r="G6" s="33"/>
      <c r="H6" s="33"/>
      <c r="I6" s="33"/>
      <c r="J6" s="41">
        <v>10.0</v>
      </c>
      <c r="K6" s="41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28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7" t="s">
        <v>29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30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IFERROR(__xludf.DUMMYFUNCTION("""COMPUTED_VALUE"""),"Modify Rebalance")</f>
        <v>Modify Rebalance</v>
      </c>
      <c r="C5" s="29" t="str">
        <f>IFERROR(__xludf.DUMMYFUNCTION("""COMPUTED_VALUE"""),"AllowNegCash")</f>
        <v>AllowNegCash</v>
      </c>
      <c r="D5" s="29" t="str">
        <f>IFERROR(__xludf.DUMMYFUNCTION("""COMPUTED_VALUE"""),"SellToRaiseCash")</f>
        <v>SellToRaiseCash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7" t="s">
        <v>31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2" t="s">
        <v>21</v>
      </c>
      <c r="C6" s="42" t="s">
        <v>33</v>
      </c>
      <c r="D6" s="42" t="s">
        <v>34</v>
      </c>
      <c r="E6" s="43">
        <v>18.0</v>
      </c>
      <c r="F6" s="43">
        <v>25.0</v>
      </c>
      <c r="G6" s="43">
        <v>482.0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21</v>
      </c>
      <c r="C7" s="42" t="s">
        <v>33</v>
      </c>
      <c r="D7" s="42" t="s">
        <v>35</v>
      </c>
      <c r="E7" s="43">
        <v>35.0</v>
      </c>
      <c r="F7" s="43">
        <v>10.0</v>
      </c>
      <c r="G7" s="43">
        <v>350.0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21</v>
      </c>
      <c r="C8" s="42" t="s">
        <v>36</v>
      </c>
      <c r="D8" s="42" t="s">
        <v>37</v>
      </c>
      <c r="E8" s="43">
        <v>2.0</v>
      </c>
      <c r="F8" s="43">
        <v>20.0</v>
      </c>
      <c r="G8" s="43">
        <v>-40.0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21</v>
      </c>
      <c r="C9" s="42" t="s">
        <v>36</v>
      </c>
      <c r="D9" s="42" t="s">
        <v>38</v>
      </c>
      <c r="E9" s="43">
        <v>18.0</v>
      </c>
      <c r="F9" s="43">
        <v>10.0</v>
      </c>
      <c r="G9" s="43">
        <v>-180.0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21</v>
      </c>
      <c r="C10" s="42" t="s">
        <v>33</v>
      </c>
      <c r="D10" s="42" t="s">
        <v>39</v>
      </c>
      <c r="E10" s="43">
        <v>35.0</v>
      </c>
      <c r="F10" s="43">
        <v>8.0</v>
      </c>
      <c r="G10" s="43">
        <v>280.0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21</v>
      </c>
      <c r="C11" s="42" t="s">
        <v>33</v>
      </c>
      <c r="D11" s="42" t="s">
        <v>40</v>
      </c>
      <c r="E11" s="43">
        <v>18.0</v>
      </c>
      <c r="F11" s="43">
        <v>10.0</v>
      </c>
      <c r="G11" s="43">
        <v>23.0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21</v>
      </c>
      <c r="C12" s="42" t="s">
        <v>33</v>
      </c>
      <c r="D12" s="42" t="s">
        <v>26</v>
      </c>
      <c r="E12" s="43">
        <v>51.0</v>
      </c>
      <c r="F12" s="43">
        <v>10.0</v>
      </c>
      <c r="G12" s="43">
        <v>510.0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28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5" t="s">
        <v>41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2" t="s">
        <v>21</v>
      </c>
      <c r="C6" s="42" t="s">
        <v>33</v>
      </c>
      <c r="D6" s="42" t="s">
        <v>34</v>
      </c>
      <c r="E6" s="43">
        <v>17.0</v>
      </c>
      <c r="F6" s="43">
        <v>25.0</v>
      </c>
      <c r="G6" s="43">
        <v>455.0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21</v>
      </c>
      <c r="C7" s="42" t="s">
        <v>33</v>
      </c>
      <c r="D7" s="42" t="s">
        <v>35</v>
      </c>
      <c r="E7" s="43">
        <v>35.0</v>
      </c>
      <c r="F7" s="43">
        <v>10.0</v>
      </c>
      <c r="G7" s="43">
        <v>350.0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21</v>
      </c>
      <c r="C8" s="42" t="s">
        <v>36</v>
      </c>
      <c r="D8" s="42" t="s">
        <v>37</v>
      </c>
      <c r="E8" s="43">
        <v>2.0</v>
      </c>
      <c r="F8" s="43">
        <v>20.0</v>
      </c>
      <c r="G8" s="43">
        <v>-40.0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21</v>
      </c>
      <c r="C9" s="42" t="s">
        <v>36</v>
      </c>
      <c r="D9" s="42" t="s">
        <v>38</v>
      </c>
      <c r="E9" s="43">
        <v>17.0</v>
      </c>
      <c r="F9" s="43">
        <v>10.0</v>
      </c>
      <c r="G9" s="43">
        <v>-170.0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21</v>
      </c>
      <c r="C10" s="42" t="s">
        <v>33</v>
      </c>
      <c r="D10" s="42" t="s">
        <v>39</v>
      </c>
      <c r="E10" s="43">
        <v>35.0</v>
      </c>
      <c r="F10" s="43">
        <v>8.0</v>
      </c>
      <c r="G10" s="43">
        <v>280.0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21</v>
      </c>
      <c r="C11" s="42" t="s">
        <v>33</v>
      </c>
      <c r="D11" s="42" t="s">
        <v>40</v>
      </c>
      <c r="E11" s="43">
        <v>17.0</v>
      </c>
      <c r="F11" s="43">
        <v>10.0</v>
      </c>
      <c r="G11" s="43">
        <v>22.0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21</v>
      </c>
      <c r="C12" s="42" t="s">
        <v>33</v>
      </c>
      <c r="D12" s="42" t="s">
        <v>26</v>
      </c>
      <c r="E12" s="43">
        <v>50.0</v>
      </c>
      <c r="F12" s="43">
        <v>10.0</v>
      </c>
      <c r="G12" s="43">
        <v>500.0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28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7" t="s">
        <v>42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2" t="s">
        <v>21</v>
      </c>
      <c r="C6" s="42" t="s">
        <v>33</v>
      </c>
      <c r="D6" s="42" t="s">
        <v>34</v>
      </c>
      <c r="E6" s="43">
        <v>17.0</v>
      </c>
      <c r="F6" s="43">
        <v>25.0</v>
      </c>
      <c r="G6" s="43">
        <v>455.0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21</v>
      </c>
      <c r="C7" s="42" t="s">
        <v>33</v>
      </c>
      <c r="D7" s="42" t="s">
        <v>35</v>
      </c>
      <c r="E7" s="43">
        <v>34.0</v>
      </c>
      <c r="F7" s="43">
        <v>10.0</v>
      </c>
      <c r="G7" s="43">
        <v>340.0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21</v>
      </c>
      <c r="C8" s="42" t="s">
        <v>36</v>
      </c>
      <c r="D8" s="42" t="s">
        <v>37</v>
      </c>
      <c r="E8" s="43">
        <v>1.0</v>
      </c>
      <c r="F8" s="43">
        <v>20.0</v>
      </c>
      <c r="G8" s="43">
        <v>-20.0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21</v>
      </c>
      <c r="C9" s="42" t="s">
        <v>36</v>
      </c>
      <c r="D9" s="42" t="s">
        <v>38</v>
      </c>
      <c r="E9" s="43">
        <v>17.0</v>
      </c>
      <c r="F9" s="43">
        <v>10.0</v>
      </c>
      <c r="G9" s="43">
        <v>-170.0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21</v>
      </c>
      <c r="C10" s="42" t="s">
        <v>33</v>
      </c>
      <c r="D10" s="42" t="s">
        <v>39</v>
      </c>
      <c r="E10" s="43">
        <v>34.0</v>
      </c>
      <c r="F10" s="43">
        <v>8.0</v>
      </c>
      <c r="G10" s="43">
        <v>272.0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21</v>
      </c>
      <c r="C11" s="42" t="s">
        <v>33</v>
      </c>
      <c r="D11" s="42" t="s">
        <v>40</v>
      </c>
      <c r="E11" s="43">
        <v>17.0</v>
      </c>
      <c r="F11" s="43">
        <v>10.0</v>
      </c>
      <c r="G11" s="43">
        <v>22.0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21</v>
      </c>
      <c r="C12" s="42" t="s">
        <v>33</v>
      </c>
      <c r="D12" s="42" t="s">
        <v>26</v>
      </c>
      <c r="E12" s="43">
        <v>49.0</v>
      </c>
      <c r="F12" s="43">
        <v>10.0</v>
      </c>
      <c r="G12" s="43">
        <v>490.0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28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7" t="s">
        <v>29</v>
      </c>
      <c r="C6" s="33"/>
      <c r="D6" s="4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2" t="s">
        <v>21</v>
      </c>
      <c r="C6" s="42" t="s">
        <v>33</v>
      </c>
      <c r="D6" s="42" t="s">
        <v>34</v>
      </c>
      <c r="E6" s="43">
        <v>200.0</v>
      </c>
      <c r="F6" s="43">
        <v>25.0</v>
      </c>
      <c r="G6" s="47">
        <v>5350.0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21</v>
      </c>
      <c r="C7" s="42" t="s">
        <v>33</v>
      </c>
      <c r="D7" s="42" t="s">
        <v>35</v>
      </c>
      <c r="E7" s="43">
        <v>300.0</v>
      </c>
      <c r="F7" s="43">
        <v>10.0</v>
      </c>
      <c r="G7" s="47">
        <v>3000.0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21</v>
      </c>
      <c r="C8" s="42" t="s">
        <v>36</v>
      </c>
      <c r="D8" s="42" t="s">
        <v>37</v>
      </c>
      <c r="E8" s="43">
        <v>600.0</v>
      </c>
      <c r="F8" s="43">
        <v>20.0</v>
      </c>
      <c r="G8" s="47">
        <v>-12000.0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21</v>
      </c>
      <c r="C9" s="42" t="s">
        <v>36</v>
      </c>
      <c r="D9" s="42" t="s">
        <v>38</v>
      </c>
      <c r="E9" s="43">
        <v>500.0</v>
      </c>
      <c r="F9" s="43">
        <v>10.0</v>
      </c>
      <c r="G9" s="47">
        <v>-5000.0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21</v>
      </c>
      <c r="C10" s="42" t="s">
        <v>33</v>
      </c>
      <c r="D10" s="42" t="s">
        <v>39</v>
      </c>
      <c r="E10" s="43">
        <v>100.0</v>
      </c>
      <c r="F10" s="43">
        <v>8.0</v>
      </c>
      <c r="G10" s="43">
        <v>800.0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21</v>
      </c>
      <c r="C11" s="42" t="s">
        <v>33</v>
      </c>
      <c r="D11" s="42" t="s">
        <v>40</v>
      </c>
      <c r="E11" s="43">
        <v>18.0</v>
      </c>
      <c r="F11" s="43">
        <v>10.0</v>
      </c>
      <c r="G11" s="43">
        <v>23.0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21</v>
      </c>
      <c r="C12" s="42" t="s">
        <v>33</v>
      </c>
      <c r="D12" s="42" t="s">
        <v>26</v>
      </c>
      <c r="E12" s="43">
        <v>51.0</v>
      </c>
      <c r="F12" s="43">
        <v>10.0</v>
      </c>
      <c r="G12" s="43">
        <v>510.0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28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5" t="s">
        <v>41</v>
      </c>
      <c r="C6" s="33"/>
      <c r="D6" s="46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2" t="s">
        <v>21</v>
      </c>
      <c r="C6" s="42" t="s">
        <v>33</v>
      </c>
      <c r="D6" s="42" t="s">
        <v>40</v>
      </c>
      <c r="E6" s="43">
        <v>17.0</v>
      </c>
      <c r="F6" s="43">
        <v>10.0</v>
      </c>
      <c r="G6" s="43">
        <v>22.0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21</v>
      </c>
      <c r="C7" s="42" t="s">
        <v>33</v>
      </c>
      <c r="D7" s="42" t="s">
        <v>26</v>
      </c>
      <c r="E7" s="43">
        <v>50.0</v>
      </c>
      <c r="F7" s="43">
        <v>10.0</v>
      </c>
      <c r="G7" s="43">
        <v>500.0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SendtoStaging4!$4:$4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28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 t="str">
        <f>IFERROR(__xludf.DUMMYFUNCTION("""COMPUTED_VALUE"""),"Round Lot")</f>
        <v>Round Lot</v>
      </c>
      <c r="E5" s="29" t="str">
        <f>IFERROR(__xludf.DUMMYFUNCTION("""COMPUTED_VALUE"""),"AllowNegCash")</f>
        <v>AllowNegCash</v>
      </c>
      <c r="F5" s="30" t="str">
        <f>IFERROR(__xludf.DUMMYFUNCTION("""COMPUTED_VALUE"""),"SellToRaiseCash")</f>
        <v>SellToRaiseCash</v>
      </c>
      <c r="G5" s="29" t="str">
        <f>IFERROR(__xludf.DUMMYFUNCTION("""COMPUTED_VALUE"""),"VerifyPopupCashValue")</f>
        <v>VerifyPopupCashValue</v>
      </c>
      <c r="H5" s="29" t="str">
        <f>IFERROR(__xludf.DUMMYFUNCTION("""COMPUTED_VALUE"""),"AllowPopup")</f>
        <v>AllowPopup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7" t="s">
        <v>42</v>
      </c>
      <c r="C6" s="33"/>
      <c r="D6" s="4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14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15</v>
      </c>
      <c r="D3" s="5" t="s">
        <v>9</v>
      </c>
      <c r="E3" s="24" t="s">
        <v>32</v>
      </c>
      <c r="F3" s="5" t="s">
        <v>17</v>
      </c>
      <c r="G3" s="13" t="s">
        <v>18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IFERROR(__xludf.DUMMYFUNCTION("""COMPUTED_VALUE"""),"EnableComplianceTab")</f>
        <v>EnableComplianceTab</v>
      </c>
      <c r="G4" s="26" t="str">
        <f>IFERROR(__xludf.DUMMYFUNCTION("""COMPUTED_VALUE"""),"RebalancePreference")</f>
        <v>RebalancePreference</v>
      </c>
      <c r="H4" s="26" t="str">
        <f>IFERROR(__xludf.DUMMYFUNCTION("""COMPUTED_VALUE"""),"ImportModelPortfolio")</f>
        <v>ImportModelPortfolio</v>
      </c>
      <c r="I4" s="26" t="str">
        <f>IFERROR(__xludf.DUMMYFUNCTION("""COMPUTED_VALUE"""),"RebalanceAcrossSecurities")</f>
        <v>RebalanceAcrossSecurities</v>
      </c>
      <c r="J4" s="26" t="str">
        <f>IFERROR(__xludf.DUMMYFUNCTION("""COMPUTED_VALUE"""),"CheckBasketCompliance")</f>
        <v>CheckBasketCompliance</v>
      </c>
      <c r="K4" s="26" t="str">
        <f>IFERROR(__xludf.DUMMYFUNCTION("""COMPUTED_VALUE"""),"ClearCalculations")</f>
        <v>ClearCalculations</v>
      </c>
      <c r="L4" s="26" t="str">
        <f>IFERROR(__xludf.DUMMYFUNCTION("""COMPUTED_VALUE"""),"ModifyRebalance")</f>
        <v>ModifyRebalance</v>
      </c>
      <c r="M4" s="26" t="str">
        <f>IFERROR(__xludf.DUMMYFUNCTION("""COMPUTED_VALUE"""),"ModelPortfolio")</f>
        <v>ModelPortfolio</v>
      </c>
      <c r="N4" s="26" t="str">
        <f>IFERROR(__xludf.DUMMYFUNCTION("""COMPUTED_VALUE"""),"LockandUnlockGridData")</f>
        <v>LockandUnlockGridData</v>
      </c>
      <c r="O4" s="26" t="str">
        <f>IFERROR(__xludf.DUMMYFUNCTION("""COMPUTED_VALUE"""),"RefreshGridData")</f>
        <v>RefreshGridData</v>
      </c>
      <c r="P4" s="27" t="str">
        <f>IFERROR(__xludf.DUMMYFUNCTION("""COMPUTED_VALUE"""),"SendtoStaging")</f>
        <v>SendtoStaging</v>
      </c>
      <c r="Q4" s="27" t="str">
        <f>IFERROR(__xludf.DUMMYFUNCTION("""COMPUTED_VALUE"""),"SendToStagingExport")</f>
        <v>SendToStagingExport</v>
      </c>
      <c r="R4" s="27" t="str">
        <f>IFERROR(__xludf.DUMMYFUNCTION("""COMPUTED_VALUE"""),"RebalanceViaBloomberg")</f>
        <v>RebalanceViaBloomberg</v>
      </c>
      <c r="S4" s="27" t="str">
        <f>IFERROR(__xludf.DUMMYFUNCTION("""COMPUTED_VALUE"""),"AddUserAdjustedNAV")</f>
        <v>AddUserAdjustedNAV</v>
      </c>
      <c r="T4" s="27" t="str">
        <f>IFERROR(__xludf.DUMMYFUNCTION("""COMPUTED_VALUE"""),"SymbologyChangeRB")</f>
        <v>SymbologyChangeRB</v>
      </c>
      <c r="U4" s="27" t="str">
        <f>IFERROR(__xludf.DUMMYFUNCTION("""COMPUTED_VALUE"""),"CloseRebalancer")</f>
        <v>CloseRebalancer</v>
      </c>
      <c r="V4" s="27" t="str">
        <f>IFERROR(__xludf.DUMMYFUNCTION("""COMPUTED_VALUE"""),"AddCustomCashUsingImport")</f>
        <v>AddCustomCashUsingImport</v>
      </c>
      <c r="W4" s="27" t="str">
        <f>IFERROR(__xludf.DUMMYFUNCTION("""COMPUTED_VALUE"""),"EditRebalanceGrid")</f>
        <v>EditRebalanceGrid</v>
      </c>
      <c r="X4" s="27" t="str">
        <f>IFERROR(__xludf.DUMMYFUNCTION("""COMPUTED_VALUE"""),"SaveTradeList")</f>
        <v>SaveTradeList</v>
      </c>
      <c r="Y4" s="27" t="str">
        <f>IFERROR(__xludf.DUMMYFUNCTION("""COMPUTED_VALUE"""),"NavImpactingComponent")</f>
        <v>NavImpactingComponent</v>
      </c>
      <c r="Z4" s="27" t="str">
        <f>IFERROR(__xludf.DUMMYFUNCTION("""COMPUTED_VALUE"""),"ImportUsingRebalAccrossSec")</f>
        <v>ImportUsingRebalAccrossSec</v>
      </c>
      <c r="AA4" s="27" t="str">
        <f>IFERROR(__xludf.DUMMYFUNCTION("""COMPUTED_VALUE"""),"EditImportStatus")</f>
        <v>EditImportStatus</v>
      </c>
      <c r="AB4" s="27" t="str">
        <f>IFERROR(__xludf.DUMMYFUNCTION("""COMPUTED_VALUE"""),"SelectActionsOnImportStatus")</f>
        <v>SelectActionsOnImportStatus</v>
      </c>
      <c r="AC4" s="27" t="str">
        <f>IFERROR(__xludf.DUMMYFUNCTION("""COMPUTED_VALUE"""),"VerifyImportStatus")</f>
        <v>VerifyImportStatus</v>
      </c>
      <c r="AD4" s="27" t="str">
        <f>IFERROR(__xludf.DUMMYFUNCTION("""COMPUTED_VALUE"""),"AddNewModelPortfolio")</f>
        <v>AddNewModelPortfolio</v>
      </c>
      <c r="AE4" s="27" t="str">
        <f>IFERROR(__xludf.DUMMYFUNCTION("""COMPUTED_VALUE"""),"VerifyBuySellList")</f>
        <v>VerifyBuySellList</v>
      </c>
      <c r="AF4" s="27" t="str">
        <f>IFERROR(__xludf.DUMMYFUNCTION("""COMPUTED_VALUE"""),"CreateOrViewModelPortfolio")</f>
        <v>CreateOrViewModelPortfolio</v>
      </c>
      <c r="AG4" s="27" t="str">
        <f>IFERROR(__xludf.DUMMYFUNCTION("""COMPUTED_VALUE"""),"VerifyModelPortfolio")</f>
        <v>VerifyModelPortfolio</v>
      </c>
      <c r="AH4" s="27" t="str">
        <f>IFERROR(__xludf.DUMMYFUNCTION("""COMPUTED_VALUE"""),"VerifyTradeListSummary")</f>
        <v>VerifyTradeListSummary</v>
      </c>
      <c r="AI4" s="27" t="str">
        <f>IFERROR(__xludf.DUMMYFUNCTION("""COMPUTED_VALUE"""),"ActionOnTBSListSummary")</f>
        <v>ActionOnTBSListSummary</v>
      </c>
      <c r="AJ4" s="27" t="str">
        <f>IFERROR(__xludf.DUMMYFUNCTION("""COMPUTED_VALUE"""),"VerifyTLOSideSummary")</f>
        <v>VerifyTLOSideSummary</v>
      </c>
      <c r="AK4" s="27" t="str">
        <f>IFERROR(__xludf.DUMMYFUNCTION("""COMPUTED_VALUE"""),"SelectAndVerifyTradeList")</f>
        <v>SelectAndVerifyTradeList</v>
      </c>
      <c r="AL4" s="27" t="str">
        <f>IFERROR(__xludf.DUMMYFUNCTION("""COMPUTED_VALUE"""),"ActionOnTradeBuySellListView")</f>
        <v>ActionOnTradeBuySellListView</v>
      </c>
      <c r="AM4" s="27" t="str">
        <f>IFERROR(__xludf.DUMMYFUNCTION("""COMPUTED_VALUE"""),"ImportOnRB")</f>
        <v>ImportOnRB</v>
      </c>
      <c r="AN4" s="27" t="str">
        <f>IFERROR(__xludf.DUMMYFUNCTION("""COMPUTED_VALUE"""),"VerifyImportGridRBForInvalidSec")</f>
        <v>VerifyImportGridRBForInvalidSec</v>
      </c>
      <c r="AO4" s="27" t="str">
        <f>IFERROR(__xludf.DUMMYFUNCTION("""COMPUTED_VALUE"""),"VerifyImportGridRBForValidSec")</f>
        <v>VerifyImportGridRBForValidSec</v>
      </c>
      <c r="AP4" s="27" t="str">
        <f>IFERROR(__xludf.DUMMYFUNCTION("""COMPUTED_VALUE"""),"ActionOnRSAImportGrid")</f>
        <v>ActionOnRSAImportGrid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IFERROR(__xludf.DUMMYFUNCTION("""COMPUTED_VALUE"""),"Side")</f>
        <v>Side</v>
      </c>
      <c r="D5" s="29" t="str">
        <f>IFERROR(__xludf.DUMMYFUNCTION("""COMPUTED_VALUE"""),"Symbol")</f>
        <v>Symbol</v>
      </c>
      <c r="E5" s="29" t="str">
        <f>IFERROR(__xludf.DUMMYFUNCTION("""COMPUTED_VALUE"""),"Quantity")</f>
        <v>Quantity</v>
      </c>
      <c r="F5" s="30" t="str">
        <f>IFERROR(__xludf.DUMMYFUNCTION("""COMPUTED_VALUE"""),"Price (Local)")</f>
        <v>Price (Local)</v>
      </c>
      <c r="G5" s="29" t="str">
        <f>IFERROR(__xludf.DUMMYFUNCTION("""COMPUTED_VALUE"""),"Buy/Sell Value (Base)")</f>
        <v>Buy/Sell Value (Base)</v>
      </c>
      <c r="H5" s="29" t="str">
        <f>IFERROR(__xludf.DUMMYFUNCTION("""COMPUTED_VALUE"""),"Comments")</f>
        <v>Comments</v>
      </c>
      <c r="I5" s="29" t="str">
        <f>IFERROR(__xludf.DUMMYFUNCTION("""COMPUTED_VALUE"""),"SendToStaging")</f>
        <v>SendToStaging</v>
      </c>
      <c r="J5" s="29" t="str">
        <f>IFERROR(__xludf.DUMMYFUNCTION("""COMPUTED_VALUE"""),"Use Custodian Broker")</f>
        <v>Use Custodian Broker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42" t="s">
        <v>21</v>
      </c>
      <c r="C6" s="42" t="s">
        <v>33</v>
      </c>
      <c r="D6" s="42" t="s">
        <v>40</v>
      </c>
      <c r="E6" s="43">
        <v>17.0</v>
      </c>
      <c r="F6" s="43">
        <v>10.0</v>
      </c>
      <c r="G6" s="43">
        <v>22.0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21</v>
      </c>
      <c r="C7" s="42" t="s">
        <v>33</v>
      </c>
      <c r="D7" s="42" t="s">
        <v>26</v>
      </c>
      <c r="E7" s="43">
        <v>49.0</v>
      </c>
      <c r="F7" s="43">
        <v>10.0</v>
      </c>
      <c r="G7" s="43">
        <v>490.0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