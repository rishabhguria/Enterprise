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Import" sheetId="5" r:id="rId7"/>
    <sheet state="visible" name="ApplyFilterOnImport" sheetId="6" r:id="rId8"/>
    <sheet state="visible" name="SelectAllOnImport" sheetId="7" r:id="rId9"/>
    <sheet state="visible" name="Import1" sheetId="8" r:id="rId10"/>
    <sheet state="visible" name="SelectAllOnImport1" sheetId="9" r:id="rId11"/>
    <sheet state="visible" name="ApplyFilterOnImport1" sheetId="10" r:id="rId12"/>
    <sheet state="visible" name="CheckAllocatedGroups" sheetId="11" r:id="rId13"/>
    <sheet state="visible" name="GetForexConversion" sheetId="12" r:id="rId14"/>
    <sheet state="visible" name="UpdateForexConversion" sheetId="13" r:id="rId15"/>
    <sheet state="visible" name="CheckPortfolioManagement" sheetId="14" r:id="rId16"/>
    <sheet state="visible" name="CheckPortfolioManagement1" sheetId="15" r:id="rId17"/>
    <sheet state="visible" name="GetDataAllocation" sheetId="16" r:id="rId18"/>
  </sheets>
  <definedNames/>
  <calcPr/>
</workbook>
</file>

<file path=xl/sharedStrings.xml><?xml version="1.0" encoding="utf-8"?>
<sst xmlns="http://schemas.openxmlformats.org/spreadsheetml/2006/main" count="136" uniqueCount="44">
  <si>
    <t>Modules Info</t>
  </si>
  <si>
    <t>Modules</t>
  </si>
  <si>
    <t>Settings</t>
  </si>
  <si>
    <t>Module Step Setting File</t>
  </si>
  <si>
    <t>1Uza8_cfcgL7xAOCk597yoYnaq5pzovqYqdM8WMBrVDQ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</si>
  <si>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</si>
  <si>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</si>
  <si>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</si>
  <si>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</si>
  <si>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</si>
  <si>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</si>
  <si>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</si>
  <si>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</si>
  <si>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</si>
  <si>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</si>
  <si>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</si>
  <si>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FRU-TC</t>
  </si>
  <si>
    <t>Buy</t>
  </si>
  <si>
    <t>Allocation1</t>
  </si>
  <si>
    <t>Flat Amount</t>
  </si>
  <si>
    <t>Import</t>
  </si>
  <si>
    <t>\\192.168.2.108\DistributedAutomation_Master\Import Cases\ForexPrice_Import.csv</t>
  </si>
  <si>
    <t>DB</t>
  </si>
  <si>
    <t>Forex Price</t>
  </si>
  <si>
    <t>ApplyFilterOnImport</t>
  </si>
  <si>
    <t>Date</t>
  </si>
  <si>
    <t>SelectAllOnImport</t>
  </si>
  <si>
    <t>E:\DistributedAutomation\TestAutomationV2.5\Release\Import Cases\ForexPrice_Import.csv</t>
  </si>
  <si>
    <t>Allocation</t>
  </si>
  <si>
    <t>CheckAllocatedGroups</t>
  </si>
  <si>
    <t>Equity</t>
  </si>
  <si>
    <t>DailyValuation</t>
  </si>
  <si>
    <t>GetForexConversion</t>
  </si>
  <si>
    <t>UpdateForexConversion</t>
  </si>
  <si>
    <t>USD</t>
  </si>
  <si>
    <t>CAD</t>
  </si>
  <si>
    <t>CAD A0-FX</t>
  </si>
  <si>
    <t>PortfolioManagement</t>
  </si>
  <si>
    <t>CheckPortfolioManagement</t>
  </si>
  <si>
    <t>Long</t>
  </si>
  <si>
    <t>0.740740740740741*</t>
  </si>
  <si>
    <t>0.714285714285714*</t>
  </si>
  <si>
    <t>GetDataAllocation</t>
  </si>
  <si>
    <t>Historical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</si>
</sst>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M/d/yyyy H:mm:ss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1" numFmtId="0" xfId="0" applyAlignment="1" applyFont="1">
      <alignment readingOrder="0"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4" fillId="5" fontId="4" numFmtId="164" xfId="0" applyAlignment="1" applyBorder="1" applyFont="1" applyNumberFormat="1">
      <alignment shrinkToFit="0" wrapText="0"/>
    </xf>
    <xf borderId="0" fillId="5" fontId="10" numFmtId="0" xfId="0" applyFont="1"/>
    <xf borderId="0" fillId="0" fontId="5" numFmtId="165" xfId="0" applyAlignment="1" applyFont="1" applyNumberFormat="1">
      <alignment readingOrder="0" shrinkToFit="0" wrapText="0"/>
    </xf>
    <xf borderId="0" fillId="0" fontId="3" numFmtId="0" xfId="0" applyAlignment="1" applyFont="1">
      <alignment vertical="bottom"/>
    </xf>
    <xf borderId="0" fillId="0" fontId="2" numFmtId="164" xfId="0" applyFont="1" applyNumberFormat="1"/>
    <xf borderId="0" fillId="0" fontId="13" numFmtId="0" xfId="0" applyAlignment="1" applyFont="1">
      <alignment readingOrder="0" shrinkToFit="0" vertical="bottom" wrapText="0"/>
    </xf>
    <xf borderId="0" fillId="2" fontId="1" numFmtId="164" xfId="0" applyAlignment="1" applyFont="1" applyNumberFormat="1">
      <alignment horizontal="center" shrinkToFit="0" wrapText="0"/>
    </xf>
    <xf borderId="0" fillId="0" fontId="5" numFmtId="16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shrinkToFit="0" wrapText="0"/>
    </xf>
    <xf borderId="0" fillId="0" fontId="5" numFmtId="166" xfId="0" applyAlignment="1" applyFont="1" applyNumberFormat="1">
      <alignment shrinkToFit="0" wrapText="0"/>
    </xf>
    <xf borderId="0" fillId="5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IFERROR(__xludf.DUMMYFUNCTION("IF(C3="""","""",Transpose(IMPORTRANGE('_Settings'!$B$3,C3&amp;""!A4:A1000"")))"),"#REF!")</f>
        <v>#REF!</v>
      </c>
      <c r="C4" s="24"/>
      <c r="D4" s="25">
        <v>100.0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30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IFERROR(__xludf.DUMMYFUNCTION("""COMPUTED_VALUE"""),"PopUpQuantity")</f>
        <v>PopUpQuantity</v>
      </c>
      <c r="AP5" s="31" t="str">
        <f>IFERROR(__xludf.DUMMYFUNCTION("""COMPUTED_VALUE"""),"ShortLocate")</f>
        <v>ShortLocate</v>
      </c>
      <c r="AQ5" s="31" t="str">
        <f>IFERROR(__xludf.DUMMYFUNCTION("""COMPUTED_VALUE"""),"AllowTrade")</f>
        <v>AllowTrade</v>
      </c>
      <c r="AR5" s="31" t="str">
        <f>IFERROR(__xludf.DUMMYFUNCTION("""COMPUTED_VALUE"""),"SharesOutstandingPopUpQty")</f>
        <v>SharesOutstandingPopUpQty</v>
      </c>
      <c r="AS5" s="31" t="str">
        <f>IFERROR(__xludf.DUMMYFUNCTION("""COMPUTED_VALUE"""),"SharesOutstandingPopUp")</f>
        <v>SharesOutstandingPopUp</v>
      </c>
      <c r="AT5" s="31" t="str">
        <f>IFERROR(__xludf.DUMMYFUNCTION("""COMPUTED_VALUE"""),"ResAllowedListPopUp")</f>
        <v>ResAllowedListPopUp</v>
      </c>
      <c r="AU5" s="31" t="str">
        <f>IFERROR(__xludf.DUMMYFUNCTION("""COMPUTED_VALUE"""),"Rate(%)")</f>
        <v>Rate(%)</v>
      </c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16</v>
      </c>
      <c r="C6" s="11" t="s">
        <v>17</v>
      </c>
      <c r="D6" s="11">
        <v>100.0</v>
      </c>
      <c r="E6" s="11">
        <v>100.0</v>
      </c>
      <c r="F6" s="11" t="s">
        <v>18</v>
      </c>
      <c r="G6" s="8"/>
      <c r="H6" s="8"/>
      <c r="I6" s="8"/>
      <c r="J6" s="11">
        <v>12.0</v>
      </c>
      <c r="K6" s="8"/>
      <c r="L6" s="8"/>
      <c r="M6" s="8"/>
      <c r="N6" s="32">
        <v>44090.0</v>
      </c>
      <c r="O6" s="11"/>
      <c r="R6" s="33" t="s">
        <v>19</v>
      </c>
      <c r="S6" s="9">
        <v>10.0</v>
      </c>
    </row>
    <row r="7" ht="15.75" customHeight="1">
      <c r="A7" s="8"/>
      <c r="B7" s="11"/>
      <c r="C7" s="11"/>
      <c r="D7" s="11"/>
      <c r="E7" s="11"/>
      <c r="F7" s="11"/>
      <c r="G7" s="8"/>
      <c r="H7" s="8"/>
      <c r="I7" s="8"/>
      <c r="J7" s="11"/>
      <c r="K7" s="8"/>
      <c r="L7" s="8"/>
      <c r="M7" s="8"/>
      <c r="N7" s="32"/>
      <c r="O7" s="11"/>
      <c r="R7" s="33"/>
      <c r="S7" s="9"/>
      <c r="T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73.14"/>
    <col customWidth="1" min="6" max="6" width="25.86"/>
    <col customWidth="1" min="7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/>
      <c r="K4" s="24"/>
      <c r="L4" s="24"/>
      <c r="M4" s="24"/>
      <c r="N4" s="24"/>
      <c r="O4" s="24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/>
      <c r="C6" s="11" t="b">
        <v>0</v>
      </c>
      <c r="D6" s="11"/>
      <c r="E6" s="35" t="s">
        <v>21</v>
      </c>
      <c r="F6" s="11" t="s">
        <v>22</v>
      </c>
      <c r="G6" s="11" t="s">
        <v>23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E6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36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/>
      <c r="K4" s="24"/>
      <c r="L4" s="24"/>
      <c r="M4" s="24"/>
      <c r="N4" s="24"/>
      <c r="O4" s="24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30" t="str">
        <f>IFERROR(__xludf.DUMMYFUNCTION("""COMPUTED_VALUE"""),"FilterList")</f>
        <v>FilterList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25</v>
      </c>
      <c r="C6" s="37">
        <v>44089.0</v>
      </c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39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ApplyFilterOnImport!$4:$4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/>
      <c r="K4" s="24"/>
      <c r="L4" s="24"/>
      <c r="M4" s="24"/>
      <c r="N4" s="24"/>
      <c r="O4" s="24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23</v>
      </c>
      <c r="C6" s="8"/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SelectAllOnImport!$4:$4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73.14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/>
      <c r="K4" s="24"/>
      <c r="L4" s="24"/>
      <c r="M4" s="24"/>
      <c r="N4" s="24"/>
      <c r="O4" s="24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/>
      <c r="C6" s="11" t="b">
        <v>0</v>
      </c>
      <c r="D6" s="11"/>
      <c r="E6" s="11" t="s">
        <v>27</v>
      </c>
      <c r="F6" s="11" t="s">
        <v>22</v>
      </c>
      <c r="G6" s="11" t="s">
        <v>23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/>
      <c r="K4" s="24"/>
      <c r="L4" s="24"/>
      <c r="M4" s="24"/>
      <c r="N4" s="24"/>
      <c r="O4" s="24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23</v>
      </c>
      <c r="C6" s="8"/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SelectAllOnImport1!$4:$4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14.43"/>
    <col customWidth="1" min="3" max="3" width="22.0"/>
    <col customWidth="1" min="4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/>
      <c r="K4" s="24"/>
      <c r="L4" s="24"/>
      <c r="M4" s="24"/>
      <c r="N4" s="24"/>
      <c r="O4" s="24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30" t="str">
        <f>IFERROR(__xludf.DUMMYFUNCTION("""COMPUTED_VALUE"""),"FilterList")</f>
        <v>FilterList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25</v>
      </c>
      <c r="C6" s="37">
        <v>44090.0</v>
      </c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39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40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ApplyFilterOnImport1!$4:$4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46" width="14.43"/>
    <col customWidth="1" min="47" max="47" width="25.0"/>
    <col customWidth="1" min="48" max="56" width="14.43"/>
    <col customWidth="1" min="57" max="57" width="21.86"/>
    <col customWidth="1" min="58" max="58" width="18.57"/>
    <col customWidth="1" min="59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IFERROR(__xludf.DUMMYFUNCTION("""COMPUTED_VALUE"""),"Exceution Time")</f>
        <v>Exceution Time</v>
      </c>
      <c r="AG5" s="31" t="str">
        <f>IFERROR(__xludf.DUMMYFUNCTION("""COMPUTED_VALUE"""),"Expiration Date")</f>
        <v>Expiration Date</v>
      </c>
      <c r="AH5" s="31" t="str">
        <f>IFERROR(__xludf.DUMMYFUNCTION("""COMPUTED_VALUE"""),"FX Conversion Operator")</f>
        <v>FX Conversion Operator</v>
      </c>
      <c r="AI5" s="31" t="str">
        <f>IFERROR(__xludf.DUMMYFUNCTION("""COMPUTED_VALUE"""),"FX Rate")</f>
        <v>FX Rate</v>
      </c>
      <c r="AJ5" s="31" t="str">
        <f>IFERROR(__xludf.DUMMYFUNCTION("""COMPUTED_VALUE"""),"Group Status")</f>
        <v>Group Status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IFERROR(__xludf.DUMMYFUNCTION("""COMPUTED_VALUE"""),"Strategy Name")</f>
        <v>Strategy Name</v>
      </c>
      <c r="BT5" s="31" t="str">
        <f>IFERROR(__xludf.DUMMYFUNCTION("""COMPUTED_VALUE"""),"Symbol")</f>
        <v>Symbol</v>
      </c>
      <c r="BU5" s="31" t="str">
        <f>IFERROR(__xludf.DUMMYFUNCTION("""COMPUTED_VALUE"""),"Tax On Commissions")</f>
        <v>Tax On Commissions</v>
      </c>
      <c r="BV5" s="31" t="str">
        <f>IFERROR(__xludf.DUMMYFUNCTION("""COMPUTED_VALUE"""),"Total Commission")</f>
        <v>Total Commission</v>
      </c>
      <c r="BW5" s="31" t="str">
        <f>IFERROR(__xludf.DUMMYFUNCTION("""COMPUTED_VALUE"""),"Total Commission And Fee")</f>
        <v>Total Commission And Fee</v>
      </c>
      <c r="BX5" s="31" t="str">
        <f>IFERROR(__xludf.DUMMYFUNCTION("""COMPUTED_VALUE"""),"Total Commission Per Share")</f>
        <v>Total Commission Per Share</v>
      </c>
      <c r="BY5" s="31" t="str">
        <f>IFERROR(__xludf.DUMMYFUNCTION("""COMPUTED_VALUE"""),"Trade Attribute 1")</f>
        <v>Trade Attribute 1</v>
      </c>
      <c r="BZ5" s="31" t="str">
        <f>IFERROR(__xludf.DUMMYFUNCTION("""COMPUTED_VALUE"""),"Trade Attribute 2")</f>
        <v>Trade Attribute 2</v>
      </c>
      <c r="CA5" s="31" t="str">
        <f>IFERROR(__xludf.DUMMYFUNCTION("""COMPUTED_VALUE"""),"Trade Attribute 3")</f>
        <v>Trade Attribute 3</v>
      </c>
      <c r="CB5" s="31" t="str">
        <f>IFERROR(__xludf.DUMMYFUNCTION("""COMPUTED_VALUE"""),"Trade Attribute 4")</f>
        <v>Trade Attribute 4</v>
      </c>
      <c r="CC5" s="31" t="str">
        <f>IFERROR(__xludf.DUMMYFUNCTION("""COMPUTED_VALUE"""),"Trade Attribute 5")</f>
        <v>Trade Attribute 5</v>
      </c>
      <c r="CD5" s="31" t="str">
        <f>IFERROR(__xludf.DUMMYFUNCTION("""COMPUTED_VALUE"""),"Trade Attribute 6")</f>
        <v>Trade Attribute 6</v>
      </c>
      <c r="CE5" s="31" t="str">
        <f>IFERROR(__xludf.DUMMYFUNCTION("""COMPUTED_VALUE"""),"Trade Date")</f>
        <v>Trade Date</v>
      </c>
      <c r="CF5" s="31" t="str">
        <f>IFERROR(__xludf.DUMMYFUNCTION("""COMPUTED_VALUE"""),"Trading Account")</f>
        <v>Trading Account</v>
      </c>
      <c r="CG5" s="31" t="str">
        <f>IFERROR(__xludf.DUMMYFUNCTION("""COMPUTED_VALUE"""),"Transaction Levy")</f>
        <v>Transaction Levy</v>
      </c>
      <c r="CH5" s="31" t="str">
        <f>IFERROR(__xludf.DUMMYFUNCTION("""COMPUTED_VALUE"""),"Transaction Source")</f>
        <v>Transaction Source</v>
      </c>
      <c r="CI5" s="31" t="str">
        <f>IFERROR(__xludf.DUMMYFUNCTION("""COMPUTED_VALUE"""),"Transaction Type")</f>
        <v>Transaction Type</v>
      </c>
      <c r="CJ5" s="31" t="str">
        <f>IFERROR(__xludf.DUMMYFUNCTION("""COMPUTED_VALUE"""),"UnAllocatedQty")</f>
        <v>UnAllocatedQty</v>
      </c>
      <c r="CK5" s="31" t="str">
        <f>IFERROR(__xludf.DUMMYFUNCTION("""COMPUTED_VALUE"""),"Underlying")</f>
        <v>Underlying</v>
      </c>
      <c r="CL5" s="31" t="str">
        <f>IFERROR(__xludf.DUMMYFUNCTION("""COMPUTED_VALUE"""),"Underlying Delta")</f>
        <v>Underlying Delta</v>
      </c>
      <c r="CM5" s="31" t="str">
        <f>IFERROR(__xludf.DUMMYFUNCTION("""COMPUTED_VALUE"""),"Underlying Symbol")</f>
        <v>Underlying Symbol</v>
      </c>
      <c r="CN5" s="31" t="str">
        <f>IFERROR(__xludf.DUMMYFUNCTION("""COMPUTED_VALUE"""),"User")</f>
        <v>User</v>
      </c>
      <c r="CO5" s="31" t="str">
        <f>IFERROR(__xludf.DUMMYFUNCTION("""COMPUTED_VALUE"""),"Venue")</f>
        <v>Venue</v>
      </c>
      <c r="CP5" s="31" t="str">
        <f>IFERROR(__xludf.DUMMYFUNCTION("""COMPUTED_VALUE"""),"Closing Method")</f>
        <v>Closing Method</v>
      </c>
      <c r="CQ5" s="31" t="str">
        <f>IFERROR(__xludf.DUMMYFUNCTION("""COMPUTED_VALUE"""),"Closing Date")</f>
        <v>Closing Date</v>
      </c>
      <c r="CR5" s="31" t="str">
        <f>IFERROR(__xludf.DUMMYFUNCTION("""COMPUTED_VALUE"""),"GroupID")</f>
        <v>GroupID</v>
      </c>
      <c r="CS5" s="31" t="str">
        <f>IFERROR(__xludf.DUMMYFUNCTION("""COMPUTED_VALUE"""),"Client")</f>
        <v>Client</v>
      </c>
      <c r="CT5" s="31" t="str">
        <f>IFERROR(__xludf.DUMMYFUNCTION("""COMPUTED_VALUE"""),"Borrow Broker")</f>
        <v>Borrow Broker</v>
      </c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18</v>
      </c>
      <c r="C6" s="8"/>
      <c r="D6" s="11"/>
      <c r="E6" s="11">
        <v>100.0</v>
      </c>
      <c r="F6" s="8"/>
      <c r="G6" s="11" t="s">
        <v>30</v>
      </c>
      <c r="H6" s="8"/>
      <c r="I6" s="8"/>
      <c r="J6" s="8"/>
      <c r="K6" s="11">
        <v>0.0</v>
      </c>
      <c r="L6" s="11">
        <v>12.0</v>
      </c>
      <c r="M6" s="8"/>
      <c r="N6" s="8"/>
      <c r="O6" s="8"/>
      <c r="AE6" s="9">
        <v>100.0</v>
      </c>
      <c r="AI6" s="9"/>
      <c r="AT6" s="9">
        <v>0.0</v>
      </c>
      <c r="AU6" s="9">
        <v>1210.0</v>
      </c>
      <c r="BE6" s="9">
        <v>0.0</v>
      </c>
      <c r="BF6" s="9">
        <v>1200.0</v>
      </c>
      <c r="BJ6" s="9">
        <v>100.0</v>
      </c>
      <c r="BO6" s="9" t="s">
        <v>17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30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32">
        <v>44090.0</v>
      </c>
      <c r="C6" s="37">
        <v>44090.0</v>
      </c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34</v>
      </c>
      <c r="C6" s="11" t="s">
        <v>35</v>
      </c>
      <c r="D6" s="11" t="s">
        <v>36</v>
      </c>
      <c r="E6" s="11">
        <v>1.4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20.71"/>
    <col customWidth="1" min="18" max="31" width="14.43"/>
    <col customWidth="1" min="32" max="32" width="19.29"/>
    <col customWidth="1" min="33" max="47" width="14.43"/>
    <col customWidth="1" min="48" max="48" width="22.57"/>
    <col customWidth="1" min="49" max="49" width="22.43"/>
    <col customWidth="1" min="50" max="167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1" t="str">
        <f>IFERROR(__xludf.DUMMYFUNCTION("""COMPUTED_VALUE"""),"Asset Class")</f>
        <v>Asset Class</v>
      </c>
      <c r="U5" s="31" t="str">
        <f>IFERROR(__xludf.DUMMYFUNCTION("""COMPUTED_VALUE"""),"Underlying")</f>
        <v>Underlying</v>
      </c>
      <c r="V5" s="31" t="str">
        <f>IFERROR(__xludf.DUMMYFUNCTION("""COMPUTED_VALUE"""),"Exchange")</f>
        <v>Exchange</v>
      </c>
      <c r="W5" s="31" t="str">
        <f>IFERROR(__xludf.DUMMYFUNCTION("""COMPUTED_VALUE"""),"Trade Currency")</f>
        <v>Trade Currency</v>
      </c>
      <c r="X5" s="31" t="str">
        <f>IFERROR(__xludf.DUMMYFUNCTION("""COMPUTED_VALUE"""),"Multiplier")</f>
        <v>Multiplier</v>
      </c>
      <c r="Y5" s="31" t="str">
        <f>IFERROR(__xludf.DUMMYFUNCTION("""COMPUTED_VALUE"""),"FX Rate")</f>
        <v>FX Rate</v>
      </c>
      <c r="Z5" s="31" t="str">
        <f>IFERROR(__xludf.DUMMYFUNCTION("""COMPUTED_VALUE"""),"Vs Currency")</f>
        <v>Vs Currency</v>
      </c>
      <c r="AA5" s="31" t="str">
        <f>IFERROR(__xludf.DUMMYFUNCTION("""COMPUTED_VALUE"""),"Lead Currency")</f>
        <v>Lead Currency</v>
      </c>
      <c r="AB5" s="31" t="str">
        <f>IFERROR(__xludf.DUMMYFUNCTION("""COMPUTED_VALUE"""),"Dividend Yield (%)")</f>
        <v>Dividend Yield (%)</v>
      </c>
      <c r="AC5" s="31" t="str">
        <f>IFERROR(__xludf.DUMMYFUNCTION("""COMPUTED_VALUE"""),"% Change")</f>
        <v>% Change</v>
      </c>
      <c r="AD5" s="31" t="str">
        <f>IFERROR(__xludf.DUMMYFUNCTION("""COMPUTED_VALUE"""),"Net Exposure (Local)")</f>
        <v>Net Exposure (Local)</v>
      </c>
      <c r="AE5" s="31" t="str">
        <f>IFERROR(__xludf.DUMMYFUNCTION("""COMPUTED_VALUE"""),"Exposure (Local)")</f>
        <v>Exposure (Local)</v>
      </c>
      <c r="AF5" s="31" t="str">
        <f>IFERROR(__xludf.DUMMYFUNCTION("""COMPUTED_VALUE"""),"Delta Adj. Position")</f>
        <v>Delta Adj. Position</v>
      </c>
      <c r="AG5" s="31" t="str">
        <f>IFERROR(__xludf.DUMMYFUNCTION("""COMPUTED_VALUE"""),"Exposure (Base)")</f>
        <v>Exposure (Base)</v>
      </c>
      <c r="AH5" s="31" t="str">
        <f>IFERROR(__xludf.DUMMYFUNCTION("""COMPUTED_VALUE"""),"Beta Adj. Exposure (Local)")</f>
        <v>Beta Adj. Exposure (Local)</v>
      </c>
      <c r="AI5" s="31" t="str">
        <f>IFERROR(__xludf.DUMMYFUNCTION("""COMPUTED_VALUE"""),"Beta Adj. Exposure (Base)")</f>
        <v>Beta Adj. Exposure (Base)</v>
      </c>
      <c r="AJ5" s="31" t="str">
        <f>IFERROR(__xludf.DUMMYFUNCTION("""COMPUTED_VALUE"""),"Exposure (BP)(Base)")</f>
        <v>Exposure (BP)(Base)</v>
      </c>
      <c r="AK5" s="31" t="str">
        <f>IFERROR(__xludf.DUMMYFUNCTION("""COMPUTED_VALUE"""),"Day P&amp;L (Local)")</f>
        <v>Day P&amp;L (Local)</v>
      </c>
      <c r="AL5" s="31" t="str">
        <f>IFERROR(__xludf.DUMMYFUNCTION("""COMPUTED_VALUE"""),"Delta")</f>
        <v>Delta</v>
      </c>
      <c r="AM5" s="31" t="str">
        <f>IFERROR(__xludf.DUMMYFUNCTION("""COMPUTED_VALUE"""),"Leveraged Factor")</f>
        <v>Leveraged Factor</v>
      </c>
      <c r="AN5" s="31" t="str">
        <f>IFERROR(__xludf.DUMMYFUNCTION("""COMPUTED_VALUE"""),"Order Side")</f>
        <v>Order Side</v>
      </c>
      <c r="AO5" s="31" t="str">
        <f>IFERROR(__xludf.DUMMYFUNCTION("""COMPUTED_VALUE"""),"Master Strategy")</f>
        <v>Master Strategy</v>
      </c>
      <c r="AP5" s="31" t="str">
        <f>IFERROR(__xludf.DUMMYFUNCTION("""COMPUTED_VALUE"""),"Transaction Side")</f>
        <v>Transaction Side</v>
      </c>
      <c r="AQ5" s="31" t="str">
        <f>IFERROR(__xludf.DUMMYFUNCTION("""COMPUTED_VALUE"""),"Underlying Symbol")</f>
        <v>Underlying Symbol</v>
      </c>
      <c r="AR5" s="31" t="str">
        <f>IFERROR(__xludf.DUMMYFUNCTION("""COMPUTED_VALUE"""),"Underlying Price")</f>
        <v>Underlying Price</v>
      </c>
      <c r="AS5" s="31" t="str">
        <f>IFERROR(__xludf.DUMMYFUNCTION("""COMPUTED_VALUE"""),"Side Multiplier")</f>
        <v>Side Multiplier</v>
      </c>
      <c r="AT5" s="31" t="str">
        <f>IFERROR(__xludf.DUMMYFUNCTION("""COMPUTED_VALUE"""),"Description")</f>
        <v>Description</v>
      </c>
      <c r="AU5" s="31" t="str">
        <f>IFERROR(__xludf.DUMMYFUNCTION("""COMPUTED_VALUE"""),"Internal Comments")</f>
        <v>Internal Comments</v>
      </c>
      <c r="AV5" s="31" t="str">
        <f>IFERROR(__xludf.DUMMYFUNCTION("""COMPUTED_VALUE"""),"FX Rate On Trade Date")</f>
        <v>FX Rate On Trade Date</v>
      </c>
      <c r="AW5" s="41" t="str">
        <f>IFERROR(__xludf.DUMMYFUNCTION("""COMPUTED_VALUE"""),"Cost Basis P&amp;L (Local)")</f>
        <v>Cost Basis P&amp;L (Local)</v>
      </c>
      <c r="AX5" s="31" t="str">
        <f>IFERROR(__xludf.DUMMYFUNCTION("""COMPUTED_VALUE"""),"Day Interest")</f>
        <v>Day Interest</v>
      </c>
      <c r="AY5" s="31" t="str">
        <f>IFERROR(__xludf.DUMMYFUNCTION("""COMPUTED_VALUE"""),"Total Interest")</f>
        <v>Total Interest</v>
      </c>
      <c r="AZ5" s="31" t="str">
        <f>IFERROR(__xludf.DUMMYFUNCTION("""COMPUTED_VALUE"""),"Market Value (Local)")</f>
        <v>Market Value (Local)</v>
      </c>
      <c r="BA5" s="31" t="str">
        <f>IFERROR(__xludf.DUMMYFUNCTION("""COMPUTED_VALUE"""),"% Gain/Loss Day")</f>
        <v>% Gain/Loss Day</v>
      </c>
      <c r="BB5" s="31" t="str">
        <f>IFERROR(__xludf.DUMMYFUNCTION("""COMPUTED_VALUE"""),"Update Time (Last Price)")</f>
        <v>Update Time (Last Price)</v>
      </c>
      <c r="BC5" s="31" t="str">
        <f>IFERROR(__xludf.DUMMYFUNCTION("""COMPUTED_VALUE"""),"Beta")</f>
        <v>Beta</v>
      </c>
      <c r="BD5" s="31" t="str">
        <f>IFERROR(__xludf.DUMMYFUNCTION("""COMPUTED_VALUE"""),"Cash Impact (Local)")</f>
        <v>Cash Impact (Local)</v>
      </c>
      <c r="BE5" s="31" t="str">
        <f>IFERROR(__xludf.DUMMYFUNCTION("""COMPUTED_VALUE"""),"User Asset")</f>
        <v>User Asset</v>
      </c>
      <c r="BF5" s="31" t="str">
        <f>IFERROR(__xludf.DUMMYFUNCTION("""COMPUTED_VALUE"""),"Security Type")</f>
        <v>Security Type</v>
      </c>
      <c r="BG5" s="31" t="str">
        <f>IFERROR(__xludf.DUMMYFUNCTION("""COMPUTED_VALUE"""),"Sector")</f>
        <v>Sector</v>
      </c>
      <c r="BH5" s="31" t="str">
        <f>IFERROR(__xludf.DUMMYFUNCTION("""COMPUTED_VALUE"""),"Sub Sector")</f>
        <v>Sub Sector</v>
      </c>
      <c r="BI5" s="31" t="str">
        <f>IFERROR(__xludf.DUMMYFUNCTION("""COMPUTED_VALUE"""),"Country")</f>
        <v>Country</v>
      </c>
      <c r="BJ5" s="31" t="str">
        <f>IFERROR(__xludf.DUMMYFUNCTION("""COMPUTED_VALUE"""),"Market Cap")</f>
        <v>Market Cap</v>
      </c>
      <c r="BK5" s="31" t="str">
        <f>IFERROR(__xludf.DUMMYFUNCTION("""COMPUTED_VALUE"""),"Shares Outstanding (MM)")</f>
        <v>Shares Outstanding (MM)</v>
      </c>
      <c r="BL5" s="31" t="str">
        <f>IFERROR(__xludf.DUMMYFUNCTION("""COMPUTED_VALUE"""),"Avg Volume 20 Day")</f>
        <v>Avg Volume 20 Day</v>
      </c>
      <c r="BM5" s="31" t="str">
        <f>IFERROR(__xludf.DUMMYFUNCTION("""COMPUTED_VALUE"""),"% Avg Volume (Delta Adj.)")</f>
        <v>% Avg Volume (Delta Adj.)</v>
      </c>
      <c r="BN5" s="31" t="str">
        <f>IFERROR(__xludf.DUMMYFUNCTION("""COMPUTED_VALUE"""),"Ex Dividend Date")</f>
        <v>Ex Dividend Date</v>
      </c>
      <c r="BO5" s="31" t="str">
        <f>IFERROR(__xludf.DUMMYFUNCTION("""COMPUTED_VALUE"""),"Cash Impact (Base)")</f>
        <v>Cash Impact (Base)</v>
      </c>
      <c r="BP5" s="31" t="str">
        <f>IFERROR(__xludf.DUMMYFUNCTION("""COMPUTED_VALUE"""),"Volatility (%)")</f>
        <v>Volatility (%)</v>
      </c>
      <c r="BQ5" s="31" t="str">
        <f>IFERROR(__xludf.DUMMYFUNCTION("""COMPUTED_VALUE"""),"User")</f>
        <v>User</v>
      </c>
      <c r="BR5" s="31" t="str">
        <f>IFERROR(__xludf.DUMMYFUNCTION("""COMPUTED_VALUE"""),"Broker")</f>
        <v>Broker</v>
      </c>
      <c r="BS5" s="31" t="str">
        <f>IFERROR(__xludf.DUMMYFUNCTION("""COMPUTED_VALUE"""),"Earned Dividend (Local)")</f>
        <v>Earned Dividend (Local)</v>
      </c>
      <c r="BT5" s="31" t="str">
        <f>IFERROR(__xludf.DUMMYFUNCTION("""COMPUTED_VALUE"""),"Earned Dividend (Base)")</f>
        <v>Earned Dividend (Base)</v>
      </c>
      <c r="BU5" s="31" t="str">
        <f>IFERROR(__xludf.DUMMYFUNCTION("""COMPUTED_VALUE"""),"Put/Call")</f>
        <v>Put/Call</v>
      </c>
      <c r="BV5" s="31" t="str">
        <f>IFERROR(__xludf.DUMMYFUNCTION("""COMPUTED_VALUE"""),"Expiration Date")</f>
        <v>Expiration Date</v>
      </c>
      <c r="BW5" s="31" t="str">
        <f>IFERROR(__xludf.DUMMYFUNCTION("""COMPUTED_VALUE"""),"Strike Price")</f>
        <v>Strike Price</v>
      </c>
      <c r="BX5" s="31" t="str">
        <f>IFERROR(__xludf.DUMMYFUNCTION("""COMPUTED_VALUE"""),"Gross Exposure (Base)")</f>
        <v>Gross Exposure (Base)</v>
      </c>
      <c r="BY5" s="31" t="str">
        <f>IFERROR(__xludf.DUMMYFUNCTION("""COMPUTED_VALUE"""),"Gross Market Value (Base)")</f>
        <v>Gross Market Value (Base)</v>
      </c>
      <c r="BZ5" s="31" t="str">
        <f>IFERROR(__xludf.DUMMYFUNCTION("""COMPUTED_VALUE"""),"Px Selected Feed (Local)")</f>
        <v>Px Selected Feed (Local)</v>
      </c>
      <c r="CA5" s="31" t="str">
        <f>IFERROR(__xludf.DUMMYFUNCTION("""COMPUTED_VALUE"""),"Px Selected Feed (Base)")</f>
        <v>Px Selected Feed (Base)</v>
      </c>
      <c r="CB5" s="31" t="str">
        <f>IFERROR(__xludf.DUMMYFUNCTION("""COMPUTED_VALUE"""),"Settlement Date")</f>
        <v>Settlement Date</v>
      </c>
      <c r="CC5" s="31" t="str">
        <f>IFERROR(__xludf.DUMMYFUNCTION("""COMPUTED_VALUE"""),"% Avg Volume")</f>
        <v>% Avg Volume</v>
      </c>
      <c r="CD5" s="31" t="str">
        <f>IFERROR(__xludf.DUMMYFUNCTION("""COMPUTED_VALUE"""),"Day P&amp;L (Base)(Price Gain)")</f>
        <v>Day P&amp;L (Base)(Price Gain)</v>
      </c>
      <c r="CE5" s="31" t="str">
        <f>IFERROR(__xludf.DUMMYFUNCTION("""COMPUTED_VALUE"""),"Day P&amp;L (Base)(FX Gain)")</f>
        <v>Day P&amp;L (Base)(FX Gain)</v>
      </c>
      <c r="CF5" s="31" t="str">
        <f>IFERROR(__xludf.DUMMYFUNCTION("""COMPUTED_VALUE"""),"Cost Basis P&amp;L (Base)(FX Gain)")</f>
        <v>Cost Basis P&amp;L (Base)(FX Gain)</v>
      </c>
      <c r="CG5" s="31" t="str">
        <f>IFERROR(__xludf.DUMMYFUNCTION("""COMPUTED_VALUE"""),"Cost Basis P&amp;L (Base)(Price Gain)")</f>
        <v>Cost Basis P&amp;L (Base)(Price Gain)</v>
      </c>
      <c r="CH5" s="31" t="str">
        <f>IFERROR(__xludf.DUMMYFUNCTION("""COMPUTED_VALUE"""),"% Gain/Loss Cost")</f>
        <v>% Gain/Loss Cost</v>
      </c>
      <c r="CI5" s="31" t="str">
        <f>IFERROR(__xludf.DUMMYFUNCTION("""COMPUTED_VALUE"""),"Underlying Value (Options)")</f>
        <v>Underlying Value (Options)</v>
      </c>
      <c r="CJ5" s="31" t="str">
        <f>IFERROR(__xludf.DUMMYFUNCTION("""COMPUTED_VALUE"""),"Avg Volume 20 Day (Underlying Symbol)")</f>
        <v>Avg Volume 20 Day (Underlying Symbol)</v>
      </c>
      <c r="CK5" s="31" t="str">
        <f>IFERROR(__xludf.DUMMYFUNCTION("""COMPUTED_VALUE"""),"IsStaleData")</f>
        <v>IsStaleData</v>
      </c>
      <c r="CL5" s="31" t="str">
        <f>IFERROR(__xludf.DUMMYFUNCTION("""COMPUTED_VALUE"""),"IDCO")</f>
        <v>IDCO</v>
      </c>
      <c r="CM5" s="31" t="str">
        <f>IFERROR(__xludf.DUMMYFUNCTION("""COMPUTED_VALUE"""),"OSI")</f>
        <v>OSI</v>
      </c>
      <c r="CN5" s="31" t="str">
        <f>IFERROR(__xludf.DUMMYFUNCTION("""COMPUTED_VALUE"""),"SEDOL")</f>
        <v>SEDOL</v>
      </c>
      <c r="CO5" s="31" t="str">
        <f>IFERROR(__xludf.DUMMYFUNCTION("""COMPUTED_VALUE"""),"CUSIP")</f>
        <v>CUSIP</v>
      </c>
      <c r="CP5" s="31" t="str">
        <f>IFERROR(__xludf.DUMMYFUNCTION("""COMPUTED_VALUE"""),"Bloomberg")</f>
        <v>Bloomberg</v>
      </c>
      <c r="CQ5" s="31" t="str">
        <f>IFERROR(__xludf.DUMMYFUNCTION("""COMPUTED_VALUE"""),"ISIN")</f>
        <v>ISIN</v>
      </c>
      <c r="CR5" s="31" t="str">
        <f>IFERROR(__xludf.DUMMYFUNCTION("""COMPUTED_VALUE"""),"Start Trade Date")</f>
        <v>Start Trade Date</v>
      </c>
      <c r="CS5" s="31" t="str">
        <f>IFERROR(__xludf.DUMMYFUNCTION("""COMPUTED_VALUE"""),"Cost Basis (Break Even)")</f>
        <v>Cost Basis (Break Even)</v>
      </c>
      <c r="CT5" s="31" t="str">
        <f>IFERROR(__xludf.DUMMYFUNCTION("""COMPUTED_VALUE"""),"Trade Attribute 3")</f>
        <v>Trade Attribute 3</v>
      </c>
      <c r="CU5" s="31" t="str">
        <f>IFERROR(__xludf.DUMMYFUNCTION("""COMPUTED_VALUE"""),"Trade Attribute 4")</f>
        <v>Trade Attribute 4</v>
      </c>
      <c r="CV5" s="31" t="str">
        <f>IFERROR(__xludf.DUMMYFUNCTION("""COMPUTED_VALUE"""),"Trade Attribute 5")</f>
        <v>Trade Attribute 5</v>
      </c>
      <c r="CW5" s="31" t="str">
        <f>IFERROR(__xludf.DUMMYFUNCTION("""COMPUTED_VALUE"""),"Trade Attribute 6")</f>
        <v>Trade Attribute 6</v>
      </c>
      <c r="CX5" s="31" t="str">
        <f>IFERROR(__xludf.DUMMYFUNCTION("""COMPUTED_VALUE"""),"Proxy Symbol")</f>
        <v>Proxy Symbol</v>
      </c>
      <c r="CY5" s="31" t="str">
        <f>IFERROR(__xludf.DUMMYFUNCTION("""COMPUTED_VALUE"""),"Pricing Source")</f>
        <v>Pricing Source</v>
      </c>
      <c r="CZ5" s="31" t="str">
        <f>IFERROR(__xludf.DUMMYFUNCTION("""COMPUTED_VALUE"""),"Delta Source")</f>
        <v>Delta Source</v>
      </c>
      <c r="DA5" s="31" t="str">
        <f>IFERROR(__xludf.DUMMYFUNCTION("""COMPUTED_VALUE"""),"Gross Exposure (Local)")</f>
        <v>Gross Exposure (Local)</v>
      </c>
      <c r="DB5" s="31" t="str">
        <f>IFERROR(__xludf.DUMMYFUNCTION("""COMPUTED_VALUE"""),"% Day P&amp;L (Net MV)")</f>
        <v>% Day P&amp;L (Net MV)</v>
      </c>
      <c r="DC5" s="31" t="str">
        <f>IFERROR(__xludf.DUMMYFUNCTION("""COMPUTED_VALUE"""),"Expiration Month")</f>
        <v>Expiration Month</v>
      </c>
      <c r="DD5" s="31" t="str">
        <f>IFERROR(__xludf.DUMMYFUNCTION("""COMPUTED_VALUE"""),"Delta Adj. Position (LME)")</f>
        <v>Delta Adj. Position (LME)</v>
      </c>
      <c r="DE5" s="31" t="str">
        <f>IFERROR(__xludf.DUMMYFUNCTION("""COMPUTED_VALUE"""),"Premium")</f>
        <v>Premium</v>
      </c>
      <c r="DF5" s="31" t="str">
        <f>IFERROR(__xludf.DUMMYFUNCTION("""COMPUTED_VALUE"""),"Premium $")</f>
        <v>Premium $</v>
      </c>
      <c r="DG5" s="31" t="str">
        <f>IFERROR(__xludf.DUMMYFUNCTION("""COMPUTED_VALUE"""),"Forward Points")</f>
        <v>Forward Points</v>
      </c>
      <c r="DH5" s="31" t="str">
        <f>IFERROR(__xludf.DUMMYFUNCTION("""COMPUTED_VALUE"""),"Closing Mark (Underlying)")</f>
        <v>Closing Mark (Underlying)</v>
      </c>
      <c r="DI5" s="31" t="str">
        <f>IFERROR(__xludf.DUMMYFUNCTION("""COMPUTED_VALUE"""),"% Change (Underlying Price)")</f>
        <v>% Change (Underlying Price)</v>
      </c>
      <c r="DJ5" s="31" t="str">
        <f>IFERROR(__xludf.DUMMYFUNCTION("""COMPUTED_VALUE"""),"Transaction Type")</f>
        <v>Transaction Type</v>
      </c>
      <c r="DK5" s="31" t="str">
        <f>IFERROR(__xludf.DUMMYFUNCTION("""COMPUTED_VALUE"""),"Closing Market Value (Local)")</f>
        <v>Closing Market Value (Local)</v>
      </c>
      <c r="DL5" s="31" t="str">
        <f>IFERROR(__xludf.DUMMYFUNCTION("""COMPUTED_VALUE"""),"Closing Market Value (Base)")</f>
        <v>Closing Market Value (Base)</v>
      </c>
      <c r="DM5" s="31" t="str">
        <f>IFERROR(__xludf.DUMMYFUNCTION("""COMPUTED_VALUE"""),"Closing FX Rate")</f>
        <v>Closing FX Rate</v>
      </c>
      <c r="DN5" s="31" t="str">
        <f>IFERROR(__xludf.DUMMYFUNCTION("""COMPUTED_VALUE"""),"Change In Underlying Price")</f>
        <v>Change In Underlying Price</v>
      </c>
      <c r="DO5" s="31" t="str">
        <f>IFERROR(__xludf.DUMMYFUNCTION("""COMPUTED_VALUE"""),"RIC")</f>
        <v>RIC</v>
      </c>
      <c r="DP5" s="31" t="str">
        <f>IFERROR(__xludf.DUMMYFUNCTION("""COMPUTED_VALUE"""),"Position Side Exposure (Boxed)")</f>
        <v>Position Side Exposure (Boxed)</v>
      </c>
      <c r="DQ5" s="31" t="str">
        <f>IFERROR(__xludf.DUMMYFUNCTION("""COMPUTED_VALUE"""),"Analyst")</f>
        <v>Analyst</v>
      </c>
      <c r="DR5" s="31" t="str">
        <f>IFERROR(__xludf.DUMMYFUNCTION("""COMPUTED_VALUE"""),"Country Of Risk")</f>
        <v>Country Of Risk</v>
      </c>
      <c r="DS5" s="31" t="str">
        <f>IFERROR(__xludf.DUMMYFUNCTION("""COMPUTED_VALUE"""),"Custom UDA1")</f>
        <v>Custom UDA1</v>
      </c>
      <c r="DT5" s="31" t="str">
        <f>IFERROR(__xludf.DUMMYFUNCTION("""COMPUTED_VALUE"""),"Custom UDA2")</f>
        <v>Custom UDA2</v>
      </c>
      <c r="DU5" s="31" t="str">
        <f>IFERROR(__xludf.DUMMYFUNCTION("""COMPUTED_VALUE"""),"Custom UDA3")</f>
        <v>Custom UDA3</v>
      </c>
      <c r="DV5" s="31" t="str">
        <f>IFERROR(__xludf.DUMMYFUNCTION("""COMPUTED_VALUE"""),"Custom UDA4")</f>
        <v>Custom UDA4</v>
      </c>
      <c r="DW5" s="31" t="str">
        <f>IFERROR(__xludf.DUMMYFUNCTION("""COMPUTED_VALUE"""),"Custom UDA5")</f>
        <v>Custom UDA5</v>
      </c>
      <c r="DX5" s="31" t="str">
        <f>IFERROR(__xludf.DUMMYFUNCTION("""COMPUTED_VALUE"""),"Custom UDA6")</f>
        <v>Custom UDA6</v>
      </c>
      <c r="DY5" s="31" t="str">
        <f>IFERROR(__xludf.DUMMYFUNCTION("""COMPUTED_VALUE"""),"Custom UDA7")</f>
        <v>Custom UDA7</v>
      </c>
      <c r="DZ5" s="31" t="str">
        <f>IFERROR(__xludf.DUMMYFUNCTION("""COMPUTED_VALUE"""),"Issuer")</f>
        <v>Issuer</v>
      </c>
      <c r="EA5" s="31" t="str">
        <f>IFERROR(__xludf.DUMMYFUNCTION("""COMPUTED_VALUE"""),"Liquid Tag")</f>
        <v>Liquid Tag</v>
      </c>
      <c r="EB5" s="31" t="str">
        <f>IFERROR(__xludf.DUMMYFUNCTION("""COMPUTED_VALUE"""),"Market Cap UDA")</f>
        <v>Market Cap UDA</v>
      </c>
      <c r="EC5" s="31" t="str">
        <f>IFERROR(__xludf.DUMMYFUNCTION("""COMPUTED_VALUE"""),"Region")</f>
        <v>Region</v>
      </c>
      <c r="ED5" s="31" t="str">
        <f>IFERROR(__xludf.DUMMYFUNCTION("""COMPUTED_VALUE"""),"Risk Currency")</f>
        <v>Risk Currency</v>
      </c>
      <c r="EE5" s="31" t="str">
        <f>IFERROR(__xludf.DUMMYFUNCTION("""COMPUTED_VALUE"""),"UCITS Eligible Tag")</f>
        <v>UCITS Eligible Tag</v>
      </c>
      <c r="EF5" s="31" t="str">
        <f>IFERROR(__xludf.DUMMYFUNCTION("""COMPUTED_VALUE"""),"FX Rate (Display)")</f>
        <v>FX Rate (Display)</v>
      </c>
      <c r="EG5" s="31" t="str">
        <f>IFERROR(__xludf.DUMMYFUNCTION("""COMPUTED_VALUE"""),"% Net Exposure (Base)")</f>
        <v>% Net Exposure (Base)</v>
      </c>
      <c r="EH5" s="31" t="str">
        <f>IFERROR(__xludf.DUMMYFUNCTION("""COMPUTED_VALUE"""),"% Gross Exposure (Base)")</f>
        <v>% Gross Exposure (Base)</v>
      </c>
      <c r="EI5" s="31" t="str">
        <f>IFERROR(__xludf.DUMMYFUNCTION("""COMPUTED_VALUE"""),"% Exposure (Base)")</f>
        <v>% Exposure (Base)</v>
      </c>
      <c r="EJ5" s="31" t="str">
        <f>IFERROR(__xludf.DUMMYFUNCTION("""COMPUTED_VALUE"""),"% Gross Exposure (Underlying) (Base)")</f>
        <v>% Gross Exposure (Underlying) (Base)</v>
      </c>
      <c r="EK5" s="31" t="str">
        <f>IFERROR(__xludf.DUMMYFUNCTION("""COMPUTED_VALUE"""),"% Beta Adj. Gross Exposure (Base)")</f>
        <v>% Beta Adj. Gross Exposure (Base)</v>
      </c>
      <c r="EL5" s="31" t="str">
        <f>IFERROR(__xludf.DUMMYFUNCTION("""COMPUTED_VALUE"""),"Position Side Exposure (Underlying)")</f>
        <v>Position Side Exposure (Underlying)</v>
      </c>
      <c r="EM5" s="31" t="str">
        <f>IFERROR(__xludf.DUMMYFUNCTION("""COMPUTED_VALUE"""),"Gross Exposure (Underlying) (Base)")</f>
        <v>Gross Exposure (Underlying) (Base)</v>
      </c>
      <c r="EN5" s="31" t="str">
        <f>IFERROR(__xludf.DUMMYFUNCTION("""COMPUTED_VALUE"""),"Gross Exposure (Underlying)")</f>
        <v>Gross Exposure (Underlying)</v>
      </c>
      <c r="EO5" s="31" t="str">
        <f>IFERROR(__xludf.DUMMYFUNCTION("""COMPUTED_VALUE"""),"Day Return")</f>
        <v>Day Return</v>
      </c>
      <c r="EP5" s="31" t="str">
        <f>IFERROR(__xludf.DUMMYFUNCTION("""COMPUTED_VALUE"""),"Start of Day NAV")</f>
        <v>Start of Day NAV</v>
      </c>
      <c r="EQ5" s="31" t="str">
        <f>IFERROR(__xludf.DUMMYFUNCTION("""COMPUTED_VALUE"""),"% Gross Market Value (Base)")</f>
        <v>% Gross Market Value (Base)</v>
      </c>
      <c r="ER5" s="31" t="str">
        <f>IFERROR(__xludf.DUMMYFUNCTION("""COMPUTED_VALUE"""),"Beta Adj. Gross Exposure (Underlying) (Local)")</f>
        <v>Beta Adj. Gross Exposure (Underlying) (Local)</v>
      </c>
      <c r="ES5" s="31" t="str">
        <f>IFERROR(__xludf.DUMMYFUNCTION("""COMPUTED_VALUE"""),"NAV")</f>
        <v>NAV</v>
      </c>
      <c r="ET5" s="31" t="str">
        <f>IFERROR(__xludf.DUMMYFUNCTION("""COMPUTED_VALUE"""),"% P&amp;L Contribution")</f>
        <v>% P&amp;L Contribution</v>
      </c>
      <c r="EU5" s="31" t="str">
        <f>IFERROR(__xludf.DUMMYFUNCTION("""COMPUTED_VALUE"""),"% Net Market Value (Base)")</f>
        <v>% Net Market Value (Base)</v>
      </c>
      <c r="EV5" s="31" t="str">
        <f>IFERROR(__xludf.DUMMYFUNCTION("""COMPUTED_VALUE"""),"Position Side Exposure")</f>
        <v>Position Side Exposure</v>
      </c>
      <c r="EW5" s="31" t="str">
        <f>IFERROR(__xludf.DUMMYFUNCTION("""COMPUTED_VALUE"""),"NAV (Touch)")</f>
        <v>NAV (Touch)</v>
      </c>
      <c r="EX5" s="31" t="str">
        <f>IFERROR(__xludf.DUMMYFUNCTION("""COMPUTED_VALUE"""),"IgnorePropertyChangeEvents")</f>
        <v>IgnorePropertyChangeEvents</v>
      </c>
      <c r="EY5" s="31" t="str">
        <f>IFERROR(__xludf.DUMMYFUNCTION("""COMPUTED_VALUE"""),"Trade Attribute 1")</f>
        <v>Trade Attribute 1</v>
      </c>
      <c r="EZ5" s="31" t="str">
        <f>IFERROR(__xludf.DUMMYFUNCTION("""COMPUTED_VALUE"""),"Trade Attribute 2")</f>
        <v>Trade Attribute 2</v>
      </c>
      <c r="FA5" s="31" t="str">
        <f>IFERROR(__xludf.DUMMYFUNCTION("""COMPUTED_VALUE"""),"Client")</f>
        <v>Client</v>
      </c>
      <c r="FB5" s="31" t="str">
        <f>IFERROR(__xludf.DUMMYFUNCTION("""COMPUTED_VALUE"""),"IsCustomViewTab")</f>
        <v>IsCustomViewTab</v>
      </c>
      <c r="FC5" s="31" t="str">
        <f>IFERROR(__xludf.DUMMYFUNCTION("""COMPUTED_VALUE"""),"ITM/OTM")</f>
        <v>ITM/OTM</v>
      </c>
      <c r="FD5" s="31" t="str">
        <f>IFERROR(__xludf.DUMMYFUNCTION("""COMPUTED_VALUE"""),"Days to Expiry")</f>
        <v>Days to Expiry</v>
      </c>
      <c r="FE5" s="31" t="str">
        <f>IFERROR(__xludf.DUMMYFUNCTION("""COMPUTED_VALUE"""),"% of Underlying Price")</f>
        <v>% of Underlying Price</v>
      </c>
      <c r="FF5" s="31" t="str">
        <f>IFERROR(__xludf.DUMMYFUNCTION("""COMPUTED_VALUE"""),"Intrinsic value")</f>
        <v>Intrinsic value</v>
      </c>
      <c r="FG5" s="31" t="str">
        <f>IFERROR(__xludf.DUMMYFUNCTION("""COMPUTED_VALUE"""),"Gain/Loss if Ex./Assign")</f>
        <v>Gain/Loss if Ex./Assign</v>
      </c>
      <c r="FH5" s="31" t="str">
        <f>IFERROR(__xludf.DUMMYFUNCTION("""COMPUTED_VALUE"""),"Day Traded Position")</f>
        <v>Day Traded Position</v>
      </c>
      <c r="FI5" s="31"/>
      <c r="FJ5" s="31"/>
      <c r="FK5" s="31"/>
    </row>
    <row r="6" ht="15.75" customHeight="1">
      <c r="A6" s="11"/>
      <c r="B6" s="11"/>
      <c r="C6" s="11" t="s">
        <v>16</v>
      </c>
      <c r="D6" s="11">
        <v>100.0</v>
      </c>
      <c r="E6" s="11" t="s">
        <v>18</v>
      </c>
      <c r="F6" s="8"/>
      <c r="G6" s="11">
        <v>12.0</v>
      </c>
      <c r="H6" s="11" t="s">
        <v>39</v>
      </c>
      <c r="I6" s="8"/>
      <c r="J6" s="8"/>
      <c r="K6" s="8"/>
      <c r="L6" s="8"/>
      <c r="M6" s="8"/>
      <c r="N6" s="8"/>
      <c r="O6" s="8"/>
      <c r="Q6" s="9">
        <v>-888.89</v>
      </c>
      <c r="T6" s="9" t="s">
        <v>30</v>
      </c>
      <c r="AF6" s="9">
        <v>100.0</v>
      </c>
      <c r="AN6" s="9" t="s">
        <v>17</v>
      </c>
      <c r="AV6" s="9" t="s">
        <v>40</v>
      </c>
      <c r="AW6" s="9">
        <v>-1200.0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18.29"/>
    <col customWidth="1" min="18" max="31" width="14.43"/>
    <col customWidth="1" min="32" max="32" width="19.57"/>
    <col customWidth="1" min="33" max="47" width="14.43"/>
    <col customWidth="1" min="48" max="49" width="19.57"/>
    <col customWidth="1" min="50" max="167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1" t="str">
        <f>IFERROR(__xludf.DUMMYFUNCTION("""COMPUTED_VALUE"""),"Asset Class")</f>
        <v>Asset Class</v>
      </c>
      <c r="U5" s="31" t="str">
        <f>IFERROR(__xludf.DUMMYFUNCTION("""COMPUTED_VALUE"""),"Underlying")</f>
        <v>Underlying</v>
      </c>
      <c r="V5" s="31" t="str">
        <f>IFERROR(__xludf.DUMMYFUNCTION("""COMPUTED_VALUE"""),"Exchange")</f>
        <v>Exchange</v>
      </c>
      <c r="W5" s="31" t="str">
        <f>IFERROR(__xludf.DUMMYFUNCTION("""COMPUTED_VALUE"""),"Trade Currency")</f>
        <v>Trade Currency</v>
      </c>
      <c r="X5" s="31" t="str">
        <f>IFERROR(__xludf.DUMMYFUNCTION("""COMPUTED_VALUE"""),"Multiplier")</f>
        <v>Multiplier</v>
      </c>
      <c r="Y5" s="31" t="str">
        <f>IFERROR(__xludf.DUMMYFUNCTION("""COMPUTED_VALUE"""),"FX Rate")</f>
        <v>FX Rate</v>
      </c>
      <c r="Z5" s="31" t="str">
        <f>IFERROR(__xludf.DUMMYFUNCTION("""COMPUTED_VALUE"""),"Vs Currency")</f>
        <v>Vs Currency</v>
      </c>
      <c r="AA5" s="31" t="str">
        <f>IFERROR(__xludf.DUMMYFUNCTION("""COMPUTED_VALUE"""),"Lead Currency")</f>
        <v>Lead Currency</v>
      </c>
      <c r="AB5" s="31" t="str">
        <f>IFERROR(__xludf.DUMMYFUNCTION("""COMPUTED_VALUE"""),"Dividend Yield (%)")</f>
        <v>Dividend Yield (%)</v>
      </c>
      <c r="AC5" s="31" t="str">
        <f>IFERROR(__xludf.DUMMYFUNCTION("""COMPUTED_VALUE"""),"% Change")</f>
        <v>% Change</v>
      </c>
      <c r="AD5" s="31" t="str">
        <f>IFERROR(__xludf.DUMMYFUNCTION("""COMPUTED_VALUE"""),"Net Exposure (Local)")</f>
        <v>Net Exposure (Local)</v>
      </c>
      <c r="AE5" s="31" t="str">
        <f>IFERROR(__xludf.DUMMYFUNCTION("""COMPUTED_VALUE"""),"Exposure (Local)")</f>
        <v>Exposure (Local)</v>
      </c>
      <c r="AF5" s="31" t="str">
        <f>IFERROR(__xludf.DUMMYFUNCTION("""COMPUTED_VALUE"""),"Delta Adj. Position")</f>
        <v>Delta Adj. Position</v>
      </c>
      <c r="AG5" s="31" t="str">
        <f>IFERROR(__xludf.DUMMYFUNCTION("""COMPUTED_VALUE"""),"Exposure (Base)")</f>
        <v>Exposure (Base)</v>
      </c>
      <c r="AH5" s="31" t="str">
        <f>IFERROR(__xludf.DUMMYFUNCTION("""COMPUTED_VALUE"""),"Beta Adj. Exposure (Local)")</f>
        <v>Beta Adj. Exposure (Local)</v>
      </c>
      <c r="AI5" s="31" t="str">
        <f>IFERROR(__xludf.DUMMYFUNCTION("""COMPUTED_VALUE"""),"Beta Adj. Exposure (Base)")</f>
        <v>Beta Adj. Exposure (Base)</v>
      </c>
      <c r="AJ5" s="31" t="str">
        <f>IFERROR(__xludf.DUMMYFUNCTION("""COMPUTED_VALUE"""),"Exposure (BP)(Base)")</f>
        <v>Exposure (BP)(Base)</v>
      </c>
      <c r="AK5" s="31" t="str">
        <f>IFERROR(__xludf.DUMMYFUNCTION("""COMPUTED_VALUE"""),"Day P&amp;L (Local)")</f>
        <v>Day P&amp;L (Local)</v>
      </c>
      <c r="AL5" s="31" t="str">
        <f>IFERROR(__xludf.DUMMYFUNCTION("""COMPUTED_VALUE"""),"Delta")</f>
        <v>Delta</v>
      </c>
      <c r="AM5" s="31" t="str">
        <f>IFERROR(__xludf.DUMMYFUNCTION("""COMPUTED_VALUE"""),"Leveraged Factor")</f>
        <v>Leveraged Factor</v>
      </c>
      <c r="AN5" s="31" t="str">
        <f>IFERROR(__xludf.DUMMYFUNCTION("""COMPUTED_VALUE"""),"Order Side")</f>
        <v>Order Side</v>
      </c>
      <c r="AO5" s="31" t="str">
        <f>IFERROR(__xludf.DUMMYFUNCTION("""COMPUTED_VALUE"""),"Master Strategy")</f>
        <v>Master Strategy</v>
      </c>
      <c r="AP5" s="31" t="str">
        <f>IFERROR(__xludf.DUMMYFUNCTION("""COMPUTED_VALUE"""),"Transaction Side")</f>
        <v>Transaction Side</v>
      </c>
      <c r="AQ5" s="31" t="str">
        <f>IFERROR(__xludf.DUMMYFUNCTION("""COMPUTED_VALUE"""),"Underlying Symbol")</f>
        <v>Underlying Symbol</v>
      </c>
      <c r="AR5" s="31" t="str">
        <f>IFERROR(__xludf.DUMMYFUNCTION("""COMPUTED_VALUE"""),"Underlying Price")</f>
        <v>Underlying Price</v>
      </c>
      <c r="AS5" s="31" t="str">
        <f>IFERROR(__xludf.DUMMYFUNCTION("""COMPUTED_VALUE"""),"Side Multiplier")</f>
        <v>Side Multiplier</v>
      </c>
      <c r="AT5" s="31" t="str">
        <f>IFERROR(__xludf.DUMMYFUNCTION("""COMPUTED_VALUE"""),"Description")</f>
        <v>Description</v>
      </c>
      <c r="AU5" s="31" t="str">
        <f>IFERROR(__xludf.DUMMYFUNCTION("""COMPUTED_VALUE"""),"Internal Comments")</f>
        <v>Internal Comments</v>
      </c>
      <c r="AV5" s="31" t="str">
        <f>IFERROR(__xludf.DUMMYFUNCTION("""COMPUTED_VALUE"""),"FX Rate On Trade Date")</f>
        <v>FX Rate On Trade Date</v>
      </c>
      <c r="AW5" s="31" t="str">
        <f>IFERROR(__xludf.DUMMYFUNCTION("""COMPUTED_VALUE"""),"Cost Basis P&amp;L (Local)")</f>
        <v>Cost Basis P&amp;L (Local)</v>
      </c>
      <c r="AX5" s="31" t="str">
        <f>IFERROR(__xludf.DUMMYFUNCTION("""COMPUTED_VALUE"""),"Day Interest")</f>
        <v>Day Interest</v>
      </c>
      <c r="AY5" s="31" t="str">
        <f>IFERROR(__xludf.DUMMYFUNCTION("""COMPUTED_VALUE"""),"Total Interest")</f>
        <v>Total Interest</v>
      </c>
      <c r="AZ5" s="31" t="str">
        <f>IFERROR(__xludf.DUMMYFUNCTION("""COMPUTED_VALUE"""),"Market Value (Local)")</f>
        <v>Market Value (Local)</v>
      </c>
      <c r="BA5" s="31" t="str">
        <f>IFERROR(__xludf.DUMMYFUNCTION("""COMPUTED_VALUE"""),"% Gain/Loss Day")</f>
        <v>% Gain/Loss Day</v>
      </c>
      <c r="BB5" s="31" t="str">
        <f>IFERROR(__xludf.DUMMYFUNCTION("""COMPUTED_VALUE"""),"Update Time (Last Price)")</f>
        <v>Update Time (Last Price)</v>
      </c>
      <c r="BC5" s="31" t="str">
        <f>IFERROR(__xludf.DUMMYFUNCTION("""COMPUTED_VALUE"""),"Beta")</f>
        <v>Beta</v>
      </c>
      <c r="BD5" s="31" t="str">
        <f>IFERROR(__xludf.DUMMYFUNCTION("""COMPUTED_VALUE"""),"Cash Impact (Local)")</f>
        <v>Cash Impact (Local)</v>
      </c>
      <c r="BE5" s="31" t="str">
        <f>IFERROR(__xludf.DUMMYFUNCTION("""COMPUTED_VALUE"""),"User Asset")</f>
        <v>User Asset</v>
      </c>
      <c r="BF5" s="31" t="str">
        <f>IFERROR(__xludf.DUMMYFUNCTION("""COMPUTED_VALUE"""),"Security Type")</f>
        <v>Security Type</v>
      </c>
      <c r="BG5" s="31" t="str">
        <f>IFERROR(__xludf.DUMMYFUNCTION("""COMPUTED_VALUE"""),"Sector")</f>
        <v>Sector</v>
      </c>
      <c r="BH5" s="31" t="str">
        <f>IFERROR(__xludf.DUMMYFUNCTION("""COMPUTED_VALUE"""),"Sub Sector")</f>
        <v>Sub Sector</v>
      </c>
      <c r="BI5" s="31" t="str">
        <f>IFERROR(__xludf.DUMMYFUNCTION("""COMPUTED_VALUE"""),"Country")</f>
        <v>Country</v>
      </c>
      <c r="BJ5" s="31" t="str">
        <f>IFERROR(__xludf.DUMMYFUNCTION("""COMPUTED_VALUE"""),"Market Cap")</f>
        <v>Market Cap</v>
      </c>
      <c r="BK5" s="31" t="str">
        <f>IFERROR(__xludf.DUMMYFUNCTION("""COMPUTED_VALUE"""),"Shares Outstanding (MM)")</f>
        <v>Shares Outstanding (MM)</v>
      </c>
      <c r="BL5" s="31" t="str">
        <f>IFERROR(__xludf.DUMMYFUNCTION("""COMPUTED_VALUE"""),"Avg Volume 20 Day")</f>
        <v>Avg Volume 20 Day</v>
      </c>
      <c r="BM5" s="31" t="str">
        <f>IFERROR(__xludf.DUMMYFUNCTION("""COMPUTED_VALUE"""),"% Avg Volume (Delta Adj.)")</f>
        <v>% Avg Volume (Delta Adj.)</v>
      </c>
      <c r="BN5" s="31" t="str">
        <f>IFERROR(__xludf.DUMMYFUNCTION("""COMPUTED_VALUE"""),"Ex Dividend Date")</f>
        <v>Ex Dividend Date</v>
      </c>
      <c r="BO5" s="31" t="str">
        <f>IFERROR(__xludf.DUMMYFUNCTION("""COMPUTED_VALUE"""),"Cash Impact (Base)")</f>
        <v>Cash Impact (Base)</v>
      </c>
      <c r="BP5" s="31" t="str">
        <f>IFERROR(__xludf.DUMMYFUNCTION("""COMPUTED_VALUE"""),"Volatility (%)")</f>
        <v>Volatility (%)</v>
      </c>
      <c r="BQ5" s="31" t="str">
        <f>IFERROR(__xludf.DUMMYFUNCTION("""COMPUTED_VALUE"""),"User")</f>
        <v>User</v>
      </c>
      <c r="BR5" s="31" t="str">
        <f>IFERROR(__xludf.DUMMYFUNCTION("""COMPUTED_VALUE"""),"Broker")</f>
        <v>Broker</v>
      </c>
      <c r="BS5" s="31" t="str">
        <f>IFERROR(__xludf.DUMMYFUNCTION("""COMPUTED_VALUE"""),"Earned Dividend (Local)")</f>
        <v>Earned Dividend (Local)</v>
      </c>
      <c r="BT5" s="31" t="str">
        <f>IFERROR(__xludf.DUMMYFUNCTION("""COMPUTED_VALUE"""),"Earned Dividend (Base)")</f>
        <v>Earned Dividend (Base)</v>
      </c>
      <c r="BU5" s="31" t="str">
        <f>IFERROR(__xludf.DUMMYFUNCTION("""COMPUTED_VALUE"""),"Put/Call")</f>
        <v>Put/Call</v>
      </c>
      <c r="BV5" s="31" t="str">
        <f>IFERROR(__xludf.DUMMYFUNCTION("""COMPUTED_VALUE"""),"Expiration Date")</f>
        <v>Expiration Date</v>
      </c>
      <c r="BW5" s="31" t="str">
        <f>IFERROR(__xludf.DUMMYFUNCTION("""COMPUTED_VALUE"""),"Strike Price")</f>
        <v>Strike Price</v>
      </c>
      <c r="BX5" s="31" t="str">
        <f>IFERROR(__xludf.DUMMYFUNCTION("""COMPUTED_VALUE"""),"Gross Exposure (Base)")</f>
        <v>Gross Exposure (Base)</v>
      </c>
      <c r="BY5" s="31" t="str">
        <f>IFERROR(__xludf.DUMMYFUNCTION("""COMPUTED_VALUE"""),"Gross Market Value (Base)")</f>
        <v>Gross Market Value (Base)</v>
      </c>
      <c r="BZ5" s="31" t="str">
        <f>IFERROR(__xludf.DUMMYFUNCTION("""COMPUTED_VALUE"""),"Px Selected Feed (Local)")</f>
        <v>Px Selected Feed (Local)</v>
      </c>
      <c r="CA5" s="31" t="str">
        <f>IFERROR(__xludf.DUMMYFUNCTION("""COMPUTED_VALUE"""),"Px Selected Feed (Base)")</f>
        <v>Px Selected Feed (Base)</v>
      </c>
      <c r="CB5" s="31" t="str">
        <f>IFERROR(__xludf.DUMMYFUNCTION("""COMPUTED_VALUE"""),"Settlement Date")</f>
        <v>Settlement Date</v>
      </c>
      <c r="CC5" s="31" t="str">
        <f>IFERROR(__xludf.DUMMYFUNCTION("""COMPUTED_VALUE"""),"% Avg Volume")</f>
        <v>% Avg Volume</v>
      </c>
      <c r="CD5" s="31" t="str">
        <f>IFERROR(__xludf.DUMMYFUNCTION("""COMPUTED_VALUE"""),"Day P&amp;L (Base)(Price Gain)")</f>
        <v>Day P&amp;L (Base)(Price Gain)</v>
      </c>
      <c r="CE5" s="31" t="str">
        <f>IFERROR(__xludf.DUMMYFUNCTION("""COMPUTED_VALUE"""),"Day P&amp;L (Base)(FX Gain)")</f>
        <v>Day P&amp;L (Base)(FX Gain)</v>
      </c>
      <c r="CF5" s="31" t="str">
        <f>IFERROR(__xludf.DUMMYFUNCTION("""COMPUTED_VALUE"""),"Cost Basis P&amp;L (Base)(FX Gain)")</f>
        <v>Cost Basis P&amp;L (Base)(FX Gain)</v>
      </c>
      <c r="CG5" s="31" t="str">
        <f>IFERROR(__xludf.DUMMYFUNCTION("""COMPUTED_VALUE"""),"Cost Basis P&amp;L (Base)(Price Gain)")</f>
        <v>Cost Basis P&amp;L (Base)(Price Gain)</v>
      </c>
      <c r="CH5" s="31" t="str">
        <f>IFERROR(__xludf.DUMMYFUNCTION("""COMPUTED_VALUE"""),"% Gain/Loss Cost")</f>
        <v>% Gain/Loss Cost</v>
      </c>
      <c r="CI5" s="31" t="str">
        <f>IFERROR(__xludf.DUMMYFUNCTION("""COMPUTED_VALUE"""),"Underlying Value (Options)")</f>
        <v>Underlying Value (Options)</v>
      </c>
      <c r="CJ5" s="31" t="str">
        <f>IFERROR(__xludf.DUMMYFUNCTION("""COMPUTED_VALUE"""),"Avg Volume 20 Day (Underlying Symbol)")</f>
        <v>Avg Volume 20 Day (Underlying Symbol)</v>
      </c>
      <c r="CK5" s="31" t="str">
        <f>IFERROR(__xludf.DUMMYFUNCTION("""COMPUTED_VALUE"""),"IsStaleData")</f>
        <v>IsStaleData</v>
      </c>
      <c r="CL5" s="31" t="str">
        <f>IFERROR(__xludf.DUMMYFUNCTION("""COMPUTED_VALUE"""),"IDCO")</f>
        <v>IDCO</v>
      </c>
      <c r="CM5" s="31" t="str">
        <f>IFERROR(__xludf.DUMMYFUNCTION("""COMPUTED_VALUE"""),"OSI")</f>
        <v>OSI</v>
      </c>
      <c r="CN5" s="31" t="str">
        <f>IFERROR(__xludf.DUMMYFUNCTION("""COMPUTED_VALUE"""),"SEDOL")</f>
        <v>SEDOL</v>
      </c>
      <c r="CO5" s="31" t="str">
        <f>IFERROR(__xludf.DUMMYFUNCTION("""COMPUTED_VALUE"""),"CUSIP")</f>
        <v>CUSIP</v>
      </c>
      <c r="CP5" s="31" t="str">
        <f>IFERROR(__xludf.DUMMYFUNCTION("""COMPUTED_VALUE"""),"Bloomberg")</f>
        <v>Bloomberg</v>
      </c>
      <c r="CQ5" s="31" t="str">
        <f>IFERROR(__xludf.DUMMYFUNCTION("""COMPUTED_VALUE"""),"ISIN")</f>
        <v>ISIN</v>
      </c>
      <c r="CR5" s="31" t="str">
        <f>IFERROR(__xludf.DUMMYFUNCTION("""COMPUTED_VALUE"""),"Start Trade Date")</f>
        <v>Start Trade Date</v>
      </c>
      <c r="CS5" s="31" t="str">
        <f>IFERROR(__xludf.DUMMYFUNCTION("""COMPUTED_VALUE"""),"Cost Basis (Break Even)")</f>
        <v>Cost Basis (Break Even)</v>
      </c>
      <c r="CT5" s="31" t="str">
        <f>IFERROR(__xludf.DUMMYFUNCTION("""COMPUTED_VALUE"""),"Trade Attribute 3")</f>
        <v>Trade Attribute 3</v>
      </c>
      <c r="CU5" s="31" t="str">
        <f>IFERROR(__xludf.DUMMYFUNCTION("""COMPUTED_VALUE"""),"Trade Attribute 4")</f>
        <v>Trade Attribute 4</v>
      </c>
      <c r="CV5" s="31" t="str">
        <f>IFERROR(__xludf.DUMMYFUNCTION("""COMPUTED_VALUE"""),"Trade Attribute 5")</f>
        <v>Trade Attribute 5</v>
      </c>
      <c r="CW5" s="31" t="str">
        <f>IFERROR(__xludf.DUMMYFUNCTION("""COMPUTED_VALUE"""),"Trade Attribute 6")</f>
        <v>Trade Attribute 6</v>
      </c>
      <c r="CX5" s="31" t="str">
        <f>IFERROR(__xludf.DUMMYFUNCTION("""COMPUTED_VALUE"""),"Proxy Symbol")</f>
        <v>Proxy Symbol</v>
      </c>
      <c r="CY5" s="31" t="str">
        <f>IFERROR(__xludf.DUMMYFUNCTION("""COMPUTED_VALUE"""),"Pricing Source")</f>
        <v>Pricing Source</v>
      </c>
      <c r="CZ5" s="31" t="str">
        <f>IFERROR(__xludf.DUMMYFUNCTION("""COMPUTED_VALUE"""),"Delta Source")</f>
        <v>Delta Source</v>
      </c>
      <c r="DA5" s="31" t="str">
        <f>IFERROR(__xludf.DUMMYFUNCTION("""COMPUTED_VALUE"""),"Gross Exposure (Local)")</f>
        <v>Gross Exposure (Local)</v>
      </c>
      <c r="DB5" s="31" t="str">
        <f>IFERROR(__xludf.DUMMYFUNCTION("""COMPUTED_VALUE"""),"% Day P&amp;L (Net MV)")</f>
        <v>% Day P&amp;L (Net MV)</v>
      </c>
      <c r="DC5" s="31" t="str">
        <f>IFERROR(__xludf.DUMMYFUNCTION("""COMPUTED_VALUE"""),"Expiration Month")</f>
        <v>Expiration Month</v>
      </c>
      <c r="DD5" s="31" t="str">
        <f>IFERROR(__xludf.DUMMYFUNCTION("""COMPUTED_VALUE"""),"Delta Adj. Position (LME)")</f>
        <v>Delta Adj. Position (LME)</v>
      </c>
      <c r="DE5" s="31" t="str">
        <f>IFERROR(__xludf.DUMMYFUNCTION("""COMPUTED_VALUE"""),"Premium")</f>
        <v>Premium</v>
      </c>
      <c r="DF5" s="31" t="str">
        <f>IFERROR(__xludf.DUMMYFUNCTION("""COMPUTED_VALUE"""),"Premium $")</f>
        <v>Premium $</v>
      </c>
      <c r="DG5" s="31" t="str">
        <f>IFERROR(__xludf.DUMMYFUNCTION("""COMPUTED_VALUE"""),"Forward Points")</f>
        <v>Forward Points</v>
      </c>
      <c r="DH5" s="31" t="str">
        <f>IFERROR(__xludf.DUMMYFUNCTION("""COMPUTED_VALUE"""),"Closing Mark (Underlying)")</f>
        <v>Closing Mark (Underlying)</v>
      </c>
      <c r="DI5" s="31" t="str">
        <f>IFERROR(__xludf.DUMMYFUNCTION("""COMPUTED_VALUE"""),"% Change (Underlying Price)")</f>
        <v>% Change (Underlying Price)</v>
      </c>
      <c r="DJ5" s="31" t="str">
        <f>IFERROR(__xludf.DUMMYFUNCTION("""COMPUTED_VALUE"""),"Transaction Type")</f>
        <v>Transaction Type</v>
      </c>
      <c r="DK5" s="31" t="str">
        <f>IFERROR(__xludf.DUMMYFUNCTION("""COMPUTED_VALUE"""),"Closing Market Value (Local)")</f>
        <v>Closing Market Value (Local)</v>
      </c>
      <c r="DL5" s="31" t="str">
        <f>IFERROR(__xludf.DUMMYFUNCTION("""COMPUTED_VALUE"""),"Closing Market Value (Base)")</f>
        <v>Closing Market Value (Base)</v>
      </c>
      <c r="DM5" s="31" t="str">
        <f>IFERROR(__xludf.DUMMYFUNCTION("""COMPUTED_VALUE"""),"Closing FX Rate")</f>
        <v>Closing FX Rate</v>
      </c>
      <c r="DN5" s="31" t="str">
        <f>IFERROR(__xludf.DUMMYFUNCTION("""COMPUTED_VALUE"""),"Change In Underlying Price")</f>
        <v>Change In Underlying Price</v>
      </c>
      <c r="DO5" s="31" t="str">
        <f>IFERROR(__xludf.DUMMYFUNCTION("""COMPUTED_VALUE"""),"RIC")</f>
        <v>RIC</v>
      </c>
      <c r="DP5" s="31" t="str">
        <f>IFERROR(__xludf.DUMMYFUNCTION("""COMPUTED_VALUE"""),"Position Side Exposure (Boxed)")</f>
        <v>Position Side Exposure (Boxed)</v>
      </c>
      <c r="DQ5" s="31" t="str">
        <f>IFERROR(__xludf.DUMMYFUNCTION("""COMPUTED_VALUE"""),"Analyst")</f>
        <v>Analyst</v>
      </c>
      <c r="DR5" s="31" t="str">
        <f>IFERROR(__xludf.DUMMYFUNCTION("""COMPUTED_VALUE"""),"Country Of Risk")</f>
        <v>Country Of Risk</v>
      </c>
      <c r="DS5" s="31" t="str">
        <f>IFERROR(__xludf.DUMMYFUNCTION("""COMPUTED_VALUE"""),"Custom UDA1")</f>
        <v>Custom UDA1</v>
      </c>
      <c r="DT5" s="31" t="str">
        <f>IFERROR(__xludf.DUMMYFUNCTION("""COMPUTED_VALUE"""),"Custom UDA2")</f>
        <v>Custom UDA2</v>
      </c>
      <c r="DU5" s="31" t="str">
        <f>IFERROR(__xludf.DUMMYFUNCTION("""COMPUTED_VALUE"""),"Custom UDA3")</f>
        <v>Custom UDA3</v>
      </c>
      <c r="DV5" s="31" t="str">
        <f>IFERROR(__xludf.DUMMYFUNCTION("""COMPUTED_VALUE"""),"Custom UDA4")</f>
        <v>Custom UDA4</v>
      </c>
      <c r="DW5" s="31" t="str">
        <f>IFERROR(__xludf.DUMMYFUNCTION("""COMPUTED_VALUE"""),"Custom UDA5")</f>
        <v>Custom UDA5</v>
      </c>
      <c r="DX5" s="31" t="str">
        <f>IFERROR(__xludf.DUMMYFUNCTION("""COMPUTED_VALUE"""),"Custom UDA6")</f>
        <v>Custom UDA6</v>
      </c>
      <c r="DY5" s="31" t="str">
        <f>IFERROR(__xludf.DUMMYFUNCTION("""COMPUTED_VALUE"""),"Custom UDA7")</f>
        <v>Custom UDA7</v>
      </c>
      <c r="DZ5" s="31" t="str">
        <f>IFERROR(__xludf.DUMMYFUNCTION("""COMPUTED_VALUE"""),"Issuer")</f>
        <v>Issuer</v>
      </c>
      <c r="EA5" s="31" t="str">
        <f>IFERROR(__xludf.DUMMYFUNCTION("""COMPUTED_VALUE"""),"Liquid Tag")</f>
        <v>Liquid Tag</v>
      </c>
      <c r="EB5" s="31" t="str">
        <f>IFERROR(__xludf.DUMMYFUNCTION("""COMPUTED_VALUE"""),"Market Cap UDA")</f>
        <v>Market Cap UDA</v>
      </c>
      <c r="EC5" s="31" t="str">
        <f>IFERROR(__xludf.DUMMYFUNCTION("""COMPUTED_VALUE"""),"Region")</f>
        <v>Region</v>
      </c>
      <c r="ED5" s="31" t="str">
        <f>IFERROR(__xludf.DUMMYFUNCTION("""COMPUTED_VALUE"""),"Risk Currency")</f>
        <v>Risk Currency</v>
      </c>
      <c r="EE5" s="31" t="str">
        <f>IFERROR(__xludf.DUMMYFUNCTION("""COMPUTED_VALUE"""),"UCITS Eligible Tag")</f>
        <v>UCITS Eligible Tag</v>
      </c>
      <c r="EF5" s="31" t="str">
        <f>IFERROR(__xludf.DUMMYFUNCTION("""COMPUTED_VALUE"""),"FX Rate (Display)")</f>
        <v>FX Rate (Display)</v>
      </c>
      <c r="EG5" s="31" t="str">
        <f>IFERROR(__xludf.DUMMYFUNCTION("""COMPUTED_VALUE"""),"% Net Exposure (Base)")</f>
        <v>% Net Exposure (Base)</v>
      </c>
      <c r="EH5" s="31" t="str">
        <f>IFERROR(__xludf.DUMMYFUNCTION("""COMPUTED_VALUE"""),"% Gross Exposure (Base)")</f>
        <v>% Gross Exposure (Base)</v>
      </c>
      <c r="EI5" s="31" t="str">
        <f>IFERROR(__xludf.DUMMYFUNCTION("""COMPUTED_VALUE"""),"% Exposure (Base)")</f>
        <v>% Exposure (Base)</v>
      </c>
      <c r="EJ5" s="31" t="str">
        <f>IFERROR(__xludf.DUMMYFUNCTION("""COMPUTED_VALUE"""),"% Gross Exposure (Underlying) (Base)")</f>
        <v>% Gross Exposure (Underlying) (Base)</v>
      </c>
      <c r="EK5" s="31" t="str">
        <f>IFERROR(__xludf.DUMMYFUNCTION("""COMPUTED_VALUE"""),"% Beta Adj. Gross Exposure (Base)")</f>
        <v>% Beta Adj. Gross Exposure (Base)</v>
      </c>
      <c r="EL5" s="31" t="str">
        <f>IFERROR(__xludf.DUMMYFUNCTION("""COMPUTED_VALUE"""),"Position Side Exposure (Underlying)")</f>
        <v>Position Side Exposure (Underlying)</v>
      </c>
      <c r="EM5" s="31" t="str">
        <f>IFERROR(__xludf.DUMMYFUNCTION("""COMPUTED_VALUE"""),"Gross Exposure (Underlying) (Base)")</f>
        <v>Gross Exposure (Underlying) (Base)</v>
      </c>
      <c r="EN5" s="31" t="str">
        <f>IFERROR(__xludf.DUMMYFUNCTION("""COMPUTED_VALUE"""),"Gross Exposure (Underlying)")</f>
        <v>Gross Exposure (Underlying)</v>
      </c>
      <c r="EO5" s="31" t="str">
        <f>IFERROR(__xludf.DUMMYFUNCTION("""COMPUTED_VALUE"""),"Day Return")</f>
        <v>Day Return</v>
      </c>
      <c r="EP5" s="31" t="str">
        <f>IFERROR(__xludf.DUMMYFUNCTION("""COMPUTED_VALUE"""),"Start of Day NAV")</f>
        <v>Start of Day NAV</v>
      </c>
      <c r="EQ5" s="31" t="str">
        <f>IFERROR(__xludf.DUMMYFUNCTION("""COMPUTED_VALUE"""),"% Gross Market Value (Base)")</f>
        <v>% Gross Market Value (Base)</v>
      </c>
      <c r="ER5" s="31" t="str">
        <f>IFERROR(__xludf.DUMMYFUNCTION("""COMPUTED_VALUE"""),"Beta Adj. Gross Exposure (Underlying) (Local)")</f>
        <v>Beta Adj. Gross Exposure (Underlying) (Local)</v>
      </c>
      <c r="ES5" s="31" t="str">
        <f>IFERROR(__xludf.DUMMYFUNCTION("""COMPUTED_VALUE"""),"NAV")</f>
        <v>NAV</v>
      </c>
      <c r="ET5" s="31" t="str">
        <f>IFERROR(__xludf.DUMMYFUNCTION("""COMPUTED_VALUE"""),"% P&amp;L Contribution")</f>
        <v>% P&amp;L Contribution</v>
      </c>
      <c r="EU5" s="31" t="str">
        <f>IFERROR(__xludf.DUMMYFUNCTION("""COMPUTED_VALUE"""),"% Net Market Value (Base)")</f>
        <v>% Net Market Value (Base)</v>
      </c>
      <c r="EV5" s="31" t="str">
        <f>IFERROR(__xludf.DUMMYFUNCTION("""COMPUTED_VALUE"""),"Position Side Exposure")</f>
        <v>Position Side Exposure</v>
      </c>
      <c r="EW5" s="31" t="str">
        <f>IFERROR(__xludf.DUMMYFUNCTION("""COMPUTED_VALUE"""),"NAV (Touch)")</f>
        <v>NAV (Touch)</v>
      </c>
      <c r="EX5" s="31" t="str">
        <f>IFERROR(__xludf.DUMMYFUNCTION("""COMPUTED_VALUE"""),"IgnorePropertyChangeEvents")</f>
        <v>IgnorePropertyChangeEvents</v>
      </c>
      <c r="EY5" s="31" t="str">
        <f>IFERROR(__xludf.DUMMYFUNCTION("""COMPUTED_VALUE"""),"Trade Attribute 1")</f>
        <v>Trade Attribute 1</v>
      </c>
      <c r="EZ5" s="31" t="str">
        <f>IFERROR(__xludf.DUMMYFUNCTION("""COMPUTED_VALUE"""),"Trade Attribute 2")</f>
        <v>Trade Attribute 2</v>
      </c>
      <c r="FA5" s="31" t="str">
        <f>IFERROR(__xludf.DUMMYFUNCTION("""COMPUTED_VALUE"""),"Client")</f>
        <v>Client</v>
      </c>
      <c r="FB5" s="31" t="str">
        <f>IFERROR(__xludf.DUMMYFUNCTION("""COMPUTED_VALUE"""),"IsCustomViewTab")</f>
        <v>IsCustomViewTab</v>
      </c>
      <c r="FC5" s="31" t="str">
        <f>IFERROR(__xludf.DUMMYFUNCTION("""COMPUTED_VALUE"""),"ITM/OTM")</f>
        <v>ITM/OTM</v>
      </c>
      <c r="FD5" s="31" t="str">
        <f>IFERROR(__xludf.DUMMYFUNCTION("""COMPUTED_VALUE"""),"Days to Expiry")</f>
        <v>Days to Expiry</v>
      </c>
      <c r="FE5" s="31" t="str">
        <f>IFERROR(__xludf.DUMMYFUNCTION("""COMPUTED_VALUE"""),"% of Underlying Price")</f>
        <v>% of Underlying Price</v>
      </c>
      <c r="FF5" s="31" t="str">
        <f>IFERROR(__xludf.DUMMYFUNCTION("""COMPUTED_VALUE"""),"Intrinsic value")</f>
        <v>Intrinsic value</v>
      </c>
      <c r="FG5" s="31" t="str">
        <f>IFERROR(__xludf.DUMMYFUNCTION("""COMPUTED_VALUE"""),"Gain/Loss if Ex./Assign")</f>
        <v>Gain/Loss if Ex./Assign</v>
      </c>
      <c r="FH5" s="31" t="str">
        <f>IFERROR(__xludf.DUMMYFUNCTION("""COMPUTED_VALUE"""),"Day Traded Position")</f>
        <v>Day Traded Position</v>
      </c>
      <c r="FI5" s="31"/>
      <c r="FJ5" s="31"/>
      <c r="FK5" s="31"/>
    </row>
    <row r="6" ht="15.75" customHeight="1">
      <c r="A6" s="11"/>
      <c r="B6" s="11"/>
      <c r="C6" s="11" t="s">
        <v>16</v>
      </c>
      <c r="D6" s="11">
        <v>100.0</v>
      </c>
      <c r="E6" s="11" t="s">
        <v>18</v>
      </c>
      <c r="F6" s="8"/>
      <c r="G6" s="11">
        <v>12.0</v>
      </c>
      <c r="H6" s="11" t="s">
        <v>39</v>
      </c>
      <c r="I6" s="8"/>
      <c r="J6" s="8"/>
      <c r="K6" s="8"/>
      <c r="L6" s="8"/>
      <c r="M6" s="8"/>
      <c r="N6" s="8"/>
      <c r="O6" s="8"/>
      <c r="Q6" s="9">
        <v>-857.14</v>
      </c>
      <c r="T6" s="9" t="s">
        <v>30</v>
      </c>
      <c r="AF6" s="9">
        <v>100.0</v>
      </c>
      <c r="AN6" s="9" t="s">
        <v>17</v>
      </c>
      <c r="AV6" s="9" t="s">
        <v>41</v>
      </c>
      <c r="AW6" s="9">
        <v>-1200.0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43</v>
      </c>
      <c r="C6" s="32">
        <v>44089.0</v>
      </c>
      <c r="D6" s="32">
        <v>44090.0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