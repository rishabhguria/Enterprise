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VerifyOrder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VerifyOrder1" sheetId="9" r:id="rId12"/>
    <sheet state="visible" name="SelectTradeOnOrderGrid" sheetId="10" r:id="rId13"/>
    <sheet state="visible" name="VerifySubOrder" sheetId="11" r:id="rId14"/>
    <sheet state="visible" name="SelectTradeOnBlotter" sheetId="12" r:id="rId15"/>
    <sheet state="visible" name="ReplaceSubOrder" sheetId="13" r:id="rId16"/>
    <sheet state="visible" name="CreateReplaceLiveOrder" sheetId="14" r:id="rId17"/>
    <sheet state="visible" name="ExecuteTrade2" sheetId="15" r:id="rId18"/>
    <sheet state="visible" name="VerifyOrder2" sheetId="16" r:id="rId19"/>
    <sheet state="visible" name="VerifySubOrder2" sheetId="17" r:id="rId20"/>
    <sheet state="visible" name="GetDataAllocation" sheetId="18" r:id="rId21"/>
    <sheet state="visible" name="CheckAllocatedGroups" sheetId="19" r:id="rId22"/>
    <sheet state="visible" name="LoginClient" sheetId="20" r:id="rId23"/>
    <sheet state="visible" name="CreateReplaceOrder" sheetId="21" r:id="rId24"/>
  </sheets>
  <definedNames/>
  <calcPr/>
  <extLst>
    <ext uri="GoogleSheetsCustomDataVersion2">
      <go:sheetsCustomData xmlns:go="http://customooxmlschemas.google.com/" r:id="rId25" roundtripDataChecksum="/P/gOA/G23Clb6QhdahSXSzaI5abYYP1g/Rc1+ORvvo="/>
    </ext>
  </extLst>
</workbook>
</file>

<file path=xl/sharedStrings.xml><?xml version="1.0" encoding="utf-8"?>
<sst xmlns="http://schemas.openxmlformats.org/spreadsheetml/2006/main" count="435" uniqueCount="207">
  <si>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</si>
  <si>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</si>
  <si>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</si>
  <si>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</si>
  <si>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</si>
  <si>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</si>
  <si>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</si>
  <si>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</si>
  <si>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</si>
  <si>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</si>
  <si>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</si>
  <si>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</si>
  <si>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</si>
  <si>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</si>
  <si>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</si>
  <si>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</si>
  <si>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</si>
  <si>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</si>
  <si>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</si>
  <si>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Allocation1,Allocation2,Allocation3</t>
  </si>
  <si>
    <t>33,33,34</t>
  </si>
  <si>
    <t>Blotter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</si>
  <si>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</si>
  <si>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</si>
  <si>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</si>
  <si>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</si>
  <si>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</si>
  <si>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</si>
  <si>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</si>
  <si>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</si>
  <si>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Multiple</t>
  </si>
  <si>
    <t>M</t>
  </si>
  <si>
    <t>Equity</t>
  </si>
  <si>
    <t>New</t>
  </si>
  <si>
    <t>MS</t>
  </si>
  <si>
    <t>Market</t>
  </si>
  <si>
    <t>Day</t>
  </si>
  <si>
    <t>Simulator</t>
  </si>
  <si>
    <t>SelectTrade</t>
  </si>
  <si>
    <t>AcknowledgeTrade</t>
  </si>
  <si>
    <t>ExecuteTrade</t>
  </si>
  <si>
    <t>PartiallyFilled</t>
  </si>
  <si>
    <t>SelectTradeOnOrderGrid</t>
  </si>
  <si>
    <t>VerifySubOrder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</si>
  <si>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</si>
  <si>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</si>
  <si>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</si>
  <si>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</si>
  <si>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</si>
  <si>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</si>
  <si>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</si>
  <si>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</si>
  <si>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</si>
  <si>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</si>
  <si>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</si>
  <si>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</si>
  <si>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</si>
  <si>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</si>
  <si>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</si>
  <si>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</si>
  <si>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</si>
  <si>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</si>
  <si>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</si>
  <si>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</si>
  <si>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</si>
  <si>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</si>
  <si>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</si>
  <si>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</si>
  <si>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</si>
  <si>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</si>
  <si>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</si>
  <si>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</si>
  <si>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</si>
  <si>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</si>
  <si>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</si>
  <si>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</si>
  <si>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</si>
  <si>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</si>
  <si>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</si>
  <si>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</si>
  <si>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</si>
  <si>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</si>
  <si>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</si>
  <si>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</si>
  <si>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</si>
  <si>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</si>
  <si>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</si>
  <si>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</si>
  <si>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</si>
  <si>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</si>
  <si>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</si>
  <si>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</si>
  <si>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</si>
  <si>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</si>
  <si>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</si>
  <si>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</si>
  <si>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</si>
  <si>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</si>
  <si>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</si>
  <si>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</si>
  <si>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</si>
  <si>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</si>
  <si>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</si>
  <si>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</si>
  <si>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</si>
  <si>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</si>
  <si>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</si>
  <si>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</si>
  <si>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</si>
  <si>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</si>
  <si>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</si>
  <si>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</si>
  <si>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</si>
  <si>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</si>
  <si>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</si>
  <si>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</si>
  <si>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</si>
  <si>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</si>
  <si>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</si>
  <si>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</si>
  <si>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</si>
  <si>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</si>
  <si>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</si>
  <si>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</si>
  <si>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</si>
  <si>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</si>
  <si>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</si>
  <si>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</si>
  <si>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</si>
  <si>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</si>
  <si>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</si>
  <si>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</si>
  <si>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ReplaceSubOrder</t>
  </si>
  <si>
    <t>CreateReplaceLiveOrder</t>
  </si>
  <si>
    <t>Filled</t>
  </si>
  <si>
    <t>Strategy Unallocated</t>
  </si>
  <si>
    <t>Allocation</t>
  </si>
  <si>
    <t>GetDataAllocation</t>
  </si>
  <si>
    <t>Current</t>
  </si>
  <si>
    <t>CheckAllocatedGroups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</si>
  <si>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</si>
  <si>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</si>
  <si>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</si>
  <si>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</si>
  <si>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</si>
  <si>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</si>
  <si>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</si>
  <si>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</si>
  <si>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</si>
  <si>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</si>
  <si>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</si>
  <si>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</si>
  <si>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</si>
  <si>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</si>
  <si>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</si>
  <si>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</si>
  <si>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</si>
  <si>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</si>
  <si>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</si>
  <si>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</si>
  <si>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</si>
  <si>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</si>
  <si>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</si>
  <si>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</si>
  <si>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</si>
  <si>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</si>
  <si>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</si>
  <si>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</si>
  <si>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</si>
  <si>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</si>
  <si>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</si>
  <si>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</si>
  <si>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</si>
  <si>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</si>
  <si>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Underlying</t>
  </si>
  <si>
    <t>Exchange</t>
  </si>
  <si>
    <t>Currency</t>
  </si>
  <si>
    <t>AUECID</t>
  </si>
  <si>
    <t>Trading Account</t>
  </si>
  <si>
    <t>User</t>
  </si>
  <si>
    <t>Contract Multiplier</t>
  </si>
  <si>
    <t>Company</t>
  </si>
  <si>
    <t>Nirvana Process Date</t>
  </si>
  <si>
    <t>Trade Date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</si>
  <si>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</si>
  <si>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</si>
  <si>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</si>
  <si>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</si>
  <si>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</si>
  <si>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</si>
  <si>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</si>
  <si>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</si>
  <si>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ISIN</t>
  </si>
  <si>
    <t>Underlying Delta</t>
  </si>
  <si>
    <t>Change Type</t>
  </si>
  <si>
    <t>Asset Category</t>
  </si>
  <si>
    <t>Account Name</t>
  </si>
  <si>
    <t>Strategy Name</t>
  </si>
  <si>
    <t>Open</t>
  </si>
  <si>
    <t>NONE</t>
  </si>
  <si>
    <t>APPLE</t>
  </si>
  <si>
    <t>DefaultNotes</t>
  </si>
  <si>
    <t>PranaClient</t>
  </si>
  <si>
    <t>LoginClient</t>
  </si>
  <si>
    <t>Support1</t>
  </si>
  <si>
    <t>Nirvana@1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</si>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</sst>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color rgb="FFFFFFFF"/>
      <name val="Arial"/>
    </font>
    <font>
      <color rgb="FFD9D9D9"/>
      <name val="Calibri"/>
    </font>
    <font>
      <color rgb="FFD9D9D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3" numFmtId="0" xfId="0" applyFont="1"/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7" max="26" width="15.1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9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13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IFERROR(__xludf.DUMMYFUNCTION("""COMPUTED_VALUE"""),"Quantity")</f>
        <v>Quantity</v>
      </c>
      <c r="D5" s="21" t="str">
        <f>IFERROR(__xludf.DUMMYFUNCTION("""COMPUTED_VALUE"""),"Price")</f>
        <v>Price</v>
      </c>
      <c r="E5" s="21" t="str">
        <f>IFERROR(__xludf.DUMMYFUNCTION("""COMPUTED_VALUE"""),"Order type button")</f>
        <v>Order type button</v>
      </c>
      <c r="F5" s="21" t="str">
        <f>IFERROR(__xludf.DUMMYFUNCTION("""COMPUTED_VALUE"""),"SharesOutstandingPopUp")</f>
        <v>SharesOutstandingPopUp</v>
      </c>
      <c r="G5" s="21" t="str">
        <f>IFERROR(__xludf.DUMMYFUNCTION("""COMPUTED_VALUE"""),"TT_Open")</f>
        <v>TT_Open</v>
      </c>
      <c r="H5" s="21" t="str">
        <f>IFERROR(__xludf.DUMMYFUNCTION("""COMPUTED_VALUE"""),"SharesOutstandingPopUpQty")</f>
        <v>SharesOutstandingPopUpQty</v>
      </c>
      <c r="I5" s="21" t="str">
        <f>IFERROR(__xludf.DUMMYFUNCTION("""COMPUTED_VALUE"""),"AllocationMethod")</f>
        <v>AllocationMethod</v>
      </c>
      <c r="J5" s="21" t="str">
        <f>IFERROR(__xludf.DUMMYFUNCTION("""COMPUTED_VALUE"""),"Order Side")</f>
        <v>Order Side</v>
      </c>
      <c r="K5" s="21" t="str">
        <f>IFERROR(__xludf.DUMMYFUNCTION("""COMPUTED_VALUE"""),"DB_Check")</f>
        <v>DB_Check</v>
      </c>
      <c r="L5" s="21" t="str">
        <f>IFERROR(__xludf.DUMMYFUNCTION("""COMPUTED_VALUE"""),"CommissionBasis")</f>
        <v>CommissionBasis</v>
      </c>
      <c r="M5" s="21" t="str">
        <f>IFERROR(__xludf.DUMMYFUNCTION("""COMPUTED_VALUE"""),"CommissionRate")</f>
        <v>CommissionRate</v>
      </c>
      <c r="N5" s="21" t="str">
        <f>IFERROR(__xludf.DUMMYFUNCTION("""COMPUTED_VALUE"""),"SoftBasis")</f>
        <v>SoftBasis</v>
      </c>
      <c r="O5" s="21" t="str">
        <f>IFERROR(__xludf.DUMMYFUNCTION("""COMPUTED_VALUE"""),"SoftRate")</f>
        <v>SoftRate</v>
      </c>
      <c r="P5" s="21" t="str">
        <f>IFERROR(__xludf.DUMMYFUNCTION("""COMPUTED_VALUE"""),"Account")</f>
        <v>Account</v>
      </c>
      <c r="Q5" s="21" t="str">
        <f>IFERROR(__xludf.DUMMYFUNCTION("""COMPUTED_VALUE"""),"Account %")</f>
        <v>Account %</v>
      </c>
      <c r="R5" s="21" t="str">
        <f>IFERROR(__xludf.DUMMYFUNCTION("""COMPUTED_VALUE"""),"VerifySuggestions")</f>
        <v>VerifySuggestions</v>
      </c>
      <c r="S5" s="21" t="str">
        <f>IFERROR(__xludf.DUMMYFUNCTION("""COMPUTED_VALUE"""),"SymbolToPickFromSuggesstions")</f>
        <v>SymbolToPickFromSuggesstions</v>
      </c>
      <c r="T5" s="22" t="str">
        <f>IFERROR(__xludf.DUMMYFUNCTION("""COMPUTED_VALUE"""),"TypedSymbolAvailableOnSuggestion")</f>
        <v>TypedSymbolAvailableOnSuggestion</v>
      </c>
      <c r="U5" s="22" t="str">
        <f>IFERROR(__xludf.DUMMYFUNCTION("""COMPUTED_VALUE"""),"TIF")</f>
        <v>TIF</v>
      </c>
      <c r="V5" s="22" t="str">
        <f>IFERROR(__xludf.DUMMYFUNCTION("""COMPUTED_VALUE"""),"Order Type")</f>
        <v>Order Type</v>
      </c>
      <c r="W5" s="22" t="str">
        <f>IFERROR(__xludf.DUMMYFUNCTION("""COMPUTED_VALUE"""),"Stop")</f>
        <v>Stop</v>
      </c>
      <c r="X5" s="22" t="str">
        <f>IFERROR(__xludf.DUMMYFUNCTION("""COMPUTED_VALUE"""),"Limit")</f>
        <v>Limit</v>
      </c>
      <c r="Y5" s="22" t="str">
        <f>IFERROR(__xludf.DUMMYFUNCTION("""COMPUTED_VALUE"""),"Expiration Date")</f>
        <v>Expiration Date</v>
      </c>
      <c r="Z5" s="22" t="str">
        <f>IFERROR(__xludf.DUMMYFUNCTION("""COMPUTED_VALUE"""),"Trade Date")</f>
        <v>Trade Date</v>
      </c>
      <c r="AA5" s="22" t="str">
        <f>IFERROR(__xludf.DUMMYFUNCTION("""COMPUTED_VALUE"""),"Broker")</f>
        <v>Broker</v>
      </c>
      <c r="AB5" s="22" t="str">
        <f>IFERROR(__xludf.DUMMYFUNCTION("""COMPUTED_VALUE"""),"Padlock Visiblity")</f>
        <v>Padlock Visiblity</v>
      </c>
      <c r="AC5" s="22" t="str">
        <f>IFERROR(__xludf.DUMMYFUNCTION("""COMPUTED_VALUE"""),"Padlock Unlock")</f>
        <v>Padlock Unlock</v>
      </c>
      <c r="AD5" s="22" t="str">
        <f>IFERROR(__xludf.DUMMYFUNCTION("""COMPUTED_VALUE"""),"Venue")</f>
        <v>Venue</v>
      </c>
      <c r="AE5" s="22" t="str">
        <f>IFERROR(__xludf.DUMMYFUNCTION("""COMPUTED_VALUE"""),"Fx Rate")</f>
        <v>Fx Rate</v>
      </c>
      <c r="AF5" s="22" t="str">
        <f>IFERROR(__xludf.DUMMYFUNCTION("""COMPUTED_VALUE"""),"Fx Operator")</f>
        <v>Fx Operator</v>
      </c>
      <c r="AG5" s="22" t="str">
        <f>IFERROR(__xludf.DUMMYFUNCTION("""COMPUTED_VALUE"""),"PendingApprovalPopUp")</f>
        <v>PendingApprovalPopUp</v>
      </c>
      <c r="AH5" s="22" t="str">
        <f>IFERROR(__xludf.DUMMYFUNCTION("""COMPUTED_VALUE"""),"TradeBy")</f>
        <v>TradeBy</v>
      </c>
      <c r="AI5" s="22" t="str">
        <f>IFERROR(__xludf.DUMMYFUNCTION("""COMPUTED_VALUE"""),"BookAsSwap")</f>
        <v>BookAsSwap</v>
      </c>
      <c r="AJ5" s="22" t="str">
        <f>IFERROR(__xludf.DUMMYFUNCTION("""COMPUTED_VALUE"""),"RoundLot")</f>
        <v>RoundLot</v>
      </c>
      <c r="AK5" s="22" t="str">
        <f>IFERROR(__xludf.DUMMYFUNCTION("""COMPUTED_VALUE"""),"Increment")</f>
        <v>Increment</v>
      </c>
      <c r="AL5" s="22" t="str">
        <f>IFERROR(__xludf.DUMMYFUNCTION("""COMPUTED_VALUE"""),"Decrement")</f>
        <v>Decrement</v>
      </c>
      <c r="AM5" s="22" t="str">
        <f>IFERROR(__xludf.DUMMYFUNCTION("""COMPUTED_VALUE"""),"Trade Attribute 01")</f>
        <v>Trade Attribute 01</v>
      </c>
      <c r="AN5" s="22" t="str">
        <f>IFERROR(__xludf.DUMMYFUNCTION("""COMPUTED_VALUE"""),"Trade Attribute 02")</f>
        <v>Trade Attribute 02</v>
      </c>
      <c r="AO5" s="22" t="str">
        <f>IFERROR(__xludf.DUMMYFUNCTION("""COMPUTED_VALUE"""),"Trade Attribute 03")</f>
        <v>Trade Attribute 03</v>
      </c>
      <c r="AP5" s="22" t="str">
        <f>IFERROR(__xludf.DUMMYFUNCTION("""COMPUTED_VALUE"""),"Trade Attribute 04")</f>
        <v>Trade Attribute 04</v>
      </c>
      <c r="AQ5" s="22" t="str">
        <f>IFERROR(__xludf.DUMMYFUNCTION("""COMPUTED_VALUE"""),"Trade Attribute 05")</f>
        <v>Trade Attribute 05</v>
      </c>
      <c r="AR5" s="22" t="str">
        <f>IFERROR(__xludf.DUMMYFUNCTION("""COMPUTED_VALUE"""),"Trade Attribute 06")</f>
        <v>Trade Attribute 06</v>
      </c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23"/>
      <c r="B6" s="24" t="s">
        <v>16</v>
      </c>
      <c r="C6" s="25">
        <v>100.0</v>
      </c>
      <c r="D6" s="25">
        <v>10.0</v>
      </c>
      <c r="E6" s="24" t="s">
        <v>17</v>
      </c>
      <c r="F6" s="23"/>
      <c r="G6" s="23"/>
      <c r="H6" s="23"/>
      <c r="I6" s="23"/>
      <c r="J6" s="24" t="s">
        <v>18</v>
      </c>
      <c r="K6" s="23"/>
      <c r="L6" s="23"/>
      <c r="M6" s="23"/>
      <c r="N6" s="23"/>
      <c r="O6" s="23"/>
      <c r="P6" s="23" t="s">
        <v>19</v>
      </c>
      <c r="Q6" s="23" t="s">
        <v>20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</row>
    <row r="7" ht="15.75" customHeight="1">
      <c r="A7" s="23"/>
      <c r="B7" s="6"/>
      <c r="C7" s="25"/>
      <c r="D7" s="25"/>
      <c r="E7" s="24"/>
      <c r="F7" s="23"/>
      <c r="G7" s="23"/>
      <c r="H7" s="23"/>
      <c r="I7" s="23"/>
      <c r="J7" s="24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21</v>
      </c>
      <c r="D3" s="4" t="s">
        <v>9</v>
      </c>
      <c r="E3" s="10" t="s">
        <v>22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IFERROR(__xludf.DUMMYFUNCTION("""COMPUTED_VALUE"""),"Current User")</f>
        <v>Current 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6")</f>
        <v>Trade Attribute 6</v>
      </c>
      <c r="N5" s="21" t="str">
        <f>IFERROR(__xludf.DUMMYFUNCTION("""COMPUTED_VALUE"""),"Trade Attribute 5")</f>
        <v>Trade Attribute 5</v>
      </c>
      <c r="O5" s="21" t="str">
        <f>IFERROR(__xludf.DUMMYFUNCTION("""COMPUTED_VALUE"""),"Trade Attribute 4")</f>
        <v>Trade Attribute 4</v>
      </c>
      <c r="P5" s="21" t="str">
        <f>IFERROR(__xludf.DUMMYFUNCTION("""COMPUTED_VALUE"""),"Trade Attribute 3")</f>
        <v>Trade Attribute 3</v>
      </c>
      <c r="Q5" s="21" t="str">
        <f>IFERROR(__xludf.DUMMYFUNCTION("""COMPUTED_VALUE"""),"Trade Attribute 1")</f>
        <v>Trade Attribute 1</v>
      </c>
      <c r="R5" s="21" t="str">
        <f>IFERROR(__xludf.DUMMYFUNCTION("""COMPUTED_VALUE"""),"Trade Attribute 2")</f>
        <v>Trade Attribute 2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Currency")</f>
        <v>Settlement Currency</v>
      </c>
      <c r="V5" s="22" t="str">
        <f>IFERROR(__xludf.DUMMYFUNCTION("""COMPUTED_VALUE"""),"Put/Call")</f>
        <v>Put/Call</v>
      </c>
      <c r="W5" s="22" t="str">
        <f>IFERROR(__xludf.DUMMYFUNCTION("""COMPUTED_VALUE"""),"Process Date")</f>
        <v>Process Date</v>
      </c>
      <c r="X5" s="22" t="str">
        <f>IFERROR(__xludf.DUMMYFUNCTION("""COMPUTED_VALUE"""),"Peg")</f>
        <v>Peg</v>
      </c>
      <c r="Y5" s="22" t="str">
        <f>IFERROR(__xludf.DUMMYFUNCTION("""COMPUTED_VALUE"""),"ParentClOrderID")</f>
        <v>ParentClOrderID</v>
      </c>
      <c r="Z5" s="22" t="str">
        <f>IFERROR(__xludf.DUMMYFUNCTION("""COMPUTED_VALUE"""),"OrderID")</f>
        <v>OrderID</v>
      </c>
      <c r="AA5" s="22" t="str">
        <f>IFERROR(__xludf.DUMMYFUNCTION("""COMPUTED_VALUE"""),"Master Fund")</f>
        <v>Master Fund</v>
      </c>
      <c r="AB5" s="22" t="str">
        <f>IFERROR(__xludf.DUMMYFUNCTION("""COMPUTED_VALUE"""),"Last Shares")</f>
        <v>Last Shares</v>
      </c>
      <c r="AC5" s="22" t="str">
        <f>IFERROR(__xludf.DUMMYFUNCTION("""COMPUTED_VALUE"""),"Internal Comments")</f>
        <v>Internal Comments</v>
      </c>
      <c r="AD5" s="22" t="str">
        <f>IFERROR(__xludf.DUMMYFUNCTION("""COMPUTED_VALUE"""),"FX Rate")</f>
        <v>FX Rate</v>
      </c>
      <c r="AE5" s="22" t="str">
        <f>IFERROR(__xludf.DUMMYFUNCTION("""COMPUTED_VALUE"""),"Imported File Name")</f>
        <v>Imported File Name</v>
      </c>
      <c r="AF5" s="22" t="str">
        <f>IFERROR(__xludf.DUMMYFUNCTION("""COMPUTED_VALUE"""),"FX Conversion Operator")</f>
        <v>FX Conversion Operator</v>
      </c>
      <c r="AG5" s="22" t="str">
        <f>IFERROR(__xludf.DUMMYFUNCTION("""COMPUTED_VALUE"""),"Day Average Price")</f>
        <v>Day Average Price</v>
      </c>
      <c r="AH5" s="22" t="str">
        <f>IFERROR(__xludf.DUMMYFUNCTION("""COMPUTED_VALUE"""),"Asset Class")</f>
        <v>Asset Class</v>
      </c>
      <c r="AI5" s="22" t="str">
        <f>IFERROR(__xludf.DUMMYFUNCTION("""COMPUTED_VALUE"""),"Symbol")</f>
        <v>Symbol</v>
      </c>
      <c r="AJ5" s="22" t="str">
        <f>IFERROR(__xludf.DUMMYFUNCTION("""COMPUTED_VALUE"""),"Side")</f>
        <v>Side</v>
      </c>
      <c r="AK5" s="22" t="str">
        <f>IFERROR(__xludf.DUMMYFUNCTION("""COMPUTED_VALUE"""),"Status")</f>
        <v>Status</v>
      </c>
      <c r="AL5" s="22" t="str">
        <f>IFERROR(__xludf.DUMMYFUNCTION("""COMPUTED_VALUE"""),"Target Qty")</f>
        <v>Target Qty</v>
      </c>
      <c r="AM5" s="22" t="str">
        <f>IFERROR(__xludf.DUMMYFUNCTION("""COMPUTED_VALUE"""),"Total Executed Qty")</f>
        <v>Total Executed Qty</v>
      </c>
      <c r="AN5" s="22" t="str">
        <f>IFERROR(__xludf.DUMMYFUNCTION("""COMPUTED_VALUE"""),"% Executed")</f>
        <v>% Executed</v>
      </c>
      <c r="AO5" s="22" t="str">
        <f>IFERROR(__xludf.DUMMYFUNCTION("""COMPUTED_VALUE"""),"Day Executed Qty")</f>
        <v>Day Executed Qty</v>
      </c>
      <c r="AP5" s="22" t="str">
        <f>IFERROR(__xludf.DUMMYFUNCTION("""COMPUTED_VALUE"""),"Uncommitted Qty")</f>
        <v>Uncommitted Qty</v>
      </c>
      <c r="AQ5" s="22" t="str">
        <f>IFERROR(__xludf.DUMMYFUNCTION("""COMPUTED_VALUE"""),"Last Fill Price (Local)")</f>
        <v>Last Fill Price (Local)</v>
      </c>
      <c r="AR5" s="22" t="str">
        <f>IFERROR(__xludf.DUMMYFUNCTION("""COMPUTED_VALUE"""),"Avg Fill Price (Local)")</f>
        <v>Avg Fill Price (Local)</v>
      </c>
      <c r="AS5" s="22" t="str">
        <f>IFERROR(__xludf.DUMMYFUNCTION("""COMPUTED_VALUE"""),"Broker")</f>
        <v>Broker</v>
      </c>
      <c r="AT5" s="22" t="str">
        <f>IFERROR(__xludf.DUMMYFUNCTION("""COMPUTED_VALUE"""),"Account")</f>
        <v>Account</v>
      </c>
      <c r="AU5" s="22" t="str">
        <f>IFERROR(__xludf.DUMMYFUNCTION("""COMPUTED_VALUE"""),"Order Type")</f>
        <v>Order Type</v>
      </c>
      <c r="AV5" s="22" t="str">
        <f>IFERROR(__xludf.DUMMYFUNCTION("""COMPUTED_VALUE"""),"Principal Amount (Local)")</f>
        <v>Principal Amount (Local)</v>
      </c>
      <c r="AW5" s="22" t="str">
        <f>IFERROR(__xludf.DUMMYFUNCTION("""COMPUTED_VALUE"""),"Principal Amount (Base)")</f>
        <v>Principal Amount (Base)</v>
      </c>
      <c r="AX5" s="22" t="str">
        <f>IFERROR(__xludf.DUMMYFUNCTION("""COMPUTED_VALUE"""),"Allocation Scheme Name")</f>
        <v>Allocation Scheme Name</v>
      </c>
      <c r="AY5" s="22" t="str">
        <f>IFERROR(__xludf.DUMMYFUNCTION("""COMPUTED_VALUE"""),"Start of Day Qty")</f>
        <v>Start of Day Qty</v>
      </c>
      <c r="AZ5" s="22" t="str">
        <f>IFERROR(__xludf.DUMMYFUNCTION("""COMPUTED_VALUE"""),"Leaves")</f>
        <v>Leaves</v>
      </c>
      <c r="BA5" s="22" t="str">
        <f>IFERROR(__xludf.DUMMYFUNCTION("""COMPUTED_VALUE"""),"Actual User")</f>
        <v>Actual User</v>
      </c>
      <c r="BB5" s="22" t="str">
        <f>IFERROR(__xludf.DUMMYFUNCTION("""COMPUTED_VALUE"""),"Testing Type")</f>
        <v>Testing Type</v>
      </c>
      <c r="BC5" s="22" t="str">
        <f>IFERROR(__xludf.DUMMYFUNCTION("""COMPUTED_VALUE"""),"Testing Column")</f>
        <v>Testing Column</v>
      </c>
      <c r="BD5" s="22" t="str">
        <f>IFERROR(__xludf.DUMMYFUNCTION("""COMPUTED_VALUE"""),"Testing Col Value")</f>
        <v>Testing Col Value</v>
      </c>
      <c r="BE5" s="22" t="str">
        <f>IFERROR(__xludf.DUMMYFUNCTION("""COMPUTED_VALUE"""),"DuplicateRow")</f>
        <v>DuplicateRow</v>
      </c>
      <c r="BF5" s="22" t="str">
        <f>IFERROR(__xludf.DUMMYFUNCTION("""COMPUTED_VALUE"""),"DuplicateCountOnUI")</f>
        <v>DuplicateCountOnUI</v>
      </c>
      <c r="BG5" s="22" t="str">
        <f>IFERROR(__xludf.DUMMYFUNCTION("""COMPUTED_VALUE"""),"Transaction Source")</f>
        <v>Transaction Source</v>
      </c>
      <c r="BH5" s="22" t="str">
        <f>IFERROR(__xludf.DUMMYFUNCTION("""COMPUTED_VALUE"""),"TIF")</f>
        <v>TIF</v>
      </c>
      <c r="BI5" s="22" t="str">
        <f>IFERROR(__xludf.DUMMYFUNCTION("""COMPUTED_VALUE"""),"ACTIV Symbol")</f>
        <v>ACTIV Symbol</v>
      </c>
      <c r="BJ5" s="22" t="str">
        <f>IFERROR(__xludf.DUMMYFUNCTION("""COMPUTED_VALUE"""),"FactSet Symbol")</f>
        <v>FactSet Symbol</v>
      </c>
      <c r="BK5" s="22" t="str">
        <f>IFERROR(__xludf.DUMMYFUNCTION("""COMPUTED_VALUE"""),"MandatoryColumn")</f>
        <v>MandatoryColumn</v>
      </c>
      <c r="BL5" s="22" t="str">
        <f>IFERROR(__xludf.DUMMYFUNCTION("""COMPUTED_VALUE"""),"Rebalancer File Name")</f>
        <v>Rebalancer File Name</v>
      </c>
      <c r="BM5" s="22" t="str">
        <f>IFERROR(__xludf.DUMMYFUNCTION("""COMPUTED_VALUE"""),"Borrower ID")</f>
        <v>Borrower ID</v>
      </c>
      <c r="BN5" s="22" t="str">
        <f>IFERROR(__xludf.DUMMYFUNCTION("""COMPUTED_VALUE"""),"Borrow Rate(%)")</f>
        <v>Borrow Rate(%)</v>
      </c>
      <c r="BO5" s="22" t="str">
        <f>IFERROR(__xludf.DUMMYFUNCTION("""COMPUTED_VALUE"""),"Borrow Broker")</f>
        <v>Borrow Broker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</row>
    <row r="6" ht="15.75" customHeight="1">
      <c r="A6" s="6"/>
      <c r="B6" s="6"/>
      <c r="C6" s="6" t="s">
        <v>23</v>
      </c>
      <c r="D6" s="6">
        <v>0.0</v>
      </c>
      <c r="E6" s="6" t="s">
        <v>24</v>
      </c>
      <c r="F6" s="6"/>
      <c r="G6" s="6">
        <v>100.0</v>
      </c>
      <c r="H6" s="6" t="s">
        <v>25</v>
      </c>
      <c r="I6" s="6" t="s">
        <v>26</v>
      </c>
      <c r="J6" s="6" t="s">
        <v>16</v>
      </c>
      <c r="K6" s="6" t="s">
        <v>27</v>
      </c>
      <c r="L6" s="6" t="s">
        <v>28</v>
      </c>
      <c r="M6" s="6"/>
      <c r="N6" s="6"/>
      <c r="O6" s="6"/>
      <c r="U6" s="7" t="s">
        <v>29</v>
      </c>
      <c r="AA6" s="7" t="s">
        <v>30</v>
      </c>
      <c r="AD6" s="7">
        <v>1.0</v>
      </c>
      <c r="AF6" s="7" t="s">
        <v>31</v>
      </c>
      <c r="AH6" s="7" t="s">
        <v>32</v>
      </c>
      <c r="AI6" s="7" t="s">
        <v>16</v>
      </c>
      <c r="AJ6" s="7" t="s">
        <v>18</v>
      </c>
      <c r="AK6" s="7" t="s">
        <v>33</v>
      </c>
      <c r="AL6" s="7">
        <v>100.0</v>
      </c>
      <c r="AR6" s="7">
        <v>0.0</v>
      </c>
      <c r="AS6" s="7" t="s">
        <v>34</v>
      </c>
      <c r="AT6" s="7" t="s">
        <v>30</v>
      </c>
      <c r="AU6" s="7" t="s">
        <v>35</v>
      </c>
      <c r="AV6" s="7">
        <v>0.0</v>
      </c>
      <c r="AW6" s="7">
        <v>0.0</v>
      </c>
      <c r="AZ6" s="7">
        <v>100.0</v>
      </c>
      <c r="BA6" s="7" t="s">
        <v>26</v>
      </c>
      <c r="BH6" s="7" t="s">
        <v>36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U7" s="7"/>
      <c r="AA7" s="7"/>
      <c r="AD7" s="7"/>
      <c r="AF7" s="7"/>
      <c r="AH7" s="7"/>
      <c r="AI7" s="7"/>
      <c r="AJ7" s="7"/>
      <c r="AK7" s="7"/>
      <c r="AL7" s="7"/>
      <c r="AR7" s="7"/>
      <c r="AS7" s="7"/>
      <c r="AT7" s="7"/>
      <c r="AU7" s="7"/>
      <c r="AV7" s="7"/>
      <c r="AW7" s="7"/>
      <c r="AZ7" s="7"/>
      <c r="BA7" s="7"/>
      <c r="BH7" s="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37</v>
      </c>
      <c r="D3" s="4" t="s">
        <v>9</v>
      </c>
      <c r="E3" s="10" t="s">
        <v>38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IFERROR(__xludf.DUMMYFUNCTION("""COMPUTED_VALUE"""),"Side")</f>
        <v>Side</v>
      </c>
      <c r="C5" s="21" t="str">
        <f>IFERROR(__xludf.DUMMYFUNCTION("""COMPUTED_VALUE"""),"Symbol")</f>
        <v>Symbol</v>
      </c>
      <c r="D5" s="21" t="str">
        <f>IFERROR(__xludf.DUMMYFUNCTION("""COMPUTED_VALUE"""),"Order Type")</f>
        <v>Order Type</v>
      </c>
      <c r="E5" s="21" t="str">
        <f>IFERROR(__xludf.DUMMYFUNCTION("""COMPUTED_VALUE"""),"Price")</f>
        <v>Price</v>
      </c>
      <c r="F5" s="21" t="str">
        <f>IFERROR(__xludf.DUMMYFUNCTION("""COMPUTED_VALUE"""),"AvgPrice")</f>
        <v>AvgPrice</v>
      </c>
      <c r="G5" s="21" t="str">
        <f>IFERROR(__xludf.DUMMYFUNCTION("""COMPUTED_VALUE"""),"Quantity")</f>
        <v>Quantity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ht="15.75" customHeight="1">
      <c r="A6" s="6"/>
      <c r="B6" s="6" t="s">
        <v>18</v>
      </c>
      <c r="C6" s="6" t="s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37</v>
      </c>
      <c r="D3" s="4" t="s">
        <v>9</v>
      </c>
      <c r="E3" s="10" t="s">
        <v>39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IFERROR(__xludf.DUMMYFUNCTION("""COMPUTED_VALUE"""),"Side")</f>
        <v>Side</v>
      </c>
      <c r="C5" s="21" t="str">
        <f>IFERROR(__xludf.DUMMYFUNCTION("""COMPUTED_VALUE"""),"Symbol")</f>
        <v>Symbol</v>
      </c>
      <c r="D5" s="21" t="str">
        <f>IFERROR(__xludf.DUMMYFUNCTION("""COMPUTED_VALUE"""),"Order Type")</f>
        <v>Order Type</v>
      </c>
      <c r="E5" s="21" t="str">
        <f>IFERROR(__xludf.DUMMYFUNCTION("""COMPUTED_VALUE"""),"Price")</f>
        <v>Price</v>
      </c>
      <c r="F5" s="21" t="str">
        <f>IFERROR(__xludf.DUMMYFUNCTION("""COMPUTED_VALUE"""),"AvgPrice")</f>
        <v>AvgPrice</v>
      </c>
      <c r="G5" s="21" t="str">
        <f>IFERROR(__xludf.DUMMYFUNCTION("""COMPUTED_VALUE"""),"Quantity")</f>
        <v>Quantity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ht="15.75" customHeight="1">
      <c r="A6" s="6"/>
      <c r="B6" s="6" t="s">
        <v>18</v>
      </c>
      <c r="C6" s="6" t="s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37</v>
      </c>
      <c r="D3" s="4" t="s">
        <v>9</v>
      </c>
      <c r="E3" s="10" t="s">
        <v>40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IFERROR(__xludf.DUMMYFUNCTION("""COMPUTED_VALUE"""),"Price")</f>
        <v>Price</v>
      </c>
      <c r="C5" s="21" t="str">
        <f>IFERROR(__xludf.DUMMYFUNCTION("""COMPUTED_VALUE"""),"Shares")</f>
        <v>Shares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ht="15.75" customHeight="1">
      <c r="A6" s="6"/>
      <c r="B6" s="6">
        <v>10.0</v>
      </c>
      <c r="C6" s="6">
        <v>10.0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21</v>
      </c>
      <c r="D3" s="4" t="s">
        <v>9</v>
      </c>
      <c r="E3" s="10" t="s">
        <v>22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IFERROR(__xludf.DUMMYFUNCTION("""COMPUTED_VALUE"""),"Current User")</f>
        <v>Current 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6")</f>
        <v>Trade Attribute 6</v>
      </c>
      <c r="N5" s="21" t="str">
        <f>IFERROR(__xludf.DUMMYFUNCTION("""COMPUTED_VALUE"""),"Trade Attribute 5")</f>
        <v>Trade Attribute 5</v>
      </c>
      <c r="O5" s="21" t="str">
        <f>IFERROR(__xludf.DUMMYFUNCTION("""COMPUTED_VALUE"""),"Trade Attribute 4")</f>
        <v>Trade Attribute 4</v>
      </c>
      <c r="P5" s="21" t="str">
        <f>IFERROR(__xludf.DUMMYFUNCTION("""COMPUTED_VALUE"""),"Trade Attribute 3")</f>
        <v>Trade Attribute 3</v>
      </c>
      <c r="Q5" s="21" t="str">
        <f>IFERROR(__xludf.DUMMYFUNCTION("""COMPUTED_VALUE"""),"Trade Attribute 1")</f>
        <v>Trade Attribute 1</v>
      </c>
      <c r="R5" s="21" t="str">
        <f>IFERROR(__xludf.DUMMYFUNCTION("""COMPUTED_VALUE"""),"Trade Attribute 2")</f>
        <v>Trade Attribute 2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Currency")</f>
        <v>Settlement Currency</v>
      </c>
      <c r="V5" s="22" t="str">
        <f>IFERROR(__xludf.DUMMYFUNCTION("""COMPUTED_VALUE"""),"Put/Call")</f>
        <v>Put/Call</v>
      </c>
      <c r="W5" s="22" t="str">
        <f>IFERROR(__xludf.DUMMYFUNCTION("""COMPUTED_VALUE"""),"Process Date")</f>
        <v>Process Date</v>
      </c>
      <c r="X5" s="22" t="str">
        <f>IFERROR(__xludf.DUMMYFUNCTION("""COMPUTED_VALUE"""),"Peg")</f>
        <v>Peg</v>
      </c>
      <c r="Y5" s="22" t="str">
        <f>IFERROR(__xludf.DUMMYFUNCTION("""COMPUTED_VALUE"""),"ParentClOrderID")</f>
        <v>ParentClOrderID</v>
      </c>
      <c r="Z5" s="22" t="str">
        <f>IFERROR(__xludf.DUMMYFUNCTION("""COMPUTED_VALUE"""),"OrderID")</f>
        <v>OrderID</v>
      </c>
      <c r="AA5" s="22" t="str">
        <f>IFERROR(__xludf.DUMMYFUNCTION("""COMPUTED_VALUE"""),"Master Fund")</f>
        <v>Master Fund</v>
      </c>
      <c r="AB5" s="22" t="str">
        <f>IFERROR(__xludf.DUMMYFUNCTION("""COMPUTED_VALUE"""),"Last Shares")</f>
        <v>Last Shares</v>
      </c>
      <c r="AC5" s="22" t="str">
        <f>IFERROR(__xludf.DUMMYFUNCTION("""COMPUTED_VALUE"""),"Internal Comments")</f>
        <v>Internal Comments</v>
      </c>
      <c r="AD5" s="22" t="str">
        <f>IFERROR(__xludf.DUMMYFUNCTION("""COMPUTED_VALUE"""),"FX Rate")</f>
        <v>FX Rate</v>
      </c>
      <c r="AE5" s="22" t="str">
        <f>IFERROR(__xludf.DUMMYFUNCTION("""COMPUTED_VALUE"""),"Imported File Name")</f>
        <v>Imported File Name</v>
      </c>
      <c r="AF5" s="22" t="str">
        <f>IFERROR(__xludf.DUMMYFUNCTION("""COMPUTED_VALUE"""),"FX Conversion Operator")</f>
        <v>FX Conversion Operator</v>
      </c>
      <c r="AG5" s="22" t="str">
        <f>IFERROR(__xludf.DUMMYFUNCTION("""COMPUTED_VALUE"""),"Day Average Price")</f>
        <v>Day Average Price</v>
      </c>
      <c r="AH5" s="22" t="str">
        <f>IFERROR(__xludf.DUMMYFUNCTION("""COMPUTED_VALUE"""),"Asset Class")</f>
        <v>Asset Class</v>
      </c>
      <c r="AI5" s="22" t="str">
        <f>IFERROR(__xludf.DUMMYFUNCTION("""COMPUTED_VALUE"""),"Symbol")</f>
        <v>Symbol</v>
      </c>
      <c r="AJ5" s="22" t="str">
        <f>IFERROR(__xludf.DUMMYFUNCTION("""COMPUTED_VALUE"""),"Side")</f>
        <v>Side</v>
      </c>
      <c r="AK5" s="22" t="str">
        <f>IFERROR(__xludf.DUMMYFUNCTION("""COMPUTED_VALUE"""),"Status")</f>
        <v>Status</v>
      </c>
      <c r="AL5" s="22" t="str">
        <f>IFERROR(__xludf.DUMMYFUNCTION("""COMPUTED_VALUE"""),"Target Qty")</f>
        <v>Target Qty</v>
      </c>
      <c r="AM5" s="22" t="str">
        <f>IFERROR(__xludf.DUMMYFUNCTION("""COMPUTED_VALUE"""),"Total Executed Qty")</f>
        <v>Total Executed Qty</v>
      </c>
      <c r="AN5" s="22" t="str">
        <f>IFERROR(__xludf.DUMMYFUNCTION("""COMPUTED_VALUE"""),"% Executed")</f>
        <v>% Executed</v>
      </c>
      <c r="AO5" s="22" t="str">
        <f>IFERROR(__xludf.DUMMYFUNCTION("""COMPUTED_VALUE"""),"Day Executed Qty")</f>
        <v>Day Executed Qty</v>
      </c>
      <c r="AP5" s="22" t="str">
        <f>IFERROR(__xludf.DUMMYFUNCTION("""COMPUTED_VALUE"""),"Uncommitted Qty")</f>
        <v>Uncommitted Qty</v>
      </c>
      <c r="AQ5" s="22" t="str">
        <f>IFERROR(__xludf.DUMMYFUNCTION("""COMPUTED_VALUE"""),"Last Fill Price (Local)")</f>
        <v>Last Fill Price (Local)</v>
      </c>
      <c r="AR5" s="22" t="str">
        <f>IFERROR(__xludf.DUMMYFUNCTION("""COMPUTED_VALUE"""),"Avg Fill Price (Local)")</f>
        <v>Avg Fill Price (Local)</v>
      </c>
      <c r="AS5" s="22" t="str">
        <f>IFERROR(__xludf.DUMMYFUNCTION("""COMPUTED_VALUE"""),"Broker")</f>
        <v>Broker</v>
      </c>
      <c r="AT5" s="22" t="str">
        <f>IFERROR(__xludf.DUMMYFUNCTION("""COMPUTED_VALUE"""),"Account")</f>
        <v>Account</v>
      </c>
      <c r="AU5" s="22" t="str">
        <f>IFERROR(__xludf.DUMMYFUNCTION("""COMPUTED_VALUE"""),"Order Type")</f>
        <v>Order Type</v>
      </c>
      <c r="AV5" s="22" t="str">
        <f>IFERROR(__xludf.DUMMYFUNCTION("""COMPUTED_VALUE"""),"Principal Amount (Local)")</f>
        <v>Principal Amount (Local)</v>
      </c>
      <c r="AW5" s="22" t="str">
        <f>IFERROR(__xludf.DUMMYFUNCTION("""COMPUTED_VALUE"""),"Principal Amount (Base)")</f>
        <v>Principal Amount (Base)</v>
      </c>
      <c r="AX5" s="22" t="str">
        <f>IFERROR(__xludf.DUMMYFUNCTION("""COMPUTED_VALUE"""),"Allocation Scheme Name")</f>
        <v>Allocation Scheme Name</v>
      </c>
      <c r="AY5" s="22" t="str">
        <f>IFERROR(__xludf.DUMMYFUNCTION("""COMPUTED_VALUE"""),"Start of Day Qty")</f>
        <v>Start of Day Qty</v>
      </c>
      <c r="AZ5" s="22" t="str">
        <f>IFERROR(__xludf.DUMMYFUNCTION("""COMPUTED_VALUE"""),"Leaves")</f>
        <v>Leaves</v>
      </c>
      <c r="BA5" s="22" t="str">
        <f>IFERROR(__xludf.DUMMYFUNCTION("""COMPUTED_VALUE"""),"Actual User")</f>
        <v>Actual User</v>
      </c>
      <c r="BB5" s="22" t="str">
        <f>IFERROR(__xludf.DUMMYFUNCTION("""COMPUTED_VALUE"""),"Testing Type")</f>
        <v>Testing Type</v>
      </c>
      <c r="BC5" s="22" t="str">
        <f>IFERROR(__xludf.DUMMYFUNCTION("""COMPUTED_VALUE"""),"Testing Column")</f>
        <v>Testing Column</v>
      </c>
      <c r="BD5" s="22" t="str">
        <f>IFERROR(__xludf.DUMMYFUNCTION("""COMPUTED_VALUE"""),"Testing Col Value")</f>
        <v>Testing Col Value</v>
      </c>
      <c r="BE5" s="22" t="str">
        <f>IFERROR(__xludf.DUMMYFUNCTION("""COMPUTED_VALUE"""),"DuplicateRow")</f>
        <v>DuplicateRow</v>
      </c>
      <c r="BF5" s="22" t="str">
        <f>IFERROR(__xludf.DUMMYFUNCTION("""COMPUTED_VALUE"""),"DuplicateCountOnUI")</f>
        <v>DuplicateCountOnUI</v>
      </c>
      <c r="BG5" s="22" t="str">
        <f>IFERROR(__xludf.DUMMYFUNCTION("""COMPUTED_VALUE"""),"Transaction Source")</f>
        <v>Transaction Source</v>
      </c>
      <c r="BH5" s="22" t="str">
        <f>IFERROR(__xludf.DUMMYFUNCTION("""COMPUTED_VALUE"""),"TIF")</f>
        <v>TIF</v>
      </c>
      <c r="BI5" s="22" t="str">
        <f>IFERROR(__xludf.DUMMYFUNCTION("""COMPUTED_VALUE"""),"ACTIV Symbol")</f>
        <v>ACTIV Symbol</v>
      </c>
      <c r="BJ5" s="22" t="str">
        <f>IFERROR(__xludf.DUMMYFUNCTION("""COMPUTED_VALUE"""),"FactSet Symbol")</f>
        <v>FactSet Symbol</v>
      </c>
      <c r="BK5" s="22" t="str">
        <f>IFERROR(__xludf.DUMMYFUNCTION("""COMPUTED_VALUE"""),"MandatoryColumn")</f>
        <v>MandatoryColumn</v>
      </c>
      <c r="BL5" s="22" t="str">
        <f>IFERROR(__xludf.DUMMYFUNCTION("""COMPUTED_VALUE"""),"Rebalancer File Name")</f>
        <v>Rebalancer File Name</v>
      </c>
      <c r="BM5" s="22" t="str">
        <f>IFERROR(__xludf.DUMMYFUNCTION("""COMPUTED_VALUE"""),"Borrower ID")</f>
        <v>Borrower ID</v>
      </c>
      <c r="BN5" s="22" t="str">
        <f>IFERROR(__xludf.DUMMYFUNCTION("""COMPUTED_VALUE"""),"Borrow Rate(%)")</f>
        <v>Borrow Rate(%)</v>
      </c>
      <c r="BO5" s="22" t="str">
        <f>IFERROR(__xludf.DUMMYFUNCTION("""COMPUTED_VALUE"""),"Borrow Broker")</f>
        <v>Borrow Broker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</row>
    <row r="6" ht="15.75" customHeight="1">
      <c r="A6" s="23"/>
      <c r="B6" s="23"/>
      <c r="C6" s="24" t="s">
        <v>23</v>
      </c>
      <c r="D6" s="25">
        <v>10.0</v>
      </c>
      <c r="E6" s="24" t="s">
        <v>24</v>
      </c>
      <c r="F6" s="23"/>
      <c r="G6" s="25">
        <v>90.0</v>
      </c>
      <c r="H6" s="24" t="s">
        <v>25</v>
      </c>
      <c r="I6" s="24" t="s">
        <v>26</v>
      </c>
      <c r="J6" s="24" t="s">
        <v>16</v>
      </c>
      <c r="K6" s="24" t="s">
        <v>27</v>
      </c>
      <c r="L6" s="24" t="s">
        <v>28</v>
      </c>
      <c r="M6" s="23"/>
      <c r="N6" s="23"/>
      <c r="O6" s="23"/>
      <c r="P6" s="23"/>
      <c r="Q6" s="23"/>
      <c r="R6" s="23"/>
      <c r="S6" s="23"/>
      <c r="T6" s="23"/>
      <c r="U6" s="23" t="s">
        <v>29</v>
      </c>
      <c r="V6" s="23"/>
      <c r="W6" s="23"/>
      <c r="X6" s="23"/>
      <c r="Y6" s="23"/>
      <c r="Z6" s="23"/>
      <c r="AA6" s="23" t="s">
        <v>30</v>
      </c>
      <c r="AB6" s="26">
        <v>10.0</v>
      </c>
      <c r="AC6" s="23"/>
      <c r="AD6" s="26">
        <v>1.0</v>
      </c>
      <c r="AE6" s="23"/>
      <c r="AF6" s="23" t="s">
        <v>31</v>
      </c>
      <c r="AG6" s="26">
        <v>10.0</v>
      </c>
      <c r="AH6" s="23" t="s">
        <v>32</v>
      </c>
      <c r="AI6" s="23" t="s">
        <v>16</v>
      </c>
      <c r="AJ6" s="23" t="s">
        <v>18</v>
      </c>
      <c r="AK6" s="23" t="s">
        <v>41</v>
      </c>
      <c r="AL6" s="26">
        <v>100.0</v>
      </c>
      <c r="AM6" s="26">
        <v>10.0</v>
      </c>
      <c r="AN6" s="26">
        <v>10.0</v>
      </c>
      <c r="AO6" s="26">
        <v>10.0</v>
      </c>
      <c r="AP6" s="23"/>
      <c r="AQ6" s="26">
        <v>10.0</v>
      </c>
      <c r="AR6" s="26">
        <v>10.0</v>
      </c>
      <c r="AS6" s="23" t="s">
        <v>34</v>
      </c>
      <c r="AT6" s="23" t="s">
        <v>30</v>
      </c>
      <c r="AU6" s="23" t="s">
        <v>35</v>
      </c>
      <c r="AV6" s="26">
        <v>100.0</v>
      </c>
      <c r="AW6" s="26">
        <v>100.0</v>
      </c>
      <c r="AX6" s="23"/>
      <c r="AY6" s="23"/>
      <c r="AZ6" s="26">
        <v>90.0</v>
      </c>
      <c r="BA6" s="23" t="s">
        <v>26</v>
      </c>
      <c r="BB6" s="23"/>
      <c r="BC6" s="23"/>
      <c r="BD6" s="23"/>
      <c r="BE6" s="23"/>
      <c r="BF6" s="23"/>
      <c r="BG6" s="23"/>
      <c r="BH6" s="23" t="s">
        <v>36</v>
      </c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21</v>
      </c>
      <c r="D3" s="4" t="s">
        <v>9</v>
      </c>
      <c r="E3" s="10" t="s">
        <v>42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IFERROR(__xludf.DUMMYFUNCTION("""COMPUTED_VALUE"""),"Avg Fill Price (Base)")</f>
        <v>Avg Fill Price (Base)</v>
      </c>
      <c r="C5" s="21" t="str">
        <f>IFERROR(__xludf.DUMMYFUNCTION("""COMPUTED_VALUE"""),"Transaction Time")</f>
        <v>Transaction Time</v>
      </c>
      <c r="D5" s="21" t="str">
        <f>IFERROR(__xludf.DUMMYFUNCTION("""COMPUTED_VALUE"""),"Symbol")</f>
        <v>Symbol</v>
      </c>
      <c r="E5" s="21" t="str">
        <f>IFERROR(__xludf.DUMMYFUNCTION("""COMPUTED_VALUE"""),"Algo")</f>
        <v>Algo</v>
      </c>
      <c r="F5" s="21" t="str">
        <f>IFERROR(__xludf.DUMMYFUNCTION("""COMPUTED_VALUE"""),"Side")</f>
        <v>Side</v>
      </c>
      <c r="G5" s="21" t="str">
        <f>IFERROR(__xludf.DUMMYFUNCTION("""COMPUTED_VALUE"""),"Status")</f>
        <v>Status</v>
      </c>
      <c r="H5" s="21" t="str">
        <f>IFERROR(__xludf.DUMMYFUNCTION("""COMPUTED_VALUE"""),"Target Qty")</f>
        <v>Target Qty</v>
      </c>
      <c r="I5" s="21" t="str">
        <f>IFERROR(__xludf.DUMMYFUNCTION("""COMPUTED_VALUE"""),"Total Executed Qty")</f>
        <v>Total Executed Qty</v>
      </c>
      <c r="J5" s="21" t="str">
        <f>IFERROR(__xludf.DUMMYFUNCTION("""COMPUTED_VALUE"""),"% Executed")</f>
        <v>% Executed</v>
      </c>
      <c r="K5" s="21" t="str">
        <f>IFERROR(__xludf.DUMMYFUNCTION("""COMPUTED_VALUE"""),"Day Executed Qty")</f>
        <v>Day Executed Qty</v>
      </c>
      <c r="L5" s="21" t="str">
        <f>IFERROR(__xludf.DUMMYFUNCTION("""COMPUTED_VALUE"""),"Uncommitted Qty")</f>
        <v>Uncommitted Qty</v>
      </c>
      <c r="M5" s="21" t="str">
        <f>IFERROR(__xludf.DUMMYFUNCTION("""COMPUTED_VALUE"""),"Limit Price")</f>
        <v>Limit Price</v>
      </c>
      <c r="N5" s="21" t="str">
        <f>IFERROR(__xludf.DUMMYFUNCTION("""COMPUTED_VALUE"""),"Last Fill Price (Local)")</f>
        <v>Last Fill Price (Local)</v>
      </c>
      <c r="O5" s="21" t="str">
        <f>IFERROR(__xludf.DUMMYFUNCTION("""COMPUTED_VALUE"""),"Stop Price")</f>
        <v>Stop Price</v>
      </c>
      <c r="P5" s="21" t="str">
        <f>IFERROR(__xludf.DUMMYFUNCTION("""COMPUTED_VALUE"""),"Avg Fill Price (Local)")</f>
        <v>Avg Fill Price (Local)</v>
      </c>
      <c r="Q5" s="21" t="str">
        <f>IFERROR(__xludf.DUMMYFUNCTION("""COMPUTED_VALUE"""),"Broker")</f>
        <v>Broker</v>
      </c>
      <c r="R5" s="21" t="str">
        <f>IFERROR(__xludf.DUMMYFUNCTION("""COMPUTED_VALUE"""),"Account")</f>
        <v>Account</v>
      </c>
      <c r="S5" s="21" t="str">
        <f>IFERROR(__xludf.DUMMYFUNCTION("""COMPUTED_VALUE"""),"OrderID")</f>
        <v>OrderID</v>
      </c>
      <c r="T5" s="22" t="str">
        <f>IFERROR(__xludf.DUMMYFUNCTION("""COMPUTED_VALUE"""),"Order Type")</f>
        <v>Order Type</v>
      </c>
      <c r="U5" s="22" t="str">
        <f>IFERROR(__xludf.DUMMYFUNCTION("""COMPUTED_VALUE"""),"Principal Amount (Local)")</f>
        <v>Principal Amount (Local)</v>
      </c>
      <c r="V5" s="22" t="str">
        <f>IFERROR(__xludf.DUMMYFUNCTION("""COMPUTED_VALUE"""),"Principal Amount (Base)")</f>
        <v>Principal Amount (Base)</v>
      </c>
      <c r="W5" s="22" t="str">
        <f>IFERROR(__xludf.DUMMYFUNCTION("""COMPUTED_VALUE"""),"Peg")</f>
        <v>Peg</v>
      </c>
      <c r="X5" s="22" t="str">
        <f>IFERROR(__xludf.DUMMYFUNCTION("""COMPUTED_VALUE"""),"ParentClOrderID")</f>
        <v>ParentClOrderID</v>
      </c>
      <c r="Y5" s="22" t="str">
        <f>IFERROR(__xludf.DUMMYFUNCTION("""COMPUTED_VALUE"""),"Strike Price")</f>
        <v>Strike Price</v>
      </c>
      <c r="Z5" s="22" t="str">
        <f>IFERROR(__xludf.DUMMYFUNCTION("""COMPUTED_VALUE"""),"Last Shares")</f>
        <v>Last Shares</v>
      </c>
      <c r="AA5" s="22" t="str">
        <f>IFERROR(__xludf.DUMMYFUNCTION("""COMPUTED_VALUE"""),"Working Qty")</f>
        <v>Working Qty</v>
      </c>
      <c r="AB5" s="22" t="str">
        <f>IFERROR(__xludf.DUMMYFUNCTION("""COMPUTED_VALUE"""),"Bloomberg Symbol")</f>
        <v>Bloomberg Symbol</v>
      </c>
      <c r="AC5" s="22" t="str">
        <f>IFERROR(__xludf.DUMMYFUNCTION("""COMPUTED_VALUE"""),"Imported File Name")</f>
        <v>Imported File Name</v>
      </c>
      <c r="AD5" s="22" t="str">
        <f>IFERROR(__xludf.DUMMYFUNCTION("""COMPUTED_VALUE"""),"Master Fund")</f>
        <v>Master Fund</v>
      </c>
      <c r="AE5" s="22" t="str">
        <f>IFERROR(__xludf.DUMMYFUNCTION("""COMPUTED_VALUE"""),"Day Average Price")</f>
        <v>Day Average Price</v>
      </c>
      <c r="AF5" s="22" t="str">
        <f>IFERROR(__xludf.DUMMYFUNCTION("""COMPUTED_VALUE"""),"Asset Class")</f>
        <v>Asset Class</v>
      </c>
      <c r="AG5" s="22" t="str">
        <f>IFERROR(__xludf.DUMMYFUNCTION("""COMPUTED_VALUE"""),"Underlying Country")</f>
        <v>Underlying Country</v>
      </c>
      <c r="AH5" s="22" t="str">
        <f>IFERROR(__xludf.DUMMYFUNCTION("""COMPUTED_VALUE"""),"Trader")</f>
        <v>Trader</v>
      </c>
      <c r="AI5" s="22" t="str">
        <f>IFERROR(__xludf.DUMMYFUNCTION("""COMPUTED_VALUE"""),"User")</f>
        <v>User</v>
      </c>
      <c r="AJ5" s="22" t="str">
        <f>IFERROR(__xludf.DUMMYFUNCTION("""COMPUTED_VALUE"""),"Venue")</f>
        <v>Venue</v>
      </c>
      <c r="AK5" s="22" t="str">
        <f>IFERROR(__xludf.DUMMYFUNCTION("""COMPUTED_VALUE"""),"Settlement Currency")</f>
        <v>Settlement Currency</v>
      </c>
      <c r="AL5" s="22" t="str">
        <f>IFERROR(__xludf.DUMMYFUNCTION("""COMPUTED_VALUE"""),"FX Conversion Operator")</f>
        <v>FX Conversion Operator</v>
      </c>
      <c r="AM5" s="22" t="str">
        <f>IFERROR(__xludf.DUMMYFUNCTION("""COMPUTED_VALUE"""),"Process Date")</f>
        <v>Process Date</v>
      </c>
      <c r="AN5" s="22" t="str">
        <f>IFERROR(__xludf.DUMMYFUNCTION("""COMPUTED_VALUE"""),"Underlying Symbol")</f>
        <v>Underlying Symbol</v>
      </c>
      <c r="AO5" s="22" t="str">
        <f>IFERROR(__xludf.DUMMYFUNCTION("""COMPUTED_VALUE"""),"Put/Call")</f>
        <v>Put/Call</v>
      </c>
      <c r="AP5" s="22" t="str">
        <f>IFERROR(__xludf.DUMMYFUNCTION("""COMPUTED_VALUE"""),"FX Rate")</f>
        <v>FX Rate</v>
      </c>
      <c r="AQ5" s="22" t="str">
        <f>IFERROR(__xludf.DUMMYFUNCTION("""COMPUTED_VALUE"""),"Trade Attribute 1")</f>
        <v>Trade Attribute 1</v>
      </c>
      <c r="AR5" s="22" t="str">
        <f>IFERROR(__xludf.DUMMYFUNCTION("""COMPUTED_VALUE"""),"Trade Attribute 2")</f>
        <v>Trade Attribute 2</v>
      </c>
      <c r="AS5" s="22" t="str">
        <f>IFERROR(__xludf.DUMMYFUNCTION("""COMPUTED_VALUE"""),"Trade Attribute 3")</f>
        <v>Trade Attribute 3</v>
      </c>
      <c r="AT5" s="22" t="str">
        <f>IFERROR(__xludf.DUMMYFUNCTION("""COMPUTED_VALUE"""),"Trade Attribute 4")</f>
        <v>Trade Attribute 4</v>
      </c>
      <c r="AU5" s="22" t="str">
        <f>IFERROR(__xludf.DUMMYFUNCTION("""COMPUTED_VALUE"""),"Trade Attribute 5")</f>
        <v>Trade Attribute 5</v>
      </c>
      <c r="AV5" s="22" t="str">
        <f>IFERROR(__xludf.DUMMYFUNCTION("""COMPUTED_VALUE"""),"Trade Attribute 6")</f>
        <v>Trade Attribute 6</v>
      </c>
      <c r="AW5" s="22" t="str">
        <f>IFERROR(__xludf.DUMMYFUNCTION("""COMPUTED_VALUE"""),"Internal Comments")</f>
        <v>Internal Comments</v>
      </c>
      <c r="AX5" s="22" t="str">
        <f>IFERROR(__xludf.DUMMYFUNCTION("""COMPUTED_VALUE"""),"Allocation Scheme Name")</f>
        <v>Allocation Scheme Name</v>
      </c>
      <c r="AY5" s="22" t="str">
        <f>IFERROR(__xludf.DUMMYFUNCTION("""COMPUTED_VALUE"""),"Start of Day Qty")</f>
        <v>Start of Day Qty</v>
      </c>
      <c r="AZ5" s="22" t="str">
        <f>IFERROR(__xludf.DUMMYFUNCTION("""COMPUTED_VALUE"""),"Leaves")</f>
        <v>Leaves</v>
      </c>
      <c r="BA5" s="22" t="str">
        <f>IFERROR(__xludf.DUMMYFUNCTION("""COMPUTED_VALUE"""),"CheckBox")</f>
        <v>CheckBox</v>
      </c>
      <c r="BB5" s="22" t="str">
        <f>IFERROR(__xludf.DUMMYFUNCTION("""COMPUTED_VALUE"""),"Action on toolbar")</f>
        <v>Action on toolbar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</row>
    <row r="6" ht="15.75" customHeight="1">
      <c r="A6" s="6"/>
      <c r="B6" s="6"/>
      <c r="C6" s="6"/>
      <c r="D6" s="6" t="s">
        <v>16</v>
      </c>
      <c r="E6" s="6"/>
      <c r="F6" s="6" t="s">
        <v>18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21</v>
      </c>
      <c r="D3" s="4" t="s">
        <v>9</v>
      </c>
      <c r="E3" s="10" t="s">
        <v>43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IFERROR(__xludf.DUMMYFUNCTION("""COMPUTED_VALUE"""),"Current User")</f>
        <v>Current 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6")</f>
        <v>Trade Attribute 6</v>
      </c>
      <c r="N5" s="21" t="str">
        <f>IFERROR(__xludf.DUMMYFUNCTION("""COMPUTED_VALUE"""),"Trade Attribute 5")</f>
        <v>Trade Attribute 5</v>
      </c>
      <c r="O5" s="21" t="str">
        <f>IFERROR(__xludf.DUMMYFUNCTION("""COMPUTED_VALUE"""),"Trade Attribute 4")</f>
        <v>Trade Attribute 4</v>
      </c>
      <c r="P5" s="21" t="str">
        <f>IFERROR(__xludf.DUMMYFUNCTION("""COMPUTED_VALUE"""),"Trade Attribute 3")</f>
        <v>Trade Attribute 3</v>
      </c>
      <c r="Q5" s="21" t="str">
        <f>IFERROR(__xludf.DUMMYFUNCTION("""COMPUTED_VALUE"""),"Trade Attribute 2")</f>
        <v>Trade Attribute 2</v>
      </c>
      <c r="R5" s="21" t="str">
        <f>IFERROR(__xludf.DUMMYFUNCTION("""COMPUTED_VALUE"""),"Trade Attribute 1")</f>
        <v>Trade Attribute 1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Currency")</f>
        <v>Settlement Currency</v>
      </c>
      <c r="V5" s="22" t="str">
        <f>IFERROR(__xludf.DUMMYFUNCTION("""COMPUTED_VALUE"""),"Put/Call")</f>
        <v>Put/Call</v>
      </c>
      <c r="W5" s="22" t="str">
        <f>IFERROR(__xludf.DUMMYFUNCTION("""COMPUTED_VALUE"""),"Process Date")</f>
        <v>Process Date</v>
      </c>
      <c r="X5" s="22" t="str">
        <f>IFERROR(__xludf.DUMMYFUNCTION("""COMPUTED_VALUE"""),"Peg")</f>
        <v>Peg</v>
      </c>
      <c r="Y5" s="22" t="str">
        <f>IFERROR(__xludf.DUMMYFUNCTION("""COMPUTED_VALUE"""),"ParentClOrderID")</f>
        <v>ParentClOrderID</v>
      </c>
      <c r="Z5" s="22" t="str">
        <f>IFERROR(__xludf.DUMMYFUNCTION("""COMPUTED_VALUE"""),"OrderID")</f>
        <v>OrderID</v>
      </c>
      <c r="AA5" s="22" t="str">
        <f>IFERROR(__xludf.DUMMYFUNCTION("""COMPUTED_VALUE"""),"Master Fund")</f>
        <v>Master Fund</v>
      </c>
      <c r="AB5" s="22" t="str">
        <f>IFERROR(__xludf.DUMMYFUNCTION("""COMPUTED_VALUE"""),"Last Shares")</f>
        <v>Last Shares</v>
      </c>
      <c r="AC5" s="22" t="str">
        <f>IFERROR(__xludf.DUMMYFUNCTION("""COMPUTED_VALUE"""),"Internal Comments")</f>
        <v>Internal Comments</v>
      </c>
      <c r="AD5" s="22" t="str">
        <f>IFERROR(__xludf.DUMMYFUNCTION("""COMPUTED_VALUE"""),"FX Rate")</f>
        <v>FX Rate</v>
      </c>
      <c r="AE5" s="22" t="str">
        <f>IFERROR(__xludf.DUMMYFUNCTION("""COMPUTED_VALUE"""),"Imported File Name")</f>
        <v>Imported File Name</v>
      </c>
      <c r="AF5" s="22" t="str">
        <f>IFERROR(__xludf.DUMMYFUNCTION("""COMPUTED_VALUE"""),"FX Conversion Operator")</f>
        <v>FX Conversion Operator</v>
      </c>
      <c r="AG5" s="22" t="str">
        <f>IFERROR(__xludf.DUMMYFUNCTION("""COMPUTED_VALUE"""),"Day Average Price")</f>
        <v>Day Average Price</v>
      </c>
      <c r="AH5" s="22" t="str">
        <f>IFERROR(__xludf.DUMMYFUNCTION("""COMPUTED_VALUE"""),"Asset Class")</f>
        <v>Asset Class</v>
      </c>
      <c r="AI5" s="22" t="str">
        <f>IFERROR(__xludf.DUMMYFUNCTION("""COMPUTED_VALUE"""),"Symbol")</f>
        <v>Symbol</v>
      </c>
      <c r="AJ5" s="22" t="str">
        <f>IFERROR(__xludf.DUMMYFUNCTION("""COMPUTED_VALUE"""),"Side")</f>
        <v>Side</v>
      </c>
      <c r="AK5" s="22" t="str">
        <f>IFERROR(__xludf.DUMMYFUNCTION("""COMPUTED_VALUE"""),"Status")</f>
        <v>Status</v>
      </c>
      <c r="AL5" s="22" t="str">
        <f>IFERROR(__xludf.DUMMYFUNCTION("""COMPUTED_VALUE"""),"Quantity")</f>
        <v>Quantity</v>
      </c>
      <c r="AM5" s="22" t="str">
        <f>IFERROR(__xludf.DUMMYFUNCTION("""COMPUTED_VALUE"""),"Executed Qty")</f>
        <v>Executed Qty</v>
      </c>
      <c r="AN5" s="22" t="str">
        <f>IFERROR(__xludf.DUMMYFUNCTION("""COMPUTED_VALUE"""),"Day Executed Qty")</f>
        <v>Day Executed Qty</v>
      </c>
      <c r="AO5" s="22" t="str">
        <f>IFERROR(__xludf.DUMMYFUNCTION("""COMPUTED_VALUE"""),"Last Fill Price (Local)")</f>
        <v>Last Fill Price (Local)</v>
      </c>
      <c r="AP5" s="22" t="str">
        <f>IFERROR(__xludf.DUMMYFUNCTION("""COMPUTED_VALUE"""),"Avg Fill Price (Local)")</f>
        <v>Avg Fill Price (Local)</v>
      </c>
      <c r="AQ5" s="22" t="str">
        <f>IFERROR(__xludf.DUMMYFUNCTION("""COMPUTED_VALUE"""),"Broker")</f>
        <v>Broker</v>
      </c>
      <c r="AR5" s="22" t="str">
        <f>IFERROR(__xludf.DUMMYFUNCTION("""COMPUTED_VALUE"""),"Account")</f>
        <v>Account</v>
      </c>
      <c r="AS5" s="22" t="str">
        <f>IFERROR(__xludf.DUMMYFUNCTION("""COMPUTED_VALUE"""),"Order Type")</f>
        <v>Order Type</v>
      </c>
      <c r="AT5" s="22" t="str">
        <f>IFERROR(__xludf.DUMMYFUNCTION("""COMPUTED_VALUE"""),"Principal Amount (Local)")</f>
        <v>Principal Amount (Local)</v>
      </c>
      <c r="AU5" s="22" t="str">
        <f>IFERROR(__xludf.DUMMYFUNCTION("""COMPUTED_VALUE"""),"Principal Amount (Base)")</f>
        <v>Principal Amount (Base)</v>
      </c>
      <c r="AV5" s="22" t="str">
        <f>IFERROR(__xludf.DUMMYFUNCTION("""COMPUTED_VALUE"""),"Allocation Scheme Name")</f>
        <v>Allocation Scheme Name</v>
      </c>
      <c r="AW5" s="22" t="str">
        <f>IFERROR(__xludf.DUMMYFUNCTION("""COMPUTED_VALUE"""),"Status (With Rollover)")</f>
        <v>Status (With Rollover)</v>
      </c>
      <c r="AX5" s="22" t="str">
        <f>IFERROR(__xludf.DUMMYFUNCTION("""COMPUTED_VALUE"""),"Unexecuted Qty")</f>
        <v>Unexecuted Qty</v>
      </c>
      <c r="AY5" s="22" t="str">
        <f>IFERROR(__xludf.DUMMYFUNCTION("""COMPUTED_VALUE"""),"Strategy")</f>
        <v>Strategy</v>
      </c>
      <c r="AZ5" s="22" t="str">
        <f>IFERROR(__xludf.DUMMYFUNCTION("""COMPUTED_VALUE"""),"Actual User")</f>
        <v>Actual User</v>
      </c>
      <c r="BA5" s="22" t="str">
        <f>IFERROR(__xludf.DUMMYFUNCTION("""COMPUTED_VALUE"""),"% Completed")</f>
        <v>% Completed</v>
      </c>
      <c r="BB5" s="22" t="str">
        <f>IFERROR(__xludf.DUMMYFUNCTION("""COMPUTED_VALUE"""),"MandatoryColumn")</f>
        <v>MandatoryColumn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</row>
    <row r="6" ht="15.75" customHeight="1">
      <c r="A6" s="23"/>
      <c r="B6" s="23"/>
      <c r="C6" s="24" t="s">
        <v>23</v>
      </c>
      <c r="D6" s="25">
        <v>10.0</v>
      </c>
      <c r="E6" s="24" t="s">
        <v>24</v>
      </c>
      <c r="F6" s="23"/>
      <c r="G6" s="25">
        <v>90.0</v>
      </c>
      <c r="H6" s="24" t="s">
        <v>25</v>
      </c>
      <c r="I6" s="24" t="s">
        <v>26</v>
      </c>
      <c r="J6" s="24" t="s">
        <v>16</v>
      </c>
      <c r="K6" s="24" t="s">
        <v>27</v>
      </c>
      <c r="L6" s="24" t="s">
        <v>28</v>
      </c>
      <c r="M6" s="23"/>
      <c r="N6" s="23"/>
      <c r="O6" s="23"/>
      <c r="P6" s="23"/>
      <c r="Q6" s="23"/>
      <c r="R6" s="23"/>
      <c r="S6" s="23"/>
      <c r="T6" s="23"/>
      <c r="U6" s="23" t="s">
        <v>29</v>
      </c>
      <c r="V6" s="23"/>
      <c r="W6" s="23"/>
      <c r="X6" s="23"/>
      <c r="Y6" s="23"/>
      <c r="Z6" s="23"/>
      <c r="AA6" s="23" t="s">
        <v>30</v>
      </c>
      <c r="AB6" s="26">
        <v>10.0</v>
      </c>
      <c r="AC6" s="23"/>
      <c r="AD6" s="26">
        <v>1.0</v>
      </c>
      <c r="AE6" s="23"/>
      <c r="AF6" s="23" t="s">
        <v>31</v>
      </c>
      <c r="AG6" s="26">
        <v>10.0</v>
      </c>
      <c r="AH6" s="23" t="s">
        <v>32</v>
      </c>
      <c r="AI6" s="23" t="s">
        <v>16</v>
      </c>
      <c r="AJ6" s="23" t="s">
        <v>18</v>
      </c>
      <c r="AK6" s="23" t="s">
        <v>41</v>
      </c>
      <c r="AL6" s="26">
        <v>100.0</v>
      </c>
      <c r="AM6" s="26">
        <v>10.0</v>
      </c>
      <c r="AN6" s="26">
        <v>10.0</v>
      </c>
      <c r="AO6" s="26">
        <v>10.0</v>
      </c>
      <c r="AP6" s="26">
        <v>10.0</v>
      </c>
      <c r="AQ6" s="23" t="s">
        <v>34</v>
      </c>
      <c r="AR6" s="23" t="s">
        <v>30</v>
      </c>
      <c r="AS6" s="23" t="s">
        <v>35</v>
      </c>
      <c r="AT6" s="26">
        <v>100.0</v>
      </c>
      <c r="AU6" s="26">
        <v>100.0</v>
      </c>
      <c r="AV6" s="23"/>
      <c r="AW6" s="23" t="s">
        <v>41</v>
      </c>
      <c r="AX6" s="26">
        <v>90.0</v>
      </c>
      <c r="AY6" s="23"/>
      <c r="AZ6" s="23" t="s">
        <v>26</v>
      </c>
      <c r="BA6" s="26">
        <v>10.0</v>
      </c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21</v>
      </c>
      <c r="D3" s="4" t="s">
        <v>9</v>
      </c>
      <c r="E3" s="10" t="s">
        <v>44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</row>
    <row r="5" ht="15.75" customHeight="1">
      <c r="A5" s="20"/>
      <c r="B5" s="21" t="s">
        <v>45</v>
      </c>
      <c r="C5" s="21" t="s">
        <v>46</v>
      </c>
      <c r="D5" s="21" t="s">
        <v>47</v>
      </c>
      <c r="E5" s="21" t="s">
        <v>48</v>
      </c>
      <c r="F5" s="21" t="s">
        <v>49</v>
      </c>
      <c r="G5" s="21" t="s">
        <v>50</v>
      </c>
      <c r="H5" s="21" t="s">
        <v>51</v>
      </c>
      <c r="I5" s="21" t="s">
        <v>52</v>
      </c>
      <c r="J5" s="21" t="s">
        <v>53</v>
      </c>
      <c r="K5" s="21" t="s">
        <v>54</v>
      </c>
      <c r="L5" s="21" t="s">
        <v>55</v>
      </c>
      <c r="M5" s="21" t="s">
        <v>56</v>
      </c>
      <c r="N5" s="21" t="s">
        <v>57</v>
      </c>
      <c r="O5" s="21" t="s">
        <v>58</v>
      </c>
      <c r="P5" s="21" t="s">
        <v>59</v>
      </c>
      <c r="Q5" s="21" t="s">
        <v>60</v>
      </c>
      <c r="R5" s="21" t="s">
        <v>61</v>
      </c>
      <c r="S5" s="21" t="s">
        <v>62</v>
      </c>
      <c r="T5" s="22" t="s">
        <v>63</v>
      </c>
      <c r="U5" s="22" t="s">
        <v>64</v>
      </c>
      <c r="V5" s="22" t="s">
        <v>65</v>
      </c>
      <c r="W5" s="22" t="s">
        <v>66</v>
      </c>
      <c r="X5" s="22" t="s">
        <v>67</v>
      </c>
      <c r="Y5" s="22" t="s">
        <v>68</v>
      </c>
      <c r="Z5" s="22" t="s">
        <v>69</v>
      </c>
      <c r="AA5" s="22" t="s">
        <v>70</v>
      </c>
      <c r="AB5" s="22" t="s">
        <v>71</v>
      </c>
      <c r="AC5" s="22" t="s">
        <v>72</v>
      </c>
      <c r="AD5" s="22" t="s">
        <v>73</v>
      </c>
      <c r="AE5" s="22" t="s">
        <v>74</v>
      </c>
      <c r="AF5" s="22" t="s">
        <v>75</v>
      </c>
      <c r="AG5" s="22" t="s">
        <v>76</v>
      </c>
      <c r="AH5" s="22" t="s">
        <v>77</v>
      </c>
      <c r="AI5" s="22" t="s">
        <v>78</v>
      </c>
      <c r="AJ5" s="22" t="s">
        <v>79</v>
      </c>
      <c r="AK5" s="22" t="s">
        <v>80</v>
      </c>
      <c r="AL5" s="22" t="s">
        <v>81</v>
      </c>
      <c r="AM5" s="22" t="s">
        <v>82</v>
      </c>
      <c r="AN5" s="22" t="s">
        <v>83</v>
      </c>
      <c r="AO5" s="22" t="s">
        <v>84</v>
      </c>
      <c r="AP5" s="22" t="s">
        <v>85</v>
      </c>
      <c r="AQ5" s="22" t="s">
        <v>86</v>
      </c>
      <c r="AR5" s="22" t="s">
        <v>87</v>
      </c>
      <c r="AS5" s="22" t="s">
        <v>88</v>
      </c>
      <c r="AT5" s="22" t="s">
        <v>89</v>
      </c>
      <c r="AU5" s="22" t="s">
        <v>90</v>
      </c>
      <c r="AV5" s="22" t="s">
        <v>91</v>
      </c>
      <c r="AW5" s="22" t="s">
        <v>92</v>
      </c>
      <c r="AX5" s="22" t="s">
        <v>93</v>
      </c>
      <c r="AY5" s="22" t="s">
        <v>94</v>
      </c>
      <c r="AZ5" s="22" t="s">
        <v>95</v>
      </c>
      <c r="BA5" s="22" t="s">
        <v>96</v>
      </c>
      <c r="BB5" s="22" t="s">
        <v>97</v>
      </c>
      <c r="BC5" s="22" t="s">
        <v>98</v>
      </c>
      <c r="BD5" s="22" t="s">
        <v>99</v>
      </c>
      <c r="BE5" s="22" t="s">
        <v>100</v>
      </c>
      <c r="BF5" s="22" t="s">
        <v>101</v>
      </c>
      <c r="BG5" s="22" t="s">
        <v>102</v>
      </c>
      <c r="BH5" s="22" t="s">
        <v>103</v>
      </c>
      <c r="BI5" s="22" t="s">
        <v>104</v>
      </c>
      <c r="BJ5" s="22" t="s">
        <v>105</v>
      </c>
      <c r="BK5" s="22" t="s">
        <v>106</v>
      </c>
      <c r="BL5" s="22" t="s">
        <v>107</v>
      </c>
      <c r="BM5" s="22" t="s">
        <v>108</v>
      </c>
      <c r="BN5" s="22" t="s">
        <v>109</v>
      </c>
      <c r="BO5" s="22" t="s">
        <v>110</v>
      </c>
      <c r="BP5" s="22" t="s">
        <v>111</v>
      </c>
      <c r="BQ5" s="22" t="s">
        <v>112</v>
      </c>
      <c r="BR5" s="22" t="s">
        <v>113</v>
      </c>
      <c r="BS5" s="22" t="s">
        <v>114</v>
      </c>
      <c r="BT5" s="22" t="s">
        <v>115</v>
      </c>
      <c r="BU5" s="22" t="s">
        <v>116</v>
      </c>
      <c r="BV5" s="22" t="s">
        <v>117</v>
      </c>
      <c r="BW5" s="22" t="s">
        <v>118</v>
      </c>
      <c r="BX5" s="22" t="s">
        <v>119</v>
      </c>
      <c r="BY5" s="22" t="s">
        <v>120</v>
      </c>
      <c r="BZ5" s="22" t="s">
        <v>121</v>
      </c>
      <c r="CA5" s="22" t="s">
        <v>122</v>
      </c>
      <c r="CB5" s="22" t="s">
        <v>123</v>
      </c>
      <c r="CC5" s="22" t="s">
        <v>124</v>
      </c>
      <c r="CD5" s="22" t="s">
        <v>125</v>
      </c>
      <c r="CE5" s="22" t="s">
        <v>126</v>
      </c>
      <c r="CF5" s="22" t="s">
        <v>127</v>
      </c>
      <c r="CG5" s="22" t="s">
        <v>128</v>
      </c>
      <c r="CH5" s="22" t="s">
        <v>129</v>
      </c>
      <c r="CI5" s="22" t="s">
        <v>130</v>
      </c>
      <c r="CJ5" s="22" t="s">
        <v>131</v>
      </c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7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21</v>
      </c>
      <c r="D3" s="4" t="s">
        <v>9</v>
      </c>
      <c r="E3" s="10" t="s">
        <v>132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IFERROR(__xludf.DUMMYFUNCTION("""COMPUTED_VALUE"""),"User")</f>
        <v>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1")</f>
        <v>Trade Attribute 1</v>
      </c>
      <c r="N5" s="21" t="str">
        <f>IFERROR(__xludf.DUMMYFUNCTION("""COMPUTED_VALUE"""),"Trade Attribute 2")</f>
        <v>Trade Attribute 2</v>
      </c>
      <c r="O5" s="21" t="str">
        <f>IFERROR(__xludf.DUMMYFUNCTION("""COMPUTED_VALUE"""),"Trade Attribute 3")</f>
        <v>Trade Attribute 3</v>
      </c>
      <c r="P5" s="21" t="str">
        <f>IFERROR(__xludf.DUMMYFUNCTION("""COMPUTED_VALUE"""),"Trade Attribute 4")</f>
        <v>Trade Attribute 4</v>
      </c>
      <c r="Q5" s="21" t="str">
        <f>IFERROR(__xludf.DUMMYFUNCTION("""COMPUTED_VALUE"""),"Trade Attribute 5")</f>
        <v>Trade Attribute 5</v>
      </c>
      <c r="R5" s="21" t="str">
        <f>IFERROR(__xludf.DUMMYFUNCTION("""COMPUTED_VALUE"""),"Trade Attribute 6")</f>
        <v>Trade Attribute 6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FxRate Operator")</f>
        <v>Settlement FxRate Operator</v>
      </c>
      <c r="V5" s="22" t="str">
        <f>IFERROR(__xludf.DUMMYFUNCTION("""COMPUTED_VALUE"""),"Settlement Currency")</f>
        <v>Settlement Currency</v>
      </c>
      <c r="W5" s="22" t="str">
        <f>IFERROR(__xludf.DUMMYFUNCTION("""COMPUTED_VALUE"""),"Put/Call")</f>
        <v>Put/Call</v>
      </c>
      <c r="X5" s="22" t="str">
        <f>IFERROR(__xludf.DUMMYFUNCTION("""COMPUTED_VALUE"""),"Process Date")</f>
        <v>Process Date</v>
      </c>
      <c r="Y5" s="22" t="str">
        <f>IFERROR(__xludf.DUMMYFUNCTION("""COMPUTED_VALUE"""),"Peg")</f>
        <v>Peg</v>
      </c>
      <c r="Z5" s="22" t="str">
        <f>IFERROR(__xludf.DUMMYFUNCTION("""COMPUTED_VALUE"""),"ParentClOrderID")</f>
        <v>ParentClOrderID</v>
      </c>
      <c r="AA5" s="22" t="str">
        <f>IFERROR(__xludf.DUMMYFUNCTION("""COMPUTED_VALUE"""),"OrderID")</f>
        <v>OrderID</v>
      </c>
      <c r="AB5" s="22" t="str">
        <f>IFERROR(__xludf.DUMMYFUNCTION("""COMPUTED_VALUE"""),"Master Fund")</f>
        <v>Master Fund</v>
      </c>
      <c r="AC5" s="22" t="str">
        <f>IFERROR(__xludf.DUMMYFUNCTION("""COMPUTED_VALUE"""),"Last Shares")</f>
        <v>Last Shares</v>
      </c>
      <c r="AD5" s="22" t="str">
        <f>IFERROR(__xludf.DUMMYFUNCTION("""COMPUTED_VALUE"""),"Internal Comments")</f>
        <v>Internal Comments</v>
      </c>
      <c r="AE5" s="22" t="str">
        <f>IFERROR(__xludf.DUMMYFUNCTION("""COMPUTED_VALUE"""),"FX Rate")</f>
        <v>FX Rate</v>
      </c>
      <c r="AF5" s="22" t="str">
        <f>IFERROR(__xludf.DUMMYFUNCTION("""COMPUTED_VALUE"""),"Imported File Name")</f>
        <v>Imported File Name</v>
      </c>
      <c r="AG5" s="22" t="str">
        <f>IFERROR(__xludf.DUMMYFUNCTION("""COMPUTED_VALUE"""),"FX Conversion Operator")</f>
        <v>FX Conversion Operator</v>
      </c>
      <c r="AH5" s="22" t="str">
        <f>IFERROR(__xludf.DUMMYFUNCTION("""COMPUTED_VALUE"""),"Day Average Price")</f>
        <v>Day Average Price</v>
      </c>
      <c r="AI5" s="22" t="str">
        <f>IFERROR(__xludf.DUMMYFUNCTION("""COMPUTED_VALUE"""),"Asset Class")</f>
        <v>Asset Class</v>
      </c>
      <c r="AJ5" s="22" t="str">
        <f>IFERROR(__xludf.DUMMYFUNCTION("""COMPUTED_VALUE"""),"Symbol")</f>
        <v>Symbol</v>
      </c>
      <c r="AK5" s="22" t="str">
        <f>IFERROR(__xludf.DUMMYFUNCTION("""COMPUTED_VALUE"""),"Side")</f>
        <v>Side</v>
      </c>
      <c r="AL5" s="22" t="str">
        <f>IFERROR(__xludf.DUMMYFUNCTION("""COMPUTED_VALUE"""),"Status")</f>
        <v>Status</v>
      </c>
      <c r="AM5" s="22" t="str">
        <f>IFERROR(__xludf.DUMMYFUNCTION("""COMPUTED_VALUE"""),"Quantity")</f>
        <v>Quantity</v>
      </c>
      <c r="AN5" s="22" t="str">
        <f>IFERROR(__xludf.DUMMYFUNCTION("""COMPUTED_VALUE"""),"Executed Qty")</f>
        <v>Executed Qty</v>
      </c>
      <c r="AO5" s="22" t="str">
        <f>IFERROR(__xludf.DUMMYFUNCTION("""COMPUTED_VALUE"""),"% Executed")</f>
        <v>% Executed</v>
      </c>
      <c r="AP5" s="22" t="str">
        <f>IFERROR(__xludf.DUMMYFUNCTION("""COMPUTED_VALUE"""),"Day Executed Qty")</f>
        <v>Day Executed Qty</v>
      </c>
      <c r="AQ5" s="22" t="str">
        <f>IFERROR(__xludf.DUMMYFUNCTION("""COMPUTED_VALUE"""),"Remaining Qty")</f>
        <v>Remaining Qty</v>
      </c>
      <c r="AR5" s="22" t="str">
        <f>IFERROR(__xludf.DUMMYFUNCTION("""COMPUTED_VALUE"""),"Last Fill Price (Local)")</f>
        <v>Last Fill Price (Local)</v>
      </c>
      <c r="AS5" s="22" t="str">
        <f>IFERROR(__xludf.DUMMYFUNCTION("""COMPUTED_VALUE"""),"Avg Fill Price (Local)")</f>
        <v>Avg Fill Price (Local)</v>
      </c>
      <c r="AT5" s="22" t="str">
        <f>IFERROR(__xludf.DUMMYFUNCTION("""COMPUTED_VALUE"""),"Broker")</f>
        <v>Broker</v>
      </c>
      <c r="AU5" s="22" t="str">
        <f>IFERROR(__xludf.DUMMYFUNCTION("""COMPUTED_VALUE"""),"Account")</f>
        <v>Account</v>
      </c>
      <c r="AV5" s="22" t="str">
        <f>IFERROR(__xludf.DUMMYFUNCTION("""COMPUTED_VALUE"""),"Order Type")</f>
        <v>Order Type</v>
      </c>
      <c r="AW5" s="22" t="str">
        <f>IFERROR(__xludf.DUMMYFUNCTION("""COMPUTED_VALUE"""),"Principal Amount (Local)")</f>
        <v>Principal Amount (Local)</v>
      </c>
      <c r="AX5" s="22" t="str">
        <f>IFERROR(__xludf.DUMMYFUNCTION("""COMPUTED_VALUE"""),"Principal Amount (Base)")</f>
        <v>Principal Amount (Base)</v>
      </c>
      <c r="AY5" s="22" t="str">
        <f>IFERROR(__xludf.DUMMYFUNCTION("""COMPUTED_VALUE"""),"Settlement FxRate")</f>
        <v>Settlement FxRate</v>
      </c>
      <c r="AZ5" s="22" t="str">
        <f>IFERROR(__xludf.DUMMYFUNCTION("""COMPUTED_VALUE"""),"Settlement Price")</f>
        <v>Settlement Price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7" t="s">
        <v>16</v>
      </c>
      <c r="AK6" s="7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133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IFERROR(__xludf.DUMMYFUNCTION("""COMPUTED_VALUE"""),"TargetQuantityIn")</f>
        <v>TargetQuantityIn</v>
      </c>
      <c r="F5" s="21" t="str">
        <f>IFERROR(__xludf.DUMMYFUNCTION("""COMPUTED_VALUE"""),"AllocationMethod")</f>
        <v>AllocationMethod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IFERROR(__xludf.DUMMYFUNCTION("""COMPUTED_VALUE"""),"FxRate")</f>
        <v>FxRate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IFERROR(__xludf.DUMMYFUNCTION("""COMPUTED_VALUE"""),"CommissionBasis")</f>
        <v>CommissionBasis</v>
      </c>
      <c r="S5" s="21" t="str">
        <f>IFERROR(__xludf.DUMMYFUNCTION("""COMPUTED_VALUE"""),"CommissionRate")</f>
        <v>CommissionRate</v>
      </c>
      <c r="T5" s="22" t="str">
        <f>IFERROR(__xludf.DUMMYFUNCTION("""COMPUTED_VALUE"""),"SoftBasis")</f>
        <v>SoftBasis</v>
      </c>
      <c r="U5" s="22" t="str">
        <f>IFERROR(__xludf.DUMMYFUNCTION("""COMPUTED_VALUE"""),"SoftRate")</f>
        <v>SoftRate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IFERROR(__xludf.DUMMYFUNCTION("""COMPUTED_VALUE"""),"Venue")</f>
        <v>Venue</v>
      </c>
      <c r="AC5" s="22" t="str">
        <f>IFERROR(__xludf.DUMMYFUNCTION("""COMPUTED_VALUE"""),"ExecutionInstructions")</f>
        <v>ExecutionInstructions</v>
      </c>
      <c r="AD5" s="22" t="str">
        <f>IFERROR(__xludf.DUMMYFUNCTION("""COMPUTED_VALUE"""),"HandlingInstructions")</f>
        <v>HandlingInstructions</v>
      </c>
      <c r="AE5" s="22" t="str">
        <f>IFERROR(__xludf.DUMMYFUNCTION("""COMPUTED_VALUE"""),"Trader")</f>
        <v>Trader</v>
      </c>
      <c r="AF5" s="22" t="str">
        <f>IFERROR(__xludf.DUMMYFUNCTION("""COMPUTED_VALUE"""),"SettlementCurrency")</f>
        <v>SettlementCurrency</v>
      </c>
      <c r="AG5" s="22" t="str">
        <f>IFERROR(__xludf.DUMMYFUNCTION("""COMPUTED_VALUE"""),"SettlementFXRate")</f>
        <v>SettlementFXRate</v>
      </c>
      <c r="AH5" s="22" t="str">
        <f>IFERROR(__xludf.DUMMYFUNCTION("""COMPUTED_VALUE"""),"SettlementAmount")</f>
        <v>SettlementAmount</v>
      </c>
      <c r="AI5" s="22" t="str">
        <f>IFERROR(__xludf.DUMMYFUNCTION("""COMPUTED_VALUE"""),"SettlementFXOperator")</f>
        <v>SettlementFXOperator</v>
      </c>
      <c r="AJ5" s="22" t="str">
        <f>IFERROR(__xludf.DUMMYFUNCTION("""COMPUTED_VALUE"""),"SettleByBroker")</f>
        <v>SettleByBroker</v>
      </c>
      <c r="AK5" s="22" t="str">
        <f>IFERROR(__xludf.DUMMYFUNCTION("""COMPUTED_VALUE"""),"Account")</f>
        <v>Account</v>
      </c>
      <c r="AL5" s="22" t="str">
        <f>IFERROR(__xludf.DUMMYFUNCTION("""COMPUTED_VALUE"""),"Account %")</f>
        <v>Account %</v>
      </c>
      <c r="AM5" s="22" t="str">
        <f>IFERROR(__xludf.DUMMYFUNCTION("""COMPUTED_VALUE"""),"Deal In")</f>
        <v>Deal In</v>
      </c>
      <c r="AN5" s="22" t="str">
        <f>IFERROR(__xludf.DUMMYFUNCTION("""COMPUTED_VALUE"""),"MasterFund")</f>
        <v>MasterFund</v>
      </c>
      <c r="AO5" s="22" t="str">
        <f>IFERROR(__xludf.DUMMYFUNCTION("""COMPUTED_VALUE"""),"AllowTrade")</f>
        <v>AllowTrade</v>
      </c>
      <c r="AP5" s="22" t="str">
        <f>IFERROR(__xludf.DUMMYFUNCTION("""COMPUTED_VALUE"""),"SharesOutstandingPopUp")</f>
        <v>SharesOutstandingPopUp</v>
      </c>
      <c r="AQ5" s="22" t="str">
        <f>IFERROR(__xludf.DUMMYFUNCTION("""COMPUTED_VALUE"""),"TRVAccountName")</f>
        <v>TRVAccountName</v>
      </c>
      <c r="AR5" s="22" t="str">
        <f>IFERROR(__xludf.DUMMYFUNCTION("""COMPUTED_VALUE"""),"TRVTradeQuantity")</f>
        <v>TRVTradeQuantity</v>
      </c>
      <c r="AS5" s="22" t="str">
        <f>IFERROR(__xludf.DUMMYFUNCTION("""COMPUTED_VALUE"""),"TRVCurrentPosition")</f>
        <v>TRVCurrentPosition</v>
      </c>
      <c r="AT5" s="22" t="str">
        <f>IFERROR(__xludf.DUMMYFUNCTION("""COMPUTED_VALUE"""),"TRVNav")</f>
        <v>TRVNav</v>
      </c>
      <c r="AU5" s="22" t="str">
        <f>IFERROR(__xludf.DUMMYFUNCTION("""COMPUTED_VALUE"""),"PendingApprovalPopUp")</f>
        <v>PendingApprovalPopUp</v>
      </c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6" t="s">
        <v>16</v>
      </c>
      <c r="C6" s="6" t="s">
        <v>18</v>
      </c>
      <c r="D6" s="6">
        <v>200.0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37</v>
      </c>
      <c r="D3" s="4" t="s">
        <v>9</v>
      </c>
      <c r="E3" s="10" t="s">
        <v>40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IFERROR(__xludf.DUMMYFUNCTION("""COMPUTED_VALUE"""),"Price")</f>
        <v>Price</v>
      </c>
      <c r="C5" s="21" t="str">
        <f>IFERROR(__xludf.DUMMYFUNCTION("""COMPUTED_VALUE"""),"Shares")</f>
        <v>Shares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ht="15.75" customHeight="1">
      <c r="A6" s="6"/>
      <c r="B6" s="6">
        <v>10.0</v>
      </c>
      <c r="C6" s="6">
        <v>190.0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21</v>
      </c>
      <c r="D3" s="4" t="s">
        <v>9</v>
      </c>
      <c r="E3" s="10" t="s">
        <v>22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IFERROR(__xludf.DUMMYFUNCTION("""COMPUTED_VALUE"""),"Current User")</f>
        <v>Current 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6")</f>
        <v>Trade Attribute 6</v>
      </c>
      <c r="N5" s="21" t="str">
        <f>IFERROR(__xludf.DUMMYFUNCTION("""COMPUTED_VALUE"""),"Trade Attribute 5")</f>
        <v>Trade Attribute 5</v>
      </c>
      <c r="O5" s="21" t="str">
        <f>IFERROR(__xludf.DUMMYFUNCTION("""COMPUTED_VALUE"""),"Trade Attribute 4")</f>
        <v>Trade Attribute 4</v>
      </c>
      <c r="P5" s="21" t="str">
        <f>IFERROR(__xludf.DUMMYFUNCTION("""COMPUTED_VALUE"""),"Trade Attribute 3")</f>
        <v>Trade Attribute 3</v>
      </c>
      <c r="Q5" s="21" t="str">
        <f>IFERROR(__xludf.DUMMYFUNCTION("""COMPUTED_VALUE"""),"Trade Attribute 1")</f>
        <v>Trade Attribute 1</v>
      </c>
      <c r="R5" s="21" t="str">
        <f>IFERROR(__xludf.DUMMYFUNCTION("""COMPUTED_VALUE"""),"Trade Attribute 2")</f>
        <v>Trade Attribute 2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Currency")</f>
        <v>Settlement Currency</v>
      </c>
      <c r="V5" s="22" t="str">
        <f>IFERROR(__xludf.DUMMYFUNCTION("""COMPUTED_VALUE"""),"Put/Call")</f>
        <v>Put/Call</v>
      </c>
      <c r="W5" s="22" t="str">
        <f>IFERROR(__xludf.DUMMYFUNCTION("""COMPUTED_VALUE"""),"Process Date")</f>
        <v>Process Date</v>
      </c>
      <c r="X5" s="22" t="str">
        <f>IFERROR(__xludf.DUMMYFUNCTION("""COMPUTED_VALUE"""),"Peg")</f>
        <v>Peg</v>
      </c>
      <c r="Y5" s="22" t="str">
        <f>IFERROR(__xludf.DUMMYFUNCTION("""COMPUTED_VALUE"""),"ParentClOrderID")</f>
        <v>ParentClOrderID</v>
      </c>
      <c r="Z5" s="22" t="str">
        <f>IFERROR(__xludf.DUMMYFUNCTION("""COMPUTED_VALUE"""),"OrderID")</f>
        <v>OrderID</v>
      </c>
      <c r="AA5" s="22" t="str">
        <f>IFERROR(__xludf.DUMMYFUNCTION("""COMPUTED_VALUE"""),"Master Fund")</f>
        <v>Master Fund</v>
      </c>
      <c r="AB5" s="22" t="str">
        <f>IFERROR(__xludf.DUMMYFUNCTION("""COMPUTED_VALUE"""),"Last Shares")</f>
        <v>Last Shares</v>
      </c>
      <c r="AC5" s="22" t="str">
        <f>IFERROR(__xludf.DUMMYFUNCTION("""COMPUTED_VALUE"""),"Internal Comments")</f>
        <v>Internal Comments</v>
      </c>
      <c r="AD5" s="22" t="str">
        <f>IFERROR(__xludf.DUMMYFUNCTION("""COMPUTED_VALUE"""),"FX Rate")</f>
        <v>FX Rate</v>
      </c>
      <c r="AE5" s="22" t="str">
        <f>IFERROR(__xludf.DUMMYFUNCTION("""COMPUTED_VALUE"""),"Imported File Name")</f>
        <v>Imported File Name</v>
      </c>
      <c r="AF5" s="22" t="str">
        <f>IFERROR(__xludf.DUMMYFUNCTION("""COMPUTED_VALUE"""),"FX Conversion Operator")</f>
        <v>FX Conversion Operator</v>
      </c>
      <c r="AG5" s="22" t="str">
        <f>IFERROR(__xludf.DUMMYFUNCTION("""COMPUTED_VALUE"""),"Day Average Price")</f>
        <v>Day Average Price</v>
      </c>
      <c r="AH5" s="22" t="str">
        <f>IFERROR(__xludf.DUMMYFUNCTION("""COMPUTED_VALUE"""),"Asset Class")</f>
        <v>Asset Class</v>
      </c>
      <c r="AI5" s="22" t="str">
        <f>IFERROR(__xludf.DUMMYFUNCTION("""COMPUTED_VALUE"""),"Symbol")</f>
        <v>Symbol</v>
      </c>
      <c r="AJ5" s="22" t="str">
        <f>IFERROR(__xludf.DUMMYFUNCTION("""COMPUTED_VALUE"""),"Side")</f>
        <v>Side</v>
      </c>
      <c r="AK5" s="22" t="str">
        <f>IFERROR(__xludf.DUMMYFUNCTION("""COMPUTED_VALUE"""),"Status")</f>
        <v>Status</v>
      </c>
      <c r="AL5" s="22" t="str">
        <f>IFERROR(__xludf.DUMMYFUNCTION("""COMPUTED_VALUE"""),"Target Qty")</f>
        <v>Target Qty</v>
      </c>
      <c r="AM5" s="22" t="str">
        <f>IFERROR(__xludf.DUMMYFUNCTION("""COMPUTED_VALUE"""),"Total Executed Qty")</f>
        <v>Total Executed Qty</v>
      </c>
      <c r="AN5" s="22" t="str">
        <f>IFERROR(__xludf.DUMMYFUNCTION("""COMPUTED_VALUE"""),"% Executed")</f>
        <v>% Executed</v>
      </c>
      <c r="AO5" s="22" t="str">
        <f>IFERROR(__xludf.DUMMYFUNCTION("""COMPUTED_VALUE"""),"Day Executed Qty")</f>
        <v>Day Executed Qty</v>
      </c>
      <c r="AP5" s="22" t="str">
        <f>IFERROR(__xludf.DUMMYFUNCTION("""COMPUTED_VALUE"""),"Uncommitted Qty")</f>
        <v>Uncommitted Qty</v>
      </c>
      <c r="AQ5" s="22" t="str">
        <f>IFERROR(__xludf.DUMMYFUNCTION("""COMPUTED_VALUE"""),"Last Fill Price (Local)")</f>
        <v>Last Fill Price (Local)</v>
      </c>
      <c r="AR5" s="22" t="str">
        <f>IFERROR(__xludf.DUMMYFUNCTION("""COMPUTED_VALUE"""),"Avg Fill Price (Local)")</f>
        <v>Avg Fill Price (Local)</v>
      </c>
      <c r="AS5" s="22" t="str">
        <f>IFERROR(__xludf.DUMMYFUNCTION("""COMPUTED_VALUE"""),"Broker")</f>
        <v>Broker</v>
      </c>
      <c r="AT5" s="22" t="str">
        <f>IFERROR(__xludf.DUMMYFUNCTION("""COMPUTED_VALUE"""),"Account")</f>
        <v>Account</v>
      </c>
      <c r="AU5" s="22" t="str">
        <f>IFERROR(__xludf.DUMMYFUNCTION("""COMPUTED_VALUE"""),"Order Type")</f>
        <v>Order Type</v>
      </c>
      <c r="AV5" s="22" t="str">
        <f>IFERROR(__xludf.DUMMYFUNCTION("""COMPUTED_VALUE"""),"Principal Amount (Local)")</f>
        <v>Principal Amount (Local)</v>
      </c>
      <c r="AW5" s="22" t="str">
        <f>IFERROR(__xludf.DUMMYFUNCTION("""COMPUTED_VALUE"""),"Principal Amount (Base)")</f>
        <v>Principal Amount (Base)</v>
      </c>
      <c r="AX5" s="22" t="str">
        <f>IFERROR(__xludf.DUMMYFUNCTION("""COMPUTED_VALUE"""),"Allocation Scheme Name")</f>
        <v>Allocation Scheme Name</v>
      </c>
      <c r="AY5" s="22" t="str">
        <f>IFERROR(__xludf.DUMMYFUNCTION("""COMPUTED_VALUE"""),"Start of Day Qty")</f>
        <v>Start of Day Qty</v>
      </c>
      <c r="AZ5" s="22" t="str">
        <f>IFERROR(__xludf.DUMMYFUNCTION("""COMPUTED_VALUE"""),"Leaves")</f>
        <v>Leaves</v>
      </c>
      <c r="BA5" s="22" t="str">
        <f>IFERROR(__xludf.DUMMYFUNCTION("""COMPUTED_VALUE"""),"Actual User")</f>
        <v>Actual User</v>
      </c>
      <c r="BB5" s="22" t="str">
        <f>IFERROR(__xludf.DUMMYFUNCTION("""COMPUTED_VALUE"""),"Testing Type")</f>
        <v>Testing Type</v>
      </c>
      <c r="BC5" s="22" t="str">
        <f>IFERROR(__xludf.DUMMYFUNCTION("""COMPUTED_VALUE"""),"Testing Column")</f>
        <v>Testing Column</v>
      </c>
      <c r="BD5" s="22" t="str">
        <f>IFERROR(__xludf.DUMMYFUNCTION("""COMPUTED_VALUE"""),"Testing Col Value")</f>
        <v>Testing Col Value</v>
      </c>
      <c r="BE5" s="22" t="str">
        <f>IFERROR(__xludf.DUMMYFUNCTION("""COMPUTED_VALUE"""),"DuplicateRow")</f>
        <v>DuplicateRow</v>
      </c>
      <c r="BF5" s="22" t="str">
        <f>IFERROR(__xludf.DUMMYFUNCTION("""COMPUTED_VALUE"""),"DuplicateCountOnUI")</f>
        <v>DuplicateCountOnUI</v>
      </c>
      <c r="BG5" s="22" t="str">
        <f>IFERROR(__xludf.DUMMYFUNCTION("""COMPUTED_VALUE"""),"Transaction Source")</f>
        <v>Transaction Source</v>
      </c>
      <c r="BH5" s="22" t="str">
        <f>IFERROR(__xludf.DUMMYFUNCTION("""COMPUTED_VALUE"""),"TIF")</f>
        <v>TIF</v>
      </c>
      <c r="BI5" s="22" t="str">
        <f>IFERROR(__xludf.DUMMYFUNCTION("""COMPUTED_VALUE"""),"ACTIV Symbol")</f>
        <v>ACTIV Symbol</v>
      </c>
      <c r="BJ5" s="22" t="str">
        <f>IFERROR(__xludf.DUMMYFUNCTION("""COMPUTED_VALUE"""),"FactSet Symbol")</f>
        <v>FactSet Symbol</v>
      </c>
      <c r="BK5" s="22" t="str">
        <f>IFERROR(__xludf.DUMMYFUNCTION("""COMPUTED_VALUE"""),"MandatoryColumn")</f>
        <v>MandatoryColumn</v>
      </c>
      <c r="BL5" s="22" t="str">
        <f>IFERROR(__xludf.DUMMYFUNCTION("""COMPUTED_VALUE"""),"Rebalancer File Name")</f>
        <v>Rebalancer File Name</v>
      </c>
      <c r="BM5" s="22" t="str">
        <f>IFERROR(__xludf.DUMMYFUNCTION("""COMPUTED_VALUE"""),"Borrower ID")</f>
        <v>Borrower ID</v>
      </c>
      <c r="BN5" s="22" t="str">
        <f>IFERROR(__xludf.DUMMYFUNCTION("""COMPUTED_VALUE"""),"Borrow Rate(%)")</f>
        <v>Borrow Rate(%)</v>
      </c>
      <c r="BO5" s="22" t="str">
        <f>IFERROR(__xludf.DUMMYFUNCTION("""COMPUTED_VALUE"""),"Borrow Broker")</f>
        <v>Borrow Broker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</row>
    <row r="6" ht="15.75" customHeight="1">
      <c r="A6" s="6"/>
      <c r="B6" s="6"/>
      <c r="C6" s="6"/>
      <c r="D6" s="6">
        <v>10.0</v>
      </c>
      <c r="E6" s="6" t="s">
        <v>24</v>
      </c>
      <c r="F6" s="6"/>
      <c r="G6" s="6"/>
      <c r="H6" s="6" t="s">
        <v>25</v>
      </c>
      <c r="I6" s="6" t="s">
        <v>26</v>
      </c>
      <c r="J6" s="6" t="s">
        <v>16</v>
      </c>
      <c r="K6" s="6" t="s">
        <v>27</v>
      </c>
      <c r="L6" s="6" t="s">
        <v>28</v>
      </c>
      <c r="M6" s="6"/>
      <c r="N6" s="6"/>
      <c r="O6" s="6"/>
      <c r="U6" s="7" t="s">
        <v>29</v>
      </c>
      <c r="AA6" s="7" t="s">
        <v>30</v>
      </c>
      <c r="AB6" s="7">
        <v>190.0</v>
      </c>
      <c r="AD6" s="7">
        <v>1.0</v>
      </c>
      <c r="AF6" s="7" t="s">
        <v>31</v>
      </c>
      <c r="AG6" s="7">
        <v>10.0</v>
      </c>
      <c r="AH6" s="7" t="s">
        <v>32</v>
      </c>
      <c r="AI6" s="7" t="s">
        <v>16</v>
      </c>
      <c r="AJ6" s="7" t="s">
        <v>18</v>
      </c>
      <c r="AK6" s="7" t="s">
        <v>134</v>
      </c>
      <c r="AL6" s="7">
        <v>200.0</v>
      </c>
      <c r="AM6" s="7">
        <v>200.0</v>
      </c>
      <c r="AN6" s="7">
        <v>100.0</v>
      </c>
      <c r="AO6" s="7">
        <v>200.0</v>
      </c>
      <c r="AQ6" s="7">
        <v>10.0</v>
      </c>
      <c r="AR6" s="7">
        <v>10.0</v>
      </c>
      <c r="AS6" s="7" t="s">
        <v>34</v>
      </c>
      <c r="AT6" s="7" t="s">
        <v>30</v>
      </c>
      <c r="AU6" s="7" t="s">
        <v>35</v>
      </c>
      <c r="AV6" s="7">
        <v>2000.0</v>
      </c>
      <c r="AW6" s="7">
        <v>2000.0</v>
      </c>
      <c r="BA6" s="7" t="s">
        <v>26</v>
      </c>
      <c r="BH6" s="7" t="s">
        <v>36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U7" s="7"/>
      <c r="AA7" s="7"/>
      <c r="AB7" s="7"/>
      <c r="AD7" s="7"/>
      <c r="AF7" s="7"/>
      <c r="AG7" s="7"/>
      <c r="AH7" s="7"/>
      <c r="AI7" s="7"/>
      <c r="AJ7" s="7"/>
      <c r="AK7" s="7"/>
      <c r="AL7" s="7"/>
      <c r="AM7" s="7"/>
      <c r="AN7" s="7"/>
      <c r="AO7" s="7"/>
      <c r="AQ7" s="7"/>
      <c r="AR7" s="7"/>
      <c r="AS7" s="7"/>
      <c r="AT7" s="7"/>
      <c r="AU7" s="7"/>
      <c r="AV7" s="7"/>
      <c r="AW7" s="7"/>
      <c r="BA7" s="7"/>
      <c r="BH7" s="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21</v>
      </c>
      <c r="D3" s="4" t="s">
        <v>9</v>
      </c>
      <c r="E3" s="10" t="s">
        <v>43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IFERROR(__xludf.DUMMYFUNCTION("""COMPUTED_VALUE"""),"Transaction Time")</f>
        <v>Transaction Time</v>
      </c>
      <c r="C5" s="21" t="str">
        <f>IFERROR(__xludf.DUMMYFUNCTION("""COMPUTED_VALUE"""),"Algo")</f>
        <v>Algo</v>
      </c>
      <c r="D5" s="21" t="str">
        <f>IFERROR(__xludf.DUMMYFUNCTION("""COMPUTED_VALUE"""),"Avg Fill Price (Base)")</f>
        <v>Avg Fill Price (Base)</v>
      </c>
      <c r="E5" s="21" t="str">
        <f>IFERROR(__xludf.DUMMYFUNCTION("""COMPUTED_VALUE"""),"Bloomberg Symbol")</f>
        <v>Bloomberg Symbol</v>
      </c>
      <c r="F5" s="21" t="str">
        <f>IFERROR(__xludf.DUMMYFUNCTION("""COMPUTED_VALUE"""),"Limit Price")</f>
        <v>Limit Price</v>
      </c>
      <c r="G5" s="21" t="str">
        <f>IFERROR(__xludf.DUMMYFUNCTION("""COMPUTED_VALUE"""),"Working Qty")</f>
        <v>Working Qty</v>
      </c>
      <c r="H5" s="21" t="str">
        <f>IFERROR(__xludf.DUMMYFUNCTION("""COMPUTED_VALUE"""),"Venue")</f>
        <v>Venue</v>
      </c>
      <c r="I5" s="21" t="str">
        <f>IFERROR(__xludf.DUMMYFUNCTION("""COMPUTED_VALUE"""),"Current User")</f>
        <v>Current User</v>
      </c>
      <c r="J5" s="21" t="str">
        <f>IFERROR(__xludf.DUMMYFUNCTION("""COMPUTED_VALUE"""),"Underlying Symbol")</f>
        <v>Underlying Symbol</v>
      </c>
      <c r="K5" s="21" t="str">
        <f>IFERROR(__xludf.DUMMYFUNCTION("""COMPUTED_VALUE"""),"Underlying Country")</f>
        <v>Underlying Country</v>
      </c>
      <c r="L5" s="21" t="str">
        <f>IFERROR(__xludf.DUMMYFUNCTION("""COMPUTED_VALUE"""),"Trader")</f>
        <v>Trader</v>
      </c>
      <c r="M5" s="21" t="str">
        <f>IFERROR(__xludf.DUMMYFUNCTION("""COMPUTED_VALUE"""),"Trade Attribute 6")</f>
        <v>Trade Attribute 6</v>
      </c>
      <c r="N5" s="21" t="str">
        <f>IFERROR(__xludf.DUMMYFUNCTION("""COMPUTED_VALUE"""),"Trade Attribute 5")</f>
        <v>Trade Attribute 5</v>
      </c>
      <c r="O5" s="21" t="str">
        <f>IFERROR(__xludf.DUMMYFUNCTION("""COMPUTED_VALUE"""),"Trade Attribute 4")</f>
        <v>Trade Attribute 4</v>
      </c>
      <c r="P5" s="21" t="str">
        <f>IFERROR(__xludf.DUMMYFUNCTION("""COMPUTED_VALUE"""),"Trade Attribute 3")</f>
        <v>Trade Attribute 3</v>
      </c>
      <c r="Q5" s="21" t="str">
        <f>IFERROR(__xludf.DUMMYFUNCTION("""COMPUTED_VALUE"""),"Trade Attribute 2")</f>
        <v>Trade Attribute 2</v>
      </c>
      <c r="R5" s="21" t="str">
        <f>IFERROR(__xludf.DUMMYFUNCTION("""COMPUTED_VALUE"""),"Trade Attribute 1")</f>
        <v>Trade Attribute 1</v>
      </c>
      <c r="S5" s="21" t="str">
        <f>IFERROR(__xludf.DUMMYFUNCTION("""COMPUTED_VALUE"""),"Strike Price")</f>
        <v>Strike Price</v>
      </c>
      <c r="T5" s="22" t="str">
        <f>IFERROR(__xludf.DUMMYFUNCTION("""COMPUTED_VALUE"""),"Stop Price")</f>
        <v>Stop Price</v>
      </c>
      <c r="U5" s="22" t="str">
        <f>IFERROR(__xludf.DUMMYFUNCTION("""COMPUTED_VALUE"""),"Settlement Currency")</f>
        <v>Settlement Currency</v>
      </c>
      <c r="V5" s="22" t="str">
        <f>IFERROR(__xludf.DUMMYFUNCTION("""COMPUTED_VALUE"""),"Put/Call")</f>
        <v>Put/Call</v>
      </c>
      <c r="W5" s="22" t="str">
        <f>IFERROR(__xludf.DUMMYFUNCTION("""COMPUTED_VALUE"""),"Process Date")</f>
        <v>Process Date</v>
      </c>
      <c r="X5" s="22" t="str">
        <f>IFERROR(__xludf.DUMMYFUNCTION("""COMPUTED_VALUE"""),"Peg")</f>
        <v>Peg</v>
      </c>
      <c r="Y5" s="22" t="str">
        <f>IFERROR(__xludf.DUMMYFUNCTION("""COMPUTED_VALUE"""),"ParentClOrderID")</f>
        <v>ParentClOrderID</v>
      </c>
      <c r="Z5" s="22" t="str">
        <f>IFERROR(__xludf.DUMMYFUNCTION("""COMPUTED_VALUE"""),"OrderID")</f>
        <v>OrderID</v>
      </c>
      <c r="AA5" s="22" t="str">
        <f>IFERROR(__xludf.DUMMYFUNCTION("""COMPUTED_VALUE"""),"Master Fund")</f>
        <v>Master Fund</v>
      </c>
      <c r="AB5" s="22" t="str">
        <f>IFERROR(__xludf.DUMMYFUNCTION("""COMPUTED_VALUE"""),"Last Shares")</f>
        <v>Last Shares</v>
      </c>
      <c r="AC5" s="22" t="str">
        <f>IFERROR(__xludf.DUMMYFUNCTION("""COMPUTED_VALUE"""),"Internal Comments")</f>
        <v>Internal Comments</v>
      </c>
      <c r="AD5" s="22" t="str">
        <f>IFERROR(__xludf.DUMMYFUNCTION("""COMPUTED_VALUE"""),"FX Rate")</f>
        <v>FX Rate</v>
      </c>
      <c r="AE5" s="22" t="str">
        <f>IFERROR(__xludf.DUMMYFUNCTION("""COMPUTED_VALUE"""),"Imported File Name")</f>
        <v>Imported File Name</v>
      </c>
      <c r="AF5" s="22" t="str">
        <f>IFERROR(__xludf.DUMMYFUNCTION("""COMPUTED_VALUE"""),"FX Conversion Operator")</f>
        <v>FX Conversion Operator</v>
      </c>
      <c r="AG5" s="22" t="str">
        <f>IFERROR(__xludf.DUMMYFUNCTION("""COMPUTED_VALUE"""),"Day Average Price")</f>
        <v>Day Average Price</v>
      </c>
      <c r="AH5" s="22" t="str">
        <f>IFERROR(__xludf.DUMMYFUNCTION("""COMPUTED_VALUE"""),"Asset Class")</f>
        <v>Asset Class</v>
      </c>
      <c r="AI5" s="22" t="str">
        <f>IFERROR(__xludf.DUMMYFUNCTION("""COMPUTED_VALUE"""),"Symbol")</f>
        <v>Symbol</v>
      </c>
      <c r="AJ5" s="22" t="str">
        <f>IFERROR(__xludf.DUMMYFUNCTION("""COMPUTED_VALUE"""),"Side")</f>
        <v>Side</v>
      </c>
      <c r="AK5" s="22" t="str">
        <f>IFERROR(__xludf.DUMMYFUNCTION("""COMPUTED_VALUE"""),"Status")</f>
        <v>Status</v>
      </c>
      <c r="AL5" s="22" t="str">
        <f>IFERROR(__xludf.DUMMYFUNCTION("""COMPUTED_VALUE"""),"Quantity")</f>
        <v>Quantity</v>
      </c>
      <c r="AM5" s="22" t="str">
        <f>IFERROR(__xludf.DUMMYFUNCTION("""COMPUTED_VALUE"""),"Executed Qty")</f>
        <v>Executed Qty</v>
      </c>
      <c r="AN5" s="22" t="str">
        <f>IFERROR(__xludf.DUMMYFUNCTION("""COMPUTED_VALUE"""),"Day Executed Qty")</f>
        <v>Day Executed Qty</v>
      </c>
      <c r="AO5" s="22" t="str">
        <f>IFERROR(__xludf.DUMMYFUNCTION("""COMPUTED_VALUE"""),"Last Fill Price (Local)")</f>
        <v>Last Fill Price (Local)</v>
      </c>
      <c r="AP5" s="22" t="str">
        <f>IFERROR(__xludf.DUMMYFUNCTION("""COMPUTED_VALUE"""),"Avg Fill Price (Local)")</f>
        <v>Avg Fill Price (Local)</v>
      </c>
      <c r="AQ5" s="22" t="str">
        <f>IFERROR(__xludf.DUMMYFUNCTION("""COMPUTED_VALUE"""),"Broker")</f>
        <v>Broker</v>
      </c>
      <c r="AR5" s="22" t="str">
        <f>IFERROR(__xludf.DUMMYFUNCTION("""COMPUTED_VALUE"""),"Account")</f>
        <v>Account</v>
      </c>
      <c r="AS5" s="22" t="str">
        <f>IFERROR(__xludf.DUMMYFUNCTION("""COMPUTED_VALUE"""),"Order Type")</f>
        <v>Order Type</v>
      </c>
      <c r="AT5" s="22" t="str">
        <f>IFERROR(__xludf.DUMMYFUNCTION("""COMPUTED_VALUE"""),"Principal Amount (Local)")</f>
        <v>Principal Amount (Local)</v>
      </c>
      <c r="AU5" s="22" t="str">
        <f>IFERROR(__xludf.DUMMYFUNCTION("""COMPUTED_VALUE"""),"Principal Amount (Base)")</f>
        <v>Principal Amount (Base)</v>
      </c>
      <c r="AV5" s="22" t="str">
        <f>IFERROR(__xludf.DUMMYFUNCTION("""COMPUTED_VALUE"""),"Allocation Scheme Name")</f>
        <v>Allocation Scheme Name</v>
      </c>
      <c r="AW5" s="22" t="str">
        <f>IFERROR(__xludf.DUMMYFUNCTION("""COMPUTED_VALUE"""),"Status (With Rollover)")</f>
        <v>Status (With Rollover)</v>
      </c>
      <c r="AX5" s="22" t="str">
        <f>IFERROR(__xludf.DUMMYFUNCTION("""COMPUTED_VALUE"""),"Unexecuted Qty")</f>
        <v>Unexecuted Qty</v>
      </c>
      <c r="AY5" s="22" t="str">
        <f>IFERROR(__xludf.DUMMYFUNCTION("""COMPUTED_VALUE"""),"Strategy")</f>
        <v>Strategy</v>
      </c>
      <c r="AZ5" s="22" t="str">
        <f>IFERROR(__xludf.DUMMYFUNCTION("""COMPUTED_VALUE"""),"Actual User")</f>
        <v>Actual User</v>
      </c>
      <c r="BA5" s="22" t="str">
        <f>IFERROR(__xludf.DUMMYFUNCTION("""COMPUTED_VALUE"""),"% Completed")</f>
        <v>% Completed</v>
      </c>
      <c r="BB5" s="22" t="str">
        <f>IFERROR(__xludf.DUMMYFUNCTION("""COMPUTED_VALUE"""),"MandatoryColumn")</f>
        <v>MandatoryColumn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</row>
    <row r="6" ht="15.75" customHeight="1">
      <c r="A6" s="6"/>
      <c r="B6" s="6"/>
      <c r="C6" s="6"/>
      <c r="D6" s="6">
        <v>10.0</v>
      </c>
      <c r="E6" s="6" t="s">
        <v>24</v>
      </c>
      <c r="F6" s="6"/>
      <c r="G6" s="6"/>
      <c r="H6" s="6" t="s">
        <v>25</v>
      </c>
      <c r="I6" s="6" t="s">
        <v>26</v>
      </c>
      <c r="J6" s="6" t="s">
        <v>16</v>
      </c>
      <c r="K6" s="6" t="s">
        <v>27</v>
      </c>
      <c r="L6" s="6" t="s">
        <v>28</v>
      </c>
      <c r="M6" s="6"/>
      <c r="N6" s="6"/>
      <c r="O6" s="6"/>
      <c r="U6" s="7" t="s">
        <v>29</v>
      </c>
      <c r="AA6" s="7" t="s">
        <v>30</v>
      </c>
      <c r="AB6" s="7">
        <v>190.0</v>
      </c>
      <c r="AD6" s="7">
        <v>1.0</v>
      </c>
      <c r="AF6" s="7" t="s">
        <v>31</v>
      </c>
      <c r="AG6" s="7">
        <v>10.0</v>
      </c>
      <c r="AI6" s="7" t="s">
        <v>16</v>
      </c>
      <c r="AJ6" s="7" t="s">
        <v>18</v>
      </c>
      <c r="AK6" s="7" t="s">
        <v>134</v>
      </c>
      <c r="AL6" s="7">
        <v>200.0</v>
      </c>
      <c r="AM6" s="7">
        <v>200.0</v>
      </c>
      <c r="AN6" s="7">
        <v>200.0</v>
      </c>
      <c r="AO6" s="7">
        <v>10.0</v>
      </c>
      <c r="AP6" s="7">
        <v>10.0</v>
      </c>
      <c r="AQ6" s="7" t="s">
        <v>34</v>
      </c>
      <c r="AR6" s="7" t="s">
        <v>30</v>
      </c>
      <c r="AS6" s="7" t="s">
        <v>35</v>
      </c>
      <c r="AT6" s="7">
        <v>2000.0</v>
      </c>
      <c r="AU6" s="7">
        <v>2000.0</v>
      </c>
      <c r="AW6" s="7" t="s">
        <v>134</v>
      </c>
      <c r="AY6" s="7" t="s">
        <v>135</v>
      </c>
      <c r="AZ6" s="7" t="s">
        <v>26</v>
      </c>
      <c r="BA6" s="7">
        <v>100.0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136</v>
      </c>
      <c r="D3" s="4" t="s">
        <v>9</v>
      </c>
      <c r="E3" s="10" t="s">
        <v>137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</row>
    <row r="4" ht="15.75" customHeight="1">
      <c r="A4" s="18"/>
      <c r="B4" s="18" t="str">
        <f>IFERROR(__xludf.DUMMYFUNCTION("IF(C3="""","""",Transpose(IMPORTRANGE('_Settings'!$B$3,C3&amp;""!A4:A1000"")))"),"Allocate")</f>
        <v>Allocate</v>
      </c>
      <c r="C4" s="18" t="str">
        <f>IFERROR(__xludf.DUMMYFUNCTION("""COMPUTED_VALUE"""),"CheckAllocatedGroups")</f>
        <v>CheckAllocatedGroups</v>
      </c>
      <c r="D4" s="18" t="str">
        <f>IFERROR(__xludf.DUMMYFUNCTION("""COMPUTED_VALUE"""),"GetDataAllocation")</f>
        <v>GetDataAllocation</v>
      </c>
      <c r="E4" s="18" t="str">
        <f>IFERROR(__xludf.DUMMYFUNCTION("""COMPUTED_VALUE"""),"SelectAllocatedGroup")</f>
        <v>SelectAllocatedGroup</v>
      </c>
      <c r="F4" s="18" t="str">
        <f>IFERROR(__xludf.DUMMYFUNCTION("""COMPUTED_VALUE"""),"EditTradesAllocated")</f>
        <v>EditTradesAllocated</v>
      </c>
      <c r="G4" s="18" t="str">
        <f>IFERROR(__xludf.DUMMYFUNCTION("""COMPUTED_VALUE"""),"EditTradesUnallocated")</f>
        <v>EditTradesUnallocated</v>
      </c>
      <c r="H4" s="18" t="str">
        <f>IFERROR(__xludf.DUMMYFUNCTION("""COMPUTED_VALUE"""),"EditTradesAllocated")</f>
        <v>EditTradesAllocated</v>
      </c>
      <c r="I4" s="18" t="str">
        <f>IFERROR(__xludf.DUMMYFUNCTION("""COMPUTED_VALUE"""),"Reallocate")</f>
        <v>Reallocate</v>
      </c>
      <c r="J4" s="18" t="str">
        <f>IFERROR(__xludf.DUMMYFUNCTION("""COMPUTED_VALUE"""),"EditUnallocatedGroupSidePanel")</f>
        <v>EditUnallocatedGroupSidePanel</v>
      </c>
      <c r="K4" s="18" t="str">
        <f>IFERROR(__xludf.DUMMYFUNCTION("""COMPUTED_VALUE"""),"TradeAttributeBulkChange")</f>
        <v>TradeAttributeBulkChange</v>
      </c>
      <c r="L4" s="18" t="str">
        <f>IFERROR(__xludf.DUMMYFUNCTION("""COMPUTED_VALUE"""),"ApplyBulkUpdateOnGroups")</f>
        <v>ApplyBulkUpdateOnGroups</v>
      </c>
      <c r="M4" s="18" t="str">
        <f>IFERROR(__xludf.DUMMYFUNCTION("""COMPUTED_VALUE"""),"ApplyPrefetchFilters")</f>
        <v>ApplyPrefetchFilters</v>
      </c>
      <c r="N4" s="18" t="str">
        <f>IFERROR(__xludf.DUMMYFUNCTION("""COMPUTED_VALUE"""),"GeneralPreferencesDefaultRule")</f>
        <v>GeneralPreferencesDefaultRule</v>
      </c>
      <c r="O4" s="18" t="str">
        <f>IFERROR(__xludf.DUMMYFUNCTION("""COMPUTED_VALUE"""),"GeneralPrefCompanyUserWise")</f>
        <v>GeneralPrefCompanyUserWise</v>
      </c>
      <c r="P4" s="19" t="str">
        <f>IFERROR(__xludf.DUMMYFUNCTION("""COMPUTED_VALUE"""),"RenameTradeAttributes")</f>
        <v>RenameTradeAttributes</v>
      </c>
      <c r="Q4" s="19" t="str">
        <f>IFERROR(__xludf.DUMMYFUNCTION("""COMPUTED_VALUE"""),"SetGroupingRules")</f>
        <v>SetGroupingRules</v>
      </c>
      <c r="R4" s="19" t="str">
        <f>IFERROR(__xludf.DUMMYFUNCTION("""COMPUTED_VALUE"""),"SetMasterFundRatio")</f>
        <v>SetMasterFundRatio</v>
      </c>
      <c r="S4" s="19" t="str">
        <f>IFERROR(__xludf.DUMMYFUNCTION("""COMPUTED_VALUE"""),"CheckFixedPreference")</f>
        <v>CheckFixedPreference</v>
      </c>
      <c r="T4" s="19" t="str">
        <f>IFERROR(__xludf.DUMMYFUNCTION("""COMPUTED_VALUE"""),"GetFixedPreference")</f>
        <v>GetFixedPreference</v>
      </c>
      <c r="U4" s="19" t="str">
        <f>IFERROR(__xludf.DUMMYFUNCTION("""COMPUTED_VALUE"""),"AddCalculatedPreferences")</f>
        <v>AddCalculatedPreferences</v>
      </c>
      <c r="V4" s="19" t="str">
        <f>IFERROR(__xludf.DUMMYFUNCTION("""COMPUTED_VALUE"""),"BulkChangeCalculatedPreferences")</f>
        <v>BulkChangeCalculatedPreferences</v>
      </c>
      <c r="W4" s="19" t="str">
        <f>IFERROR(__xludf.DUMMYFUNCTION("""COMPUTED_VALUE"""),"DeleteCalculatedPreferences")</f>
        <v>DeleteCalculatedPreferences</v>
      </c>
      <c r="X4" s="19" t="str">
        <f>IFERROR(__xludf.DUMMYFUNCTION("""COMPUTED_VALUE"""),"RenameCalculatedPreferences")</f>
        <v>RenameCalculatedPreferences</v>
      </c>
      <c r="Y4" s="19" t="str">
        <f>IFERROR(__xludf.DUMMYFUNCTION("""COMPUTED_VALUE"""),"CopyCalculatedPreferences")</f>
        <v>CopyCalculatedPreferences</v>
      </c>
      <c r="Z4" s="19" t="str">
        <f>IFERROR(__xludf.DUMMYFUNCTION("""COMPUTED_VALUE"""),"RunAutoGroup")</f>
        <v>RunAutoGroup</v>
      </c>
      <c r="AA4" s="19" t="str">
        <f>IFERROR(__xludf.DUMMYFUNCTION("""COMPUTED_VALUE"""),"BookOrUpdateSwap")</f>
        <v>BookOrUpdateSwap</v>
      </c>
      <c r="AB4" s="19" t="str">
        <f>IFERROR(__xludf.DUMMYFUNCTION("""COMPUTED_VALUE"""),"RunProrata")</f>
        <v>RunProrata</v>
      </c>
      <c r="AC4" s="19" t="str">
        <f>IFERROR(__xludf.DUMMYFUNCTION("""COMPUTED_VALUE"""),"SetDefaultRuleCalculatedPref")</f>
        <v>SetDefaultRuleCalculatedPref</v>
      </c>
      <c r="AD4" s="19" t="str">
        <f>IFERROR(__xludf.DUMMYFUNCTION("""COMPUTED_VALUE"""),"SetAccountValueCalculatedPref")</f>
        <v>SetAccountValueCalculatedPref</v>
      </c>
      <c r="AE4" s="19" t="str">
        <f>IFERROR(__xludf.DUMMYFUNCTION("""COMPUTED_VALUE"""),"TradeAttributeBulkChangeGroups")</f>
        <v>TradeAttributeBulkChangeGroups</v>
      </c>
      <c r="AF4" s="19" t="str">
        <f>IFERROR(__xludf.DUMMYFUNCTION("""COMPUTED_VALUE"""),"TradeAttributeBulkChangeTaxlots")</f>
        <v>TradeAttributeBulkChangeTaxlots</v>
      </c>
      <c r="AG4" s="19" t="str">
        <f>IFERROR(__xludf.DUMMYFUNCTION("""COMPUTED_VALUE"""),"AddCalculatedPreferenceToolbar")</f>
        <v>AddCalculatedPreferenceToolbar</v>
      </c>
      <c r="AH4" s="19" t="str">
        <f>IFERROR(__xludf.DUMMYFUNCTION("""COMPUTED_VALUE"""),"SetStrategyValueCalculatedPref")</f>
        <v>SetStrategyValueCalculatedPref</v>
      </c>
      <c r="AI4" s="19" t="str">
        <f>IFERROR(__xludf.DUMMYFUNCTION("""COMPUTED_VALUE"""),"ApplyBulkUpdateOnTaxlots")</f>
        <v>ApplyBulkUpdateOnTaxlots</v>
      </c>
      <c r="AJ4" s="19" t="str">
        <f>IFERROR(__xludf.DUMMYFUNCTION("""COMPUTED_VALUE"""),"CommissionBulkChangeOnGroups")</f>
        <v>CommissionBulkChangeOnGroups</v>
      </c>
      <c r="AK4" s="19" t="str">
        <f>IFERROR(__xludf.DUMMYFUNCTION("""COMPUTED_VALUE"""),"CommissionBulkChangeOnTaxlots")</f>
        <v>CommissionBulkChangeOnTaxlots</v>
      </c>
      <c r="AL4" s="19" t="str">
        <f>IFERROR(__xludf.DUMMYFUNCTION("""COMPUTED_VALUE"""),"SelectUnallocatedGroup")</f>
        <v>SelectUnallocatedGroup</v>
      </c>
      <c r="AM4" s="19" t="str">
        <f>IFERROR(__xludf.DUMMYFUNCTION("""COMPUTED_VALUE"""),"EnterAccountValuesToAllocate")</f>
        <v>EnterAccountValuesToAllocate</v>
      </c>
      <c r="AN4" s="19" t="str">
        <f>IFERROR(__xludf.DUMMYFUNCTION("""COMPUTED_VALUE"""),"EnterAllocatePreference")</f>
        <v>EnterAllocatePreference</v>
      </c>
      <c r="AO4" s="19" t="str">
        <f>IFERROR(__xludf.DUMMYFUNCTION("""COMPUTED_VALUE"""),"EnterStrategyValuesToAllocate")</f>
        <v>EnterStrategyValuesToAllocate</v>
      </c>
      <c r="AP4" s="19" t="str">
        <f>IFERROR(__xludf.DUMMYFUNCTION("""COMPUTED_VALUE"""),"CopyCalculatedPreferenceToolbar")</f>
        <v>CopyCalculatedPreferenceToolbar</v>
      </c>
      <c r="AQ4" s="19" t="str">
        <f>IFERROR(__xludf.DUMMYFUNCTION("""COMPUTED_VALUE"""),"SetGeneralRuleCalculatedPref")</f>
        <v>SetGeneralRuleCalculatedPref</v>
      </c>
      <c r="AR4" s="19" t="str">
        <f>IFERROR(__xludf.DUMMYFUNCTION("""COMPUTED_VALUE"""),"ExportAllCalculatedPreferences")</f>
        <v>ExportAllCalculatedPreferences</v>
      </c>
      <c r="AS4" s="19" t="str">
        <f>IFERROR(__xludf.DUMMYFUNCTION("""COMPUTED_VALUE"""),"SaveCalculatedPreferences")</f>
        <v>SaveCalculatedPreferences</v>
      </c>
      <c r="AT4" s="19" t="str">
        <f>IFERROR(__xludf.DUMMYFUNCTION("""COMPUTED_VALUE"""),"CloseCalculatedPreferences")</f>
        <v>CloseCalculatedPreferences</v>
      </c>
      <c r="AU4" s="19" t="str">
        <f>IFERROR(__xludf.DUMMYFUNCTION("""COMPUTED_VALUE"""),"ExportCalculatedPreference")</f>
        <v>ExportCalculatedPreference</v>
      </c>
      <c r="AV4" s="19" t="str">
        <f>IFERROR(__xludf.DUMMYFUNCTION("""COMPUTED_VALUE"""),"ImportCalculatedPreferences")</f>
        <v>ImportCalculatedPreferences</v>
      </c>
      <c r="AW4" s="19" t="str">
        <f>IFERROR(__xludf.DUMMYFUNCTION("""COMPUTED_VALUE"""),"OpenAuditTrailUnallocatedGroup")</f>
        <v>OpenAuditTrailUnallocatedGroup</v>
      </c>
      <c r="AX4" s="19" t="str">
        <f>IFERROR(__xludf.DUMMYFUNCTION("""COMPUTED_VALUE"""),"DeleteCalculatedPreferencesTool")</f>
        <v>DeleteCalculatedPreferencesTool</v>
      </c>
      <c r="AY4" s="19" t="str">
        <f>IFERROR(__xludf.DUMMYFUNCTION("""COMPUTED_VALUE"""),"ImportCalculatedPreferencesTool")</f>
        <v>ImportCalculatedPreferencesTool</v>
      </c>
      <c r="AZ4" s="19" t="str">
        <f>IFERROR(__xludf.DUMMYFUNCTION("""COMPUTED_VALUE"""),"ExportAllCalculatedPreferTool")</f>
        <v>ExportAllCalculatedPreferTool</v>
      </c>
      <c r="BA4" s="19" t="str">
        <f>IFERROR(__xludf.DUMMYFUNCTION("""COMPUTED_VALUE"""),"OpenAuditTrailAllocatedGroup")</f>
        <v>OpenAuditTrailAllocatedGroup</v>
      </c>
      <c r="BB4" s="19" t="str">
        <f>IFERROR(__xludf.DUMMYFUNCTION("""COMPUTED_VALUE"""),"OpenSymbolLookupUnallocateGroup")</f>
        <v>OpenSymbolLookupUnallocateGroup</v>
      </c>
      <c r="BC4" s="19" t="str">
        <f>IFERROR(__xludf.DUMMYFUNCTION("""COMPUTED_VALUE"""),"OpenSymbolLookupAllocatedGroup")</f>
        <v>OpenSymbolLookupAllocatedGroup</v>
      </c>
      <c r="BD4" s="19" t="str">
        <f>IFERROR(__xludf.DUMMYFUNCTION("""COMPUTED_VALUE"""),"DeleteFixedPreference")</f>
        <v>DeleteFixedPreference</v>
      </c>
      <c r="BE4" s="19" t="str">
        <f>IFERROR(__xludf.DUMMYFUNCTION("""COMPUTED_VALUE"""),"EditAllocatedGroupSidePanel")</f>
        <v>EditAllocatedGroupSidePanel</v>
      </c>
      <c r="BF4" s="19" t="str">
        <f>IFERROR(__xludf.DUMMYFUNCTION("""COMPUTED_VALUE"""),"CheckUnallocatedGroups")</f>
        <v>CheckUnallocatedGroups</v>
      </c>
      <c r="BG4" s="19" t="str">
        <f>IFERROR(__xludf.DUMMYFUNCTION("""COMPUTED_VALUE"""),"SetGeneralPreferences")</f>
        <v>SetGeneralPreferences</v>
      </c>
      <c r="BH4" s="19" t="str">
        <f>IFERROR(__xludf.DUMMYFUNCTION("""COMPUTED_VALUE"""),"GroupTrades")</f>
        <v>GroupTrades</v>
      </c>
      <c r="BI4" s="19" t="str">
        <f>IFERROR(__xludf.DUMMYFUNCTION("""COMPUTED_VALUE"""),"UngroupTrades")</f>
        <v>UngroupTrades</v>
      </c>
      <c r="BJ4" s="19" t="str">
        <f>IFERROR(__xludf.DUMMYFUNCTION("""COMPUTED_VALUE"""),"DeleteGroup")</f>
        <v>DeleteGroup</v>
      </c>
      <c r="BK4" s="19" t="str">
        <f>IFERROR(__xludf.DUMMYFUNCTION("""COMPUTED_VALUE"""),"CloseOrder")</f>
        <v>CloseOrder</v>
      </c>
      <c r="BL4" s="19" t="str">
        <f>IFERROR(__xludf.DUMMYFUNCTION("""COMPUTED_VALUE"""),"Unallocate")</f>
        <v>Unallocate</v>
      </c>
      <c r="BM4" s="19" t="str">
        <f>IFERROR(__xludf.DUMMYFUNCTION("""COMPUTED_VALUE"""),"CloseAllocation")</f>
        <v>CloseAllocation</v>
      </c>
      <c r="BN4" s="19" t="str">
        <f>IFERROR(__xludf.DUMMYFUNCTION("""COMPUTED_VALUE"""),"UpdateGRAccountValue")</f>
        <v>UpdateGRAccountValue</v>
      </c>
      <c r="BO4" s="19" t="str">
        <f>IFERROR(__xludf.DUMMYFUNCTION("""COMPUTED_VALUE"""),"UpdateGRStrategyValue")</f>
        <v>UpdateGRStrategyValue</v>
      </c>
      <c r="BP4" s="19" t="str">
        <f>IFERROR(__xludf.DUMMYFUNCTION("""COMPUTED_VALUE"""),"UpdateGRDefaultRule")</f>
        <v>UpdateGRDefaultRule</v>
      </c>
      <c r="BQ4" s="19" t="str">
        <f>IFERROR(__xludf.DUMMYFUNCTION("""COMPUTED_VALUE"""),"UpdateGeneralRulePref")</f>
        <v>UpdateGeneralRulePref</v>
      </c>
      <c r="BR4" s="19" t="str">
        <f>IFERROR(__xludf.DUMMYFUNCTION("""COMPUTED_VALUE"""),"ModifyGRPreferenceValues")</f>
        <v>ModifyGRPreferenceValues</v>
      </c>
      <c r="BS4" s="19" t="str">
        <f>IFERROR(__xludf.DUMMYFUNCTION("""COMPUTED_VALUE"""),"AddMFPreferences")</f>
        <v>AddMFPreferences</v>
      </c>
      <c r="BT4" s="19" t="str">
        <f>IFERROR(__xludf.DUMMYFUNCTION("""COMPUTED_VALUE"""),"AddMFPreferenceToolbar")</f>
        <v>AddMFPreferenceToolbar</v>
      </c>
      <c r="BU4" s="19" t="str">
        <f>IFERROR(__xludf.DUMMYFUNCTION("""COMPUTED_VALUE"""),"DeleteMFPreferences")</f>
        <v>DeleteMFPreferences</v>
      </c>
      <c r="BV4" s="19" t="str">
        <f>IFERROR(__xludf.DUMMYFUNCTION("""COMPUTED_VALUE"""),"DeleteMFPreferenceToolbar")</f>
        <v>DeleteMFPreferenceToolbar</v>
      </c>
      <c r="BW4" s="19" t="str">
        <f>IFERROR(__xludf.DUMMYFUNCTION("""COMPUTED_VALUE"""),"RenameMFPreferences")</f>
        <v>RenameMFPreferences</v>
      </c>
      <c r="BX4" s="19" t="str">
        <f>IFERROR(__xludf.DUMMYFUNCTION("""COMPUTED_VALUE"""),"SaveCloseMFPreference")</f>
        <v>SaveCloseMFPreference</v>
      </c>
      <c r="BY4" s="19" t="str">
        <f>IFERROR(__xludf.DUMMYFUNCTION("""COMPUTED_VALUE"""),"SetMFPrefAccountValues")</f>
        <v>SetMFPrefAccountValues</v>
      </c>
      <c r="BZ4" s="19" t="str">
        <f>IFERROR(__xludf.DUMMYFUNCTION("""COMPUTED_VALUE"""),"ModifyMFPrefGeneralRuleValues")</f>
        <v>ModifyMFPrefGeneralRuleValues</v>
      </c>
      <c r="CA4" s="19" t="str">
        <f>IFERROR(__xludf.DUMMYFUNCTION("""COMPUTED_VALUE"""),"SetMFPrefStrategyValues")</f>
        <v>SetMFPrefStrategyValues</v>
      </c>
      <c r="CB4" s="19" t="str">
        <f>IFERROR(__xludf.DUMMYFUNCTION("""COMPUTED_VALUE"""),"SetMFPrefGeneralRule")</f>
        <v>SetMFPrefGeneralRule</v>
      </c>
      <c r="CC4" s="19" t="str">
        <f>IFERROR(__xludf.DUMMYFUNCTION("""COMPUTED_VALUE"""),"SetMFPrefFundDistribution")</f>
        <v>SetMFPrefFundDistribution</v>
      </c>
      <c r="CD4" s="19" t="str">
        <f>IFERROR(__xludf.DUMMYFUNCTION("""COMPUTED_VALUE"""),"SetMFPreferencesDefaultRule")</f>
        <v>SetMFPreferencesDefaultRule</v>
      </c>
      <c r="CE4" s="19" t="str">
        <f>IFERROR(__xludf.DUMMYFUNCTION("""COMPUTED_VALUE"""),"SetMFPrefFundDefaultRule")</f>
        <v>SetMFPrefFundDefaultRule</v>
      </c>
      <c r="CF4" s="19" t="str">
        <f>IFERROR(__xludf.DUMMYFUNCTION("""COMPUTED_VALUE"""),"ClearPrefetchFilters")</f>
        <v>ClearPrefetchFilters</v>
      </c>
      <c r="CG4" s="19" t="str">
        <f>IFERROR(__xludf.DUMMYFUNCTION("""COMPUTED_VALUE"""),"ExpandCollapseAllUnallocated")</f>
        <v>ExpandCollapseAllUnallocated</v>
      </c>
      <c r="CH4" s="19" t="str">
        <f>IFERROR(__xludf.DUMMYFUNCTION("""COMPUTED_VALUE"""),"ExpandCollapseAllAllocated")</f>
        <v>ExpandCollapseAllAllocated</v>
      </c>
      <c r="CI4" s="19" t="str">
        <f>IFERROR(__xludf.DUMMYFUNCTION("""COMPUTED_VALUE"""),"GenerateCashTransaction")</f>
        <v>GenerateCashTransaction</v>
      </c>
      <c r="CJ4" s="19" t="str">
        <f>IFERROR(__xludf.DUMMYFUNCTION("""COMPUTED_VALUE"""),"SaveAllocation")</f>
        <v>SaveAllocation</v>
      </c>
      <c r="CK4" s="19" t="str">
        <f>IFERROR(__xludf.DUMMYFUNCTION("""COMPUTED_VALUE"""),"UnallocateWithOutSave")</f>
        <v>UnallocateWithOutSave</v>
      </c>
      <c r="CL4" s="19" t="str">
        <f>IFERROR(__xludf.DUMMYFUNCTION("""COMPUTED_VALUE"""),"EditUnallocatedGrid")</f>
        <v>EditUnallocatedGrid</v>
      </c>
      <c r="CM4" s="19" t="str">
        <f>IFERROR(__xludf.DUMMYFUNCTION("""COMPUTED_VALUE"""),"EditAllocatedGrid")</f>
        <v>EditAllocatedGrid</v>
      </c>
      <c r="CN4" s="19" t="str">
        <f>IFERROR(__xludf.DUMMYFUNCTION("""COMPUTED_VALUE"""),"SaveLayoutAllocatedGrid")</f>
        <v>SaveLayoutAllocatedGrid</v>
      </c>
      <c r="CO4" s="19" t="str">
        <f>IFERROR(__xludf.DUMMYFUNCTION("""COMPUTED_VALUE"""),"SaveLayoutUnallocatedGrid")</f>
        <v>SaveLayoutUnallocatedGrid</v>
      </c>
      <c r="CP4" s="19" t="str">
        <f>IFERROR(__xludf.DUMMYFUNCTION("""COMPUTED_VALUE"""),"SaveLayoutAllocationUI")</f>
        <v>SaveLayoutAllocationUI</v>
      </c>
      <c r="CQ4" s="19" t="str">
        <f>IFERROR(__xludf.DUMMYFUNCTION("""COMPUTED_VALUE"""),"ClearFiltersAllocatedGrid")</f>
        <v>ClearFiltersAllocatedGrid</v>
      </c>
      <c r="CR4" s="19" t="str">
        <f>IFERROR(__xludf.DUMMYFUNCTION("""COMPUTED_VALUE"""),"ClearFiltersUnallocatedGrid")</f>
        <v>ClearFiltersUnallocatedGrid</v>
      </c>
      <c r="CS4" s="19" t="str">
        <f>IFERROR(__xludf.DUMMYFUNCTION("""COMPUTED_VALUE"""),"VerifyLayoutAllocatedGrid")</f>
        <v>VerifyLayoutAllocatedGrid</v>
      </c>
      <c r="CT4" s="19" t="str">
        <f>IFERROR(__xludf.DUMMYFUNCTION("""COMPUTED_VALUE"""),"VerifyLayoutUnallocatedGrid")</f>
        <v>VerifyLayoutUnallocatedGrid</v>
      </c>
      <c r="CU4" s="19" t="str">
        <f>IFERROR(__xludf.DUMMYFUNCTION("""COMPUTED_VALUE"""),"CleanUp")</f>
        <v>CleanUp</v>
      </c>
      <c r="CV4" s="19" t="str">
        <f>IFERROR(__xludf.DUMMYFUNCTION("""COMPUTED_VALUE"""),"CheckAllocatedTaxlots")</f>
        <v>CheckAllocatedTaxlots</v>
      </c>
      <c r="CW4" s="19" t="str">
        <f>IFERROR(__xludf.DUMMYFUNCTION("""COMPUTED_VALUE"""),"DisableChecksideForAsset")</f>
        <v>DisableChecksideForAsset</v>
      </c>
      <c r="CX4" s="19" t="str">
        <f>IFERROR(__xludf.DUMMYFUNCTION("""COMPUTED_VALUE"""),"DisableChecksideForAccount")</f>
        <v>DisableChecksideForAccount</v>
      </c>
      <c r="CY4" s="19" t="str">
        <f>IFERROR(__xludf.DUMMYFUNCTION("""COMPUTED_VALUE"""),"DisableChecksideForCounterParty")</f>
        <v>DisableChecksideForCounterParty</v>
      </c>
      <c r="CZ4" s="19" t="str">
        <f>IFERROR(__xludf.DUMMYFUNCTION("""COMPUTED_VALUE"""),"DisableCheckside")</f>
        <v>DisableCheckside</v>
      </c>
      <c r="DA4" s="19" t="str">
        <f>IFERROR(__xludf.DUMMYFUNCTION("""COMPUTED_VALUE"""),"ApplyMasterFundFilter")</f>
        <v>ApplyMasterFundFilter</v>
      </c>
      <c r="DB4" s="19" t="str">
        <f>IFERROR(__xludf.DUMMYFUNCTION("""COMPUTED_VALUE"""),"ShowMasterFundOnTT")</f>
        <v>ShowMasterFundOnTT</v>
      </c>
      <c r="DC4" s="19" t="str">
        <f>IFERROR(__xludf.DUMMYFUNCTION("""COMPUTED_VALUE"""),"ShowMasterFundAsClient")</f>
        <v>ShowMasterFundAsClient</v>
      </c>
      <c r="DD4" s="19" t="str">
        <f>IFERROR(__xludf.DUMMYFUNCTION("""COMPUTED_VALUE"""),"SetBrokerAccountMapping")</f>
        <v>SetBrokerAccountMapping</v>
      </c>
      <c r="DE4" s="19" t="str">
        <f>IFERROR(__xludf.DUMMYFUNCTION("""COMPUTED_VALUE"""),"EditUnallocatedGridWPF")</f>
        <v>EditUnallocatedGridWPF</v>
      </c>
      <c r="DF4" s="19" t="str">
        <f>IFERROR(__xludf.DUMMYFUNCTION("""COMPUTED_VALUE"""),"EditAllocatedGridWPF")</f>
        <v>EditAllocatedGridWPF</v>
      </c>
      <c r="DG4" s="19" t="str">
        <f>IFERROR(__xludf.DUMMYFUNCTION("""COMPUTED_VALUE"""),"EditAllocatedGridTaxlot")</f>
        <v>EditAllocatedGridTaxlot</v>
      </c>
      <c r="DH4" s="19" t="str">
        <f>IFERROR(__xludf.DUMMYFUNCTION("""COMPUTED_VALUE"""),"ExpandCollapseAllocatedGrid")</f>
        <v>ExpandCollapseAllocatedGrid</v>
      </c>
      <c r="DI4" s="19" t="str">
        <f>IFERROR(__xludf.DUMMYFUNCTION("""COMPUTED_VALUE"""),"ExpandCollapseUnallocatedGrid")</f>
        <v>ExpandCollapseUnallocatedGrid</v>
      </c>
      <c r="DJ4" s="19" t="str">
        <f>IFERROR(__xludf.DUMMYFUNCTION("""COMPUTED_VALUE"""),"SetTradeAttributePreferences")</f>
        <v>SetTradeAttributePreferences</v>
      </c>
      <c r="DK4" s="19" t="str">
        <f>IFERROR(__xludf.DUMMYFUNCTION("""COMPUTED_VALUE"""),"EnterCustomAllocatePreference")</f>
        <v>EnterCustomAllocatePreference</v>
      </c>
      <c r="DL4" s="19" t="str">
        <f>IFERROR(__xludf.DUMMYFUNCTION("""COMPUTED_VALUE"""),"SetAutoGroupingPreferences")</f>
        <v>SetAutoGroupingPreferences</v>
      </c>
      <c r="DM4" s="19" t="str">
        <f>IFERROR(__xludf.DUMMYFUNCTION("""COMPUTED_VALUE"""),"SetAutoGroupingAccount")</f>
        <v>SetAutoGroupingAccount</v>
      </c>
      <c r="DN4" s="19" t="str">
        <f>IFERROR(__xludf.DUMMYFUNCTION("""COMPUTED_VALUE"""),"SetAvgPriceRounding")</f>
        <v>SetAvgPriceRounding</v>
      </c>
      <c r="DO4" s="19" t="str">
        <f>IFERROR(__xludf.DUMMYFUNCTION("""COMPUTED_VALUE"""),"IsAllocationOpen")</f>
        <v>IsAllocationOpen</v>
      </c>
      <c r="DP4" s="19" t="str">
        <f>IFERROR(__xludf.DUMMYFUNCTION("""COMPUTED_VALUE"""),"AllocationAuditTrail")</f>
        <v>AllocationAuditTrail</v>
      </c>
      <c r="DQ4" s="19" t="str">
        <f>IFERROR(__xludf.DUMMYFUNCTION("""COMPUTED_VALUE"""),"GetAuditTrailData")</f>
        <v>GetAuditTrailData</v>
      </c>
      <c r="DR4" s="19" t="str">
        <f>IFERROR(__xludf.DUMMYFUNCTION("""COMPUTED_VALUE"""),"CheckAuditTrailData")</f>
        <v>CheckAuditTrailData</v>
      </c>
      <c r="DS4" s="19" t="str">
        <f>IFERROR(__xludf.DUMMYFUNCTION("""COMPUTED_VALUE"""),"DeleteGroupWithOutSave")</f>
        <v>DeleteGroupWithOutSave</v>
      </c>
      <c r="DT4" s="19" t="str">
        <f>IFERROR(__xludf.DUMMYFUNCTION("""COMPUTED_VALUE"""),"CheckPreferences")</f>
        <v>CheckPreferences</v>
      </c>
      <c r="DU4" s="19" t="str">
        <f>IFERROR(__xludf.DUMMYFUNCTION("""COMPUTED_VALUE"""),"AllocateWithPopUp")</f>
        <v>AllocateWithPopUp</v>
      </c>
      <c r="DV4" s="19" t="str">
        <f>IFERROR(__xludf.DUMMYFUNCTION("""COMPUTED_VALUE"""),"SelectAllRowsAllocated")</f>
        <v>SelectAllRowsAllocated</v>
      </c>
      <c r="DW4" s="19" t="str">
        <f>IFERROR(__xludf.DUMMYFUNCTION("""COMPUTED_VALUE"""),"ModifyGRPreferenceValues")</f>
        <v>ModifyGRPreferenceValues</v>
      </c>
      <c r="DX4" s="19" t="str">
        <f>IFERROR(__xludf.DUMMYFUNCTION("""COMPUTED_VALUE"""),"VerifyAllocationNavLockPopup")</f>
        <v>VerifyAllocationNavLockPopup</v>
      </c>
      <c r="DY4" s="19" t="str">
        <f>IFERROR(__xludf.DUMMYFUNCTION("""COMPUTED_VALUE"""),"ReviewExistingPositions")</f>
        <v>ReviewExistingPositions</v>
      </c>
      <c r="DZ4" s="19" t="str">
        <f>IFERROR(__xludf.DUMMYFUNCTION("""COMPUTED_VALUE"""),"OperationsonAllocation")</f>
        <v>OperationsonAllocation</v>
      </c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IFERROR(__xludf.DUMMYFUNCTION("""COMPUTED_VALUE"""),"RangeType")</f>
        <v>RangeType</v>
      </c>
      <c r="C5" s="21" t="str">
        <f>IFERROR(__xludf.DUMMYFUNCTION("""COMPUTED_VALUE"""),"From")</f>
        <v>From</v>
      </c>
      <c r="D5" s="21" t="str">
        <f>IFERROR(__xludf.DUMMYFUNCTION("""COMPUTED_VALUE"""),"To")</f>
        <v>To</v>
      </c>
      <c r="E5" s="21" t="str">
        <f>IFERROR(__xludf.DUMMYFUNCTION("""COMPUTED_VALUE"""),"FilterTabName")</f>
        <v>FilterTabName</v>
      </c>
      <c r="F5" s="21" t="str">
        <f>IFERROR(__xludf.DUMMYFUNCTION("""COMPUTED_VALUE"""),"Symbol")</f>
        <v>Symbol</v>
      </c>
      <c r="G5" s="21" t="str">
        <f>IFERROR(__xludf.DUMMYFUNCTION("""COMPUTED_VALUE"""),"Asset")</f>
        <v>Asset</v>
      </c>
      <c r="H5" s="21" t="str">
        <f>IFERROR(__xludf.DUMMYFUNCTION("""COMPUTED_VALUE"""),"Side")</f>
        <v>Side</v>
      </c>
      <c r="I5" s="21" t="str">
        <f>IFERROR(__xludf.DUMMYFUNCTION("""COMPUTED_VALUE"""),"Account")</f>
        <v>Account</v>
      </c>
      <c r="J5" s="21" t="str">
        <f>IFERROR(__xludf.DUMMYFUNCTION("""COMPUTED_VALUE"""),"Broker")</f>
        <v>Broker</v>
      </c>
      <c r="K5" s="21" t="str">
        <f>IFERROR(__xludf.DUMMYFUNCTION("""COMPUTED_VALUE"""),"Currency")</f>
        <v>Currency</v>
      </c>
      <c r="L5" s="21" t="str">
        <f>IFERROR(__xludf.DUMMYFUNCTION("""COMPUTED_VALUE"""),"Exchange")</f>
        <v>Exchange</v>
      </c>
      <c r="M5" s="21" t="str">
        <f>IFERROR(__xludf.DUMMYFUNCTION("""COMPUTED_VALUE"""),"StrategyName")</f>
        <v>StrategyName</v>
      </c>
      <c r="N5" s="21" t="str">
        <f>IFERROR(__xludf.DUMMYFUNCTION("""COMPUTED_VALUE"""),"Underlying")</f>
        <v>Underlying</v>
      </c>
      <c r="O5" s="21" t="str">
        <f>IFERROR(__xludf.DUMMYFUNCTION("""COMPUTED_VALUE"""),"Venue")</f>
        <v>Venue</v>
      </c>
      <c r="P5" s="21" t="str">
        <f>IFERROR(__xludf.DUMMYFUNCTION("""COMPUTED_VALUE"""),"TradingAccount")</f>
        <v>TradingAccount</v>
      </c>
      <c r="Q5" s="21" t="str">
        <f>IFERROR(__xludf.DUMMYFUNCTION("""COMPUTED_VALUE"""),"PreAllocated")</f>
        <v>PreAllocated</v>
      </c>
      <c r="R5" s="21" t="str">
        <f>IFERROR(__xludf.DUMMYFUNCTION("""COMPUTED_VALUE"""),"ManualGroup")</f>
        <v>ManualGroup</v>
      </c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</row>
    <row r="6" ht="15.75" customHeight="1">
      <c r="A6" s="6"/>
      <c r="B6" s="6" t="s">
        <v>138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136</v>
      </c>
      <c r="D3" s="4" t="s">
        <v>9</v>
      </c>
      <c r="E3" s="10" t="s">
        <v>139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</row>
    <row r="4" ht="15.75" customHeight="1">
      <c r="A4" s="18"/>
      <c r="B4" s="18" t="str">
        <f>IFERROR(__xludf.DUMMYFUNCTION("IF(C3="""","""",Transpose(IMPORTRANGE('_Settings'!$B$3,C3&amp;""!A4:A1000"")))"),"Allocate")</f>
        <v>Allocate</v>
      </c>
      <c r="C4" s="18" t="str">
        <f>IFERROR(__xludf.DUMMYFUNCTION("""COMPUTED_VALUE"""),"CheckAllocatedGroups")</f>
        <v>CheckAllocatedGroups</v>
      </c>
      <c r="D4" s="18" t="str">
        <f>IFERROR(__xludf.DUMMYFUNCTION("""COMPUTED_VALUE"""),"GetDataAllocation")</f>
        <v>GetDataAllocation</v>
      </c>
      <c r="E4" s="18" t="str">
        <f>IFERROR(__xludf.DUMMYFUNCTION("""COMPUTED_VALUE"""),"SelectAllocatedGroup")</f>
        <v>SelectAllocatedGroup</v>
      </c>
      <c r="F4" s="18" t="str">
        <f>IFERROR(__xludf.DUMMYFUNCTION("""COMPUTED_VALUE"""),"EditTradesAllocated")</f>
        <v>EditTradesAllocated</v>
      </c>
      <c r="G4" s="18" t="str">
        <f>IFERROR(__xludf.DUMMYFUNCTION("""COMPUTED_VALUE"""),"EditTradesUnallocated")</f>
        <v>EditTradesUnallocated</v>
      </c>
      <c r="H4" s="18" t="str">
        <f>IFERROR(__xludf.DUMMYFUNCTION("""COMPUTED_VALUE"""),"EditTradesAllocated")</f>
        <v>EditTradesAllocated</v>
      </c>
      <c r="I4" s="18" t="str">
        <f>IFERROR(__xludf.DUMMYFUNCTION("""COMPUTED_VALUE"""),"Reallocate")</f>
        <v>Reallocate</v>
      </c>
      <c r="J4" s="18" t="str">
        <f>IFERROR(__xludf.DUMMYFUNCTION("""COMPUTED_VALUE"""),"EditUnallocatedGroupSidePanel")</f>
        <v>EditUnallocatedGroupSidePanel</v>
      </c>
      <c r="K4" s="18" t="str">
        <f>IFERROR(__xludf.DUMMYFUNCTION("""COMPUTED_VALUE"""),"TradeAttributeBulkChange")</f>
        <v>TradeAttributeBulkChange</v>
      </c>
      <c r="L4" s="18" t="str">
        <f>IFERROR(__xludf.DUMMYFUNCTION("""COMPUTED_VALUE"""),"ApplyBulkUpdateOnGroups")</f>
        <v>ApplyBulkUpdateOnGroups</v>
      </c>
      <c r="M4" s="18" t="str">
        <f>IFERROR(__xludf.DUMMYFUNCTION("""COMPUTED_VALUE"""),"ApplyPrefetchFilters")</f>
        <v>ApplyPrefetchFilters</v>
      </c>
      <c r="N4" s="18" t="str">
        <f>IFERROR(__xludf.DUMMYFUNCTION("""COMPUTED_VALUE"""),"GeneralPreferencesDefaultRule")</f>
        <v>GeneralPreferencesDefaultRule</v>
      </c>
      <c r="O4" s="18" t="str">
        <f>IFERROR(__xludf.DUMMYFUNCTION("""COMPUTED_VALUE"""),"GeneralPrefCompanyUserWise")</f>
        <v>GeneralPrefCompanyUserWise</v>
      </c>
      <c r="P4" s="19" t="str">
        <f>IFERROR(__xludf.DUMMYFUNCTION("""COMPUTED_VALUE"""),"RenameTradeAttributes")</f>
        <v>RenameTradeAttributes</v>
      </c>
      <c r="Q4" s="19" t="str">
        <f>IFERROR(__xludf.DUMMYFUNCTION("""COMPUTED_VALUE"""),"SetGroupingRules")</f>
        <v>SetGroupingRules</v>
      </c>
      <c r="R4" s="19" t="str">
        <f>IFERROR(__xludf.DUMMYFUNCTION("""COMPUTED_VALUE"""),"SetMasterFundRatio")</f>
        <v>SetMasterFundRatio</v>
      </c>
      <c r="S4" s="19" t="str">
        <f>IFERROR(__xludf.DUMMYFUNCTION("""COMPUTED_VALUE"""),"CheckFixedPreference")</f>
        <v>CheckFixedPreference</v>
      </c>
      <c r="T4" s="19" t="str">
        <f>IFERROR(__xludf.DUMMYFUNCTION("""COMPUTED_VALUE"""),"GetFixedPreference")</f>
        <v>GetFixedPreference</v>
      </c>
      <c r="U4" s="19" t="str">
        <f>IFERROR(__xludf.DUMMYFUNCTION("""COMPUTED_VALUE"""),"AddCalculatedPreferences")</f>
        <v>AddCalculatedPreferences</v>
      </c>
      <c r="V4" s="19" t="str">
        <f>IFERROR(__xludf.DUMMYFUNCTION("""COMPUTED_VALUE"""),"BulkChangeCalculatedPreferences")</f>
        <v>BulkChangeCalculatedPreferences</v>
      </c>
      <c r="W4" s="19" t="str">
        <f>IFERROR(__xludf.DUMMYFUNCTION("""COMPUTED_VALUE"""),"DeleteCalculatedPreferences")</f>
        <v>DeleteCalculatedPreferences</v>
      </c>
      <c r="X4" s="19" t="str">
        <f>IFERROR(__xludf.DUMMYFUNCTION("""COMPUTED_VALUE"""),"RenameCalculatedPreferences")</f>
        <v>RenameCalculatedPreferences</v>
      </c>
      <c r="Y4" s="19" t="str">
        <f>IFERROR(__xludf.DUMMYFUNCTION("""COMPUTED_VALUE"""),"CopyCalculatedPreferences")</f>
        <v>CopyCalculatedPreferences</v>
      </c>
      <c r="Z4" s="19" t="str">
        <f>IFERROR(__xludf.DUMMYFUNCTION("""COMPUTED_VALUE"""),"RunAutoGroup")</f>
        <v>RunAutoGroup</v>
      </c>
      <c r="AA4" s="19" t="str">
        <f>IFERROR(__xludf.DUMMYFUNCTION("""COMPUTED_VALUE"""),"BookOrUpdateSwap")</f>
        <v>BookOrUpdateSwap</v>
      </c>
      <c r="AB4" s="19" t="str">
        <f>IFERROR(__xludf.DUMMYFUNCTION("""COMPUTED_VALUE"""),"RunProrata")</f>
        <v>RunProrata</v>
      </c>
      <c r="AC4" s="19" t="str">
        <f>IFERROR(__xludf.DUMMYFUNCTION("""COMPUTED_VALUE"""),"SetDefaultRuleCalculatedPref")</f>
        <v>SetDefaultRuleCalculatedPref</v>
      </c>
      <c r="AD4" s="19" t="str">
        <f>IFERROR(__xludf.DUMMYFUNCTION("""COMPUTED_VALUE"""),"SetAccountValueCalculatedPref")</f>
        <v>SetAccountValueCalculatedPref</v>
      </c>
      <c r="AE4" s="19" t="str">
        <f>IFERROR(__xludf.DUMMYFUNCTION("""COMPUTED_VALUE"""),"TradeAttributeBulkChangeGroups")</f>
        <v>TradeAttributeBulkChangeGroups</v>
      </c>
      <c r="AF4" s="19" t="str">
        <f>IFERROR(__xludf.DUMMYFUNCTION("""COMPUTED_VALUE"""),"TradeAttributeBulkChangeTaxlots")</f>
        <v>TradeAttributeBulkChangeTaxlots</v>
      </c>
      <c r="AG4" s="19" t="str">
        <f>IFERROR(__xludf.DUMMYFUNCTION("""COMPUTED_VALUE"""),"AddCalculatedPreferenceToolbar")</f>
        <v>AddCalculatedPreferenceToolbar</v>
      </c>
      <c r="AH4" s="19" t="str">
        <f>IFERROR(__xludf.DUMMYFUNCTION("""COMPUTED_VALUE"""),"SetStrategyValueCalculatedPref")</f>
        <v>SetStrategyValueCalculatedPref</v>
      </c>
      <c r="AI4" s="19" t="str">
        <f>IFERROR(__xludf.DUMMYFUNCTION("""COMPUTED_VALUE"""),"ApplyBulkUpdateOnTaxlots")</f>
        <v>ApplyBulkUpdateOnTaxlots</v>
      </c>
      <c r="AJ4" s="19" t="str">
        <f>IFERROR(__xludf.DUMMYFUNCTION("""COMPUTED_VALUE"""),"CommissionBulkChangeOnGroups")</f>
        <v>CommissionBulkChangeOnGroups</v>
      </c>
      <c r="AK4" s="19" t="str">
        <f>IFERROR(__xludf.DUMMYFUNCTION("""COMPUTED_VALUE"""),"CommissionBulkChangeOnTaxlots")</f>
        <v>CommissionBulkChangeOnTaxlots</v>
      </c>
      <c r="AL4" s="19" t="str">
        <f>IFERROR(__xludf.DUMMYFUNCTION("""COMPUTED_VALUE"""),"SelectUnallocatedGroup")</f>
        <v>SelectUnallocatedGroup</v>
      </c>
      <c r="AM4" s="19" t="str">
        <f>IFERROR(__xludf.DUMMYFUNCTION("""COMPUTED_VALUE"""),"EnterAccountValuesToAllocate")</f>
        <v>EnterAccountValuesToAllocate</v>
      </c>
      <c r="AN4" s="19" t="str">
        <f>IFERROR(__xludf.DUMMYFUNCTION("""COMPUTED_VALUE"""),"EnterAllocatePreference")</f>
        <v>EnterAllocatePreference</v>
      </c>
      <c r="AO4" s="19" t="str">
        <f>IFERROR(__xludf.DUMMYFUNCTION("""COMPUTED_VALUE"""),"EnterStrategyValuesToAllocate")</f>
        <v>EnterStrategyValuesToAllocate</v>
      </c>
      <c r="AP4" s="19" t="str">
        <f>IFERROR(__xludf.DUMMYFUNCTION("""COMPUTED_VALUE"""),"CopyCalculatedPreferenceToolbar")</f>
        <v>CopyCalculatedPreferenceToolbar</v>
      </c>
      <c r="AQ4" s="19" t="str">
        <f>IFERROR(__xludf.DUMMYFUNCTION("""COMPUTED_VALUE"""),"SetGeneralRuleCalculatedPref")</f>
        <v>SetGeneralRuleCalculatedPref</v>
      </c>
      <c r="AR4" s="19" t="str">
        <f>IFERROR(__xludf.DUMMYFUNCTION("""COMPUTED_VALUE"""),"ExportAllCalculatedPreferences")</f>
        <v>ExportAllCalculatedPreferences</v>
      </c>
      <c r="AS4" s="19" t="str">
        <f>IFERROR(__xludf.DUMMYFUNCTION("""COMPUTED_VALUE"""),"SaveCalculatedPreferences")</f>
        <v>SaveCalculatedPreferences</v>
      </c>
      <c r="AT4" s="19" t="str">
        <f>IFERROR(__xludf.DUMMYFUNCTION("""COMPUTED_VALUE"""),"CloseCalculatedPreferences")</f>
        <v>CloseCalculatedPreferences</v>
      </c>
      <c r="AU4" s="19" t="str">
        <f>IFERROR(__xludf.DUMMYFUNCTION("""COMPUTED_VALUE"""),"ExportCalculatedPreference")</f>
        <v>ExportCalculatedPreference</v>
      </c>
      <c r="AV4" s="19" t="str">
        <f>IFERROR(__xludf.DUMMYFUNCTION("""COMPUTED_VALUE"""),"ImportCalculatedPreferences")</f>
        <v>ImportCalculatedPreferences</v>
      </c>
      <c r="AW4" s="19" t="str">
        <f>IFERROR(__xludf.DUMMYFUNCTION("""COMPUTED_VALUE"""),"OpenAuditTrailUnallocatedGroup")</f>
        <v>OpenAuditTrailUnallocatedGroup</v>
      </c>
      <c r="AX4" s="19" t="str">
        <f>IFERROR(__xludf.DUMMYFUNCTION("""COMPUTED_VALUE"""),"DeleteCalculatedPreferencesTool")</f>
        <v>DeleteCalculatedPreferencesTool</v>
      </c>
      <c r="AY4" s="19" t="str">
        <f>IFERROR(__xludf.DUMMYFUNCTION("""COMPUTED_VALUE"""),"ImportCalculatedPreferencesTool")</f>
        <v>ImportCalculatedPreferencesTool</v>
      </c>
      <c r="AZ4" s="19" t="str">
        <f>IFERROR(__xludf.DUMMYFUNCTION("""COMPUTED_VALUE"""),"ExportAllCalculatedPreferTool")</f>
        <v>ExportAllCalculatedPreferTool</v>
      </c>
      <c r="BA4" s="19" t="str">
        <f>IFERROR(__xludf.DUMMYFUNCTION("""COMPUTED_VALUE"""),"OpenAuditTrailAllocatedGroup")</f>
        <v>OpenAuditTrailAllocatedGroup</v>
      </c>
      <c r="BB4" s="19" t="str">
        <f>IFERROR(__xludf.DUMMYFUNCTION("""COMPUTED_VALUE"""),"OpenSymbolLookupUnallocateGroup")</f>
        <v>OpenSymbolLookupUnallocateGroup</v>
      </c>
      <c r="BC4" s="19" t="str">
        <f>IFERROR(__xludf.DUMMYFUNCTION("""COMPUTED_VALUE"""),"OpenSymbolLookupAllocatedGroup")</f>
        <v>OpenSymbolLookupAllocatedGroup</v>
      </c>
      <c r="BD4" s="19" t="str">
        <f>IFERROR(__xludf.DUMMYFUNCTION("""COMPUTED_VALUE"""),"DeleteFixedPreference")</f>
        <v>DeleteFixedPreference</v>
      </c>
      <c r="BE4" s="19" t="str">
        <f>IFERROR(__xludf.DUMMYFUNCTION("""COMPUTED_VALUE"""),"EditAllocatedGroupSidePanel")</f>
        <v>EditAllocatedGroupSidePanel</v>
      </c>
      <c r="BF4" s="19" t="str">
        <f>IFERROR(__xludf.DUMMYFUNCTION("""COMPUTED_VALUE"""),"CheckUnallocatedGroups")</f>
        <v>CheckUnallocatedGroups</v>
      </c>
      <c r="BG4" s="19" t="str">
        <f>IFERROR(__xludf.DUMMYFUNCTION("""COMPUTED_VALUE"""),"SetGeneralPreferences")</f>
        <v>SetGeneralPreferences</v>
      </c>
      <c r="BH4" s="19" t="str">
        <f>IFERROR(__xludf.DUMMYFUNCTION("""COMPUTED_VALUE"""),"GroupTrades")</f>
        <v>GroupTrades</v>
      </c>
      <c r="BI4" s="19" t="str">
        <f>IFERROR(__xludf.DUMMYFUNCTION("""COMPUTED_VALUE"""),"UngroupTrades")</f>
        <v>UngroupTrades</v>
      </c>
      <c r="BJ4" s="19" t="str">
        <f>IFERROR(__xludf.DUMMYFUNCTION("""COMPUTED_VALUE"""),"DeleteGroup")</f>
        <v>DeleteGroup</v>
      </c>
      <c r="BK4" s="19" t="str">
        <f>IFERROR(__xludf.DUMMYFUNCTION("""COMPUTED_VALUE"""),"CloseOrder")</f>
        <v>CloseOrder</v>
      </c>
      <c r="BL4" s="19" t="str">
        <f>IFERROR(__xludf.DUMMYFUNCTION("""COMPUTED_VALUE"""),"Unallocate")</f>
        <v>Unallocate</v>
      </c>
      <c r="BM4" s="19" t="str">
        <f>IFERROR(__xludf.DUMMYFUNCTION("""COMPUTED_VALUE"""),"CloseAllocation")</f>
        <v>CloseAllocation</v>
      </c>
      <c r="BN4" s="19" t="str">
        <f>IFERROR(__xludf.DUMMYFUNCTION("""COMPUTED_VALUE"""),"UpdateGRAccountValue")</f>
        <v>UpdateGRAccountValue</v>
      </c>
      <c r="BO4" s="19" t="str">
        <f>IFERROR(__xludf.DUMMYFUNCTION("""COMPUTED_VALUE"""),"UpdateGRStrategyValue")</f>
        <v>UpdateGRStrategyValue</v>
      </c>
      <c r="BP4" s="19" t="str">
        <f>IFERROR(__xludf.DUMMYFUNCTION("""COMPUTED_VALUE"""),"UpdateGRDefaultRule")</f>
        <v>UpdateGRDefaultRule</v>
      </c>
      <c r="BQ4" s="19" t="str">
        <f>IFERROR(__xludf.DUMMYFUNCTION("""COMPUTED_VALUE"""),"UpdateGeneralRulePref")</f>
        <v>UpdateGeneralRulePref</v>
      </c>
      <c r="BR4" s="19" t="str">
        <f>IFERROR(__xludf.DUMMYFUNCTION("""COMPUTED_VALUE"""),"ModifyGRPreferenceValues")</f>
        <v>ModifyGRPreferenceValues</v>
      </c>
      <c r="BS4" s="19" t="str">
        <f>IFERROR(__xludf.DUMMYFUNCTION("""COMPUTED_VALUE"""),"AddMFPreferences")</f>
        <v>AddMFPreferences</v>
      </c>
      <c r="BT4" s="19" t="str">
        <f>IFERROR(__xludf.DUMMYFUNCTION("""COMPUTED_VALUE"""),"AddMFPreferenceToolbar")</f>
        <v>AddMFPreferenceToolbar</v>
      </c>
      <c r="BU4" s="19" t="str">
        <f>IFERROR(__xludf.DUMMYFUNCTION("""COMPUTED_VALUE"""),"DeleteMFPreferences")</f>
        <v>DeleteMFPreferences</v>
      </c>
      <c r="BV4" s="19" t="str">
        <f>IFERROR(__xludf.DUMMYFUNCTION("""COMPUTED_VALUE"""),"DeleteMFPreferenceToolbar")</f>
        <v>DeleteMFPreferenceToolbar</v>
      </c>
      <c r="BW4" s="19" t="str">
        <f>IFERROR(__xludf.DUMMYFUNCTION("""COMPUTED_VALUE"""),"RenameMFPreferences")</f>
        <v>RenameMFPreferences</v>
      </c>
      <c r="BX4" s="19" t="str">
        <f>IFERROR(__xludf.DUMMYFUNCTION("""COMPUTED_VALUE"""),"SaveCloseMFPreference")</f>
        <v>SaveCloseMFPreference</v>
      </c>
      <c r="BY4" s="19" t="str">
        <f>IFERROR(__xludf.DUMMYFUNCTION("""COMPUTED_VALUE"""),"SetMFPrefAccountValues")</f>
        <v>SetMFPrefAccountValues</v>
      </c>
      <c r="BZ4" s="19" t="str">
        <f>IFERROR(__xludf.DUMMYFUNCTION("""COMPUTED_VALUE"""),"ModifyMFPrefGeneralRuleValues")</f>
        <v>ModifyMFPrefGeneralRuleValues</v>
      </c>
      <c r="CA4" s="19" t="str">
        <f>IFERROR(__xludf.DUMMYFUNCTION("""COMPUTED_VALUE"""),"SetMFPrefStrategyValues")</f>
        <v>SetMFPrefStrategyValues</v>
      </c>
      <c r="CB4" s="19" t="str">
        <f>IFERROR(__xludf.DUMMYFUNCTION("""COMPUTED_VALUE"""),"SetMFPrefGeneralRule")</f>
        <v>SetMFPrefGeneralRule</v>
      </c>
      <c r="CC4" s="19" t="str">
        <f>IFERROR(__xludf.DUMMYFUNCTION("""COMPUTED_VALUE"""),"SetMFPrefFundDistribution")</f>
        <v>SetMFPrefFundDistribution</v>
      </c>
      <c r="CD4" s="19" t="str">
        <f>IFERROR(__xludf.DUMMYFUNCTION("""COMPUTED_VALUE"""),"SetMFPreferencesDefaultRule")</f>
        <v>SetMFPreferencesDefaultRule</v>
      </c>
      <c r="CE4" s="19" t="str">
        <f>IFERROR(__xludf.DUMMYFUNCTION("""COMPUTED_VALUE"""),"SetMFPrefFundDefaultRule")</f>
        <v>SetMFPrefFundDefaultRule</v>
      </c>
      <c r="CF4" s="19" t="str">
        <f>IFERROR(__xludf.DUMMYFUNCTION("""COMPUTED_VALUE"""),"ClearPrefetchFilters")</f>
        <v>ClearPrefetchFilters</v>
      </c>
      <c r="CG4" s="19" t="str">
        <f>IFERROR(__xludf.DUMMYFUNCTION("""COMPUTED_VALUE"""),"ExpandCollapseAllUnallocated")</f>
        <v>ExpandCollapseAllUnallocated</v>
      </c>
      <c r="CH4" s="19" t="str">
        <f>IFERROR(__xludf.DUMMYFUNCTION("""COMPUTED_VALUE"""),"ExpandCollapseAllAllocated")</f>
        <v>ExpandCollapseAllAllocated</v>
      </c>
      <c r="CI4" s="19" t="str">
        <f>IFERROR(__xludf.DUMMYFUNCTION("""COMPUTED_VALUE"""),"GenerateCashTransaction")</f>
        <v>GenerateCashTransaction</v>
      </c>
      <c r="CJ4" s="19" t="str">
        <f>IFERROR(__xludf.DUMMYFUNCTION("""COMPUTED_VALUE"""),"SaveAllocation")</f>
        <v>SaveAllocation</v>
      </c>
      <c r="CK4" s="19" t="str">
        <f>IFERROR(__xludf.DUMMYFUNCTION("""COMPUTED_VALUE"""),"UnallocateWithOutSave")</f>
        <v>UnallocateWithOutSave</v>
      </c>
      <c r="CL4" s="19" t="str">
        <f>IFERROR(__xludf.DUMMYFUNCTION("""COMPUTED_VALUE"""),"EditUnallocatedGrid")</f>
        <v>EditUnallocatedGrid</v>
      </c>
      <c r="CM4" s="19" t="str">
        <f>IFERROR(__xludf.DUMMYFUNCTION("""COMPUTED_VALUE"""),"EditAllocatedGrid")</f>
        <v>EditAllocatedGrid</v>
      </c>
      <c r="CN4" s="19" t="str">
        <f>IFERROR(__xludf.DUMMYFUNCTION("""COMPUTED_VALUE"""),"SaveLayoutAllocatedGrid")</f>
        <v>SaveLayoutAllocatedGrid</v>
      </c>
      <c r="CO4" s="19" t="str">
        <f>IFERROR(__xludf.DUMMYFUNCTION("""COMPUTED_VALUE"""),"SaveLayoutUnallocatedGrid")</f>
        <v>SaveLayoutUnallocatedGrid</v>
      </c>
      <c r="CP4" s="19" t="str">
        <f>IFERROR(__xludf.DUMMYFUNCTION("""COMPUTED_VALUE"""),"SaveLayoutAllocationUI")</f>
        <v>SaveLayoutAllocationUI</v>
      </c>
      <c r="CQ4" s="19" t="str">
        <f>IFERROR(__xludf.DUMMYFUNCTION("""COMPUTED_VALUE"""),"ClearFiltersAllocatedGrid")</f>
        <v>ClearFiltersAllocatedGrid</v>
      </c>
      <c r="CR4" s="19" t="str">
        <f>IFERROR(__xludf.DUMMYFUNCTION("""COMPUTED_VALUE"""),"ClearFiltersUnallocatedGrid")</f>
        <v>ClearFiltersUnallocatedGrid</v>
      </c>
      <c r="CS4" s="19" t="str">
        <f>IFERROR(__xludf.DUMMYFUNCTION("""COMPUTED_VALUE"""),"VerifyLayoutAllocatedGrid")</f>
        <v>VerifyLayoutAllocatedGrid</v>
      </c>
      <c r="CT4" s="19" t="str">
        <f>IFERROR(__xludf.DUMMYFUNCTION("""COMPUTED_VALUE"""),"VerifyLayoutUnallocatedGrid")</f>
        <v>VerifyLayoutUnallocatedGrid</v>
      </c>
      <c r="CU4" s="19" t="str">
        <f>IFERROR(__xludf.DUMMYFUNCTION("""COMPUTED_VALUE"""),"CleanUp")</f>
        <v>CleanUp</v>
      </c>
      <c r="CV4" s="19" t="str">
        <f>IFERROR(__xludf.DUMMYFUNCTION("""COMPUTED_VALUE"""),"CheckAllocatedTaxlots")</f>
        <v>CheckAllocatedTaxlots</v>
      </c>
      <c r="CW4" s="19" t="str">
        <f>IFERROR(__xludf.DUMMYFUNCTION("""COMPUTED_VALUE"""),"DisableChecksideForAsset")</f>
        <v>DisableChecksideForAsset</v>
      </c>
      <c r="CX4" s="19" t="str">
        <f>IFERROR(__xludf.DUMMYFUNCTION("""COMPUTED_VALUE"""),"DisableChecksideForAccount")</f>
        <v>DisableChecksideForAccount</v>
      </c>
      <c r="CY4" s="19" t="str">
        <f>IFERROR(__xludf.DUMMYFUNCTION("""COMPUTED_VALUE"""),"DisableChecksideForCounterParty")</f>
        <v>DisableChecksideForCounterParty</v>
      </c>
      <c r="CZ4" s="19" t="str">
        <f>IFERROR(__xludf.DUMMYFUNCTION("""COMPUTED_VALUE"""),"DisableCheckside")</f>
        <v>DisableCheckside</v>
      </c>
      <c r="DA4" s="19" t="str">
        <f>IFERROR(__xludf.DUMMYFUNCTION("""COMPUTED_VALUE"""),"ApplyMasterFundFilter")</f>
        <v>ApplyMasterFundFilter</v>
      </c>
      <c r="DB4" s="19" t="str">
        <f>IFERROR(__xludf.DUMMYFUNCTION("""COMPUTED_VALUE"""),"ShowMasterFundOnTT")</f>
        <v>ShowMasterFundOnTT</v>
      </c>
      <c r="DC4" s="19" t="str">
        <f>IFERROR(__xludf.DUMMYFUNCTION("""COMPUTED_VALUE"""),"ShowMasterFundAsClient")</f>
        <v>ShowMasterFundAsClient</v>
      </c>
      <c r="DD4" s="19" t="str">
        <f>IFERROR(__xludf.DUMMYFUNCTION("""COMPUTED_VALUE"""),"SetBrokerAccountMapping")</f>
        <v>SetBrokerAccountMapping</v>
      </c>
      <c r="DE4" s="19" t="str">
        <f>IFERROR(__xludf.DUMMYFUNCTION("""COMPUTED_VALUE"""),"EditUnallocatedGridWPF")</f>
        <v>EditUnallocatedGridWPF</v>
      </c>
      <c r="DF4" s="19" t="str">
        <f>IFERROR(__xludf.DUMMYFUNCTION("""COMPUTED_VALUE"""),"EditAllocatedGridWPF")</f>
        <v>EditAllocatedGridWPF</v>
      </c>
      <c r="DG4" s="19" t="str">
        <f>IFERROR(__xludf.DUMMYFUNCTION("""COMPUTED_VALUE"""),"EditAllocatedGridTaxlot")</f>
        <v>EditAllocatedGridTaxlot</v>
      </c>
      <c r="DH4" s="19" t="str">
        <f>IFERROR(__xludf.DUMMYFUNCTION("""COMPUTED_VALUE"""),"ExpandCollapseAllocatedGrid")</f>
        <v>ExpandCollapseAllocatedGrid</v>
      </c>
      <c r="DI4" s="19" t="str">
        <f>IFERROR(__xludf.DUMMYFUNCTION("""COMPUTED_VALUE"""),"ExpandCollapseUnallocatedGrid")</f>
        <v>ExpandCollapseUnallocatedGrid</v>
      </c>
      <c r="DJ4" s="19" t="str">
        <f>IFERROR(__xludf.DUMMYFUNCTION("""COMPUTED_VALUE"""),"SetTradeAttributePreferences")</f>
        <v>SetTradeAttributePreferences</v>
      </c>
      <c r="DK4" s="19" t="str">
        <f>IFERROR(__xludf.DUMMYFUNCTION("""COMPUTED_VALUE"""),"EnterCustomAllocatePreference")</f>
        <v>EnterCustomAllocatePreference</v>
      </c>
      <c r="DL4" s="19" t="str">
        <f>IFERROR(__xludf.DUMMYFUNCTION("""COMPUTED_VALUE"""),"SetAutoGroupingPreferences")</f>
        <v>SetAutoGroupingPreferences</v>
      </c>
      <c r="DM4" s="19" t="str">
        <f>IFERROR(__xludf.DUMMYFUNCTION("""COMPUTED_VALUE"""),"SetAutoGroupingAccount")</f>
        <v>SetAutoGroupingAccount</v>
      </c>
      <c r="DN4" s="19" t="str">
        <f>IFERROR(__xludf.DUMMYFUNCTION("""COMPUTED_VALUE"""),"SetAvgPriceRounding")</f>
        <v>SetAvgPriceRounding</v>
      </c>
      <c r="DO4" s="19" t="str">
        <f>IFERROR(__xludf.DUMMYFUNCTION("""COMPUTED_VALUE"""),"IsAllocationOpen")</f>
        <v>IsAllocationOpen</v>
      </c>
      <c r="DP4" s="19" t="str">
        <f>IFERROR(__xludf.DUMMYFUNCTION("""COMPUTED_VALUE"""),"AllocationAuditTrail")</f>
        <v>AllocationAuditTrail</v>
      </c>
      <c r="DQ4" s="19" t="str">
        <f>IFERROR(__xludf.DUMMYFUNCTION("""COMPUTED_VALUE"""),"GetAuditTrailData")</f>
        <v>GetAuditTrailData</v>
      </c>
      <c r="DR4" s="19" t="str">
        <f>IFERROR(__xludf.DUMMYFUNCTION("""COMPUTED_VALUE"""),"CheckAuditTrailData")</f>
        <v>CheckAuditTrailData</v>
      </c>
      <c r="DS4" s="19" t="str">
        <f>IFERROR(__xludf.DUMMYFUNCTION("""COMPUTED_VALUE"""),"DeleteGroupWithOutSave")</f>
        <v>DeleteGroupWithOutSave</v>
      </c>
      <c r="DT4" s="19" t="str">
        <f>IFERROR(__xludf.DUMMYFUNCTION("""COMPUTED_VALUE"""),"CheckPreferences")</f>
        <v>CheckPreferences</v>
      </c>
      <c r="DU4" s="19" t="str">
        <f>IFERROR(__xludf.DUMMYFUNCTION("""COMPUTED_VALUE"""),"AllocateWithPopUp")</f>
        <v>AllocateWithPopUp</v>
      </c>
      <c r="DV4" s="19" t="str">
        <f>IFERROR(__xludf.DUMMYFUNCTION("""COMPUTED_VALUE"""),"SelectAllRowsAllocated")</f>
        <v>SelectAllRowsAllocated</v>
      </c>
      <c r="DW4" s="19" t="str">
        <f>IFERROR(__xludf.DUMMYFUNCTION("""COMPUTED_VALUE"""),"ModifyGRPreferenceValues")</f>
        <v>ModifyGRPreferenceValues</v>
      </c>
      <c r="DX4" s="19" t="str">
        <f>IFERROR(__xludf.DUMMYFUNCTION("""COMPUTED_VALUE"""),"VerifyAllocationNavLockPopup")</f>
        <v>VerifyAllocationNavLockPopup</v>
      </c>
      <c r="DY4" s="19" t="str">
        <f>IFERROR(__xludf.DUMMYFUNCTION("""COMPUTED_VALUE"""),"ReviewExistingPositions")</f>
        <v>ReviewExistingPositions</v>
      </c>
      <c r="DZ4" s="19" t="str">
        <f>IFERROR(__xludf.DUMMYFUNCTION("""COMPUTED_VALUE"""),"OperationsonAllocation")</f>
        <v>OperationsonAllocation</v>
      </c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</row>
    <row r="5" ht="15.75" customHeight="1">
      <c r="A5" s="20"/>
      <c r="B5" s="21" t="s">
        <v>90</v>
      </c>
      <c r="C5" s="21" t="s">
        <v>76</v>
      </c>
      <c r="D5" s="21" t="s">
        <v>140</v>
      </c>
      <c r="E5" s="21" t="s">
        <v>65</v>
      </c>
      <c r="F5" s="21" t="s">
        <v>141</v>
      </c>
      <c r="G5" s="21" t="s">
        <v>142</v>
      </c>
      <c r="H5" s="21" t="s">
        <v>143</v>
      </c>
      <c r="I5" s="21" t="s">
        <v>144</v>
      </c>
      <c r="J5" s="21" t="s">
        <v>145</v>
      </c>
      <c r="K5" s="21" t="s">
        <v>146</v>
      </c>
      <c r="L5" s="21" t="s">
        <v>147</v>
      </c>
      <c r="M5" s="21" t="s">
        <v>148</v>
      </c>
      <c r="N5" s="21" t="s">
        <v>149</v>
      </c>
      <c r="O5" s="21" t="s">
        <v>150</v>
      </c>
      <c r="P5" s="21" t="s">
        <v>151</v>
      </c>
      <c r="Q5" s="21" t="s">
        <v>152</v>
      </c>
      <c r="R5" s="21" t="s">
        <v>153</v>
      </c>
      <c r="S5" s="21" t="s">
        <v>154</v>
      </c>
      <c r="T5" s="22" t="s">
        <v>155</v>
      </c>
      <c r="U5" s="22" t="s">
        <v>156</v>
      </c>
      <c r="V5" s="22" t="s">
        <v>157</v>
      </c>
      <c r="W5" s="22" t="s">
        <v>158</v>
      </c>
      <c r="X5" s="22" t="s">
        <v>159</v>
      </c>
      <c r="Y5" s="22" t="s">
        <v>160</v>
      </c>
      <c r="Z5" s="22" t="s">
        <v>161</v>
      </c>
      <c r="AA5" s="22" t="s">
        <v>162</v>
      </c>
      <c r="AB5" s="22" t="s">
        <v>163</v>
      </c>
      <c r="AC5" s="22" t="s">
        <v>164</v>
      </c>
      <c r="AD5" s="22" t="s">
        <v>165</v>
      </c>
      <c r="AE5" s="22" t="s">
        <v>166</v>
      </c>
      <c r="AF5" s="22" t="s">
        <v>167</v>
      </c>
      <c r="AG5" s="22" t="s">
        <v>168</v>
      </c>
      <c r="AH5" s="22" t="s">
        <v>169</v>
      </c>
      <c r="AI5" s="22" t="s">
        <v>170</v>
      </c>
      <c r="AJ5" s="22" t="s">
        <v>171</v>
      </c>
      <c r="AK5" s="22" t="s">
        <v>95</v>
      </c>
      <c r="AL5" s="22" t="s">
        <v>80</v>
      </c>
      <c r="AM5" s="22" t="s">
        <v>92</v>
      </c>
      <c r="AN5" s="22" t="s">
        <v>79</v>
      </c>
      <c r="AO5" s="22" t="s">
        <v>54</v>
      </c>
      <c r="AP5" s="22" t="s">
        <v>172</v>
      </c>
      <c r="AQ5" s="22" t="s">
        <v>173</v>
      </c>
      <c r="AR5" s="22" t="s">
        <v>174</v>
      </c>
      <c r="AS5" s="22" t="s">
        <v>175</v>
      </c>
      <c r="AT5" s="22" t="s">
        <v>176</v>
      </c>
      <c r="AU5" s="22" t="s">
        <v>177</v>
      </c>
      <c r="AV5" s="22" t="s">
        <v>178</v>
      </c>
      <c r="AW5" s="22" t="s">
        <v>179</v>
      </c>
      <c r="AX5" s="22" t="s">
        <v>51</v>
      </c>
      <c r="AY5" s="22" t="s">
        <v>83</v>
      </c>
      <c r="AZ5" s="22" t="s">
        <v>180</v>
      </c>
      <c r="BA5" s="22" t="s">
        <v>181</v>
      </c>
      <c r="BB5" s="22" t="s">
        <v>182</v>
      </c>
      <c r="BC5" s="22" t="s">
        <v>183</v>
      </c>
      <c r="BD5" s="22" t="s">
        <v>67</v>
      </c>
      <c r="BE5" s="22" t="s">
        <v>53</v>
      </c>
      <c r="BF5" s="22" t="s">
        <v>184</v>
      </c>
      <c r="BG5" s="22" t="s">
        <v>185</v>
      </c>
      <c r="BH5" s="22" t="s">
        <v>186</v>
      </c>
      <c r="BI5" s="22" t="s">
        <v>187</v>
      </c>
      <c r="BJ5" s="22" t="s">
        <v>188</v>
      </c>
      <c r="BK5" s="22" t="s">
        <v>74</v>
      </c>
      <c r="BL5" s="22" t="s">
        <v>189</v>
      </c>
      <c r="BM5" s="22" t="s">
        <v>190</v>
      </c>
      <c r="BN5" s="22" t="s">
        <v>191</v>
      </c>
      <c r="BO5" s="22" t="s">
        <v>192</v>
      </c>
      <c r="BP5" s="22" t="s">
        <v>193</v>
      </c>
      <c r="BQ5" s="22" t="s">
        <v>73</v>
      </c>
      <c r="BR5" s="22" t="s">
        <v>104</v>
      </c>
      <c r="BS5" s="22" t="s">
        <v>194</v>
      </c>
      <c r="BT5" s="22" t="s">
        <v>111</v>
      </c>
      <c r="BU5" s="22" t="s">
        <v>195</v>
      </c>
      <c r="BV5" s="22" t="s">
        <v>71</v>
      </c>
      <c r="BW5" s="22" t="s">
        <v>196</v>
      </c>
      <c r="BX5" s="22" t="s">
        <v>197</v>
      </c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</row>
    <row r="6" ht="15.75" customHeight="1">
      <c r="A6" s="6"/>
      <c r="B6" s="6" t="s">
        <v>34</v>
      </c>
      <c r="C6" s="6" t="s">
        <v>31</v>
      </c>
      <c r="D6" s="6" t="s">
        <v>18</v>
      </c>
      <c r="E6" s="6" t="s">
        <v>29</v>
      </c>
      <c r="F6" s="6" t="b">
        <v>1</v>
      </c>
      <c r="G6" s="6" t="b">
        <v>0</v>
      </c>
      <c r="H6" s="6" t="b">
        <v>0</v>
      </c>
      <c r="I6" s="6" t="b">
        <v>0</v>
      </c>
      <c r="J6" s="6"/>
      <c r="K6" s="6">
        <v>0.0</v>
      </c>
      <c r="L6" s="6"/>
      <c r="M6" s="6"/>
      <c r="N6" s="6">
        <v>200.0</v>
      </c>
      <c r="O6" s="6">
        <v>0.0</v>
      </c>
      <c r="P6" s="7">
        <v>0.0</v>
      </c>
      <c r="Q6" s="7">
        <v>0.0</v>
      </c>
      <c r="R6" s="7">
        <v>0.0</v>
      </c>
      <c r="S6" s="7">
        <v>0.0</v>
      </c>
      <c r="V6" s="7">
        <v>2.0</v>
      </c>
      <c r="W6" s="7">
        <v>4.0</v>
      </c>
      <c r="X6" s="7">
        <v>3.0</v>
      </c>
      <c r="Y6" s="7">
        <v>5.0</v>
      </c>
      <c r="Z6" s="7">
        <v>0.0</v>
      </c>
      <c r="AE6" s="7">
        <v>0.0</v>
      </c>
      <c r="AF6" s="7">
        <v>0.0</v>
      </c>
      <c r="AG6" s="7">
        <v>0.0</v>
      </c>
      <c r="AH6" s="7">
        <v>0.0</v>
      </c>
      <c r="AI6" s="7" t="s">
        <v>198</v>
      </c>
      <c r="AJ6" s="7" t="s">
        <v>199</v>
      </c>
      <c r="AL6" s="7" t="s">
        <v>18</v>
      </c>
      <c r="AM6" s="7" t="s">
        <v>35</v>
      </c>
      <c r="AN6" s="7" t="s">
        <v>16</v>
      </c>
      <c r="AO6" s="7">
        <v>200.0</v>
      </c>
      <c r="AP6" s="7">
        <v>10.0</v>
      </c>
      <c r="AQ6" s="7">
        <v>10.0</v>
      </c>
      <c r="AR6" s="7" t="s">
        <v>27</v>
      </c>
      <c r="AS6" s="7" t="s">
        <v>25</v>
      </c>
      <c r="AT6" s="7" t="s">
        <v>29</v>
      </c>
      <c r="AU6" s="7">
        <v>1.0</v>
      </c>
      <c r="AV6" s="7" t="s">
        <v>28</v>
      </c>
      <c r="AW6" s="7" t="s">
        <v>26</v>
      </c>
      <c r="AX6" s="7" t="s">
        <v>25</v>
      </c>
      <c r="AY6" s="7">
        <v>200.0</v>
      </c>
      <c r="BA6" s="7" t="s">
        <v>200</v>
      </c>
      <c r="BE6" s="7" t="s">
        <v>16</v>
      </c>
      <c r="BK6" s="7">
        <v>1.0</v>
      </c>
      <c r="BL6" s="7" t="s">
        <v>24</v>
      </c>
      <c r="BP6" s="7">
        <v>1.0</v>
      </c>
      <c r="BQ6" s="7" t="s">
        <v>201</v>
      </c>
      <c r="BR6" s="7"/>
      <c r="BS6" s="7">
        <v>3.0</v>
      </c>
      <c r="BT6" s="7">
        <v>0.0</v>
      </c>
      <c r="BU6" s="7" t="s">
        <v>32</v>
      </c>
      <c r="BV6" s="7" t="s">
        <v>30</v>
      </c>
      <c r="BW6" s="7" t="s">
        <v>30</v>
      </c>
      <c r="BX6" s="7" t="s">
        <v>135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Q7" s="7"/>
      <c r="R7" s="7"/>
      <c r="S7" s="7"/>
      <c r="V7" s="7"/>
      <c r="W7" s="7"/>
      <c r="X7" s="7"/>
      <c r="Y7" s="7"/>
      <c r="Z7" s="7"/>
      <c r="AE7" s="7"/>
      <c r="AF7" s="7"/>
      <c r="AG7" s="7"/>
      <c r="AH7" s="7"/>
      <c r="AI7" s="7"/>
      <c r="AJ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BA7" s="7"/>
      <c r="BE7" s="7"/>
      <c r="BK7" s="7"/>
      <c r="BL7" s="7"/>
      <c r="BP7" s="7"/>
      <c r="BQ7" s="7"/>
      <c r="BR7" s="7"/>
      <c r="BS7" s="7"/>
      <c r="BT7" s="7"/>
      <c r="BU7" s="7"/>
      <c r="BV7" s="7"/>
      <c r="BW7" s="7"/>
      <c r="BX7" s="7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202</v>
      </c>
      <c r="D3" s="4" t="s">
        <v>9</v>
      </c>
      <c r="E3" s="10" t="s">
        <v>203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15.75" customHeight="1">
      <c r="A4" s="18"/>
      <c r="B4" s="18" t="str">
        <f>IFERROR(__xludf.DUMMYFUNCTION("IF(C3="""","""",Transpose(IMPORTRANGE('_Settings'!$B$3,C3&amp;""!A4:A1000"")))"),"RestartClient")</f>
        <v>RestartClient</v>
      </c>
      <c r="C4" s="18" t="str">
        <f>IFERROR(__xludf.DUMMYFUNCTION("""COMPUTED_VALUE"""),"UpdateClientConfig")</f>
        <v>UpdateClientConfig</v>
      </c>
      <c r="D4" s="18" t="str">
        <f>IFERROR(__xludf.DUMMYFUNCTION("""COMPUTED_VALUE"""),"PranaClient")</f>
        <v>PranaClient</v>
      </c>
      <c r="E4" s="18" t="str">
        <f>IFERROR(__xludf.DUMMYFUNCTION("""COMPUTED_VALUE"""),"CompareXML")</f>
        <v>CompareXML</v>
      </c>
      <c r="F4" s="18" t="str">
        <f>IFERROR(__xludf.DUMMYFUNCTION("""COMPUTED_VALUE"""),"LoginClient")</f>
        <v>LoginClient</v>
      </c>
      <c r="G4" s="18" t="str">
        <f>IFERROR(__xludf.DUMMYFUNCTION("""COMPUTED_VALUE"""),"DbPicker")</f>
        <v>DbPicker</v>
      </c>
      <c r="H4" s="18" t="str">
        <f>IFERROR(__xludf.DUMMYFUNCTION("""COMPUTED_VALUE"""),"RunPortfolio")</f>
        <v>RunPortfolio</v>
      </c>
      <c r="I4" s="18" t="str">
        <f>IFERROR(__xludf.DUMMYFUNCTION("""COMPUTED_VALUE"""),"MoveFile")</f>
        <v>MoveFile</v>
      </c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IFERROR(__xludf.DUMMYFUNCTION("""COMPUTED_VALUE"""),"LoginUserName")</f>
        <v>LoginUserName</v>
      </c>
      <c r="C5" s="21" t="str">
        <f>IFERROR(__xludf.DUMMYFUNCTION("""COMPUTED_VALUE"""),"LoginPassword")</f>
        <v>LoginPassword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15.75" customHeight="1">
      <c r="A6" s="6"/>
      <c r="B6" s="23" t="s">
        <v>204</v>
      </c>
      <c r="C6" s="23" t="s">
        <v>205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206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IFERROR(__xludf.DUMMYFUNCTION("""COMPUTED_VALUE"""),"TargetQuantityIn")</f>
        <v>TargetQuantityIn</v>
      </c>
      <c r="F5" s="21" t="str">
        <f>IFERROR(__xludf.DUMMYFUNCTION("""COMPUTED_VALUE"""),"AllocationMethod")</f>
        <v>AllocationMethod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IFERROR(__xludf.DUMMYFUNCTION("""COMPUTED_VALUE"""),"FxRate")</f>
        <v>FxRate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IFERROR(__xludf.DUMMYFUNCTION("""COMPUTED_VALUE"""),"CommissionBasis")</f>
        <v>CommissionBasis</v>
      </c>
      <c r="S5" s="21" t="str">
        <f>IFERROR(__xludf.DUMMYFUNCTION("""COMPUTED_VALUE"""),"CommissionRate")</f>
        <v>CommissionRate</v>
      </c>
      <c r="T5" s="22" t="str">
        <f>IFERROR(__xludf.DUMMYFUNCTION("""COMPUTED_VALUE"""),"SoftBasis")</f>
        <v>SoftBasis</v>
      </c>
      <c r="U5" s="22" t="str">
        <f>IFERROR(__xludf.DUMMYFUNCTION("""COMPUTED_VALUE"""),"SoftRate")</f>
        <v>SoftRate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IFERROR(__xludf.DUMMYFUNCTION("""COMPUTED_VALUE"""),"Venue")</f>
        <v>Venue</v>
      </c>
      <c r="AC5" s="22" t="str">
        <f>IFERROR(__xludf.DUMMYFUNCTION("""COMPUTED_VALUE"""),"ExecutionInstructions")</f>
        <v>ExecutionInstructions</v>
      </c>
      <c r="AD5" s="22" t="str">
        <f>IFERROR(__xludf.DUMMYFUNCTION("""COMPUTED_VALUE"""),"HandlingInstructions")</f>
        <v>HandlingInstructions</v>
      </c>
      <c r="AE5" s="22" t="str">
        <f>IFERROR(__xludf.DUMMYFUNCTION("""COMPUTED_VALUE"""),"Trader")</f>
        <v>Trader</v>
      </c>
      <c r="AF5" s="22" t="str">
        <f>IFERROR(__xludf.DUMMYFUNCTION("""COMPUTED_VALUE"""),"SettlementCurrency")</f>
        <v>SettlementCurrency</v>
      </c>
      <c r="AG5" s="22" t="str">
        <f>IFERROR(__xludf.DUMMYFUNCTION("""COMPUTED_VALUE"""),"SettlementFXRate")</f>
        <v>SettlementFXRate</v>
      </c>
      <c r="AH5" s="22" t="str">
        <f>IFERROR(__xludf.DUMMYFUNCTION("""COMPUTED_VALUE"""),"SettlementAmount")</f>
        <v>SettlementAmount</v>
      </c>
      <c r="AI5" s="22" t="str">
        <f>IFERROR(__xludf.DUMMYFUNCTION("""COMPUTED_VALUE"""),"SettlementFXOperator")</f>
        <v>SettlementFXOperator</v>
      </c>
      <c r="AJ5" s="22" t="str">
        <f>IFERROR(__xludf.DUMMYFUNCTION("""COMPUTED_VALUE"""),"SettleByBroker")</f>
        <v>SettleByBroker</v>
      </c>
      <c r="AK5" s="22" t="str">
        <f>IFERROR(__xludf.DUMMYFUNCTION("""COMPUTED_VALUE"""),"Account")</f>
        <v>Account</v>
      </c>
      <c r="AL5" s="22" t="str">
        <f>IFERROR(__xludf.DUMMYFUNCTION("""COMPUTED_VALUE"""),"Account %")</f>
        <v>Account %</v>
      </c>
      <c r="AM5" s="22" t="str">
        <f>IFERROR(__xludf.DUMMYFUNCTION("""COMPUTED_VALUE"""),"Deal In")</f>
        <v>Deal In</v>
      </c>
      <c r="AN5" s="22" t="str">
        <f>IFERROR(__xludf.DUMMYFUNCTION("""COMPUTED_VALUE"""),"MasterFund")</f>
        <v>MasterFund</v>
      </c>
      <c r="AO5" s="22" t="str">
        <f>IFERROR(__xludf.DUMMYFUNCTION("""COMPUTED_VALUE"""),"AllowTrade")</f>
        <v>AllowTrade</v>
      </c>
      <c r="AP5" s="22" t="str">
        <f>IFERROR(__xludf.DUMMYFUNCTION("""COMPUTED_VALUE"""),"SharesOutstandingPopUp")</f>
        <v>SharesOutstandingPopUp</v>
      </c>
      <c r="AQ5" s="22" t="str">
        <f>IFERROR(__xludf.DUMMYFUNCTION("""COMPUTED_VALUE"""),"Interest Rate")</f>
        <v>Interest Rate</v>
      </c>
      <c r="AR5" s="22" t="str">
        <f>IFERROR(__xludf.DUMMYFUNCTION("""COMPUTED_VALUE"""),"SelectAlgoStrategy")</f>
        <v>SelectAlgoStrategy</v>
      </c>
      <c r="AS5" s="22" t="str">
        <f>IFERROR(__xludf.DUMMYFUNCTION("""COMPUTED_VALUE"""),"ClearOldCA")</f>
        <v>ClearOldCA</v>
      </c>
      <c r="AT5" s="22" t="str">
        <f>IFERROR(__xludf.DUMMYFUNCTION("""COMPUTED_VALUE"""),"TRVAccountName")</f>
        <v>TRVAccountName</v>
      </c>
      <c r="AU5" s="22" t="str">
        <f>IFERROR(__xludf.DUMMYFUNCTION("""COMPUTED_VALUE"""),"TRVTradeQuantity")</f>
        <v>TRVTradeQuantity</v>
      </c>
      <c r="AV5" s="22" t="str">
        <f>IFERROR(__xludf.DUMMYFUNCTION("""COMPUTED_VALUE"""),"TRVCurrentPosition")</f>
        <v>TRVCurrentPosition</v>
      </c>
      <c r="AW5" s="22" t="str">
        <f>IFERROR(__xludf.DUMMYFUNCTION("""COMPUTED_VALUE"""),"TRVNav")</f>
        <v>TRVNav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6" t="s">
        <v>16</v>
      </c>
      <c r="C6" s="6"/>
      <c r="D6" s="6">
        <v>200.0</v>
      </c>
      <c r="E6" s="6"/>
      <c r="F6" s="6"/>
      <c r="G6" s="6"/>
      <c r="H6" s="6"/>
      <c r="I6" s="6"/>
      <c r="J6" s="6">
        <v>10.0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