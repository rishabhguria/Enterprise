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unProrata" sheetId="5" r:id="rId7"/>
    <sheet state="visible" name="GetFixedPreference" sheetId="6" r:id="rId8"/>
    <sheet state="visible" name="CheckFixedPreference" sheetId="7" r:id="rId9"/>
    <sheet state="visible" name="DeleteFixedPreference" sheetId="8" r:id="rId10"/>
  </sheets>
  <definedNames/>
  <calcPr/>
</workbook>
</file>

<file path=xl/sharedStrings.xml><?xml version="1.0" encoding="utf-8"?>
<sst xmlns="http://schemas.openxmlformats.org/spreadsheetml/2006/main" count="57" uniqueCount="26">
  <si>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</si>
  <si>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</si>
  <si>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</si>
  <si>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</si>
  <si>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</si>
  <si>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</si>
  <si>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</si>
  <si>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</si>
  <si>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</si>
  <si>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</si>
  <si>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</si>
  <si>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</si>
  <si>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</si>
  <si>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</si>
  <si>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</si>
  <si>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</si>
  <si>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</si>
  <si>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</si>
  <si>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Allocation2</t>
  </si>
  <si>
    <t>Allocation</t>
  </si>
  <si>
    <t>RunProrata</t>
  </si>
  <si>
    <t>GetFixedPreference</t>
  </si>
  <si>
    <t>Positions</t>
  </si>
  <si>
    <t>CheckFixedPreference</t>
  </si>
  <si>
    <t>Symbol</t>
  </si>
  <si>
    <t>DeleteFixedPreference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</si>
</sst>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1000.0</v>
      </c>
      <c r="E6" s="31">
        <v>1000.0</v>
      </c>
      <c r="F6" s="30" t="s">
        <v>18</v>
      </c>
      <c r="G6" s="32"/>
      <c r="H6" s="32"/>
      <c r="I6" s="33"/>
      <c r="J6" s="31">
        <v>200.0</v>
      </c>
      <c r="K6" s="32"/>
      <c r="L6" s="32"/>
      <c r="M6" s="32"/>
      <c r="N6" s="34">
        <v>42789.0</v>
      </c>
      <c r="O6" s="8"/>
    </row>
    <row r="7" ht="15.75" customHeight="1">
      <c r="A7" s="8"/>
      <c r="B7" s="30" t="s">
        <v>16</v>
      </c>
      <c r="C7" s="30" t="s">
        <v>17</v>
      </c>
      <c r="D7" s="31">
        <v>150.0</v>
      </c>
      <c r="E7" s="31">
        <v>150.0</v>
      </c>
      <c r="F7" s="30" t="s">
        <v>18</v>
      </c>
      <c r="G7" s="32"/>
      <c r="H7" s="32"/>
      <c r="I7" s="33"/>
      <c r="J7" s="31">
        <v>200.0</v>
      </c>
      <c r="K7" s="32"/>
      <c r="L7" s="32"/>
      <c r="M7" s="32"/>
      <c r="N7" s="34">
        <v>42789.0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42789.0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1RNofLIplBOnX_vwsD6AecMNF72I9x58kWSMHVy9EgsM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IFERROR(__xludf.DUMMYFUNCTION("""COMPUTED_VALUE"""),"Ticker Symbol")</f>
        <v>Ticker Symbol</v>
      </c>
      <c r="D5" s="27" t="str">
        <f>IFERROR(__xludf.DUMMYFUNCTION("""COMPUTED_VALUE"""),"Description")</f>
        <v>Description</v>
      </c>
      <c r="E5" s="27" t="str">
        <f>IFERROR(__xludf.DUMMYFUNCTION("""COMPUTED_VALUE"""),"Sedol Symbol")</f>
        <v>Sedol Symbol</v>
      </c>
      <c r="F5" s="28" t="str">
        <f>IFERROR(__xludf.DUMMYFUNCTION("""COMPUTED_VALUE"""),"Bloomberg Symbol")</f>
        <v>Bloomberg Symbol</v>
      </c>
      <c r="G5" s="27" t="str">
        <f>IFERROR(__xludf.DUMMYFUNCTION("""COMPUTED_VALUE"""),"Side")</f>
        <v>Side</v>
      </c>
      <c r="H5" s="27" t="str">
        <f>IFERROR(__xludf.DUMMYFUNCTION("""COMPUTED_VALUE"""),"Quantity")</f>
        <v>Quantity</v>
      </c>
      <c r="I5" s="27" t="str">
        <f>IFERROR(__xludf.DUMMYFUNCTION("""COMPUTED_VALUE"""),"Total Quantity")</f>
        <v>Total Quantity</v>
      </c>
      <c r="J5" s="27" t="str">
        <f>IFERROR(__xludf.DUMMYFUNCTION("""COMPUTED_VALUE"""),"Allocation %")</f>
        <v>Allocation %</v>
      </c>
      <c r="K5" s="27" t="str">
        <f>IFERROR(__xludf.DUMMYFUNCTION("""COMPUTED_VALUE"""),"RoundLots")</f>
        <v>RoundLots</v>
      </c>
      <c r="L5" s="27" t="str">
        <f>IFERROR(__xludf.DUMMYFUNCTION("""COMPUTED_VALUE"""),"Trade Type")</f>
        <v>Trade Type</v>
      </c>
      <c r="M5" s="27" t="str">
        <f>IFERROR(__xludf.DUMMYFUNCTION("""COMPUTED_VALUE"""),"Currency")</f>
        <v>Currency</v>
      </c>
      <c r="N5" s="27" t="str">
        <f>IFERROR(__xludf.DUMMYFUNCTION("""COMPUTED_VALUE"""),"PB")</f>
        <v>PB</v>
      </c>
      <c r="O5" s="27" t="str">
        <f>IFERROR(__xludf.DUMMYFUNCTION("""COMPUTED_VALUE"""),"Allocation Scheme Key")</f>
        <v>Allocation Scheme Key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0" t="s">
        <v>18</v>
      </c>
      <c r="C6" s="30" t="s">
        <v>16</v>
      </c>
      <c r="D6" s="33"/>
      <c r="E6" s="32"/>
      <c r="F6" s="32"/>
      <c r="G6" s="39"/>
      <c r="H6" s="31">
        <v>1150.0</v>
      </c>
      <c r="I6" s="31">
        <v>1150.0</v>
      </c>
      <c r="J6" s="31">
        <v>100.0</v>
      </c>
      <c r="K6" s="31">
        <v>1.0</v>
      </c>
      <c r="L6" s="32"/>
      <c r="M6" s="32"/>
      <c r="N6" s="33"/>
      <c r="O6" s="30" t="s">
        <v>24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