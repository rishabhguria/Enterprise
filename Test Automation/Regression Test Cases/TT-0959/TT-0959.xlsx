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AccountValueCalculatedPref" sheetId="5" r:id="rId7"/>
    <sheet state="visible" name="SetDefaultRuleCalculatedPref" sheetId="6" r:id="rId8"/>
    <sheet state="visible" name="UpdateServerConfig" sheetId="7" r:id="rId9"/>
    <sheet state="visible" name="CustomOrderTT" sheetId="8" r:id="rId10"/>
    <sheet state="visible" name="SelectTrade" sheetId="9" r:id="rId11"/>
    <sheet state="visible" name="AcknowledgeTrade" sheetId="10" r:id="rId12"/>
    <sheet state="visible" name="ExecuteTrade" sheetId="11" r:id="rId13"/>
    <sheet state="visible" name="SelectTradeOnOrderGrid" sheetId="12" r:id="rId14"/>
    <sheet state="visible" name="AllocateFromBlotter" sheetId="13" r:id="rId15"/>
    <sheet state="visible" name="CheckAllocatedTaxlots" sheetId="14" r:id="rId16"/>
    <sheet state="visible" name="ChangeDate" sheetId="15" r:id="rId17"/>
    <sheet state="visible" name="RestartReleasesAndServices" sheetId="16" r:id="rId18"/>
    <sheet state="visible" name="ExecuteTrade1" sheetId="17" r:id="rId19"/>
    <sheet state="visible" name="CheckAllocatedTaxlots1" sheetId="18" r:id="rId20"/>
    <sheet state="visible" name="ChangeDate1" sheetId="19" r:id="rId21"/>
  </sheets>
  <definedNames/>
  <calcPr/>
</workbook>
</file>

<file path=xl/sharedStrings.xml><?xml version="1.0" encoding="utf-8"?>
<sst xmlns="http://schemas.openxmlformats.org/spreadsheetml/2006/main" count="177" uniqueCount="53">
  <si>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</si>
  <si>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</si>
  <si>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</si>
  <si>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</si>
  <si>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</si>
  <si>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</si>
  <si>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</si>
  <si>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</si>
  <si>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</si>
  <si>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</si>
  <si>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</si>
  <si>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</si>
  <si>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</si>
  <si>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</si>
  <si>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</si>
  <si>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</si>
  <si>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Test</t>
  </si>
  <si>
    <t>SetAccountValueCalculatedPref</t>
  </si>
  <si>
    <t>Allocation1</t>
  </si>
  <si>
    <t>Allocation2</t>
  </si>
  <si>
    <t>Allocation3</t>
  </si>
  <si>
    <t>SetDefaultRuleCalculatedPref</t>
  </si>
  <si>
    <t>Trade Quantity</t>
  </si>
  <si>
    <t>Current Preference</t>
  </si>
  <si>
    <t>TradeServer</t>
  </si>
  <si>
    <t>UpdateServerConfig</t>
  </si>
  <si>
    <t>MultiDayTIF</t>
  </si>
  <si>
    <t>TradingTicket</t>
  </si>
  <si>
    <t>CustomOrderTT</t>
  </si>
  <si>
    <t>AAPL</t>
  </si>
  <si>
    <t>Send</t>
  </si>
  <si>
    <t>Unallocated</t>
  </si>
  <si>
    <t>Buy</t>
  </si>
  <si>
    <t>Good Till Date</t>
  </si>
  <si>
    <t>Limit</t>
  </si>
  <si>
    <t>Simulator</t>
  </si>
  <si>
    <t>SelectTrade</t>
  </si>
  <si>
    <t>AcknowledgeTrade</t>
  </si>
  <si>
    <t>ExecuteTrade</t>
  </si>
  <si>
    <t>Blotter</t>
  </si>
  <si>
    <t>SelectTradeOnOrderGrid</t>
  </si>
  <si>
    <t>AllocateFromBlotter</t>
  </si>
  <si>
    <t>CheckAllocatedTaxlots</t>
  </si>
  <si>
    <t>M</t>
  </si>
  <si>
    <t>USD</t>
  </si>
  <si>
    <t>Strategy Unallocated</t>
  </si>
  <si>
    <t>Open</t>
  </si>
  <si>
    <t>Admin</t>
  </si>
  <si>
    <t>ChangeDate</t>
  </si>
  <si>
    <t>Today()+1</t>
  </si>
  <si>
    <t>Compliance</t>
  </si>
  <si>
    <t>RestartReleasesAndServices</t>
  </si>
  <si>
    <t>reset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</si>
</sst>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222222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center" vertical="bottom"/>
    </xf>
    <xf borderId="0" fillId="6" fontId="13" numFmtId="0" xfId="0" applyAlignment="1" applyFill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3" numFmtId="14" xfId="0" applyAlignment="1" applyFont="1" applyNumberFormat="1">
      <alignment horizontal="right" vertical="bottom"/>
    </xf>
    <xf borderId="0" fillId="0" fontId="5" numFmtId="0" xfId="0" applyAlignment="1" applyFont="1">
      <alignment horizontal="center" vertical="bottom"/>
    </xf>
    <xf borderId="0" fillId="0" fontId="5" numFmtId="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16</v>
      </c>
      <c r="C6" s="33" t="s">
        <v>18</v>
      </c>
      <c r="D6" s="34">
        <v>33.33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3" t="s">
        <v>16</v>
      </c>
      <c r="C7" s="33" t="s">
        <v>19</v>
      </c>
      <c r="D7" s="36">
        <v>33.34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3" t="s">
        <v>16</v>
      </c>
      <c r="C8" s="33" t="s">
        <v>20</v>
      </c>
      <c r="D8" s="36">
        <v>33.33</v>
      </c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22</v>
      </c>
      <c r="C6" s="35"/>
      <c r="D6" s="32" t="s">
        <v>23</v>
      </c>
      <c r="E6" s="35"/>
      <c r="F6" s="35"/>
      <c r="G6" s="37" t="b">
        <v>1</v>
      </c>
      <c r="H6" s="33" t="s">
        <v>16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IFERROR(__xludf.DUMMYFUNCTION("IF(C3="""","""",Transpose(IMPORTRANGE('_Settings'!$B$3,C3&amp;""!A4:A1000"")))"),"RestartServer")</f>
        <v>RestartServer</v>
      </c>
      <c r="C4" s="24" t="str">
        <f>IFERROR(__xludf.DUMMYFUNCTION("""COMPUTED_VALUE"""),"UpdateServerConfig")</f>
        <v>UpdateServerConfig</v>
      </c>
      <c r="D4" s="24" t="str">
        <f>IFERROR(__xludf.DUMMYFUNCTION("""COMPUTED_VALUE"""),"StartTradeServer")</f>
        <v>StartTradeServer</v>
      </c>
      <c r="E4" s="24" t="str">
        <f>IFERROR(__xludf.DUMMYFUNCTION("""COMPUTED_VALUE"""),"CloseTradeServer")</f>
        <v>CloseTradeServer</v>
      </c>
      <c r="F4" s="24" t="str">
        <f>IFERROR(__xludf.DUMMYFUNCTION("""COMPUTED_VALUE"""),"ConnectToSimAutoMan")</f>
        <v>ConnectToSimAutoMan</v>
      </c>
      <c r="G4" s="24" t="str">
        <f>IFERROR(__xludf.DUMMYFUNCTION("""COMPUTED_VALUE"""),"BrokerConnectionThroughTUI")</f>
        <v>BrokerConnectionThroughTUI</v>
      </c>
      <c r="H4" s="24" t="str">
        <f>IFERROR(__xludf.DUMMYFUNCTION("""COMPUTED_VALUE"""),"RestartServerOnly")</f>
        <v>RestartServerOnly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8" t="s">
        <v>26</v>
      </c>
      <c r="C6" s="39">
        <v>6.0</v>
      </c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UpdateServerConfig!$4:$4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29</v>
      </c>
      <c r="C6" s="36">
        <v>100000.0</v>
      </c>
      <c r="D6" s="34">
        <v>315.95</v>
      </c>
      <c r="E6" s="33" t="s">
        <v>30</v>
      </c>
      <c r="F6" s="35"/>
      <c r="G6" s="35"/>
      <c r="H6" s="35"/>
      <c r="I6" s="35" t="s">
        <v>31</v>
      </c>
      <c r="J6" s="33" t="s">
        <v>32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 t="s">
        <v>33</v>
      </c>
      <c r="V6" s="35" t="s">
        <v>34</v>
      </c>
      <c r="W6" s="35"/>
      <c r="X6" s="40">
        <v>315.95</v>
      </c>
      <c r="Y6" s="41">
        <f>TODAY()+1</f>
        <v>45820</v>
      </c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3" t="s">
        <v>29</v>
      </c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3" t="s">
        <v>29</v>
      </c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4">
        <v>315.95</v>
      </c>
      <c r="C6" s="36">
        <v>200.0</v>
      </c>
      <c r="D6" s="42" t="b">
        <v>1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29</v>
      </c>
      <c r="E6" s="30"/>
      <c r="F6" s="12" t="s">
        <v>32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IFERROR(__xludf.DUMMYFUNCTION("""COMPUTED_VALUE"""),"Account")</f>
        <v>Account</v>
      </c>
      <c r="D5" s="27" t="str">
        <f>IFERROR(__xludf.DUMMYFUNCTION("""COMPUTED_VALUE"""),"Target Allocation Percentage")</f>
        <v>Target Allocation Percentage</v>
      </c>
      <c r="E5" s="27" t="str">
        <f>IFERROR(__xludf.DUMMYFUNCTION("""COMPUTED_VALUE"""),"TargetAllocationQuantity")</f>
        <v>TargetAllocationQuantity</v>
      </c>
      <c r="F5" s="28" t="str">
        <f>IFERROR(__xludf.DUMMYFUNCTION("""COMPUTED_VALUE"""),"ViewAllocationVerfication")</f>
        <v>ViewAllocationVerfication</v>
      </c>
      <c r="G5" s="27" t="str">
        <f>IFERROR(__xludf.DUMMYFUNCTION("""COMPUTED_VALUE"""),"RESET")</f>
        <v>RESET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AllocateFromBlotter!$4:$4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IFERROR(__xludf.DUMMYFUNCTION("""COMPUTED_VALUE"""),"Net Amount(Local)")</f>
        <v>Net Amount(Local)</v>
      </c>
      <c r="C5" s="27" t="str">
        <f>IFERROR(__xludf.DUMMYFUNCTION("""COMPUTED_VALUE"""),"Net Amount(Base)")</f>
        <v>Net Amount(Base)</v>
      </c>
      <c r="D5" s="27" t="str">
        <f>IFERROR(__xludf.DUMMYFUNCTION("""COMPUTED_VALUE"""),"Principal Amount(Local)")</f>
        <v>Principal Amount(Local)</v>
      </c>
      <c r="E5" s="27" t="str">
        <f>IFERROR(__xludf.DUMMYFUNCTION("""COMPUTED_VALUE"""),"Principal Amount(Base)")</f>
        <v>Principal Amount(Base)</v>
      </c>
      <c r="F5" s="28" t="str">
        <f>IFERROR(__xludf.DUMMYFUNCTION("""COMPUTED_VALUE"""),"FX Conversion Operator")</f>
        <v>FX Conversion Operator</v>
      </c>
      <c r="G5" s="27" t="str">
        <f>IFERROR(__xludf.DUMMYFUNCTION("""COMPUTED_VALUE"""),"TaxLotID")</f>
        <v>TaxLotID</v>
      </c>
      <c r="H5" s="27" t="str">
        <f>IFERROR(__xludf.DUMMYFUNCTION("""COMPUTED_VALUE"""),"Settlement Currency")</f>
        <v>Settlement Currency</v>
      </c>
      <c r="I5" s="27" t="str">
        <f>IFERROR(__xludf.DUMMYFUNCTION("""COMPUTED_VALUE"""),"Trade Attribute 1")</f>
        <v>Trade Attribute 1</v>
      </c>
      <c r="J5" s="27" t="str">
        <f>IFERROR(__xludf.DUMMYFUNCTION("""COMPUTED_VALUE"""),"Trade Attribute 2")</f>
        <v>Trade Attribute 2</v>
      </c>
      <c r="K5" s="27" t="str">
        <f>IFERROR(__xludf.DUMMYFUNCTION("""COMPUTED_VALUE"""),"Trade Attribute 3")</f>
        <v>Trade Attribute 3</v>
      </c>
      <c r="L5" s="27" t="str">
        <f>IFERROR(__xludf.DUMMYFUNCTION("""COMPUTED_VALUE"""),"Trade Attribute 4")</f>
        <v>Trade Attribute 4</v>
      </c>
      <c r="M5" s="27" t="str">
        <f>IFERROR(__xludf.DUMMYFUNCTION("""COMPUTED_VALUE"""),"Trade Attribute 5")</f>
        <v>Trade Attribute 5</v>
      </c>
      <c r="N5" s="27" t="str">
        <f>IFERROR(__xludf.DUMMYFUNCTION("""COMPUTED_VALUE"""),"Trade Attribute 6")</f>
        <v>Trade Attribute 6</v>
      </c>
      <c r="O5" s="27" t="str">
        <f>IFERROR(__xludf.DUMMYFUNCTION("""COMPUTED_VALUE"""),"Account Name")</f>
        <v>Account Name</v>
      </c>
      <c r="P5" s="27" t="str">
        <f>IFERROR(__xludf.DUMMYFUNCTION("""COMPUTED_VALUE"""),"Strategy Name")</f>
        <v>Strategy Name</v>
      </c>
      <c r="Q5" s="27" t="str">
        <f>IFERROR(__xludf.DUMMYFUNCTION("""COMPUTED_VALUE"""),"Percentage")</f>
        <v>Percentage</v>
      </c>
      <c r="R5" s="27" t="str">
        <f>IFERROR(__xludf.DUMMYFUNCTION("""COMPUTED_VALUE"""),"Taxlot Qty")</f>
        <v>Taxlot Qty</v>
      </c>
      <c r="S5" s="27" t="str">
        <f>IFERROR(__xludf.DUMMYFUNCTION("""COMPUTED_VALUE"""),"Commission")</f>
        <v>Commission</v>
      </c>
      <c r="T5" s="29" t="str">
        <f>IFERROR(__xludf.DUMMYFUNCTION("""COMPUTED_VALUE"""),"Soft Commission")</f>
        <v>Soft Commission</v>
      </c>
      <c r="U5" s="29" t="str">
        <f>IFERROR(__xludf.DUMMYFUNCTION("""COMPUTED_VALUE"""),"Other Broker Fees")</f>
        <v>Other Broker Fees</v>
      </c>
      <c r="V5" s="29" t="str">
        <f>IFERROR(__xludf.DUMMYFUNCTION("""COMPUTED_VALUE"""),"Clearing Broker Fees")</f>
        <v>Clearing Broker Fees</v>
      </c>
      <c r="W5" s="29" t="str">
        <f>IFERROR(__xludf.DUMMYFUNCTION("""COMPUTED_VALUE"""),"Stamp Duty")</f>
        <v>Stamp Duty</v>
      </c>
      <c r="X5" s="29" t="str">
        <f>IFERROR(__xludf.DUMMYFUNCTION("""COMPUTED_VALUE"""),"Transaction Levy")</f>
        <v>Transaction Levy</v>
      </c>
      <c r="Y5" s="29" t="str">
        <f>IFERROR(__xludf.DUMMYFUNCTION("""COMPUTED_VALUE"""),"AUEC Fee1")</f>
        <v>AUEC Fee1</v>
      </c>
      <c r="Z5" s="29" t="str">
        <f>IFERROR(__xludf.DUMMYFUNCTION("""COMPUTED_VALUE"""),"Tax On Commissions")</f>
        <v>Tax On Commissions</v>
      </c>
      <c r="AA5" s="29" t="str">
        <f>IFERROR(__xludf.DUMMYFUNCTION("""COMPUTED_VALUE"""),"AUEC Fee2")</f>
        <v>AUEC Fee2</v>
      </c>
      <c r="AB5" s="29" t="str">
        <f>IFERROR(__xludf.DUMMYFUNCTION("""COMPUTED_VALUE"""),"SEC Fee")</f>
        <v>SEC Fee</v>
      </c>
      <c r="AC5" s="29" t="str">
        <f>IFERROR(__xludf.DUMMYFUNCTION("""COMPUTED_VALUE"""),"OCC Fee")</f>
        <v>OCC Fee</v>
      </c>
      <c r="AD5" s="29" t="str">
        <f>IFERROR(__xludf.DUMMYFUNCTION("""COMPUTED_VALUE"""),"ORF Fee")</f>
        <v>ORF Fee</v>
      </c>
      <c r="AE5" s="29" t="str">
        <f>IFERROR(__xludf.DUMMYFUNCTION("""COMPUTED_VALUE"""),"Option Premium Adjustment")</f>
        <v>Option Premium Adjustment</v>
      </c>
      <c r="AF5" s="29" t="str">
        <f>IFERROR(__xludf.DUMMYFUNCTION("""COMPUTED_VALUE"""),"Closing Status")</f>
        <v>Closing Status</v>
      </c>
      <c r="AG5" s="29" t="str">
        <f>IFERROR(__xludf.DUMMYFUNCTION("""COMPUTED_VALUE"""),"External Transaction ID")</f>
        <v>External Transaction ID</v>
      </c>
      <c r="AH5" s="29" t="str">
        <f>IFERROR(__xludf.DUMMYFUNCTION("""COMPUTED_VALUE"""),"Lot ID")</f>
        <v>Lot ID</v>
      </c>
      <c r="AI5" s="29" t="str">
        <f>IFERROR(__xludf.DUMMYFUNCTION("""COMPUTED_VALUE"""),"AvgPriceBase")</f>
        <v>AvgPriceBase</v>
      </c>
      <c r="AJ5" s="29" t="str">
        <f>IFERROR(__xludf.DUMMYFUNCTION("""COMPUTED_VALUE"""),"Accrued Interest")</f>
        <v>Accrued Interest</v>
      </c>
      <c r="AK5" s="29" t="str">
        <f>IFERROR(__xludf.DUMMYFUNCTION("""COMPUTED_VALUE"""),"FXRate")</f>
        <v>FXRate</v>
      </c>
      <c r="AL5" s="29" t="str">
        <f>IFERROR(__xludf.DUMMYFUNCTION("""COMPUTED_VALUE"""),"Change Type")</f>
        <v>Change Type</v>
      </c>
      <c r="AM5" s="29" t="str">
        <f>IFERROR(__xludf.DUMMYFUNCTION("""COMPUTED_VALUE"""),"MandatoryColumn")</f>
        <v>MandatoryColumn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5"/>
      <c r="D6" s="43">
        <v>21168.65</v>
      </c>
      <c r="E6" s="43">
        <v>21168.65</v>
      </c>
      <c r="F6" s="33" t="s">
        <v>43</v>
      </c>
      <c r="G6" s="35"/>
      <c r="H6" s="33" t="s">
        <v>44</v>
      </c>
      <c r="I6" s="35"/>
      <c r="J6" s="35"/>
      <c r="K6" s="35"/>
      <c r="L6" s="35"/>
      <c r="M6" s="35"/>
      <c r="N6" s="35"/>
      <c r="O6" s="33" t="s">
        <v>19</v>
      </c>
      <c r="P6" s="35" t="s">
        <v>45</v>
      </c>
      <c r="Q6" s="35"/>
      <c r="R6" s="40">
        <v>67.0</v>
      </c>
      <c r="S6" s="40">
        <v>0.0</v>
      </c>
      <c r="T6" s="40">
        <v>0.0</v>
      </c>
      <c r="U6" s="40">
        <v>0.0</v>
      </c>
      <c r="V6" s="40">
        <v>0.0</v>
      </c>
      <c r="W6" s="35"/>
      <c r="X6" s="35"/>
      <c r="Y6" s="35"/>
      <c r="Z6" s="35"/>
      <c r="AA6" s="35"/>
      <c r="AB6" s="35"/>
      <c r="AC6" s="35"/>
      <c r="AD6" s="35"/>
      <c r="AE6" s="35"/>
      <c r="AF6" s="35" t="s">
        <v>46</v>
      </c>
      <c r="AG6" s="35"/>
      <c r="AH6" s="35"/>
      <c r="AI6" s="40">
        <v>315.95</v>
      </c>
      <c r="AJ6" s="40">
        <v>0.0</v>
      </c>
      <c r="AK6" s="40">
        <v>1.0</v>
      </c>
      <c r="AL6" s="40">
        <v>3.0</v>
      </c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43">
        <v>21168.65</v>
      </c>
      <c r="E7" s="43">
        <v>21168.65</v>
      </c>
      <c r="F7" s="33" t="s">
        <v>43</v>
      </c>
      <c r="G7" s="35"/>
      <c r="H7" s="33" t="s">
        <v>44</v>
      </c>
      <c r="I7" s="35"/>
      <c r="J7" s="35"/>
      <c r="K7" s="35"/>
      <c r="L7" s="35"/>
      <c r="M7" s="35"/>
      <c r="N7" s="35"/>
      <c r="O7" s="33" t="s">
        <v>20</v>
      </c>
      <c r="P7" s="35" t="s">
        <v>45</v>
      </c>
      <c r="Q7" s="35"/>
      <c r="R7" s="40">
        <v>67.0</v>
      </c>
      <c r="S7" s="40">
        <v>0.0</v>
      </c>
      <c r="T7" s="40">
        <v>0.0</v>
      </c>
      <c r="U7" s="40">
        <v>0.0</v>
      </c>
      <c r="V7" s="40">
        <v>0.0</v>
      </c>
      <c r="W7" s="35"/>
      <c r="X7" s="35"/>
      <c r="Y7" s="35"/>
      <c r="Z7" s="35"/>
      <c r="AA7" s="35"/>
      <c r="AB7" s="35"/>
      <c r="AC7" s="35"/>
      <c r="AD7" s="35"/>
      <c r="AE7" s="35"/>
      <c r="AF7" s="35" t="s">
        <v>46</v>
      </c>
      <c r="AG7" s="35"/>
      <c r="AH7" s="35"/>
      <c r="AI7" s="40">
        <v>315.95</v>
      </c>
      <c r="AJ7" s="40">
        <v>0.0</v>
      </c>
      <c r="AK7" s="40">
        <v>1.0</v>
      </c>
      <c r="AL7" s="40">
        <v>3.0</v>
      </c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35"/>
      <c r="D8" s="43">
        <v>20852.7</v>
      </c>
      <c r="E8" s="43">
        <v>20852.7</v>
      </c>
      <c r="F8" s="33" t="s">
        <v>43</v>
      </c>
      <c r="G8" s="35"/>
      <c r="H8" s="33" t="s">
        <v>44</v>
      </c>
      <c r="I8" s="35"/>
      <c r="J8" s="35"/>
      <c r="K8" s="35"/>
      <c r="L8" s="35"/>
      <c r="M8" s="35"/>
      <c r="N8" s="35"/>
      <c r="O8" s="33" t="s">
        <v>18</v>
      </c>
      <c r="P8" s="35" t="s">
        <v>45</v>
      </c>
      <c r="Q8" s="35"/>
      <c r="R8" s="40">
        <v>66.0</v>
      </c>
      <c r="S8" s="40">
        <v>0.0</v>
      </c>
      <c r="T8" s="40">
        <v>0.0</v>
      </c>
      <c r="U8" s="40">
        <v>0.0</v>
      </c>
      <c r="V8" s="40">
        <v>0.0</v>
      </c>
      <c r="W8" s="35"/>
      <c r="X8" s="35"/>
      <c r="Y8" s="35"/>
      <c r="Z8" s="35"/>
      <c r="AA8" s="35"/>
      <c r="AB8" s="35"/>
      <c r="AC8" s="35"/>
      <c r="AD8" s="35"/>
      <c r="AE8" s="35"/>
      <c r="AF8" s="35" t="s">
        <v>46</v>
      </c>
      <c r="AG8" s="35"/>
      <c r="AH8" s="35"/>
      <c r="AI8" s="40">
        <v>315.95</v>
      </c>
      <c r="AJ8" s="40">
        <v>0.0</v>
      </c>
      <c r="AK8" s="40">
        <v>1.0</v>
      </c>
      <c r="AL8" s="40">
        <v>3.0</v>
      </c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47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IFERROR(__xludf.DUMMYFUNCTION("""COMPUTED_VALUE"""),"DateOrReset")</f>
        <v>DateOrReset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49</v>
      </c>
      <c r="C6" s="35"/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ChangeDate!$4:$4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 t="str">
        <f>IFERROR(__xludf.DUMMYFUNCTION("""COMPUTED_VALUE"""),"DontShutSimulator")</f>
        <v>DontShutSimulator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7" t="b">
        <v>1</v>
      </c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4">
        <v>315.95</v>
      </c>
      <c r="C6" s="36">
        <v>300.0</v>
      </c>
      <c r="D6" s="42" t="b">
        <v>1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IFERROR(__xludf.DUMMYFUNCTION("""COMPUTED_VALUE"""),"Net Amount(Local)")</f>
        <v>Net Amount(Local)</v>
      </c>
      <c r="C5" s="27" t="str">
        <f>IFERROR(__xludf.DUMMYFUNCTION("""COMPUTED_VALUE"""),"Net Amount(Base)")</f>
        <v>Net Amount(Base)</v>
      </c>
      <c r="D5" s="27" t="str">
        <f>IFERROR(__xludf.DUMMYFUNCTION("""COMPUTED_VALUE"""),"Principal Amount(Local)")</f>
        <v>Principal Amount(Local)</v>
      </c>
      <c r="E5" s="27" t="str">
        <f>IFERROR(__xludf.DUMMYFUNCTION("""COMPUTED_VALUE"""),"Principal Amount(Base)")</f>
        <v>Principal Amount(Base)</v>
      </c>
      <c r="F5" s="28" t="str">
        <f>IFERROR(__xludf.DUMMYFUNCTION("""COMPUTED_VALUE"""),"FX Conversion Operator")</f>
        <v>FX Conversion Operator</v>
      </c>
      <c r="G5" s="27" t="str">
        <f>IFERROR(__xludf.DUMMYFUNCTION("""COMPUTED_VALUE"""),"TaxLotID")</f>
        <v>TaxLotID</v>
      </c>
      <c r="H5" s="27" t="str">
        <f>IFERROR(__xludf.DUMMYFUNCTION("""COMPUTED_VALUE"""),"Settlement Currency")</f>
        <v>Settlement Currency</v>
      </c>
      <c r="I5" s="27" t="str">
        <f>IFERROR(__xludf.DUMMYFUNCTION("""COMPUTED_VALUE"""),"Trade Attribute 1")</f>
        <v>Trade Attribute 1</v>
      </c>
      <c r="J5" s="27" t="str">
        <f>IFERROR(__xludf.DUMMYFUNCTION("""COMPUTED_VALUE"""),"Trade Attribute 2")</f>
        <v>Trade Attribute 2</v>
      </c>
      <c r="K5" s="27" t="str">
        <f>IFERROR(__xludf.DUMMYFUNCTION("""COMPUTED_VALUE"""),"Trade Attribute 3")</f>
        <v>Trade Attribute 3</v>
      </c>
      <c r="L5" s="27" t="str">
        <f>IFERROR(__xludf.DUMMYFUNCTION("""COMPUTED_VALUE"""),"Trade Attribute 4")</f>
        <v>Trade Attribute 4</v>
      </c>
      <c r="M5" s="27" t="str">
        <f>IFERROR(__xludf.DUMMYFUNCTION("""COMPUTED_VALUE"""),"Trade Attribute 5")</f>
        <v>Trade Attribute 5</v>
      </c>
      <c r="N5" s="27" t="str">
        <f>IFERROR(__xludf.DUMMYFUNCTION("""COMPUTED_VALUE"""),"Trade Attribute 6")</f>
        <v>Trade Attribute 6</v>
      </c>
      <c r="O5" s="27" t="str">
        <f>IFERROR(__xludf.DUMMYFUNCTION("""COMPUTED_VALUE"""),"Account Name")</f>
        <v>Account Name</v>
      </c>
      <c r="P5" s="27" t="str">
        <f>IFERROR(__xludf.DUMMYFUNCTION("""COMPUTED_VALUE"""),"Strategy Name")</f>
        <v>Strategy Name</v>
      </c>
      <c r="Q5" s="27" t="str">
        <f>IFERROR(__xludf.DUMMYFUNCTION("""COMPUTED_VALUE"""),"Percentage")</f>
        <v>Percentage</v>
      </c>
      <c r="R5" s="27" t="str">
        <f>IFERROR(__xludf.DUMMYFUNCTION("""COMPUTED_VALUE"""),"Taxlot Qty")</f>
        <v>Taxlot Qty</v>
      </c>
      <c r="S5" s="27" t="str">
        <f>IFERROR(__xludf.DUMMYFUNCTION("""COMPUTED_VALUE"""),"Commission")</f>
        <v>Commission</v>
      </c>
      <c r="T5" s="29" t="str">
        <f>IFERROR(__xludf.DUMMYFUNCTION("""COMPUTED_VALUE"""),"Soft Commission")</f>
        <v>Soft Commission</v>
      </c>
      <c r="U5" s="29" t="str">
        <f>IFERROR(__xludf.DUMMYFUNCTION("""COMPUTED_VALUE"""),"Other Broker Fees")</f>
        <v>Other Broker Fees</v>
      </c>
      <c r="V5" s="29" t="str">
        <f>IFERROR(__xludf.DUMMYFUNCTION("""COMPUTED_VALUE"""),"Clearing Broker Fees")</f>
        <v>Clearing Broker Fees</v>
      </c>
      <c r="W5" s="29" t="str">
        <f>IFERROR(__xludf.DUMMYFUNCTION("""COMPUTED_VALUE"""),"Stamp Duty")</f>
        <v>Stamp Duty</v>
      </c>
      <c r="X5" s="29" t="str">
        <f>IFERROR(__xludf.DUMMYFUNCTION("""COMPUTED_VALUE"""),"Transaction Levy")</f>
        <v>Transaction Levy</v>
      </c>
      <c r="Y5" s="29" t="str">
        <f>IFERROR(__xludf.DUMMYFUNCTION("""COMPUTED_VALUE"""),"AUEC Fee1")</f>
        <v>AUEC Fee1</v>
      </c>
      <c r="Z5" s="29" t="str">
        <f>IFERROR(__xludf.DUMMYFUNCTION("""COMPUTED_VALUE"""),"Tax On Commissions")</f>
        <v>Tax On Commissions</v>
      </c>
      <c r="AA5" s="29" t="str">
        <f>IFERROR(__xludf.DUMMYFUNCTION("""COMPUTED_VALUE"""),"AUEC Fee2")</f>
        <v>AUEC Fee2</v>
      </c>
      <c r="AB5" s="29" t="str">
        <f>IFERROR(__xludf.DUMMYFUNCTION("""COMPUTED_VALUE"""),"SEC Fee")</f>
        <v>SEC Fee</v>
      </c>
      <c r="AC5" s="29" t="str">
        <f>IFERROR(__xludf.DUMMYFUNCTION("""COMPUTED_VALUE"""),"OCC Fee")</f>
        <v>OCC Fee</v>
      </c>
      <c r="AD5" s="29" t="str">
        <f>IFERROR(__xludf.DUMMYFUNCTION("""COMPUTED_VALUE"""),"ORF Fee")</f>
        <v>ORF Fee</v>
      </c>
      <c r="AE5" s="29" t="str">
        <f>IFERROR(__xludf.DUMMYFUNCTION("""COMPUTED_VALUE"""),"Option Premium Adjustment")</f>
        <v>Option Premium Adjustment</v>
      </c>
      <c r="AF5" s="29" t="str">
        <f>IFERROR(__xludf.DUMMYFUNCTION("""COMPUTED_VALUE"""),"Closing Status")</f>
        <v>Closing Status</v>
      </c>
      <c r="AG5" s="29" t="str">
        <f>IFERROR(__xludf.DUMMYFUNCTION("""COMPUTED_VALUE"""),"External Transaction ID")</f>
        <v>External Transaction ID</v>
      </c>
      <c r="AH5" s="29" t="str">
        <f>IFERROR(__xludf.DUMMYFUNCTION("""COMPUTED_VALUE"""),"Lot ID")</f>
        <v>Lot ID</v>
      </c>
      <c r="AI5" s="29" t="str">
        <f>IFERROR(__xludf.DUMMYFUNCTION("""COMPUTED_VALUE"""),"AvgPriceBase")</f>
        <v>AvgPriceBase</v>
      </c>
      <c r="AJ5" s="29" t="str">
        <f>IFERROR(__xludf.DUMMYFUNCTION("""COMPUTED_VALUE"""),"Accrued Interest")</f>
        <v>Accrued Interest</v>
      </c>
      <c r="AK5" s="29" t="str">
        <f>IFERROR(__xludf.DUMMYFUNCTION("""COMPUTED_VALUE"""),"FXRate")</f>
        <v>FXRate</v>
      </c>
      <c r="AL5" s="29" t="str">
        <f>IFERROR(__xludf.DUMMYFUNCTION("""COMPUTED_VALUE"""),"Change Type")</f>
        <v>Change Type</v>
      </c>
      <c r="AM5" s="29" t="str">
        <f>IFERROR(__xludf.DUMMYFUNCTION("""COMPUTED_VALUE"""),"MandatoryColumn")</f>
        <v>MandatoryColumn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5"/>
      <c r="D6" s="43">
        <v>31910.95</v>
      </c>
      <c r="E6" s="43">
        <v>31910.95</v>
      </c>
      <c r="F6" s="33" t="s">
        <v>43</v>
      </c>
      <c r="G6" s="35"/>
      <c r="H6" s="33" t="s">
        <v>44</v>
      </c>
      <c r="I6" s="35"/>
      <c r="J6" s="35"/>
      <c r="K6" s="35"/>
      <c r="L6" s="35"/>
      <c r="M6" s="35"/>
      <c r="N6" s="35"/>
      <c r="O6" s="33" t="s">
        <v>19</v>
      </c>
      <c r="P6" s="35" t="s">
        <v>45</v>
      </c>
      <c r="Q6" s="35"/>
      <c r="R6" s="40">
        <v>101.0</v>
      </c>
      <c r="S6" s="40">
        <v>0.0</v>
      </c>
      <c r="T6" s="40">
        <v>0.0</v>
      </c>
      <c r="U6" s="40">
        <v>0.0</v>
      </c>
      <c r="V6" s="40">
        <v>0.0</v>
      </c>
      <c r="W6" s="35"/>
      <c r="X6" s="35"/>
      <c r="Y6" s="35"/>
      <c r="Z6" s="35"/>
      <c r="AA6" s="35"/>
      <c r="AB6" s="35"/>
      <c r="AC6" s="35"/>
      <c r="AD6" s="35"/>
      <c r="AE6" s="35"/>
      <c r="AF6" s="35" t="s">
        <v>46</v>
      </c>
      <c r="AG6" s="35"/>
      <c r="AH6" s="35"/>
      <c r="AI6" s="40">
        <v>315.95</v>
      </c>
      <c r="AJ6" s="40">
        <v>0.0</v>
      </c>
      <c r="AK6" s="40">
        <v>1.0</v>
      </c>
      <c r="AL6" s="40">
        <v>3.0</v>
      </c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43">
        <v>31595.0</v>
      </c>
      <c r="E7" s="43">
        <v>31595.0</v>
      </c>
      <c r="F7" s="33" t="s">
        <v>43</v>
      </c>
      <c r="G7" s="35"/>
      <c r="H7" s="33" t="s">
        <v>44</v>
      </c>
      <c r="I7" s="35"/>
      <c r="J7" s="35"/>
      <c r="K7" s="35"/>
      <c r="L7" s="35"/>
      <c r="M7" s="35"/>
      <c r="N7" s="35"/>
      <c r="O7" s="33" t="s">
        <v>20</v>
      </c>
      <c r="P7" s="35" t="s">
        <v>45</v>
      </c>
      <c r="Q7" s="35"/>
      <c r="R7" s="40">
        <v>100.0</v>
      </c>
      <c r="S7" s="40">
        <v>0.0</v>
      </c>
      <c r="T7" s="40">
        <v>0.0</v>
      </c>
      <c r="U7" s="40">
        <v>0.0</v>
      </c>
      <c r="V7" s="40">
        <v>0.0</v>
      </c>
      <c r="W7" s="35"/>
      <c r="X7" s="35"/>
      <c r="Y7" s="35"/>
      <c r="Z7" s="35"/>
      <c r="AA7" s="35"/>
      <c r="AB7" s="35"/>
      <c r="AC7" s="35"/>
      <c r="AD7" s="35"/>
      <c r="AE7" s="35"/>
      <c r="AF7" s="35" t="s">
        <v>46</v>
      </c>
      <c r="AG7" s="35"/>
      <c r="AH7" s="35"/>
      <c r="AI7" s="40">
        <v>315.95</v>
      </c>
      <c r="AJ7" s="40">
        <v>0.0</v>
      </c>
      <c r="AK7" s="40">
        <v>1.0</v>
      </c>
      <c r="AL7" s="40">
        <v>3.0</v>
      </c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35"/>
      <c r="D8" s="43">
        <v>31279.05</v>
      </c>
      <c r="E8" s="43">
        <v>31279.05</v>
      </c>
      <c r="F8" s="33" t="s">
        <v>43</v>
      </c>
      <c r="G8" s="35"/>
      <c r="H8" s="33" t="s">
        <v>44</v>
      </c>
      <c r="I8" s="35"/>
      <c r="J8" s="35"/>
      <c r="K8" s="35"/>
      <c r="L8" s="35"/>
      <c r="M8" s="35"/>
      <c r="N8" s="35"/>
      <c r="O8" s="33" t="s">
        <v>18</v>
      </c>
      <c r="P8" s="35" t="s">
        <v>45</v>
      </c>
      <c r="Q8" s="35"/>
      <c r="R8" s="40">
        <v>99.0</v>
      </c>
      <c r="S8" s="40">
        <v>0.0</v>
      </c>
      <c r="T8" s="40">
        <v>0.0</v>
      </c>
      <c r="U8" s="40">
        <v>0.0</v>
      </c>
      <c r="V8" s="40">
        <v>0.0</v>
      </c>
      <c r="W8" s="35"/>
      <c r="X8" s="35"/>
      <c r="Y8" s="35"/>
      <c r="Z8" s="35"/>
      <c r="AA8" s="35"/>
      <c r="AB8" s="35"/>
      <c r="AC8" s="35"/>
      <c r="AD8" s="35"/>
      <c r="AE8" s="35"/>
      <c r="AF8" s="35" t="s">
        <v>46</v>
      </c>
      <c r="AG8" s="35"/>
      <c r="AH8" s="35"/>
      <c r="AI8" s="40">
        <v>315.95</v>
      </c>
      <c r="AJ8" s="40">
        <v>0.0</v>
      </c>
      <c r="AK8" s="40">
        <v>1.0</v>
      </c>
      <c r="AL8" s="40">
        <v>3.0</v>
      </c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47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IFERROR(__xludf.DUMMYFUNCTION("""COMPUTED_VALUE"""),"DateOrReset")</f>
        <v>DateOrReset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52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ChangeDate1!$4:$4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