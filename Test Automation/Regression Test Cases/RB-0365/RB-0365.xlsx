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RebalancePreference" sheetId="23" r:id="rId25"/>
    <sheet state="visible" name="FetchAccountPositions" sheetId="24" r:id="rId26"/>
    <sheet state="visible" name="AddCash" sheetId="25" r:id="rId27"/>
    <sheet state="visible" name="RunRebalance" sheetId="26" r:id="rId28"/>
    <sheet state="visible" name="RebalanceAcrossSecurities" sheetId="27" r:id="rId29"/>
    <sheet state="visible" name="ModifyRebalance" sheetId="28" r:id="rId30"/>
    <sheet state="visible" name="SendtoStaging" sheetId="29" r:id="rId31"/>
    <sheet state="visible" name="RunRebalance1" sheetId="30" r:id="rId32"/>
    <sheet state="visible" name="SendtoStaging1" sheetId="31" r:id="rId33"/>
    <sheet state="visible" name="RunRebalance2" sheetId="32" r:id="rId34"/>
    <sheet state="visible" name="SendtoStaging2" sheetId="33" r:id="rId35"/>
    <sheet state="visible" name="TradeNewSubOrder" sheetId="34" r:id="rId36"/>
    <sheet state="visible" name="CreateNewSubLiveOrder" sheetId="35" r:id="rId37"/>
    <sheet state="visible" name="TradeNewSubOrder1" sheetId="36" r:id="rId38"/>
    <sheet state="visible" name="CreateNewSubLiveOrder1" sheetId="37" r:id="rId39"/>
    <sheet state="visible" name="SelectTrade" sheetId="38" r:id="rId40"/>
    <sheet state="visible" name="AcknowledgeTrade" sheetId="39" r:id="rId41"/>
    <sheet state="visible" name="ExecuteTrade" sheetId="40" r:id="rId42"/>
    <sheet state="visible" name="SelectTrade1" sheetId="41" r:id="rId43"/>
    <sheet state="visible" name="AcknowledgeTrade1" sheetId="42" r:id="rId44"/>
    <sheet state="visible" name="ExecuteTrade1" sheetId="43" r:id="rId45"/>
    <sheet state="visible" name="CheckAllocatedGroups" sheetId="44" r:id="rId46"/>
    <sheet state="visible" name="CheckPortfolioManagement" sheetId="45" r:id="rId47"/>
    <sheet state="visible" name="RestartClient" sheetId="46" r:id="rId48"/>
  </sheets>
  <calcPr fullCalcOnLoad="1" fullPrecision="1"/>
</workbook>
</file>

<file path=xl/sharedStrings.xml><?xml version="1.0" encoding="utf-8"?>
<sst xmlns="http://schemas.openxmlformats.org/spreadsheetml/2006/main" count="134" uniqueCount="134">
  <si>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</si>
  <si>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</si>
  <si>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</si>
  <si>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</si>
  <si>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</si>
  <si>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</si>
  <si>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</si>
  <si>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</si>
  <si>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</si>
  <si>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</si>
  <si>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</si>
  <si>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</si>
  <si>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</si>
  <si>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</si>
  <si>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</si>
  <si>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</si>
  <si>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</si>
  <si>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</si>
  <si>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</si>
  <si>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</si>
  <si>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</si>
  <si>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</si>
  <si>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</si>
  <si>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</si>
  <si>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</si>
  <si>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</si>
  <si>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</si>
  <si>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</si>
  <si>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</si>
  <si>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</si>
  <si>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</si>
  <si>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</si>
  <si>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</si>
  <si>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</si>
  <si>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</si>
  <si>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</si>
  <si>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</si>
  <si>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</si>
  <si>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</si>
  <si>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</si>
  <si>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</si>
  <si>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</si>
  <si>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</si>
  <si>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</si>
  <si>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</si>
  <si>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</si>
  <si>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</si>
  <si>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</si>
  <si>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</si>
  <si>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</si>
  <si>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</si>
  <si>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</si>
  <si>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</si>
  <si>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</si>
  <si>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</si>
  <si>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</si>
  <si>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</si>
  <si>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</si>
  <si>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</si>
  <si>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</si>
  <si>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</si>
  <si>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</si>
  <si>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</si>
  <si>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</si>
  <si>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</si>
  <si>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</si>
  <si>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</si>
  <si>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</si>
  <si>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</si>
  <si>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</si>
  <si>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</si>
  <si>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</si>
  <si>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</si>
  <si>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</si>
  <si>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RebalancePreference</t>
  </si>
  <si>
    <t>Allocation1,Other Assets Market Value,Swap NAV Adjustments,Unrealized P&amp;L of Swaps</t>
  </si>
  <si>
    <t>FetchAccountPositions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</si>
  <si>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</si>
  <si>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</si>
  <si>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</si>
  <si>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</si>
  <si>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</si>
  <si>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</si>
  <si>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</si>
  <si>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</si>
  <si>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</si>
  <si>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SendtoStaging</t>
  </si>
  <si>
    <t>SellShort</t>
  </si>
  <si>
    <t>BuyToClose</t>
  </si>
  <si>
    <t>Nearest Round Off</t>
  </si>
  <si>
    <t>Round Down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</si>
  <si>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</si>
  <si>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</si>
  <si>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</si>
  <si>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</si>
  <si>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</si>
  <si>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</si>
  <si>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</si>
  <si>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</si>
  <si>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</si>
  <si>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</si>
  <si>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</si>
  <si>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</si>
  <si>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AMZN US EQUITY</t>
  </si>
  <si>
    <t>Treasury</t>
  </si>
  <si>
    <t>MS</t>
  </si>
  <si>
    <t>Open</t>
  </si>
  <si>
    <t>AMAZON.COM</t>
  </si>
  <si>
    <t>NASDAQ</t>
  </si>
  <si>
    <t>Market</t>
  </si>
  <si>
    <t>InternalOrder</t>
  </si>
  <si>
    <t>Strategy Unallocated</t>
  </si>
  <si>
    <t>GCCAP1</t>
  </si>
  <si>
    <t>US</t>
  </si>
  <si>
    <t>jpearce</t>
  </si>
  <si>
    <t>NONE</t>
  </si>
  <si>
    <t>KO US EQUITY</t>
  </si>
  <si>
    <t>COCA COLA</t>
  </si>
  <si>
    <t>NYSE</t>
  </si>
  <si>
    <t>PortfolioManagement</t>
  </si>
  <si>
    <t>CheckPortfolioManagement</t>
  </si>
  <si>
    <t>Undefined</t>
  </si>
  <si>
    <t>FIMAT</t>
  </si>
  <si>
    <t>Short</t>
  </si>
  <si>
    <t>Equity General</t>
  </si>
  <si>
    <t>Communications</t>
  </si>
  <si>
    <t>Europe</t>
  </si>
  <si>
    <t>USA</t>
  </si>
  <si>
    <t>Consumer</t>
  </si>
  <si>
    <t>PranaClient</t>
  </si>
  <si>
    <t>CreateDoneAwayOrder</t>
  </si>
  <si>
    <t>Dummy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</si>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</sst>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52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/>
    <xf numFmtId="0" fontId="5" applyFont="1" fillId="0" borderId="0" xfId="0" applyAlignment="1">
      <alignment horizontal="center"/>
    </xf>
    <xf numFmtId="0" fontId="5" applyFont="1" fillId="0" borderId="0" xfId="0" applyAlignment="1">
      <alignment horizontal="right"/>
    </xf>
    <xf numFmtId="14" applyNumberFormat="1" fontId="5" applyFont="1" fillId="0" borderId="0" xfId="0" applyAlignment="1">
      <alignment horizontal="right"/>
    </xf>
    <xf numFmtId="14" applyNumberFormat="1" fontId="3" applyFont="1" fillId="0" borderId="0" xfId="0" applyAlignment="1"/>
    <xf numFmtId="164" applyNumberFormat="1" fontId="3" applyFont="1" fillId="0" borderId="0" xfId="0" applyAlignment="1">
      <alignment horizontal="right"/>
    </xf>
    <xf numFmtId="0" fontId="13" applyFont="1" fillId="6" applyFill="1" borderId="0" xfId="0" applyAlignment="1"/>
    <xf numFmtId="0" fontId="13" applyFont="1" fillId="6" applyFill="1" borderId="0" xfId="0" applyAlignment="1">
      <alignment horizontal="right"/>
    </xf>
    <xf numFmtId="0" fontId="13" applyFont="1" fillId="6" applyFill="1" borderId="0" xfId="0" applyAlignment="1"/>
    <xf numFmtId="0" fontId="5" applyFont="1" fillId="0" borderId="0" xfId="0" applyAlignment="1"/>
    <xf numFmtId="0" fontId="3" applyFont="1" fillId="0" borderId="0" xfId="0" applyAlignment="1">
      <alignment horizontal="center"/>
    </xf>
    <xf numFmtId="3" applyNumberFormat="1" fontId="5" applyFont="1" fillId="0" borderId="0" xfId="0" applyAlignment="1"/>
    <xf numFmtId="0" fontId="5" applyFont="1" fillId="0" borderId="0" xfId="0" applyAlignment="1"/>
    <xf numFmtId="0" fontId="3" applyFont="1" fillId="0" borderId="0" xfId="0" applyAlignment="1">
      <alignment horizontal="right"/>
    </xf>
    <xf numFmtId="0" fontId="14" applyFont="1" fillId="6" applyFill="1" borderId="0" xfId="0" applyAlignment="1"/>
    <xf numFmtId="0" fontId="5" applyFont="1" fillId="0" borderId="0" xfId="0" applyAlignment="1"/>
    <xf numFmtId="0" fontId="5" applyFont="1" fillId="0" borderId="0" xfId="0" applyAlignment="1"/>
    <xf numFmtId="164" applyNumberFormat="1" fontId="2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48" Type="http://schemas.openxmlformats.org/officeDocument/2006/relationships/worksheet" Target="worksheets/sheet46.xml"/><Relationship Id="rId25" Type="http://schemas.openxmlformats.org/officeDocument/2006/relationships/worksheet" Target="worksheets/sheet23.xml"/><Relationship Id="rId47" Type="http://schemas.openxmlformats.org/officeDocument/2006/relationships/worksheet" Target="worksheets/sheet45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9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IFERROR(__xludf.DUMMYFUNCTION("""COMPUTED_VALUE"""),"1pIqb45gaTMZAVl6ZTIr9XBk4KURb-nsLncnz6oXfhbs")</f>
        <v>1pIqb45gaTMZAVl6ZTIr9XBk4KURb-nsLncnz6oXfhbs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IFERROR(__xludf.DUMMYFUNCTION("""COMPUTED_VALUE"""),"1p-jiDGPGYwCR90lkSnOJde0bJTbS9VRZ-owO733geR8")</f>
        <v>1p-jiDGPGYwCR90lkSnOJde0bJTbS9VRZ-owO733geR8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IFERROR(__xludf.DUMMYFUNCTION("""COMPUTED_VALUE"""),"1lkSiBclw-Nrw61K0j2t1vOsiLqNO8ejgCPuA23bupec")</f>
        <v>1lkSiBclw-Nrw61K0j2t1vOsiLqNO8ejgCPuA23bupec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IFERROR(__xludf.DUMMYFUNCTION("""COMPUTED_VALUE"""),"1KZmCs4XZYKInO0g2s3RZpteE670ImER8luciQluLB8Q")</f>
        <v>1KZmCs4XZYKInO0g2s3RZpteE670ImER8luciQluLB8Q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IFERROR(__xludf.DUMMYFUNCTION("""COMPUTED_VALUE"""),"1wokLkQCDTR1Moa2-CJdvv9EBpX8uIBke1ynZq7Am8Qo")</f>
        <v>1wokLkQCDTR1Moa2-CJdvv9EBpX8uIBke1ynZq7Am8Qo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IFERROR(__xludf.DUMMYFUNCTION("""COMPUTED_VALUE"""),"1pwqFJvfA5qKkD2Qmt-A4AWYNSsLomMIhtyww_eUX__s")</f>
        <v>1pwqFJvfA5qKkD2Qmt-A4AWYNSsLomMIhtyww_eUX__s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IFERROR(__xludf.DUMMYFUNCTION("""COMPUTED_VALUE"""),"RTPNL")</f>
        <v>RTPNL</v>
      </c>
      <c r="B767" s="0" t="str">
        <f>IFERROR(__xludf.DUMMYFUNCTION("""COMPUTED_VALUE"""),"RenameTabs")</f>
        <v>RenameTabs</v>
      </c>
      <c r="C767" s="0" t="str">
        <f>IFERROR(__xludf.DUMMYFUNCTION("""COMPUTED_VALUE"""),"1K7LcioEl1sTwLRhqHc9go_7jNmUIRZNy9zBQLMgtBw8")</f>
        <v>1K7LcioEl1sTwLRhqHc9go_7jNmUIRZNy9zBQLMgtBw8</v>
      </c>
    </row>
    <row r="768" ht="15.75" customHeight="1">
      <c r="A768" s="0" t="str">
        <f>IFERROR(__xludf.DUMMYFUNCTION("""COMPUTED_VALUE"""),"RTPNL")</f>
        <v>RTPNL</v>
      </c>
      <c r="B768" s="0" t="str">
        <f>IFERROR(__xludf.DUMMYFUNCTION("""COMPUTED_VALUE"""),"ResizeEnsure")</f>
        <v>ResizeEnsure</v>
      </c>
      <c r="C768" s="0" t="str">
        <f>IFERROR(__xludf.DUMMYFUNCTION("""COMPUTED_VALUE"""),"1-peVyQ_nIwd8owwmtDtNW-yx12KQx2nHeYee6duB46M")</f>
        <v>1-peVyQ_nIwd8owwmtDtNW-yx12KQx2nHeYee6duB46M</v>
      </c>
    </row>
    <row r="769" ht="15.75" customHeight="1">
      <c r="A769" s="0" t="str">
        <f>IFERROR(__xludf.DUMMYFUNCTION("""COMPUTED_VALUE"""),"Admin")</f>
        <v>Admin</v>
      </c>
      <c r="B769" s="0" t="str">
        <f>IFERROR(__xludf.DUMMYFUNCTION("""COMPUTED_VALUE"""),"ClearRTPNLtabs")</f>
        <v>ClearRTPNLtabs</v>
      </c>
      <c r="C769" s="0" t="str">
        <f>IFERROR(__xludf.DUMMYFUNCTION("""COMPUTED_VALUE"""),"Undefined")</f>
        <v>Undefined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IFERROR(__xludf.DUMMYFUNCTION("""COMPUTED_VALUE"""),"AddTabRTPNL")</f>
        <v>AddTabRTPNL</v>
      </c>
      <c r="C770" s="0" t="str">
        <f>IFERROR(__xludf.DUMMYFUNCTION("""COMPUTED_VALUE"""),"18kG7vS-CfSLW8Q-ho416lyPlP36XJPPHA0cRbCk3vjU")</f>
        <v>18kG7vS-CfSLW8Q-ho416lyPlP36XJPPHA0cRbCk3vjU</v>
      </c>
    </row>
    <row r="771" ht="15.75" customHeight="1">
      <c r="A771" s="0" t="str">
        <f>IFERROR(__xludf.DUMMYFUNCTION("""COMPUTED_VALUE"""),"PortfolioManagement")</f>
        <v>PortfolioManagement</v>
      </c>
      <c r="B771" s="0" t="str">
        <f>IFERROR(__xludf.DUMMYFUNCTION("""COMPUTED_VALUE"""),"SelectTradeOnPM")</f>
        <v>SelectTradeOnPM</v>
      </c>
      <c r="C771" s="0" t="str">
        <f>IFERROR(__xludf.DUMMYFUNCTION("""COMPUTED_VALUE"""),"1_tBJjps2mULQyHra_AnC6BBvPbOko3FAY-kc11l7eTg")</f>
        <v>1_tBJjps2mULQyHra_AnC6BBvPbOko3FAY-kc11l7eTg</v>
      </c>
    </row>
    <row r="772" ht="15.75" customHeight="1">
      <c r="A772" s="0" t="str">
        <f>IFERROR(__xludf.DUMMYFUNCTION("""COMPUTED_VALUE"""),"Unknown")</f>
        <v>Unknown</v>
      </c>
      <c r="B772" s="0" t="str">
        <f>IFERROR(__xludf.DUMMYFUNCTION("""COMPUTED_VALUE"""),"RightClickOperations")</f>
        <v>RightClickOperations</v>
      </c>
      <c r="C772" s="0" t="str">
        <f>IFERROR(__xludf.DUMMYFUNCTION("""COMPUTED_VALUE"""),"17jhCujI-0V0U3n5lzlkc-azSuwCa7rf-4KwcSInm9ts")</f>
        <v>17jhCujI-0V0U3n5lzlkc-azSuwCa7rf-4KwcSInm9ts</v>
      </c>
    </row>
    <row r="773" ht="15.75" customHeight="1">
      <c r="A773" s="0" t="str">
        <f>IFERROR(__xludf.DUMMYFUNCTION("""COMPUTED_VALUE"""),"Unknown")</f>
        <v>Unknown</v>
      </c>
      <c r="B773" s="0" t="str">
        <f>IFERROR(__xludf.DUMMYFUNCTION("""COMPUTED_VALUE"""),"RightClickAndClickOperations")</f>
        <v>RightClickAndClickOperations</v>
      </c>
      <c r="C773" s="0" t="str">
        <f>IFERROR(__xludf.DUMMYFUNCTION("""COMPUTED_VALUE"""),"1e9jtl9r57SkbYm3S4wbHtvkeG2KExZEiFSIkkRSaq-8")</f>
        <v>1e9jtl9r57SkbYm3S4wbHtvkeG2KExZEiFSIkkRSaq-8</v>
      </c>
    </row>
    <row r="774" ht="15.75" customHeight="1">
      <c r="A774" s="0" t="str">
        <f>IFERROR(__xludf.DUMMYFUNCTION("""COMPUTED_VALUE"""),"Blotter")</f>
        <v>Blotter</v>
      </c>
      <c r="B774" s="0" t="str">
        <f>IFERROR(__xludf.DUMMYFUNCTION("""COMPUTED_VALUE"""),"BlotterToolBarAction")</f>
        <v>BlotterToolBarAction</v>
      </c>
      <c r="C774" s="0" t="str">
        <f>IFERROR(__xludf.DUMMYFUNCTION("""COMPUTED_VALUE"""),"1bI1kIBxH6qy8zi5tx46rN3vNgbmxbdwtAo1inrXDALs")</f>
        <v>1bI1kIBxH6qy8zi5tx46rN3vNgbmxbdwtAo1inrXDALs</v>
      </c>
    </row>
    <row r="775" ht="15.75" customHeight="1">
      <c r="A775" s="0" t="str">
        <f>IFERROR(__xludf.DUMMYFUNCTION("""COMPUTED_VALUE"""),"TradingTicket")</f>
        <v>TradingTicket</v>
      </c>
      <c r="B775" s="0" t="str">
        <f>IFERROR(__xludf.DUMMYFUNCTION("""COMPUTED_VALUE"""),"MergeTT")</f>
        <v>MergeTT</v>
      </c>
      <c r="C775" s="0" t="str">
        <f>IFERROR(__xludf.DUMMYFUNCTION("""COMPUTED_VALUE"""),"1BEiRPdwHXsXVZ0ioude04Me5qSQ_YU6xh1ZwMWgExVU")</f>
        <v>1BEiRPdwHXsXVZ0ioude04Me5qSQ_YU6xh1ZwMWgExVU</v>
      </c>
    </row>
    <row r="776" ht="15.75" customHeight="1">
      <c r="A776" s="0" t="str">
        <f>IFERROR(__xludf.DUMMYFUNCTION("""COMPUTED_VALUE"""),"PortfolioManagement")</f>
        <v>PortfolioManagement</v>
      </c>
      <c r="B776" s="0" t="str">
        <f>IFERROR(__xludf.DUMMYFUNCTION("""COMPUTED_VALUE"""),"OperationsonPM")</f>
        <v>OperationsonPM</v>
      </c>
      <c r="C776" s="0" t="str">
        <f>IFERROR(__xludf.DUMMYFUNCTION("""COMPUTED_VALUE"""),"13hKVogBv66c752V1EGUyqXp4dGESQOZLmMqIB56fbAs")</f>
        <v>13hKVogBv66c752V1EGUyqXp4dGESQOZLmMqIB56fbAs</v>
      </c>
    </row>
    <row r="777" ht="15.75" customHeight="1">
      <c r="A777" s="0" t="str">
        <f>IFERROR(__xludf.DUMMYFUNCTION("""COMPUTED_VALUE"""),"Rebalancer")</f>
        <v>Rebalancer</v>
      </c>
      <c r="B777" s="0" t="str">
        <f>IFERROR(__xludf.DUMMYFUNCTION("""COMPUTED_VALUE"""),"CreateOrViewModelPortfolio")</f>
        <v>CreateOrViewModelPortfolio</v>
      </c>
      <c r="C777" s="0" t="str">
        <f>IFERROR(__xludf.DUMMYFUNCTION("""COMPUTED_VALUE"""),"1vejknW_QiO0r5pMzMjOGCCsgwLVes4a3Ubx1l-0Mg1k")</f>
        <v>1vejknW_QiO0r5pMzMjOGCCsgwLVes4a3Ubx1l-0Mg1k</v>
      </c>
    </row>
    <row r="778" ht="15.75" customHeight="1">
      <c r="A778" s="0" t="str">
        <f>IFERROR(__xludf.DUMMYFUNCTION("""COMPUTED_VALUE"""),"Rebalancer")</f>
        <v>Rebalancer</v>
      </c>
      <c r="B778" s="0" t="str">
        <f>IFERROR(__xludf.DUMMYFUNCTION("""COMPUTED_VALUE"""),"VerifyModelPortfolio")</f>
        <v>VerifyModelPortfolio</v>
      </c>
      <c r="C778" s="0" t="str">
        <f>IFERROR(__xludf.DUMMYFUNCTION("""COMPUTED_VALUE"""),"1Tza5cx7NJ2J8vr_f6DC-KPhnXCzf7l1m0EERc6z_T-U")</f>
        <v>1Tza5cx7NJ2J8vr_f6DC-KPhnXCzf7l1m0EERc6z_T-U</v>
      </c>
    </row>
    <row r="779" ht="15.75" customHeight="1">
      <c r="A779" s="0" t="str">
        <f>IFERROR(__xludf.DUMMYFUNCTION("""COMPUTED_VALUE"""),"Allocation")</f>
        <v>Allocation</v>
      </c>
      <c r="B779" s="0" t="str">
        <f>IFERROR(__xludf.DUMMYFUNCTION("""COMPUTED_VALUE"""),"ReviewExistingPositions")</f>
        <v>ReviewExistingPositions</v>
      </c>
      <c r="C779" s="0" t="str">
        <f>IFERROR(__xludf.DUMMYFUNCTION("""COMPUTED_VALUE"""),"1KwYoTdpeW6LDhzloVKHp5buZqc8IjXEShjwnUx45Ql8")</f>
        <v>1KwYoTdpeW6LDhzloVKHp5buZqc8IjXEShjwnUx45Ql8</v>
      </c>
    </row>
    <row r="780" ht="15.75" customHeight="1">
      <c r="A780" s="0" t="str">
        <f>IFERROR(__xludf.DUMMYFUNCTION("""COMPUTED_VALUE"""),"PTT")</f>
        <v>PTT</v>
      </c>
      <c r="B780" s="0" t="str">
        <f>IFERROR(__xludf.DUMMYFUNCTION("""COMPUTED_VALUE"""),"OperationsonPTT")</f>
        <v>OperationsonPTT</v>
      </c>
      <c r="C780" s="0" t="str">
        <f>IFERROR(__xludf.DUMMYFUNCTION("""COMPUTED_VALUE"""),"1J40rCXEDilLEF_x0Wkeeg1lwGfejucV1VSY9UcyeSlw")</f>
        <v>1J40rCXEDilLEF_x0Wkeeg1lwGfejucV1VSY9UcyeSlw</v>
      </c>
    </row>
    <row r="781" ht="15.75" customHeight="1">
      <c r="A781" s="0" t="str">
        <f>IFERROR(__xludf.DUMMYFUNCTION("""COMPUTED_VALUE"""),"PricingInput")</f>
        <v>PricingInput</v>
      </c>
      <c r="B781" s="0" t="str">
        <f>IFERROR(__xludf.DUMMYFUNCTION("""COMPUTED_VALUE"""),"UpdatePricingInput")</f>
        <v>UpdatePricingInput</v>
      </c>
      <c r="C781" s="0" t="str">
        <f>IFERROR(__xludf.DUMMYFUNCTION("""COMPUTED_VALUE"""),"1CG9iYOkRKzlGEsKh7QuEyMdGRQea_W4KDWwlnjE2BdE")</f>
        <v>1CG9iYOkRKzlGEsKh7QuEyMdGRQea_W4KDWwlnjE2BdE</v>
      </c>
    </row>
    <row r="782" ht="15.75" customHeight="1">
      <c r="A782" s="0" t="str">
        <f>IFERROR(__xludf.DUMMYFUNCTION("""COMPUTED_VALUE"""),"DailyValuation")</f>
        <v>DailyValuation</v>
      </c>
      <c r="B782" s="0" t="str">
        <f>IFERROR(__xludf.DUMMYFUNCTION("""COMPUTED_VALUE"""),"UpdateMPAndFC")</f>
        <v>UpdateMPAndFC</v>
      </c>
      <c r="C782" s="0" t="str">
        <f>IFERROR(__xludf.DUMMYFUNCTION("""COMPUTED_VALUE"""),"1UCNfZng94LprScqCmSKImRjCwiKlLQU_e1kY1tum91I")</f>
        <v>1UCNfZng94LprScqCmSKImRjCwiKlLQU_e1kY1tum91I</v>
      </c>
    </row>
    <row r="783" ht="15.75" customHeight="1">
      <c r="A783" s="0" t="str">
        <f>IFERROR(__xludf.DUMMYFUNCTION("""COMPUTED_VALUE"""),"Rebalancer")</f>
        <v>Rebalancer</v>
      </c>
      <c r="B783" s="0" t="str">
        <f>IFERROR(__xludf.DUMMYFUNCTION("""COMPUTED_VALUE"""),"SelectAndVerifyTradeList")</f>
        <v>SelectAndVerifyTradeList</v>
      </c>
      <c r="C783" s="0" t="str">
        <f>IFERROR(__xludf.DUMMYFUNCTION("""COMPUTED_VALUE"""),"1fXJG--hBH0hPvU7g5jtXyZnD1GiwJXfYX9HdEyhGyGs")</f>
        <v>1fXJG--hBH0hPvU7g5jtXyZnD1GiwJXfYX9HdEyhGyGs</v>
      </c>
    </row>
    <row r="784" ht="15.75" customHeight="1">
      <c r="A784" s="0" t="str">
        <f>IFERROR(__xludf.DUMMYFUNCTION("""COMPUTED_VALUE"""),"Rebalancer")</f>
        <v>Rebalancer</v>
      </c>
      <c r="B784" s="0" t="str">
        <f>IFERROR(__xludf.DUMMYFUNCTION("""COMPUTED_VALUE"""),"ActionOnTradeBuySellListView")</f>
        <v>ActionOnTradeBuySellListView</v>
      </c>
      <c r="C784" s="0" t="str">
        <f>IFERROR(__xludf.DUMMYFUNCTION("""COMPUTED_VALUE"""),"1xeJEpkdxtbik3vPUTkxALkXsnL-Vl5dF07PBUoheM3k")</f>
        <v>1xeJEpkdxtbik3vPUTkxALkXsnL-Vl5dF07PBUoheM3k</v>
      </c>
    </row>
    <row r="785" ht="15.75" customHeight="1">
      <c r="A785" s="0" t="str">
        <f>IFERROR(__xludf.DUMMYFUNCTION("""COMPUTED_VALUE"""),"Blotter")</f>
        <v>Blotter</v>
      </c>
      <c r="B785" s="0" t="str">
        <f>IFERROR(__xludf.DUMMYFUNCTION("""COMPUTED_VALUE"""),"AddTabToFav")</f>
        <v>AddTabToFav</v>
      </c>
      <c r="C785" s="0" t="str">
        <f>IFERROR(__xludf.DUMMYFUNCTION("""COMPUTED_VALUE"""),"1Hrblc1gk4JIYboQ1lGHgl7HatAXp5amAl9mS58vzT-0")</f>
        <v>1Hrblc1gk4JIYboQ1lGHgl7HatAXp5amAl9mS58vzT-0</v>
      </c>
    </row>
    <row r="786" ht="15.75" customHeight="1">
      <c r="A786" s="0" t="str">
        <f>IFERROR(__xludf.DUMMYFUNCTION("""COMPUTED_VALUE"""),"TradingTicket")</f>
        <v>TradingTicket</v>
      </c>
      <c r="B786" s="0" t="str">
        <f>IFERROR(__xludf.DUMMYFUNCTION("""COMPUTED_VALUE"""),"VerifyExecutionType")</f>
        <v>VerifyExecutionType</v>
      </c>
      <c r="C786" s="0" t="str">
        <f>IFERROR(__xludf.DUMMYFUNCTION("""COMPUTED_VALUE"""),"1GeLKG0YL6nDFQYX8NohWSG0yonppxuSHWgOuwLzEWwI")</f>
        <v>1GeLKG0YL6nDFQYX8NohWSG0yonppxuSHWgOuwLzEWwI</v>
      </c>
    </row>
    <row r="787" ht="15.75" customHeight="1">
      <c r="A787" s="0" t="str">
        <f>IFERROR(__xludf.DUMMYFUNCTION("""COMPUTED_VALUE"""),"OpenFin")</f>
        <v>OpenFin</v>
      </c>
      <c r="B787" s="0" t="str">
        <f>IFERROR(__xludf.DUMMYFUNCTION("""COMPUTED_VALUE"""),"VerifyNotification")</f>
        <v>VerifyNotification</v>
      </c>
      <c r="C787" s="0" t="str">
        <f>IFERROR(__xludf.DUMMYFUNCTION("""COMPUTED_VALUE"""),"1rm7dGZ4-j6MPtyiMlJDHnZgIjnFk8Hv19VRPaPCgUMY")</f>
        <v>1rm7dGZ4-j6MPtyiMlJDHnZgIjnFk8Hv19VRPaPCgUMY</v>
      </c>
    </row>
    <row r="788" ht="15.75" customHeight="1">
      <c r="A788" s="0" t="str">
        <f>IFERROR(__xludf.DUMMYFUNCTION("""COMPUTED_VALUE"""),"Blotter")</f>
        <v>Blotter</v>
      </c>
      <c r="B788" s="0" t="str">
        <f>IFERROR(__xludf.DUMMYFUNCTION("""COMPUTED_VALUE"""),"RollOverContextMenu")</f>
        <v>RollOverContextMenu</v>
      </c>
      <c r="C788" s="0" t="str">
        <f>IFERROR(__xludf.DUMMYFUNCTION("""COMPUTED_VALUE"""),"1d45ieJRLC6DQ7t19pclAZz5EI6hBsZ5_VdNJYb3VsNc")</f>
        <v>1d45ieJRLC6DQ7t19pclAZz5EI6hBsZ5_VdNJYb3VsNc</v>
      </c>
    </row>
    <row r="789" ht="15.75" customHeight="1">
      <c r="A789" s="0" t="str">
        <f>IFERROR(__xludf.DUMMYFUNCTION("""COMPUTED_VALUE"""),"PTT")</f>
        <v>PTT</v>
      </c>
      <c r="B789" s="0" t="str">
        <f>IFERROR(__xludf.DUMMYFUNCTION("""COMPUTED_VALUE"""),"RefreshCalculation")</f>
        <v>RefreshCalculation</v>
      </c>
    </row>
    <row r="790" ht="15.75" customHeight="1">
      <c r="A790" s="0" t="str">
        <f>IFERROR(__xludf.DUMMYFUNCTION("""COMPUTED_VALUE"""),"Blotter")</f>
        <v>Blotter</v>
      </c>
      <c r="B790" s="0" t="str">
        <f>IFERROR(__xludf.DUMMYFUNCTION("""COMPUTED_VALUE"""),"BookAsSwap")</f>
        <v>BookAsSwap</v>
      </c>
      <c r="C790" s="0" t="str">
        <f>IFERROR(__xludf.DUMMYFUNCTION("""COMPUTED_VALUE"""),"1tnkP5eD3WH53SXu2O-MWk6774J7b5ihwlD7r9dGtpiY")</f>
        <v>1tnkP5eD3WH53SXu2O-MWk6774J7b5ihwlD7r9dGtpiY</v>
      </c>
    </row>
    <row r="791" ht="15.75" customHeight="1">
      <c r="A791" s="0" t="str">
        <f>IFERROR(__xludf.DUMMYFUNCTION("""COMPUTED_VALUE"""),"Blotter")</f>
        <v>Blotter</v>
      </c>
      <c r="B791" s="0" t="str">
        <f>IFERROR(__xludf.DUMMYFUNCTION("""COMPUTED_VALUE"""),"ActionOnFloatingWindow")</f>
        <v>ActionOnFloatingWindow</v>
      </c>
      <c r="C791" s="0" t="str">
        <f>IFERROR(__xludf.DUMMYFUNCTION("""COMPUTED_VALUE"""),"1tFNUPT3PXgCKRnnehGwo6OF7EhLu13UJ8Elfq83HArE")</f>
        <v>1tFNUPT3PXgCKRnnehGwo6OF7EhLu13UJ8Elfq83HArE</v>
      </c>
    </row>
    <row r="792" ht="15.75" customHeight="1">
      <c r="A792" s="0" t="str">
        <f>IFERROR(__xludf.DUMMYFUNCTION("""COMPUTED_VALUE"""),"OpenFin")</f>
        <v>OpenFin</v>
      </c>
      <c r="B792" s="0" t="str">
        <f>IFERROR(__xludf.DUMMYFUNCTION("""COMPUTED_VALUE"""),"LockUnlockModule")</f>
        <v>LockUnlockModule</v>
      </c>
      <c r="C792" s="0" t="str">
        <f>IFERROR(__xludf.DUMMYFUNCTION("""COMPUTED_VALUE"""),"179D0kPRO8f_KLxd7hs6seM9XGxpL-u1rhIhNgFVePsQ")</f>
        <v>179D0kPRO8f_KLxd7hs6seM9XGxpL-u1rhIhNgFVePsQ</v>
      </c>
    </row>
    <row r="793" ht="15.75" customHeight="1">
      <c r="A793" s="0" t="str">
        <f>IFERROR(__xludf.DUMMYFUNCTION("""COMPUTED_VALUE"""),"OpenFin")</f>
        <v>OpenFin</v>
      </c>
      <c r="B793" s="0" t="str">
        <f>IFERROR(__xludf.DUMMYFUNCTION("""COMPUTED_VALUE"""),"OpenModule")</f>
        <v>OpenModule</v>
      </c>
      <c r="C793" s="0" t="str">
        <f>IFERROR(__xludf.DUMMYFUNCTION("""COMPUTED_VALUE"""),"1IdmD7l42pWNjFNVt_7UwbOO7y5tDxaXr7tE60c9ETLw")</f>
        <v>1IdmD7l42pWNjFNVt_7UwbOO7y5tDxaXr7tE60c9ETLw</v>
      </c>
    </row>
    <row r="794" ht="15.75" customHeight="1">
      <c r="A794" s="0" t="str">
        <f>IFERROR(__xludf.DUMMYFUNCTION("""COMPUTED_VALUE"""),"TradingTicket")</f>
        <v>TradingTicket</v>
      </c>
      <c r="B794" s="0" t="str">
        <f>IFERROR(__xludf.DUMMYFUNCTION("""COMPUTED_VALUE"""),"SymbolSuggestionVerify")</f>
        <v>SymbolSuggestionVerify</v>
      </c>
      <c r="C794" s="0" t="str">
        <f>IFERROR(__xludf.DUMMYFUNCTION("""COMPUTED_VALUE"""),"14aTeLjmUbS-nhaQwjtZAMGxdQ5DS6UsBjE5OTWN-LQU")</f>
        <v>14aTeLjmUbS-nhaQwjtZAMGxdQ5DS6UsBjE5OTWN-LQU</v>
      </c>
    </row>
    <row r="795" ht="15.75" customHeight="1">
      <c r="A795" s="0" t="str">
        <f>IFERROR(__xludf.DUMMYFUNCTION("""COMPUTED_VALUE"""),"Blotter")</f>
        <v>Blotter</v>
      </c>
      <c r="B795" s="0" t="str">
        <f>IFERROR(__xludf.DUMMYFUNCTION("""COMPUTED_VALUE"""),"CreateHotButtonOnBlotter")</f>
        <v>CreateHotButtonOnBlotter</v>
      </c>
      <c r="C795" s="0" t="str">
        <f>IFERROR(__xludf.DUMMYFUNCTION("""COMPUTED_VALUE"""),"1Yu7Fb6AjhUP8b-KuRJvgAwq8TykNK6BDh9F0Xpf12Ek")</f>
        <v>1Yu7Fb6AjhUP8b-KuRJvgAwq8TykNK6BDh9F0Xpf12Ek</v>
      </c>
    </row>
    <row r="796" ht="15.75" customHeight="1">
      <c r="A796" s="0" t="str">
        <f>IFERROR(__xludf.DUMMYFUNCTION("""COMPUTED_VALUE"""),"Blotter")</f>
        <v>Blotter</v>
      </c>
      <c r="B796" s="0" t="str">
        <f>IFERROR(__xludf.DUMMYFUNCTION("""COMPUTED_VALUE"""),"FillHBdetailsOnBlotter")</f>
        <v>FillHBdetailsOnBlotter</v>
      </c>
      <c r="C796" s="0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6EE5D86-2ABE-4E2E-B65F-6F3922418DB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AAD8FF5-764B-436B-8A2B-4315A27F49A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901CB95-BF8D-45D2-9FAB-E29C2AC1B6A8}">
          <x14:formula1>
            <xm:f>EditSMGridUi!$4:$4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CB941E7-661E-497F-BCAB-A5ABD0EA87D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5423ED5-EBEA-4C03-8CB4-3E7CD8D982DF}">
          <x14:formula1>
            <xm:f>UpdateExpnlConfig!$4:$4</xm:f>
          </x14:formula1>
          <xm:sqref>E3</xm:sqref>
        </x14:dataValidation>
        <x14:dataValidation type="list" allowBlank="1" showInputMessage="1" showErrorMessage="1" prompt="Choose an available module" xr:uid="{ABB58527-9C32-4916-A302-0A3ECCDB3E99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52EA693-96D6-4C69-91A8-983F92F6DBC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010A45F-7A4F-4EB4-888C-B21FAA8244B2}">
          <x14:formula1>
            <xm:f>UpdateRoundLot!$4:$4</xm:f>
          </x14:formula1>
          <xm:sqref>E3</xm:sqref>
        </x14:dataValidation>
        <x14:dataValidation type="list" allowBlank="1" showInputMessage="1" showErrorMessage="1" prompt="Choose an available module" xr:uid="{5033615D-D047-41E1-854C-BB9E78967685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ref="Z6:Z15" t="shared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</v>
      </c>
      <c r="D7" s="33">
        <v>10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123456789</v>
      </c>
      <c r="C8" s="33">
        <v>12000</v>
      </c>
      <c r="D8" s="33">
        <v>25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</v>
      </c>
      <c r="D9" s="33">
        <v>20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</v>
      </c>
      <c r="D10" s="33">
        <v>10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</v>
      </c>
      <c r="D12" s="33">
        <v>8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</v>
      </c>
      <c r="D13" s="33">
        <v>5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</v>
      </c>
      <c r="D14" s="33">
        <v>8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</v>
      </c>
      <c r="D15" s="33">
        <v>5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5DC28EB-063D-4908-81DC-11FBBAA5A64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0A0413E-9DCD-4A0B-B751-BF2CAD14072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B667EF4-2648-41A4-AD0F-38FCE0D1135F}">
          <x14:formula1>
            <xm:f>CustomOrderTT!$4:$4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123456789</v>
      </c>
      <c r="C8" s="33">
        <v>25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BFA4A23-A7B0-4B43-AF9A-252E5C6D522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54FDBB1-B04A-47FB-B7AA-84D42CF07AA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60F25E2-64A4-4EF1-9E0F-99BC3875C2E4}">
          <x14:formula1>
            <xm:f>PricingInput!$4:$4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45854</v>
      </c>
      <c r="C6" s="37">
        <f>TODAY()</f>
        <v>45855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55C5BEA-2993-4DB5-9AB1-54DA95E58AB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E9BE770-C339-40ED-A456-3645DCADDD6F}">
          <x14:formula1>
            <xm:f>GetForexConversion!$4:$4</xm:f>
          </x14:formula1>
          <xm:sqref>E3</xm:sqref>
        </x14:dataValidation>
        <x14:dataValidation type="list" allowBlank="1" showInputMessage="1" showErrorMessage="1" prompt="Choose an available module" xr:uid="{F8CD1F00-DE02-4C55-84A9-84143EA83D82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814E949-1CFF-41B2-8AEF-859775FDE46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E97EC81-22A2-4AFB-A3BE-014822DC596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97C45FF-558F-48D0-BEFA-CFB50BCE0D0C}">
          <x14:formula1>
            <xm:f>UpdateForexConversion!$4:$4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45854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0482743-6E5C-4905-87C8-C7FA3C830AF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9DCC90F-C2B5-4225-956A-D269E26FF56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116A3B9B-B5CA-445F-8B98-6085BD152D91}">
          <x14:formula1>
            <xm:f>GetDataAllocation!$4:$4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2534827-2993-41CC-A64D-542315571C3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69ED586-3615-426A-8236-DC61F6CEBB88}">
          <x14:formula1>
            <xm:f>SelectAllocatedGroup!$4:$4</xm:f>
          </x14:formula1>
          <xm:sqref>E3</xm:sqref>
        </x14:dataValidation>
        <x14:dataValidation type="list" allowBlank="1" showInputMessage="1" showErrorMessage="1" prompt="Choose an available module" xr:uid="{00817B19-5FD5-44FD-8141-187D18707639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</v>
      </c>
      <c r="C6" s="31"/>
      <c r="D6" s="30"/>
      <c r="E6" s="31"/>
      <c r="F6" s="33">
        <v>365</v>
      </c>
      <c r="G6" s="31"/>
      <c r="H6" s="33">
        <v>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4B3BD88-3A38-4112-929A-7EE496E4D9E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D16B0E7-F833-4130-AFC3-A7DCFB667357}">
          <x14:formula1>
            <xm:f>BookOrUpdateSwap!$4:$4</xm:f>
          </x14:formula1>
          <xm:sqref>E3</xm:sqref>
        </x14:dataValidation>
        <x14:dataValidation type="list" allowBlank="1" showInputMessage="1" showErrorMessage="1" prompt="Choose an available module" xr:uid="{1C2DE5F7-E8D6-4EAE-B97A-E69CF9842BFA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28D1114-E1E4-4294-8079-FFD5EEE113A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E8C8412-2508-4CD8-A423-16507BF2F419}">
          <x14:formula1>
            <xm:f>SelectAllocatedGroup1!$4:$4</xm:f>
          </x14:formula1>
          <xm:sqref>E3</xm:sqref>
        </x14:dataValidation>
        <x14:dataValidation type="list" allowBlank="1" showInputMessage="1" showErrorMessage="1" prompt="Choose an available module" xr:uid="{90F711BC-D304-4957-9367-A23E388843EF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</v>
      </c>
      <c r="C6" s="31"/>
      <c r="D6" s="30"/>
      <c r="E6" s="31"/>
      <c r="F6" s="33">
        <v>365</v>
      </c>
      <c r="G6" s="31"/>
      <c r="H6" s="33">
        <v>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B49A2B3-7FD3-43BE-AFAA-3A3785C1FB3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9B8056E-B837-4383-B7B6-84F1D6F1160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8807653-FC09-42C5-AABA-8E25F5A079A0}">
          <x14:formula1>
            <xm:f>BookOrUpdateSwap1!$4:$4</xm:f>
          </x14:formula1>
          <xm:sqref>E3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</v>
      </c>
      <c r="D6" s="36">
        <v>50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</v>
      </c>
      <c r="D7" s="33">
        <v>50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</v>
      </c>
      <c r="D8" s="33">
        <v>50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</v>
      </c>
      <c r="D9" s="33">
        <v>5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4D84BBE-EF45-4BD8-B26C-2128926C5B2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78DCC5A-FC52-43D6-8861-B6EE718521A0}">
          <x14:formula1>
            <xm:f>CustomOrderTT1!$4:$4</xm:f>
          </x14:formula1>
          <xm:sqref>E3</xm:sqref>
        </x14:dataValidation>
        <x14:dataValidation type="list" allowBlank="1" showInputMessage="1" showErrorMessage="1" prompt="Choose an available module" xr:uid="{DA7E2987-29FA-43E7-8437-AFC09F445C48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82B8BEC-5521-436C-877C-017F5707E04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B4ED873-8349-4B32-8535-EA6051E11DDB}">
          <x14:formula1>
            <xm:f>PricingInput1!$4:$4</xm:f>
          </x14:formula1>
          <xm:sqref>E3</xm:sqref>
        </x14:dataValidation>
        <x14:dataValidation type="list" allowBlank="1" showInputMessage="1" showErrorMessage="1" prompt="Choose an available module" xr:uid="{FFD2F33B-2210-4A68-A070-CB2985B39AE2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ref="B6:C6" t="shared" si="1">TODAY()-1</f>
        <v>45854</v>
      </c>
      <c r="C6" s="37">
        <f t="shared" si="1"/>
        <v>45854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9FCF5E8-9D09-4D99-B9E1-3ACD885AE20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B48A823-9C15-4366-9E36-698CEC8936F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BEA27E1-1546-4339-A7EE-8D6FBC7F60DD}">
          <x14:formula1>
            <xm:f>GetDailyCash!$4:$4</xm:f>
          </x14:formula1>
          <xm:sqref>E3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AF65616-FAA4-401F-9DC2-E717F1C736D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D148685-2015-41F3-87ED-FEA0C6CF5409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C7210EBD-8D13-4EB4-BB7F-C28AB737A33F}">
          <x14:formula1>
            <xm:f>'_Modules'!$A$4:$A$1000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61</v>
      </c>
      <c r="D6" s="39">
        <f ref="D6:E6" t="shared" si="1">TODAY()</f>
        <v>45855</v>
      </c>
      <c r="E6" s="39">
        <f t="shared" si="1"/>
        <v>45855</v>
      </c>
      <c r="F6" s="31"/>
      <c r="G6" s="31" t="s">
        <v>62</v>
      </c>
      <c r="H6" s="31" t="s">
        <v>63</v>
      </c>
      <c r="I6" s="31" t="s">
        <v>62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2A76302-CD44-4049-A0D4-534A53E9057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315048E-B9F0-402B-857C-2BB2C5BDCD20}">
          <x14:formula1>
            <xm:f>GetCashTransaction!$4:$4</xm:f>
          </x14:formula1>
          <xm:sqref>E3</xm:sqref>
        </x14:dataValidation>
        <x14:dataValidation type="list" allowBlank="1" showInputMessage="1" showErrorMessage="1" prompt="Choose an available module" xr:uid="{F2BBD32B-F984-4375-AE11-39A64CB628A8}">
          <x14:formula1>
            <xm:f>'_Modules'!$A$4:$A$1000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</v>
      </c>
      <c r="I6" s="37">
        <f>TODAY()-1</f>
        <v>45854</v>
      </c>
      <c r="J6" s="37">
        <f>TODAY()+2</f>
        <v>45857</v>
      </c>
      <c r="K6" s="37">
        <f>TODAY()</f>
        <v>45855</v>
      </c>
      <c r="L6" s="31"/>
      <c r="M6" s="40" t="s">
        <v>68</v>
      </c>
      <c r="N6" s="40" t="s">
        <v>45</v>
      </c>
      <c r="O6" s="41">
        <v>1</v>
      </c>
      <c r="P6" s="40" t="s">
        <v>69</v>
      </c>
      <c r="Q6" s="42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3101DCD-A127-4DD9-9D9D-379308F1D16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BF630B0-EE65-41A7-8E44-C4D0C2C82B8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236F6F1-A9ED-45BE-A463-90F5558B23AF}">
          <x14:formula1>
            <xm:f>AddCashTransaction!$4:$4</xm:f>
          </x14:formula1>
          <xm:sqref>E3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72</v>
      </c>
      <c r="C6" s="32" t="s">
        <v>58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4CE7ED7-0DC8-4C37-901D-11F4E7CA7ED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EE11376-F442-48C9-8A3C-A79C2B31FE66}">
          <x14:formula1>
            <xm:f>RunRevaluation!$4:$4</xm:f>
          </x14:formula1>
          <xm:sqref>E3</xm:sqref>
        </x14:dataValidation>
        <x14:dataValidation type="list" allowBlank="1" showInputMessage="1" showErrorMessage="1" prompt="Choose an available module" xr:uid="{BAC0C80C-E80E-41CF-8EF5-2012B2B0722A}">
          <x14:formula1>
            <xm:f>'_Modules'!$A$4:$A$1000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43" t="s">
        <v>75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3BA7E4F-999C-45A2-91DE-5ED6C485FF1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EA25B88-C5F4-48E6-9C67-DE5E2761B6C0}">
          <x14:formula1>
            <xm:f>RebalancePreference!$4:$4</xm:f>
          </x14:formula1>
          <xm:sqref>E3</xm:sqref>
        </x14:dataValidation>
        <x14:dataValidation type="list" allowBlank="1" showInputMessage="1" showErrorMessage="1" prompt="Choose an available module" xr:uid="{FF44224F-7DBE-4FAD-BFE4-F3A79BE6592C}">
          <x14:formula1>
            <xm:f>'_Modules'!$A$4:$A$1000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3564DFE-54F9-44FE-9679-813E352AB11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D19E3E0-4F7C-4417-97A0-37722F72D45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CCDC683-3508-41C0-A29B-E00A336D63DC}">
          <x14:formula1>
            <xm:f>FetchAccountPositions!$4:$4</xm:f>
          </x14:formula1>
          <xm:sqref>E3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-10000</v>
      </c>
      <c r="C6" s="32" t="s">
        <v>78</v>
      </c>
      <c r="D6" s="34" t="s">
        <v>79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3E8F479-EA1E-415A-97C4-8F82CD1EBA8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105D065-5B0A-4CA5-B044-27A852457172}">
          <x14:formula1>
            <xm:f>AddCash!$4:$4</xm:f>
          </x14:formula1>
          <xm:sqref>E3</xm:sqref>
        </x14:dataValidation>
        <x14:dataValidation type="list" allowBlank="1" showInputMessage="1" showErrorMessage="1" prompt="Choose an available module" xr:uid="{F0BEE846-0A39-40ED-AC27-6853C1C730F2}">
          <x14:formula1>
            <xm:f>'_Modules'!$A$4:$A$1000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81</v>
      </c>
      <c r="C6" s="31"/>
      <c r="D6" s="44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C051EF2-05DD-4D11-8BEA-0C14A06D583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6920D0F-A44E-4372-96AB-ACCF1B1EDA66}">
          <x14:formula1>
            <xm:f>RunRebalance!$4:$4</xm:f>
          </x14:formula1>
          <xm:sqref>E3</xm:sqref>
        </x14:dataValidation>
        <x14:dataValidation type="list" allowBlank="1" showInputMessage="1" showErrorMessage="1" prompt="Choose an available module" xr:uid="{985C3913-C7DE-4F6F-8CBB-B4B2055DF52C}">
          <x14:formula1>
            <xm:f>'_Modules'!$A$4:$A$1000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83</v>
      </c>
      <c r="C6" s="32" t="s">
        <v>84</v>
      </c>
      <c r="D6" s="36">
        <v>1</v>
      </c>
      <c r="E6" s="32" t="s">
        <v>58</v>
      </c>
      <c r="F6" s="31"/>
      <c r="G6" s="31"/>
      <c r="H6" s="31"/>
      <c r="I6" s="31"/>
      <c r="J6" s="33">
        <v>10</v>
      </c>
      <c r="K6" s="33">
        <v>1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E781CAF-B033-46CE-8150-EA8AC5E1610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1304689-FD2A-4E45-87D1-AC8D1837AF8E}">
          <x14:formula1>
            <xm:f>RebalanceAcrossSecurities!$4:$4</xm:f>
          </x14:formula1>
          <xm:sqref>E3</xm:sqref>
        </x14:dataValidation>
        <x14:dataValidation type="list" allowBlank="1" showInputMessage="1" showErrorMessage="1" prompt="Choose an available module" xr:uid="{2C300FF0-3DAA-4FCE-AEC9-E70EAFF398EF}">
          <x14:formula1>
            <xm:f>'_Modules'!$A$4:$A$1000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577B315-A4EA-47C8-810A-8876A10CAA4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2F2B0E9-5053-4FE6-B532-E65C61A4DA0F}">
          <x14:formula1>
            <xm:f>ModifyRebalance!$4:$4</xm:f>
          </x14:formula1>
          <xm:sqref>E3</xm:sqref>
        </x14:dataValidation>
        <x14:dataValidation type="list" allowBlank="1" showInputMessage="1" showErrorMessage="1" prompt="Choose an available module" xr:uid="{7825146D-CAF0-4E00-B6B4-6FEC630F8730}">
          <x14:formula1>
            <xm:f>'_Modules'!$A$4:$A$1000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 t="s">
        <v>33</v>
      </c>
      <c r="D6" s="12">
        <v>123456789</v>
      </c>
      <c r="E6" s="12">
        <v>12000</v>
      </c>
      <c r="F6" s="12">
        <v>25</v>
      </c>
      <c r="G6" s="45">
        <v>-3000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58</v>
      </c>
      <c r="C7" s="12" t="s">
        <v>87</v>
      </c>
      <c r="D7" s="12">
        <v>123456789</v>
      </c>
      <c r="E7" s="12">
        <v>13</v>
      </c>
      <c r="F7" s="12">
        <v>25</v>
      </c>
      <c r="G7" s="12">
        <v>-3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58</v>
      </c>
      <c r="C8" s="12" t="s">
        <v>88</v>
      </c>
      <c r="D8" s="12" t="s">
        <v>35</v>
      </c>
      <c r="E8" s="12">
        <v>20000</v>
      </c>
      <c r="F8" s="12">
        <v>5</v>
      </c>
      <c r="G8" s="45">
        <v>1000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58</v>
      </c>
      <c r="C9" s="12" t="s">
        <v>87</v>
      </c>
      <c r="D9" s="12" t="s">
        <v>35</v>
      </c>
      <c r="E9" s="12">
        <v>21</v>
      </c>
      <c r="F9" s="12">
        <v>5</v>
      </c>
      <c r="G9" s="12">
        <v>-1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58</v>
      </c>
      <c r="C10" s="12" t="s">
        <v>33</v>
      </c>
      <c r="D10" s="12" t="s">
        <v>23</v>
      </c>
      <c r="E10" s="12">
        <v>100</v>
      </c>
      <c r="F10" s="12">
        <v>8</v>
      </c>
      <c r="G10" s="12">
        <v>-800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58</v>
      </c>
      <c r="C11" s="12" t="s">
        <v>87</v>
      </c>
      <c r="D11" s="12" t="s">
        <v>23</v>
      </c>
      <c r="E11" s="12">
        <v>100</v>
      </c>
      <c r="F11" s="12">
        <v>8</v>
      </c>
      <c r="G11" s="12">
        <v>-800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58</v>
      </c>
      <c r="C12" s="12" t="s">
        <v>32</v>
      </c>
      <c r="D12" s="12" t="s">
        <v>83</v>
      </c>
      <c r="E12" s="12">
        <v>235</v>
      </c>
      <c r="F12" s="12">
        <v>10</v>
      </c>
      <c r="G12" s="45">
        <v>2350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58</v>
      </c>
      <c r="C13" s="12" t="s">
        <v>87</v>
      </c>
      <c r="D13" s="12" t="s">
        <v>24</v>
      </c>
      <c r="E13" s="12">
        <v>200</v>
      </c>
      <c r="F13" s="12">
        <v>25</v>
      </c>
      <c r="G13" s="45">
        <v>-5294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58</v>
      </c>
      <c r="C14" s="12" t="s">
        <v>87</v>
      </c>
      <c r="D14" s="12" t="s">
        <v>25</v>
      </c>
      <c r="E14" s="12">
        <v>400</v>
      </c>
      <c r="F14" s="12">
        <v>30</v>
      </c>
      <c r="G14" s="45">
        <v>-14640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58</v>
      </c>
      <c r="C15" s="12" t="s">
        <v>87</v>
      </c>
      <c r="D15" s="12" t="s">
        <v>25</v>
      </c>
      <c r="E15" s="12">
        <v>400</v>
      </c>
      <c r="F15" s="12">
        <v>30</v>
      </c>
      <c r="G15" s="45">
        <v>-14640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 t="s">
        <v>58</v>
      </c>
      <c r="C16" s="12" t="s">
        <v>87</v>
      </c>
      <c r="D16" s="12" t="s">
        <v>26</v>
      </c>
      <c r="E16" s="12">
        <v>500</v>
      </c>
      <c r="F16" s="12">
        <v>10</v>
      </c>
      <c r="G16" s="45">
        <v>-5000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 t="s">
        <v>58</v>
      </c>
      <c r="C17" s="12" t="s">
        <v>87</v>
      </c>
      <c r="D17" s="12" t="s">
        <v>26</v>
      </c>
      <c r="E17" s="12">
        <v>500</v>
      </c>
      <c r="F17" s="12">
        <v>10</v>
      </c>
      <c r="G17" s="45">
        <v>-5000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 t="s">
        <v>58</v>
      </c>
      <c r="C18" s="12" t="s">
        <v>87</v>
      </c>
      <c r="D18" s="12" t="s">
        <v>27</v>
      </c>
      <c r="E18" s="12">
        <v>600</v>
      </c>
      <c r="F18" s="12">
        <v>20</v>
      </c>
      <c r="G18" s="45">
        <v>-12000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 t="s">
        <v>58</v>
      </c>
      <c r="C19" s="12" t="s">
        <v>87</v>
      </c>
      <c r="D19" s="12" t="s">
        <v>27</v>
      </c>
      <c r="E19" s="12">
        <v>600</v>
      </c>
      <c r="F19" s="12">
        <v>20</v>
      </c>
      <c r="G19" s="45">
        <v>-12000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 t="s">
        <v>58</v>
      </c>
      <c r="C20" s="12" t="s">
        <v>32</v>
      </c>
      <c r="D20" s="12" t="s">
        <v>28</v>
      </c>
      <c r="E20" s="12">
        <v>300</v>
      </c>
      <c r="F20" s="12">
        <v>10</v>
      </c>
      <c r="G20" s="45">
        <v>3000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 t="s">
        <v>58</v>
      </c>
      <c r="C21" s="12" t="s">
        <v>87</v>
      </c>
      <c r="D21" s="12" t="s">
        <v>28</v>
      </c>
      <c r="E21" s="12">
        <v>300</v>
      </c>
      <c r="F21" s="12">
        <v>10</v>
      </c>
      <c r="G21" s="45">
        <v>-3000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CF79FB6-C41F-409C-A341-F254B9B7249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EBC2A0C-7066-43E6-A344-DC849B37A4F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ABFCE7F-E0CA-4740-B2D8-94828BE28BB6}">
          <x14:formula1>
            <xm:f>SendtoStaging!$4:$4</xm:f>
          </x14:formula1>
          <xm:sqref>E3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89</v>
      </c>
      <c r="C6" s="31"/>
      <c r="D6" s="44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C6B4244-42A9-4C30-A366-2AE1A00FBC7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E37A39E-684E-4BBC-9833-31A82439371B}">
          <x14:formula1>
            <xm:f>RunRebalance1!$4:$4</xm:f>
          </x14:formula1>
          <xm:sqref>E3</xm:sqref>
        </x14:dataValidation>
        <x14:dataValidation type="list" allowBlank="1" showInputMessage="1" showErrorMessage="1" prompt="Choose an available module" xr:uid="{24FCF241-0B69-49E1-9C77-B797FA35F5BF}">
          <x14:formula1>
            <xm:f>'_Modules'!$A$4:$A$1000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 t="s">
        <v>33</v>
      </c>
      <c r="D6" s="12">
        <v>123456789</v>
      </c>
      <c r="E6" s="12">
        <v>12000</v>
      </c>
      <c r="F6" s="12">
        <v>25</v>
      </c>
      <c r="G6" s="45">
        <v>-3000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58</v>
      </c>
      <c r="C7" s="12" t="s">
        <v>88</v>
      </c>
      <c r="D7" s="12" t="s">
        <v>35</v>
      </c>
      <c r="E7" s="12">
        <v>20000</v>
      </c>
      <c r="F7" s="12">
        <v>5</v>
      </c>
      <c r="G7" s="45">
        <v>1000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58</v>
      </c>
      <c r="C8" s="12" t="s">
        <v>33</v>
      </c>
      <c r="D8" s="12" t="s">
        <v>23</v>
      </c>
      <c r="E8" s="12">
        <v>100</v>
      </c>
      <c r="F8" s="12">
        <v>8</v>
      </c>
      <c r="G8" s="12">
        <v>-800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58</v>
      </c>
      <c r="C9" s="12" t="s">
        <v>87</v>
      </c>
      <c r="D9" s="12">
        <v>123456789</v>
      </c>
      <c r="E9" s="12">
        <v>13</v>
      </c>
      <c r="F9" s="12">
        <v>25</v>
      </c>
      <c r="G9" s="12">
        <v>-3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58</v>
      </c>
      <c r="C10" s="12" t="s">
        <v>87</v>
      </c>
      <c r="D10" s="12" t="s">
        <v>35</v>
      </c>
      <c r="E10" s="12">
        <v>21</v>
      </c>
      <c r="F10" s="12">
        <v>5</v>
      </c>
      <c r="G10" s="12">
        <v>-1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58</v>
      </c>
      <c r="C11" s="12" t="s">
        <v>32</v>
      </c>
      <c r="D11" s="12" t="s">
        <v>83</v>
      </c>
      <c r="E11" s="12">
        <v>235</v>
      </c>
      <c r="F11" s="12">
        <v>10</v>
      </c>
      <c r="G11" s="45">
        <v>2350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1EACC2B-D049-4286-B470-CA88A608EB6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03E3499-CE25-4BA6-A108-56EA7B3BDFE3}">
          <x14:formula1>
            <xm:f>SendtoStaging1!$4:$4</xm:f>
          </x14:formula1>
          <xm:sqref>E3</xm:sqref>
        </x14:dataValidation>
        <x14:dataValidation type="list" allowBlank="1" showInputMessage="1" showErrorMessage="1" prompt="Choose an available module" xr:uid="{E6DDEA80-AA4B-4065-9C53-142AC163D816}">
          <x14:formula1>
            <xm:f>'_Modules'!$A$4:$A$1000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90</v>
      </c>
      <c r="C6" s="31"/>
      <c r="D6" s="44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C0D01D2-31F0-4465-988F-15F3122DACF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942581F-39CF-418C-BF37-E4B7233E2606}">
          <x14:formula1>
            <xm:f>RunRebalance2!$4:$4</xm:f>
          </x14:formula1>
          <xm:sqref>E3</xm:sqref>
        </x14:dataValidation>
        <x14:dataValidation type="list" allowBlank="1" showInputMessage="1" showErrorMessage="1" prompt="Choose an available module" xr:uid="{978FDA2E-1F93-4019-BC5A-2ABB44C5AA64}">
          <x14:formula1>
            <xm:f>'_Modules'!$A$4:$A$1000</xm:f>
          </x14:formula1>
          <xm:sqref>C3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 t="s">
        <v>33</v>
      </c>
      <c r="D6" s="12">
        <v>123456789</v>
      </c>
      <c r="E6" s="12">
        <v>12000</v>
      </c>
      <c r="F6" s="12">
        <v>25</v>
      </c>
      <c r="G6" s="45">
        <v>-3000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58</v>
      </c>
      <c r="C7" s="12" t="s">
        <v>88</v>
      </c>
      <c r="D7" s="12" t="s">
        <v>35</v>
      </c>
      <c r="E7" s="12">
        <v>20000</v>
      </c>
      <c r="F7" s="12">
        <v>5</v>
      </c>
      <c r="G7" s="45">
        <v>1000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58</v>
      </c>
      <c r="C8" s="12" t="s">
        <v>33</v>
      </c>
      <c r="D8" s="12" t="s">
        <v>23</v>
      </c>
      <c r="E8" s="12">
        <v>100</v>
      </c>
      <c r="F8" s="12">
        <v>8</v>
      </c>
      <c r="G8" s="12">
        <v>-800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58</v>
      </c>
      <c r="C9" s="12" t="s">
        <v>87</v>
      </c>
      <c r="D9" s="12">
        <v>123456789</v>
      </c>
      <c r="E9" s="12">
        <v>12</v>
      </c>
      <c r="F9" s="12">
        <v>25</v>
      </c>
      <c r="G9" s="12">
        <v>-3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58</v>
      </c>
      <c r="C10" s="12" t="s">
        <v>87</v>
      </c>
      <c r="D10" s="12" t="s">
        <v>35</v>
      </c>
      <c r="E10" s="12">
        <v>20</v>
      </c>
      <c r="F10" s="12">
        <v>5</v>
      </c>
      <c r="G10" s="12">
        <v>-1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58</v>
      </c>
      <c r="C11" s="12" t="s">
        <v>32</v>
      </c>
      <c r="D11" s="12" t="s">
        <v>83</v>
      </c>
      <c r="E11" s="12">
        <v>234</v>
      </c>
      <c r="F11" s="12">
        <v>10</v>
      </c>
      <c r="G11" s="45">
        <v>2340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BD66EAF-F9EB-45FD-8888-4B9293B7B15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85A21F6-67D0-41BF-A7C0-C1C074486D2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D885A7A-9A0D-48DF-BF6C-B22126F2DCA8}">
          <x14:formula1>
            <xm:f>SendtoStaging2!$4:$4</xm:f>
          </x14:formula1>
          <xm:sqref>E3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34</v>
      </c>
      <c r="AK6" s="31"/>
      <c r="AL6" s="47">
        <v>1200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630D7B3-7BB9-4536-8057-A5FCA5763DD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793C348-8229-443B-A005-46F479F73DA9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E64F99D7-C8B5-4024-9A73-95495FFDABE5}">
          <x14:formula1>
            <xm:f>'_Modules'!$A$4:$A$1000</xm:f>
          </x14:formula1>
          <xm:sqref>C3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 t="s">
        <v>34</v>
      </c>
      <c r="D6" s="36">
        <v>1200</v>
      </c>
      <c r="E6" s="31"/>
      <c r="F6" s="31"/>
      <c r="G6" s="31"/>
      <c r="H6" s="31"/>
      <c r="I6" s="31"/>
      <c r="J6" s="33">
        <v>20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974CF5E-FDF0-4DCC-86A3-27A2F42AC8B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0D8EA88-C06F-46D7-B7FB-BB25D4E5AB00}">
          <x14:formula1>
            <xm:f>CreateNewSubLiveOrder!$4:$4</xm:f>
          </x14:formula1>
          <xm:sqref>E3</xm:sqref>
        </x14:dataValidation>
        <x14:dataValidation type="list" allowBlank="1" showInputMessage="1" showErrorMessage="1" prompt="Choose an available module" xr:uid="{1B97032E-DDCA-40B6-B809-BEA13272D680}">
          <x14:formula1>
            <xm:f>'_Modules'!$A$4:$A$1000</xm:f>
          </x14:formula1>
          <xm:sqref>C3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23</v>
      </c>
      <c r="AJ6" s="31" t="s">
        <v>34</v>
      </c>
      <c r="AK6" s="31"/>
      <c r="AL6" s="47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DEA445B-389D-4D51-A586-0C8863671E6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7DA7089-CBBA-4A68-9D14-9B32384A992D}">
          <x14:formula1>
            <xm:f>TradeNewSubOrder1!$4:$4</xm:f>
          </x14:formula1>
          <xm:sqref>E3</xm:sqref>
        </x14:dataValidation>
        <x14:dataValidation type="list" allowBlank="1" showInputMessage="1" showErrorMessage="1" prompt="Choose an available module" xr:uid="{FF7CA96E-D99C-4707-8324-12E79C3D8DF5}">
          <x14:formula1>
            <xm:f>'_Modules'!$A$4:$A$1000</xm:f>
          </x14:formula1>
          <xm:sqref>C3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s">
        <v>23</v>
      </c>
      <c r="C6" s="32" t="s">
        <v>34</v>
      </c>
      <c r="D6" s="36">
        <v>100</v>
      </c>
      <c r="E6" s="31"/>
      <c r="F6" s="31"/>
      <c r="G6" s="31"/>
      <c r="H6" s="31"/>
      <c r="I6" s="31"/>
      <c r="J6" s="33">
        <v>10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8AE6E21-97FA-4820-97CF-8298BF1B1EA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C0F2D21-C1A2-4750-A198-344002FD4777}">
          <x14:formula1>
            <xm:f>CreateNewSubLiveOrder1!$4:$4</xm:f>
          </x14:formula1>
          <xm:sqref>E3</xm:sqref>
        </x14:dataValidation>
        <x14:dataValidation type="list" allowBlank="1" showInputMessage="1" showErrorMessage="1" prompt="Choose an available module" xr:uid="{5FAFEE65-AA30-4AB1-888F-B18128D4D6BD}">
          <x14:formula1>
            <xm:f>'_Modules'!$A$4:$A$1000</xm:f>
          </x14:formula1>
          <xm:sqref>C3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19FFA66-6AE5-453C-B547-D69B02EBB1B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0225D89-05AE-425D-B27A-CEB23CAFF99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D1267FE-B915-4F04-840C-5086D0992B34}">
          <x14:formula1>
            <xm:f>SelectTrade!$4:$4</xm:f>
          </x14:formula1>
          <xm:sqref>E3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1D1440A-22B2-4A57-8B09-DF7CD86BA47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635E138-0DE8-4D0A-B007-EAEF56243786}">
          <x14:formula1>
            <xm:f>AcknowledgeTrade!$4:$4</xm:f>
          </x14:formula1>
          <xm:sqref>E3</xm:sqref>
        </x14:dataValidation>
        <x14:dataValidation type="list" allowBlank="1" showInputMessage="1" showErrorMessage="1" prompt="Choose an available module" xr:uid="{BBD92481-053C-47A6-871C-518D912BDC4E}">
          <x14:formula1>
            <xm:f>'_Modules'!$A$4:$A$1000</xm:f>
          </x14:formula1>
          <xm:sqref>C3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</v>
      </c>
      <c r="C6" s="12">
        <v>1200</v>
      </c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CD59100-B465-4FE5-A5A9-A422475E086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E9FE5B2-98B9-4723-B408-E392A95B633A}">
          <x14:formula1>
            <xm:f>ExecuteTrade!$4:$4</xm:f>
          </x14:formula1>
          <xm:sqref>E3</xm:sqref>
        </x14:dataValidation>
        <x14:dataValidation type="list" allowBlank="1" showInputMessage="1" showErrorMessage="1" prompt="Choose an available module" xr:uid="{B3BBB08B-464F-4088-84C0-3689CF4F641D}">
          <x14:formula1>
            <xm:f>'_Modules'!$A$4:$A$1000</xm:f>
          </x14:formula1>
          <xm:sqref>C3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0B386FA-CC53-4847-98B1-BF33B302244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BA550B3-8E27-485C-9F6E-FD1F1C4BD9B1}">
          <x14:formula1>
            <xm:f>SelectTrade1!$4:$4</xm:f>
          </x14:formula1>
          <xm:sqref>E3</xm:sqref>
        </x14:dataValidation>
        <x14:dataValidation type="list" allowBlank="1" showInputMessage="1" showErrorMessage="1" prompt="Choose an available module" xr:uid="{F6E2D2C6-AE6E-4891-ADA9-06DEA5F380D0}">
          <x14:formula1>
            <xm:f>'_Modules'!$A$4:$A$1000</xm:f>
          </x14:formula1>
          <xm:sqref>C3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3F9CA54-04D9-4E1F-BDFF-5D4F204FFEA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A86EB23-18C4-40DC-B8E7-CF1C84C5BDB0}">
          <x14:formula1>
            <xm:f>AcknowledgeTrade1!$4:$4</xm:f>
          </x14:formula1>
          <xm:sqref>E3</xm:sqref>
        </x14:dataValidation>
        <x14:dataValidation type="list" allowBlank="1" showInputMessage="1" showErrorMessage="1" prompt="Choose an available module" xr:uid="{A447FDFA-E488-478C-AE03-CF45EBCEB4A0}">
          <x14:formula1>
            <xm:f>'_Modules'!$A$4:$A$1000</xm:f>
          </x14:formula1>
          <xm:sqref>C3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</v>
      </c>
      <c r="C6" s="12">
        <v>100</v>
      </c>
      <c r="D6" s="12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781EBAC-92DC-4B8F-A57F-06F344A1266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1494D5B-C539-495C-AE01-4ACFC633FC9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723888D-60F9-4E5F-BCD7-955636CED962}">
          <x14:formula1>
            <xm:f>ExecuteTrade1!$4:$4</xm:f>
          </x14:formula1>
          <xm:sqref>E3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0" t="s">
        <v>99</v>
      </c>
      <c r="B6" s="50" t="s">
        <v>58</v>
      </c>
      <c r="C6" s="8" t="s">
        <v>100</v>
      </c>
      <c r="D6" s="50"/>
      <c r="E6" s="8">
        <v>100</v>
      </c>
      <c r="F6" s="8" t="s">
        <v>101</v>
      </c>
      <c r="G6" s="8" t="s">
        <v>102</v>
      </c>
      <c r="H6" s="8"/>
      <c r="I6" s="8"/>
      <c r="J6" s="8"/>
      <c r="K6" s="8"/>
      <c r="L6" s="8"/>
      <c r="M6" s="8" t="s">
        <v>103</v>
      </c>
      <c r="N6" s="8" t="s">
        <v>104</v>
      </c>
      <c r="O6" s="8" t="s">
        <v>105</v>
      </c>
      <c r="Q6" s="0">
        <v>2</v>
      </c>
      <c r="S6" s="0" t="s">
        <v>106</v>
      </c>
      <c r="V6" s="0" t="s">
        <v>107</v>
      </c>
      <c r="W6" s="0">
        <v>1</v>
      </c>
      <c r="Y6" s="0" t="s">
        <v>99</v>
      </c>
      <c r="Z6" s="0" t="s">
        <v>45</v>
      </c>
      <c r="AD6" s="0" t="s">
        <v>108</v>
      </c>
      <c r="AE6" s="0">
        <v>100</v>
      </c>
      <c r="AF6" s="0" t="s">
        <v>99</v>
      </c>
      <c r="AH6" s="0" t="s">
        <v>69</v>
      </c>
      <c r="AI6" s="0">
        <v>1</v>
      </c>
      <c r="AJ6" s="0" t="s">
        <v>79</v>
      </c>
      <c r="AN6" s="0" t="b">
        <v>0</v>
      </c>
      <c r="AP6" s="0" t="b">
        <v>0</v>
      </c>
      <c r="AQ6" s="0" t="b">
        <v>0</v>
      </c>
      <c r="AR6" s="0" t="b">
        <v>1</v>
      </c>
      <c r="AY6" s="0" t="s">
        <v>109</v>
      </c>
      <c r="BD6" s="0" t="s">
        <v>110</v>
      </c>
      <c r="BE6" s="0">
        <v>2000</v>
      </c>
      <c r="BF6" s="0">
        <v>2000</v>
      </c>
      <c r="BJ6" s="0">
        <v>100</v>
      </c>
      <c r="BL6" s="0" t="s">
        <v>99</v>
      </c>
      <c r="BM6" s="0" t="s">
        <v>45</v>
      </c>
      <c r="BO6" s="0" t="s">
        <v>34</v>
      </c>
      <c r="BS6" s="0" t="s">
        <v>111</v>
      </c>
      <c r="BT6" s="0" t="s">
        <v>23</v>
      </c>
      <c r="CF6" s="0" t="s">
        <v>112</v>
      </c>
      <c r="CI6" s="0" t="s">
        <v>87</v>
      </c>
      <c r="CK6" s="0" t="s">
        <v>113</v>
      </c>
      <c r="CL6" s="0">
        <v>1</v>
      </c>
      <c r="CM6" s="0" t="s">
        <v>23</v>
      </c>
      <c r="CN6" s="0" t="s">
        <v>114</v>
      </c>
      <c r="CO6" s="0" t="s">
        <v>108</v>
      </c>
      <c r="CP6" s="0" t="s">
        <v>115</v>
      </c>
      <c r="CX6" s="0" t="s">
        <v>72</v>
      </c>
      <c r="CY6" s="0" t="s">
        <v>99</v>
      </c>
      <c r="CZ6" s="0" t="s">
        <v>99</v>
      </c>
      <c r="DA6" s="0" t="s">
        <v>99</v>
      </c>
      <c r="DB6" s="0" t="s">
        <v>99</v>
      </c>
      <c r="DC6" s="0" t="s">
        <v>99</v>
      </c>
      <c r="DD6" s="0" t="s">
        <v>99</v>
      </c>
      <c r="DE6" s="0" t="s">
        <v>99</v>
      </c>
      <c r="DF6" s="0" t="s">
        <v>99</v>
      </c>
      <c r="DG6" s="0" t="s">
        <v>99</v>
      </c>
      <c r="DH6" s="0" t="s">
        <v>99</v>
      </c>
      <c r="DI6" s="0" t="s">
        <v>99</v>
      </c>
      <c r="DJ6" s="0" t="s">
        <v>99</v>
      </c>
      <c r="DK6" s="0" t="s">
        <v>99</v>
      </c>
      <c r="DL6" s="0" t="s">
        <v>99</v>
      </c>
      <c r="DM6" s="0" t="s">
        <v>99</v>
      </c>
      <c r="DN6" s="0" t="s">
        <v>99</v>
      </c>
      <c r="DO6" s="0" t="s">
        <v>99</v>
      </c>
      <c r="DP6" s="0" t="s">
        <v>99</v>
      </c>
      <c r="DQ6" s="0" t="s">
        <v>99</v>
      </c>
      <c r="DR6" s="0" t="s">
        <v>99</v>
      </c>
      <c r="DS6" s="0" t="s">
        <v>99</v>
      </c>
      <c r="DT6" s="0" t="s">
        <v>99</v>
      </c>
      <c r="DU6" s="0" t="s">
        <v>99</v>
      </c>
      <c r="DV6" s="0" t="s">
        <v>99</v>
      </c>
      <c r="DW6" s="0" t="s">
        <v>99</v>
      </c>
      <c r="DX6" s="0" t="s">
        <v>99</v>
      </c>
      <c r="DY6" s="0" t="s">
        <v>99</v>
      </c>
      <c r="DZ6" s="0" t="s">
        <v>99</v>
      </c>
      <c r="EA6" s="0" t="s">
        <v>99</v>
      </c>
      <c r="EB6" s="0" t="s">
        <v>99</v>
      </c>
      <c r="EC6" s="0" t="s">
        <v>99</v>
      </c>
      <c r="ED6" s="0" t="s">
        <v>99</v>
      </c>
      <c r="EE6" s="0" t="s">
        <v>99</v>
      </c>
      <c r="EF6" s="0" t="s">
        <v>99</v>
      </c>
      <c r="EG6" s="0" t="s">
        <v>99</v>
      </c>
      <c r="EH6" s="0" t="s">
        <v>99</v>
      </c>
      <c r="EI6" s="0" t="s">
        <v>99</v>
      </c>
      <c r="EJ6" s="0" t="s">
        <v>99</v>
      </c>
      <c r="EK6" s="0" t="s">
        <v>99</v>
      </c>
      <c r="EL6" s="0" t="s">
        <v>99</v>
      </c>
      <c r="EM6" s="0" t="s">
        <v>99</v>
      </c>
      <c r="EN6" s="0" t="s">
        <v>99</v>
      </c>
      <c r="EO6" s="0" t="s">
        <v>99</v>
      </c>
      <c r="EP6" s="0" t="s">
        <v>99</v>
      </c>
      <c r="EQ6" s="0" t="s">
        <v>99</v>
      </c>
      <c r="ER6" s="0" t="s">
        <v>99</v>
      </c>
      <c r="ES6" s="0" t="s">
        <v>99</v>
      </c>
      <c r="ET6" s="0" t="s">
        <v>99</v>
      </c>
      <c r="EU6" s="0" t="s">
        <v>99</v>
      </c>
      <c r="EV6" s="0" t="s">
        <v>99</v>
      </c>
      <c r="EW6" s="0" t="s">
        <v>99</v>
      </c>
      <c r="EX6" s="0" t="s">
        <v>99</v>
      </c>
      <c r="FA6" s="0" t="s">
        <v>99</v>
      </c>
      <c r="FB6" s="0" t="s">
        <v>99</v>
      </c>
      <c r="FC6" s="0" t="s">
        <v>99</v>
      </c>
      <c r="FD6" s="0" t="s">
        <v>99</v>
      </c>
      <c r="FE6" s="0" t="s">
        <v>99</v>
      </c>
      <c r="FF6" s="0" t="s">
        <v>99</v>
      </c>
      <c r="FG6" s="0" t="s">
        <v>99</v>
      </c>
      <c r="FH6" s="0" t="s">
        <v>99</v>
      </c>
      <c r="FI6" s="0" t="s">
        <v>99</v>
      </c>
      <c r="FK6" s="0" t="s">
        <v>99</v>
      </c>
      <c r="FL6" s="0" t="s">
        <v>99</v>
      </c>
      <c r="FM6" s="0" t="s">
        <v>99</v>
      </c>
      <c r="FN6" s="0" t="s">
        <v>99</v>
      </c>
      <c r="FO6" s="0" t="s">
        <v>99</v>
      </c>
      <c r="FP6" s="0" t="s">
        <v>99</v>
      </c>
      <c r="FQ6" s="0" t="s">
        <v>99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 t="s">
        <v>99</v>
      </c>
      <c r="B7" s="8" t="s">
        <v>58</v>
      </c>
      <c r="C7" s="8" t="s">
        <v>100</v>
      </c>
      <c r="D7" s="8"/>
      <c r="E7" s="8">
        <v>1200</v>
      </c>
      <c r="F7" s="8" t="s">
        <v>101</v>
      </c>
      <c r="G7" s="8" t="s">
        <v>102</v>
      </c>
      <c r="H7" s="8"/>
      <c r="I7" s="8"/>
      <c r="J7" s="8"/>
      <c r="K7" s="8"/>
      <c r="L7" s="8"/>
      <c r="M7" s="8" t="s">
        <v>116</v>
      </c>
      <c r="N7" s="8" t="s">
        <v>104</v>
      </c>
      <c r="O7" s="8" t="s">
        <v>105</v>
      </c>
      <c r="Q7" s="0">
        <v>2</v>
      </c>
      <c r="S7" s="0" t="s">
        <v>106</v>
      </c>
      <c r="V7" s="0" t="s">
        <v>117</v>
      </c>
      <c r="W7" s="0">
        <v>1</v>
      </c>
      <c r="Y7" s="0" t="s">
        <v>99</v>
      </c>
      <c r="Z7" s="0" t="s">
        <v>45</v>
      </c>
      <c r="AD7" s="0" t="s">
        <v>118</v>
      </c>
      <c r="AE7" s="0">
        <v>1200</v>
      </c>
      <c r="AF7" s="0" t="s">
        <v>99</v>
      </c>
      <c r="AH7" s="0" t="s">
        <v>69</v>
      </c>
      <c r="AI7" s="0">
        <v>1</v>
      </c>
      <c r="AJ7" s="0" t="s">
        <v>79</v>
      </c>
      <c r="AN7" s="0" t="b">
        <v>0</v>
      </c>
      <c r="AP7" s="0" t="b">
        <v>0</v>
      </c>
      <c r="AQ7" s="0" t="b">
        <v>0</v>
      </c>
      <c r="AR7" s="0" t="b">
        <v>1</v>
      </c>
      <c r="AY7" s="0" t="s">
        <v>109</v>
      </c>
      <c r="BD7" s="0" t="s">
        <v>110</v>
      </c>
      <c r="BE7" s="0">
        <v>24000</v>
      </c>
      <c r="BF7" s="0">
        <v>24000</v>
      </c>
      <c r="BJ7" s="0">
        <v>1200</v>
      </c>
      <c r="BL7" s="0" t="s">
        <v>99</v>
      </c>
      <c r="BM7" s="0" t="s">
        <v>45</v>
      </c>
      <c r="BO7" s="0" t="s">
        <v>34</v>
      </c>
      <c r="BS7" s="0" t="s">
        <v>111</v>
      </c>
      <c r="BT7" s="0" t="s">
        <v>27</v>
      </c>
      <c r="CF7" s="0" t="s">
        <v>112</v>
      </c>
      <c r="CI7" s="0" t="s">
        <v>87</v>
      </c>
      <c r="CK7" s="0" t="s">
        <v>113</v>
      </c>
      <c r="CL7" s="0">
        <v>1</v>
      </c>
      <c r="CM7" s="0" t="s">
        <v>27</v>
      </c>
      <c r="CN7" s="0" t="s">
        <v>114</v>
      </c>
      <c r="CO7" s="0" t="s">
        <v>108</v>
      </c>
      <c r="CP7" s="0" t="s">
        <v>115</v>
      </c>
      <c r="CX7" s="0" t="s">
        <v>72</v>
      </c>
      <c r="CY7" s="0" t="s">
        <v>99</v>
      </c>
      <c r="CZ7" s="0" t="s">
        <v>99</v>
      </c>
      <c r="DA7" s="0" t="s">
        <v>99</v>
      </c>
      <c r="DB7" s="0" t="s">
        <v>99</v>
      </c>
      <c r="DC7" s="0" t="s">
        <v>99</v>
      </c>
      <c r="DD7" s="0" t="s">
        <v>99</v>
      </c>
      <c r="DE7" s="0" t="s">
        <v>99</v>
      </c>
      <c r="DF7" s="0" t="s">
        <v>99</v>
      </c>
      <c r="DG7" s="0" t="s">
        <v>99</v>
      </c>
      <c r="DH7" s="0" t="s">
        <v>99</v>
      </c>
      <c r="DI7" s="0" t="s">
        <v>99</v>
      </c>
      <c r="DJ7" s="0" t="s">
        <v>99</v>
      </c>
      <c r="DK7" s="0" t="s">
        <v>99</v>
      </c>
      <c r="DL7" s="0" t="s">
        <v>99</v>
      </c>
      <c r="DM7" s="0" t="s">
        <v>99</v>
      </c>
      <c r="DN7" s="0" t="s">
        <v>99</v>
      </c>
      <c r="DO7" s="0" t="s">
        <v>99</v>
      </c>
      <c r="DP7" s="0" t="s">
        <v>99</v>
      </c>
      <c r="DQ7" s="0" t="s">
        <v>99</v>
      </c>
      <c r="DR7" s="0" t="s">
        <v>99</v>
      </c>
      <c r="DS7" s="0" t="s">
        <v>99</v>
      </c>
      <c r="DT7" s="0" t="s">
        <v>99</v>
      </c>
      <c r="DU7" s="0" t="s">
        <v>99</v>
      </c>
      <c r="DV7" s="0" t="s">
        <v>99</v>
      </c>
      <c r="DW7" s="0" t="s">
        <v>99</v>
      </c>
      <c r="DX7" s="0" t="s">
        <v>99</v>
      </c>
      <c r="DY7" s="0" t="s">
        <v>99</v>
      </c>
      <c r="DZ7" s="0" t="s">
        <v>99</v>
      </c>
      <c r="EA7" s="0" t="s">
        <v>99</v>
      </c>
      <c r="EB7" s="0" t="s">
        <v>99</v>
      </c>
      <c r="EC7" s="0" t="s">
        <v>99</v>
      </c>
      <c r="ED7" s="0" t="s">
        <v>99</v>
      </c>
      <c r="EE7" s="0" t="s">
        <v>99</v>
      </c>
      <c r="EF7" s="0" t="s">
        <v>99</v>
      </c>
      <c r="EG7" s="0" t="s">
        <v>99</v>
      </c>
      <c r="EH7" s="0" t="s">
        <v>99</v>
      </c>
      <c r="EI7" s="0" t="s">
        <v>99</v>
      </c>
      <c r="EJ7" s="0" t="s">
        <v>99</v>
      </c>
      <c r="EK7" s="0" t="s">
        <v>99</v>
      </c>
      <c r="EL7" s="0" t="s">
        <v>99</v>
      </c>
      <c r="EM7" s="0" t="s">
        <v>99</v>
      </c>
      <c r="EN7" s="0" t="s">
        <v>99</v>
      </c>
      <c r="EO7" s="0" t="s">
        <v>99</v>
      </c>
      <c r="EP7" s="0" t="s">
        <v>99</v>
      </c>
      <c r="EQ7" s="0" t="s">
        <v>99</v>
      </c>
      <c r="ER7" s="0" t="s">
        <v>99</v>
      </c>
      <c r="ES7" s="0" t="s">
        <v>99</v>
      </c>
      <c r="ET7" s="0" t="s">
        <v>99</v>
      </c>
      <c r="EU7" s="0" t="s">
        <v>99</v>
      </c>
      <c r="EV7" s="0" t="s">
        <v>99</v>
      </c>
      <c r="EW7" s="0" t="s">
        <v>99</v>
      </c>
      <c r="EX7" s="0" t="s">
        <v>99</v>
      </c>
      <c r="FA7" s="0" t="s">
        <v>99</v>
      </c>
      <c r="FB7" s="0" t="s">
        <v>99</v>
      </c>
      <c r="FC7" s="0" t="s">
        <v>99</v>
      </c>
      <c r="FD7" s="0" t="s">
        <v>99</v>
      </c>
      <c r="FE7" s="0" t="s">
        <v>99</v>
      </c>
      <c r="FF7" s="0" t="s">
        <v>99</v>
      </c>
      <c r="FG7" s="0" t="s">
        <v>99</v>
      </c>
      <c r="FH7" s="0" t="s">
        <v>99</v>
      </c>
      <c r="FI7" s="0" t="s">
        <v>99</v>
      </c>
      <c r="FK7" s="0" t="s">
        <v>99</v>
      </c>
      <c r="FL7" s="0" t="s">
        <v>99</v>
      </c>
      <c r="FM7" s="0" t="s">
        <v>99</v>
      </c>
      <c r="FN7" s="0" t="s">
        <v>99</v>
      </c>
      <c r="FO7" s="0" t="s">
        <v>99</v>
      </c>
      <c r="FP7" s="0" t="s">
        <v>99</v>
      </c>
      <c r="FQ7" s="0" t="s">
        <v>99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C87C35B-5649-4385-A7F6-82214E28B1D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021C5A2-4D96-4F11-A5E7-920D3FFD5711}">
          <x14:formula1>
            <xm:f>CheckAllocatedGroups!$4:$4</xm:f>
          </x14:formula1>
          <xm:sqref>E3</xm:sqref>
        </x14:dataValidation>
        <x14:dataValidation type="list" allowBlank="1" showInputMessage="1" showErrorMessage="1" prompt="Choose an available module" xr:uid="{2CA37F15-4761-4034-868F-CF853C1888E4}">
          <x14:formula1>
            <xm:f>'_Modules'!$A$4:$A$1000</xm:f>
          </x14:formula1>
          <xm:sqref>C3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119</v>
      </c>
      <c r="D3" s="5" t="s">
        <v>9</v>
      </c>
      <c r="E3" s="22" t="s">
        <v>120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0" t="s">
        <v>99</v>
      </c>
      <c r="B6" s="50"/>
      <c r="C6" s="8" t="s">
        <v>23</v>
      </c>
      <c r="D6" s="50">
        <v>-100</v>
      </c>
      <c r="E6" s="8" t="s">
        <v>58</v>
      </c>
      <c r="F6" s="8" t="s">
        <v>72</v>
      </c>
      <c r="G6" s="8">
        <v>20</v>
      </c>
      <c r="H6" s="8" t="s">
        <v>67</v>
      </c>
      <c r="I6" s="8"/>
      <c r="J6" s="8"/>
      <c r="K6" s="8"/>
      <c r="L6" s="8"/>
      <c r="M6" s="8"/>
      <c r="N6" s="8"/>
      <c r="O6" s="8" t="s">
        <v>107</v>
      </c>
      <c r="P6" s="0" t="s">
        <v>121</v>
      </c>
      <c r="R6" s="0" t="s">
        <v>122</v>
      </c>
      <c r="S6" s="0" t="s">
        <v>111</v>
      </c>
      <c r="T6" s="0" t="s">
        <v>102</v>
      </c>
      <c r="U6" s="0" t="s">
        <v>113</v>
      </c>
      <c r="V6" s="0" t="s">
        <v>108</v>
      </c>
      <c r="W6" s="0" t="s">
        <v>45</v>
      </c>
      <c r="X6" s="0">
        <v>1</v>
      </c>
      <c r="Y6" s="0">
        <v>1</v>
      </c>
      <c r="AD6" s="0">
        <v>-800</v>
      </c>
      <c r="AE6" s="0">
        <v>-800</v>
      </c>
      <c r="AF6" s="0">
        <v>-100</v>
      </c>
      <c r="AG6" s="0">
        <v>-800</v>
      </c>
      <c r="AH6" s="0">
        <v>-800</v>
      </c>
      <c r="AI6" s="0">
        <v>-800</v>
      </c>
      <c r="AL6" s="0">
        <v>1</v>
      </c>
      <c r="AM6" s="0">
        <v>1</v>
      </c>
      <c r="AN6" s="0" t="s">
        <v>34</v>
      </c>
      <c r="AP6" s="0" t="s">
        <v>123</v>
      </c>
      <c r="AQ6" s="0" t="s">
        <v>23</v>
      </c>
      <c r="AR6" s="0">
        <v>8</v>
      </c>
      <c r="AV6" s="0">
        <v>1</v>
      </c>
      <c r="AZ6" s="0">
        <v>-800</v>
      </c>
      <c r="BC6" s="0">
        <v>1</v>
      </c>
      <c r="BD6" s="0">
        <v>2000</v>
      </c>
      <c r="BE6" s="0" t="s">
        <v>102</v>
      </c>
      <c r="BF6" s="0" t="s">
        <v>124</v>
      </c>
      <c r="BG6" s="0" t="s">
        <v>125</v>
      </c>
      <c r="BH6" s="0" t="s">
        <v>126</v>
      </c>
      <c r="BI6" s="0" t="s">
        <v>127</v>
      </c>
      <c r="BO6" s="0">
        <v>2000</v>
      </c>
      <c r="BQ6" s="0" t="s">
        <v>114</v>
      </c>
      <c r="BR6" s="0" t="s">
        <v>105</v>
      </c>
      <c r="BU6" s="0" t="s">
        <v>102</v>
      </c>
      <c r="BX6" s="0">
        <v>800</v>
      </c>
      <c r="BY6" s="0">
        <v>800</v>
      </c>
      <c r="BZ6" s="0">
        <v>8</v>
      </c>
      <c r="CA6" s="0">
        <v>8</v>
      </c>
      <c r="CK6" s="0" t="b">
        <v>0</v>
      </c>
      <c r="CP6" s="0" t="s">
        <v>103</v>
      </c>
      <c r="CS6" s="0">
        <v>20</v>
      </c>
      <c r="CW6" s="0" t="s">
        <v>99</v>
      </c>
      <c r="CX6" s="0" t="s">
        <v>99</v>
      </c>
      <c r="CY6" s="0" t="s">
        <v>99</v>
      </c>
      <c r="CZ6" s="0" t="s">
        <v>99</v>
      </c>
      <c r="DA6" s="0" t="s">
        <v>99</v>
      </c>
      <c r="DB6" s="0" t="s">
        <v>99</v>
      </c>
      <c r="DC6" s="0" t="s">
        <v>99</v>
      </c>
      <c r="DD6" s="0" t="s">
        <v>99</v>
      </c>
      <c r="DE6" s="0" t="s">
        <v>99</v>
      </c>
      <c r="DF6" s="0" t="s">
        <v>99</v>
      </c>
      <c r="DG6" s="0" t="s">
        <v>99</v>
      </c>
      <c r="DH6" s="0" t="s">
        <v>99</v>
      </c>
      <c r="DI6" s="0" t="s">
        <v>99</v>
      </c>
      <c r="DJ6" s="0" t="s">
        <v>99</v>
      </c>
      <c r="DK6" s="0" t="s">
        <v>99</v>
      </c>
      <c r="DL6" s="0" t="s">
        <v>99</v>
      </c>
      <c r="DM6" s="0" t="s">
        <v>99</v>
      </c>
      <c r="DN6" s="0" t="s">
        <v>99</v>
      </c>
      <c r="DO6" s="0" t="s">
        <v>99</v>
      </c>
      <c r="DP6" s="0" t="s">
        <v>99</v>
      </c>
      <c r="DQ6" s="0" t="s">
        <v>99</v>
      </c>
      <c r="DR6" s="0" t="s">
        <v>99</v>
      </c>
      <c r="DS6" s="0" t="s">
        <v>99</v>
      </c>
      <c r="DT6" s="0" t="s">
        <v>99</v>
      </c>
      <c r="DU6" s="0" t="s">
        <v>99</v>
      </c>
      <c r="DV6" s="0" t="s">
        <v>99</v>
      </c>
      <c r="DW6" s="0" t="s">
        <v>99</v>
      </c>
      <c r="DX6" s="0" t="s">
        <v>99</v>
      </c>
      <c r="DY6" s="0" t="s">
        <v>99</v>
      </c>
      <c r="DZ6" s="0" t="s">
        <v>99</v>
      </c>
      <c r="EA6" s="0" t="s">
        <v>99</v>
      </c>
      <c r="EB6" s="0" t="s">
        <v>99</v>
      </c>
      <c r="EC6" s="0" t="s">
        <v>99</v>
      </c>
      <c r="ED6" s="0" t="s">
        <v>99</v>
      </c>
      <c r="EE6" s="0" t="s">
        <v>99</v>
      </c>
      <c r="EF6" s="0" t="s">
        <v>99</v>
      </c>
      <c r="EG6" s="0" t="s">
        <v>99</v>
      </c>
      <c r="EH6" s="0" t="s">
        <v>99</v>
      </c>
      <c r="EI6" s="0" t="s">
        <v>99</v>
      </c>
      <c r="EJ6" s="0" t="s">
        <v>99</v>
      </c>
      <c r="EK6" s="0" t="s">
        <v>99</v>
      </c>
      <c r="EL6" s="0" t="s">
        <v>99</v>
      </c>
      <c r="EM6" s="0" t="s">
        <v>99</v>
      </c>
      <c r="EN6" s="0" t="s">
        <v>99</v>
      </c>
      <c r="EO6" s="0" t="s">
        <v>99</v>
      </c>
      <c r="EP6" s="0" t="s">
        <v>99</v>
      </c>
      <c r="EQ6" s="0" t="s">
        <v>99</v>
      </c>
      <c r="ER6" s="0" t="s">
        <v>99</v>
      </c>
      <c r="ES6" s="0" t="s">
        <v>99</v>
      </c>
      <c r="ET6" s="0" t="s">
        <v>99</v>
      </c>
      <c r="EU6" s="0" t="s">
        <v>99</v>
      </c>
      <c r="EV6" s="0" t="s">
        <v>99</v>
      </c>
      <c r="EW6" s="0" t="s">
        <v>99</v>
      </c>
      <c r="EX6" s="0" t="s">
        <v>99</v>
      </c>
      <c r="EY6" s="0" t="s">
        <v>99</v>
      </c>
      <c r="EZ6" s="0" t="s">
        <v>99</v>
      </c>
      <c r="FA6" s="0" t="s">
        <v>99</v>
      </c>
      <c r="FB6" s="0" t="s">
        <v>99</v>
      </c>
      <c r="FC6" s="0" t="s">
        <v>99</v>
      </c>
      <c r="FD6" s="0" t="s">
        <v>99</v>
      </c>
      <c r="FE6" s="0" t="s">
        <v>99</v>
      </c>
      <c r="FF6" s="0" t="s">
        <v>99</v>
      </c>
      <c r="FG6" s="0" t="s">
        <v>99</v>
      </c>
      <c r="FH6" s="0" t="s">
        <v>99</v>
      </c>
      <c r="FI6" s="0" t="s">
        <v>99</v>
      </c>
      <c r="FJ6" s="0" t="s">
        <v>99</v>
      </c>
      <c r="FK6" s="0" t="s">
        <v>99</v>
      </c>
      <c r="FL6" s="0" t="s">
        <v>99</v>
      </c>
      <c r="FM6" s="0" t="s">
        <v>99</v>
      </c>
      <c r="FN6" s="0" t="s">
        <v>99</v>
      </c>
      <c r="FO6" s="0" t="s">
        <v>99</v>
      </c>
      <c r="FP6" s="0" t="s">
        <v>99</v>
      </c>
      <c r="FQ6" s="0" t="s">
        <v>99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 t="s">
        <v>99</v>
      </c>
      <c r="B7" s="8"/>
      <c r="C7" s="8" t="s">
        <v>27</v>
      </c>
      <c r="D7" s="8">
        <v>-1200</v>
      </c>
      <c r="E7" s="8" t="s">
        <v>58</v>
      </c>
      <c r="F7" s="8" t="s">
        <v>72</v>
      </c>
      <c r="G7" s="8">
        <v>20</v>
      </c>
      <c r="H7" s="8" t="s">
        <v>123</v>
      </c>
      <c r="I7" s="8"/>
      <c r="J7" s="8"/>
      <c r="K7" s="8"/>
      <c r="L7" s="8"/>
      <c r="M7" s="8"/>
      <c r="N7" s="8"/>
      <c r="O7" s="8" t="s">
        <v>117</v>
      </c>
      <c r="P7" s="0" t="s">
        <v>121</v>
      </c>
      <c r="R7" s="0" t="s">
        <v>122</v>
      </c>
      <c r="S7" s="0" t="s">
        <v>111</v>
      </c>
      <c r="T7" s="0" t="s">
        <v>102</v>
      </c>
      <c r="U7" s="0" t="s">
        <v>113</v>
      </c>
      <c r="V7" s="0" t="s">
        <v>118</v>
      </c>
      <c r="W7" s="0" t="s">
        <v>45</v>
      </c>
      <c r="X7" s="0">
        <v>1</v>
      </c>
      <c r="Y7" s="0">
        <v>1</v>
      </c>
      <c r="AD7" s="0">
        <v>-24000</v>
      </c>
      <c r="AE7" s="0">
        <v>-24000</v>
      </c>
      <c r="AF7" s="0">
        <v>-1200</v>
      </c>
      <c r="AG7" s="0">
        <v>-24000</v>
      </c>
      <c r="AH7" s="0">
        <v>-24000</v>
      </c>
      <c r="AI7" s="0">
        <v>-24000</v>
      </c>
      <c r="AL7" s="0">
        <v>1</v>
      </c>
      <c r="AM7" s="0">
        <v>1</v>
      </c>
      <c r="AN7" s="0" t="s">
        <v>34</v>
      </c>
      <c r="AP7" s="0" t="s">
        <v>123</v>
      </c>
      <c r="AQ7" s="0" t="s">
        <v>27</v>
      </c>
      <c r="AR7" s="0">
        <v>20</v>
      </c>
      <c r="AV7" s="0">
        <v>1</v>
      </c>
      <c r="AZ7" s="0">
        <v>-24000</v>
      </c>
      <c r="BC7" s="0">
        <v>1</v>
      </c>
      <c r="BD7" s="0">
        <v>24000</v>
      </c>
      <c r="BE7" s="0" t="s">
        <v>102</v>
      </c>
      <c r="BF7" s="0" t="s">
        <v>124</v>
      </c>
      <c r="BG7" s="0" t="s">
        <v>128</v>
      </c>
      <c r="BH7" s="0" t="s">
        <v>121</v>
      </c>
      <c r="BI7" s="0" t="s">
        <v>127</v>
      </c>
      <c r="BO7" s="0">
        <v>24000</v>
      </c>
      <c r="BQ7" s="0" t="s">
        <v>114</v>
      </c>
      <c r="BR7" s="0" t="s">
        <v>105</v>
      </c>
      <c r="BU7" s="0" t="s">
        <v>102</v>
      </c>
      <c r="BX7" s="0">
        <v>24000</v>
      </c>
      <c r="BY7" s="0">
        <v>24000</v>
      </c>
      <c r="BZ7" s="0">
        <v>20</v>
      </c>
      <c r="CA7" s="0">
        <v>20</v>
      </c>
      <c r="CK7" s="0" t="b">
        <v>0</v>
      </c>
      <c r="CP7" s="0" t="s">
        <v>116</v>
      </c>
      <c r="CS7" s="0">
        <v>20</v>
      </c>
      <c r="CW7" s="0" t="s">
        <v>99</v>
      </c>
      <c r="CX7" s="0" t="s">
        <v>99</v>
      </c>
      <c r="CY7" s="0" t="s">
        <v>99</v>
      </c>
      <c r="CZ7" s="0" t="s">
        <v>99</v>
      </c>
      <c r="DA7" s="0" t="s">
        <v>99</v>
      </c>
      <c r="DB7" s="0" t="s">
        <v>99</v>
      </c>
      <c r="DC7" s="0" t="s">
        <v>99</v>
      </c>
      <c r="DD7" s="0" t="s">
        <v>99</v>
      </c>
      <c r="DE7" s="0" t="s">
        <v>99</v>
      </c>
      <c r="DF7" s="0" t="s">
        <v>99</v>
      </c>
      <c r="DG7" s="0" t="s">
        <v>99</v>
      </c>
      <c r="DH7" s="0" t="s">
        <v>99</v>
      </c>
      <c r="DI7" s="0" t="s">
        <v>99</v>
      </c>
      <c r="DJ7" s="0" t="s">
        <v>99</v>
      </c>
      <c r="DK7" s="0" t="s">
        <v>99</v>
      </c>
      <c r="DL7" s="0" t="s">
        <v>99</v>
      </c>
      <c r="DM7" s="0" t="s">
        <v>99</v>
      </c>
      <c r="DN7" s="0" t="s">
        <v>99</v>
      </c>
      <c r="DO7" s="0" t="s">
        <v>99</v>
      </c>
      <c r="DP7" s="0" t="s">
        <v>99</v>
      </c>
      <c r="DQ7" s="0" t="s">
        <v>99</v>
      </c>
      <c r="DR7" s="0" t="s">
        <v>99</v>
      </c>
      <c r="DS7" s="0" t="s">
        <v>99</v>
      </c>
      <c r="DT7" s="0" t="s">
        <v>99</v>
      </c>
      <c r="DU7" s="0" t="s">
        <v>99</v>
      </c>
      <c r="DV7" s="0" t="s">
        <v>99</v>
      </c>
      <c r="DW7" s="0" t="s">
        <v>99</v>
      </c>
      <c r="DX7" s="0" t="s">
        <v>99</v>
      </c>
      <c r="DY7" s="0" t="s">
        <v>99</v>
      </c>
      <c r="DZ7" s="0" t="s">
        <v>99</v>
      </c>
      <c r="EA7" s="0" t="s">
        <v>99</v>
      </c>
      <c r="EB7" s="0" t="s">
        <v>99</v>
      </c>
      <c r="EC7" s="0" t="s">
        <v>99</v>
      </c>
      <c r="ED7" s="0" t="s">
        <v>99</v>
      </c>
      <c r="EE7" s="0" t="s">
        <v>99</v>
      </c>
      <c r="EF7" s="0" t="s">
        <v>99</v>
      </c>
      <c r="EG7" s="0" t="s">
        <v>99</v>
      </c>
      <c r="EH7" s="0" t="s">
        <v>99</v>
      </c>
      <c r="EI7" s="0" t="s">
        <v>99</v>
      </c>
      <c r="EJ7" s="0" t="s">
        <v>99</v>
      </c>
      <c r="EK7" s="0" t="s">
        <v>99</v>
      </c>
      <c r="EL7" s="0" t="s">
        <v>99</v>
      </c>
      <c r="EM7" s="0" t="s">
        <v>99</v>
      </c>
      <c r="EN7" s="0" t="s">
        <v>99</v>
      </c>
      <c r="EO7" s="0" t="s">
        <v>99</v>
      </c>
      <c r="EP7" s="0" t="s">
        <v>99</v>
      </c>
      <c r="EQ7" s="0" t="s">
        <v>99</v>
      </c>
      <c r="ER7" s="0" t="s">
        <v>99</v>
      </c>
      <c r="ES7" s="0" t="s">
        <v>99</v>
      </c>
      <c r="ET7" s="0" t="s">
        <v>99</v>
      </c>
      <c r="EU7" s="0" t="s">
        <v>99</v>
      </c>
      <c r="EV7" s="0" t="s">
        <v>99</v>
      </c>
      <c r="EW7" s="0" t="s">
        <v>99</v>
      </c>
      <c r="EX7" s="0" t="s">
        <v>99</v>
      </c>
      <c r="EY7" s="0" t="s">
        <v>99</v>
      </c>
      <c r="EZ7" s="0" t="s">
        <v>99</v>
      </c>
      <c r="FA7" s="0" t="s">
        <v>99</v>
      </c>
      <c r="FB7" s="0" t="s">
        <v>99</v>
      </c>
      <c r="FC7" s="0" t="s">
        <v>99</v>
      </c>
      <c r="FD7" s="0" t="s">
        <v>99</v>
      </c>
      <c r="FE7" s="0" t="s">
        <v>99</v>
      </c>
      <c r="FF7" s="0" t="s">
        <v>99</v>
      </c>
      <c r="FG7" s="0" t="s">
        <v>99</v>
      </c>
      <c r="FH7" s="0" t="s">
        <v>99</v>
      </c>
      <c r="FI7" s="0" t="s">
        <v>99</v>
      </c>
      <c r="FJ7" s="0" t="s">
        <v>99</v>
      </c>
      <c r="FK7" s="0" t="s">
        <v>99</v>
      </c>
      <c r="FL7" s="0" t="s">
        <v>99</v>
      </c>
      <c r="FM7" s="0" t="s">
        <v>99</v>
      </c>
      <c r="FN7" s="0" t="s">
        <v>99</v>
      </c>
      <c r="FO7" s="0" t="s">
        <v>99</v>
      </c>
      <c r="FP7" s="0" t="s">
        <v>99</v>
      </c>
      <c r="FQ7" s="0" t="s">
        <v>99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951022F-4635-4477-B7EA-3ABA92751A2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B122461-305C-48F1-AFC3-09463C90235B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D49A87CE-8ED5-4D7C-AF5B-C480F23CEC0A}">
          <x14:formula1>
            <xm:f>'_Modules'!$A$4:$A$1000</xm:f>
          </x14:formula1>
          <xm:sqref>C3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129</v>
      </c>
      <c r="D3" s="5" t="s">
        <v>9</v>
      </c>
      <c r="E3" s="22" t="s">
        <v>130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131</v>
      </c>
    </row>
    <row r="6" ht="15.75" customHeight="1">
      <c r="A6" s="12"/>
      <c r="B6" s="12" t="s">
        <v>132</v>
      </c>
      <c r="C6" s="8"/>
      <c r="D6" s="12" t="s">
        <v>133</v>
      </c>
      <c r="E6" s="49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B2231AE-DFBC-441A-8848-AEA019E83BB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EFD1E0C-37C9-4CC8-AB3A-CFEC19487E79}">
          <x14:formula1>
            <xm:f>RestartClient!$4:$4</xm:f>
          </x14:formula1>
          <xm:sqref>E3</xm:sqref>
        </x14:dataValidation>
        <x14:dataValidation type="list" allowBlank="1" showInputMessage="1" showErrorMessage="1" prompt="Choose an available module" xr:uid="{FBB39A3E-0479-442C-8A79-59D97188FDA5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