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EnableDisableModule" sheetId="5" r:id="rId7"/>
    <sheet state="visible" name="AddNavLock" sheetId="6" r:id="rId8"/>
    <sheet state="visible" name="GetMarkPriceData" sheetId="7" r:id="rId9"/>
    <sheet state="visible" name="UpdateMarkPrice" sheetId="8" r:id="rId10"/>
    <sheet state="visible" name="VerifyNavLockPopup" sheetId="9" r:id="rId11"/>
    <sheet state="visible" name="GetMarkPriceData1" sheetId="10" r:id="rId12"/>
    <sheet state="visible" name="UpdateMarkPrice1" sheetId="11" r:id="rId13"/>
  </sheets>
  <definedNames/>
  <calcPr/>
</workbook>
</file>

<file path=xl/sharedStrings.xml><?xml version="1.0" encoding="utf-8"?>
<sst xmlns="http://schemas.openxmlformats.org/spreadsheetml/2006/main" count="73" uniqueCount="27">
  <si>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</si>
  <si>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</si>
  <si>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</si>
  <si>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</si>
  <si>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</si>
  <si>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</si>
  <si>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</si>
  <si>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</si>
  <si>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</si>
  <si>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</si>
  <si>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</si>
  <si>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</si>
  <si>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</si>
  <si>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</si>
  <si>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</si>
  <si>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</si>
  <si>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</si>
  <si>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IBM</t>
  </si>
  <si>
    <t>Admin</t>
  </si>
  <si>
    <t>EnableDisableModule</t>
  </si>
  <si>
    <t>NAV Lock</t>
  </si>
  <si>
    <t>NavLock</t>
  </si>
  <si>
    <t>AddNavLock</t>
  </si>
  <si>
    <t>DailyValuation</t>
  </si>
  <si>
    <t>GetMarkPriceData</t>
  </si>
  <si>
    <t>UpdateMarkPrice</t>
  </si>
  <si>
    <t>VerifyNavLockPopup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</si>
</sst>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6" fontId="13" numFmtId="14" xfId="0" applyAlignment="1" applyFill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>
        <v>100.0</v>
      </c>
      <c r="E6" s="30"/>
      <c r="F6" s="8"/>
      <c r="G6" s="8"/>
      <c r="H6" s="8"/>
      <c r="I6" s="8"/>
      <c r="J6" s="12">
        <v>10.0</v>
      </c>
      <c r="K6" s="8"/>
      <c r="L6" s="8"/>
      <c r="M6" s="8"/>
      <c r="N6" s="31">
        <f>TODAY()-2</f>
        <v>45475</v>
      </c>
      <c r="O6" s="8"/>
    </row>
    <row r="7" ht="15.75" customHeight="1">
      <c r="A7" s="12"/>
      <c r="B7" s="12" t="s">
        <v>17</v>
      </c>
      <c r="C7" s="8"/>
      <c r="D7" s="12">
        <v>100.0</v>
      </c>
      <c r="E7" s="30"/>
      <c r="F7" s="8"/>
      <c r="G7" s="8"/>
      <c r="H7" s="8"/>
      <c r="I7" s="8"/>
      <c r="J7" s="12">
        <v>10.0</v>
      </c>
      <c r="K7" s="8"/>
      <c r="L7" s="8"/>
      <c r="M7" s="8"/>
      <c r="N7" s="31">
        <f>TODAY()</f>
        <v>45477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b">
        <v>1</v>
      </c>
      <c r="C6" s="34" t="s">
        <v>20</v>
      </c>
      <c r="D6" s="32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IFERROR(__xludf.DUMMYFUNCTION("IF(C3="""","""",Transpose(IMPORTRANGE('_Settings'!$B$3,C3&amp;""!A4:A1000"")))"),"DeleteExistingNavLock")</f>
        <v>DeleteExistingNavLock</v>
      </c>
      <c r="C4" s="24" t="str">
        <f>IFERROR(__xludf.DUMMYFUNCTION("""COMPUTED_VALUE"""),"AddNavLock")</f>
        <v>AddNavLock</v>
      </c>
      <c r="D4" s="24" t="str">
        <f>IFERROR(__xludf.DUMMYFUNCTION("""COMPUTED_VALUE"""),"VerifyNavLockPopup")</f>
        <v>VerifyNavLockPopup</v>
      </c>
      <c r="E4" s="24" t="str">
        <f>IFERROR(__xludf.DUMMYFUNCTION("""COMPUTED_VALUE"""),"VerifyRowsNavLock")</f>
        <v>VerifyRowsNavLock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IFERROR(__xludf.DUMMYFUNCTION("""COMPUTED_VALUE"""),"Cancel")</f>
        <v>Cancel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1">
        <f>TODAY()-1</f>
        <v>45476</v>
      </c>
      <c r="C6" s="36" t="b">
        <v>0</v>
      </c>
      <c r="D6" s="32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AddNavLock!$4:$4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>
        <f t="shared" ref="B6:C6" si="1">TODAY()-2</f>
        <v>45475</v>
      </c>
      <c r="C6" s="31">
        <f t="shared" si="1"/>
        <v>45475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IFERROR(__xludf.DUMMYFUNCTION("IF(C3="""","""",Transpose(IMPORTRANGE('_Settings'!$B$3,C3&amp;""!A4:A1000"")))"),"DeleteExistingNavLock")</f>
        <v>DeleteExistingNavLock</v>
      </c>
      <c r="C4" s="24" t="str">
        <f>IFERROR(__xludf.DUMMYFUNCTION("""COMPUTED_VALUE"""),"AddNavLock")</f>
        <v>AddNavLock</v>
      </c>
      <c r="D4" s="24" t="str">
        <f>IFERROR(__xludf.DUMMYFUNCTION("""COMPUTED_VALUE"""),"VerifyNavLockPopup")</f>
        <v>VerifyNavLockPopup</v>
      </c>
      <c r="E4" s="24" t="str">
        <f>IFERROR(__xludf.DUMMYFUNCTION("""COMPUTED_VALUE"""),"VerifyRowsNavLock")</f>
        <v>VerifyRowsNavLock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IFERROR(__xludf.DUMMYFUNCTION("""COMPUTED_VALUE"""),"Description")</f>
        <v>Description</v>
      </c>
      <c r="C5" s="27" t="str">
        <f>IFERROR(__xludf.DUMMYFUNCTION("""COMPUTED_VALUE"""),"Window Type")</f>
        <v>Window Type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tr">
        <f>"The date for some of the data you’ve chosen to for this action precedes your NAV Lock date (" &amp; MONTH(TODAY()-1) &amp; "/" &amp; DAY(TODAY()-1) &amp; "/" &amp; YEAR(TODAY()-1) &amp; "). Please reach out to your Support Team for further assistance."</f>
        <v>The date for some of the data you’ve chosen to for this action precedes your NAV Lock date (7/3/2024). Please reach out to your Support Team for further assistance.</v>
      </c>
      <c r="C6" s="12" t="s">
        <v>23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VerifyNavLockPopup!$4:$4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>
        <f t="shared" ref="B6:C6" si="1">TODAY()</f>
        <v>45477</v>
      </c>
      <c r="C6" s="37">
        <f t="shared" si="1"/>
        <v>45477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UpdateMarkPrice1!$4:$4</formula1>
    </dataValidation>
  </dataValidations>
  <drawing r:id="rId1"/>
</worksheet>
</file>