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1" sheetId="12" r:id="rId14"/>
    <sheet state="visible" name="VerifyTaxlotWindow1" sheetId="13" r:id="rId15"/>
    <sheet state="visible" name="VerifySymbolDivisorWindow1" sheetId="14" r:id="rId16"/>
    <sheet state="visible" name="VerifyAggAccountSymbolWithNav1" sheetId="15" r:id="rId17"/>
    <sheet state="visible" name="SelectTradeOnOrderGrid1" sheetId="16" r:id="rId18"/>
    <sheet state="visible" name="ReplaceSubOrder" sheetId="17" r:id="rId19"/>
    <sheet state="visible" name="CreateReplaceOrder" sheetId="18" r:id="rId20"/>
    <sheet state="visible" name="VerifyTaxlotWindow2" sheetId="19" r:id="rId21"/>
    <sheet state="visible" name="VerifySymbolDivisorWindow2" sheetId="20" r:id="rId22"/>
    <sheet state="visible" name="VerifyRowCalculationBaseWindow2" sheetId="21" r:id="rId23"/>
    <sheet state="visible" name="VerifyAggAccountSymbolWithNav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<sst xmlns="http://schemas.openxmlformats.org/spreadsheetml/2006/main" count="292" uniqueCount="53">
  <si>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</si>
  <si>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</si>
  <si>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</si>
  <si>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</si>
  <si>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</si>
  <si>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</si>
  <si>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</si>
  <si>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</si>
  <si>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</si>
  <si>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</si>
  <si>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</si>
  <si>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</si>
  <si>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</si>
  <si>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</si>
  <si>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</si>
  <si>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</si>
  <si>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</si>
  <si>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</si>
  <si>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</si>
  <si>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</si>
  <si>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</si>
  <si>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</si>
  <si>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</si>
  <si>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</si>
  <si>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</si>
  <si>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</si>
  <si>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</si>
  <si>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</si>
  <si>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</si>
  <si>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</si>
  <si>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</si>
  <si>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</si>
  <si>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</si>
  <si>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</si>
  <si>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</si>
  <si>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</si>
  <si>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</si>
  <si>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</si>
  <si>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</si>
  <si>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</si>
  <si>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</si>
  <si>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</si>
  <si>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VerifyTaxlotWindow</t>
  </si>
  <si>
    <t>VerifySymbolDivisorWindow</t>
  </si>
  <si>
    <t>VerifyAggAccountSymbolWithNav</t>
  </si>
  <si>
    <t>Post</t>
  </si>
  <si>
    <t>Account-Symbol</t>
  </si>
  <si>
    <t>Equity</t>
  </si>
  <si>
    <t>ReplaceSubOrder</t>
  </si>
  <si>
    <t>CreateReplaceOrder</t>
  </si>
  <si>
    <t>VerifyOrder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</si>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</sst>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5" numFmtId="0" xfId="0" applyAlignment="1" applyFont="1">
      <alignment vertical="center"/>
    </xf>
    <xf borderId="0" fillId="2" fontId="5" numFmtId="0" xfId="0" applyFont="1"/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5" numFmtId="0" xfId="0" applyFont="1"/>
    <xf borderId="4" fillId="3" fontId="4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3" fontId="7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0" fillId="3" fontId="7" numFmtId="0" xfId="0" applyFont="1"/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vertical="center"/>
    </xf>
    <xf borderId="0" fillId="4" fontId="11" numFmtId="0" xfId="0" applyFont="1"/>
    <xf borderId="4" fillId="5" fontId="4" numFmtId="0" xfId="0" applyAlignment="1" applyBorder="1" applyFont="1">
      <alignment shrinkToFit="0" vertical="center" wrapText="0"/>
    </xf>
    <xf borderId="4" fillId="5" fontId="4" numFmtId="0" xfId="0" applyAlignment="1" applyBorder="1" applyFont="1">
      <alignment readingOrder="0" shrinkToFit="0" vertical="center" wrapText="0"/>
    </xf>
    <xf borderId="0" fillId="5" fontId="7" numFmtId="0" xfId="0" applyAlignment="1" applyFont="1">
      <alignment vertical="center"/>
    </xf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center"/>
    </xf>
    <xf borderId="5" fillId="8" fontId="14" numFmtId="0" xfId="0" applyAlignment="1" applyBorder="1" applyFill="1" applyFont="1">
      <alignment vertical="center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 readingOrder="0" vertical="center"/>
    </xf>
    <xf borderId="5" fillId="7" fontId="14" numFmtId="0" xfId="0" applyAlignment="1" applyBorder="1" applyFont="1">
      <alignment vertical="center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b">
        <v>1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3" t="s">
        <v>22</v>
      </c>
      <c r="D6" s="35">
        <v>100.0</v>
      </c>
      <c r="E6" s="35">
        <v>100.0</v>
      </c>
      <c r="F6" s="33"/>
      <c r="G6" s="33"/>
      <c r="H6" s="33"/>
      <c r="I6" s="33"/>
      <c r="J6" s="35">
        <v>10.0</v>
      </c>
      <c r="K6" s="33"/>
      <c r="L6" s="33"/>
      <c r="M6" s="33"/>
      <c r="N6" s="36">
        <f>today()</f>
        <v>44348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23</v>
      </c>
      <c r="AL6" s="37" t="s">
        <v>24</v>
      </c>
      <c r="AM6" s="37"/>
      <c r="AN6" s="37"/>
      <c r="AO6" s="37" t="s">
        <v>25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22</v>
      </c>
      <c r="C6" s="34" t="s">
        <v>21</v>
      </c>
      <c r="D6" s="38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4" t="s">
        <v>21</v>
      </c>
      <c r="E6" s="33"/>
      <c r="F6" s="33" t="s">
        <v>22</v>
      </c>
      <c r="G6" s="33" t="s">
        <v>31</v>
      </c>
      <c r="H6" s="39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0" t="s">
        <v>21</v>
      </c>
      <c r="AJ6" s="41" t="s">
        <v>22</v>
      </c>
      <c r="AK6" s="41" t="s">
        <v>31</v>
      </c>
      <c r="AL6" s="41">
        <v>100.0</v>
      </c>
      <c r="AM6" s="42"/>
      <c r="AN6" s="42"/>
      <c r="AO6" s="42"/>
      <c r="AP6" s="42"/>
      <c r="AQ6" s="42"/>
      <c r="AR6" s="42"/>
      <c r="AS6" s="42" t="s">
        <v>32</v>
      </c>
      <c r="AT6" s="41" t="s">
        <v>33</v>
      </c>
      <c r="AU6" s="42" t="s">
        <v>34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3"/>
      <c r="E6" s="33"/>
      <c r="F6" s="33"/>
      <c r="G6" s="33"/>
      <c r="H6" s="43" t="s">
        <v>21</v>
      </c>
      <c r="I6" s="44">
        <v>0.0</v>
      </c>
      <c r="J6" s="45">
        <v>50.0</v>
      </c>
      <c r="K6" s="45">
        <v>50.0</v>
      </c>
      <c r="L6" s="45">
        <v>50.0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8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43" t="s">
        <v>21</v>
      </c>
      <c r="I7" s="44">
        <v>0.0</v>
      </c>
      <c r="J7" s="45">
        <v>50.0</v>
      </c>
      <c r="K7" s="45">
        <v>50.0</v>
      </c>
      <c r="L7" s="45">
        <v>50.0</v>
      </c>
      <c r="M7" s="43" t="s">
        <v>39</v>
      </c>
      <c r="N7" s="46"/>
      <c r="O7" s="43" t="s">
        <v>22</v>
      </c>
      <c r="P7" s="46"/>
      <c r="Q7" s="46" t="s">
        <v>21</v>
      </c>
      <c r="R7" s="46"/>
      <c r="S7" s="46"/>
      <c r="T7" s="49" t="s">
        <v>41</v>
      </c>
      <c r="U7" s="49" t="s">
        <v>41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8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50" t="s">
        <v>21</v>
      </c>
      <c r="D6" s="33"/>
      <c r="E6" s="33"/>
      <c r="F6" s="50" t="s">
        <v>39</v>
      </c>
      <c r="G6" s="50"/>
      <c r="H6" s="50" t="s">
        <v>21</v>
      </c>
      <c r="I6" s="51">
        <v>50.0</v>
      </c>
      <c r="J6" s="35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50" t="s">
        <v>21</v>
      </c>
      <c r="D7" s="33"/>
      <c r="E7" s="33"/>
      <c r="F7" s="50" t="s">
        <v>39</v>
      </c>
      <c r="G7" s="50"/>
      <c r="H7" s="50" t="s">
        <v>21</v>
      </c>
      <c r="I7" s="51">
        <v>50.0</v>
      </c>
      <c r="J7" s="35"/>
      <c r="K7" s="33"/>
      <c r="L7" s="33"/>
      <c r="M7" s="33"/>
      <c r="N7" s="33"/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100.0</v>
      </c>
      <c r="D6" s="35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53"/>
      <c r="J1" s="53"/>
      <c r="K1" s="53"/>
      <c r="L1" s="53"/>
      <c r="M1" s="53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5"/>
      <c r="GC1" s="55"/>
      <c r="GD1" s="55"/>
      <c r="GE1" s="55"/>
      <c r="GF1" s="55"/>
      <c r="GG1" s="55"/>
      <c r="GH1" s="55"/>
      <c r="GI1" s="55"/>
      <c r="GJ1" s="55"/>
      <c r="GK1" s="55"/>
    </row>
    <row r="2" ht="15.75" customHeight="1">
      <c r="A2" s="8"/>
      <c r="B2" s="56"/>
      <c r="C2" s="56"/>
      <c r="D2" s="56"/>
      <c r="E2" s="56"/>
      <c r="F2" s="56"/>
      <c r="G2" s="56"/>
      <c r="H2" s="56"/>
      <c r="I2" s="56"/>
      <c r="J2" s="57" t="str">
        <f> VLOOKUP($E$3,'_MasterData'!B4:D1000,3,FALSE)</f>
        <v>#N/A</v>
      </c>
      <c r="K2" s="57"/>
      <c r="L2" s="56"/>
      <c r="M2" s="56"/>
      <c r="N2" s="56"/>
      <c r="O2" s="56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9"/>
      <c r="GC2" s="59"/>
      <c r="GD2" s="59"/>
      <c r="GE2" s="59"/>
      <c r="GF2" s="59"/>
      <c r="GG2" s="59"/>
      <c r="GH2" s="59"/>
      <c r="GI2" s="59"/>
      <c r="GJ2" s="59"/>
      <c r="GK2" s="59"/>
    </row>
    <row r="3" ht="15.75" customHeight="1">
      <c r="A3" s="21"/>
      <c r="B3" s="60" t="s">
        <v>8</v>
      </c>
      <c r="C3" s="61" t="s">
        <v>37</v>
      </c>
      <c r="D3" s="60" t="s">
        <v>9</v>
      </c>
      <c r="E3" s="61" t="s">
        <v>44</v>
      </c>
      <c r="F3" s="60" t="s">
        <v>14</v>
      </c>
      <c r="G3" s="62" t="s">
        <v>15</v>
      </c>
      <c r="H3" s="60"/>
      <c r="I3" s="63"/>
      <c r="J3" s="63"/>
      <c r="K3" s="63"/>
      <c r="L3" s="63"/>
      <c r="M3" s="63"/>
      <c r="N3" s="63"/>
      <c r="O3" s="63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5"/>
      <c r="GC3" s="65"/>
      <c r="GD3" s="65"/>
      <c r="GE3" s="65"/>
      <c r="GF3" s="65"/>
      <c r="GG3" s="65"/>
      <c r="GH3" s="65"/>
      <c r="GI3" s="65"/>
      <c r="GJ3" s="65"/>
      <c r="GK3" s="65"/>
    </row>
    <row r="4" ht="15.75" customHeight="1">
      <c r="A4" s="24"/>
      <c r="B4" s="66" t="str">
        <f>IFERROR(__xludf.DUMMYFUNCTION("IF(C3="""","""",Transpose(IMPORTRANGE('_Settings'!$B$3,C3&amp;""!A4:A1000"")))"),"CheckCompliance")</f>
        <v>CheckCompliance</v>
      </c>
      <c r="C4" s="66" t="str">
        <f>IFERROR(__xludf.DUMMYFUNCTION("""COMPUTED_VALUE"""),"VerifyAccountDivisorWindow")</f>
        <v>VerifyAccountDivisorWindow</v>
      </c>
      <c r="D4" s="66" t="str">
        <f>IFERROR(__xludf.DUMMYFUNCTION("""COMPUTED_VALUE"""),"VerifyAccountSymbolDivisorWindow")</f>
        <v>VerifyAccountSymbolDivisorWindow</v>
      </c>
      <c r="E4" s="66" t="str">
        <f>IFERROR(__xludf.DUMMYFUNCTION("""COMPUTED_VALUE"""),"VerifyAggregationAccountSymbolWithNav")</f>
        <v>VerifyAggregationAccountSymbolWithNav</v>
      </c>
      <c r="F4" s="66" t="str">
        <f>IFERROR(__xludf.DUMMYFUNCTION("""COMPUTED_VALUE"""),"VerifyAggregationAccountWithNav")</f>
        <v>VerifyAggregationAccountWithNav</v>
      </c>
      <c r="G4" s="66" t="str">
        <f>IFERROR(__xludf.DUMMYFUNCTION("""COMPUTED_VALUE"""),"VerifyAggregationMasterFundSymbolWithNav")</f>
        <v>VerifyAggregationMasterFundSymbolWithNav</v>
      </c>
      <c r="H4" s="66" t="str">
        <f>IFERROR(__xludf.DUMMYFUNCTION("""COMPUTED_VALUE"""),"VerifyAggregationMasterFundUnderlyingSymbolWithNav")</f>
        <v>VerifyAggregationMasterFundUnderlyingSymbolWithNav</v>
      </c>
      <c r="I4" s="66" t="str">
        <f>IFERROR(__xludf.DUMMYFUNCTION("""COMPUTED_VALUE"""),"VerifyAggregationMasterFundWithNav")</f>
        <v>VerifyAggregationMasterFundWithNav</v>
      </c>
      <c r="J4" s="66" t="str">
        <f>IFERROR(__xludf.DUMMYFUNCTION("""COMPUTED_VALUE"""),"VerifyAggregationSectorWithNav")</f>
        <v>VerifyAggregationSectorWithNav</v>
      </c>
      <c r="K4" s="66" t="str">
        <f>IFERROR(__xludf.DUMMYFUNCTION("""COMPUTED_VALUE"""),"VerifyAggregationUnderlyingSymbolWithNav")</f>
        <v>VerifyAggregationUnderlyingSymbolWithNav</v>
      </c>
      <c r="L4" s="66" t="str">
        <f>IFERROR(__xludf.DUMMYFUNCTION("""COMPUTED_VALUE"""),"VerifyAuecWindow")</f>
        <v>VerifyAuecWindow</v>
      </c>
      <c r="M4" s="66" t="str">
        <f>IFERROR(__xludf.DUMMYFUNCTION("""COMPUTED_VALUE"""),"VerifyBetaWindow")</f>
        <v>VerifyBetaWindow</v>
      </c>
      <c r="N4" s="66" t="str">
        <f>IFERROR(__xludf.DUMMYFUNCTION("""COMPUTED_VALUE"""),"VerifyCustomSymbolDataWindow")</f>
        <v>VerifyCustomSymbolDataWindow</v>
      </c>
      <c r="O4" s="66" t="str">
        <f>IFERROR(__xludf.DUMMYFUNCTION("""COMPUTED_VALUE"""),"VerifyDayEndCashAccountWindow")</f>
        <v>VerifyDayEndCashAccountWindow</v>
      </c>
      <c r="P4" s="67" t="str">
        <f>IFERROR(__xludf.DUMMYFUNCTION("""COMPUTED_VALUE"""),"VerifyDbNavWindow")</f>
        <v>VerifyDbNavWindow</v>
      </c>
      <c r="Q4" s="67" t="str">
        <f>IFERROR(__xludf.DUMMYFUNCTION("""COMPUTED_VALUE"""),"VerifyGlobalDivisorWindow")</f>
        <v>VerifyGlobalDivisorWindow</v>
      </c>
      <c r="R4" s="67" t="str">
        <f>IFERROR(__xludf.DUMMYFUNCTION("""COMPUTED_VALUE"""),"VerifyPmCalculationPreferenceWindow")</f>
        <v>VerifyPmCalculationPreferenceWindow</v>
      </c>
      <c r="S4" s="67" t="str">
        <f>IFERROR(__xludf.DUMMYFUNCTION("""COMPUTED_VALUE"""),"VerifyRowCalculationBaseWindow")</f>
        <v>VerifyRowCalculationBaseWindow</v>
      </c>
      <c r="T4" s="67" t="str">
        <f>IFERROR(__xludf.DUMMYFUNCTION("""COMPUTED_VALUE"""),"VerifySecurityWindow")</f>
        <v>VerifySecurityWindow</v>
      </c>
      <c r="U4" s="67" t="str">
        <f>IFERROR(__xludf.DUMMYFUNCTION("""COMPUTED_VALUE"""),"VerifySymbolDataWindow")</f>
        <v>VerifySymbolDataWindow</v>
      </c>
      <c r="V4" s="67" t="str">
        <f>IFERROR(__xludf.DUMMYFUNCTION("""COMPUTED_VALUE"""),"VerifySymbolDivisorWindow")</f>
        <v>VerifySymbolDivisorWindow</v>
      </c>
      <c r="W4" s="67" t="str">
        <f>IFERROR(__xludf.DUMMYFUNCTION("""COMPUTED_VALUE"""),"VerifyTaxlotWindow")</f>
        <v>VerifyTaxlotWindow</v>
      </c>
      <c r="X4" s="67" t="str">
        <f>IFERROR(__xludf.DUMMYFUNCTION("""COMPUTED_VALUE"""),"RestartEsper")</f>
        <v>RestartEsper</v>
      </c>
      <c r="Y4" s="67" t="str">
        <f>IFERROR(__xludf.DUMMYFUNCTION("""COMPUTED_VALUE"""),"VerifyAccountNavPreferenceWindow")</f>
        <v>VerifyAccountNavPreferenceWindow</v>
      </c>
      <c r="Z4" s="67" t="str">
        <f>IFERROR(__xludf.DUMMYFUNCTION("""COMPUTED_VALUE"""),"VerifyAggregationAccountUnderlyingSymbolWithNav")</f>
        <v>VerifyAggregationAccountUnderlyingSymbolWithNav</v>
      </c>
      <c r="AA4" s="67" t="str">
        <f>IFERROR(__xludf.DUMMYFUNCTION("""COMPUTED_VALUE"""),"VerifyAggregationAssetWithNav")</f>
        <v>VerifyAggregationAssetWithNav</v>
      </c>
      <c r="AB4" s="67" t="str">
        <f>IFERROR(__xludf.DUMMYFUNCTION("""COMPUTED_VALUE"""),"VerifyAggregationSymbolWithNav")</f>
        <v>VerifyAggregationSymbolWithNav</v>
      </c>
      <c r="AC4" s="67" t="str">
        <f>IFERROR(__xludf.DUMMYFUNCTION("""COMPUTED_VALUE"""),"VerifyAggregationSubSectorWithNav")</f>
        <v>VerifyAggregationSubSectorWithNav</v>
      </c>
      <c r="AD4" s="67" t="str">
        <f>IFERROR(__xludf.DUMMYFUNCTION("""COMPUTED_VALUE"""),"VerifyAggregationGlobalWithNav")</f>
        <v>VerifyAggregationGlobalWithNav</v>
      </c>
      <c r="AE4" s="67" t="str">
        <f>IFERROR(__xludf.DUMMYFUNCTION("""COMPUTED_VALUE"""),"VerifyAggregationGlobalWithNav")</f>
        <v>VerifyAggregationGlobalWithNav</v>
      </c>
      <c r="AF4" s="67" t="str">
        <f>IFERROR(__xludf.DUMMYFUNCTION("""COMPUTED_VALUE"""),"VerifyGlobalDivisorWindow")</f>
        <v>VerifyGlobalDivisorWindow</v>
      </c>
      <c r="AG4" s="67" t="str">
        <f>IFERROR(__xludf.DUMMYFUNCTION("""COMPUTED_VALUE"""),"VerifyAccrualForAccountWindow")</f>
        <v>VerifyAccrualForAccountWindow</v>
      </c>
      <c r="AH4" s="67" t="str">
        <f>IFERROR(__xludf.DUMMYFUNCTION("""COMPUTED_VALUE"""),"VerifyGlobalDivisorWindow")</f>
        <v>VerifyGlobalDivisorWindow</v>
      </c>
      <c r="AI4" s="67" t="str">
        <f>IFERROR(__xludf.DUMMYFUNCTION("""COMPUTED_VALUE"""),"VerifyMasterFundDivisorWindow")</f>
        <v>VerifyMasterFundDivisorWindow</v>
      </c>
      <c r="AJ4" s="67" t="str">
        <f>IFERROR(__xludf.DUMMYFUNCTION("""COMPUTED_VALUE"""),"VerifyMasterFundSymbolDivisorWindow")</f>
        <v>VerifyMasterFundSymbolDivisorWindow</v>
      </c>
      <c r="AK4" s="67" t="str">
        <f>IFERROR(__xludf.DUMMYFUNCTION("""COMPUTED_VALUE"""),"VerifyAggAccountSymbolWithNav")</f>
        <v>VerifyAggAccountSymbolWithNav</v>
      </c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8"/>
      <c r="GC4" s="68"/>
      <c r="GD4" s="68"/>
      <c r="GE4" s="68"/>
      <c r="GF4" s="68"/>
      <c r="GG4" s="68"/>
      <c r="GH4" s="68"/>
      <c r="GI4" s="68"/>
      <c r="GJ4" s="68"/>
      <c r="GK4" s="68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69" t="str">
        <f>IFERROR(__xludf.DUMMYFUNCTION("""COMPUTED_VALUE"""),"taxlotType")</f>
        <v>taxlotType</v>
      </c>
      <c r="C5" s="69" t="str">
        <f>IFERROR(__xludf.DUMMYFUNCTION("""COMPUTED_VALUE"""),"accountId")</f>
        <v>accountId</v>
      </c>
      <c r="D5" s="69" t="str">
        <f>IFERROR(__xludf.DUMMYFUNCTION("""COMPUTED_VALUE"""),"compressionLevel")</f>
        <v>compressionLevel</v>
      </c>
      <c r="E5" s="69" t="str">
        <f>IFERROR(__xludf.DUMMYFUNCTION("""COMPUTED_VALUE"""),"accountShortName")</f>
        <v>accountShortName</v>
      </c>
      <c r="F5" s="70" t="str">
        <f>IFERROR(__xludf.DUMMYFUNCTION("""COMPUTED_VALUE"""),"accountLongName")</f>
        <v>accountLongName</v>
      </c>
      <c r="G5" s="69" t="str">
        <f>IFERROR(__xludf.DUMMYFUNCTION("""COMPUTED_VALUE"""),"symbol")</f>
        <v>symbol</v>
      </c>
      <c r="H5" s="69" t="str">
        <f>IFERROR(__xludf.DUMMYFUNCTION("""COMPUTED_VALUE"""),"underlyingSymbol")</f>
        <v>underlyingSymbol</v>
      </c>
      <c r="I5" s="69" t="str">
        <f>IFERROR(__xludf.DUMMYFUNCTION("""COMPUTED_VALUE"""),"exchange")</f>
        <v>exchange</v>
      </c>
      <c r="J5" s="69" t="str">
        <f>IFERROR(__xludf.DUMMYFUNCTION("""COMPUTED_VALUE"""),"currency")</f>
        <v>currency</v>
      </c>
      <c r="K5" s="69" t="str">
        <f>IFERROR(__xludf.DUMMYFUNCTION("""COMPUTED_VALUE"""),"sector")</f>
        <v>sector</v>
      </c>
      <c r="L5" s="69" t="str">
        <f>IFERROR(__xludf.DUMMYFUNCTION("""COMPUTED_VALUE"""),"subSector")</f>
        <v>subSector</v>
      </c>
      <c r="M5" s="69" t="str">
        <f>IFERROR(__xludf.DUMMYFUNCTION("""COMPUTED_VALUE"""),"udaAsset")</f>
        <v>udaAsset</v>
      </c>
      <c r="N5" s="69" t="str">
        <f>IFERROR(__xludf.DUMMYFUNCTION("""COMPUTED_VALUE"""),"udaSecurityType")</f>
        <v>udaSecurityType</v>
      </c>
      <c r="O5" s="69" t="str">
        <f>IFERROR(__xludf.DUMMYFUNCTION("""COMPUTED_VALUE"""),"udaCountry")</f>
        <v>udaCountry</v>
      </c>
      <c r="P5" s="69" t="str">
        <f>IFERROR(__xludf.DUMMYFUNCTION("""COMPUTED_VALUE"""),"underlyingCountry")</f>
        <v>underlyingCountry</v>
      </c>
      <c r="Q5" s="69" t="str">
        <f>IFERROR(__xludf.DUMMYFUNCTION("""COMPUTED_VALUE"""),"assetId")</f>
        <v>assetId</v>
      </c>
      <c r="R5" s="69" t="str">
        <f>IFERROR(__xludf.DUMMYFUNCTION("""COMPUTED_VALUE"""),"asset")</f>
        <v>asset</v>
      </c>
      <c r="S5" s="69" t="str">
        <f>IFERROR(__xludf.DUMMYFUNCTION("""COMPUTED_VALUE"""),"underlyingAsset")</f>
        <v>underlyingAsset</v>
      </c>
      <c r="T5" s="71" t="str">
        <f>IFERROR(__xludf.DUMMYFUNCTION("""COMPUTED_VALUE"""),"masterFundId")</f>
        <v>masterFundId</v>
      </c>
      <c r="U5" s="71" t="str">
        <f>IFERROR(__xludf.DUMMYFUNCTION("""COMPUTED_VALUE"""),"masterFundName")</f>
        <v>masterFundName</v>
      </c>
      <c r="V5" s="71" t="str">
        <f>IFERROR(__xludf.DUMMYFUNCTION("""COMPUTED_VALUE"""),"putOrCall")</f>
        <v>putOrCall</v>
      </c>
      <c r="W5" s="71" t="str">
        <f>IFERROR(__xludf.DUMMYFUNCTION("""COMPUTED_VALUE"""),"strikePrice")</f>
        <v>strikePrice</v>
      </c>
      <c r="X5" s="71" t="str">
        <f>IFERROR(__xludf.DUMMYFUNCTION("""COMPUTED_VALUE"""),"riskCurrency")</f>
        <v>riskCurrency</v>
      </c>
      <c r="Y5" s="71" t="str">
        <f>IFERROR(__xludf.DUMMYFUNCTION("""COMPUTED_VALUE"""),"issuer")</f>
        <v>issuer</v>
      </c>
      <c r="Z5" s="71" t="str">
        <f>IFERROR(__xludf.DUMMYFUNCTION("""COMPUTED_VALUE"""),"countryOfRisk")</f>
        <v>countryOfRisk</v>
      </c>
      <c r="AA5" s="71" t="str">
        <f>IFERROR(__xludf.DUMMYFUNCTION("""COMPUTED_VALUE"""),"region")</f>
        <v>region</v>
      </c>
      <c r="AB5" s="71" t="str">
        <f>IFERROR(__xludf.DUMMYFUNCTION("""COMPUTED_VALUE"""),"analyst")</f>
        <v>analyst</v>
      </c>
      <c r="AC5" s="71" t="str">
        <f>IFERROR(__xludf.DUMMYFUNCTION("""COMPUTED_VALUE"""),"ucitsEligibleTag")</f>
        <v>ucitsEligibleTag</v>
      </c>
      <c r="AD5" s="71" t="str">
        <f>IFERROR(__xludf.DUMMYFUNCTION("""COMPUTED_VALUE"""),"liquidTag")</f>
        <v>liquidTag</v>
      </c>
      <c r="AE5" s="71" t="str">
        <f>IFERROR(__xludf.DUMMYFUNCTION("""COMPUTED_VALUE"""),"marketCap")</f>
        <v>marketCap</v>
      </c>
      <c r="AF5" s="71" t="str">
        <f>IFERROR(__xludf.DUMMYFUNCTION("""COMPUTED_VALUE"""),"customUDA1")</f>
        <v>customUDA1</v>
      </c>
      <c r="AG5" s="71" t="str">
        <f>IFERROR(__xludf.DUMMYFUNCTION("""COMPUTED_VALUE"""),"customUDA2")</f>
        <v>customUDA2</v>
      </c>
      <c r="AH5" s="71" t="str">
        <f>IFERROR(__xludf.DUMMYFUNCTION("""COMPUTED_VALUE"""),"customUDA3")</f>
        <v>customUDA3</v>
      </c>
      <c r="AI5" s="71" t="str">
        <f>IFERROR(__xludf.DUMMYFUNCTION("""COMPUTED_VALUE"""),"customUDA4")</f>
        <v>customUDA4</v>
      </c>
      <c r="AJ5" s="71" t="str">
        <f>IFERROR(__xludf.DUMMYFUNCTION("""COMPUTED_VALUE"""),"customUDA5")</f>
        <v>customUDA5</v>
      </c>
      <c r="AK5" s="71" t="str">
        <f>IFERROR(__xludf.DUMMYFUNCTION("""COMPUTED_VALUE"""),"customUDA6")</f>
        <v>customUDA6</v>
      </c>
      <c r="AL5" s="71" t="str">
        <f>IFERROR(__xludf.DUMMYFUNCTION("""COMPUTED_VALUE"""),"customUDA7")</f>
        <v>customUDA7</v>
      </c>
      <c r="AM5" s="71" t="str">
        <f>IFERROR(__xludf.DUMMYFUNCTION("""COMPUTED_VALUE"""),"todayAbsTradeQuantity")</f>
        <v>todayAbsTradeQuantity</v>
      </c>
      <c r="AN5" s="71" t="str">
        <f>IFERROR(__xludf.DUMMYFUNCTION("""COMPUTED_VALUE"""),"todayLongTradeQuantity")</f>
        <v>todayLongTradeQuantity</v>
      </c>
      <c r="AO5" s="71" t="str">
        <f>IFERROR(__xludf.DUMMYFUNCTION("""COMPUTED_VALUE"""),"todayShortTradeQuantity")</f>
        <v>todayShortTradeQuantity</v>
      </c>
      <c r="AP5" s="71" t="str">
        <f>IFERROR(__xludf.DUMMYFUNCTION("""COMPUTED_VALUE"""),"todayNetNotionalBase")</f>
        <v>todayNetNotionalBase</v>
      </c>
      <c r="AQ5" s="71" t="str">
        <f>IFERROR(__xludf.DUMMYFUNCTION("""COMPUTED_VALUE"""),"todayLongNotionalBase")</f>
        <v>todayLongNotionalBase</v>
      </c>
      <c r="AR5" s="71" t="str">
        <f>IFERROR(__xludf.DUMMYFUNCTION("""COMPUTED_VALUE"""),"todayShortNotionalBase")</f>
        <v>todayShortNotionalBase</v>
      </c>
      <c r="AS5" s="71" t="str">
        <f>IFERROR(__xludf.DUMMYFUNCTION("""COMPUTED_VALUE"""),"quantity")</f>
        <v>quantity</v>
      </c>
      <c r="AT5" s="71" t="str">
        <f>IFERROR(__xludf.DUMMYFUNCTION("""COMPUTED_VALUE"""),"netMarketValueLocal")</f>
        <v>netMarketValueLocal</v>
      </c>
      <c r="AU5" s="71" t="str">
        <f>IFERROR(__xludf.DUMMYFUNCTION("""COMPUTED_VALUE"""),"yesterdayMarketValueLocal")</f>
        <v>yesterdayMarketValueLocal</v>
      </c>
      <c r="AV5" s="71" t="str">
        <f>IFERROR(__xludf.DUMMYFUNCTION("""COMPUTED_VALUE"""),"grossMarketValueLocal")</f>
        <v>grossMarketValueLocal</v>
      </c>
      <c r="AW5" s="71" t="str">
        <f>IFERROR(__xludf.DUMMYFUNCTION("""COMPUTED_VALUE"""),"notionalLocal")</f>
        <v>notionalLocal</v>
      </c>
      <c r="AX5" s="71" t="str">
        <f>IFERROR(__xludf.DUMMYFUNCTION("""COMPUTED_VALUE"""),"equityHaircutLocal")</f>
        <v>equityHaircutLocal</v>
      </c>
      <c r="AY5" s="71" t="str">
        <f>IFERROR(__xludf.DUMMYFUNCTION("""COMPUTED_VALUE"""),"indexHaircutLocal")</f>
        <v>indexHaircutLocal</v>
      </c>
      <c r="AZ5" s="71" t="str">
        <f>IFERROR(__xludf.DUMMYFUNCTION("""COMPUTED_VALUE"""),"equityHaircutBase")</f>
        <v>equityHaircutBase</v>
      </c>
      <c r="BA5" s="71" t="str">
        <f>IFERROR(__xludf.DUMMYFUNCTION("""COMPUTED_VALUE"""),"indexHaircutBase")</f>
        <v>indexHaircutBase</v>
      </c>
      <c r="BB5" s="71" t="str">
        <f>IFERROR(__xludf.DUMMYFUNCTION("""COMPUTED_VALUE"""),"cashImpactLocal")</f>
        <v>cashImpactLocal</v>
      </c>
      <c r="BC5" s="71" t="str">
        <f>IFERROR(__xludf.DUMMYFUNCTION("""COMPUTED_VALUE"""),"cashInflowLocal")</f>
        <v>cashInflowLocal</v>
      </c>
      <c r="BD5" s="71" t="str">
        <f>IFERROR(__xludf.DUMMYFUNCTION("""COMPUTED_VALUE"""),"cashOutflowLocal")</f>
        <v>cashOutflowLocal</v>
      </c>
      <c r="BE5" s="71" t="str">
        <f>IFERROR(__xludf.DUMMYFUNCTION("""COMPUTED_VALUE"""),"costBasisPnLLocal")</f>
        <v>costBasisPnLLocal</v>
      </c>
      <c r="BF5" s="71" t="str">
        <f>IFERROR(__xludf.DUMMYFUNCTION("""COMPUTED_VALUE"""),"dayPnLLocal")</f>
        <v>dayPnLLocal</v>
      </c>
      <c r="BG5" s="71" t="str">
        <f>IFERROR(__xludf.DUMMYFUNCTION("""COMPUTED_VALUE"""),"netExposureLocal")</f>
        <v>netExposureLocal</v>
      </c>
      <c r="BH5" s="71" t="str">
        <f>IFERROR(__xludf.DUMMYFUNCTION("""COMPUTED_VALUE"""),"grossExposureLocal")</f>
        <v>grossExposureLocal</v>
      </c>
      <c r="BI5" s="71" t="str">
        <f>IFERROR(__xludf.DUMMYFUNCTION("""COMPUTED_VALUE"""),"betaAdjustedExposureLocal")</f>
        <v>betaAdjustedExposureLocal</v>
      </c>
      <c r="BJ5" s="71" t="str">
        <f>IFERROR(__xludf.DUMMYFUNCTION("""COMPUTED_VALUE"""),"deltaAdjPosition")</f>
        <v>deltaAdjPosition</v>
      </c>
      <c r="BK5" s="71" t="str">
        <f>IFERROR(__xludf.DUMMYFUNCTION("""COMPUTED_VALUE"""),"liquidationPnlLocal")</f>
        <v>liquidationPnlLocal</v>
      </c>
      <c r="BL5" s="71" t="str">
        <f>IFERROR(__xludf.DUMMYFUNCTION("""COMPUTED_VALUE"""),"liquidationPnlBase")</f>
        <v>liquidationPnlBase</v>
      </c>
      <c r="BM5" s="71" t="str">
        <f>IFERROR(__xludf.DUMMYFUNCTION("""COMPUTED_VALUE"""),"underlyingValueForOptionsLocal")</f>
        <v>underlyingValueForOptionsLocal</v>
      </c>
      <c r="BN5" s="71" t="str">
        <f>IFERROR(__xludf.DUMMYFUNCTION("""COMPUTED_VALUE"""),"notionalBase")</f>
        <v>notionalBase</v>
      </c>
      <c r="BO5" s="71" t="str">
        <f>IFERROR(__xludf.DUMMYFUNCTION("""COMPUTED_VALUE"""),"cashImpactBase")</f>
        <v>cashImpactBase</v>
      </c>
      <c r="BP5" s="71" t="str">
        <f>IFERROR(__xludf.DUMMYFUNCTION("""COMPUTED_VALUE"""),"cashInflowBase")</f>
        <v>cashInflowBase</v>
      </c>
      <c r="BQ5" s="71" t="str">
        <f>IFERROR(__xludf.DUMMYFUNCTION("""COMPUTED_VALUE"""),"cashOutflowBase")</f>
        <v>cashOutflowBase</v>
      </c>
      <c r="BR5" s="71" t="str">
        <f>IFERROR(__xludf.DUMMYFUNCTION("""COMPUTED_VALUE"""),"netMarketValueBase")</f>
        <v>netMarketValueBase</v>
      </c>
      <c r="BS5" s="71" t="str">
        <f>IFERROR(__xludf.DUMMYFUNCTION("""COMPUTED_VALUE"""),"yesterdayMarketValueBase")</f>
        <v>yesterdayMarketValueBase</v>
      </c>
      <c r="BT5" s="71" t="str">
        <f>IFERROR(__xludf.DUMMYFUNCTION("""COMPUTED_VALUE"""),"grossMarketValueBase")</f>
        <v>grossMarketValueBase</v>
      </c>
      <c r="BU5" s="71" t="str">
        <f>IFERROR(__xludf.DUMMYFUNCTION("""COMPUTED_VALUE"""),"costBasisPnLBase")</f>
        <v>costBasisPnLBase</v>
      </c>
      <c r="BV5" s="71" t="str">
        <f>IFERROR(__xludf.DUMMYFUNCTION("""COMPUTED_VALUE"""),"dayPnLBase")</f>
        <v>dayPnLBase</v>
      </c>
      <c r="BW5" s="71" t="str">
        <f>IFERROR(__xludf.DUMMYFUNCTION("""COMPUTED_VALUE"""),"netExposureBase")</f>
        <v>netExposureBase</v>
      </c>
      <c r="BX5" s="71" t="str">
        <f>IFERROR(__xludf.DUMMYFUNCTION("""COMPUTED_VALUE"""),"grossExposureBase")</f>
        <v>grossExposureBase</v>
      </c>
      <c r="BY5" s="71" t="str">
        <f>IFERROR(__xludf.DUMMYFUNCTION("""COMPUTED_VALUE"""),"betaAdjustedExposureBase")</f>
        <v>betaAdjustedExposureBase</v>
      </c>
      <c r="BZ5" s="71" t="str">
        <f>IFERROR(__xludf.DUMMYFUNCTION("""COMPUTED_VALUE"""),"underlyingValueForOptionsBase")</f>
        <v>underlyingValueForOptionsBase</v>
      </c>
      <c r="CA5" s="71" t="str">
        <f>IFERROR(__xludf.DUMMYFUNCTION("""COMPUTED_VALUE"""),"currentFxRate")</f>
        <v>currentFxRate</v>
      </c>
      <c r="CB5" s="71" t="str">
        <f>IFERROR(__xludf.DUMMYFUNCTION("""COMPUTED_VALUE"""),"yesterdayFxRate")</f>
        <v>yesterdayFxRate</v>
      </c>
      <c r="CC5" s="71" t="str">
        <f>IFERROR(__xludf.DUMMYFUNCTION("""COMPUTED_VALUE"""),"fxConversionMethod")</f>
        <v>fxConversionMethod</v>
      </c>
      <c r="CD5" s="71" t="str">
        <f>IFERROR(__xludf.DUMMYFUNCTION("""COMPUTED_VALUE"""),"askPrice")</f>
        <v>askPrice</v>
      </c>
      <c r="CE5" s="71" t="str">
        <f>IFERROR(__xludf.DUMMYFUNCTION("""COMPUTED_VALUE"""),"bidPrice")</f>
        <v>bidPrice</v>
      </c>
      <c r="CF5" s="71" t="str">
        <f>IFERROR(__xludf.DUMMYFUNCTION("""COMPUTED_VALUE"""),"lowPrice")</f>
        <v>lowPrice</v>
      </c>
      <c r="CG5" s="71" t="str">
        <f>IFERROR(__xludf.DUMMYFUNCTION("""COMPUTED_VALUE"""),"highPrice")</f>
        <v>highPrice</v>
      </c>
      <c r="CH5" s="71" t="str">
        <f>IFERROR(__xludf.DUMMYFUNCTION("""COMPUTED_VALUE"""),"openPrice")</f>
        <v>openPrice</v>
      </c>
      <c r="CI5" s="71" t="str">
        <f>IFERROR(__xludf.DUMMYFUNCTION("""COMPUTED_VALUE"""),"closePrice")</f>
        <v>closePrice</v>
      </c>
      <c r="CJ5" s="71" t="str">
        <f>IFERROR(__xludf.DUMMYFUNCTION("""COMPUTED_VALUE"""),"lastPrice")</f>
        <v>lastPrice</v>
      </c>
      <c r="CK5" s="71" t="str">
        <f>IFERROR(__xludf.DUMMYFUNCTION("""COMPUTED_VALUE"""),"markPrice")</f>
        <v>markPrice</v>
      </c>
      <c r="CL5" s="71" t="str">
        <f>IFERROR(__xludf.DUMMYFUNCTION("""COMPUTED_VALUE"""),"delta")</f>
        <v>delta</v>
      </c>
      <c r="CM5" s="71" t="str">
        <f>IFERROR(__xludf.DUMMYFUNCTION("""COMPUTED_VALUE"""),"leveragedFactor")</f>
        <v>leveragedFactor</v>
      </c>
      <c r="CN5" s="71" t="str">
        <f>IFERROR(__xludf.DUMMYFUNCTION("""COMPUTED_VALUE"""),"beta5YearMonthly")</f>
        <v>beta5YearMonthly</v>
      </c>
      <c r="CO5" s="71" t="str">
        <f>IFERROR(__xludf.DUMMYFUNCTION("""COMPUTED_VALUE"""),"selectedFeedPrice")</f>
        <v>selectedFeedPrice</v>
      </c>
      <c r="CP5" s="71" t="str">
        <f>IFERROR(__xludf.DUMMYFUNCTION("""COMPUTED_VALUE"""),"openInterest")</f>
        <v>openInterest</v>
      </c>
      <c r="CQ5" s="71" t="str">
        <f>IFERROR(__xludf.DUMMYFUNCTION("""COMPUTED_VALUE"""),"underlyingPrice")</f>
        <v>underlyingPrice</v>
      </c>
      <c r="CR5" s="71" t="str">
        <f>IFERROR(__xludf.DUMMYFUNCTION("""COMPUTED_VALUE"""),"avgVolume20Days")</f>
        <v>avgVolume20Days</v>
      </c>
      <c r="CS5" s="71" t="str">
        <f>IFERROR(__xludf.DUMMYFUNCTION("""COMPUTED_VALUE"""),"percentAvgVolume")</f>
        <v>percentAvgVolume</v>
      </c>
      <c r="CT5" s="71" t="str">
        <f>IFERROR(__xludf.DUMMYFUNCTION("""COMPUTED_VALUE"""),"sharesOutstanding")</f>
        <v>sharesOutstanding</v>
      </c>
      <c r="CU5" s="71" t="str">
        <f>IFERROR(__xludf.DUMMYFUNCTION("""COMPUTED_VALUE"""),"underlyingSharesOutstanding")</f>
        <v>underlyingSharesOutstanding</v>
      </c>
      <c r="CV5" s="71" t="str">
        <f>IFERROR(__xludf.DUMMYFUNCTION("""COMPUTED_VALUE"""),"marketCapitalization")</f>
        <v>marketCapitalization</v>
      </c>
      <c r="CW5" s="71" t="str">
        <f>IFERROR(__xludf.DUMMYFUNCTION("""COMPUTED_VALUE"""),"underlyingMarketCapitalization")</f>
        <v>underlyingMarketCapitalization</v>
      </c>
      <c r="CX5" s="71" t="str">
        <f>IFERROR(__xludf.DUMMYFUNCTION("""COMPUTED_VALUE"""),"avgVolume")</f>
        <v>avgVolume</v>
      </c>
      <c r="CY5" s="71" t="str">
        <f>IFERROR(__xludf.DUMMYFUNCTION("""COMPUTED_VALUE"""),"businessDaysToExpire")</f>
        <v>businessDaysToExpire</v>
      </c>
      <c r="CZ5" s="71" t="str">
        <f>IFERROR(__xludf.DUMMYFUNCTION("""COMPUTED_VALUE"""),"actualDaysToExpire")</f>
        <v>actualDaysToExpire</v>
      </c>
      <c r="DA5" s="71" t="str">
        <f>IFERROR(__xludf.DUMMYFUNCTION("""COMPUTED_VALUE"""),"equivalent")</f>
        <v>equivalent</v>
      </c>
      <c r="DB5" s="71" t="str">
        <f>IFERROR(__xludf.DUMMYFUNCTION("""COMPUTED_VALUE"""),"multiplier")</f>
        <v>multiplier</v>
      </c>
      <c r="DC5" s="71" t="str">
        <f>IFERROR(__xludf.DUMMYFUNCTION("""COMPUTED_VALUE"""),"dayInterestBase")</f>
        <v>dayInterestBase</v>
      </c>
      <c r="DD5" s="71" t="str">
        <f>IFERROR(__xludf.DUMMYFUNCTION("""COMPUTED_VALUE"""),"totalInterestBase")</f>
        <v>totalInterestBase</v>
      </c>
      <c r="DE5" s="71" t="str">
        <f>IFERROR(__xludf.DUMMYFUNCTION("""COMPUTED_VALUE"""),"dayInterestLocal")</f>
        <v>dayInterestLocal</v>
      </c>
      <c r="DF5" s="71" t="str">
        <f>IFERROR(__xludf.DUMMYFUNCTION("""COMPUTED_VALUE"""),"totalInterestLocal")</f>
        <v>totalInterestLocal</v>
      </c>
      <c r="DG5" s="71" t="str">
        <f>IFERROR(__xludf.DUMMYFUNCTION("""COMPUTED_VALUE"""),"defaultPositionSide")</f>
        <v>defaultPositionSide</v>
      </c>
      <c r="DH5" s="71" t="str">
        <f>IFERROR(__xludf.DUMMYFUNCTION("""COMPUTED_VALUE"""),"exposurePositionSide")</f>
        <v>exposurePositionSide</v>
      </c>
      <c r="DI5" s="71" t="str">
        <f>IFERROR(__xludf.DUMMYFUNCTION("""COMPUTED_VALUE"""),"longNotionalBase")</f>
        <v>longNotionalBase</v>
      </c>
      <c r="DJ5" s="71" t="str">
        <f>IFERROR(__xludf.DUMMYFUNCTION("""COMPUTED_VALUE"""),"shortNotionalBase")</f>
        <v>shortNotionalBase</v>
      </c>
      <c r="DK5" s="71" t="str">
        <f>IFERROR(__xludf.DUMMYFUNCTION("""COMPUTED_VALUE"""),"shortMarketValueBase")</f>
        <v>shortMarketValueBase</v>
      </c>
      <c r="DL5" s="71" t="str">
        <f>IFERROR(__xludf.DUMMYFUNCTION("""COMPUTED_VALUE"""),"longMarketValueBase")</f>
        <v>longMarketValueBase</v>
      </c>
      <c r="DM5" s="71" t="str">
        <f>IFERROR(__xludf.DUMMYFUNCTION("""COMPUTED_VALUE"""),"shortExposureBase")</f>
        <v>shortExposureBase</v>
      </c>
      <c r="DN5" s="71" t="str">
        <f>IFERROR(__xludf.DUMMYFUNCTION("""COMPUTED_VALUE"""),"longExposureBase")</f>
        <v>longExposureBase</v>
      </c>
      <c r="DO5" s="71" t="str">
        <f>IFERROR(__xludf.DUMMYFUNCTION("""COMPUTED_VALUE"""),"globalNav")</f>
        <v>globalNav</v>
      </c>
      <c r="DP5" s="71" t="str">
        <f>IFERROR(__xludf.DUMMYFUNCTION("""COMPUTED_VALUE"""),"startOfDayNavGlobal")</f>
        <v>startOfDayNavGlobal</v>
      </c>
      <c r="DQ5" s="71" t="str">
        <f>IFERROR(__xludf.DUMMYFUNCTION("""COMPUTED_VALUE"""),"grossMarketValueBaseGlobal")</f>
        <v>grossMarketValueBaseGlobal</v>
      </c>
      <c r="DR5" s="71" t="str">
        <f>IFERROR(__xludf.DUMMYFUNCTION("""COMPUTED_VALUE"""),"grossExposureBaseGlobal")</f>
        <v>grossExposureBaseGlobal</v>
      </c>
      <c r="DS5" s="71" t="str">
        <f>IFERROR(__xludf.DUMMYFUNCTION("""COMPUTED_VALUE"""),"netExposureBaseGlobal")</f>
        <v>netExposureBaseGlobal</v>
      </c>
      <c r="DT5" s="71" t="str">
        <f>IFERROR(__xludf.DUMMYFUNCTION("""COMPUTED_VALUE"""),"accountNav")</f>
        <v>accountNav</v>
      </c>
      <c r="DU5" s="71" t="str">
        <f>IFERROR(__xludf.DUMMYFUNCTION("""COMPUTED_VALUE"""),"accountNRA")</f>
        <v>accountNRA</v>
      </c>
      <c r="DV5" s="71" t="str">
        <f>IFERROR(__xludf.DUMMYFUNCTION("""COMPUTED_VALUE"""),"startOfDayNavAccount")</f>
        <v>startOfDayNavAccount</v>
      </c>
      <c r="DW5" s="71" t="str">
        <f>IFERROR(__xludf.DUMMYFUNCTION("""COMPUTED_VALUE"""),"grossMarketValueBaseAccount")</f>
        <v>grossMarketValueBaseAccount</v>
      </c>
      <c r="DX5" s="71" t="str">
        <f>IFERROR(__xludf.DUMMYFUNCTION("""COMPUTED_VALUE"""),"grossExposureBaseAccount")</f>
        <v>grossExposureBaseAccount</v>
      </c>
      <c r="DY5" s="71" t="str">
        <f>IFERROR(__xludf.DUMMYFUNCTION("""COMPUTED_VALUE"""),"netExposureBaseAccount")</f>
        <v>netExposureBaseAccount</v>
      </c>
      <c r="DZ5" s="71" t="str">
        <f>IFERROR(__xludf.DUMMYFUNCTION("""COMPUTED_VALUE"""),"currentCash")</f>
        <v>currentCash</v>
      </c>
      <c r="EA5" s="71" t="str">
        <f>IFERROR(__xludf.DUMMYFUNCTION("""COMPUTED_VALUE"""),"accrual")</f>
        <v>accrual</v>
      </c>
      <c r="EB5" s="71" t="str">
        <f>IFERROR(__xludf.DUMMYFUNCTION("""COMPUTED_VALUE"""),"masterFundNav")</f>
        <v>masterFundNav</v>
      </c>
      <c r="EC5" s="71" t="str">
        <f>IFERROR(__xludf.DUMMYFUNCTION("""COMPUTED_VALUE"""),"startOfDayNavMasterFund")</f>
        <v>startOfDayNavMasterFund</v>
      </c>
      <c r="ED5" s="71" t="str">
        <f>IFERROR(__xludf.DUMMYFUNCTION("""COMPUTED_VALUE"""),"grossMarketValueBaseMasterFund")</f>
        <v>grossMarketValueBaseMasterFund</v>
      </c>
      <c r="EE5" s="71" t="str">
        <f>IFERROR(__xludf.DUMMYFUNCTION("""COMPUTED_VALUE"""),"grossExposureBaseMasterFund")</f>
        <v>grossExposureBaseMasterFund</v>
      </c>
      <c r="EF5" s="71" t="str">
        <f>IFERROR(__xludf.DUMMYFUNCTION("""COMPUTED_VALUE"""),"netExposureBaseMasterFund")</f>
        <v>netExposureBaseMasterFund</v>
      </c>
      <c r="EG5" s="71" t="str">
        <f>IFERROR(__xludf.DUMMYFUNCTION("""COMPUTED_VALUE"""),"percentNetMarketValueAccount")</f>
        <v>percentNetMarketValueAccount</v>
      </c>
      <c r="EH5" s="71" t="str">
        <f>IFERROR(__xludf.DUMMYFUNCTION("""COMPUTED_VALUE"""),"percentLongExposureAccount")</f>
        <v>percentLongExposureAccount</v>
      </c>
      <c r="EI5" s="71" t="str">
        <f>IFERROR(__xludf.DUMMYFUNCTION("""COMPUTED_VALUE"""),"percentShortExposureAccount")</f>
        <v>percentShortExposureAccount</v>
      </c>
      <c r="EJ5" s="71" t="str">
        <f>IFERROR(__xludf.DUMMYFUNCTION("""COMPUTED_VALUE"""),"percentNetExposureAccount")</f>
        <v>percentNetExposureAccount</v>
      </c>
      <c r="EK5" s="71" t="str">
        <f>IFERROR(__xludf.DUMMYFUNCTION("""COMPUTED_VALUE"""),"percentBetaAdjustedExposureAccount")</f>
        <v>percentBetaAdjustedExposureAccount</v>
      </c>
      <c r="EL5" s="71" t="str">
        <f>IFERROR(__xludf.DUMMYFUNCTION("""COMPUTED_VALUE"""),"percentGrossExposureAccount")</f>
        <v>percentGrossExposureAccount</v>
      </c>
      <c r="EM5" s="71" t="str">
        <f>IFERROR(__xludf.DUMMYFUNCTION("""COMPUTED_VALUE"""),"percentLongMarketValueAccount")</f>
        <v>percentLongMarketValueAccount</v>
      </c>
      <c r="EN5" s="71" t="str">
        <f>IFERROR(__xludf.DUMMYFUNCTION("""COMPUTED_VALUE"""),"percentShortMarketValueAccount")</f>
        <v>percentShortMarketValueAccount</v>
      </c>
      <c r="EO5" s="71" t="str">
        <f>IFERROR(__xludf.DUMMYFUNCTION("""COMPUTED_VALUE"""),"percentGrossMarketValueAccount")</f>
        <v>percentGrossMarketValueAccount</v>
      </c>
      <c r="EP5" s="71" t="str">
        <f>IFERROR(__xludf.DUMMYFUNCTION("""COMPUTED_VALUE"""),"percentLongNotionalAccount")</f>
        <v>percentLongNotionalAccount</v>
      </c>
      <c r="EQ5" s="71" t="str">
        <f>IFERROR(__xludf.DUMMYFUNCTION("""COMPUTED_VALUE"""),"percentShortNotionalAccount")</f>
        <v>percentShortNotionalAccount</v>
      </c>
      <c r="ER5" s="71" t="str">
        <f>IFERROR(__xludf.DUMMYFUNCTION("""COMPUTED_VALUE"""),"percentNetNotionalAccount")</f>
        <v>percentNetNotionalAccount</v>
      </c>
      <c r="ES5" s="71" t="str">
        <f>IFERROR(__xludf.DUMMYFUNCTION("""COMPUTED_VALUE"""),"pnlContributionAccount")</f>
        <v>pnlContributionAccount</v>
      </c>
      <c r="ET5" s="71" t="str">
        <f>IFERROR(__xludf.DUMMYFUNCTION("""COMPUTED_VALUE"""),"percentCostBasisPnlAccount")</f>
        <v>percentCostBasisPnlAccount</v>
      </c>
      <c r="EU5" s="71" t="str">
        <f>IFERROR(__xludf.DUMMYFUNCTION("""COMPUTED_VALUE"""),"dayReturnAccount")</f>
        <v>dayReturnAccount</v>
      </c>
      <c r="EV5" s="71" t="str">
        <f>IFERROR(__xludf.DUMMYFUNCTION("""COMPUTED_VALUE"""),"percentNetMarketValueMasterFund")</f>
        <v>percentNetMarketValueMasterFund</v>
      </c>
      <c r="EW5" s="71" t="str">
        <f>IFERROR(__xludf.DUMMYFUNCTION("""COMPUTED_VALUE"""),"percentLongExposureMasterFund")</f>
        <v>percentLongExposureMasterFund</v>
      </c>
      <c r="EX5" s="71" t="str">
        <f>IFERROR(__xludf.DUMMYFUNCTION("""COMPUTED_VALUE"""),"percentShortExposureMasterFund")</f>
        <v>percentShortExposureMasterFund</v>
      </c>
      <c r="EY5" s="71" t="str">
        <f>IFERROR(__xludf.DUMMYFUNCTION("""COMPUTED_VALUE"""),"percentNetExposureMasterFund")</f>
        <v>percentNetExposureMasterFund</v>
      </c>
      <c r="EZ5" s="71" t="str">
        <f>IFERROR(__xludf.DUMMYFUNCTION("""COMPUTED_VALUE"""),"percentBetaAdjustedExposureMasterFund")</f>
        <v>percentBetaAdjustedExposureMasterFund</v>
      </c>
      <c r="FA5" s="71" t="str">
        <f>IFERROR(__xludf.DUMMYFUNCTION("""COMPUTED_VALUE"""),"percentGrossExposureMasterFund")</f>
        <v>percentGrossExposureMasterFund</v>
      </c>
      <c r="FB5" s="71" t="str">
        <f>IFERROR(__xludf.DUMMYFUNCTION("""COMPUTED_VALUE"""),"percentLongMarketValueMasterFund")</f>
        <v>percentLongMarketValueMasterFund</v>
      </c>
      <c r="FC5" s="71" t="str">
        <f>IFERROR(__xludf.DUMMYFUNCTION("""COMPUTED_VALUE"""),"percentShortMarketValueMasterFund")</f>
        <v>percentShortMarketValueMasterFund</v>
      </c>
      <c r="FD5" s="71" t="str">
        <f>IFERROR(__xludf.DUMMYFUNCTION("""COMPUTED_VALUE"""),"percentGrossMarketValueMasterFund")</f>
        <v>percentGrossMarketValueMasterFund</v>
      </c>
      <c r="FE5" s="71" t="str">
        <f>IFERROR(__xludf.DUMMYFUNCTION("""COMPUTED_VALUE"""),"percentLongNotionalMasterFund")</f>
        <v>percentLongNotionalMasterFund</v>
      </c>
      <c r="FF5" s="71" t="str">
        <f>IFERROR(__xludf.DUMMYFUNCTION("""COMPUTED_VALUE"""),"percentShortNotionalMasterFund")</f>
        <v>percentShortNotionalMasterFund</v>
      </c>
      <c r="FG5" s="71" t="str">
        <f>IFERROR(__xludf.DUMMYFUNCTION("""COMPUTED_VALUE"""),"percentNetNotionalMasterFund")</f>
        <v>percentNetNotionalMasterFund</v>
      </c>
      <c r="FH5" s="71" t="str">
        <f>IFERROR(__xludf.DUMMYFUNCTION("""COMPUTED_VALUE"""),"pnlContributionMasterFund")</f>
        <v>pnlContributionMasterFund</v>
      </c>
      <c r="FI5" s="71" t="str">
        <f>IFERROR(__xludf.DUMMYFUNCTION("""COMPUTED_VALUE"""),"percentCostBasisPnlMasterFund")</f>
        <v>percentCostBasisPnlMasterFund</v>
      </c>
      <c r="FJ5" s="71" t="str">
        <f>IFERROR(__xludf.DUMMYFUNCTION("""COMPUTED_VALUE"""),"dayReturnMasterFund")</f>
        <v>dayReturnMasterFund</v>
      </c>
      <c r="FK5" s="71" t="str">
        <f>IFERROR(__xludf.DUMMYFUNCTION("""COMPUTED_VALUE"""),"percentNetMarketValueGlobal")</f>
        <v>percentNetMarketValueGlobal</v>
      </c>
      <c r="FL5" s="71" t="str">
        <f>IFERROR(__xludf.DUMMYFUNCTION("""COMPUTED_VALUE"""),"percentLongExposureGlobal")</f>
        <v>percentLongExposureGlobal</v>
      </c>
      <c r="FM5" s="71" t="str">
        <f>IFERROR(__xludf.DUMMYFUNCTION("""COMPUTED_VALUE"""),"percentShortExposureGlobal")</f>
        <v>percentShortExposureGlobal</v>
      </c>
      <c r="FN5" s="71" t="str">
        <f>IFERROR(__xludf.DUMMYFUNCTION("""COMPUTED_VALUE"""),"percentNetExposureGlobal")</f>
        <v>percentNetExposureGlobal</v>
      </c>
      <c r="FO5" s="71" t="str">
        <f>IFERROR(__xludf.DUMMYFUNCTION("""COMPUTED_VALUE"""),"percentBetaAdjustedExposureGlobal")</f>
        <v>percentBetaAdjustedExposureGlobal</v>
      </c>
      <c r="FP5" s="71" t="str">
        <f>IFERROR(__xludf.DUMMYFUNCTION("""COMPUTED_VALUE"""),"percentGrossExposureGlobal")</f>
        <v>percentGrossExposureGlobal</v>
      </c>
      <c r="FQ5" s="71" t="str">
        <f>IFERROR(__xludf.DUMMYFUNCTION("""COMPUTED_VALUE"""),"percentLongMarketValueGlobal")</f>
        <v>percentLongMarketValueGlobal</v>
      </c>
      <c r="FR5" s="71" t="str">
        <f>IFERROR(__xludf.DUMMYFUNCTION("""COMPUTED_VALUE"""),"percentShortMarketValueGlobal")</f>
        <v>percentShortMarketValueGlobal</v>
      </c>
      <c r="FS5" s="71" t="str">
        <f>IFERROR(__xludf.DUMMYFUNCTION("""COMPUTED_VALUE"""),"percentGrossMarketValueGlobal")</f>
        <v>percentGrossMarketValueGlobal</v>
      </c>
      <c r="FT5" s="71" t="str">
        <f>IFERROR(__xludf.DUMMYFUNCTION("""COMPUTED_VALUE"""),"percentLongNotionalGlobal")</f>
        <v>percentLongNotionalGlobal</v>
      </c>
      <c r="FU5" s="71" t="str">
        <f>IFERROR(__xludf.DUMMYFUNCTION("""COMPUTED_VALUE"""),"percentShortNotionalGlobal")</f>
        <v>percentShortNotionalGlobal</v>
      </c>
      <c r="FV5" s="71" t="str">
        <f>IFERROR(__xludf.DUMMYFUNCTION("""COMPUTED_VALUE"""),"percentNetNotionalGlobal")</f>
        <v>percentNetNotionalGlobal</v>
      </c>
      <c r="FW5" s="71" t="str">
        <f>IFERROR(__xludf.DUMMYFUNCTION("""COMPUTED_VALUE"""),"pnlContributionGlobal")</f>
        <v>pnlContributionGlobal</v>
      </c>
      <c r="FX5" s="71" t="str">
        <f>IFERROR(__xludf.DUMMYFUNCTION("""COMPUTED_VALUE"""),"percentCostBasisPnlGlobal")</f>
        <v>percentCostBasisPnlGlobal</v>
      </c>
      <c r="FY5" s="71" t="str">
        <f>IFERROR(__xludf.DUMMYFUNCTION("""COMPUTED_VALUE"""),"dayReturnGlobal")</f>
        <v>dayReturnGlobal</v>
      </c>
      <c r="FZ5" s="71" t="str">
        <f>IFERROR(__xludf.DUMMYFUNCTION("""COMPUTED_VALUE"""),"longDebitBalance")</f>
        <v>longDebitBalance</v>
      </c>
      <c r="GA5" s="71" t="str">
        <f>IFERROR(__xludf.DUMMYFUNCTION("""COMPUTED_VALUE"""),"shortCreditBalance")</f>
        <v>shortCreditBalance</v>
      </c>
      <c r="GB5" s="72"/>
      <c r="GC5" s="72"/>
      <c r="GD5" s="72"/>
      <c r="GE5" s="72"/>
      <c r="GF5" s="72"/>
      <c r="GG5" s="72"/>
      <c r="GH5" s="72"/>
      <c r="GI5" s="72"/>
      <c r="GJ5" s="72"/>
      <c r="GK5" s="72"/>
    </row>
    <row r="6" ht="15.75" customHeight="1">
      <c r="A6" s="73"/>
      <c r="B6" s="74" t="s">
        <v>45</v>
      </c>
      <c r="C6" s="74"/>
      <c r="D6" s="74" t="s">
        <v>46</v>
      </c>
      <c r="E6" s="75" t="s">
        <v>41</v>
      </c>
      <c r="F6" s="75" t="s">
        <v>41</v>
      </c>
      <c r="G6" s="76" t="s">
        <v>21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74"/>
      <c r="AM6" s="77"/>
      <c r="AN6" s="78"/>
      <c r="AO6" s="78"/>
      <c r="AP6" s="78"/>
      <c r="AQ6" s="79">
        <v>0.0</v>
      </c>
      <c r="AR6" s="79">
        <v>0.0</v>
      </c>
      <c r="AS6" s="78">
        <v>50.0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73"/>
      <c r="GC6" s="73"/>
      <c r="GD6" s="73"/>
      <c r="GE6" s="73"/>
      <c r="GF6" s="73"/>
      <c r="GG6" s="73"/>
      <c r="GH6" s="73"/>
      <c r="GI6" s="73"/>
      <c r="GJ6" s="73"/>
      <c r="GK6" s="73"/>
    </row>
    <row r="7" ht="15.75" customHeight="1">
      <c r="A7" s="50"/>
      <c r="B7" s="74" t="s">
        <v>45</v>
      </c>
      <c r="C7" s="74"/>
      <c r="D7" s="74" t="s">
        <v>46</v>
      </c>
      <c r="E7" s="80" t="s">
        <v>40</v>
      </c>
      <c r="F7" s="80" t="s">
        <v>40</v>
      </c>
      <c r="G7" s="76" t="s">
        <v>21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74"/>
      <c r="AM7" s="77"/>
      <c r="AN7" s="78"/>
      <c r="AO7" s="78"/>
      <c r="AP7" s="78"/>
      <c r="AQ7" s="79">
        <v>0.0</v>
      </c>
      <c r="AR7" s="79">
        <v>0.0</v>
      </c>
      <c r="AS7" s="78">
        <v>50.0</v>
      </c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73"/>
      <c r="GC7" s="73"/>
      <c r="GD7" s="73"/>
      <c r="GE7" s="73"/>
      <c r="GF7" s="73"/>
      <c r="GG7" s="73"/>
      <c r="GH7" s="73"/>
      <c r="GI7" s="73"/>
      <c r="GJ7" s="73"/>
      <c r="GK7" s="7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59"/>
      <c r="GG18" s="59"/>
      <c r="GH18" s="59"/>
      <c r="GI18" s="59"/>
      <c r="GJ18" s="59"/>
      <c r="GK18" s="5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  <c r="GH23" s="59"/>
      <c r="GI23" s="59"/>
      <c r="GJ23" s="59"/>
      <c r="GK23" s="5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  <c r="GI24" s="59"/>
      <c r="GJ24" s="59"/>
      <c r="GK24" s="5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  <c r="GH68" s="59"/>
      <c r="GI68" s="59"/>
      <c r="GJ68" s="59"/>
      <c r="GK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  <c r="GH69" s="59"/>
      <c r="GI69" s="59"/>
      <c r="GJ69" s="59"/>
      <c r="GK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  <c r="GH70" s="59"/>
      <c r="GI70" s="59"/>
      <c r="GJ70" s="59"/>
      <c r="GK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  <c r="GH95" s="59"/>
      <c r="GI95" s="59"/>
      <c r="GJ95" s="59"/>
      <c r="GK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  <c r="GH99" s="59"/>
      <c r="GI99" s="59"/>
      <c r="GJ99" s="59"/>
      <c r="GK99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/>
      <c r="C6" s="33"/>
      <c r="D6" s="33" t="s">
        <v>21</v>
      </c>
      <c r="E6" s="33"/>
      <c r="F6" s="33" t="s">
        <v>22</v>
      </c>
      <c r="G6" s="34" t="s">
        <v>31</v>
      </c>
      <c r="H6" s="35">
        <v>100.0</v>
      </c>
      <c r="I6" s="35"/>
      <c r="J6" s="35"/>
      <c r="K6" s="35"/>
      <c r="L6" s="33"/>
      <c r="M6" s="33"/>
      <c r="N6" s="33"/>
      <c r="O6" s="35"/>
      <c r="P6" s="39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81"/>
      <c r="Z6" s="37"/>
      <c r="AA6" s="40">
        <v>100.0</v>
      </c>
      <c r="AB6" s="37"/>
      <c r="AC6" s="37"/>
      <c r="AD6" s="37"/>
      <c r="AE6" s="37"/>
      <c r="AF6" s="37" t="s">
        <v>47</v>
      </c>
      <c r="AG6" s="37"/>
      <c r="AH6" s="37"/>
      <c r="AI6" s="37"/>
      <c r="AJ6" s="37"/>
      <c r="AK6" s="37"/>
      <c r="AL6" s="37"/>
      <c r="AM6" s="37"/>
      <c r="AN6" s="37"/>
      <c r="AO6" s="37"/>
      <c r="AP6" s="81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3"/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40" t="s">
        <v>21</v>
      </c>
      <c r="AK6" s="41" t="s">
        <v>22</v>
      </c>
      <c r="AL6" s="41" t="s">
        <v>31</v>
      </c>
      <c r="AM6" s="41">
        <v>100.0</v>
      </c>
      <c r="AN6" s="42"/>
      <c r="AO6" s="42"/>
      <c r="AP6" s="42"/>
      <c r="AQ6" s="42"/>
      <c r="AR6" s="42"/>
      <c r="AS6" s="42"/>
      <c r="AT6" s="42" t="s">
        <v>32</v>
      </c>
      <c r="AU6" s="41" t="s">
        <v>33</v>
      </c>
      <c r="AV6" s="42" t="s">
        <v>34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4.25" customHeight="1">
      <c r="A6" s="33"/>
      <c r="B6" s="34" t="s">
        <v>21</v>
      </c>
      <c r="C6" s="33"/>
      <c r="D6" s="35">
        <v>50.0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40" t="s">
        <v>25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50" t="s">
        <v>21</v>
      </c>
      <c r="D6" s="33"/>
      <c r="E6" s="33"/>
      <c r="F6" s="50" t="s">
        <v>39</v>
      </c>
      <c r="G6" s="50"/>
      <c r="H6" s="50" t="s">
        <v>21</v>
      </c>
      <c r="I6" s="51">
        <v>50.0</v>
      </c>
      <c r="J6" s="35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50" t="s">
        <v>21</v>
      </c>
      <c r="D7" s="33"/>
      <c r="E7" s="33"/>
      <c r="F7" s="50" t="s">
        <v>39</v>
      </c>
      <c r="G7" s="50"/>
      <c r="H7" s="50" t="s">
        <v>21</v>
      </c>
      <c r="I7" s="51">
        <v>50.0</v>
      </c>
      <c r="J7" s="35"/>
      <c r="K7" s="33"/>
      <c r="L7" s="33"/>
      <c r="M7" s="33"/>
      <c r="N7" s="33"/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100.0</v>
      </c>
      <c r="D6" s="35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3"/>
      <c r="D6" s="38"/>
      <c r="E6" s="33"/>
      <c r="F6" s="33"/>
      <c r="G6" s="33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9" t="s">
        <v>41</v>
      </c>
      <c r="U6" s="49" t="s">
        <v>41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8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3" t="s">
        <v>39</v>
      </c>
      <c r="N7" s="46"/>
      <c r="O7" s="43" t="s">
        <v>22</v>
      </c>
      <c r="P7" s="46"/>
      <c r="Q7" s="46" t="s">
        <v>21</v>
      </c>
      <c r="R7" s="46"/>
      <c r="S7" s="46"/>
      <c r="T7" s="49" t="s">
        <v>40</v>
      </c>
      <c r="U7" s="49" t="s">
        <v>40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8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73"/>
      <c r="B6" s="74" t="s">
        <v>45</v>
      </c>
      <c r="C6" s="74"/>
      <c r="D6" s="74" t="s">
        <v>46</v>
      </c>
      <c r="E6" s="75" t="s">
        <v>41</v>
      </c>
      <c r="F6" s="75" t="s">
        <v>41</v>
      </c>
      <c r="G6" s="76" t="s">
        <v>21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74"/>
      <c r="AM6" s="77"/>
      <c r="AN6" s="78"/>
      <c r="AO6" s="78"/>
      <c r="AP6" s="78"/>
      <c r="AQ6" s="79">
        <v>0.0</v>
      </c>
      <c r="AR6" s="79">
        <v>0.0</v>
      </c>
      <c r="AS6" s="78">
        <v>50.0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73"/>
      <c r="GC6" s="73"/>
      <c r="GD6" s="73"/>
      <c r="GE6" s="73"/>
      <c r="GF6" s="73"/>
      <c r="GG6" s="73"/>
      <c r="GH6" s="73"/>
      <c r="GI6" s="73"/>
      <c r="GJ6" s="73"/>
      <c r="GK6" s="73"/>
    </row>
    <row r="7" ht="15.75" customHeight="1">
      <c r="A7" s="50"/>
      <c r="B7" s="74" t="s">
        <v>45</v>
      </c>
      <c r="C7" s="74"/>
      <c r="D7" s="74" t="s">
        <v>46</v>
      </c>
      <c r="E7" s="80" t="s">
        <v>40</v>
      </c>
      <c r="F7" s="80" t="s">
        <v>40</v>
      </c>
      <c r="G7" s="76" t="s">
        <v>21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74"/>
      <c r="AM7" s="77"/>
      <c r="AN7" s="78"/>
      <c r="AO7" s="78"/>
      <c r="AP7" s="78"/>
      <c r="AQ7" s="79">
        <v>0.0</v>
      </c>
      <c r="AR7" s="79">
        <v>0.0</v>
      </c>
      <c r="AS7" s="78">
        <v>50.0</v>
      </c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73"/>
      <c r="GC7" s="73"/>
      <c r="GD7" s="73"/>
      <c r="GE7" s="73"/>
      <c r="GF7" s="73"/>
      <c r="GG7" s="73"/>
      <c r="GH7" s="73"/>
      <c r="GI7" s="73"/>
      <c r="GJ7" s="73"/>
      <c r="GK7" s="7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31</v>
      </c>
      <c r="AL6" s="9">
        <v>100.0</v>
      </c>
      <c r="AQ6" s="9">
        <v>0.0</v>
      </c>
      <c r="AR6" s="9">
        <v>0.0</v>
      </c>
      <c r="AS6" s="9" t="s">
        <v>32</v>
      </c>
      <c r="AT6" s="9" t="s">
        <v>33</v>
      </c>
      <c r="AU6" s="9" t="s">
        <v>34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3"/>
      <c r="D6" s="34" t="s">
        <v>21</v>
      </c>
      <c r="E6" s="33"/>
      <c r="F6" s="33" t="s">
        <v>22</v>
      </c>
      <c r="G6" s="33" t="s">
        <v>31</v>
      </c>
      <c r="H6" s="39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11">
        <v>100.0</v>
      </c>
      <c r="H6" s="8"/>
      <c r="I6" s="8"/>
      <c r="J6" s="11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52</v>
      </c>
      <c r="AL6" s="9">
        <v>50.0</v>
      </c>
      <c r="AO6" s="9">
        <v>0.0</v>
      </c>
      <c r="AP6" s="9">
        <v>0.0</v>
      </c>
      <c r="AX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b">
        <v>0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