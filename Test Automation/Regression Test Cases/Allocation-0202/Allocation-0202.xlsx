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VerifyOrder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<sst xmlns="http://schemas.openxmlformats.org/spreadsheetml/2006/main" count="155" uniqueCount="43">
  <si>
    <t>Modules Info</t>
  </si>
  <si>
    <t>Modules</t>
  </si>
  <si>
    <t>Settings</t>
  </si>
  <si>
    <t>Module Step Setting File</t>
  </si>
  <si>
    <t>1Uza8_cfcgL7xAOCk597yoYnaq5pzovqYqdM8WMBrVDQ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</si>
  <si>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</si>
  <si>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</si>
  <si>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</si>
  <si>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</si>
  <si>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</si>
  <si>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</si>
  <si>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</si>
  <si>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</si>
  <si>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</si>
  <si>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</si>
  <si>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</si>
  <si>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</si>
  <si>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</si>
  <si>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</si>
  <si>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CreateLiveOrder</t>
  </si>
  <si>
    <t>MSFT</t>
  </si>
  <si>
    <t>Buy</t>
  </si>
  <si>
    <t>TA1</t>
  </si>
  <si>
    <t>TA2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</si>
  <si>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</si>
  <si>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</si>
  <si>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</si>
  <si>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</si>
  <si>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</si>
  <si>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</si>
  <si>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</si>
  <si>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</si>
  <si>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MS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</si>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</sst>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2" numFmtId="0" xfId="0" applyFont="1"/>
    <xf borderId="0" fillId="0" fontId="13" numFmtId="164" xfId="0" applyFont="1" applyNumberFormat="1"/>
    <xf borderId="0" fillId="0" fontId="14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IFERROR(__xludf.DUMMYFUNCTION("""COMPUTED_VALUE"""),"AutoGroup")</f>
        <v>AutoGroup</v>
      </c>
      <c r="C5" s="27" t="str">
        <f>IFERROR(__xludf.DUMMYFUNCTION("""COMPUTED_VALUE"""),"TradeAttribute1")</f>
        <v>TradeAttribute1</v>
      </c>
      <c r="D5" s="27" t="str">
        <f>IFERROR(__xludf.DUMMYFUNCTION("""COMPUTED_VALUE"""),"TradeAttribute2")</f>
        <v>TradeAttribute2</v>
      </c>
      <c r="E5" s="27" t="str">
        <f>IFERROR(__xludf.DUMMYFUNCTION("""COMPUTED_VALUE"""),"TradeAttribute3")</f>
        <v>TradeAttribute3</v>
      </c>
      <c r="F5" s="28" t="str">
        <f>IFERROR(__xludf.DUMMYFUNCTION("""COMPUTED_VALUE"""),"TradeAttribute4")</f>
        <v>TradeAttribute4</v>
      </c>
      <c r="G5" s="27" t="str">
        <f>IFERROR(__xludf.DUMMYFUNCTION("""COMPUTED_VALUE"""),"TradeAttribute5")</f>
        <v>TradeAttribute5</v>
      </c>
      <c r="H5" s="27" t="str">
        <f>IFERROR(__xludf.DUMMYFUNCTION("""COMPUTED_VALUE"""),"TradeAttribute6")</f>
        <v>TradeAttribute6</v>
      </c>
      <c r="I5" s="27" t="str">
        <f>IFERROR(__xludf.DUMMYFUNCTION("""COMPUTED_VALUE"""),"Broker")</f>
        <v>Broker</v>
      </c>
      <c r="J5" s="27" t="str">
        <f>IFERROR(__xludf.DUMMYFUNCTION("""COMPUTED_VALUE"""),"Venue")</f>
        <v>Venue</v>
      </c>
      <c r="K5" s="27" t="str">
        <f>IFERROR(__xludf.DUMMYFUNCTION("""COMPUTED_VALUE"""),"TradingAC")</f>
        <v>TradingAC</v>
      </c>
      <c r="L5" s="27" t="str">
        <f>IFERROR(__xludf.DUMMYFUNCTION("""COMPUTED_VALUE"""),"TradeDate")</f>
        <v>TradeDate</v>
      </c>
      <c r="M5" s="27" t="str">
        <f>IFERROR(__xludf.DUMMYFUNCTION("""COMPUTED_VALUE"""),"ProcessDate")</f>
        <v>ProcessDate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11" t="b">
        <v>1</v>
      </c>
      <c r="L6" s="11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IFERROR(__xludf.DUMMYFUNCTION("""COMPUTED_VALUE"""),"FundName")</f>
        <v>FundName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21</v>
      </c>
      <c r="D6" s="34">
        <v>100.0</v>
      </c>
      <c r="E6" s="35">
        <v>100.0</v>
      </c>
      <c r="F6" s="33" t="s">
        <v>17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 t="s">
        <v>22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20</v>
      </c>
      <c r="C7" s="36" t="s">
        <v>21</v>
      </c>
      <c r="D7" s="37">
        <v>200.0</v>
      </c>
      <c r="E7" s="37">
        <v>200.0</v>
      </c>
      <c r="F7" s="36" t="s">
        <v>17</v>
      </c>
      <c r="G7" s="36"/>
      <c r="H7" s="36"/>
      <c r="I7" s="36"/>
      <c r="J7" s="37">
        <v>20.0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 t="s">
        <v>23</v>
      </c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20</v>
      </c>
      <c r="D6" s="32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20</v>
      </c>
      <c r="D6" s="32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10.0</v>
      </c>
      <c r="C6" s="35">
        <v>100.0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20</v>
      </c>
      <c r="D6" s="32"/>
      <c r="E6" s="33"/>
      <c r="F6" s="33"/>
      <c r="G6" s="35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20</v>
      </c>
      <c r="D6" s="32"/>
      <c r="E6" s="33"/>
      <c r="F6" s="33"/>
      <c r="G6" s="35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20.0</v>
      </c>
      <c r="C6" s="35">
        <v>200.0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4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30</v>
      </c>
      <c r="AI6" s="36" t="s">
        <v>20</v>
      </c>
      <c r="AJ6" s="36" t="s">
        <v>21</v>
      </c>
      <c r="AK6" s="36" t="s">
        <v>31</v>
      </c>
      <c r="AL6" s="38">
        <v>100.0</v>
      </c>
      <c r="AM6" s="38">
        <v>100.0</v>
      </c>
      <c r="AN6" s="38">
        <v>100.0</v>
      </c>
      <c r="AO6" s="38">
        <v>100.0</v>
      </c>
      <c r="AP6" s="36"/>
      <c r="AQ6" s="38">
        <v>10.0</v>
      </c>
      <c r="AR6" s="38">
        <v>10.0</v>
      </c>
      <c r="AS6" s="36" t="s">
        <v>32</v>
      </c>
      <c r="AT6" s="36" t="s">
        <v>17</v>
      </c>
      <c r="AU6" s="36" t="s">
        <v>33</v>
      </c>
      <c r="AV6" s="39">
        <v>1000.0</v>
      </c>
      <c r="AW6" s="39">
        <v>1000.0</v>
      </c>
      <c r="AX6" s="36"/>
      <c r="AY6" s="38">
        <v>100.0</v>
      </c>
      <c r="AZ6" s="38">
        <v>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7">
        <v>20.0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8">
        <v>1.0</v>
      </c>
      <c r="AE7" s="36"/>
      <c r="AF7" s="36"/>
      <c r="AG7" s="36"/>
      <c r="AH7" s="36" t="s">
        <v>30</v>
      </c>
      <c r="AI7" s="36" t="s">
        <v>20</v>
      </c>
      <c r="AJ7" s="36" t="s">
        <v>21</v>
      </c>
      <c r="AK7" s="36" t="s">
        <v>31</v>
      </c>
      <c r="AL7" s="38">
        <v>200.0</v>
      </c>
      <c r="AM7" s="38">
        <v>200.0</v>
      </c>
      <c r="AN7" s="38">
        <v>100.0</v>
      </c>
      <c r="AO7" s="38">
        <v>200.0</v>
      </c>
      <c r="AP7" s="36"/>
      <c r="AQ7" s="38">
        <v>20.0</v>
      </c>
      <c r="AR7" s="38">
        <v>20.0</v>
      </c>
      <c r="AS7" s="36" t="s">
        <v>32</v>
      </c>
      <c r="AT7" s="36" t="s">
        <v>17</v>
      </c>
      <c r="AU7" s="36" t="s">
        <v>33</v>
      </c>
      <c r="AV7" s="39">
        <v>4000.0</v>
      </c>
      <c r="AW7" s="39">
        <v>4000.0</v>
      </c>
      <c r="AX7" s="36"/>
      <c r="AY7" s="38">
        <v>200.0</v>
      </c>
      <c r="AZ7" s="38">
        <v>0.0</v>
      </c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17</v>
      </c>
      <c r="C6" s="8"/>
      <c r="D6" s="41">
        <v>0.0</v>
      </c>
      <c r="E6" s="41">
        <v>300.0</v>
      </c>
      <c r="F6" s="8"/>
      <c r="G6" s="11" t="s">
        <v>30</v>
      </c>
      <c r="H6" s="41">
        <v>4.0</v>
      </c>
      <c r="I6" s="41">
        <v>5.0</v>
      </c>
      <c r="J6" s="8"/>
      <c r="K6" s="42">
        <v>16.6666666666667</v>
      </c>
      <c r="L6" s="42">
        <v>16.6666666666667</v>
      </c>
      <c r="M6" s="8"/>
      <c r="N6" s="8"/>
      <c r="O6" s="11" t="s">
        <v>32</v>
      </c>
      <c r="Q6" s="41">
        <v>3.0</v>
      </c>
      <c r="R6" s="41">
        <v>0.0</v>
      </c>
      <c r="S6" s="9" t="s">
        <v>37</v>
      </c>
      <c r="T6" s="41">
        <v>0.0</v>
      </c>
      <c r="U6" s="41">
        <v>0.0</v>
      </c>
      <c r="AE6" s="41">
        <v>300.0</v>
      </c>
      <c r="AI6" s="9">
        <v>1.0</v>
      </c>
      <c r="AT6" s="42">
        <v>5014.00280000001</v>
      </c>
      <c r="AU6" s="42">
        <v>5014.00280000001</v>
      </c>
      <c r="AW6" s="42">
        <v>0.0</v>
      </c>
      <c r="AX6" s="42">
        <v>0.0</v>
      </c>
      <c r="AY6" s="9" t="s">
        <v>33</v>
      </c>
      <c r="AZ6" s="42">
        <v>0.0</v>
      </c>
      <c r="BC6" s="42">
        <v>0.0</v>
      </c>
      <c r="BE6" s="42">
        <v>5000.00000000001</v>
      </c>
      <c r="BF6" s="42">
        <v>5000.00000000001</v>
      </c>
      <c r="BJ6" s="41">
        <v>300.0</v>
      </c>
      <c r="BK6" s="42">
        <v>0.0</v>
      </c>
      <c r="BO6" s="9" t="s">
        <v>21</v>
      </c>
      <c r="BP6" s="42">
        <v>0.0</v>
      </c>
      <c r="BQ6" s="42">
        <v>0.0</v>
      </c>
      <c r="BT6" s="9" t="s">
        <v>20</v>
      </c>
      <c r="BU6" s="41">
        <v>3.0</v>
      </c>
      <c r="BV6" s="42">
        <v>0.0</v>
      </c>
      <c r="BW6" s="41">
        <v>14.0028</v>
      </c>
      <c r="BX6" s="42">
        <v>0.0</v>
      </c>
      <c r="CI6" s="9" t="s">
        <v>21</v>
      </c>
      <c r="CJ6" s="42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</row>
    <row r="6" ht="15.75" customHeight="1">
      <c r="A6" s="11"/>
      <c r="B6" s="11"/>
      <c r="C6" s="11" t="s">
        <v>20</v>
      </c>
      <c r="D6" s="11">
        <v>300.0</v>
      </c>
      <c r="E6" s="11" t="s">
        <v>17</v>
      </c>
      <c r="F6" s="8"/>
      <c r="G6" s="11">
        <v>16.67</v>
      </c>
      <c r="H6" s="43" t="s">
        <v>40</v>
      </c>
      <c r="I6" s="11">
        <v>0.0</v>
      </c>
      <c r="J6" s="8"/>
      <c r="K6" s="11">
        <v>0.0</v>
      </c>
      <c r="L6" s="8"/>
      <c r="M6" s="8"/>
      <c r="N6" s="44">
        <v>-5000.0</v>
      </c>
      <c r="O6" s="8"/>
      <c r="Q6" s="45">
        <v>-5000.0</v>
      </c>
      <c r="T6" s="9" t="s">
        <v>30</v>
      </c>
      <c r="U6" s="9" t="s">
        <v>41</v>
      </c>
      <c r="W6" s="9" t="s">
        <v>42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300.0</v>
      </c>
      <c r="AG6" s="9">
        <v>0.0</v>
      </c>
      <c r="AH6" s="9">
        <v>0.0</v>
      </c>
      <c r="AI6" s="9">
        <v>0.0</v>
      </c>
      <c r="AJ6" s="9">
        <v>0.0</v>
      </c>
      <c r="AK6" s="45">
        <v>-5000.0</v>
      </c>
      <c r="AL6" s="9">
        <v>1.0</v>
      </c>
      <c r="AM6" s="9">
        <v>1.0</v>
      </c>
      <c r="AN6" s="9" t="s">
        <v>21</v>
      </c>
      <c r="AP6" s="9" t="s">
        <v>40</v>
      </c>
      <c r="AQ6" s="9" t="s">
        <v>20</v>
      </c>
      <c r="AR6" s="9">
        <v>0.0</v>
      </c>
      <c r="AS6" s="9">
        <v>1.0</v>
      </c>
      <c r="AV6" s="9">
        <v>1.0</v>
      </c>
      <c r="AW6" s="45">
        <v>-5000.0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45">
        <v>-5000.0</v>
      </c>
      <c r="BE6" s="9" t="s">
        <v>30</v>
      </c>
      <c r="BJ6" s="9">
        <v>0.0</v>
      </c>
      <c r="BK6" s="9">
        <v>0.0</v>
      </c>
      <c r="BL6" s="9">
        <v>0.0</v>
      </c>
      <c r="BM6" s="9">
        <v>0.0</v>
      </c>
      <c r="BO6" s="45">
        <v>-5000.0</v>
      </c>
      <c r="BP6" s="9">
        <v>0.0</v>
      </c>
      <c r="BR6" s="9" t="s">
        <v>32</v>
      </c>
      <c r="BS6" s="9">
        <v>0.0</v>
      </c>
      <c r="BT6" s="9">
        <v>0.0</v>
      </c>
      <c r="BU6" s="9" t="s">
        <v>30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45">
        <v>-5000.0</v>
      </c>
      <c r="CE6" s="9">
        <v>0.0</v>
      </c>
      <c r="CF6" s="9">
        <v>0.0</v>
      </c>
      <c r="CG6" s="45">
        <v>-5000.0</v>
      </c>
      <c r="CI6" s="9">
        <v>0.0</v>
      </c>
      <c r="CJ6" s="9">
        <v>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21</v>
      </c>
      <c r="DK6" s="9">
        <v>0.0</v>
      </c>
      <c r="DL6" s="9">
        <v>0.0</v>
      </c>
      <c r="DN6" s="9">
        <v>0.0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  <c r="ET6" s="9">
        <v>0.0</v>
      </c>
      <c r="EU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