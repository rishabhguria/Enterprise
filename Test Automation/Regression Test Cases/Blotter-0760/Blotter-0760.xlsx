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RollOverContextMenu" sheetId="5" r:id="rId7"/>
    <sheet state="visible" name="AcknowledgeTrade" sheetId="6" r:id="rId8"/>
    <sheet state="visible" name="ExecuteTrade" sheetId="7" r:id="rId9"/>
    <sheet state="visible" name="VerifySubOrder" sheetId="8" r:id="rId10"/>
    <sheet state="visible" name="LoginClient" sheetId="9" r:id="rId11"/>
    <sheet state="visible" name="CreateDoneAwayOrder" sheetId="10" r:id="rId12"/>
    <sheet state="visible" name="RollOverContextMenu1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<sst xmlns="http://schemas.openxmlformats.org/spreadsheetml/2006/main" count="95" uniqueCount="37">
  <si>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</si>
  <si>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</si>
  <si>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</si>
  <si>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</si>
  <si>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</si>
  <si>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</si>
  <si>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</si>
  <si>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</si>
  <si>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</si>
  <si>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</si>
  <si>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</si>
  <si>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</si>
  <si>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</si>
  <si>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</si>
  <si>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</si>
  <si>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</si>
  <si>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AAPL</t>
  </si>
  <si>
    <t>Send</t>
  </si>
  <si>
    <t>Blotter</t>
  </si>
  <si>
    <t>RollOverContextMenu</t>
  </si>
  <si>
    <t>Yes</t>
  </si>
  <si>
    <t>Simulator</t>
  </si>
  <si>
    <t>AcknowledgeTrade</t>
  </si>
  <si>
    <t>ExecuteTrade</t>
  </si>
  <si>
    <t>VerifySubOrder</t>
  </si>
  <si>
    <t>Buy</t>
  </si>
  <si>
    <t>PartiallyFilled</t>
  </si>
  <si>
    <t>MS</t>
  </si>
  <si>
    <t>Allocation1</t>
  </si>
  <si>
    <t>Market</t>
  </si>
  <si>
    <t>PranaClient</t>
  </si>
  <si>
    <t>LoginClient</t>
  </si>
  <si>
    <t>Support6</t>
  </si>
  <si>
    <t>Nirvana@1</t>
  </si>
  <si>
    <t>CreateDoneAwayOrder</t>
  </si>
  <si>
    <t>MSFT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</si>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</sst>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FFFFFF"/>
      <name val="Calibri"/>
    </font>
    <font>
      <sz val="11.0"/>
      <color rgb="FF35C759"/>
      <name val="Calibri"/>
    </font>
    <font>
      <sz val="11.0"/>
      <color rgb="FFEBDAFE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24262A"/>
        <bgColor rgb="FF24262A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383A40"/>
      </left>
      <right style="thin">
        <color rgb="FF383A40"/>
      </right>
      <top style="thin">
        <color rgb="FF383A40"/>
      </top>
      <bottom style="thin">
        <color rgb="FF383A40"/>
      </bottom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readingOrder="0" shrinkToFit="0" wrapText="0"/>
    </xf>
    <xf borderId="5" fillId="6" fontId="14" numFmtId="0" xfId="0" applyAlignment="1" applyBorder="1" applyFill="1" applyFont="1">
      <alignment readingOrder="0" shrinkToFit="0" vertical="bottom" wrapText="0"/>
    </xf>
    <xf borderId="5" fillId="6" fontId="15" numFmtId="0" xfId="0" applyAlignment="1" applyBorder="1" applyFont="1">
      <alignment readingOrder="0" shrinkToFit="0" vertical="bottom" wrapText="0"/>
    </xf>
    <xf borderId="5" fillId="6" fontId="16" numFmtId="0" xfId="0" applyAlignment="1" applyBorder="1" applyFont="1">
      <alignment readingOrder="0" shrinkToFit="0" vertical="bottom" wrapText="0"/>
    </xf>
    <xf borderId="5" fillId="6" fontId="14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 t="str">
        <f>IFERROR(__xludf.DUMMYFUNCTION("""COMPUTED_VALUE"""),"Fx Rate")</f>
        <v>Fx Rate</v>
      </c>
      <c r="AF5" s="30" t="str">
        <f>IFERROR(__xludf.DUMMYFUNCTION("""COMPUTED_VALUE"""),"Fx Operator")</f>
        <v>Fx Operator</v>
      </c>
      <c r="AG5" s="30" t="str">
        <f>IFERROR(__xludf.DUMMYFUNCTION("""COMPUTED_VALUE"""),"PendingApprovalPopUp")</f>
        <v>PendingApprovalPopUp</v>
      </c>
      <c r="AH5" s="30" t="str">
        <f>IFERROR(__xludf.DUMMYFUNCTION("""COMPUTED_VALUE"""),"TradeBy")</f>
        <v>TradeBy</v>
      </c>
      <c r="AI5" s="30" t="str">
        <f>IFERROR(__xludf.DUMMYFUNCTION("""COMPUTED_VALUE"""),"BookAsSwap")</f>
        <v>BookAsSwap</v>
      </c>
      <c r="AJ5" s="30" t="str">
        <f>IFERROR(__xludf.DUMMYFUNCTION("""COMPUTED_VALUE"""),"RoundLot")</f>
        <v>RoundLot</v>
      </c>
      <c r="AK5" s="30" t="str">
        <f>IFERROR(__xludf.DUMMYFUNCTION("""COMPUTED_VALUE"""),"Increment")</f>
        <v>Increment</v>
      </c>
      <c r="AL5" s="30" t="str">
        <f>IFERROR(__xludf.DUMMYFUNCTION("""COMPUTED_VALUE"""),"Decrement")</f>
        <v>Decrement</v>
      </c>
      <c r="AM5" s="30" t="str">
        <f>IFERROR(__xludf.DUMMYFUNCTION("""COMPUTED_VALUE"""),"FixDisconnectionPopup")</f>
        <v>FixDisconnectionPopup</v>
      </c>
      <c r="AN5" s="30" t="str">
        <f>IFERROR(__xludf.DUMMYFUNCTION("""COMPUTED_VALUE"""),"Trade Attribute 01")</f>
        <v>Trade Attribute 01</v>
      </c>
      <c r="AO5" s="30" t="str">
        <f>IFERROR(__xludf.DUMMYFUNCTION("""COMPUTED_VALUE"""),"Trade Attribute 02")</f>
        <v>Trade Attribute 02</v>
      </c>
      <c r="AP5" s="30" t="str">
        <f>IFERROR(__xludf.DUMMYFUNCTION("""COMPUTED_VALUE"""),"Trade Attribute 03")</f>
        <v>Trade Attribute 03</v>
      </c>
      <c r="AQ5" s="30" t="str">
        <f>IFERROR(__xludf.DUMMYFUNCTION("""COMPUTED_VALUE"""),"Trade Attribute 04")</f>
        <v>Trade Attribute 04</v>
      </c>
      <c r="AR5" s="30" t="str">
        <f>IFERROR(__xludf.DUMMYFUNCTION("""COMPUTED_VALUE"""),"Trade Attribute 05")</f>
        <v>Trade Attribute 05</v>
      </c>
      <c r="AS5" s="30" t="str">
        <f>IFERROR(__xludf.DUMMYFUNCTION("""COMPUTED_VALUE"""),"Trade Attribute 06")</f>
        <v>Trade Attribute 06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100.0</v>
      </c>
      <c r="D6" s="13">
        <v>10.0</v>
      </c>
      <c r="E6" s="13" t="s">
        <v>17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IFERROR(__xludf.DUMMYFUNCTION("""COMPUTED_VALUE"""),"AllowTrade")</f>
        <v>AllowTrade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16</v>
      </c>
      <c r="AY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RollOverContextMenu!$4:$4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IFERROR(__xludf.DUMMYFUNCTION("""COMPUTED_VALUE"""),"Symbol")</f>
        <v>Symbol</v>
      </c>
      <c r="D5" s="28" t="str">
        <f>IFERROR(__xludf.DUMMYFUNCTION("""COMPUTED_VALUE"""),"Order Type")</f>
        <v>Order Type</v>
      </c>
      <c r="E5" s="28" t="str">
        <f>IFERROR(__xludf.DUMMYFUNCTION("""COMPUTED_VALUE"""),"Price")</f>
        <v>Price</v>
      </c>
      <c r="F5" s="29" t="str">
        <f>IFERROR(__xludf.DUMMYFUNCTION("""COMPUTED_VALUE"""),"AvgPrice")</f>
        <v>AvgPrice</v>
      </c>
      <c r="G5" s="28" t="str">
        <f>IFERROR(__xludf.DUMMYFUNCTION("""COMPUTED_VALUE"""),"Quantity")</f>
        <v>Quantity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16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IFERROR(__xludf.DUMMYFUNCTION("IF(C3="""","""",Transpose(IMPORTRANGE('_Settings'!$B$3,C3&amp;""!A4:A1000"")))"),"SelectTrade")</f>
        <v>SelectTrade</v>
      </c>
      <c r="C4" s="25" t="str">
        <f>IFERROR(__xludf.DUMMYFUNCTION("""COMPUTED_VALUE"""),"AcknowledgeTrade")</f>
        <v>AcknowledgeTrade</v>
      </c>
      <c r="D4" s="25" t="str">
        <f>IFERROR(__xludf.DUMMYFUNCTION("""COMPUTED_VALUE"""),"RejectTrade")</f>
        <v>RejectTrade</v>
      </c>
      <c r="E4" s="25" t="str">
        <f>IFERROR(__xludf.DUMMYFUNCTION("""COMPUTED_VALUE"""),"ExecuteTrade")</f>
        <v>ExecuteTrade</v>
      </c>
      <c r="F4" s="25" t="str">
        <f>IFERROR(__xludf.DUMMYFUNCTION("""COMPUTED_VALUE"""),"CancelTrade")</f>
        <v>CancelTrade</v>
      </c>
      <c r="G4" s="25" t="str">
        <f>IFERROR(__xludf.DUMMYFUNCTION("""COMPUTED_VALUE"""),"OpenLiveTT")</f>
        <v>OpenLiveTT</v>
      </c>
      <c r="H4" s="25" t="str">
        <f>IFERROR(__xludf.DUMMYFUNCTION("""COMPUTED_VALUE"""),"SetManualResponse")</f>
        <v>SetManualResponse</v>
      </c>
      <c r="I4" s="25" t="str">
        <f>IFERROR(__xludf.DUMMYFUNCTION("""COMPUTED_VALUE"""),"ClearUI")</f>
        <v>ClearUI</v>
      </c>
      <c r="J4" s="25" t="str">
        <f>IFERROR(__xludf.DUMMYFUNCTION("""COMPUTED_VALUE"""),"CloseSimulator")</f>
        <v>CloseSimulator</v>
      </c>
      <c r="K4" s="25" t="str">
        <f>IFERROR(__xludf.DUMMYFUNCTION("""COMPUTED_VALUE"""),"VerifyTrades")</f>
        <v>VerifyTrades</v>
      </c>
      <c r="L4" s="25" t="str">
        <f>IFERROR(__xludf.DUMMYFUNCTION("""COMPUTED_VALUE"""),"VerifyTagInAllFixLogs")</f>
        <v>VerifyTagInAllFixLogs</v>
      </c>
      <c r="M4" s="25" t="str">
        <f>IFERROR(__xludf.DUMMYFUNCTION("""COMPUTED_VALUE"""),"SetToAutomaticResponse")</f>
        <v>SetToAutomaticResponse</v>
      </c>
      <c r="N4" s="25" t="str">
        <f>IFERROR(__xludf.DUMMYFUNCTION("""COMPUTED_VALUE"""),"DoneForDay")</f>
        <v>DoneForDay</v>
      </c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IFERROR(__xludf.DUMMYFUNCTION("""COMPUTED_VALUE"""),"Price")</f>
        <v>Price</v>
      </c>
      <c r="C5" s="28" t="str">
        <f>IFERROR(__xludf.DUMMYFUNCTION("""COMPUTED_VALUE"""),"Shares")</f>
        <v>Shares</v>
      </c>
      <c r="D5" s="28" t="str">
        <f>IFERROR(__xludf.DUMMYFUNCTION("""COMPUTED_VALUE"""),"ClearAllPrice")</f>
        <v>ClearAllPrice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>
        <v>10.0</v>
      </c>
      <c r="C6" s="13">
        <v>50.0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2")</f>
        <v>Trade Attribute 2</v>
      </c>
      <c r="R5" s="28" t="str">
        <f>IFERROR(__xludf.DUMMYFUNCTION("""COMPUTED_VALUE"""),"Trade Attribute 1")</f>
        <v>Trade Attribute 1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IFERROR(__xludf.DUMMYFUNCTION("""COMPUTED_VALUE"""),"Quantity")</f>
        <v>Quantity</v>
      </c>
      <c r="AM5" s="30" t="str">
        <f>IFERROR(__xludf.DUMMYFUNCTION("""COMPUTED_VALUE"""),"Executed Qty")</f>
        <v>Executed Qty</v>
      </c>
      <c r="AN5" s="30" t="str">
        <f>IFERROR(__xludf.DUMMYFUNCTION("""COMPUTED_VALUE"""),"Day Executed Qty")</f>
        <v>Day Executed Qty</v>
      </c>
      <c r="AO5" s="30" t="str">
        <f>IFERROR(__xludf.DUMMYFUNCTION("""COMPUTED_VALUE"""),"Last Fill Price (Local)")</f>
        <v>Last Fill Price (Local)</v>
      </c>
      <c r="AP5" s="30" t="str">
        <f>IFERROR(__xludf.DUMMYFUNCTION("""COMPUTED_VALUE"""),"Avg Fill Price (Local)")</f>
        <v>Avg Fill Price (Local)</v>
      </c>
      <c r="AQ5" s="30" t="str">
        <f>IFERROR(__xludf.DUMMYFUNCTION("""COMPUTED_VALUE"""),"Broker")</f>
        <v>Broker</v>
      </c>
      <c r="AR5" s="30" t="str">
        <f>IFERROR(__xludf.DUMMYFUNCTION("""COMPUTED_VALUE"""),"Account")</f>
        <v>Account</v>
      </c>
      <c r="AS5" s="30" t="str">
        <f>IFERROR(__xludf.DUMMYFUNCTION("""COMPUTED_VALUE"""),"Order Type")</f>
        <v>Order Type</v>
      </c>
      <c r="AT5" s="30" t="str">
        <f>IFERROR(__xludf.DUMMYFUNCTION("""COMPUTED_VALUE"""),"Principal Amount (Local)")</f>
        <v>Principal Amount (Local)</v>
      </c>
      <c r="AU5" s="30" t="str">
        <f>IFERROR(__xludf.DUMMYFUNCTION("""COMPUTED_VALUE"""),"Principal Amount (Base)")</f>
        <v>Principal Amount (Base)</v>
      </c>
      <c r="AV5" s="30" t="str">
        <f>IFERROR(__xludf.DUMMYFUNCTION("""COMPUTED_VALUE"""),"Allocation Scheme Name")</f>
        <v>Allocation Scheme Name</v>
      </c>
      <c r="AW5" s="30" t="str">
        <f>IFERROR(__xludf.DUMMYFUNCTION("""COMPUTED_VALUE"""),"Status (With Rollover)")</f>
        <v>Status (With Rollover)</v>
      </c>
      <c r="AX5" s="30" t="str">
        <f>IFERROR(__xludf.DUMMYFUNCTION("""COMPUTED_VALUE"""),"Unexecuted Qty")</f>
        <v>Unexecuted Qty</v>
      </c>
      <c r="AY5" s="30" t="str">
        <f>IFERROR(__xludf.DUMMYFUNCTION("""COMPUTED_VALUE"""),"Strategy")</f>
        <v>Strategy</v>
      </c>
      <c r="AZ5" s="30" t="str">
        <f>IFERROR(__xludf.DUMMYFUNCTION("""COMPUTED_VALUE"""),"Actual User")</f>
        <v>Actual User</v>
      </c>
      <c r="BA5" s="30" t="str">
        <f>IFERROR(__xludf.DUMMYFUNCTION("""COMPUTED_VALUE"""),"% Completed")</f>
        <v>% Completed</v>
      </c>
      <c r="BB5" s="30" t="str">
        <f>IFERROR(__xludf.DUMMYFUNCTION("""COMPUTED_VALUE"""),"MandatoryColumn")</f>
        <v>MandatoryColumn</v>
      </c>
      <c r="BC5" s="30" t="str">
        <f>IFERROR(__xludf.DUMMYFUNCTION("""COMPUTED_VALUE"""),"Expiry Date")</f>
        <v>Expiry Date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25</v>
      </c>
      <c r="AK6" s="34" t="s">
        <v>26</v>
      </c>
      <c r="AL6" s="35">
        <v>100.0</v>
      </c>
      <c r="AQ6" s="32" t="s">
        <v>27</v>
      </c>
      <c r="AR6" s="32" t="s">
        <v>28</v>
      </c>
      <c r="AS6" s="32" t="s">
        <v>29</v>
      </c>
      <c r="A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IFERROR(__xludf.DUMMYFUNCTION("IF(C3="""","""",Transpose(IMPORTRANGE('_Settings'!$B$3,C3&amp;""!A4:A1000"")))"),"RestartClient")</f>
        <v>RestartClient</v>
      </c>
      <c r="C4" s="25" t="str">
        <f>IFERROR(__xludf.DUMMYFUNCTION("""COMPUTED_VALUE"""),"UpdateClientConfig")</f>
        <v>UpdateClientConfig</v>
      </c>
      <c r="D4" s="25" t="str">
        <f>IFERROR(__xludf.DUMMYFUNCTION("""COMPUTED_VALUE"""),"PranaClient")</f>
        <v>PranaClient</v>
      </c>
      <c r="E4" s="25" t="str">
        <f>IFERROR(__xludf.DUMMYFUNCTION("""COMPUTED_VALUE"""),"CompareXML")</f>
        <v>CompareXML</v>
      </c>
      <c r="F4" s="25" t="str">
        <f>IFERROR(__xludf.DUMMYFUNCTION("""COMPUTED_VALUE"""),"LoginClient")</f>
        <v>LoginClient</v>
      </c>
      <c r="G4" s="25" t="str">
        <f>IFERROR(__xludf.DUMMYFUNCTION("""COMPUTED_VALUE"""),"DbPicker")</f>
        <v>DbPicker</v>
      </c>
      <c r="H4" s="25" t="str">
        <f>IFERROR(__xludf.DUMMYFUNCTION("""COMPUTED_VALUE"""),"RunPortfolio")</f>
        <v>RunPortfolio</v>
      </c>
      <c r="I4" s="25" t="str">
        <f>IFERROR(__xludf.DUMMYFUNCTION("""COMPUTED_VALUE"""),"MoveFile")</f>
        <v>MoveFile</v>
      </c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 t="str">
        <f>IFERROR(__xludf.DUMMYFUNCTION("""COMPUTED_VALUE"""),"VerifyCustomAllocationSecondUI")</f>
        <v>VerifyCustomAllocationSecondUI</v>
      </c>
      <c r="AR4" s="26" t="str">
        <f>IFERROR(__xludf.DUMMYFUNCTION("""COMPUTED_VALUE"""),"ShortLocateFromTT")</f>
        <v>ShortLocateFromTT</v>
      </c>
      <c r="AS4" s="26" t="str">
        <f>IFERROR(__xludf.DUMMYFUNCTION("""COMPUTED_VALUE"""),"ShortLocateFromTT")</f>
        <v>ShortLocateFromTT</v>
      </c>
      <c r="AT4" s="26" t="str">
        <f>IFERROR(__xludf.DUMMYFUNCTION("""COMPUTED_VALUE"""),"ShortLocateFromTT")</f>
        <v>ShortLocateFromTT</v>
      </c>
      <c r="AU4" s="26" t="str">
        <f>IFERROR(__xludf.DUMMYFUNCTION("""COMPUTED_VALUE"""),"VerifyShortLocateWindowOnTT")</f>
        <v>VerifyShortLocateWindowOnTT</v>
      </c>
      <c r="AV4" s="26" t="str">
        <f>IFERROR(__xludf.DUMMYFUNCTION("""COMPUTED_VALUE"""),"AlgoUIOperations")</f>
        <v>AlgoUIOperations</v>
      </c>
      <c r="AW4" s="26" t="str">
        <f>IFERROR(__xludf.DUMMYFUNCTION("""COMPUTED_VALUE"""),"UpdateShortLocateFromTT")</f>
        <v>UpdateShortLocateFromTT</v>
      </c>
      <c r="AX4" s="26" t="str">
        <f>IFERROR(__xludf.DUMMYFUNCTION("""COMPUTED_VALUE"""),"ResetTT")</f>
        <v>ResetTT</v>
      </c>
      <c r="AY4" s="26" t="str">
        <f>IFERROR(__xludf.DUMMYFUNCTION("""COMPUTED_VALUE"""),"MergeTT")</f>
        <v>MergeTT</v>
      </c>
      <c r="AZ4" s="26" t="str">
        <f>IFERROR(__xludf.DUMMYFUNCTION("""COMPUTED_VALUE"""),"ResizeEnsureTT")</f>
        <v>ResizeEnsureTT</v>
      </c>
      <c r="BA4" s="26" t="str">
        <f>IFERROR(__xludf.DUMMYFUNCTION("""COMPUTED_VALUE"""),"VerifyExecutionType")</f>
        <v>VerifyExecutionType</v>
      </c>
      <c r="BB4" s="26" t="str">
        <f>IFERROR(__xludf.DUMMYFUNCTION("""COMPUTED_VALUE"""),"VerifyPopupAlignment")</f>
        <v>VerifyPopupAlignment</v>
      </c>
      <c r="BC4" s="26" t="str">
        <f>IFERROR(__xludf.DUMMYFUNCTION("""COMPUTED_VALUE"""),"SelectET")</f>
        <v>SelectET</v>
      </c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 t="str">
        <f>IFERROR(__xludf.DUMMYFUNCTION("""COMPUTED_VALUE"""),"DoneAwayClickOnNO")</f>
        <v>DoneAwayClickOnNO</v>
      </c>
      <c r="BF5" s="30" t="str">
        <f>IFERROR(__xludf.DUMMYFUNCTION("""COMPUTED_VALUE"""),"HotbuttonQty")</f>
        <v>HotbuttonQty</v>
      </c>
      <c r="BG5" s="30" t="str">
        <f>IFERROR(__xludf.DUMMYFUNCTION("""COMPUTED_VALUE"""),"HotButtonPrice")</f>
        <v>HotButtonPrice</v>
      </c>
      <c r="BH5" s="30" t="str">
        <f>IFERROR(__xludf.DUMMYFUNCTION("""COMPUTED_VALUE"""),"HotButtonLimit")</f>
        <v>HotButtonLimit</v>
      </c>
      <c r="BI5" s="30" t="str">
        <f>IFERROR(__xludf.DUMMYFUNCTION("""COMPUTED_VALUE"""),"HotButtonStop")</f>
        <v>HotButtonStop</v>
      </c>
      <c r="BJ5" s="30" t="str">
        <f>IFERROR(__xludf.DUMMYFUNCTION("""COMPUTED_VALUE"""),"Broker PadLock")</f>
        <v>Broker PadLock</v>
      </c>
      <c r="BK5" s="30" t="str">
        <f>IFERROR(__xludf.DUMMYFUNCTION("""COMPUTED_VALUE"""),"TradeBy")</f>
        <v>TradeBy</v>
      </c>
      <c r="BL5" s="30" t="str">
        <f>IFERROR(__xludf.DUMMYFUNCTION("""COMPUTED_VALUE"""),"PendingApprovalPopUp")</f>
        <v>PendingApprovalPopUp</v>
      </c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35</v>
      </c>
      <c r="C6" s="13" t="s">
        <v>25</v>
      </c>
      <c r="D6" s="13">
        <v>100.0</v>
      </c>
      <c r="E6" s="13">
        <v>50.0</v>
      </c>
      <c r="F6" s="8"/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1")</f>
        <v>Trade Attribute 1</v>
      </c>
      <c r="N5" s="28" t="str">
        <f>IFERROR(__xludf.DUMMYFUNCTION("""COMPUTED_VALUE"""),"Trade Attribute 2")</f>
        <v>Trade Attribute 2</v>
      </c>
      <c r="O5" s="28" t="str">
        <f>IFERROR(__xludf.DUMMYFUNCTION("""COMPUTED_VALUE"""),"Trade Attribute 3")</f>
        <v>Trade Attribute 3</v>
      </c>
      <c r="P5" s="28" t="str">
        <f>IFERROR(__xludf.DUMMYFUNCTION("""COMPUTED_VALUE"""),"Trade Attribute 4")</f>
        <v>Trade Attribute 4</v>
      </c>
      <c r="Q5" s="28" t="str">
        <f>IFERROR(__xludf.DUMMYFUNCTION("""COMPUTED_VALUE"""),"Trade Attribute 5")</f>
        <v>Trade Attribute 5</v>
      </c>
      <c r="R5" s="28" t="str">
        <f>IFERROR(__xludf.DUMMYFUNCTION("""COMPUTED_VALUE"""),"Trade Attribute 6")</f>
        <v>Trade Attribute 6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IFERROR(__xludf.DUMMYFUNCTION("""COMPUTED_VALUE"""),"Remaining Qty")</f>
        <v>Remaining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IFERROR(__xludf.DUMMYFUNCTION("""COMPUTED_VALUE"""),"AllowTrade")</f>
        <v>AllowTrade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35</v>
      </c>
      <c r="AY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RollOverContextMenu1!$4:$4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 t="str">
        <f>IFERROR(__xludf.DUMMYFUNCTION("""COMPUTED_VALUE"""),"VerifyViewAllocationOrder")</f>
        <v>VerifyViewAllocationOrder</v>
      </c>
      <c r="CN4" s="26" t="str">
        <f>IFERROR(__xludf.DUMMYFUNCTION("""COMPUTED_VALUE"""),"ResizeEnsureBlotter")</f>
        <v>ResizeEnsureBlotter</v>
      </c>
      <c r="CO4" s="26" t="str">
        <f>IFERROR(__xludf.DUMMYFUNCTION("""COMPUTED_VALUE"""),"RightClickOperations")</f>
        <v>RightClickOperations</v>
      </c>
      <c r="CP4" s="26" t="str">
        <f>IFERROR(__xludf.DUMMYFUNCTION("""COMPUTED_VALUE"""),"BlotterToolBarAction")</f>
        <v>BlotterToolBarAction</v>
      </c>
      <c r="CQ4" s="26" t="str">
        <f>IFERROR(__xludf.DUMMYFUNCTION("""COMPUTED_VALUE"""),"SelectTradeOnBlotter")</f>
        <v>SelectTradeOnBlotter</v>
      </c>
      <c r="CR4" s="26" t="str">
        <f>IFERROR(__xludf.DUMMYFUNCTION("""COMPUTED_VALUE"""),"SelectTradeSummary")</f>
        <v>SelectTradeSummary</v>
      </c>
      <c r="CS4" s="26" t="str">
        <f>IFERROR(__xludf.DUMMYFUNCTION("""COMPUTED_VALUE"""),"MergeOrderMessage")</f>
        <v>MergeOrderMessage</v>
      </c>
      <c r="CT4" s="26" t="str">
        <f>IFERROR(__xludf.DUMMYFUNCTION("""COMPUTED_VALUE"""),"SwitchTabBlotter")</f>
        <v>SwitchTabBlotter</v>
      </c>
      <c r="CU4" s="26" t="str">
        <f>IFERROR(__xludf.DUMMYFUNCTION("""COMPUTED_VALUE"""),"AddTab")</f>
        <v>AddTab</v>
      </c>
      <c r="CV4" s="26" t="str">
        <f>IFERROR(__xludf.DUMMYFUNCTION("""COMPUTED_VALUE"""),"UploadStageOrders")</f>
        <v>UploadStageOrders</v>
      </c>
      <c r="CW4" s="26" t="str">
        <f>IFERROR(__xludf.DUMMYFUNCTION("""COMPUTED_VALUE"""),"AddTabToFav")</f>
        <v>AddTabToFav</v>
      </c>
      <c r="CX4" s="26" t="str">
        <f>IFERROR(__xludf.DUMMYFUNCTION("""COMPUTED_VALUE"""),"RollOverContextMenu")</f>
        <v>RollOverContextMenu</v>
      </c>
      <c r="CY4" s="26" t="str">
        <f>IFERROR(__xludf.DUMMYFUNCTION("""COMPUTED_VALUE"""),"BookAsSwap")</f>
        <v>BookAsSwap</v>
      </c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 t="str">
        <f>IFERROR(__xludf.DUMMYFUNCTION("""COMPUTED_VALUE"""),"Expiry Date")</f>
        <v>Expiry Date</v>
      </c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32" t="s">
        <v>16</v>
      </c>
      <c r="AJ6" s="33" t="s">
        <v>25</v>
      </c>
      <c r="AK6" s="34" t="s">
        <v>26</v>
      </c>
      <c r="AL6" s="35">
        <v>100.0</v>
      </c>
      <c r="AS6" s="32" t="s">
        <v>27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