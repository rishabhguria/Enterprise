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UIPreferencesTT" sheetId="4" r:id="rId6"/>
    <sheet state="visible" name="CreateDoneAway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TradePTT" sheetId="9" r:id="rId11"/>
    <sheet state="visible" name="SelectTradeUsingMTT" sheetId="10" r:id="rId12"/>
    <sheet state="visible" name="EditTradeUsingMTT" sheetId="11" r:id="rId13"/>
    <sheet state="visible" name="EditTradeUsingMTT2" sheetId="12" r:id="rId14"/>
    <sheet state="visible" name="VerifyMTT" sheetId="13" r:id="rId15"/>
    <sheet state="visible" name="SetUIPreferencesTT1" sheetId="14" r:id="rId16"/>
    <sheet state="visible" name="AddSymbolToWatchlist" sheetId="15" r:id="rId17"/>
    <sheet state="visible" name="TradeFromWatchlist" sheetId="16" r:id="rId18"/>
    <sheet state="visible" name="VerifyMTT1" sheetId="17" r:id="rId19"/>
    <sheet state="visible" name="SelectTradeUsingMTT1" sheetId="18" r:id="rId20"/>
    <sheet state="visible" name="EditTradeUsingMTT1" sheetId="19" r:id="rId21"/>
    <sheet state="visible" name="VerifyMTT2" sheetId="20" r:id="rId22"/>
    <sheet state="visible" name="BulkEditUpdateFromMTT" sheetId="21" r:id="rId23"/>
    <sheet state="visible" name="VerifyMTT3" sheetId="22" r:id="rId24"/>
    <sheet state="visible" name="SetUIPreferencesTT2" sheetId="23" r:id="rId25"/>
    <sheet state="visible" name="VerifyMTT4" sheetId="24" r:id="rId26"/>
  </sheets>
  <definedNames/>
  <calcPr/>
</workbook>
</file>

<file path=xl/sharedStrings.xml><?xml version="1.0" encoding="utf-8"?>
<sst xmlns="http://schemas.openxmlformats.org/spreadsheetml/2006/main" count="225" uniqueCount="50">
  <si>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</si>
  <si>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</si>
  <si>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</si>
  <si>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</si>
  <si>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</si>
  <si>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</si>
  <si>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</si>
  <si>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</si>
  <si>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</si>
  <si>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</si>
  <si>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</si>
  <si>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</si>
  <si>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</si>
  <si>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SetUIPreferencesTT</t>
  </si>
  <si>
    <t>Data Format</t>
  </si>
  <si>
    <t>Input Format</t>
  </si>
  <si>
    <t>Stop</t>
  </si>
  <si>
    <t>Day</t>
  </si>
  <si>
    <t>CreateDoneAwayOrder</t>
  </si>
  <si>
    <t>AAPL</t>
  </si>
  <si>
    <t>Buy</t>
  </si>
  <si>
    <t>Allocation1</t>
  </si>
  <si>
    <t>MS</t>
  </si>
  <si>
    <t>Allocation2</t>
  </si>
  <si>
    <t>PricingInput</t>
  </si>
  <si>
    <t>DailyValuation</t>
  </si>
  <si>
    <t>GetDailyBeta</t>
  </si>
  <si>
    <t>UpdateMultipleDailyCash</t>
  </si>
  <si>
    <t>USD</t>
  </si>
  <si>
    <t>PTT</t>
  </si>
  <si>
    <t>TradePTT</t>
  </si>
  <si>
    <t>Set</t>
  </si>
  <si>
    <t>Percentage</t>
  </si>
  <si>
    <t>No</t>
  </si>
  <si>
    <t>Account</t>
  </si>
  <si>
    <t>Allocation1,Allocation2</t>
  </si>
  <si>
    <t>Yes</t>
  </si>
  <si>
    <t>MultiTradingTicket</t>
  </si>
  <si>
    <t>SelectTradeUsingMTT</t>
  </si>
  <si>
    <t>EditTradeUsingMTT</t>
  </si>
  <si>
    <t>GTC</t>
  </si>
  <si>
    <t>VerifyMTT</t>
  </si>
  <si>
    <t>Limit</t>
  </si>
  <si>
    <t>Market</t>
  </si>
  <si>
    <t>Good Till Date</t>
  </si>
  <si>
    <t>Watchlist</t>
  </si>
  <si>
    <t>AddSymbolToWatchlist</t>
  </si>
  <si>
    <t>SAP</t>
  </si>
  <si>
    <t>TradeFromWatchlist</t>
  </si>
  <si>
    <t>BulkEditUpdateFromMTT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</si>
</sst>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100.0</v>
      </c>
      <c r="E6" s="31"/>
      <c r="F6" s="13" t="s">
        <v>21</v>
      </c>
      <c r="G6" s="13" t="s">
        <v>22</v>
      </c>
      <c r="H6" s="13"/>
      <c r="I6" s="13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500.0</v>
      </c>
      <c r="E7" s="8"/>
      <c r="F7" s="13" t="s">
        <v>23</v>
      </c>
      <c r="G7" s="13" t="s">
        <v>22</v>
      </c>
      <c r="H7" s="13"/>
      <c r="I7" s="13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 t="shared" ref="B6:C6" si="1">TODAY()-1</f>
        <v>45220</v>
      </c>
      <c r="C6" s="32">
        <f t="shared" si="1"/>
        <v>45220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28</v>
      </c>
      <c r="D6" s="13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23</v>
      </c>
      <c r="C7" s="13" t="s">
        <v>28</v>
      </c>
      <c r="D7" s="13">
        <v>50000.0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19</v>
      </c>
      <c r="C6" s="34" t="s">
        <v>31</v>
      </c>
      <c r="D6" s="33" t="s">
        <v>32</v>
      </c>
      <c r="E6" s="35">
        <v>5.0</v>
      </c>
      <c r="F6" s="34"/>
      <c r="G6" s="36" t="s">
        <v>33</v>
      </c>
      <c r="H6" s="36" t="s">
        <v>34</v>
      </c>
      <c r="I6" s="36" t="s">
        <v>35</v>
      </c>
      <c r="J6" s="34" t="s">
        <v>36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13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13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13" t="s">
        <v>40</v>
      </c>
      <c r="I6" s="13" t="s">
        <v>42</v>
      </c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43</v>
      </c>
      <c r="E6" s="13" t="s">
        <v>44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IFERROR(__xludf.DUMMYFUNCTION("IF(C3="""","""",Transpose(IMPORTRANGE('_Settings'!$B$3,C3&amp;""!A4:A1000"")))"),"AddTabOnWatchlist")</f>
        <v>AddTabOnWatchlist</v>
      </c>
      <c r="C4" s="25" t="str">
        <f>IFERROR(__xludf.DUMMYFUNCTION("""COMPUTED_VALUE"""),"DeleteTabOnWatchlist")</f>
        <v>DeleteTabOnWatchlist</v>
      </c>
      <c r="D4" s="25" t="str">
        <f>IFERROR(__xludf.DUMMYFUNCTION("""COMPUTED_VALUE"""),"AddSymbolToWatchlist")</f>
        <v>AddSymbolToWatchlist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IFERROR(__xludf.DUMMYFUNCTION("""COMPUTED_VALUE"""),"MultiTradeFromWatchlist")</f>
        <v>MultiTradeFromWatchlist</v>
      </c>
      <c r="G4" s="25" t="str">
        <f>IFERROR(__xludf.DUMMYFUNCTION("""COMPUTED_VALUE"""),"DeleteSymbolFromWatchlist")</f>
        <v>DeleteSymbolFromWatchlist</v>
      </c>
      <c r="H4" s="25" t="str">
        <f>IFERROR(__xludf.DUMMYFUNCTION("""COMPUTED_VALUE"""),"VerifySymbolsOnWatchlist")</f>
        <v>VerifySymbolsOnWatchlist</v>
      </c>
      <c r="I4" s="25" t="str">
        <f>IFERROR(__xludf.DUMMYFUNCTION("""COMPUTED_VALUE"""),"OpenPTTFromWatchlist")</f>
        <v>OpenPTTFromWatchlist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47</v>
      </c>
      <c r="C7" s="13" t="s">
        <v>20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13" t="s">
        <v>44</v>
      </c>
      <c r="I6" s="13" t="s">
        <v>42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47</v>
      </c>
      <c r="C7" s="8"/>
      <c r="D7" s="8"/>
      <c r="E7" s="8"/>
      <c r="F7" s="8"/>
      <c r="G7" s="8"/>
      <c r="H7" s="13" t="s">
        <v>44</v>
      </c>
      <c r="I7" s="13" t="s">
        <v>42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13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13" t="s">
        <v>44</v>
      </c>
      <c r="I6" s="13" t="s">
        <v>42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47</v>
      </c>
      <c r="C7" s="8"/>
      <c r="D7" s="8"/>
      <c r="E7" s="8"/>
      <c r="F7" s="8"/>
      <c r="G7" s="8"/>
      <c r="H7" s="13" t="s">
        <v>40</v>
      </c>
      <c r="I7" s="13" t="s">
        <v>42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IFERROR(__xludf.DUMMYFUNCTION("""COMPUTED_VALUE"""),"Button")</f>
        <v>Button</v>
      </c>
      <c r="AL5" s="30" t="str">
        <f>IFERROR(__xludf.DUMMYFUNCTION("""COMPUTED_VALUE"""),"Bulk Update Alert")</f>
        <v>Bulk Update Alert</v>
      </c>
      <c r="AM5" s="30" t="str">
        <f>IFERROR(__xludf.DUMMYFUNCTION("""COMPUTED_VALUE"""),"CancelWithoutReplace")</f>
        <v>CancelWithoutReplace</v>
      </c>
      <c r="AN5" s="30" t="str">
        <f>IFERROR(__xludf.DUMMYFUNCTION("""COMPUTED_VALUE"""),"BULK_OR_EDITTRADE")</f>
        <v>BULK_OR_EDITTRADE</v>
      </c>
      <c r="AO5" s="30" t="str">
        <f>IFERROR(__xludf.DUMMYFUNCTION("""COMPUTED_VALUE"""),"Click on Clear")</f>
        <v>Click on Clear</v>
      </c>
      <c r="AP5" s="30" t="str">
        <f>IFERROR(__xludf.DUMMYFUNCTION("""COMPUTED_VALUE"""),"Account")</f>
        <v>Account</v>
      </c>
      <c r="AQ5" s="30" t="str">
        <f>IFERROR(__xludf.DUMMYFUNCTION("""COMPUTED_VALUE"""),"Account %")</f>
        <v>Account %</v>
      </c>
      <c r="AR5" s="30" t="str">
        <f>IFERROR(__xludf.DUMMYFUNCTION("""COMPUTED_VALUE"""),"ClearOldCA")</f>
        <v>ClearOldCA</v>
      </c>
      <c r="AS5" s="30" t="str">
        <f>IFERROR(__xludf.DUMMYFUNCTION("""COMPUTED_VALUE"""),"ClickClearNotUpdate")</f>
        <v>ClickClearNotUpdate</v>
      </c>
      <c r="AT5" s="30" t="str">
        <f>IFERROR(__xludf.DUMMYFUNCTION("""COMPUTED_VALUE"""),"Expiration Date")</f>
        <v>Expiration Date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40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BulkEditUpdateFromMTT!$4:$4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1"/>
      <c r="F6" s="8"/>
      <c r="G6" s="8"/>
      <c r="H6" s="13" t="s">
        <v>40</v>
      </c>
      <c r="I6" s="13" t="s">
        <v>42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47</v>
      </c>
      <c r="C7" s="8"/>
      <c r="D7" s="8"/>
      <c r="E7" s="8"/>
      <c r="F7" s="8"/>
      <c r="G7" s="8"/>
      <c r="H7" s="13" t="s">
        <v>40</v>
      </c>
      <c r="I7" s="13" t="s">
        <v>42</v>
      </c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43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 t="str">
        <f>IFERROR(__xludf.DUMMYFUNCTION("""COMPUTED_VALUE"""),"Algo Type")</f>
        <v>Algo Type</v>
      </c>
      <c r="AJ5" s="30" t="str">
        <f>IFERROR(__xludf.DUMMYFUNCTION("""COMPUTED_VALUE"""),"Borrow Rate(BPS)")</f>
        <v>Borrow Rate(BPS)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8"/>
      <c r="D6" s="13"/>
      <c r="E6" s="31"/>
      <c r="F6" s="8"/>
      <c r="G6" s="8"/>
      <c r="H6" s="13" t="s">
        <v>40</v>
      </c>
      <c r="I6" s="13" t="s">
        <v>42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