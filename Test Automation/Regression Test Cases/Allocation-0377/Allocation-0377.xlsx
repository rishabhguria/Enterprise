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tGeneralPreferences" sheetId="5" r:id="rId7"/>
    <sheet state="visible" name="AddMFPreferences" sheetId="6" r:id="rId8"/>
    <sheet state="visible" name="SetMFPreferencesDefaultRule" sheetId="7" r:id="rId9"/>
    <sheet state="visible" name="SetMFPrefAccountValues" sheetId="8" r:id="rId10"/>
    <sheet state="visible" name="SetMFPrefAccountValues1" sheetId="9" r:id="rId11"/>
    <sheet state="visible" name="SetMFPrefFundDefaultRule" sheetId="10" r:id="rId12"/>
    <sheet state="visible" name="CreateDoneAwayOrder1" sheetId="11" r:id="rId13"/>
    <sheet state="visible" name="GetDataAllocation" sheetId="12" r:id="rId14"/>
    <sheet state="visible" name="EnterAllocatePreference" sheetId="13" r:id="rId15"/>
    <sheet state="visible" name="SelectUnallocatedGroup" sheetId="14" r:id="rId16"/>
    <sheet state="visible" name="CheckAllocatedTaxlots" sheetId="15" r:id="rId17"/>
  </sheets>
  <definedNames/>
  <calcPr/>
</workbook>
</file>

<file path=xl/sharedStrings.xml><?xml version="1.0" encoding="utf-8"?>
<sst xmlns="http://schemas.openxmlformats.org/spreadsheetml/2006/main" count="149" uniqueCount="45">
  <si>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</si>
  <si>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</si>
  <si>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</si>
  <si>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</si>
  <si>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</si>
  <si>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</si>
  <si>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</si>
  <si>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</si>
  <si>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</si>
  <si>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</si>
  <si>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</si>
  <si>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</si>
  <si>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</si>
  <si>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</si>
  <si>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</si>
  <si>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</si>
  <si>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</si>
  <si>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Sell short</t>
  </si>
  <si>
    <t>Allocation1</t>
  </si>
  <si>
    <t>Allocation2</t>
  </si>
  <si>
    <t>Allocation3</t>
  </si>
  <si>
    <t>Allocation4</t>
  </si>
  <si>
    <t>Allocation</t>
  </si>
  <si>
    <t>SetGeneralPreferences</t>
  </si>
  <si>
    <t>AddMFPreferences</t>
  </si>
  <si>
    <t>TEST</t>
  </si>
  <si>
    <t>SetMFPreferencesDefaultRule</t>
  </si>
  <si>
    <t>Prorata</t>
  </si>
  <si>
    <t>NewMF,NewMF1</t>
  </si>
  <si>
    <t>SetMFPrefAccountValues</t>
  </si>
  <si>
    <t>NewMF1</t>
  </si>
  <si>
    <t>NewMF</t>
  </si>
  <si>
    <t>SetMFPrefFundDefaultRule</t>
  </si>
  <si>
    <t>Trade Quantity</t>
  </si>
  <si>
    <t>Current Preference</t>
  </si>
  <si>
    <t>Buy to Close</t>
  </si>
  <si>
    <t>Unallocated</t>
  </si>
  <si>
    <t>GetDataAllocation</t>
  </si>
  <si>
    <t>Current</t>
  </si>
  <si>
    <t>EnterAllocatePreference</t>
  </si>
  <si>
    <t>SelectUnallocatedGroup</t>
  </si>
  <si>
    <t>CheckAllocatedTaxlots</t>
  </si>
  <si>
    <t>M</t>
  </si>
  <si>
    <t>USD</t>
  </si>
  <si>
    <t>Strategy Unallocated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</si>
</sst>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13" t="s">
        <v>18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13"/>
      <c r="B7" s="13" t="s">
        <v>16</v>
      </c>
      <c r="C7" s="13" t="s">
        <v>17</v>
      </c>
      <c r="D7" s="13">
        <v>400.0</v>
      </c>
      <c r="E7" s="31"/>
      <c r="F7" s="13" t="s">
        <v>19</v>
      </c>
      <c r="G7" s="8"/>
      <c r="H7" s="8"/>
      <c r="I7" s="8"/>
      <c r="J7" s="13">
        <v>1.0</v>
      </c>
      <c r="K7" s="8"/>
      <c r="L7" s="8"/>
      <c r="M7" s="8"/>
      <c r="N7" s="8"/>
      <c r="O7" s="8"/>
    </row>
    <row r="8" ht="15.75" customHeight="1">
      <c r="A8" s="13"/>
      <c r="B8" s="13" t="s">
        <v>16</v>
      </c>
      <c r="C8" s="13" t="s">
        <v>17</v>
      </c>
      <c r="D8" s="13">
        <v>200.0</v>
      </c>
      <c r="E8" s="31"/>
      <c r="F8" s="13" t="s">
        <v>20</v>
      </c>
      <c r="G8" s="8"/>
      <c r="H8" s="8"/>
      <c r="I8" s="8"/>
      <c r="J8" s="13">
        <v>1.0</v>
      </c>
      <c r="K8" s="8"/>
      <c r="L8" s="8"/>
      <c r="M8" s="8"/>
      <c r="N8" s="8"/>
      <c r="O8" s="8"/>
    </row>
    <row r="9" ht="15.75" customHeight="1">
      <c r="A9" s="13"/>
      <c r="B9" s="13" t="s">
        <v>16</v>
      </c>
      <c r="C9" s="13" t="s">
        <v>17</v>
      </c>
      <c r="D9" s="13">
        <v>800.0</v>
      </c>
      <c r="E9" s="31"/>
      <c r="F9" s="13" t="s">
        <v>21</v>
      </c>
      <c r="G9" s="8"/>
      <c r="H9" s="8"/>
      <c r="I9" s="8"/>
      <c r="J9" s="13">
        <v>1.0</v>
      </c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b">
        <v>1</v>
      </c>
      <c r="C6" s="34"/>
      <c r="D6" s="32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3" t="b">
        <v>1</v>
      </c>
      <c r="W6" s="35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6.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AddMFPreferences!$4:$4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IFERROR(__xludf.DUMMYFUNCTION("""COMPUTED_VALUE"""),"RemainderAllocationTo")</f>
        <v>RemainderAllocationTo</v>
      </c>
      <c r="C5" s="28" t="str">
        <f>IFERROR(__xludf.DUMMYFUNCTION("""COMPUTED_VALUE"""),"Target%AsOf")</f>
        <v>Target%AsOf</v>
      </c>
      <c r="D5" s="28" t="str">
        <f>IFERROR(__xludf.DUMMYFUNCTION("""COMPUTED_VALUE"""),"ProrataAccounts")</f>
        <v>ProrataAccounts</v>
      </c>
      <c r="E5" s="28" t="str">
        <f>IFERROR(__xludf.DUMMYFUNCTION("""COMPUTED_VALUE"""),"DateUptoDays")</f>
        <v>DateUptoDays</v>
      </c>
      <c r="F5" s="29" t="str">
        <f>IFERROR(__xludf.DUMMYFUNCTION("""COMPUTED_VALUE"""),"PreferenceName")</f>
        <v>PreferenceName</v>
      </c>
      <c r="G5" s="28" t="str">
        <f>IFERROR(__xludf.DUMMYFUNCTION("""COMPUTED_VALUE"""),"MatchClosingTransaction")</f>
        <v>MatchClosingTransaction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27</v>
      </c>
      <c r="D6" s="13" t="s">
        <v>28</v>
      </c>
      <c r="E6" s="31"/>
      <c r="F6" s="13" t="s">
        <v>25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SetMFPreferencesDefaultRule!$4:$4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25</v>
      </c>
      <c r="C6" s="36" t="s">
        <v>30</v>
      </c>
      <c r="D6" s="36" t="s">
        <v>19</v>
      </c>
      <c r="E6" s="37">
        <v>50.0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25</v>
      </c>
      <c r="C7" s="36" t="s">
        <v>30</v>
      </c>
      <c r="D7" s="36" t="s">
        <v>21</v>
      </c>
      <c r="E7" s="37">
        <v>50.0</v>
      </c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SetMFPrefAccountValues!$4:$4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25</v>
      </c>
      <c r="C6" s="36" t="s">
        <v>31</v>
      </c>
      <c r="D6" s="36" t="s">
        <v>18</v>
      </c>
      <c r="E6" s="37">
        <v>50.0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25</v>
      </c>
      <c r="C7" s="36" t="s">
        <v>31</v>
      </c>
      <c r="D7" s="36" t="s">
        <v>20</v>
      </c>
      <c r="E7" s="37">
        <v>50.0</v>
      </c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SetMFPrefAccountValues1!$4:$4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8"/>
      <c r="D6" s="13" t="s">
        <v>33</v>
      </c>
      <c r="E6" s="13"/>
      <c r="F6" s="13" t="s">
        <v>34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SetMFPrefFundDefaultRule!$4:$4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35</v>
      </c>
      <c r="D6" s="13">
        <v>125.0</v>
      </c>
      <c r="E6" s="31"/>
      <c r="F6" s="13" t="s">
        <v>36</v>
      </c>
      <c r="G6" s="8"/>
      <c r="H6" s="8"/>
      <c r="I6" s="8"/>
      <c r="J6" s="13">
        <v>11.0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38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25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35</v>
      </c>
      <c r="D6" s="13">
        <v>125.0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 t="str">
        <f>IFERROR(__xludf.DUMMYFUNCTION("""COMPUTED_VALUE"""),"MandatoryColumn")</f>
        <v>MandatoryColumn</v>
      </c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>
        <v>555.60032</v>
      </c>
      <c r="C6" s="38">
        <v>555.60032</v>
      </c>
      <c r="D6" s="38">
        <v>550.0</v>
      </c>
      <c r="E6" s="38">
        <v>550.0</v>
      </c>
      <c r="F6" s="39" t="s">
        <v>42</v>
      </c>
      <c r="G6" s="8"/>
      <c r="H6" s="39" t="s">
        <v>43</v>
      </c>
      <c r="I6" s="8"/>
      <c r="J6" s="8"/>
      <c r="K6" s="8"/>
      <c r="L6" s="8"/>
      <c r="M6" s="8"/>
      <c r="N6" s="8"/>
      <c r="O6" s="39" t="s">
        <v>19</v>
      </c>
      <c r="P6" s="39" t="s">
        <v>44</v>
      </c>
      <c r="Q6" s="38">
        <v>40.0</v>
      </c>
      <c r="R6" s="38">
        <v>50.0</v>
      </c>
      <c r="S6" s="38">
        <v>0.0</v>
      </c>
      <c r="AI6" s="38">
        <v>11.0</v>
      </c>
    </row>
    <row r="7" ht="15.75" customHeight="1">
      <c r="A7" s="8"/>
      <c r="B7" s="38">
        <v>555.60032</v>
      </c>
      <c r="C7" s="38">
        <v>555.60032</v>
      </c>
      <c r="D7" s="38">
        <v>550.0</v>
      </c>
      <c r="E7" s="38">
        <v>550.0</v>
      </c>
      <c r="F7" s="39" t="s">
        <v>42</v>
      </c>
      <c r="G7" s="8"/>
      <c r="H7" s="39" t="s">
        <v>43</v>
      </c>
      <c r="I7" s="8"/>
      <c r="J7" s="8"/>
      <c r="K7" s="8"/>
      <c r="L7" s="8"/>
      <c r="M7" s="8"/>
      <c r="N7" s="8"/>
      <c r="O7" s="39" t="s">
        <v>21</v>
      </c>
      <c r="P7" s="39" t="s">
        <v>44</v>
      </c>
      <c r="Q7" s="38">
        <v>40.0</v>
      </c>
      <c r="R7" s="38">
        <v>50.0</v>
      </c>
      <c r="S7" s="38">
        <v>0.0</v>
      </c>
      <c r="AI7" s="38">
        <v>11.0</v>
      </c>
    </row>
    <row r="8" ht="15.75" customHeight="1">
      <c r="A8" s="8"/>
      <c r="B8" s="38">
        <v>144.4560832</v>
      </c>
      <c r="C8" s="38">
        <v>144.4560832</v>
      </c>
      <c r="D8" s="38">
        <v>143.0</v>
      </c>
      <c r="E8" s="38">
        <v>143.0</v>
      </c>
      <c r="F8" s="39" t="s">
        <v>42</v>
      </c>
      <c r="G8" s="8"/>
      <c r="H8" s="39" t="s">
        <v>43</v>
      </c>
      <c r="I8" s="8"/>
      <c r="J8" s="8"/>
      <c r="K8" s="8"/>
      <c r="L8" s="8"/>
      <c r="M8" s="8"/>
      <c r="N8" s="8"/>
      <c r="O8" s="39" t="s">
        <v>20</v>
      </c>
      <c r="P8" s="39" t="s">
        <v>44</v>
      </c>
      <c r="Q8" s="38">
        <v>10.39999962</v>
      </c>
      <c r="R8" s="38">
        <v>13.0</v>
      </c>
      <c r="S8" s="38">
        <v>0.0</v>
      </c>
      <c r="AI8" s="38">
        <v>11.0</v>
      </c>
    </row>
    <row r="9" ht="15.75" customHeight="1">
      <c r="A9" s="8"/>
      <c r="B9" s="38">
        <v>133.3440768</v>
      </c>
      <c r="C9" s="38">
        <v>133.3440768</v>
      </c>
      <c r="D9" s="38">
        <v>132.0</v>
      </c>
      <c r="E9" s="38">
        <v>132.0</v>
      </c>
      <c r="F9" s="39" t="s">
        <v>42</v>
      </c>
      <c r="G9" s="8"/>
      <c r="H9" s="39" t="s">
        <v>43</v>
      </c>
      <c r="I9" s="8"/>
      <c r="J9" s="8"/>
      <c r="K9" s="8"/>
      <c r="L9" s="8"/>
      <c r="M9" s="8"/>
      <c r="N9" s="8"/>
      <c r="O9" s="39" t="s">
        <v>18</v>
      </c>
      <c r="P9" s="39" t="s">
        <v>44</v>
      </c>
      <c r="Q9" s="38">
        <v>9.600000381</v>
      </c>
      <c r="R9" s="38">
        <v>12.0</v>
      </c>
      <c r="S9" s="38">
        <v>0.0</v>
      </c>
      <c r="AI9" s="38">
        <v>11.0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