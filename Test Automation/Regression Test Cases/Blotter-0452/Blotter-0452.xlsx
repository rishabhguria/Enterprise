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ClosePositionFromPM" sheetId="5" r:id="rId7"/>
    <sheet state="visible" name="CheckPortfolioManagement" sheetId="6" r:id="rId8"/>
  </sheets>
  <definedNames/>
  <calcPr/>
</workbook>
</file>

<file path=xl/sharedStrings.xml><?xml version="1.0" encoding="utf-8"?>
<sst xmlns="http://schemas.openxmlformats.org/spreadsheetml/2006/main" count="59" uniqueCount="26">
  <si>
    <t>Modules Info</t>
  </si>
  <si>
    <t>Modules</t>
  </si>
  <si>
    <t>Settings</t>
  </si>
  <si>
    <t>Module Step Setting File</t>
  </si>
  <si>
    <t>1FZCVS2VC_twlXn-YuKs0geSTaoYC6DdDpApdjwKtVWo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</si>
  <si>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</si>
  <si>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</si>
  <si>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</si>
  <si>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</si>
  <si>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</si>
  <si>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</si>
  <si>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</si>
  <si>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</si>
  <si>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</si>
  <si>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</si>
  <si>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</si>
  <si>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USD/CAD 02/06/2019</t>
  </si>
  <si>
    <t>Buy</t>
  </si>
  <si>
    <t>Allocation1</t>
  </si>
  <si>
    <t>PortfolioManagement</t>
  </si>
  <si>
    <t>ClosePositionFromPM</t>
  </si>
  <si>
    <t>CheckPortfolioManagement</t>
  </si>
  <si>
    <t/>
  </si>
  <si>
    <t>NewMF</t>
  </si>
  <si>
    <t>Strategy Unallocated</t>
  </si>
  <si>
    <t>Sell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</si>
</sst>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0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horizontal="right" vertical="bottom"/>
    </xf>
    <xf borderId="0" fillId="0" fontId="3" numFmtId="0" xfId="0" applyAlignment="1" applyFont="1">
      <alignment readingOrder="0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IFERROR(__xludf.DUMMYFUNCTION("""COMPUTED_VALUE"""),"1G2yAwEmGug4VRRGiVJM3yHe88F7UHCmwLdFo2-Xj4bA")</f>
        <v>1G2yAwEmGug4VRRGiVJM3yHe88F7UHCmwLdFo2-Xj4bA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IFERROR(__xludf.DUMMYFUNCTION("""COMPUTED_VALUE"""),"1sN4dA0wRDbkiqDmGZD3fRqB5XP8vsNgVSKTClqF2aqA")</f>
        <v>1sN4dA0wRDbkiqDmGZD3fRqB5XP8vsNgVSKTClqF2aqA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IFERROR(__xludf.DUMMYFUNCTION("""COMPUTED_VALUE"""),"1iFwUbi4eWTRVGpAAB27Nc1Ubu4j6hxNuLgSZZV6c_E4")</f>
        <v>1iFwUbi4eWTRVGpAAB27Nc1Ubu4j6hxNuLgSZZV6c_E4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IFERROR(__xludf.DUMMYFUNCTION("""COMPUTED_VALUE"""),"1XV7WEkcXTDuOgwDoGhKvy8HU-K-3479ZHAEZBvsa_tc")</f>
        <v>1XV7WEkcXTDuOgwDoGhKvy8HU-K-3479ZHAEZBvsa_tc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IFERROR(__xludf.DUMMYFUNCTION("""COMPUTED_VALUE"""),"1sQmxpKX5ogSXiV1qHf6NVjQl8QoUTsuD2rJ4pzqABAg")</f>
        <v>1sQmxpKX5ogSXiV1qHf6NVjQl8QoUTsuD2rJ4pzqABAg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IFERROR(__xludf.DUMMYFUNCTION("""COMPUTED_VALUE"""),"1WOXvZZCIiWWwLt85sMAJs5lA2Sd5seftlo0-PMFepo4")</f>
        <v>1WOXvZZCIiWWwLt85sMAJs5lA2Sd5seftlo0-PMFepo4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IFERROR(__xludf.DUMMYFUNCTION("""COMPUTED_VALUE"""),"13pRCCWisWUdYIzGghxtJvmhlBsj5sDr94g6VDPP0q-o")</f>
        <v>13pRCCWisWUdYIzGghxtJvmhlBsj5sDr94g6VDPP0q-o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IFERROR(__xludf.DUMMYFUNCTION("""COMPUTED_VALUE"""),"1npQSl0FjE4Lw1QD6s0yIpLzJ-rj0nbumIonEIRbWZwA")</f>
        <v>1npQSl0FjE4Lw1QD6s0yIpLzJ-rj0nbumIonEIRbWZwA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IFERROR(__xludf.DUMMYFUNCTION("""COMPUTED_VALUE"""),"1-pEik0paMvKDzhMzUpCB2FadNd3tINN9bPXcpr5W9hI")</f>
        <v>1-pEik0paMvKDzhMzUpCB2FadNd3tINN9bPXcpr5W9hI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IFERROR(__xludf.DUMMYFUNCTION("""COMPUTED_VALUE"""),"1G5A2JHuXFwIAKeFyFP_6qaRbfVnU9mvHz6q_tG-5I3M")</f>
        <v>1G5A2JHuXFwIAKeFyFP_6qaRbfVnU9mvHz6q_tG-5I3M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IFERROR(__xludf.DUMMYFUNCTION("""COMPUTED_VALUE"""),"1Qf7-OMFYaQTpiT3A76WLvhP_zTcAvN-GlTkEKWQI6CI")</f>
        <v>1Qf7-OMFYaQTpiT3A76WLvhP_zTcAvN-GlTkEKWQI6CI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IFERROR(__xludf.DUMMYFUNCTION("""COMPUTED_VALUE"""),"1X2GLgKZ0jCCf9C8tNz4LZTT8MEJ0rPmHVf74CRF92nI")</f>
        <v>1X2GLgKZ0jCCf9C8tNz4LZTT8MEJ0rPmHVf74CRF92nI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IFERROR(__xludf.DUMMYFUNCTION("""COMPUTED_VALUE"""),"1e3JDW1yEKYP-8ma-BqYu0whzm4Ze8aVDK3dsCw79llk")</f>
        <v>1e3JDW1yEKYP-8ma-BqYu0whzm4Ze8aVDK3dsCw79llk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IFERROR(__xludf.DUMMYFUNCTION("""COMPUTED_VALUE"""),"1eR96defw9DNiXlrKjqRh3R-qg9Pp1BeoNro96zMlcU0")</f>
        <v>1eR96defw9DNiXlrKjqRh3R-qg9Pp1BeoNro96zMlcU0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IFERROR(__xludf.DUMMYFUNCTION("""COMPUTED_VALUE"""),"1SYzOFlwMP7q1fa9ftG5nF3Q9-tr0BByrF1knPegiHxE")</f>
        <v>1SYzOFlwMP7q1fa9ftG5nF3Q9-tr0BByrF1knPegiHxE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IFERROR(__xludf.DUMMYFUNCTION("""COMPUTED_VALUE"""),"1oCPrKMTa-3fxaM06t7r0xjhAywYxptxUUWlM6IrpjIM")</f>
        <v>1oCPrKMTa-3fxaM06t7r0xjhAywYxptxUUWlM6IrpjIM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IFERROR(__xludf.DUMMYFUNCTION("""COMPUTED_VALUE"""),"1Juj0ekcKQL6KCq8ujd84mA8LXjLIO7F5-pt1BH073k4")</f>
        <v>1Juj0ekcKQL6KCq8ujd84mA8LXjLIO7F5-pt1BH073k4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IFERROR(__xludf.DUMMYFUNCTION("""COMPUTED_VALUE"""),"1TxDikOKco3kj-fpVp_swFmHRjk9xUFlp6SC01FXKsUA")</f>
        <v>1TxDikOKco3kj-fpVp_swFmHRjk9xUFlp6SC01FXKsUA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IFERROR(__xludf.DUMMYFUNCTION("""COMPUTED_VALUE"""),"1MIFnyUZMyR5a_8yHN1aP-GaxtBQUxu1tPzzD93BRKG4")</f>
        <v>1MIFnyUZMyR5a_8yHN1aP-GaxtBQUxu1tPzzD93BRKG4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IFERROR(__xludf.DUMMYFUNCTION("""COMPUTED_VALUE"""),"1UcA_Bp3Tg0bduC_hG_ymQO8Nl0fC8zwr0dqhn3G0X7w")</f>
        <v>1UcA_Bp3Tg0bduC_hG_ymQO8Nl0fC8zwr0dqhn3G0X7w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IFERROR(__xludf.DUMMYFUNCTION("""COMPUTED_VALUE"""),"1b3teGR3SeddkzmOAOI70zt3TPTIueqIXMb0_64vLmhg")</f>
        <v>1b3teGR3SeddkzmOAOI70zt3TPTIueqIXMb0_64vLmhg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IFERROR(__xludf.DUMMYFUNCTION("""COMPUTED_VALUE"""),"1x3db-DRDI09f9JOxbjTsFLBMBLSyw9w2LJAcwA_jthE")</f>
        <v>1x3db-DRDI09f9JOxbjTsFLBMBLSyw9w2LJAcwA_jthE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IFERROR(__xludf.DUMMYFUNCTION("""COMPUTED_VALUE"""),"1eWGWoFECkbD-qbHWTGCUT8Fyg7YSEuxVBQShAfH-4G8")</f>
        <v>1eWGWoFECkbD-qbHWTGCUT8Fyg7YSEuxVBQShAfH-4G8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IFERROR(__xludf.DUMMYFUNCTION("""COMPUTED_VALUE"""),"19tHMRXibaAxm7XMdcCTWHQ4bfVUBpa3dYIoVg7LgjMU")</f>
        <v>19tHMRXibaAxm7XMdcCTWHQ4bfVUBpa3dYIoVg7LgjMU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IFERROR(__xludf.DUMMYFUNCTION("""COMPUTED_VALUE"""),"15dCu2cI6h2zz7EyE3HRTPJXretS_8rJXb6kEecm2wE4")</f>
        <v>15dCu2cI6h2zz7EyE3HRTPJXretS_8rJXb6kEecm2wE4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IFERROR(__xludf.DUMMYFUNCTION("""COMPUTED_VALUE"""),"1ox4TNNK5MqyA6BJGrZngJ2D4HejJ2lRtDKIKyPqu-tQ")</f>
        <v>1ox4TNNK5MqyA6BJGrZngJ2D4HejJ2lRtDKIKyPqu-tQ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IFERROR(__xludf.DUMMYFUNCTION("""COMPUTED_VALUE"""),"1H1jKHI5sFjF2JGI5Hsg2bL9f8P4Efy6KU_cClE3r75U")</f>
        <v>1H1jKHI5sFjF2JGI5Hsg2bL9f8P4Efy6KU_cClE3r75U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IFERROR(__xludf.DUMMYFUNCTION("""COMPUTED_VALUE"""),"1SOn4_JJeoHJYkiaVBjxfn5Lb7mA_qhKHshd3opLPQ1I")</f>
        <v>1SOn4_JJeoHJYkiaVBjxfn5Lb7mA_qhKHshd3opLPQ1I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IFERROR(__xludf.DUMMYFUNCTION("""COMPUTED_VALUE"""),"1IorkfR8EskF9Rg56tJ2oKYZpqvMIZEs2668wybtTQB4")</f>
        <v>1IorkfR8EskF9Rg56tJ2oKYZpqvMIZEs2668wybtTQB4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IFERROR(__xludf.DUMMYFUNCTION("""COMPUTED_VALUE"""),"1psefeS-lWFS-teA6LWf_DI6EUG6mtcOuqu918FZCTQU")</f>
        <v>1psefeS-lWFS-teA6LWf_DI6EUG6mtcOuqu918FZCTQU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IFERROR(__xludf.DUMMYFUNCTION("""COMPUTED_VALUE"""),"1rznTwdTAEkrPH0xYZH81RkQ1wUryJGoM9CMoeL4nmcQ")</f>
        <v>1rznTwdTAEkrPH0xYZH81RkQ1wUryJGoM9CMoeL4nmcQ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IFERROR(__xludf.DUMMYFUNCTION("""COMPUTED_VALUE"""),"1_z8RqXBRujVk2nmOKATscV8OMNcUKi2JifkR1W7KdRE")</f>
        <v>1_z8RqXBRujVk2nmOKATscV8OMNcUKi2JifkR1W7KdRE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IFERROR(__xludf.DUMMYFUNCTION("""COMPUTED_VALUE"""),"1PWEqwYA12VgsLsj6lvnqrW4sngZuq-sjrmnpL9peQPo")</f>
        <v>1PWEqwYA12VgsLsj6lvnqrW4sngZuq-sjrmnpL9peQPo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IFERROR(__xludf.DUMMYFUNCTION("""COMPUTED_VALUE"""),"1qWD23r6S8L6qNcKOENcBsVpBS_5raHBTtvCMOf8rwRo")</f>
        <v>1qWD23r6S8L6qNcKOENcBsVpBS_5raHBTtvCMOf8rwRo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IFERROR(__xludf.DUMMYFUNCTION("""COMPUTED_VALUE"""),"1ih6B6H3dMqTN2qoqiNuco5rugaDHzlFQvUiQTafq1-Y")</f>
        <v>1ih6B6H3dMqTN2qoqiNuco5rugaDHzlFQvUiQTafq1-Y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IFERROR(__xludf.DUMMYFUNCTION("""COMPUTED_VALUE"""),"105kp1yXOdHuKObnT282Gjsr9VcKIYY9fVt3jwRMQivk")</f>
        <v>105kp1yXOdHuKObnT282Gjsr9VcKIYY9fVt3jwRMQivk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IFERROR(__xludf.DUMMYFUNCTION("""COMPUTED_VALUE"""),"155MwUZO0qphL6P5-kiOzXA9wszW7MLyU3r6cueRluPE")</f>
        <v>155MwUZO0qphL6P5-kiOzXA9wszW7MLyU3r6cueRluPE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IFERROR(__xludf.DUMMYFUNCTION("""COMPUTED_VALUE"""),"1Me9UTDrd2996RjhiWBMkCi9mXdb5L42QQfdj510IoVM")</f>
        <v>1Me9UTDrd2996RjhiWBMkCi9mXdb5L42QQfdj510IoVM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IFERROR(__xludf.DUMMYFUNCTION("""COMPUTED_VALUE"""),"1kSbyPWCAETWkagyJeACNwFnEDTZGBY7V9VzLov8MtUE")</f>
        <v>1kSbyPWCAETWkagyJeACNwFnEDTZGBY7V9VzLov8MtUE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IFERROR(__xludf.DUMMYFUNCTION("""COMPUTED_VALUE"""),"1HUC5rEPCZfFcwW21tVUh6_8T3y5OGGZm3qS66vN0_Bc")</f>
        <v>1HUC5rEPCZfFcwW21tVUh6_8T3y5OGGZm3qS66vN0_Bc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IFERROR(__xludf.DUMMYFUNCTION("""COMPUTED_VALUE"""),"1nqghloueAtXKgiCD7E97C4HJhoG52Mgd5lseF3sy40Y")</f>
        <v>1nqghloueAtXKgiCD7E97C4HJhoG52Mgd5lseF3sy40Y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IFERROR(__xludf.DUMMYFUNCTION("""COMPUTED_VALUE"""),"1U4lTeqJHZq-7DOC_oNjNvpvqxZzMTAVQzmbDBSE3iSw")</f>
        <v>1U4lTeqJHZq-7DOC_oNjNvpvqxZzMTAVQzmbDBSE3iSw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IFERROR(__xludf.DUMMYFUNCTION("""COMPUTED_VALUE"""),"1_7vsYYCvTxkAYqYXjLmISGV0viOCb9khDDddgaDCzbE")</f>
        <v>1_7vsYYCvTxkAYqYXjLmISGV0viOCb9khDDddgaDCzbE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IFERROR(__xludf.DUMMYFUNCTION("""COMPUTED_VALUE"""),"1O0bP5QXQjQiDANZIp9Obrifa55tdLvVLynbjdLFGE3g")</f>
        <v>1O0bP5QXQjQiDANZIp9Obrifa55tdLvVLynbjdLFGE3g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IFERROR(__xludf.DUMMYFUNCTION("""COMPUTED_VALUE"""),"1o4oo91ek1Mn_DDe4KMGTI4QP4Tr2a7dk4W6GhZrx8C0")</f>
        <v>1o4oo91ek1Mn_DDe4KMGTI4QP4Tr2a7dk4W6GhZrx8C0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IFERROR(__xludf.DUMMYFUNCTION("""COMPUTED_VALUE"""),"1rqUHYcdAPy30n3DVnBbBC1G7pAs0HVw8bk6U4wElamU")</f>
        <v>1rqUHYcdAPy30n3DVnBbBC1G7pAs0HVw8bk6U4wElamU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IFERROR(__xludf.DUMMYFUNCTION("""COMPUTED_VALUE"""),"1_xxunJZv--OoaMu--vIqANsrHbGnp7zgAejiREqgC9o")</f>
        <v>1_xxunJZv--OoaMu--vIqANsrHbGnp7zgAejiREqgC9o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IFERROR(__xludf.DUMMYFUNCTION("""COMPUTED_VALUE"""),"1szTOtKIGVoQMbhobEgnUxaIGXhP5R27tXCm0Kr5COss")</f>
        <v>1szTOtKIGVoQMbhobEgnUxaIGXhP5R27tXCm0Kr5COss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IFERROR(__xludf.DUMMYFUNCTION("""COMPUTED_VALUE"""),"19kT9xClnQROyvkZyFnUNnYg5PZsgZfC-L8n5MQshEKw")</f>
        <v>19kT9xClnQROyvkZyFnUNnYg5PZsgZfC-L8n5MQshEKw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IFERROR(__xludf.DUMMYFUNCTION("""COMPUTED_VALUE"""),"14i8_M9tTYQnmPA2vP4WK8Gc1mKSw08Q2z6JEQNMQ2jA")</f>
        <v>14i8_M9tTYQnmPA2vP4WK8Gc1mKSw08Q2z6JEQNMQ2jA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IFERROR(__xludf.DUMMYFUNCTION("""COMPUTED_VALUE"""),"1XudD6Nj0wqCZAKVseYGTPtKQwNCe9E1uqJVw4IlOpus")</f>
        <v>1XudD6Nj0wqCZAKVseYGTPtKQwNCe9E1uqJVw4IlOpus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IFERROR(__xludf.DUMMYFUNCTION("""COMPUTED_VALUE"""),"1Zsko4640_o83_hPa401AVs4ihF17JntIpyHAOhJZX6E")</f>
        <v>1Zsko4640_o83_hPa401AVs4ihF17JntIpyHAOhJZX6E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IFERROR(__xludf.DUMMYFUNCTION("""COMPUTED_VALUE"""),"13CpGgA7xAiUMopTzEjt2gG1RljXAXIuKfHjB9r5e5x4")</f>
        <v>13CpGgA7xAiUMopTzEjt2gG1RljXAXIuKfHjB9r5e5x4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IFERROR(__xludf.DUMMYFUNCTION("""COMPUTED_VALUE"""),"1UZ09M0xmOuNjWYpsoghYu3B-9Dp1XeyMl6CRaUgL7PU")</f>
        <v>1UZ09M0xmOuNjWYpsoghYu3B-9Dp1XeyMl6CRaUgL7PU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IFERROR(__xludf.DUMMYFUNCTION("""COMPUTED_VALUE"""),"1l11hWn_7rpljZexuNHkg5KleyKXo_4jx1d21BZRdJLg")</f>
        <v>1l11hWn_7rpljZexuNHkg5KleyKXo_4jx1d21BZRdJLg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IFERROR(__xludf.DUMMYFUNCTION("""COMPUTED_VALUE"""),"1R_5SIhO5vmNiNTSvxGDIsDQW7k4dpl_tTORq2eMqTMQ")</f>
        <v>1R_5SIhO5vmNiNTSvxGDIsDQW7k4dpl_tTORq2eMqTMQ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IFERROR(__xludf.DUMMYFUNCTION("""COMPUTED_VALUE"""),"1BNSpLr6-8xmfOdPhxn_mllvRzgMVOx2ZkRBPRI9o3dM")</f>
        <v>1BNSpLr6-8xmfOdPhxn_mllvRzgMVOx2ZkRBPRI9o3dM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IFERROR(__xludf.DUMMYFUNCTION("""COMPUTED_VALUE"""),"1YQ4eqVgAhL_mqQU2z2kvxzIhWYpzfuAfnqY561FQoSE")</f>
        <v>1YQ4eqVgAhL_mqQU2z2kvxzIhWYpzfuAfnqY561FQoSE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IFERROR(__xludf.DUMMYFUNCTION("""COMPUTED_VALUE"""),"1McqZVOvpDAyyblkMX74qXcQoiQxkSLybROu-ztjMQIc")</f>
        <v>1McqZVOvpDAyyblkMX74qXcQoiQxkSLybROu-ztjMQIc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IFERROR(__xludf.DUMMYFUNCTION("""COMPUTED_VALUE"""),"1P841AyLOX69wx-NB44lpyuRlaUGV1cMYqaugaIGxr5Q")</f>
        <v>1P841AyLOX69wx-NB44lpyuRlaUGV1cMYqaugaIGxr5Q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IFERROR(__xludf.DUMMYFUNCTION("""COMPUTED_VALUE"""),"1fEUUuW7bCEL3WiGDSZKRox2hDLlMEtVBUR46151jGvw")</f>
        <v>1fEUUuW7bCEL3WiGDSZKRox2hDLlMEtVBUR46151jGvw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IFERROR(__xludf.DUMMYFUNCTION("""COMPUTED_VALUE"""),"1fYqc0dGDB6VLPr77gmUss7eBXhlUYc0GLttj6ffr-Kg")</f>
        <v>1fYqc0dGDB6VLPr77gmUss7eBXhlUYc0GLttj6ffr-Kg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IFERROR(__xludf.DUMMYFUNCTION("""COMPUTED_VALUE"""),"1WebIwh6H8t2c0-92bwEKV5DshdjoRQmVPIJVFLHmnls")</f>
        <v>1WebIwh6H8t2c0-92bwEKV5DshdjoRQmVPIJVFLHmnls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IFERROR(__xludf.DUMMYFUNCTION("""COMPUTED_VALUE"""),"19L_mzuhDLQ5wPlLAxlOHp1eRSS4zc0D4J6BOKCagXpw")</f>
        <v>19L_mzuhDLQ5wPlLAxlOHp1eRSS4zc0D4J6BOKCagXpw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IFERROR(__xludf.DUMMYFUNCTION("""COMPUTED_VALUE"""),"1SYHCL9X3kLj_YpZgCZTrllmRvVgAsjam3MbM-5vKhuQ")</f>
        <v>1SYHCL9X3kLj_YpZgCZTrllmRvVgAsjam3MbM-5vKhuQ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IFERROR(__xludf.DUMMYFUNCTION("""COMPUTED_VALUE"""),"1O_QhVVvq9XcwVG6eOk1KDiQEBXDVkfHIoF5OQ05ChQM")</f>
        <v>1O_QhVVvq9XcwVG6eOk1KDiQEBXDVkfHIoF5OQ05ChQM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IFERROR(__xludf.DUMMYFUNCTION("""COMPUTED_VALUE"""),"1WZoxOuHE4Qt6q835PwLh8-0EnNhekv7piYE-Kd-vnjg")</f>
        <v>1WZoxOuHE4Qt6q835PwLh8-0EnNhekv7piYE-Kd-vnjg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IFERROR(__xludf.DUMMYFUNCTION("""COMPUTED_VALUE"""),"1V8BI4yfIyQECE1JcMRsApfmTPthAoYudd5HOhx1IeZ4")</f>
        <v>1V8BI4yfIyQECE1JcMRsApfmTPthAoYudd5HOhx1IeZ4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IFERROR(__xludf.DUMMYFUNCTION("""COMPUTED_VALUE"""),"1C9lg9oeUsmJEC3FDEmDYEDxYEZ48vhTvBpc_7jzrG-A")</f>
        <v>1C9lg9oeUsmJEC3FDEmDYEDxYEZ48vhTvBpc_7jzrG-A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IFERROR(__xludf.DUMMYFUNCTION("""COMPUTED_VALUE"""),"1pIqb45gaTMZAVl6ZTIr9XBk4KURb-nsLncnz6oXfhbs")</f>
        <v>1pIqb45gaTMZAVl6ZTIr9XBk4KURb-nsLncnz6oXfhbs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IFERROR(__xludf.DUMMYFUNCTION("""COMPUTED_VALUE"""),"1m-tuubYj3kpg3IX2REfAJAcN1l96k6ONTKyiKvxjX2Y")</f>
        <v>1m-tuubYj3kpg3IX2REfAJAcN1l96k6ONTKyiKvxjX2Y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IFERROR(__xludf.DUMMYFUNCTION("""COMPUTED_VALUE"""),"16c7e_rK3O0Zi9I0WlDJ908i_nRkDa4gzAI-9qAWkMGU")</f>
        <v>16c7e_rK3O0Zi9I0WlDJ908i_nRkDa4gzAI-9qAWkMGU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IFERROR(__xludf.DUMMYFUNCTION("""COMPUTED_VALUE"""),"1NsatpolfnrnOWuJS48_OImvxU5HT7tC5tpa6K_1j4nw")</f>
        <v>1NsatpolfnrnOWuJS48_OImvxU5HT7tC5tpa6K_1j4nw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IFERROR(__xludf.DUMMYFUNCTION("""COMPUTED_VALUE"""),"1wzlYzJ1XCTaoLeP4tjkY8-ZhqlYA9IRvRsKXraPyMT4")</f>
        <v>1wzlYzJ1XCTaoLeP4tjkY8-ZhqlYA9IRvRsKXraPyMT4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IFERROR(__xludf.DUMMYFUNCTION("""COMPUTED_VALUE"""),"1uzLHi4CNBx0MyhR8WKVB_6WHQpiBXI6BeN8IK55J1co")</f>
        <v>1uzLHi4CNBx0MyhR8WKVB_6WHQpiBXI6BeN8IK55J1co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IFERROR(__xludf.DUMMYFUNCTION("""COMPUTED_VALUE"""),"1Ch8ljdOLO5qpDv9DppYdH0GSLe_dObZX8Z4007tRKtk")</f>
        <v>1Ch8ljdOLO5qpDv9DppYdH0GSLe_dObZX8Z4007tRKtk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IFERROR(__xludf.DUMMYFUNCTION("""COMPUTED_VALUE"""),"1bWNa-3AC2rjiVCHfnFAnV1_niiebvWSmqy0pa2Y3A1U")</f>
        <v>1bWNa-3AC2rjiVCHfnFAnV1_niiebvWSmqy0pa2Y3A1U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IFERROR(__xludf.DUMMYFUNCTION("""COMPUTED_VALUE"""),"1P2MumATI6sYkJ-NV9pAkg1QlFtz454tMWNv0omhAY0U")</f>
        <v>1P2MumATI6sYkJ-NV9pAkg1QlFtz454tMWNv0omhAY0U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IFERROR(__xludf.DUMMYFUNCTION("""COMPUTED_VALUE"""),"18AeAxxP9aKc0LkOM-a21d3p-tmpinB6dTkwcwxQslJ4")</f>
        <v>18AeAxxP9aKc0LkOM-a21d3p-tmpinB6dTkwcwxQslJ4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IFERROR(__xludf.DUMMYFUNCTION("""COMPUTED_VALUE"""),"1Vd5K36QAgnLOt0ytUkYptPSTuOBM4MelFsNL6C-vyXQ")</f>
        <v>1Vd5K36QAgnLOt0ytUkYptPSTuOBM4MelFsNL6C-vyXQ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IFERROR(__xludf.DUMMYFUNCTION("""COMPUTED_VALUE"""),"1Kn7RmQ6euNcNOy6NDUbPzjJlZhiqP-WxVYqXlDo2C6U")</f>
        <v>1Kn7RmQ6euNcNOy6NDUbPzjJlZhiqP-WxVYqXlDo2C6U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IFERROR(__xludf.DUMMYFUNCTION("""COMPUTED_VALUE"""),"1p-jiDGPGYwCR90lkSnOJde0bJTbS9VRZ-owO733geR8")</f>
        <v>1p-jiDGPGYwCR90lkSnOJde0bJTbS9VRZ-owO733geR8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IFERROR(__xludf.DUMMYFUNCTION("""COMPUTED_VALUE"""),"1TafQ5l2I9Hkp5-ghxq8hrHGyq-Oxs6F71aj4qMJyg5c")</f>
        <v>1TafQ5l2I9Hkp5-ghxq8hrHGyq-Oxs6F71aj4qMJyg5c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IFERROR(__xludf.DUMMYFUNCTION("""COMPUTED_VALUE"""),"1J3iMkZUt2VcZ66ADaKSSINJ5EJabuIdY1zSwd6M45wM")</f>
        <v>1J3iMkZUt2VcZ66ADaKSSINJ5EJabuIdY1zSwd6M45wM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IFERROR(__xludf.DUMMYFUNCTION("""COMPUTED_VALUE"""),"179OBcD6MtBcn4KEI2yimM-WbOG9HdQPq_M4QYKWxCWE")</f>
        <v>179OBcD6MtBcn4KEI2yimM-WbOG9HdQPq_M4QYKWxCWE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IFERROR(__xludf.DUMMYFUNCTION("""COMPUTED_VALUE"""),"13Mz382SvngJftLB83NIojgoFXnAjqYRnP5Vbj9lh-rA")</f>
        <v>13Mz382SvngJftLB83NIojgoFXnAjqYRnP5Vbj9lh-rA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IFERROR(__xludf.DUMMYFUNCTION("""COMPUTED_VALUE"""),"1IuRqDm9SdGbwaATc_E-eFeQdhAmE2zhtBB3igLL_Md4")</f>
        <v>1IuRqDm9SdGbwaATc_E-eFeQdhAmE2zhtBB3igLL_Md4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IFERROR(__xludf.DUMMYFUNCTION("""COMPUTED_VALUE"""),"1UHeoJyRun4tW18yAwGHn5G5F3bVCz5YfTdVoKPsPhio")</f>
        <v>1UHeoJyRun4tW18yAwGHn5G5F3bVCz5YfTdVoKPsPhio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IFERROR(__xludf.DUMMYFUNCTION("""COMPUTED_VALUE"""),"19q7R-0jpTlv8r84XWOTVvpxM4KAqBUjmWW6bBepm980")</f>
        <v>19q7R-0jpTlv8r84XWOTVvpxM4KAqBUjmWW6bBepm980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IFERROR(__xludf.DUMMYFUNCTION("""COMPUTED_VALUE"""),"1_gksmHNJnLr9h_WVPZU3z30gw7YXBg5xb6ekKca50wE")</f>
        <v>1_gksmHNJnLr9h_WVPZU3z30gw7YXBg5xb6ekKca50wE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IFERROR(__xludf.DUMMYFUNCTION("""COMPUTED_VALUE"""),"12SdpCUJEukku3_4FXm4sTQG2YnlN1FabyPasyveh6Dw")</f>
        <v>12SdpCUJEukku3_4FXm4sTQG2YnlN1FabyPasyveh6Dw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IFERROR(__xludf.DUMMYFUNCTION("""COMPUTED_VALUE"""),"1V0qkYxwmCcH2Rlv3ntrESGxjt8CqDUtCWLpF5NLEkms")</f>
        <v>1V0qkYxwmCcH2Rlv3ntrESGxjt8CqDUtCWLpF5NLEkms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IFERROR(__xludf.DUMMYFUNCTION("""COMPUTED_VALUE"""),"1C2CqSypfxVefrec-UaZokCKMFMAIxUNiNEksS0cQC9U")</f>
        <v>1C2CqSypfxVefrec-UaZokCKMFMAIxUNiNEksS0cQC9U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IFERROR(__xludf.DUMMYFUNCTION("""COMPUTED_VALUE"""),"1qTWgd0vjJZEbzPL7hyO9Ya7BIHhBEh6QZh1zrIXWpQU")</f>
        <v>1qTWgd0vjJZEbzPL7hyO9Ya7BIHhBEh6QZh1zrIXWpQU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IFERROR(__xludf.DUMMYFUNCTION("""COMPUTED_VALUE"""),"1WmisSfIxG2dETBBICN9Eopb2Zv5RAlXVeuJrc4fJW4g")</f>
        <v>1WmisSfIxG2dETBBICN9Eopb2Zv5RAlXVeuJrc4fJW4g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IFERROR(__xludf.DUMMYFUNCTION("""COMPUTED_VALUE"""),"1e5H-E0bLrEbyATTG2-Q8bJEJjiq7I3m-fVl6pCGecHY")</f>
        <v>1e5H-E0bLrEbyATTG2-Q8bJEJjiq7I3m-fVl6pCGecHY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IFERROR(__xludf.DUMMYFUNCTION("""COMPUTED_VALUE"""),"1MvfhsW88dxVl3ZUBRUYKI_kaV1VM3uvoAiEBGKh80jc")</f>
        <v>1MvfhsW88dxVl3ZUBRUYKI_kaV1VM3uvoAiEBGKh80jc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IFERROR(__xludf.DUMMYFUNCTION("""COMPUTED_VALUE"""),"11WwR-OgN8B5mzAatud8VLIETSaP2cgH0N18z_22aKgM")</f>
        <v>11WwR-OgN8B5mzAatud8VLIETSaP2cgH0N18z_22aKgM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IFERROR(__xludf.DUMMYFUNCTION("""COMPUTED_VALUE"""),"12i9wrB43t1Z92_jmrsnfeEq7d6hFZLuijrf1vuyfCko")</f>
        <v>12i9wrB43t1Z92_jmrsnfeEq7d6hFZLuijrf1vuyfCko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IFERROR(__xludf.DUMMYFUNCTION("""COMPUTED_VALUE"""),"1s50OqXSYiKWrnT8nYaGDzYThTJTAHIyFoV9ohpgHPgY")</f>
        <v>1s50OqXSYiKWrnT8nYaGDzYThTJTAHIyFoV9ohpgHPgY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IFERROR(__xludf.DUMMYFUNCTION("""COMPUTED_VALUE"""),"1s_0rGgUmKN57rRoq55juTGojQ5Fitk0m-U_OTDoirHA")</f>
        <v>1s_0rGgUmKN57rRoq55juTGojQ5Fitk0m-U_OTDoirHA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IFERROR(__xludf.DUMMYFUNCTION("""COMPUTED_VALUE"""),"1ZIhvRGHTU76uT9xqOXXJRFi1H1sbFljHmLeOicgscVU")</f>
        <v>1ZIhvRGHTU76uT9xqOXXJRFi1H1sbFljHmLeOicgscVU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IFERROR(__xludf.DUMMYFUNCTION("""COMPUTED_VALUE"""),"1dFC-TZzOuqwhb_lRy1ppdZVR5YELDGJURNyboYEsnco")</f>
        <v>1dFC-TZzOuqwhb_lRy1ppdZVR5YELDGJURNyboYEsnco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IFERROR(__xludf.DUMMYFUNCTION("""COMPUTED_VALUE"""),"1rWzqQSM4eQ-4N76g_1QP-9cfgPs0Z0ZIXVExsfMleuM")</f>
        <v>1rWzqQSM4eQ-4N76g_1QP-9cfgPs0Z0ZIXVExsfMleuM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IFERROR(__xludf.DUMMYFUNCTION("""COMPUTED_VALUE"""),"1TDDqb6Jok6OvWUFmx4I0wMt8-yhtBiM7TnVQKCoYxTA")</f>
        <v>1TDDqb6Jok6OvWUFmx4I0wMt8-yhtBiM7TnVQKCoYxTA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IFERROR(__xludf.DUMMYFUNCTION("""COMPUTED_VALUE"""),"1T2Ras3k5fDjACI972XeavE_8pgs6THSrI1HhB1ye48s")</f>
        <v>1T2Ras3k5fDjACI972XeavE_8pgs6THSrI1HhB1ye48s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IFERROR(__xludf.DUMMYFUNCTION("""COMPUTED_VALUE"""),"1YcVp-kfCDUoegdhsKsCe_PMzE3_cIy1wejc4JCzTgEw")</f>
        <v>1YcVp-kfCDUoegdhsKsCe_PMzE3_cIy1wejc4JCzTgEw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IFERROR(__xludf.DUMMYFUNCTION("""COMPUTED_VALUE"""),"1PzyY_nfLYU66GT9Elm7rbepVT4M0Aao_ExWURbHlXso")</f>
        <v>1PzyY_nfLYU66GT9Elm7rbepVT4M0Aao_ExWURbHlXso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IFERROR(__xludf.DUMMYFUNCTION("""COMPUTED_VALUE"""),"1Z_dQvfdgkluFyhKo149XBcbe0Kth-fg0fOFf4_u2E-4")</f>
        <v>1Z_dQvfdgkluFyhKo149XBcbe0Kth-fg0fOFf4_u2E-4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IFERROR(__xludf.DUMMYFUNCTION("""COMPUTED_VALUE"""),"1RZplEfcQQUVd1Ggv65V_0dKqsLpnMuOaVEaLnQ7ckpE")</f>
        <v>1RZplEfcQQUVd1Ggv65V_0dKqsLpnMuOaVEaLnQ7ckpE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IFERROR(__xludf.DUMMYFUNCTION("""COMPUTED_VALUE"""),"1_ZLPKYyCpcCv90izwkS7MZMbhNEXzuAQiOx8npro20g")</f>
        <v>1_ZLPKYyCpcCv90izwkS7MZMbhNEXzuAQiOx8npro20g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IFERROR(__xludf.DUMMYFUNCTION("""COMPUTED_VALUE"""),"1AS722xjcIKYd_PpocpO2JLwR2JMqFfBPkVK39Q2XMxE")</f>
        <v>1AS722xjcIKYd_PpocpO2JLwR2JMqFfBPkVK39Q2XMxE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IFERROR(__xludf.DUMMYFUNCTION("""COMPUTED_VALUE"""),"1r-tyec_fx-pIqzGddgSbcLuJdAU-B20ZTaGzahpBV2w")</f>
        <v>1r-tyec_fx-pIqzGddgSbcLuJdAU-B20ZTaGzahpBV2w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IFERROR(__xludf.DUMMYFUNCTION("""COMPUTED_VALUE"""),"1PRG5_5qrohtjUlpAk-DjC1B6M75OdF99hA2vEgdD_Uw")</f>
        <v>1PRG5_5qrohtjUlpAk-DjC1B6M75OdF99hA2vEgdD_Uw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IFERROR(__xludf.DUMMYFUNCTION("""COMPUTED_VALUE"""),"1U9O1ZNQe03mFGPQ67ySm3ZLNJbWXRqnbI-8ZV30Jyz4")</f>
        <v>1U9O1ZNQe03mFGPQ67ySm3ZLNJbWXRqnbI-8ZV30Jyz4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IFERROR(__xludf.DUMMYFUNCTION("""COMPUTED_VALUE"""),"157yMc4dFxYWky5rc3_ip4Q-PBeeptVpZvBUznJzbfjE")</f>
        <v>157yMc4dFxYWky5rc3_ip4Q-PBeeptVpZvBUznJzbfjE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IFERROR(__xludf.DUMMYFUNCTION("""COMPUTED_VALUE"""),"1qeXbjcZPeClkYAwZmHJs2rG7V0JsRRg6mw5SmjAQHTE")</f>
        <v>1qeXbjcZPeClkYAwZmHJs2rG7V0JsRRg6mw5SmjAQHTE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IFERROR(__xludf.DUMMYFUNCTION("""COMPUTED_VALUE"""),"1lMHtKGRo9R39-rGVJg8v2Vp15-3oz56OtDPZn55yAvA")</f>
        <v>1lMHtKGRo9R39-rGVJg8v2Vp15-3oz56OtDPZn55yAvA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IFERROR(__xludf.DUMMYFUNCTION("""COMPUTED_VALUE"""),"1_UOfRF0S9c4jZDCW6MVXmTaalhrK1N7Qp-p7qITvrb4")</f>
        <v>1_UOfRF0S9c4jZDCW6MVXmTaalhrK1N7Qp-p7qITvrb4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IFERROR(__xludf.DUMMYFUNCTION("""COMPUTED_VALUE"""),"1hHq4PASBEElrCZSeU0tjApkvEqoqk_kzbqRw1XNza9I")</f>
        <v>1hHq4PASBEElrCZSeU0tjApkvEqoqk_kzbqRw1XNza9I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IFERROR(__xludf.DUMMYFUNCTION("""COMPUTED_VALUE"""),"1pHb0k1fYZKumDsM-GMxxgG_-LpX7T8zxKSXMXqWTh3o")</f>
        <v>1pHb0k1fYZKumDsM-GMxxgG_-LpX7T8zxKSXMXqWTh3o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IFERROR(__xludf.DUMMYFUNCTION("""COMPUTED_VALUE"""),"12tr3nHtXwkFq8bzK-zX9KhfXrHqVcRxmWSgThepFUAU")</f>
        <v>12tr3nHtXwkFq8bzK-zX9KhfXrHqVcRxmWSgThepFUAU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IFERROR(__xludf.DUMMYFUNCTION("""COMPUTED_VALUE"""),"1cbxy6VdPjCKlq1CYH-5uKvOCKpxB1FDLj3t8SOJ-Lic")</f>
        <v>1cbxy6VdPjCKlq1CYH-5uKvOCKpxB1FDLj3t8SOJ-Lic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IFERROR(__xludf.DUMMYFUNCTION("""COMPUTED_VALUE"""),"1VwGGAbs40-P3TWEPuxpd84Kd482ffeBen_bvUeH5XLs")</f>
        <v>1VwGGAbs40-P3TWEPuxpd84Kd482ffeBen_bvUeH5XLs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IFERROR(__xludf.DUMMYFUNCTION("""COMPUTED_VALUE"""),"1ZXcPQzGoPQ5lCt0SIdxE4Wn22XxZZBrghVN8TQa_PA8")</f>
        <v>1ZXcPQzGoPQ5lCt0SIdxE4Wn22XxZZBrghVN8TQa_PA8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IFERROR(__xludf.DUMMYFUNCTION("""COMPUTED_VALUE"""),"1pfMfohF1Z5TFRSXZGi_8kDUwu6rKdB84lDXAsFAROuo")</f>
        <v>1pfMfohF1Z5TFRSXZGi_8kDUwu6rKdB84lDXAsFAROuo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IFERROR(__xludf.DUMMYFUNCTION("""COMPUTED_VALUE"""),"1U-4IfRlC3qUMRnRVCAR_hKALXnY1sI4xOCfuq1PlavE")</f>
        <v>1U-4IfRlC3qUMRnRVCAR_hKALXnY1sI4xOCfuq1PlavE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IFERROR(__xludf.DUMMYFUNCTION("""COMPUTED_VALUE"""),"1ch-af2kKdJm7_QNV7VeJuxk-LrNEXnkjKpb6t0Dug3c")</f>
        <v>1ch-af2kKdJm7_QNV7VeJuxk-LrNEXnkjKpb6t0Dug3c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IFERROR(__xludf.DUMMYFUNCTION("""COMPUTED_VALUE"""),"1wWqxRP1qZT537GjecxDT1YzzgNpudY5jHpZOp2gu3Ys")</f>
        <v>1wWqxRP1qZT537GjecxDT1YzzgNpudY5jHpZOp2gu3Ys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IFERROR(__xludf.DUMMYFUNCTION("""COMPUTED_VALUE"""),"1VkaV63Kp_-m9xakgvN4nwjFQliVbH-uDTupRnx4k5U0")</f>
        <v>1VkaV63Kp_-m9xakgvN4nwjFQliVbH-uDTupRnx4k5U0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IFERROR(__xludf.DUMMYFUNCTION("""COMPUTED_VALUE"""),"1yDZte754Sm0fLUnothHlWsZVXFoWOOh4q4YiAbmaN6A")</f>
        <v>1yDZte754Sm0fLUnothHlWsZVXFoWOOh4q4YiAbmaN6A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IFERROR(__xludf.DUMMYFUNCTION("""COMPUTED_VALUE"""),"1CcDYZea7aWB5x3R1FD5XPCk14XdXJmtBfwMqrKIo5P8")</f>
        <v>1CcDYZea7aWB5x3R1FD5XPCk14XdXJmtBfwMqrKIo5P8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IFERROR(__xludf.DUMMYFUNCTION("""COMPUTED_VALUE"""),"1IiJr_OFZwBuXGoSVJLT-iESeCoaaWmoNTh6qdlxCYp8")</f>
        <v>1IiJr_OFZwBuXGoSVJLT-iESeCoaaWmoNTh6qdlxCYp8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IFERROR(__xludf.DUMMYFUNCTION("""COMPUTED_VALUE"""),"1U2asF2q2-aZLq6UJkzTZA2eUVbNqPzpMApCuwatTcT8")</f>
        <v>1U2asF2q2-aZLq6UJkzTZA2eUVbNqPzpMApCuwatTcT8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IFERROR(__xludf.DUMMYFUNCTION("""COMPUTED_VALUE"""),"1azHuhW2QGS0U6YxkL00Txr4JY62dACA7LLHadkRZziQ")</f>
        <v>1azHuhW2QGS0U6YxkL00Txr4JY62dACA7LLHadkRZziQ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IFERROR(__xludf.DUMMYFUNCTION("""COMPUTED_VALUE"""),"1V8imeRfJQChz23ycPrmDDSrmAMiwTobLSV9OD1bH-ME")</f>
        <v>1V8imeRfJQChz23ycPrmDDSrmAMiwTobLSV9OD1bH-ME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IFERROR(__xludf.DUMMYFUNCTION("""COMPUTED_VALUE"""),"18PQbi1ps1nA6V6t9zvfGRiJCtqCe0Uh1GTuATjDjRFU")</f>
        <v>18PQbi1ps1nA6V6t9zvfGRiJCtqCe0Uh1GTuATjDjRFU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IFERROR(__xludf.DUMMYFUNCTION("""COMPUTED_VALUE"""),"1ygZhQ5BPNveZ0IXpSzWUoJb1-CWbPI5yquJ9p2XgS_A")</f>
        <v>1ygZhQ5BPNveZ0IXpSzWUoJb1-CWbPI5yquJ9p2XgS_A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IFERROR(__xludf.DUMMYFUNCTION("""COMPUTED_VALUE"""),"1t6rdR9qbfOeXuejoH6-sBwI1bEWh_0AoKUHuMjTKafo")</f>
        <v>1t6rdR9qbfOeXuejoH6-sBwI1bEWh_0AoKUHuMjTKafo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IFERROR(__xludf.DUMMYFUNCTION("""COMPUTED_VALUE"""),"1xOQEqNJ31jaKfw8cBs7M5YCMT7FCefB_iA4lkNg82js")</f>
        <v>1xOQEqNJ31jaKfw8cBs7M5YCMT7FCefB_iA4lkNg82js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IFERROR(__xludf.DUMMYFUNCTION("""COMPUTED_VALUE"""),"1JROeUyPo81jRm3vqYwqsMl1H0kBJhkmxJV8gZyip19Q")</f>
        <v>1JROeUyPo81jRm3vqYwqsMl1H0kBJhkmxJV8gZyip19Q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IFERROR(__xludf.DUMMYFUNCTION("""COMPUTED_VALUE"""),"12owFpcC343n8bWFq_cmWVlxZQTmpEiqxbdSc8TdfgEw")</f>
        <v>12owFpcC343n8bWFq_cmWVlxZQTmpEiqxbdSc8TdfgEw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IFERROR(__xludf.DUMMYFUNCTION("""COMPUTED_VALUE"""),"1sDEuT-X92-7VkSoQJG80zx85OLZfb4OJklyeYXjn00w")</f>
        <v>1sDEuT-X92-7VkSoQJG80zx85OLZfb4OJklyeYXjn00w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IFERROR(__xludf.DUMMYFUNCTION("""COMPUTED_VALUE"""),"1g_US2vYcZyFbH88JB_z0oKsrXpyeYv1qZRWzpU4UgoM")</f>
        <v>1g_US2vYcZyFbH88JB_z0oKsrXpyeYv1qZRWzpU4UgoM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IFERROR(__xludf.DUMMYFUNCTION("""COMPUTED_VALUE"""),"11epgwU0jWDfsHzxAEUws_p-DkKq5wLTVrJRQztotJjU")</f>
        <v>11epgwU0jWDfsHzxAEUws_p-DkKq5wLTVrJRQztotJjU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IFERROR(__xludf.DUMMYFUNCTION("""COMPUTED_VALUE"""),"19tR0THpqi92bFoT67A4MgCZbfdZtGuYVK1wFx1a6hwo")</f>
        <v>19tR0THpqi92bFoT67A4MgCZbfdZtGuYVK1wFx1a6hwo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IFERROR(__xludf.DUMMYFUNCTION("""COMPUTED_VALUE"""),"1u7slY1ab8D2XeXM53lB7bN6QKwuw3IYd0Uezr9zLB70")</f>
        <v>1u7slY1ab8D2XeXM53lB7bN6QKwuw3IYd0Uezr9zLB70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IFERROR(__xludf.DUMMYFUNCTION("""COMPUTED_VALUE"""),"1l5zTPCkdGLabcDuCPPiDIGH_EGN_2xuth7vkyyaCe9E")</f>
        <v>1l5zTPCkdGLabcDuCPPiDIGH_EGN_2xuth7vkyyaCe9E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IFERROR(__xludf.DUMMYFUNCTION("""COMPUTED_VALUE"""),"1NMIbm0wDsBqrDHS0Aoctj5TYT8IIncVXBEr7jRlTKX8")</f>
        <v>1NMIbm0wDsBqrDHS0Aoctj5TYT8IIncVXBEr7jRlTKX8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IFERROR(__xludf.DUMMYFUNCTION("""COMPUTED_VALUE"""),"1x3CBu_5bjY_MnaanR3C8FZLu7-9IkDv52367LRcP7lY")</f>
        <v>1x3CBu_5bjY_MnaanR3C8FZLu7-9IkDv52367LRcP7lY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IFERROR(__xludf.DUMMYFUNCTION("""COMPUTED_VALUE"""),"1moqW_Avii95AiWD080nTWw5DOlaf1npl8FoxJYdN1CQ")</f>
        <v>1moqW_Avii95AiWD080nTWw5DOlaf1npl8FoxJYdN1CQ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IFERROR(__xludf.DUMMYFUNCTION("""COMPUTED_VALUE"""),"1f-tHMdwxYv41Vtbgl8usVHR6_T_uXK9iU0Jvj6byf54")</f>
        <v>1f-tHMdwxYv41Vtbgl8usVHR6_T_uXK9iU0Jvj6byf54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IFERROR(__xludf.DUMMYFUNCTION("""COMPUTED_VALUE"""),"1v7x__YSHVrzfUigPB6cJL0n6H5tfL-dG0jQDSNwK77w")</f>
        <v>1v7x__YSHVrzfUigPB6cJL0n6H5tfL-dG0jQDSNwK77w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IFERROR(__xludf.DUMMYFUNCTION("""COMPUTED_VALUE"""),"1C_WPdfJ5Y6XiI6PQIaQC_kYRA1cyB4pILSmTaQXBjt4")</f>
        <v>1C_WPdfJ5Y6XiI6PQIaQC_kYRA1cyB4pILSmTaQXBjt4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IFERROR(__xludf.DUMMYFUNCTION("""COMPUTED_VALUE"""),"1W8cpbOsbEL0O66_8nq5ID6snA8EoJQojgueScqnJeds")</f>
        <v>1W8cpbOsbEL0O66_8nq5ID6snA8EoJQojgueScqnJeds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IFERROR(__xludf.DUMMYFUNCTION("""COMPUTED_VALUE"""),"1S-1Yd6wHzPfXlddWYHNVJ59ndiC9mBcoDpJ24XG_wEs")</f>
        <v>1S-1Yd6wHzPfXlddWYHNVJ59ndiC9mBcoDpJ24XG_wEs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IFERROR(__xludf.DUMMYFUNCTION("""COMPUTED_VALUE"""),"1_NT03sUSvuLe4_tGLyzUnjVgc0h0wP1QyFRqz5J0AQs")</f>
        <v>1_NT03sUSvuLe4_tGLyzUnjVgc0h0wP1QyFRqz5J0AQs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IFERROR(__xludf.DUMMYFUNCTION("""COMPUTED_VALUE"""),"1NsF8mN2Zlx2L1ZUQo3cwyNVoYdFbhQ1U5KK4lQjqyj8")</f>
        <v>1NsF8mN2Zlx2L1ZUQo3cwyNVoYdFbhQ1U5KK4lQjqyj8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IFERROR(__xludf.DUMMYFUNCTION("""COMPUTED_VALUE"""),"1TAvTYpcE3pQc_4LWO3rdsALNXiihqGoq5C7VuUqnyGI")</f>
        <v>1TAvTYpcE3pQc_4LWO3rdsALNXiihqGoq5C7VuUqnyGI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IFERROR(__xludf.DUMMYFUNCTION("""COMPUTED_VALUE"""),"1n5b-erBJJNMUcxydpftL5PGG7ARm-uGjDncl8Qx2sLo")</f>
        <v>1n5b-erBJJNMUcxydpftL5PGG7ARm-uGjDncl8Qx2sLo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IFERROR(__xludf.DUMMYFUNCTION("""COMPUTED_VALUE"""),"1oZ2JeM-TEXzpPQK7aQoL3fUJwhe037lPXwowIAhJJXM")</f>
        <v>1oZ2JeM-TEXzpPQK7aQoL3fUJwhe037lPXwowIAhJJXM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IFERROR(__xludf.DUMMYFUNCTION("""COMPUTED_VALUE"""),"1n66-ge1M-RYaB4fzMAeKVE4b9J93Ec6FE8prEnrbrUY")</f>
        <v>1n66-ge1M-RYaB4fzMAeKVE4b9J93Ec6FE8prEnrbrUY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IFERROR(__xludf.DUMMYFUNCTION("""COMPUTED_VALUE"""),"147WeBw6VRRHCzDjjEVkUG93H71mx9_6u7JDqSzExZfQ")</f>
        <v>147WeBw6VRRHCzDjjEVkUG93H71mx9_6u7JDqSzExZfQ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IFERROR(__xludf.DUMMYFUNCTION("""COMPUTED_VALUE"""),"1FObt5ouO_Fd-1C35ZJOB1hwrDeISMD1uqyNw6Muc52E")</f>
        <v>1FObt5ouO_Fd-1C35ZJOB1hwrDeISMD1uqyNw6Muc52E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IFERROR(__xludf.DUMMYFUNCTION("""COMPUTED_VALUE"""),"1awz_EN5JaDo7-X8Cf7oYlxG4f8ZrsYEG1oL1QBkQb8o")</f>
        <v>1awz_EN5JaDo7-X8Cf7oYlxG4f8ZrsYEG1oL1QBkQb8o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IFERROR(__xludf.DUMMYFUNCTION("""COMPUTED_VALUE"""),"1txP1PJigV4vdVbKFMO3GMi5BhiLWeUOneGt9yA7DphY")</f>
        <v>1txP1PJigV4vdVbKFMO3GMi5BhiLWeUOneGt9yA7DphY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IFERROR(__xludf.DUMMYFUNCTION("""COMPUTED_VALUE"""),"1if6Ixw7Wo72s71jewq4kGd3bUrRBHD3uxb6oVEU8m4M")</f>
        <v>1if6Ixw7Wo72s71jewq4kGd3bUrRBHD3uxb6oVEU8m4M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IFERROR(__xludf.DUMMYFUNCTION("""COMPUTED_VALUE"""),"1j0_OFQL6cAngAn_f8e2c9s48kIx6T1DMB1HtKzhVgxM")</f>
        <v>1j0_OFQL6cAngAn_f8e2c9s48kIx6T1DMB1HtKzhVgxM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IFERROR(__xludf.DUMMYFUNCTION("""COMPUTED_VALUE"""),"1uTXnR3b0dBBJ12poieg819Sw5X7A31DAefoPTF8HvS8")</f>
        <v>1uTXnR3b0dBBJ12poieg819Sw5X7A31DAefoPTF8HvS8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IFERROR(__xludf.DUMMYFUNCTION("""COMPUTED_VALUE"""),"1bA6aaAVKiSAEQCN3NhxCUAsXZXF9JFxOfu0VhfUugtE")</f>
        <v>1bA6aaAVKiSAEQCN3NhxCUAsXZXF9JFxOfu0VhfUugtE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IFERROR(__xludf.DUMMYFUNCTION("""COMPUTED_VALUE"""),"1kqk3qr2A_0HgAfwasm4ONZYUjKRgUd9wRoNg3NH_CQs")</f>
        <v>1kqk3qr2A_0HgAfwasm4ONZYUjKRgUd9wRoNg3NH_CQs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IFERROR(__xludf.DUMMYFUNCTION("""COMPUTED_VALUE"""),"1ZgJYe9feHH1JnnrqSkw7W1JoIKEcT_NnlnQtzP0MXSc")</f>
        <v>1ZgJYe9feHH1JnnrqSkw7W1JoIKEcT_NnlnQtzP0MXSc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IFERROR(__xludf.DUMMYFUNCTION("""COMPUTED_VALUE"""),"1Ch8ljdOLO5qpDv9DppYdH0GSLe_dObZX8Z4007tRKtk")</f>
        <v>1Ch8ljdOLO5qpDv9DppYdH0GSLe_dObZX8Z4007tRKtk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IFERROR(__xludf.DUMMYFUNCTION("""COMPUTED_VALUE"""),"1Y7iTcrm1lcqAexGSYgLsLlCOYw223ra4LBG0yn-I2bY")</f>
        <v>1Y7iTcrm1lcqAexGSYgLsLlCOYw223ra4LBG0yn-I2bY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IFERROR(__xludf.DUMMYFUNCTION("""COMPUTED_VALUE"""),"1L2S89q_MaWf4uZDOO7k9zl1iHulikAZk9KJ78CUobIc")</f>
        <v>1L2S89q_MaWf4uZDOO7k9zl1iHulikAZk9KJ78CUobIc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IFERROR(__xludf.DUMMYFUNCTION("""COMPUTED_VALUE"""),"1r8av4OWUDi-9UDzyWe0DRs-rlCS90W4iepyl32hgsu0")</f>
        <v>1r8av4OWUDi-9UDzyWe0DRs-rlCS90W4iepyl32hgsu0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IFERROR(__xludf.DUMMYFUNCTION("""COMPUTED_VALUE"""),"1L4oOTgickdBKDs0CYP74xqSVxT5XAemsQon_0M_wIY4")</f>
        <v>1L4oOTgickdBKDs0CYP74xqSVxT5XAemsQon_0M_wIY4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IFERROR(__xludf.DUMMYFUNCTION("""COMPUTED_VALUE"""),"1wVhrU78CBgt-9aXoQMxmex2szYfOWevs1reuZQwcSlU")</f>
        <v>1wVhrU78CBgt-9aXoQMxmex2szYfOWevs1reuZQwcSlU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IFERROR(__xludf.DUMMYFUNCTION("""COMPUTED_VALUE"""),"1h8Riwp0PTUKBHWNb4d5NQ9Foe2ig0mS3tu7vxq74C6A")</f>
        <v>1h8Riwp0PTUKBHWNb4d5NQ9Foe2ig0mS3tu7vxq74C6A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IFERROR(__xludf.DUMMYFUNCTION("""COMPUTED_VALUE"""),"1_1ie9PGDigjyhcBrTgIzPawnFkZMYxHtKWtsPu9B_3c")</f>
        <v>1_1ie9PGDigjyhcBrTgIzPawnFkZMYxHtKWtsPu9B_3c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IFERROR(__xludf.DUMMYFUNCTION("""COMPUTED_VALUE"""),"1KiRs-Mdk_DhlHcSNlHArhVLFJzMKzKu1kat_TZ71jkQ")</f>
        <v>1KiRs-Mdk_DhlHcSNlHArhVLFJzMKzKu1kat_TZ71jkQ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IFERROR(__xludf.DUMMYFUNCTION("""COMPUTED_VALUE"""),"1pIJnQCXHxy82ZF8KgUVRHcagp8aZHkkagJfnU-cLYRo")</f>
        <v>1pIJnQCXHxy82ZF8KgUVRHcagp8aZHkkagJfnU-cLYRo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IFERROR(__xludf.DUMMYFUNCTION("""COMPUTED_VALUE"""),"1wqhiyeuGFjr-d-douLAdeAoIl9zOMj0hG7J2an8e7EA")</f>
        <v>1wqhiyeuGFjr-d-douLAdeAoIl9zOMj0hG7J2an8e7EA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IFERROR(__xludf.DUMMYFUNCTION("""COMPUTED_VALUE"""),"1yTjsXnh8twOBshtRTYPboRkkXpXN8T2vC7KUsimL2Ec")</f>
        <v>1yTjsXnh8twOBshtRTYPboRkkXpXN8T2vC7KUsimL2Ec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IFERROR(__xludf.DUMMYFUNCTION("""COMPUTED_VALUE"""),"14bzYQBiZIs2a3lfzwT4TROCDnXpt72UALcJjBTZdEAk")</f>
        <v>14bzYQBiZIs2a3lfzwT4TROCDnXpt72UALcJjBTZdEAk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IFERROR(__xludf.DUMMYFUNCTION("""COMPUTED_VALUE"""),"13mmaXGk97gVSQ6zDXJnzFolB9Xj-Wrq5OulWkf9iQjA")</f>
        <v>13mmaXGk97gVSQ6zDXJnzFolB9Xj-Wrq5OulWkf9iQjA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IFERROR(__xludf.DUMMYFUNCTION("""COMPUTED_VALUE"""),"1qlSfNvUHenegqRyv9ZFeKA5gN-iwbykaaRHcYfx0vR8")</f>
        <v>1qlSfNvUHenegqRyv9ZFeKA5gN-iwbykaaRHcYfx0vR8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IFERROR(__xludf.DUMMYFUNCTION("""COMPUTED_VALUE"""),"10wpUsik3kWUK9FdBcY3wa_rIK92CGwBAPxPW94n8RI0")</f>
        <v>10wpUsik3kWUK9FdBcY3wa_rIK92CGwBAPxPW94n8RI0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IFERROR(__xludf.DUMMYFUNCTION("""COMPUTED_VALUE"""),"1WMfqGkZABhjGZzyIgr3hBp-ZTraQiBbIVqdAP3KAOGo")</f>
        <v>1WMfqGkZABhjGZzyIgr3hBp-ZTraQiBbIVqdAP3KAOGo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IFERROR(__xludf.DUMMYFUNCTION("""COMPUTED_VALUE"""),"1PWZIcowZzyQZ43yBopMfNLylAaq2RlmTxS0-Y7SK0KI")</f>
        <v>1PWZIcowZzyQZ43yBopMfNLylAaq2RlmTxS0-Y7SK0KI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IFERROR(__xludf.DUMMYFUNCTION("""COMPUTED_VALUE"""),"1K-Bl5yG-Q_sgro0guK9BOk2wSxZk_7rHH7Lj7Qp_H2U")</f>
        <v>1K-Bl5yG-Q_sgro0guK9BOk2wSxZk_7rHH7Lj7Qp_H2U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IFERROR(__xludf.DUMMYFUNCTION("""COMPUTED_VALUE"""),"1iKNzN1CKH1HHjrGq7o2kZo9f76Pk7b7qYuTxqOHQZzE")</f>
        <v>1iKNzN1CKH1HHjrGq7o2kZo9f76Pk7b7qYuTxqOHQZzE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IFERROR(__xludf.DUMMYFUNCTION("""COMPUTED_VALUE"""),"1lo4DMzd6cjmA4-4d7dLNuKsGBW61BpeW2eCf7oK-9og")</f>
        <v>1lo4DMzd6cjmA4-4d7dLNuKsGBW61BpeW2eCf7oK-9og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IFERROR(__xludf.DUMMYFUNCTION("""COMPUTED_VALUE"""),"1pgA3lsv5kfGNh9RHELfgbcW6XvdfbOLjdTg2dR5EYAU")</f>
        <v>1pgA3lsv5kfGNh9RHELfgbcW6XvdfbOLjdTg2dR5EYAU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IFERROR(__xludf.DUMMYFUNCTION("""COMPUTED_VALUE"""),"18xKZpSz1Db7JKLK-skQuvwxZf_NdSC71Y9j-EFPSnbQ")</f>
        <v>18xKZpSz1Db7JKLK-skQuvwxZf_NdSC71Y9j-EFPSnbQ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IFERROR(__xludf.DUMMYFUNCTION("""COMPUTED_VALUE"""),"1-oDkMaOdHN8EaXZIPTt5fr6PNuottX0kRXE8vmlhi0M")</f>
        <v>1-oDkMaOdHN8EaXZIPTt5fr6PNuottX0kRXE8vmlhi0M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IFERROR(__xludf.DUMMYFUNCTION("""COMPUTED_VALUE"""),"11lQbu7XGSf0C5u04fqQXzcjWfa8v7VnskbBQpcCwy_o")</f>
        <v>11lQbu7XGSf0C5u04fqQXzcjWfa8v7VnskbBQpcCwy_o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IFERROR(__xludf.DUMMYFUNCTION("""COMPUTED_VALUE"""),"1RZrP677SP63N91bZw2_Jkjen0Emt_iknfC5GljLySfA")</f>
        <v>1RZrP677SP63N91bZw2_Jkjen0Emt_iknfC5GljLySfA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IFERROR(__xludf.DUMMYFUNCTION("""COMPUTED_VALUE"""),"1MnHnb-l2FXZIx21V59Pn6jwBL3jngTBLnGBTJFgQ-Ac")</f>
        <v>1MnHnb-l2FXZIx21V59Pn6jwBL3jngTBLnGBTJFgQ-Ac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IFERROR(__xludf.DUMMYFUNCTION("""COMPUTED_VALUE"""),"1igxH2dPQGq9u7PuOMV2GHwxFfHVL1KzVtINO6ZbdDOk")</f>
        <v>1igxH2dPQGq9u7PuOMV2GHwxFfHVL1KzVtINO6ZbdDOk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IFERROR(__xludf.DUMMYFUNCTION("""COMPUTED_VALUE"""),"1_Bm_U_dCrJ0O95Ye84SVu3C35Bm-_zVESf68LNiMCZg")</f>
        <v>1_Bm_U_dCrJ0O95Ye84SVu3C35Bm-_zVESf68LNiMCZg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IFERROR(__xludf.DUMMYFUNCTION("""COMPUTED_VALUE"""),"1k3a_zG703e90jYbfBz_iHma7miT_nDAo2-jitint-XA")</f>
        <v>1k3a_zG703e90jYbfBz_iHma7miT_nDAo2-jitint-XA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IFERROR(__xludf.DUMMYFUNCTION("""COMPUTED_VALUE"""),"1MfgZTAXl6-DPer9VdHbo42n6sPuMFimLowm4iDrtYBI")</f>
        <v>1MfgZTAXl6-DPer9VdHbo42n6sPuMFimLowm4iDrtYBI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IFERROR(__xludf.DUMMYFUNCTION("""COMPUTED_VALUE"""),"1TkGJ89cY994clB-HD-UJNYqO5eDGSgcM1fC_LiASQLE")</f>
        <v>1TkGJ89cY994clB-HD-UJNYqO5eDGSgcM1fC_LiASQLE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IFERROR(__xludf.DUMMYFUNCTION("""COMPUTED_VALUE"""),"1yHP4_99wm3NtNEt8v0-IjBSsqD_IeK0TrVbe411pPPY")</f>
        <v>1yHP4_99wm3NtNEt8v0-IjBSsqD_IeK0TrVbe411pPPY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IFERROR(__xludf.DUMMYFUNCTION("""COMPUTED_VALUE"""),"1824j5jyCdsYtwCFE1rcBhAGlXsh5bjIsayUXkGUuMpA")</f>
        <v>1824j5jyCdsYtwCFE1rcBhAGlXsh5bjIsayUXkGUuMpA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IFERROR(__xludf.DUMMYFUNCTION("""COMPUTED_VALUE"""),"1yei-AbmUpfNZz4VT2JbIDaKDIJzO7hZwvaUFib1oTyU")</f>
        <v>1yei-AbmUpfNZz4VT2JbIDaKDIJzO7hZwvaUFib1oTyU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IFERROR(__xludf.DUMMYFUNCTION("""COMPUTED_VALUE"""),"1u1w8ItMzM1YYZrH2R4RqLkUrIog6pmIGeXUsy-3e_ZA")</f>
        <v>1u1w8ItMzM1YYZrH2R4RqLkUrIog6pmIGeXUsy-3e_ZA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IFERROR(__xludf.DUMMYFUNCTION("""COMPUTED_VALUE"""),"1EbdeLHTIKN4RoLAyfGnlPPL3QVcvg2-CXPpGl0RGN44")</f>
        <v>1EbdeLHTIKN4RoLAyfGnlPPL3QVcvg2-CXPpGl0RGN44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IFERROR(__xludf.DUMMYFUNCTION("""COMPUTED_VALUE"""),"1pJFZ4nCBnJDUZQAqiaY6J68G36x1oN7JuKzRtRA-0zc")</f>
        <v>1pJFZ4nCBnJDUZQAqiaY6J68G36x1oN7JuKzRtRA-0zc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IFERROR(__xludf.DUMMYFUNCTION("""COMPUTED_VALUE"""),"1_DLMzeonBUhfhJl5AJqMD8mt1Z4T5mgBI7fF7cbQFWs")</f>
        <v>1_DLMzeonBUhfhJl5AJqMD8mt1Z4T5mgBI7fF7cbQFWs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IFERROR(__xludf.DUMMYFUNCTION("""COMPUTED_VALUE"""),"1GRj9e94k8ieHylVePoJ-nbC4owLOnPd7BKuaFvCouaI")</f>
        <v>1GRj9e94k8ieHylVePoJ-nbC4owLOnPd7BKuaFvCouaI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IFERROR(__xludf.DUMMYFUNCTION("""COMPUTED_VALUE"""),"1e52wyc2ELTM7QWL7k_ZT3-JQQ8Kf4qrLMW0R_fjW7Qc")</f>
        <v>1e52wyc2ELTM7QWL7k_ZT3-JQQ8Kf4qrLMW0R_fjW7Qc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IFERROR(__xludf.DUMMYFUNCTION("""COMPUTED_VALUE"""),"1kwb8DPg_4i30YSR_tr8LD3r1jIWVTgBzMVprGkITggA")</f>
        <v>1kwb8DPg_4i30YSR_tr8LD3r1jIWVTgBzMVprGkITggA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IFERROR(__xludf.DUMMYFUNCTION("""COMPUTED_VALUE"""),"1wbgmqX9Wp9SZWfRgJAummbN_5spSjp-tG3G1lreoQKk")</f>
        <v>1wbgmqX9Wp9SZWfRgJAummbN_5spSjp-tG3G1lreoQKk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IFERROR(__xludf.DUMMYFUNCTION("""COMPUTED_VALUE"""),"1FQlM2ubifDakZ2t9YEosDOTBdf06YZcr9_nTRuQDt2Q")</f>
        <v>1FQlM2ubifDakZ2t9YEosDOTBdf06YZcr9_nTRuQDt2Q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IFERROR(__xludf.DUMMYFUNCTION("""COMPUTED_VALUE"""),"1iacfEsOlPHPGZ6nQjKZ7USkjh5EdozTXI9wUlBmEE4k")</f>
        <v>1iacfEsOlPHPGZ6nQjKZ7USkjh5EdozTXI9wUlBmEE4k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IFERROR(__xludf.DUMMYFUNCTION("""COMPUTED_VALUE"""),"13sqL2ynaexfP9lWe37uE-qHPdf1jgMi_dGKwnz6usMQ")</f>
        <v>13sqL2ynaexfP9lWe37uE-qHPdf1jgMi_dGKwnz6usMQ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IFERROR(__xludf.DUMMYFUNCTION("""COMPUTED_VALUE"""),"1X_Cc-k1Zsfie7xcaz_9nQ2vWDlJ47gL_5qoTESaishI")</f>
        <v>1X_Cc-k1Zsfie7xcaz_9nQ2vWDlJ47gL_5qoTESaishI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IFERROR(__xludf.DUMMYFUNCTION("""COMPUTED_VALUE"""),"1ZvOomDY73mDwy_2FkmlYUkc7eFVBtku_M6XrhU6zAMQ")</f>
        <v>1ZvOomDY73mDwy_2FkmlYUkc7eFVBtku_M6XrhU6zAMQ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IFERROR(__xludf.DUMMYFUNCTION("""COMPUTED_VALUE"""),"1lFz3FRcCczoccbDWuOrmoeTNI3Wt72tV40C0B_Fdulo")</f>
        <v>1lFz3FRcCczoccbDWuOrmoeTNI3Wt72tV40C0B_Fdulo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IFERROR(__xludf.DUMMYFUNCTION("""COMPUTED_VALUE"""),"1vJUuWNjZCta9Nc4XEHCHO5jwABRogxaKkvSksrCc1y4")</f>
        <v>1vJUuWNjZCta9Nc4XEHCHO5jwABRogxaKkvSksrCc1y4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IFERROR(__xludf.DUMMYFUNCTION("""COMPUTED_VALUE"""),"1AMJDRnPPFGSypYHzJlk3Nkh0AERQpMOKwpNzmwWYf3k")</f>
        <v>1AMJDRnPPFGSypYHzJlk3Nkh0AERQpMOKwpNzmwWYf3k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IFERROR(__xludf.DUMMYFUNCTION("""COMPUTED_VALUE"""),"1x73ZveKV63dLEGp1JA9RvvtDZiF2PeXvK6rEa4ECUUg")</f>
        <v>1x73ZveKV63dLEGp1JA9RvvtDZiF2PeXvK6rEa4ECUUg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IFERROR(__xludf.DUMMYFUNCTION("""COMPUTED_VALUE"""),"19n2Z-CCAzNZctQndnPqhAilz4AHqd4Hew_NupZSf3AA")</f>
        <v>19n2Z-CCAzNZctQndnPqhAilz4AHqd4Hew_NupZSf3AA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IFERROR(__xludf.DUMMYFUNCTION("""COMPUTED_VALUE"""),"1Lz82jeHUZGtvibY9vO7baLqlJAO5OFAL6yO4JpHFkAo")</f>
        <v>1Lz82jeHUZGtvibY9vO7baLqlJAO5OFAL6yO4JpHFkAo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IFERROR(__xludf.DUMMYFUNCTION("""COMPUTED_VALUE"""),"1AksWVHEmnBxwC-L3YrZrbvNzH0SfJRQe4Dy7NrKt6qU")</f>
        <v>1AksWVHEmnBxwC-L3YrZrbvNzH0SfJRQe4Dy7NrKt6qU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IFERROR(__xludf.DUMMYFUNCTION("""COMPUTED_VALUE"""),"1s4ugOdWq4GlEglv4uvOceAxijOR8vwwy9sfLCQSJsPI")</f>
        <v>1s4ugOdWq4GlEglv4uvOceAxijOR8vwwy9sfLCQSJsPI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IFERROR(__xludf.DUMMYFUNCTION("""COMPUTED_VALUE"""),"1kF8Cp9ixfKWT-O7A_ykr8O24ot4jIuMf7Cny33fw3tE")</f>
        <v>1kF8Cp9ixfKWT-O7A_ykr8O24ot4jIuMf7Cny33fw3tE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IFERROR(__xludf.DUMMYFUNCTION("""COMPUTED_VALUE"""),"1CgwWCnwId8fIOzVPEbCjbP0EmIDkblROsvVu3kqYqG8")</f>
        <v>1CgwWCnwId8fIOzVPEbCjbP0EmIDkblROsvVu3kqYqG8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IFERROR(__xludf.DUMMYFUNCTION("""COMPUTED_VALUE"""),"1LgeTTI9drsJb1V9MtKWU3N5XU-_UpbynXkgneV6bnSU")</f>
        <v>1LgeTTI9drsJb1V9MtKWU3N5XU-_UpbynXkgneV6bnSU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IFERROR(__xludf.DUMMYFUNCTION("""COMPUTED_VALUE"""),"1ICA8c_OKdesVMDcE_s1raBD2JqcZdspbl-jQG5DX7vA")</f>
        <v>1ICA8c_OKdesVMDcE_s1raBD2JqcZdspbl-jQG5DX7vA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IFERROR(__xludf.DUMMYFUNCTION("""COMPUTED_VALUE"""),"1Nend9TmgX0Jkh8tsL--LHqNCMB0QE7KGu0lM4MrvJx8")</f>
        <v>1Nend9TmgX0Jkh8tsL--LHqNCMB0QE7KGu0lM4MrvJx8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IFERROR(__xludf.DUMMYFUNCTION("""COMPUTED_VALUE"""),"1OkFtbYrIDPpC3pMP--6KPjkSbZDpo31jp348DsVbjWk")</f>
        <v>1OkFtbYrIDPpC3pMP--6KPjkSbZDpo31jp348DsVbjWk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IFERROR(__xludf.DUMMYFUNCTION("""COMPUTED_VALUE"""),"1sNOuaTOrp-Ppia2ZUARA48WLB5S-7ja2Q0cjsdZu1cc")</f>
        <v>1sNOuaTOrp-Ppia2ZUARA48WLB5S-7ja2Q0cjsdZu1cc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IFERROR(__xludf.DUMMYFUNCTION("""COMPUTED_VALUE"""),"1SseU888nr5JryggSHE9VBdTiZug_v-cOJmjdm-vO3sQ")</f>
        <v>1SseU888nr5JryggSHE9VBdTiZug_v-cOJmjdm-vO3sQ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IFERROR(__xludf.DUMMYFUNCTION("""COMPUTED_VALUE"""),"1HfizE5szbvAqgcrnlAlRZlGwJnDpLifnRSpo_rNHclE")</f>
        <v>1HfizE5szbvAqgcrnlAlRZlGwJnDpLifnRSpo_rNHclE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IFERROR(__xludf.DUMMYFUNCTION("""COMPUTED_VALUE"""),"18dn1sQFfRDKOAHwu3DueV8YA7DVB7FDzA7y_am44ADk")</f>
        <v>18dn1sQFfRDKOAHwu3DueV8YA7DVB7FDzA7y_am44ADk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IFERROR(__xludf.DUMMYFUNCTION("""COMPUTED_VALUE"""),"1ochAcIa6jxqrTKXkyAIMtaQp8GfBZfq8KAPLV0y7yvU")</f>
        <v>1ochAcIa6jxqrTKXkyAIMtaQp8GfBZfq8KAPLV0y7yvU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IFERROR(__xludf.DUMMYFUNCTION("""COMPUTED_VALUE"""),"1PUqbTX2rRI0cNPNL7NJ1fKh-Jy0Q9mQVBO0nXiQtUlc")</f>
        <v>1PUqbTX2rRI0cNPNL7NJ1fKh-Jy0Q9mQVBO0nXiQtUlc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IFERROR(__xludf.DUMMYFUNCTION("""COMPUTED_VALUE"""),"1XFWL8Sv_tc7--6q-PVtJAyjWEb-HcxsbKKtSdB3jRJY")</f>
        <v>1XFWL8Sv_tc7--6q-PVtJAyjWEb-HcxsbKKtSdB3jRJY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IFERROR(__xludf.DUMMYFUNCTION("""COMPUTED_VALUE"""),"1rdEWSy_MOHkYaq5akux-7N0yuwWEIIprojEJYWvhiRo")</f>
        <v>1rdEWSy_MOHkYaq5akux-7N0yuwWEIIprojEJYWvhiRo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IFERROR(__xludf.DUMMYFUNCTION("""COMPUTED_VALUE"""),"1h5l007iy5WesxdhwZzCT3YK9aNRB6rnqf82fKK-qWhA")</f>
        <v>1h5l007iy5WesxdhwZzCT3YK9aNRB6rnqf82fKK-qWhA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IFERROR(__xludf.DUMMYFUNCTION("""COMPUTED_VALUE"""),"1ixTeJ65ywBUTH41BRto926xFAKoLo3WSj5TxpKyxMCI")</f>
        <v>1ixTeJ65ywBUTH41BRto926xFAKoLo3WSj5TxpKyxMCI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IFERROR(__xludf.DUMMYFUNCTION("""COMPUTED_VALUE"""),"1LE8gxOzR6SvbLuSropjBzTYDDoubnt2wbweARCuf3LU")</f>
        <v>1LE8gxOzR6SvbLuSropjBzTYDDoubnt2wbweARCuf3LU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IFERROR(__xludf.DUMMYFUNCTION("""COMPUTED_VALUE"""),"121YPApuObrizJgYF5sgfQP5hMExkoSYkCPrW-Ew_ldk")</f>
        <v>121YPApuObrizJgYF5sgfQP5hMExkoSYkCPrW-Ew_ldk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IFERROR(__xludf.DUMMYFUNCTION("""COMPUTED_VALUE"""),"10LRFkXyhAzpYLr41wTB8e5wmi1IZIGFBMZPeDp64XK0")</f>
        <v>10LRFkXyhAzpYLr41wTB8e5wmi1IZIGFBMZPeDp64XK0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IFERROR(__xludf.DUMMYFUNCTION("""COMPUTED_VALUE"""),"1vJSNFM5zkHc9zBvl1ymJquJpvovmW3E_RSN3pozpWns")</f>
        <v>1vJSNFM5zkHc9zBvl1ymJquJpvovmW3E_RSN3pozpWns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IFERROR(__xludf.DUMMYFUNCTION("""COMPUTED_VALUE"""),"1kNeqOSQLa6o8vkFZaArRKZabtB_GXZBV_Al1s8DHf50")</f>
        <v>1kNeqOSQLa6o8vkFZaArRKZabtB_GXZBV_Al1s8DHf50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IFERROR(__xludf.DUMMYFUNCTION("""COMPUTED_VALUE"""),"1WARVnQ0kPZNSKX8kRaPiqFQVReKwU7ReLEjyOvwThEk")</f>
        <v>1WARVnQ0kPZNSKX8kRaPiqFQVReKwU7ReLEjyOvwThEk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IFERROR(__xludf.DUMMYFUNCTION("""COMPUTED_VALUE"""),"1221yqGeEHt8OWBppipf5Q2xZ7hMYHBO7XKQ1Hp4-_1k")</f>
        <v>1221yqGeEHt8OWBppipf5Q2xZ7hMYHBO7XKQ1Hp4-_1k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IFERROR(__xludf.DUMMYFUNCTION("""COMPUTED_VALUE"""),"1saPHdgxC5QXYmLAufIbglxhQ01_MTtBMgX000SwjhFY")</f>
        <v>1saPHdgxC5QXYmLAufIbglxhQ01_MTtBMgX000SwjhFY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IFERROR(__xludf.DUMMYFUNCTION("""COMPUTED_VALUE"""),"1_EYKIDrS0AWuMJMgbTbeqmEwSkf7_gL_EAGl7D2-Ggk")</f>
        <v>1_EYKIDrS0AWuMJMgbTbeqmEwSkf7_gL_EAGl7D2-Ggk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IFERROR(__xludf.DUMMYFUNCTION("""COMPUTED_VALUE"""),"1cplMQV_xOYFJ8djnU96c9xg2GdJ6on6353kFnCvM4ig")</f>
        <v>1cplMQV_xOYFJ8djnU96c9xg2GdJ6on6353kFnCvM4ig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IFERROR(__xludf.DUMMYFUNCTION("""COMPUTED_VALUE"""),"1ZILedE8lKyjaVDMMusXelzpLvtoQCjqNJqFoXOUTp4I")</f>
        <v>1ZILedE8lKyjaVDMMusXelzpLvtoQCjqNJqFoXOUTp4I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IFERROR(__xludf.DUMMYFUNCTION("""COMPUTED_VALUE"""),"19QWlDxD5eijFqhVbgkdX7QOLXkQ9taESRekiHpQgMcU")</f>
        <v>19QWlDxD5eijFqhVbgkdX7QOLXkQ9taESRekiHpQgMcU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IFERROR(__xludf.DUMMYFUNCTION("""COMPUTED_VALUE"""),"1Baqp1iuVr1x4qDwfwIaTJvW6VzT4ZWfbjwZ_EWPzpzY")</f>
        <v>1Baqp1iuVr1x4qDwfwIaTJvW6VzT4ZWfbjwZ_EWPzpzY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IFERROR(__xludf.DUMMYFUNCTION("""COMPUTED_VALUE"""),"1_lCMnn8iZS0bQEHszxmzf23ats0dIWEEckwO9fjPCeE")</f>
        <v>1_lCMnn8iZS0bQEHszxmzf23ats0dIWEEckwO9fjPCeE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IFERROR(__xludf.DUMMYFUNCTION("""COMPUTED_VALUE"""),"13oTZo0AjsgJNWyNhqVmwouwYywOEGfdiPe94wMNxXqo")</f>
        <v>13oTZo0AjsgJNWyNhqVmwouwYywOEGfdiPe94wMNxXqo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IFERROR(__xludf.DUMMYFUNCTION("""COMPUTED_VALUE"""),"1rucb3CcDlDDXwMhjXDHQWofStRKKouzl7PSb2_F37FA")</f>
        <v>1rucb3CcDlDDXwMhjXDHQWofStRKKouzl7PSb2_F37FA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IFERROR(__xludf.DUMMYFUNCTION("""COMPUTED_VALUE"""),"1dixy47vGD4ZYjt9U_ih3BSiZbzPzvIDLtlafZIpeyC4")</f>
        <v>1dixy47vGD4ZYjt9U_ih3BSiZbzPzvIDLtlafZIpeyC4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IFERROR(__xludf.DUMMYFUNCTION("""COMPUTED_VALUE"""),"1S-6rMK11n-3mFrONpo_U4rlR4O69j6bQAGuGNcrrS6A")</f>
        <v>1S-6rMK11n-3mFrONpo_U4rlR4O69j6bQAGuGNcrrS6A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IFERROR(__xludf.DUMMYFUNCTION("""COMPUTED_VALUE"""),"11nzl66L5rtvJi9vTz487iVKURd3BfoYcknfycWFT-fU")</f>
        <v>11nzl66L5rtvJi9vTz487iVKURd3BfoYcknfycWFT-fU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IFERROR(__xludf.DUMMYFUNCTION("""COMPUTED_VALUE"""),"1dD8vrEBSx_3diJl50IJ7yG6cl8wP386vXzl21YBIEPg")</f>
        <v>1dD8vrEBSx_3diJl50IJ7yG6cl8wP386vXzl21YBIEPg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IFERROR(__xludf.DUMMYFUNCTION("""COMPUTED_VALUE"""),"1MCpJWwFXEogB1VlqUXy1Ww954nX83LPwb4Qy6-fZMp8")</f>
        <v>1MCpJWwFXEogB1VlqUXy1Ww954nX83LPwb4Qy6-fZMp8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IFERROR(__xludf.DUMMYFUNCTION("""COMPUTED_VALUE"""),"1gKeBaYxaZTHXY5r3gp7mJKZhpLEFv3B0eTcgmwO2faY")</f>
        <v>1gKeBaYxaZTHXY5r3gp7mJKZhpLEFv3B0eTcgmwO2faY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IFERROR(__xludf.DUMMYFUNCTION("""COMPUTED_VALUE"""),"1gjchR0Aowyhj6YMJ5EMxZmG6NvilqGkSR93seXN-MEo")</f>
        <v>1gjchR0Aowyhj6YMJ5EMxZmG6NvilqGkSR93seXN-MEo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IFERROR(__xludf.DUMMYFUNCTION("""COMPUTED_VALUE"""),"1v_Yhw10id_6Cs6P4bR6iDeu8RDRjtyjgz19lxjEw6Ng")</f>
        <v>1v_Yhw10id_6Cs6P4bR6iDeu8RDRjtyjgz19lxjEw6Ng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IFERROR(__xludf.DUMMYFUNCTION("""COMPUTED_VALUE"""),"1Mk2JLd9CmSbDVOmTJu58VWjrwhxNKoopJHemupq4qBs")</f>
        <v>1Mk2JLd9CmSbDVOmTJu58VWjrwhxNKoopJHemupq4qBs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IFERROR(__xludf.DUMMYFUNCTION("""COMPUTED_VALUE"""),"118wRv0r1kNYT6nexs-UFGKd_eWq769gwdBDpcAfrJMc")</f>
        <v>118wRv0r1kNYT6nexs-UFGKd_eWq769gwdBDpcAfrJMc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IFERROR(__xludf.DUMMYFUNCTION("""COMPUTED_VALUE"""),"1SsqNYuLQYnAQojY1ScqgFlAVNPt1c0Du5CgtRfS4XTs")</f>
        <v>1SsqNYuLQYnAQojY1ScqgFlAVNPt1c0Du5CgtRfS4XTs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IFERROR(__xludf.DUMMYFUNCTION("""COMPUTED_VALUE"""),"1nWJ7MmdctU6UHdtDMBx4cO0Za1AVHgWqATvU2HaIrN0")</f>
        <v>1nWJ7MmdctU6UHdtDMBx4cO0Za1AVHgWqATvU2HaIrN0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IFERROR(__xludf.DUMMYFUNCTION("""COMPUTED_VALUE"""),"1XEkR9NvAEC2bh6wfHaqLzZiNwp5p6N_DuThzwLCpi_k")</f>
        <v>1XEkR9NvAEC2bh6wfHaqLzZiNwp5p6N_DuThzwLCpi_k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IFERROR(__xludf.DUMMYFUNCTION("""COMPUTED_VALUE"""),"1wa6cXAbpdMTz-hsF4yUayu1Tnpnl9Kbq__2Vi33WjNM")</f>
        <v>1wa6cXAbpdMTz-hsF4yUayu1Tnpnl9Kbq__2Vi33WjNM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IFERROR(__xludf.DUMMYFUNCTION("""COMPUTED_VALUE"""),"1_rVRnADrf7Ggj_HNj9UdEOl7VoPKVA5LDHVnB3Llwac")</f>
        <v>1_rVRnADrf7Ggj_HNj9UdEOl7VoPKVA5LDHVnB3Llwac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IFERROR(__xludf.DUMMYFUNCTION("""COMPUTED_VALUE"""),"1v9DEhh9RUUR50m2cY_9XHSOZSpjev0D_FC7YxL6Dx-M")</f>
        <v>1v9DEhh9RUUR50m2cY_9XHSOZSpjev0D_FC7YxL6Dx-M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IFERROR(__xludf.DUMMYFUNCTION("""COMPUTED_VALUE"""),"1_l1dXRaSvBu8xSpL_0LuTGDpZT2uwv7HrTTqPpX1zh0")</f>
        <v>1_l1dXRaSvBu8xSpL_0LuTGDpZT2uwv7HrTTqPpX1zh0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IFERROR(__xludf.DUMMYFUNCTION("""COMPUTED_VALUE"""),"1bukvmw7uDn5EWU749u99t380wnpilFiwB3NEfjqNUko")</f>
        <v>1bukvmw7uDn5EWU749u99t380wnpilFiwB3NEfjqNUko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IFERROR(__xludf.DUMMYFUNCTION("""COMPUTED_VALUE"""),"1Fv-QPc8yv7ZaNdT1FlDCX7eIaQQMAYX7KS5-P986RCQ")</f>
        <v>1Fv-QPc8yv7ZaNdT1FlDCX7eIaQQMAYX7KS5-P986RCQ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IFERROR(__xludf.DUMMYFUNCTION("""COMPUTED_VALUE"""),"1lb3zBRstb1VKpx0rM4A2DDz_IQHBTzL0OUyXXa4H2AU")</f>
        <v>1lb3zBRstb1VKpx0rM4A2DDz_IQHBTzL0OUyXXa4H2AU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IFERROR(__xludf.DUMMYFUNCTION("""COMPUTED_VALUE"""),"1EhWPzRJ5WEwpWzc-SX3LVcLgYlPDIKzkNS-LD2bNahk")</f>
        <v>1EhWPzRJ5WEwpWzc-SX3LVcLgYlPDIKzkNS-LD2bNahk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IFERROR(__xludf.DUMMYFUNCTION("""COMPUTED_VALUE"""),"1vnD8kKYEQArpqSXLRpqKdW0bWfXfMAye26LmcRtOGI4")</f>
        <v>1vnD8kKYEQArpqSXLRpqKdW0bWfXfMAye26LmcRtOGI4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IFERROR(__xludf.DUMMYFUNCTION("""COMPUTED_VALUE"""),"1xency978Yhb2ZeNxG-Gp8xcJ8QjKX9kP348vEmQ2gwA")</f>
        <v>1xency978Yhb2ZeNxG-Gp8xcJ8QjKX9kP348vEmQ2gwA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IFERROR(__xludf.DUMMYFUNCTION("""COMPUTED_VALUE"""),"1qPMFAgMRzEYcCWAk5IayLOH_U1htslpfkeJMVPWbpLQ")</f>
        <v>1qPMFAgMRzEYcCWAk5IayLOH_U1htslpfkeJMVPWbpLQ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IFERROR(__xludf.DUMMYFUNCTION("""COMPUTED_VALUE"""),"1KIH7eWcCPPCZqRVbqOvdvQQatjP_INfvJUbzjGTz7fE")</f>
        <v>1KIH7eWcCPPCZqRVbqOvdvQQatjP_INfvJUbzjGTz7fE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IFERROR(__xludf.DUMMYFUNCTION("""COMPUTED_VALUE"""),"11KuCDI7q37RrZjNhVRB_sRU4JrklHajDN-nvioCXIow")</f>
        <v>11KuCDI7q37RrZjNhVRB_sRU4JrklHajDN-nvioCXIow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IFERROR(__xludf.DUMMYFUNCTION("""COMPUTED_VALUE"""),"1tHuAZIaBkKFsAt4wQU_f2q5uJEGZ6DbWQnO08Rx4g5Y")</f>
        <v>1tHuAZIaBkKFsAt4wQU_f2q5uJEGZ6DbWQnO08Rx4g5Y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IFERROR(__xludf.DUMMYFUNCTION("""COMPUTED_VALUE"""),"1LloNg0BgixU9tpWx4HUT43bl1SpVE4381HnFlsajvaQ")</f>
        <v>1LloNg0BgixU9tpWx4HUT43bl1SpVE4381HnFlsajvaQ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IFERROR(__xludf.DUMMYFUNCTION("""COMPUTED_VALUE"""),"1C0AkzcituMMrkQqJg0M_n6cswWPjROFn0jqkTPCHfis")</f>
        <v>1C0AkzcituMMrkQqJg0M_n6cswWPjROFn0jqkTPCHfis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IFERROR(__xludf.DUMMYFUNCTION("""COMPUTED_VALUE"""),"1WOYWuhLyuq1ul6GF5dWAdvSkpKBaWmcsEY0pPRgeOWM")</f>
        <v>1WOYWuhLyuq1ul6GF5dWAdvSkpKBaWmcsEY0pPRgeOWM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IFERROR(__xludf.DUMMYFUNCTION("""COMPUTED_VALUE"""),"1e9Xd2rI7lHFWIFLmRoe5LtT9y4BSPW6sfCjWP0lcVso")</f>
        <v>1e9Xd2rI7lHFWIFLmRoe5LtT9y4BSPW6sfCjWP0lcVso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IFERROR(__xludf.DUMMYFUNCTION("""COMPUTED_VALUE"""),"1X0RghwSavvuWnxK9psKDA7-qI86K-IaBKRJ1fVYnJbY")</f>
        <v>1X0RghwSavvuWnxK9psKDA7-qI86K-IaBKRJ1fVYnJbY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IFERROR(__xludf.DUMMYFUNCTION("""COMPUTED_VALUE"""),"1nlqDVTvG9tGHVZU_R5Kpe2ScGFiP2pODIjUgp62eOcg")</f>
        <v>1nlqDVTvG9tGHVZU_R5Kpe2ScGFiP2pODIjUgp62eOcg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IFERROR(__xludf.DUMMYFUNCTION("""COMPUTED_VALUE"""),"1td6xh2jOVJ_tOP88gOQ7VzA7zC3W0ZUyud3q5jhH1eM")</f>
        <v>1td6xh2jOVJ_tOP88gOQ7VzA7zC3W0ZUyud3q5jhH1eM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IFERROR(__xludf.DUMMYFUNCTION("""COMPUTED_VALUE"""),"11IOPX3JerrbITJGj2KKdtGuSCn7wqoda4D14yJors8g")</f>
        <v>11IOPX3JerrbITJGj2KKdtGuSCn7wqoda4D14yJors8g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IFERROR(__xludf.DUMMYFUNCTION("""COMPUTED_VALUE"""),"10pZ09xnUx2pqa5QZzEljxvSOWUoO4MpFFlj3IgHixAY")</f>
        <v>10pZ09xnUx2pqa5QZzEljxvSOWUoO4MpFFlj3IgHixAY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IFERROR(__xludf.DUMMYFUNCTION("""COMPUTED_VALUE"""),"1lLMwkGATnotz4Fwa-o2i_-buFLFRD1fPDjBRCRge2g8")</f>
        <v>1lLMwkGATnotz4Fwa-o2i_-buFLFRD1fPDjBRCRge2g8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IFERROR(__xludf.DUMMYFUNCTION("""COMPUTED_VALUE"""),"1AvL03tSx1mQR9FO4i7ta-0KC1RPfLKkELFYsFU7pHz0")</f>
        <v>1AvL03tSx1mQR9FO4i7ta-0KC1RPfLKkELFYsFU7pHz0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IFERROR(__xludf.DUMMYFUNCTION("""COMPUTED_VALUE"""),"11KuCDI7q37RrZjNhVRB_sRU4JrklHajDN-nvioCXIow")</f>
        <v>11KuCDI7q37RrZjNhVRB_sRU4JrklHajDN-nvioCXIow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IFERROR(__xludf.DUMMYFUNCTION("""COMPUTED_VALUE"""),"1UibESJzXseK9_-c9HjMbuHTeklThYekhSZ72rmoM1T8")</f>
        <v>1UibESJzXseK9_-c9HjMbuHTeklThYekhSZ72rmoM1T8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IFERROR(__xludf.DUMMYFUNCTION("""COMPUTED_VALUE"""),"11KuCDI7q37RrZjNhVRB_sRU4JrklHajDN-nvioCXIow")</f>
        <v>11KuCDI7q37RrZjNhVRB_sRU4JrklHajDN-nvioCXIow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IFERROR(__xludf.DUMMYFUNCTION("""COMPUTED_VALUE"""),"1MjAfg4F6NQuUAQUFW37k3htPnyMxWHWagiOU-lnvmGI")</f>
        <v>1MjAfg4F6NQuUAQUFW37k3htPnyMxWHWagiOU-lnvmGI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IFERROR(__xludf.DUMMYFUNCTION("""COMPUTED_VALUE"""),"12jSVbeEJpxmA75PPUiLNi7NaIc00WbgI34Q6rhSS0Ds")</f>
        <v>12jSVbeEJpxmA75PPUiLNi7NaIc00WbgI34Q6rhSS0Ds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IFERROR(__xludf.DUMMYFUNCTION("""COMPUTED_VALUE"""),"16zBwty-rTFSFJMyCqyxtBb2FiCbKptl_JuviIETsEjc")</f>
        <v>16zBwty-rTFSFJMyCqyxtBb2FiCbKptl_JuviIETsEjc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IFERROR(__xludf.DUMMYFUNCTION("""COMPUTED_VALUE"""),"1uD1wJYx80LMyhlbMy1CctqDOk9brp6uU03OlbnDuAe4")</f>
        <v>1uD1wJYx80LMyhlbMy1CctqDOk9brp6uU03OlbnDuAe4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IFERROR(__xludf.DUMMYFUNCTION("""COMPUTED_VALUE"""),"1m6MOQNhKkVt1jpFum_tComrSd-dEbwpLJ09ma9hwHJ0")</f>
        <v>1m6MOQNhKkVt1jpFum_tComrSd-dEbwpLJ09ma9hwHJ0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IFERROR(__xludf.DUMMYFUNCTION("""COMPUTED_VALUE"""),"1z6sLqoF1dgSy-5wTE_wKZTVXhp9JEOqwje341a02WpA")</f>
        <v>1z6sLqoF1dgSy-5wTE_wKZTVXhp9JEOqwje341a02WpA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IFERROR(__xludf.DUMMYFUNCTION("""COMPUTED_VALUE"""),"1OuZKBdhFXWj4geXHEAw683kkB5iaP1xy85nS7Y_bfc8")</f>
        <v>1OuZKBdhFXWj4geXHEAw683kkB5iaP1xy85nS7Y_bfc8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IFERROR(__xludf.DUMMYFUNCTION("""COMPUTED_VALUE"""),"1acRsUVfXLMARgfUMygVmnq-Xn9oHJ7aBMct5mdqEBsA")</f>
        <v>1acRsUVfXLMARgfUMygVmnq-Xn9oHJ7aBMct5mdqEBsA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IFERROR(__xludf.DUMMYFUNCTION("""COMPUTED_VALUE"""),"1lkSiBclw-Nrw61K0j2t1vOsiLqNO8ejgCPuA23bupec")</f>
        <v>1lkSiBclw-Nrw61K0j2t1vOsiLqNO8ejgCPuA23bupec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IFERROR(__xludf.DUMMYFUNCTION("""COMPUTED_VALUE"""),"1KZmCs4XZYKInO0g2s3RZpteE670ImER8luciQluLB8Q")</f>
        <v>1KZmCs4XZYKInO0g2s3RZpteE670ImER8luciQluLB8Q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IFERROR(__xludf.DUMMYFUNCTION("""COMPUTED_VALUE"""),"1Kga6eZygJKjrpwyXiE7s-uRu_0SsnmwvP5tlfNUz67E")</f>
        <v>1Kga6eZygJKjrpwyXiE7s-uRu_0SsnmwvP5tlfNUz67E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IFERROR(__xludf.DUMMYFUNCTION("""COMPUTED_VALUE"""),"1wokLkQCDTR1Moa2-CJdvv9EBpX8uIBke1ynZq7Am8Qo")</f>
        <v>1wokLkQCDTR1Moa2-CJdvv9EBpX8uIBke1ynZq7Am8Qo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IFERROR(__xludf.DUMMYFUNCTION("""COMPUTED_VALUE"""),"1GDmvU5vTnCfl5qfCk6XuxvygpiC0858nHCMz3cF2Th8")</f>
        <v>1GDmvU5vTnCfl5qfCk6XuxvygpiC0858nHCMz3cF2Th8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IFERROR(__xludf.DUMMYFUNCTION("""COMPUTED_VALUE"""),"1LsvDJHpVcibXPqLhnrrvp6d6K4W1s7PURcprihlc9WE")</f>
        <v>1LsvDJHpVcibXPqLhnrrvp6d6K4W1s7PURcprihlc9WE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IFERROR(__xludf.DUMMYFUNCTION("""COMPUTED_VALUE"""),"15NzWGpqvL8MMBvyvBoyZPbRw6m8dVQhvejNQYv6xMAo")</f>
        <v>15NzWGpqvL8MMBvyvBoyZPbRw6m8dVQhvejNQYv6xMAo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IFERROR(__xludf.DUMMYFUNCTION("""COMPUTED_VALUE"""),"1pm8fmqh314rXSGDiLAdwO0bk-M2SwTJobffwoZFZfZw")</f>
        <v>1pm8fmqh314rXSGDiLAdwO0bk-M2SwTJobffwoZFZfZw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IFERROR(__xludf.DUMMYFUNCTION("""COMPUTED_VALUE"""),"1hj7paFEdaJfp8zCVq4BI5XPlCE2BysKhNQY5CdXDN44")</f>
        <v>1hj7paFEdaJfp8zCVq4BI5XPlCE2BysKhNQY5CdXDN44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IFERROR(__xludf.DUMMYFUNCTION("""COMPUTED_VALUE"""),"1TJXKyPI71JpDJp6PJy2JOx4mnjeYvDigctM4hrexDvM")</f>
        <v>1TJXKyPI71JpDJp6PJy2JOx4mnjeYvDigctM4hrexDvM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IFERROR(__xludf.DUMMYFUNCTION("""COMPUTED_VALUE"""),"1ctMlkyXd7Fyoxty8UQ8vXNA2lmrIfMbc3leGsnW7ne0")</f>
        <v>1ctMlkyXd7Fyoxty8UQ8vXNA2lmrIfMbc3leGsnW7ne0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IFERROR(__xludf.DUMMYFUNCTION("""COMPUTED_VALUE"""),"14V-PVFSEtii0bJelGOw8nDeNWqcO5GO2gi1hoqmJbFU")</f>
        <v>14V-PVFSEtii0bJelGOw8nDeNWqcO5GO2gi1hoqmJbFU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IFERROR(__xludf.DUMMYFUNCTION("""COMPUTED_VALUE"""),"1wKEUsTX7MrGti2S1TEzF0iJk4vRZB1LxyQL9WgMGYrY")</f>
        <v>1wKEUsTX7MrGti2S1TEzF0iJk4vRZB1LxyQL9WgMGYrY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IFERROR(__xludf.DUMMYFUNCTION("""COMPUTED_VALUE"""),"1UalkAEsbJcZQAzEnT3T29et4u4PKQ3n66SBTt1HPqVc")</f>
        <v>1UalkAEsbJcZQAzEnT3T29et4u4PKQ3n66SBTt1HPqVc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IFERROR(__xludf.DUMMYFUNCTION("""COMPUTED_VALUE"""),"1DvEoe2QroRweeE3U1wG41DK1tPqNY7Qfs3ZfLQeMbgA")</f>
        <v>1DvEoe2QroRweeE3U1wG41DK1tPqNY7Qfs3ZfLQeMbgA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IFERROR(__xludf.DUMMYFUNCTION("""COMPUTED_VALUE"""),"118wRv0r1kNYT6nexs-UFGKd_eWq769gwdBDpcAfrJMc")</f>
        <v>118wRv0r1kNYT6nexs-UFGKd_eWq769gwdBDpcAfrJMc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IFERROR(__xludf.DUMMYFUNCTION("""COMPUTED_VALUE"""),"1bvzvGTpSSz8jFgbBJV7s2zMg9ku9TwcOoI2gD8mXZeI")</f>
        <v>1bvzvGTpSSz8jFgbBJV7s2zMg9ku9TwcOoI2gD8mXZeI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IFERROR(__xludf.DUMMYFUNCTION("""COMPUTED_VALUE"""),"1Uss7PL0z4ynwsEaU-5ZugX8DJ-4eQWi9JELroKHVjks")</f>
        <v>1Uss7PL0z4ynwsEaU-5ZugX8DJ-4eQWi9JELroKHVjks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IFERROR(__xludf.DUMMYFUNCTION("""COMPUTED_VALUE"""),"10lROCv8vZU4pHDAKFRaGDjYVmJmDXRVY6aLP5O0hPiU")</f>
        <v>10lROCv8vZU4pHDAKFRaGDjYVmJmDXRVY6aLP5O0hPiU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IFERROR(__xludf.DUMMYFUNCTION("""COMPUTED_VALUE"""),"1N0pdLUTdwOkDe6Oxo1hLVvtHrAW845GKRDRrNw2nQsA")</f>
        <v>1N0pdLUTdwOkDe6Oxo1hLVvtHrAW845GKRDRrNw2nQsA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IFERROR(__xludf.DUMMYFUNCTION("""COMPUTED_VALUE"""),"1XeFP2lm7tB6wETfm2dDqZYoeAfXyeA1KjbojdrZ69vE")</f>
        <v>1XeFP2lm7tB6wETfm2dDqZYoeAfXyeA1KjbojdrZ69vE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IFERROR(__xludf.DUMMYFUNCTION("""COMPUTED_VALUE"""),"EditPTTRecordAndExecuteOrder")</f>
        <v>EditPTTRecordAndExecuteOrder</v>
      </c>
      <c r="C418" t="str">
        <f>IFERROR(__xludf.DUMMYFUNCTION("""COMPUTED_VALUE"""),"1PSIJ72QdQ-ByplSZsPtKhZm3ADB7dR-xpWzGR4Bdl_4")</f>
        <v>1PSIJ72QdQ-ByplSZsPtKhZm3ADB7dR-xpWzGR4Bdl_4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IFERROR(__xludf.DUMMYFUNCTION("""COMPUTED_VALUE"""),"1KsDVAM-jGZBkXQCAjl-IKGN6XcMkdTfUj_E_EYUPpqE")</f>
        <v>1KsDVAM-jGZBkXQCAjl-IKGN6XcMkdTfUj_E_EYUPpqE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IFERROR(__xludf.DUMMYFUNCTION("""COMPUTED_VALUE"""),"1ZN6M0c0ta4_uysjU0LRmcc9chF9IgYpFmqSwGW6bPCY")</f>
        <v>1ZN6M0c0ta4_uysjU0LRmcc9chF9IgYpFmqSwGW6bPCY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IFERROR(__xludf.DUMMYFUNCTION("""COMPUTED_VALUE"""),"1I3StwH3fzwwbh9YvrnDvP_ICtYYZrMPHOthgqOvVOQc")</f>
        <v>1I3StwH3fzwwbh9YvrnDvP_ICtYYZrMPHOthgqOvVOQc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IFERROR(__xludf.DUMMYFUNCTION("""COMPUTED_VALUE"""),"1Urp2F7pMdEwHLyPetR0SnA22v2OTvsTN73e1Eyzzg08")</f>
        <v>1Urp2F7pMdEwHLyPetR0SnA22v2OTvsTN73e1Eyzzg08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IFERROR(__xludf.DUMMYFUNCTION("""COMPUTED_VALUE"""),"1BbwKnMbWwdBYCEpdFconwZ_xILH2kPX-Qj3vt8xntk8")</f>
        <v>1BbwKnMbWwdBYCEpdFconwZ_xILH2kPX-Qj3vt8xntk8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IFERROR(__xludf.DUMMYFUNCTION("""COMPUTED_VALUE"""),"1p7JeAcaHVG_A1SPdHgM-evd78CkJgoJkRTeDWckd4RI")</f>
        <v>1p7JeAcaHVG_A1SPdHgM-evd78CkJgoJkRTeDWckd4RI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IFERROR(__xludf.DUMMYFUNCTION("""COMPUTED_VALUE"""),"1LLz3d9Ay0qFO2Tla_12_h2xvLhss_jI9DSuQFTlU_-4")</f>
        <v>1LLz3d9Ay0qFO2Tla_12_h2xvLhss_jI9DSuQFTlU_-4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IFERROR(__xludf.DUMMYFUNCTION("""COMPUTED_VALUE"""),"1U-BRH15bKLYYFZT4KsAnHYfSvzq2OYUbyJ1Q899SsZo")</f>
        <v>1U-BRH15bKLYYFZT4KsAnHYfSvzq2OYUbyJ1Q899SsZo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IFERROR(__xludf.DUMMYFUNCTION("""COMPUTED_VALUE"""),"1AigkCEPlVCiWI2_hOeywoNapLN_03Q3acTp_JCEFIOQ")</f>
        <v>1AigkCEPlVCiWI2_hOeywoNapLN_03Q3acTp_JCEFIOQ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IFERROR(__xludf.DUMMYFUNCTION("""COMPUTED_VALUE"""),"1C7e-MCh1gT21XsWE5Tb7VqU31f42EtVA62RnW2VwOPQ")</f>
        <v>1C7e-MCh1gT21XsWE5Tb7VqU31f42EtVA62RnW2VwOPQ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IFERROR(__xludf.DUMMYFUNCTION("""COMPUTED_VALUE"""),"1RfBjyCTLzPEw44vo9RFEbPNENo_b3MvJETDgJ_nbkSM")</f>
        <v>1RfBjyCTLzPEw44vo9RFEbPNENo_b3MvJETDgJ_nbkSM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IFERROR(__xludf.DUMMYFUNCTION("""COMPUTED_VALUE"""),"11m6ioGVfQ91nl6h-xQws9I_OKyCH0bSRW5XRwmAkUaI")</f>
        <v>11m6ioGVfQ91nl6h-xQws9I_OKyCH0bSRW5XRwmAkUaI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IFERROR(__xludf.DUMMYFUNCTION("""COMPUTED_VALUE"""),"1y3920luel_XKEL-2MDmGAmxE3KlfO7vibX7k3zEiD9Q")</f>
        <v>1y3920luel_XKEL-2MDmGAmxE3KlfO7vibX7k3zEiD9Q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IFERROR(__xludf.DUMMYFUNCTION("""COMPUTED_VALUE"""),"1h5qvpgDwc493Hj-H0wWhM1iGSyxbWrc_X9wqtwjDzjw")</f>
        <v>1h5qvpgDwc493Hj-H0wWhM1iGSyxbWrc_X9wqtwjDzjw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IFERROR(__xludf.DUMMYFUNCTION("""COMPUTED_VALUE"""),"1T-KlzOWiZhplDNh7jZx1mhTu8M9hH3oMPjY-e5YW0xo")</f>
        <v>1T-KlzOWiZhplDNh7jZx1mhTu8M9hH3oMPjY-e5YW0xo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IFERROR(__xludf.DUMMYFUNCTION("""COMPUTED_VALUE"""),"1N4y3bAhW2tDoINGw83G-QdXBeLDO0PKtGSW5-tKN3js")</f>
        <v>1N4y3bAhW2tDoINGw83G-QdXBeLDO0PKtGSW5-tKN3js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IFERROR(__xludf.DUMMYFUNCTION("""COMPUTED_VALUE"""),"1iwI9tV-bzTDjn_UTMv4g-Fow5pL0wNDuxL4_vgERgxw")</f>
        <v>1iwI9tV-bzTDjn_UTMv4g-Fow5pL0wNDuxL4_vgERgxw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IFERROR(__xludf.DUMMYFUNCTION("""COMPUTED_VALUE"""),"1HEkSiTQJoo7hAoCQeG1OliZY3I1tX5067K2-bEPpUxg")</f>
        <v>1HEkSiTQJoo7hAoCQeG1OliZY3I1tX5067K2-bEPpUxg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IFERROR(__xludf.DUMMYFUNCTION("""COMPUTED_VALUE"""),"1-jAH0BUHYr2W4UnUXp9EOBGtAxXgCqMhloL3-aVw-xA")</f>
        <v>1-jAH0BUHYr2W4UnUXp9EOBGtAxXgCqMhloL3-aVw-xA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IFERROR(__xludf.DUMMYFUNCTION("""COMPUTED_VALUE"""),"1WjO2793DSB3AexrCH-5fVAyD2T9Kn-TpIQtV-sN3fXM")</f>
        <v>1WjO2793DSB3AexrCH-5fVAyD2T9Kn-TpIQtV-sN3fXM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IFERROR(__xludf.DUMMYFUNCTION("""COMPUTED_VALUE"""),"1FZKuHmBcm_XpFiBPl_RDPdJ0LU4pfInz2KIRBirG4RA")</f>
        <v>1FZKuHmBcm_XpFiBPl_RDPdJ0LU4pfInz2KIRBirG4RA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IFERROR(__xludf.DUMMYFUNCTION("""COMPUTED_VALUE"""),"1IsN0Cfhu8GLrkUalboK5NrRy7btTAbLYUuekJ2Ma6Yg")</f>
        <v>1IsN0Cfhu8GLrkUalboK5NrRy7btTAbLYUuekJ2Ma6Yg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IFERROR(__xludf.DUMMYFUNCTION("""COMPUTED_VALUE"""),"1LK99kRJ1Jix1IHxif4J6qr7zVjtU8vqt4IThBtuOVf4")</f>
        <v>1LK99kRJ1Jix1IHxif4J6qr7zVjtU8vqt4IThBtuOVf4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IFERROR(__xludf.DUMMYFUNCTION("""COMPUTED_VALUE"""),"1BFSIhQB5TYAg8_M-Mo1tG8w-M1mRnNY_0PslvrGE6V0")</f>
        <v>1BFSIhQB5TYAg8_M-Mo1tG8w-M1mRnNY_0PslvrGE6V0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IFERROR(__xludf.DUMMYFUNCTION("""COMPUTED_VALUE"""),"1qQZFllfIgVu8YI6RYgRzVq7hDp1kHBoOsvq3lGCpsu0")</f>
        <v>1qQZFllfIgVu8YI6RYgRzVq7hDp1kHBoOsvq3lGCpsu0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IFERROR(__xludf.DUMMYFUNCTION("""COMPUTED_VALUE"""),"1UD0TjK90W_15S50XezLY8jX9yJZvWP_kzf3zvGKH6Lo")</f>
        <v>1UD0TjK90W_15S50XezLY8jX9yJZvWP_kzf3zvGKH6Lo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IFERROR(__xludf.DUMMYFUNCTION("""COMPUTED_VALUE"""),"1d2n7uTbGUAG0Fw_-hVLgvR5bPSacMCQFYb_9Aqwi25c")</f>
        <v>1d2n7uTbGUAG0Fw_-hVLgvR5bPSacMCQFYb_9Aqwi25c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IFERROR(__xludf.DUMMYFUNCTION("""COMPUTED_VALUE"""),"1Ug5aDJXZ2MYzdZjiy87TkbK0iURa_OwZ6nFZNhxoHGY")</f>
        <v>1Ug5aDJXZ2MYzdZjiy87TkbK0iURa_OwZ6nFZNhxoHGY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IFERROR(__xludf.DUMMYFUNCTION("""COMPUTED_VALUE"""),"15kH24bHLnChO_IakP1yWGQ4NHnPUcWr-qrx2hCLl0Rs")</f>
        <v>15kH24bHLnChO_IakP1yWGQ4NHnPUcWr-qrx2hCLl0Rs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IFERROR(__xludf.DUMMYFUNCTION("""COMPUTED_VALUE"""),"1u361oGPG-Jq-p0fQA91MqPpn9RXhbu_kuvkRTxMFWxM")</f>
        <v>1u361oGPG-Jq-p0fQA91MqPpn9RXhbu_kuvkRTxMFWxM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IFERROR(__xludf.DUMMYFUNCTION("""COMPUTED_VALUE"""),"1VuEhlxb0Ntlbh7FJ4BwgZpb9ydlc_jleqg7A8gRSuOE")</f>
        <v>1VuEhlxb0Ntlbh7FJ4BwgZpb9ydlc_jleqg7A8gRSuOE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IFERROR(__xludf.DUMMYFUNCTION("""COMPUTED_VALUE"""),"1w4_aAJj7RTcH4PfJ4aGD-0Fx9fQcCz5rUlLhFvihhzU")</f>
        <v>1w4_aAJj7RTcH4PfJ4aGD-0Fx9fQcCz5rUlLhFvihhzU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IFERROR(__xludf.DUMMYFUNCTION("""COMPUTED_VALUE"""),"1QRxHDbBMkMUkH0F8WiORPd2loUWwUte9XykaaWPOOig")</f>
        <v>1QRxHDbBMkMUkH0F8WiORPd2loUWwUte9XykaaWPOOig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IFERROR(__xludf.DUMMYFUNCTION("""COMPUTED_VALUE"""),"1gOOiQiJSKveyRw21YYv0m2VV5trx-l9sZqzNVA40Sc8")</f>
        <v>1gOOiQiJSKveyRw21YYv0m2VV5trx-l9sZqzNVA40Sc8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IFERROR(__xludf.DUMMYFUNCTION("""COMPUTED_VALUE"""),"1DO2kiuySeBrdw-FrV0IYgBcHEHdO56ih8X2yodtEv_w")</f>
        <v>1DO2kiuySeBrdw-FrV0IYgBcHEHdO56ih8X2yodtEv_w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IFERROR(__xludf.DUMMYFUNCTION("""COMPUTED_VALUE"""),"1dN2leQSssJt9dSc9XBrW1dbIBOLPLbP7aD2QXcqVoYI")</f>
        <v>1dN2leQSssJt9dSc9XBrW1dbIBOLPLbP7aD2QXcqVoYI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IFERROR(__xludf.DUMMYFUNCTION("""COMPUTED_VALUE"""),"1_Bb0NJhmEZf0GRznXLKybd9VevZ8za-sCX4G7B4qtsM")</f>
        <v>1_Bb0NJhmEZf0GRznXLKybd9VevZ8za-sCX4G7B4qtsM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IFERROR(__xludf.DUMMYFUNCTION("""COMPUTED_VALUE"""),"1eXT2UFbktlYGRbqw2LWDBJOU8xuu3DfP6EZDAMps2jg")</f>
        <v>1eXT2UFbktlYGRbqw2LWDBJOU8xuu3DfP6EZDAMps2jg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IFERROR(__xludf.DUMMYFUNCTION("""COMPUTED_VALUE"""),"11A7t3ReNCtqF9GmtCIeyqSvuLyXTOIz6Z7rrR1rcLxU")</f>
        <v>11A7t3ReNCtqF9GmtCIeyqSvuLyXTOIz6Z7rrR1rcLxU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IFERROR(__xludf.DUMMYFUNCTION("""COMPUTED_VALUE"""),"1X_Y_CvwjwEfeRv6rV15vWdCxvbtSeiwVqa6n3rAtKrs")</f>
        <v>1X_Y_CvwjwEfeRv6rV15vWdCxvbtSeiwVqa6n3rAtKrs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IFERROR(__xludf.DUMMYFUNCTION("""COMPUTED_VALUE"""),"1Xnuh_Wo19bTeQK24IGGha1PcZfjhUkK-31O4OTo-8gk")</f>
        <v>1Xnuh_Wo19bTeQK24IGGha1PcZfjhUkK-31O4OTo-8gk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IFERROR(__xludf.DUMMYFUNCTION("""COMPUTED_VALUE"""),"1OPD3lVtYSDe_XHE5HwEohhSSru0N2Ct-tsJMahW36gA")</f>
        <v>1OPD3lVtYSDe_XHE5HwEohhSSru0N2Ct-tsJMahW36gA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IFERROR(__xludf.DUMMYFUNCTION("""COMPUTED_VALUE"""),"1KdWYL-9o3T_s8hnOZgoqVlgZifoowhBftf1dB8UUEjA")</f>
        <v>1KdWYL-9o3T_s8hnOZgoqVlgZifoowhBftf1dB8UUEjA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IFERROR(__xludf.DUMMYFUNCTION("""COMPUTED_VALUE"""),"1kexOrwBiHtqG3kWPF004vh7Uh_fsxYODz7FwJELyxHs")</f>
        <v>1kexOrwBiHtqG3kWPF004vh7Uh_fsxYODz7FwJELyxHs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IFERROR(__xludf.DUMMYFUNCTION("""COMPUTED_VALUE"""),"1FOz3pvVXQqHqNaQZoj1ZAwoakpNcXbTzmGBaHQHWAHg")</f>
        <v>1FOz3pvVXQqHqNaQZoj1ZAwoakpNcXbTzmGBaHQHWAHg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IFERROR(__xludf.DUMMYFUNCTION("""COMPUTED_VALUE"""),"1P5WpmZxUJFZHJeXXrd3NNkBg8pOhlyvhikvYTRi0xJw")</f>
        <v>1P5WpmZxUJFZHJeXXrd3NNkBg8pOhlyvhikvYTRi0xJw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IFERROR(__xludf.DUMMYFUNCTION("""COMPUTED_VALUE"""),"1AhbrxQBzlUvYhZ04Lc7wrtynsHI_0KCLcf8QD3l6tpk")</f>
        <v>1AhbrxQBzlUvYhZ04Lc7wrtynsHI_0KCLcf8QD3l6tpk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IFERROR(__xludf.DUMMYFUNCTION("""COMPUTED_VALUE"""),"18esH6GBNz1-GV7-ZFJ2hX2Sp9V56SlvmGczGBmWjjgk")</f>
        <v>18esH6GBNz1-GV7-ZFJ2hX2Sp9V56SlvmGczGBmWjjgk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IFERROR(__xludf.DUMMYFUNCTION("""COMPUTED_VALUE"""),"1rkw9xlq4Ee01gKbFKqk4K6RIEIEZdOXtofMrjBh_3qs")</f>
        <v>1rkw9xlq4Ee01gKbFKqk4K6RIEIEZdOXtofMrjBh_3qs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IFERROR(__xludf.DUMMYFUNCTION("""COMPUTED_VALUE"""),"1gUu6sYSTqVEyjUlOCoeeIVztfrHW4NwiHtVAghjPiO0")</f>
        <v>1gUu6sYSTqVEyjUlOCoeeIVztfrHW4NwiHtVAghjPiO0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IFERROR(__xludf.DUMMYFUNCTION("""COMPUTED_VALUE"""),"1taVilha9wCvlWWrWySxYHIg1IUM3Js0xeAEsGXu1wb4")</f>
        <v>1taVilha9wCvlWWrWySxYHIg1IUM3Js0xeAEsGXu1wb4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IFERROR(__xludf.DUMMYFUNCTION("""COMPUTED_VALUE"""),"1vPyYrDAjwQJe-gHSwofvAmZ5sGU32BIPiqw9QJOb7sE")</f>
        <v>1vPyYrDAjwQJe-gHSwofvAmZ5sGU32BIPiqw9QJOb7sE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IFERROR(__xludf.DUMMYFUNCTION("""COMPUTED_VALUE"""),"1b_5w3PXwhAeh_pAkVMhtUU4Bo19ZrhM2By_3wd6TgrU")</f>
        <v>1b_5w3PXwhAeh_pAkVMhtUU4Bo19ZrhM2By_3wd6TgrU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IFERROR(__xludf.DUMMYFUNCTION("""COMPUTED_VALUE"""),"1_zhn88q1H87WPtNgcDXU0tgtHx0YBJLMCcYxzXXroVs")</f>
        <v>1_zhn88q1H87WPtNgcDXU0tgtHx0YBJLMCcYxzXXroVs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IFERROR(__xludf.DUMMYFUNCTION("""COMPUTED_VALUE"""),"1ifdh8xwjLpytsTG8bbxfIam9ZdqvEHGM-CzxVYGEXIs")</f>
        <v>1ifdh8xwjLpytsTG8bbxfIam9ZdqvEHGM-CzxVYGEXIs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IFERROR(__xludf.DUMMYFUNCTION("""COMPUTED_VALUE"""),"1-MLs_Ww619D0GTJenhKi8JspiyKlENvHCAfkc99ZDXk")</f>
        <v>1-MLs_Ww619D0GTJenhKi8JspiyKlENvHCAfkc99ZDXk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IFERROR(__xludf.DUMMYFUNCTION("""COMPUTED_VALUE"""),"18TtTrIfDPZ4FY6y6BEM1QWT6a3RezlV2Qgs0VYjta1Y")</f>
        <v>18TtTrIfDPZ4FY6y6BEM1QWT6a3RezlV2Qgs0VYjta1Y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IFERROR(__xludf.DUMMYFUNCTION("""COMPUTED_VALUE"""),"1e-EcYLjI4QLWe-aVZQLSs4AE3HMdDde42AK_ilP7W14")</f>
        <v>1e-EcYLjI4QLWe-aVZQLSs4AE3HMdDde42AK_ilP7W14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IFERROR(__xludf.DUMMYFUNCTION("""COMPUTED_VALUE"""),"1uHiyIq7-VOPV7W3fHIxv6wpgB0bdb_j-j33CMdKoHG8")</f>
        <v>1uHiyIq7-VOPV7W3fHIxv6wpgB0bdb_j-j33CMdKoHG8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IFERROR(__xludf.DUMMYFUNCTION("""COMPUTED_VALUE"""),"1a2knGiql1wCzuaB8DKpd6ZNGZ4PU78GHbVc-HCTMRz4")</f>
        <v>1a2knGiql1wCzuaB8DKpd6ZNGZ4PU78GHbVc-HCTMRz4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IFERROR(__xludf.DUMMYFUNCTION("""COMPUTED_VALUE"""),"1azJ9v2w7AwJhl_0_bAUZne2G_SFJMuLBPzq7954262s")</f>
        <v>1azJ9v2w7AwJhl_0_bAUZne2G_SFJMuLBPzq7954262s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IFERROR(__xludf.DUMMYFUNCTION("""COMPUTED_VALUE"""),"1dywOfaMeYMgLGbyodr_rgJqA7HdxAyRDvqwTgOr_FV8")</f>
        <v>1dywOfaMeYMgLGbyodr_rgJqA7HdxAyRDvqwTgOr_FV8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IFERROR(__xludf.DUMMYFUNCTION("""COMPUTED_VALUE"""),"1K3403vK5pLvuvcWTXHu1UmgT1GohIYz7DPLRQAD0HCk")</f>
        <v>1K3403vK5pLvuvcWTXHu1UmgT1GohIYz7DPLRQAD0HCk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IFERROR(__xludf.DUMMYFUNCTION("""COMPUTED_VALUE"""),"1hgvmb7xlOL1LeDD1_c2ehf_CcTQs-NVEQcrj52EgfkY")</f>
        <v>1hgvmb7xlOL1LeDD1_c2ehf_CcTQs-NVEQcrj52EgfkY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IFERROR(__xludf.DUMMYFUNCTION("""COMPUTED_VALUE"""),"1a_lIF-yQ_4BbBIj3H4E_Sa208tyBml3azCVHLulXbZA")</f>
        <v>1a_lIF-yQ_4BbBIj3H4E_Sa208tyBml3azCVHLulXbZA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IFERROR(__xludf.DUMMYFUNCTION("""COMPUTED_VALUE"""),"1hLXxcwsJweMSg5Go7Aa_QZphxBktbdPjlASa0S1xBos")</f>
        <v>1hLXxcwsJweMSg5Go7Aa_QZphxBktbdPjlASa0S1xBos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IFERROR(__xludf.DUMMYFUNCTION("""COMPUTED_VALUE"""),"1NPXdEV4aauKt592s3ZSJRLqkCido8G_bhh0amZ9aT9g")</f>
        <v>1NPXdEV4aauKt592s3ZSJRLqkCido8G_bhh0amZ9aT9g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IFERROR(__xludf.DUMMYFUNCTION("""COMPUTED_VALUE"""),"1l0BuHlCc_a8ajF2i2LyuIx-ihrOOGibGtDl3YzOfSEY")</f>
        <v>1l0BuHlCc_a8ajF2i2LyuIx-ihrOOGibGtDl3YzOfSEY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IFERROR(__xludf.DUMMYFUNCTION("""COMPUTED_VALUE"""),"1Dpr8WIv6TDBK0rxjxSy_MqWbkp0VcPh0dzzq05jelwk")</f>
        <v>1Dpr8WIv6TDBK0rxjxSy_MqWbkp0VcPh0dzzq05jelwk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IFERROR(__xludf.DUMMYFUNCTION("""COMPUTED_VALUE"""),"1vn6eAU_TNbjFlzAIJE-M1vn49jstJpRKNVt1ALlVQus")</f>
        <v>1vn6eAU_TNbjFlzAIJE-M1vn49jstJpRKNVt1ALlVQus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IFERROR(__xludf.DUMMYFUNCTION("""COMPUTED_VALUE"""),"1vO08eQ3WtVgvFFa4m5QUSWEYmv1ZOhFWcta7Kzp1MBQ")</f>
        <v>1vO08eQ3WtVgvFFa4m5QUSWEYmv1ZOhFWcta7Kzp1MBQ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IFERROR(__xludf.DUMMYFUNCTION("""COMPUTED_VALUE"""),"1bIqD5onAh5fgPov8t1pUC5b4a9exQ5D7TG3YiT7HTiQ")</f>
        <v>1bIqD5onAh5fgPov8t1pUC5b4a9exQ5D7TG3YiT7HTiQ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IFERROR(__xludf.DUMMYFUNCTION("""COMPUTED_VALUE"""),"1oBs-bjVGuZxR8kCsLcXR9mY_XazhDhrpRb2xJaLqs_E")</f>
        <v>1oBs-bjVGuZxR8kCsLcXR9mY_XazhDhrpRb2xJaLqs_E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IFERROR(__xludf.DUMMYFUNCTION("""COMPUTED_VALUE"""),"1xtzuWBhZe0eLq8O7xxtzG82zLI_pS5mUV_moECZdNpU")</f>
        <v>1xtzuWBhZe0eLq8O7xxtzG82zLI_pS5mUV_moECZdNpU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IFERROR(__xludf.DUMMYFUNCTION("""COMPUTED_VALUE"""),"1Uee-x9kYITNzfo5Jmi-ZzN4muIc1l3aGkFEjg6zK4rw")</f>
        <v>1Uee-x9kYITNzfo5Jmi-ZzN4muIc1l3aGkFEjg6zK4rw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IFERROR(__xludf.DUMMYFUNCTION("""COMPUTED_VALUE"""),"1Ylf1m_iypjthZ6_f8Zwlk6GflWigvWKGFKPUkF0Lw3M")</f>
        <v>1Ylf1m_iypjthZ6_f8Zwlk6GflWigvWKGFKPUkF0Lw3M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IFERROR(__xludf.DUMMYFUNCTION("""COMPUTED_VALUE"""),"18mAZrsY4iORaJ31tWyzQUe_E2I0WZiducaWhtQhI1bo")</f>
        <v>18mAZrsY4iORaJ31tWyzQUe_E2I0WZiducaWhtQhI1bo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IFERROR(__xludf.DUMMYFUNCTION("""COMPUTED_VALUE"""),"14z6QrYYlP1TDKDUb39O0_rjdC6MZsyDDHft5bKbFe7Y")</f>
        <v>14z6QrYYlP1TDKDUb39O0_rjdC6MZsyDDHft5bKbFe7Y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IFERROR(__xludf.DUMMYFUNCTION("""COMPUTED_VALUE"""),"1cUl6l-zlpV-4qvapXc106s6KeXaODz51BbbafJiEu1o")</f>
        <v>1cUl6l-zlpV-4qvapXc106s6KeXaODz51BbbafJiEu1o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IFERROR(__xludf.DUMMYFUNCTION("""COMPUTED_VALUE"""),"1wcOWSlWdG4WrRltcCk8absTbbQd4rfzbEvV0Z6QnDIw")</f>
        <v>1wcOWSlWdG4WrRltcCk8absTbbQd4rfzbEvV0Z6QnDIw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IFERROR(__xludf.DUMMYFUNCTION("""COMPUTED_VALUE"""),"16Tth7MhAr108iP6FoFBCWQNX3Hmi5JoCWiuEzBw-oDs")</f>
        <v>16Tth7MhAr108iP6FoFBCWQNX3Hmi5JoCWiuEzBw-oDs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IFERROR(__xludf.DUMMYFUNCTION("""COMPUTED_VALUE"""),"1l2IXt5uxs1t4URHUX-BmZTtbv2Q2iQVM5OFWXazn3Wc")</f>
        <v>1l2IXt5uxs1t4URHUX-BmZTtbv2Q2iQVM5OFWXazn3Wc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IFERROR(__xludf.DUMMYFUNCTION("""COMPUTED_VALUE"""),"1_4imnW45MZPZdDQqRFOTudFEJKoWNdNsFhqwsPVjiyI")</f>
        <v>1_4imnW45MZPZdDQqRFOTudFEJKoWNdNsFhqwsPVjiyI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IFERROR(__xludf.DUMMYFUNCTION("""COMPUTED_VALUE"""),"1QO8L98pM1tM7XV0KByn2LfhNUlfBr61uBaOgp8tlTrY")</f>
        <v>1QO8L98pM1tM7XV0KByn2LfhNUlfBr61uBaOgp8tlTrY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IFERROR(__xludf.DUMMYFUNCTION("""COMPUTED_VALUE"""),"1El5uRwN8Zwko5NwYgHohK1zpiRKkh_YePJ0cX2E3glo")</f>
        <v>1El5uRwN8Zwko5NwYgHohK1zpiRKkh_YePJ0cX2E3glo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IFERROR(__xludf.DUMMYFUNCTION("""COMPUTED_VALUE"""),"1Gty3Ew09-jbNIs7SPwjiMC4qk0nDYdsdjNgVHEdl6r0")</f>
        <v>1Gty3Ew09-jbNIs7SPwjiMC4qk0nDYdsdjNgVHEdl6r0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IFERROR(__xludf.DUMMYFUNCTION("""COMPUTED_VALUE"""),"1h8dY4l_y7yym8l9hTXHVlg3E6GsG52_9KIo5GFjmA8k")</f>
        <v>1h8dY4l_y7yym8l9hTXHVlg3E6GsG52_9KIo5GFjmA8k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IFERROR(__xludf.DUMMYFUNCTION("""COMPUTED_VALUE"""),"1dwpz97u-suG-Fl1p7vL-LH_dugKcjjOV8oBHWhL-Ggg")</f>
        <v>1dwpz97u-suG-Fl1p7vL-LH_dugKcjjOV8oBHWhL-Ggg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IFERROR(__xludf.DUMMYFUNCTION("""COMPUTED_VALUE"""),"1RUpNNC94eo6CzUCyYXnEgJjNJNHljZmxUqpU88hDqvo")</f>
        <v>1RUpNNC94eo6CzUCyYXnEgJjNJNHljZmxUqpU88hDqvo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IFERROR(__xludf.DUMMYFUNCTION("""COMPUTED_VALUE"""),"1AFiNBanUg4LBaZwE0sKs99uF_4CT4Qq3z4KSYaBlk8s")</f>
        <v>1AFiNBanUg4LBaZwE0sKs99uF_4CT4Qq3z4KSYaBlk8s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IFERROR(__xludf.DUMMYFUNCTION("""COMPUTED_VALUE"""),"1Ns2Ww-kwbzOvCy0I9cUznz2PW19y3SgMCpf0oi4ieAA")</f>
        <v>1Ns2Ww-kwbzOvCy0I9cUznz2PW19y3SgMCpf0oi4ieAA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IFERROR(__xludf.DUMMYFUNCTION("""COMPUTED_VALUE"""),"1LAiUKfzdOor0ACQpWIfOZgQ4MfnhBXObmZFMPVXU20w")</f>
        <v>1LAiUKfzdOor0ACQpWIfOZgQ4MfnhBXObmZFMPVXU20w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IFERROR(__xludf.DUMMYFUNCTION("""COMPUTED_VALUE"""),"1yd48b6wQ6aCrLoLmfkjO8wiQZP62vLgpK_Q_eTapu4w")</f>
        <v>1yd48b6wQ6aCrLoLmfkjO8wiQZP62vLgpK_Q_eTapu4w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IFERROR(__xludf.DUMMYFUNCTION("""COMPUTED_VALUE"""),"1QqGxhnz20HsALFYnGuJyEDL2dd1qSmiBMaPsF8MowY4")</f>
        <v>1QqGxhnz20HsALFYnGuJyEDL2dd1qSmiBMaPsF8MowY4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IFERROR(__xludf.DUMMYFUNCTION("""COMPUTED_VALUE"""),"1NsNQ11sPW94qOsA9wYppHUUVQ7VTg0TDchX6vMjxHSM")</f>
        <v>1NsNQ11sPW94qOsA9wYppHUUVQ7VTg0TDchX6vMjxHSM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IFERROR(__xludf.DUMMYFUNCTION("""COMPUTED_VALUE"""),"1-qgayCVgYh-TiFPYq2yiHpH2YNskBCiyIqUU44hFn5Q")</f>
        <v>1-qgayCVgYh-TiFPYq2yiHpH2YNskBCiyIqUU44hFn5Q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IFERROR(__xludf.DUMMYFUNCTION("""COMPUTED_VALUE"""),"1E2U9CGylDUGLaqjTgTRpuzNMvkBV33m3fLyu2q73_EA")</f>
        <v>1E2U9CGylDUGLaqjTgTRpuzNMvkBV33m3fLyu2q73_EA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IFERROR(__xludf.DUMMYFUNCTION("""COMPUTED_VALUE"""),"1MgEuiFXaa1Xj8qTQvvYNz_eFGUeOpsltw9v4WXyPp2Y")</f>
        <v>1MgEuiFXaa1Xj8qTQvvYNz_eFGUeOpsltw9v4WXyPp2Y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IFERROR(__xludf.DUMMYFUNCTION("""COMPUTED_VALUE"""),"1JXTS2aPwtzmzfaVv_4dqx8kGMWZ6ZPlluMh_AtB-VLM")</f>
        <v>1JXTS2aPwtzmzfaVv_4dqx8kGMWZ6ZPlluMh_AtB-VLM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IFERROR(__xludf.DUMMYFUNCTION("""COMPUTED_VALUE"""),"1GexWNjbmQyaHL_wkUkmt5M8rNIMs2PLpyJ1OKlPF_6U")</f>
        <v>1GexWNjbmQyaHL_wkUkmt5M8rNIMs2PLpyJ1OKlPF_6U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IFERROR(__xludf.DUMMYFUNCTION("""COMPUTED_VALUE"""),"1DKCTM5c59GatMPMxnS0Zbz1IgpCEMmNSn4fulcFSBWA")</f>
        <v>1DKCTM5c59GatMPMxnS0Zbz1IgpCEMmNSn4fulcFSBWA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IFERROR(__xludf.DUMMYFUNCTION("""COMPUTED_VALUE"""),"1TeGYQgGxypH87IAS1MA8NIqqh4_U0q0H_IsXTnmORFw")</f>
        <v>1TeGYQgGxypH87IAS1MA8NIqqh4_U0q0H_IsXTnmORFw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IFERROR(__xludf.DUMMYFUNCTION("""COMPUTED_VALUE"""),"1uZhdRETigrNB3cZo1BXMteOrJRYMf6Vdte0mKG3B7a4")</f>
        <v>1uZhdRETigrNB3cZo1BXMteOrJRYMf6Vdte0mKG3B7a4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IFERROR(__xludf.DUMMYFUNCTION("""COMPUTED_VALUE"""),"11LnIuQUyQWz16zxwmr7_BDMlsw3tCEXwF0lALQ35sts")</f>
        <v>11LnIuQUyQWz16zxwmr7_BDMlsw3tCEXwF0lALQ35sts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IFERROR(__xludf.DUMMYFUNCTION("""COMPUTED_VALUE"""),"1NeZSwz1SIB3gUqQIL6UzRE-Qr4gJDeQupuxQaufcHLY")</f>
        <v>1NeZSwz1SIB3gUqQIL6UzRE-Qr4gJDeQupuxQaufcHLY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IFERROR(__xludf.DUMMYFUNCTION("""COMPUTED_VALUE"""),"1vv3kyJccjfIyDBgn04x7w4Z7FTIBcJUQzYbJHry0Wks")</f>
        <v>1vv3kyJccjfIyDBgn04x7w4Z7FTIBcJUQzYbJHry0Wks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IFERROR(__xludf.DUMMYFUNCTION("""COMPUTED_VALUE"""),"16iJOTy3fdvVyoTNVUlTTv2ipMkLHpwnR83hPFzIH7Ak")</f>
        <v>16iJOTy3fdvVyoTNVUlTTv2ipMkLHpwnR83hPFzIH7Ak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IFERROR(__xludf.DUMMYFUNCTION("""COMPUTED_VALUE"""),"1akNR1Amf59L1AstQQY5CTYwWnooFsbcOYuynBM4CKmM")</f>
        <v>1akNR1Amf59L1AstQQY5CTYwWnooFsbcOYuynBM4CKmM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IFERROR(__xludf.DUMMYFUNCTION("""COMPUTED_VALUE"""),"1LuYoSjO5AtvBb9EYhrEUIwfKVSVQx9KjgCN-yIF7lFk")</f>
        <v>1LuYoSjO5AtvBb9EYhrEUIwfKVSVQx9KjgCN-yIF7lFk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IFERROR(__xludf.DUMMYFUNCTION("""COMPUTED_VALUE"""),"1KxvRGZsDhpllA_7NzN1oRSxO912EnakDtX0IH-ZIdC4")</f>
        <v>1KxvRGZsDhpllA_7NzN1oRSxO912EnakDtX0IH-ZIdC4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IFERROR(__xludf.DUMMYFUNCTION("""COMPUTED_VALUE"""),"1EkVmrnKs5-j3ysMwtCilrRqPyrGmw8rBBIGOYfmBm9Y")</f>
        <v>1EkVmrnKs5-j3ysMwtCilrRqPyrGmw8rBBIGOYfmBm9Y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IFERROR(__xludf.DUMMYFUNCTION("""COMPUTED_VALUE"""),"1Df8QexVjibp6e-DrJ15K3SNBfL1Xk8NzcYqAlIfaa0Q")</f>
        <v>1Df8QexVjibp6e-DrJ15K3SNBfL1Xk8NzcYqAlIfaa0Q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IFERROR(__xludf.DUMMYFUNCTION("""COMPUTED_VALUE"""),"1_Z5bqDo4adEqHJVIqWRtiyLJ5XKZ_2mwsPRoF8LP0Bw")</f>
        <v>1_Z5bqDo4adEqHJVIqWRtiyLJ5XKZ_2mwsPRoF8LP0Bw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IFERROR(__xludf.DUMMYFUNCTION("""COMPUTED_VALUE"""),"13xi1kTQASkj8aQlRGOWvQoPk02IQ_8Htevc-MnANS_E")</f>
        <v>13xi1kTQASkj8aQlRGOWvQoPk02IQ_8Htevc-MnANS_E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IFERROR(__xludf.DUMMYFUNCTION("""COMPUTED_VALUE"""),"1A8qhbXaCu_lyhbz2UUV32k3iWOdMoe0Sf6z4T7bvx9A")</f>
        <v>1A8qhbXaCu_lyhbz2UUV32k3iWOdMoe0Sf6z4T7bvx9A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IFERROR(__xludf.DUMMYFUNCTION("""COMPUTED_VALUE"""),"1BnawmW4udc8sZOPuV7h7bRAlUEV61-K41xkK0_fFpqM")</f>
        <v>1BnawmW4udc8sZOPuV7h7bRAlUEV61-K41xkK0_fFpqM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IFERROR(__xludf.DUMMYFUNCTION("""COMPUTED_VALUE"""),"1CgHn_7kdT53U7SiVepIsdA1uAaPRM8bfTqAGitUOOP4")</f>
        <v>1CgHn_7kdT53U7SiVepIsdA1uAaPRM8bfTqAGitUOOP4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IFERROR(__xludf.DUMMYFUNCTION("""COMPUTED_VALUE"""),"1mmWGifvPj1sNVTticw-ikM3hyycxf4NX4_kCu7BEFVg")</f>
        <v>1mmWGifvPj1sNVTticw-ikM3hyycxf4NX4_kCu7BEFVg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IFERROR(__xludf.DUMMYFUNCTION("""COMPUTED_VALUE"""),"1Bv6bI4dQ2ISUgEtnN3hvoJAzlS1QXNp7i6djThWT5cY")</f>
        <v>1Bv6bI4dQ2ISUgEtnN3hvoJAzlS1QXNp7i6djThWT5cY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IFERROR(__xludf.DUMMYFUNCTION("""COMPUTED_VALUE"""),"12O1uREcq0M99vtEd065TQGLRLI69TvAORCdhR9BifGE")</f>
        <v>12O1uREcq0M99vtEd065TQGLRLI69TvAORCdhR9BifGE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IFERROR(__xludf.DUMMYFUNCTION("""COMPUTED_VALUE"""),"1GwliO03epBl45R4knM3UVULlRK9QRt0v-e2GwmiEUVI")</f>
        <v>1GwliO03epBl45R4knM3UVULlRK9QRt0v-e2GwmiEUVI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IFERROR(__xludf.DUMMYFUNCTION("""COMPUTED_VALUE"""),"1YjVe9_PX2h3FN6yNWurYgQZIShnphN6dzATY8FarTcw")</f>
        <v>1YjVe9_PX2h3FN6yNWurYgQZIShnphN6dzATY8FarTcw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IFERROR(__xludf.DUMMYFUNCTION("""COMPUTED_VALUE"""),"1i5E-WuqIWaEe-yq-sesr8ybgECXELHpH055E0IrggKc")</f>
        <v>1i5E-WuqIWaEe-yq-sesr8ybgECXELHpH055E0IrggKc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IFERROR(__xludf.DUMMYFUNCTION("""COMPUTED_VALUE"""),"1LqHFuFqpoaWRQRABWhj8ApwmhDIIDfhqJOvirqq1jXs")</f>
        <v>1LqHFuFqpoaWRQRABWhj8ApwmhDIIDfhqJOvirqq1jXs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IFERROR(__xludf.DUMMYFUNCTION("""COMPUTED_VALUE"""),"1SRIxoyDz2yiuwxeL4eG8FC_4NGCpPmQ7cq3BGkqiS_M")</f>
        <v>1SRIxoyDz2yiuwxeL4eG8FC_4NGCpPmQ7cq3BGkqiS_M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IFERROR(__xludf.DUMMYFUNCTION("""COMPUTED_VALUE"""),"1NBKCTAbyW8FTd7HpiDVAL8uUdoKPPfDaX-zyJ69TnN8")</f>
        <v>1NBKCTAbyW8FTd7HpiDVAL8uUdoKPPfDaX-zyJ69TnN8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IFERROR(__xludf.DUMMYFUNCTION("""COMPUTED_VALUE"""),"1UfijNzsxS8xhicrd1aaNFJ8AVGE-4qurWWApSDn5ctE")</f>
        <v>1UfijNzsxS8xhicrd1aaNFJ8AVGE-4qurWWApSDn5ctE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IFERROR(__xludf.DUMMYFUNCTION("""COMPUTED_VALUE"""),"1hZIgWSjxAyvd_l19sawUh-Lx7qkIkwoEJWszPqq6LiM")</f>
        <v>1hZIgWSjxAyvd_l19sawUh-Lx7qkIkwoEJWszPqq6LiM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IFERROR(__xludf.DUMMYFUNCTION("""COMPUTED_VALUE"""),"1fx7weHaG3pIYPq09mXJDlCsGxJxkuwvD9qpnxGKxsUg")</f>
        <v>1fx7weHaG3pIYPq09mXJDlCsGxJxkuwvD9qpnxGKxsUg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IFERROR(__xludf.DUMMYFUNCTION("""COMPUTED_VALUE"""),"1idwtgSTl3puPU819EeoiFOFlLMiFqqc7fSq_DQM9Ahw")</f>
        <v>1idwtgSTl3puPU819EeoiFOFlLMiFqqc7fSq_DQM9Ahw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IFERROR(__xludf.DUMMYFUNCTION("""COMPUTED_VALUE"""),"1yALn3s6q8XYTgNqh8-DnAgKgqPoPCCf4cd3q4rK7dc4")</f>
        <v>1yALn3s6q8XYTgNqh8-DnAgKgqPoPCCf4cd3q4rK7dc4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IFERROR(__xludf.DUMMYFUNCTION("""COMPUTED_VALUE"""),"1NuhPbvX0aXlI0GJFIFdnaVEUWbKSGZAOsYo2ZJs_LTI")</f>
        <v>1NuhPbvX0aXlI0GJFIFdnaVEUWbKSGZAOsYo2ZJs_LTI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IFERROR(__xludf.DUMMYFUNCTION("""COMPUTED_VALUE"""),"1FPAHemO6UOqAm-LkkBB9rvkNCOTy_xygY4DA2D71HrY")</f>
        <v>1FPAHemO6UOqAm-LkkBB9rvkNCOTy_xygY4DA2D71HrY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IFERROR(__xludf.DUMMYFUNCTION("""COMPUTED_VALUE"""),"1HD9Qq-FkgtsDvTn0E1mBJqbrvDYs85STToXiwyfSFIc")</f>
        <v>1HD9Qq-FkgtsDvTn0E1mBJqbrvDYs85STToXiwyfSFIc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IFERROR(__xludf.DUMMYFUNCTION("""COMPUTED_VALUE"""),"1aMbSm8ZDz2Qwg0lNK8q7egOJXYlZK0_CTEZ8ROuOuw4")</f>
        <v>1aMbSm8ZDz2Qwg0lNK8q7egOJXYlZK0_CTEZ8ROuOuw4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IFERROR(__xludf.DUMMYFUNCTION("""COMPUTED_VALUE"""),"1C9HB4waKEi-rOcSPUPOqqKP4_UtACzcf-3WiPrg8wl8")</f>
        <v>1C9HB4waKEi-rOcSPUPOqqKP4_UtACzcf-3WiPrg8wl8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IFERROR(__xludf.DUMMYFUNCTION("""COMPUTED_VALUE"""),"1CrtezjyXDUNI03P2ug3fbBszOkDQB11KC1jkQWvhhb0")</f>
        <v>1CrtezjyXDUNI03P2ug3fbBszOkDQB11KC1jkQWvhhb0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IFERROR(__xludf.DUMMYFUNCTION("""COMPUTED_VALUE"""),"1aaVe9FlMYC6RFGiTb4FjozEKzxGyq3kDwxhYjfzfAD4")</f>
        <v>1aaVe9FlMYC6RFGiTb4FjozEKzxGyq3kDwxhYjfzfAD4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IFERROR(__xludf.DUMMYFUNCTION("""COMPUTED_VALUE"""),"17-t-GrQf2zL-8Q67F4HdNpsG_6uuzTew55S0LtWs234")</f>
        <v>17-t-GrQf2zL-8Q67F4HdNpsG_6uuzTew55S0LtWs234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IFERROR(__xludf.DUMMYFUNCTION("""COMPUTED_VALUE"""),"1XTJi2OXX9tDNK8ST579LThIVIiMnVsCWKD8hYv1DwCk")</f>
        <v>1XTJi2OXX9tDNK8ST579LThIVIiMnVsCWKD8hYv1DwCk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IFERROR(__xludf.DUMMYFUNCTION("""COMPUTED_VALUE"""),"18i3ZoYVYHAnZwXwaD1wecFKaay3F1XWD-fGr1yOXxiI")</f>
        <v>18i3ZoYVYHAnZwXwaD1wecFKaay3F1XWD-fGr1yOXxiI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IFERROR(__xludf.DUMMYFUNCTION("""COMPUTED_VALUE"""),"1aIaLYmwd1_7VvSXSXs0xCiLDHvkOFY2I2WhFegjZjbM")</f>
        <v>1aIaLYmwd1_7VvSXSXs0xCiLDHvkOFY2I2WhFegjZjbM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IFERROR(__xludf.DUMMYFUNCTION("""COMPUTED_VALUE"""),"1Gt4DTANotwpTFTn2K0N4FyEH3Wy4mVS3CndTI3qhjT0")</f>
        <v>1Gt4DTANotwpTFTn2K0N4FyEH3Wy4mVS3CndTI3qhjT0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IFERROR(__xludf.DUMMYFUNCTION("""COMPUTED_VALUE"""),"1k4O2DH0z6o7Zp7BJki2B-GvLEd7WL3r0-BBl39ErSwA")</f>
        <v>1k4O2DH0z6o7Zp7BJki2B-GvLEd7WL3r0-BBl39ErSwA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IFERROR(__xludf.DUMMYFUNCTION("""COMPUTED_VALUE"""),"14NB1Fv5kuloQb2TqNZV019UwD238JCIlsMkapq0l2ag")</f>
        <v>14NB1Fv5kuloQb2TqNZV019UwD238JCIlsMkapq0l2ag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IFERROR(__xludf.DUMMYFUNCTION("""COMPUTED_VALUE"""),"1QQqyEJAxSiITSpbxeSzT-43Z_t_k8RMkNqyDU83B9yw")</f>
        <v>1QQqyEJAxSiITSpbxeSzT-43Z_t_k8RMkNqyDU83B9yw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IFERROR(__xludf.DUMMYFUNCTION("""COMPUTED_VALUE"""),"1dg717feD1PLoJMODUOkjay-kVKs_HU6lWkwzq6Dzicw")</f>
        <v>1dg717feD1PLoJMODUOkjay-kVKs_HU6lWkwzq6Dzicw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IFERROR(__xludf.DUMMYFUNCTION("""COMPUTED_VALUE"""),"1DhgxoqROPCGpHN0ZvF_CxvGD_XGKqi4hirH4AyU5edM")</f>
        <v>1DhgxoqROPCGpHN0ZvF_CxvGD_XGKqi4hirH4AyU5edM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IFERROR(__xludf.DUMMYFUNCTION("""COMPUTED_VALUE"""),"13ISfl53WS5qjapt8_QubQCWQC5PngpTaN-DNznWEfnM")</f>
        <v>13ISfl53WS5qjapt8_QubQCWQC5PngpTaN-DNznWEfnM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IFERROR(__xludf.DUMMYFUNCTION("""COMPUTED_VALUE"""),"1lX2ofL0aTKUlfGG5tlpbifm1409nxXKN3EvA38tIwsI")</f>
        <v>1lX2ofL0aTKUlfGG5tlpbifm1409nxXKN3EvA38tIwsI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IFERROR(__xludf.DUMMYFUNCTION("""COMPUTED_VALUE"""),"1xGs6-0rm5y24BDfu0xaFuFjmw24xo_mnA1FsmchPkoQ")</f>
        <v>1xGs6-0rm5y24BDfu0xaFuFjmw24xo_mnA1FsmchPkoQ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IFERROR(__xludf.DUMMYFUNCTION("""COMPUTED_VALUE"""),"1sXlRlM3l3g7Y_cbxe72XjBbsp4DKHWhRKjq3FHbAEZg")</f>
        <v>1sXlRlM3l3g7Y_cbxe72XjBbsp4DKHWhRKjq3FHbAEZg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IFERROR(__xludf.DUMMYFUNCTION("""COMPUTED_VALUE"""),"1K3kCif21tZY3Z_07H3JuRu8yZ2BuxGjW7WwookIx-Fc")</f>
        <v>1K3kCif21tZY3Z_07H3JuRu8yZ2BuxGjW7WwookIx-Fc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IFERROR(__xludf.DUMMYFUNCTION("""COMPUTED_VALUE"""),"1-12TcMWdB2mXxQH8e7co5k5BUH-Uzpps1uWKQ-CLR00")</f>
        <v>1-12TcMWdB2mXxQH8e7co5k5BUH-Uzpps1uWKQ-CLR00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IFERROR(__xludf.DUMMYFUNCTION("""COMPUTED_VALUE"""),"1te_tPkqDmMAupeEd8qm_jD3j66mFB1Z4N9FMCo8XPy4")</f>
        <v>1te_tPkqDmMAupeEd8qm_jD3j66mFB1Z4N9FMCo8XPy4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IFERROR(__xludf.DUMMYFUNCTION("""COMPUTED_VALUE"""),"1E9KQGFIuEW08WBNI-XqSj37_5i6SG51bbwPJ0NN4Mmc")</f>
        <v>1E9KQGFIuEW08WBNI-XqSj37_5i6SG51bbwPJ0NN4Mmc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IFERROR(__xludf.DUMMYFUNCTION("""COMPUTED_VALUE"""),"1eQ05g7FlkoucBRzqzHC6DYgristCD8IKA7i0JOPqMMs")</f>
        <v>1eQ05g7FlkoucBRzqzHC6DYgristCD8IKA7i0JOPqMMs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IFERROR(__xludf.DUMMYFUNCTION("""COMPUTED_VALUE"""),"1_Kaj9Gla2_3_3DWDcJLohN-Ulu6Or19SpBltOn1IqpA")</f>
        <v>1_Kaj9Gla2_3_3DWDcJLohN-Ulu6Or19SpBltOn1IqpA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IFERROR(__xludf.DUMMYFUNCTION("""COMPUTED_VALUE"""),"1x0tSTgqZ5yRnN4Tz7nFtGYNGMoM4Tz6TBq0Ru3xflwY")</f>
        <v>1x0tSTgqZ5yRnN4Tz7nFtGYNGMoM4Tz6TBq0Ru3xflwY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IFERROR(__xludf.DUMMYFUNCTION("""COMPUTED_VALUE"""),"19__Spg6yNEdiEgPsq0ju_vHO7AEAj0c1TjazwCSKFSs")</f>
        <v>19__Spg6yNEdiEgPsq0ju_vHO7AEAj0c1TjazwCSKFSs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IFERROR(__xludf.DUMMYFUNCTION("""COMPUTED_VALUE"""),"1jZq080VyNhunffpTX7Q8WctBF6FMMlgDqxOs2X0M62s")</f>
        <v>1jZq080VyNhunffpTX7Q8WctBF6FMMlgDqxOs2X0M62s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IFERROR(__xludf.DUMMYFUNCTION("""COMPUTED_VALUE"""),"1yFQmKvzwAFdsY1i_j5krUyRXB0Jw9K6HiJ1sedlnizE")</f>
        <v>1yFQmKvzwAFdsY1i_j5krUyRXB0Jw9K6HiJ1sedlnizE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IFERROR(__xludf.DUMMYFUNCTION("""COMPUTED_VALUE"""),"1Dpr8WIv6TDBK0rxjxSy_MqWbkp0VcPh0dzzq05jelwk")</f>
        <v>1Dpr8WIv6TDBK0rxjxSy_MqWbkp0VcPh0dzzq05jelwk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IFERROR(__xludf.DUMMYFUNCTION("""COMPUTED_VALUE"""),"1U3Lll-22S6_flQX8K9e2RYFi60F4xvlFiIrO7oI53SM")</f>
        <v>1U3Lll-22S6_flQX8K9e2RYFi60F4xvlFiIrO7oI53SM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IFERROR(__xludf.DUMMYFUNCTION("""COMPUTED_VALUE"""),"1tWUIoWkYt76dEoPLffGeR3BKhumyPmGYrDDpNHf57-E")</f>
        <v>1tWUIoWkYt76dEoPLffGeR3BKhumyPmGYrDDpNHf57-E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IFERROR(__xludf.DUMMYFUNCTION("""COMPUTED_VALUE"""),"1B21k1fT7qeMq7F9lYaslrVehhg0joFVgy-pYc8Lkmf8")</f>
        <v>1B21k1fT7qeMq7F9lYaslrVehhg0joFVgy-pYc8Lkmf8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IFERROR(__xludf.DUMMYFUNCTION("""COMPUTED_VALUE"""),"1h4P6VS7hFcj6Gpcpap9UycUQLIp7GSGhFN-Pc67f1mU")</f>
        <v>1h4P6VS7hFcj6Gpcpap9UycUQLIp7GSGhFN-Pc67f1mU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IFERROR(__xludf.DUMMYFUNCTION("""COMPUTED_VALUE"""),"1tQChZuaBAI5usO4RbYIySlrw0tFhWje4RI-gh286me8")</f>
        <v>1tQChZuaBAI5usO4RbYIySlrw0tFhWje4RI-gh286me8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IFERROR(__xludf.DUMMYFUNCTION("""COMPUTED_VALUE"""),"1Sm5U6q-jz5LeKeyf9JfBjKzov0tNefLFi5MsaafqKYg")</f>
        <v>1Sm5U6q-jz5LeKeyf9JfBjKzov0tNefLFi5MsaafqKYg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IFERROR(__xludf.DUMMYFUNCTION("""COMPUTED_VALUE"""),"1DudMRucUgcEjmlylDgFYqu5uXTRzRsr-jnE6lVHMbjY")</f>
        <v>1DudMRucUgcEjmlylDgFYqu5uXTRzRsr-jnE6lVHMbjY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IFERROR(__xludf.DUMMYFUNCTION("""COMPUTED_VALUE"""),"1XmnTrOtQLoxDHPfo2HMbZB9NBqLkHPulaqnXm4cQ5KA")</f>
        <v>1XmnTrOtQLoxDHPfo2HMbZB9NBqLkHPulaqnXm4cQ5KA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IFERROR(__xludf.DUMMYFUNCTION("""COMPUTED_VALUE"""),"1T9s9NPtF9Q_Ppi6FLLTTJxb43fAm4QnWCD3GM96gXjQ")</f>
        <v>1T9s9NPtF9Q_Ppi6FLLTTJxb43fAm4QnWCD3GM96gXjQ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IFERROR(__xludf.DUMMYFUNCTION("""COMPUTED_VALUE"""),"13Bo68XuCJXrtlP5Ji1GdlQm3HIyUjNAnbQEqNi_0j80")</f>
        <v>13Bo68XuCJXrtlP5Ji1GdlQm3HIyUjNAnbQEqNi_0j80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IFERROR(__xludf.DUMMYFUNCTION("""COMPUTED_VALUE"""),"1KR8LzaHhEwxGacZ2Jul0uakCfHBvSq8Om-PWySPLpHU")</f>
        <v>1KR8LzaHhEwxGacZ2Jul0uakCfHBvSq8Om-PWySPLpHU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IFERROR(__xludf.DUMMYFUNCTION("""COMPUTED_VALUE"""),"1fkU0S4violR7UFjAn9TlUpgOonAIAkkJZA9g0xcb6hU")</f>
        <v>1fkU0S4violR7UFjAn9TlUpgOonAIAkkJZA9g0xcb6hU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IFERROR(__xludf.DUMMYFUNCTION("""COMPUTED_VALUE"""),"14GA6gCi0TKNLF2vISw-OK2MXQBKkoHIrNEl4pTEICeg")</f>
        <v>14GA6gCi0TKNLF2vISw-OK2MXQBKkoHIrNEl4pTEICeg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IFERROR(__xludf.DUMMYFUNCTION("""COMPUTED_VALUE"""),"1fRtlhH7TyRkIcxAV3P_BFbmJBgSLDwOvrBxrqiU6xKw")</f>
        <v>1fRtlhH7TyRkIcxAV3P_BFbmJBgSLDwOvrBxrqiU6xKw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IFERROR(__xludf.DUMMYFUNCTION("""COMPUTED_VALUE"""),"18BzE30Ho0Qvtx4D8qR8XqV6nyyOdYbSVu-Z17SjWyuA")</f>
        <v>18BzE30Ho0Qvtx4D8qR8XqV6nyyOdYbSVu-Z17SjWyuA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IFERROR(__xludf.DUMMYFUNCTION("""COMPUTED_VALUE"""),"175euYUhYwu8NiO4e3-6islzKymxACVs9cl3KioQ0DbA")</f>
        <v>175euYUhYwu8NiO4e3-6islzKymxACVs9cl3KioQ0DbA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IFERROR(__xludf.DUMMYFUNCTION("""COMPUTED_VALUE"""),"1aAWPiagRSQBPzFpFvPGXOL3ffgkx6Nv3C5nWfeoNcgM")</f>
        <v>1aAWPiagRSQBPzFpFvPGXOL3ffgkx6Nv3C5nWfeoNcgM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IFERROR(__xludf.DUMMYFUNCTION("""COMPUTED_VALUE"""),"1VxR48DRURy-5fMryJTwAP30_4MHBsyd5IYM_MA17mH4")</f>
        <v>1VxR48DRURy-5fMryJTwAP30_4MHBsyd5IYM_MA17mH4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IFERROR(__xludf.DUMMYFUNCTION("""COMPUTED_VALUE"""),"1KOVAJXM-60wuzbemyOcR8_7Pu3PI0nXBRqpYgb3dzkU")</f>
        <v>1KOVAJXM-60wuzbemyOcR8_7Pu3PI0nXBRqpYgb3dzkU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IFERROR(__xludf.DUMMYFUNCTION("""COMPUTED_VALUE"""),"125GL21UTNAv-VPIkHZbpZjsENPGN-XLVcbrUI4CZxxA")</f>
        <v>125GL21UTNAv-VPIkHZbpZjsENPGN-XLVcbrUI4CZxxA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IFERROR(__xludf.DUMMYFUNCTION("""COMPUTED_VALUE"""),"1kblrJiY5tjWVV0kCU90-uYIUPjXfJMDg72L-1IJOLGU")</f>
        <v>1kblrJiY5tjWVV0kCU90-uYIUPjXfJMDg72L-1IJOLGU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IFERROR(__xludf.DUMMYFUNCTION("""COMPUTED_VALUE"""),"1flh7l8ahyS7C018bO_Y6k1K-XT76tXzdz53HLkQ4xU4")</f>
        <v>1flh7l8ahyS7C018bO_Y6k1K-XT76tXzdz53HLkQ4xU4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IFERROR(__xludf.DUMMYFUNCTION("""COMPUTED_VALUE"""),"1MPmJ5VEjT-ZUHCoVctZCP9aHjIzuZW0_hruDc41GD-A")</f>
        <v>1MPmJ5VEjT-ZUHCoVctZCP9aHjIzuZW0_hruDc41GD-A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IFERROR(__xludf.DUMMYFUNCTION("""COMPUTED_VALUE"""),"1YPCy9ceoUg_SjAt-3PXhz8GxVOfWkuIJ1yRR9c0aZrE")</f>
        <v>1YPCy9ceoUg_SjAt-3PXhz8GxVOfWkuIJ1yRR9c0aZrE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IFERROR(__xludf.DUMMYFUNCTION("""COMPUTED_VALUE"""),"1YMp0jrKM8rLBzloaDu3tQ6aTv8C98xCVaQ6Wxe_flKc")</f>
        <v>1YMp0jrKM8rLBzloaDu3tQ6aTv8C98xCVaQ6Wxe_flKc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IFERROR(__xludf.DUMMYFUNCTION("""COMPUTED_VALUE"""),"1nK0OIxssf5AR0xHG2TzYVlqjkwDX8BRkcb7sWcPW2kA")</f>
        <v>1nK0OIxssf5AR0xHG2TzYVlqjkwDX8BRkcb7sWcPW2kA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IFERROR(__xludf.DUMMYFUNCTION("""COMPUTED_VALUE"""),"1QX_rYsr8GIcxa1bv4oQ2qNxe0w-YwiY_loABgwfLsP0")</f>
        <v>1QX_rYsr8GIcxa1bv4oQ2qNxe0w-YwiY_loABgwfLsP0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IFERROR(__xludf.DUMMYFUNCTION("""COMPUTED_VALUE"""),"10Mzp90fyme73_sxAYwM2i8xwqgeQUe_de_N7Y-Cnu6Q")</f>
        <v>10Mzp90fyme73_sxAYwM2i8xwqgeQUe_de_N7Y-Cnu6Q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IFERROR(__xludf.DUMMYFUNCTION("""COMPUTED_VALUE"""),"1Y4lmODSKti17gLeUqSwERRx-4D5awbTM9UOJZrp60F4")</f>
        <v>1Y4lmODSKti17gLeUqSwERRx-4D5awbTM9UOJZrp60F4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IFERROR(__xludf.DUMMYFUNCTION("""COMPUTED_VALUE"""),"1i5WlaPZ1-uo5yRQyqBi_NoGgPj8ziXj7cnN8reG8SXo")</f>
        <v>1i5WlaPZ1-uo5yRQyqBi_NoGgPj8ziXj7cnN8reG8SXo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IFERROR(__xludf.DUMMYFUNCTION("""COMPUTED_VALUE"""),"1zsU3_vPB4UlwnEI6Hgxofosk22-vdytF5SYhkTLGr3Y")</f>
        <v>1zsU3_vPB4UlwnEI6Hgxofosk22-vdytF5SYhkTLGr3Y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IFERROR(__xludf.DUMMYFUNCTION("""COMPUTED_VALUE"""),"1RozaKMXual4WXW46lBsE3Orf9OV2Nn-FhxvokH28xaw")</f>
        <v>1RozaKMXual4WXW46lBsE3Orf9OV2Nn-FhxvokH28xaw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IFERROR(__xludf.DUMMYFUNCTION("""COMPUTED_VALUE"""),"1P3hQI12FYJP4QrekwcLQ4UJcZeg6WQU7Y7X6wSfNfe4")</f>
        <v>1P3hQI12FYJP4QrekwcLQ4UJcZeg6WQU7Y7X6wSfNfe4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IFERROR(__xludf.DUMMYFUNCTION("""COMPUTED_VALUE"""),"1E0GenYl5VsF6ic5npTKWWfS_gebqIIj6InrHMvvbtso")</f>
        <v>1E0GenYl5VsF6ic5npTKWWfS_gebqIIj6InrHMvvbtso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IFERROR(__xludf.DUMMYFUNCTION("""COMPUTED_VALUE"""),"1HZDVVf9laKE8xHcR6trbwHakdbl6uFndhwO94MHDlcQ")</f>
        <v>1HZDVVf9laKE8xHcR6trbwHakdbl6uFndhwO94MHDlcQ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IFERROR(__xludf.DUMMYFUNCTION("""COMPUTED_VALUE"""),"16E73g0W5LRIhkg1RbjzOOK94Uv0Vlbn7MMDq-QXA2kc")</f>
        <v>16E73g0W5LRIhkg1RbjzOOK94Uv0Vlbn7MMDq-QXA2kc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IFERROR(__xludf.DUMMYFUNCTION("""COMPUTED_VALUE"""),"15CFpQocegIFfZ23cSQZai_mnb9NZPlp99oh6nO0sjXg")</f>
        <v>15CFpQocegIFfZ23cSQZai_mnb9NZPlp99oh6nO0sjXg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IFERROR(__xludf.DUMMYFUNCTION("""COMPUTED_VALUE"""),"18ge8W43MnUH64uDLyzdwmaOTsTAxaKRTY5e2M2PR7Ig")</f>
        <v>18ge8W43MnUH64uDLyzdwmaOTsTAxaKRTY5e2M2PR7Ig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IFERROR(__xludf.DUMMYFUNCTION("""COMPUTED_VALUE"""),"1T07pMES6_0vIAOHEcHllSqzIfxdK3kjZkG_bnk1Q87E")</f>
        <v>1T07pMES6_0vIAOHEcHllSqzIfxdK3kjZkG_bnk1Q87E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IFERROR(__xludf.DUMMYFUNCTION("""COMPUTED_VALUE"""),"1JSzRoeUWroBBbNbincAHC4uO8KmsFjinSPOeKTzIgWw")</f>
        <v>1JSzRoeUWroBBbNbincAHC4uO8KmsFjinSPOeKTzIgWw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IFERROR(__xludf.DUMMYFUNCTION("""COMPUTED_VALUE"""),"1M4JJJsoeSKu6pTetWn8bRE7zQlcKGucRxjGGlqEA3d4")</f>
        <v>1M4JJJsoeSKu6pTetWn8bRE7zQlcKGucRxjGGlqEA3d4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IFERROR(__xludf.DUMMYFUNCTION("""COMPUTED_VALUE"""),"1eGv-pvwZhT1511VogxRAfh-QbF2wJZDvzpTQHphliak")</f>
        <v>1eGv-pvwZhT1511VogxRAfh-QbF2wJZDvzpTQHphliak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IFERROR(__xludf.DUMMYFUNCTION("""COMPUTED_VALUE"""),"1H01hn91s0buuShObE8vUpumNB-99MHja4DJxcTvy1GU")</f>
        <v>1H01hn91s0buuShObE8vUpumNB-99MHja4DJxcTvy1GU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IFERROR(__xludf.DUMMYFUNCTION("""COMPUTED_VALUE"""),"1WtgbOyiLNErYI8GO9AbbJE12IcFr1TtjqIL6v2nwjLU")</f>
        <v>1WtgbOyiLNErYI8GO9AbbJE12IcFr1TtjqIL6v2nwjLU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IFERROR(__xludf.DUMMYFUNCTION("""COMPUTED_VALUE"""),"1duRG5DukVziXM3AbWJjEHG1WfsWREKj0zcQWLcC3N0o")</f>
        <v>1duRG5DukVziXM3AbWJjEHG1WfsWREKj0zcQWLcC3N0o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IFERROR(__xludf.DUMMYFUNCTION("""COMPUTED_VALUE"""),"1Z3l-jIyJbM2hFTF5NgxtnL1fChZg2TPPhaAzx7mfVm8")</f>
        <v>1Z3l-jIyJbM2hFTF5NgxtnL1fChZg2TPPhaAzx7mfVm8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IFERROR(__xludf.DUMMYFUNCTION("""COMPUTED_VALUE"""),"1NHKxDgR0tyL2jet1xXc0HhWXSJ-79CcnSRkHUBgPpoY")</f>
        <v>1NHKxDgR0tyL2jet1xXc0HhWXSJ-79CcnSRkHUBgPpoY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IFERROR(__xludf.DUMMYFUNCTION("""COMPUTED_VALUE"""),"1uy63r2XjpUIBlAUk-lXKJTr-PpvpP6wxvLlLDzoM-Ic")</f>
        <v>1uy63r2XjpUIBlAUk-lXKJTr-PpvpP6wxvLlLDzoM-Ic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IFERROR(__xludf.DUMMYFUNCTION("""COMPUTED_VALUE"""),"1zfvz-aZrAcrVcCZFJj3FAv1GqBrnIiDpgU-TteWVAOw")</f>
        <v>1zfvz-aZrAcrVcCZFJj3FAv1GqBrnIiDpgU-TteWVAOw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IFERROR(__xludf.DUMMYFUNCTION("""COMPUTED_VALUE"""),"1X7RzdVuf6bK9F2T7pOeh4nUpKg76Hv2aa-gBjDxYkcs")</f>
        <v>1X7RzdVuf6bK9F2T7pOeh4nUpKg76Hv2aa-gBjDxYkcs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IFERROR(__xludf.DUMMYFUNCTION("""COMPUTED_VALUE"""),"1IuAnXzRzuOehEMtqDK11-sb6DktGPWzx0jT8n2IsrY4")</f>
        <v>1IuAnXzRzuOehEMtqDK11-sb6DktGPWzx0jT8n2IsrY4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IFERROR(__xludf.DUMMYFUNCTION("""COMPUTED_VALUE"""),"RefreshPriceUsingMTT")</f>
        <v>RefreshPriceUsingMTT</v>
      </c>
      <c r="C639" t="str">
        <f>IFERROR(__xludf.DUMMYFUNCTION("""COMPUTED_VALUE"""),"1YtdRVMbFR2kvDHO7XasICZNjFKswCtDImUT3Gjkkfk4")</f>
        <v>1YtdRVMbFR2kvDHO7XasICZNjFKswCtDImUT3Gjkkfk4</v>
      </c>
    </row>
    <row r="640" ht="15.75" customHeight="1">
      <c r="A640" t="str">
        <f>IFERROR(__xludf.DUMMYFUNCTION("""COMPUTED_VALUE"""),"MultiTradingTicket")</f>
        <v>MultiTradingTicket</v>
      </c>
      <c r="B640" t="str">
        <f>IFERROR(__xludf.DUMMYFUNCTION("""COMPUTED_VALUE"""),"VerifyMTT")</f>
        <v>VerifyMTT</v>
      </c>
      <c r="C640" t="str">
        <f>IFERROR(__xludf.DUMMYFUNCTION("""COMPUTED_VALUE"""),"1LkpuYouts5i-ZznsIzocNzJ13lcRDsnSdXk19BRgReI")</f>
        <v>1LkpuYouts5i-ZznsIzocNzJ13lcRDsnSdXk19BRgReI</v>
      </c>
    </row>
    <row r="641" ht="15.75" customHeight="1">
      <c r="A641" t="str">
        <f>IFERROR(__xludf.DUMMYFUNCTION("""COMPUTED_VALUE"""),"Simulator")</f>
        <v>Simulator</v>
      </c>
      <c r="B641" t="str">
        <f>IFERROR(__xludf.DUMMYFUNCTION("""COMPUTED_VALUE"""),"SetToAutomaticResponse")</f>
        <v>SetToAutomaticResponse</v>
      </c>
      <c r="C641" t="str">
        <f>IFERROR(__xludf.DUMMYFUNCTION("""COMPUTED_VALUE"""),"Undefined")</f>
        <v>Undefined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IFERROR(__xludf.DUMMYFUNCTION("""COMPUTED_VALUE"""),"SaveTradeList")</f>
        <v>SaveTradeList</v>
      </c>
      <c r="C642" t="str">
        <f>IFERROR(__xludf.DUMMYFUNCTION("""COMPUTED_VALUE"""),"1xCgr8y8ZWOV67Yl77qPCYg-GSJNVZrE2EwAmtpL4Xfg")</f>
        <v>1xCgr8y8ZWOV67Yl77qPCYg-GSJNVZrE2EwAmtpL4Xfg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IFERROR(__xludf.DUMMYFUNCTION("""COMPUTED_VALUE"""),"NavImpactingComponent")</f>
        <v>NavImpactingComponent</v>
      </c>
      <c r="C643" t="str">
        <f>IFERROR(__xludf.DUMMYFUNCTION("""COMPUTED_VALUE"""),"1f0zk0GxJ77AGpV5f_CL_mwxkoRha7_3Z1PIbpXZtod4")</f>
        <v>1f0zk0GxJ77AGpV5f_CL_mwxkoRha7_3Z1PIbpXZtod4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IFERROR(__xludf.DUMMYFUNCTION("""COMPUTED_VALUE"""),"ImportUsingRebalAccrossSec")</f>
        <v>ImportUsingRebalAccrossSec</v>
      </c>
      <c r="C644" t="str">
        <f>IFERROR(__xludf.DUMMYFUNCTION("""COMPUTED_VALUE"""),"1wqAINPqghzd-HB-5iMIqQiCzJj40pqhM2cTv6gahRwo")</f>
        <v>1wqAINPqghzd-HB-5iMIqQiCzJj40pqhM2cTv6gahRwo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IFERROR(__xludf.DUMMYFUNCTION("""COMPUTED_VALUE"""),"EditImportStatus")</f>
        <v>EditImportStatus</v>
      </c>
      <c r="C645" t="str">
        <f>IFERROR(__xludf.DUMMYFUNCTION("""COMPUTED_VALUE"""),"1Xkf1z6WsFfAEpWdBzMACVnTjRvtpZJ0Jbfvug1u1fb8")</f>
        <v>1Xkf1z6WsFfAEpWdBzMACVnTjRvtpZJ0Jbfvug1u1fb8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IFERROR(__xludf.DUMMYFUNCTION("""COMPUTED_VALUE"""),"SelectActionsOnImportStatus")</f>
        <v>SelectActionsOnImportStatus</v>
      </c>
      <c r="C646" t="str">
        <f>IFERROR(__xludf.DUMMYFUNCTION("""COMPUTED_VALUE"""),"10jCuA8F_28LjeoDXTbc5IgQjfWoEPTWq9svKzhi97OA")</f>
        <v>10jCuA8F_28LjeoDXTbc5IgQjfWoEPTWq9svKzhi97OA</v>
      </c>
    </row>
    <row r="647" ht="15.75" customHeight="1">
      <c r="A647" t="str">
        <f>IFERROR(__xludf.DUMMYFUNCTION("""COMPUTED_VALUE"""),"Rebalancer")</f>
        <v>Rebalancer</v>
      </c>
      <c r="B647" t="str">
        <f>IFERROR(__xludf.DUMMYFUNCTION("""COMPUTED_VALUE"""),"VerifyImportStatus")</f>
        <v>VerifyImportStatus</v>
      </c>
      <c r="C647" t="str">
        <f>IFERROR(__xludf.DUMMYFUNCTION("""COMPUTED_VALUE"""),"1cyg6XGf_AlQQ_g5DPcBgmBfH4Oz4BH6IUMfTD5nIhFQ")</f>
        <v>1cyg6XGf_AlQQ_g5DPcBgmBfH4Oz4BH6IUMfTD5nIhFQ</v>
      </c>
    </row>
    <row r="648" ht="15.75" customHeight="1">
      <c r="A648" t="str">
        <f>IFERROR(__xludf.DUMMYFUNCTION("""COMPUTED_VALUE"""),"PTT")</f>
        <v>PTT</v>
      </c>
      <c r="B648" t="str">
        <f>IFERROR(__xludf.DUMMYFUNCTION("""COMPUTED_VALUE"""),"OpenPreferencesFromPTT")</f>
        <v>OpenPreferencesFromPTT</v>
      </c>
      <c r="C648" t="str">
        <f>IFERROR(__xludf.DUMMYFUNCTION("""COMPUTED_VALUE"""),"Undefined")</f>
        <v>Undefined</v>
      </c>
    </row>
    <row r="649" ht="15.75" customHeight="1">
      <c r="A649" t="str">
        <f>IFERROR(__xludf.DUMMYFUNCTION("""COMPUTED_VALUE"""),"Watchlist")</f>
        <v>Watchlist</v>
      </c>
      <c r="B649" t="str">
        <f>IFERROR(__xludf.DUMMYFUNCTION("""COMPUTED_VALUE"""),"OpenPTTFromWatchlist")</f>
        <v>OpenPTTFromWatchlist</v>
      </c>
      <c r="C649" t="str">
        <f>IFERROR(__xludf.DUMMYFUNCTION("""COMPUTED_VALUE"""),"1CRJ_F5octCl23LyAw_CoHc_10OvrxRq8f7mNNzl_B6c")</f>
        <v>1CRJ_F5octCl23LyAw_CoHc_10OvrxRq8f7mNNzl_B6c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IFERROR(__xludf.DUMMYFUNCTION("""COMPUTED_VALUE"""),"SetMarketDataProvider")</f>
        <v>SetMarketDataProvider</v>
      </c>
      <c r="C650" t="str">
        <f>IFERROR(__xludf.DUMMYFUNCTION("""COMPUTED_VALUE"""),"11vW7fknzM8vTBH8SeRsGGkS29p8E1Xfx9205Qtc5hC4")</f>
        <v>11vW7fknzM8vTBH8SeRsGGkS29p8E1Xfx9205Qtc5hC4</v>
      </c>
    </row>
    <row r="651" ht="15.75" customHeight="1">
      <c r="A651" t="str">
        <f>IFERROR(__xludf.DUMMYFUNCTION("""COMPUTED_VALUE"""),"Admin")</f>
        <v>Admin</v>
      </c>
      <c r="B651" t="str">
        <f>IFERROR(__xludf.DUMMYFUNCTION("""COMPUTED_VALUE"""),"SetAllocationPreferences")</f>
        <v>SetAllocationPreferences</v>
      </c>
      <c r="C651" t="str">
        <f>IFERROR(__xludf.DUMMYFUNCTION("""COMPUTED_VALUE"""),"16PO4KGgITIDM3iQzFlyKHfXPBXba023pXOJQCBN_Elc")</f>
        <v>16PO4KGgITIDM3iQzFlyKHfXPBXba023pXOJQCBN_Elc</v>
      </c>
    </row>
    <row r="652" ht="15.75" customHeight="1">
      <c r="A652" t="str">
        <f>IFERROR(__xludf.DUMMYFUNCTION("""COMPUTED_VALUE"""),"TradingTicket")</f>
        <v>TradingTicket</v>
      </c>
      <c r="B652" t="str">
        <f>IFERROR(__xludf.DUMMYFUNCTION("""COMPUTED_VALUE"""),"CustomOrderTT")</f>
        <v>CustomOrderTT</v>
      </c>
      <c r="C652" t="str">
        <f>IFERROR(__xludf.DUMMYFUNCTION("""COMPUTED_VALUE"""),"1v9UMAQA-yD9UreUAgBLbyi4tqqYMESm4YnqZhD5jKvk")</f>
        <v>1v9UMAQA-yD9UreUAgBLbyi4tqqYMESm4YnqZhD5jKvk</v>
      </c>
    </row>
    <row r="653" ht="15.75" customHeight="1">
      <c r="A653" t="str">
        <f>IFERROR(__xludf.DUMMYFUNCTION("""COMPUTED_VALUE"""),"TradeServer")</f>
        <v>TradeServer</v>
      </c>
      <c r="B653" t="str">
        <f>IFERROR(__xludf.DUMMYFUNCTION("""COMPUTED_VALUE"""),"ConnectToSimAutoMan")</f>
        <v>ConnectToSimAutoMan</v>
      </c>
      <c r="C653" t="str">
        <f>IFERROR(__xludf.DUMMYFUNCTION("""COMPUTED_VALUE"""),"1kmGpZTH9xe92vT2JQhF-Njj6d_RCoVtRypLmoKTlseo")</f>
        <v>1kmGpZTH9xe92vT2JQhF-Njj6d_RCoVtRypLmoKTlseo</v>
      </c>
    </row>
    <row r="654" ht="15.75" customHeight="1">
      <c r="A654" t="str">
        <f>IFERROR(__xludf.DUMMYFUNCTION("""COMPUTED_VALUE"""),"Admin")</f>
        <v>Admin</v>
      </c>
      <c r="B654" t="str">
        <f>IFERROR(__xludf.DUMMYFUNCTION("""COMPUTED_VALUE"""),"SetRegularCompliancePermission")</f>
        <v>SetRegularCompliancePermission</v>
      </c>
      <c r="C654" t="str">
        <f>IFERROR(__xludf.DUMMYFUNCTION("""COMPUTED_VALUE"""),"1pGZ7u9bF4Lu1nJJRSpSz5TQn_FVJsrIH05yxOHHU4S4")</f>
        <v>1pGZ7u9bF4Lu1nJJRSpSz5TQn_FVJsrIH05yxOHHU4S4</v>
      </c>
    </row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IFERROR(__xludf.DUMMYFUNCTION("IF(C3="""","""",Transpose(IMPORTRANGE('_Settings'!$B$3,C3&amp;""!A4:A1000"")))"),"OpenTTFromPST")</f>
        <v>OpenTTFromPST</v>
      </c>
      <c r="C4" s="25" t="str">
        <f>IFERROR(__xludf.DUMMYFUNCTION("""COMPUTED_VALUE"""),"EnterDetailsOnTT")</f>
        <v>EnterDetailsOnTT</v>
      </c>
      <c r="D4" s="25" t="str">
        <f>IFERROR(__xludf.DUMMYFUNCTION("""COMPUTED_VALUE"""),"ValidateSymbolTT")</f>
        <v>ValidateSymbolTT</v>
      </c>
      <c r="E4" s="25" t="str">
        <f>IFERROR(__xludf.DUMMYFUNCTION("""COMPUTED_VALUE"""),"VerifyDataTT")</f>
        <v>VerifyDataTT</v>
      </c>
      <c r="F4" s="25" t="str">
        <f>IFERROR(__xludf.DUMMYFUNCTION("""COMPUTED_VALUE"""),"SetUIPreferencesTT")</f>
        <v>SetUIPreferencesTT</v>
      </c>
      <c r="G4" s="25" t="str">
        <f>IFERROR(__xludf.DUMMYFUNCTION("""COMPUTED_VALUE"""),"SetBrokerWisePreferencesTT")</f>
        <v>SetBrokerWisePreferencesTT</v>
      </c>
      <c r="H4" s="25" t="str">
        <f>IFERROR(__xludf.DUMMYFUNCTION("""COMPUTED_VALUE"""),"VerifyComplianceOrder")</f>
        <v>VerifyComplianceOrder</v>
      </c>
      <c r="I4" s="25" t="str">
        <f>IFERROR(__xludf.DUMMYFUNCTION("""COMPUTED_VALUE"""),"TradeNewSub")</f>
        <v>TradeNewSub</v>
      </c>
      <c r="J4" s="25" t="str">
        <f>IFERROR(__xludf.DUMMYFUNCTION("""COMPUTED_VALUE"""),"CreateStageOrder")</f>
        <v>CreateStageOrder</v>
      </c>
      <c r="K4" s="25" t="str">
        <f>IFERROR(__xludf.DUMMYFUNCTION("""COMPUTED_VALUE"""),"CreateReplaceOrder")</f>
        <v>CreateReplaceOrder</v>
      </c>
      <c r="L4" s="25" t="str">
        <f>IFERROR(__xludf.DUMMYFUNCTION("""COMPUTED_VALUE"""),"SetGeneralPreference")</f>
        <v>SetGeneralPreference</v>
      </c>
      <c r="M4" s="25" t="str">
        <f>IFERROR(__xludf.DUMMYFUNCTION("""COMPUTED_VALUE"""),"CreateNewSubOrder")</f>
        <v>CreateNewSubOrder</v>
      </c>
      <c r="N4" s="25" t="str">
        <f>IFERROR(__xludf.DUMMYFUNCTION("""COMPUTED_VALUE"""),"TradeBloomberg")</f>
        <v>TradeBloomberg</v>
      </c>
      <c r="O4" s="25" t="str">
        <f>IFERROR(__xludf.DUMMYFUNCTION("""COMPUTED_VALUE"""),"ClickSymbolLookup")</f>
        <v>ClickSymbolLookup</v>
      </c>
      <c r="P4" s="26" t="str">
        <f>IFERROR(__xludf.DUMMYFUNCTION("""COMPUTED_VALUE"""),"VerifyTT")</f>
        <v>VerifyTT</v>
      </c>
      <c r="Q4" s="26" t="str">
        <f>IFERROR(__xludf.DUMMYFUNCTION("""COMPUTED_VALUE"""),"CreateLiveOrder")</f>
        <v>CreateLiveOrder</v>
      </c>
      <c r="R4" s="26" t="str">
        <f>IFERROR(__xludf.DUMMYFUNCTION("""COMPUTED_VALUE"""),"UpdateMasterFundOnTT")</f>
        <v>UpdateMasterFundOnTT</v>
      </c>
      <c r="S4" s="26" t="str">
        <f>IFERROR(__xludf.DUMMYFUNCTION("""COMPUTED_VALUE"""),"SetTTCompliancePreference")</f>
        <v>SetTTCompliancePreference</v>
      </c>
      <c r="T4" s="26" t="str">
        <f>IFERROR(__xludf.DUMMYFUNCTION("""COMPUTED_VALUE"""),"ImportSymbol")</f>
        <v>ImportSymbol</v>
      </c>
      <c r="U4" s="26" t="str">
        <f>IFERROR(__xludf.DUMMYFUNCTION("""COMPUTED_VALUE"""),"ExportSymbolFromRAList")</f>
        <v>ExportSymbolFromRAList</v>
      </c>
      <c r="V4" s="26" t="str">
        <f>IFERROR(__xludf.DUMMYFUNCTION("""COMPUTED_VALUE"""),"CheckPendingNewOrderAlert")</f>
        <v>CheckPendingNewOrderAlert</v>
      </c>
      <c r="W4" s="26" t="str">
        <f>IFERROR(__xludf.DUMMYFUNCTION("""COMPUTED_VALUE"""),"AddSymbolOnRAList")</f>
        <v>AddSymbolOnRAList</v>
      </c>
      <c r="X4" s="26" t="str">
        <f>IFERROR(__xludf.DUMMYFUNCTION("""COMPUTED_VALUE"""),"DeleteSymbolListFromRA")</f>
        <v>DeleteSymbolListFromRA</v>
      </c>
      <c r="Y4" s="26" t="str">
        <f>IFERROR(__xludf.DUMMYFUNCTION("""COMPUTED_VALUE"""),"RemoveSymbolFromRAList")</f>
        <v>RemoveSymbolFromRAList</v>
      </c>
      <c r="Z4" s="26" t="str">
        <f>IFERROR(__xludf.DUMMYFUNCTION("""COMPUTED_VALUE"""),"ToggleBlombergOnRA")</f>
        <v>ToggleBlombergOnRA</v>
      </c>
      <c r="AA4" s="26" t="str">
        <f>IFERROR(__xludf.DUMMYFUNCTION("""COMPUTED_VALUE"""),"CreateDoneAwayOrder")</f>
        <v>CreateDoneAwayOrder</v>
      </c>
      <c r="AB4" s="26" t="str">
        <f>IFERROR(__xludf.DUMMYFUNCTION("""COMPUTED_VALUE"""),"CreateComplianceOrder")</f>
        <v>CreateComplianceOrder</v>
      </c>
      <c r="AC4" s="26" t="str">
        <f>IFERROR(__xludf.DUMMYFUNCTION("""COMPUTED_VALUE"""),"AddOptionTrade")</f>
        <v>AddOptionTrade</v>
      </c>
      <c r="AD4" s="26" t="str">
        <f>IFERROR(__xludf.DUMMYFUNCTION("""COMPUTED_VALUE"""),"SendLiveBloomberg")</f>
        <v>SendLiveBloomberg</v>
      </c>
      <c r="AE4" s="26" t="str">
        <f>IFERROR(__xludf.DUMMYFUNCTION("""COMPUTED_VALUE"""),"ViewAllocation")</f>
        <v>ViewAllocation</v>
      </c>
      <c r="AF4" s="26" t="str">
        <f>IFERROR(__xludf.DUMMYFUNCTION("""COMPUTED_VALUE"""),"CreateReplaceLiveOrder")</f>
        <v>CreateReplaceLiveOrder</v>
      </c>
      <c r="AG4" s="26" t="str">
        <f>IFERROR(__xludf.DUMMYFUNCTION("""COMPUTED_VALUE"""),"CreateNewSubLiveOrder")</f>
        <v>CreateNewSubLiveOrder</v>
      </c>
      <c r="AH4" s="26" t="str">
        <f>IFERROR(__xludf.DUMMYFUNCTION("""COMPUTED_VALUE"""),"VerifyBasketExport")</f>
        <v>VerifyBasketExport</v>
      </c>
      <c r="AI4" s="26" t="str">
        <f>IFERROR(__xludf.DUMMYFUNCTION("""COMPUTED_VALUE"""),"VerifyCustomAllocationonTT")</f>
        <v>VerifyCustomAllocationonTT</v>
      </c>
      <c r="AJ4" s="26" t="str">
        <f>IFERROR(__xludf.DUMMYFUNCTION("""COMPUTED_VALUE"""),"CustomOrderTT")</f>
        <v>CustomOrderTT</v>
      </c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 t="str">
        <f>IFERROR(__xludf.DUMMYFUNCTION("""COMPUTED_VALUE"""),"Account QTY")</f>
        <v>Account QTY</v>
      </c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16</v>
      </c>
      <c r="C6" s="31" t="s">
        <v>17</v>
      </c>
      <c r="D6" s="32">
        <v>120.25</v>
      </c>
      <c r="E6" s="33"/>
      <c r="F6" s="31" t="s">
        <v>18</v>
      </c>
      <c r="G6" s="8"/>
      <c r="H6" s="8"/>
      <c r="I6" s="8"/>
      <c r="J6" s="13">
        <v>10.0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IFERROR(__xludf.DUMMYFUNCTION("""COMPUTED_VALUE"""),"Order Side")</f>
        <v>Order Side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18</v>
      </c>
      <c r="C6" s="13" t="s">
        <v>16</v>
      </c>
      <c r="D6" s="13">
        <v>20.0</v>
      </c>
      <c r="E6" s="34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ClosePositionFromPM!$4:$4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025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  <c r="FU1" s="20"/>
      <c r="FV1" s="20"/>
      <c r="FW1" s="20"/>
      <c r="FX1" s="20"/>
      <c r="FY1" s="20"/>
      <c r="FZ1" s="20"/>
      <c r="GA1" s="20"/>
      <c r="GB1" s="20"/>
      <c r="GC1" s="20"/>
      <c r="GD1" s="20"/>
      <c r="GE1" s="20"/>
      <c r="GF1" s="20"/>
      <c r="GG1" s="20"/>
      <c r="GH1" s="20"/>
      <c r="GI1" s="20"/>
      <c r="GJ1" s="20"/>
      <c r="GK1" s="20"/>
      <c r="GL1" s="20"/>
      <c r="GM1" s="20"/>
      <c r="GN1" s="20"/>
      <c r="GO1" s="20"/>
      <c r="GP1" s="20"/>
      <c r="GQ1" s="20"/>
      <c r="GR1" s="20"/>
      <c r="GS1" s="20"/>
      <c r="GT1" s="20"/>
      <c r="GU1" s="20"/>
      <c r="GV1" s="20"/>
      <c r="GW1" s="20"/>
      <c r="GX1" s="20"/>
      <c r="GY1" s="20"/>
      <c r="GZ1" s="20"/>
      <c r="HA1" s="20"/>
      <c r="HB1" s="20"/>
      <c r="HC1" s="20"/>
      <c r="HD1" s="20"/>
      <c r="HE1" s="20"/>
      <c r="HF1" s="20"/>
      <c r="HG1" s="20"/>
      <c r="HH1" s="20"/>
      <c r="HI1" s="20"/>
      <c r="HJ1" s="20"/>
      <c r="HK1" s="20"/>
      <c r="HL1" s="20"/>
      <c r="HM1" s="20"/>
      <c r="HN1" s="20"/>
      <c r="HO1" s="20"/>
      <c r="HP1" s="20"/>
      <c r="HQ1" s="20"/>
      <c r="HR1" s="20"/>
      <c r="HS1" s="20"/>
      <c r="HT1" s="20"/>
      <c r="HU1" s="20"/>
      <c r="HV1" s="20"/>
      <c r="HW1" s="20"/>
      <c r="HX1" s="20"/>
      <c r="HY1" s="20"/>
      <c r="HZ1" s="20"/>
      <c r="IA1" s="20"/>
      <c r="IB1" s="20"/>
      <c r="IC1" s="20"/>
      <c r="ID1" s="20"/>
      <c r="IE1" s="20"/>
      <c r="IF1" s="20"/>
      <c r="IG1" s="20"/>
      <c r="IH1" s="20"/>
      <c r="II1" s="20"/>
      <c r="IJ1" s="20"/>
      <c r="IK1" s="20"/>
      <c r="IL1" s="20"/>
      <c r="IM1" s="20"/>
      <c r="IN1" s="20"/>
      <c r="IO1" s="20"/>
      <c r="IP1" s="20"/>
      <c r="IQ1" s="20"/>
      <c r="IR1" s="20"/>
      <c r="IS1" s="20"/>
      <c r="IT1" s="20"/>
      <c r="IU1" s="20"/>
      <c r="IV1" s="20"/>
      <c r="IW1" s="20"/>
      <c r="IX1" s="20"/>
      <c r="IY1" s="20"/>
      <c r="IZ1" s="20"/>
      <c r="JA1" s="20"/>
      <c r="JB1" s="20"/>
      <c r="JC1" s="20"/>
      <c r="JD1" s="20"/>
      <c r="JE1" s="20"/>
      <c r="JF1" s="20"/>
      <c r="JG1" s="20"/>
      <c r="JH1" s="20"/>
      <c r="JI1" s="20"/>
      <c r="JJ1" s="20"/>
      <c r="JK1" s="20"/>
      <c r="JL1" s="20"/>
      <c r="JM1" s="20"/>
      <c r="JN1" s="20"/>
      <c r="JO1" s="20"/>
      <c r="JP1" s="20"/>
      <c r="JQ1" s="20"/>
      <c r="JR1" s="20"/>
      <c r="JS1" s="20"/>
      <c r="JT1" s="20"/>
      <c r="JU1" s="20"/>
      <c r="JV1" s="20"/>
      <c r="JW1" s="20"/>
      <c r="JX1" s="20"/>
      <c r="JY1" s="20"/>
      <c r="JZ1" s="20"/>
      <c r="KA1" s="20"/>
      <c r="KB1" s="20"/>
      <c r="KC1" s="20"/>
      <c r="KD1" s="20"/>
      <c r="KE1" s="20"/>
      <c r="KF1" s="20"/>
      <c r="KG1" s="20"/>
      <c r="KH1" s="20"/>
      <c r="KI1" s="20"/>
      <c r="KJ1" s="20"/>
      <c r="KK1" s="20"/>
      <c r="KL1" s="20"/>
      <c r="KM1" s="20"/>
      <c r="KN1" s="20"/>
      <c r="KO1" s="20"/>
      <c r="KP1" s="20"/>
      <c r="KQ1" s="20"/>
      <c r="KR1" s="20"/>
      <c r="KS1" s="20"/>
      <c r="KT1" s="20"/>
      <c r="KU1" s="20"/>
      <c r="KV1" s="20"/>
      <c r="KW1" s="20"/>
      <c r="KX1" s="20"/>
      <c r="KY1" s="20"/>
      <c r="KZ1" s="20"/>
      <c r="LA1" s="20"/>
      <c r="LB1" s="20"/>
      <c r="LC1" s="20"/>
      <c r="LD1" s="20"/>
      <c r="LE1" s="20"/>
      <c r="LF1" s="20"/>
      <c r="LG1" s="20"/>
      <c r="LH1" s="20"/>
      <c r="LI1" s="20"/>
      <c r="LJ1" s="20"/>
      <c r="LK1" s="20"/>
      <c r="LL1" s="20"/>
      <c r="LM1" s="20"/>
      <c r="LN1" s="20"/>
      <c r="LO1" s="20"/>
      <c r="LP1" s="20"/>
      <c r="LQ1" s="20"/>
      <c r="LR1" s="20"/>
      <c r="LS1" s="20"/>
      <c r="LT1" s="20"/>
      <c r="LU1" s="20"/>
      <c r="LV1" s="20"/>
      <c r="LW1" s="20"/>
      <c r="LX1" s="20"/>
      <c r="LY1" s="20"/>
      <c r="LZ1" s="20"/>
      <c r="MA1" s="20"/>
      <c r="MB1" s="20"/>
      <c r="MC1" s="20"/>
      <c r="MD1" s="20"/>
      <c r="ME1" s="20"/>
      <c r="MF1" s="20"/>
      <c r="MG1" s="20"/>
      <c r="MH1" s="20"/>
      <c r="MI1" s="20"/>
      <c r="MJ1" s="20"/>
      <c r="MK1" s="20"/>
      <c r="ML1" s="20"/>
      <c r="MM1" s="20"/>
      <c r="MN1" s="20"/>
      <c r="MO1" s="20"/>
      <c r="MP1" s="20"/>
      <c r="MQ1" s="20"/>
      <c r="MR1" s="20"/>
      <c r="MS1" s="20"/>
      <c r="MT1" s="20"/>
      <c r="MU1" s="20"/>
      <c r="MV1" s="20"/>
      <c r="MW1" s="20"/>
      <c r="MX1" s="20"/>
      <c r="MY1" s="20"/>
      <c r="MZ1" s="20"/>
      <c r="NA1" s="20"/>
      <c r="NB1" s="20"/>
      <c r="NC1" s="20"/>
      <c r="ND1" s="20"/>
      <c r="NE1" s="20"/>
      <c r="NF1" s="20"/>
      <c r="NG1" s="20"/>
      <c r="NH1" s="20"/>
      <c r="NI1" s="20"/>
      <c r="NJ1" s="20"/>
      <c r="NK1" s="20"/>
      <c r="NL1" s="20"/>
      <c r="NM1" s="20"/>
      <c r="NN1" s="20"/>
      <c r="NO1" s="20"/>
      <c r="NP1" s="20"/>
      <c r="NQ1" s="20"/>
      <c r="NR1" s="20"/>
      <c r="NS1" s="20"/>
      <c r="NT1" s="20"/>
      <c r="NU1" s="20"/>
      <c r="NV1" s="20"/>
      <c r="NW1" s="20"/>
      <c r="NX1" s="20"/>
      <c r="NY1" s="20"/>
      <c r="NZ1" s="20"/>
      <c r="OA1" s="20"/>
      <c r="OB1" s="20"/>
      <c r="OC1" s="20"/>
      <c r="OD1" s="20"/>
      <c r="OE1" s="20"/>
      <c r="OF1" s="20"/>
      <c r="OG1" s="20"/>
      <c r="OH1" s="20"/>
      <c r="OI1" s="20"/>
      <c r="OJ1" s="20"/>
      <c r="OK1" s="20"/>
      <c r="OL1" s="20"/>
      <c r="OM1" s="20"/>
      <c r="ON1" s="20"/>
      <c r="OO1" s="20"/>
      <c r="OP1" s="20"/>
      <c r="OQ1" s="20"/>
      <c r="OR1" s="20"/>
      <c r="OS1" s="20"/>
      <c r="OT1" s="20"/>
      <c r="OU1" s="20"/>
      <c r="OV1" s="20"/>
      <c r="OW1" s="20"/>
      <c r="OX1" s="20"/>
      <c r="OY1" s="20"/>
      <c r="OZ1" s="20"/>
      <c r="PA1" s="20"/>
      <c r="PB1" s="20"/>
      <c r="PC1" s="20"/>
      <c r="PD1" s="20"/>
      <c r="PE1" s="20"/>
      <c r="PF1" s="20"/>
      <c r="PG1" s="20"/>
      <c r="PH1" s="20"/>
      <c r="PI1" s="20"/>
      <c r="PJ1" s="20"/>
      <c r="PK1" s="20"/>
      <c r="PL1" s="20"/>
      <c r="PM1" s="20"/>
      <c r="PN1" s="20"/>
      <c r="PO1" s="20"/>
      <c r="PP1" s="20"/>
      <c r="PQ1" s="20"/>
      <c r="PR1" s="20"/>
      <c r="PS1" s="20"/>
      <c r="PT1" s="20"/>
      <c r="PU1" s="20"/>
      <c r="PV1" s="20"/>
      <c r="PW1" s="20"/>
      <c r="PX1" s="20"/>
      <c r="PY1" s="20"/>
      <c r="PZ1" s="20"/>
      <c r="QA1" s="20"/>
      <c r="QB1" s="20"/>
      <c r="QC1" s="20"/>
      <c r="QD1" s="20"/>
      <c r="QE1" s="20"/>
      <c r="QF1" s="20"/>
      <c r="QG1" s="20"/>
      <c r="QH1" s="20"/>
      <c r="QI1" s="20"/>
      <c r="QJ1" s="20"/>
      <c r="QK1" s="20"/>
      <c r="QL1" s="20"/>
      <c r="QM1" s="20"/>
      <c r="QN1" s="20"/>
      <c r="QO1" s="20"/>
      <c r="QP1" s="20"/>
      <c r="QQ1" s="20"/>
      <c r="QR1" s="20"/>
      <c r="QS1" s="20"/>
      <c r="QT1" s="20"/>
      <c r="QU1" s="20"/>
      <c r="QV1" s="20"/>
      <c r="QW1" s="20"/>
      <c r="QX1" s="20"/>
      <c r="QY1" s="20"/>
      <c r="QZ1" s="20"/>
      <c r="RA1" s="20"/>
      <c r="RB1" s="20"/>
      <c r="RC1" s="20"/>
      <c r="RD1" s="20"/>
      <c r="RE1" s="20"/>
      <c r="RF1" s="20"/>
      <c r="RG1" s="20"/>
      <c r="RH1" s="20"/>
      <c r="RI1" s="20"/>
      <c r="RJ1" s="20"/>
      <c r="RK1" s="20"/>
      <c r="RL1" s="20"/>
      <c r="RM1" s="20"/>
      <c r="RN1" s="20"/>
      <c r="RO1" s="20"/>
      <c r="RP1" s="20"/>
      <c r="RQ1" s="20"/>
      <c r="RR1" s="20"/>
      <c r="RS1" s="20"/>
      <c r="RT1" s="20"/>
      <c r="RU1" s="20"/>
      <c r="RV1" s="20"/>
      <c r="RW1" s="20"/>
      <c r="RX1" s="20"/>
      <c r="RY1" s="20"/>
      <c r="RZ1" s="20"/>
      <c r="SA1" s="20"/>
      <c r="SB1" s="20"/>
      <c r="SC1" s="20"/>
      <c r="SD1" s="20"/>
      <c r="SE1" s="20"/>
      <c r="SF1" s="20"/>
      <c r="SG1" s="20"/>
      <c r="SH1" s="20"/>
      <c r="SI1" s="20"/>
      <c r="SJ1" s="20"/>
      <c r="SK1" s="20"/>
      <c r="SL1" s="20"/>
      <c r="SM1" s="20"/>
      <c r="SN1" s="20"/>
      <c r="SO1" s="20"/>
      <c r="SP1" s="20"/>
      <c r="SQ1" s="20"/>
      <c r="SR1" s="20"/>
      <c r="SS1" s="20"/>
      <c r="ST1" s="20"/>
      <c r="SU1" s="20"/>
      <c r="SV1" s="20"/>
      <c r="SW1" s="20"/>
      <c r="SX1" s="20"/>
      <c r="SY1" s="20"/>
      <c r="SZ1" s="20"/>
      <c r="TA1" s="20"/>
      <c r="TB1" s="20"/>
      <c r="TC1" s="20"/>
      <c r="TD1" s="20"/>
      <c r="TE1" s="20"/>
      <c r="TF1" s="20"/>
      <c r="TG1" s="20"/>
      <c r="TH1" s="20"/>
      <c r="TI1" s="20"/>
      <c r="TJ1" s="20"/>
      <c r="TK1" s="20"/>
      <c r="TL1" s="20"/>
      <c r="TM1" s="20"/>
      <c r="TN1" s="20"/>
      <c r="TO1" s="20"/>
      <c r="TP1" s="20"/>
      <c r="TQ1" s="20"/>
      <c r="TR1" s="20"/>
      <c r="TS1" s="20"/>
      <c r="TT1" s="20"/>
      <c r="TU1" s="20"/>
      <c r="TV1" s="20"/>
      <c r="TW1" s="20"/>
      <c r="TX1" s="20"/>
      <c r="TY1" s="20"/>
      <c r="TZ1" s="20"/>
      <c r="UA1" s="20"/>
      <c r="UB1" s="20"/>
      <c r="UC1" s="20"/>
      <c r="UD1" s="20"/>
      <c r="UE1" s="20"/>
      <c r="UF1" s="20"/>
      <c r="UG1" s="20"/>
      <c r="UH1" s="20"/>
      <c r="UI1" s="20"/>
      <c r="UJ1" s="20"/>
      <c r="UK1" s="20"/>
      <c r="UL1" s="20"/>
      <c r="UM1" s="20"/>
      <c r="UN1" s="20"/>
      <c r="UO1" s="20"/>
      <c r="UP1" s="20"/>
      <c r="UQ1" s="20"/>
      <c r="UR1" s="20"/>
      <c r="US1" s="20"/>
      <c r="UT1" s="20"/>
      <c r="UU1" s="20"/>
      <c r="UV1" s="20"/>
      <c r="UW1" s="20"/>
      <c r="UX1" s="20"/>
      <c r="UY1" s="20"/>
      <c r="UZ1" s="20"/>
      <c r="VA1" s="20"/>
      <c r="VB1" s="20"/>
      <c r="VC1" s="20"/>
      <c r="VD1" s="20"/>
      <c r="VE1" s="20"/>
      <c r="VF1" s="20"/>
      <c r="VG1" s="20"/>
      <c r="VH1" s="20"/>
      <c r="VI1" s="20"/>
      <c r="VJ1" s="20"/>
      <c r="VK1" s="20"/>
      <c r="VL1" s="20"/>
      <c r="VM1" s="20"/>
      <c r="VN1" s="20"/>
      <c r="VO1" s="20"/>
      <c r="VP1" s="20"/>
      <c r="VQ1" s="20"/>
      <c r="VR1" s="20"/>
      <c r="VS1" s="20"/>
      <c r="VT1" s="20"/>
      <c r="VU1" s="20"/>
      <c r="VV1" s="20"/>
      <c r="VW1" s="20"/>
      <c r="VX1" s="20"/>
      <c r="VY1" s="20"/>
      <c r="VZ1" s="20"/>
      <c r="WA1" s="20"/>
      <c r="WB1" s="20"/>
      <c r="WC1" s="20"/>
      <c r="WD1" s="20"/>
      <c r="WE1" s="20"/>
      <c r="WF1" s="20"/>
      <c r="WG1" s="20"/>
      <c r="WH1" s="20"/>
      <c r="WI1" s="20"/>
      <c r="WJ1" s="20"/>
      <c r="WK1" s="20"/>
      <c r="WL1" s="20"/>
      <c r="WM1" s="20"/>
      <c r="WN1" s="20"/>
      <c r="WO1" s="20"/>
      <c r="WP1" s="20"/>
      <c r="WQ1" s="20"/>
      <c r="WR1" s="20"/>
      <c r="WS1" s="20"/>
      <c r="WT1" s="20"/>
      <c r="WU1" s="20"/>
      <c r="WV1" s="20"/>
      <c r="WW1" s="20"/>
      <c r="WX1" s="20"/>
      <c r="WY1" s="20"/>
      <c r="WZ1" s="20"/>
      <c r="XA1" s="20"/>
      <c r="XB1" s="20"/>
      <c r="XC1" s="20"/>
      <c r="XD1" s="20"/>
      <c r="XE1" s="20"/>
      <c r="XF1" s="20"/>
      <c r="XG1" s="20"/>
      <c r="XH1" s="20"/>
      <c r="XI1" s="20"/>
      <c r="XJ1" s="20"/>
      <c r="XK1" s="20"/>
      <c r="XL1" s="20"/>
      <c r="XM1" s="20"/>
      <c r="XN1" s="20"/>
      <c r="XO1" s="20"/>
      <c r="XP1" s="20"/>
      <c r="XQ1" s="20"/>
      <c r="XR1" s="20"/>
      <c r="XS1" s="20"/>
      <c r="XT1" s="20"/>
      <c r="XU1" s="20"/>
      <c r="XV1" s="20"/>
      <c r="XW1" s="20"/>
      <c r="XX1" s="20"/>
      <c r="XY1" s="20"/>
      <c r="XZ1" s="20"/>
      <c r="YA1" s="20"/>
      <c r="YB1" s="20"/>
      <c r="YC1" s="20"/>
      <c r="YD1" s="20"/>
      <c r="YE1" s="20"/>
      <c r="YF1" s="20"/>
      <c r="YG1" s="20"/>
      <c r="YH1" s="20"/>
      <c r="YI1" s="20"/>
      <c r="YJ1" s="20"/>
      <c r="YK1" s="20"/>
      <c r="YL1" s="20"/>
      <c r="YM1" s="20"/>
      <c r="YN1" s="20"/>
      <c r="YO1" s="20"/>
      <c r="YP1" s="20"/>
      <c r="YQ1" s="20"/>
      <c r="YR1" s="20"/>
      <c r="YS1" s="20"/>
      <c r="YT1" s="20"/>
      <c r="YU1" s="20"/>
      <c r="YV1" s="20"/>
      <c r="YW1" s="20"/>
      <c r="YX1" s="20"/>
      <c r="YY1" s="20"/>
      <c r="YZ1" s="20"/>
      <c r="ZA1" s="20"/>
      <c r="ZB1" s="20"/>
      <c r="ZC1" s="20"/>
      <c r="ZD1" s="20"/>
      <c r="ZE1" s="20"/>
      <c r="ZF1" s="20"/>
      <c r="ZG1" s="20"/>
      <c r="ZH1" s="20"/>
      <c r="ZI1" s="20"/>
      <c r="ZJ1" s="20"/>
      <c r="ZK1" s="20"/>
      <c r="ZL1" s="20"/>
      <c r="ZM1" s="20"/>
      <c r="ZN1" s="20"/>
      <c r="ZO1" s="20"/>
      <c r="ZP1" s="20"/>
      <c r="ZQ1" s="20"/>
      <c r="ZR1" s="20"/>
      <c r="ZS1" s="20"/>
      <c r="ZT1" s="20"/>
      <c r="ZU1" s="20"/>
      <c r="ZV1" s="20"/>
      <c r="ZW1" s="20"/>
      <c r="ZX1" s="20"/>
      <c r="ZY1" s="20"/>
      <c r="ZZ1" s="20"/>
      <c r="AAA1" s="20"/>
      <c r="AAB1" s="20"/>
      <c r="AAC1" s="20"/>
      <c r="AAD1" s="20"/>
      <c r="AAE1" s="20"/>
      <c r="AAF1" s="20"/>
      <c r="AAG1" s="20"/>
      <c r="AAH1" s="20"/>
      <c r="AAI1" s="20"/>
      <c r="AAJ1" s="20"/>
      <c r="AAK1" s="20"/>
      <c r="AAL1" s="20"/>
      <c r="AAM1" s="20"/>
      <c r="AAN1" s="20"/>
      <c r="AAO1" s="20"/>
      <c r="AAP1" s="20"/>
      <c r="AAQ1" s="20"/>
      <c r="AAR1" s="20"/>
      <c r="AAS1" s="20"/>
      <c r="AAT1" s="20"/>
      <c r="AAU1" s="20"/>
      <c r="AAV1" s="20"/>
      <c r="AAW1" s="20"/>
      <c r="AAX1" s="20"/>
      <c r="AAY1" s="20"/>
      <c r="AAZ1" s="20"/>
      <c r="ABA1" s="20"/>
      <c r="ABB1" s="20"/>
      <c r="ABC1" s="20"/>
      <c r="ABD1" s="20"/>
      <c r="ABE1" s="20"/>
      <c r="ABF1" s="20"/>
      <c r="ABG1" s="20"/>
      <c r="ABH1" s="20"/>
      <c r="ABI1" s="20"/>
      <c r="ABJ1" s="20"/>
      <c r="ABK1" s="20"/>
      <c r="ABL1" s="20"/>
      <c r="ABM1" s="20"/>
      <c r="ABN1" s="20"/>
      <c r="ABO1" s="20"/>
      <c r="ABP1" s="20"/>
      <c r="ABQ1" s="20"/>
      <c r="ABR1" s="20"/>
      <c r="ABS1" s="20"/>
      <c r="ABT1" s="20"/>
      <c r="ABU1" s="20"/>
      <c r="ABV1" s="20"/>
      <c r="ABW1" s="20"/>
      <c r="ABX1" s="20"/>
      <c r="ABY1" s="20"/>
      <c r="ABZ1" s="20"/>
      <c r="ACA1" s="20"/>
      <c r="ACB1" s="20"/>
      <c r="ACC1" s="20"/>
      <c r="ACD1" s="20"/>
      <c r="ACE1" s="20"/>
      <c r="ACF1" s="20"/>
      <c r="ACG1" s="20"/>
      <c r="ACH1" s="20"/>
      <c r="ACI1" s="20"/>
      <c r="ACJ1" s="20"/>
      <c r="ACK1" s="20"/>
      <c r="ACL1" s="20"/>
      <c r="ACM1" s="20"/>
      <c r="ACN1" s="20"/>
      <c r="ACO1" s="20"/>
      <c r="ACP1" s="20"/>
      <c r="ACQ1" s="20"/>
      <c r="ACR1" s="20"/>
      <c r="ACS1" s="20"/>
      <c r="ACT1" s="20"/>
      <c r="ACU1" s="20"/>
      <c r="ACV1" s="20"/>
      <c r="ACW1" s="20"/>
      <c r="ACX1" s="20"/>
      <c r="ACY1" s="20"/>
      <c r="ACZ1" s="20"/>
      <c r="ADA1" s="20"/>
      <c r="ADB1" s="20"/>
      <c r="ADC1" s="20"/>
      <c r="ADD1" s="20"/>
      <c r="ADE1" s="20"/>
      <c r="ADF1" s="20"/>
      <c r="ADG1" s="20"/>
      <c r="ADH1" s="20"/>
      <c r="ADI1" s="20"/>
      <c r="ADJ1" s="20"/>
      <c r="ADK1" s="20"/>
      <c r="ADL1" s="20"/>
      <c r="ADM1" s="20"/>
      <c r="ADN1" s="20"/>
      <c r="ADO1" s="20"/>
      <c r="ADP1" s="20"/>
      <c r="ADQ1" s="20"/>
      <c r="ADR1" s="20"/>
      <c r="ADS1" s="20"/>
      <c r="ADT1" s="20"/>
      <c r="ADU1" s="20"/>
      <c r="ADV1" s="20"/>
      <c r="ADW1" s="20"/>
      <c r="ADX1" s="20"/>
      <c r="ADY1" s="20"/>
      <c r="ADZ1" s="20"/>
      <c r="AEA1" s="20"/>
      <c r="AEB1" s="20"/>
      <c r="AEC1" s="20"/>
      <c r="AED1" s="20"/>
      <c r="AEE1" s="20"/>
      <c r="AEF1" s="20"/>
      <c r="AEG1" s="20"/>
      <c r="AEH1" s="20"/>
      <c r="AEI1" s="20"/>
      <c r="AEJ1" s="20"/>
      <c r="AEK1" s="20"/>
      <c r="AEL1" s="20"/>
      <c r="AEM1" s="20"/>
      <c r="AEN1" s="20"/>
      <c r="AEO1" s="20"/>
      <c r="AEP1" s="20"/>
      <c r="AEQ1" s="20"/>
      <c r="AER1" s="20"/>
      <c r="AES1" s="20"/>
      <c r="AET1" s="20"/>
      <c r="AEU1" s="20"/>
      <c r="AEV1" s="20"/>
      <c r="AEW1" s="20"/>
      <c r="AEX1" s="20"/>
      <c r="AEY1" s="20"/>
      <c r="AEZ1" s="20"/>
      <c r="AFA1" s="20"/>
      <c r="AFB1" s="20"/>
      <c r="AFC1" s="20"/>
      <c r="AFD1" s="20"/>
      <c r="AFE1" s="20"/>
      <c r="AFF1" s="20"/>
      <c r="AFG1" s="20"/>
      <c r="AFH1" s="20"/>
      <c r="AFI1" s="20"/>
      <c r="AFJ1" s="20"/>
      <c r="AFK1" s="20"/>
      <c r="AFL1" s="20"/>
      <c r="AFM1" s="20"/>
      <c r="AFN1" s="20"/>
      <c r="AFO1" s="20"/>
      <c r="AFP1" s="20"/>
      <c r="AFQ1" s="20"/>
      <c r="AFR1" s="20"/>
      <c r="AFS1" s="20"/>
      <c r="AFT1" s="20"/>
      <c r="AFU1" s="20"/>
      <c r="AFV1" s="20"/>
      <c r="AFW1" s="20"/>
      <c r="AFX1" s="20"/>
      <c r="AFY1" s="20"/>
      <c r="AFZ1" s="20"/>
      <c r="AGA1" s="20"/>
      <c r="AGB1" s="20"/>
      <c r="AGC1" s="20"/>
      <c r="AGD1" s="20"/>
      <c r="AGE1" s="20"/>
      <c r="AGF1" s="20"/>
      <c r="AGG1" s="20"/>
      <c r="AGH1" s="20"/>
      <c r="AGI1" s="20"/>
      <c r="AGJ1" s="20"/>
      <c r="AGK1" s="20"/>
      <c r="AGL1" s="20"/>
      <c r="AGM1" s="20"/>
      <c r="AGN1" s="20"/>
      <c r="AGO1" s="20"/>
      <c r="AGP1" s="20"/>
      <c r="AGQ1" s="20"/>
      <c r="AGR1" s="20"/>
      <c r="AGS1" s="20"/>
      <c r="AGT1" s="20"/>
      <c r="AGU1" s="20"/>
      <c r="AGV1" s="20"/>
      <c r="AGW1" s="20"/>
      <c r="AGX1" s="20"/>
      <c r="AGY1" s="20"/>
      <c r="AGZ1" s="20"/>
      <c r="AHA1" s="20"/>
      <c r="AHB1" s="20"/>
      <c r="AHC1" s="20"/>
      <c r="AHD1" s="20"/>
      <c r="AHE1" s="20"/>
      <c r="AHF1" s="20"/>
      <c r="AHG1" s="20"/>
      <c r="AHH1" s="20"/>
      <c r="AHI1" s="20"/>
      <c r="AHJ1" s="20"/>
      <c r="AHK1" s="20"/>
      <c r="AHL1" s="20"/>
      <c r="AHM1" s="20"/>
      <c r="AHN1" s="20"/>
      <c r="AHO1" s="20"/>
      <c r="AHP1" s="20"/>
      <c r="AHQ1" s="20"/>
      <c r="AHR1" s="20"/>
      <c r="AHS1" s="20"/>
      <c r="AHT1" s="20"/>
      <c r="AHU1" s="20"/>
      <c r="AHV1" s="20"/>
      <c r="AHW1" s="20"/>
      <c r="AHX1" s="20"/>
      <c r="AHY1" s="20"/>
      <c r="AHZ1" s="20"/>
      <c r="AIA1" s="20"/>
      <c r="AIB1" s="20"/>
      <c r="AIC1" s="20"/>
      <c r="AID1" s="20"/>
      <c r="AIE1" s="20"/>
      <c r="AIF1" s="20"/>
      <c r="AIG1" s="20"/>
      <c r="AIH1" s="20"/>
      <c r="AII1" s="20"/>
      <c r="AIJ1" s="20"/>
      <c r="AIK1" s="20"/>
      <c r="AIL1" s="20"/>
      <c r="AIM1" s="20"/>
      <c r="AIN1" s="20"/>
      <c r="AIO1" s="20"/>
      <c r="AIP1" s="20"/>
      <c r="AIQ1" s="20"/>
      <c r="AIR1" s="20"/>
      <c r="AIS1" s="20"/>
      <c r="AIT1" s="20"/>
      <c r="AIU1" s="20"/>
      <c r="AIV1" s="20"/>
      <c r="AIW1" s="20"/>
      <c r="AIX1" s="20"/>
      <c r="AIY1" s="20"/>
      <c r="AIZ1" s="20"/>
      <c r="AJA1" s="20"/>
      <c r="AJB1" s="20"/>
      <c r="AJC1" s="20"/>
      <c r="AJD1" s="20"/>
      <c r="AJE1" s="20"/>
      <c r="AJF1" s="20"/>
      <c r="AJG1" s="20"/>
      <c r="AJH1" s="20"/>
      <c r="AJI1" s="20"/>
      <c r="AJJ1" s="20"/>
      <c r="AJK1" s="20"/>
      <c r="AJL1" s="20"/>
      <c r="AJM1" s="20"/>
      <c r="AJN1" s="20"/>
      <c r="AJO1" s="20"/>
      <c r="AJP1" s="20"/>
      <c r="AJQ1" s="20"/>
      <c r="AJR1" s="20"/>
      <c r="AJS1" s="20"/>
      <c r="AJT1" s="20"/>
      <c r="AJU1" s="20"/>
      <c r="AJV1" s="20"/>
      <c r="AJW1" s="20"/>
      <c r="AJX1" s="20"/>
      <c r="AJY1" s="20"/>
      <c r="AJZ1" s="20"/>
      <c r="AKA1" s="20"/>
      <c r="AKB1" s="20"/>
      <c r="AKC1" s="20"/>
      <c r="AKD1" s="20"/>
      <c r="AKE1" s="20"/>
      <c r="AKF1" s="20"/>
      <c r="AKG1" s="20"/>
      <c r="AKH1" s="20"/>
      <c r="AKI1" s="20"/>
      <c r="AKJ1" s="20"/>
      <c r="AKK1" s="20"/>
      <c r="AKL1" s="20"/>
      <c r="AKM1" s="20"/>
      <c r="AKN1" s="20"/>
      <c r="AKO1" s="20"/>
      <c r="AKP1" s="20"/>
      <c r="AKQ1" s="20"/>
      <c r="AKR1" s="20"/>
      <c r="AKS1" s="20"/>
      <c r="AKT1" s="20"/>
      <c r="AKU1" s="20"/>
      <c r="AKV1" s="20"/>
      <c r="AKW1" s="20"/>
      <c r="AKX1" s="20"/>
      <c r="AKY1" s="20"/>
      <c r="AKZ1" s="20"/>
      <c r="ALA1" s="20"/>
      <c r="ALB1" s="20"/>
      <c r="ALC1" s="20"/>
      <c r="ALD1" s="20"/>
      <c r="ALE1" s="20"/>
      <c r="ALF1" s="20"/>
      <c r="ALG1" s="20"/>
      <c r="ALH1" s="20"/>
      <c r="ALI1" s="20"/>
      <c r="ALJ1" s="20"/>
      <c r="ALK1" s="20"/>
      <c r="ALL1" s="20"/>
      <c r="ALM1" s="20"/>
      <c r="ALN1" s="20"/>
      <c r="ALO1" s="20"/>
      <c r="ALP1" s="20"/>
      <c r="ALQ1" s="20"/>
      <c r="ALR1" s="20"/>
      <c r="ALS1" s="20"/>
      <c r="ALT1" s="20"/>
      <c r="ALU1" s="20"/>
      <c r="ALV1" s="20"/>
      <c r="ALW1" s="20"/>
      <c r="ALX1" s="20"/>
      <c r="ALY1" s="20"/>
      <c r="ALZ1" s="20"/>
      <c r="AMA1" s="20"/>
      <c r="AMB1" s="20"/>
      <c r="AMC1" s="20"/>
      <c r="AMD1" s="20"/>
      <c r="AME1" s="20"/>
      <c r="AMF1" s="20"/>
      <c r="AMG1" s="20"/>
      <c r="AMH1" s="20"/>
      <c r="AMI1" s="20"/>
      <c r="AMJ1" s="20"/>
      <c r="AMK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19</v>
      </c>
      <c r="D3" s="5" t="s">
        <v>9</v>
      </c>
      <c r="E3" s="23" t="s">
        <v>21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  <c r="FU3" s="24"/>
      <c r="FV3" s="24"/>
      <c r="FW3" s="24"/>
      <c r="FX3" s="24"/>
      <c r="FY3" s="24"/>
      <c r="FZ3" s="24"/>
      <c r="GA3" s="24"/>
      <c r="GB3" s="24"/>
      <c r="GC3" s="24"/>
      <c r="GD3" s="24"/>
      <c r="GE3" s="24"/>
      <c r="GF3" s="24"/>
      <c r="GG3" s="24"/>
      <c r="GH3" s="24"/>
      <c r="GI3" s="24"/>
      <c r="GJ3" s="24"/>
      <c r="GK3" s="24"/>
      <c r="GL3" s="24"/>
      <c r="GM3" s="24"/>
      <c r="GN3" s="24"/>
      <c r="GO3" s="24"/>
      <c r="GP3" s="24"/>
      <c r="GQ3" s="24"/>
      <c r="GR3" s="24"/>
      <c r="GS3" s="24"/>
      <c r="GT3" s="24"/>
      <c r="GU3" s="24"/>
      <c r="GV3" s="24"/>
      <c r="GW3" s="24"/>
      <c r="GX3" s="24"/>
      <c r="GY3" s="24"/>
      <c r="GZ3" s="24"/>
      <c r="HA3" s="24"/>
      <c r="HB3" s="24"/>
      <c r="HC3" s="24"/>
      <c r="HD3" s="24"/>
      <c r="HE3" s="24"/>
      <c r="HF3" s="24"/>
      <c r="HG3" s="24"/>
      <c r="HH3" s="24"/>
      <c r="HI3" s="24"/>
      <c r="HJ3" s="24"/>
      <c r="HK3" s="24"/>
      <c r="HL3" s="24"/>
      <c r="HM3" s="24"/>
      <c r="HN3" s="24"/>
      <c r="HO3" s="24"/>
      <c r="HP3" s="24"/>
      <c r="HQ3" s="24"/>
      <c r="HR3" s="24"/>
      <c r="HS3" s="24"/>
      <c r="HT3" s="24"/>
      <c r="HU3" s="24"/>
      <c r="HV3" s="24"/>
      <c r="HW3" s="24"/>
      <c r="HX3" s="24"/>
      <c r="HY3" s="24"/>
      <c r="HZ3" s="24"/>
      <c r="IA3" s="24"/>
      <c r="IB3" s="24"/>
      <c r="IC3" s="24"/>
      <c r="ID3" s="24"/>
      <c r="IE3" s="24"/>
      <c r="IF3" s="24"/>
      <c r="IG3" s="24"/>
      <c r="IH3" s="24"/>
      <c r="II3" s="24"/>
      <c r="IJ3" s="24"/>
      <c r="IK3" s="24"/>
      <c r="IL3" s="24"/>
      <c r="IM3" s="24"/>
      <c r="IN3" s="24"/>
      <c r="IO3" s="24"/>
      <c r="IP3" s="24"/>
      <c r="IQ3" s="24"/>
      <c r="IR3" s="24"/>
      <c r="IS3" s="24"/>
      <c r="IT3" s="24"/>
      <c r="IU3" s="24"/>
      <c r="IV3" s="24"/>
      <c r="IW3" s="24"/>
      <c r="IX3" s="24"/>
      <c r="IY3" s="24"/>
      <c r="IZ3" s="24"/>
      <c r="JA3" s="24"/>
      <c r="JB3" s="24"/>
      <c r="JC3" s="24"/>
      <c r="JD3" s="24"/>
      <c r="JE3" s="24"/>
      <c r="JF3" s="24"/>
      <c r="JG3" s="24"/>
      <c r="JH3" s="24"/>
      <c r="JI3" s="24"/>
      <c r="JJ3" s="24"/>
      <c r="JK3" s="24"/>
      <c r="JL3" s="24"/>
      <c r="JM3" s="24"/>
      <c r="JN3" s="24"/>
      <c r="JO3" s="24"/>
      <c r="JP3" s="24"/>
      <c r="JQ3" s="24"/>
      <c r="JR3" s="24"/>
      <c r="JS3" s="24"/>
      <c r="JT3" s="24"/>
      <c r="JU3" s="24"/>
      <c r="JV3" s="24"/>
      <c r="JW3" s="24"/>
      <c r="JX3" s="24"/>
      <c r="JY3" s="24"/>
      <c r="JZ3" s="24"/>
      <c r="KA3" s="24"/>
      <c r="KB3" s="24"/>
      <c r="KC3" s="24"/>
      <c r="KD3" s="24"/>
      <c r="KE3" s="24"/>
      <c r="KF3" s="24"/>
      <c r="KG3" s="24"/>
      <c r="KH3" s="24"/>
      <c r="KI3" s="24"/>
      <c r="KJ3" s="24"/>
      <c r="KK3" s="24"/>
      <c r="KL3" s="24"/>
      <c r="KM3" s="24"/>
      <c r="KN3" s="24"/>
      <c r="KO3" s="24"/>
      <c r="KP3" s="24"/>
      <c r="KQ3" s="24"/>
      <c r="KR3" s="24"/>
      <c r="KS3" s="24"/>
      <c r="KT3" s="24"/>
      <c r="KU3" s="24"/>
      <c r="KV3" s="24"/>
      <c r="KW3" s="24"/>
      <c r="KX3" s="24"/>
      <c r="KY3" s="24"/>
      <c r="KZ3" s="24"/>
      <c r="LA3" s="24"/>
      <c r="LB3" s="24"/>
      <c r="LC3" s="24"/>
      <c r="LD3" s="24"/>
      <c r="LE3" s="24"/>
      <c r="LF3" s="24"/>
      <c r="LG3" s="24"/>
      <c r="LH3" s="24"/>
      <c r="LI3" s="24"/>
      <c r="LJ3" s="24"/>
      <c r="LK3" s="24"/>
      <c r="LL3" s="24"/>
      <c r="LM3" s="24"/>
      <c r="LN3" s="24"/>
      <c r="LO3" s="24"/>
      <c r="LP3" s="24"/>
      <c r="LQ3" s="24"/>
      <c r="LR3" s="24"/>
      <c r="LS3" s="24"/>
      <c r="LT3" s="24"/>
      <c r="LU3" s="24"/>
      <c r="LV3" s="24"/>
      <c r="LW3" s="24"/>
      <c r="LX3" s="24"/>
      <c r="LY3" s="24"/>
      <c r="LZ3" s="24"/>
      <c r="MA3" s="24"/>
      <c r="MB3" s="24"/>
      <c r="MC3" s="24"/>
      <c r="MD3" s="24"/>
      <c r="ME3" s="24"/>
      <c r="MF3" s="24"/>
      <c r="MG3" s="24"/>
      <c r="MH3" s="24"/>
      <c r="MI3" s="24"/>
      <c r="MJ3" s="24"/>
      <c r="MK3" s="24"/>
      <c r="ML3" s="24"/>
      <c r="MM3" s="24"/>
      <c r="MN3" s="24"/>
      <c r="MO3" s="24"/>
      <c r="MP3" s="24"/>
      <c r="MQ3" s="24"/>
      <c r="MR3" s="24"/>
      <c r="MS3" s="24"/>
      <c r="MT3" s="24"/>
      <c r="MU3" s="24"/>
      <c r="MV3" s="24"/>
      <c r="MW3" s="24"/>
      <c r="MX3" s="24"/>
      <c r="MY3" s="24"/>
      <c r="MZ3" s="24"/>
      <c r="NA3" s="24"/>
      <c r="NB3" s="24"/>
      <c r="NC3" s="24"/>
      <c r="ND3" s="24"/>
      <c r="NE3" s="24"/>
      <c r="NF3" s="24"/>
      <c r="NG3" s="24"/>
      <c r="NH3" s="24"/>
      <c r="NI3" s="24"/>
      <c r="NJ3" s="24"/>
      <c r="NK3" s="24"/>
      <c r="NL3" s="24"/>
      <c r="NM3" s="24"/>
      <c r="NN3" s="24"/>
      <c r="NO3" s="24"/>
      <c r="NP3" s="24"/>
      <c r="NQ3" s="24"/>
      <c r="NR3" s="24"/>
      <c r="NS3" s="24"/>
      <c r="NT3" s="24"/>
      <c r="NU3" s="24"/>
      <c r="NV3" s="24"/>
      <c r="NW3" s="24"/>
      <c r="NX3" s="24"/>
      <c r="NY3" s="24"/>
      <c r="NZ3" s="24"/>
      <c r="OA3" s="24"/>
      <c r="OB3" s="24"/>
      <c r="OC3" s="24"/>
      <c r="OD3" s="24"/>
      <c r="OE3" s="24"/>
      <c r="OF3" s="24"/>
      <c r="OG3" s="24"/>
      <c r="OH3" s="24"/>
      <c r="OI3" s="24"/>
      <c r="OJ3" s="24"/>
      <c r="OK3" s="24"/>
      <c r="OL3" s="24"/>
      <c r="OM3" s="24"/>
      <c r="ON3" s="24"/>
      <c r="OO3" s="24"/>
      <c r="OP3" s="24"/>
      <c r="OQ3" s="24"/>
      <c r="OR3" s="24"/>
      <c r="OS3" s="24"/>
      <c r="OT3" s="24"/>
      <c r="OU3" s="24"/>
      <c r="OV3" s="24"/>
      <c r="OW3" s="24"/>
      <c r="OX3" s="24"/>
      <c r="OY3" s="24"/>
      <c r="OZ3" s="24"/>
      <c r="PA3" s="24"/>
      <c r="PB3" s="24"/>
      <c r="PC3" s="24"/>
      <c r="PD3" s="24"/>
      <c r="PE3" s="24"/>
      <c r="PF3" s="24"/>
      <c r="PG3" s="24"/>
      <c r="PH3" s="24"/>
      <c r="PI3" s="24"/>
      <c r="PJ3" s="24"/>
      <c r="PK3" s="24"/>
      <c r="PL3" s="24"/>
      <c r="PM3" s="24"/>
      <c r="PN3" s="24"/>
      <c r="PO3" s="24"/>
      <c r="PP3" s="24"/>
      <c r="PQ3" s="24"/>
      <c r="PR3" s="24"/>
      <c r="PS3" s="24"/>
      <c r="PT3" s="24"/>
      <c r="PU3" s="24"/>
      <c r="PV3" s="24"/>
      <c r="PW3" s="24"/>
      <c r="PX3" s="24"/>
      <c r="PY3" s="24"/>
      <c r="PZ3" s="24"/>
      <c r="QA3" s="24"/>
      <c r="QB3" s="24"/>
      <c r="QC3" s="24"/>
      <c r="QD3" s="24"/>
      <c r="QE3" s="24"/>
      <c r="QF3" s="24"/>
      <c r="QG3" s="24"/>
      <c r="QH3" s="24"/>
      <c r="QI3" s="24"/>
      <c r="QJ3" s="24"/>
      <c r="QK3" s="24"/>
      <c r="QL3" s="24"/>
      <c r="QM3" s="24"/>
      <c r="QN3" s="24"/>
      <c r="QO3" s="24"/>
      <c r="QP3" s="24"/>
      <c r="QQ3" s="24"/>
      <c r="QR3" s="24"/>
      <c r="QS3" s="24"/>
      <c r="QT3" s="24"/>
      <c r="QU3" s="24"/>
      <c r="QV3" s="24"/>
      <c r="QW3" s="24"/>
      <c r="QX3" s="24"/>
      <c r="QY3" s="24"/>
      <c r="QZ3" s="24"/>
      <c r="RA3" s="24"/>
      <c r="RB3" s="24"/>
      <c r="RC3" s="24"/>
      <c r="RD3" s="24"/>
      <c r="RE3" s="24"/>
      <c r="RF3" s="24"/>
      <c r="RG3" s="24"/>
      <c r="RH3" s="24"/>
      <c r="RI3" s="24"/>
      <c r="RJ3" s="24"/>
      <c r="RK3" s="24"/>
      <c r="RL3" s="24"/>
      <c r="RM3" s="24"/>
      <c r="RN3" s="24"/>
      <c r="RO3" s="24"/>
      <c r="RP3" s="24"/>
      <c r="RQ3" s="24"/>
      <c r="RR3" s="24"/>
      <c r="RS3" s="24"/>
      <c r="RT3" s="24"/>
      <c r="RU3" s="24"/>
      <c r="RV3" s="24"/>
      <c r="RW3" s="24"/>
      <c r="RX3" s="24"/>
      <c r="RY3" s="24"/>
      <c r="RZ3" s="24"/>
      <c r="SA3" s="24"/>
      <c r="SB3" s="24"/>
      <c r="SC3" s="24"/>
      <c r="SD3" s="24"/>
      <c r="SE3" s="24"/>
      <c r="SF3" s="24"/>
      <c r="SG3" s="24"/>
      <c r="SH3" s="24"/>
      <c r="SI3" s="24"/>
      <c r="SJ3" s="24"/>
      <c r="SK3" s="24"/>
      <c r="SL3" s="24"/>
      <c r="SM3" s="24"/>
      <c r="SN3" s="24"/>
      <c r="SO3" s="24"/>
      <c r="SP3" s="24"/>
      <c r="SQ3" s="24"/>
      <c r="SR3" s="24"/>
      <c r="SS3" s="24"/>
      <c r="ST3" s="24"/>
      <c r="SU3" s="24"/>
      <c r="SV3" s="24"/>
      <c r="SW3" s="24"/>
      <c r="SX3" s="24"/>
      <c r="SY3" s="24"/>
      <c r="SZ3" s="24"/>
      <c r="TA3" s="24"/>
      <c r="TB3" s="24"/>
      <c r="TC3" s="24"/>
      <c r="TD3" s="24"/>
      <c r="TE3" s="24"/>
      <c r="TF3" s="24"/>
      <c r="TG3" s="24"/>
      <c r="TH3" s="24"/>
      <c r="TI3" s="24"/>
      <c r="TJ3" s="24"/>
      <c r="TK3" s="24"/>
      <c r="TL3" s="24"/>
      <c r="TM3" s="24"/>
      <c r="TN3" s="24"/>
      <c r="TO3" s="24"/>
      <c r="TP3" s="24"/>
      <c r="TQ3" s="24"/>
      <c r="TR3" s="24"/>
      <c r="TS3" s="24"/>
      <c r="TT3" s="24"/>
      <c r="TU3" s="24"/>
      <c r="TV3" s="24"/>
      <c r="TW3" s="24"/>
      <c r="TX3" s="24"/>
      <c r="TY3" s="24"/>
      <c r="TZ3" s="24"/>
      <c r="UA3" s="24"/>
      <c r="UB3" s="24"/>
      <c r="UC3" s="24"/>
      <c r="UD3" s="24"/>
      <c r="UE3" s="24"/>
      <c r="UF3" s="24"/>
      <c r="UG3" s="24"/>
      <c r="UH3" s="24"/>
      <c r="UI3" s="24"/>
      <c r="UJ3" s="24"/>
      <c r="UK3" s="24"/>
      <c r="UL3" s="24"/>
      <c r="UM3" s="24"/>
      <c r="UN3" s="24"/>
      <c r="UO3" s="24"/>
      <c r="UP3" s="24"/>
      <c r="UQ3" s="24"/>
      <c r="UR3" s="24"/>
      <c r="US3" s="24"/>
      <c r="UT3" s="24"/>
      <c r="UU3" s="24"/>
      <c r="UV3" s="24"/>
      <c r="UW3" s="24"/>
      <c r="UX3" s="24"/>
      <c r="UY3" s="24"/>
      <c r="UZ3" s="24"/>
      <c r="VA3" s="24"/>
      <c r="VB3" s="24"/>
      <c r="VC3" s="24"/>
      <c r="VD3" s="24"/>
      <c r="VE3" s="24"/>
      <c r="VF3" s="24"/>
      <c r="VG3" s="24"/>
      <c r="VH3" s="24"/>
      <c r="VI3" s="24"/>
      <c r="VJ3" s="24"/>
      <c r="VK3" s="24"/>
      <c r="VL3" s="24"/>
      <c r="VM3" s="24"/>
      <c r="VN3" s="24"/>
      <c r="VO3" s="24"/>
      <c r="VP3" s="24"/>
      <c r="VQ3" s="24"/>
      <c r="VR3" s="24"/>
      <c r="VS3" s="24"/>
      <c r="VT3" s="24"/>
      <c r="VU3" s="24"/>
      <c r="VV3" s="24"/>
      <c r="VW3" s="24"/>
      <c r="VX3" s="24"/>
      <c r="VY3" s="24"/>
      <c r="VZ3" s="24"/>
      <c r="WA3" s="24"/>
      <c r="WB3" s="24"/>
      <c r="WC3" s="24"/>
      <c r="WD3" s="24"/>
      <c r="WE3" s="24"/>
      <c r="WF3" s="24"/>
      <c r="WG3" s="24"/>
      <c r="WH3" s="24"/>
      <c r="WI3" s="24"/>
      <c r="WJ3" s="24"/>
      <c r="WK3" s="24"/>
      <c r="WL3" s="24"/>
      <c r="WM3" s="24"/>
      <c r="WN3" s="24"/>
      <c r="WO3" s="24"/>
      <c r="WP3" s="24"/>
      <c r="WQ3" s="24"/>
      <c r="WR3" s="24"/>
      <c r="WS3" s="24"/>
      <c r="WT3" s="24"/>
      <c r="WU3" s="24"/>
      <c r="WV3" s="24"/>
      <c r="WW3" s="24"/>
      <c r="WX3" s="24"/>
      <c r="WY3" s="24"/>
      <c r="WZ3" s="24"/>
      <c r="XA3" s="24"/>
      <c r="XB3" s="24"/>
      <c r="XC3" s="24"/>
      <c r="XD3" s="24"/>
      <c r="XE3" s="24"/>
      <c r="XF3" s="24"/>
      <c r="XG3" s="24"/>
      <c r="XH3" s="24"/>
      <c r="XI3" s="24"/>
      <c r="XJ3" s="24"/>
      <c r="XK3" s="24"/>
      <c r="XL3" s="24"/>
      <c r="XM3" s="24"/>
      <c r="XN3" s="24"/>
      <c r="XO3" s="24"/>
      <c r="XP3" s="24"/>
      <c r="XQ3" s="24"/>
      <c r="XR3" s="24"/>
      <c r="XS3" s="24"/>
      <c r="XT3" s="24"/>
      <c r="XU3" s="24"/>
      <c r="XV3" s="24"/>
      <c r="XW3" s="24"/>
      <c r="XX3" s="24"/>
      <c r="XY3" s="24"/>
      <c r="XZ3" s="24"/>
      <c r="YA3" s="24"/>
      <c r="YB3" s="24"/>
      <c r="YC3" s="24"/>
      <c r="YD3" s="24"/>
      <c r="YE3" s="24"/>
      <c r="YF3" s="24"/>
      <c r="YG3" s="24"/>
      <c r="YH3" s="24"/>
      <c r="YI3" s="24"/>
      <c r="YJ3" s="24"/>
      <c r="YK3" s="24"/>
      <c r="YL3" s="24"/>
      <c r="YM3" s="24"/>
      <c r="YN3" s="24"/>
      <c r="YO3" s="24"/>
      <c r="YP3" s="24"/>
      <c r="YQ3" s="24"/>
      <c r="YR3" s="24"/>
      <c r="YS3" s="24"/>
      <c r="YT3" s="24"/>
      <c r="YU3" s="24"/>
      <c r="YV3" s="24"/>
      <c r="YW3" s="24"/>
      <c r="YX3" s="24"/>
      <c r="YY3" s="24"/>
      <c r="YZ3" s="24"/>
      <c r="ZA3" s="24"/>
      <c r="ZB3" s="24"/>
      <c r="ZC3" s="24"/>
      <c r="ZD3" s="24"/>
      <c r="ZE3" s="24"/>
      <c r="ZF3" s="24"/>
      <c r="ZG3" s="24"/>
      <c r="ZH3" s="24"/>
      <c r="ZI3" s="24"/>
      <c r="ZJ3" s="24"/>
      <c r="ZK3" s="24"/>
      <c r="ZL3" s="24"/>
      <c r="ZM3" s="24"/>
      <c r="ZN3" s="24"/>
      <c r="ZO3" s="24"/>
      <c r="ZP3" s="24"/>
      <c r="ZQ3" s="24"/>
      <c r="ZR3" s="24"/>
      <c r="ZS3" s="24"/>
      <c r="ZT3" s="24"/>
      <c r="ZU3" s="24"/>
      <c r="ZV3" s="24"/>
      <c r="ZW3" s="24"/>
      <c r="ZX3" s="24"/>
      <c r="ZY3" s="24"/>
      <c r="ZZ3" s="24"/>
      <c r="AAA3" s="24"/>
      <c r="AAB3" s="24"/>
      <c r="AAC3" s="24"/>
      <c r="AAD3" s="24"/>
      <c r="AAE3" s="24"/>
      <c r="AAF3" s="24"/>
      <c r="AAG3" s="24"/>
      <c r="AAH3" s="24"/>
      <c r="AAI3" s="24"/>
      <c r="AAJ3" s="24"/>
      <c r="AAK3" s="24"/>
      <c r="AAL3" s="24"/>
      <c r="AAM3" s="24"/>
      <c r="AAN3" s="24"/>
      <c r="AAO3" s="24"/>
      <c r="AAP3" s="24"/>
      <c r="AAQ3" s="24"/>
      <c r="AAR3" s="24"/>
      <c r="AAS3" s="24"/>
      <c r="AAT3" s="24"/>
      <c r="AAU3" s="24"/>
      <c r="AAV3" s="24"/>
      <c r="AAW3" s="24"/>
      <c r="AAX3" s="24"/>
      <c r="AAY3" s="24"/>
      <c r="AAZ3" s="24"/>
      <c r="ABA3" s="24"/>
      <c r="ABB3" s="24"/>
      <c r="ABC3" s="24"/>
      <c r="ABD3" s="24"/>
      <c r="ABE3" s="24"/>
      <c r="ABF3" s="24"/>
      <c r="ABG3" s="24"/>
      <c r="ABH3" s="24"/>
      <c r="ABI3" s="24"/>
      <c r="ABJ3" s="24"/>
      <c r="ABK3" s="24"/>
      <c r="ABL3" s="24"/>
      <c r="ABM3" s="24"/>
      <c r="ABN3" s="24"/>
      <c r="ABO3" s="24"/>
      <c r="ABP3" s="24"/>
      <c r="ABQ3" s="24"/>
      <c r="ABR3" s="24"/>
      <c r="ABS3" s="24"/>
      <c r="ABT3" s="24"/>
      <c r="ABU3" s="24"/>
      <c r="ABV3" s="24"/>
      <c r="ABW3" s="24"/>
      <c r="ABX3" s="24"/>
      <c r="ABY3" s="24"/>
      <c r="ABZ3" s="24"/>
      <c r="ACA3" s="24"/>
      <c r="ACB3" s="24"/>
      <c r="ACC3" s="24"/>
      <c r="ACD3" s="24"/>
      <c r="ACE3" s="24"/>
      <c r="ACF3" s="24"/>
      <c r="ACG3" s="24"/>
      <c r="ACH3" s="24"/>
      <c r="ACI3" s="24"/>
      <c r="ACJ3" s="24"/>
      <c r="ACK3" s="24"/>
      <c r="ACL3" s="24"/>
      <c r="ACM3" s="24"/>
      <c r="ACN3" s="24"/>
      <c r="ACO3" s="24"/>
      <c r="ACP3" s="24"/>
      <c r="ACQ3" s="24"/>
      <c r="ACR3" s="24"/>
      <c r="ACS3" s="24"/>
      <c r="ACT3" s="24"/>
      <c r="ACU3" s="24"/>
      <c r="ACV3" s="24"/>
      <c r="ACW3" s="24"/>
      <c r="ACX3" s="24"/>
      <c r="ACY3" s="24"/>
      <c r="ACZ3" s="24"/>
      <c r="ADA3" s="24"/>
      <c r="ADB3" s="24"/>
      <c r="ADC3" s="24"/>
      <c r="ADD3" s="24"/>
      <c r="ADE3" s="24"/>
      <c r="ADF3" s="24"/>
      <c r="ADG3" s="24"/>
      <c r="ADH3" s="24"/>
      <c r="ADI3" s="24"/>
      <c r="ADJ3" s="24"/>
      <c r="ADK3" s="24"/>
      <c r="ADL3" s="24"/>
      <c r="ADM3" s="24"/>
      <c r="ADN3" s="24"/>
      <c r="ADO3" s="24"/>
      <c r="ADP3" s="24"/>
      <c r="ADQ3" s="24"/>
      <c r="ADR3" s="24"/>
      <c r="ADS3" s="24"/>
      <c r="ADT3" s="24"/>
      <c r="ADU3" s="24"/>
      <c r="ADV3" s="24"/>
      <c r="ADW3" s="24"/>
      <c r="ADX3" s="24"/>
      <c r="ADY3" s="24"/>
      <c r="ADZ3" s="24"/>
      <c r="AEA3" s="24"/>
      <c r="AEB3" s="24"/>
      <c r="AEC3" s="24"/>
      <c r="AED3" s="24"/>
      <c r="AEE3" s="24"/>
      <c r="AEF3" s="24"/>
      <c r="AEG3" s="24"/>
      <c r="AEH3" s="24"/>
      <c r="AEI3" s="24"/>
      <c r="AEJ3" s="24"/>
      <c r="AEK3" s="24"/>
      <c r="AEL3" s="24"/>
      <c r="AEM3" s="24"/>
      <c r="AEN3" s="24"/>
      <c r="AEO3" s="24"/>
      <c r="AEP3" s="24"/>
      <c r="AEQ3" s="24"/>
      <c r="AER3" s="24"/>
      <c r="AES3" s="24"/>
      <c r="AET3" s="24"/>
      <c r="AEU3" s="24"/>
      <c r="AEV3" s="24"/>
      <c r="AEW3" s="24"/>
      <c r="AEX3" s="24"/>
      <c r="AEY3" s="24"/>
      <c r="AEZ3" s="24"/>
      <c r="AFA3" s="24"/>
      <c r="AFB3" s="24"/>
      <c r="AFC3" s="24"/>
      <c r="AFD3" s="24"/>
      <c r="AFE3" s="24"/>
      <c r="AFF3" s="24"/>
      <c r="AFG3" s="24"/>
      <c r="AFH3" s="24"/>
      <c r="AFI3" s="24"/>
      <c r="AFJ3" s="24"/>
      <c r="AFK3" s="24"/>
      <c r="AFL3" s="24"/>
      <c r="AFM3" s="24"/>
      <c r="AFN3" s="24"/>
      <c r="AFO3" s="24"/>
      <c r="AFP3" s="24"/>
      <c r="AFQ3" s="24"/>
      <c r="AFR3" s="24"/>
      <c r="AFS3" s="24"/>
      <c r="AFT3" s="24"/>
      <c r="AFU3" s="24"/>
      <c r="AFV3" s="24"/>
      <c r="AFW3" s="24"/>
      <c r="AFX3" s="24"/>
      <c r="AFY3" s="24"/>
      <c r="AFZ3" s="24"/>
      <c r="AGA3" s="24"/>
      <c r="AGB3" s="24"/>
      <c r="AGC3" s="24"/>
      <c r="AGD3" s="24"/>
      <c r="AGE3" s="24"/>
      <c r="AGF3" s="24"/>
      <c r="AGG3" s="24"/>
      <c r="AGH3" s="24"/>
      <c r="AGI3" s="24"/>
      <c r="AGJ3" s="24"/>
      <c r="AGK3" s="24"/>
      <c r="AGL3" s="24"/>
      <c r="AGM3" s="24"/>
      <c r="AGN3" s="24"/>
      <c r="AGO3" s="24"/>
      <c r="AGP3" s="24"/>
      <c r="AGQ3" s="24"/>
      <c r="AGR3" s="24"/>
      <c r="AGS3" s="24"/>
      <c r="AGT3" s="24"/>
      <c r="AGU3" s="24"/>
      <c r="AGV3" s="24"/>
      <c r="AGW3" s="24"/>
      <c r="AGX3" s="24"/>
      <c r="AGY3" s="24"/>
      <c r="AGZ3" s="24"/>
      <c r="AHA3" s="24"/>
      <c r="AHB3" s="24"/>
      <c r="AHC3" s="24"/>
      <c r="AHD3" s="24"/>
      <c r="AHE3" s="24"/>
      <c r="AHF3" s="24"/>
      <c r="AHG3" s="24"/>
      <c r="AHH3" s="24"/>
      <c r="AHI3" s="24"/>
      <c r="AHJ3" s="24"/>
      <c r="AHK3" s="24"/>
      <c r="AHL3" s="24"/>
      <c r="AHM3" s="24"/>
      <c r="AHN3" s="24"/>
      <c r="AHO3" s="24"/>
      <c r="AHP3" s="24"/>
      <c r="AHQ3" s="24"/>
      <c r="AHR3" s="24"/>
      <c r="AHS3" s="24"/>
      <c r="AHT3" s="24"/>
      <c r="AHU3" s="24"/>
      <c r="AHV3" s="24"/>
      <c r="AHW3" s="24"/>
      <c r="AHX3" s="24"/>
      <c r="AHY3" s="24"/>
      <c r="AHZ3" s="24"/>
      <c r="AIA3" s="24"/>
      <c r="AIB3" s="24"/>
      <c r="AIC3" s="24"/>
      <c r="AID3" s="24"/>
      <c r="AIE3" s="24"/>
      <c r="AIF3" s="24"/>
      <c r="AIG3" s="24"/>
      <c r="AIH3" s="24"/>
      <c r="AII3" s="24"/>
      <c r="AIJ3" s="24"/>
      <c r="AIK3" s="24"/>
      <c r="AIL3" s="24"/>
      <c r="AIM3" s="24"/>
      <c r="AIN3" s="24"/>
      <c r="AIO3" s="24"/>
      <c r="AIP3" s="24"/>
      <c r="AIQ3" s="24"/>
      <c r="AIR3" s="24"/>
      <c r="AIS3" s="24"/>
      <c r="AIT3" s="24"/>
      <c r="AIU3" s="24"/>
      <c r="AIV3" s="24"/>
      <c r="AIW3" s="24"/>
      <c r="AIX3" s="24"/>
      <c r="AIY3" s="24"/>
      <c r="AIZ3" s="24"/>
      <c r="AJA3" s="24"/>
      <c r="AJB3" s="24"/>
      <c r="AJC3" s="24"/>
      <c r="AJD3" s="24"/>
      <c r="AJE3" s="24"/>
      <c r="AJF3" s="24"/>
      <c r="AJG3" s="24"/>
      <c r="AJH3" s="24"/>
      <c r="AJI3" s="24"/>
      <c r="AJJ3" s="24"/>
      <c r="AJK3" s="24"/>
      <c r="AJL3" s="24"/>
      <c r="AJM3" s="24"/>
      <c r="AJN3" s="24"/>
      <c r="AJO3" s="24"/>
      <c r="AJP3" s="24"/>
      <c r="AJQ3" s="24"/>
      <c r="AJR3" s="24"/>
      <c r="AJS3" s="24"/>
      <c r="AJT3" s="24"/>
      <c r="AJU3" s="24"/>
      <c r="AJV3" s="24"/>
      <c r="AJW3" s="24"/>
      <c r="AJX3" s="24"/>
      <c r="AJY3" s="24"/>
      <c r="AJZ3" s="24"/>
      <c r="AKA3" s="24"/>
      <c r="AKB3" s="24"/>
      <c r="AKC3" s="24"/>
      <c r="AKD3" s="24"/>
      <c r="AKE3" s="24"/>
      <c r="AKF3" s="24"/>
      <c r="AKG3" s="24"/>
      <c r="AKH3" s="24"/>
      <c r="AKI3" s="24"/>
      <c r="AKJ3" s="24"/>
      <c r="AKK3" s="24"/>
      <c r="AKL3" s="24"/>
      <c r="AKM3" s="24"/>
      <c r="AKN3" s="24"/>
      <c r="AKO3" s="24"/>
      <c r="AKP3" s="24"/>
      <c r="AKQ3" s="24"/>
      <c r="AKR3" s="24"/>
      <c r="AKS3" s="24"/>
      <c r="AKT3" s="24"/>
      <c r="AKU3" s="24"/>
      <c r="AKV3" s="24"/>
      <c r="AKW3" s="24"/>
      <c r="AKX3" s="24"/>
      <c r="AKY3" s="24"/>
      <c r="AKZ3" s="24"/>
      <c r="ALA3" s="24"/>
      <c r="ALB3" s="24"/>
      <c r="ALC3" s="24"/>
      <c r="ALD3" s="24"/>
      <c r="ALE3" s="24"/>
      <c r="ALF3" s="24"/>
      <c r="ALG3" s="24"/>
      <c r="ALH3" s="24"/>
      <c r="ALI3" s="24"/>
      <c r="ALJ3" s="24"/>
      <c r="ALK3" s="24"/>
      <c r="ALL3" s="24"/>
      <c r="ALM3" s="24"/>
      <c r="ALN3" s="24"/>
      <c r="ALO3" s="24"/>
      <c r="ALP3" s="24"/>
      <c r="ALQ3" s="24"/>
      <c r="ALR3" s="24"/>
      <c r="ALS3" s="24"/>
      <c r="ALT3" s="24"/>
      <c r="ALU3" s="24"/>
      <c r="ALV3" s="24"/>
      <c r="ALW3" s="24"/>
      <c r="ALX3" s="24"/>
      <c r="ALY3" s="24"/>
      <c r="ALZ3" s="24"/>
      <c r="AMA3" s="24"/>
      <c r="AMB3" s="24"/>
      <c r="AMC3" s="24"/>
      <c r="AMD3" s="24"/>
      <c r="AME3" s="24"/>
      <c r="AMF3" s="24"/>
      <c r="AMG3" s="24"/>
      <c r="AMH3" s="24"/>
      <c r="AMI3" s="24"/>
      <c r="AMJ3" s="24"/>
      <c r="AMK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IFERROR(__xludf.DUMMYFUNCTION("""COMPUTED_VALUE"""),"ClosePM")</f>
        <v>ClosePM</v>
      </c>
      <c r="G4" s="25" t="str">
        <f>IFERROR(__xludf.DUMMYFUNCTION("""COMPUTED_VALUE"""),"FilterPM")</f>
        <v>FilterPM</v>
      </c>
      <c r="H4" s="25" t="str">
        <f>IFERROR(__xludf.DUMMYFUNCTION("""COMPUTED_VALUE"""),"GroupRowPM")</f>
        <v>GroupRowPM</v>
      </c>
      <c r="I4" s="25" t="str">
        <f>IFERROR(__xludf.DUMMYFUNCTION("""COMPUTED_VALUE"""),"CheckDashboardWithPM")</f>
        <v>CheckDashboardWithPM</v>
      </c>
      <c r="J4" s="25" t="str">
        <f>IFERROR(__xludf.DUMMYFUNCTION("""COMPUTED_VALUE"""),"RemoveFilterPM")</f>
        <v>RemoveFilterPM</v>
      </c>
      <c r="K4" s="25" t="str">
        <f>IFERROR(__xludf.DUMMYFUNCTION("""COMPUTED_VALUE"""),"CheckSummaryRowsPM")</f>
        <v>CheckSummaryRowsPM</v>
      </c>
      <c r="L4" s="25" t="str">
        <f>IFERROR(__xludf.DUMMYFUNCTION("""COMPUTED_VALUE"""),"OpenPTTFromPM")</f>
        <v>OpenPTTFromPM</v>
      </c>
      <c r="M4" s="25" t="str">
        <f>IFERROR(__xludf.DUMMYFUNCTION("""COMPUTED_VALUE"""),"OpenClosingFromPM")</f>
        <v>OpenClosingFromPM</v>
      </c>
      <c r="N4" s="25" t="str">
        <f>IFERROR(__xludf.DUMMYFUNCTION("""COMPUTED_VALUE"""),"OpenCorporateActionFromPM")</f>
        <v>OpenCorporateActionFromPM</v>
      </c>
      <c r="O4" s="25" t="str">
        <f>IFERROR(__xludf.DUMMYFUNCTION("""COMPUTED_VALUE"""),"OpenDailyValuationFromPM")</f>
        <v>OpenDailyValuationFromPM</v>
      </c>
      <c r="P4" s="26" t="str">
        <f>IFERROR(__xludf.DUMMYFUNCTION("""COMPUTED_VALUE"""),"ClosePositionFromPM")</f>
        <v>ClosePositionFromPM</v>
      </c>
      <c r="Q4" s="26" t="str">
        <f>IFERROR(__xludf.DUMMYFUNCTION("""COMPUTED_VALUE"""),"ShowSummaryToolFromPM")</f>
        <v>ShowSummaryToolFromPM</v>
      </c>
      <c r="R4" s="26" t="str">
        <f>IFERROR(__xludf.DUMMYFUNCTION("""COMPUTED_VALUE"""),"HideSummaryToolFromPM")</f>
        <v>HideSummaryToolFromPM</v>
      </c>
      <c r="S4" s="26" t="str">
        <f>IFERROR(__xludf.DUMMYFUNCTION("""COMPUTED_VALUE"""),"CloseAccountPositionFromPM")</f>
        <v>CloseAccountPositionFromPM</v>
      </c>
      <c r="T4" s="26" t="str">
        <f>IFERROR(__xludf.DUMMYFUNCTION("""COMPUTED_VALUE"""),"CloseSelectedTaxlotsFromPM")</f>
        <v>CloseSelectedTaxlotsFromPM</v>
      </c>
      <c r="U4" s="26" t="str">
        <f>IFERROR(__xludf.DUMMYFUNCTION("""COMPUTED_VALUE"""),"ExpandCollapsePM")</f>
        <v>ExpandCollapsePM</v>
      </c>
      <c r="V4" s="26" t="str">
        <f>IFERROR(__xludf.DUMMYFUNCTION("""COMPUTED_VALUE"""),"AddCustomViewPM")</f>
        <v>AddCustomViewPM</v>
      </c>
      <c r="W4" s="26" t="str">
        <f>IFERROR(__xludf.DUMMYFUNCTION("""COMPUTED_VALUE"""),"AddCustomViewRightClickPM")</f>
        <v>AddCustomViewRightClickPM</v>
      </c>
      <c r="X4" s="26" t="str">
        <f>IFERROR(__xludf.DUMMYFUNCTION("""COMPUTED_VALUE"""),"RenameCustomViewPM")</f>
        <v>RenameCustomViewPM</v>
      </c>
      <c r="Y4" s="26" t="str">
        <f>IFERROR(__xludf.DUMMYFUNCTION("""COMPUTED_VALUE"""),"DeleteCustomViewPM")</f>
        <v>DeleteCustomViewPM</v>
      </c>
      <c r="Z4" s="26" t="str">
        <f>IFERROR(__xludf.DUMMYFUNCTION("""COMPUTED_VALUE"""),"OpenCreateTransactionFromPM")</f>
        <v>OpenCreateTransactionFromPM</v>
      </c>
      <c r="AA4" s="26" t="str">
        <f>IFERROR(__xludf.DUMMYFUNCTION("""COMPUTED_VALUE"""),"RemoveGroupingFromPM")</f>
        <v>RemoveGroupingFromPM</v>
      </c>
      <c r="AB4" s="26" t="str">
        <f>IFERROR(__xludf.DUMMYFUNCTION("""COMPUTED_VALUE"""),"IncreasePositionFromPM")</f>
        <v>IncreasePositionFromPM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  <c r="FU4" s="26"/>
      <c r="FV4" s="26"/>
      <c r="FW4" s="26"/>
      <c r="FX4" s="26"/>
      <c r="FY4" s="26"/>
      <c r="FZ4" s="26"/>
      <c r="GA4" s="26"/>
      <c r="GB4" s="26"/>
      <c r="GC4" s="26"/>
      <c r="GD4" s="26"/>
      <c r="GE4" s="26"/>
      <c r="GF4" s="26"/>
      <c r="GG4" s="26"/>
      <c r="GH4" s="26"/>
      <c r="GI4" s="26"/>
      <c r="GJ4" s="26"/>
      <c r="GK4" s="26"/>
      <c r="GL4" s="26"/>
      <c r="GM4" s="26"/>
      <c r="GN4" s="26"/>
      <c r="GO4" s="26"/>
      <c r="GP4" s="26"/>
      <c r="GQ4" s="26"/>
      <c r="GR4" s="26"/>
      <c r="GS4" s="26"/>
      <c r="GT4" s="26"/>
      <c r="GU4" s="26"/>
      <c r="GV4" s="26"/>
      <c r="GW4" s="26"/>
      <c r="GX4" s="26"/>
      <c r="GY4" s="26"/>
      <c r="GZ4" s="26"/>
      <c r="HA4" s="26"/>
      <c r="HB4" s="26"/>
      <c r="HC4" s="26"/>
      <c r="HD4" s="26"/>
      <c r="HE4" s="26"/>
      <c r="HF4" s="26"/>
      <c r="HG4" s="26"/>
      <c r="HH4" s="26"/>
      <c r="HI4" s="26"/>
      <c r="HJ4" s="26"/>
      <c r="HK4" s="26"/>
      <c r="HL4" s="26"/>
      <c r="HM4" s="26"/>
      <c r="HN4" s="26"/>
      <c r="HO4" s="26"/>
      <c r="HP4" s="26"/>
      <c r="HQ4" s="26"/>
      <c r="HR4" s="26"/>
      <c r="HS4" s="26"/>
      <c r="HT4" s="26"/>
      <c r="HU4" s="26"/>
      <c r="HV4" s="26"/>
      <c r="HW4" s="26"/>
      <c r="HX4" s="26"/>
      <c r="HY4" s="26"/>
      <c r="HZ4" s="26"/>
      <c r="IA4" s="26"/>
      <c r="IB4" s="26"/>
      <c r="IC4" s="26"/>
      <c r="ID4" s="26"/>
      <c r="IE4" s="26"/>
      <c r="IF4" s="26"/>
      <c r="IG4" s="26"/>
      <c r="IH4" s="26"/>
      <c r="II4" s="26"/>
      <c r="IJ4" s="26"/>
      <c r="IK4" s="26"/>
      <c r="IL4" s="26"/>
      <c r="IM4" s="26"/>
      <c r="IN4" s="26"/>
      <c r="IO4" s="26"/>
      <c r="IP4" s="26"/>
      <c r="IQ4" s="26"/>
      <c r="IR4" s="26"/>
      <c r="IS4" s="26"/>
      <c r="IT4" s="26"/>
      <c r="IU4" s="26"/>
      <c r="IV4" s="26"/>
      <c r="IW4" s="26"/>
      <c r="IX4" s="26"/>
      <c r="IY4" s="26"/>
      <c r="IZ4" s="26"/>
      <c r="JA4" s="26"/>
      <c r="JB4" s="26"/>
      <c r="JC4" s="26"/>
      <c r="JD4" s="26"/>
      <c r="JE4" s="26"/>
      <c r="JF4" s="26"/>
      <c r="JG4" s="26"/>
      <c r="JH4" s="26"/>
      <c r="JI4" s="26"/>
      <c r="JJ4" s="26"/>
      <c r="JK4" s="26"/>
      <c r="JL4" s="26"/>
      <c r="JM4" s="26"/>
      <c r="JN4" s="26"/>
      <c r="JO4" s="26"/>
      <c r="JP4" s="26"/>
      <c r="JQ4" s="26"/>
      <c r="JR4" s="26"/>
      <c r="JS4" s="26"/>
      <c r="JT4" s="26"/>
      <c r="JU4" s="26"/>
      <c r="JV4" s="26"/>
      <c r="JW4" s="26"/>
      <c r="JX4" s="26"/>
      <c r="JY4" s="26"/>
      <c r="JZ4" s="26"/>
      <c r="KA4" s="26"/>
      <c r="KB4" s="26"/>
      <c r="KC4" s="26"/>
      <c r="KD4" s="26"/>
      <c r="KE4" s="26"/>
      <c r="KF4" s="26"/>
      <c r="KG4" s="26"/>
      <c r="KH4" s="26"/>
      <c r="KI4" s="26"/>
      <c r="KJ4" s="26"/>
      <c r="KK4" s="26"/>
      <c r="KL4" s="26"/>
      <c r="KM4" s="26"/>
      <c r="KN4" s="26"/>
      <c r="KO4" s="26"/>
      <c r="KP4" s="26"/>
      <c r="KQ4" s="26"/>
      <c r="KR4" s="26"/>
      <c r="KS4" s="26"/>
      <c r="KT4" s="26"/>
      <c r="KU4" s="26"/>
      <c r="KV4" s="26"/>
      <c r="KW4" s="26"/>
      <c r="KX4" s="26"/>
      <c r="KY4" s="26"/>
      <c r="KZ4" s="26"/>
      <c r="LA4" s="26"/>
      <c r="LB4" s="26"/>
      <c r="LC4" s="26"/>
      <c r="LD4" s="26"/>
      <c r="LE4" s="26"/>
      <c r="LF4" s="26"/>
      <c r="LG4" s="26"/>
      <c r="LH4" s="26"/>
      <c r="LI4" s="26"/>
      <c r="LJ4" s="26"/>
      <c r="LK4" s="26"/>
      <c r="LL4" s="26"/>
      <c r="LM4" s="26"/>
      <c r="LN4" s="26"/>
      <c r="LO4" s="26"/>
      <c r="LP4" s="26"/>
      <c r="LQ4" s="26"/>
      <c r="LR4" s="26"/>
      <c r="LS4" s="26"/>
      <c r="LT4" s="26"/>
      <c r="LU4" s="26"/>
      <c r="LV4" s="26"/>
      <c r="LW4" s="26"/>
      <c r="LX4" s="26"/>
      <c r="LY4" s="26"/>
      <c r="LZ4" s="26"/>
      <c r="MA4" s="26"/>
      <c r="MB4" s="26"/>
      <c r="MC4" s="26"/>
      <c r="MD4" s="26"/>
      <c r="ME4" s="26"/>
      <c r="MF4" s="26"/>
      <c r="MG4" s="26"/>
      <c r="MH4" s="26"/>
      <c r="MI4" s="26"/>
      <c r="MJ4" s="26"/>
      <c r="MK4" s="26"/>
      <c r="ML4" s="26"/>
      <c r="MM4" s="26"/>
      <c r="MN4" s="26"/>
      <c r="MO4" s="26"/>
      <c r="MP4" s="26"/>
      <c r="MQ4" s="26"/>
      <c r="MR4" s="26"/>
      <c r="MS4" s="26"/>
      <c r="MT4" s="26"/>
      <c r="MU4" s="26"/>
      <c r="MV4" s="26"/>
      <c r="MW4" s="26"/>
      <c r="MX4" s="26"/>
      <c r="MY4" s="26"/>
      <c r="MZ4" s="26"/>
      <c r="NA4" s="26"/>
      <c r="NB4" s="26"/>
      <c r="NC4" s="26"/>
      <c r="ND4" s="26"/>
      <c r="NE4" s="26"/>
      <c r="NF4" s="26"/>
      <c r="NG4" s="26"/>
      <c r="NH4" s="26"/>
      <c r="NI4" s="26"/>
      <c r="NJ4" s="26"/>
      <c r="NK4" s="26"/>
      <c r="NL4" s="26"/>
      <c r="NM4" s="26"/>
      <c r="NN4" s="26"/>
      <c r="NO4" s="26"/>
      <c r="NP4" s="26"/>
      <c r="NQ4" s="26"/>
      <c r="NR4" s="26"/>
      <c r="NS4" s="26"/>
      <c r="NT4" s="26"/>
      <c r="NU4" s="26"/>
      <c r="NV4" s="26"/>
      <c r="NW4" s="26"/>
      <c r="NX4" s="26"/>
      <c r="NY4" s="26"/>
      <c r="NZ4" s="26"/>
      <c r="OA4" s="26"/>
      <c r="OB4" s="26"/>
      <c r="OC4" s="26"/>
      <c r="OD4" s="26"/>
      <c r="OE4" s="26"/>
      <c r="OF4" s="26"/>
      <c r="OG4" s="26"/>
      <c r="OH4" s="26"/>
      <c r="OI4" s="26"/>
      <c r="OJ4" s="26"/>
      <c r="OK4" s="26"/>
      <c r="OL4" s="26"/>
      <c r="OM4" s="26"/>
      <c r="ON4" s="26"/>
      <c r="OO4" s="26"/>
      <c r="OP4" s="26"/>
      <c r="OQ4" s="26"/>
      <c r="OR4" s="26"/>
      <c r="OS4" s="26"/>
      <c r="OT4" s="26"/>
      <c r="OU4" s="26"/>
      <c r="OV4" s="26"/>
      <c r="OW4" s="26"/>
      <c r="OX4" s="26"/>
      <c r="OY4" s="26"/>
      <c r="OZ4" s="26"/>
      <c r="PA4" s="26"/>
      <c r="PB4" s="26"/>
      <c r="PC4" s="26"/>
      <c r="PD4" s="26"/>
      <c r="PE4" s="26"/>
      <c r="PF4" s="26"/>
      <c r="PG4" s="26"/>
      <c r="PH4" s="26"/>
      <c r="PI4" s="26"/>
      <c r="PJ4" s="26"/>
      <c r="PK4" s="26"/>
      <c r="PL4" s="26"/>
      <c r="PM4" s="26"/>
      <c r="PN4" s="26"/>
      <c r="PO4" s="26"/>
      <c r="PP4" s="26"/>
      <c r="PQ4" s="26"/>
      <c r="PR4" s="26"/>
      <c r="PS4" s="26"/>
      <c r="PT4" s="26"/>
      <c r="PU4" s="26"/>
      <c r="PV4" s="26"/>
      <c r="PW4" s="26"/>
      <c r="PX4" s="26"/>
      <c r="PY4" s="26"/>
      <c r="PZ4" s="26"/>
      <c r="QA4" s="26"/>
      <c r="QB4" s="26"/>
      <c r="QC4" s="26"/>
      <c r="QD4" s="26"/>
      <c r="QE4" s="26"/>
      <c r="QF4" s="26"/>
      <c r="QG4" s="26"/>
      <c r="QH4" s="26"/>
      <c r="QI4" s="26"/>
      <c r="QJ4" s="26"/>
      <c r="QK4" s="26"/>
      <c r="QL4" s="26"/>
      <c r="QM4" s="26"/>
      <c r="QN4" s="26"/>
      <c r="QO4" s="26"/>
      <c r="QP4" s="26"/>
      <c r="QQ4" s="26"/>
      <c r="QR4" s="26"/>
      <c r="QS4" s="26"/>
      <c r="QT4" s="26"/>
      <c r="QU4" s="26"/>
      <c r="QV4" s="26"/>
      <c r="QW4" s="26"/>
      <c r="QX4" s="26"/>
      <c r="QY4" s="26"/>
      <c r="QZ4" s="26"/>
      <c r="RA4" s="26"/>
      <c r="RB4" s="26"/>
      <c r="RC4" s="26"/>
      <c r="RD4" s="26"/>
      <c r="RE4" s="26"/>
      <c r="RF4" s="26"/>
      <c r="RG4" s="26"/>
      <c r="RH4" s="26"/>
      <c r="RI4" s="26"/>
      <c r="RJ4" s="26"/>
      <c r="RK4" s="26"/>
      <c r="RL4" s="26"/>
      <c r="RM4" s="26"/>
      <c r="RN4" s="26"/>
      <c r="RO4" s="26"/>
      <c r="RP4" s="26"/>
      <c r="RQ4" s="26"/>
      <c r="RR4" s="26"/>
      <c r="RS4" s="26"/>
      <c r="RT4" s="26"/>
      <c r="RU4" s="26"/>
      <c r="RV4" s="26"/>
      <c r="RW4" s="26"/>
      <c r="RX4" s="26"/>
      <c r="RY4" s="26"/>
      <c r="RZ4" s="26"/>
      <c r="SA4" s="26"/>
      <c r="SB4" s="26"/>
      <c r="SC4" s="26"/>
      <c r="SD4" s="26"/>
      <c r="SE4" s="26"/>
      <c r="SF4" s="26"/>
      <c r="SG4" s="26"/>
      <c r="SH4" s="26"/>
      <c r="SI4" s="26"/>
      <c r="SJ4" s="26"/>
      <c r="SK4" s="26"/>
      <c r="SL4" s="26"/>
      <c r="SM4" s="26"/>
      <c r="SN4" s="26"/>
      <c r="SO4" s="26"/>
      <c r="SP4" s="26"/>
      <c r="SQ4" s="26"/>
      <c r="SR4" s="26"/>
      <c r="SS4" s="26"/>
      <c r="ST4" s="26"/>
      <c r="SU4" s="26"/>
      <c r="SV4" s="26"/>
      <c r="SW4" s="26"/>
      <c r="SX4" s="26"/>
      <c r="SY4" s="26"/>
      <c r="SZ4" s="26"/>
      <c r="TA4" s="26"/>
      <c r="TB4" s="26"/>
      <c r="TC4" s="26"/>
      <c r="TD4" s="26"/>
      <c r="TE4" s="26"/>
      <c r="TF4" s="26"/>
      <c r="TG4" s="26"/>
      <c r="TH4" s="26"/>
      <c r="TI4" s="26"/>
      <c r="TJ4" s="26"/>
      <c r="TK4" s="26"/>
      <c r="TL4" s="26"/>
      <c r="TM4" s="26"/>
      <c r="TN4" s="26"/>
      <c r="TO4" s="26"/>
      <c r="TP4" s="26"/>
      <c r="TQ4" s="26"/>
      <c r="TR4" s="26"/>
      <c r="TS4" s="26"/>
      <c r="TT4" s="26"/>
      <c r="TU4" s="26"/>
      <c r="TV4" s="26"/>
      <c r="TW4" s="26"/>
      <c r="TX4" s="26"/>
      <c r="TY4" s="26"/>
      <c r="TZ4" s="26"/>
      <c r="UA4" s="26"/>
      <c r="UB4" s="26"/>
      <c r="UC4" s="26"/>
      <c r="UD4" s="26"/>
      <c r="UE4" s="26"/>
      <c r="UF4" s="26"/>
      <c r="UG4" s="26"/>
      <c r="UH4" s="26"/>
      <c r="UI4" s="26"/>
      <c r="UJ4" s="26"/>
      <c r="UK4" s="26"/>
      <c r="UL4" s="26"/>
      <c r="UM4" s="26"/>
      <c r="UN4" s="26"/>
      <c r="UO4" s="26"/>
      <c r="UP4" s="26"/>
      <c r="UQ4" s="26"/>
      <c r="UR4" s="26"/>
      <c r="US4" s="26"/>
      <c r="UT4" s="26"/>
      <c r="UU4" s="26"/>
      <c r="UV4" s="26"/>
      <c r="UW4" s="26"/>
      <c r="UX4" s="26"/>
      <c r="UY4" s="26"/>
      <c r="UZ4" s="26"/>
      <c r="VA4" s="26"/>
      <c r="VB4" s="26"/>
      <c r="VC4" s="26"/>
      <c r="VD4" s="26"/>
      <c r="VE4" s="26"/>
      <c r="VF4" s="26"/>
      <c r="VG4" s="26"/>
      <c r="VH4" s="26"/>
      <c r="VI4" s="26"/>
      <c r="VJ4" s="26"/>
      <c r="VK4" s="26"/>
      <c r="VL4" s="26"/>
      <c r="VM4" s="26"/>
      <c r="VN4" s="26"/>
      <c r="VO4" s="26"/>
      <c r="VP4" s="26"/>
      <c r="VQ4" s="26"/>
      <c r="VR4" s="26"/>
      <c r="VS4" s="26"/>
      <c r="VT4" s="26"/>
      <c r="VU4" s="26"/>
      <c r="VV4" s="26"/>
      <c r="VW4" s="26"/>
      <c r="VX4" s="26"/>
      <c r="VY4" s="26"/>
      <c r="VZ4" s="26"/>
      <c r="WA4" s="26"/>
      <c r="WB4" s="26"/>
      <c r="WC4" s="26"/>
      <c r="WD4" s="26"/>
      <c r="WE4" s="26"/>
      <c r="WF4" s="26"/>
      <c r="WG4" s="26"/>
      <c r="WH4" s="26"/>
      <c r="WI4" s="26"/>
      <c r="WJ4" s="26"/>
      <c r="WK4" s="26"/>
      <c r="WL4" s="26"/>
      <c r="WM4" s="26"/>
      <c r="WN4" s="26"/>
      <c r="WO4" s="26"/>
      <c r="WP4" s="26"/>
      <c r="WQ4" s="26"/>
      <c r="WR4" s="26"/>
      <c r="WS4" s="26"/>
      <c r="WT4" s="26"/>
      <c r="WU4" s="26"/>
      <c r="WV4" s="26"/>
      <c r="WW4" s="26"/>
      <c r="WX4" s="26"/>
      <c r="WY4" s="26"/>
      <c r="WZ4" s="26"/>
      <c r="XA4" s="26"/>
      <c r="XB4" s="26"/>
      <c r="XC4" s="26"/>
      <c r="XD4" s="26"/>
      <c r="XE4" s="26"/>
      <c r="XF4" s="26"/>
      <c r="XG4" s="26"/>
      <c r="XH4" s="26"/>
      <c r="XI4" s="26"/>
      <c r="XJ4" s="26"/>
      <c r="XK4" s="26"/>
      <c r="XL4" s="26"/>
      <c r="XM4" s="26"/>
      <c r="XN4" s="26"/>
      <c r="XO4" s="26"/>
      <c r="XP4" s="26"/>
      <c r="XQ4" s="26"/>
      <c r="XR4" s="26"/>
      <c r="XS4" s="26"/>
      <c r="XT4" s="26"/>
      <c r="XU4" s="26"/>
      <c r="XV4" s="26"/>
      <c r="XW4" s="26"/>
      <c r="XX4" s="26"/>
      <c r="XY4" s="26"/>
      <c r="XZ4" s="26"/>
      <c r="YA4" s="26"/>
      <c r="YB4" s="26"/>
      <c r="YC4" s="26"/>
      <c r="YD4" s="26"/>
      <c r="YE4" s="26"/>
      <c r="YF4" s="26"/>
      <c r="YG4" s="26"/>
      <c r="YH4" s="26"/>
      <c r="YI4" s="26"/>
      <c r="YJ4" s="26"/>
      <c r="YK4" s="26"/>
      <c r="YL4" s="26"/>
      <c r="YM4" s="26"/>
      <c r="YN4" s="26"/>
      <c r="YO4" s="26"/>
      <c r="YP4" s="26"/>
      <c r="YQ4" s="26"/>
      <c r="YR4" s="26"/>
      <c r="YS4" s="26"/>
      <c r="YT4" s="26"/>
      <c r="YU4" s="26"/>
      <c r="YV4" s="26"/>
      <c r="YW4" s="26"/>
      <c r="YX4" s="26"/>
      <c r="YY4" s="26"/>
      <c r="YZ4" s="26"/>
      <c r="ZA4" s="26"/>
      <c r="ZB4" s="26"/>
      <c r="ZC4" s="26"/>
      <c r="ZD4" s="26"/>
      <c r="ZE4" s="26"/>
      <c r="ZF4" s="26"/>
      <c r="ZG4" s="26"/>
      <c r="ZH4" s="26"/>
      <c r="ZI4" s="26"/>
      <c r="ZJ4" s="26"/>
      <c r="ZK4" s="26"/>
      <c r="ZL4" s="26"/>
      <c r="ZM4" s="26"/>
      <c r="ZN4" s="26"/>
      <c r="ZO4" s="26"/>
      <c r="ZP4" s="26"/>
      <c r="ZQ4" s="26"/>
      <c r="ZR4" s="26"/>
      <c r="ZS4" s="26"/>
      <c r="ZT4" s="26"/>
      <c r="ZU4" s="26"/>
      <c r="ZV4" s="26"/>
      <c r="ZW4" s="26"/>
      <c r="ZX4" s="26"/>
      <c r="ZY4" s="26"/>
      <c r="ZZ4" s="26"/>
      <c r="AAA4" s="26"/>
      <c r="AAB4" s="26"/>
      <c r="AAC4" s="26"/>
      <c r="AAD4" s="26"/>
      <c r="AAE4" s="26"/>
      <c r="AAF4" s="26"/>
      <c r="AAG4" s="26"/>
      <c r="AAH4" s="26"/>
      <c r="AAI4" s="26"/>
      <c r="AAJ4" s="26"/>
      <c r="AAK4" s="26"/>
      <c r="AAL4" s="26"/>
      <c r="AAM4" s="26"/>
      <c r="AAN4" s="26"/>
      <c r="AAO4" s="26"/>
      <c r="AAP4" s="26"/>
      <c r="AAQ4" s="26"/>
      <c r="AAR4" s="26"/>
      <c r="AAS4" s="26"/>
      <c r="AAT4" s="26"/>
      <c r="AAU4" s="26"/>
      <c r="AAV4" s="26"/>
      <c r="AAW4" s="26"/>
      <c r="AAX4" s="26"/>
      <c r="AAY4" s="26"/>
      <c r="AAZ4" s="26"/>
      <c r="ABA4" s="26"/>
      <c r="ABB4" s="26"/>
      <c r="ABC4" s="26"/>
      <c r="ABD4" s="26"/>
      <c r="ABE4" s="26"/>
      <c r="ABF4" s="26"/>
      <c r="ABG4" s="26"/>
      <c r="ABH4" s="26"/>
      <c r="ABI4" s="26"/>
      <c r="ABJ4" s="26"/>
      <c r="ABK4" s="26"/>
      <c r="ABL4" s="26"/>
      <c r="ABM4" s="26"/>
      <c r="ABN4" s="26"/>
      <c r="ABO4" s="26"/>
      <c r="ABP4" s="26"/>
      <c r="ABQ4" s="26"/>
      <c r="ABR4" s="26"/>
      <c r="ABS4" s="26"/>
      <c r="ABT4" s="26"/>
      <c r="ABU4" s="26"/>
      <c r="ABV4" s="26"/>
      <c r="ABW4" s="26"/>
      <c r="ABX4" s="26"/>
      <c r="ABY4" s="26"/>
      <c r="ABZ4" s="26"/>
      <c r="ACA4" s="26"/>
      <c r="ACB4" s="26"/>
      <c r="ACC4" s="26"/>
      <c r="ACD4" s="26"/>
      <c r="ACE4" s="26"/>
      <c r="ACF4" s="26"/>
      <c r="ACG4" s="26"/>
      <c r="ACH4" s="26"/>
      <c r="ACI4" s="26"/>
      <c r="ACJ4" s="26"/>
      <c r="ACK4" s="26"/>
      <c r="ACL4" s="26"/>
      <c r="ACM4" s="26"/>
      <c r="ACN4" s="26"/>
      <c r="ACO4" s="26"/>
      <c r="ACP4" s="26"/>
      <c r="ACQ4" s="26"/>
      <c r="ACR4" s="26"/>
      <c r="ACS4" s="26"/>
      <c r="ACT4" s="26"/>
      <c r="ACU4" s="26"/>
      <c r="ACV4" s="26"/>
      <c r="ACW4" s="26"/>
      <c r="ACX4" s="26"/>
      <c r="ACY4" s="26"/>
      <c r="ACZ4" s="26"/>
      <c r="ADA4" s="26"/>
      <c r="ADB4" s="26"/>
      <c r="ADC4" s="26"/>
      <c r="ADD4" s="26"/>
      <c r="ADE4" s="26"/>
      <c r="ADF4" s="26"/>
      <c r="ADG4" s="26"/>
      <c r="ADH4" s="26"/>
      <c r="ADI4" s="26"/>
      <c r="ADJ4" s="26"/>
      <c r="ADK4" s="26"/>
      <c r="ADL4" s="26"/>
      <c r="ADM4" s="26"/>
      <c r="ADN4" s="26"/>
      <c r="ADO4" s="26"/>
      <c r="ADP4" s="26"/>
      <c r="ADQ4" s="26"/>
      <c r="ADR4" s="26"/>
      <c r="ADS4" s="26"/>
      <c r="ADT4" s="26"/>
      <c r="ADU4" s="26"/>
      <c r="ADV4" s="26"/>
      <c r="ADW4" s="26"/>
      <c r="ADX4" s="26"/>
      <c r="ADY4" s="26"/>
      <c r="ADZ4" s="26"/>
      <c r="AEA4" s="26"/>
      <c r="AEB4" s="26"/>
      <c r="AEC4" s="26"/>
      <c r="AED4" s="26"/>
      <c r="AEE4" s="26"/>
      <c r="AEF4" s="26"/>
      <c r="AEG4" s="26"/>
      <c r="AEH4" s="26"/>
      <c r="AEI4" s="26"/>
      <c r="AEJ4" s="26"/>
      <c r="AEK4" s="26"/>
      <c r="AEL4" s="26"/>
      <c r="AEM4" s="26"/>
      <c r="AEN4" s="26"/>
      <c r="AEO4" s="26"/>
      <c r="AEP4" s="26"/>
      <c r="AEQ4" s="26"/>
      <c r="AER4" s="26"/>
      <c r="AES4" s="26"/>
      <c r="AET4" s="26"/>
      <c r="AEU4" s="26"/>
      <c r="AEV4" s="26"/>
      <c r="AEW4" s="26"/>
      <c r="AEX4" s="26"/>
      <c r="AEY4" s="26"/>
      <c r="AEZ4" s="26"/>
      <c r="AFA4" s="26"/>
      <c r="AFB4" s="26"/>
      <c r="AFC4" s="26"/>
      <c r="AFD4" s="26"/>
      <c r="AFE4" s="26"/>
      <c r="AFF4" s="26"/>
      <c r="AFG4" s="26"/>
      <c r="AFH4" s="26"/>
      <c r="AFI4" s="26"/>
      <c r="AFJ4" s="26"/>
      <c r="AFK4" s="26"/>
      <c r="AFL4" s="26"/>
      <c r="AFM4" s="26"/>
      <c r="AFN4" s="26"/>
      <c r="AFO4" s="26"/>
      <c r="AFP4" s="26"/>
      <c r="AFQ4" s="26"/>
      <c r="AFR4" s="26"/>
      <c r="AFS4" s="26"/>
      <c r="AFT4" s="26"/>
      <c r="AFU4" s="26"/>
      <c r="AFV4" s="26"/>
      <c r="AFW4" s="26"/>
      <c r="AFX4" s="26"/>
      <c r="AFY4" s="26"/>
      <c r="AFZ4" s="26"/>
      <c r="AGA4" s="26"/>
      <c r="AGB4" s="26"/>
      <c r="AGC4" s="26"/>
      <c r="AGD4" s="26"/>
      <c r="AGE4" s="26"/>
      <c r="AGF4" s="26"/>
      <c r="AGG4" s="26"/>
      <c r="AGH4" s="26"/>
      <c r="AGI4" s="26"/>
      <c r="AGJ4" s="26"/>
      <c r="AGK4" s="26"/>
      <c r="AGL4" s="26"/>
      <c r="AGM4" s="26"/>
      <c r="AGN4" s="26"/>
      <c r="AGO4" s="26"/>
      <c r="AGP4" s="26"/>
      <c r="AGQ4" s="26"/>
      <c r="AGR4" s="26"/>
      <c r="AGS4" s="26"/>
      <c r="AGT4" s="26"/>
      <c r="AGU4" s="26"/>
      <c r="AGV4" s="26"/>
      <c r="AGW4" s="26"/>
      <c r="AGX4" s="26"/>
      <c r="AGY4" s="26"/>
      <c r="AGZ4" s="26"/>
      <c r="AHA4" s="26"/>
      <c r="AHB4" s="26"/>
      <c r="AHC4" s="26"/>
      <c r="AHD4" s="26"/>
      <c r="AHE4" s="26"/>
      <c r="AHF4" s="26"/>
      <c r="AHG4" s="26"/>
      <c r="AHH4" s="26"/>
      <c r="AHI4" s="26"/>
      <c r="AHJ4" s="26"/>
      <c r="AHK4" s="26"/>
      <c r="AHL4" s="26"/>
      <c r="AHM4" s="26"/>
      <c r="AHN4" s="26"/>
      <c r="AHO4" s="26"/>
      <c r="AHP4" s="26"/>
      <c r="AHQ4" s="26"/>
      <c r="AHR4" s="26"/>
      <c r="AHS4" s="26"/>
      <c r="AHT4" s="26"/>
      <c r="AHU4" s="26"/>
      <c r="AHV4" s="26"/>
      <c r="AHW4" s="26"/>
      <c r="AHX4" s="26"/>
      <c r="AHY4" s="26"/>
      <c r="AHZ4" s="26"/>
      <c r="AIA4" s="26"/>
      <c r="AIB4" s="26"/>
      <c r="AIC4" s="26"/>
      <c r="AID4" s="26"/>
      <c r="AIE4" s="26"/>
      <c r="AIF4" s="26"/>
      <c r="AIG4" s="26"/>
      <c r="AIH4" s="26"/>
      <c r="AII4" s="26"/>
      <c r="AIJ4" s="26"/>
      <c r="AIK4" s="26"/>
      <c r="AIL4" s="26"/>
      <c r="AIM4" s="26"/>
      <c r="AIN4" s="26"/>
      <c r="AIO4" s="26"/>
      <c r="AIP4" s="26"/>
      <c r="AIQ4" s="26"/>
      <c r="AIR4" s="26"/>
      <c r="AIS4" s="26"/>
      <c r="AIT4" s="26"/>
      <c r="AIU4" s="26"/>
      <c r="AIV4" s="26"/>
      <c r="AIW4" s="26"/>
      <c r="AIX4" s="26"/>
      <c r="AIY4" s="26"/>
      <c r="AIZ4" s="26"/>
      <c r="AJA4" s="26"/>
      <c r="AJB4" s="26"/>
      <c r="AJC4" s="26"/>
      <c r="AJD4" s="26"/>
      <c r="AJE4" s="26"/>
      <c r="AJF4" s="26"/>
      <c r="AJG4" s="26"/>
      <c r="AJH4" s="26"/>
      <c r="AJI4" s="26"/>
      <c r="AJJ4" s="26"/>
      <c r="AJK4" s="26"/>
      <c r="AJL4" s="26"/>
      <c r="AJM4" s="26"/>
      <c r="AJN4" s="26"/>
      <c r="AJO4" s="26"/>
      <c r="AJP4" s="26"/>
      <c r="AJQ4" s="26"/>
      <c r="AJR4" s="26"/>
      <c r="AJS4" s="26"/>
      <c r="AJT4" s="26"/>
      <c r="AJU4" s="26"/>
      <c r="AJV4" s="26"/>
      <c r="AJW4" s="26"/>
      <c r="AJX4" s="26"/>
      <c r="AJY4" s="26"/>
      <c r="AJZ4" s="26"/>
      <c r="AKA4" s="26"/>
      <c r="AKB4" s="26"/>
      <c r="AKC4" s="26"/>
      <c r="AKD4" s="26"/>
      <c r="AKE4" s="26"/>
      <c r="AKF4" s="26"/>
      <c r="AKG4" s="26"/>
      <c r="AKH4" s="26"/>
      <c r="AKI4" s="26"/>
      <c r="AKJ4" s="26"/>
      <c r="AKK4" s="26"/>
      <c r="AKL4" s="26"/>
      <c r="AKM4" s="26"/>
      <c r="AKN4" s="26"/>
      <c r="AKO4" s="26"/>
      <c r="AKP4" s="26"/>
      <c r="AKQ4" s="26"/>
      <c r="AKR4" s="26"/>
      <c r="AKS4" s="26"/>
      <c r="AKT4" s="26"/>
      <c r="AKU4" s="26"/>
      <c r="AKV4" s="26"/>
      <c r="AKW4" s="26"/>
      <c r="AKX4" s="26"/>
      <c r="AKY4" s="26"/>
      <c r="AKZ4" s="26"/>
      <c r="ALA4" s="26"/>
      <c r="ALB4" s="26"/>
      <c r="ALC4" s="26"/>
      <c r="ALD4" s="26"/>
      <c r="ALE4" s="26"/>
      <c r="ALF4" s="26"/>
      <c r="ALG4" s="26"/>
      <c r="ALH4" s="26"/>
      <c r="ALI4" s="26"/>
      <c r="ALJ4" s="26"/>
      <c r="ALK4" s="26"/>
      <c r="ALL4" s="26"/>
      <c r="ALM4" s="26"/>
      <c r="ALN4" s="26"/>
      <c r="ALO4" s="26"/>
      <c r="ALP4" s="26"/>
      <c r="ALQ4" s="26"/>
      <c r="ALR4" s="26"/>
      <c r="ALS4" s="26"/>
      <c r="ALT4" s="26"/>
      <c r="ALU4" s="26"/>
      <c r="ALV4" s="26"/>
      <c r="ALW4" s="26"/>
      <c r="ALX4" s="26"/>
      <c r="ALY4" s="26"/>
      <c r="ALZ4" s="26"/>
      <c r="AMA4" s="26"/>
      <c r="AMB4" s="26"/>
      <c r="AMC4" s="26"/>
      <c r="AMD4" s="26"/>
      <c r="AME4" s="26"/>
      <c r="AMF4" s="26"/>
      <c r="AMG4" s="26"/>
      <c r="AMH4" s="26"/>
      <c r="AMI4" s="26"/>
      <c r="AMJ4" s="26"/>
      <c r="AMK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 t="str">
        <f>IFERROR(__xludf.DUMMYFUNCTION("""COMPUTED_VALUE"""),"IsAccountBlank")</f>
        <v>IsAccountBlank</v>
      </c>
      <c r="FL5" s="30"/>
      <c r="FM5" s="30"/>
      <c r="FN5" s="30"/>
      <c r="FO5" s="30"/>
      <c r="FP5" s="30"/>
      <c r="FQ5" s="30"/>
      <c r="FR5" s="30"/>
      <c r="FS5" s="30"/>
      <c r="FT5" s="30"/>
      <c r="FU5" s="30"/>
      <c r="FV5" s="30"/>
      <c r="FW5" s="30"/>
      <c r="FX5" s="30"/>
      <c r="FY5" s="30"/>
      <c r="FZ5" s="30"/>
      <c r="GA5" s="30"/>
      <c r="GB5" s="30"/>
      <c r="GC5" s="30"/>
      <c r="GD5" s="30"/>
      <c r="GE5" s="30"/>
      <c r="GF5" s="30"/>
      <c r="GG5" s="30"/>
      <c r="GH5" s="30"/>
      <c r="GI5" s="30"/>
      <c r="GJ5" s="30"/>
      <c r="GK5" s="30"/>
      <c r="GL5" s="30"/>
      <c r="GM5" s="30"/>
      <c r="GN5" s="30"/>
      <c r="GO5" s="30"/>
      <c r="GP5" s="30"/>
      <c r="GQ5" s="30"/>
      <c r="GR5" s="30"/>
      <c r="GS5" s="30"/>
      <c r="GT5" s="30"/>
      <c r="GU5" s="30"/>
      <c r="GV5" s="30"/>
      <c r="GW5" s="30"/>
      <c r="GX5" s="30"/>
      <c r="GY5" s="30"/>
      <c r="GZ5" s="30"/>
      <c r="HA5" s="30"/>
      <c r="HB5" s="30"/>
      <c r="HC5" s="30"/>
      <c r="HD5" s="30"/>
      <c r="HE5" s="30"/>
      <c r="HF5" s="30"/>
      <c r="HG5" s="30"/>
      <c r="HH5" s="30"/>
      <c r="HI5" s="30"/>
      <c r="HJ5" s="30"/>
      <c r="HK5" s="30"/>
      <c r="HL5" s="30"/>
      <c r="HM5" s="30"/>
      <c r="HN5" s="30"/>
      <c r="HO5" s="30"/>
      <c r="HP5" s="30"/>
      <c r="HQ5" s="30"/>
      <c r="HR5" s="30"/>
      <c r="HS5" s="30"/>
      <c r="HT5" s="30"/>
      <c r="HU5" s="30"/>
      <c r="HV5" s="30"/>
      <c r="HW5" s="30"/>
      <c r="HX5" s="30"/>
      <c r="HY5" s="30"/>
      <c r="HZ5" s="30"/>
      <c r="IA5" s="30"/>
      <c r="IB5" s="30"/>
      <c r="IC5" s="30"/>
      <c r="ID5" s="30"/>
      <c r="IE5" s="30"/>
      <c r="IF5" s="30"/>
      <c r="IG5" s="30"/>
      <c r="IH5" s="30"/>
      <c r="II5" s="30"/>
      <c r="IJ5" s="30"/>
      <c r="IK5" s="30"/>
      <c r="IL5" s="30"/>
      <c r="IM5" s="30"/>
      <c r="IN5" s="30"/>
      <c r="IO5" s="30"/>
      <c r="IP5" s="30"/>
      <c r="IQ5" s="30"/>
      <c r="IR5" s="30"/>
      <c r="IS5" s="30"/>
      <c r="IT5" s="30"/>
      <c r="IU5" s="30"/>
      <c r="IV5" s="30"/>
      <c r="IW5" s="30"/>
      <c r="IX5" s="30"/>
      <c r="IY5" s="30"/>
      <c r="IZ5" s="30"/>
      <c r="JA5" s="30"/>
      <c r="JB5" s="30"/>
      <c r="JC5" s="30"/>
      <c r="JD5" s="30"/>
      <c r="JE5" s="30"/>
      <c r="JF5" s="30"/>
      <c r="JG5" s="30"/>
      <c r="JH5" s="30"/>
      <c r="JI5" s="30"/>
      <c r="JJ5" s="30"/>
      <c r="JK5" s="30"/>
      <c r="JL5" s="30"/>
      <c r="JM5" s="30"/>
      <c r="JN5" s="30"/>
      <c r="JO5" s="30"/>
      <c r="JP5" s="30"/>
      <c r="JQ5" s="30"/>
      <c r="JR5" s="30"/>
      <c r="JS5" s="30"/>
      <c r="JT5" s="30"/>
      <c r="JU5" s="30"/>
      <c r="JV5" s="30"/>
      <c r="JW5" s="30"/>
      <c r="JX5" s="30"/>
      <c r="JY5" s="30"/>
      <c r="JZ5" s="30"/>
      <c r="KA5" s="30"/>
      <c r="KB5" s="30"/>
      <c r="KC5" s="30"/>
      <c r="KD5" s="30"/>
      <c r="KE5" s="30"/>
      <c r="KF5" s="30"/>
      <c r="KG5" s="30"/>
      <c r="KH5" s="30"/>
      <c r="KI5" s="30"/>
      <c r="KJ5" s="30"/>
      <c r="KK5" s="30"/>
      <c r="KL5" s="30"/>
      <c r="KM5" s="30"/>
      <c r="KN5" s="30"/>
      <c r="KO5" s="30"/>
      <c r="KP5" s="30"/>
      <c r="KQ5" s="30"/>
      <c r="KR5" s="30"/>
      <c r="KS5" s="30"/>
      <c r="KT5" s="30"/>
      <c r="KU5" s="30"/>
      <c r="KV5" s="30"/>
      <c r="KW5" s="30"/>
      <c r="KX5" s="30"/>
      <c r="KY5" s="30"/>
      <c r="KZ5" s="30"/>
      <c r="LA5" s="30"/>
      <c r="LB5" s="30"/>
      <c r="LC5" s="30"/>
      <c r="LD5" s="30"/>
      <c r="LE5" s="30"/>
      <c r="LF5" s="30"/>
      <c r="LG5" s="30"/>
      <c r="LH5" s="30"/>
      <c r="LI5" s="30"/>
      <c r="LJ5" s="30"/>
      <c r="LK5" s="30"/>
      <c r="LL5" s="30"/>
      <c r="LM5" s="30"/>
      <c r="LN5" s="30"/>
      <c r="LO5" s="30"/>
      <c r="LP5" s="30"/>
      <c r="LQ5" s="30"/>
      <c r="LR5" s="30"/>
      <c r="LS5" s="30"/>
      <c r="LT5" s="30"/>
      <c r="LU5" s="30"/>
      <c r="LV5" s="30"/>
      <c r="LW5" s="30"/>
      <c r="LX5" s="30"/>
      <c r="LY5" s="30"/>
      <c r="LZ5" s="30"/>
      <c r="MA5" s="30"/>
      <c r="MB5" s="30"/>
      <c r="MC5" s="30"/>
      <c r="MD5" s="30"/>
      <c r="ME5" s="30"/>
      <c r="MF5" s="30"/>
      <c r="MG5" s="30"/>
      <c r="MH5" s="30"/>
      <c r="MI5" s="30"/>
      <c r="MJ5" s="30"/>
      <c r="MK5" s="30"/>
      <c r="ML5" s="30"/>
      <c r="MM5" s="30"/>
      <c r="MN5" s="30"/>
      <c r="MO5" s="30"/>
      <c r="MP5" s="30"/>
      <c r="MQ5" s="30"/>
      <c r="MR5" s="30"/>
      <c r="MS5" s="30"/>
      <c r="MT5" s="30"/>
      <c r="MU5" s="30"/>
      <c r="MV5" s="30"/>
      <c r="MW5" s="30"/>
      <c r="MX5" s="30"/>
      <c r="MY5" s="30"/>
      <c r="MZ5" s="30"/>
      <c r="NA5" s="30"/>
      <c r="NB5" s="30"/>
      <c r="NC5" s="30"/>
      <c r="ND5" s="30"/>
      <c r="NE5" s="30"/>
      <c r="NF5" s="30"/>
      <c r="NG5" s="30"/>
      <c r="NH5" s="30"/>
      <c r="NI5" s="30"/>
      <c r="NJ5" s="30"/>
      <c r="NK5" s="30"/>
      <c r="NL5" s="30"/>
      <c r="NM5" s="30"/>
      <c r="NN5" s="30"/>
      <c r="NO5" s="30"/>
      <c r="NP5" s="30"/>
      <c r="NQ5" s="30"/>
      <c r="NR5" s="30"/>
      <c r="NS5" s="30"/>
      <c r="NT5" s="30"/>
      <c r="NU5" s="30"/>
      <c r="NV5" s="30"/>
      <c r="NW5" s="30"/>
      <c r="NX5" s="30"/>
      <c r="NY5" s="30"/>
      <c r="NZ5" s="30"/>
      <c r="OA5" s="30"/>
      <c r="OB5" s="30"/>
      <c r="OC5" s="30"/>
      <c r="OD5" s="30"/>
      <c r="OE5" s="30"/>
      <c r="OF5" s="30"/>
      <c r="OG5" s="30"/>
      <c r="OH5" s="30"/>
      <c r="OI5" s="30"/>
      <c r="OJ5" s="30"/>
      <c r="OK5" s="30"/>
      <c r="OL5" s="30"/>
      <c r="OM5" s="30"/>
      <c r="ON5" s="30"/>
      <c r="OO5" s="30"/>
      <c r="OP5" s="30"/>
      <c r="OQ5" s="30"/>
      <c r="OR5" s="30"/>
      <c r="OS5" s="30"/>
      <c r="OT5" s="30"/>
      <c r="OU5" s="30"/>
      <c r="OV5" s="30"/>
      <c r="OW5" s="30"/>
      <c r="OX5" s="30"/>
      <c r="OY5" s="30"/>
      <c r="OZ5" s="30"/>
      <c r="PA5" s="30"/>
      <c r="PB5" s="30"/>
      <c r="PC5" s="30"/>
      <c r="PD5" s="30"/>
      <c r="PE5" s="30"/>
      <c r="PF5" s="30"/>
      <c r="PG5" s="30"/>
      <c r="PH5" s="30"/>
      <c r="PI5" s="30"/>
      <c r="PJ5" s="30"/>
      <c r="PK5" s="30"/>
      <c r="PL5" s="30"/>
      <c r="PM5" s="30"/>
      <c r="PN5" s="30"/>
      <c r="PO5" s="30"/>
      <c r="PP5" s="30"/>
      <c r="PQ5" s="30"/>
      <c r="PR5" s="30"/>
      <c r="PS5" s="30"/>
      <c r="PT5" s="30"/>
      <c r="PU5" s="30"/>
      <c r="PV5" s="30"/>
      <c r="PW5" s="30"/>
      <c r="PX5" s="30"/>
      <c r="PY5" s="30"/>
      <c r="PZ5" s="30"/>
      <c r="QA5" s="30"/>
      <c r="QB5" s="30"/>
      <c r="QC5" s="30"/>
      <c r="QD5" s="30"/>
      <c r="QE5" s="30"/>
      <c r="QF5" s="30"/>
      <c r="QG5" s="30"/>
      <c r="QH5" s="30"/>
      <c r="QI5" s="30"/>
      <c r="QJ5" s="30"/>
      <c r="QK5" s="30"/>
      <c r="QL5" s="30"/>
      <c r="QM5" s="30"/>
      <c r="QN5" s="30"/>
      <c r="QO5" s="30"/>
      <c r="QP5" s="30"/>
      <c r="QQ5" s="30"/>
      <c r="QR5" s="30"/>
      <c r="QS5" s="30"/>
      <c r="QT5" s="30"/>
      <c r="QU5" s="30"/>
      <c r="QV5" s="30"/>
      <c r="QW5" s="30"/>
      <c r="QX5" s="30"/>
      <c r="QY5" s="30"/>
      <c r="QZ5" s="30"/>
      <c r="RA5" s="30"/>
      <c r="RB5" s="30"/>
      <c r="RC5" s="30"/>
      <c r="RD5" s="30"/>
      <c r="RE5" s="30"/>
      <c r="RF5" s="30"/>
      <c r="RG5" s="30"/>
      <c r="RH5" s="30"/>
      <c r="RI5" s="30"/>
      <c r="RJ5" s="30"/>
      <c r="RK5" s="30"/>
      <c r="RL5" s="30"/>
      <c r="RM5" s="30"/>
      <c r="RN5" s="30"/>
      <c r="RO5" s="30"/>
      <c r="RP5" s="30"/>
      <c r="RQ5" s="30"/>
      <c r="RR5" s="30"/>
      <c r="RS5" s="30"/>
      <c r="RT5" s="30"/>
      <c r="RU5" s="30"/>
      <c r="RV5" s="30"/>
      <c r="RW5" s="30"/>
      <c r="RX5" s="30"/>
      <c r="RY5" s="30"/>
      <c r="RZ5" s="30"/>
      <c r="SA5" s="30"/>
      <c r="SB5" s="30"/>
      <c r="SC5" s="30"/>
      <c r="SD5" s="30"/>
      <c r="SE5" s="30"/>
      <c r="SF5" s="30"/>
      <c r="SG5" s="30"/>
      <c r="SH5" s="30"/>
      <c r="SI5" s="30"/>
      <c r="SJ5" s="30"/>
      <c r="SK5" s="30"/>
      <c r="SL5" s="30"/>
      <c r="SM5" s="30"/>
      <c r="SN5" s="30"/>
      <c r="SO5" s="30"/>
      <c r="SP5" s="30"/>
      <c r="SQ5" s="30"/>
      <c r="SR5" s="30"/>
      <c r="SS5" s="30"/>
      <c r="ST5" s="30"/>
      <c r="SU5" s="30"/>
      <c r="SV5" s="30"/>
      <c r="SW5" s="30"/>
      <c r="SX5" s="30"/>
      <c r="SY5" s="30"/>
      <c r="SZ5" s="30"/>
      <c r="TA5" s="30"/>
      <c r="TB5" s="30"/>
      <c r="TC5" s="30"/>
      <c r="TD5" s="30"/>
      <c r="TE5" s="30"/>
      <c r="TF5" s="30"/>
      <c r="TG5" s="30"/>
      <c r="TH5" s="30"/>
      <c r="TI5" s="30"/>
      <c r="TJ5" s="30"/>
      <c r="TK5" s="30"/>
      <c r="TL5" s="30"/>
      <c r="TM5" s="30"/>
      <c r="TN5" s="30"/>
      <c r="TO5" s="30"/>
      <c r="TP5" s="30"/>
      <c r="TQ5" s="30"/>
      <c r="TR5" s="30"/>
      <c r="TS5" s="30"/>
      <c r="TT5" s="30"/>
      <c r="TU5" s="30"/>
      <c r="TV5" s="30"/>
      <c r="TW5" s="30"/>
      <c r="TX5" s="30"/>
      <c r="TY5" s="30"/>
      <c r="TZ5" s="30"/>
      <c r="UA5" s="30"/>
      <c r="UB5" s="30"/>
      <c r="UC5" s="30"/>
      <c r="UD5" s="30"/>
      <c r="UE5" s="30"/>
      <c r="UF5" s="30"/>
      <c r="UG5" s="30"/>
      <c r="UH5" s="30"/>
      <c r="UI5" s="30"/>
      <c r="UJ5" s="30"/>
      <c r="UK5" s="30"/>
      <c r="UL5" s="30"/>
      <c r="UM5" s="30"/>
      <c r="UN5" s="30"/>
      <c r="UO5" s="30"/>
      <c r="UP5" s="30"/>
      <c r="UQ5" s="30"/>
      <c r="UR5" s="30"/>
      <c r="US5" s="30"/>
      <c r="UT5" s="30"/>
      <c r="UU5" s="30"/>
      <c r="UV5" s="30"/>
      <c r="UW5" s="30"/>
      <c r="UX5" s="30"/>
      <c r="UY5" s="30"/>
      <c r="UZ5" s="30"/>
      <c r="VA5" s="30"/>
      <c r="VB5" s="30"/>
      <c r="VC5" s="30"/>
      <c r="VD5" s="30"/>
      <c r="VE5" s="30"/>
      <c r="VF5" s="30"/>
      <c r="VG5" s="30"/>
      <c r="VH5" s="30"/>
      <c r="VI5" s="30"/>
      <c r="VJ5" s="30"/>
      <c r="VK5" s="30"/>
      <c r="VL5" s="30"/>
      <c r="VM5" s="30"/>
      <c r="VN5" s="30"/>
      <c r="VO5" s="30"/>
      <c r="VP5" s="30"/>
      <c r="VQ5" s="30"/>
      <c r="VR5" s="30"/>
      <c r="VS5" s="30"/>
      <c r="VT5" s="30"/>
      <c r="VU5" s="30"/>
      <c r="VV5" s="30"/>
      <c r="VW5" s="30"/>
      <c r="VX5" s="30"/>
      <c r="VY5" s="30"/>
      <c r="VZ5" s="30"/>
      <c r="WA5" s="30"/>
      <c r="WB5" s="30"/>
      <c r="WC5" s="30"/>
      <c r="WD5" s="30"/>
      <c r="WE5" s="30"/>
      <c r="WF5" s="30"/>
      <c r="WG5" s="30"/>
      <c r="WH5" s="30"/>
      <c r="WI5" s="30"/>
      <c r="WJ5" s="30"/>
      <c r="WK5" s="30"/>
      <c r="WL5" s="30"/>
      <c r="WM5" s="30"/>
      <c r="WN5" s="30"/>
      <c r="WO5" s="30"/>
      <c r="WP5" s="30"/>
      <c r="WQ5" s="30"/>
      <c r="WR5" s="30"/>
      <c r="WS5" s="30"/>
      <c r="WT5" s="30"/>
      <c r="WU5" s="30"/>
      <c r="WV5" s="30"/>
      <c r="WW5" s="30"/>
      <c r="WX5" s="30"/>
      <c r="WY5" s="30"/>
      <c r="WZ5" s="30"/>
      <c r="XA5" s="30"/>
      <c r="XB5" s="30"/>
      <c r="XC5" s="30"/>
      <c r="XD5" s="30"/>
      <c r="XE5" s="30"/>
      <c r="XF5" s="30"/>
      <c r="XG5" s="30"/>
      <c r="XH5" s="30"/>
      <c r="XI5" s="30"/>
      <c r="XJ5" s="30"/>
      <c r="XK5" s="30"/>
      <c r="XL5" s="30"/>
      <c r="XM5" s="30"/>
      <c r="XN5" s="30"/>
      <c r="XO5" s="30"/>
      <c r="XP5" s="30"/>
      <c r="XQ5" s="30"/>
      <c r="XR5" s="30"/>
      <c r="XS5" s="30"/>
      <c r="XT5" s="30"/>
      <c r="XU5" s="30"/>
      <c r="XV5" s="30"/>
      <c r="XW5" s="30"/>
      <c r="XX5" s="30"/>
      <c r="XY5" s="30"/>
      <c r="XZ5" s="30"/>
      <c r="YA5" s="30"/>
      <c r="YB5" s="30"/>
      <c r="YC5" s="30"/>
      <c r="YD5" s="30"/>
      <c r="YE5" s="30"/>
      <c r="YF5" s="30"/>
      <c r="YG5" s="30"/>
      <c r="YH5" s="30"/>
      <c r="YI5" s="30"/>
      <c r="YJ5" s="30"/>
      <c r="YK5" s="30"/>
      <c r="YL5" s="30"/>
      <c r="YM5" s="30"/>
      <c r="YN5" s="30"/>
      <c r="YO5" s="30"/>
      <c r="YP5" s="30"/>
      <c r="YQ5" s="30"/>
      <c r="YR5" s="30"/>
      <c r="YS5" s="30"/>
      <c r="YT5" s="30"/>
      <c r="YU5" s="30"/>
      <c r="YV5" s="30"/>
      <c r="YW5" s="30"/>
      <c r="YX5" s="30"/>
      <c r="YY5" s="30"/>
      <c r="YZ5" s="30"/>
      <c r="ZA5" s="30"/>
      <c r="ZB5" s="30"/>
      <c r="ZC5" s="30"/>
      <c r="ZD5" s="30"/>
      <c r="ZE5" s="30"/>
      <c r="ZF5" s="30"/>
      <c r="ZG5" s="30"/>
      <c r="ZH5" s="30"/>
      <c r="ZI5" s="30"/>
      <c r="ZJ5" s="30"/>
      <c r="ZK5" s="30"/>
      <c r="ZL5" s="30"/>
      <c r="ZM5" s="30"/>
      <c r="ZN5" s="30"/>
      <c r="ZO5" s="30"/>
      <c r="ZP5" s="30"/>
      <c r="ZQ5" s="30"/>
      <c r="ZR5" s="30"/>
      <c r="ZS5" s="30"/>
      <c r="ZT5" s="30"/>
      <c r="ZU5" s="30"/>
      <c r="ZV5" s="30"/>
      <c r="ZW5" s="30"/>
      <c r="ZX5" s="30"/>
      <c r="ZY5" s="30"/>
      <c r="ZZ5" s="30"/>
      <c r="AAA5" s="30"/>
      <c r="AAB5" s="30"/>
      <c r="AAC5" s="30"/>
      <c r="AAD5" s="30"/>
      <c r="AAE5" s="30"/>
      <c r="AAF5" s="30"/>
      <c r="AAG5" s="30"/>
      <c r="AAH5" s="30"/>
      <c r="AAI5" s="30"/>
      <c r="AAJ5" s="30"/>
      <c r="AAK5" s="30"/>
      <c r="AAL5" s="30"/>
      <c r="AAM5" s="30"/>
      <c r="AAN5" s="30"/>
      <c r="AAO5" s="30"/>
      <c r="AAP5" s="30"/>
      <c r="AAQ5" s="30"/>
      <c r="AAR5" s="30"/>
      <c r="AAS5" s="30"/>
      <c r="AAT5" s="30"/>
      <c r="AAU5" s="30"/>
      <c r="AAV5" s="30"/>
      <c r="AAW5" s="30"/>
      <c r="AAX5" s="30"/>
      <c r="AAY5" s="30"/>
      <c r="AAZ5" s="30"/>
      <c r="ABA5" s="30"/>
      <c r="ABB5" s="30"/>
      <c r="ABC5" s="30"/>
      <c r="ABD5" s="30"/>
      <c r="ABE5" s="30"/>
      <c r="ABF5" s="30"/>
      <c r="ABG5" s="30"/>
      <c r="ABH5" s="30"/>
      <c r="ABI5" s="30"/>
      <c r="ABJ5" s="30"/>
      <c r="ABK5" s="30"/>
      <c r="ABL5" s="30"/>
      <c r="ABM5" s="30"/>
      <c r="ABN5" s="30"/>
      <c r="ABO5" s="30"/>
      <c r="ABP5" s="30"/>
      <c r="ABQ5" s="30"/>
      <c r="ABR5" s="30"/>
      <c r="ABS5" s="30"/>
      <c r="ABT5" s="30"/>
      <c r="ABU5" s="30"/>
      <c r="ABV5" s="30"/>
      <c r="ABW5" s="30"/>
      <c r="ABX5" s="30"/>
      <c r="ABY5" s="30"/>
      <c r="ABZ5" s="30"/>
      <c r="ACA5" s="30"/>
      <c r="ACB5" s="30"/>
      <c r="ACC5" s="30"/>
      <c r="ACD5" s="30"/>
      <c r="ACE5" s="30"/>
      <c r="ACF5" s="30"/>
      <c r="ACG5" s="30"/>
      <c r="ACH5" s="30"/>
      <c r="ACI5" s="30"/>
      <c r="ACJ5" s="30"/>
      <c r="ACK5" s="30"/>
      <c r="ACL5" s="30"/>
      <c r="ACM5" s="30"/>
      <c r="ACN5" s="30"/>
      <c r="ACO5" s="30"/>
      <c r="ACP5" s="30"/>
      <c r="ACQ5" s="30"/>
      <c r="ACR5" s="30"/>
      <c r="ACS5" s="30"/>
      <c r="ACT5" s="30"/>
      <c r="ACU5" s="30"/>
      <c r="ACV5" s="30"/>
      <c r="ACW5" s="30"/>
      <c r="ACX5" s="30"/>
      <c r="ACY5" s="30"/>
      <c r="ACZ5" s="30"/>
      <c r="ADA5" s="30"/>
      <c r="ADB5" s="30"/>
      <c r="ADC5" s="30"/>
      <c r="ADD5" s="30"/>
      <c r="ADE5" s="30"/>
      <c r="ADF5" s="30"/>
      <c r="ADG5" s="30"/>
      <c r="ADH5" s="30"/>
      <c r="ADI5" s="30"/>
      <c r="ADJ5" s="30"/>
      <c r="ADK5" s="30"/>
      <c r="ADL5" s="30"/>
      <c r="ADM5" s="30"/>
      <c r="ADN5" s="30"/>
      <c r="ADO5" s="30"/>
      <c r="ADP5" s="30"/>
      <c r="ADQ5" s="30"/>
      <c r="ADR5" s="30"/>
      <c r="ADS5" s="30"/>
      <c r="ADT5" s="30"/>
      <c r="ADU5" s="30"/>
      <c r="ADV5" s="30"/>
      <c r="ADW5" s="30"/>
      <c r="ADX5" s="30"/>
      <c r="ADY5" s="30"/>
      <c r="ADZ5" s="30"/>
      <c r="AEA5" s="30"/>
      <c r="AEB5" s="30"/>
      <c r="AEC5" s="30"/>
      <c r="AED5" s="30"/>
      <c r="AEE5" s="30"/>
      <c r="AEF5" s="30"/>
      <c r="AEG5" s="30"/>
      <c r="AEH5" s="30"/>
      <c r="AEI5" s="30"/>
      <c r="AEJ5" s="30"/>
      <c r="AEK5" s="30"/>
      <c r="AEL5" s="30"/>
      <c r="AEM5" s="30"/>
      <c r="AEN5" s="30"/>
      <c r="AEO5" s="30"/>
      <c r="AEP5" s="30"/>
      <c r="AEQ5" s="30"/>
      <c r="AER5" s="30"/>
      <c r="AES5" s="30"/>
      <c r="AET5" s="30"/>
      <c r="AEU5" s="30"/>
      <c r="AEV5" s="30"/>
      <c r="AEW5" s="30"/>
      <c r="AEX5" s="30"/>
      <c r="AEY5" s="30"/>
      <c r="AEZ5" s="30"/>
      <c r="AFA5" s="30"/>
      <c r="AFB5" s="30"/>
      <c r="AFC5" s="30"/>
      <c r="AFD5" s="30"/>
      <c r="AFE5" s="30"/>
      <c r="AFF5" s="30"/>
      <c r="AFG5" s="30"/>
      <c r="AFH5" s="30"/>
      <c r="AFI5" s="30"/>
      <c r="AFJ5" s="30"/>
      <c r="AFK5" s="30"/>
      <c r="AFL5" s="30"/>
      <c r="AFM5" s="30"/>
      <c r="AFN5" s="30"/>
      <c r="AFO5" s="30"/>
      <c r="AFP5" s="30"/>
      <c r="AFQ5" s="30"/>
      <c r="AFR5" s="30"/>
      <c r="AFS5" s="30"/>
      <c r="AFT5" s="30"/>
      <c r="AFU5" s="30"/>
      <c r="AFV5" s="30"/>
      <c r="AFW5" s="30"/>
      <c r="AFX5" s="30"/>
      <c r="AFY5" s="30"/>
      <c r="AFZ5" s="30"/>
      <c r="AGA5" s="30"/>
      <c r="AGB5" s="30"/>
      <c r="AGC5" s="30"/>
      <c r="AGD5" s="30"/>
      <c r="AGE5" s="30"/>
      <c r="AGF5" s="30"/>
      <c r="AGG5" s="30"/>
      <c r="AGH5" s="30"/>
      <c r="AGI5" s="30"/>
      <c r="AGJ5" s="30"/>
      <c r="AGK5" s="30"/>
      <c r="AGL5" s="30"/>
      <c r="AGM5" s="30"/>
      <c r="AGN5" s="30"/>
      <c r="AGO5" s="30"/>
      <c r="AGP5" s="30"/>
      <c r="AGQ5" s="30"/>
      <c r="AGR5" s="30"/>
      <c r="AGS5" s="30"/>
      <c r="AGT5" s="30"/>
      <c r="AGU5" s="30"/>
      <c r="AGV5" s="30"/>
      <c r="AGW5" s="30"/>
      <c r="AGX5" s="30"/>
      <c r="AGY5" s="30"/>
      <c r="AGZ5" s="30"/>
      <c r="AHA5" s="30"/>
      <c r="AHB5" s="30"/>
      <c r="AHC5" s="30"/>
      <c r="AHD5" s="30"/>
      <c r="AHE5" s="30"/>
      <c r="AHF5" s="30"/>
      <c r="AHG5" s="30"/>
      <c r="AHH5" s="30"/>
      <c r="AHI5" s="30"/>
      <c r="AHJ5" s="30"/>
      <c r="AHK5" s="30"/>
      <c r="AHL5" s="30"/>
      <c r="AHM5" s="30"/>
      <c r="AHN5" s="30"/>
      <c r="AHO5" s="30"/>
      <c r="AHP5" s="30"/>
      <c r="AHQ5" s="30"/>
      <c r="AHR5" s="30"/>
      <c r="AHS5" s="30"/>
      <c r="AHT5" s="30"/>
      <c r="AHU5" s="30"/>
      <c r="AHV5" s="30"/>
      <c r="AHW5" s="30"/>
      <c r="AHX5" s="30"/>
      <c r="AHY5" s="30"/>
      <c r="AHZ5" s="30"/>
      <c r="AIA5" s="30"/>
      <c r="AIB5" s="30"/>
      <c r="AIC5" s="30"/>
      <c r="AID5" s="30"/>
      <c r="AIE5" s="30"/>
      <c r="AIF5" s="30"/>
      <c r="AIG5" s="30"/>
      <c r="AIH5" s="30"/>
      <c r="AII5" s="30"/>
      <c r="AIJ5" s="30"/>
      <c r="AIK5" s="30"/>
      <c r="AIL5" s="30"/>
      <c r="AIM5" s="30"/>
      <c r="AIN5" s="30"/>
      <c r="AIO5" s="30"/>
      <c r="AIP5" s="30"/>
      <c r="AIQ5" s="30"/>
      <c r="AIR5" s="30"/>
      <c r="AIS5" s="30"/>
      <c r="AIT5" s="30"/>
      <c r="AIU5" s="30"/>
      <c r="AIV5" s="30"/>
      <c r="AIW5" s="30"/>
      <c r="AIX5" s="30"/>
      <c r="AIY5" s="30"/>
      <c r="AIZ5" s="30"/>
      <c r="AJA5" s="30"/>
      <c r="AJB5" s="30"/>
      <c r="AJC5" s="30"/>
      <c r="AJD5" s="30"/>
      <c r="AJE5" s="30"/>
      <c r="AJF5" s="30"/>
      <c r="AJG5" s="30"/>
      <c r="AJH5" s="30"/>
      <c r="AJI5" s="30"/>
      <c r="AJJ5" s="30"/>
      <c r="AJK5" s="30"/>
      <c r="AJL5" s="30"/>
      <c r="AJM5" s="30"/>
      <c r="AJN5" s="30"/>
      <c r="AJO5" s="30"/>
      <c r="AJP5" s="30"/>
      <c r="AJQ5" s="30"/>
      <c r="AJR5" s="30"/>
      <c r="AJS5" s="30"/>
      <c r="AJT5" s="30"/>
      <c r="AJU5" s="30"/>
      <c r="AJV5" s="30"/>
      <c r="AJW5" s="30"/>
      <c r="AJX5" s="30"/>
      <c r="AJY5" s="30"/>
      <c r="AJZ5" s="30"/>
      <c r="AKA5" s="30"/>
      <c r="AKB5" s="30"/>
      <c r="AKC5" s="30"/>
      <c r="AKD5" s="30"/>
      <c r="AKE5" s="30"/>
      <c r="AKF5" s="30"/>
      <c r="AKG5" s="30"/>
      <c r="AKH5" s="30"/>
      <c r="AKI5" s="30"/>
      <c r="AKJ5" s="30"/>
      <c r="AKK5" s="30"/>
      <c r="AKL5" s="30"/>
      <c r="AKM5" s="30"/>
      <c r="AKN5" s="30"/>
      <c r="AKO5" s="30"/>
      <c r="AKP5" s="30"/>
      <c r="AKQ5" s="30"/>
      <c r="AKR5" s="30"/>
      <c r="AKS5" s="30"/>
      <c r="AKT5" s="30"/>
      <c r="AKU5" s="30"/>
      <c r="AKV5" s="30"/>
      <c r="AKW5" s="30"/>
      <c r="AKX5" s="30"/>
      <c r="AKY5" s="30"/>
      <c r="AKZ5" s="30"/>
      <c r="ALA5" s="30"/>
      <c r="ALB5" s="30"/>
      <c r="ALC5" s="30"/>
      <c r="ALD5" s="30"/>
      <c r="ALE5" s="30"/>
      <c r="ALF5" s="30"/>
      <c r="ALG5" s="30"/>
      <c r="ALH5" s="30"/>
      <c r="ALI5" s="30"/>
      <c r="ALJ5" s="30"/>
      <c r="ALK5" s="30"/>
      <c r="ALL5" s="30"/>
      <c r="ALM5" s="30"/>
      <c r="ALN5" s="30"/>
      <c r="ALO5" s="30"/>
      <c r="ALP5" s="30"/>
      <c r="ALQ5" s="30"/>
      <c r="ALR5" s="30"/>
      <c r="ALS5" s="30"/>
      <c r="ALT5" s="30"/>
      <c r="ALU5" s="30"/>
      <c r="ALV5" s="30"/>
      <c r="ALW5" s="30"/>
      <c r="ALX5" s="30"/>
      <c r="ALY5" s="30"/>
      <c r="ALZ5" s="30"/>
      <c r="AMA5" s="30"/>
      <c r="AMB5" s="30"/>
      <c r="AMC5" s="30"/>
      <c r="AMD5" s="30"/>
      <c r="AME5" s="30"/>
      <c r="AMF5" s="30"/>
      <c r="AMG5" s="30"/>
      <c r="AMH5" s="30"/>
      <c r="AMI5" s="30"/>
      <c r="AMJ5" s="30"/>
      <c r="AMK5" s="30"/>
    </row>
    <row r="6" ht="15.75" customHeight="1">
      <c r="A6" s="35" t="s">
        <v>22</v>
      </c>
      <c r="B6" s="35"/>
      <c r="C6" s="13" t="s">
        <v>16</v>
      </c>
      <c r="D6" s="32">
        <v>120.25</v>
      </c>
      <c r="E6" s="36" t="s">
        <v>18</v>
      </c>
      <c r="F6" s="36" t="s">
        <v>23</v>
      </c>
      <c r="G6" s="37"/>
      <c r="H6" s="31"/>
      <c r="I6" s="31"/>
      <c r="J6" s="31"/>
      <c r="K6" s="31"/>
      <c r="L6" s="31"/>
      <c r="M6" s="31"/>
      <c r="N6" s="31"/>
      <c r="O6" s="31"/>
      <c r="P6" s="33"/>
      <c r="Q6" s="33"/>
      <c r="R6" s="33"/>
      <c r="S6" s="33" t="s">
        <v>24</v>
      </c>
      <c r="T6" s="33"/>
      <c r="U6" s="33"/>
      <c r="V6" s="33"/>
      <c r="W6" s="33"/>
      <c r="X6" s="38"/>
      <c r="Y6" s="38"/>
      <c r="Z6" s="33"/>
      <c r="AA6" s="33"/>
      <c r="AB6" s="33"/>
      <c r="AC6" s="33"/>
      <c r="AD6" s="33"/>
      <c r="AE6" s="33"/>
      <c r="AF6" s="33"/>
      <c r="AG6" s="33"/>
      <c r="AH6" s="33"/>
      <c r="AI6" s="33"/>
      <c r="AJ6" s="33"/>
      <c r="AK6" s="33"/>
      <c r="AL6" s="33"/>
      <c r="AM6" s="33"/>
      <c r="AN6" s="33" t="s">
        <v>17</v>
      </c>
      <c r="AO6" s="33"/>
      <c r="AP6" s="33"/>
      <c r="AQ6" s="33"/>
      <c r="AR6" s="33"/>
      <c r="AS6" s="33"/>
      <c r="AT6" s="33"/>
      <c r="AU6" s="33"/>
      <c r="AV6" s="33"/>
      <c r="AW6" s="33"/>
      <c r="AX6" s="33"/>
      <c r="AY6" s="33"/>
      <c r="AZ6" s="33"/>
      <c r="BA6" s="33"/>
      <c r="BB6" s="33"/>
      <c r="BC6" s="33"/>
      <c r="BD6" s="33"/>
      <c r="BE6" s="33"/>
      <c r="BF6" s="33"/>
      <c r="BG6" s="33"/>
      <c r="BH6" s="33"/>
      <c r="BI6" s="33"/>
      <c r="BJ6" s="33"/>
      <c r="BK6" s="33"/>
      <c r="BL6" s="33"/>
      <c r="BM6" s="33"/>
      <c r="BN6" s="33"/>
      <c r="BO6" s="33"/>
      <c r="BP6" s="33"/>
      <c r="BQ6" s="33"/>
      <c r="BR6" s="33"/>
      <c r="BS6" s="33"/>
      <c r="BT6" s="33"/>
      <c r="BU6" s="33"/>
      <c r="BV6" s="33"/>
      <c r="BW6" s="33"/>
      <c r="BX6" s="33"/>
      <c r="BY6" s="33"/>
      <c r="BZ6" s="33"/>
      <c r="CA6" s="33"/>
      <c r="CB6" s="33"/>
      <c r="CC6" s="33"/>
      <c r="CD6" s="33"/>
      <c r="CE6" s="33"/>
      <c r="CF6" s="33"/>
      <c r="CG6" s="33"/>
      <c r="CH6" s="33"/>
      <c r="CI6" s="33"/>
      <c r="CJ6" s="33"/>
      <c r="CK6" s="33"/>
      <c r="CL6" s="33"/>
      <c r="CM6" s="33"/>
      <c r="CN6" s="33"/>
      <c r="CO6" s="33"/>
      <c r="CP6" s="33"/>
      <c r="CQ6" s="33"/>
      <c r="CR6" s="33"/>
      <c r="CS6" s="33"/>
      <c r="CT6" s="33"/>
      <c r="CU6" s="33"/>
      <c r="CV6" s="33"/>
      <c r="CW6" s="33"/>
      <c r="CX6" s="33"/>
      <c r="CY6" s="33"/>
      <c r="CZ6" s="33"/>
      <c r="DA6" s="33"/>
      <c r="DB6" s="33"/>
      <c r="DC6" s="33"/>
      <c r="DD6" s="33"/>
      <c r="DE6" s="33"/>
      <c r="DF6" s="33"/>
      <c r="DG6" s="33"/>
      <c r="DH6" s="33"/>
      <c r="DI6" s="33"/>
      <c r="DJ6" s="33"/>
      <c r="DK6" s="33"/>
      <c r="DL6" s="33"/>
      <c r="DM6" s="33"/>
      <c r="DN6" s="33"/>
      <c r="DO6" s="33"/>
      <c r="DP6" s="33"/>
      <c r="DQ6" s="33"/>
      <c r="DR6" s="33"/>
      <c r="DS6" s="33"/>
      <c r="DT6" s="33"/>
      <c r="DU6" s="33"/>
      <c r="DV6" s="33"/>
      <c r="DW6" s="33"/>
      <c r="DX6" s="33"/>
      <c r="DY6" s="33"/>
      <c r="DZ6" s="33"/>
      <c r="EA6" s="33"/>
      <c r="EB6" s="33"/>
      <c r="EC6" s="33"/>
      <c r="ED6" s="33"/>
      <c r="EE6" s="33"/>
      <c r="EF6" s="33"/>
      <c r="EG6" s="33"/>
      <c r="EH6" s="33"/>
      <c r="EI6" s="33"/>
      <c r="EJ6" s="33"/>
      <c r="EK6" s="33"/>
      <c r="EL6" s="33"/>
      <c r="EM6" s="33"/>
      <c r="EN6" s="33"/>
      <c r="EO6" s="33"/>
      <c r="EP6" s="33"/>
      <c r="EQ6" s="33"/>
      <c r="ER6" s="33"/>
      <c r="ES6" s="33"/>
      <c r="ET6" s="33"/>
      <c r="EU6" s="33"/>
      <c r="EV6" s="33"/>
      <c r="EW6" s="33"/>
      <c r="EX6" s="33"/>
      <c r="EY6" s="33"/>
      <c r="EZ6" s="33"/>
      <c r="FA6" s="33"/>
      <c r="FB6" s="33"/>
      <c r="FC6" s="33"/>
      <c r="FD6" s="33"/>
      <c r="FE6" s="33"/>
      <c r="FF6" s="33"/>
      <c r="FG6" s="33"/>
      <c r="FH6" s="33"/>
      <c r="FI6" s="33"/>
      <c r="FJ6" s="33"/>
      <c r="FK6" s="33"/>
      <c r="FL6" s="33"/>
      <c r="FM6" s="33" t="s">
        <v>22</v>
      </c>
      <c r="FN6" s="33" t="s">
        <v>22</v>
      </c>
      <c r="FO6" s="33" t="s">
        <v>22</v>
      </c>
      <c r="FP6" s="33" t="s">
        <v>22</v>
      </c>
      <c r="FQ6" s="33" t="s">
        <v>22</v>
      </c>
      <c r="FR6" s="33"/>
      <c r="FS6" s="33"/>
      <c r="FT6" s="33"/>
      <c r="FU6" s="33"/>
      <c r="FV6" s="33"/>
      <c r="FW6" s="33"/>
      <c r="FX6" s="33"/>
      <c r="FY6" s="33"/>
      <c r="FZ6" s="33"/>
      <c r="GA6" s="33"/>
      <c r="GB6" s="33"/>
      <c r="GC6" s="33"/>
      <c r="GD6" s="33"/>
      <c r="GE6" s="33"/>
      <c r="GF6" s="33"/>
      <c r="GG6" s="33"/>
      <c r="GH6" s="33"/>
      <c r="GI6" s="33"/>
      <c r="GJ6" s="33"/>
      <c r="GK6" s="33"/>
      <c r="GL6" s="33"/>
      <c r="GM6" s="33"/>
      <c r="GN6" s="33"/>
      <c r="GO6" s="33"/>
      <c r="GP6" s="33"/>
      <c r="GQ6" s="33"/>
      <c r="GR6" s="33"/>
      <c r="GS6" s="33"/>
      <c r="GT6" s="33"/>
      <c r="GU6" s="33"/>
      <c r="GV6" s="33"/>
      <c r="GW6" s="33"/>
      <c r="GX6" s="33"/>
      <c r="GY6" s="33"/>
      <c r="GZ6" s="33"/>
      <c r="HA6" s="33"/>
      <c r="HB6" s="33"/>
      <c r="HC6" s="33"/>
      <c r="HD6" s="33"/>
      <c r="HE6" s="33"/>
      <c r="HF6" s="33"/>
      <c r="HG6" s="33"/>
      <c r="HH6" s="33"/>
      <c r="HI6" s="33"/>
      <c r="HJ6" s="33"/>
      <c r="HK6" s="33"/>
      <c r="HL6" s="33"/>
      <c r="HM6" s="33"/>
      <c r="HN6" s="33"/>
      <c r="HO6" s="33"/>
      <c r="HP6" s="33"/>
      <c r="HQ6" s="33"/>
      <c r="HR6" s="33"/>
      <c r="HS6" s="33"/>
      <c r="HT6" s="33"/>
      <c r="HU6" s="33"/>
      <c r="HV6" s="33"/>
      <c r="HW6" s="33"/>
      <c r="HX6" s="33"/>
      <c r="HY6" s="33"/>
      <c r="HZ6" s="33"/>
      <c r="IA6" s="33"/>
      <c r="IB6" s="33"/>
      <c r="IC6" s="33"/>
      <c r="ID6" s="33"/>
      <c r="IE6" s="33"/>
      <c r="IF6" s="33"/>
      <c r="IG6" s="33"/>
      <c r="IH6" s="33"/>
      <c r="II6" s="33"/>
      <c r="IJ6" s="33"/>
      <c r="IK6" s="33"/>
      <c r="IL6" s="33"/>
      <c r="IM6" s="33"/>
      <c r="IN6" s="33"/>
      <c r="IO6" s="33"/>
      <c r="IP6" s="33"/>
      <c r="IQ6" s="33"/>
      <c r="IR6" s="33"/>
      <c r="IS6" s="33"/>
      <c r="IT6" s="33"/>
      <c r="IU6" s="33"/>
      <c r="IV6" s="33"/>
      <c r="IW6" s="33"/>
      <c r="IX6" s="33"/>
      <c r="IY6" s="33"/>
      <c r="IZ6" s="33"/>
      <c r="JA6" s="33"/>
      <c r="JB6" s="33"/>
      <c r="JC6" s="33"/>
      <c r="JD6" s="33"/>
      <c r="JE6" s="33"/>
      <c r="JF6" s="33"/>
      <c r="JG6" s="33"/>
      <c r="JH6" s="33"/>
      <c r="JI6" s="33"/>
      <c r="JJ6" s="33"/>
      <c r="JK6" s="33"/>
      <c r="JL6" s="33"/>
      <c r="JM6" s="33"/>
      <c r="JN6" s="33"/>
      <c r="JO6" s="33"/>
      <c r="JP6" s="33"/>
      <c r="JQ6" s="33"/>
      <c r="JR6" s="33"/>
      <c r="JS6" s="33"/>
      <c r="JT6" s="33"/>
      <c r="JU6" s="33"/>
      <c r="JV6" s="33"/>
      <c r="JW6" s="33"/>
      <c r="JX6" s="33"/>
      <c r="JY6" s="33"/>
      <c r="JZ6" s="33"/>
      <c r="KA6" s="33"/>
      <c r="KB6" s="33"/>
      <c r="KC6" s="33"/>
      <c r="KD6" s="33"/>
      <c r="KE6" s="33"/>
      <c r="KF6" s="33"/>
      <c r="KG6" s="33"/>
      <c r="KH6" s="33"/>
      <c r="KI6" s="33"/>
      <c r="KJ6" s="33"/>
      <c r="KK6" s="33"/>
      <c r="KL6" s="33"/>
      <c r="KM6" s="33"/>
      <c r="KN6" s="33"/>
      <c r="KO6" s="33"/>
      <c r="KP6" s="33"/>
      <c r="KQ6" s="33"/>
      <c r="KR6" s="33"/>
      <c r="KS6" s="33"/>
      <c r="KT6" s="33"/>
      <c r="KU6" s="33"/>
      <c r="KV6" s="33"/>
      <c r="KW6" s="33"/>
      <c r="KX6" s="33"/>
      <c r="KY6" s="33"/>
      <c r="KZ6" s="33"/>
      <c r="LA6" s="33"/>
      <c r="LB6" s="33"/>
      <c r="LC6" s="33"/>
      <c r="LD6" s="33"/>
      <c r="LE6" s="33"/>
      <c r="LF6" s="33"/>
      <c r="LG6" s="33"/>
      <c r="LH6" s="33"/>
      <c r="LI6" s="33"/>
      <c r="LJ6" s="33"/>
      <c r="LK6" s="33"/>
      <c r="LL6" s="33"/>
      <c r="LM6" s="33"/>
      <c r="LN6" s="33"/>
      <c r="LO6" s="33"/>
      <c r="LP6" s="33"/>
      <c r="LQ6" s="33"/>
      <c r="LR6" s="33"/>
      <c r="LS6" s="33"/>
      <c r="LT6" s="33"/>
      <c r="LU6" s="33"/>
      <c r="LV6" s="33"/>
      <c r="LW6" s="33"/>
      <c r="LX6" s="33"/>
      <c r="LY6" s="33"/>
      <c r="LZ6" s="33"/>
      <c r="MA6" s="33"/>
      <c r="MB6" s="33"/>
      <c r="MC6" s="33"/>
      <c r="MD6" s="33"/>
      <c r="ME6" s="33"/>
      <c r="MF6" s="33"/>
      <c r="MG6" s="33"/>
      <c r="MH6" s="33"/>
      <c r="MI6" s="33"/>
      <c r="MJ6" s="33"/>
      <c r="MK6" s="33"/>
      <c r="ML6" s="33"/>
      <c r="MM6" s="33"/>
      <c r="MN6" s="33"/>
      <c r="MO6" s="33"/>
      <c r="MP6" s="33"/>
      <c r="MQ6" s="33"/>
      <c r="MR6" s="33"/>
      <c r="MS6" s="33"/>
      <c r="MT6" s="33"/>
      <c r="MU6" s="33"/>
      <c r="MV6" s="33"/>
      <c r="MW6" s="33"/>
      <c r="MX6" s="33"/>
      <c r="MY6" s="33"/>
      <c r="MZ6" s="33"/>
      <c r="NA6" s="33"/>
      <c r="NB6" s="33"/>
      <c r="NC6" s="33"/>
      <c r="ND6" s="33"/>
      <c r="NE6" s="33"/>
      <c r="NF6" s="33"/>
      <c r="NG6" s="33"/>
      <c r="NH6" s="33"/>
      <c r="NI6" s="33"/>
      <c r="NJ6" s="33"/>
      <c r="NK6" s="33"/>
      <c r="NL6" s="33"/>
      <c r="NM6" s="33"/>
      <c r="NN6" s="33"/>
      <c r="NO6" s="33"/>
      <c r="NP6" s="33"/>
      <c r="NQ6" s="33"/>
      <c r="NR6" s="33"/>
      <c r="NS6" s="33"/>
      <c r="NT6" s="33"/>
      <c r="NU6" s="33"/>
      <c r="NV6" s="33"/>
      <c r="NW6" s="33"/>
      <c r="NX6" s="33"/>
      <c r="NY6" s="33"/>
      <c r="NZ6" s="33"/>
      <c r="OA6" s="33"/>
      <c r="OB6" s="33"/>
      <c r="OC6" s="33"/>
      <c r="OD6" s="33"/>
      <c r="OE6" s="33"/>
      <c r="OF6" s="33"/>
      <c r="OG6" s="33"/>
      <c r="OH6" s="33"/>
      <c r="OI6" s="33"/>
      <c r="OJ6" s="33"/>
      <c r="OK6" s="33"/>
      <c r="OL6" s="33"/>
      <c r="OM6" s="33"/>
      <c r="ON6" s="33"/>
      <c r="OO6" s="33"/>
      <c r="OP6" s="33"/>
      <c r="OQ6" s="33"/>
      <c r="OR6" s="33"/>
      <c r="OS6" s="33"/>
      <c r="OT6" s="33"/>
      <c r="OU6" s="33"/>
      <c r="OV6" s="33"/>
      <c r="OW6" s="33"/>
      <c r="OX6" s="33"/>
      <c r="OY6" s="33"/>
      <c r="OZ6" s="33"/>
      <c r="PA6" s="33"/>
      <c r="PB6" s="33"/>
      <c r="PC6" s="33"/>
      <c r="PD6" s="33"/>
      <c r="PE6" s="33"/>
      <c r="PF6" s="33"/>
      <c r="PG6" s="33"/>
      <c r="PH6" s="33"/>
      <c r="PI6" s="33"/>
      <c r="PJ6" s="33"/>
      <c r="PK6" s="33"/>
      <c r="PL6" s="33"/>
      <c r="PM6" s="33"/>
      <c r="PN6" s="33"/>
      <c r="PO6" s="33"/>
      <c r="PP6" s="33"/>
      <c r="PQ6" s="33"/>
      <c r="PR6" s="33"/>
      <c r="PS6" s="33"/>
      <c r="PT6" s="33"/>
      <c r="PU6" s="33"/>
      <c r="PV6" s="33"/>
      <c r="PW6" s="33"/>
      <c r="PX6" s="33"/>
      <c r="PY6" s="33"/>
      <c r="PZ6" s="33"/>
      <c r="QA6" s="33"/>
      <c r="QB6" s="33"/>
      <c r="QC6" s="33"/>
      <c r="QD6" s="33"/>
      <c r="QE6" s="33"/>
      <c r="QF6" s="33"/>
      <c r="QG6" s="33"/>
      <c r="QH6" s="33"/>
      <c r="QI6" s="33"/>
      <c r="QJ6" s="33"/>
      <c r="QK6" s="33"/>
      <c r="QL6" s="33"/>
      <c r="QM6" s="33"/>
      <c r="QN6" s="33"/>
      <c r="QO6" s="33"/>
      <c r="QP6" s="33"/>
      <c r="QQ6" s="33"/>
      <c r="QR6" s="33"/>
      <c r="QS6" s="33"/>
      <c r="QT6" s="33"/>
      <c r="QU6" s="33"/>
      <c r="QV6" s="33"/>
      <c r="QW6" s="33"/>
      <c r="QX6" s="33"/>
      <c r="QY6" s="33"/>
      <c r="QZ6" s="33"/>
      <c r="RA6" s="33"/>
      <c r="RB6" s="33"/>
      <c r="RC6" s="33"/>
      <c r="RD6" s="33"/>
      <c r="RE6" s="33"/>
      <c r="RF6" s="33"/>
      <c r="RG6" s="33"/>
      <c r="RH6" s="33"/>
      <c r="RI6" s="33"/>
      <c r="RJ6" s="33"/>
      <c r="RK6" s="33"/>
      <c r="RL6" s="33"/>
      <c r="RM6" s="33"/>
      <c r="RN6" s="33"/>
      <c r="RO6" s="33"/>
      <c r="RP6" s="33"/>
      <c r="RQ6" s="33"/>
      <c r="RR6" s="33"/>
      <c r="RS6" s="33"/>
      <c r="RT6" s="33"/>
      <c r="RU6" s="33"/>
      <c r="RV6" s="33"/>
      <c r="RW6" s="33"/>
      <c r="RX6" s="33"/>
      <c r="RY6" s="33"/>
      <c r="RZ6" s="33"/>
      <c r="SA6" s="33"/>
      <c r="SB6" s="33"/>
      <c r="SC6" s="33"/>
      <c r="SD6" s="33"/>
      <c r="SE6" s="33"/>
      <c r="SF6" s="33"/>
      <c r="SG6" s="33"/>
      <c r="SH6" s="33"/>
      <c r="SI6" s="33"/>
      <c r="SJ6" s="33"/>
      <c r="SK6" s="33"/>
      <c r="SL6" s="33"/>
      <c r="SM6" s="33"/>
      <c r="SN6" s="33"/>
      <c r="SO6" s="33"/>
      <c r="SP6" s="33"/>
      <c r="SQ6" s="33"/>
      <c r="SR6" s="33"/>
      <c r="SS6" s="33"/>
      <c r="ST6" s="33"/>
      <c r="SU6" s="33"/>
      <c r="SV6" s="33"/>
      <c r="SW6" s="33"/>
      <c r="SX6" s="33"/>
      <c r="SY6" s="33"/>
      <c r="SZ6" s="33"/>
      <c r="TA6" s="33"/>
      <c r="TB6" s="33"/>
      <c r="TC6" s="33"/>
      <c r="TD6" s="33"/>
      <c r="TE6" s="33"/>
      <c r="TF6" s="33"/>
      <c r="TG6" s="33"/>
      <c r="TH6" s="33"/>
      <c r="TI6" s="33"/>
      <c r="TJ6" s="33"/>
      <c r="TK6" s="33"/>
      <c r="TL6" s="33"/>
      <c r="TM6" s="33"/>
      <c r="TN6" s="33"/>
      <c r="TO6" s="33"/>
      <c r="TP6" s="33"/>
      <c r="TQ6" s="33"/>
      <c r="TR6" s="33"/>
      <c r="TS6" s="33"/>
      <c r="TT6" s="33"/>
      <c r="TU6" s="33"/>
      <c r="TV6" s="33"/>
      <c r="TW6" s="33"/>
      <c r="TX6" s="33"/>
      <c r="TY6" s="33"/>
      <c r="TZ6" s="33"/>
      <c r="UA6" s="33"/>
      <c r="UB6" s="33"/>
      <c r="UC6" s="33"/>
      <c r="UD6" s="33"/>
      <c r="UE6" s="33"/>
      <c r="UF6" s="33"/>
      <c r="UG6" s="33"/>
      <c r="UH6" s="33"/>
      <c r="UI6" s="33"/>
      <c r="UJ6" s="33"/>
      <c r="UK6" s="33"/>
      <c r="UL6" s="33"/>
      <c r="UM6" s="33"/>
      <c r="UN6" s="33"/>
      <c r="UO6" s="33"/>
      <c r="UP6" s="33"/>
      <c r="UQ6" s="33"/>
      <c r="UR6" s="33"/>
      <c r="US6" s="33"/>
      <c r="UT6" s="33"/>
      <c r="UU6" s="33"/>
      <c r="UV6" s="33"/>
      <c r="UW6" s="33"/>
      <c r="UX6" s="33"/>
      <c r="UY6" s="33"/>
      <c r="UZ6" s="33"/>
      <c r="VA6" s="33"/>
      <c r="VB6" s="33"/>
      <c r="VC6" s="33"/>
      <c r="VD6" s="33"/>
      <c r="VE6" s="33"/>
      <c r="VF6" s="33"/>
      <c r="VG6" s="33"/>
      <c r="VH6" s="33"/>
      <c r="VI6" s="33"/>
      <c r="VJ6" s="33"/>
      <c r="VK6" s="33"/>
      <c r="VL6" s="33"/>
      <c r="VM6" s="33"/>
      <c r="VN6" s="33"/>
      <c r="VO6" s="33"/>
      <c r="VP6" s="33"/>
      <c r="VQ6" s="33"/>
      <c r="VR6" s="33"/>
      <c r="VS6" s="33"/>
      <c r="VT6" s="33"/>
      <c r="VU6" s="33"/>
      <c r="VV6" s="33"/>
      <c r="VW6" s="33"/>
      <c r="VX6" s="33"/>
      <c r="VY6" s="33"/>
      <c r="VZ6" s="33"/>
      <c r="WA6" s="33"/>
      <c r="WB6" s="33"/>
      <c r="WC6" s="33"/>
      <c r="WD6" s="33"/>
      <c r="WE6" s="33"/>
      <c r="WF6" s="33"/>
      <c r="WG6" s="33"/>
      <c r="WH6" s="33"/>
      <c r="WI6" s="33"/>
      <c r="WJ6" s="33"/>
      <c r="WK6" s="33"/>
      <c r="WL6" s="33"/>
      <c r="WM6" s="33"/>
      <c r="WN6" s="33"/>
      <c r="WO6" s="33"/>
      <c r="WP6" s="33"/>
      <c r="WQ6" s="33"/>
      <c r="WR6" s="33"/>
      <c r="WS6" s="33"/>
      <c r="WT6" s="33"/>
      <c r="WU6" s="33"/>
      <c r="WV6" s="33"/>
      <c r="WW6" s="33"/>
      <c r="WX6" s="33"/>
      <c r="WY6" s="33"/>
      <c r="WZ6" s="33"/>
      <c r="XA6" s="33"/>
      <c r="XB6" s="33"/>
      <c r="XC6" s="33"/>
      <c r="XD6" s="33"/>
      <c r="XE6" s="33"/>
      <c r="XF6" s="33"/>
      <c r="XG6" s="33"/>
      <c r="XH6" s="33"/>
      <c r="XI6" s="33"/>
      <c r="XJ6" s="33"/>
      <c r="XK6" s="33"/>
      <c r="XL6" s="33"/>
      <c r="XM6" s="33"/>
      <c r="XN6" s="33"/>
      <c r="XO6" s="33"/>
      <c r="XP6" s="33"/>
      <c r="XQ6" s="33"/>
      <c r="XR6" s="33"/>
      <c r="XS6" s="33"/>
      <c r="XT6" s="33"/>
      <c r="XU6" s="33"/>
      <c r="XV6" s="33"/>
      <c r="XW6" s="33"/>
      <c r="XX6" s="33"/>
      <c r="XY6" s="33"/>
      <c r="XZ6" s="33"/>
      <c r="YA6" s="33"/>
      <c r="YB6" s="33"/>
      <c r="YC6" s="33"/>
      <c r="YD6" s="33"/>
      <c r="YE6" s="33"/>
      <c r="YF6" s="33"/>
      <c r="YG6" s="33"/>
      <c r="YH6" s="33"/>
      <c r="YI6" s="33"/>
      <c r="YJ6" s="33"/>
      <c r="YK6" s="33"/>
      <c r="YL6" s="33"/>
      <c r="YM6" s="33"/>
      <c r="YN6" s="33"/>
      <c r="YO6" s="33"/>
      <c r="YP6" s="33"/>
      <c r="YQ6" s="33"/>
      <c r="YR6" s="33"/>
      <c r="YS6" s="33"/>
      <c r="YT6" s="33"/>
      <c r="YU6" s="33"/>
      <c r="YV6" s="33"/>
      <c r="YW6" s="33"/>
      <c r="YX6" s="33"/>
      <c r="YY6" s="33"/>
      <c r="YZ6" s="33"/>
      <c r="ZA6" s="33"/>
      <c r="ZB6" s="33"/>
      <c r="ZC6" s="33"/>
      <c r="ZD6" s="33"/>
      <c r="ZE6" s="33"/>
      <c r="ZF6" s="33"/>
      <c r="ZG6" s="33"/>
      <c r="ZH6" s="33"/>
      <c r="ZI6" s="33"/>
      <c r="ZJ6" s="33"/>
      <c r="ZK6" s="33"/>
      <c r="ZL6" s="33"/>
      <c r="ZM6" s="33"/>
      <c r="ZN6" s="33"/>
      <c r="ZO6" s="33"/>
      <c r="ZP6" s="33"/>
      <c r="ZQ6" s="33"/>
      <c r="ZR6" s="33"/>
      <c r="ZS6" s="33"/>
      <c r="ZT6" s="33"/>
      <c r="ZU6" s="33"/>
      <c r="ZV6" s="33"/>
      <c r="ZW6" s="33"/>
      <c r="ZX6" s="33"/>
      <c r="ZY6" s="33"/>
      <c r="ZZ6" s="33"/>
      <c r="AAA6" s="33"/>
      <c r="AAB6" s="33"/>
      <c r="AAC6" s="33"/>
      <c r="AAD6" s="33"/>
      <c r="AAE6" s="33"/>
      <c r="AAF6" s="33"/>
      <c r="AAG6" s="33"/>
      <c r="AAH6" s="33"/>
      <c r="AAI6" s="33"/>
      <c r="AAJ6" s="33"/>
      <c r="AAK6" s="33"/>
      <c r="AAL6" s="33"/>
      <c r="AAM6" s="33"/>
      <c r="AAN6" s="33"/>
      <c r="AAO6" s="33"/>
      <c r="AAP6" s="33"/>
      <c r="AAQ6" s="33"/>
      <c r="AAR6" s="33"/>
      <c r="AAS6" s="33"/>
      <c r="AAT6" s="33"/>
      <c r="AAU6" s="33"/>
      <c r="AAV6" s="33"/>
      <c r="AAW6" s="33"/>
      <c r="AAX6" s="33"/>
      <c r="AAY6" s="33"/>
      <c r="AAZ6" s="33"/>
      <c r="ABA6" s="33"/>
      <c r="ABB6" s="33"/>
      <c r="ABC6" s="33"/>
      <c r="ABD6" s="33"/>
      <c r="ABE6" s="33"/>
      <c r="ABF6" s="33"/>
      <c r="ABG6" s="33"/>
      <c r="ABH6" s="33"/>
      <c r="ABI6" s="33"/>
      <c r="ABJ6" s="33"/>
      <c r="ABK6" s="33"/>
      <c r="ABL6" s="33"/>
      <c r="ABM6" s="33"/>
      <c r="ABN6" s="33"/>
      <c r="ABO6" s="33"/>
      <c r="ABP6" s="33"/>
      <c r="ABQ6" s="33"/>
      <c r="ABR6" s="33"/>
      <c r="ABS6" s="33"/>
      <c r="ABT6" s="33"/>
      <c r="ABU6" s="33"/>
      <c r="ABV6" s="33"/>
      <c r="ABW6" s="33"/>
      <c r="ABX6" s="33"/>
      <c r="ABY6" s="33"/>
      <c r="ABZ6" s="33"/>
      <c r="ACA6" s="33"/>
      <c r="ACB6" s="33"/>
      <c r="ACC6" s="33"/>
      <c r="ACD6" s="33"/>
      <c r="ACE6" s="33"/>
      <c r="ACF6" s="33"/>
      <c r="ACG6" s="33"/>
      <c r="ACH6" s="33"/>
      <c r="ACI6" s="33"/>
      <c r="ACJ6" s="33"/>
      <c r="ACK6" s="33"/>
      <c r="ACL6" s="33"/>
      <c r="ACM6" s="33"/>
      <c r="ACN6" s="33"/>
      <c r="ACO6" s="33"/>
      <c r="ACP6" s="33"/>
      <c r="ACQ6" s="33"/>
      <c r="ACR6" s="33"/>
      <c r="ACS6" s="33"/>
      <c r="ACT6" s="33"/>
      <c r="ACU6" s="33"/>
      <c r="ACV6" s="33"/>
      <c r="ACW6" s="33"/>
      <c r="ACX6" s="33"/>
      <c r="ACY6" s="33"/>
      <c r="ACZ6" s="33"/>
      <c r="ADA6" s="33"/>
      <c r="ADB6" s="33"/>
      <c r="ADC6" s="33"/>
      <c r="ADD6" s="33"/>
      <c r="ADE6" s="33"/>
      <c r="ADF6" s="33"/>
      <c r="ADG6" s="33"/>
      <c r="ADH6" s="33"/>
      <c r="ADI6" s="33"/>
      <c r="ADJ6" s="33"/>
      <c r="ADK6" s="33"/>
      <c r="ADL6" s="33"/>
      <c r="ADM6" s="33"/>
      <c r="ADN6" s="33"/>
      <c r="ADO6" s="33"/>
      <c r="ADP6" s="33"/>
      <c r="ADQ6" s="33"/>
      <c r="ADR6" s="33"/>
      <c r="ADS6" s="33"/>
      <c r="ADT6" s="33"/>
      <c r="ADU6" s="33"/>
      <c r="ADV6" s="33"/>
      <c r="ADW6" s="33"/>
      <c r="ADX6" s="33"/>
      <c r="ADY6" s="33"/>
      <c r="ADZ6" s="33"/>
      <c r="AEA6" s="33"/>
      <c r="AEB6" s="33"/>
      <c r="AEC6" s="33"/>
      <c r="AED6" s="33"/>
      <c r="AEE6" s="33"/>
      <c r="AEF6" s="33"/>
      <c r="AEG6" s="33"/>
      <c r="AEH6" s="33"/>
      <c r="AEI6" s="33"/>
      <c r="AEJ6" s="33"/>
      <c r="AEK6" s="33"/>
      <c r="AEL6" s="33"/>
      <c r="AEM6" s="33"/>
      <c r="AEN6" s="33"/>
      <c r="AEO6" s="33"/>
      <c r="AEP6" s="33"/>
      <c r="AEQ6" s="33"/>
      <c r="AER6" s="33"/>
      <c r="AES6" s="33"/>
      <c r="AET6" s="33"/>
      <c r="AEU6" s="33"/>
      <c r="AEV6" s="33"/>
      <c r="AEW6" s="33"/>
      <c r="AEX6" s="33"/>
      <c r="AEY6" s="33"/>
      <c r="AEZ6" s="33"/>
      <c r="AFA6" s="33"/>
      <c r="AFB6" s="33"/>
      <c r="AFC6" s="33"/>
      <c r="AFD6" s="33"/>
      <c r="AFE6" s="33"/>
      <c r="AFF6" s="33"/>
      <c r="AFG6" s="33"/>
      <c r="AFH6" s="33"/>
      <c r="AFI6" s="33"/>
      <c r="AFJ6" s="33"/>
      <c r="AFK6" s="33"/>
      <c r="AFL6" s="33"/>
      <c r="AFM6" s="33"/>
      <c r="AFN6" s="33"/>
      <c r="AFO6" s="33"/>
      <c r="AFP6" s="33"/>
      <c r="AFQ6" s="33"/>
      <c r="AFR6" s="33"/>
      <c r="AFS6" s="33"/>
      <c r="AFT6" s="33"/>
      <c r="AFU6" s="33"/>
      <c r="AFV6" s="33"/>
      <c r="AFW6" s="33"/>
      <c r="AFX6" s="33"/>
      <c r="AFY6" s="33"/>
      <c r="AFZ6" s="33"/>
      <c r="AGA6" s="33"/>
      <c r="AGB6" s="33"/>
      <c r="AGC6" s="33"/>
      <c r="AGD6" s="33"/>
      <c r="AGE6" s="33"/>
      <c r="AGF6" s="33"/>
      <c r="AGG6" s="33"/>
      <c r="AGH6" s="33"/>
      <c r="AGI6" s="33"/>
      <c r="AGJ6" s="33"/>
      <c r="AGK6" s="33"/>
      <c r="AGL6" s="33"/>
      <c r="AGM6" s="33"/>
      <c r="AGN6" s="33"/>
      <c r="AGO6" s="33"/>
      <c r="AGP6" s="33"/>
      <c r="AGQ6" s="33"/>
      <c r="AGR6" s="33"/>
      <c r="AGS6" s="33"/>
      <c r="AGT6" s="33"/>
      <c r="AGU6" s="33"/>
      <c r="AGV6" s="33"/>
      <c r="AGW6" s="33"/>
      <c r="AGX6" s="33"/>
      <c r="AGY6" s="33"/>
      <c r="AGZ6" s="33"/>
      <c r="AHA6" s="33"/>
      <c r="AHB6" s="33"/>
      <c r="AHC6" s="33"/>
      <c r="AHD6" s="33"/>
      <c r="AHE6" s="33"/>
      <c r="AHF6" s="33"/>
      <c r="AHG6" s="33"/>
      <c r="AHH6" s="33"/>
      <c r="AHI6" s="33"/>
      <c r="AHJ6" s="33"/>
      <c r="AHK6" s="33"/>
      <c r="AHL6" s="33"/>
      <c r="AHM6" s="33"/>
      <c r="AHN6" s="33"/>
      <c r="AHO6" s="33"/>
      <c r="AHP6" s="33"/>
      <c r="AHQ6" s="33"/>
      <c r="AHR6" s="33"/>
      <c r="AHS6" s="33"/>
      <c r="AHT6" s="33"/>
      <c r="AHU6" s="33"/>
      <c r="AHV6" s="33"/>
      <c r="AHW6" s="33"/>
      <c r="AHX6" s="33"/>
      <c r="AHY6" s="33"/>
      <c r="AHZ6" s="33"/>
      <c r="AIA6" s="33"/>
      <c r="AIB6" s="33"/>
      <c r="AIC6" s="33"/>
      <c r="AID6" s="33"/>
      <c r="AIE6" s="33"/>
      <c r="AIF6" s="33"/>
      <c r="AIG6" s="33"/>
      <c r="AIH6" s="33"/>
      <c r="AII6" s="33"/>
      <c r="AIJ6" s="33"/>
      <c r="AIK6" s="33"/>
      <c r="AIL6" s="33"/>
      <c r="AIM6" s="33"/>
      <c r="AIN6" s="33"/>
      <c r="AIO6" s="33"/>
      <c r="AIP6" s="33"/>
      <c r="AIQ6" s="33"/>
      <c r="AIR6" s="33"/>
      <c r="AIS6" s="33"/>
      <c r="AIT6" s="33"/>
      <c r="AIU6" s="33"/>
      <c r="AIV6" s="33"/>
      <c r="AIW6" s="33"/>
      <c r="AIX6" s="33"/>
      <c r="AIY6" s="33"/>
      <c r="AIZ6" s="33"/>
      <c r="AJA6" s="33"/>
      <c r="AJB6" s="33"/>
      <c r="AJC6" s="33"/>
      <c r="AJD6" s="33"/>
      <c r="AJE6" s="33"/>
      <c r="AJF6" s="33"/>
      <c r="AJG6" s="33"/>
      <c r="AJH6" s="33"/>
      <c r="AJI6" s="33"/>
      <c r="AJJ6" s="33"/>
      <c r="AJK6" s="33"/>
      <c r="AJL6" s="33"/>
      <c r="AJM6" s="33"/>
      <c r="AJN6" s="33"/>
      <c r="AJO6" s="33"/>
      <c r="AJP6" s="33"/>
      <c r="AJQ6" s="33"/>
      <c r="AJR6" s="33"/>
      <c r="AJS6" s="33"/>
      <c r="AJT6" s="33"/>
      <c r="AJU6" s="33"/>
      <c r="AJV6" s="33"/>
      <c r="AJW6" s="33"/>
      <c r="AJX6" s="33"/>
      <c r="AJY6" s="33"/>
      <c r="AJZ6" s="33"/>
      <c r="AKA6" s="33"/>
      <c r="AKB6" s="33"/>
      <c r="AKC6" s="33"/>
      <c r="AKD6" s="33"/>
      <c r="AKE6" s="33"/>
      <c r="AKF6" s="33"/>
      <c r="AKG6" s="33"/>
      <c r="AKH6" s="33"/>
      <c r="AKI6" s="33"/>
      <c r="AKJ6" s="33"/>
      <c r="AKK6" s="33"/>
      <c r="AKL6" s="33"/>
      <c r="AKM6" s="33"/>
      <c r="AKN6" s="33"/>
      <c r="AKO6" s="33"/>
      <c r="AKP6" s="33"/>
      <c r="AKQ6" s="33"/>
      <c r="AKR6" s="33"/>
      <c r="AKS6" s="33"/>
      <c r="AKT6" s="33"/>
      <c r="AKU6" s="33"/>
      <c r="AKV6" s="33"/>
      <c r="AKW6" s="33"/>
      <c r="AKX6" s="33"/>
      <c r="AKY6" s="33"/>
      <c r="AKZ6" s="33"/>
      <c r="ALA6" s="33"/>
      <c r="ALB6" s="33"/>
      <c r="ALC6" s="33"/>
      <c r="ALD6" s="33"/>
      <c r="ALE6" s="33"/>
      <c r="ALF6" s="33"/>
      <c r="ALG6" s="33"/>
      <c r="ALH6" s="33"/>
      <c r="ALI6" s="33"/>
      <c r="ALJ6" s="33"/>
      <c r="ALK6" s="33"/>
      <c r="ALL6" s="33"/>
      <c r="ALM6" s="33"/>
      <c r="ALN6" s="33"/>
      <c r="ALO6" s="33"/>
      <c r="ALP6" s="33"/>
      <c r="ALQ6" s="33"/>
      <c r="ALR6" s="33"/>
      <c r="ALS6" s="33"/>
      <c r="ALT6" s="33"/>
      <c r="ALU6" s="33"/>
      <c r="ALV6" s="33"/>
      <c r="ALW6" s="33"/>
      <c r="ALX6" s="33"/>
      <c r="ALY6" s="33"/>
      <c r="ALZ6" s="33"/>
      <c r="AMA6" s="33"/>
      <c r="AMB6" s="33"/>
      <c r="AMC6" s="33"/>
      <c r="AMD6" s="33"/>
      <c r="AME6" s="33"/>
      <c r="AMF6" s="33"/>
      <c r="AMG6" s="33"/>
      <c r="AMH6" s="33"/>
      <c r="AMI6" s="33"/>
      <c r="AMJ6" s="33"/>
      <c r="AMK6" s="33"/>
    </row>
    <row r="7" ht="15.75" customHeight="1">
      <c r="A7" s="35" t="s">
        <v>22</v>
      </c>
      <c r="B7" s="35"/>
      <c r="C7" s="13" t="s">
        <v>16</v>
      </c>
      <c r="D7" s="32">
        <v>20.0</v>
      </c>
      <c r="E7" s="36" t="s">
        <v>18</v>
      </c>
      <c r="F7" s="36" t="s">
        <v>23</v>
      </c>
      <c r="G7" s="37"/>
      <c r="H7" s="31"/>
      <c r="I7" s="31"/>
      <c r="J7" s="31"/>
      <c r="K7" s="31"/>
      <c r="L7" s="31"/>
      <c r="M7" s="31"/>
      <c r="N7" s="31"/>
      <c r="O7" s="31"/>
      <c r="P7" s="33"/>
      <c r="Q7" s="33"/>
      <c r="R7" s="33"/>
      <c r="S7" s="33" t="s">
        <v>24</v>
      </c>
      <c r="T7" s="33"/>
      <c r="U7" s="33"/>
      <c r="V7" s="33"/>
      <c r="W7" s="33"/>
      <c r="X7" s="38"/>
      <c r="Y7" s="38"/>
      <c r="Z7" s="33"/>
      <c r="AA7" s="33"/>
      <c r="AB7" s="33"/>
      <c r="AC7" s="33"/>
      <c r="AD7" s="33"/>
      <c r="AE7" s="33"/>
      <c r="AF7" s="33"/>
      <c r="AG7" s="33"/>
      <c r="AH7" s="33"/>
      <c r="AI7" s="33"/>
      <c r="AJ7" s="33"/>
      <c r="AK7" s="33"/>
      <c r="AL7" s="33"/>
      <c r="AM7" s="33"/>
      <c r="AN7" s="39" t="s">
        <v>25</v>
      </c>
      <c r="AO7" s="33"/>
      <c r="AP7" s="33"/>
      <c r="AQ7" s="33"/>
      <c r="AR7" s="33"/>
      <c r="AS7" s="33"/>
      <c r="AT7" s="33"/>
      <c r="AU7" s="33"/>
      <c r="AV7" s="33"/>
      <c r="AW7" s="33"/>
      <c r="AX7" s="33"/>
      <c r="AY7" s="33"/>
      <c r="AZ7" s="33"/>
      <c r="BA7" s="33"/>
      <c r="BB7" s="33"/>
      <c r="BC7" s="33"/>
      <c r="BD7" s="33"/>
      <c r="BE7" s="33"/>
      <c r="BF7" s="33"/>
      <c r="BG7" s="33"/>
      <c r="BH7" s="33"/>
      <c r="BI7" s="33"/>
      <c r="BJ7" s="33"/>
      <c r="BK7" s="33"/>
      <c r="BL7" s="33"/>
      <c r="BM7" s="33"/>
      <c r="BN7" s="33"/>
      <c r="BO7" s="33"/>
      <c r="BP7" s="33"/>
      <c r="BQ7" s="33"/>
      <c r="BR7" s="33"/>
      <c r="BS7" s="33"/>
      <c r="BT7" s="33"/>
      <c r="BU7" s="33"/>
      <c r="BV7" s="33"/>
      <c r="BW7" s="33"/>
      <c r="BX7" s="33"/>
      <c r="BY7" s="33"/>
      <c r="BZ7" s="33"/>
      <c r="CA7" s="33"/>
      <c r="CB7" s="33"/>
      <c r="CC7" s="33"/>
      <c r="CD7" s="33"/>
      <c r="CE7" s="33"/>
      <c r="CF7" s="33"/>
      <c r="CG7" s="33"/>
      <c r="CH7" s="33"/>
      <c r="CI7" s="33"/>
      <c r="CJ7" s="33"/>
      <c r="CK7" s="33"/>
      <c r="CL7" s="33"/>
      <c r="CM7" s="33"/>
      <c r="CN7" s="33"/>
      <c r="CO7" s="33"/>
      <c r="CP7" s="33"/>
      <c r="CQ7" s="33"/>
      <c r="CR7" s="33"/>
      <c r="CS7" s="33"/>
      <c r="CT7" s="33"/>
      <c r="CU7" s="33"/>
      <c r="CV7" s="33"/>
      <c r="CW7" s="33"/>
      <c r="CX7" s="33"/>
      <c r="CY7" s="33"/>
      <c r="CZ7" s="33"/>
      <c r="DA7" s="33"/>
      <c r="DB7" s="33"/>
      <c r="DC7" s="33"/>
      <c r="DD7" s="33"/>
      <c r="DE7" s="33"/>
      <c r="DF7" s="33"/>
      <c r="DG7" s="33"/>
      <c r="DH7" s="33"/>
      <c r="DI7" s="33"/>
      <c r="DJ7" s="33"/>
      <c r="DK7" s="33"/>
      <c r="DL7" s="33"/>
      <c r="DM7" s="33"/>
      <c r="DN7" s="33"/>
      <c r="DO7" s="33"/>
      <c r="DP7" s="33"/>
      <c r="DQ7" s="33"/>
      <c r="DR7" s="33"/>
      <c r="DS7" s="33"/>
      <c r="DT7" s="33"/>
      <c r="DU7" s="33"/>
      <c r="DV7" s="33"/>
      <c r="DW7" s="33"/>
      <c r="DX7" s="33"/>
      <c r="DY7" s="33"/>
      <c r="DZ7" s="33"/>
      <c r="EA7" s="33"/>
      <c r="EB7" s="33"/>
      <c r="EC7" s="33"/>
      <c r="ED7" s="33"/>
      <c r="EE7" s="33"/>
      <c r="EF7" s="33"/>
      <c r="EG7" s="33"/>
      <c r="EH7" s="33"/>
      <c r="EI7" s="33"/>
      <c r="EJ7" s="33"/>
      <c r="EK7" s="33"/>
      <c r="EL7" s="33"/>
      <c r="EM7" s="33"/>
      <c r="EN7" s="33"/>
      <c r="EO7" s="33"/>
      <c r="EP7" s="33"/>
      <c r="EQ7" s="33"/>
      <c r="ER7" s="33"/>
      <c r="ES7" s="33"/>
      <c r="ET7" s="33"/>
      <c r="EU7" s="33"/>
      <c r="EV7" s="33"/>
      <c r="EW7" s="33"/>
      <c r="EX7" s="33"/>
      <c r="EY7" s="33"/>
      <c r="EZ7" s="33"/>
      <c r="FA7" s="33"/>
      <c r="FB7" s="33"/>
      <c r="FC7" s="33"/>
      <c r="FD7" s="33"/>
      <c r="FE7" s="33"/>
      <c r="FF7" s="33"/>
      <c r="FG7" s="33"/>
      <c r="FH7" s="33"/>
      <c r="FI7" s="33"/>
      <c r="FJ7" s="33"/>
      <c r="FK7" s="33"/>
      <c r="FL7" s="33"/>
      <c r="FM7" s="33" t="s">
        <v>22</v>
      </c>
      <c r="FN7" s="33" t="s">
        <v>22</v>
      </c>
      <c r="FO7" s="33" t="s">
        <v>22</v>
      </c>
      <c r="FP7" s="33" t="s">
        <v>22</v>
      </c>
      <c r="FQ7" s="33" t="s">
        <v>22</v>
      </c>
      <c r="FR7" s="33"/>
      <c r="FS7" s="33"/>
      <c r="FT7" s="33"/>
      <c r="FU7" s="33"/>
      <c r="FV7" s="33"/>
      <c r="FW7" s="33"/>
      <c r="FX7" s="33"/>
      <c r="FY7" s="33"/>
      <c r="FZ7" s="33"/>
      <c r="GA7" s="33"/>
      <c r="GB7" s="33"/>
      <c r="GC7" s="33"/>
      <c r="GD7" s="33"/>
      <c r="GE7" s="33"/>
      <c r="GF7" s="33"/>
      <c r="GG7" s="33"/>
      <c r="GH7" s="33"/>
      <c r="GI7" s="33"/>
      <c r="GJ7" s="33"/>
      <c r="GK7" s="33"/>
      <c r="GL7" s="33"/>
      <c r="GM7" s="33"/>
      <c r="GN7" s="33"/>
      <c r="GO7" s="33"/>
      <c r="GP7" s="33"/>
      <c r="GQ7" s="33"/>
      <c r="GR7" s="33"/>
      <c r="GS7" s="33"/>
      <c r="GT7" s="33"/>
      <c r="GU7" s="33"/>
      <c r="GV7" s="33"/>
      <c r="GW7" s="33"/>
      <c r="GX7" s="33"/>
      <c r="GY7" s="33"/>
      <c r="GZ7" s="33"/>
      <c r="HA7" s="33"/>
      <c r="HB7" s="33"/>
      <c r="HC7" s="33"/>
      <c r="HD7" s="33"/>
      <c r="HE7" s="33"/>
      <c r="HF7" s="33"/>
      <c r="HG7" s="33"/>
      <c r="HH7" s="33"/>
      <c r="HI7" s="33"/>
      <c r="HJ7" s="33"/>
      <c r="HK7" s="33"/>
      <c r="HL7" s="33"/>
      <c r="HM7" s="33"/>
      <c r="HN7" s="33"/>
      <c r="HO7" s="33"/>
      <c r="HP7" s="33"/>
      <c r="HQ7" s="33"/>
      <c r="HR7" s="33"/>
      <c r="HS7" s="33"/>
      <c r="HT7" s="33"/>
      <c r="HU7" s="33"/>
      <c r="HV7" s="33"/>
      <c r="HW7" s="33"/>
      <c r="HX7" s="33"/>
      <c r="HY7" s="33"/>
      <c r="HZ7" s="33"/>
      <c r="IA7" s="33"/>
      <c r="IB7" s="33"/>
      <c r="IC7" s="33"/>
      <c r="ID7" s="33"/>
      <c r="IE7" s="33"/>
      <c r="IF7" s="33"/>
      <c r="IG7" s="33"/>
      <c r="IH7" s="33"/>
      <c r="II7" s="33"/>
      <c r="IJ7" s="33"/>
      <c r="IK7" s="33"/>
      <c r="IL7" s="33"/>
      <c r="IM7" s="33"/>
      <c r="IN7" s="33"/>
      <c r="IO7" s="33"/>
      <c r="IP7" s="33"/>
      <c r="IQ7" s="33"/>
      <c r="IR7" s="33"/>
      <c r="IS7" s="33"/>
      <c r="IT7" s="33"/>
      <c r="IU7" s="33"/>
      <c r="IV7" s="33"/>
      <c r="IW7" s="33"/>
      <c r="IX7" s="33"/>
      <c r="IY7" s="33"/>
      <c r="IZ7" s="33"/>
      <c r="JA7" s="33"/>
      <c r="JB7" s="33"/>
      <c r="JC7" s="33"/>
      <c r="JD7" s="33"/>
      <c r="JE7" s="33"/>
      <c r="JF7" s="33"/>
      <c r="JG7" s="33"/>
      <c r="JH7" s="33"/>
      <c r="JI7" s="33"/>
      <c r="JJ7" s="33"/>
      <c r="JK7" s="33"/>
      <c r="JL7" s="33"/>
      <c r="JM7" s="33"/>
      <c r="JN7" s="33"/>
      <c r="JO7" s="33"/>
      <c r="JP7" s="33"/>
      <c r="JQ7" s="33"/>
      <c r="JR7" s="33"/>
      <c r="JS7" s="33"/>
      <c r="JT7" s="33"/>
      <c r="JU7" s="33"/>
      <c r="JV7" s="33"/>
      <c r="JW7" s="33"/>
      <c r="JX7" s="33"/>
      <c r="JY7" s="33"/>
      <c r="JZ7" s="33"/>
      <c r="KA7" s="33"/>
      <c r="KB7" s="33"/>
      <c r="KC7" s="33"/>
      <c r="KD7" s="33"/>
      <c r="KE7" s="33"/>
      <c r="KF7" s="33"/>
      <c r="KG7" s="33"/>
      <c r="KH7" s="33"/>
      <c r="KI7" s="33"/>
      <c r="KJ7" s="33"/>
      <c r="KK7" s="33"/>
      <c r="KL7" s="33"/>
      <c r="KM7" s="33"/>
      <c r="KN7" s="33"/>
      <c r="KO7" s="33"/>
      <c r="KP7" s="33"/>
      <c r="KQ7" s="33"/>
      <c r="KR7" s="33"/>
      <c r="KS7" s="33"/>
      <c r="KT7" s="33"/>
      <c r="KU7" s="33"/>
      <c r="KV7" s="33"/>
      <c r="KW7" s="33"/>
      <c r="KX7" s="33"/>
      <c r="KY7" s="33"/>
      <c r="KZ7" s="33"/>
      <c r="LA7" s="33"/>
      <c r="LB7" s="33"/>
      <c r="LC7" s="33"/>
      <c r="LD7" s="33"/>
      <c r="LE7" s="33"/>
      <c r="LF7" s="33"/>
      <c r="LG7" s="33"/>
      <c r="LH7" s="33"/>
      <c r="LI7" s="33"/>
      <c r="LJ7" s="33"/>
      <c r="LK7" s="33"/>
      <c r="LL7" s="33"/>
      <c r="LM7" s="33"/>
      <c r="LN7" s="33"/>
      <c r="LO7" s="33"/>
      <c r="LP7" s="33"/>
      <c r="LQ7" s="33"/>
      <c r="LR7" s="33"/>
      <c r="LS7" s="33"/>
      <c r="LT7" s="33"/>
      <c r="LU7" s="33"/>
      <c r="LV7" s="33"/>
      <c r="LW7" s="33"/>
      <c r="LX7" s="33"/>
      <c r="LY7" s="33"/>
      <c r="LZ7" s="33"/>
      <c r="MA7" s="33"/>
      <c r="MB7" s="33"/>
      <c r="MC7" s="33"/>
      <c r="MD7" s="33"/>
      <c r="ME7" s="33"/>
      <c r="MF7" s="33"/>
      <c r="MG7" s="33"/>
      <c r="MH7" s="33"/>
      <c r="MI7" s="33"/>
      <c r="MJ7" s="33"/>
      <c r="MK7" s="33"/>
      <c r="ML7" s="33"/>
      <c r="MM7" s="33"/>
      <c r="MN7" s="33"/>
      <c r="MO7" s="33"/>
      <c r="MP7" s="33"/>
      <c r="MQ7" s="33"/>
      <c r="MR7" s="33"/>
      <c r="MS7" s="33"/>
      <c r="MT7" s="33"/>
      <c r="MU7" s="33"/>
      <c r="MV7" s="33"/>
      <c r="MW7" s="33"/>
      <c r="MX7" s="33"/>
      <c r="MY7" s="33"/>
      <c r="MZ7" s="33"/>
      <c r="NA7" s="33"/>
      <c r="NB7" s="33"/>
      <c r="NC7" s="33"/>
      <c r="ND7" s="33"/>
      <c r="NE7" s="33"/>
      <c r="NF7" s="33"/>
      <c r="NG7" s="33"/>
      <c r="NH7" s="33"/>
      <c r="NI7" s="33"/>
      <c r="NJ7" s="33"/>
      <c r="NK7" s="33"/>
      <c r="NL7" s="33"/>
      <c r="NM7" s="33"/>
      <c r="NN7" s="33"/>
      <c r="NO7" s="33"/>
      <c r="NP7" s="33"/>
      <c r="NQ7" s="33"/>
      <c r="NR7" s="33"/>
      <c r="NS7" s="33"/>
      <c r="NT7" s="33"/>
      <c r="NU7" s="33"/>
      <c r="NV7" s="33"/>
      <c r="NW7" s="33"/>
      <c r="NX7" s="33"/>
      <c r="NY7" s="33"/>
      <c r="NZ7" s="33"/>
      <c r="OA7" s="33"/>
      <c r="OB7" s="33"/>
      <c r="OC7" s="33"/>
      <c r="OD7" s="33"/>
      <c r="OE7" s="33"/>
      <c r="OF7" s="33"/>
      <c r="OG7" s="33"/>
      <c r="OH7" s="33"/>
      <c r="OI7" s="33"/>
      <c r="OJ7" s="33"/>
      <c r="OK7" s="33"/>
      <c r="OL7" s="33"/>
      <c r="OM7" s="33"/>
      <c r="ON7" s="33"/>
      <c r="OO7" s="33"/>
      <c r="OP7" s="33"/>
      <c r="OQ7" s="33"/>
      <c r="OR7" s="33"/>
      <c r="OS7" s="33"/>
      <c r="OT7" s="33"/>
      <c r="OU7" s="33"/>
      <c r="OV7" s="33"/>
      <c r="OW7" s="33"/>
      <c r="OX7" s="33"/>
      <c r="OY7" s="33"/>
      <c r="OZ7" s="33"/>
      <c r="PA7" s="33"/>
      <c r="PB7" s="33"/>
      <c r="PC7" s="33"/>
      <c r="PD7" s="33"/>
      <c r="PE7" s="33"/>
      <c r="PF7" s="33"/>
      <c r="PG7" s="33"/>
      <c r="PH7" s="33"/>
      <c r="PI7" s="33"/>
      <c r="PJ7" s="33"/>
      <c r="PK7" s="33"/>
      <c r="PL7" s="33"/>
      <c r="PM7" s="33"/>
      <c r="PN7" s="33"/>
      <c r="PO7" s="33"/>
      <c r="PP7" s="33"/>
      <c r="PQ7" s="33"/>
      <c r="PR7" s="33"/>
      <c r="PS7" s="33"/>
      <c r="PT7" s="33"/>
      <c r="PU7" s="33"/>
      <c r="PV7" s="33"/>
      <c r="PW7" s="33"/>
      <c r="PX7" s="33"/>
      <c r="PY7" s="33"/>
      <c r="PZ7" s="33"/>
      <c r="QA7" s="33"/>
      <c r="QB7" s="33"/>
      <c r="QC7" s="33"/>
      <c r="QD7" s="33"/>
      <c r="QE7" s="33"/>
      <c r="QF7" s="33"/>
      <c r="QG7" s="33"/>
      <c r="QH7" s="33"/>
      <c r="QI7" s="33"/>
      <c r="QJ7" s="33"/>
      <c r="QK7" s="33"/>
      <c r="QL7" s="33"/>
      <c r="QM7" s="33"/>
      <c r="QN7" s="33"/>
      <c r="QO7" s="33"/>
      <c r="QP7" s="33"/>
      <c r="QQ7" s="33"/>
      <c r="QR7" s="33"/>
      <c r="QS7" s="33"/>
      <c r="QT7" s="33"/>
      <c r="QU7" s="33"/>
      <c r="QV7" s="33"/>
      <c r="QW7" s="33"/>
      <c r="QX7" s="33"/>
      <c r="QY7" s="33"/>
      <c r="QZ7" s="33"/>
      <c r="RA7" s="33"/>
      <c r="RB7" s="33"/>
      <c r="RC7" s="33"/>
      <c r="RD7" s="33"/>
      <c r="RE7" s="33"/>
      <c r="RF7" s="33"/>
      <c r="RG7" s="33"/>
      <c r="RH7" s="33"/>
      <c r="RI7" s="33"/>
      <c r="RJ7" s="33"/>
      <c r="RK7" s="33"/>
      <c r="RL7" s="33"/>
      <c r="RM7" s="33"/>
      <c r="RN7" s="33"/>
      <c r="RO7" s="33"/>
      <c r="RP7" s="33"/>
      <c r="RQ7" s="33"/>
      <c r="RR7" s="33"/>
      <c r="RS7" s="33"/>
      <c r="RT7" s="33"/>
      <c r="RU7" s="33"/>
      <c r="RV7" s="33"/>
      <c r="RW7" s="33"/>
      <c r="RX7" s="33"/>
      <c r="RY7" s="33"/>
      <c r="RZ7" s="33"/>
      <c r="SA7" s="33"/>
      <c r="SB7" s="33"/>
      <c r="SC7" s="33"/>
      <c r="SD7" s="33"/>
      <c r="SE7" s="33"/>
      <c r="SF7" s="33"/>
      <c r="SG7" s="33"/>
      <c r="SH7" s="33"/>
      <c r="SI7" s="33"/>
      <c r="SJ7" s="33"/>
      <c r="SK7" s="33"/>
      <c r="SL7" s="33"/>
      <c r="SM7" s="33"/>
      <c r="SN7" s="33"/>
      <c r="SO7" s="33"/>
      <c r="SP7" s="33"/>
      <c r="SQ7" s="33"/>
      <c r="SR7" s="33"/>
      <c r="SS7" s="33"/>
      <c r="ST7" s="33"/>
      <c r="SU7" s="33"/>
      <c r="SV7" s="33"/>
      <c r="SW7" s="33"/>
      <c r="SX7" s="33"/>
      <c r="SY7" s="33"/>
      <c r="SZ7" s="33"/>
      <c r="TA7" s="33"/>
      <c r="TB7" s="33"/>
      <c r="TC7" s="33"/>
      <c r="TD7" s="33"/>
      <c r="TE7" s="33"/>
      <c r="TF7" s="33"/>
      <c r="TG7" s="33"/>
      <c r="TH7" s="33"/>
      <c r="TI7" s="33"/>
      <c r="TJ7" s="33"/>
      <c r="TK7" s="33"/>
      <c r="TL7" s="33"/>
      <c r="TM7" s="33"/>
      <c r="TN7" s="33"/>
      <c r="TO7" s="33"/>
      <c r="TP7" s="33"/>
      <c r="TQ7" s="33"/>
      <c r="TR7" s="33"/>
      <c r="TS7" s="33"/>
      <c r="TT7" s="33"/>
      <c r="TU7" s="33"/>
      <c r="TV7" s="33"/>
      <c r="TW7" s="33"/>
      <c r="TX7" s="33"/>
      <c r="TY7" s="33"/>
      <c r="TZ7" s="33"/>
      <c r="UA7" s="33"/>
      <c r="UB7" s="33"/>
      <c r="UC7" s="33"/>
      <c r="UD7" s="33"/>
      <c r="UE7" s="33"/>
      <c r="UF7" s="33"/>
      <c r="UG7" s="33"/>
      <c r="UH7" s="33"/>
      <c r="UI7" s="33"/>
      <c r="UJ7" s="33"/>
      <c r="UK7" s="33"/>
      <c r="UL7" s="33"/>
      <c r="UM7" s="33"/>
      <c r="UN7" s="33"/>
      <c r="UO7" s="33"/>
      <c r="UP7" s="33"/>
      <c r="UQ7" s="33"/>
      <c r="UR7" s="33"/>
      <c r="US7" s="33"/>
      <c r="UT7" s="33"/>
      <c r="UU7" s="33"/>
      <c r="UV7" s="33"/>
      <c r="UW7" s="33"/>
      <c r="UX7" s="33"/>
      <c r="UY7" s="33"/>
      <c r="UZ7" s="33"/>
      <c r="VA7" s="33"/>
      <c r="VB7" s="33"/>
      <c r="VC7" s="33"/>
      <c r="VD7" s="33"/>
      <c r="VE7" s="33"/>
      <c r="VF7" s="33"/>
      <c r="VG7" s="33"/>
      <c r="VH7" s="33"/>
      <c r="VI7" s="33"/>
      <c r="VJ7" s="33"/>
      <c r="VK7" s="33"/>
      <c r="VL7" s="33"/>
      <c r="VM7" s="33"/>
      <c r="VN7" s="33"/>
      <c r="VO7" s="33"/>
      <c r="VP7" s="33"/>
      <c r="VQ7" s="33"/>
      <c r="VR7" s="33"/>
      <c r="VS7" s="33"/>
      <c r="VT7" s="33"/>
      <c r="VU7" s="33"/>
      <c r="VV7" s="33"/>
      <c r="VW7" s="33"/>
      <c r="VX7" s="33"/>
      <c r="VY7" s="33"/>
      <c r="VZ7" s="33"/>
      <c r="WA7" s="33"/>
      <c r="WB7" s="33"/>
      <c r="WC7" s="33"/>
      <c r="WD7" s="33"/>
      <c r="WE7" s="33"/>
      <c r="WF7" s="33"/>
      <c r="WG7" s="33"/>
      <c r="WH7" s="33"/>
      <c r="WI7" s="33"/>
      <c r="WJ7" s="33"/>
      <c r="WK7" s="33"/>
      <c r="WL7" s="33"/>
      <c r="WM7" s="33"/>
      <c r="WN7" s="33"/>
      <c r="WO7" s="33"/>
      <c r="WP7" s="33"/>
      <c r="WQ7" s="33"/>
      <c r="WR7" s="33"/>
      <c r="WS7" s="33"/>
      <c r="WT7" s="33"/>
      <c r="WU7" s="33"/>
      <c r="WV7" s="33"/>
      <c r="WW7" s="33"/>
      <c r="WX7" s="33"/>
      <c r="WY7" s="33"/>
      <c r="WZ7" s="33"/>
      <c r="XA7" s="33"/>
      <c r="XB7" s="33"/>
      <c r="XC7" s="33"/>
      <c r="XD7" s="33"/>
      <c r="XE7" s="33"/>
      <c r="XF7" s="33"/>
      <c r="XG7" s="33"/>
      <c r="XH7" s="33"/>
      <c r="XI7" s="33"/>
      <c r="XJ7" s="33"/>
      <c r="XK7" s="33"/>
      <c r="XL7" s="33"/>
      <c r="XM7" s="33"/>
      <c r="XN7" s="33"/>
      <c r="XO7" s="33"/>
      <c r="XP7" s="33"/>
      <c r="XQ7" s="33"/>
      <c r="XR7" s="33"/>
      <c r="XS7" s="33"/>
      <c r="XT7" s="33"/>
      <c r="XU7" s="33"/>
      <c r="XV7" s="33"/>
      <c r="XW7" s="33"/>
      <c r="XX7" s="33"/>
      <c r="XY7" s="33"/>
      <c r="XZ7" s="33"/>
      <c r="YA7" s="33"/>
      <c r="YB7" s="33"/>
      <c r="YC7" s="33"/>
      <c r="YD7" s="33"/>
      <c r="YE7" s="33"/>
      <c r="YF7" s="33"/>
      <c r="YG7" s="33"/>
      <c r="YH7" s="33"/>
      <c r="YI7" s="33"/>
      <c r="YJ7" s="33"/>
      <c r="YK7" s="33"/>
      <c r="YL7" s="33"/>
      <c r="YM7" s="33"/>
      <c r="YN7" s="33"/>
      <c r="YO7" s="33"/>
      <c r="YP7" s="33"/>
      <c r="YQ7" s="33"/>
      <c r="YR7" s="33"/>
      <c r="YS7" s="33"/>
      <c r="YT7" s="33"/>
      <c r="YU7" s="33"/>
      <c r="YV7" s="33"/>
      <c r="YW7" s="33"/>
      <c r="YX7" s="33"/>
      <c r="YY7" s="33"/>
      <c r="YZ7" s="33"/>
      <c r="ZA7" s="33"/>
      <c r="ZB7" s="33"/>
      <c r="ZC7" s="33"/>
      <c r="ZD7" s="33"/>
      <c r="ZE7" s="33"/>
      <c r="ZF7" s="33"/>
      <c r="ZG7" s="33"/>
      <c r="ZH7" s="33"/>
      <c r="ZI7" s="33"/>
      <c r="ZJ7" s="33"/>
      <c r="ZK7" s="33"/>
      <c r="ZL7" s="33"/>
      <c r="ZM7" s="33"/>
      <c r="ZN7" s="33"/>
      <c r="ZO7" s="33"/>
      <c r="ZP7" s="33"/>
      <c r="ZQ7" s="33"/>
      <c r="ZR7" s="33"/>
      <c r="ZS7" s="33"/>
      <c r="ZT7" s="33"/>
      <c r="ZU7" s="33"/>
      <c r="ZV7" s="33"/>
      <c r="ZW7" s="33"/>
      <c r="ZX7" s="33"/>
      <c r="ZY7" s="33"/>
      <c r="ZZ7" s="33"/>
      <c r="AAA7" s="33"/>
      <c r="AAB7" s="33"/>
      <c r="AAC7" s="33"/>
      <c r="AAD7" s="33"/>
      <c r="AAE7" s="33"/>
      <c r="AAF7" s="33"/>
      <c r="AAG7" s="33"/>
      <c r="AAH7" s="33"/>
      <c r="AAI7" s="33"/>
      <c r="AAJ7" s="33"/>
      <c r="AAK7" s="33"/>
      <c r="AAL7" s="33"/>
      <c r="AAM7" s="33"/>
      <c r="AAN7" s="33"/>
      <c r="AAO7" s="33"/>
      <c r="AAP7" s="33"/>
      <c r="AAQ7" s="33"/>
      <c r="AAR7" s="33"/>
      <c r="AAS7" s="33"/>
      <c r="AAT7" s="33"/>
      <c r="AAU7" s="33"/>
      <c r="AAV7" s="33"/>
      <c r="AAW7" s="33"/>
      <c r="AAX7" s="33"/>
      <c r="AAY7" s="33"/>
      <c r="AAZ7" s="33"/>
      <c r="ABA7" s="33"/>
      <c r="ABB7" s="33"/>
      <c r="ABC7" s="33"/>
      <c r="ABD7" s="33"/>
      <c r="ABE7" s="33"/>
      <c r="ABF7" s="33"/>
      <c r="ABG7" s="33"/>
      <c r="ABH7" s="33"/>
      <c r="ABI7" s="33"/>
      <c r="ABJ7" s="33"/>
      <c r="ABK7" s="33"/>
      <c r="ABL7" s="33"/>
      <c r="ABM7" s="33"/>
      <c r="ABN7" s="33"/>
      <c r="ABO7" s="33"/>
      <c r="ABP7" s="33"/>
      <c r="ABQ7" s="33"/>
      <c r="ABR7" s="33"/>
      <c r="ABS7" s="33"/>
      <c r="ABT7" s="33"/>
      <c r="ABU7" s="33"/>
      <c r="ABV7" s="33"/>
      <c r="ABW7" s="33"/>
      <c r="ABX7" s="33"/>
      <c r="ABY7" s="33"/>
      <c r="ABZ7" s="33"/>
      <c r="ACA7" s="33"/>
      <c r="ACB7" s="33"/>
      <c r="ACC7" s="33"/>
      <c r="ACD7" s="33"/>
      <c r="ACE7" s="33"/>
      <c r="ACF7" s="33"/>
      <c r="ACG7" s="33"/>
      <c r="ACH7" s="33"/>
      <c r="ACI7" s="33"/>
      <c r="ACJ7" s="33"/>
      <c r="ACK7" s="33"/>
      <c r="ACL7" s="33"/>
      <c r="ACM7" s="33"/>
      <c r="ACN7" s="33"/>
      <c r="ACO7" s="33"/>
      <c r="ACP7" s="33"/>
      <c r="ACQ7" s="33"/>
      <c r="ACR7" s="33"/>
      <c r="ACS7" s="33"/>
      <c r="ACT7" s="33"/>
      <c r="ACU7" s="33"/>
      <c r="ACV7" s="33"/>
      <c r="ACW7" s="33"/>
      <c r="ACX7" s="33"/>
      <c r="ACY7" s="33"/>
      <c r="ACZ7" s="33"/>
      <c r="ADA7" s="33"/>
      <c r="ADB7" s="33"/>
      <c r="ADC7" s="33"/>
      <c r="ADD7" s="33"/>
      <c r="ADE7" s="33"/>
      <c r="ADF7" s="33"/>
      <c r="ADG7" s="33"/>
      <c r="ADH7" s="33"/>
      <c r="ADI7" s="33"/>
      <c r="ADJ7" s="33"/>
      <c r="ADK7" s="33"/>
      <c r="ADL7" s="33"/>
      <c r="ADM7" s="33"/>
      <c r="ADN7" s="33"/>
      <c r="ADO7" s="33"/>
      <c r="ADP7" s="33"/>
      <c r="ADQ7" s="33"/>
      <c r="ADR7" s="33"/>
      <c r="ADS7" s="33"/>
      <c r="ADT7" s="33"/>
      <c r="ADU7" s="33"/>
      <c r="ADV7" s="33"/>
      <c r="ADW7" s="33"/>
      <c r="ADX7" s="33"/>
      <c r="ADY7" s="33"/>
      <c r="ADZ7" s="33"/>
      <c r="AEA7" s="33"/>
      <c r="AEB7" s="33"/>
      <c r="AEC7" s="33"/>
      <c r="AED7" s="33"/>
      <c r="AEE7" s="33"/>
      <c r="AEF7" s="33"/>
      <c r="AEG7" s="33"/>
      <c r="AEH7" s="33"/>
      <c r="AEI7" s="33"/>
      <c r="AEJ7" s="33"/>
      <c r="AEK7" s="33"/>
      <c r="AEL7" s="33"/>
      <c r="AEM7" s="33"/>
      <c r="AEN7" s="33"/>
      <c r="AEO7" s="33"/>
      <c r="AEP7" s="33"/>
      <c r="AEQ7" s="33"/>
      <c r="AER7" s="33"/>
      <c r="AES7" s="33"/>
      <c r="AET7" s="33"/>
      <c r="AEU7" s="33"/>
      <c r="AEV7" s="33"/>
      <c r="AEW7" s="33"/>
      <c r="AEX7" s="33"/>
      <c r="AEY7" s="33"/>
      <c r="AEZ7" s="33"/>
      <c r="AFA7" s="33"/>
      <c r="AFB7" s="33"/>
      <c r="AFC7" s="33"/>
      <c r="AFD7" s="33"/>
      <c r="AFE7" s="33"/>
      <c r="AFF7" s="33"/>
      <c r="AFG7" s="33"/>
      <c r="AFH7" s="33"/>
      <c r="AFI7" s="33"/>
      <c r="AFJ7" s="33"/>
      <c r="AFK7" s="33"/>
      <c r="AFL7" s="33"/>
      <c r="AFM7" s="33"/>
      <c r="AFN7" s="33"/>
      <c r="AFO7" s="33"/>
      <c r="AFP7" s="33"/>
      <c r="AFQ7" s="33"/>
      <c r="AFR7" s="33"/>
      <c r="AFS7" s="33"/>
      <c r="AFT7" s="33"/>
      <c r="AFU7" s="33"/>
      <c r="AFV7" s="33"/>
      <c r="AFW7" s="33"/>
      <c r="AFX7" s="33"/>
      <c r="AFY7" s="33"/>
      <c r="AFZ7" s="33"/>
      <c r="AGA7" s="33"/>
      <c r="AGB7" s="33"/>
      <c r="AGC7" s="33"/>
      <c r="AGD7" s="33"/>
      <c r="AGE7" s="33"/>
      <c r="AGF7" s="33"/>
      <c r="AGG7" s="33"/>
      <c r="AGH7" s="33"/>
      <c r="AGI7" s="33"/>
      <c r="AGJ7" s="33"/>
      <c r="AGK7" s="33"/>
      <c r="AGL7" s="33"/>
      <c r="AGM7" s="33"/>
      <c r="AGN7" s="33"/>
      <c r="AGO7" s="33"/>
      <c r="AGP7" s="33"/>
      <c r="AGQ7" s="33"/>
      <c r="AGR7" s="33"/>
      <c r="AGS7" s="33"/>
      <c r="AGT7" s="33"/>
      <c r="AGU7" s="33"/>
      <c r="AGV7" s="33"/>
      <c r="AGW7" s="33"/>
      <c r="AGX7" s="33"/>
      <c r="AGY7" s="33"/>
      <c r="AGZ7" s="33"/>
      <c r="AHA7" s="33"/>
      <c r="AHB7" s="33"/>
      <c r="AHC7" s="33"/>
      <c r="AHD7" s="33"/>
      <c r="AHE7" s="33"/>
      <c r="AHF7" s="33"/>
      <c r="AHG7" s="33"/>
      <c r="AHH7" s="33"/>
      <c r="AHI7" s="33"/>
      <c r="AHJ7" s="33"/>
      <c r="AHK7" s="33"/>
      <c r="AHL7" s="33"/>
      <c r="AHM7" s="33"/>
      <c r="AHN7" s="33"/>
      <c r="AHO7" s="33"/>
      <c r="AHP7" s="33"/>
      <c r="AHQ7" s="33"/>
      <c r="AHR7" s="33"/>
      <c r="AHS7" s="33"/>
      <c r="AHT7" s="33"/>
      <c r="AHU7" s="33"/>
      <c r="AHV7" s="33"/>
      <c r="AHW7" s="33"/>
      <c r="AHX7" s="33"/>
      <c r="AHY7" s="33"/>
      <c r="AHZ7" s="33"/>
      <c r="AIA7" s="33"/>
      <c r="AIB7" s="33"/>
      <c r="AIC7" s="33"/>
      <c r="AID7" s="33"/>
      <c r="AIE7" s="33"/>
      <c r="AIF7" s="33"/>
      <c r="AIG7" s="33"/>
      <c r="AIH7" s="33"/>
      <c r="AII7" s="33"/>
      <c r="AIJ7" s="33"/>
      <c r="AIK7" s="33"/>
      <c r="AIL7" s="33"/>
      <c r="AIM7" s="33"/>
      <c r="AIN7" s="33"/>
      <c r="AIO7" s="33"/>
      <c r="AIP7" s="33"/>
      <c r="AIQ7" s="33"/>
      <c r="AIR7" s="33"/>
      <c r="AIS7" s="33"/>
      <c r="AIT7" s="33"/>
      <c r="AIU7" s="33"/>
      <c r="AIV7" s="33"/>
      <c r="AIW7" s="33"/>
      <c r="AIX7" s="33"/>
      <c r="AIY7" s="33"/>
      <c r="AIZ7" s="33"/>
      <c r="AJA7" s="33"/>
      <c r="AJB7" s="33"/>
      <c r="AJC7" s="33"/>
      <c r="AJD7" s="33"/>
      <c r="AJE7" s="33"/>
      <c r="AJF7" s="33"/>
      <c r="AJG7" s="33"/>
      <c r="AJH7" s="33"/>
      <c r="AJI7" s="33"/>
      <c r="AJJ7" s="33"/>
      <c r="AJK7" s="33"/>
      <c r="AJL7" s="33"/>
      <c r="AJM7" s="33"/>
      <c r="AJN7" s="33"/>
      <c r="AJO7" s="33"/>
      <c r="AJP7" s="33"/>
      <c r="AJQ7" s="33"/>
      <c r="AJR7" s="33"/>
      <c r="AJS7" s="33"/>
      <c r="AJT7" s="33"/>
      <c r="AJU7" s="33"/>
      <c r="AJV7" s="33"/>
      <c r="AJW7" s="33"/>
      <c r="AJX7" s="33"/>
      <c r="AJY7" s="33"/>
      <c r="AJZ7" s="33"/>
      <c r="AKA7" s="33"/>
      <c r="AKB7" s="33"/>
      <c r="AKC7" s="33"/>
      <c r="AKD7" s="33"/>
      <c r="AKE7" s="33"/>
      <c r="AKF7" s="33"/>
      <c r="AKG7" s="33"/>
      <c r="AKH7" s="33"/>
      <c r="AKI7" s="33"/>
      <c r="AKJ7" s="33"/>
      <c r="AKK7" s="33"/>
      <c r="AKL7" s="33"/>
      <c r="AKM7" s="33"/>
      <c r="AKN7" s="33"/>
      <c r="AKO7" s="33"/>
      <c r="AKP7" s="33"/>
      <c r="AKQ7" s="33"/>
      <c r="AKR7" s="33"/>
      <c r="AKS7" s="33"/>
      <c r="AKT7" s="33"/>
      <c r="AKU7" s="33"/>
      <c r="AKV7" s="33"/>
      <c r="AKW7" s="33"/>
      <c r="AKX7" s="33"/>
      <c r="AKY7" s="33"/>
      <c r="AKZ7" s="33"/>
      <c r="ALA7" s="33"/>
      <c r="ALB7" s="33"/>
      <c r="ALC7" s="33"/>
      <c r="ALD7" s="33"/>
      <c r="ALE7" s="33"/>
      <c r="ALF7" s="33"/>
      <c r="ALG7" s="33"/>
      <c r="ALH7" s="33"/>
      <c r="ALI7" s="33"/>
      <c r="ALJ7" s="33"/>
      <c r="ALK7" s="33"/>
      <c r="ALL7" s="33"/>
      <c r="ALM7" s="33"/>
      <c r="ALN7" s="33"/>
      <c r="ALO7" s="33"/>
      <c r="ALP7" s="33"/>
      <c r="ALQ7" s="33"/>
      <c r="ALR7" s="33"/>
      <c r="ALS7" s="33"/>
      <c r="ALT7" s="33"/>
      <c r="ALU7" s="33"/>
      <c r="ALV7" s="33"/>
      <c r="ALW7" s="33"/>
      <c r="ALX7" s="33"/>
      <c r="ALY7" s="33"/>
      <c r="ALZ7" s="33"/>
      <c r="AMA7" s="33"/>
      <c r="AMB7" s="33"/>
      <c r="AMC7" s="33"/>
      <c r="AMD7" s="33"/>
      <c r="AME7" s="33"/>
      <c r="AMF7" s="33"/>
      <c r="AMG7" s="33"/>
      <c r="AMH7" s="33"/>
      <c r="AMI7" s="33"/>
      <c r="AMJ7" s="33"/>
      <c r="AMK7" s="33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CheckPortfolioManagement!$4:$4</formula1>
    </dataValidation>
  </dataValidations>
  <drawing r:id="rId1"/>
</worksheet>
</file>