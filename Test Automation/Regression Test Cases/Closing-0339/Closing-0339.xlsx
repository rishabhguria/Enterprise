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<sst xmlns="http://schemas.openxmlformats.org/spreadsheetml/2006/main" count="494" uniqueCount="68">
  <si>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</si>
  <si>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</si>
  <si>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</si>
  <si>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</si>
  <si>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</si>
  <si>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</si>
  <si>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</si>
  <si>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</si>
  <si>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</si>
  <si>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</si>
  <si>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</si>
  <si>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</si>
  <si>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</si>
  <si>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</si>
  <si>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</si>
  <si>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</si>
  <si>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</si>
  <si>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</si>
  <si>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</si>
  <si>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</si>
  <si>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</si>
  <si>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</si>
  <si>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</si>
  <si>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</si>
  <si>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</si>
  <si>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</si>
  <si>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</si>
  <si>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</si>
  <si>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</si>
  <si>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</si>
  <si>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</si>
  <si>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</si>
  <si>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</si>
  <si>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</si>
  <si>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</si>
  <si>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</si>
  <si>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</si>
  <si>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</si>
  <si>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</si>
  <si>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</si>
  <si>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</si>
  <si>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</si>
  <si>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USD</t>
  </si>
  <si>
    <t>NASDAQ</t>
  </si>
  <si>
    <t>M</t>
  </si>
  <si>
    <t>OPTS</t>
  </si>
  <si>
    <t>Sell to Close</t>
  </si>
  <si>
    <t>D</t>
  </si>
  <si>
    <t>Sell short</t>
  </si>
  <si>
    <t>Sell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</si>
  <si>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</si>
  <si>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</si>
  <si>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</si>
  <si>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</si>
  <si>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</si>
  <si>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</si>
  <si>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</si>
  <si>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</si>
  <si>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</si>
  <si>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</si>
  <si>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</si>
  <si>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New Hedge</t>
  </si>
  <si>
    <t>Small Cap</t>
  </si>
  <si>
    <t>Undefined</t>
  </si>
  <si>
    <t>jpearce</t>
  </si>
  <si>
    <t>NA</t>
  </si>
  <si>
    <t>Equity 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</si>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</sst>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9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16</v>
      </c>
      <c r="C6" s="33">
        <f>today()+10</f>
        <v>45059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3">
        <f>today()+11</f>
        <v>45060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3">
        <f>today()+12</f>
        <v>45061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30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6" t="s">
        <v>21</v>
      </c>
      <c r="D6" s="32"/>
      <c r="E6" s="37" t="b">
        <v>1</v>
      </c>
      <c r="F6" s="35"/>
      <c r="G6" s="35"/>
      <c r="H6" s="35"/>
      <c r="I6" s="35"/>
      <c r="J6" s="37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24</v>
      </c>
      <c r="C6" s="35" t="s">
        <v>25</v>
      </c>
      <c r="D6" s="38">
        <v>100.0</v>
      </c>
      <c r="E6" s="35"/>
      <c r="F6" s="35" t="s">
        <v>26</v>
      </c>
      <c r="G6" s="35"/>
      <c r="H6" s="35"/>
      <c r="I6" s="35"/>
      <c r="J6" s="39">
        <v>1.0</v>
      </c>
      <c r="K6" s="35"/>
      <c r="L6" s="35"/>
      <c r="M6" s="35"/>
      <c r="N6" s="33">
        <f>today()</f>
        <v>45049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40" t="s">
        <v>27</v>
      </c>
      <c r="D7" s="39">
        <v>10.0</v>
      </c>
      <c r="E7" s="35"/>
      <c r="F7" s="35" t="s">
        <v>26</v>
      </c>
      <c r="G7" s="35"/>
      <c r="H7" s="35"/>
      <c r="I7" s="35"/>
      <c r="J7" s="39">
        <v>1.0</v>
      </c>
      <c r="K7" s="35"/>
      <c r="L7" s="35"/>
      <c r="M7" s="35"/>
      <c r="N7" s="33">
        <f>today()-2</f>
        <v>45047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17</v>
      </c>
      <c r="C8" s="41" t="s">
        <v>27</v>
      </c>
      <c r="D8" s="39">
        <v>10.0</v>
      </c>
      <c r="E8" s="35"/>
      <c r="F8" s="35" t="s">
        <v>26</v>
      </c>
      <c r="G8" s="35"/>
      <c r="H8" s="35"/>
      <c r="I8" s="35"/>
      <c r="J8" s="39">
        <v>1.0</v>
      </c>
      <c r="K8" s="35"/>
      <c r="L8" s="35"/>
      <c r="M8" s="35"/>
      <c r="N8" s="33">
        <f>today()-1</f>
        <v>45048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41" t="s">
        <v>27</v>
      </c>
      <c r="D9" s="39">
        <v>10.0</v>
      </c>
      <c r="E9" s="35"/>
      <c r="F9" s="35" t="s">
        <v>26</v>
      </c>
      <c r="G9" s="35"/>
      <c r="H9" s="35"/>
      <c r="I9" s="35"/>
      <c r="J9" s="39">
        <v>1.0</v>
      </c>
      <c r="K9" s="35"/>
      <c r="L9" s="35"/>
      <c r="M9" s="35"/>
      <c r="N9" s="33">
        <f>today()</f>
        <v>45049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Date ")</f>
        <v>Copy Date 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>
        <f>TODAY()-1</f>
        <v>45048</v>
      </c>
      <c r="C6" s="33">
        <f>TODAY()</f>
        <v>45049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24</v>
      </c>
      <c r="C6" s="39">
        <v>120.0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3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2" t="s">
        <v>32</v>
      </c>
      <c r="C6" s="43" t="s">
        <v>33</v>
      </c>
      <c r="D6" s="43">
        <f>TODAY()</f>
        <v>45049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30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1" t="str">
        <f>IFERROR(__xludf.DUMMYFUNCTION("""COMPUTED_VALUE"""),"ClosingDate")</f>
        <v>ClosingDate</v>
      </c>
      <c r="U5" s="31" t="str">
        <f>IFERROR(__xludf.DUMMYFUNCTION("""COMPUTED_VALUE"""),"ClosingStatus")</f>
        <v>ClosingStatus</v>
      </c>
      <c r="V5" s="31" t="str">
        <f>IFERROR(__xludf.DUMMYFUNCTION("""COMPUTED_VALUE"""),"Commission")</f>
        <v>Commission</v>
      </c>
      <c r="W5" s="31" t="str">
        <f>IFERROR(__xludf.DUMMYFUNCTION("""COMPUTED_VALUE"""),"CommissionAmt")</f>
        <v>CommissionAmt</v>
      </c>
      <c r="X5" s="31" t="str">
        <f>IFERROR(__xludf.DUMMYFUNCTION("""COMPUTED_VALUE"""),"CommissionRate")</f>
        <v>CommissionRate</v>
      </c>
      <c r="Y5" s="31" t="str">
        <f>IFERROR(__xludf.DUMMYFUNCTION("""COMPUTED_VALUE"""),"CompanyUserName")</f>
        <v>CompanyUserName</v>
      </c>
      <c r="Z5" s="31" t="str">
        <f>IFERROR(__xludf.DUMMYFUNCTION("""COMPUTED_VALUE"""),"ContractMultiplier")</f>
        <v>ContractMultiplier</v>
      </c>
      <c r="AA5" s="31" t="str">
        <f>IFERROR(__xludf.DUMMYFUNCTION("""COMPUTED_VALUE"""),"CountryName")</f>
        <v>CountryName</v>
      </c>
      <c r="AB5" s="31" t="str">
        <f>IFERROR(__xludf.DUMMYFUNCTION("""COMPUTED_VALUE"""),"CountryOfRisk")</f>
        <v>CountryOfRisk</v>
      </c>
      <c r="AC5" s="31" t="str">
        <f>IFERROR(__xludf.DUMMYFUNCTION("""COMPUTED_VALUE"""),"CumQty")</f>
        <v>CumQty</v>
      </c>
      <c r="AD5" s="31" t="str">
        <f>IFERROR(__xludf.DUMMYFUNCTION("""COMPUTED_VALUE"""),"CurrencyID")</f>
        <v>CurrencyID</v>
      </c>
      <c r="AE5" s="31" t="str">
        <f>IFERROR(__xludf.DUMMYFUNCTION("""COMPUTED_VALUE"""),"CurrencyName")</f>
        <v>CurrencyName</v>
      </c>
      <c r="AF5" s="31" t="str">
        <f>IFERROR(__xludf.DUMMYFUNCTION("""COMPUTED_VALUE"""),"CusipSymbol")</f>
        <v>CusipSymbol</v>
      </c>
      <c r="AG5" s="31" t="str">
        <f>IFERROR(__xludf.DUMMYFUNCTION("""COMPUTED_VALUE"""),"CustomUDA1")</f>
        <v>CustomUDA1</v>
      </c>
      <c r="AH5" s="31" t="str">
        <f>IFERROR(__xludf.DUMMYFUNCTION("""COMPUTED_VALUE"""),"CustomUDA2")</f>
        <v>CustomUDA2</v>
      </c>
      <c r="AI5" s="31" t="str">
        <f>IFERROR(__xludf.DUMMYFUNCTION("""COMPUTED_VALUE"""),"CustomUDA3")</f>
        <v>CustomUDA3</v>
      </c>
      <c r="AJ5" s="31" t="str">
        <f>IFERROR(__xludf.DUMMYFUNCTION("""COMPUTED_VALUE"""),"CustomUDA4")</f>
        <v>CustomUDA4</v>
      </c>
      <c r="AK5" s="31" t="str">
        <f>IFERROR(__xludf.DUMMYFUNCTION("""COMPUTED_VALUE"""),"CustomUDA5")</f>
        <v>CustomUDA5</v>
      </c>
      <c r="AL5" s="31" t="str">
        <f>IFERROR(__xludf.DUMMYFUNCTION("""COMPUTED_VALUE"""),"CustomUDA6")</f>
        <v>CustomUDA6</v>
      </c>
      <c r="AM5" s="31" t="str">
        <f>IFERROR(__xludf.DUMMYFUNCTION("""COMPUTED_VALUE"""),"CustomUDA7")</f>
        <v>CustomUDA7</v>
      </c>
      <c r="AN5" s="31" t="str">
        <f>IFERROR(__xludf.DUMMYFUNCTION("""COMPUTED_VALUE"""),"Delta")</f>
        <v>Delta</v>
      </c>
      <c r="AO5" s="31" t="str">
        <f>IFERROR(__xludf.DUMMYFUNCTION("""COMPUTED_VALUE"""),"Description")</f>
        <v>Description</v>
      </c>
      <c r="AP5" s="31" t="str">
        <f>IFERROR(__xludf.DUMMYFUNCTION("""COMPUTED_VALUE"""),"ExchangeName")</f>
        <v>ExchangeName</v>
      </c>
      <c r="AQ5" s="31" t="str">
        <f>IFERROR(__xludf.DUMMYFUNCTION("""COMPUTED_VALUE"""),"ExecutedQty")</f>
        <v>ExecutedQty</v>
      </c>
      <c r="AR5" s="31" t="str">
        <f>IFERROR(__xludf.DUMMYFUNCTION("""COMPUTED_VALUE"""),"ExpirationDate")</f>
        <v>ExpirationDate</v>
      </c>
      <c r="AS5" s="31" t="str">
        <f>IFERROR(__xludf.DUMMYFUNCTION("""COMPUTED_VALUE"""),"ExternalTransID")</f>
        <v>ExternalTransID</v>
      </c>
      <c r="AT5" s="31" t="str">
        <f>IFERROR(__xludf.DUMMYFUNCTION("""COMPUTED_VALUE"""),"FXConversionMethodOperator")</f>
        <v>FXConversionMethodOperator</v>
      </c>
      <c r="AU5" s="31" t="str">
        <f>IFERROR(__xludf.DUMMYFUNCTION("""COMPUTED_VALUE"""),"FXRate")</f>
        <v>FXRate</v>
      </c>
      <c r="AV5" s="31" t="str">
        <f>IFERROR(__xludf.DUMMYFUNCTION("""COMPUTED_VALUE"""),"GroupID")</f>
        <v>GroupID</v>
      </c>
      <c r="AW5" s="31" t="str">
        <f>IFERROR(__xludf.DUMMYFUNCTION("""COMPUTED_VALUE"""),"IDCOSymbol")</f>
        <v>IDCOSymbol</v>
      </c>
      <c r="AX5" s="31" t="str">
        <f>IFERROR(__xludf.DUMMYFUNCTION("""COMPUTED_VALUE"""),"InternalComments")</f>
        <v>InternalComments</v>
      </c>
      <c r="AY5" s="31" t="str">
        <f>IFERROR(__xludf.DUMMYFUNCTION("""COMPUTED_VALUE"""),"IsExerciseAtZero")</f>
        <v>IsExerciseAtZero</v>
      </c>
      <c r="AZ5" s="31" t="str">
        <f>IFERROR(__xludf.DUMMYFUNCTION("""COMPUTED_VALUE"""),"ISINSymbol")</f>
        <v>ISINSymbol</v>
      </c>
      <c r="BA5" s="31" t="str">
        <f>IFERROR(__xludf.DUMMYFUNCTION("""COMPUTED_VALUE"""),"IsNDF")</f>
        <v>IsNDF</v>
      </c>
      <c r="BB5" s="31" t="str">
        <f>IFERROR(__xludf.DUMMYFUNCTION("""COMPUTED_VALUE"""),"IsPosition")</f>
        <v>IsPosition</v>
      </c>
      <c r="BC5" s="31" t="str">
        <f>IFERROR(__xludf.DUMMYFUNCTION("""COMPUTED_VALUE"""),"IsPreAllocated")</f>
        <v>IsPreAllocated</v>
      </c>
      <c r="BD5" s="31" t="str">
        <f>IFERROR(__xludf.DUMMYFUNCTION("""COMPUTED_VALUE"""),"Issuer")</f>
        <v>Issuer</v>
      </c>
      <c r="BE5" s="31" t="str">
        <f>IFERROR(__xludf.DUMMYFUNCTION("""COMPUTED_VALUE"""),"IsSwapped")</f>
        <v>IsSwapped</v>
      </c>
      <c r="BF5" s="31" t="str">
        <f>IFERROR(__xludf.DUMMYFUNCTION("""COMPUTED_VALUE"""),"LeadCurrencyID")</f>
        <v>LeadCurrencyID</v>
      </c>
      <c r="BG5" s="31" t="str">
        <f>IFERROR(__xludf.DUMMYFUNCTION("""COMPUTED_VALUE"""),"LiquidTag")</f>
        <v>LiquidTag</v>
      </c>
      <c r="BH5" s="31" t="str">
        <f>IFERROR(__xludf.DUMMYFUNCTION("""COMPUTED_VALUE"""),"LongOrShort")</f>
        <v>LongOrShort</v>
      </c>
      <c r="BI5" s="31" t="str">
        <f>IFERROR(__xludf.DUMMYFUNCTION("""COMPUTED_VALUE"""),"LotId")</f>
        <v>LotId</v>
      </c>
      <c r="BJ5" s="31" t="str">
        <f>IFERROR(__xludf.DUMMYFUNCTION("""COMPUTED_VALUE"""),"M2MProfitLoss")</f>
        <v>M2MProfitLoss</v>
      </c>
      <c r="BK5" s="31" t="str">
        <f>IFERROR(__xludf.DUMMYFUNCTION("""COMPUTED_VALUE"""),"MarkPrice")</f>
        <v>MarkPrice</v>
      </c>
      <c r="BL5" s="31" t="str">
        <f>IFERROR(__xludf.DUMMYFUNCTION("""COMPUTED_VALUE"""),"MasterFund")</f>
        <v>MasterFund</v>
      </c>
      <c r="BM5" s="31" t="str">
        <f>IFERROR(__xludf.DUMMYFUNCTION("""COMPUTED_VALUE"""),"MiscFees")</f>
        <v>MiscFees</v>
      </c>
      <c r="BN5" s="31" t="str">
        <f>IFERROR(__xludf.DUMMYFUNCTION("""COMPUTED_VALUE"""),"NavLockStatus")</f>
        <v>NavLockStatus</v>
      </c>
      <c r="BO5" s="31" t="str">
        <f>IFERROR(__xludf.DUMMYFUNCTION("""COMPUTED_VALUE"""),"Net Notional")</f>
        <v>Net Notional</v>
      </c>
      <c r="BP5" s="31" t="str">
        <f>IFERROR(__xludf.DUMMYFUNCTION("""COMPUTED_VALUE"""),"NirvanaProcessDate")</f>
        <v>NirvanaProcessDate</v>
      </c>
      <c r="BQ5" s="31" t="str">
        <f>IFERROR(__xludf.DUMMYFUNCTION("""COMPUTED_VALUE"""),"OccFee")</f>
        <v>OccFee</v>
      </c>
      <c r="BR5" s="31" t="str">
        <f>IFERROR(__xludf.DUMMYFUNCTION("""COMPUTED_VALUE"""),"OptionPremiumAdjustment")</f>
        <v>OptionPremiumAdjustment</v>
      </c>
      <c r="BS5" s="31" t="str">
        <f>IFERROR(__xludf.DUMMYFUNCTION("""COMPUTED_VALUE"""),"OrderSideTagValue")</f>
        <v>OrderSideTagValue</v>
      </c>
      <c r="BT5" s="31" t="str">
        <f>IFERROR(__xludf.DUMMYFUNCTION("""COMPUTED_VALUE"""),"OrderType")</f>
        <v>OrderType</v>
      </c>
      <c r="BU5" s="31" t="str">
        <f>IFERROR(__xludf.DUMMYFUNCTION("""COMPUTED_VALUE"""),"OrfFee")</f>
        <v>OrfFee</v>
      </c>
      <c r="BV5" s="31" t="str">
        <f>IFERROR(__xludf.DUMMYFUNCTION("""COMPUTED_VALUE"""),"Original Side")</f>
        <v>Original Side</v>
      </c>
      <c r="BW5" s="31" t="str">
        <f>IFERROR(__xludf.DUMMYFUNCTION("""COMPUTED_VALUE"""),"OriginalPurchase Date")</f>
        <v>OriginalPurchase Date</v>
      </c>
      <c r="BX5" s="31" t="str">
        <f>IFERROR(__xludf.DUMMYFUNCTION("""COMPUTED_VALUE"""),"OSISymbol")</f>
        <v>OSISymbol</v>
      </c>
      <c r="BY5" s="31" t="str">
        <f>IFERROR(__xludf.DUMMYFUNCTION("""COMPUTED_VALUE"""),"OtherBrokerFees")</f>
        <v>OtherBrokerFees</v>
      </c>
      <c r="BZ5" s="31" t="str">
        <f>IFERROR(__xludf.DUMMYFUNCTION("""COMPUTED_VALUE"""),"ParentRowPK")</f>
        <v>ParentRowPK</v>
      </c>
      <c r="CA5" s="31" t="str">
        <f>IFERROR(__xludf.DUMMYFUNCTION("""COMPUTED_VALUE"""),"Percentage")</f>
        <v>Percentage</v>
      </c>
      <c r="CB5" s="31" t="str">
        <f>IFERROR(__xludf.DUMMYFUNCTION("""COMPUTED_VALUE"""),"PositionTag")</f>
        <v>PositionTag</v>
      </c>
      <c r="CC5" s="31" t="str">
        <f>IFERROR(__xludf.DUMMYFUNCTION("""COMPUTED_VALUE"""),"PositionType")</f>
        <v>PositionType</v>
      </c>
      <c r="CD5" s="31" t="str">
        <f>IFERROR(__xludf.DUMMYFUNCTION("""COMPUTED_VALUE"""),"Process Date")</f>
        <v>Process Date</v>
      </c>
      <c r="CE5" s="31" t="str">
        <f>IFERROR(__xludf.DUMMYFUNCTION("""COMPUTED_VALUE"""),"ProxySymbol")</f>
        <v>ProxySymbol</v>
      </c>
      <c r="CF5" s="31" t="str">
        <f>IFERROR(__xludf.DUMMYFUNCTION("""COMPUTED_VALUE"""),"PutOrCall")</f>
        <v>PutOrCall</v>
      </c>
      <c r="CG5" s="31" t="str">
        <f>IFERROR(__xludf.DUMMYFUNCTION("""COMPUTED_VALUE"""),"Quantity")</f>
        <v>Quantity</v>
      </c>
      <c r="CH5" s="31" t="str">
        <f>IFERROR(__xludf.DUMMYFUNCTION("""COMPUTED_VALUE"""),"Region")</f>
        <v>Region</v>
      </c>
      <c r="CI5" s="31" t="str">
        <f>IFERROR(__xludf.DUMMYFUNCTION("""COMPUTED_VALUE"""),"ReutersSymbol")</f>
        <v>ReutersSymbol</v>
      </c>
      <c r="CJ5" s="31" t="str">
        <f>IFERROR(__xludf.DUMMYFUNCTION("""COMPUTED_VALUE"""),"RiskCurrency")</f>
        <v>RiskCurrency</v>
      </c>
      <c r="CK5" s="31" t="str">
        <f>IFERROR(__xludf.DUMMYFUNCTION("""COMPUTED_VALUE"""),"SecFee")</f>
        <v>SecFee</v>
      </c>
      <c r="CL5" s="31" t="str">
        <f>IFERROR(__xludf.DUMMYFUNCTION("""COMPUTED_VALUE"""),"SectorName")</f>
        <v>SectorName</v>
      </c>
      <c r="CM5" s="31" t="str">
        <f>IFERROR(__xludf.DUMMYFUNCTION("""COMPUTED_VALUE"""),"Security Name")</f>
        <v>Security Name</v>
      </c>
      <c r="CN5" s="31" t="str">
        <f>IFERROR(__xludf.DUMMYFUNCTION("""COMPUTED_VALUE"""),"SecurityTypeName")</f>
        <v>SecurityTypeName</v>
      </c>
      <c r="CO5" s="31" t="str">
        <f>IFERROR(__xludf.DUMMYFUNCTION("""COMPUTED_VALUE"""),"SedolSymbol")</f>
        <v>SedolSymbol</v>
      </c>
      <c r="CP5" s="31" t="str">
        <f>IFERROR(__xludf.DUMMYFUNCTION("""COMPUTED_VALUE"""),"SettlCurrAmt")</f>
        <v>SettlCurrAmt</v>
      </c>
      <c r="CQ5" s="31" t="str">
        <f>IFERROR(__xludf.DUMMYFUNCTION("""COMPUTED_VALUE"""),"SettlCurrFxRate")</f>
        <v>SettlCurrFxRate</v>
      </c>
      <c r="CR5" s="31" t="str">
        <f>IFERROR(__xludf.DUMMYFUNCTION("""COMPUTED_VALUE"""),"SettlCurrFxRateCalc")</f>
        <v>SettlCurrFxRateCalc</v>
      </c>
      <c r="CS5" s="31" t="str">
        <f>IFERROR(__xludf.DUMMYFUNCTION("""COMPUTED_VALUE"""),"SettlCurrUnitCost")</f>
        <v>SettlCurrUnitCost</v>
      </c>
      <c r="CT5" s="31" t="str">
        <f>IFERROR(__xludf.DUMMYFUNCTION("""COMPUTED_VALUE"""),"Settlement Mode")</f>
        <v>Settlement Mode</v>
      </c>
      <c r="CU5" s="31" t="str">
        <f>IFERROR(__xludf.DUMMYFUNCTION("""COMPUTED_VALUE"""),"Settlement Qty")</f>
        <v>Settlement Qty</v>
      </c>
      <c r="CV5" s="31" t="str">
        <f>IFERROR(__xludf.DUMMYFUNCTION("""COMPUTED_VALUE"""),"SettlementCurrencyID")</f>
        <v>SettlementCurrencyID</v>
      </c>
      <c r="CW5" s="31" t="str">
        <f>IFERROR(__xludf.DUMMYFUNCTION("""COMPUTED_VALUE"""),"SettlementDate")</f>
        <v>SettlementDate</v>
      </c>
      <c r="CX5" s="31" t="str">
        <f>IFERROR(__xludf.DUMMYFUNCTION("""COMPUTED_VALUE"""),"SideMultiplier")</f>
        <v>SideMultiplier</v>
      </c>
      <c r="CY5" s="31" t="str">
        <f>IFERROR(__xludf.DUMMYFUNCTION("""COMPUTED_VALUE"""),"SoftCommission")</f>
        <v>SoftCommission</v>
      </c>
      <c r="CZ5" s="31" t="str">
        <f>IFERROR(__xludf.DUMMYFUNCTION("""COMPUTED_VALUE"""),"SoftCommissionAmt")</f>
        <v>SoftCommissionAmt</v>
      </c>
      <c r="DA5" s="31" t="str">
        <f>IFERROR(__xludf.DUMMYFUNCTION("""COMPUTED_VALUE"""),"SoftCommissionCalcBasis")</f>
        <v>SoftCommissionCalcBasis</v>
      </c>
      <c r="DB5" s="31" t="str">
        <f>IFERROR(__xludf.DUMMYFUNCTION("""COMPUTED_VALUE"""),"SoftCommissionRate")</f>
        <v>SoftCommissionRate</v>
      </c>
      <c r="DC5" s="31" t="str">
        <f>IFERROR(__xludf.DUMMYFUNCTION("""COMPUTED_VALUE"""),"StampDuty")</f>
        <v>StampDuty</v>
      </c>
      <c r="DD5" s="31" t="str">
        <f>IFERROR(__xludf.DUMMYFUNCTION("""COMPUTED_VALUE"""),"Strategy")</f>
        <v>Strategy</v>
      </c>
      <c r="DE5" s="31" t="str">
        <f>IFERROR(__xludf.DUMMYFUNCTION("""COMPUTED_VALUE"""),"Strike Price")</f>
        <v>Strike Price</v>
      </c>
      <c r="DF5" s="31" t="str">
        <f>IFERROR(__xludf.DUMMYFUNCTION("""COMPUTED_VALUE"""),"SubSectorName")</f>
        <v>SubSectorName</v>
      </c>
      <c r="DG5" s="31" t="str">
        <f>IFERROR(__xludf.DUMMYFUNCTION("""COMPUTED_VALUE"""),"SwapParameters")</f>
        <v>SwapParameters</v>
      </c>
      <c r="DH5" s="31" t="str">
        <f>IFERROR(__xludf.DUMMYFUNCTION("""COMPUTED_VALUE"""),"Symbol")</f>
        <v>Symbol</v>
      </c>
      <c r="DI5" s="31" t="str">
        <f>IFERROR(__xludf.DUMMYFUNCTION("""COMPUTED_VALUE"""),"TaxlotClosingId")</f>
        <v>TaxlotClosingId</v>
      </c>
      <c r="DJ5" s="31" t="str">
        <f>IFERROR(__xludf.DUMMYFUNCTION("""COMPUTED_VALUE"""),"TaxLotID")</f>
        <v>TaxLotID</v>
      </c>
      <c r="DK5" s="31" t="str">
        <f>IFERROR(__xludf.DUMMYFUNCTION("""COMPUTED_VALUE"""),"TaxlotPk")</f>
        <v>TaxlotPk</v>
      </c>
      <c r="DL5" s="31" t="str">
        <f>IFERROR(__xludf.DUMMYFUNCTION("""COMPUTED_VALUE"""),"TaxLotQtyToClose")</f>
        <v>TaxLotQtyToClose</v>
      </c>
      <c r="DM5" s="31" t="str">
        <f>IFERROR(__xludf.DUMMYFUNCTION("""COMPUTED_VALUE"""),"TaxonCommissions")</f>
        <v>TaxonCommissions</v>
      </c>
      <c r="DN5" s="31" t="str">
        <f>IFERROR(__xludf.DUMMYFUNCTION("""COMPUTED_VALUE"""),"TimeOfSaveUTC")</f>
        <v>TimeOfSaveUTC</v>
      </c>
      <c r="DO5" s="31" t="str">
        <f>IFERROR(__xludf.DUMMYFUNCTION("""COMPUTED_VALUE"""),"TotalCommission&amp;Fees")</f>
        <v>TotalCommission&amp;Fees</v>
      </c>
      <c r="DP5" s="31" t="str">
        <f>IFERROR(__xludf.DUMMYFUNCTION("""COMPUTED_VALUE"""),"TotalCommissionandFees")</f>
        <v>TotalCommissionandFees</v>
      </c>
      <c r="DQ5" s="31" t="str">
        <f>IFERROR(__xludf.DUMMYFUNCTION("""COMPUTED_VALUE"""),"Tradedate")</f>
        <v>Tradedate</v>
      </c>
      <c r="DR5" s="31" t="str">
        <f>IFERROR(__xludf.DUMMYFUNCTION("""COMPUTED_VALUE"""),"TradeAttribute1")</f>
        <v>TradeAttribute1</v>
      </c>
      <c r="DS5" s="31" t="str">
        <f>IFERROR(__xludf.DUMMYFUNCTION("""COMPUTED_VALUE"""),"TradeAttribute2")</f>
        <v>TradeAttribute2</v>
      </c>
      <c r="DT5" s="31" t="str">
        <f>IFERROR(__xludf.DUMMYFUNCTION("""COMPUTED_VALUE"""),"TradeAttribute3")</f>
        <v>TradeAttribute3</v>
      </c>
      <c r="DU5" s="31" t="str">
        <f>IFERROR(__xludf.DUMMYFUNCTION("""COMPUTED_VALUE"""),"TradeAttribute4")</f>
        <v>TradeAttribute4</v>
      </c>
      <c r="DV5" s="31" t="str">
        <f>IFERROR(__xludf.DUMMYFUNCTION("""COMPUTED_VALUE"""),"TradeAttribute5")</f>
        <v>TradeAttribute5</v>
      </c>
      <c r="DW5" s="31" t="str">
        <f>IFERROR(__xludf.DUMMYFUNCTION("""COMPUTED_VALUE"""),"TradeAttribute6")</f>
        <v>TradeAttribute6</v>
      </c>
      <c r="DX5" s="31" t="str">
        <f>IFERROR(__xludf.DUMMYFUNCTION("""COMPUTED_VALUE"""),"TradingAccountName")</f>
        <v>TradingAccountName</v>
      </c>
      <c r="DY5" s="31" t="str">
        <f>IFERROR(__xludf.DUMMYFUNCTION("""COMPUTED_VALUE"""),"TransactionLevy")</f>
        <v>TransactionLevy</v>
      </c>
      <c r="DZ5" s="31" t="str">
        <f>IFERROR(__xludf.DUMMYFUNCTION("""COMPUTED_VALUE"""),"TransactionType")</f>
        <v>TransactionType</v>
      </c>
      <c r="EA5" s="31" t="str">
        <f>IFERROR(__xludf.DUMMYFUNCTION("""COMPUTED_VALUE"""),"UcitsEligibleTag")</f>
        <v>UcitsEligibleTag</v>
      </c>
      <c r="EB5" s="31" t="str">
        <f>IFERROR(__xludf.DUMMYFUNCTION("""COMPUTED_VALUE"""),"UDAAsset")</f>
        <v>UDAAsset</v>
      </c>
      <c r="EC5" s="31" t="str">
        <f>IFERROR(__xludf.DUMMYFUNCTION("""COMPUTED_VALUE"""),"UnderlyingDelta")</f>
        <v>UnderlyingDelta</v>
      </c>
      <c r="ED5" s="31" t="str">
        <f>IFERROR(__xludf.DUMMYFUNCTION("""COMPUTED_VALUE"""),"UnderlyingName")</f>
        <v>UnderlyingName</v>
      </c>
      <c r="EE5" s="31" t="str">
        <f>IFERROR(__xludf.DUMMYFUNCTION("""COMPUTED_VALUE"""),"UnderlyingSymbol")</f>
        <v>UnderlyingSymbol</v>
      </c>
      <c r="EF5" s="31" t="str">
        <f>IFERROR(__xludf.DUMMYFUNCTION("""COMPUTED_VALUE"""),"UnitCost")</f>
        <v>UnitCost</v>
      </c>
      <c r="EG5" s="31" t="str">
        <f>IFERROR(__xludf.DUMMYFUNCTION("""COMPUTED_VALUE"""),"UnRealizedPNL")</f>
        <v>UnRealizedPNL</v>
      </c>
      <c r="EH5" s="31" t="str">
        <f>IFERROR(__xludf.DUMMYFUNCTION("""COMPUTED_VALUE"""),"Venue")</f>
        <v>Venue</v>
      </c>
      <c r="EI5" s="31" t="str">
        <f>IFERROR(__xludf.DUMMYFUNCTION("""COMPUTED_VALUE"""),"VsCurrencyID")</f>
        <v>VsCurrencyID</v>
      </c>
      <c r="EJ5" s="31" t="str">
        <f>IFERROR(__xludf.DUMMYFUNCTION("""COMPUTED_VALUE"""),"WorkflowState")</f>
        <v>WorkflowState</v>
      </c>
      <c r="EK5" s="31" t="str">
        <f>IFERROR(__xludf.DUMMYFUNCTION("""COMPUTED_VALUE"""),"AvgPriceBase")</f>
        <v>AvgPriceBase</v>
      </c>
      <c r="EL5" s="31" t="str">
        <f>IFERROR(__xludf.DUMMYFUNCTION("""COMPUTED_VALUE"""),"MarketCap")</f>
        <v>MarketCap</v>
      </c>
      <c r="EM5" s="31" t="str">
        <f>IFERROR(__xludf.DUMMYFUNCTION("""COMPUTED_VALUE"""),"UnitCostBase")</f>
        <v>UnitCostBase</v>
      </c>
      <c r="EN5" s="31" t="str">
        <f>IFERROR(__xludf.DUMMYFUNCTION("""COMPUTED_VALUE"""),"ITM/OTM")</f>
        <v>ITM/OTM</v>
      </c>
      <c r="EO5" s="31" t="str">
        <f>IFERROR(__xludf.DUMMYFUNCTION("""COMPUTED_VALUE"""),"Days to Expiry")</f>
        <v>Days to Expiry</v>
      </c>
      <c r="EP5" s="31" t="str">
        <f>IFERROR(__xludf.DUMMYFUNCTION("""COMPUTED_VALUE"""),"% of Underlying Price")</f>
        <v>% of Underlying Price</v>
      </c>
      <c r="EQ5" s="31" t="str">
        <f>IFERROR(__xludf.DUMMYFUNCTION("""COMPUTED_VALUE"""),"Intrinsic value")</f>
        <v>Intrinsic value</v>
      </c>
      <c r="ER5" s="31" t="str">
        <f>IFERROR(__xludf.DUMMYFUNCTION("""COMPUTED_VALUE"""),"Gain/Loss if Ex./Assign")</f>
        <v>Gain/Loss if Ex./Assign</v>
      </c>
      <c r="ES5" s="31"/>
      <c r="ET5" s="31"/>
      <c r="EU5" s="31"/>
      <c r="EV5" s="31"/>
      <c r="EW5" s="31"/>
      <c r="EX5" s="31"/>
    </row>
    <row r="6" ht="15.75" customHeight="1">
      <c r="A6" s="32"/>
      <c r="B6" s="42" t="s">
        <v>26</v>
      </c>
      <c r="C6" s="35"/>
      <c r="D6" s="32"/>
      <c r="E6" s="36" t="s">
        <v>35</v>
      </c>
      <c r="F6" s="35"/>
      <c r="G6" s="35"/>
      <c r="H6" s="35"/>
      <c r="I6" s="39">
        <v>1.0</v>
      </c>
      <c r="J6" s="35"/>
      <c r="K6" s="35" t="s">
        <v>36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4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0" t="s">
        <v>27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4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26</v>
      </c>
      <c r="C7" s="35"/>
      <c r="D7" s="35"/>
      <c r="E7" s="36" t="s">
        <v>35</v>
      </c>
      <c r="F7" s="35"/>
      <c r="G7" s="35"/>
      <c r="H7" s="35"/>
      <c r="I7" s="39">
        <v>1.0</v>
      </c>
      <c r="J7" s="35"/>
      <c r="K7" s="35" t="s">
        <v>36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44">
        <v>10.0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1" t="s">
        <v>27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44">
        <v>10.0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5" t="s">
        <v>17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26</v>
      </c>
      <c r="C8" s="35"/>
      <c r="D8" s="35"/>
      <c r="E8" s="36" t="s">
        <v>35</v>
      </c>
      <c r="F8" s="35"/>
      <c r="G8" s="35"/>
      <c r="H8" s="35"/>
      <c r="I8" s="39">
        <v>1.0</v>
      </c>
      <c r="J8" s="35"/>
      <c r="K8" s="35" t="s">
        <v>36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44">
        <v>10.0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1" t="s">
        <v>27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44">
        <v>10.0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45" t="s">
        <v>18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30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1" t="str">
        <f>IFERROR(__xludf.DUMMYFUNCTION("""COMPUTED_VALUE"""),"ExchangeID")</f>
        <v>ExchangeID</v>
      </c>
      <c r="U5" s="31" t="str">
        <f>IFERROR(__xludf.DUMMYFUNCTION("""COMPUTED_VALUE"""),"Expiration Date")</f>
        <v>Expiration Date</v>
      </c>
      <c r="V5" s="31" t="str">
        <f>IFERROR(__xludf.DUMMYFUNCTION("""COMPUTED_VALUE"""),"ExpiredQty")</f>
        <v>ExpiredQty</v>
      </c>
      <c r="W5" s="31" t="str">
        <f>IFERROR(__xludf.DUMMYFUNCTION("""COMPUTED_VALUE"""),"ExpiredTaxlotID")</f>
        <v>ExpiredTaxlotID</v>
      </c>
      <c r="X5" s="31" t="str">
        <f>IFERROR(__xludf.DUMMYFUNCTION("""COMPUTED_VALUE"""),"FXRate")</f>
        <v>FXRate</v>
      </c>
      <c r="Y5" s="31" t="str">
        <f>IFERROR(__xludf.DUMMYFUNCTION("""COMPUTED_VALUE"""),"FXRateoperator")</f>
        <v>FXRateoperator</v>
      </c>
      <c r="Z5" s="31" t="str">
        <f>IFERROR(__xludf.DUMMYFUNCTION("""COMPUTED_VALUE"""),"ID")</f>
        <v>ID</v>
      </c>
      <c r="AA5" s="31" t="str">
        <f>IFERROR(__xludf.DUMMYFUNCTION("""COMPUTED_VALUE"""),"If Pay/Recevie Changes")</f>
        <v>If Pay/Recevie Changes</v>
      </c>
      <c r="AB5" s="31" t="str">
        <f>IFERROR(__xludf.DUMMYFUNCTION("""COMPUTED_VALUE"""),"IntPositionType")</f>
        <v>IntPositionType</v>
      </c>
      <c r="AC5" s="31" t="str">
        <f>IFERROR(__xludf.DUMMYFUNCTION("""COMPUTED_VALUE"""),"LeadCurrencyID")</f>
        <v>LeadCurrencyID</v>
      </c>
      <c r="AD5" s="31" t="str">
        <f>IFERROR(__xludf.DUMMYFUNCTION("""COMPUTED_VALUE"""),"Leveraged Factor")</f>
        <v>Leveraged Factor</v>
      </c>
      <c r="AE5" s="31" t="str">
        <f>IFERROR(__xludf.DUMMYFUNCTION("""COMPUTED_VALUE"""),"MarkPriceForMonth")</f>
        <v>MarkPriceForMonth</v>
      </c>
      <c r="AF5" s="31" t="str">
        <f>IFERROR(__xludf.DUMMYFUNCTION("""COMPUTED_VALUE"""),"MonthToDateRealizedProfit")</f>
        <v>MonthToDateRealizedProfit</v>
      </c>
      <c r="AG5" s="31" t="str">
        <f>IFERROR(__xludf.DUMMYFUNCTION("""COMPUTED_VALUE"""),"Multiplier")</f>
        <v>Multiplier</v>
      </c>
      <c r="AH5" s="31" t="str">
        <f>IFERROR(__xludf.DUMMYFUNCTION("""COMPUTED_VALUE"""),"NotionalValue")</f>
        <v>NotionalValue</v>
      </c>
      <c r="AI5" s="31" t="str">
        <f>IFERROR(__xludf.DUMMYFUNCTION("""COMPUTED_VALUE"""),"OCC Fee")</f>
        <v>OCC Fee</v>
      </c>
      <c r="AJ5" s="31" t="str">
        <f>IFERROR(__xludf.DUMMYFUNCTION("""COMPUTED_VALUE"""),"OpenQty")</f>
        <v>OpenQty</v>
      </c>
      <c r="AK5" s="31" t="str">
        <f>IFERROR(__xludf.DUMMYFUNCTION("""COMPUTED_VALUE"""),"Option Activated")</f>
        <v>Option Activated</v>
      </c>
      <c r="AL5" s="31" t="str">
        <f>IFERROR(__xludf.DUMMYFUNCTION("""COMPUTED_VALUE"""),"Option Type")</f>
        <v>Option Type</v>
      </c>
      <c r="AM5" s="31" t="str">
        <f>IFERROR(__xludf.DUMMYFUNCTION("""COMPUTED_VALUE"""),"OptionPremiumAdjustment")</f>
        <v>OptionPremiumAdjustment</v>
      </c>
      <c r="AN5" s="31" t="str">
        <f>IFERROR(__xludf.DUMMYFUNCTION("""COMPUTED_VALUE"""),"ORF Fee")</f>
        <v>ORF Fee</v>
      </c>
      <c r="AO5" s="31" t="str">
        <f>IFERROR(__xludf.DUMMYFUNCTION("""COMPUTED_VALUE"""),"Original Side")</f>
        <v>Original Side</v>
      </c>
      <c r="AP5" s="31" t="str">
        <f>IFERROR(__xludf.DUMMYFUNCTION("""COMPUTED_VALUE"""),"OriginalPurchaseDate")</f>
        <v>OriginalPurchaseDate</v>
      </c>
      <c r="AQ5" s="31" t="str">
        <f>IFERROR(__xludf.DUMMYFUNCTION("""COMPUTED_VALUE"""),"Other Broker Fees")</f>
        <v>Other Broker Fees</v>
      </c>
      <c r="AR5" s="31" t="str">
        <f>IFERROR(__xludf.DUMMYFUNCTION("""COMPUTED_VALUE"""),"ParentTradeDate")</f>
        <v>ParentTradeDate</v>
      </c>
      <c r="AS5" s="31" t="str">
        <f>IFERROR(__xludf.DUMMYFUNCTION("""COMPUTED_VALUE"""),"Pay/Recive")</f>
        <v>Pay/Recive</v>
      </c>
      <c r="AT5" s="31" t="str">
        <f>IFERROR(__xludf.DUMMYFUNCTION("""COMPUTED_VALUE"""),"PositionType")</f>
        <v>PositionType</v>
      </c>
      <c r="AU5" s="31" t="str">
        <f>IFERROR(__xludf.DUMMYFUNCTION("""COMPUTED_VALUE"""),"ProcessDate")</f>
        <v>ProcessDate</v>
      </c>
      <c r="AV5" s="31" t="str">
        <f>IFERROR(__xludf.DUMMYFUNCTION("""COMPUTED_VALUE"""),"QtyCurrency")</f>
        <v>QtyCurrency</v>
      </c>
      <c r="AW5" s="31" t="str">
        <f>IFERROR(__xludf.DUMMYFUNCTION("""COMPUTED_VALUE"""),"Quantity")</f>
        <v>Quantity</v>
      </c>
      <c r="AX5" s="31" t="str">
        <f>IFERROR(__xludf.DUMMYFUNCTION("""COMPUTED_VALUE"""),"RecordType")</f>
        <v>RecordType</v>
      </c>
      <c r="AY5" s="31" t="str">
        <f>IFERROR(__xludf.DUMMYFUNCTION("""COMPUTED_VALUE"""),"SEC Fee")</f>
        <v>SEC Fee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IFERROR(__xludf.DUMMYFUNCTION("""COMPUTED_VALUE"""),"Settlement Date")</f>
        <v>Settlement Date</v>
      </c>
      <c r="BB5" s="31" t="str">
        <f>IFERROR(__xludf.DUMMYFUNCTION("""COMPUTED_VALUE"""),"Settlement FxRate")</f>
        <v>Settlement FxRate</v>
      </c>
      <c r="BC5" s="31" t="str">
        <f>IFERROR(__xludf.DUMMYFUNCTION("""COMPUTED_VALUE"""),"Settlement FxRate Operator")</f>
        <v>Settlement FxRate Operator</v>
      </c>
      <c r="BD5" s="31" t="str">
        <f>IFERROR(__xludf.DUMMYFUNCTION("""COMPUTED_VALUE"""),"Settlement Price")</f>
        <v>Settlement Price</v>
      </c>
      <c r="BE5" s="31" t="str">
        <f>IFERROR(__xludf.DUMMYFUNCTION("""COMPUTED_VALUE"""),"Side")</f>
        <v>Side</v>
      </c>
      <c r="BF5" s="31" t="str">
        <f>IFERROR(__xludf.DUMMYFUNCTION("""COMPUTED_VALUE"""),"Soft Commission")</f>
        <v>Soft Commission</v>
      </c>
      <c r="BG5" s="31" t="str">
        <f>IFERROR(__xludf.DUMMYFUNCTION("""COMPUTED_VALUE"""),"Stamp Duty")</f>
        <v>Stamp Duty</v>
      </c>
      <c r="BH5" s="31" t="str">
        <f>IFERROR(__xludf.DUMMYFUNCTION("""COMPUTED_VALUE"""),"StartTaxlotID")</f>
        <v>StartTaxlotID</v>
      </c>
      <c r="BI5" s="31" t="str">
        <f>IFERROR(__xludf.DUMMYFUNCTION("""COMPUTED_VALUE"""),"Status")</f>
        <v>Status</v>
      </c>
      <c r="BJ5" s="31" t="str">
        <f>IFERROR(__xludf.DUMMYFUNCTION("""COMPUTED_VALUE"""),"Strategy")</f>
        <v>Strategy</v>
      </c>
      <c r="BK5" s="31" t="str">
        <f>IFERROR(__xludf.DUMMYFUNCTION("""COMPUTED_VALUE"""),"Strike Price")</f>
        <v>Strike Price</v>
      </c>
      <c r="BL5" s="31" t="str">
        <f>IFERROR(__xludf.DUMMYFUNCTION("""COMPUTED_VALUE"""),"Symbol")</f>
        <v>Symbol</v>
      </c>
      <c r="BM5" s="31" t="str">
        <f>IFERROR(__xludf.DUMMYFUNCTION("""COMPUTED_VALUE"""),"SymbolAveragePrice")</f>
        <v>SymbolAveragePrice</v>
      </c>
      <c r="BN5" s="31" t="str">
        <f>IFERROR(__xludf.DUMMYFUNCTION("""COMPUTED_VALUE"""),"Tax On Commissions")</f>
        <v>Tax On Commissions</v>
      </c>
      <c r="BO5" s="31" t="str">
        <f>IFERROR(__xludf.DUMMYFUNCTION("""COMPUTED_VALUE"""),"TaxLotClosingId")</f>
        <v>TaxLotClosingId</v>
      </c>
      <c r="BP5" s="31" t="str">
        <f>IFERROR(__xludf.DUMMYFUNCTION("""COMPUTED_VALUE"""),"Trade Date")</f>
        <v>Trade Date</v>
      </c>
      <c r="BQ5" s="31" t="str">
        <f>IFERROR(__xludf.DUMMYFUNCTION("""COMPUTED_VALUE"""),"Transaction Levy")</f>
        <v>Transaction Levy</v>
      </c>
      <c r="BR5" s="31" t="str">
        <f>IFERROR(__xludf.DUMMYFUNCTION("""COMPUTED_VALUE"""),"Transaction Type")</f>
        <v>Transaction Type</v>
      </c>
      <c r="BS5" s="31" t="str">
        <f>IFERROR(__xludf.DUMMYFUNCTION("""COMPUTED_VALUE"""),"TransactionSource")</f>
        <v>TransactionSource</v>
      </c>
      <c r="BT5" s="31" t="str">
        <f>IFERROR(__xludf.DUMMYFUNCTION("""COMPUTED_VALUE"""),"Underlying Symbol")</f>
        <v>Underlying Symbol</v>
      </c>
      <c r="BU5" s="31" t="str">
        <f>IFERROR(__xludf.DUMMYFUNCTION("""COMPUTED_VALUE"""),"UnderlyingID")</f>
        <v>UnderlyingID</v>
      </c>
      <c r="BV5" s="31" t="str">
        <f>IFERROR(__xludf.DUMMYFUNCTION("""COMPUTED_VALUE"""),"Venue")</f>
        <v>Venue</v>
      </c>
      <c r="BW5" s="31" t="str">
        <f>IFERROR(__xludf.DUMMYFUNCTION("""COMPUTED_VALUE"""),"Settlement Qty")</f>
        <v>Settlement Qty</v>
      </c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2" t="s">
        <v>32</v>
      </c>
      <c r="C6" s="43" t="s">
        <v>33</v>
      </c>
      <c r="D6" s="43">
        <f>TODAY()</f>
        <v>45049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 t="str">
        <f>IFERROR(__xludf.DUMMYFUNCTION("""COMPUTED_VALUE"""),"ACTIV Symbol")</f>
        <v>ACTIV Symbol</v>
      </c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6" t="s">
        <v>26</v>
      </c>
      <c r="C6" s="8"/>
      <c r="D6" s="13"/>
      <c r="E6" s="47">
        <v>100.0</v>
      </c>
      <c r="F6" s="8"/>
      <c r="G6" s="46" t="s">
        <v>41</v>
      </c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6" t="s">
        <v>36</v>
      </c>
      <c r="Z6" s="46" t="s">
        <v>42</v>
      </c>
      <c r="AD6" s="46" t="s">
        <v>43</v>
      </c>
      <c r="AE6" s="47">
        <v>100.0</v>
      </c>
      <c r="AH6" s="46" t="s">
        <v>44</v>
      </c>
      <c r="AP6" s="46" t="b">
        <v>1</v>
      </c>
      <c r="AQ6" s="46" t="b">
        <v>0</v>
      </c>
      <c r="AR6" s="46" t="b">
        <v>1</v>
      </c>
      <c r="AT6" s="47">
        <v>114.0001</v>
      </c>
      <c r="AU6" s="47">
        <v>114.0001</v>
      </c>
      <c r="BE6" s="47">
        <v>100.0</v>
      </c>
      <c r="BF6" s="47">
        <v>100.0</v>
      </c>
      <c r="BJ6" s="47">
        <v>100.0</v>
      </c>
      <c r="BM6" s="46" t="s">
        <v>42</v>
      </c>
      <c r="BO6" s="46" t="s">
        <v>25</v>
      </c>
      <c r="BT6" s="46" t="s">
        <v>24</v>
      </c>
    </row>
    <row r="7" ht="15.75" customHeight="1">
      <c r="A7" s="8"/>
      <c r="B7" s="46" t="s">
        <v>26</v>
      </c>
      <c r="C7" s="8"/>
      <c r="D7" s="8"/>
      <c r="E7" s="47">
        <v>10.0</v>
      </c>
      <c r="F7" s="8"/>
      <c r="G7" s="46" t="s">
        <v>35</v>
      </c>
      <c r="H7" s="47">
        <v>0.0</v>
      </c>
      <c r="I7" s="47">
        <v>0.0</v>
      </c>
      <c r="J7" s="8"/>
      <c r="K7" s="47">
        <v>1.0</v>
      </c>
      <c r="L7" s="47">
        <v>1.0</v>
      </c>
      <c r="M7" s="8"/>
      <c r="N7" s="8"/>
      <c r="O7" s="46" t="s">
        <v>36</v>
      </c>
      <c r="Z7" s="46" t="s">
        <v>42</v>
      </c>
      <c r="AD7" s="46" t="s">
        <v>45</v>
      </c>
      <c r="AE7" s="47">
        <v>10.0</v>
      </c>
      <c r="AH7" s="46" t="s">
        <v>44</v>
      </c>
      <c r="AP7" s="46" t="b">
        <v>1</v>
      </c>
      <c r="AQ7" s="46" t="b">
        <v>0</v>
      </c>
      <c r="AR7" s="46" t="b">
        <v>1</v>
      </c>
      <c r="AT7" s="48">
        <v>1000.0</v>
      </c>
      <c r="AU7" s="48">
        <v>1000.0</v>
      </c>
      <c r="BE7" s="48">
        <v>1000.0</v>
      </c>
      <c r="BF7" s="48">
        <v>1000.0</v>
      </c>
      <c r="BJ7" s="47">
        <v>10.0</v>
      </c>
      <c r="BM7" s="46" t="s">
        <v>42</v>
      </c>
      <c r="BO7" s="46" t="s">
        <v>27</v>
      </c>
      <c r="BT7" s="46" t="s">
        <v>17</v>
      </c>
    </row>
    <row r="8" ht="15.75" customHeight="1">
      <c r="A8" s="8"/>
      <c r="B8" s="46" t="s">
        <v>26</v>
      </c>
      <c r="C8" s="8"/>
      <c r="D8" s="8"/>
      <c r="E8" s="47">
        <v>10.0</v>
      </c>
      <c r="F8" s="8"/>
      <c r="G8" s="46" t="s">
        <v>35</v>
      </c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6" t="s">
        <v>36</v>
      </c>
      <c r="Z8" s="46" t="s">
        <v>42</v>
      </c>
      <c r="AD8" s="46" t="s">
        <v>45</v>
      </c>
      <c r="AE8" s="47">
        <v>10.0</v>
      </c>
      <c r="AH8" s="46" t="s">
        <v>44</v>
      </c>
      <c r="AP8" s="46" t="b">
        <v>1</v>
      </c>
      <c r="AQ8" s="46" t="b">
        <v>0</v>
      </c>
      <c r="AR8" s="46" t="b">
        <v>1</v>
      </c>
      <c r="AT8" s="48">
        <v>1000.0</v>
      </c>
      <c r="AU8" s="48">
        <v>1000.0</v>
      </c>
      <c r="BE8" s="48">
        <v>1000.0</v>
      </c>
      <c r="BF8" s="48">
        <v>1000.0</v>
      </c>
      <c r="BJ8" s="47">
        <v>10.0</v>
      </c>
      <c r="BM8" s="46" t="s">
        <v>42</v>
      </c>
      <c r="BO8" s="46" t="s">
        <v>27</v>
      </c>
      <c r="BT8" s="46" t="s">
        <v>16</v>
      </c>
    </row>
    <row r="9" ht="15.75" customHeight="1">
      <c r="A9" s="8"/>
      <c r="B9" s="46" t="s">
        <v>26</v>
      </c>
      <c r="C9" s="8"/>
      <c r="D9" s="8"/>
      <c r="E9" s="47">
        <v>10.0</v>
      </c>
      <c r="F9" s="8"/>
      <c r="G9" s="46" t="s">
        <v>35</v>
      </c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6" t="s">
        <v>36</v>
      </c>
      <c r="Z9" s="46" t="s">
        <v>42</v>
      </c>
      <c r="AD9" s="46" t="s">
        <v>45</v>
      </c>
      <c r="AE9" s="47">
        <v>10.0</v>
      </c>
      <c r="AH9" s="46" t="s">
        <v>44</v>
      </c>
      <c r="AP9" s="46" t="b">
        <v>1</v>
      </c>
      <c r="AQ9" s="46" t="b">
        <v>0</v>
      </c>
      <c r="AR9" s="46" t="b">
        <v>1</v>
      </c>
      <c r="AT9" s="48">
        <v>1000.0</v>
      </c>
      <c r="AU9" s="48">
        <v>1000.0</v>
      </c>
      <c r="BE9" s="48">
        <v>1000.0</v>
      </c>
      <c r="BF9" s="48">
        <v>1000.0</v>
      </c>
      <c r="BJ9" s="47">
        <v>10.0</v>
      </c>
      <c r="BM9" s="46" t="s">
        <v>42</v>
      </c>
      <c r="BO9" s="46" t="s">
        <v>27</v>
      </c>
      <c r="BT9" s="46" t="s">
        <v>18</v>
      </c>
    </row>
    <row r="10" ht="15.75" customHeight="1">
      <c r="A10" s="8"/>
      <c r="B10" s="46" t="s">
        <v>26</v>
      </c>
      <c r="C10" s="8"/>
      <c r="D10" s="8"/>
      <c r="E10" s="47">
        <v>10.0</v>
      </c>
      <c r="F10" s="8"/>
      <c r="G10" s="46" t="s">
        <v>35</v>
      </c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6" t="s">
        <v>36</v>
      </c>
      <c r="Z10" s="46" t="s">
        <v>42</v>
      </c>
      <c r="AD10" s="46" t="s">
        <v>45</v>
      </c>
      <c r="AE10" s="47">
        <v>10.0</v>
      </c>
      <c r="AH10" s="46" t="s">
        <v>44</v>
      </c>
      <c r="AP10" s="46" t="b">
        <v>0</v>
      </c>
      <c r="AQ10" s="46" t="b">
        <v>0</v>
      </c>
      <c r="AR10" s="46" t="b">
        <v>1</v>
      </c>
      <c r="AT10" s="48">
        <v>1000.0</v>
      </c>
      <c r="AU10" s="48">
        <v>1000.0</v>
      </c>
      <c r="BE10" s="47">
        <v>0.0</v>
      </c>
      <c r="BF10" s="47">
        <v>0.0</v>
      </c>
      <c r="BJ10" s="47">
        <v>10.0</v>
      </c>
      <c r="BM10" s="46" t="s">
        <v>42</v>
      </c>
      <c r="BO10" s="46" t="s">
        <v>46</v>
      </c>
      <c r="BT10" s="46" t="s">
        <v>17</v>
      </c>
    </row>
    <row r="11" ht="15.75" customHeight="1">
      <c r="A11" s="8"/>
      <c r="B11" s="46" t="s">
        <v>26</v>
      </c>
      <c r="C11" s="8"/>
      <c r="D11" s="8"/>
      <c r="E11" s="47">
        <v>10.0</v>
      </c>
      <c r="F11" s="8"/>
      <c r="G11" s="46" t="s">
        <v>35</v>
      </c>
      <c r="H11" s="47">
        <v>0.0</v>
      </c>
      <c r="I11" s="47">
        <v>0.0</v>
      </c>
      <c r="J11" s="8"/>
      <c r="K11" s="47">
        <v>0.0</v>
      </c>
      <c r="L11" s="47">
        <v>0.0</v>
      </c>
      <c r="M11" s="8"/>
      <c r="N11" s="8"/>
      <c r="O11" s="46" t="s">
        <v>36</v>
      </c>
      <c r="Z11" s="46" t="s">
        <v>42</v>
      </c>
      <c r="AD11" s="46" t="s">
        <v>45</v>
      </c>
      <c r="AE11" s="47">
        <v>10.0</v>
      </c>
      <c r="AH11" s="46" t="s">
        <v>44</v>
      </c>
      <c r="AP11" s="46" t="b">
        <v>0</v>
      </c>
      <c r="AQ11" s="46" t="b">
        <v>0</v>
      </c>
      <c r="AR11" s="46" t="b">
        <v>1</v>
      </c>
      <c r="AT11" s="48">
        <v>1000.0</v>
      </c>
      <c r="AU11" s="48">
        <v>1000.0</v>
      </c>
      <c r="BE11" s="47">
        <v>0.0</v>
      </c>
      <c r="BF11" s="47">
        <v>0.0</v>
      </c>
      <c r="BJ11" s="47">
        <v>10.0</v>
      </c>
      <c r="BM11" s="46" t="s">
        <v>42</v>
      </c>
      <c r="BO11" s="46" t="s">
        <v>46</v>
      </c>
      <c r="BT11" s="46" t="s">
        <v>16</v>
      </c>
    </row>
    <row r="12" ht="15.75" customHeight="1">
      <c r="A12" s="8"/>
      <c r="B12" s="46" t="s">
        <v>26</v>
      </c>
      <c r="C12" s="8"/>
      <c r="D12" s="8"/>
      <c r="E12" s="47">
        <v>10.0</v>
      </c>
      <c r="F12" s="8"/>
      <c r="G12" s="46" t="s">
        <v>35</v>
      </c>
      <c r="H12" s="47">
        <v>0.0</v>
      </c>
      <c r="I12" s="47">
        <v>0.0</v>
      </c>
      <c r="J12" s="8"/>
      <c r="K12" s="47">
        <v>0.0</v>
      </c>
      <c r="L12" s="47">
        <v>0.0</v>
      </c>
      <c r="M12" s="8"/>
      <c r="N12" s="8"/>
      <c r="O12" s="46" t="s">
        <v>36</v>
      </c>
      <c r="Z12" s="46" t="s">
        <v>42</v>
      </c>
      <c r="AD12" s="46" t="s">
        <v>45</v>
      </c>
      <c r="AE12" s="47">
        <v>10.0</v>
      </c>
      <c r="AH12" s="46" t="s">
        <v>44</v>
      </c>
      <c r="AP12" s="46" t="b">
        <v>0</v>
      </c>
      <c r="AQ12" s="46" t="b">
        <v>0</v>
      </c>
      <c r="AR12" s="46" t="b">
        <v>1</v>
      </c>
      <c r="AT12" s="48">
        <v>1000.0</v>
      </c>
      <c r="AU12" s="48">
        <v>1000.0</v>
      </c>
      <c r="BE12" s="47">
        <v>0.0</v>
      </c>
      <c r="BF12" s="47">
        <v>0.0</v>
      </c>
      <c r="BJ12" s="47">
        <v>10.0</v>
      </c>
      <c r="BM12" s="46" t="s">
        <v>42</v>
      </c>
      <c r="BO12" s="46" t="s">
        <v>46</v>
      </c>
      <c r="BT12" s="46" t="s">
        <v>18</v>
      </c>
    </row>
    <row r="13" ht="15.75" customHeight="1">
      <c r="A13" s="8"/>
      <c r="B13" s="46" t="s">
        <v>26</v>
      </c>
      <c r="C13" s="8"/>
      <c r="D13" s="8"/>
      <c r="E13" s="48">
        <v>1000.0</v>
      </c>
      <c r="F13" s="8"/>
      <c r="G13" s="46" t="s">
        <v>41</v>
      </c>
      <c r="H13" s="47">
        <v>0.0</v>
      </c>
      <c r="I13" s="47">
        <v>0.0</v>
      </c>
      <c r="J13" s="8"/>
      <c r="K13" s="47">
        <v>80.0</v>
      </c>
      <c r="L13" s="47">
        <v>80.0</v>
      </c>
      <c r="M13" s="8"/>
      <c r="N13" s="8"/>
      <c r="O13" s="46" t="s">
        <v>36</v>
      </c>
      <c r="Z13" s="46" t="s">
        <v>42</v>
      </c>
      <c r="AD13" s="46" t="s">
        <v>43</v>
      </c>
      <c r="AE13" s="48">
        <v>1000.0</v>
      </c>
      <c r="AH13" s="46" t="s">
        <v>47</v>
      </c>
      <c r="AP13" s="46" t="b">
        <v>1</v>
      </c>
      <c r="AQ13" s="46" t="b">
        <v>0</v>
      </c>
      <c r="AR13" s="46" t="b">
        <v>1</v>
      </c>
      <c r="AT13" s="48">
        <v>79000.0</v>
      </c>
      <c r="AU13" s="48">
        <v>79000.0</v>
      </c>
      <c r="BE13" s="48">
        <v>80000.0</v>
      </c>
      <c r="BF13" s="48">
        <v>80000.0</v>
      </c>
      <c r="BJ13" s="48">
        <v>1000.0</v>
      </c>
      <c r="BM13" s="46" t="s">
        <v>42</v>
      </c>
      <c r="BO13" s="46" t="s">
        <v>48</v>
      </c>
      <c r="BT13" s="46" t="s">
        <v>24</v>
      </c>
    </row>
    <row r="14" ht="15.75" customHeight="1">
      <c r="A14" s="8"/>
      <c r="B14" s="46" t="s">
        <v>26</v>
      </c>
      <c r="C14" s="8"/>
      <c r="D14" s="8"/>
      <c r="E14" s="48">
        <v>1000.0</v>
      </c>
      <c r="F14" s="8"/>
      <c r="G14" s="46" t="s">
        <v>41</v>
      </c>
      <c r="H14" s="47">
        <v>0.0</v>
      </c>
      <c r="I14" s="47">
        <v>0.0</v>
      </c>
      <c r="J14" s="8"/>
      <c r="K14" s="47">
        <v>70.0</v>
      </c>
      <c r="L14" s="47">
        <v>70.0</v>
      </c>
      <c r="M14" s="8"/>
      <c r="N14" s="8"/>
      <c r="O14" s="46" t="s">
        <v>36</v>
      </c>
      <c r="Z14" s="46" t="s">
        <v>42</v>
      </c>
      <c r="AD14" s="46" t="s">
        <v>43</v>
      </c>
      <c r="AE14" s="48">
        <v>1000.0</v>
      </c>
      <c r="AH14" s="46" t="s">
        <v>47</v>
      </c>
      <c r="AP14" s="46" t="b">
        <v>1</v>
      </c>
      <c r="AQ14" s="46" t="b">
        <v>0</v>
      </c>
      <c r="AR14" s="46" t="b">
        <v>1</v>
      </c>
      <c r="AT14" s="48">
        <v>69000.0</v>
      </c>
      <c r="AU14" s="48">
        <v>69000.0</v>
      </c>
      <c r="BE14" s="48">
        <v>70000.0</v>
      </c>
      <c r="BF14" s="48">
        <v>70000.0</v>
      </c>
      <c r="BJ14" s="48">
        <v>1000.0</v>
      </c>
      <c r="BM14" s="46" t="s">
        <v>42</v>
      </c>
      <c r="BO14" s="46" t="s">
        <v>48</v>
      </c>
      <c r="BT14" s="46" t="s">
        <v>24</v>
      </c>
    </row>
    <row r="15" ht="15.75" customHeight="1">
      <c r="A15" s="8"/>
      <c r="B15" s="46" t="s">
        <v>26</v>
      </c>
      <c r="C15" s="8"/>
      <c r="D15" s="8"/>
      <c r="E15" s="47">
        <v>100.0</v>
      </c>
      <c r="F15" s="8"/>
      <c r="G15" s="46" t="s">
        <v>41</v>
      </c>
      <c r="H15" s="47">
        <v>0.0</v>
      </c>
      <c r="I15" s="47">
        <v>0.0</v>
      </c>
      <c r="J15" s="8"/>
      <c r="K15" s="47">
        <v>60.0</v>
      </c>
      <c r="L15" s="47">
        <v>60.0</v>
      </c>
      <c r="M15" s="8"/>
      <c r="N15" s="8"/>
      <c r="O15" s="46" t="s">
        <v>36</v>
      </c>
      <c r="Z15" s="46" t="s">
        <v>42</v>
      </c>
      <c r="AD15" s="46" t="s">
        <v>43</v>
      </c>
      <c r="AE15" s="47">
        <v>100.0</v>
      </c>
      <c r="AH15" s="46" t="s">
        <v>47</v>
      </c>
      <c r="AP15" s="46" t="b">
        <v>1</v>
      </c>
      <c r="AQ15" s="46" t="b">
        <v>0</v>
      </c>
      <c r="AR15" s="46" t="b">
        <v>1</v>
      </c>
      <c r="AT15" s="48">
        <v>5900.0</v>
      </c>
      <c r="AU15" s="48">
        <v>5900.0</v>
      </c>
      <c r="BE15" s="48">
        <v>6000.0</v>
      </c>
      <c r="BF15" s="48">
        <v>6000.0</v>
      </c>
      <c r="BJ15" s="47">
        <v>100.0</v>
      </c>
      <c r="BM15" s="46" t="s">
        <v>42</v>
      </c>
      <c r="BO15" s="46" t="s">
        <v>49</v>
      </c>
      <c r="BT15" s="46" t="s">
        <v>24</v>
      </c>
    </row>
    <row r="16" ht="15.75" customHeight="1">
      <c r="A16" s="8"/>
      <c r="B16" s="46" t="s">
        <v>26</v>
      </c>
      <c r="C16" s="8"/>
      <c r="D16" s="8"/>
      <c r="E16" s="47">
        <v>900.0</v>
      </c>
      <c r="F16" s="8"/>
      <c r="G16" s="46" t="s">
        <v>41</v>
      </c>
      <c r="H16" s="47">
        <v>0.0</v>
      </c>
      <c r="I16" s="47">
        <v>0.0</v>
      </c>
      <c r="J16" s="8"/>
      <c r="K16" s="47">
        <v>60.0</v>
      </c>
      <c r="L16" s="47">
        <v>60.0</v>
      </c>
      <c r="M16" s="8"/>
      <c r="N16" s="8"/>
      <c r="O16" s="46" t="s">
        <v>36</v>
      </c>
      <c r="Z16" s="46" t="s">
        <v>42</v>
      </c>
      <c r="AD16" s="46" t="s">
        <v>43</v>
      </c>
      <c r="AE16" s="47">
        <v>900.0</v>
      </c>
      <c r="AH16" s="46" t="s">
        <v>44</v>
      </c>
      <c r="AP16" s="46" t="b">
        <v>1</v>
      </c>
      <c r="AQ16" s="46" t="b">
        <v>0</v>
      </c>
      <c r="AR16" s="46" t="b">
        <v>1</v>
      </c>
      <c r="AT16" s="48">
        <v>53100.0</v>
      </c>
      <c r="AU16" s="48">
        <v>53100.0</v>
      </c>
      <c r="BE16" s="48">
        <v>54000.0</v>
      </c>
      <c r="BF16" s="48">
        <v>54000.0</v>
      </c>
      <c r="BJ16" s="47">
        <v>900.0</v>
      </c>
      <c r="BM16" s="46" t="s">
        <v>42</v>
      </c>
      <c r="BO16" s="46" t="s">
        <v>48</v>
      </c>
      <c r="BT16" s="46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30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1" t="str">
        <f>IFERROR(__xludf.DUMMYFUNCTION("""COMPUTED_VALUE"""),"Soft Commission")</f>
        <v>Soft Commission</v>
      </c>
      <c r="U5" s="31" t="str">
        <f>IFERROR(__xludf.DUMMYFUNCTION("""COMPUTED_VALUE"""),"Other Broker Fees")</f>
        <v>Other Broker Fees</v>
      </c>
      <c r="V5" s="31" t="str">
        <f>IFERROR(__xludf.DUMMYFUNCTION("""COMPUTED_VALUE"""),"Clearing Broker Fees")</f>
        <v>Clearing Broker Fees</v>
      </c>
      <c r="W5" s="31" t="str">
        <f>IFERROR(__xludf.DUMMYFUNCTION("""COMPUTED_VALUE"""),"Stamp Duty")</f>
        <v>Stamp Duty</v>
      </c>
      <c r="X5" s="31" t="str">
        <f>IFERROR(__xludf.DUMMYFUNCTION("""COMPUTED_VALUE"""),"Transaction Levy")</f>
        <v>Transaction Levy</v>
      </c>
      <c r="Y5" s="31" t="str">
        <f>IFERROR(__xludf.DUMMYFUNCTION("""COMPUTED_VALUE"""),"AUEC Fee1")</f>
        <v>AUEC Fee1</v>
      </c>
      <c r="Z5" s="31" t="str">
        <f>IFERROR(__xludf.DUMMYFUNCTION("""COMPUTED_VALUE"""),"Tax On Commissions")</f>
        <v>Tax On Commissions</v>
      </c>
      <c r="AA5" s="31" t="str">
        <f>IFERROR(__xludf.DUMMYFUNCTION("""COMPUTED_VALUE"""),"AUEC Fee2")</f>
        <v>AUEC Fee2</v>
      </c>
      <c r="AB5" s="31" t="str">
        <f>IFERROR(__xludf.DUMMYFUNCTION("""COMPUTED_VALUE"""),"SEC Fee")</f>
        <v>SEC Fee</v>
      </c>
      <c r="AC5" s="31" t="str">
        <f>IFERROR(__xludf.DUMMYFUNCTION("""COMPUTED_VALUE"""),"OCC Fee")</f>
        <v>OCC Fee</v>
      </c>
      <c r="AD5" s="31" t="str">
        <f>IFERROR(__xludf.DUMMYFUNCTION("""COMPUTED_VALUE"""),"ORF Fee")</f>
        <v>ORF Fee</v>
      </c>
      <c r="AE5" s="31" t="str">
        <f>IFERROR(__xludf.DUMMYFUNCTION("""COMPUTED_VALUE"""),"Option Premium Adjustment")</f>
        <v>Option Premium Adjustment</v>
      </c>
      <c r="AF5" s="31" t="str">
        <f>IFERROR(__xludf.DUMMYFUNCTION("""COMPUTED_VALUE"""),"Closing Status")</f>
        <v>Closing Status</v>
      </c>
      <c r="AG5" s="31" t="str">
        <f>IFERROR(__xludf.DUMMYFUNCTION("""COMPUTED_VALUE"""),"External Transaction ID")</f>
        <v>External Transaction ID</v>
      </c>
      <c r="AH5" s="31" t="str">
        <f>IFERROR(__xludf.DUMMYFUNCTION("""COMPUTED_VALUE"""),"Lot ID")</f>
        <v>Lot ID</v>
      </c>
      <c r="AI5" s="31" t="str">
        <f>IFERROR(__xludf.DUMMYFUNCTION("""COMPUTED_VALUE"""),"AvgPriceBase")</f>
        <v>AvgPriceBase</v>
      </c>
      <c r="AJ5" s="31" t="str">
        <f>IFERROR(__xludf.DUMMYFUNCTION("""COMPUTED_VALUE"""),"Accrued Interest")</f>
        <v>Accrued Interest</v>
      </c>
      <c r="AK5" s="31" t="str">
        <f>IFERROR(__xludf.DUMMYFUNCTION("""COMPUTED_VALUE"""),"FXRate")</f>
        <v>FXRate</v>
      </c>
      <c r="AL5" s="31" t="str">
        <f>IFERROR(__xludf.DUMMYFUNCTION("""COMPUTED_VALUE"""),"Change Type")</f>
        <v>Change Type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7">
        <v>114.0001</v>
      </c>
      <c r="C6" s="47">
        <v>114.0001</v>
      </c>
      <c r="D6" s="47">
        <v>100.0</v>
      </c>
      <c r="E6" s="47">
        <v>100.0</v>
      </c>
      <c r="F6" s="46" t="s">
        <v>44</v>
      </c>
      <c r="G6" s="8"/>
      <c r="H6" s="8"/>
      <c r="I6" s="8"/>
      <c r="J6" s="8"/>
      <c r="K6" s="8"/>
      <c r="L6" s="8"/>
      <c r="M6" s="8"/>
      <c r="N6" s="8"/>
      <c r="O6" s="46" t="s">
        <v>26</v>
      </c>
      <c r="P6" s="46" t="s">
        <v>51</v>
      </c>
      <c r="Q6" s="47">
        <v>100.0</v>
      </c>
      <c r="R6" s="47">
        <v>100.0</v>
      </c>
      <c r="S6" s="47">
        <v>0.0</v>
      </c>
      <c r="T6" s="47">
        <v>0.0</v>
      </c>
      <c r="U6" s="47">
        <v>0.0</v>
      </c>
      <c r="V6" s="47">
        <v>0.0</v>
      </c>
      <c r="W6" s="47">
        <v>1.0E-4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6" t="s">
        <v>52</v>
      </c>
    </row>
    <row r="7" ht="15.75" customHeight="1">
      <c r="A7" s="8"/>
      <c r="B7" s="48">
        <v>1000.0</v>
      </c>
      <c r="C7" s="48">
        <v>1000.0</v>
      </c>
      <c r="D7" s="48">
        <v>1000.0</v>
      </c>
      <c r="E7" s="48">
        <v>1000.0</v>
      </c>
      <c r="F7" s="46" t="s">
        <v>44</v>
      </c>
      <c r="G7" s="8"/>
      <c r="H7" s="8"/>
      <c r="I7" s="8"/>
      <c r="J7" s="8"/>
      <c r="K7" s="8"/>
      <c r="L7" s="8"/>
      <c r="M7" s="8"/>
      <c r="N7" s="8"/>
      <c r="O7" s="46" t="s">
        <v>26</v>
      </c>
      <c r="P7" s="46" t="s">
        <v>51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6" t="s">
        <v>53</v>
      </c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6" t="s">
        <v>44</v>
      </c>
      <c r="G8" s="8"/>
      <c r="H8" s="8"/>
      <c r="I8" s="8"/>
      <c r="J8" s="8"/>
      <c r="K8" s="8"/>
      <c r="L8" s="8"/>
      <c r="M8" s="8"/>
      <c r="N8" s="8"/>
      <c r="O8" s="46" t="s">
        <v>26</v>
      </c>
      <c r="P8" s="46" t="s">
        <v>51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6" t="s">
        <v>53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6" t="s">
        <v>44</v>
      </c>
      <c r="G9" s="8"/>
      <c r="H9" s="8"/>
      <c r="I9" s="8"/>
      <c r="J9" s="8"/>
      <c r="K9" s="8"/>
      <c r="L9" s="8"/>
      <c r="M9" s="8"/>
      <c r="N9" s="8"/>
      <c r="O9" s="46" t="s">
        <v>26</v>
      </c>
      <c r="P9" s="46" t="s">
        <v>51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6" t="s">
        <v>53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6" t="s">
        <v>44</v>
      </c>
      <c r="G10" s="8"/>
      <c r="H10" s="8"/>
      <c r="I10" s="8"/>
      <c r="J10" s="8"/>
      <c r="K10" s="8"/>
      <c r="L10" s="8"/>
      <c r="M10" s="8"/>
      <c r="N10" s="8"/>
      <c r="O10" s="46" t="s">
        <v>26</v>
      </c>
      <c r="P10" s="46" t="s">
        <v>51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6" t="s">
        <v>53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6" t="s">
        <v>44</v>
      </c>
      <c r="G11" s="8"/>
      <c r="H11" s="8"/>
      <c r="I11" s="8"/>
      <c r="J11" s="8"/>
      <c r="K11" s="8"/>
      <c r="L11" s="8"/>
      <c r="M11" s="8"/>
      <c r="N11" s="8"/>
      <c r="O11" s="46" t="s">
        <v>26</v>
      </c>
      <c r="P11" s="46" t="s">
        <v>51</v>
      </c>
      <c r="Q11" s="47">
        <v>100.0</v>
      </c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6" t="s">
        <v>53</v>
      </c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6" t="s">
        <v>44</v>
      </c>
      <c r="G12" s="8"/>
      <c r="H12" s="8"/>
      <c r="I12" s="8"/>
      <c r="J12" s="8"/>
      <c r="K12" s="8"/>
      <c r="L12" s="8"/>
      <c r="M12" s="8"/>
      <c r="N12" s="8"/>
      <c r="O12" s="46" t="s">
        <v>26</v>
      </c>
      <c r="P12" s="46" t="s">
        <v>51</v>
      </c>
      <c r="Q12" s="47">
        <v>100.0</v>
      </c>
      <c r="R12" s="47">
        <v>10.0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6" t="s">
        <v>53</v>
      </c>
    </row>
    <row r="13" ht="15.75" customHeight="1">
      <c r="A13" s="8"/>
      <c r="B13" s="48">
        <v>80000.0</v>
      </c>
      <c r="C13" s="48">
        <v>80000.0</v>
      </c>
      <c r="D13" s="48">
        <v>80000.0</v>
      </c>
      <c r="E13" s="48">
        <v>80000.0</v>
      </c>
      <c r="F13" s="46" t="s">
        <v>47</v>
      </c>
      <c r="G13" s="8"/>
      <c r="H13" s="8"/>
      <c r="I13" s="8"/>
      <c r="J13" s="8"/>
      <c r="K13" s="8"/>
      <c r="L13" s="8"/>
      <c r="M13" s="8"/>
      <c r="N13" s="8"/>
      <c r="O13" s="46" t="s">
        <v>26</v>
      </c>
      <c r="P13" s="46" t="s">
        <v>51</v>
      </c>
      <c r="Q13" s="47">
        <v>100.0</v>
      </c>
      <c r="R13" s="48">
        <v>1000.0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6" t="s">
        <v>52</v>
      </c>
    </row>
    <row r="14" ht="15.75" customHeight="1">
      <c r="A14" s="8"/>
      <c r="B14" s="48">
        <v>70000.0</v>
      </c>
      <c r="C14" s="48">
        <v>70000.0</v>
      </c>
      <c r="D14" s="48">
        <v>70000.0</v>
      </c>
      <c r="E14" s="48">
        <v>70000.0</v>
      </c>
      <c r="F14" s="46" t="s">
        <v>47</v>
      </c>
      <c r="G14" s="8"/>
      <c r="H14" s="8"/>
      <c r="I14" s="8"/>
      <c r="J14" s="8"/>
      <c r="K14" s="8"/>
      <c r="L14" s="8"/>
      <c r="M14" s="8"/>
      <c r="N14" s="8"/>
      <c r="O14" s="46" t="s">
        <v>26</v>
      </c>
      <c r="P14" s="46" t="s">
        <v>51</v>
      </c>
      <c r="Q14" s="47">
        <v>100.0</v>
      </c>
      <c r="R14" s="48">
        <v>1000.0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/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6" t="s">
        <v>52</v>
      </c>
    </row>
    <row r="15" ht="15.75" customHeight="1">
      <c r="A15" s="8"/>
      <c r="B15" s="48">
        <v>6000.0</v>
      </c>
      <c r="C15" s="48">
        <v>6000.0</v>
      </c>
      <c r="D15" s="48">
        <v>6000.0</v>
      </c>
      <c r="E15" s="48">
        <v>6000.0</v>
      </c>
      <c r="F15" s="46" t="s">
        <v>47</v>
      </c>
      <c r="G15" s="8"/>
      <c r="H15" s="8"/>
      <c r="I15" s="8"/>
      <c r="J15" s="8"/>
      <c r="K15" s="8"/>
      <c r="L15" s="8"/>
      <c r="M15" s="8"/>
      <c r="N15" s="8"/>
      <c r="O15" s="46" t="s">
        <v>26</v>
      </c>
      <c r="P15" s="46" t="s">
        <v>51</v>
      </c>
      <c r="Q15" s="47">
        <v>100.0</v>
      </c>
      <c r="R15" s="47">
        <v>100.0</v>
      </c>
      <c r="S15" s="47">
        <v>0.0</v>
      </c>
      <c r="T15" s="47">
        <v>0.0</v>
      </c>
      <c r="U15" s="47">
        <v>0.0</v>
      </c>
      <c r="V15" s="47">
        <v>0.0</v>
      </c>
      <c r="W15" s="47">
        <v>0.0</v>
      </c>
      <c r="X15" s="47"/>
      <c r="Y15" s="47">
        <v>0.0</v>
      </c>
      <c r="Z15" s="47">
        <v>0.0</v>
      </c>
      <c r="AA15" s="47">
        <v>0.0</v>
      </c>
      <c r="AB15" s="47">
        <v>0.0</v>
      </c>
      <c r="AC15" s="47">
        <v>0.0</v>
      </c>
      <c r="AD15" s="47">
        <v>0.0</v>
      </c>
      <c r="AE15" s="47">
        <v>0.0</v>
      </c>
      <c r="AF15" s="46" t="s">
        <v>52</v>
      </c>
    </row>
    <row r="16" ht="15.75" customHeight="1">
      <c r="A16" s="8"/>
      <c r="B16" s="48">
        <v>54000.0</v>
      </c>
      <c r="C16" s="48">
        <v>54000.0</v>
      </c>
      <c r="D16" s="48">
        <v>54000.0</v>
      </c>
      <c r="E16" s="48">
        <v>54000.0</v>
      </c>
      <c r="F16" s="46" t="s">
        <v>44</v>
      </c>
      <c r="G16" s="8"/>
      <c r="H16" s="8"/>
      <c r="I16" s="8"/>
      <c r="J16" s="8"/>
      <c r="K16" s="8"/>
      <c r="L16" s="8"/>
      <c r="M16" s="8"/>
      <c r="N16" s="8"/>
      <c r="O16" s="46" t="s">
        <v>26</v>
      </c>
      <c r="P16" s="46" t="s">
        <v>51</v>
      </c>
      <c r="Q16" s="47">
        <v>100.0</v>
      </c>
      <c r="R16" s="47">
        <v>900.0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/>
      <c r="Y16" s="47">
        <v>0.0</v>
      </c>
      <c r="Z16" s="47">
        <v>0.0</v>
      </c>
      <c r="AA16" s="47">
        <v>0.0</v>
      </c>
      <c r="AB16" s="47">
        <v>0.0</v>
      </c>
      <c r="AC16" s="47">
        <v>0.0</v>
      </c>
      <c r="AD16" s="47">
        <v>0.0</v>
      </c>
      <c r="AE16" s="47">
        <v>0.0</v>
      </c>
      <c r="AF16" s="46" t="s">
        <v>52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 t="str">
        <f>IFERROR(__xludf.DUMMYFUNCTION("""COMPUTED_VALUE"""),"ACTIV Symbol")</f>
        <v>ACTIV Symbol</v>
      </c>
      <c r="FK5" s="31"/>
      <c r="FL5" s="31"/>
      <c r="FM5" s="31"/>
      <c r="FN5" s="31"/>
      <c r="FO5" s="31"/>
      <c r="FP5" s="31"/>
      <c r="FQ5" s="31"/>
      <c r="FR5" s="31"/>
      <c r="FS5" s="31"/>
      <c r="FT5" s="31"/>
    </row>
    <row r="6" ht="15.75" customHeight="1">
      <c r="A6" s="13"/>
      <c r="B6" s="13"/>
      <c r="C6" s="46" t="s">
        <v>24</v>
      </c>
      <c r="D6" s="47">
        <v>100.0</v>
      </c>
      <c r="E6" s="46" t="s">
        <v>26</v>
      </c>
      <c r="F6" s="46" t="s">
        <v>56</v>
      </c>
      <c r="G6" s="8"/>
      <c r="H6" s="46" t="s">
        <v>57</v>
      </c>
      <c r="I6" s="8"/>
      <c r="J6" s="8"/>
      <c r="K6" s="8"/>
      <c r="L6" s="8"/>
      <c r="M6" s="8"/>
      <c r="N6" s="8"/>
      <c r="O6" s="8"/>
      <c r="R6" s="46" t="s">
        <v>58</v>
      </c>
      <c r="S6" s="46" t="s">
        <v>51</v>
      </c>
      <c r="T6" s="46" t="s">
        <v>41</v>
      </c>
      <c r="U6" s="46" t="s">
        <v>59</v>
      </c>
      <c r="V6" s="46" t="s">
        <v>43</v>
      </c>
      <c r="W6" s="46" t="s">
        <v>42</v>
      </c>
      <c r="Y6" s="47">
        <v>1.0</v>
      </c>
      <c r="AN6" s="46" t="s">
        <v>25</v>
      </c>
      <c r="AP6" s="46" t="s">
        <v>60</v>
      </c>
      <c r="AQ6" s="46" t="s">
        <v>24</v>
      </c>
      <c r="AR6" s="47"/>
      <c r="AS6" s="47"/>
      <c r="BE6" s="46" t="s">
        <v>41</v>
      </c>
      <c r="BF6" s="46" t="s">
        <v>61</v>
      </c>
      <c r="BG6" s="46" t="s">
        <v>62</v>
      </c>
      <c r="BH6" s="46" t="s">
        <v>63</v>
      </c>
      <c r="BQ6" s="46" t="s">
        <v>64</v>
      </c>
      <c r="BR6" s="46" t="s">
        <v>36</v>
      </c>
      <c r="FC6" s="46" t="s">
        <v>65</v>
      </c>
      <c r="FD6" s="47">
        <v>0.0</v>
      </c>
      <c r="FF6" s="47">
        <v>0.0</v>
      </c>
    </row>
    <row r="7" ht="15.75" customHeight="1">
      <c r="A7" s="8"/>
      <c r="B7" s="8"/>
      <c r="C7" s="46" t="s">
        <v>16</v>
      </c>
      <c r="D7" s="47">
        <v>10.0</v>
      </c>
      <c r="E7" s="46" t="s">
        <v>26</v>
      </c>
      <c r="F7" s="46" t="s">
        <v>56</v>
      </c>
      <c r="G7" s="8"/>
      <c r="H7" s="46" t="s">
        <v>60</v>
      </c>
      <c r="I7" s="8"/>
      <c r="J7" s="8"/>
      <c r="K7" s="8"/>
      <c r="L7" s="8"/>
      <c r="M7" s="8"/>
      <c r="N7" s="8"/>
      <c r="O7" s="8"/>
      <c r="R7" s="46" t="s">
        <v>58</v>
      </c>
      <c r="S7" s="46" t="s">
        <v>51</v>
      </c>
      <c r="T7" s="46" t="s">
        <v>35</v>
      </c>
      <c r="U7" s="46" t="s">
        <v>59</v>
      </c>
      <c r="V7" s="46" t="s">
        <v>45</v>
      </c>
      <c r="W7" s="46" t="s">
        <v>42</v>
      </c>
      <c r="Y7" s="47">
        <v>1.0</v>
      </c>
      <c r="AN7" s="46" t="s">
        <v>27</v>
      </c>
      <c r="AP7" s="46" t="s">
        <v>60</v>
      </c>
      <c r="AQ7" s="46" t="s">
        <v>24</v>
      </c>
      <c r="AR7" s="47"/>
      <c r="AS7" s="47"/>
      <c r="BE7" s="46" t="s">
        <v>66</v>
      </c>
      <c r="BF7" s="46" t="s">
        <v>63</v>
      </c>
      <c r="BG7" s="46" t="s">
        <v>63</v>
      </c>
      <c r="BH7" s="46" t="s">
        <v>63</v>
      </c>
      <c r="BQ7" s="46" t="s">
        <v>64</v>
      </c>
      <c r="BR7" s="46" t="s">
        <v>36</v>
      </c>
      <c r="FC7" s="46" t="s">
        <v>67</v>
      </c>
      <c r="FD7" s="47">
        <v>0.0</v>
      </c>
      <c r="FF7" s="47">
        <v>60.0</v>
      </c>
    </row>
    <row r="8" ht="15.75" customHeight="1">
      <c r="A8" s="8"/>
      <c r="B8" s="8"/>
      <c r="C8" s="46" t="s">
        <v>17</v>
      </c>
      <c r="D8" s="47">
        <v>10.0</v>
      </c>
      <c r="E8" s="46" t="s">
        <v>26</v>
      </c>
      <c r="F8" s="46" t="s">
        <v>56</v>
      </c>
      <c r="G8" s="8"/>
      <c r="H8" s="46" t="s">
        <v>60</v>
      </c>
      <c r="I8" s="8"/>
      <c r="J8" s="8"/>
      <c r="K8" s="8"/>
      <c r="L8" s="8"/>
      <c r="M8" s="8"/>
      <c r="N8" s="8"/>
      <c r="O8" s="8"/>
      <c r="R8" s="46" t="s">
        <v>58</v>
      </c>
      <c r="S8" s="46" t="s">
        <v>51</v>
      </c>
      <c r="T8" s="46" t="s">
        <v>35</v>
      </c>
      <c r="U8" s="46" t="s">
        <v>59</v>
      </c>
      <c r="V8" s="46" t="s">
        <v>45</v>
      </c>
      <c r="W8" s="46" t="s">
        <v>42</v>
      </c>
      <c r="Y8" s="47">
        <v>1.0</v>
      </c>
      <c r="AN8" s="46" t="s">
        <v>27</v>
      </c>
      <c r="AP8" s="46" t="s">
        <v>60</v>
      </c>
      <c r="AQ8" s="46" t="s">
        <v>24</v>
      </c>
      <c r="AR8" s="47"/>
      <c r="AS8" s="47"/>
      <c r="BE8" s="46" t="s">
        <v>66</v>
      </c>
      <c r="BF8" s="46" t="s">
        <v>63</v>
      </c>
      <c r="BG8" s="46" t="s">
        <v>63</v>
      </c>
      <c r="BH8" s="46" t="s">
        <v>63</v>
      </c>
      <c r="BQ8" s="46" t="s">
        <v>64</v>
      </c>
      <c r="BR8" s="46" t="s">
        <v>36</v>
      </c>
      <c r="FC8" s="46" t="s">
        <v>67</v>
      </c>
      <c r="FD8" s="47">
        <v>0.0</v>
      </c>
      <c r="FF8" s="47">
        <v>70.0</v>
      </c>
    </row>
    <row r="9" ht="15.75" customHeight="1">
      <c r="A9" s="8"/>
      <c r="B9" s="8"/>
      <c r="C9" s="46" t="s">
        <v>18</v>
      </c>
      <c r="D9" s="47">
        <v>10.0</v>
      </c>
      <c r="E9" s="46" t="s">
        <v>26</v>
      </c>
      <c r="F9" s="46" t="s">
        <v>56</v>
      </c>
      <c r="G9" s="8"/>
      <c r="H9" s="46" t="s">
        <v>60</v>
      </c>
      <c r="I9" s="8"/>
      <c r="J9" s="8"/>
      <c r="K9" s="8"/>
      <c r="L9" s="8"/>
      <c r="M9" s="8"/>
      <c r="N9" s="8"/>
      <c r="O9" s="8"/>
      <c r="R9" s="46" t="s">
        <v>58</v>
      </c>
      <c r="S9" s="46" t="s">
        <v>51</v>
      </c>
      <c r="T9" s="46" t="s">
        <v>35</v>
      </c>
      <c r="U9" s="46" t="s">
        <v>59</v>
      </c>
      <c r="V9" s="46" t="s">
        <v>45</v>
      </c>
      <c r="W9" s="46" t="s">
        <v>42</v>
      </c>
      <c r="Y9" s="47">
        <v>1.0</v>
      </c>
      <c r="AN9" s="46" t="s">
        <v>27</v>
      </c>
      <c r="AP9" s="46" t="s">
        <v>60</v>
      </c>
      <c r="AQ9" s="46" t="s">
        <v>24</v>
      </c>
      <c r="AR9" s="47"/>
      <c r="AS9" s="47"/>
      <c r="BE9" s="46" t="s">
        <v>66</v>
      </c>
      <c r="BF9" s="46" t="s">
        <v>63</v>
      </c>
      <c r="BG9" s="46" t="s">
        <v>63</v>
      </c>
      <c r="BH9" s="46" t="s">
        <v>63</v>
      </c>
      <c r="BQ9" s="46" t="s">
        <v>64</v>
      </c>
      <c r="BR9" s="46" t="s">
        <v>36</v>
      </c>
      <c r="FC9" s="46" t="s">
        <v>67</v>
      </c>
      <c r="FD9" s="47">
        <v>0.0</v>
      </c>
      <c r="FF9" s="47">
        <v>80.0</v>
      </c>
    </row>
    <row r="10" ht="15.75" customHeight="1">
      <c r="A10" s="8"/>
      <c r="B10" s="8"/>
      <c r="C10" s="46" t="s">
        <v>16</v>
      </c>
      <c r="D10" s="47">
        <v>-10.0</v>
      </c>
      <c r="E10" s="46" t="s">
        <v>26</v>
      </c>
      <c r="F10" s="46" t="s">
        <v>56</v>
      </c>
      <c r="G10" s="8"/>
      <c r="H10" s="46" t="s">
        <v>60</v>
      </c>
      <c r="I10" s="8"/>
      <c r="J10" s="8"/>
      <c r="K10" s="8"/>
      <c r="L10" s="8"/>
      <c r="M10" s="8"/>
      <c r="N10" s="8"/>
      <c r="O10" s="8"/>
      <c r="R10" s="46" t="s">
        <v>58</v>
      </c>
      <c r="S10" s="46" t="s">
        <v>51</v>
      </c>
      <c r="T10" s="46" t="s">
        <v>35</v>
      </c>
      <c r="U10" s="46" t="s">
        <v>59</v>
      </c>
      <c r="V10" s="46" t="s">
        <v>45</v>
      </c>
      <c r="W10" s="46" t="s">
        <v>42</v>
      </c>
      <c r="Y10" s="47">
        <v>1.0</v>
      </c>
      <c r="AN10" s="46" t="s">
        <v>46</v>
      </c>
      <c r="AP10" s="46" t="s">
        <v>60</v>
      </c>
      <c r="AQ10" s="46" t="s">
        <v>24</v>
      </c>
      <c r="AR10" s="47"/>
      <c r="AS10" s="47"/>
      <c r="BE10" s="46" t="s">
        <v>66</v>
      </c>
      <c r="BF10" s="46" t="s">
        <v>63</v>
      </c>
      <c r="BG10" s="46" t="s">
        <v>63</v>
      </c>
      <c r="BH10" s="46" t="s">
        <v>63</v>
      </c>
      <c r="BQ10" s="46" t="s">
        <v>64</v>
      </c>
      <c r="BR10" s="46" t="s">
        <v>36</v>
      </c>
      <c r="FC10" s="46" t="s">
        <v>67</v>
      </c>
      <c r="FD10" s="47">
        <v>0.0</v>
      </c>
      <c r="FF10" s="47">
        <v>60.0</v>
      </c>
    </row>
    <row r="11" ht="15.75" customHeight="1">
      <c r="A11" s="8"/>
      <c r="B11" s="8"/>
      <c r="C11" s="46" t="s">
        <v>17</v>
      </c>
      <c r="D11" s="47">
        <v>-10.0</v>
      </c>
      <c r="E11" s="46" t="s">
        <v>26</v>
      </c>
      <c r="F11" s="46" t="s">
        <v>56</v>
      </c>
      <c r="G11" s="8"/>
      <c r="H11" s="46" t="s">
        <v>60</v>
      </c>
      <c r="I11" s="8"/>
      <c r="J11" s="8"/>
      <c r="K11" s="8"/>
      <c r="L11" s="8"/>
      <c r="M11" s="8"/>
      <c r="N11" s="8"/>
      <c r="O11" s="8"/>
      <c r="R11" s="46" t="s">
        <v>58</v>
      </c>
      <c r="S11" s="46" t="s">
        <v>51</v>
      </c>
      <c r="T11" s="46" t="s">
        <v>35</v>
      </c>
      <c r="U11" s="46" t="s">
        <v>59</v>
      </c>
      <c r="V11" s="46" t="s">
        <v>45</v>
      </c>
      <c r="W11" s="46" t="s">
        <v>42</v>
      </c>
      <c r="Y11" s="47">
        <v>1.0</v>
      </c>
      <c r="AN11" s="46" t="s">
        <v>46</v>
      </c>
      <c r="AP11" s="46" t="s">
        <v>60</v>
      </c>
      <c r="AQ11" s="46" t="s">
        <v>24</v>
      </c>
      <c r="AR11" s="47"/>
      <c r="AS11" s="47"/>
      <c r="BE11" s="46" t="s">
        <v>66</v>
      </c>
      <c r="BF11" s="46" t="s">
        <v>63</v>
      </c>
      <c r="BG11" s="46" t="s">
        <v>63</v>
      </c>
      <c r="BH11" s="46" t="s">
        <v>63</v>
      </c>
      <c r="BQ11" s="46" t="s">
        <v>64</v>
      </c>
      <c r="BR11" s="46" t="s">
        <v>36</v>
      </c>
      <c r="FC11" s="46" t="s">
        <v>67</v>
      </c>
      <c r="FD11" s="47">
        <v>0.0</v>
      </c>
      <c r="FF11" s="47">
        <v>70.0</v>
      </c>
    </row>
    <row r="12" ht="15.75" customHeight="1">
      <c r="A12" s="8"/>
      <c r="B12" s="8"/>
      <c r="C12" s="46" t="s">
        <v>18</v>
      </c>
      <c r="D12" s="47">
        <v>-10.0</v>
      </c>
      <c r="E12" s="46" t="s">
        <v>26</v>
      </c>
      <c r="F12" s="46" t="s">
        <v>56</v>
      </c>
      <c r="G12" s="8"/>
      <c r="H12" s="46" t="s">
        <v>60</v>
      </c>
      <c r="I12" s="8"/>
      <c r="J12" s="8"/>
      <c r="K12" s="8"/>
      <c r="L12" s="8"/>
      <c r="M12" s="8"/>
      <c r="N12" s="8"/>
      <c r="O12" s="8"/>
      <c r="R12" s="46" t="s">
        <v>58</v>
      </c>
      <c r="S12" s="46" t="s">
        <v>51</v>
      </c>
      <c r="T12" s="46" t="s">
        <v>35</v>
      </c>
      <c r="U12" s="46" t="s">
        <v>59</v>
      </c>
      <c r="V12" s="46" t="s">
        <v>45</v>
      </c>
      <c r="W12" s="46" t="s">
        <v>42</v>
      </c>
      <c r="Y12" s="47">
        <v>1.0</v>
      </c>
      <c r="AN12" s="46" t="s">
        <v>46</v>
      </c>
      <c r="AP12" s="46" t="s">
        <v>60</v>
      </c>
      <c r="AQ12" s="46" t="s">
        <v>24</v>
      </c>
      <c r="AR12" s="47"/>
      <c r="AS12" s="47"/>
      <c r="BE12" s="46" t="s">
        <v>66</v>
      </c>
      <c r="BF12" s="46" t="s">
        <v>63</v>
      </c>
      <c r="BG12" s="46" t="s">
        <v>63</v>
      </c>
      <c r="BH12" s="46" t="s">
        <v>63</v>
      </c>
      <c r="BQ12" s="46" t="s">
        <v>64</v>
      </c>
      <c r="BR12" s="46" t="s">
        <v>36</v>
      </c>
      <c r="FC12" s="46" t="s">
        <v>67</v>
      </c>
      <c r="FD12" s="47">
        <v>0.0</v>
      </c>
      <c r="FF12" s="47">
        <v>80.0</v>
      </c>
    </row>
    <row r="13" ht="15.75" customHeight="1">
      <c r="A13" s="8"/>
      <c r="B13" s="8"/>
      <c r="C13" s="46" t="s">
        <v>24</v>
      </c>
      <c r="D13" s="49">
        <v>-1000.0</v>
      </c>
      <c r="E13" s="46" t="s">
        <v>26</v>
      </c>
      <c r="F13" s="46" t="s">
        <v>56</v>
      </c>
      <c r="G13" s="8"/>
      <c r="H13" s="46" t="s">
        <v>57</v>
      </c>
      <c r="I13" s="8"/>
      <c r="J13" s="8"/>
      <c r="K13" s="8"/>
      <c r="L13" s="8"/>
      <c r="M13" s="8"/>
      <c r="N13" s="8"/>
      <c r="O13" s="8"/>
      <c r="R13" s="46" t="s">
        <v>58</v>
      </c>
      <c r="S13" s="46" t="s">
        <v>51</v>
      </c>
      <c r="T13" s="46" t="s">
        <v>41</v>
      </c>
      <c r="U13" s="46" t="s">
        <v>59</v>
      </c>
      <c r="V13" s="46" t="s">
        <v>43</v>
      </c>
      <c r="W13" s="46" t="s">
        <v>42</v>
      </c>
      <c r="Y13" s="47">
        <v>1.0</v>
      </c>
      <c r="AN13" s="46" t="s">
        <v>48</v>
      </c>
      <c r="AP13" s="46" t="s">
        <v>57</v>
      </c>
      <c r="AQ13" s="46" t="s">
        <v>24</v>
      </c>
      <c r="AR13" s="47"/>
      <c r="AS13" s="47"/>
      <c r="BE13" s="46" t="s">
        <v>41</v>
      </c>
      <c r="BF13" s="46" t="s">
        <v>61</v>
      </c>
      <c r="BG13" s="46" t="s">
        <v>62</v>
      </c>
      <c r="BH13" s="46" t="s">
        <v>63</v>
      </c>
      <c r="BQ13" s="46" t="s">
        <v>64</v>
      </c>
      <c r="BR13" s="46" t="s">
        <v>36</v>
      </c>
      <c r="FC13" s="46" t="s">
        <v>65</v>
      </c>
      <c r="FD13" s="47">
        <v>0.0</v>
      </c>
      <c r="FF13" s="47">
        <v>0.0</v>
      </c>
    </row>
    <row r="14" ht="15.75" customHeight="1">
      <c r="A14" s="8"/>
      <c r="B14" s="8"/>
      <c r="C14" s="46" t="s">
        <v>24</v>
      </c>
      <c r="D14" s="49">
        <v>-1000.0</v>
      </c>
      <c r="E14" s="46" t="s">
        <v>26</v>
      </c>
      <c r="F14" s="46" t="s">
        <v>56</v>
      </c>
      <c r="G14" s="8"/>
      <c r="H14" s="46" t="s">
        <v>57</v>
      </c>
      <c r="I14" s="8"/>
      <c r="J14" s="8"/>
      <c r="K14" s="8"/>
      <c r="L14" s="8"/>
      <c r="M14" s="8"/>
      <c r="N14" s="8"/>
      <c r="O14" s="8"/>
      <c r="R14" s="46" t="s">
        <v>58</v>
      </c>
      <c r="S14" s="46" t="s">
        <v>51</v>
      </c>
      <c r="T14" s="46" t="s">
        <v>41</v>
      </c>
      <c r="U14" s="46" t="s">
        <v>59</v>
      </c>
      <c r="V14" s="46" t="s">
        <v>43</v>
      </c>
      <c r="W14" s="46" t="s">
        <v>42</v>
      </c>
      <c r="Y14" s="47">
        <v>1.0</v>
      </c>
      <c r="AN14" s="46" t="s">
        <v>48</v>
      </c>
      <c r="AP14" s="46" t="s">
        <v>57</v>
      </c>
      <c r="AQ14" s="46" t="s">
        <v>24</v>
      </c>
      <c r="AR14" s="47"/>
      <c r="AS14" s="47"/>
      <c r="BE14" s="46" t="s">
        <v>41</v>
      </c>
      <c r="BF14" s="46" t="s">
        <v>61</v>
      </c>
      <c r="BG14" s="46" t="s">
        <v>62</v>
      </c>
      <c r="BH14" s="46" t="s">
        <v>63</v>
      </c>
      <c r="BQ14" s="46" t="s">
        <v>64</v>
      </c>
      <c r="BR14" s="46" t="s">
        <v>36</v>
      </c>
      <c r="FC14" s="46" t="s">
        <v>65</v>
      </c>
      <c r="FD14" s="47">
        <v>0.0</v>
      </c>
      <c r="FF14" s="47">
        <v>0.0</v>
      </c>
    </row>
    <row r="15" ht="15.75" customHeight="1">
      <c r="A15" s="8"/>
      <c r="B15" s="8"/>
      <c r="C15" s="46" t="s">
        <v>24</v>
      </c>
      <c r="D15" s="47">
        <v>-100.0</v>
      </c>
      <c r="E15" s="46" t="s">
        <v>26</v>
      </c>
      <c r="F15" s="46" t="s">
        <v>56</v>
      </c>
      <c r="G15" s="8"/>
      <c r="H15" s="46" t="s">
        <v>57</v>
      </c>
      <c r="I15" s="8"/>
      <c r="J15" s="8"/>
      <c r="K15" s="8"/>
      <c r="L15" s="8"/>
      <c r="M15" s="8"/>
      <c r="N15" s="8"/>
      <c r="O15" s="8"/>
      <c r="R15" s="46" t="s">
        <v>58</v>
      </c>
      <c r="S15" s="46" t="s">
        <v>51</v>
      </c>
      <c r="T15" s="46" t="s">
        <v>41</v>
      </c>
      <c r="U15" s="46" t="s">
        <v>59</v>
      </c>
      <c r="V15" s="46" t="s">
        <v>43</v>
      </c>
      <c r="W15" s="46" t="s">
        <v>42</v>
      </c>
      <c r="Y15" s="47">
        <v>1.0</v>
      </c>
      <c r="AN15" s="46" t="s">
        <v>49</v>
      </c>
      <c r="AP15" s="46" t="s">
        <v>60</v>
      </c>
      <c r="AQ15" s="46" t="s">
        <v>24</v>
      </c>
      <c r="AR15" s="47"/>
      <c r="AS15" s="47"/>
      <c r="BE15" s="46" t="s">
        <v>41</v>
      </c>
      <c r="BF15" s="46" t="s">
        <v>61</v>
      </c>
      <c r="BG15" s="46" t="s">
        <v>62</v>
      </c>
      <c r="BH15" s="46" t="s">
        <v>63</v>
      </c>
      <c r="BQ15" s="46" t="s">
        <v>64</v>
      </c>
      <c r="BR15" s="46" t="s">
        <v>36</v>
      </c>
      <c r="FC15" s="46" t="s">
        <v>65</v>
      </c>
      <c r="FD15" s="47">
        <v>0.0</v>
      </c>
      <c r="FF15" s="47">
        <v>0.0</v>
      </c>
    </row>
    <row r="16" ht="15.75" customHeight="1">
      <c r="A16" s="8"/>
      <c r="B16" s="8"/>
      <c r="C16" s="46" t="s">
        <v>24</v>
      </c>
      <c r="D16" s="47">
        <v>-900.0</v>
      </c>
      <c r="E16" s="46" t="s">
        <v>26</v>
      </c>
      <c r="F16" s="46" t="s">
        <v>56</v>
      </c>
      <c r="G16" s="8"/>
      <c r="H16" s="46" t="s">
        <v>57</v>
      </c>
      <c r="I16" s="8"/>
      <c r="J16" s="8"/>
      <c r="K16" s="8"/>
      <c r="L16" s="8"/>
      <c r="M16" s="8"/>
      <c r="N16" s="8"/>
      <c r="O16" s="8"/>
      <c r="R16" s="46" t="s">
        <v>58</v>
      </c>
      <c r="S16" s="46" t="s">
        <v>51</v>
      </c>
      <c r="T16" s="46" t="s">
        <v>41</v>
      </c>
      <c r="U16" s="46" t="s">
        <v>59</v>
      </c>
      <c r="V16" s="46" t="s">
        <v>43</v>
      </c>
      <c r="W16" s="46" t="s">
        <v>42</v>
      </c>
      <c r="Y16" s="47">
        <v>1.0</v>
      </c>
      <c r="AN16" s="46" t="s">
        <v>48</v>
      </c>
      <c r="AP16" s="46" t="s">
        <v>57</v>
      </c>
      <c r="AQ16" s="46" t="s">
        <v>24</v>
      </c>
      <c r="AR16" s="47"/>
      <c r="AS16" s="47"/>
      <c r="BE16" s="46" t="s">
        <v>41</v>
      </c>
      <c r="BF16" s="46" t="s">
        <v>61</v>
      </c>
      <c r="BG16" s="46" t="s">
        <v>62</v>
      </c>
      <c r="BH16" s="46" t="s">
        <v>63</v>
      </c>
      <c r="BQ16" s="46" t="s">
        <v>64</v>
      </c>
      <c r="BR16" s="46" t="s">
        <v>36</v>
      </c>
      <c r="FC16" s="46" t="s">
        <v>65</v>
      </c>
      <c r="FD16" s="47">
        <v>0.0</v>
      </c>
      <c r="FF16" s="47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FD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