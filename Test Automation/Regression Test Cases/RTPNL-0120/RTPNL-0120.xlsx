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ResizeEnsure" sheetId="6" r:id="rId8"/>
    <sheet state="visible" name="CheckRealTimeSymAccountMonitor" sheetId="7" r:id="rId9"/>
    <sheet state="visible" name="VerifyGridThroughLiveExcel" sheetId="8" r:id="rId10"/>
    <sheet state="visible" name="CloseRTPNL" sheetId="9" r:id="rId11"/>
  </sheets>
  <definedNames/>
  <calcPr/>
</workbook>
</file>

<file path=xl/sharedStrings.xml><?xml version="1.0" encoding="utf-8"?>
<sst xmlns="http://schemas.openxmlformats.org/spreadsheetml/2006/main" count="73" uniqueCount="34">
  <si>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</si>
  <si>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</si>
  <si>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</si>
  <si>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</si>
  <si>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</si>
  <si>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</si>
  <si>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</si>
  <si>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</si>
  <si>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</si>
  <si>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</si>
  <si>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</si>
  <si>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</si>
  <si>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</si>
  <si>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</si>
  <si>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</si>
  <si>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</si>
  <si>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</si>
  <si>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</si>
  <si>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</si>
  <si>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RTPNL</t>
  </si>
  <si>
    <t>OpenRTPNL</t>
  </si>
  <si>
    <t>Nirvana,PM</t>
  </si>
  <si>
    <t>RealTimeSymAccountMonitor</t>
  </si>
  <si>
    <t>ResizeEnsure</t>
  </si>
  <si>
    <t>MINIMIZE</t>
  </si>
  <si>
    <t>MAXIMIZE</t>
  </si>
  <si>
    <t>CheckRealTimeSymAccountMonitor</t>
  </si>
  <si>
    <t>APPLE</t>
  </si>
  <si>
    <t>NewMF</t>
  </si>
  <si>
    <t>Equity</t>
  </si>
  <si>
    <t>AAPL US EQUITY</t>
  </si>
  <si>
    <t>VerifyGridThroughLiveExcel</t>
  </si>
  <si>
    <t>SymbolAccount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</si>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</sst>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22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25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ResizeEnsure!$4:$4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16</v>
      </c>
      <c r="C6" s="34" t="s">
        <v>27</v>
      </c>
      <c r="D6" s="36" t="s">
        <v>28</v>
      </c>
      <c r="E6" s="37" t="s">
        <v>18</v>
      </c>
      <c r="F6" s="34" t="s">
        <v>29</v>
      </c>
      <c r="G6" s="38">
        <v>100.0</v>
      </c>
      <c r="H6" s="34"/>
      <c r="I6" s="38">
        <v>2.0</v>
      </c>
      <c r="J6" s="38">
        <v>2.0</v>
      </c>
      <c r="K6" s="34"/>
      <c r="L6" s="34"/>
      <c r="M6" s="34"/>
      <c r="N6" s="38">
        <v>0.0</v>
      </c>
      <c r="O6" s="34"/>
      <c r="P6" s="38">
        <v>0.0</v>
      </c>
      <c r="Q6" s="34"/>
      <c r="R6" s="34"/>
      <c r="S6" s="34"/>
      <c r="T6" s="34"/>
      <c r="U6" s="34"/>
      <c r="V6" s="34"/>
      <c r="W6" s="39"/>
      <c r="X6" s="34"/>
      <c r="Y6" s="34"/>
      <c r="Z6" s="34"/>
      <c r="AA6" s="34" t="s">
        <v>30</v>
      </c>
      <c r="AB6" s="34"/>
      <c r="AC6" s="34"/>
      <c r="AD6" s="34"/>
      <c r="AE6" s="34"/>
      <c r="AF6" s="34"/>
      <c r="AG6" s="39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9"/>
      <c r="BB6" s="34"/>
      <c r="BC6" s="39"/>
      <c r="BD6" s="34"/>
      <c r="BE6" s="34"/>
      <c r="BF6" s="34"/>
      <c r="BG6" s="39"/>
      <c r="BH6" s="34"/>
      <c r="BI6" s="34"/>
      <c r="BJ6" s="34"/>
      <c r="BK6" s="34"/>
      <c r="BL6" s="34"/>
      <c r="BM6" s="34"/>
      <c r="BN6" s="39"/>
      <c r="BO6" s="34"/>
      <c r="BP6" s="34"/>
      <c r="BQ6" s="34"/>
      <c r="BR6" s="34"/>
      <c r="BS6" s="34"/>
      <c r="BT6" s="34"/>
      <c r="BU6" s="34"/>
      <c r="BV6" s="39"/>
      <c r="BW6" s="34"/>
      <c r="BX6" s="34"/>
      <c r="BY6" s="34"/>
      <c r="BZ6" s="34"/>
      <c r="CA6" s="34"/>
      <c r="CB6" s="39"/>
      <c r="CC6" s="34"/>
      <c r="CD6" s="34"/>
      <c r="CE6" s="39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9"/>
      <c r="CR6" s="39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9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 Name")</f>
        <v>File Name</v>
      </c>
      <c r="C5" s="27" t="str">
        <f>IFERROR(__xludf.DUMMYFUNCTION("""COMPUTED_VALUE"""),"TabName")</f>
        <v>TabName</v>
      </c>
      <c r="D5" s="27" t="str">
        <f>IFERROR(__xludf.DUMMYFUNCTION("""COMPUTED_VALUE"""),"Fund")</f>
        <v>Fund</v>
      </c>
      <c r="E5" s="27" t="str">
        <f>IFERROR(__xludf.DUMMYFUNCTION("""COMPUTED_VALUE"""),"Market Value")</f>
        <v>Market Value</v>
      </c>
      <c r="F5" s="28" t="str">
        <f>IFERROR(__xludf.DUMMYFUNCTION("""COMPUTED_VALUE"""),"P&amp;L")</f>
        <v>P&amp;L</v>
      </c>
      <c r="G5" s="27" t="str">
        <f>IFERROR(__xludf.DUMMYFUNCTION("""COMPUTED_VALUE"""),"Day P&amp;L")</f>
        <v>Day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Gain/Loss Cost")</f>
        <v>% Gain/Loss Cost</v>
      </c>
      <c r="K5" s="27" t="str">
        <f>IFERROR(__xludf.DUMMYFUNCTION("""COMPUTED_VALUE"""),"% Market Value")</f>
        <v>% Market Value</v>
      </c>
      <c r="L5" s="27" t="str">
        <f>IFERROR(__xludf.DUMMYFUNCTION("""COMPUTED_VALUE"""),"% Exposure")</f>
        <v>% Exposure</v>
      </c>
      <c r="M5" s="27" t="str">
        <f>IFERROR(__xludf.DUMMYFUNCTION("""COMPUTED_VALUE"""),"Short Exposure")</f>
        <v>Short Exposure</v>
      </c>
      <c r="N5" s="27" t="str">
        <f>IFERROR(__xludf.DUMMYFUNCTION("""COMPUTED_VALUE"""),"% Short Exposure")</f>
        <v>% Short Exposure</v>
      </c>
      <c r="O5" s="27" t="str">
        <f>IFERROR(__xludf.DUMMYFUNCTION("""COMPUTED_VALUE"""),"Long Exposure")</f>
        <v>Long Exposure</v>
      </c>
      <c r="P5" s="27" t="str">
        <f>IFERROR(__xludf.DUMMYFUNCTION("""COMPUTED_VALUE"""),"% Long Exposure")</f>
        <v>% Long Exposure</v>
      </c>
      <c r="Q5" s="27" t="str">
        <f>IFERROR(__xludf.DUMMYFUNCTION("""COMPUTED_VALUE"""),"Accruals")</f>
        <v>Accruals</v>
      </c>
      <c r="R5" s="27" t="str">
        <f>IFERROR(__xludf.DUMMYFUNCTION("""COMPUTED_VALUE"""),"Cash")</f>
        <v>Cash</v>
      </c>
      <c r="S5" s="27" t="str">
        <f>IFERROR(__xludf.DUMMYFUNCTION("""COMPUTED_VALUE"""),"NAV")</f>
        <v>NAV</v>
      </c>
      <c r="T5" s="29" t="str">
        <f>IFERROR(__xludf.DUMMYFUNCTION("""COMPUTED_VALUE"""),"Account")</f>
        <v>Account</v>
      </c>
      <c r="U5" s="29" t="str">
        <f>IFERROR(__xludf.DUMMYFUNCTION("""COMPUTED_VALUE"""),"Symbol")</f>
        <v>Symbol</v>
      </c>
      <c r="V5" s="29" t="str">
        <f>IFERROR(__xludf.DUMMYFUNCTION("""COMPUTED_VALUE"""),"Security Name")</f>
        <v>Security Name</v>
      </c>
      <c r="W5" s="29" t="str">
        <f>IFERROR(__xludf.DUMMYFUNCTION("""COMPUTED_VALUE"""),"Position")</f>
        <v>Position</v>
      </c>
      <c r="X5" s="29" t="str">
        <f>IFERROR(__xludf.DUMMYFUNCTION("""COMPUTED_VALUE"""),"Cost Basis P&amp;L")</f>
        <v>Cost Basis P&amp;L</v>
      </c>
      <c r="Y5" s="29" t="str">
        <f>IFERROR(__xludf.DUMMYFUNCTION("""COMPUTED_VALUE"""),"% Net Market Value")</f>
        <v>% Net Market Value</v>
      </c>
      <c r="Z5" s="29" t="str">
        <f>IFERROR(__xludf.DUMMYFUNCTION("""COMPUTED_VALUE"""),"Testing Type")</f>
        <v>Testing Type</v>
      </c>
      <c r="AA5" s="29" t="str">
        <f>IFERROR(__xludf.DUMMYFUNCTION("""COMPUTED_VALUE"""),"Testing Column")</f>
        <v>Testing Column</v>
      </c>
      <c r="AB5" s="29" t="str">
        <f>IFERROR(__xludf.DUMMYFUNCTION("""COMPUTED_VALUE"""),"Testing Col Value")</f>
        <v>Testing Col Value</v>
      </c>
      <c r="AC5" s="29" t="str">
        <f>IFERROR(__xludf.DUMMYFUNCTION("""COMPUTED_VALUE"""),"Bloomberg Symbol")</f>
        <v>Bloomberg Symbol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2" t="s">
        <v>22</v>
      </c>
      <c r="D6" s="30"/>
      <c r="E6" s="35">
        <v>200.0</v>
      </c>
      <c r="F6" s="34"/>
      <c r="G6" s="34"/>
      <c r="H6" s="35">
        <v>200.0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18</v>
      </c>
      <c r="U6" s="34" t="s">
        <v>16</v>
      </c>
      <c r="V6" s="37" t="s">
        <v>27</v>
      </c>
      <c r="W6" s="38">
        <v>100.0</v>
      </c>
      <c r="X6" s="34"/>
      <c r="Y6" s="34"/>
      <c r="Z6" s="34"/>
      <c r="AA6" s="34"/>
      <c r="AB6" s="34"/>
      <c r="AC6" s="34" t="s">
        <v>30</v>
      </c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VerifyGridThroughLiveExcel!$4:$4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