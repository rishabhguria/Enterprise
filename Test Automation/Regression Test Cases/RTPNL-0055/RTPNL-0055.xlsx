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OpenRTPNL" sheetId="6" r:id="rId8"/>
    <sheet state="visible" name="AddWidget" sheetId="7" r:id="rId9"/>
    <sheet state="visible" name="SavePage" sheetId="8" r:id="rId10"/>
    <sheet state="visible" name="OpenWindowFromSearch" sheetId="9" r:id="rId11"/>
    <sheet state="visible" name="CheckFundLevelAggregation" sheetId="10" r:id="rId12"/>
    <sheet state="visible" name="SavePage1" sheetId="11" r:id="rId13"/>
    <sheet state="visible" name="OpenRTPNL1" sheetId="12" r:id="rId14"/>
    <sheet state="visible" name="OpenRTPNL2" sheetId="13" r:id="rId15"/>
  </sheets>
  <definedNames/>
  <calcPr/>
</workbook>
</file>

<file path=xl/sharedStrings.xml><?xml version="1.0" encoding="utf-8"?>
<sst xmlns="http://schemas.openxmlformats.org/spreadsheetml/2006/main" count="103" uniqueCount="39">
  <si>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</si>
  <si>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</si>
  <si>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</si>
  <si>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</si>
  <si>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</si>
  <si>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</si>
  <si>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</si>
  <si>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</si>
  <si>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</si>
  <si>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</si>
  <si>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</si>
  <si>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</si>
  <si>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</si>
  <si>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</si>
  <si>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</si>
  <si>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</si>
  <si>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</si>
  <si>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</si>
  <si>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MS</t>
  </si>
  <si>
    <t>Yes</t>
  </si>
  <si>
    <t>PricingInput</t>
  </si>
  <si>
    <t>RTPNL</t>
  </si>
  <si>
    <t>OpenRTPNL</t>
  </si>
  <si>
    <t>Nirvana</t>
  </si>
  <si>
    <t>Test</t>
  </si>
  <si>
    <t>AddWidget</t>
  </si>
  <si>
    <t>FundLevelAggregation</t>
  </si>
  <si>
    <t>Aggregation</t>
  </si>
  <si>
    <t>Fund</t>
  </si>
  <si>
    <t>SavePage</t>
  </si>
  <si>
    <t>Save</t>
  </si>
  <si>
    <t>OpenFin</t>
  </si>
  <si>
    <t>OpenWindowFromSearch</t>
  </si>
  <si>
    <t>Nirvana,Test</t>
  </si>
  <si>
    <t>CheckFundLevelAggregation</t>
  </si>
  <si>
    <t>NewMF</t>
  </si>
  <si>
    <t>Rename and Save Page</t>
  </si>
  <si>
    <t>Test1</t>
  </si>
  <si>
    <t>Nirvana,Test1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</si>
</sst>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6" fontId="3" numFmtId="0" xfId="0" applyAlignment="1" applyFill="1" applyFont="1">
      <alignment vertical="bottom"/>
    </xf>
    <xf borderId="0" fillId="6" fontId="1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8"/>
      <c r="G6" s="12" t="s">
        <v>18</v>
      </c>
      <c r="H6" s="8"/>
      <c r="I6" s="8"/>
      <c r="J6" s="12">
        <v>2.0</v>
      </c>
      <c r="K6" s="8"/>
      <c r="L6" s="8"/>
      <c r="M6" s="8"/>
      <c r="N6" s="8"/>
      <c r="O6" s="8"/>
      <c r="AQ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2.0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23</v>
      </c>
      <c r="C6" s="32" t="s">
        <v>24</v>
      </c>
      <c r="D6" s="12"/>
      <c r="E6" s="3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/>
      <c r="C7" s="34"/>
      <c r="D7" s="35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20.13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24</v>
      </c>
      <c r="C6" s="36" t="s">
        <v>26</v>
      </c>
      <c r="D6" s="37"/>
      <c r="E6" s="38" t="s">
        <v>27</v>
      </c>
      <c r="F6" s="34" t="s">
        <v>28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AddWidget!$4:$4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8.88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IFERROR(__xludf.DUMMYFUNCTION("""COMPUTED_VALUE"""),"Action")</f>
        <v>Action</v>
      </c>
      <c r="D5" s="27" t="str">
        <f>IFERROR(__xludf.DUMMYFUNCTION("""COMPUTED_VALUE"""),"RenameTabName")</f>
        <v>RenameTabName</v>
      </c>
      <c r="E5" s="27" t="str">
        <f>IFERROR(__xludf.DUMMYFUNCTION("""COMPUTED_VALUE"""),"VerifyToast")</f>
        <v>VerifyToast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24</v>
      </c>
      <c r="C6" s="35" t="s">
        <v>30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SavePage!$4:$4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OpenWindowFromSearch!$4:$4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23" width="12.63"/>
    <col customWidth="1" min="24" max="24" width="20.88"/>
    <col customWidth="1" min="25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IFERROR(__xludf.DUMMYFUNCTION("""COMPUTED_VALUE"""),"Fund")</f>
        <v>Fund</v>
      </c>
      <c r="C5" s="27" t="str">
        <f>IFERROR(__xludf.DUMMYFUNCTION("""COMPUTED_VALUE"""),"Market Value")</f>
        <v>Market Value</v>
      </c>
      <c r="D5" s="27" t="str">
        <f>IFERROR(__xludf.DUMMYFUNCTION("""COMPUTED_VALUE"""),"P&amp;L")</f>
        <v>P&amp;L</v>
      </c>
      <c r="E5" s="27" t="str">
        <f>IFERROR(__xludf.DUMMYFUNCTION("""COMPUTED_VALUE"""),"Day P&amp;L")</f>
        <v>Day P&amp;L</v>
      </c>
      <c r="F5" s="28" t="str">
        <f>IFERROR(__xludf.DUMMYFUNCTION("""COMPUTED_VALUE"""),"Exposure")</f>
        <v>Exposure</v>
      </c>
      <c r="G5" s="27" t="str">
        <f>IFERROR(__xludf.DUMMYFUNCTION("""COMPUTED_VALUE"""),"% Gain/Loss Day")</f>
        <v>% Gain/Loss Day</v>
      </c>
      <c r="H5" s="27" t="str">
        <f>IFERROR(__xludf.DUMMYFUNCTION("""COMPUTED_VALUE"""),"% Gain/Loss Cost")</f>
        <v>% Gain/Loss Cost</v>
      </c>
      <c r="I5" s="27" t="str">
        <f>IFERROR(__xludf.DUMMYFUNCTION("""COMPUTED_VALUE"""),"% Market Value")</f>
        <v>% Market Value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IFERROR(__xludf.DUMMYFUNCTION("""COMPUTED_VALUE"""),"Long Exposure")</f>
        <v>Long Exposure</v>
      </c>
      <c r="N5" s="27" t="str">
        <f>IFERROR(__xludf.DUMMYFUNCTION("""COMPUTED_VALUE"""),"% Long Exposure")</f>
        <v>% Long Exposure</v>
      </c>
      <c r="O5" s="27" t="str">
        <f>IFERROR(__xludf.DUMMYFUNCTION("""COMPUTED_VALUE"""),"Accruals")</f>
        <v>Accruals</v>
      </c>
      <c r="P5" s="27" t="str">
        <f>IFERROR(__xludf.DUMMYFUNCTION("""COMPUTED_VALUE"""),"Cash")</f>
        <v>Cash</v>
      </c>
      <c r="Q5" s="27" t="str">
        <f>IFERROR(__xludf.DUMMYFUNCTION("""COMPUTED_VALUE"""),"NAV")</f>
        <v>NAV</v>
      </c>
      <c r="R5" s="27" t="str">
        <f>IFERROR(__xludf.DUMMYFUNCTION("""COMPUTED_VALUE"""),"Testing Type")</f>
        <v>Testing Type</v>
      </c>
      <c r="S5" s="27" t="str">
        <f>IFERROR(__xludf.DUMMYFUNCTION("""COMPUTED_VALUE"""),"Testing Column")</f>
        <v>Testing Column</v>
      </c>
      <c r="T5" s="29" t="str">
        <f>IFERROR(__xludf.DUMMYFUNCTION("""COMPUTED_VALUE"""),"Testing Col Value")</f>
        <v>Testing Col Value</v>
      </c>
      <c r="U5" s="29" t="str">
        <f>IFERROR(__xludf.DUMMYFUNCTION("""COMPUTED_VALUE"""),"DuplicateCountOnUI")</f>
        <v>DuplicateCountOnUI</v>
      </c>
      <c r="V5" s="29" t="str">
        <f>IFERROR(__xludf.DUMMYFUNCTION("""COMPUTED_VALUE"""),"DuplicateRow")</f>
        <v>DuplicateRow</v>
      </c>
      <c r="W5" s="29" t="str">
        <f>IFERROR(__xludf.DUMMYFUNCTION("""COMPUTED_VALUE"""),"TabName")</f>
        <v>TabName</v>
      </c>
      <c r="X5" s="29" t="str">
        <f>IFERROR(__xludf.DUMMYFUNCTION("""COMPUTED_VALUE"""),"GridDataWidgetName")</f>
        <v>GridDataWidgetName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35</v>
      </c>
      <c r="C6" s="39">
        <v>0.0</v>
      </c>
      <c r="D6" s="39">
        <v>-200.0</v>
      </c>
      <c r="E6" s="39">
        <v>-200.0</v>
      </c>
      <c r="F6" s="39">
        <v>0.0</v>
      </c>
      <c r="G6" s="39">
        <v>-100.0</v>
      </c>
      <c r="H6" s="39">
        <v>-100.0</v>
      </c>
      <c r="I6" s="40">
        <v>0.0</v>
      </c>
      <c r="J6" s="40">
        <v>0.0</v>
      </c>
      <c r="K6" s="40">
        <v>0.0</v>
      </c>
      <c r="L6" s="40">
        <v>0.0</v>
      </c>
      <c r="M6" s="39">
        <v>0.0</v>
      </c>
      <c r="N6" s="40">
        <v>0.0</v>
      </c>
      <c r="O6" s="40">
        <v>0.0</v>
      </c>
      <c r="P6" s="41">
        <v>-200.0</v>
      </c>
      <c r="Q6" s="42">
        <v>-200.0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V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CheckFundLevelAggregation!$4:$4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8.88"/>
    <col customWidth="1" min="3" max="3" width="20.13"/>
    <col customWidth="1" min="4" max="4" width="22.25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IFERROR(__xludf.DUMMYFUNCTION("""COMPUTED_VALUE"""),"Action")</f>
        <v>Action</v>
      </c>
      <c r="D5" s="27" t="str">
        <f>IFERROR(__xludf.DUMMYFUNCTION("""COMPUTED_VALUE"""),"RenameTabName")</f>
        <v>RenameTabName</v>
      </c>
      <c r="E5" s="27" t="str">
        <f>IFERROR(__xludf.DUMMYFUNCTION("""COMPUTED_VALUE"""),"VerifyToast")</f>
        <v>VerifyToast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24</v>
      </c>
      <c r="C6" s="12" t="s">
        <v>36</v>
      </c>
      <c r="D6" s="43" t="s">
        <v>37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SavePage1!$4:$4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33</v>
      </c>
      <c r="C6" s="43" t="s">
        <v>24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38</v>
      </c>
      <c r="C6" s="43" t="s">
        <v>37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OpenRTPNL2!$4:$4</formula1>
    </dataValidation>
  </dataValidations>
  <drawing r:id="rId1"/>
</worksheet>
</file>