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EditStageOrder" sheetId="5" r:id="rId7"/>
    <sheet state="visible" name="OpenQtt" sheetId="6" r:id="rId8"/>
    <sheet state="visible" name="TradeQTT" sheetId="7" r:id="rId9"/>
    <sheet state="visible" name="OpenQtt1" sheetId="8" r:id="rId10"/>
    <sheet state="visible" name="TradeQTT1" sheetId="9" r:id="rId11"/>
    <sheet state="visible" name="VerifyExecutionType" sheetId="10" r:id="rId12"/>
    <sheet state="visible" name="TradeQTT2" sheetId="11" r:id="rId13"/>
    <sheet state="visible" name="TradeQTT3" sheetId="12" r:id="rId14"/>
  </sheets>
  <definedNames/>
  <calcPr/>
</workbook>
</file>

<file path=xl/sharedStrings.xml><?xml version="1.0" encoding="utf-8"?>
<sst xmlns="http://schemas.openxmlformats.org/spreadsheetml/2006/main" count="115" uniqueCount="40">
  <si>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</si>
  <si>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</si>
  <si>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</si>
  <si>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</si>
  <si>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</si>
  <si>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</si>
  <si>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</si>
  <si>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</si>
  <si>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</si>
  <si>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</si>
  <si>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</si>
  <si>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</si>
  <si>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</si>
  <si>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</si>
  <si>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</si>
  <si>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</si>
  <si>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</si>
  <si>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CreateOrder</t>
  </si>
  <si>
    <t>Buy</t>
  </si>
  <si>
    <t>Day</t>
  </si>
  <si>
    <t>Blotter</t>
  </si>
  <si>
    <t>EditStageOrder</t>
  </si>
  <si>
    <t>New</t>
  </si>
  <si>
    <t>QTT</t>
  </si>
  <si>
    <t>OpenQtt</t>
  </si>
  <si>
    <t>Save</t>
  </si>
  <si>
    <t>TradeQTT</t>
  </si>
  <si>
    <t>GTD1</t>
  </si>
  <si>
    <t>Allocation1</t>
  </si>
  <si>
    <t>MS</t>
  </si>
  <si>
    <t>NASDAQ</t>
  </si>
  <si>
    <t>Market</t>
  </si>
  <si>
    <t>Manual</t>
  </si>
  <si>
    <t>Modify</t>
  </si>
  <si>
    <t>Good Till date</t>
  </si>
  <si>
    <t>VerifyExecutionType</t>
  </si>
  <si>
    <t>Stage</t>
  </si>
  <si>
    <t>Manual,Live</t>
  </si>
  <si>
    <t>GTC1</t>
  </si>
  <si>
    <t>GTC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</si>
</sst>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50.0</v>
      </c>
      <c r="D6" s="12">
        <v>5.0</v>
      </c>
      <c r="E6" s="12" t="s">
        <v>17</v>
      </c>
      <c r="F6" s="8"/>
      <c r="G6" s="8"/>
      <c r="H6" s="8"/>
      <c r="I6" s="8"/>
      <c r="J6" s="12" t="s">
        <v>18</v>
      </c>
      <c r="K6" s="8"/>
      <c r="L6" s="8"/>
      <c r="M6" s="8"/>
      <c r="N6" s="8"/>
      <c r="O6" s="8"/>
      <c r="U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18</v>
      </c>
      <c r="AK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EditStageOrder!$4:$4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IFERROR(__xludf.DUMMYFUNCTION("""COMPUTED_VALUE"""),"Action")</f>
        <v>Action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OpenQtt!$4:$4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IFERROR(__xludf.DUMMYFUNCTION("""COMPUTED_VALUE"""),"Title")</f>
        <v>Title</v>
      </c>
      <c r="C5" s="27" t="str">
        <f>IFERROR(__xludf.DUMMYFUNCTION("""COMPUTED_VALUE"""),"Symbol")</f>
        <v>Symbol</v>
      </c>
      <c r="D5" s="27" t="str">
        <f>IFERROR(__xludf.DUMMYFUNCTION("""COMPUTED_VALUE"""),"Quantity")</f>
        <v>Quantity</v>
      </c>
      <c r="E5" s="27" t="str">
        <f>IFERROR(__xludf.DUMMYFUNCTION("""COMPUTED_VALUE"""),"Allocation")</f>
        <v>Allocation</v>
      </c>
      <c r="F5" s="28" t="str">
        <f>IFERROR(__xludf.DUMMYFUNCTION("""COMPUTED_VALUE"""),"Broker")</f>
        <v>Broker</v>
      </c>
      <c r="G5" s="27" t="str">
        <f>IFERROR(__xludf.DUMMYFUNCTION("""COMPUTED_VALUE"""),"Venue")</f>
        <v>Venue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IFERROR(__xludf.DUMMYFUNCTION("""COMPUTED_VALUE"""),"Execution Type")</f>
        <v>Execution Type</v>
      </c>
      <c r="K5" s="27" t="str">
        <f>IFERROR(__xludf.DUMMYFUNCTION("""COMPUTED_VALUE"""),"Select Color")</f>
        <v>Select Color</v>
      </c>
      <c r="L5" s="27" t="str">
        <f>IFERROR(__xludf.DUMMYFUNCTION("""COMPUTED_VALUE"""),"Add To Favourite")</f>
        <v>Add To Favourite</v>
      </c>
      <c r="M5" s="27" t="str">
        <f>IFERROR(__xludf.DUMMYFUNCTION("""COMPUTED_VALUE"""),"AlgoType")</f>
        <v>AlgoType</v>
      </c>
      <c r="N5" s="27" t="str">
        <f>IFERROR(__xludf.DUMMYFUNCTION("""COMPUTED_VALUE"""),"Start time")</f>
        <v>Start time</v>
      </c>
      <c r="O5" s="27" t="str">
        <f>IFERROR(__xludf.DUMMYFUNCTION("""COMPUTED_VALUE"""),"End time")</f>
        <v>End time</v>
      </c>
      <c r="P5" s="27" t="str">
        <f>IFERROR(__xludf.DUMMYFUNCTION("""COMPUTED_VALUE"""),"EndTimeCheckBox")</f>
        <v>EndTimeCheckBox</v>
      </c>
      <c r="Q5" s="27" t="str">
        <f>IFERROR(__xludf.DUMMYFUNCTION("""COMPUTED_VALUE"""),"Style")</f>
        <v>Style</v>
      </c>
      <c r="R5" s="27" t="str">
        <f>IFERROR(__xludf.DUMMYFUNCTION("""COMPUTED_VALUE"""),"Save")</f>
        <v>Save</v>
      </c>
      <c r="S5" s="27" t="str">
        <f>IFERROR(__xludf.DUMMYFUNCTION("""COMPUTED_VALUE"""),"Quick Preferences Name")</f>
        <v>Quick Preferences Name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27</v>
      </c>
      <c r="C6" s="12" t="s">
        <v>16</v>
      </c>
      <c r="D6" s="12">
        <v>20.0</v>
      </c>
      <c r="E6" s="12" t="s">
        <v>28</v>
      </c>
      <c r="F6" s="12" t="s">
        <v>29</v>
      </c>
      <c r="G6" s="12" t="s">
        <v>30</v>
      </c>
      <c r="H6" s="12" t="s">
        <v>19</v>
      </c>
      <c r="I6" s="12" t="s">
        <v>31</v>
      </c>
      <c r="J6" s="12" t="s">
        <v>32</v>
      </c>
      <c r="K6" s="8"/>
      <c r="L6" s="12" t="b">
        <v>1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TradeQTT!$4:$4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IFERROR(__xludf.DUMMYFUNCTION("""COMPUTED_VALUE"""),"Action")</f>
        <v>Action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33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OpenQtt1!$4:$4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IFERROR(__xludf.DUMMYFUNCTION("""COMPUTED_VALUE"""),"Title")</f>
        <v>Title</v>
      </c>
      <c r="C5" s="27" t="str">
        <f>IFERROR(__xludf.DUMMYFUNCTION("""COMPUTED_VALUE"""),"Symbol")</f>
        <v>Symbol</v>
      </c>
      <c r="D5" s="27" t="str">
        <f>IFERROR(__xludf.DUMMYFUNCTION("""COMPUTED_VALUE"""),"Quantity")</f>
        <v>Quantity</v>
      </c>
      <c r="E5" s="27" t="str">
        <f>IFERROR(__xludf.DUMMYFUNCTION("""COMPUTED_VALUE"""),"Allocation")</f>
        <v>Allocation</v>
      </c>
      <c r="F5" s="28" t="str">
        <f>IFERROR(__xludf.DUMMYFUNCTION("""COMPUTED_VALUE"""),"Broker")</f>
        <v>Broker</v>
      </c>
      <c r="G5" s="27" t="str">
        <f>IFERROR(__xludf.DUMMYFUNCTION("""COMPUTED_VALUE"""),"Venue")</f>
        <v>Venue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IFERROR(__xludf.DUMMYFUNCTION("""COMPUTED_VALUE"""),"Execution Type")</f>
        <v>Execution Type</v>
      </c>
      <c r="K5" s="27" t="str">
        <f>IFERROR(__xludf.DUMMYFUNCTION("""COMPUTED_VALUE"""),"Select Color")</f>
        <v>Select Color</v>
      </c>
      <c r="L5" s="27" t="str">
        <f>IFERROR(__xludf.DUMMYFUNCTION("""COMPUTED_VALUE"""),"Add To Favourite")</f>
        <v>Add To Favourite</v>
      </c>
      <c r="M5" s="27" t="str">
        <f>IFERROR(__xludf.DUMMYFUNCTION("""COMPUTED_VALUE"""),"AlgoType")</f>
        <v>AlgoType</v>
      </c>
      <c r="N5" s="27" t="str">
        <f>IFERROR(__xludf.DUMMYFUNCTION("""COMPUTED_VALUE"""),"Start time")</f>
        <v>Start time</v>
      </c>
      <c r="O5" s="27" t="str">
        <f>IFERROR(__xludf.DUMMYFUNCTION("""COMPUTED_VALUE"""),"End time")</f>
        <v>End time</v>
      </c>
      <c r="P5" s="27" t="str">
        <f>IFERROR(__xludf.DUMMYFUNCTION("""COMPUTED_VALUE"""),"EndTimeCheckBox")</f>
        <v>EndTimeCheckBox</v>
      </c>
      <c r="Q5" s="27" t="str">
        <f>IFERROR(__xludf.DUMMYFUNCTION("""COMPUTED_VALUE"""),"Style")</f>
        <v>Style</v>
      </c>
      <c r="R5" s="27" t="str">
        <f>IFERROR(__xludf.DUMMYFUNCTION("""COMPUTED_VALUE"""),"Save")</f>
        <v>Save</v>
      </c>
      <c r="S5" s="27" t="str">
        <f>IFERROR(__xludf.DUMMYFUNCTION("""COMPUTED_VALUE"""),"Quick Preferences Name")</f>
        <v>Quick Preferences Name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27</v>
      </c>
      <c r="C6" s="12" t="s">
        <v>16</v>
      </c>
      <c r="D6" s="12">
        <v>20.0</v>
      </c>
      <c r="E6" s="12" t="s">
        <v>28</v>
      </c>
      <c r="F6" s="12" t="s">
        <v>29</v>
      </c>
      <c r="G6" s="12" t="s">
        <v>30</v>
      </c>
      <c r="H6" s="12" t="s">
        <v>34</v>
      </c>
      <c r="I6" s="12" t="s">
        <v>31</v>
      </c>
      <c r="J6" s="12"/>
      <c r="K6" s="8"/>
      <c r="L6" s="12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TradeQTT1!$4:$4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IFERROR(__xludf.DUMMYFUNCTION("""COMPUTED_VALUE"""),"EnabledButtons")</f>
        <v>EnabledButtons</v>
      </c>
      <c r="C5" s="27" t="str">
        <f>IFERROR(__xludf.DUMMYFUNCTION("""COMPUTED_VALUE"""),"DisabledButtons")</f>
        <v>DisabledButtons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36</v>
      </c>
      <c r="C6" s="12" t="s">
        <v>37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VerifyExecutionType!$4:$4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IFERROR(__xludf.DUMMYFUNCTION("""COMPUTED_VALUE"""),"Title")</f>
        <v>Title</v>
      </c>
      <c r="C5" s="27" t="str">
        <f>IFERROR(__xludf.DUMMYFUNCTION("""COMPUTED_VALUE"""),"Symbol")</f>
        <v>Symbol</v>
      </c>
      <c r="D5" s="27" t="str">
        <f>IFERROR(__xludf.DUMMYFUNCTION("""COMPUTED_VALUE"""),"Quantity")</f>
        <v>Quantity</v>
      </c>
      <c r="E5" s="27" t="str">
        <f>IFERROR(__xludf.DUMMYFUNCTION("""COMPUTED_VALUE"""),"Allocation")</f>
        <v>Allocation</v>
      </c>
      <c r="F5" s="28" t="str">
        <f>IFERROR(__xludf.DUMMYFUNCTION("""COMPUTED_VALUE"""),"Broker")</f>
        <v>Broker</v>
      </c>
      <c r="G5" s="27" t="str">
        <f>IFERROR(__xludf.DUMMYFUNCTION("""COMPUTED_VALUE"""),"Venue")</f>
        <v>Venue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IFERROR(__xludf.DUMMYFUNCTION("""COMPUTED_VALUE"""),"Execution Type")</f>
        <v>Execution Type</v>
      </c>
      <c r="K5" s="27" t="str">
        <f>IFERROR(__xludf.DUMMYFUNCTION("""COMPUTED_VALUE"""),"Select Color")</f>
        <v>Select Color</v>
      </c>
      <c r="L5" s="27" t="str">
        <f>IFERROR(__xludf.DUMMYFUNCTION("""COMPUTED_VALUE"""),"Add To Favourite")</f>
        <v>Add To Favourite</v>
      </c>
      <c r="M5" s="27" t="str">
        <f>IFERROR(__xludf.DUMMYFUNCTION("""COMPUTED_VALUE"""),"AlgoType")</f>
        <v>AlgoType</v>
      </c>
      <c r="N5" s="27" t="str">
        <f>IFERROR(__xludf.DUMMYFUNCTION("""COMPUTED_VALUE"""),"Start time")</f>
        <v>Start time</v>
      </c>
      <c r="O5" s="27" t="str">
        <f>IFERROR(__xludf.DUMMYFUNCTION("""COMPUTED_VALUE"""),"End time")</f>
        <v>End time</v>
      </c>
      <c r="P5" s="27" t="str">
        <f>IFERROR(__xludf.DUMMYFUNCTION("""COMPUTED_VALUE"""),"EndTimeCheckBox")</f>
        <v>EndTimeCheckBox</v>
      </c>
      <c r="Q5" s="27" t="str">
        <f>IFERROR(__xludf.DUMMYFUNCTION("""COMPUTED_VALUE"""),"Style")</f>
        <v>Style</v>
      </c>
      <c r="R5" s="27" t="str">
        <f>IFERROR(__xludf.DUMMYFUNCTION("""COMPUTED_VALUE"""),"Save")</f>
        <v>Save</v>
      </c>
      <c r="S5" s="27" t="str">
        <f>IFERROR(__xludf.DUMMYFUNCTION("""COMPUTED_VALUE"""),"Quick Preferences Name")</f>
        <v>Quick Preferences Name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38</v>
      </c>
      <c r="C6" s="12" t="s">
        <v>16</v>
      </c>
      <c r="D6" s="12">
        <v>20.0</v>
      </c>
      <c r="E6" s="12" t="s">
        <v>28</v>
      </c>
      <c r="F6" s="12" t="s">
        <v>29</v>
      </c>
      <c r="G6" s="12" t="s">
        <v>30</v>
      </c>
      <c r="H6" s="12" t="s">
        <v>19</v>
      </c>
      <c r="I6" s="12" t="s">
        <v>31</v>
      </c>
      <c r="J6" s="12" t="s">
        <v>32</v>
      </c>
      <c r="K6" s="8"/>
      <c r="L6" s="12" t="b">
        <v>1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TradeQTT2!$4:$4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IFERROR(__xludf.DUMMYFUNCTION("""COMPUTED_VALUE"""),"Title")</f>
        <v>Title</v>
      </c>
      <c r="C5" s="27" t="str">
        <f>IFERROR(__xludf.DUMMYFUNCTION("""COMPUTED_VALUE"""),"Symbol")</f>
        <v>Symbol</v>
      </c>
      <c r="D5" s="27" t="str">
        <f>IFERROR(__xludf.DUMMYFUNCTION("""COMPUTED_VALUE"""),"Quantity")</f>
        <v>Quantity</v>
      </c>
      <c r="E5" s="27" t="str">
        <f>IFERROR(__xludf.DUMMYFUNCTION("""COMPUTED_VALUE"""),"Allocation")</f>
        <v>Allocation</v>
      </c>
      <c r="F5" s="28" t="str">
        <f>IFERROR(__xludf.DUMMYFUNCTION("""COMPUTED_VALUE"""),"Broker")</f>
        <v>Broker</v>
      </c>
      <c r="G5" s="27" t="str">
        <f>IFERROR(__xludf.DUMMYFUNCTION("""COMPUTED_VALUE"""),"Venue")</f>
        <v>Venue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IFERROR(__xludf.DUMMYFUNCTION("""COMPUTED_VALUE"""),"Execution Type")</f>
        <v>Execution Type</v>
      </c>
      <c r="K5" s="27" t="str">
        <f>IFERROR(__xludf.DUMMYFUNCTION("""COMPUTED_VALUE"""),"Select Color")</f>
        <v>Select Color</v>
      </c>
      <c r="L5" s="27" t="str">
        <f>IFERROR(__xludf.DUMMYFUNCTION("""COMPUTED_VALUE"""),"Add To Favourite")</f>
        <v>Add To Favourite</v>
      </c>
      <c r="M5" s="27" t="str">
        <f>IFERROR(__xludf.DUMMYFUNCTION("""COMPUTED_VALUE"""),"AlgoType")</f>
        <v>AlgoType</v>
      </c>
      <c r="N5" s="27" t="str">
        <f>IFERROR(__xludf.DUMMYFUNCTION("""COMPUTED_VALUE"""),"Start time")</f>
        <v>Start time</v>
      </c>
      <c r="O5" s="27" t="str">
        <f>IFERROR(__xludf.DUMMYFUNCTION("""COMPUTED_VALUE"""),"End time")</f>
        <v>End time</v>
      </c>
      <c r="P5" s="27" t="str">
        <f>IFERROR(__xludf.DUMMYFUNCTION("""COMPUTED_VALUE"""),"EndTimeCheckBox")</f>
        <v>EndTimeCheckBox</v>
      </c>
      <c r="Q5" s="27" t="str">
        <f>IFERROR(__xludf.DUMMYFUNCTION("""COMPUTED_VALUE"""),"Style")</f>
        <v>Style</v>
      </c>
      <c r="R5" s="27" t="str">
        <f>IFERROR(__xludf.DUMMYFUNCTION("""COMPUTED_VALUE"""),"Save")</f>
        <v>Save</v>
      </c>
      <c r="S5" s="27" t="str">
        <f>IFERROR(__xludf.DUMMYFUNCTION("""COMPUTED_VALUE"""),"Quick Preferences Name")</f>
        <v>Quick Preferences Name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38</v>
      </c>
      <c r="C6" s="12" t="s">
        <v>16</v>
      </c>
      <c r="D6" s="12">
        <v>20.0</v>
      </c>
      <c r="E6" s="12" t="s">
        <v>28</v>
      </c>
      <c r="F6" s="12" t="s">
        <v>29</v>
      </c>
      <c r="G6" s="12" t="s">
        <v>30</v>
      </c>
      <c r="H6" s="12" t="s">
        <v>39</v>
      </c>
      <c r="I6" s="12" t="s">
        <v>31</v>
      </c>
      <c r="J6" s="12"/>
      <c r="K6" s="8"/>
      <c r="L6" s="12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TradeQTT3!$4:$4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