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7" activeTab="21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SetAutoGroupingAccount" sheetId="5" r:id="rId5"/>
    <sheet name="CreateLiveOrder" sheetId="6" r:id="rId6"/>
    <sheet name="AcknowledgeTrade" sheetId="7" r:id="rId7"/>
    <sheet name="SelectTrade" sheetId="8" r:id="rId8"/>
    <sheet name="ExecuteTrade" sheetId="9" r:id="rId9"/>
    <sheet name="SelectTrade1" sheetId="10" r:id="rId10"/>
    <sheet name="AcknowledgeTrade1" sheetId="11" r:id="rId11"/>
    <sheet name="ExecuteTrade1" sheetId="12" r:id="rId12"/>
    <sheet name="SelectTrade2" sheetId="13" r:id="rId13"/>
    <sheet name="AcknowledgeTrade2" sheetId="14" r:id="rId14"/>
    <sheet name="ExecuteTrade2" sheetId="15" r:id="rId15"/>
    <sheet name="SelectTrade3" sheetId="16" r:id="rId16"/>
    <sheet name="AcknowledgeTrade3" sheetId="17" r:id="rId17"/>
    <sheet name="ExecuteTrade3" sheetId="18" r:id="rId18"/>
    <sheet name="VerifyOrder" sheetId="19" r:id="rId19"/>
    <sheet name="GetDataAllocation" sheetId="20" r:id="rId20"/>
    <sheet name="CheckAllocatedGroups" sheetId="21" r:id="rId21"/>
    <sheet name="CheckPortfolioManagement" sheetId="22" r:id="rId22"/>
  </sheets>
  <calcPr calcId="145621"/>
</workbook>
</file>

<file path=xl/calcChain.xml><?xml version="1.0" encoding="utf-8"?>
<calcChain xmlns="http://schemas.openxmlformats.org/spreadsheetml/2006/main">
  <c r="FA5" i="22" l="1"/>
  <c r="ES5" i="22"/>
  <c r="EK5" i="22"/>
  <c r="EC5" i="22"/>
  <c r="DU5" i="22"/>
  <c r="DM5" i="22"/>
  <c r="DE5" i="22"/>
  <c r="CW5" i="22"/>
  <c r="CO5" i="22"/>
  <c r="CG5" i="22"/>
  <c r="BY5" i="22"/>
  <c r="BQ5" i="22"/>
  <c r="BI5" i="22"/>
  <c r="BA5" i="22"/>
  <c r="AS5" i="22"/>
  <c r="AK5" i="22"/>
  <c r="AC5" i="22"/>
  <c r="U5" i="22"/>
  <c r="M5" i="22"/>
  <c r="E5" i="22"/>
  <c r="V4" i="22"/>
  <c r="N4" i="22"/>
  <c r="F4" i="22"/>
  <c r="CQ5" i="21"/>
  <c r="CI5" i="21"/>
  <c r="CA5" i="21"/>
  <c r="BS5" i="21"/>
  <c r="BK5" i="21"/>
  <c r="BC5" i="21"/>
  <c r="AU5" i="21"/>
  <c r="AM5" i="21"/>
  <c r="AE5" i="21"/>
  <c r="W5" i="21"/>
  <c r="O5" i="21"/>
  <c r="G5" i="21"/>
  <c r="DO4" i="21"/>
  <c r="DG4" i="21"/>
  <c r="CY4" i="21"/>
  <c r="CQ4" i="21"/>
  <c r="CI4" i="21"/>
  <c r="CA4" i="21"/>
  <c r="BS4" i="21"/>
  <c r="BK4" i="21"/>
  <c r="BC4" i="21"/>
  <c r="AU4" i="21"/>
  <c r="AM4" i="21"/>
  <c r="AE4" i="21"/>
  <c r="W4" i="21"/>
  <c r="O4" i="21"/>
  <c r="G4" i="21"/>
  <c r="Q5" i="20"/>
  <c r="I5" i="20"/>
  <c r="A5" i="20"/>
  <c r="DI4" i="20"/>
  <c r="DA4" i="20"/>
  <c r="CS4" i="20"/>
  <c r="CK4" i="20"/>
  <c r="CC4" i="20"/>
  <c r="BU4" i="20"/>
  <c r="BM4" i="20"/>
  <c r="BE4" i="20"/>
  <c r="AW4" i="20"/>
  <c r="AO4" i="20"/>
  <c r="AG4" i="20"/>
  <c r="Y4" i="20"/>
  <c r="Q4" i="20"/>
  <c r="I4" i="20"/>
  <c r="AS5" i="19"/>
  <c r="AK5" i="19"/>
  <c r="AC5" i="19"/>
  <c r="U5" i="19"/>
  <c r="M5" i="19"/>
  <c r="E5" i="19"/>
  <c r="AQ4" i="19"/>
  <c r="AI4" i="19"/>
  <c r="AA4" i="19"/>
  <c r="S4" i="19"/>
  <c r="K4" i="19"/>
  <c r="C4" i="19"/>
  <c r="H4" i="18"/>
  <c r="G5" i="17"/>
  <c r="I4" i="17"/>
  <c r="J4" i="16"/>
  <c r="B4" i="16"/>
  <c r="G4" i="15"/>
  <c r="F5" i="14"/>
  <c r="H4" i="14"/>
  <c r="EZ5" i="22"/>
  <c r="ER5" i="22"/>
  <c r="EJ5" i="22"/>
  <c r="EB5" i="22"/>
  <c r="DT5" i="22"/>
  <c r="DL5" i="22"/>
  <c r="DD5" i="22"/>
  <c r="CV5" i="22"/>
  <c r="CN5" i="22"/>
  <c r="CF5" i="22"/>
  <c r="BX5" i="22"/>
  <c r="BP5" i="22"/>
  <c r="BH5" i="22"/>
  <c r="AZ5" i="22"/>
  <c r="AR5" i="22"/>
  <c r="AJ5" i="22"/>
  <c r="AB5" i="22"/>
  <c r="T5" i="22"/>
  <c r="L5" i="22"/>
  <c r="D5" i="22"/>
  <c r="U4" i="22"/>
  <c r="M4" i="22"/>
  <c r="EY5" i="22"/>
  <c r="EQ5" i="22"/>
  <c r="EI5" i="22"/>
  <c r="EA5" i="22"/>
  <c r="DS5" i="22"/>
  <c r="DK5" i="22"/>
  <c r="DC5" i="22"/>
  <c r="CU5" i="22"/>
  <c r="CM5" i="22"/>
  <c r="CE5" i="22"/>
  <c r="BW5" i="22"/>
  <c r="BO5" i="22"/>
  <c r="BG5" i="22"/>
  <c r="AY5" i="22"/>
  <c r="AQ5" i="22"/>
  <c r="AI5" i="22"/>
  <c r="AA5" i="22"/>
  <c r="S5" i="22"/>
  <c r="K5" i="22"/>
  <c r="C5" i="22"/>
  <c r="T4" i="22"/>
  <c r="L4" i="22"/>
  <c r="D4" i="22"/>
  <c r="CO5" i="21"/>
  <c r="CG5" i="21"/>
  <c r="BY5" i="21"/>
  <c r="BQ5" i="21"/>
  <c r="BI5" i="21"/>
  <c r="BA5" i="21"/>
  <c r="AS5" i="21"/>
  <c r="AK5" i="21"/>
  <c r="AC5" i="21"/>
  <c r="U5" i="21"/>
  <c r="M5" i="21"/>
  <c r="E5" i="21"/>
  <c r="DM4" i="21"/>
  <c r="DE4" i="21"/>
  <c r="CW4" i="21"/>
  <c r="CO4" i="21"/>
  <c r="CG4" i="21"/>
  <c r="BY4" i="21"/>
  <c r="BQ4" i="21"/>
  <c r="BI4" i="21"/>
  <c r="BA4" i="21"/>
  <c r="AS4" i="21"/>
  <c r="AK4" i="21"/>
  <c r="AC4" i="21"/>
  <c r="U4" i="21"/>
  <c r="M4" i="21"/>
  <c r="E4" i="21"/>
  <c r="O5" i="20"/>
  <c r="G5" i="20"/>
  <c r="DO4" i="20"/>
  <c r="DG4" i="20"/>
  <c r="CY4" i="20"/>
  <c r="CQ4" i="20"/>
  <c r="CI4" i="20"/>
  <c r="CA4" i="20"/>
  <c r="BS4" i="20"/>
  <c r="BK4" i="20"/>
  <c r="BC4" i="20"/>
  <c r="AU4" i="20"/>
  <c r="AM4" i="20"/>
  <c r="AE4" i="20"/>
  <c r="W4" i="20"/>
  <c r="O4" i="20"/>
  <c r="G4" i="20"/>
  <c r="AY5" i="19"/>
  <c r="AQ5" i="19"/>
  <c r="AI5" i="19"/>
  <c r="AA5" i="19"/>
  <c r="S5" i="19"/>
  <c r="K5" i="19"/>
  <c r="C5" i="19"/>
  <c r="AO4" i="19"/>
  <c r="AG4" i="19"/>
  <c r="Y4" i="19"/>
  <c r="Q4" i="19"/>
  <c r="I4" i="19"/>
  <c r="F4" i="18"/>
  <c r="E5" i="17"/>
  <c r="G4" i="17"/>
  <c r="F5" i="16"/>
  <c r="H4" i="16"/>
  <c r="C5" i="15"/>
  <c r="E4" i="15"/>
  <c r="D5" i="14"/>
  <c r="F4" i="14"/>
  <c r="E5" i="13"/>
  <c r="G4" i="13"/>
  <c r="B5" i="12"/>
  <c r="D4" i="12"/>
  <c r="C5" i="11"/>
  <c r="E4" i="11"/>
  <c r="D5" i="10"/>
  <c r="F4" i="10"/>
  <c r="A5" i="9"/>
  <c r="C4" i="9"/>
  <c r="B5" i="8"/>
  <c r="D4" i="8"/>
  <c r="C5" i="7"/>
  <c r="E4" i="7"/>
  <c r="AJ5" i="6"/>
  <c r="AB5" i="6"/>
  <c r="T5" i="6"/>
  <c r="L5" i="6"/>
  <c r="D5" i="6"/>
  <c r="P4" i="6"/>
  <c r="H4" i="6"/>
  <c r="B5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G5" i="4"/>
  <c r="EX5" i="22"/>
  <c r="EP5" i="22"/>
  <c r="EH5" i="22"/>
  <c r="DZ5" i="22"/>
  <c r="DR5" i="22"/>
  <c r="DJ5" i="22"/>
  <c r="DB5" i="22"/>
  <c r="CT5" i="22"/>
  <c r="CL5" i="22"/>
  <c r="CD5" i="22"/>
  <c r="BV5" i="22"/>
  <c r="BN5" i="22"/>
  <c r="BF5" i="22"/>
  <c r="AX5" i="22"/>
  <c r="AP5" i="22"/>
  <c r="AH5" i="22"/>
  <c r="Z5" i="22"/>
  <c r="R5" i="22"/>
  <c r="J5" i="22"/>
  <c r="B5" i="22"/>
  <c r="EW5" i="22"/>
  <c r="EO5" i="22"/>
  <c r="EG5" i="22"/>
  <c r="DY5" i="22"/>
  <c r="DQ5" i="22"/>
  <c r="DI5" i="22"/>
  <c r="DA5" i="22"/>
  <c r="CS5" i="22"/>
  <c r="CK5" i="22"/>
  <c r="CC5" i="22"/>
  <c r="BU5" i="22"/>
  <c r="BM5" i="22"/>
  <c r="BE5" i="22"/>
  <c r="AW5" i="22"/>
  <c r="AO5" i="22"/>
  <c r="AG5" i="22"/>
  <c r="Y5" i="22"/>
  <c r="Q5" i="22"/>
  <c r="I5" i="22"/>
  <c r="A5" i="22"/>
  <c r="R4" i="22"/>
  <c r="J4" i="22"/>
  <c r="B4" i="22"/>
  <c r="CM5" i="21"/>
  <c r="CE5" i="21"/>
  <c r="BW5" i="21"/>
  <c r="BO5" i="21"/>
  <c r="BG5" i="21"/>
  <c r="AY5" i="21"/>
  <c r="AQ5" i="21"/>
  <c r="AI5" i="21"/>
  <c r="AA5" i="21"/>
  <c r="S5" i="21"/>
  <c r="K5" i="21"/>
  <c r="C5" i="21"/>
  <c r="DK4" i="21"/>
  <c r="DC4" i="21"/>
  <c r="CU4" i="21"/>
  <c r="CM4" i="21"/>
  <c r="CE4" i="21"/>
  <c r="BW4" i="21"/>
  <c r="BO4" i="21"/>
  <c r="BG4" i="21"/>
  <c r="AY4" i="21"/>
  <c r="AQ4" i="21"/>
  <c r="AI4" i="21"/>
  <c r="AA4" i="21"/>
  <c r="S4" i="21"/>
  <c r="K4" i="21"/>
  <c r="C4" i="21"/>
  <c r="M5" i="20"/>
  <c r="E5" i="20"/>
  <c r="DM4" i="20"/>
  <c r="DE4" i="20"/>
  <c r="CW4" i="20"/>
  <c r="CO4" i="20"/>
  <c r="CG4" i="20"/>
  <c r="BY4" i="20"/>
  <c r="BQ4" i="20"/>
  <c r="BI4" i="20"/>
  <c r="BA4" i="20"/>
  <c r="AS4" i="20"/>
  <c r="AK4" i="20"/>
  <c r="AC4" i="20"/>
  <c r="U4" i="20"/>
  <c r="M4" i="20"/>
  <c r="E4" i="20"/>
  <c r="AW5" i="19"/>
  <c r="AO5" i="19"/>
  <c r="AG5" i="19"/>
  <c r="Y5" i="19"/>
  <c r="Q5" i="19"/>
  <c r="I5" i="19"/>
  <c r="A5" i="19"/>
  <c r="AM4" i="19"/>
  <c r="AE4" i="19"/>
  <c r="W4" i="19"/>
  <c r="O4" i="19"/>
  <c r="G4" i="19"/>
  <c r="B5" i="18"/>
  <c r="D4" i="18"/>
  <c r="C5" i="17"/>
  <c r="E4" i="17"/>
  <c r="D5" i="16"/>
  <c r="F4" i="16"/>
  <c r="A5" i="15"/>
  <c r="C4" i="15"/>
  <c r="B5" i="14"/>
  <c r="D4" i="14"/>
  <c r="C5" i="13"/>
  <c r="E4" i="13"/>
  <c r="J4" i="12"/>
  <c r="B4" i="12"/>
  <c r="A5" i="11"/>
  <c r="C4" i="11"/>
  <c r="B5" i="10"/>
  <c r="D4" i="10"/>
  <c r="I4" i="9"/>
  <c r="J4" i="8"/>
  <c r="B4" i="8"/>
  <c r="A5" i="7"/>
  <c r="C4" i="7"/>
  <c r="AH5" i="6"/>
  <c r="Z5" i="6"/>
  <c r="R5" i="6"/>
  <c r="J5" i="6"/>
  <c r="B5" i="6"/>
  <c r="N4" i="6"/>
  <c r="F4" i="6"/>
  <c r="DP4" i="5"/>
  <c r="DH4" i="5"/>
  <c r="CZ4" i="5"/>
  <c r="CR4" i="5"/>
  <c r="CJ4" i="5"/>
  <c r="EV5" i="22"/>
  <c r="EN5" i="22"/>
  <c r="EF5" i="22"/>
  <c r="DX5" i="22"/>
  <c r="DP5" i="22"/>
  <c r="DH5" i="22"/>
  <c r="CZ5" i="22"/>
  <c r="CR5" i="22"/>
  <c r="CJ5" i="22"/>
  <c r="CB5" i="22"/>
  <c r="BT5" i="22"/>
  <c r="BL5" i="22"/>
  <c r="BD5" i="22"/>
  <c r="AV5" i="22"/>
  <c r="AN5" i="22"/>
  <c r="AF5" i="22"/>
  <c r="X5" i="22"/>
  <c r="P5" i="22"/>
  <c r="H5" i="22"/>
  <c r="Y4" i="22"/>
  <c r="Q4" i="22"/>
  <c r="I4" i="22"/>
  <c r="CL5" i="21"/>
  <c r="CD5" i="21"/>
  <c r="BV5" i="21"/>
  <c r="BN5" i="21"/>
  <c r="BF5" i="21"/>
  <c r="AX5" i="21"/>
  <c r="AP5" i="21"/>
  <c r="AH5" i="21"/>
  <c r="Z5" i="21"/>
  <c r="R5" i="21"/>
  <c r="J5" i="21"/>
  <c r="B5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L5" i="20"/>
  <c r="D5" i="20"/>
  <c r="DL4" i="20"/>
  <c r="DD4" i="20"/>
  <c r="CV4" i="20"/>
  <c r="CN4" i="20"/>
  <c r="CF4" i="20"/>
  <c r="BX4" i="20"/>
  <c r="BP4" i="20"/>
  <c r="BH4" i="20"/>
  <c r="AZ4" i="20"/>
  <c r="AR4" i="20"/>
  <c r="AJ4" i="20"/>
  <c r="AB4" i="20"/>
  <c r="T4" i="20"/>
  <c r="L4" i="20"/>
  <c r="D4" i="20"/>
  <c r="AV5" i="19"/>
  <c r="AN5" i="19"/>
  <c r="AF5" i="19"/>
  <c r="X5" i="19"/>
  <c r="P5" i="19"/>
  <c r="H5" i="19"/>
  <c r="AT4" i="19"/>
  <c r="AL4" i="19"/>
  <c r="AD4" i="19"/>
  <c r="V4" i="19"/>
  <c r="N4" i="19"/>
  <c r="F4" i="19"/>
  <c r="A5" i="18"/>
  <c r="C4" i="18"/>
  <c r="B5" i="17"/>
  <c r="D4" i="17"/>
  <c r="C5" i="16"/>
  <c r="E4" i="16"/>
  <c r="J4" i="15"/>
  <c r="B4" i="15"/>
  <c r="A5" i="14"/>
  <c r="EU5" i="22"/>
  <c r="EM5" i="22"/>
  <c r="EE5" i="22"/>
  <c r="DW5" i="22"/>
  <c r="DO5" i="22"/>
  <c r="DG5" i="22"/>
  <c r="CY5" i="22"/>
  <c r="CQ5" i="22"/>
  <c r="CI5" i="22"/>
  <c r="CA5" i="22"/>
  <c r="BS5" i="22"/>
  <c r="BC5" i="22"/>
  <c r="AU5" i="22"/>
  <c r="AM5" i="22"/>
  <c r="AE5" i="22"/>
  <c r="W5" i="22"/>
  <c r="O5" i="22"/>
  <c r="G5" i="22"/>
  <c r="X4" i="22"/>
  <c r="P4" i="22"/>
  <c r="H4" i="22"/>
  <c r="CS5" i="21"/>
  <c r="CK5" i="21"/>
  <c r="CC5" i="21"/>
  <c r="BU5" i="21"/>
  <c r="BM5" i="21"/>
  <c r="BE5" i="21"/>
  <c r="AW5" i="21"/>
  <c r="AO5" i="21"/>
  <c r="AG5" i="21"/>
  <c r="Y5" i="21"/>
  <c r="Q5" i="21"/>
  <c r="I5" i="21"/>
  <c r="A5" i="21"/>
  <c r="DI4" i="21"/>
  <c r="DA4" i="21"/>
  <c r="CS4" i="21"/>
  <c r="CK4" i="21"/>
  <c r="CC4" i="21"/>
  <c r="BU4" i="21"/>
  <c r="BM4" i="21"/>
  <c r="BE4" i="21"/>
  <c r="AW4" i="21"/>
  <c r="AO4" i="21"/>
  <c r="AG4" i="21"/>
  <c r="Y4" i="21"/>
  <c r="Q4" i="21"/>
  <c r="I4" i="21"/>
  <c r="K5" i="20"/>
  <c r="C5" i="20"/>
  <c r="DK4" i="20"/>
  <c r="DC4" i="20"/>
  <c r="CU4" i="20"/>
  <c r="CM4" i="20"/>
  <c r="CE4" i="20"/>
  <c r="BW4" i="20"/>
  <c r="BO4" i="20"/>
  <c r="BG4" i="20"/>
  <c r="AY4" i="20"/>
  <c r="AQ4" i="20"/>
  <c r="AI4" i="20"/>
  <c r="AA4" i="20"/>
  <c r="S4" i="20"/>
  <c r="K4" i="20"/>
  <c r="C4" i="20"/>
  <c r="AU5" i="19"/>
  <c r="AM5" i="19"/>
  <c r="AE5" i="19"/>
  <c r="W5" i="19"/>
  <c r="O5" i="19"/>
  <c r="G5" i="19"/>
  <c r="AS4" i="19"/>
  <c r="AK4" i="19"/>
  <c r="AC4" i="19"/>
  <c r="U4" i="19"/>
  <c r="M4" i="19"/>
  <c r="E4" i="19"/>
  <c r="J4" i="18"/>
  <c r="B4" i="18"/>
  <c r="A5" i="17"/>
  <c r="C4" i="17"/>
  <c r="B5" i="16"/>
  <c r="D4" i="16"/>
  <c r="I4" i="15"/>
  <c r="J4" i="14"/>
  <c r="B4" i="14"/>
  <c r="A5" i="13"/>
  <c r="C4" i="13"/>
  <c r="H4" i="12"/>
  <c r="G5" i="11"/>
  <c r="I4" i="11"/>
  <c r="J4" i="10"/>
  <c r="B4" i="10"/>
  <c r="G4" i="9"/>
  <c r="F5" i="8"/>
  <c r="ET5" i="22"/>
  <c r="EL5" i="22"/>
  <c r="ED5" i="22"/>
  <c r="DV5" i="22"/>
  <c r="DN5" i="22"/>
  <c r="DF5" i="22"/>
  <c r="CX5" i="22"/>
  <c r="CP5" i="22"/>
  <c r="CH5" i="22"/>
  <c r="BZ5" i="22"/>
  <c r="BR5" i="22"/>
  <c r="BJ5" i="22"/>
  <c r="BB5" i="22"/>
  <c r="AT5" i="22"/>
  <c r="AL5" i="22"/>
  <c r="AD5" i="22"/>
  <c r="V5" i="22"/>
  <c r="N5" i="22"/>
  <c r="F5" i="22"/>
  <c r="W4" i="22"/>
  <c r="O4" i="22"/>
  <c r="G4" i="22"/>
  <c r="CR5" i="21"/>
  <c r="CJ5" i="21"/>
  <c r="CB5" i="21"/>
  <c r="BT5" i="21"/>
  <c r="BL5" i="21"/>
  <c r="BD5" i="21"/>
  <c r="AV5" i="21"/>
  <c r="AN5" i="21"/>
  <c r="AF5" i="21"/>
  <c r="X5" i="21"/>
  <c r="P5" i="21"/>
  <c r="H5" i="21"/>
  <c r="DP4" i="21"/>
  <c r="DH4" i="21"/>
  <c r="CZ4" i="21"/>
  <c r="CR4" i="21"/>
  <c r="CJ4" i="21"/>
  <c r="CB4" i="21"/>
  <c r="BT4" i="21"/>
  <c r="BL4" i="21"/>
  <c r="BD4" i="21"/>
  <c r="AV4" i="21"/>
  <c r="AN4" i="21"/>
  <c r="AF4" i="21"/>
  <c r="X4" i="21"/>
  <c r="P4" i="21"/>
  <c r="H4" i="21"/>
  <c r="R5" i="20"/>
  <c r="J5" i="20"/>
  <c r="B5" i="20"/>
  <c r="DJ4" i="20"/>
  <c r="DB4" i="20"/>
  <c r="CT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AT5" i="19"/>
  <c r="AL5" i="19"/>
  <c r="AD5" i="19"/>
  <c r="V5" i="19"/>
  <c r="N5" i="19"/>
  <c r="F5" i="19"/>
  <c r="AR4" i="19"/>
  <c r="AJ4" i="19"/>
  <c r="AB4" i="19"/>
  <c r="T4" i="19"/>
  <c r="L4" i="19"/>
  <c r="D4" i="19"/>
  <c r="I4" i="18"/>
  <c r="J4" i="17"/>
  <c r="B4" i="17"/>
  <c r="A5" i="16"/>
  <c r="C4" i="16"/>
  <c r="H4" i="15"/>
  <c r="G5" i="14"/>
  <c r="I4" i="14"/>
  <c r="J4" i="13"/>
  <c r="B4" i="13"/>
  <c r="G4" i="12"/>
  <c r="F5" i="11"/>
  <c r="H4" i="11"/>
  <c r="G5" i="10"/>
  <c r="I4" i="10"/>
  <c r="F4" i="9"/>
  <c r="S4" i="22"/>
  <c r="BZ5" i="21"/>
  <c r="AT5" i="21"/>
  <c r="N5" i="21"/>
  <c r="CX4" i="21"/>
  <c r="BR4" i="21"/>
  <c r="AL4" i="21"/>
  <c r="F4" i="21"/>
  <c r="DH4" i="20"/>
  <c r="CB4" i="20"/>
  <c r="AV4" i="20"/>
  <c r="P4" i="20"/>
  <c r="AJ5" i="19"/>
  <c r="D5" i="19"/>
  <c r="R4" i="19"/>
  <c r="F5" i="17"/>
  <c r="C4" i="14"/>
  <c r="D4" i="13"/>
  <c r="B4" i="11"/>
  <c r="C4" i="10"/>
  <c r="G5" i="8"/>
  <c r="F4" i="8"/>
  <c r="B5" i="7"/>
  <c r="AD5" i="6"/>
  <c r="S5" i="6"/>
  <c r="H5" i="6"/>
  <c r="R4" i="6"/>
  <c r="G4" i="6"/>
  <c r="DN4" i="5"/>
  <c r="DD4" i="5"/>
  <c r="CS4" i="5"/>
  <c r="CH4" i="5"/>
  <c r="BY4" i="5"/>
  <c r="BP4" i="5"/>
  <c r="BG4" i="5"/>
  <c r="AW4" i="5"/>
  <c r="AN4" i="5"/>
  <c r="AE4" i="5"/>
  <c r="V4" i="5"/>
  <c r="M4" i="5"/>
  <c r="D4" i="5"/>
  <c r="H5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C20" i="3"/>
  <c r="C18" i="3"/>
  <c r="C16" i="3"/>
  <c r="C14" i="3"/>
  <c r="C12" i="3"/>
  <c r="C10" i="3"/>
  <c r="C8" i="3"/>
  <c r="C6" i="3"/>
  <c r="C4" i="3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K4" i="22"/>
  <c r="BX5" i="21"/>
  <c r="AR5" i="21"/>
  <c r="L5" i="21"/>
  <c r="CV4" i="21"/>
  <c r="BP4" i="21"/>
  <c r="AJ4" i="21"/>
  <c r="D4" i="21"/>
  <c r="DF4" i="20"/>
  <c r="BZ4" i="20"/>
  <c r="AT4" i="20"/>
  <c r="N4" i="20"/>
  <c r="AH5" i="19"/>
  <c r="B5" i="19"/>
  <c r="P4" i="19"/>
  <c r="D5" i="17"/>
  <c r="B5" i="15"/>
  <c r="G5" i="13"/>
  <c r="E5" i="11"/>
  <c r="F5" i="10"/>
  <c r="C5" i="9"/>
  <c r="E5" i="8"/>
  <c r="E4" i="8"/>
  <c r="J4" i="7"/>
  <c r="AM5" i="6"/>
  <c r="AC5" i="6"/>
  <c r="Q5" i="6"/>
  <c r="G5" i="6"/>
  <c r="Q4" i="6"/>
  <c r="E4" i="6"/>
  <c r="DM4" i="5"/>
  <c r="DC4" i="5"/>
  <c r="CQ4" i="5"/>
  <c r="CG4" i="5"/>
  <c r="BX4" i="5"/>
  <c r="BO4" i="5"/>
  <c r="BE4" i="5"/>
  <c r="AV4" i="5"/>
  <c r="AM4" i="5"/>
  <c r="AD4" i="5"/>
  <c r="U4" i="5"/>
  <c r="L4" i="5"/>
  <c r="C4" i="5"/>
  <c r="F5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B20" i="3"/>
  <c r="B18" i="3"/>
  <c r="B16" i="3"/>
  <c r="B14" i="3"/>
  <c r="B12" i="3"/>
  <c r="B10" i="3"/>
  <c r="B8" i="3"/>
  <c r="B6" i="3"/>
  <c r="B4" i="3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E4" i="22"/>
  <c r="BR5" i="21"/>
  <c r="AL5" i="21"/>
  <c r="F5" i="21"/>
  <c r="CP4" i="21"/>
  <c r="BJ4" i="21"/>
  <c r="AD4" i="21"/>
  <c r="P5" i="20"/>
  <c r="CZ4" i="20"/>
  <c r="BT4" i="20"/>
  <c r="AN4" i="20"/>
  <c r="H4" i="20"/>
  <c r="AB5" i="19"/>
  <c r="AP4" i="19"/>
  <c r="J4" i="19"/>
  <c r="H4" i="17"/>
  <c r="F4" i="15"/>
  <c r="F5" i="13"/>
  <c r="C5" i="12"/>
  <c r="D5" i="11"/>
  <c r="E5" i="10"/>
  <c r="B5" i="9"/>
  <c r="D5" i="8"/>
  <c r="C4" i="8"/>
  <c r="I4" i="7"/>
  <c r="AL5" i="6"/>
  <c r="AA5" i="6"/>
  <c r="P5" i="6"/>
  <c r="F5" i="6"/>
  <c r="O4" i="6"/>
  <c r="D4" i="6"/>
  <c r="DL4" i="5"/>
  <c r="DA4" i="5"/>
  <c r="CP4" i="5"/>
  <c r="CF4" i="5"/>
  <c r="BW4" i="5"/>
  <c r="BM4" i="5"/>
  <c r="BD4" i="5"/>
  <c r="AU4" i="5"/>
  <c r="AL4" i="5"/>
  <c r="AC4" i="5"/>
  <c r="T4" i="5"/>
  <c r="K4" i="5"/>
  <c r="E5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A20" i="3"/>
  <c r="A18" i="3"/>
  <c r="A16" i="3"/>
  <c r="A14" i="3"/>
  <c r="A12" i="3"/>
  <c r="A10" i="3"/>
  <c r="A8" i="3"/>
  <c r="A6" i="3"/>
  <c r="A4" i="3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C4" i="22"/>
  <c r="BP5" i="21"/>
  <c r="AJ5" i="21"/>
  <c r="D5" i="21"/>
  <c r="CN4" i="21"/>
  <c r="BH4" i="21"/>
  <c r="AB4" i="21"/>
  <c r="N5" i="20"/>
  <c r="CX4" i="20"/>
  <c r="BR4" i="20"/>
  <c r="AL4" i="20"/>
  <c r="F4" i="20"/>
  <c r="Z5" i="19"/>
  <c r="AN4" i="19"/>
  <c r="H4" i="19"/>
  <c r="F4" i="17"/>
  <c r="D4" i="15"/>
  <c r="D5" i="13"/>
  <c r="A5" i="12"/>
  <c r="B5" i="11"/>
  <c r="C5" i="10"/>
  <c r="J4" i="9"/>
  <c r="C5" i="8"/>
  <c r="H4" i="7"/>
  <c r="AK5" i="6"/>
  <c r="Y5" i="6"/>
  <c r="O5" i="6"/>
  <c r="E5" i="6"/>
  <c r="M4" i="6"/>
  <c r="C4" i="6"/>
  <c r="DK4" i="5"/>
  <c r="CY4" i="5"/>
  <c r="CO4" i="5"/>
  <c r="CE4" i="5"/>
  <c r="BU4" i="5"/>
  <c r="BL4" i="5"/>
  <c r="BC4" i="5"/>
  <c r="AT4" i="5"/>
  <c r="AK4" i="5"/>
  <c r="AB4" i="5"/>
  <c r="S4" i="5"/>
  <c r="I4" i="5"/>
  <c r="M5" i="4"/>
  <c r="D5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D19" i="3"/>
  <c r="D17" i="3"/>
  <c r="D15" i="3"/>
  <c r="D13" i="3"/>
  <c r="D11" i="3"/>
  <c r="D9" i="3"/>
  <c r="D7" i="3"/>
  <c r="D5" i="3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CP5" i="21"/>
  <c r="BJ5" i="21"/>
  <c r="AD5" i="21"/>
  <c r="DN4" i="21"/>
  <c r="CH4" i="21"/>
  <c r="BB4" i="21"/>
  <c r="V4" i="21"/>
  <c r="H5" i="20"/>
  <c r="CR4" i="20"/>
  <c r="BL4" i="20"/>
  <c r="AF4" i="20"/>
  <c r="AZ5" i="19"/>
  <c r="T5" i="19"/>
  <c r="AH4" i="19"/>
  <c r="B4" i="19"/>
  <c r="G5" i="16"/>
  <c r="E5" i="14"/>
  <c r="B5" i="13"/>
  <c r="I4" i="12"/>
  <c r="J4" i="11"/>
  <c r="A5" i="10"/>
  <c r="H4" i="9"/>
  <c r="A5" i="8"/>
  <c r="G5" i="7"/>
  <c r="G4" i="7"/>
  <c r="AI5" i="6"/>
  <c r="X5" i="6"/>
  <c r="N5" i="6"/>
  <c r="C5" i="6"/>
  <c r="L4" i="6"/>
  <c r="B4" i="6"/>
  <c r="DI4" i="5"/>
  <c r="CX4" i="5"/>
  <c r="CN4" i="5"/>
  <c r="CC4" i="5"/>
  <c r="BT4" i="5"/>
  <c r="BK4" i="5"/>
  <c r="BB4" i="5"/>
  <c r="AS4" i="5"/>
  <c r="AJ4" i="5"/>
  <c r="AA4" i="5"/>
  <c r="Q4" i="5"/>
  <c r="H4" i="5"/>
  <c r="L5" i="4"/>
  <c r="C5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C19" i="3"/>
  <c r="C17" i="3"/>
  <c r="C15" i="3"/>
  <c r="C13" i="3"/>
  <c r="C11" i="3"/>
  <c r="C9" i="3"/>
  <c r="C7" i="3"/>
  <c r="C5" i="3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CN5" i="21"/>
  <c r="BH5" i="21"/>
  <c r="AB5" i="21"/>
  <c r="DL4" i="21"/>
  <c r="CF4" i="21"/>
  <c r="AZ4" i="21"/>
  <c r="T4" i="21"/>
  <c r="F5" i="20"/>
  <c r="CP4" i="20"/>
  <c r="BJ4" i="20"/>
  <c r="AD4" i="20"/>
  <c r="AX5" i="19"/>
  <c r="R5" i="19"/>
  <c r="AF4" i="19"/>
  <c r="C5" i="18"/>
  <c r="E5" i="16"/>
  <c r="C5" i="14"/>
  <c r="I4" i="13"/>
  <c r="F4" i="12"/>
  <c r="G4" i="11"/>
  <c r="H4" i="10"/>
  <c r="E4" i="9"/>
  <c r="I4" i="8"/>
  <c r="F5" i="7"/>
  <c r="F4" i="7"/>
  <c r="AG5" i="6"/>
  <c r="W5" i="6"/>
  <c r="M5" i="6"/>
  <c r="A5" i="6"/>
  <c r="K4" i="6"/>
  <c r="DG4" i="5"/>
  <c r="CW4" i="5"/>
  <c r="CM4" i="5"/>
  <c r="CB4" i="5"/>
  <c r="BS4" i="5"/>
  <c r="BJ4" i="5"/>
  <c r="BA4" i="5"/>
  <c r="AR4" i="5"/>
  <c r="AI4" i="5"/>
  <c r="Y4" i="5"/>
  <c r="P4" i="5"/>
  <c r="G4" i="5"/>
  <c r="K5" i="4"/>
  <c r="B5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B19" i="3"/>
  <c r="B17" i="3"/>
  <c r="B15" i="3"/>
  <c r="B13" i="3"/>
  <c r="B11" i="3"/>
  <c r="B9" i="3"/>
  <c r="B7" i="3"/>
  <c r="B5" i="3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CH5" i="21"/>
  <c r="BB5" i="21"/>
  <c r="V5" i="21"/>
  <c r="DF4" i="21"/>
  <c r="BZ4" i="21"/>
  <c r="AT4" i="21"/>
  <c r="N4" i="21"/>
  <c r="DP4" i="20"/>
  <c r="CJ4" i="20"/>
  <c r="BD4" i="20"/>
  <c r="X4" i="20"/>
  <c r="AR5" i="19"/>
  <c r="L5" i="19"/>
  <c r="Z4" i="19"/>
  <c r="G4" i="18"/>
  <c r="I4" i="16"/>
  <c r="G4" i="14"/>
  <c r="H4" i="13"/>
  <c r="E4" i="12"/>
  <c r="F4" i="11"/>
  <c r="G4" i="10"/>
  <c r="D4" i="9"/>
  <c r="H4" i="8"/>
  <c r="E5" i="7"/>
  <c r="D4" i="7"/>
  <c r="AF5" i="6"/>
  <c r="V5" i="6"/>
  <c r="K5" i="6"/>
  <c r="T4" i="6"/>
  <c r="J4" i="6"/>
  <c r="A5" i="5"/>
  <c r="DF4" i="5"/>
  <c r="CV4" i="5"/>
  <c r="CK4" i="5"/>
  <c r="CA4" i="5"/>
  <c r="BR4" i="5"/>
  <c r="BI4" i="5"/>
  <c r="AZ4" i="5"/>
  <c r="AQ4" i="5"/>
  <c r="AG4" i="5"/>
  <c r="X4" i="5"/>
  <c r="O4" i="5"/>
  <c r="F4" i="5"/>
  <c r="J5" i="4"/>
  <c r="A5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A19" i="3"/>
  <c r="A17" i="3"/>
  <c r="A15" i="3"/>
  <c r="A13" i="3"/>
  <c r="A11" i="3"/>
  <c r="A9" i="3"/>
  <c r="A7" i="3"/>
  <c r="A5" i="3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CF5" i="21"/>
  <c r="AZ5" i="21"/>
  <c r="T5" i="21"/>
  <c r="DD4" i="21"/>
  <c r="BX4" i="21"/>
  <c r="AR4" i="21"/>
  <c r="L4" i="21"/>
  <c r="DN4" i="20"/>
  <c r="CH4" i="20"/>
  <c r="BB4" i="20"/>
  <c r="V4" i="20"/>
  <c r="AP5" i="19"/>
  <c r="J5" i="19"/>
  <c r="X4" i="19"/>
  <c r="E4" i="18"/>
  <c r="G4" i="16"/>
  <c r="E4" i="14"/>
  <c r="F4" i="13"/>
  <c r="C4" i="12"/>
  <c r="D4" i="11"/>
  <c r="E4" i="10"/>
  <c r="B4" i="9"/>
  <c r="G4" i="8"/>
  <c r="D5" i="7"/>
  <c r="B4" i="7"/>
  <c r="AE5" i="6"/>
  <c r="U5" i="6"/>
  <c r="I5" i="6"/>
  <c r="S4" i="6"/>
  <c r="I4" i="6"/>
  <c r="DO4" i="5"/>
  <c r="DE4" i="5"/>
  <c r="CU4" i="5"/>
  <c r="CI4" i="5"/>
  <c r="BZ4" i="5"/>
  <c r="BQ4" i="5"/>
  <c r="BH4" i="5"/>
  <c r="AY4" i="5"/>
  <c r="AO4" i="5"/>
  <c r="AF4" i="5"/>
  <c r="W4" i="5"/>
  <c r="N4" i="5"/>
  <c r="E4" i="5"/>
  <c r="I5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D20" i="3"/>
  <c r="D18" i="3"/>
  <c r="D16" i="3"/>
  <c r="D14" i="3"/>
  <c r="D12" i="3"/>
  <c r="D10" i="3"/>
  <c r="D8" i="3"/>
  <c r="D6" i="3"/>
  <c r="D4" i="3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6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305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305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304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J2" i="20" l="1"/>
  <c r="J2" i="17"/>
  <c r="J2" i="19"/>
  <c r="J2" i="9"/>
  <c r="J2" i="22"/>
  <c r="J2" i="21"/>
  <c r="J2" i="15"/>
  <c r="J2" i="11"/>
  <c r="J2" i="18"/>
  <c r="J2" i="14"/>
  <c r="J2" i="10"/>
  <c r="J2" i="16"/>
  <c r="J2" i="12"/>
  <c r="J2" i="7"/>
  <c r="J2" i="13"/>
  <c r="J2" i="5"/>
  <c r="J2" i="8"/>
  <c r="J2" i="6"/>
  <c r="J2" i="4"/>
</calcChain>
</file>

<file path=xl/sharedStrings.xml><?xml version="1.0" encoding="utf-8"?>
<sst xmlns="http://schemas.openxmlformats.org/spreadsheetml/2006/main" count="255" uniqueCount="43">
  <si>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</si>
  <si>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</si>
  <si>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</si>
  <si>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</si>
  <si>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</si>
  <si>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</si>
  <si>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</si>
  <si>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</si>
  <si>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</si>
  <si>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</si>
  <si>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</si>
  <si>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</si>
  <si>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</si>
  <si>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</si>
  <si>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</si>
  <si>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</si>
  <si>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</si>
  <si>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</si>
  <si>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Allocation3</t>
  </si>
  <si>
    <t>TradingTicket</t>
  </si>
  <si>
    <t>CreateLiveOrder</t>
  </si>
  <si>
    <t>MSFT</t>
  </si>
  <si>
    <t>Buy</t>
  </si>
  <si>
    <t>AAPL</t>
  </si>
  <si>
    <t>Allocation2</t>
  </si>
  <si>
    <t>Simulator</t>
  </si>
  <si>
    <t>AcknowledgeTrade</t>
  </si>
  <si>
    <t>SelectTrade</t>
  </si>
  <si>
    <t>ExecuteTrade</t>
  </si>
  <si>
    <t>Blotter</t>
  </si>
  <si>
    <t>VerifyOrder</t>
  </si>
  <si>
    <t>Equity</t>
  </si>
  <si>
    <t>Filled</t>
  </si>
  <si>
    <t>MS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</si>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</sst>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0" fontId="13" fillId="0" borderId="0" xfId="0" applyFont="1" applyAlignment="1"/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2" t="s">
        <v>0</v>
      </c>
      <c r="B1" s="33"/>
      <c r="C1" s="33"/>
      <c r="D1" s="33"/>
      <c r="E1" s="33"/>
      <c r="F1" s="34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/>
    <row r="461" spans="1:3" ht="15.75" customHeight="1" x14ac:dyDescent="0.2"/>
    <row r="462" spans="1:3" ht="15.75" customHeight="1" x14ac:dyDescent="0.2"/>
    <row r="463" spans="1:3" ht="15.75" customHeight="1" x14ac:dyDescent="0.2"/>
    <row r="464" spans="1:3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5" t="s">
        <v>2</v>
      </c>
      <c r="B1" s="33"/>
      <c r="C1" s="34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2" t="s">
        <v>7</v>
      </c>
      <c r="B1" s="33"/>
      <c r="C1" s="33"/>
      <c r="D1" s="33"/>
      <c r="E1" s="33"/>
      <c r="F1" s="34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IFERROR(__xludf.DUMMYFUNCTION("""COMPUTED_VALUE"""),"AutoGroup")</f>
        <v>AutoGroup</v>
      </c>
      <c r="C5" s="22" t="str">
        <f ca="1">IFERROR(__xludf.DUMMYFUNCTION("""COMPUTED_VALUE"""),"TradeAttribute1")</f>
        <v>TradeAttribute1</v>
      </c>
      <c r="D5" s="22" t="str">
        <f ca="1">IFERROR(__xludf.DUMMYFUNCTION("""COMPUTED_VALUE"""),"TradeAttribute2")</f>
        <v>TradeAttribute2</v>
      </c>
      <c r="E5" s="22" t="str">
        <f ca="1">IFERROR(__xludf.DUMMYFUNCTION("""COMPUTED_VALUE"""),"TradeAttribute3")</f>
        <v>TradeAttribute3</v>
      </c>
      <c r="F5" s="23" t="str">
        <f ca="1">IFERROR(__xludf.DUMMYFUNCTION("""COMPUTED_VALUE"""),"TradeAttribute4")</f>
        <v>TradeAttribute4</v>
      </c>
      <c r="G5" s="22" t="str">
        <f ca="1">IFERROR(__xludf.DUMMYFUNCTION("""COMPUTED_VALUE"""),"TradeAttribute5")</f>
        <v>TradeAttribute5</v>
      </c>
      <c r="H5" s="22" t="str">
        <f ca="1">IFERROR(__xludf.DUMMYFUNCTION("""COMPUTED_VALUE"""),"TradeAttribute6")</f>
        <v>TradeAttribute6</v>
      </c>
      <c r="I5" s="22" t="str">
        <f ca="1">IFERROR(__xludf.DUMMYFUNCTION("""COMPUTED_VALUE"""),"Broker")</f>
        <v>Broker</v>
      </c>
      <c r="J5" s="22" t="str">
        <f ca="1">IFERROR(__xludf.DUMMYFUNCTION("""COMPUTED_VALUE"""),"Venue")</f>
        <v>Venue</v>
      </c>
      <c r="K5" s="22" t="str">
        <f ca="1">IFERROR(__xludf.DUMMYFUNCTION("""COMPUTED_VALUE"""),"TradingAC")</f>
        <v>TradingAC</v>
      </c>
      <c r="L5" s="22" t="str">
        <f ca="1">IFERROR(__xludf.DUMMYFUNCTION("""COMPUTED_VALUE"""),"TradeDate")</f>
        <v>TradeDate</v>
      </c>
      <c r="M5" s="22" t="str">
        <f ca="1">IFERROR(__xludf.DUMMYFUNCTION("""COMPUTED_VALUE"""),"ProcessDate")</f>
        <v>ProcessDate</v>
      </c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7" t="b">
        <v>1</v>
      </c>
      <c r="L6" s="7" t="b">
        <v>1</v>
      </c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IFERROR(__xludf.DUMMYFUNCTION("""COMPUTED_VALUE"""),"FundName")</f>
        <v>FundName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7" t="s">
        <v>18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7" t="s">
        <v>22</v>
      </c>
      <c r="D6" s="7">
        <v>200</v>
      </c>
      <c r="E6" s="25"/>
      <c r="F6" s="7" t="s">
        <v>17</v>
      </c>
      <c r="G6" s="5"/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21</v>
      </c>
      <c r="C7" s="7" t="s">
        <v>22</v>
      </c>
      <c r="D7" s="7">
        <v>300</v>
      </c>
      <c r="E7" s="25"/>
      <c r="F7" s="7" t="s">
        <v>17</v>
      </c>
      <c r="G7" s="5"/>
      <c r="H7" s="5"/>
      <c r="I7" s="5"/>
      <c r="J7" s="7">
        <v>15</v>
      </c>
      <c r="K7" s="5"/>
      <c r="L7" s="5"/>
      <c r="M7" s="5"/>
      <c r="N7" s="5"/>
      <c r="O7" s="5"/>
    </row>
    <row r="8" spans="1:154" ht="15.75" customHeight="1" x14ac:dyDescent="0.2">
      <c r="A8" s="5"/>
      <c r="B8" s="7" t="s">
        <v>23</v>
      </c>
      <c r="C8" s="7" t="s">
        <v>22</v>
      </c>
      <c r="D8" s="7">
        <v>150</v>
      </c>
      <c r="E8" s="25"/>
      <c r="F8" s="7" t="s">
        <v>24</v>
      </c>
      <c r="G8" s="5"/>
      <c r="H8" s="5"/>
      <c r="I8" s="5"/>
      <c r="J8" s="7">
        <v>12</v>
      </c>
      <c r="K8" s="5"/>
      <c r="L8" s="5"/>
      <c r="M8" s="5"/>
      <c r="N8" s="5"/>
      <c r="O8" s="5"/>
    </row>
    <row r="9" spans="1:154" ht="15.75" customHeight="1" x14ac:dyDescent="0.2">
      <c r="A9" s="5"/>
      <c r="B9" s="7" t="s">
        <v>23</v>
      </c>
      <c r="C9" s="7" t="s">
        <v>22</v>
      </c>
      <c r="D9" s="7">
        <v>100</v>
      </c>
      <c r="E9" s="25"/>
      <c r="F9" s="7" t="s">
        <v>24</v>
      </c>
      <c r="G9" s="5"/>
      <c r="H9" s="5"/>
      <c r="I9" s="5"/>
      <c r="J9" s="7">
        <v>10</v>
      </c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21</v>
      </c>
      <c r="D6" s="7"/>
      <c r="E6" s="25"/>
      <c r="F6" s="5"/>
      <c r="G6" s="7">
        <v>200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21</v>
      </c>
      <c r="D6" s="7"/>
      <c r="E6" s="25"/>
      <c r="F6" s="5"/>
      <c r="G6" s="7">
        <v>200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20</v>
      </c>
      <c r="C6" s="7">
        <v>200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21</v>
      </c>
      <c r="D6" s="7"/>
      <c r="E6" s="25"/>
      <c r="F6" s="5"/>
      <c r="G6" s="7">
        <v>300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21</v>
      </c>
      <c r="D6" s="7"/>
      <c r="E6" s="25"/>
      <c r="F6" s="5"/>
      <c r="G6" s="7">
        <v>300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15</v>
      </c>
      <c r="C6" s="7">
        <v>300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23</v>
      </c>
      <c r="D6" s="7"/>
      <c r="E6" s="25"/>
      <c r="F6" s="5"/>
      <c r="G6" s="7">
        <v>150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23</v>
      </c>
      <c r="D6" s="7"/>
      <c r="E6" s="25"/>
      <c r="F6" s="5"/>
      <c r="G6" s="7">
        <v>150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12</v>
      </c>
      <c r="C6" s="7">
        <v>150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23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23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10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29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10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31</v>
      </c>
      <c r="AI6" s="6" t="s">
        <v>23</v>
      </c>
      <c r="AJ6" s="6" t="s">
        <v>22</v>
      </c>
      <c r="AK6" s="6" t="s">
        <v>32</v>
      </c>
      <c r="AL6" s="6">
        <v>100</v>
      </c>
      <c r="AM6" s="6">
        <v>100</v>
      </c>
      <c r="AN6" s="6">
        <v>100</v>
      </c>
      <c r="AO6" s="6">
        <v>100</v>
      </c>
      <c r="AQ6" s="6">
        <v>10</v>
      </c>
      <c r="AR6" s="6">
        <v>10</v>
      </c>
      <c r="AS6" s="6" t="s">
        <v>33</v>
      </c>
      <c r="AT6" s="6" t="s">
        <v>24</v>
      </c>
      <c r="AU6" s="6" t="s">
        <v>34</v>
      </c>
      <c r="AV6" s="26">
        <v>1000</v>
      </c>
      <c r="AW6" s="26">
        <v>1000</v>
      </c>
      <c r="AY6" s="6">
        <v>100</v>
      </c>
      <c r="AZ6" s="6">
        <v>0</v>
      </c>
    </row>
    <row r="7" spans="1:154" ht="15.75" customHeight="1" x14ac:dyDescent="0.2">
      <c r="A7" s="5"/>
      <c r="B7" s="5"/>
      <c r="C7" s="5"/>
      <c r="D7" s="7">
        <v>12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31</v>
      </c>
      <c r="AI7" s="6" t="s">
        <v>23</v>
      </c>
      <c r="AJ7" s="6" t="s">
        <v>22</v>
      </c>
      <c r="AK7" s="6" t="s">
        <v>32</v>
      </c>
      <c r="AL7" s="6">
        <v>150</v>
      </c>
      <c r="AM7" s="6">
        <v>150</v>
      </c>
      <c r="AN7" s="6">
        <v>100</v>
      </c>
      <c r="AO7" s="6">
        <v>150</v>
      </c>
      <c r="AQ7" s="6">
        <v>12</v>
      </c>
      <c r="AR7" s="6">
        <v>12</v>
      </c>
      <c r="AS7" s="6" t="s">
        <v>33</v>
      </c>
      <c r="AT7" s="6" t="s">
        <v>24</v>
      </c>
      <c r="AU7" s="6" t="s">
        <v>34</v>
      </c>
      <c r="AV7" s="26">
        <v>1800</v>
      </c>
      <c r="AW7" s="26">
        <v>1800</v>
      </c>
      <c r="AY7" s="6">
        <v>150</v>
      </c>
      <c r="AZ7" s="6">
        <v>0</v>
      </c>
    </row>
    <row r="8" spans="1:154" ht="15.75" customHeight="1" x14ac:dyDescent="0.2">
      <c r="A8" s="5"/>
      <c r="B8" s="5"/>
      <c r="C8" s="5"/>
      <c r="D8" s="7">
        <v>20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AD8" s="6">
        <v>1</v>
      </c>
      <c r="AH8" s="6" t="s">
        <v>31</v>
      </c>
      <c r="AI8" s="6" t="s">
        <v>21</v>
      </c>
      <c r="AJ8" s="6" t="s">
        <v>22</v>
      </c>
      <c r="AK8" s="6" t="s">
        <v>32</v>
      </c>
      <c r="AL8" s="6">
        <v>200</v>
      </c>
      <c r="AM8" s="6">
        <v>200</v>
      </c>
      <c r="AN8" s="6">
        <v>100</v>
      </c>
      <c r="AO8" s="6">
        <v>200</v>
      </c>
      <c r="AQ8" s="6">
        <v>20</v>
      </c>
      <c r="AR8" s="6">
        <v>20</v>
      </c>
      <c r="AS8" s="6" t="s">
        <v>33</v>
      </c>
      <c r="AT8" s="6" t="s">
        <v>17</v>
      </c>
      <c r="AU8" s="6" t="s">
        <v>34</v>
      </c>
      <c r="AV8" s="26">
        <v>4000</v>
      </c>
      <c r="AW8" s="26">
        <v>4000</v>
      </c>
      <c r="AY8" s="6">
        <v>200</v>
      </c>
      <c r="AZ8" s="6">
        <v>0</v>
      </c>
    </row>
    <row r="9" spans="1:154" ht="15.75" customHeight="1" x14ac:dyDescent="0.2">
      <c r="A9" s="5"/>
      <c r="B9" s="5"/>
      <c r="C9" s="5"/>
      <c r="D9" s="7">
        <v>15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AD9" s="6">
        <v>1</v>
      </c>
      <c r="AH9" s="6" t="s">
        <v>31</v>
      </c>
      <c r="AI9" s="6" t="s">
        <v>21</v>
      </c>
      <c r="AJ9" s="6" t="s">
        <v>22</v>
      </c>
      <c r="AK9" s="6" t="s">
        <v>32</v>
      </c>
      <c r="AL9" s="6">
        <v>300</v>
      </c>
      <c r="AM9" s="6">
        <v>300</v>
      </c>
      <c r="AN9" s="6">
        <v>100</v>
      </c>
      <c r="AO9" s="6">
        <v>300</v>
      </c>
      <c r="AQ9" s="6">
        <v>15</v>
      </c>
      <c r="AR9" s="6">
        <v>15</v>
      </c>
      <c r="AS9" s="6" t="s">
        <v>33</v>
      </c>
      <c r="AT9" s="6" t="s">
        <v>17</v>
      </c>
      <c r="AU9" s="6" t="s">
        <v>34</v>
      </c>
      <c r="AV9" s="26">
        <v>4500</v>
      </c>
      <c r="AW9" s="26">
        <v>4500</v>
      </c>
      <c r="AY9" s="6">
        <v>300</v>
      </c>
      <c r="AZ9" s="6">
        <v>0</v>
      </c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36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5">
      <c r="A6" s="7"/>
      <c r="B6" s="27" t="s">
        <v>17</v>
      </c>
      <c r="C6" s="5"/>
      <c r="D6" s="7">
        <v>0</v>
      </c>
      <c r="E6" s="25"/>
      <c r="F6" s="5"/>
      <c r="G6" s="5"/>
      <c r="H6" s="28">
        <v>4</v>
      </c>
      <c r="I6" s="28">
        <v>5</v>
      </c>
      <c r="J6" s="28"/>
      <c r="K6" s="28">
        <v>17</v>
      </c>
      <c r="L6" s="28">
        <v>17</v>
      </c>
      <c r="M6" s="5"/>
      <c r="N6" s="5"/>
      <c r="O6" s="7" t="s">
        <v>33</v>
      </c>
      <c r="R6" s="6">
        <v>0</v>
      </c>
      <c r="S6" s="27" t="s">
        <v>38</v>
      </c>
      <c r="T6" s="6">
        <v>0</v>
      </c>
      <c r="AE6" s="28">
        <v>500</v>
      </c>
      <c r="AT6" s="29">
        <v>8514.0048000000006</v>
      </c>
      <c r="AU6" s="29">
        <v>8514.0048000000006</v>
      </c>
      <c r="AW6" s="6">
        <v>0</v>
      </c>
      <c r="AX6" s="6">
        <v>0</v>
      </c>
      <c r="AY6" s="27" t="s">
        <v>34</v>
      </c>
      <c r="AZ6" s="6">
        <v>0</v>
      </c>
      <c r="BC6" s="6">
        <v>0</v>
      </c>
      <c r="BE6" s="30">
        <v>8500</v>
      </c>
      <c r="BF6" s="30">
        <v>8500</v>
      </c>
      <c r="BJ6" s="28">
        <v>500</v>
      </c>
      <c r="BK6" s="6">
        <v>0</v>
      </c>
      <c r="BO6" s="27" t="s">
        <v>22</v>
      </c>
      <c r="BP6" s="6">
        <v>0</v>
      </c>
      <c r="BQ6" s="6">
        <v>0</v>
      </c>
      <c r="BT6" s="6" t="s">
        <v>21</v>
      </c>
      <c r="BV6" s="6">
        <v>0</v>
      </c>
      <c r="BW6" s="28">
        <v>14.004799999999999</v>
      </c>
      <c r="BX6" s="6">
        <v>0</v>
      </c>
      <c r="CI6" s="27" t="s">
        <v>22</v>
      </c>
      <c r="CJ6" s="6">
        <v>0</v>
      </c>
      <c r="CM6" s="27" t="s">
        <v>21</v>
      </c>
    </row>
    <row r="7" spans="1:154" ht="15.75" customHeight="1" x14ac:dyDescent="0.25">
      <c r="A7" s="5"/>
      <c r="B7" s="27" t="s">
        <v>24</v>
      </c>
      <c r="C7" s="5"/>
      <c r="D7" s="7">
        <v>0</v>
      </c>
      <c r="E7" s="5"/>
      <c r="F7" s="5"/>
      <c r="G7" s="5"/>
      <c r="H7" s="28">
        <v>4</v>
      </c>
      <c r="I7" s="28">
        <v>5</v>
      </c>
      <c r="J7" s="28"/>
      <c r="K7" s="28">
        <v>12</v>
      </c>
      <c r="L7" s="28">
        <v>12</v>
      </c>
      <c r="M7" s="5"/>
      <c r="N7" s="5"/>
      <c r="O7" s="7" t="s">
        <v>33</v>
      </c>
      <c r="R7" s="6">
        <v>0</v>
      </c>
      <c r="S7" s="27" t="s">
        <v>38</v>
      </c>
      <c r="T7" s="6">
        <v>0</v>
      </c>
      <c r="AE7" s="28">
        <v>150</v>
      </c>
      <c r="AT7" s="29">
        <v>1814.001</v>
      </c>
      <c r="AU7" s="29">
        <v>1814.001</v>
      </c>
      <c r="AW7" s="6">
        <v>0</v>
      </c>
      <c r="AX7" s="6">
        <v>0</v>
      </c>
      <c r="AY7" s="27" t="s">
        <v>34</v>
      </c>
      <c r="AZ7" s="6">
        <v>0</v>
      </c>
      <c r="BC7" s="6">
        <v>0</v>
      </c>
      <c r="BE7" s="30">
        <v>1800</v>
      </c>
      <c r="BF7" s="30">
        <v>1800</v>
      </c>
      <c r="BJ7" s="28">
        <v>150</v>
      </c>
      <c r="BK7" s="6">
        <v>0</v>
      </c>
      <c r="BO7" s="27" t="s">
        <v>22</v>
      </c>
      <c r="BP7" s="6">
        <v>0</v>
      </c>
      <c r="BQ7" s="6">
        <v>0</v>
      </c>
      <c r="BT7" s="6" t="s">
        <v>23</v>
      </c>
      <c r="BV7" s="6">
        <v>0</v>
      </c>
      <c r="BW7" s="28">
        <v>14.000999999999999</v>
      </c>
      <c r="BX7" s="6">
        <v>0</v>
      </c>
      <c r="CI7" s="27" t="s">
        <v>22</v>
      </c>
      <c r="CJ7" s="6">
        <v>0</v>
      </c>
      <c r="CM7" s="27" t="s">
        <v>23</v>
      </c>
    </row>
    <row r="8" spans="1:154" ht="15.75" customHeight="1" x14ac:dyDescent="0.25">
      <c r="A8" s="5"/>
      <c r="B8" s="27" t="s">
        <v>24</v>
      </c>
      <c r="C8" s="5"/>
      <c r="D8" s="7">
        <v>0</v>
      </c>
      <c r="E8" s="5"/>
      <c r="F8" s="5"/>
      <c r="G8" s="5"/>
      <c r="H8" s="28">
        <v>4</v>
      </c>
      <c r="I8" s="28">
        <v>5</v>
      </c>
      <c r="J8" s="28"/>
      <c r="K8" s="28">
        <v>10</v>
      </c>
      <c r="L8" s="28">
        <v>10</v>
      </c>
      <c r="M8" s="5"/>
      <c r="N8" s="5"/>
      <c r="O8" s="7" t="s">
        <v>33</v>
      </c>
      <c r="R8" s="6">
        <v>0</v>
      </c>
      <c r="S8" s="27" t="s">
        <v>38</v>
      </c>
      <c r="T8" s="6">
        <v>0</v>
      </c>
      <c r="AE8" s="28">
        <v>100</v>
      </c>
      <c r="AT8" s="29">
        <v>1014.0006</v>
      </c>
      <c r="AU8" s="29">
        <v>1014.0006</v>
      </c>
      <c r="AW8" s="6">
        <v>0</v>
      </c>
      <c r="AX8" s="6">
        <v>0</v>
      </c>
      <c r="AY8" s="27" t="s">
        <v>34</v>
      </c>
      <c r="AZ8" s="6">
        <v>0</v>
      </c>
      <c r="BC8" s="6">
        <v>0</v>
      </c>
      <c r="BE8" s="30">
        <v>1000</v>
      </c>
      <c r="BF8" s="30">
        <v>1000</v>
      </c>
      <c r="BJ8" s="28">
        <v>100</v>
      </c>
      <c r="BK8" s="6">
        <v>0</v>
      </c>
      <c r="BO8" s="27" t="s">
        <v>22</v>
      </c>
      <c r="BP8" s="6">
        <v>0</v>
      </c>
      <c r="BQ8" s="6">
        <v>0</v>
      </c>
      <c r="BT8" s="6" t="s">
        <v>23</v>
      </c>
      <c r="BV8" s="6">
        <v>0</v>
      </c>
      <c r="BW8" s="28">
        <v>14.0006</v>
      </c>
      <c r="BX8" s="6">
        <v>0</v>
      </c>
      <c r="CI8" s="27" t="s">
        <v>22</v>
      </c>
      <c r="CJ8" s="6">
        <v>0</v>
      </c>
      <c r="CM8" s="27" t="s">
        <v>23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42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7"/>
      <c r="C6" s="7" t="s">
        <v>21</v>
      </c>
      <c r="D6" s="7">
        <v>500</v>
      </c>
      <c r="E6" s="7" t="s">
        <v>17</v>
      </c>
      <c r="F6" s="5"/>
      <c r="G6" s="7">
        <v>17</v>
      </c>
      <c r="H6" s="7" t="s">
        <v>41</v>
      </c>
      <c r="I6" s="5"/>
      <c r="J6" s="5"/>
      <c r="K6" s="7">
        <v>0</v>
      </c>
      <c r="L6" s="5"/>
      <c r="M6" s="5"/>
      <c r="N6" s="31">
        <v>-8500</v>
      </c>
      <c r="O6" s="5"/>
      <c r="Q6" s="31">
        <v>-8500</v>
      </c>
      <c r="T6" s="6" t="s">
        <v>31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500</v>
      </c>
      <c r="AG6" s="6">
        <v>0</v>
      </c>
      <c r="AH6" s="6">
        <v>0</v>
      </c>
      <c r="AI6" s="6">
        <v>0</v>
      </c>
      <c r="AJ6" s="6">
        <v>0</v>
      </c>
      <c r="AK6" s="31">
        <v>-8500</v>
      </c>
      <c r="AN6" s="6" t="s">
        <v>22</v>
      </c>
      <c r="AP6" s="6" t="s">
        <v>41</v>
      </c>
      <c r="AQ6" s="6" t="s">
        <v>21</v>
      </c>
      <c r="AW6" s="31">
        <v>-8500</v>
      </c>
      <c r="AZ6" s="6">
        <v>0</v>
      </c>
      <c r="BA6" s="6">
        <v>-100</v>
      </c>
      <c r="BD6" s="31">
        <v>-8500</v>
      </c>
      <c r="BJ6" s="6">
        <v>0</v>
      </c>
      <c r="BK6" s="6">
        <v>0</v>
      </c>
      <c r="BL6" s="6">
        <v>0</v>
      </c>
      <c r="BM6" s="6">
        <v>0</v>
      </c>
      <c r="BO6" s="31">
        <v>-8500</v>
      </c>
      <c r="BP6" s="6">
        <v>0</v>
      </c>
      <c r="BR6" s="6" t="s">
        <v>33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31">
        <v>-8500</v>
      </c>
      <c r="CE6" s="6">
        <v>0</v>
      </c>
      <c r="CF6" s="6">
        <v>0</v>
      </c>
      <c r="CG6" s="31">
        <v>-8500</v>
      </c>
      <c r="CI6" s="6">
        <v>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22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</row>
    <row r="7" spans="1:167" ht="15.75" customHeight="1" x14ac:dyDescent="0.2">
      <c r="A7" s="5"/>
      <c r="B7" s="5"/>
      <c r="C7" s="7" t="s">
        <v>23</v>
      </c>
      <c r="D7" s="7">
        <v>150</v>
      </c>
      <c r="E7" s="7" t="s">
        <v>24</v>
      </c>
      <c r="F7" s="5"/>
      <c r="G7" s="7">
        <v>12</v>
      </c>
      <c r="H7" s="7" t="s">
        <v>41</v>
      </c>
      <c r="I7" s="5"/>
      <c r="J7" s="5"/>
      <c r="K7" s="7">
        <v>0</v>
      </c>
      <c r="L7" s="5"/>
      <c r="M7" s="5"/>
      <c r="N7" s="31">
        <v>-1800</v>
      </c>
      <c r="O7" s="5"/>
      <c r="Q7" s="31">
        <v>-1800</v>
      </c>
      <c r="T7" s="6" t="s">
        <v>31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150</v>
      </c>
      <c r="AG7" s="6">
        <v>0</v>
      </c>
      <c r="AH7" s="6">
        <v>0</v>
      </c>
      <c r="AI7" s="6">
        <v>0</v>
      </c>
      <c r="AJ7" s="6">
        <v>0</v>
      </c>
      <c r="AK7" s="31">
        <v>-1800</v>
      </c>
      <c r="AN7" s="6" t="s">
        <v>22</v>
      </c>
      <c r="AP7" s="6" t="s">
        <v>41</v>
      </c>
      <c r="AQ7" s="6" t="s">
        <v>23</v>
      </c>
      <c r="AW7" s="31">
        <v>-1800</v>
      </c>
      <c r="AZ7" s="6">
        <v>0</v>
      </c>
      <c r="BA7" s="6">
        <v>-100</v>
      </c>
      <c r="BD7" s="31">
        <v>-1800</v>
      </c>
      <c r="BJ7" s="6">
        <v>0</v>
      </c>
      <c r="BK7" s="6">
        <v>0</v>
      </c>
      <c r="BL7" s="6">
        <v>0</v>
      </c>
      <c r="BM7" s="6">
        <v>0</v>
      </c>
      <c r="BO7" s="31">
        <v>-1800</v>
      </c>
      <c r="BP7" s="6">
        <v>0</v>
      </c>
      <c r="BR7" s="6" t="s">
        <v>33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31">
        <v>-1800</v>
      </c>
      <c r="CE7" s="6">
        <v>0</v>
      </c>
      <c r="CF7" s="6">
        <v>0</v>
      </c>
      <c r="CG7" s="31">
        <v>-1800</v>
      </c>
      <c r="CI7" s="6">
        <v>0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22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</row>
    <row r="8" spans="1:167" ht="15.75" customHeight="1" x14ac:dyDescent="0.2">
      <c r="A8" s="5"/>
      <c r="B8" s="5"/>
      <c r="C8" s="7" t="s">
        <v>23</v>
      </c>
      <c r="D8" s="7">
        <v>100</v>
      </c>
      <c r="E8" s="7" t="s">
        <v>24</v>
      </c>
      <c r="F8" s="5"/>
      <c r="G8" s="7">
        <v>10</v>
      </c>
      <c r="H8" s="7" t="s">
        <v>41</v>
      </c>
      <c r="I8" s="5"/>
      <c r="J8" s="5"/>
      <c r="K8" s="7">
        <v>0</v>
      </c>
      <c r="L8" s="5"/>
      <c r="M8" s="5"/>
      <c r="N8" s="31">
        <v>-1000</v>
      </c>
      <c r="O8" s="5"/>
      <c r="Q8" s="31">
        <v>-1000</v>
      </c>
      <c r="T8" s="6" t="s">
        <v>31</v>
      </c>
      <c r="Y8" s="6">
        <v>1</v>
      </c>
      <c r="AB8" s="6">
        <v>0</v>
      </c>
      <c r="AC8" s="6">
        <v>0</v>
      </c>
      <c r="AD8" s="6">
        <v>0</v>
      </c>
      <c r="AE8" s="6">
        <v>0</v>
      </c>
      <c r="AF8" s="6">
        <v>100</v>
      </c>
      <c r="AG8" s="6">
        <v>0</v>
      </c>
      <c r="AH8" s="6">
        <v>0</v>
      </c>
      <c r="AI8" s="6">
        <v>0</v>
      </c>
      <c r="AJ8" s="6">
        <v>0</v>
      </c>
      <c r="AK8" s="31">
        <v>-1000</v>
      </c>
      <c r="AN8" s="6" t="s">
        <v>22</v>
      </c>
      <c r="AP8" s="6" t="s">
        <v>41</v>
      </c>
      <c r="AQ8" s="6" t="s">
        <v>23</v>
      </c>
      <c r="AW8" s="31">
        <v>-1000</v>
      </c>
      <c r="AZ8" s="6">
        <v>0</v>
      </c>
      <c r="BA8" s="6">
        <v>-100</v>
      </c>
      <c r="BD8" s="31">
        <v>-1000</v>
      </c>
      <c r="BJ8" s="6">
        <v>0</v>
      </c>
      <c r="BK8" s="6">
        <v>0</v>
      </c>
      <c r="BL8" s="6">
        <v>0</v>
      </c>
      <c r="BM8" s="6">
        <v>0</v>
      </c>
      <c r="BO8" s="31">
        <v>-1000</v>
      </c>
      <c r="BP8" s="6">
        <v>0</v>
      </c>
      <c r="BR8" s="6" t="s">
        <v>33</v>
      </c>
      <c r="BS8" s="6">
        <v>0</v>
      </c>
      <c r="BT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31">
        <v>-1000</v>
      </c>
      <c r="CE8" s="6">
        <v>0</v>
      </c>
      <c r="CF8" s="6">
        <v>0</v>
      </c>
      <c r="CG8" s="31">
        <v>-1000</v>
      </c>
      <c r="CI8" s="6">
        <v>0</v>
      </c>
      <c r="DA8" s="6">
        <v>0</v>
      </c>
      <c r="DB8" s="6">
        <v>0</v>
      </c>
      <c r="DE8" s="6">
        <v>0</v>
      </c>
      <c r="DF8" s="6">
        <v>0</v>
      </c>
      <c r="DG8" s="6">
        <v>0</v>
      </c>
      <c r="DI8" s="6">
        <v>0</v>
      </c>
      <c r="DJ8" s="6" t="s">
        <v>22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M8" s="6">
        <v>0</v>
      </c>
      <c r="EN8" s="6">
        <v>0</v>
      </c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_Modules</vt:lpstr>
      <vt:lpstr>_Settings</vt:lpstr>
      <vt:lpstr>_MasterData</vt:lpstr>
      <vt:lpstr>SetAutoGroupingPreferences</vt:lpstr>
      <vt:lpstr>SetAutoGroupingAccount</vt:lpstr>
      <vt:lpstr>CreateLiveOrder</vt:lpstr>
      <vt:lpstr>AcknowledgeTrade</vt:lpstr>
      <vt:lpstr>SelectTrade</vt:lpstr>
      <vt:lpstr>ExecuteTrade</vt:lpstr>
      <vt:lpstr>SelectTrade1</vt:lpstr>
      <vt:lpstr>AcknowledgeTrade1</vt:lpstr>
      <vt:lpstr>ExecuteTrade1</vt:lpstr>
      <vt:lpstr>SelectTrade2</vt:lpstr>
      <vt:lpstr>AcknowledgeTrade2</vt:lpstr>
      <vt:lpstr>ExecuteTrade2</vt:lpstr>
      <vt:lpstr>SelectTrade3</vt:lpstr>
      <vt:lpstr>AcknowledgeTrade3</vt:lpstr>
      <vt:lpstr>ExecuteTrade3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2021-08-04T10:06:29Z</dcterms:modified>
</cp:coreProperties>
</file>