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VerifyRowCalculationBaseWindow" sheetId="11" r:id="rId13"/>
    <sheet state="visible" name="VerifyAggregationAccountSymbolW" sheetId="12" r:id="rId14"/>
    <sheet state="visible" name="VerifyAggregationMasterFundSymb" sheetId="13" r:id="rId15"/>
    <sheet state="visible" name="OpenRTPNL" sheetId="14" r:id="rId16"/>
    <sheet state="visible" name="CheckRealTimeSymAccountMonitor" sheetId="15" r:id="rId17"/>
    <sheet state="visible" name="CheckRealTimeSymbolFundMonitor" sheetId="16" r:id="rId18"/>
  </sheets>
  <definedNames/>
  <calcPr/>
</workbook>
</file>

<file path=xl/sharedStrings.xml><?xml version="1.0" encoding="utf-8"?>
<sst xmlns="http://schemas.openxmlformats.org/spreadsheetml/2006/main" count="842" uniqueCount="296">
  <si>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</si>
  <si>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</si>
  <si>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</si>
  <si>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</si>
  <si>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</si>
  <si>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</si>
  <si>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</si>
  <si>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</si>
  <si>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</si>
  <si>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</si>
  <si>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</si>
  <si>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</si>
  <si>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</si>
  <si>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</si>
  <si>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</si>
  <si>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</si>
  <si>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</si>
  <si>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</si>
  <si>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</si>
  <si>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</si>
  <si>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</si>
  <si>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</si>
  <si>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</si>
  <si>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</si>
  <si>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</si>
  <si>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</si>
  <si>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</si>
  <si>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</si>
  <si>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</si>
  <si>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</si>
  <si>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</si>
  <si>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</si>
  <si>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</si>
  <si>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</si>
  <si>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</si>
  <si>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</si>
  <si>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</si>
  <si>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</si>
  <si>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</si>
  <si>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</si>
  <si>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</si>
  <si>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</si>
  <si>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</si>
  <si>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</si>
  <si>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</si>
  <si>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</si>
  <si>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</si>
  <si>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</si>
  <si>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</si>
  <si>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</si>
  <si>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SAP</t>
  </si>
  <si>
    <t>DoneAway</t>
  </si>
  <si>
    <t>FRU-TC</t>
  </si>
  <si>
    <t>GLE-LON</t>
  </si>
  <si>
    <t>ES U4</t>
  </si>
  <si>
    <t xml:space="preserve"> O:AAPL 13N715.00</t>
  </si>
  <si>
    <t>AAPL</t>
  </si>
  <si>
    <t>Allocation</t>
  </si>
  <si>
    <t>GetDataAllocation</t>
  </si>
  <si>
    <t>Current</t>
  </si>
  <si>
    <t>SelectAllocatedGroup</t>
  </si>
  <si>
    <t>BookOrUpdateSwap</t>
  </si>
  <si>
    <t>PricingInput</t>
  </si>
  <si>
    <t>O:AAPL 13N715.00</t>
  </si>
  <si>
    <t>DailyValuation</t>
  </si>
  <si>
    <t>GetForexConversion</t>
  </si>
  <si>
    <t>UpdateForexConversion</t>
  </si>
  <si>
    <t>USD</t>
  </si>
  <si>
    <t>CAD</t>
  </si>
  <si>
    <t>CAD A0-FX</t>
  </si>
  <si>
    <t>Compliance</t>
  </si>
  <si>
    <t>VerifyRowCalculationBaseWindow</t>
  </si>
  <si>
    <t>Post</t>
  </si>
  <si>
    <t>Buy</t>
  </si>
  <si>
    <t>NewMF</t>
  </si>
  <si>
    <t>Allocation1</t>
  </si>
  <si>
    <t>Unallocated</t>
  </si>
  <si>
    <t>Strategy Unallocated</t>
  </si>
  <si>
    <t>EquitySwap</t>
  </si>
  <si>
    <t>USD-USD</t>
  </si>
  <si>
    <t>Small Cap</t>
  </si>
  <si>
    <t>Undefined</t>
  </si>
  <si>
    <t>Equity</t>
  </si>
  <si>
    <t>New Hedge</t>
  </si>
  <si>
    <t>NASDAQ</t>
  </si>
  <si>
    <t>Market</t>
  </si>
  <si>
    <t>M</t>
  </si>
  <si>
    <t>Future</t>
  </si>
  <si>
    <t>Engineering and Construction</t>
  </si>
  <si>
    <t>Aluminum</t>
  </si>
  <si>
    <t>Preferencial</t>
  </si>
  <si>
    <t>CMEE</t>
  </si>
  <si>
    <t>CAD-USD</t>
  </si>
  <si>
    <t>TSX</t>
  </si>
  <si>
    <t>GBP-USD</t>
  </si>
  <si>
    <t>LSE</t>
  </si>
  <si>
    <t>GBP</t>
  </si>
  <si>
    <t>Buy to Open</t>
  </si>
  <si>
    <t>EquityOption</t>
  </si>
  <si>
    <t>Equity Put</t>
  </si>
  <si>
    <t>OPTS</t>
  </si>
  <si>
    <t>VerifyAggregationAccountSymbolWithNav</t>
  </si>
  <si>
    <t>taxlotType</t>
  </si>
  <si>
    <t>accountId</t>
  </si>
  <si>
    <t>compressionLevel</t>
  </si>
  <si>
    <t>accountShortName</t>
  </si>
  <si>
    <t>accountLongName</t>
  </si>
  <si>
    <t>symbol</t>
  </si>
  <si>
    <t>underlyingSymbol</t>
  </si>
  <si>
    <t>exchange</t>
  </si>
  <si>
    <t>currency</t>
  </si>
  <si>
    <t>sector</t>
  </si>
  <si>
    <t>subSector</t>
  </si>
  <si>
    <t>udaAsset</t>
  </si>
  <si>
    <t>udaSecurityType</t>
  </si>
  <si>
    <t>udaCountry</t>
  </si>
  <si>
    <t>underlyingCountry</t>
  </si>
  <si>
    <t>assetId</t>
  </si>
  <si>
    <t>asset</t>
  </si>
  <si>
    <t>underlyingAsset</t>
  </si>
  <si>
    <t>masterFundId</t>
  </si>
  <si>
    <t>masterFundName</t>
  </si>
  <si>
    <t>putOrCall</t>
  </si>
  <si>
    <t>strikePrice</t>
  </si>
  <si>
    <t>riskCurrency</t>
  </si>
  <si>
    <t>issuer</t>
  </si>
  <si>
    <t>countryOfRisk</t>
  </si>
  <si>
    <t>region</t>
  </si>
  <si>
    <t>analyst</t>
  </si>
  <si>
    <t>ucitsEligibleTag</t>
  </si>
  <si>
    <t>liquidTag</t>
  </si>
  <si>
    <t>marketCap</t>
  </si>
  <si>
    <t>customUDA1</t>
  </si>
  <si>
    <t>customUDA2</t>
  </si>
  <si>
    <t>customUDA3</t>
  </si>
  <si>
    <t>customUDA4</t>
  </si>
  <si>
    <t>customUDA5</t>
  </si>
  <si>
    <t>customUDA6</t>
  </si>
  <si>
    <t>customUDA7</t>
  </si>
  <si>
    <t>todayAbsTradeQuantity</t>
  </si>
  <si>
    <t>todayLongTradeQuantity</t>
  </si>
  <si>
    <t>todayShortTradeQuantity</t>
  </si>
  <si>
    <t>todayNetNotionalBase</t>
  </si>
  <si>
    <t>todayLongNotionalBase</t>
  </si>
  <si>
    <t>todayShortNotionalBase</t>
  </si>
  <si>
    <t>quantity</t>
  </si>
  <si>
    <t>netMarketValueLocal</t>
  </si>
  <si>
    <t>yesterdayMarketValueLocal</t>
  </si>
  <si>
    <t>grossMarketValueLocal</t>
  </si>
  <si>
    <t>notionalLocal</t>
  </si>
  <si>
    <t>equityHaircutLocal</t>
  </si>
  <si>
    <t>indexHaircutLocal</t>
  </si>
  <si>
    <t>equityHaircutBase</t>
  </si>
  <si>
    <t>indexHaircutBase</t>
  </si>
  <si>
    <t>cashImpactLocal</t>
  </si>
  <si>
    <t>cashInflowLocal</t>
  </si>
  <si>
    <t>cashOutflowLocal</t>
  </si>
  <si>
    <t>costBasisPnLLocal</t>
  </si>
  <si>
    <t>dayPnLLocal</t>
  </si>
  <si>
    <t>netExposureLocal</t>
  </si>
  <si>
    <t>grossExposureLocal</t>
  </si>
  <si>
    <t>betaAdjustedExposureLocal</t>
  </si>
  <si>
    <t>deltaAdjPosition</t>
  </si>
  <si>
    <t>liquidationPnlLocal</t>
  </si>
  <si>
    <t>liquidationPnlBase</t>
  </si>
  <si>
    <t>underlyingValueForOptionsLocal</t>
  </si>
  <si>
    <t>notionalBase</t>
  </si>
  <si>
    <t>cashImpactBase</t>
  </si>
  <si>
    <t>cashInflowBase</t>
  </si>
  <si>
    <t>cashOutflowBase</t>
  </si>
  <si>
    <t>netMarketValueBase</t>
  </si>
  <si>
    <t>yesterdayMarketValueBase</t>
  </si>
  <si>
    <t>grossMarketValueBase</t>
  </si>
  <si>
    <t>costBasisPnLBase</t>
  </si>
  <si>
    <t>dayPnLBase</t>
  </si>
  <si>
    <t>netExposureBase</t>
  </si>
  <si>
    <t>grossExposureBase</t>
  </si>
  <si>
    <t>betaAdjustedExposureBase</t>
  </si>
  <si>
    <t>underlyingValueForOptionsBase</t>
  </si>
  <si>
    <t>currentFxRate</t>
  </si>
  <si>
    <t>yesterdayFxRate</t>
  </si>
  <si>
    <t>fxConversionMethod</t>
  </si>
  <si>
    <t>askPrice</t>
  </si>
  <si>
    <t>bidPrice</t>
  </si>
  <si>
    <t>lowPrice</t>
  </si>
  <si>
    <t>highPrice</t>
  </si>
  <si>
    <t>openPrice</t>
  </si>
  <si>
    <t>closePrice</t>
  </si>
  <si>
    <t>lastPrice</t>
  </si>
  <si>
    <t>markPrice</t>
  </si>
  <si>
    <t>delta</t>
  </si>
  <si>
    <t>leveragedFactor</t>
  </si>
  <si>
    <t>beta5YearMonthly</t>
  </si>
  <si>
    <t>selectedFeedPrice</t>
  </si>
  <si>
    <t>openInterest</t>
  </si>
  <si>
    <t>underlyingPrice</t>
  </si>
  <si>
    <t>avgVolume20Days</t>
  </si>
  <si>
    <t>percentAvgVolume</t>
  </si>
  <si>
    <t>sharesOutstanding</t>
  </si>
  <si>
    <t>underlyingSharesOutstanding</t>
  </si>
  <si>
    <t>marketCapitalization</t>
  </si>
  <si>
    <t>underlyingMarketCapitalization</t>
  </si>
  <si>
    <t>avgVolume</t>
  </si>
  <si>
    <t>businessDaysToExpire</t>
  </si>
  <si>
    <t>actualDaysToExpire</t>
  </si>
  <si>
    <t>equivalent</t>
  </si>
  <si>
    <t>multiplier</t>
  </si>
  <si>
    <t>dayInterestBase</t>
  </si>
  <si>
    <t>totalInterestBase</t>
  </si>
  <si>
    <t>dayInterestLocal</t>
  </si>
  <si>
    <t>totalInterestLocal</t>
  </si>
  <si>
    <t>defaultPositionSide</t>
  </si>
  <si>
    <t>exposurePositionSide</t>
  </si>
  <si>
    <t>longNotionalBase</t>
  </si>
  <si>
    <t>shortNotionalBase</t>
  </si>
  <si>
    <t>shortMarketValueBase</t>
  </si>
  <si>
    <t>longMarketValueBase</t>
  </si>
  <si>
    <t>shortExposureBase</t>
  </si>
  <si>
    <t>longExposureBase</t>
  </si>
  <si>
    <t>globalNav</t>
  </si>
  <si>
    <t>startOfDayNavGlobal</t>
  </si>
  <si>
    <t>grossMarketValueBaseGlobal</t>
  </si>
  <si>
    <t>grossExposureBaseGlobal</t>
  </si>
  <si>
    <t>netExposureBaseGlobal</t>
  </si>
  <si>
    <t>accountNav</t>
  </si>
  <si>
    <t>accountNRA</t>
  </si>
  <si>
    <t>startOfDayNavAccount</t>
  </si>
  <si>
    <t>grossMarketValueBaseAccount</t>
  </si>
  <si>
    <t>grossExposureBaseAccount</t>
  </si>
  <si>
    <t>netExposureBaseAccount</t>
  </si>
  <si>
    <t>currentCash</t>
  </si>
  <si>
    <t>accrual</t>
  </si>
  <si>
    <t>masterFundNav</t>
  </si>
  <si>
    <t>startOfDayNavMasterFund</t>
  </si>
  <si>
    <t>grossMarketValueBaseMasterFund</t>
  </si>
  <si>
    <t>grossExposureBaseMasterFund</t>
  </si>
  <si>
    <t>netExposureBaseMasterFund</t>
  </si>
  <si>
    <t>percentNetMarketValueAccount</t>
  </si>
  <si>
    <t>percentLongExposureAccount</t>
  </si>
  <si>
    <t>percentShortExposureAccount</t>
  </si>
  <si>
    <t>percentNetExposureAccount</t>
  </si>
  <si>
    <t>percentBetaAdjustedExposureAccount</t>
  </si>
  <si>
    <t>percentGrossExposureAccount</t>
  </si>
  <si>
    <t>percentLongMarketValueAccount</t>
  </si>
  <si>
    <t>percentShortMarketValueAccount</t>
  </si>
  <si>
    <t>percentGrossMarketValueAccount</t>
  </si>
  <si>
    <t>percentLongNotionalAccount</t>
  </si>
  <si>
    <t>percentShortNotionalAccount</t>
  </si>
  <si>
    <t>percentNetNotionalAccount</t>
  </si>
  <si>
    <t>pnlContributionAccount</t>
  </si>
  <si>
    <t>percentCostBasisPnlAccount</t>
  </si>
  <si>
    <t>dayReturnAccount</t>
  </si>
  <si>
    <t>percentNetMarketValueMasterFund</t>
  </si>
  <si>
    <t>percentLongExposureMasterFund</t>
  </si>
  <si>
    <t>percentShortExposureMasterFund</t>
  </si>
  <si>
    <t>percentNetExposureMasterFund</t>
  </si>
  <si>
    <t>percentBetaAdjustedExposureMasterFund</t>
  </si>
  <si>
    <t>percentGrossExposureMasterFund</t>
  </si>
  <si>
    <t>percentLongMarketValueMasterFund</t>
  </si>
  <si>
    <t>percentShortMarketValueMasterFund</t>
  </si>
  <si>
    <t>percentGrossMarketValueMasterFund</t>
  </si>
  <si>
    <t>percentLongNotionalMasterFund</t>
  </si>
  <si>
    <t>percentShortNotionalMasterFund</t>
  </si>
  <si>
    <t>percentNetNotionalMasterFund</t>
  </si>
  <si>
    <t>pnlContributionMasterFund</t>
  </si>
  <si>
    <t>percentCostBasisPnlMasterFund</t>
  </si>
  <si>
    <t>dayReturnMasterFund</t>
  </si>
  <si>
    <t>percentNetMarketValueGlobal</t>
  </si>
  <si>
    <t>percentLongExposureGlobal</t>
  </si>
  <si>
    <t>percentShortExposureGlobal</t>
  </si>
  <si>
    <t>percentNetExposureGlobal</t>
  </si>
  <si>
    <t>percentBetaAdjustedExposureGlobal</t>
  </si>
  <si>
    <t>percentGrossExposureGlobal</t>
  </si>
  <si>
    <t>percentLongMarketValueGlobal</t>
  </si>
  <si>
    <t>percentShortMarketValueGlobal</t>
  </si>
  <si>
    <t>percentGrossMarketValueGlobal</t>
  </si>
  <si>
    <t>percentLongNotionalGlobal</t>
  </si>
  <si>
    <t>percentShortNotionalGlobal</t>
  </si>
  <si>
    <t>percentNetNotionalGlobal</t>
  </si>
  <si>
    <t>pnlContributionGlobal</t>
  </si>
  <si>
    <t>percentCostBasisPnlGlobal</t>
  </si>
  <si>
    <t>dayReturnGlobal</t>
  </si>
  <si>
    <t>longDebitBalance</t>
  </si>
  <si>
    <t>shortCreditBalance</t>
  </si>
  <si>
    <t>Account-Symbol</t>
  </si>
  <si>
    <t>long</t>
  </si>
  <si>
    <t>NYSE</t>
  </si>
  <si>
    <t>VerifyAggregationMasterFundSymbolWithNav</t>
  </si>
  <si>
    <t>MasterFund-Symbol</t>
  </si>
  <si>
    <t>RTPNL</t>
  </si>
  <si>
    <t>OpenRTPNL</t>
  </si>
  <si>
    <t>Nirvana,PM</t>
  </si>
  <si>
    <t>SummaryDashboard</t>
  </si>
  <si>
    <t>CheckRealTimeSymAccountMonitor</t>
  </si>
  <si>
    <t>Long</t>
  </si>
  <si>
    <t>CheckRealTimeSymbolFundMonitor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</si>
</sst>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0" fillId="5" fontId="10" numFmtId="0" xfId="0" applyFont="1"/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>
        <v>100.0</v>
      </c>
      <c r="D6" s="12">
        <v>2.0</v>
      </c>
      <c r="E6" s="12" t="s">
        <v>51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52</v>
      </c>
      <c r="C7" s="12">
        <v>100.0</v>
      </c>
      <c r="D7" s="12">
        <v>2.0</v>
      </c>
      <c r="E7" s="12" t="s">
        <v>51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53</v>
      </c>
      <c r="C8" s="12">
        <v>100.0</v>
      </c>
      <c r="D8" s="12">
        <v>2.0</v>
      </c>
      <c r="E8" s="12" t="s">
        <v>51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54</v>
      </c>
      <c r="C9" s="12">
        <v>100.0</v>
      </c>
      <c r="D9" s="12">
        <v>2.0</v>
      </c>
      <c r="E9" s="12" t="s">
        <v>51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55</v>
      </c>
      <c r="C10" s="12">
        <v>100.0</v>
      </c>
      <c r="D10" s="12">
        <v>2.0</v>
      </c>
      <c r="E10" s="12" t="s">
        <v>51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56</v>
      </c>
      <c r="C11" s="12">
        <v>100.0</v>
      </c>
      <c r="D11" s="12">
        <v>2.0</v>
      </c>
      <c r="E11" s="12" t="s">
        <v>51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IFERROR(__xludf.DUMMYFUNCTION("""COMPUTED_VALUE"""),"Quantity")</f>
        <v>Quantity</v>
      </c>
      <c r="D5" s="30" t="str">
        <f>IFERROR(__xludf.DUMMYFUNCTION("""COMPUTED_VALUE"""),"Trade Date")</f>
        <v>Trade Date</v>
      </c>
      <c r="E5" s="30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30" t="str">
        <f>IFERROR(__xludf.DUMMYFUNCTION("""COMPUTED_VALUE"""),"Group Status")</f>
        <v>Group Status</v>
      </c>
      <c r="H5" s="30" t="str">
        <f>IFERROR(__xludf.DUMMYFUNCTION("""COMPUTED_VALUE"""),"Avg Price(Base)")</f>
        <v>Avg Price(Base)</v>
      </c>
      <c r="I5" s="30" t="str">
        <f>IFERROR(__xludf.DUMMYFUNCTION("""COMPUTED_VALUE"""),"Execution Time")</f>
        <v>Execution Time</v>
      </c>
      <c r="J5" s="30" t="str">
        <f>IFERROR(__xludf.DUMMYFUNCTION("""COMPUTED_VALUE"""),"Trade Attribute 1")</f>
        <v>Trade Attribute 1</v>
      </c>
      <c r="K5" s="30" t="str">
        <f>IFERROR(__xludf.DUMMYFUNCTION("""COMPUTED_VALUE"""),"Avg Price(Local)")</f>
        <v>Avg Price(Local)</v>
      </c>
      <c r="L5" s="30" t="str">
        <f>IFERROR(__xludf.DUMMYFUNCTION("""COMPUTED_VALUE"""),"Trade Attribute 2")</f>
        <v>Trade Attribute 2</v>
      </c>
      <c r="M5" s="30" t="str">
        <f>IFERROR(__xludf.DUMMYFUNCTION("""COMPUTED_VALUE"""),"Accrued Interest")</f>
        <v>Accrued Interest</v>
      </c>
      <c r="N5" s="30" t="str">
        <f>IFERROR(__xludf.DUMMYFUNCTION("""COMPUTED_VALUE"""),"Commission")</f>
        <v>Commission</v>
      </c>
      <c r="O5" s="30" t="str">
        <f>IFERROR(__xludf.DUMMYFUNCTION("""COMPUTED_VALUE"""),"Soft Commission")</f>
        <v>Soft Commission</v>
      </c>
      <c r="P5" s="30" t="str">
        <f>IFERROR(__xludf.DUMMYFUNCTION("""COMPUTED_VALUE"""),"Broker")</f>
        <v>Broker</v>
      </c>
      <c r="Q5" s="30" t="str">
        <f>IFERROR(__xludf.DUMMYFUNCTION("""COMPUTED_VALUE"""),"Transaction Type")</f>
        <v>Transaction Type</v>
      </c>
      <c r="R5" s="30" t="str">
        <f>IFERROR(__xludf.DUMMYFUNCTION("""COMPUTED_VALUE"""),"AUEC Fee1")</f>
        <v>AUEC Fee1</v>
      </c>
      <c r="S5" s="30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IFERROR(__xludf.DUMMYFUNCTION("""COMPUTED_VALUE"""),"NotionalValue")</f>
        <v>NotionalValue</v>
      </c>
      <c r="C5" s="30" t="str">
        <f>IFERROR(__xludf.DUMMYFUNCTION("""COMPUTED_VALUE"""),"Interest Rate")</f>
        <v>Interest Rate</v>
      </c>
      <c r="D5" s="30" t="str">
        <f>IFERROR(__xludf.DUMMYFUNCTION("""COMPUTED_VALUE"""),"Spread(B.P)")</f>
        <v>Spread(B.P)</v>
      </c>
      <c r="E5" s="30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30" t="str">
        <f>IFERROR(__xludf.DUMMYFUNCTION("""COMPUTED_VALUE"""),"Original T.Date")</f>
        <v>Original T.Date</v>
      </c>
      <c r="H5" s="30" t="str">
        <f>IFERROR(__xludf.DUMMYFUNCTION("""COMPUTED_VALUE"""),"OriginalCostBasis")</f>
        <v>OriginalCostBasis</v>
      </c>
      <c r="I5" s="30" t="str">
        <f>IFERROR(__xludf.DUMMYFUNCTION("""COMPUTED_VALUE"""),"SwapDescription")</f>
        <v>SwapDescription</v>
      </c>
      <c r="J5" s="30" t="str">
        <f>IFERROR(__xludf.DUMMYFUNCTION("""COMPUTED_VALUE"""),"CommissionChange")</f>
        <v>CommissionChange</v>
      </c>
      <c r="K5" s="30" t="str">
        <f>IFERROR(__xludf.DUMMYFUNCTION("""COMPUTED_VALUE"""),"CommissionRuleRecalculate")</f>
        <v>CommissionRuleRecalculate</v>
      </c>
      <c r="L5" s="30"/>
      <c r="M5" s="30"/>
      <c r="N5" s="30"/>
      <c r="O5" s="30"/>
      <c r="P5" s="30"/>
      <c r="Q5" s="30"/>
      <c r="R5" s="30"/>
      <c r="S5" s="30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v>500.0</v>
      </c>
      <c r="C6" s="33"/>
      <c r="D6" s="34"/>
      <c r="E6" s="33"/>
      <c r="F6" s="35">
        <v>365.0</v>
      </c>
      <c r="G6" s="33"/>
      <c r="H6" s="32">
        <v>5.0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IFERROR(__xludf.DUMMYFUNCTION("""COMPUTED_VALUE"""),"User Px")</f>
        <v>User Px</v>
      </c>
      <c r="D5" s="30" t="str">
        <f>IFERROR(__xludf.DUMMYFUNCTION("""COMPUTED_VALUE"""),"Asset Class")</f>
        <v>Asset Class</v>
      </c>
      <c r="E5" s="30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30" t="str">
        <f>IFERROR(__xludf.DUMMYFUNCTION("""COMPUTED_VALUE"""),"User Volatility")</f>
        <v>User Volatility</v>
      </c>
      <c r="H5" s="30" t="str">
        <f>IFERROR(__xludf.DUMMYFUNCTION("""COMPUTED_VALUE"""),"Interest Rate")</f>
        <v>Interest Rate</v>
      </c>
      <c r="I5" s="30" t="str">
        <f>IFERROR(__xludf.DUMMYFUNCTION("""COMPUTED_VALUE"""),"User Interest Rate")</f>
        <v>User Interest Rate</v>
      </c>
      <c r="J5" s="30" t="str">
        <f>IFERROR(__xludf.DUMMYFUNCTION("""COMPUTED_VALUE"""),"Dividend Yield")</f>
        <v>Dividend Yield</v>
      </c>
      <c r="K5" s="30" t="str">
        <f>IFERROR(__xludf.DUMMYFUNCTION("""COMPUTED_VALUE"""),"User Dividend Yield")</f>
        <v>User Dividend Yield</v>
      </c>
      <c r="L5" s="30" t="str">
        <f>IFERROR(__xludf.DUMMYFUNCTION("""COMPUTED_VALUE"""),"Actual Delta")</f>
        <v>Actual Delta</v>
      </c>
      <c r="M5" s="30" t="str">
        <f>IFERROR(__xludf.DUMMYFUNCTION("""COMPUTED_VALUE"""),"User Delta")</f>
        <v>User Delta</v>
      </c>
      <c r="N5" s="30" t="str">
        <f>IFERROR(__xludf.DUMMYFUNCTION("""COMPUTED_VALUE"""),"Selected Px")</f>
        <v>Selected Px</v>
      </c>
      <c r="O5" s="30" t="str">
        <f>IFERROR(__xludf.DUMMYFUNCTION("""COMPUTED_VALUE"""),"Forward Points")</f>
        <v>Forward Points</v>
      </c>
      <c r="P5" s="30" t="str">
        <f>IFERROR(__xludf.DUMMYFUNCTION("""COMPUTED_VALUE"""),"Shares Outstanding")</f>
        <v>Shares Outstanding</v>
      </c>
      <c r="Q5" s="30" t="str">
        <f>IFERROR(__xludf.DUMMYFUNCTION("""COMPUTED_VALUE"""),"User Shares Outstanding")</f>
        <v>User Shares Outstanding</v>
      </c>
      <c r="R5" s="30" t="str">
        <f>IFERROR(__xludf.DUMMYFUNCTION("""COMPUTED_VALUE"""),"LastPriceUsed")</f>
        <v>LastPriceUsed</v>
      </c>
      <c r="S5" s="30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50</v>
      </c>
      <c r="C6" s="12">
        <v>10.0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52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53</v>
      </c>
      <c r="C8" s="1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54</v>
      </c>
      <c r="C9" s="1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 t="s">
        <v>63</v>
      </c>
      <c r="C10" s="12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6" t="s">
        <v>56</v>
      </c>
      <c r="C11" s="12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Date")</f>
        <v>Copy Date</v>
      </c>
      <c r="D5" s="30"/>
      <c r="E5" s="30"/>
      <c r="F5" s="27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 t="shared" ref="B6:C6" si="1">TODAY()</f>
        <v>45860</v>
      </c>
      <c r="C6" s="37">
        <f t="shared" si="1"/>
        <v>45860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IFERROR(__xludf.DUMMYFUNCTION("""COMPUTED_VALUE"""),"From Currency")</f>
        <v>From Currency</v>
      </c>
      <c r="C5" s="30" t="str">
        <f>IFERROR(__xludf.DUMMYFUNCTION("""COMPUTED_VALUE"""),"To Currency")</f>
        <v>To Currency</v>
      </c>
      <c r="D5" s="30" t="str">
        <f>IFERROR(__xludf.DUMMYFUNCTION("""COMPUTED_VALUE"""),"Symbol")</f>
        <v>Symbol</v>
      </c>
      <c r="E5" s="30" t="str">
        <f>IFERROR(__xludf.DUMMYFUNCTION("""COMPUTED_VALUE"""),"Price")</f>
        <v>Price</v>
      </c>
      <c r="F5" s="27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67</v>
      </c>
      <c r="C6" s="39" t="s">
        <v>68</v>
      </c>
      <c r="D6" s="38" t="s">
        <v>69</v>
      </c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70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IFERROR(__xludf.DUMMYFUNCTION("""COMPUTED_VALUE"""),"basketId")</f>
        <v>basketId</v>
      </c>
      <c r="C5" s="30" t="str">
        <f>IFERROR(__xludf.DUMMYFUNCTION("""COMPUTED_VALUE"""),"tradeDate")</f>
        <v>tradeDate</v>
      </c>
      <c r="D5" s="30" t="str">
        <f>IFERROR(__xludf.DUMMYFUNCTION("""COMPUTED_VALUE"""),"taxlotState")</f>
        <v>taxlotState</v>
      </c>
      <c r="E5" s="30" t="str">
        <f>IFERROR(__xludf.DUMMYFUNCTION("""COMPUTED_VALUE"""),"taxlotId")</f>
        <v>taxlotId</v>
      </c>
      <c r="F5" s="27" t="str">
        <f>IFERROR(__xludf.DUMMYFUNCTION("""COMPUTED_VALUE"""),"userId")</f>
        <v>userId</v>
      </c>
      <c r="G5" s="30" t="str">
        <f>IFERROR(__xludf.DUMMYFUNCTION("""COMPUTED_VALUE"""),"clOrderId")</f>
        <v>clOrderId</v>
      </c>
      <c r="H5" s="30" t="str">
        <f>IFERROR(__xludf.DUMMYFUNCTION("""COMPUTED_VALUE"""),"symbol")</f>
        <v>symbol</v>
      </c>
      <c r="I5" s="30" t="str">
        <f>IFERROR(__xludf.DUMMYFUNCTION("""COMPUTED_VALUE"""),"todayShortTradeQuantity")</f>
        <v>todayShortTradeQuantity</v>
      </c>
      <c r="J5" s="30" t="str">
        <f>IFERROR(__xludf.DUMMYFUNCTION("""COMPUTED_VALUE"""),"todayLongTradeQuantity")</f>
        <v>todayLongTradeQuantity</v>
      </c>
      <c r="K5" s="30" t="str">
        <f>IFERROR(__xludf.DUMMYFUNCTION("""COMPUTED_VALUE"""),"todayAbsTradeQuantity")</f>
        <v>todayAbsTradeQuantity</v>
      </c>
      <c r="L5" s="30" t="str">
        <f>IFERROR(__xludf.DUMMYFUNCTION("""COMPUTED_VALUE"""),"quantity")</f>
        <v>quantity</v>
      </c>
      <c r="M5" s="30" t="str">
        <f>IFERROR(__xludf.DUMMYFUNCTION("""COMPUTED_VALUE"""),"taxlotType")</f>
        <v>taxlotType</v>
      </c>
      <c r="N5" s="30" t="str">
        <f>IFERROR(__xludf.DUMMYFUNCTION("""COMPUTED_VALUE"""),"accountId")</f>
        <v>accountId</v>
      </c>
      <c r="O5" s="30" t="str">
        <f>IFERROR(__xludf.DUMMYFUNCTION("""COMPUTED_VALUE"""),"orderSide")</f>
        <v>orderSide</v>
      </c>
      <c r="P5" s="30" t="str">
        <f>IFERROR(__xludf.DUMMYFUNCTION("""COMPUTED_VALUE"""),"masterFundId")</f>
        <v>masterFundId</v>
      </c>
      <c r="Q5" s="30" t="str">
        <f>IFERROR(__xludf.DUMMYFUNCTION("""COMPUTED_VALUE"""),"underlyingSymbol")</f>
        <v>underlyingSymbol</v>
      </c>
      <c r="R5" s="30" t="str">
        <f>IFERROR(__xludf.DUMMYFUNCTION("""COMPUTED_VALUE"""),"masterFundName")</f>
        <v>masterFundName</v>
      </c>
      <c r="S5" s="30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/>
      <c r="B6" s="40"/>
      <c r="C6" s="8"/>
      <c r="D6" s="40"/>
      <c r="E6" s="8"/>
      <c r="F6" s="8"/>
      <c r="G6" s="8"/>
      <c r="H6" s="8" t="s">
        <v>56</v>
      </c>
      <c r="I6" s="8"/>
      <c r="J6" s="8">
        <v>100.0</v>
      </c>
      <c r="K6" s="8">
        <v>100.0</v>
      </c>
      <c r="L6" s="8">
        <v>100.0</v>
      </c>
      <c r="M6" s="40" t="s">
        <v>72</v>
      </c>
      <c r="N6" s="8">
        <v>1186.0</v>
      </c>
      <c r="O6" s="8" t="s">
        <v>73</v>
      </c>
      <c r="P6">
        <v>1.0</v>
      </c>
      <c r="Q6" t="s">
        <v>56</v>
      </c>
      <c r="R6" t="s">
        <v>74</v>
      </c>
      <c r="S6">
        <v>1.0</v>
      </c>
      <c r="T6" s="41" t="s">
        <v>75</v>
      </c>
      <c r="U6" s="41" t="s">
        <v>75</v>
      </c>
      <c r="X6" t="b">
        <v>1</v>
      </c>
      <c r="Y6" t="s">
        <v>76</v>
      </c>
      <c r="AA6" t="s">
        <v>77</v>
      </c>
      <c r="AB6">
        <v>200.0</v>
      </c>
      <c r="AC6" t="s">
        <v>77</v>
      </c>
      <c r="AD6">
        <v>200.0</v>
      </c>
      <c r="AF6" t="b">
        <v>1</v>
      </c>
      <c r="AG6">
        <v>100.0</v>
      </c>
      <c r="AH6">
        <v>200.0</v>
      </c>
      <c r="AJ6" t="s">
        <v>78</v>
      </c>
      <c r="AN6" t="s">
        <v>79</v>
      </c>
      <c r="AO6" t="s">
        <v>80</v>
      </c>
      <c r="AP6" t="s">
        <v>81</v>
      </c>
      <c r="AQ6" t="s">
        <v>82</v>
      </c>
      <c r="AR6" t="s">
        <v>83</v>
      </c>
      <c r="AU6" t="s">
        <v>84</v>
      </c>
      <c r="AV6" t="s">
        <v>85</v>
      </c>
      <c r="AW6" t="s">
        <v>67</v>
      </c>
      <c r="AZ6" t="s">
        <v>84</v>
      </c>
      <c r="BA6" t="s">
        <v>67</v>
      </c>
      <c r="BQ6">
        <v>1.0</v>
      </c>
      <c r="BR6">
        <v>1.0</v>
      </c>
      <c r="BS6" t="s">
        <v>86</v>
      </c>
      <c r="BU6" t="s">
        <v>86</v>
      </c>
      <c r="BV6">
        <v>2.0</v>
      </c>
      <c r="CH6">
        <v>10.0</v>
      </c>
      <c r="CJ6">
        <v>10.0</v>
      </c>
      <c r="CQ6">
        <v>800.0</v>
      </c>
      <c r="CS6">
        <v>800.0</v>
      </c>
      <c r="CT6">
        <v>800.0</v>
      </c>
      <c r="CV6">
        <v>800.0</v>
      </c>
      <c r="CW6">
        <v>200.0</v>
      </c>
      <c r="DC6">
        <v>200.0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 t="s">
        <v>54</v>
      </c>
      <c r="I7" s="8"/>
      <c r="J7" s="8">
        <v>5000.0</v>
      </c>
      <c r="K7" s="8">
        <v>5000.0</v>
      </c>
      <c r="L7" s="8">
        <v>100.0</v>
      </c>
      <c r="M7" s="40" t="s">
        <v>72</v>
      </c>
      <c r="N7" s="8">
        <v>1186.0</v>
      </c>
      <c r="O7" s="8" t="s">
        <v>73</v>
      </c>
      <c r="P7">
        <v>1.0</v>
      </c>
      <c r="Q7" t="s">
        <v>54</v>
      </c>
      <c r="R7" t="s">
        <v>74</v>
      </c>
      <c r="S7">
        <v>50.0</v>
      </c>
      <c r="T7" s="41" t="s">
        <v>75</v>
      </c>
      <c r="U7" s="41" t="s">
        <v>75</v>
      </c>
      <c r="X7" t="b">
        <v>1</v>
      </c>
      <c r="Y7" t="s">
        <v>76</v>
      </c>
      <c r="AA7" t="s">
        <v>77</v>
      </c>
      <c r="AB7">
        <v>10000.0</v>
      </c>
      <c r="AC7" t="s">
        <v>77</v>
      </c>
      <c r="AD7">
        <v>10000.0</v>
      </c>
      <c r="AF7" t="b">
        <v>1</v>
      </c>
      <c r="AG7">
        <v>5000.0</v>
      </c>
      <c r="AH7">
        <v>10000.0</v>
      </c>
      <c r="AJ7" t="s">
        <v>87</v>
      </c>
      <c r="AN7" t="s">
        <v>79</v>
      </c>
      <c r="AO7" t="s">
        <v>88</v>
      </c>
      <c r="AP7" t="s">
        <v>89</v>
      </c>
      <c r="AQ7" t="s">
        <v>81</v>
      </c>
      <c r="AR7" t="s">
        <v>90</v>
      </c>
      <c r="AU7" t="s">
        <v>91</v>
      </c>
      <c r="AV7" t="s">
        <v>85</v>
      </c>
      <c r="AW7" t="s">
        <v>67</v>
      </c>
      <c r="AZ7" t="s">
        <v>84</v>
      </c>
      <c r="BA7" t="s">
        <v>67</v>
      </c>
      <c r="BQ7">
        <v>1.0</v>
      </c>
      <c r="BR7">
        <v>1.0</v>
      </c>
      <c r="BS7" t="s">
        <v>86</v>
      </c>
      <c r="BU7" t="s">
        <v>86</v>
      </c>
      <c r="BV7">
        <v>2.0</v>
      </c>
      <c r="CH7">
        <v>10.0</v>
      </c>
      <c r="CJ7">
        <v>10.0</v>
      </c>
      <c r="CQ7">
        <v>40000.0</v>
      </c>
      <c r="CS7">
        <v>40000.0</v>
      </c>
      <c r="CT7">
        <v>40000.0</v>
      </c>
      <c r="CV7">
        <v>40000.0</v>
      </c>
      <c r="CW7">
        <v>10000.0</v>
      </c>
      <c r="DC7">
        <v>10000.0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 t="s">
        <v>52</v>
      </c>
      <c r="I8" s="8"/>
      <c r="J8" s="8">
        <v>100.0</v>
      </c>
      <c r="K8" s="8">
        <v>100.0</v>
      </c>
      <c r="L8" s="8">
        <v>100.0</v>
      </c>
      <c r="M8" s="40" t="s">
        <v>72</v>
      </c>
      <c r="N8" s="8">
        <v>1186.0</v>
      </c>
      <c r="O8" s="8" t="s">
        <v>73</v>
      </c>
      <c r="P8">
        <v>1.0</v>
      </c>
      <c r="Q8" t="s">
        <v>52</v>
      </c>
      <c r="R8" t="s">
        <v>74</v>
      </c>
      <c r="S8">
        <v>1.0</v>
      </c>
      <c r="T8" s="41" t="s">
        <v>75</v>
      </c>
      <c r="U8" s="41" t="s">
        <v>75</v>
      </c>
      <c r="X8" t="b">
        <v>1</v>
      </c>
      <c r="Y8" t="s">
        <v>76</v>
      </c>
      <c r="AA8" t="s">
        <v>77</v>
      </c>
      <c r="AB8">
        <v>200.0</v>
      </c>
      <c r="AC8" t="s">
        <v>77</v>
      </c>
      <c r="AD8">
        <v>200.0</v>
      </c>
      <c r="AF8" t="b">
        <v>1</v>
      </c>
      <c r="AG8">
        <v>100.0</v>
      </c>
      <c r="AH8">
        <v>200.0</v>
      </c>
      <c r="AJ8" t="s">
        <v>82</v>
      </c>
      <c r="AN8" t="s">
        <v>92</v>
      </c>
      <c r="AO8" t="s">
        <v>81</v>
      </c>
      <c r="AP8" t="s">
        <v>81</v>
      </c>
      <c r="AQ8" t="s">
        <v>82</v>
      </c>
      <c r="AR8" t="s">
        <v>81</v>
      </c>
      <c r="AU8" t="s">
        <v>93</v>
      </c>
      <c r="AV8" t="s">
        <v>85</v>
      </c>
      <c r="AW8" t="s">
        <v>68</v>
      </c>
      <c r="AZ8" t="s">
        <v>84</v>
      </c>
      <c r="BA8" t="s">
        <v>68</v>
      </c>
      <c r="BQ8">
        <v>1.0</v>
      </c>
      <c r="BR8">
        <v>1.0</v>
      </c>
      <c r="BS8" t="s">
        <v>86</v>
      </c>
      <c r="BU8" t="s">
        <v>86</v>
      </c>
      <c r="BV8">
        <v>2.0</v>
      </c>
      <c r="CH8">
        <v>10.0</v>
      </c>
      <c r="CJ8">
        <v>10.0</v>
      </c>
      <c r="CQ8">
        <v>1000.0</v>
      </c>
      <c r="CS8">
        <v>1000.0</v>
      </c>
      <c r="CT8">
        <v>1000.0</v>
      </c>
      <c r="CV8">
        <v>1000.0</v>
      </c>
      <c r="CW8">
        <v>200.0</v>
      </c>
      <c r="DC8">
        <v>200.0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</row>
    <row r="9" ht="15.75" customHeight="1">
      <c r="A9" s="8"/>
      <c r="B9" s="8"/>
      <c r="C9" s="8"/>
      <c r="D9" s="8"/>
      <c r="E9" s="8"/>
      <c r="F9" s="8"/>
      <c r="G9" s="8"/>
      <c r="H9" s="8" t="s">
        <v>53</v>
      </c>
      <c r="I9" s="8"/>
      <c r="J9" s="8">
        <v>100.0</v>
      </c>
      <c r="K9" s="8">
        <v>100.0</v>
      </c>
      <c r="L9" s="8">
        <v>100.0</v>
      </c>
      <c r="M9" s="40" t="s">
        <v>72</v>
      </c>
      <c r="N9" s="8">
        <v>1186.0</v>
      </c>
      <c r="O9" s="8" t="s">
        <v>73</v>
      </c>
      <c r="P9">
        <v>1.0</v>
      </c>
      <c r="Q9" t="s">
        <v>53</v>
      </c>
      <c r="R9" t="s">
        <v>74</v>
      </c>
      <c r="S9">
        <v>1.0</v>
      </c>
      <c r="T9" s="41" t="s">
        <v>75</v>
      </c>
      <c r="U9" s="41" t="s">
        <v>75</v>
      </c>
      <c r="X9" t="b">
        <v>1</v>
      </c>
      <c r="Y9" t="s">
        <v>76</v>
      </c>
      <c r="AA9" t="s">
        <v>77</v>
      </c>
      <c r="AB9">
        <v>200.0</v>
      </c>
      <c r="AC9" t="s">
        <v>77</v>
      </c>
      <c r="AD9">
        <v>200.0</v>
      </c>
      <c r="AF9" t="b">
        <v>1</v>
      </c>
      <c r="AG9">
        <v>100.0</v>
      </c>
      <c r="AH9">
        <v>200.0</v>
      </c>
      <c r="AJ9" t="s">
        <v>82</v>
      </c>
      <c r="AN9" t="s">
        <v>94</v>
      </c>
      <c r="AO9" t="s">
        <v>81</v>
      </c>
      <c r="AP9" t="s">
        <v>81</v>
      </c>
      <c r="AQ9" t="s">
        <v>82</v>
      </c>
      <c r="AR9" t="s">
        <v>81</v>
      </c>
      <c r="AU9" t="s">
        <v>95</v>
      </c>
      <c r="AV9" t="s">
        <v>85</v>
      </c>
      <c r="AW9" t="s">
        <v>96</v>
      </c>
      <c r="AZ9" t="s">
        <v>84</v>
      </c>
      <c r="BA9" t="s">
        <v>96</v>
      </c>
      <c r="BQ9">
        <v>1.0</v>
      </c>
      <c r="BR9">
        <v>1.0</v>
      </c>
      <c r="BS9" t="s">
        <v>86</v>
      </c>
      <c r="BU9" t="s">
        <v>86</v>
      </c>
      <c r="BV9">
        <v>2.0</v>
      </c>
      <c r="CH9">
        <v>10.0</v>
      </c>
      <c r="CJ9">
        <v>10.0</v>
      </c>
      <c r="CQ9">
        <v>1000.0</v>
      </c>
      <c r="CS9">
        <v>1000.0</v>
      </c>
      <c r="CT9">
        <v>1000.0</v>
      </c>
      <c r="CV9">
        <v>1000.0</v>
      </c>
      <c r="CW9">
        <v>200.0</v>
      </c>
      <c r="DC9">
        <v>200.0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</row>
    <row r="10" ht="15.75" customHeight="1">
      <c r="A10" s="8"/>
      <c r="B10" s="8"/>
      <c r="C10" s="8"/>
      <c r="D10" s="8"/>
      <c r="E10" s="8"/>
      <c r="F10" s="8"/>
      <c r="G10" s="8"/>
      <c r="H10" s="8" t="s">
        <v>63</v>
      </c>
      <c r="I10" s="8"/>
      <c r="J10" s="8">
        <v>10000.0</v>
      </c>
      <c r="K10" s="8">
        <v>10000.0</v>
      </c>
      <c r="L10" s="8">
        <v>100.0</v>
      </c>
      <c r="M10" s="40" t="s">
        <v>72</v>
      </c>
      <c r="N10" s="8">
        <v>1186.0</v>
      </c>
      <c r="O10" s="8" t="s">
        <v>97</v>
      </c>
      <c r="P10">
        <v>1.0</v>
      </c>
      <c r="Q10" t="s">
        <v>56</v>
      </c>
      <c r="R10" t="s">
        <v>74</v>
      </c>
      <c r="S10">
        <v>100.0</v>
      </c>
      <c r="T10" s="41" t="s">
        <v>75</v>
      </c>
      <c r="U10" s="41" t="s">
        <v>75</v>
      </c>
      <c r="X10" t="b">
        <v>1</v>
      </c>
      <c r="Y10" t="s">
        <v>76</v>
      </c>
      <c r="AA10" t="s">
        <v>77</v>
      </c>
      <c r="AB10">
        <v>20000.0</v>
      </c>
      <c r="AC10" t="s">
        <v>77</v>
      </c>
      <c r="AD10">
        <v>20000.0</v>
      </c>
      <c r="AF10" t="b">
        <v>1</v>
      </c>
      <c r="AG10">
        <v>10000.0</v>
      </c>
      <c r="AH10">
        <v>20000.0</v>
      </c>
      <c r="AJ10" t="s">
        <v>98</v>
      </c>
      <c r="AN10" t="s">
        <v>79</v>
      </c>
      <c r="AO10" t="s">
        <v>80</v>
      </c>
      <c r="AP10" t="s">
        <v>81</v>
      </c>
      <c r="AQ10" t="s">
        <v>99</v>
      </c>
      <c r="AR10" t="s">
        <v>83</v>
      </c>
      <c r="AU10" t="s">
        <v>100</v>
      </c>
      <c r="AV10" t="s">
        <v>85</v>
      </c>
      <c r="AW10" t="s">
        <v>67</v>
      </c>
      <c r="AZ10" t="s">
        <v>84</v>
      </c>
      <c r="BA10" t="s">
        <v>67</v>
      </c>
      <c r="BQ10">
        <v>1.0</v>
      </c>
      <c r="BR10">
        <v>1.0</v>
      </c>
      <c r="BS10" t="s">
        <v>86</v>
      </c>
      <c r="BU10" t="s">
        <v>86</v>
      </c>
      <c r="BV10">
        <v>2.0</v>
      </c>
      <c r="CH10">
        <v>10.0</v>
      </c>
      <c r="CJ10">
        <v>10.0</v>
      </c>
      <c r="CQ10">
        <v>100000.0</v>
      </c>
      <c r="CS10">
        <v>100000.0</v>
      </c>
      <c r="CT10">
        <v>100000.0</v>
      </c>
      <c r="CV10">
        <v>100000.0</v>
      </c>
      <c r="CW10">
        <v>20000.0</v>
      </c>
      <c r="DC10">
        <v>20000.0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40"/>
      <c r="N11" s="8"/>
      <c r="O11" s="8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70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30" t="s">
        <v>102</v>
      </c>
      <c r="C5" s="30" t="s">
        <v>103</v>
      </c>
      <c r="D5" s="30" t="s">
        <v>104</v>
      </c>
      <c r="E5" s="30" t="s">
        <v>105</v>
      </c>
      <c r="F5" s="27" t="s">
        <v>106</v>
      </c>
      <c r="G5" s="30" t="s">
        <v>107</v>
      </c>
      <c r="H5" s="30" t="s">
        <v>108</v>
      </c>
      <c r="I5" s="30" t="s">
        <v>109</v>
      </c>
      <c r="J5" s="30" t="s">
        <v>110</v>
      </c>
      <c r="K5" s="30" t="s">
        <v>111</v>
      </c>
      <c r="L5" s="30" t="s">
        <v>112</v>
      </c>
      <c r="M5" s="30" t="s">
        <v>113</v>
      </c>
      <c r="N5" s="30" t="s">
        <v>114</v>
      </c>
      <c r="O5" s="30" t="s">
        <v>115</v>
      </c>
      <c r="P5" s="30" t="s">
        <v>116</v>
      </c>
      <c r="Q5" s="30" t="s">
        <v>117</v>
      </c>
      <c r="R5" s="30" t="s">
        <v>118</v>
      </c>
      <c r="S5" s="30" t="s">
        <v>119</v>
      </c>
      <c r="T5" s="29" t="s">
        <v>120</v>
      </c>
      <c r="U5" s="29" t="s">
        <v>121</v>
      </c>
      <c r="V5" s="29" t="s">
        <v>122</v>
      </c>
      <c r="W5" s="29" t="s">
        <v>123</v>
      </c>
      <c r="X5" s="29" t="s">
        <v>124</v>
      </c>
      <c r="Y5" s="29" t="s">
        <v>125</v>
      </c>
      <c r="Z5" s="29" t="s">
        <v>126</v>
      </c>
      <c r="AA5" s="29" t="s">
        <v>127</v>
      </c>
      <c r="AB5" s="29" t="s">
        <v>128</v>
      </c>
      <c r="AC5" s="29" t="s">
        <v>129</v>
      </c>
      <c r="AD5" s="29" t="s">
        <v>130</v>
      </c>
      <c r="AE5" s="29" t="s">
        <v>131</v>
      </c>
      <c r="AF5" s="29" t="s">
        <v>132</v>
      </c>
      <c r="AG5" s="29" t="s">
        <v>133</v>
      </c>
      <c r="AH5" s="29" t="s">
        <v>134</v>
      </c>
      <c r="AI5" s="29" t="s">
        <v>135</v>
      </c>
      <c r="AJ5" s="29" t="s">
        <v>136</v>
      </c>
      <c r="AK5" s="29" t="s">
        <v>137</v>
      </c>
      <c r="AL5" s="29" t="s">
        <v>138</v>
      </c>
      <c r="AM5" s="29" t="s">
        <v>139</v>
      </c>
      <c r="AN5" s="29" t="s">
        <v>140</v>
      </c>
      <c r="AO5" s="29" t="s">
        <v>141</v>
      </c>
      <c r="AP5" s="29" t="s">
        <v>142</v>
      </c>
      <c r="AQ5" s="29" t="s">
        <v>143</v>
      </c>
      <c r="AR5" s="29" t="s">
        <v>144</v>
      </c>
      <c r="AS5" s="29" t="s">
        <v>145</v>
      </c>
      <c r="AT5" s="29" t="s">
        <v>146</v>
      </c>
      <c r="AU5" s="29" t="s">
        <v>147</v>
      </c>
      <c r="AV5" s="29" t="s">
        <v>148</v>
      </c>
      <c r="AW5" s="29" t="s">
        <v>149</v>
      </c>
      <c r="AX5" s="29" t="s">
        <v>150</v>
      </c>
      <c r="AY5" s="29" t="s">
        <v>151</v>
      </c>
      <c r="AZ5" s="29" t="s">
        <v>152</v>
      </c>
      <c r="BA5" s="29" t="s">
        <v>153</v>
      </c>
      <c r="BB5" s="29" t="s">
        <v>154</v>
      </c>
      <c r="BC5" s="29" t="s">
        <v>155</v>
      </c>
      <c r="BD5" s="29" t="s">
        <v>156</v>
      </c>
      <c r="BE5" s="29" t="s">
        <v>157</v>
      </c>
      <c r="BF5" s="29" t="s">
        <v>158</v>
      </c>
      <c r="BG5" s="29" t="s">
        <v>159</v>
      </c>
      <c r="BH5" s="29" t="s">
        <v>160</v>
      </c>
      <c r="BI5" s="29" t="s">
        <v>161</v>
      </c>
      <c r="BJ5" s="29" t="s">
        <v>162</v>
      </c>
      <c r="BK5" s="29" t="s">
        <v>163</v>
      </c>
      <c r="BL5" s="29" t="s">
        <v>164</v>
      </c>
      <c r="BM5" s="29" t="s">
        <v>165</v>
      </c>
      <c r="BN5" s="29" t="s">
        <v>166</v>
      </c>
      <c r="BO5" s="29" t="s">
        <v>167</v>
      </c>
      <c r="BP5" s="29" t="s">
        <v>168</v>
      </c>
      <c r="BQ5" s="29" t="s">
        <v>169</v>
      </c>
      <c r="BR5" s="29" t="s">
        <v>170</v>
      </c>
      <c r="BS5" s="29" t="s">
        <v>171</v>
      </c>
      <c r="BT5" s="29" t="s">
        <v>172</v>
      </c>
      <c r="BU5" s="29" t="s">
        <v>173</v>
      </c>
      <c r="BV5" s="29" t="s">
        <v>174</v>
      </c>
      <c r="BW5" s="29" t="s">
        <v>175</v>
      </c>
      <c r="BX5" s="29" t="s">
        <v>176</v>
      </c>
      <c r="BY5" s="29" t="s">
        <v>177</v>
      </c>
      <c r="BZ5" s="29" t="s">
        <v>178</v>
      </c>
      <c r="CA5" s="29" t="s">
        <v>179</v>
      </c>
      <c r="CB5" s="29" t="s">
        <v>180</v>
      </c>
      <c r="CC5" s="29" t="s">
        <v>181</v>
      </c>
      <c r="CD5" s="29" t="s">
        <v>182</v>
      </c>
      <c r="CE5" s="29" t="s">
        <v>183</v>
      </c>
      <c r="CF5" s="29" t="s">
        <v>184</v>
      </c>
      <c r="CG5" s="29" t="s">
        <v>185</v>
      </c>
      <c r="CH5" s="29" t="s">
        <v>186</v>
      </c>
      <c r="CI5" s="29" t="s">
        <v>187</v>
      </c>
      <c r="CJ5" s="29" t="s">
        <v>188</v>
      </c>
      <c r="CK5" s="29" t="s">
        <v>189</v>
      </c>
      <c r="CL5" s="29" t="s">
        <v>190</v>
      </c>
      <c r="CM5" s="29" t="s">
        <v>191</v>
      </c>
      <c r="CN5" s="29" t="s">
        <v>192</v>
      </c>
      <c r="CO5" s="29" t="s">
        <v>193</v>
      </c>
      <c r="CP5" s="29" t="s">
        <v>194</v>
      </c>
      <c r="CQ5" s="29" t="s">
        <v>195</v>
      </c>
      <c r="CR5" s="29" t="s">
        <v>196</v>
      </c>
      <c r="CS5" s="29" t="s">
        <v>197</v>
      </c>
      <c r="CT5" s="29" t="s">
        <v>198</v>
      </c>
      <c r="CU5" s="29" t="s">
        <v>199</v>
      </c>
      <c r="CV5" s="29" t="s">
        <v>200</v>
      </c>
      <c r="CW5" s="29" t="s">
        <v>201</v>
      </c>
      <c r="CX5" s="29" t="s">
        <v>202</v>
      </c>
      <c r="CY5" s="29" t="s">
        <v>203</v>
      </c>
      <c r="CZ5" s="29" t="s">
        <v>204</v>
      </c>
      <c r="DA5" s="29" t="s">
        <v>205</v>
      </c>
      <c r="DB5" s="29" t="s">
        <v>206</v>
      </c>
      <c r="DC5" s="29" t="s">
        <v>207</v>
      </c>
      <c r="DD5" s="29" t="s">
        <v>208</v>
      </c>
      <c r="DE5" s="29" t="s">
        <v>209</v>
      </c>
      <c r="DF5" s="29" t="s">
        <v>210</v>
      </c>
      <c r="DG5" s="29" t="s">
        <v>211</v>
      </c>
      <c r="DH5" s="29" t="s">
        <v>212</v>
      </c>
      <c r="DI5" s="29" t="s">
        <v>213</v>
      </c>
      <c r="DJ5" s="29" t="s">
        <v>214</v>
      </c>
      <c r="DK5" s="29" t="s">
        <v>215</v>
      </c>
      <c r="DL5" s="29" t="s">
        <v>216</v>
      </c>
      <c r="DM5" s="29" t="s">
        <v>217</v>
      </c>
      <c r="DN5" s="29" t="s">
        <v>218</v>
      </c>
      <c r="DO5" s="29" t="s">
        <v>219</v>
      </c>
      <c r="DP5" s="29" t="s">
        <v>220</v>
      </c>
      <c r="DQ5" s="29" t="s">
        <v>221</v>
      </c>
      <c r="DR5" s="29" t="s">
        <v>222</v>
      </c>
      <c r="DS5" s="29" t="s">
        <v>223</v>
      </c>
      <c r="DT5" s="29" t="s">
        <v>224</v>
      </c>
      <c r="DU5" s="29" t="s">
        <v>225</v>
      </c>
      <c r="DV5" s="29" t="s">
        <v>226</v>
      </c>
      <c r="DW5" s="29" t="s">
        <v>227</v>
      </c>
      <c r="DX5" s="29" t="s">
        <v>228</v>
      </c>
      <c r="DY5" s="29" t="s">
        <v>229</v>
      </c>
      <c r="DZ5" s="29" t="s">
        <v>230</v>
      </c>
      <c r="EA5" s="29" t="s">
        <v>231</v>
      </c>
      <c r="EB5" s="29" t="s">
        <v>232</v>
      </c>
      <c r="EC5" s="29" t="s">
        <v>233</v>
      </c>
      <c r="ED5" s="29" t="s">
        <v>234</v>
      </c>
      <c r="EE5" s="29" t="s">
        <v>235</v>
      </c>
      <c r="EF5" s="29" t="s">
        <v>236</v>
      </c>
      <c r="EG5" s="29" t="s">
        <v>237</v>
      </c>
      <c r="EH5" s="29" t="s">
        <v>238</v>
      </c>
      <c r="EI5" s="29" t="s">
        <v>239</v>
      </c>
      <c r="EJ5" s="29" t="s">
        <v>240</v>
      </c>
      <c r="EK5" s="29" t="s">
        <v>241</v>
      </c>
      <c r="EL5" s="29" t="s">
        <v>242</v>
      </c>
      <c r="EM5" s="29" t="s">
        <v>243</v>
      </c>
      <c r="EN5" s="29" t="s">
        <v>244</v>
      </c>
      <c r="EO5" s="29" t="s">
        <v>245</v>
      </c>
      <c r="EP5" s="29" t="s">
        <v>246</v>
      </c>
      <c r="EQ5" s="29" t="s">
        <v>247</v>
      </c>
      <c r="ER5" s="29" t="s">
        <v>248</v>
      </c>
      <c r="ES5" s="29" t="s">
        <v>249</v>
      </c>
      <c r="ET5" s="29" t="s">
        <v>250</v>
      </c>
      <c r="EU5" s="29" t="s">
        <v>251</v>
      </c>
      <c r="EV5" s="29" t="s">
        <v>252</v>
      </c>
      <c r="EW5" s="29" t="s">
        <v>253</v>
      </c>
      <c r="EX5" s="29" t="s">
        <v>254</v>
      </c>
      <c r="EY5" s="29" t="s">
        <v>255</v>
      </c>
      <c r="EZ5" s="29" t="s">
        <v>256</v>
      </c>
      <c r="FA5" s="29" t="s">
        <v>257</v>
      </c>
      <c r="FB5" s="29" t="s">
        <v>258</v>
      </c>
      <c r="FC5" s="29" t="s">
        <v>259</v>
      </c>
      <c r="FD5" s="29" t="s">
        <v>260</v>
      </c>
      <c r="FE5" s="29" t="s">
        <v>261</v>
      </c>
      <c r="FF5" s="29" t="s">
        <v>262</v>
      </c>
      <c r="FG5" s="29" t="s">
        <v>263</v>
      </c>
      <c r="FH5" s="29" t="s">
        <v>264</v>
      </c>
      <c r="FI5" s="29" t="s">
        <v>265</v>
      </c>
      <c r="FJ5" s="29" t="s">
        <v>266</v>
      </c>
      <c r="FK5" s="29" t="s">
        <v>267</v>
      </c>
      <c r="FL5" s="29" t="s">
        <v>268</v>
      </c>
      <c r="FM5" s="29" t="s">
        <v>269</v>
      </c>
      <c r="FN5" s="29" t="s">
        <v>270</v>
      </c>
      <c r="FO5" s="29" t="s">
        <v>271</v>
      </c>
      <c r="FP5" s="29" t="s">
        <v>272</v>
      </c>
      <c r="FQ5" s="29" t="s">
        <v>273</v>
      </c>
      <c r="FR5" s="29" t="s">
        <v>274</v>
      </c>
      <c r="FS5" s="29" t="s">
        <v>275</v>
      </c>
      <c r="FT5" s="29" t="s">
        <v>276</v>
      </c>
      <c r="FU5" s="29" t="s">
        <v>277</v>
      </c>
      <c r="FV5" s="29" t="s">
        <v>278</v>
      </c>
      <c r="FW5" s="29" t="s">
        <v>279</v>
      </c>
      <c r="FX5" s="29" t="s">
        <v>280</v>
      </c>
      <c r="FY5" s="29" t="s">
        <v>281</v>
      </c>
      <c r="FZ5" s="29" t="s">
        <v>282</v>
      </c>
      <c r="GA5" s="29" t="s">
        <v>283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/>
      <c r="B6" s="40" t="s">
        <v>72</v>
      </c>
      <c r="C6" s="8">
        <v>1186.0</v>
      </c>
      <c r="D6" s="40" t="s">
        <v>284</v>
      </c>
      <c r="E6" s="8" t="s">
        <v>75</v>
      </c>
      <c r="F6" s="8" t="s">
        <v>75</v>
      </c>
      <c r="G6" s="8" t="s">
        <v>56</v>
      </c>
      <c r="H6" s="8" t="s">
        <v>56</v>
      </c>
      <c r="I6" s="8" t="s">
        <v>84</v>
      </c>
      <c r="J6" s="8" t="s">
        <v>67</v>
      </c>
      <c r="K6" s="8"/>
      <c r="L6" s="8"/>
      <c r="M6" s="8"/>
      <c r="N6" s="8"/>
      <c r="O6" s="8"/>
      <c r="R6" t="s">
        <v>78</v>
      </c>
      <c r="T6">
        <v>1.0</v>
      </c>
      <c r="U6" t="s">
        <v>74</v>
      </c>
      <c r="X6" t="s">
        <v>67</v>
      </c>
      <c r="AS6">
        <v>100.0</v>
      </c>
      <c r="AT6">
        <v>800.0</v>
      </c>
      <c r="AV6">
        <v>800.0</v>
      </c>
      <c r="AW6">
        <v>200.0</v>
      </c>
      <c r="AX6">
        <v>30.0</v>
      </c>
      <c r="AY6">
        <v>16.0</v>
      </c>
      <c r="AZ6">
        <v>30.0</v>
      </c>
      <c r="BA6">
        <v>16.0</v>
      </c>
      <c r="BR6">
        <v>800.0</v>
      </c>
      <c r="BT6">
        <v>800.0</v>
      </c>
      <c r="BU6">
        <v>800.0</v>
      </c>
      <c r="BV6">
        <v>800.0</v>
      </c>
      <c r="BW6">
        <v>1000.0</v>
      </c>
      <c r="BX6">
        <v>1000.0</v>
      </c>
      <c r="BY6">
        <v>1000.0</v>
      </c>
      <c r="CA6">
        <v>1.0</v>
      </c>
      <c r="CB6">
        <v>1.0</v>
      </c>
      <c r="CC6" t="s">
        <v>86</v>
      </c>
      <c r="CL6">
        <v>1.0</v>
      </c>
      <c r="CM6">
        <v>1.0</v>
      </c>
      <c r="CN6">
        <v>1.0</v>
      </c>
      <c r="CO6">
        <v>10.0</v>
      </c>
      <c r="CQ6">
        <v>10.0</v>
      </c>
      <c r="DG6" t="s">
        <v>285</v>
      </c>
      <c r="DH6" t="s">
        <v>285</v>
      </c>
      <c r="DI6">
        <v>200.0</v>
      </c>
      <c r="DL6">
        <v>800.0</v>
      </c>
      <c r="DN6">
        <v>1000.0</v>
      </c>
      <c r="DO6">
        <v>123200.0</v>
      </c>
      <c r="DQ6">
        <v>143800.0</v>
      </c>
      <c r="DR6">
        <v>154000.0</v>
      </c>
      <c r="DS6">
        <v>154000.0</v>
      </c>
      <c r="DT6">
        <v>123200.0</v>
      </c>
      <c r="DW6">
        <v>143800.0</v>
      </c>
      <c r="DX6">
        <v>154000.0</v>
      </c>
      <c r="DY6">
        <v>154000.0</v>
      </c>
      <c r="EB6">
        <v>123200.0</v>
      </c>
    </row>
    <row r="7" ht="15.75" customHeight="1">
      <c r="A7" s="8"/>
      <c r="B7" s="8" t="s">
        <v>72</v>
      </c>
      <c r="C7" s="8">
        <v>1186.0</v>
      </c>
      <c r="D7" s="8" t="s">
        <v>284</v>
      </c>
      <c r="E7" s="8" t="s">
        <v>75</v>
      </c>
      <c r="F7" s="8" t="s">
        <v>75</v>
      </c>
      <c r="G7" s="8" t="s">
        <v>54</v>
      </c>
      <c r="H7" s="8" t="s">
        <v>54</v>
      </c>
      <c r="I7" s="8" t="s">
        <v>91</v>
      </c>
      <c r="J7" s="8" t="s">
        <v>67</v>
      </c>
      <c r="K7" s="8"/>
      <c r="L7" s="8"/>
      <c r="M7" s="8"/>
      <c r="N7" s="8"/>
      <c r="O7" s="8"/>
      <c r="R7" t="s">
        <v>87</v>
      </c>
      <c r="T7">
        <v>1.0</v>
      </c>
      <c r="U7" t="s">
        <v>74</v>
      </c>
      <c r="X7" t="s">
        <v>67</v>
      </c>
      <c r="AS7">
        <v>100.0</v>
      </c>
      <c r="AT7">
        <v>40000.0</v>
      </c>
      <c r="AV7">
        <v>40000.0</v>
      </c>
      <c r="AW7">
        <v>10000.0</v>
      </c>
      <c r="AX7">
        <v>1500.0</v>
      </c>
      <c r="AY7">
        <v>800.0</v>
      </c>
      <c r="AZ7">
        <v>1500.0</v>
      </c>
      <c r="BA7">
        <v>800.0</v>
      </c>
      <c r="BR7">
        <v>40000.0</v>
      </c>
      <c r="BT7">
        <v>40000.0</v>
      </c>
      <c r="BU7">
        <v>40000.0</v>
      </c>
      <c r="BV7">
        <v>40000.0</v>
      </c>
      <c r="BW7">
        <v>50000.0</v>
      </c>
      <c r="BX7">
        <v>50000.0</v>
      </c>
      <c r="BY7">
        <v>50000.0</v>
      </c>
      <c r="CA7">
        <v>1.0</v>
      </c>
      <c r="CB7">
        <v>1.0</v>
      </c>
      <c r="CC7" t="s">
        <v>86</v>
      </c>
      <c r="CL7">
        <v>1.0</v>
      </c>
      <c r="CM7">
        <v>1.0</v>
      </c>
      <c r="CN7">
        <v>1.0</v>
      </c>
      <c r="CO7">
        <v>10.0</v>
      </c>
      <c r="CQ7">
        <v>10.0</v>
      </c>
      <c r="DG7" t="s">
        <v>285</v>
      </c>
      <c r="DH7" t="s">
        <v>285</v>
      </c>
      <c r="DI7">
        <v>10000.0</v>
      </c>
      <c r="DL7">
        <v>40000.0</v>
      </c>
      <c r="DN7">
        <v>50000.0</v>
      </c>
      <c r="DO7">
        <v>123200.0</v>
      </c>
      <c r="DQ7">
        <v>143800.0</v>
      </c>
      <c r="DR7">
        <v>154000.0</v>
      </c>
      <c r="DS7">
        <v>154000.0</v>
      </c>
      <c r="DT7">
        <v>123200.0</v>
      </c>
      <c r="DW7">
        <v>143800.0</v>
      </c>
      <c r="DX7">
        <v>154000.0</v>
      </c>
      <c r="DY7">
        <v>154000.0</v>
      </c>
      <c r="EB7">
        <v>123200.0</v>
      </c>
    </row>
    <row r="8" ht="15.75" customHeight="1">
      <c r="A8" s="8"/>
      <c r="B8" s="8" t="s">
        <v>72</v>
      </c>
      <c r="C8" s="8">
        <v>1186.0</v>
      </c>
      <c r="D8" s="8" t="s">
        <v>284</v>
      </c>
      <c r="E8" s="8" t="s">
        <v>75</v>
      </c>
      <c r="F8" s="8" t="s">
        <v>75</v>
      </c>
      <c r="G8" s="8" t="s">
        <v>52</v>
      </c>
      <c r="H8" s="8" t="s">
        <v>52</v>
      </c>
      <c r="I8" s="8" t="s">
        <v>93</v>
      </c>
      <c r="J8" s="8" t="s">
        <v>68</v>
      </c>
      <c r="K8" s="8"/>
      <c r="L8" s="8"/>
      <c r="M8" s="8"/>
      <c r="N8" s="8"/>
      <c r="O8" s="8"/>
      <c r="R8" t="s">
        <v>82</v>
      </c>
      <c r="T8">
        <v>1.0</v>
      </c>
      <c r="U8" t="s">
        <v>74</v>
      </c>
      <c r="X8" t="s">
        <v>68</v>
      </c>
      <c r="AS8">
        <v>100.0</v>
      </c>
      <c r="AT8">
        <v>1000.0</v>
      </c>
      <c r="AV8">
        <v>1000.0</v>
      </c>
      <c r="AW8">
        <v>200.0</v>
      </c>
      <c r="AX8">
        <v>30.0</v>
      </c>
      <c r="AY8">
        <v>16.0</v>
      </c>
      <c r="AZ8">
        <v>30.0</v>
      </c>
      <c r="BA8">
        <v>16.0</v>
      </c>
      <c r="BR8">
        <v>1000.0</v>
      </c>
      <c r="BT8">
        <v>1000.0</v>
      </c>
      <c r="BU8">
        <v>800.0</v>
      </c>
      <c r="BV8">
        <v>800.0</v>
      </c>
      <c r="BW8">
        <v>1000.0</v>
      </c>
      <c r="BX8">
        <v>1000.0</v>
      </c>
      <c r="BY8">
        <v>1000.0</v>
      </c>
      <c r="CA8">
        <v>1.0</v>
      </c>
      <c r="CB8">
        <v>1.0</v>
      </c>
      <c r="CC8" t="s">
        <v>86</v>
      </c>
      <c r="CL8">
        <v>1.0</v>
      </c>
      <c r="CM8">
        <v>1.0</v>
      </c>
      <c r="CN8">
        <v>1.0</v>
      </c>
      <c r="CO8">
        <v>10.0</v>
      </c>
      <c r="CQ8">
        <v>10.0</v>
      </c>
      <c r="DG8" t="s">
        <v>285</v>
      </c>
      <c r="DH8" t="s">
        <v>285</v>
      </c>
      <c r="DI8">
        <v>200.0</v>
      </c>
      <c r="DL8">
        <v>1000.0</v>
      </c>
      <c r="DN8">
        <v>1000.0</v>
      </c>
      <c r="DO8">
        <v>123200.0</v>
      </c>
      <c r="DQ8">
        <v>143800.0</v>
      </c>
      <c r="DR8">
        <v>154000.0</v>
      </c>
      <c r="DS8">
        <v>154000.0</v>
      </c>
      <c r="DT8">
        <v>123200.0</v>
      </c>
      <c r="DW8">
        <v>143800.0</v>
      </c>
      <c r="DX8">
        <v>154000.0</v>
      </c>
      <c r="DY8">
        <v>154000.0</v>
      </c>
      <c r="EB8">
        <v>123200.0</v>
      </c>
    </row>
    <row r="9" ht="15.75" customHeight="1">
      <c r="A9" s="8"/>
      <c r="B9" s="8" t="s">
        <v>72</v>
      </c>
      <c r="C9" s="8">
        <v>1186.0</v>
      </c>
      <c r="D9" s="8" t="s">
        <v>284</v>
      </c>
      <c r="E9" s="8" t="s">
        <v>75</v>
      </c>
      <c r="F9" s="8" t="s">
        <v>75</v>
      </c>
      <c r="G9" s="8" t="s">
        <v>53</v>
      </c>
      <c r="H9" s="8" t="s">
        <v>53</v>
      </c>
      <c r="I9" s="8" t="s">
        <v>95</v>
      </c>
      <c r="J9" s="8" t="s">
        <v>96</v>
      </c>
      <c r="K9" s="8"/>
      <c r="L9" s="8"/>
      <c r="M9" s="8"/>
      <c r="N9" s="8"/>
      <c r="O9" s="8"/>
      <c r="R9" t="s">
        <v>82</v>
      </c>
      <c r="T9">
        <v>1.0</v>
      </c>
      <c r="U9" t="s">
        <v>74</v>
      </c>
      <c r="X9" t="s">
        <v>96</v>
      </c>
      <c r="AS9">
        <v>100.0</v>
      </c>
      <c r="AT9">
        <v>1000.0</v>
      </c>
      <c r="AV9">
        <v>1000.0</v>
      </c>
      <c r="AW9">
        <v>200.0</v>
      </c>
      <c r="AX9">
        <v>30.0</v>
      </c>
      <c r="AY9">
        <v>16.0</v>
      </c>
      <c r="AZ9">
        <v>30.0</v>
      </c>
      <c r="BA9">
        <v>16.0</v>
      </c>
      <c r="BR9">
        <v>1000.0</v>
      </c>
      <c r="BT9">
        <v>1000.0</v>
      </c>
      <c r="BU9">
        <v>800.0</v>
      </c>
      <c r="BV9">
        <v>800.0</v>
      </c>
      <c r="BW9">
        <v>1000.0</v>
      </c>
      <c r="BX9">
        <v>1000.0</v>
      </c>
      <c r="BY9">
        <v>1000.0</v>
      </c>
      <c r="CA9">
        <v>1.0</v>
      </c>
      <c r="CB9">
        <v>1.0</v>
      </c>
      <c r="CC9" t="s">
        <v>86</v>
      </c>
      <c r="CL9">
        <v>1.0</v>
      </c>
      <c r="CM9">
        <v>1.0</v>
      </c>
      <c r="CN9">
        <v>1.0</v>
      </c>
      <c r="CO9">
        <v>10.0</v>
      </c>
      <c r="CQ9">
        <v>10.0</v>
      </c>
      <c r="DG9" t="s">
        <v>285</v>
      </c>
      <c r="DH9" t="s">
        <v>285</v>
      </c>
      <c r="DI9">
        <v>200.0</v>
      </c>
      <c r="DL9">
        <v>1000.0</v>
      </c>
      <c r="DN9">
        <v>1000.0</v>
      </c>
      <c r="DO9">
        <v>123200.0</v>
      </c>
      <c r="DQ9">
        <v>143800.0</v>
      </c>
      <c r="DR9">
        <v>154000.0</v>
      </c>
      <c r="DS9">
        <v>154000.0</v>
      </c>
      <c r="DT9">
        <v>123200.0</v>
      </c>
      <c r="DW9">
        <v>143800.0</v>
      </c>
      <c r="DX9">
        <v>154000.0</v>
      </c>
      <c r="DY9">
        <v>154000.0</v>
      </c>
      <c r="EB9">
        <v>123200.0</v>
      </c>
    </row>
    <row r="10" ht="15.75" customHeight="1">
      <c r="A10" s="8"/>
      <c r="B10" s="8" t="s">
        <v>72</v>
      </c>
      <c r="C10" s="8">
        <v>1186.0</v>
      </c>
      <c r="D10" s="8" t="s">
        <v>284</v>
      </c>
      <c r="E10" s="8" t="s">
        <v>75</v>
      </c>
      <c r="F10" s="8" t="s">
        <v>75</v>
      </c>
      <c r="G10" s="8" t="s">
        <v>63</v>
      </c>
      <c r="H10" s="8" t="s">
        <v>56</v>
      </c>
      <c r="I10" s="8" t="s">
        <v>100</v>
      </c>
      <c r="J10" s="8" t="s">
        <v>67</v>
      </c>
      <c r="K10" s="8"/>
      <c r="L10" s="8"/>
      <c r="M10" s="8"/>
      <c r="N10" s="8"/>
      <c r="O10" s="8"/>
      <c r="R10" t="s">
        <v>98</v>
      </c>
      <c r="T10">
        <v>1.0</v>
      </c>
      <c r="U10" t="s">
        <v>74</v>
      </c>
      <c r="X10" t="s">
        <v>67</v>
      </c>
      <c r="AS10">
        <v>100.0</v>
      </c>
      <c r="AT10">
        <v>100000.0</v>
      </c>
      <c r="AV10">
        <v>100000.0</v>
      </c>
      <c r="AW10">
        <v>20000.0</v>
      </c>
      <c r="AX10">
        <v>15000.0</v>
      </c>
      <c r="AY10">
        <v>8000.0</v>
      </c>
      <c r="AZ10">
        <v>15000.0</v>
      </c>
      <c r="BA10">
        <v>8000.0</v>
      </c>
      <c r="BR10">
        <v>100000.0</v>
      </c>
      <c r="BT10">
        <v>100000.0</v>
      </c>
      <c r="BU10">
        <v>80000.0</v>
      </c>
      <c r="BV10">
        <v>80000.0</v>
      </c>
      <c r="BW10">
        <v>100000.0</v>
      </c>
      <c r="BX10">
        <v>100000.0</v>
      </c>
      <c r="BY10">
        <v>100000.0</v>
      </c>
      <c r="CA10">
        <v>1.0</v>
      </c>
      <c r="CB10">
        <v>1.0</v>
      </c>
      <c r="CC10" t="s">
        <v>86</v>
      </c>
      <c r="CL10">
        <v>1.0</v>
      </c>
      <c r="CM10">
        <v>1.0</v>
      </c>
      <c r="CN10">
        <v>1.0</v>
      </c>
      <c r="CO10">
        <v>10.0</v>
      </c>
      <c r="CQ10">
        <v>10.0</v>
      </c>
      <c r="DG10" t="s">
        <v>285</v>
      </c>
      <c r="DH10" t="s">
        <v>285</v>
      </c>
      <c r="DI10">
        <v>20000.0</v>
      </c>
      <c r="DL10">
        <v>100000.0</v>
      </c>
      <c r="DN10">
        <v>100000.0</v>
      </c>
      <c r="DO10">
        <v>123200.0</v>
      </c>
      <c r="DQ10">
        <v>143800.0</v>
      </c>
      <c r="DR10">
        <v>154000.0</v>
      </c>
      <c r="DS10">
        <v>154000.0</v>
      </c>
      <c r="DT10">
        <v>123200.0</v>
      </c>
      <c r="DW10">
        <v>143800.0</v>
      </c>
      <c r="DX10">
        <v>154000.0</v>
      </c>
      <c r="DY10">
        <v>154000.0</v>
      </c>
      <c r="EB10">
        <v>123200.0</v>
      </c>
    </row>
    <row r="11" ht="15.75" customHeight="1">
      <c r="A11" s="8"/>
      <c r="B11" s="8" t="s">
        <v>72</v>
      </c>
      <c r="C11" s="8">
        <v>1186.0</v>
      </c>
      <c r="D11" s="8" t="s">
        <v>284</v>
      </c>
      <c r="E11" s="8" t="s">
        <v>75</v>
      </c>
      <c r="F11" s="8" t="s">
        <v>75</v>
      </c>
      <c r="G11" s="8" t="s">
        <v>50</v>
      </c>
      <c r="H11" s="8" t="s">
        <v>50</v>
      </c>
      <c r="I11" s="8" t="s">
        <v>286</v>
      </c>
      <c r="J11" s="8" t="s">
        <v>67</v>
      </c>
      <c r="K11" s="8"/>
      <c r="L11" s="8"/>
      <c r="M11" s="8"/>
      <c r="N11" s="8"/>
      <c r="O11" s="8"/>
      <c r="R11" t="s">
        <v>82</v>
      </c>
      <c r="T11">
        <v>1.0</v>
      </c>
      <c r="U11" t="s">
        <v>74</v>
      </c>
      <c r="X11" t="s">
        <v>67</v>
      </c>
      <c r="AS11">
        <v>100.0</v>
      </c>
      <c r="AT11">
        <v>1000.0</v>
      </c>
      <c r="AV11">
        <v>1000.0</v>
      </c>
      <c r="AW11">
        <v>200.0</v>
      </c>
      <c r="AX11">
        <v>30.0</v>
      </c>
      <c r="AY11">
        <v>16.0</v>
      </c>
      <c r="AZ11">
        <v>30.0</v>
      </c>
      <c r="BA11">
        <v>16.0</v>
      </c>
      <c r="BR11">
        <v>1000.0</v>
      </c>
      <c r="BT11">
        <v>1000.0</v>
      </c>
      <c r="BU11">
        <v>800.0</v>
      </c>
      <c r="BV11">
        <v>800.0</v>
      </c>
      <c r="BW11">
        <v>1000.0</v>
      </c>
      <c r="BX11">
        <v>1000.0</v>
      </c>
      <c r="BY11">
        <v>1000.0</v>
      </c>
      <c r="CA11">
        <v>1.0</v>
      </c>
      <c r="CB11">
        <v>1.0</v>
      </c>
      <c r="CC11" t="s">
        <v>86</v>
      </c>
      <c r="CL11">
        <v>1.0</v>
      </c>
      <c r="CM11">
        <v>1.0</v>
      </c>
      <c r="CN11">
        <v>1.0</v>
      </c>
      <c r="CO11">
        <v>10.0</v>
      </c>
      <c r="CQ11">
        <v>10.0</v>
      </c>
      <c r="DG11" t="s">
        <v>285</v>
      </c>
      <c r="DH11" t="s">
        <v>285</v>
      </c>
      <c r="DI11">
        <v>200.0</v>
      </c>
      <c r="DL11">
        <v>1000.0</v>
      </c>
      <c r="DN11">
        <v>1000.0</v>
      </c>
      <c r="DO11">
        <v>123200.0</v>
      </c>
      <c r="DQ11">
        <v>143800.0</v>
      </c>
      <c r="DR11">
        <v>154000.0</v>
      </c>
      <c r="DS11">
        <v>154000.0</v>
      </c>
      <c r="DT11">
        <v>123200.0</v>
      </c>
      <c r="DW11">
        <v>143800.0</v>
      </c>
      <c r="DX11">
        <v>154000.0</v>
      </c>
      <c r="DY11">
        <v>154000.0</v>
      </c>
      <c r="EB11">
        <v>123200.0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VerifyAggregationAccountSymbolW!$4:$4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70</v>
      </c>
      <c r="D3" s="5" t="s">
        <v>9</v>
      </c>
      <c r="E3" s="22" t="s">
        <v>287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30" t="s">
        <v>102</v>
      </c>
      <c r="C5" s="30" t="s">
        <v>104</v>
      </c>
      <c r="D5" s="30" t="s">
        <v>107</v>
      </c>
      <c r="E5" s="30" t="s">
        <v>152</v>
      </c>
      <c r="F5" s="27" t="s">
        <v>108</v>
      </c>
      <c r="G5" s="30" t="s">
        <v>153</v>
      </c>
      <c r="H5" s="30" t="s">
        <v>109</v>
      </c>
      <c r="I5" s="30" t="s">
        <v>164</v>
      </c>
      <c r="J5" s="30" t="s">
        <v>110</v>
      </c>
      <c r="K5" s="30" t="s">
        <v>166</v>
      </c>
      <c r="L5" s="30" t="s">
        <v>111</v>
      </c>
      <c r="M5" s="30" t="s">
        <v>167</v>
      </c>
      <c r="N5" s="30" t="s">
        <v>112</v>
      </c>
      <c r="O5" s="30" t="s">
        <v>168</v>
      </c>
      <c r="P5" s="30" t="s">
        <v>113</v>
      </c>
      <c r="Q5" s="30" t="s">
        <v>169</v>
      </c>
      <c r="R5" s="30" t="s">
        <v>114</v>
      </c>
      <c r="S5" s="30" t="s">
        <v>170</v>
      </c>
      <c r="T5" s="29" t="s">
        <v>115</v>
      </c>
      <c r="U5" s="29" t="s">
        <v>171</v>
      </c>
      <c r="V5" s="29" t="s">
        <v>116</v>
      </c>
      <c r="W5" s="29" t="s">
        <v>173</v>
      </c>
      <c r="X5" s="29" t="s">
        <v>117</v>
      </c>
      <c r="Y5" s="29" t="s">
        <v>174</v>
      </c>
      <c r="Z5" s="29" t="s">
        <v>118</v>
      </c>
      <c r="AA5" s="29" t="s">
        <v>177</v>
      </c>
      <c r="AB5" s="29" t="s">
        <v>119</v>
      </c>
      <c r="AC5" s="29" t="s">
        <v>178</v>
      </c>
      <c r="AD5" s="29" t="s">
        <v>120</v>
      </c>
      <c r="AE5" s="29" t="s">
        <v>207</v>
      </c>
      <c r="AF5" s="29" t="s">
        <v>121</v>
      </c>
      <c r="AG5" s="29" t="s">
        <v>208</v>
      </c>
      <c r="AH5" s="29" t="s">
        <v>122</v>
      </c>
      <c r="AI5" s="29" t="s">
        <v>213</v>
      </c>
      <c r="AJ5" s="29" t="s">
        <v>123</v>
      </c>
      <c r="AK5" s="29" t="s">
        <v>214</v>
      </c>
      <c r="AL5" s="29" t="s">
        <v>124</v>
      </c>
      <c r="AM5" s="29" t="s">
        <v>215</v>
      </c>
      <c r="AN5" s="29" t="s">
        <v>125</v>
      </c>
      <c r="AO5" s="29" t="s">
        <v>216</v>
      </c>
      <c r="AP5" s="29" t="s">
        <v>126</v>
      </c>
      <c r="AQ5" s="29" t="s">
        <v>217</v>
      </c>
      <c r="AR5" s="29" t="s">
        <v>127</v>
      </c>
      <c r="AS5" s="29" t="s">
        <v>218</v>
      </c>
      <c r="AT5" s="29" t="s">
        <v>128</v>
      </c>
      <c r="AU5" s="29" t="s">
        <v>219</v>
      </c>
      <c r="AV5" s="29" t="s">
        <v>129</v>
      </c>
      <c r="AW5" s="29" t="s">
        <v>130</v>
      </c>
      <c r="AX5" s="29" t="s">
        <v>220</v>
      </c>
      <c r="AY5" s="29" t="s">
        <v>131</v>
      </c>
      <c r="AZ5" s="29" t="s">
        <v>132</v>
      </c>
      <c r="BA5" s="29" t="s">
        <v>133</v>
      </c>
      <c r="BB5" s="29" t="s">
        <v>134</v>
      </c>
      <c r="BC5" s="29" t="s">
        <v>172</v>
      </c>
      <c r="BD5" s="29" t="s">
        <v>135</v>
      </c>
      <c r="BE5" s="29" t="s">
        <v>136</v>
      </c>
      <c r="BF5" s="29" t="s">
        <v>176</v>
      </c>
      <c r="BG5" s="29" t="s">
        <v>137</v>
      </c>
      <c r="BH5" s="29" t="s">
        <v>175</v>
      </c>
      <c r="BI5" s="29" t="s">
        <v>138</v>
      </c>
      <c r="BJ5" s="29" t="s">
        <v>230</v>
      </c>
      <c r="BK5" s="29" t="s">
        <v>268</v>
      </c>
      <c r="BL5" s="29" t="s">
        <v>231</v>
      </c>
      <c r="BM5" s="29" t="s">
        <v>269</v>
      </c>
      <c r="BN5" s="29" t="s">
        <v>270</v>
      </c>
      <c r="BO5" s="29" t="s">
        <v>271</v>
      </c>
      <c r="BP5" s="29" t="s">
        <v>272</v>
      </c>
      <c r="BQ5" s="29" t="s">
        <v>145</v>
      </c>
      <c r="BR5" s="29" t="s">
        <v>273</v>
      </c>
      <c r="BS5" s="29" t="s">
        <v>146</v>
      </c>
      <c r="BT5" s="29" t="s">
        <v>274</v>
      </c>
      <c r="BU5" s="29" t="s">
        <v>147</v>
      </c>
      <c r="BV5" s="29" t="s">
        <v>267</v>
      </c>
      <c r="BW5" s="29" t="s">
        <v>148</v>
      </c>
      <c r="BX5" s="29" t="s">
        <v>275</v>
      </c>
      <c r="BY5" s="29" t="s">
        <v>149</v>
      </c>
      <c r="BZ5" s="29" t="s">
        <v>276</v>
      </c>
      <c r="CA5" s="29" t="s">
        <v>150</v>
      </c>
      <c r="CB5" s="29" t="s">
        <v>277</v>
      </c>
      <c r="CC5" s="29" t="s">
        <v>151</v>
      </c>
      <c r="CD5" s="29" t="s">
        <v>278</v>
      </c>
      <c r="CE5" s="29" t="s">
        <v>279</v>
      </c>
      <c r="CF5" s="29" t="s">
        <v>280</v>
      </c>
      <c r="CG5" s="29" t="s">
        <v>154</v>
      </c>
      <c r="CH5" s="29" t="s">
        <v>281</v>
      </c>
      <c r="CI5" s="29" t="s">
        <v>139</v>
      </c>
      <c r="CJ5" s="29" t="s">
        <v>155</v>
      </c>
      <c r="CK5" s="29" t="s">
        <v>156</v>
      </c>
      <c r="CL5" s="29" t="s">
        <v>140</v>
      </c>
      <c r="CM5" s="29" t="s">
        <v>157</v>
      </c>
      <c r="CN5" s="29" t="s">
        <v>141</v>
      </c>
      <c r="CO5" s="29" t="s">
        <v>158</v>
      </c>
      <c r="CP5" s="29" t="s">
        <v>142</v>
      </c>
      <c r="CQ5" s="29" t="s">
        <v>159</v>
      </c>
      <c r="CR5" s="29" t="s">
        <v>143</v>
      </c>
      <c r="CS5" s="29" t="s">
        <v>160</v>
      </c>
      <c r="CT5" s="29" t="s">
        <v>144</v>
      </c>
      <c r="CU5" s="29" t="s">
        <v>161</v>
      </c>
      <c r="CV5" s="29" t="s">
        <v>162</v>
      </c>
      <c r="CW5" s="29" t="s">
        <v>163</v>
      </c>
      <c r="CX5" s="29" t="s">
        <v>165</v>
      </c>
      <c r="CY5" s="29" t="s">
        <v>179</v>
      </c>
      <c r="CZ5" s="29" t="s">
        <v>180</v>
      </c>
      <c r="DA5" s="29" t="s">
        <v>181</v>
      </c>
      <c r="DB5" s="29" t="s">
        <v>182</v>
      </c>
      <c r="DC5" s="29" t="s">
        <v>183</v>
      </c>
      <c r="DD5" s="29" t="s">
        <v>184</v>
      </c>
      <c r="DE5" s="29" t="s">
        <v>185</v>
      </c>
      <c r="DF5" s="29" t="s">
        <v>186</v>
      </c>
      <c r="DG5" s="29" t="s">
        <v>187</v>
      </c>
      <c r="DH5" s="29" t="s">
        <v>188</v>
      </c>
      <c r="DI5" s="29" t="s">
        <v>189</v>
      </c>
      <c r="DJ5" s="29" t="s">
        <v>190</v>
      </c>
      <c r="DK5" s="29" t="s">
        <v>191</v>
      </c>
      <c r="DL5" s="29" t="s">
        <v>192</v>
      </c>
      <c r="DM5" s="29" t="s">
        <v>193</v>
      </c>
      <c r="DN5" s="29" t="s">
        <v>194</v>
      </c>
      <c r="DO5" s="29" t="s">
        <v>195</v>
      </c>
      <c r="DP5" s="29" t="s">
        <v>196</v>
      </c>
      <c r="DQ5" s="29" t="s">
        <v>197</v>
      </c>
      <c r="DR5" s="29" t="s">
        <v>198</v>
      </c>
      <c r="DS5" s="29" t="s">
        <v>199</v>
      </c>
      <c r="DT5" s="29" t="s">
        <v>200</v>
      </c>
      <c r="DU5" s="29" t="s">
        <v>201</v>
      </c>
      <c r="DV5" s="29" t="s">
        <v>202</v>
      </c>
      <c r="DW5" s="29" t="s">
        <v>203</v>
      </c>
      <c r="DX5" s="29" t="s">
        <v>204</v>
      </c>
      <c r="DY5" s="29" t="s">
        <v>205</v>
      </c>
      <c r="DZ5" s="29" t="s">
        <v>206</v>
      </c>
      <c r="EA5" s="29" t="s">
        <v>209</v>
      </c>
      <c r="EB5" s="29" t="s">
        <v>210</v>
      </c>
      <c r="EC5" s="29" t="s">
        <v>211</v>
      </c>
      <c r="ED5" s="29" t="s">
        <v>212</v>
      </c>
      <c r="EE5" s="29" t="s">
        <v>221</v>
      </c>
      <c r="EF5" s="29" t="s">
        <v>222</v>
      </c>
      <c r="EG5" s="29" t="s">
        <v>223</v>
      </c>
      <c r="EH5" s="29" t="s">
        <v>232</v>
      </c>
      <c r="EI5" s="29" t="s">
        <v>233</v>
      </c>
      <c r="EJ5" s="29" t="s">
        <v>234</v>
      </c>
      <c r="EK5" s="29" t="s">
        <v>235</v>
      </c>
      <c r="EL5" s="29" t="s">
        <v>236</v>
      </c>
      <c r="EM5" s="29" t="s">
        <v>252</v>
      </c>
      <c r="EN5" s="29" t="s">
        <v>253</v>
      </c>
      <c r="EO5" s="29" t="s">
        <v>254</v>
      </c>
      <c r="EP5" s="29" t="s">
        <v>255</v>
      </c>
      <c r="EQ5" s="29" t="s">
        <v>256</v>
      </c>
      <c r="ER5" s="29" t="s">
        <v>257</v>
      </c>
      <c r="ES5" s="29" t="s">
        <v>258</v>
      </c>
      <c r="ET5" s="29" t="s">
        <v>259</v>
      </c>
      <c r="EU5" s="29" t="s">
        <v>260</v>
      </c>
      <c r="EV5" s="29" t="s">
        <v>261</v>
      </c>
      <c r="EW5" s="29" t="s">
        <v>262</v>
      </c>
      <c r="EX5" s="29" t="s">
        <v>263</v>
      </c>
      <c r="EY5" s="29" t="s">
        <v>264</v>
      </c>
      <c r="EZ5" s="29" t="s">
        <v>265</v>
      </c>
      <c r="FA5" s="29" t="s">
        <v>266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/>
      <c r="B6" s="8" t="s">
        <v>72</v>
      </c>
      <c r="C6" s="8" t="s">
        <v>288</v>
      </c>
      <c r="D6" s="8" t="s">
        <v>56</v>
      </c>
      <c r="E6" s="8">
        <v>30.0</v>
      </c>
      <c r="F6" s="8" t="s">
        <v>56</v>
      </c>
      <c r="G6" s="8">
        <v>16.0</v>
      </c>
      <c r="H6" s="8" t="s">
        <v>84</v>
      </c>
      <c r="I6" s="8"/>
      <c r="J6" s="8" t="s">
        <v>67</v>
      </c>
      <c r="K6" s="8">
        <v>200.0</v>
      </c>
      <c r="L6" s="8" t="s">
        <v>80</v>
      </c>
      <c r="M6" s="8"/>
      <c r="N6" s="8" t="s">
        <v>81</v>
      </c>
      <c r="O6" s="8"/>
      <c r="P6" t="s">
        <v>82</v>
      </c>
      <c r="Q6">
        <v>0.0</v>
      </c>
      <c r="R6" t="s">
        <v>83</v>
      </c>
      <c r="S6">
        <v>800.0</v>
      </c>
      <c r="Y6">
        <v>800.0</v>
      </c>
      <c r="Z6" t="s">
        <v>78</v>
      </c>
      <c r="AA6">
        <v>1000.0</v>
      </c>
      <c r="AF6" t="s">
        <v>74</v>
      </c>
      <c r="AL6" t="s">
        <v>67</v>
      </c>
      <c r="BQ6">
        <v>100.0</v>
      </c>
      <c r="BS6">
        <v>800.0</v>
      </c>
      <c r="BW6">
        <v>800.0</v>
      </c>
      <c r="BY6">
        <v>200.0</v>
      </c>
      <c r="CA6">
        <v>30.0</v>
      </c>
      <c r="CC6">
        <v>16.0</v>
      </c>
      <c r="CO6">
        <v>800.0</v>
      </c>
      <c r="CP6">
        <v>200.0</v>
      </c>
      <c r="CQ6">
        <v>1000.0</v>
      </c>
      <c r="CR6">
        <v>200.0</v>
      </c>
      <c r="CS6">
        <v>1000.0</v>
      </c>
      <c r="CY6">
        <v>1.0</v>
      </c>
      <c r="CZ6">
        <v>1.0</v>
      </c>
      <c r="DA6" t="s">
        <v>86</v>
      </c>
      <c r="DM6">
        <v>10.0</v>
      </c>
      <c r="DO6">
        <v>10.0</v>
      </c>
      <c r="EC6" t="s">
        <v>285</v>
      </c>
      <c r="ED6" t="s">
        <v>285</v>
      </c>
      <c r="EE6">
        <v>143800.0</v>
      </c>
      <c r="EF6">
        <v>154000.0</v>
      </c>
      <c r="EG6">
        <v>154000.0</v>
      </c>
      <c r="EH6">
        <v>123200.0</v>
      </c>
      <c r="FL6">
        <v>40.5844155844155</v>
      </c>
      <c r="FM6">
        <v>0.0</v>
      </c>
      <c r="FN6">
        <v>40.5844155844155</v>
      </c>
      <c r="FO6">
        <v>40.5844155844155</v>
      </c>
      <c r="FP6">
        <v>40.5844155844155</v>
      </c>
      <c r="FQ6">
        <v>32.4675324675324</v>
      </c>
      <c r="FR6">
        <v>0.0</v>
      </c>
      <c r="FS6">
        <v>32.4675324675324</v>
      </c>
      <c r="FT6">
        <v>8.11688311688311</v>
      </c>
      <c r="FU6">
        <v>0.0</v>
      </c>
      <c r="FV6">
        <v>8.11688311688311</v>
      </c>
      <c r="FW6">
        <v>32.4675324675324</v>
      </c>
      <c r="FX6">
        <v>32.4675324675324</v>
      </c>
      <c r="FY6">
        <v>0.0</v>
      </c>
    </row>
    <row r="7" ht="15.75" customHeight="1">
      <c r="A7" s="8"/>
      <c r="B7" s="8" t="s">
        <v>72</v>
      </c>
      <c r="C7" s="8" t="s">
        <v>288</v>
      </c>
      <c r="D7" s="8" t="s">
        <v>54</v>
      </c>
      <c r="E7" s="8">
        <v>1500.0</v>
      </c>
      <c r="F7" s="8" t="s">
        <v>54</v>
      </c>
      <c r="G7" s="8">
        <v>800.0</v>
      </c>
      <c r="H7" s="8" t="s">
        <v>91</v>
      </c>
      <c r="I7" s="8"/>
      <c r="J7" s="8" t="s">
        <v>67</v>
      </c>
      <c r="K7" s="8">
        <v>10000.0</v>
      </c>
      <c r="L7" s="8" t="s">
        <v>88</v>
      </c>
      <c r="M7" s="8"/>
      <c r="N7" s="8" t="s">
        <v>89</v>
      </c>
      <c r="O7" s="8"/>
      <c r="P7" t="s">
        <v>81</v>
      </c>
      <c r="Q7">
        <v>0.0</v>
      </c>
      <c r="R7" t="s">
        <v>90</v>
      </c>
      <c r="S7">
        <v>40000.0</v>
      </c>
      <c r="Y7">
        <v>40000.0</v>
      </c>
      <c r="Z7" t="s">
        <v>87</v>
      </c>
      <c r="AA7">
        <v>50000.0</v>
      </c>
      <c r="AF7" t="s">
        <v>74</v>
      </c>
      <c r="AL7" t="s">
        <v>67</v>
      </c>
      <c r="BQ7">
        <v>100.0</v>
      </c>
      <c r="BS7">
        <v>40000.0</v>
      </c>
      <c r="BW7">
        <v>40000.0</v>
      </c>
      <c r="BY7">
        <v>10000.0</v>
      </c>
      <c r="CA7">
        <v>1500.0</v>
      </c>
      <c r="CC7">
        <v>800.0</v>
      </c>
      <c r="CO7">
        <v>40000.0</v>
      </c>
      <c r="CP7">
        <v>10000.0</v>
      </c>
      <c r="CQ7">
        <v>5000.0</v>
      </c>
      <c r="CR7">
        <v>10000.0</v>
      </c>
      <c r="CS7">
        <v>5000.0</v>
      </c>
      <c r="CY7">
        <v>1.0</v>
      </c>
      <c r="CZ7">
        <v>1.0</v>
      </c>
      <c r="DA7" t="s">
        <v>86</v>
      </c>
      <c r="DM7">
        <v>10.0</v>
      </c>
      <c r="DO7">
        <v>10.0</v>
      </c>
      <c r="EC7" t="s">
        <v>285</v>
      </c>
      <c r="ED7" t="s">
        <v>285</v>
      </c>
      <c r="EE7">
        <v>143800.0</v>
      </c>
      <c r="EF7">
        <v>154000.0</v>
      </c>
      <c r="EG7">
        <v>154000.0</v>
      </c>
      <c r="EH7">
        <v>123200.0</v>
      </c>
      <c r="FL7">
        <v>0.811688311688311</v>
      </c>
      <c r="FM7">
        <v>0.0</v>
      </c>
      <c r="FN7">
        <v>0.811688311688311</v>
      </c>
      <c r="FO7">
        <v>0.811688311688311</v>
      </c>
      <c r="FP7">
        <v>0.811688311688311</v>
      </c>
      <c r="FQ7">
        <v>0.811688311688311</v>
      </c>
      <c r="FR7">
        <v>0.0</v>
      </c>
      <c r="FS7">
        <v>0.811688311688311</v>
      </c>
      <c r="FT7">
        <v>0.162337662337662</v>
      </c>
      <c r="FU7">
        <v>0.0</v>
      </c>
      <c r="FV7">
        <v>0.162337662337662</v>
      </c>
      <c r="FW7">
        <v>0.649350649350649</v>
      </c>
      <c r="FX7">
        <v>0.649350649350649</v>
      </c>
      <c r="FY7">
        <v>0.0</v>
      </c>
    </row>
    <row r="8" ht="15.75" customHeight="1">
      <c r="A8" s="8"/>
      <c r="B8" s="8" t="s">
        <v>72</v>
      </c>
      <c r="C8" s="8" t="s">
        <v>288</v>
      </c>
      <c r="D8" s="8" t="s">
        <v>52</v>
      </c>
      <c r="E8" s="8">
        <v>30.0</v>
      </c>
      <c r="F8" s="8" t="s">
        <v>52</v>
      </c>
      <c r="G8" s="8">
        <v>16.0</v>
      </c>
      <c r="H8" s="8" t="s">
        <v>93</v>
      </c>
      <c r="I8" s="8"/>
      <c r="J8" s="8" t="s">
        <v>68</v>
      </c>
      <c r="K8" s="8">
        <v>200.0</v>
      </c>
      <c r="L8" s="8" t="s">
        <v>81</v>
      </c>
      <c r="M8" s="8"/>
      <c r="N8" s="8" t="s">
        <v>81</v>
      </c>
      <c r="O8" s="8"/>
      <c r="P8" t="s">
        <v>82</v>
      </c>
      <c r="Q8">
        <v>200.0</v>
      </c>
      <c r="R8" t="s">
        <v>81</v>
      </c>
      <c r="S8">
        <v>1000.0</v>
      </c>
      <c r="Y8">
        <v>800.0</v>
      </c>
      <c r="Z8" t="s">
        <v>82</v>
      </c>
      <c r="AA8">
        <v>1000.0</v>
      </c>
      <c r="AF8" t="s">
        <v>74</v>
      </c>
      <c r="AL8" t="s">
        <v>68</v>
      </c>
      <c r="BQ8">
        <v>100.0</v>
      </c>
      <c r="BS8">
        <v>1000.0</v>
      </c>
      <c r="BW8">
        <v>1000.0</v>
      </c>
      <c r="BY8">
        <v>200.0</v>
      </c>
      <c r="CA8">
        <v>30.0</v>
      </c>
      <c r="CC8">
        <v>16.0</v>
      </c>
      <c r="CO8">
        <v>800.0</v>
      </c>
      <c r="CP8">
        <v>200.0</v>
      </c>
      <c r="CQ8">
        <v>1000.0</v>
      </c>
      <c r="CR8">
        <v>200.0</v>
      </c>
      <c r="CS8">
        <v>1000.0</v>
      </c>
      <c r="CY8">
        <v>1.0</v>
      </c>
      <c r="CZ8">
        <v>1.0</v>
      </c>
      <c r="DA8" t="s">
        <v>86</v>
      </c>
      <c r="DM8">
        <v>10.0</v>
      </c>
      <c r="DO8">
        <v>10.0</v>
      </c>
      <c r="EC8" t="s">
        <v>285</v>
      </c>
      <c r="ED8" t="s">
        <v>285</v>
      </c>
      <c r="EE8">
        <v>143800.0</v>
      </c>
      <c r="EF8">
        <v>154000.0</v>
      </c>
      <c r="EG8">
        <v>154000.0</v>
      </c>
      <c r="EH8">
        <v>123200.0</v>
      </c>
      <c r="FL8">
        <v>0.811688311688311</v>
      </c>
      <c r="FM8">
        <v>0.0</v>
      </c>
      <c r="FN8">
        <v>0.811688311688311</v>
      </c>
      <c r="FO8">
        <v>0.811688311688311</v>
      </c>
      <c r="FP8">
        <v>0.811688311688311</v>
      </c>
      <c r="FQ8">
        <v>0.811688311688311</v>
      </c>
      <c r="FR8">
        <v>0.0</v>
      </c>
      <c r="FS8">
        <v>0.811688311688311</v>
      </c>
      <c r="FT8">
        <v>0.162337662337662</v>
      </c>
      <c r="FU8">
        <v>0.0</v>
      </c>
      <c r="FV8">
        <v>0.162337662337662</v>
      </c>
      <c r="FW8">
        <v>0.649350649350649</v>
      </c>
      <c r="FX8">
        <v>0.649350649350649</v>
      </c>
      <c r="FY8">
        <v>0.0</v>
      </c>
    </row>
    <row r="9" ht="15.75" customHeight="1">
      <c r="A9" s="8"/>
      <c r="B9" s="8" t="s">
        <v>72</v>
      </c>
      <c r="C9" s="8" t="s">
        <v>288</v>
      </c>
      <c r="D9" s="8" t="s">
        <v>53</v>
      </c>
      <c r="E9" s="8">
        <v>30.0</v>
      </c>
      <c r="F9" s="8" t="s">
        <v>53</v>
      </c>
      <c r="G9" s="8">
        <v>16.0</v>
      </c>
      <c r="H9" s="8" t="s">
        <v>95</v>
      </c>
      <c r="I9" s="8"/>
      <c r="J9" s="8" t="s">
        <v>96</v>
      </c>
      <c r="K9" s="8">
        <v>200.0</v>
      </c>
      <c r="L9" s="8" t="s">
        <v>81</v>
      </c>
      <c r="M9" s="8"/>
      <c r="N9" s="8" t="s">
        <v>81</v>
      </c>
      <c r="O9" s="8"/>
      <c r="P9" t="s">
        <v>82</v>
      </c>
      <c r="Q9">
        <v>200.0</v>
      </c>
      <c r="R9" t="s">
        <v>81</v>
      </c>
      <c r="S9">
        <v>1000.0</v>
      </c>
      <c r="Y9">
        <v>800.0</v>
      </c>
      <c r="Z9" t="s">
        <v>82</v>
      </c>
      <c r="AA9">
        <v>1000.0</v>
      </c>
      <c r="AF9" t="s">
        <v>74</v>
      </c>
      <c r="AL9" t="s">
        <v>96</v>
      </c>
      <c r="BQ9">
        <v>100.0</v>
      </c>
      <c r="BS9">
        <v>1000.0</v>
      </c>
      <c r="BW9">
        <v>1000.0</v>
      </c>
      <c r="BY9">
        <v>200.0</v>
      </c>
      <c r="CA9">
        <v>30.0</v>
      </c>
      <c r="CC9">
        <v>16.0</v>
      </c>
      <c r="CO9">
        <v>800.0</v>
      </c>
      <c r="CP9">
        <v>200.0</v>
      </c>
      <c r="CQ9">
        <v>1000.0</v>
      </c>
      <c r="CR9">
        <v>200.0</v>
      </c>
      <c r="CS9">
        <v>1000.0</v>
      </c>
      <c r="CY9">
        <v>1.0</v>
      </c>
      <c r="CZ9">
        <v>1.0</v>
      </c>
      <c r="DA9" t="s">
        <v>86</v>
      </c>
      <c r="DM9">
        <v>10.0</v>
      </c>
      <c r="DO9">
        <v>10.0</v>
      </c>
      <c r="EC9" t="s">
        <v>285</v>
      </c>
      <c r="ED9" t="s">
        <v>285</v>
      </c>
      <c r="EE9">
        <v>143800.0</v>
      </c>
      <c r="EF9">
        <v>154000.0</v>
      </c>
      <c r="EG9">
        <v>154000.0</v>
      </c>
      <c r="EH9">
        <v>123200.0</v>
      </c>
      <c r="FL9">
        <v>81.1688311688311</v>
      </c>
      <c r="FM9">
        <v>0.0</v>
      </c>
      <c r="FN9">
        <v>81.1688311688311</v>
      </c>
      <c r="FO9">
        <v>81.1688311688311</v>
      </c>
      <c r="FP9">
        <v>81.1688311688311</v>
      </c>
      <c r="FQ9">
        <v>81.1688311688311</v>
      </c>
      <c r="FR9">
        <v>0.0</v>
      </c>
      <c r="FS9">
        <v>81.1688311688311</v>
      </c>
      <c r="FT9">
        <v>16.2337662337662</v>
      </c>
      <c r="FU9">
        <v>0.0</v>
      </c>
      <c r="FV9">
        <v>16.2337662337662</v>
      </c>
      <c r="FW9">
        <v>64.9350649350649</v>
      </c>
      <c r="FX9">
        <v>64.9350649350649</v>
      </c>
      <c r="FY9">
        <v>0.0</v>
      </c>
    </row>
    <row r="10" ht="15.75" customHeight="1">
      <c r="A10" s="8"/>
      <c r="B10" s="8" t="s">
        <v>72</v>
      </c>
      <c r="C10" s="8" t="s">
        <v>288</v>
      </c>
      <c r="D10" s="8" t="s">
        <v>63</v>
      </c>
      <c r="E10" s="8">
        <v>15000.0</v>
      </c>
      <c r="F10" s="8" t="s">
        <v>56</v>
      </c>
      <c r="G10" s="8">
        <v>8000.0</v>
      </c>
      <c r="H10" s="8" t="s">
        <v>100</v>
      </c>
      <c r="I10" s="8"/>
      <c r="J10" s="8" t="s">
        <v>67</v>
      </c>
      <c r="K10" s="8">
        <v>20000.0</v>
      </c>
      <c r="L10" s="8" t="s">
        <v>80</v>
      </c>
      <c r="M10" s="8"/>
      <c r="N10" s="8" t="s">
        <v>81</v>
      </c>
      <c r="O10" s="8"/>
      <c r="P10" t="s">
        <v>99</v>
      </c>
      <c r="Q10">
        <v>20000.0</v>
      </c>
      <c r="R10" t="s">
        <v>83</v>
      </c>
      <c r="S10">
        <v>100000.0</v>
      </c>
      <c r="Y10">
        <v>80000.0</v>
      </c>
      <c r="Z10" t="s">
        <v>98</v>
      </c>
      <c r="AA10">
        <v>100000.0</v>
      </c>
      <c r="AF10" t="s">
        <v>74</v>
      </c>
      <c r="AL10" t="s">
        <v>67</v>
      </c>
      <c r="BQ10">
        <v>100.0</v>
      </c>
      <c r="BS10">
        <v>100000.0</v>
      </c>
      <c r="BW10">
        <v>100000.0</v>
      </c>
      <c r="BY10">
        <v>20000.0</v>
      </c>
      <c r="CA10">
        <v>15000.0</v>
      </c>
      <c r="CC10">
        <v>8000.0</v>
      </c>
      <c r="CO10">
        <v>80000.0</v>
      </c>
      <c r="CP10">
        <v>20000.0</v>
      </c>
      <c r="CQ10">
        <v>100000.0</v>
      </c>
      <c r="CR10">
        <v>20000.0</v>
      </c>
      <c r="CS10">
        <v>100000.0</v>
      </c>
      <c r="CY10">
        <v>1.0</v>
      </c>
      <c r="CZ10">
        <v>1.0</v>
      </c>
      <c r="DA10" t="s">
        <v>86</v>
      </c>
      <c r="DM10">
        <v>10.0</v>
      </c>
      <c r="DO10">
        <v>10.0</v>
      </c>
      <c r="EC10" t="s">
        <v>285</v>
      </c>
      <c r="ED10" t="s">
        <v>285</v>
      </c>
      <c r="EE10">
        <v>143800.0</v>
      </c>
      <c r="EF10">
        <v>154000.0</v>
      </c>
      <c r="EG10">
        <v>154000.0</v>
      </c>
      <c r="EH10">
        <v>123200.0</v>
      </c>
      <c r="FL10">
        <v>0.811688311688311</v>
      </c>
      <c r="FM10">
        <v>0.0</v>
      </c>
      <c r="FN10">
        <v>0.811688311688311</v>
      </c>
      <c r="FO10">
        <v>0.811688311688311</v>
      </c>
      <c r="FP10">
        <v>0.811688311688311</v>
      </c>
      <c r="FQ10">
        <v>0.811688311688311</v>
      </c>
      <c r="FR10">
        <v>0.0</v>
      </c>
      <c r="FS10">
        <v>0.811688311688311</v>
      </c>
      <c r="FT10">
        <v>0.162337662337662</v>
      </c>
      <c r="FU10">
        <v>0.0</v>
      </c>
      <c r="FV10">
        <v>0.162337662337662</v>
      </c>
      <c r="FW10">
        <v>0.649350649350649</v>
      </c>
      <c r="FX10">
        <v>0.649350649350649</v>
      </c>
      <c r="FY10">
        <v>0.0</v>
      </c>
    </row>
    <row r="11" ht="15.75" customHeight="1">
      <c r="A11" s="8"/>
      <c r="B11" s="8" t="s">
        <v>72</v>
      </c>
      <c r="C11" s="8" t="s">
        <v>288</v>
      </c>
      <c r="D11" s="8" t="s">
        <v>50</v>
      </c>
      <c r="E11" s="8">
        <v>30.0</v>
      </c>
      <c r="F11" s="8" t="s">
        <v>50</v>
      </c>
      <c r="G11" s="8">
        <v>16.0</v>
      </c>
      <c r="H11" s="8" t="s">
        <v>286</v>
      </c>
      <c r="I11" s="8"/>
      <c r="J11" s="8" t="s">
        <v>67</v>
      </c>
      <c r="K11" s="8">
        <v>200.0</v>
      </c>
      <c r="L11" s="8" t="s">
        <v>81</v>
      </c>
      <c r="M11" s="8"/>
      <c r="N11" s="8" t="s">
        <v>81</v>
      </c>
      <c r="O11" s="8"/>
      <c r="P11" t="s">
        <v>82</v>
      </c>
      <c r="Q11">
        <v>200.0</v>
      </c>
      <c r="R11" t="s">
        <v>81</v>
      </c>
      <c r="S11">
        <v>1000.0</v>
      </c>
      <c r="Y11">
        <v>800.0</v>
      </c>
      <c r="Z11" t="s">
        <v>82</v>
      </c>
      <c r="AA11">
        <v>1000.0</v>
      </c>
      <c r="AF11" t="s">
        <v>74</v>
      </c>
      <c r="AL11" t="s">
        <v>67</v>
      </c>
      <c r="BQ11">
        <v>100.0</v>
      </c>
      <c r="BS11">
        <v>1000.0</v>
      </c>
      <c r="BW11">
        <v>1000.0</v>
      </c>
      <c r="BY11">
        <v>200.0</v>
      </c>
      <c r="CA11">
        <v>30.0</v>
      </c>
      <c r="CC11">
        <v>16.0</v>
      </c>
      <c r="CO11">
        <v>800.0</v>
      </c>
      <c r="CP11">
        <v>200.0</v>
      </c>
      <c r="CQ11">
        <v>1000.0</v>
      </c>
      <c r="CR11">
        <v>200.0</v>
      </c>
      <c r="CS11">
        <v>1000.0</v>
      </c>
      <c r="CY11">
        <v>1.0</v>
      </c>
      <c r="CZ11">
        <v>1.0</v>
      </c>
      <c r="DA11" t="s">
        <v>86</v>
      </c>
      <c r="DM11">
        <v>10.0</v>
      </c>
      <c r="DO11">
        <v>10.0</v>
      </c>
      <c r="EC11" t="s">
        <v>285</v>
      </c>
      <c r="ED11" t="s">
        <v>285</v>
      </c>
      <c r="EE11">
        <v>143800.0</v>
      </c>
      <c r="EF11">
        <v>154000.0</v>
      </c>
      <c r="EG11">
        <v>154000.0</v>
      </c>
      <c r="EH11">
        <v>123200.0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VerifyAggregationMasterFundSymb!$4:$4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289</v>
      </c>
      <c r="D3" s="5" t="s">
        <v>9</v>
      </c>
      <c r="E3" s="22" t="s">
        <v>290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IFERROR(__xludf.DUMMYFUNCTION("""COMPUTED_VALUE"""),"OpenWindow")</f>
        <v>OpenWindow</v>
      </c>
      <c r="C5" s="30" t="str">
        <f>IFERROR(__xludf.DUMMYFUNCTION("""COMPUTED_VALUE"""),"TabName")</f>
        <v>TabName</v>
      </c>
      <c r="D5" s="30" t="str">
        <f>IFERROR(__xludf.DUMMYFUNCTION("""COMPUTED_VALUE"""),"Description")</f>
        <v>Description</v>
      </c>
      <c r="E5" s="30" t="str">
        <f>IFERROR(__xludf.DUMMYFUNCTION("""COMPUTED_VALUE"""),"Save?")</f>
        <v>Save?</v>
      </c>
      <c r="F5" s="27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291</v>
      </c>
      <c r="C6" s="39" t="s">
        <v>292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289</v>
      </c>
      <c r="D3" s="5" t="s">
        <v>9</v>
      </c>
      <c r="E3" s="22" t="s">
        <v>293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IFERROR(__xludf.DUMMYFUNCTION("""COMPUTED_VALUE"""),"Security Name")</f>
        <v>Security Name</v>
      </c>
      <c r="D5" s="30" t="str">
        <f>IFERROR(__xludf.DUMMYFUNCTION("""COMPUTED_VALUE"""),"Fund")</f>
        <v>Fund</v>
      </c>
      <c r="E5" s="30" t="str">
        <f>IFERROR(__xludf.DUMMYFUNCTION("""COMPUTED_VALUE"""),"Account")</f>
        <v>Account</v>
      </c>
      <c r="F5" s="27" t="str">
        <f>IFERROR(__xludf.DUMMYFUNCTION("""COMPUTED_VALUE"""),"Asset Class")</f>
        <v>Asset Class</v>
      </c>
      <c r="G5" s="30" t="str">
        <f>IFERROR(__xludf.DUMMYFUNCTION("""COMPUTED_VALUE"""),"Position")</f>
        <v>Position</v>
      </c>
      <c r="H5" s="30" t="str">
        <f>IFERROR(__xludf.DUMMYFUNCTION("""COMPUTED_VALUE"""),"Position Side")</f>
        <v>Position Side</v>
      </c>
      <c r="I5" s="30" t="str">
        <f>IFERROR(__xludf.DUMMYFUNCTION("""COMPUTED_VALUE"""),"Px Selected Feed (Local)")</f>
        <v>Px Selected Feed (Local)</v>
      </c>
      <c r="J5" s="30" t="str">
        <f>IFERROR(__xludf.DUMMYFUNCTION("""COMPUTED_VALUE"""),"Px Selected Feed (Base)")</f>
        <v>Px Selected Feed (Base)</v>
      </c>
      <c r="K5" s="30" t="str">
        <f>IFERROR(__xludf.DUMMYFUNCTION("""COMPUTED_VALUE"""),"Market Value (Base)")</f>
        <v>Market Value (Base)</v>
      </c>
      <c r="L5" s="30" t="str">
        <f>IFERROR(__xludf.DUMMYFUNCTION("""COMPUTED_VALUE"""),"% Net Market Value (Base)")</f>
        <v>% Net Market Value (Base)</v>
      </c>
      <c r="M5" s="30" t="str">
        <f>IFERROR(__xludf.DUMMYFUNCTION("""COMPUTED_VALUE"""),"Cost Basis P&amp;L (Base)")</f>
        <v>Cost Basis P&amp;L (Base)</v>
      </c>
      <c r="N5" s="30" t="str">
        <f>IFERROR(__xludf.DUMMYFUNCTION("""COMPUTED_VALUE"""),"% Gain/Loss Cost")</f>
        <v>% Gain/Loss Cost</v>
      </c>
      <c r="O5" s="30" t="str">
        <f>IFERROR(__xludf.DUMMYFUNCTION("""COMPUTED_VALUE"""),"Day P&amp;L (Base)")</f>
        <v>Day P&amp;L (Base)</v>
      </c>
      <c r="P5" s="30" t="str">
        <f>IFERROR(__xludf.DUMMYFUNCTION("""COMPUTED_VALUE"""),"% Gain/Loss Day")</f>
        <v>% Gain/Loss Day</v>
      </c>
      <c r="Q5" s="30" t="str">
        <f>IFERROR(__xludf.DUMMYFUNCTION("""COMPUTED_VALUE"""),"Exposure (Base)")</f>
        <v>Exposure (Base)</v>
      </c>
      <c r="R5" s="30" t="str">
        <f>IFERROR(__xludf.DUMMYFUNCTION("""COMPUTED_VALUE"""),"% Exposure (Base)")</f>
        <v>% Exposure (Base)</v>
      </c>
      <c r="S5" s="30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8"/>
      <c r="D6" s="12"/>
      <c r="E6" s="12" t="s">
        <v>75</v>
      </c>
      <c r="F6" t="s">
        <v>82</v>
      </c>
      <c r="G6" s="12">
        <v>100.0</v>
      </c>
      <c r="H6" s="12" t="s">
        <v>294</v>
      </c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52</v>
      </c>
      <c r="C7" s="8"/>
      <c r="D7" s="8"/>
      <c r="E7" s="12" t="s">
        <v>75</v>
      </c>
      <c r="F7" t="s">
        <v>82</v>
      </c>
      <c r="G7" s="12">
        <v>100.0</v>
      </c>
      <c r="H7" s="12" t="s">
        <v>294</v>
      </c>
      <c r="I7" s="8"/>
      <c r="J7" s="12">
        <v>5.0</v>
      </c>
      <c r="K7" s="8"/>
      <c r="L7" s="8"/>
      <c r="M7" s="8"/>
      <c r="N7" s="8"/>
      <c r="O7" s="8"/>
    </row>
    <row r="8" ht="15.75" customHeight="1">
      <c r="A8" s="8"/>
      <c r="B8" s="12" t="s">
        <v>53</v>
      </c>
      <c r="C8" s="8"/>
      <c r="D8" s="8"/>
      <c r="E8" s="12" t="s">
        <v>75</v>
      </c>
      <c r="F8" t="s">
        <v>82</v>
      </c>
      <c r="G8" s="12">
        <v>100.0</v>
      </c>
      <c r="H8" s="12" t="s">
        <v>294</v>
      </c>
      <c r="I8" s="8"/>
      <c r="J8" s="12">
        <v>0.0</v>
      </c>
      <c r="K8" s="8"/>
      <c r="L8" s="8"/>
      <c r="M8" s="8"/>
      <c r="N8" s="8"/>
      <c r="O8" s="8"/>
    </row>
    <row r="9" ht="15.75" customHeight="1">
      <c r="A9" s="8"/>
      <c r="B9" s="12" t="s">
        <v>54</v>
      </c>
      <c r="C9" s="8"/>
      <c r="D9" s="8"/>
      <c r="E9" s="12" t="s">
        <v>75</v>
      </c>
      <c r="F9" t="s">
        <v>87</v>
      </c>
      <c r="G9" s="12">
        <v>100.0</v>
      </c>
      <c r="H9" s="12" t="s">
        <v>294</v>
      </c>
      <c r="I9" s="8"/>
      <c r="J9" s="12">
        <v>10.0</v>
      </c>
      <c r="K9" s="8"/>
      <c r="L9" s="8"/>
      <c r="M9" s="8"/>
      <c r="N9" s="8"/>
      <c r="O9" s="8"/>
    </row>
    <row r="10" ht="15.75" customHeight="1">
      <c r="A10" s="8"/>
      <c r="B10" s="12" t="s">
        <v>55</v>
      </c>
      <c r="C10" s="8"/>
      <c r="D10" s="8"/>
      <c r="E10" s="12" t="s">
        <v>75</v>
      </c>
      <c r="F10" t="s">
        <v>98</v>
      </c>
      <c r="G10" s="12">
        <v>100.0</v>
      </c>
      <c r="H10" s="12" t="s">
        <v>294</v>
      </c>
      <c r="I10" s="8"/>
      <c r="J10" s="12">
        <v>10.0</v>
      </c>
      <c r="K10" s="8"/>
      <c r="L10" s="8"/>
      <c r="M10" s="8"/>
      <c r="N10" s="8"/>
      <c r="O10" s="8"/>
    </row>
    <row r="11" ht="15.75" customHeight="1">
      <c r="A11" s="8"/>
      <c r="B11" s="12" t="s">
        <v>56</v>
      </c>
      <c r="C11" s="8"/>
      <c r="D11" s="8"/>
      <c r="E11" s="12" t="s">
        <v>75</v>
      </c>
      <c r="F11" t="s">
        <v>78</v>
      </c>
      <c r="G11" s="12">
        <v>100.0</v>
      </c>
      <c r="H11" s="12" t="s">
        <v>294</v>
      </c>
      <c r="I11" s="8"/>
      <c r="J11" s="12">
        <v>10.0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289</v>
      </c>
      <c r="D3" s="5" t="s">
        <v>9</v>
      </c>
      <c r="E3" s="22" t="s">
        <v>295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IFERROR(__xludf.DUMMYFUNCTION("""COMPUTED_VALUE"""),"Security Name")</f>
        <v>Security Name</v>
      </c>
      <c r="D5" s="30" t="str">
        <f>IFERROR(__xludf.DUMMYFUNCTION("""COMPUTED_VALUE"""),"Fund")</f>
        <v>Fund</v>
      </c>
      <c r="E5" s="30" t="str">
        <f>IFERROR(__xludf.DUMMYFUNCTION("""COMPUTED_VALUE"""),"Asset Class")</f>
        <v>Asset Class</v>
      </c>
      <c r="F5" s="27" t="str">
        <f>IFERROR(__xludf.DUMMYFUNCTION("""COMPUTED_VALUE"""),"Position")</f>
        <v>Position</v>
      </c>
      <c r="G5" s="30" t="str">
        <f>IFERROR(__xludf.DUMMYFUNCTION("""COMPUTED_VALUE"""),"Position Side")</f>
        <v>Position Side</v>
      </c>
      <c r="H5" s="30" t="str">
        <f>IFERROR(__xludf.DUMMYFUNCTION("""COMPUTED_VALUE"""),"Px Selected Feed (Local)")</f>
        <v>Px Selected Feed (Local)</v>
      </c>
      <c r="I5" s="30" t="str">
        <f>IFERROR(__xludf.DUMMYFUNCTION("""COMPUTED_VALUE"""),"Px Selected Feed (Base)")</f>
        <v>Px Selected Feed (Base)</v>
      </c>
      <c r="J5" s="30" t="str">
        <f>IFERROR(__xludf.DUMMYFUNCTION("""COMPUTED_VALUE"""),"Market Value (Base)")</f>
        <v>Market Value (Base)</v>
      </c>
      <c r="K5" s="30" t="str">
        <f>IFERROR(__xludf.DUMMYFUNCTION("""COMPUTED_VALUE"""),"% Net Market Value (Base)")</f>
        <v>% Net Market Value (Base)</v>
      </c>
      <c r="L5" s="30" t="str">
        <f>IFERROR(__xludf.DUMMYFUNCTION("""COMPUTED_VALUE"""),"Cost Basis P&amp;L (Base)")</f>
        <v>Cost Basis P&amp;L (Base)</v>
      </c>
      <c r="M5" s="30" t="str">
        <f>IFERROR(__xludf.DUMMYFUNCTION("""COMPUTED_VALUE"""),"% Gain/Loss Cost")</f>
        <v>% Gain/Loss Cost</v>
      </c>
      <c r="N5" s="30" t="str">
        <f>IFERROR(__xludf.DUMMYFUNCTION("""COMPUTED_VALUE"""),"Day P&amp;L (Base)")</f>
        <v>Day P&amp;L (Base)</v>
      </c>
      <c r="O5" s="30" t="str">
        <f>IFERROR(__xludf.DUMMYFUNCTION("""COMPUTED_VALUE"""),"% Gain/Loss Day")</f>
        <v>% Gain/Loss Day</v>
      </c>
      <c r="P5" s="30" t="str">
        <f>IFERROR(__xludf.DUMMYFUNCTION("""COMPUTED_VALUE"""),"Exposure (Base)")</f>
        <v>Exposure (Base)</v>
      </c>
      <c r="Q5" s="30" t="str">
        <f>IFERROR(__xludf.DUMMYFUNCTION("""COMPUTED_VALUE"""),"% Exposure (Base)")</f>
        <v>% Exposure (Base)</v>
      </c>
      <c r="R5" s="30" t="str">
        <f>IFERROR(__xludf.DUMMYFUNCTION("""COMPUTED_VALUE"""),"Live Feed Provider Ticker")</f>
        <v>Live Feed Provider Ticker</v>
      </c>
      <c r="S5" s="30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 t="str">
        <f>IFERROR(__xludf.DUMMYFUNCTION("""COMPUTED_VALUE"""),"Bloomberg Symbol")</f>
        <v>Bloomberg Symbol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8"/>
      <c r="D6" s="12" t="s">
        <v>74</v>
      </c>
      <c r="E6" t="s">
        <v>82</v>
      </c>
      <c r="F6" s="12">
        <v>100.0</v>
      </c>
      <c r="G6" s="9" t="s">
        <v>294</v>
      </c>
      <c r="H6" s="8"/>
      <c r="I6" s="12">
        <v>10.0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52</v>
      </c>
      <c r="C7" s="8"/>
      <c r="D7" s="12" t="s">
        <v>74</v>
      </c>
      <c r="E7" t="s">
        <v>82</v>
      </c>
      <c r="F7" s="12">
        <v>100.0</v>
      </c>
      <c r="G7" s="9" t="s">
        <v>294</v>
      </c>
      <c r="H7" s="8"/>
      <c r="I7" s="12">
        <v>5.0</v>
      </c>
      <c r="J7" s="8"/>
      <c r="K7" s="8"/>
      <c r="L7" s="8"/>
      <c r="M7" s="8"/>
      <c r="N7" s="8"/>
      <c r="O7" s="8"/>
    </row>
    <row r="8" ht="15.75" customHeight="1">
      <c r="A8" s="8"/>
      <c r="B8" s="12" t="s">
        <v>53</v>
      </c>
      <c r="C8" s="8"/>
      <c r="D8" s="12" t="s">
        <v>74</v>
      </c>
      <c r="E8" t="s">
        <v>82</v>
      </c>
      <c r="F8" s="12">
        <v>100.0</v>
      </c>
      <c r="G8" s="9" t="s">
        <v>294</v>
      </c>
      <c r="H8" s="8"/>
      <c r="I8" s="12">
        <v>0.0</v>
      </c>
      <c r="J8" s="8"/>
      <c r="K8" s="8"/>
      <c r="L8" s="8"/>
      <c r="M8" s="8"/>
      <c r="N8" s="8"/>
      <c r="O8" s="8"/>
    </row>
    <row r="9" ht="15.75" customHeight="1">
      <c r="A9" s="8"/>
      <c r="B9" s="12" t="s">
        <v>54</v>
      </c>
      <c r="C9" s="8"/>
      <c r="D9" s="12" t="s">
        <v>74</v>
      </c>
      <c r="E9" t="s">
        <v>87</v>
      </c>
      <c r="F9" s="12">
        <v>100.0</v>
      </c>
      <c r="G9" s="9" t="s">
        <v>294</v>
      </c>
      <c r="H9" s="8"/>
      <c r="I9" s="12">
        <v>10.0</v>
      </c>
      <c r="J9" s="8"/>
      <c r="K9" s="8"/>
      <c r="L9" s="8"/>
      <c r="M9" s="8"/>
      <c r="N9" s="8"/>
      <c r="O9" s="8"/>
    </row>
    <row r="10" ht="15.75" customHeight="1">
      <c r="A10" s="8"/>
      <c r="B10" s="12" t="s">
        <v>55</v>
      </c>
      <c r="C10" s="8"/>
      <c r="D10" s="12" t="s">
        <v>74</v>
      </c>
      <c r="E10" t="s">
        <v>98</v>
      </c>
      <c r="F10" s="12">
        <v>100.0</v>
      </c>
      <c r="G10" s="9" t="s">
        <v>294</v>
      </c>
      <c r="H10" s="8"/>
      <c r="I10" s="12">
        <v>10.0</v>
      </c>
      <c r="J10" s="8"/>
      <c r="K10" s="8"/>
      <c r="L10" s="8"/>
      <c r="M10" s="8"/>
      <c r="N10" s="8"/>
      <c r="O10" s="8"/>
    </row>
    <row r="11" ht="15.75" customHeight="1">
      <c r="A11" s="8"/>
      <c r="B11" s="12" t="s">
        <v>56</v>
      </c>
      <c r="C11" s="8"/>
      <c r="D11" s="12" t="s">
        <v>74</v>
      </c>
      <c r="E11" t="s">
        <v>78</v>
      </c>
      <c r="F11" s="12">
        <v>100.0</v>
      </c>
      <c r="G11" s="9" t="s">
        <v>294</v>
      </c>
      <c r="H11" s="8"/>
      <c r="I11" s="12">
        <v>10.0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CheckRealTimeSymbolFundMonitor!$4:$4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