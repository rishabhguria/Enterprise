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13" activeTab="15"/>
  </bookViews>
  <sheets>
    <sheet name="GetDailyCash" sheetId="1" r:id="rId1"/>
    <sheet name="UpdateMultipleDailyCash" sheetId="2" r:id="rId2"/>
    <sheet name="CustomOrderTT" sheetId="3" r:id="rId3"/>
    <sheet name="PricingInput" sheetId="9" r:id="rId4"/>
    <sheet name="CustomOrderTT3" sheetId="10" r:id="rId5"/>
    <sheet name="SelectTradeOnOrderGrid" sheetId="12" r:id="rId6"/>
    <sheet name="SelectTradeSubOrderBlotter" sheetId="13" r:id="rId7"/>
    <sheet name="RightClickAndClickOperations" sheetId="14" r:id="rId8"/>
    <sheet name="CustomOrderTT4" sheetId="15" r:id="rId9"/>
    <sheet name="RightClickAndClickOperations1" sheetId="18" r:id="rId10"/>
    <sheet name="CustomOrderTT5" sheetId="19" r:id="rId11"/>
    <sheet name="VerifyComplianceOrder16" sheetId="20" r:id="rId12"/>
    <sheet name="SetComplianceAlert" sheetId="21" r:id="rId13"/>
    <sheet name="OpenRTPNL" sheetId="22" r:id="rId14"/>
    <sheet name="CheckRealTimeSymAccountMonitor" sheetId="23" r:id="rId15"/>
    <sheet name="SelectTradeOnOrderGrid1" sheetId="2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<sst xmlns="http://schemas.openxmlformats.org/spreadsheetml/2006/main" count="777" uniqueCount="221">
  <si>
    <t>Select Date</t>
  </si>
  <si>
    <t>Copy From</t>
  </si>
  <si>
    <t>Account</t>
  </si>
  <si>
    <t>Base Currency</t>
  </si>
  <si>
    <t>Cash Value Base</t>
  </si>
  <si>
    <t>Local Currency</t>
  </si>
  <si>
    <t>Cash Value Local</t>
  </si>
  <si>
    <t>Allocation1</t>
  </si>
  <si>
    <t>USD</t>
  </si>
  <si>
    <t>235000</t>
  </si>
  <si>
    <t>Allocation2</t>
  </si>
  <si>
    <t>100000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</si>
  <si>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</si>
  <si>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</si>
  <si>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</si>
  <si>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</si>
  <si>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</si>
  <si>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</si>
  <si>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</si>
  <si>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</si>
  <si>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</si>
  <si>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</si>
  <si>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</si>
  <si>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</si>
  <si>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</si>
  <si>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</si>
  <si>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</si>
  <si>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</si>
  <si>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</si>
  <si>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</si>
  <si>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</si>
  <si>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</si>
  <si>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</si>
  <si>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</si>
  <si>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</si>
  <si>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</si>
  <si>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</si>
  <si>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</si>
  <si>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</si>
  <si>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</si>
  <si>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</si>
  <si>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</si>
  <si>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</si>
  <si>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</si>
  <si>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</si>
  <si>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</si>
  <si>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</si>
  <si>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</si>
  <si>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</si>
  <si>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123456789</t>
  </si>
  <si>
    <t/>
  </si>
  <si>
    <t>100</t>
  </si>
  <si>
    <t>0</t>
  </si>
  <si>
    <t>10</t>
  </si>
  <si>
    <t>Done Away</t>
  </si>
  <si>
    <t>Yes</t>
  </si>
  <si>
    <t>Create Order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</si>
  <si>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</si>
  <si>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</si>
  <si>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</si>
  <si>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</si>
  <si>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</si>
  <si>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</si>
  <si>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</si>
  <si>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</si>
  <si>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</si>
  <si>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</si>
  <si>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</si>
  <si>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</si>
  <si>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</si>
  <si>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</si>
  <si>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</si>
  <si>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</si>
  <si>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</si>
  <si>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</si>
  <si>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</si>
  <si>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20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</si>
  <si>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</si>
  <si>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</si>
  <si>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</si>
  <si>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</si>
  <si>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</si>
  <si>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</si>
  <si>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</si>
  <si>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</si>
  <si>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</si>
  <si>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</si>
  <si>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</si>
  <si>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</si>
  <si>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</si>
  <si>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</si>
  <si>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</si>
  <si>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</si>
  <si>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</si>
  <si>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</si>
  <si>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</si>
  <si>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</si>
  <si>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</si>
  <si>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</si>
  <si>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</si>
  <si>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</si>
  <si>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</si>
  <si>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</si>
  <si>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</si>
  <si>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</si>
  <si>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</si>
  <si>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</si>
  <si>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</si>
  <si>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</si>
  <si>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</si>
  <si>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</si>
  <si>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</si>
  <si>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</si>
  <si>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</si>
  <si>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</si>
  <si>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</si>
  <si>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</si>
  <si>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</si>
  <si>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</si>
  <si>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</si>
  <si>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</si>
  <si>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</si>
  <si>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</si>
  <si>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</si>
  <si>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</si>
  <si>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</si>
  <si>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</si>
  <si>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</si>
  <si>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</si>
  <si>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</si>
  <si>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</si>
  <si>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</si>
  <si>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</si>
  <si>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</si>
  <si>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</si>
  <si>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</si>
  <si>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</si>
  <si>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</si>
  <si>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</si>
  <si>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</si>
  <si>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</si>
  <si>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</si>
  <si>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</si>
  <si>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</si>
  <si>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</si>
  <si>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</si>
  <si>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</si>
  <si>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</si>
  <si>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</si>
  <si>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</si>
  <si>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</si>
  <si>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</si>
  <si>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Buy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</si>
  <si>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</si>
  <si>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</si>
  <si>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</si>
  <si>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</si>
  <si>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</si>
  <si>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</si>
  <si>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</si>
  <si>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</si>
  <si>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200</t>
  </si>
  <si>
    <t>Cancel (All Subs)</t>
  </si>
  <si>
    <t>OrderBlotterGrid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</si>
  <si>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</si>
  <si>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</si>
  <si>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</si>
  <si>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</si>
  <si>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</si>
  <si>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</si>
  <si>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</si>
  <si>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</si>
  <si>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</si>
  <si>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</si>
  <si>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</si>
  <si>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</si>
  <si>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</si>
  <si>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</si>
  <si>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</si>
  <si>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RuleSet_Global</t>
  </si>
  <si>
    <t>Enter Summary</t>
  </si>
  <si>
    <t>Global</t>
  </si>
  <si>
    <t>Multiple</t>
  </si>
  <si>
    <t>percentNetExposureGlobal: 600.00, percentNetMarketValueGlobal: 600.00, percentGrossExposureGlobal: 600.00, percentGrossMarketValueGlobal: 600.00</t>
  </si>
  <si>
    <t>Rule_Set</t>
  </si>
  <si>
    <t>Allocation1-123456789</t>
  </si>
  <si>
    <t>percentNetMarketValueAccount: 600.00, percentGrossMarketValueAccount: 600.00, percentNetExposureAccount: 600.00, percentGrossExposureAccount: 600.00, AccountShortName: Allocation1, Symbol: 123456789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</si>
  <si>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</si>
  <si>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</si>
  <si>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</si>
  <si>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</si>
  <si>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</si>
  <si>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</si>
  <si>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</si>
  <si>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</si>
  <si>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</si>
  <si>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OpenWindow</t>
  </si>
  <si>
    <t>TabName</t>
  </si>
  <si>
    <t>Description</t>
  </si>
  <si>
    <t>Save?</t>
  </si>
  <si>
    <t>Nirvana,PM</t>
  </si>
  <si>
    <t>SummaryDashboard</t>
  </si>
  <si>
    <t>Security Name</t>
  </si>
  <si>
    <t>Fund</t>
  </si>
  <si>
    <t>Position</t>
  </si>
  <si>
    <t>Position Side</t>
  </si>
  <si>
    <t>Px Selected Feed (Local)</t>
  </si>
  <si>
    <t>Px Selected Feed (Base)</t>
  </si>
  <si>
    <t>Market Value (Base)</t>
  </si>
  <si>
    <t>% Net Market Value (Base)</t>
  </si>
  <si>
    <t>Cost Basis P&amp;L (Base)</t>
  </si>
  <si>
    <t>% Gain/Loss Cost</t>
  </si>
  <si>
    <t>Day P&amp;L (Base)</t>
  </si>
  <si>
    <t>% Gain/Loss Day</t>
  </si>
  <si>
    <t>Exposure (Base)</t>
  </si>
  <si>
    <t>% Exposure (Base)</t>
  </si>
  <si>
    <t>Live Feed Provider Ticker</t>
  </si>
  <si>
    <t>GridDataWidgetName</t>
  </si>
  <si>
    <t>NewMF</t>
  </si>
  <si>
    <t>FixedIncome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</si>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</sst>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"/>
  </numFmts>
  <fonts count="26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0"/>
      <color rgb="FFFFFFFF"/>
      <name val="Arial"/>
      <charset val="134"/>
    </font>
    <font>
      <sz val="10"/>
      <name val="Calibri"/>
      <charset val="134"/>
    </font>
    <font>
      <sz val="9"/>
      <color rgb="FF000000"/>
      <name val="Segoe UI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3" fillId="2" borderId="1" xfId="0" applyFont="1" applyFill="1" applyBorder="1"/>
    <xf numFmtId="0" fontId="1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4" fillId="0" borderId="1" xfId="0" applyFont="1" applyBorder="1"/>
    <xf numFmtId="0" fontId="4" fillId="0" borderId="1" xfId="0" applyFont="1" applyBorder="1" applyAlignment="1">
      <alignment horizontal="center" wrapText="1" readingOrder="1"/>
    </xf>
    <xf numFmtId="0" fontId="2" fillId="2" borderId="1" xfId="0" applyFont="1" applyFill="1" applyBorder="1"/>
    <xf numFmtId="0" fontId="5" fillId="3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wrapText="1" readingOrder="1"/>
    </xf>
    <xf numFmtId="0" fontId="1" fillId="0" borderId="4" xfId="0" applyFont="1" applyBorder="1" applyAlignment="1">
      <alignment wrapText="1" readingOrder="1"/>
    </xf>
    <xf numFmtId="0" fontId="4" fillId="0" borderId="1" xfId="0" applyFont="1" applyBorder="1" applyAlignment="1">
      <alignment horizontal="right" wrapText="1" readingOrder="1"/>
    </xf>
    <xf numFmtId="0" fontId="1" fillId="0" borderId="5" xfId="0" applyFont="1" applyBorder="1" applyAlignment="1">
      <alignment horizontal="right" wrapText="1" readingOrder="1"/>
    </xf>
    <xf numFmtId="180" fontId="4" fillId="0" borderId="4" xfId="0" applyNumberFormat="1" applyFont="1" applyBorder="1" applyAlignment="1">
      <alignment horizontal="right" wrapText="1" readingOrder="1"/>
    </xf>
    <xf numFmtId="180" fontId="4" fillId="0" borderId="5" xfId="0" applyNumberFormat="1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6"/>
  <sheetViews>
    <sheetView workbookViewId="0">
      <selection activeCell="C6" sqref="C6"/>
    </sheetView>
  </sheetViews>
  <sheetFormatPr defaultColWidth="9" defaultRowHeight="15" outlineLevelRow="5" outlineLevelCol="2"/>
  <cols>
    <col min="2" max="3" width="10.8571428571429"/>
  </cols>
  <sheetData>
    <row r="4" ht="15.75"/>
    <row r="5" ht="15.75" spans="2:3">
      <c r="B5" s="2" t="s">
        <v>0</v>
      </c>
      <c r="C5" s="12" t="s">
        <v>1</v>
      </c>
    </row>
    <row r="6" ht="15.75" spans="2:3">
      <c r="B6" s="16">
        <f ca="1">TODAY()</f>
        <v>45628</v>
      </c>
      <c r="C6" s="17">
        <f ca="1">TODAY()-1</f>
        <v>45627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2</v>
      </c>
      <c r="C5" t="s">
        <v>3</v>
      </c>
      <c r="D5" t="s">
        <v>4</v>
      </c>
      <c r="E5" t="s">
        <v>5</v>
      </c>
      <c r="F5" t="s">
        <v>6</v>
      </c>
    </row>
    <row r="6" spans="2:6">
      <c r="B6" t="s">
        <v>7</v>
      </c>
      <c r="C6" t="s">
        <v>8</v>
      </c>
      <c r="D6" t="s">
        <v>9</v>
      </c>
      <c r="E6" t="s">
        <v>8</v>
      </c>
      <c r="F6" t="s">
        <v>9</v>
      </c>
    </row>
    <row r="7" spans="2:6">
      <c r="B7" t="s">
        <v>10</v>
      </c>
      <c r="C7" t="s">
        <v>8</v>
      </c>
      <c r="D7" t="s">
        <v>11</v>
      </c>
      <c r="E7" t="s">
        <v>8</v>
      </c>
      <c r="F7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8"/>
  <sheetViews>
    <sheetView topLeftCell="AG1" workbookViewId="0">
      <selection activeCell="AK8" sqref="AK8"/>
    </sheetView>
  </sheetViews>
  <sheetFormatPr defaultColWidth="9" defaultRowHeight="15" outlineLevelRow="7"/>
  <sheetData>
    <row r="5" spans="2:38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t="s">
        <v>32</v>
      </c>
      <c r="W5" t="s">
        <v>33</v>
      </c>
      <c r="X5" t="s">
        <v>34</v>
      </c>
      <c r="Y5" t="s">
        <v>35</v>
      </c>
      <c r="Z5" t="s">
        <v>36</v>
      </c>
      <c r="AA5" t="s">
        <v>37</v>
      </c>
      <c r="AB5" t="s">
        <v>38</v>
      </c>
      <c r="AC5" t="s">
        <v>39</v>
      </c>
      <c r="AD5" t="s">
        <v>40</v>
      </c>
      <c r="AE5" t="s">
        <v>41</v>
      </c>
      <c r="AF5" t="s">
        <v>42</v>
      </c>
      <c r="AG5" t="s">
        <v>43</v>
      </c>
      <c r="AH5" t="s">
        <v>44</v>
      </c>
      <c r="AI5" t="s">
        <v>45</v>
      </c>
      <c r="AJ5" t="s">
        <v>46</v>
      </c>
      <c r="AK5" t="s">
        <v>47</v>
      </c>
      <c r="AL5" t="s">
        <v>48</v>
      </c>
    </row>
    <row r="6" spans="2:38">
      <c r="B6" t="s">
        <v>49</v>
      </c>
      <c r="C6" t="s">
        <v>50</v>
      </c>
      <c r="D6" t="s">
        <v>51</v>
      </c>
      <c r="E6" t="s">
        <v>52</v>
      </c>
      <c r="F6" t="s">
        <v>50</v>
      </c>
      <c r="G6" t="s">
        <v>50</v>
      </c>
      <c r="H6" t="s">
        <v>50</v>
      </c>
      <c r="I6" t="s">
        <v>50</v>
      </c>
      <c r="J6" t="s">
        <v>53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54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55</v>
      </c>
      <c r="AL6" t="s">
        <v>50</v>
      </c>
    </row>
    <row r="7" spans="2:38">
      <c r="B7" t="s">
        <v>49</v>
      </c>
      <c r="C7" t="s">
        <v>50</v>
      </c>
      <c r="D7" t="s">
        <v>51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53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54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55</v>
      </c>
      <c r="AL7" t="s">
        <v>50</v>
      </c>
    </row>
    <row r="8" spans="2:38">
      <c r="B8" t="s">
        <v>49</v>
      </c>
      <c r="C8" t="s">
        <v>50</v>
      </c>
      <c r="D8" t="s">
        <v>51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53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56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55</v>
      </c>
      <c r="AL8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7"/>
  <sheetViews>
    <sheetView workbookViewId="0">
      <selection activeCell="H8" sqref="H8"/>
    </sheetView>
  </sheetViews>
  <sheetFormatPr defaultColWidth="9" defaultRowHeight="15" outlineLevelRow="6"/>
  <sheetData>
    <row r="4" ht="15.75"/>
    <row r="5" ht="51.75" spans="1:154">
      <c r="A5" s="1"/>
      <c r="B5" s="12" t="s">
        <v>12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70</v>
      </c>
      <c r="Q5" s="2" t="s">
        <v>71</v>
      </c>
      <c r="R5" s="2" t="s">
        <v>72</v>
      </c>
      <c r="S5" s="2" t="s">
        <v>73</v>
      </c>
      <c r="T5" s="3" t="s">
        <v>74</v>
      </c>
      <c r="U5" s="4" t="s">
        <v>75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54">
      <c r="A6" s="13"/>
      <c r="B6" t="s">
        <v>49</v>
      </c>
      <c r="C6" s="14">
        <v>20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</row>
    <row r="7" ht="15.75" spans="1:154">
      <c r="A7" s="13"/>
      <c r="B7" s="15"/>
      <c r="C7" s="1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6"/>
  <sheetViews>
    <sheetView workbookViewId="0">
      <selection activeCell="AK7" sqref="AK7"/>
    </sheetView>
  </sheetViews>
  <sheetFormatPr defaultColWidth="9" defaultRowHeight="15" outlineLevelRow="5"/>
  <sheetData>
    <row r="5" spans="2:38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t="s">
        <v>32</v>
      </c>
      <c r="W5" t="s">
        <v>33</v>
      </c>
      <c r="X5" t="s">
        <v>34</v>
      </c>
      <c r="Y5" t="s">
        <v>35</v>
      </c>
      <c r="Z5" t="s">
        <v>36</v>
      </c>
      <c r="AA5" t="s">
        <v>37</v>
      </c>
      <c r="AB5" t="s">
        <v>38</v>
      </c>
      <c r="AC5" t="s">
        <v>39</v>
      </c>
      <c r="AD5" t="s">
        <v>40</v>
      </c>
      <c r="AE5" t="s">
        <v>41</v>
      </c>
      <c r="AF5" t="s">
        <v>42</v>
      </c>
      <c r="AG5" t="s">
        <v>43</v>
      </c>
      <c r="AH5" t="s">
        <v>44</v>
      </c>
      <c r="AI5" t="s">
        <v>45</v>
      </c>
      <c r="AJ5" t="s">
        <v>46</v>
      </c>
      <c r="AK5" t="s">
        <v>47</v>
      </c>
      <c r="AL5" t="s">
        <v>48</v>
      </c>
    </row>
    <row r="6" spans="2:38">
      <c r="B6" t="s">
        <v>49</v>
      </c>
      <c r="C6" t="s">
        <v>50</v>
      </c>
      <c r="D6" t="s">
        <v>51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76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54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55</v>
      </c>
      <c r="AL6" t="s">
        <v>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6"/>
  <sheetViews>
    <sheetView workbookViewId="0">
      <selection activeCell="A5" sqref="$A5:$XFD6"/>
    </sheetView>
  </sheetViews>
  <sheetFormatPr defaultColWidth="9" defaultRowHeight="15" outlineLevelRow="5"/>
  <sheetData>
    <row r="5" spans="2:84"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37</v>
      </c>
      <c r="I5" t="s">
        <v>83</v>
      </c>
      <c r="J5" t="s">
        <v>84</v>
      </c>
      <c r="K5" t="s">
        <v>14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103</v>
      </c>
      <c r="AE5" t="s">
        <v>104</v>
      </c>
      <c r="AF5" t="s">
        <v>105</v>
      </c>
      <c r="AG5" t="s">
        <v>106</v>
      </c>
      <c r="AH5" t="s">
        <v>107</v>
      </c>
      <c r="AI5" t="s">
        <v>58</v>
      </c>
      <c r="AJ5" t="s">
        <v>12</v>
      </c>
      <c r="AK5" t="s">
        <v>108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17</v>
      </c>
      <c r="AU5" t="s">
        <v>2</v>
      </c>
      <c r="AV5" t="s">
        <v>19</v>
      </c>
      <c r="AW5" t="s">
        <v>117</v>
      </c>
      <c r="AX5" t="s">
        <v>118</v>
      </c>
      <c r="AY5" t="s">
        <v>119</v>
      </c>
      <c r="AZ5" t="s">
        <v>120</v>
      </c>
      <c r="BA5" t="s">
        <v>121</v>
      </c>
      <c r="BB5" t="s">
        <v>122</v>
      </c>
      <c r="BC5" t="s">
        <v>123</v>
      </c>
      <c r="BD5" t="s">
        <v>124</v>
      </c>
      <c r="BE5" t="s">
        <v>125</v>
      </c>
      <c r="BF5" t="s">
        <v>126</v>
      </c>
      <c r="BG5" t="s">
        <v>127</v>
      </c>
      <c r="BH5" t="s">
        <v>128</v>
      </c>
      <c r="BI5" t="s">
        <v>18</v>
      </c>
      <c r="BJ5" t="s">
        <v>129</v>
      </c>
      <c r="BK5" t="s">
        <v>130</v>
      </c>
      <c r="BL5" t="s">
        <v>131</v>
      </c>
      <c r="BM5" t="s">
        <v>132</v>
      </c>
      <c r="BN5" t="s">
        <v>133</v>
      </c>
      <c r="BO5" t="s">
        <v>134</v>
      </c>
      <c r="BP5" t="s">
        <v>135</v>
      </c>
      <c r="BQ5" t="s">
        <v>136</v>
      </c>
      <c r="BR5" t="s">
        <v>137</v>
      </c>
      <c r="BS5" t="s">
        <v>138</v>
      </c>
      <c r="BT5" t="s">
        <v>139</v>
      </c>
      <c r="BU5" t="s">
        <v>140</v>
      </c>
      <c r="BV5" t="s">
        <v>141</v>
      </c>
      <c r="BW5" t="s">
        <v>142</v>
      </c>
      <c r="BX5" t="s">
        <v>143</v>
      </c>
      <c r="BY5" t="s">
        <v>144</v>
      </c>
      <c r="BZ5" t="s">
        <v>145</v>
      </c>
      <c r="CA5" t="s">
        <v>146</v>
      </c>
      <c r="CB5" t="s">
        <v>147</v>
      </c>
      <c r="CC5" t="s">
        <v>148</v>
      </c>
      <c r="CD5" t="s">
        <v>149</v>
      </c>
      <c r="CE5" t="s">
        <v>150</v>
      </c>
      <c r="CF5" t="s">
        <v>151</v>
      </c>
    </row>
    <row r="6" spans="4:37">
      <c r="D6">
        <v>20</v>
      </c>
      <c r="AJ6" t="s">
        <v>49</v>
      </c>
      <c r="AK6" t="s">
        <v>152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6"/>
  <sheetViews>
    <sheetView topLeftCell="X1" workbookViewId="0">
      <selection activeCell="AI6" sqref="AI6"/>
    </sheetView>
  </sheetViews>
  <sheetFormatPr defaultColWidth="9" defaultRowHeight="15" outlineLevelRow="5"/>
  <sheetData>
    <row r="5" spans="2:84"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37</v>
      </c>
      <c r="I5" t="s">
        <v>83</v>
      </c>
      <c r="J5" t="s">
        <v>84</v>
      </c>
      <c r="K5" t="s">
        <v>14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103</v>
      </c>
      <c r="AE5" t="s">
        <v>104</v>
      </c>
      <c r="AF5" t="s">
        <v>105</v>
      </c>
      <c r="AG5" t="s">
        <v>106</v>
      </c>
      <c r="AH5" t="s">
        <v>107</v>
      </c>
      <c r="AI5" t="s">
        <v>58</v>
      </c>
      <c r="AJ5" t="s">
        <v>12</v>
      </c>
      <c r="AK5" t="s">
        <v>108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17</v>
      </c>
      <c r="AU5" t="s">
        <v>2</v>
      </c>
      <c r="AV5" t="s">
        <v>19</v>
      </c>
      <c r="AW5" t="s">
        <v>117</v>
      </c>
      <c r="AX5" t="s">
        <v>118</v>
      </c>
      <c r="AY5" t="s">
        <v>119</v>
      </c>
      <c r="AZ5" t="s">
        <v>120</v>
      </c>
      <c r="BA5" t="s">
        <v>121</v>
      </c>
      <c r="BB5" t="s">
        <v>122</v>
      </c>
      <c r="BC5" t="s">
        <v>123</v>
      </c>
      <c r="BD5" t="s">
        <v>124</v>
      </c>
      <c r="BE5" t="s">
        <v>125</v>
      </c>
      <c r="BF5" t="s">
        <v>126</v>
      </c>
      <c r="BG5" t="s">
        <v>127</v>
      </c>
      <c r="BH5" t="s">
        <v>128</v>
      </c>
      <c r="BI5" t="s">
        <v>18</v>
      </c>
      <c r="BJ5" t="s">
        <v>129</v>
      </c>
      <c r="BK5" t="s">
        <v>130</v>
      </c>
      <c r="BL5" t="s">
        <v>131</v>
      </c>
      <c r="BM5" t="s">
        <v>132</v>
      </c>
      <c r="BN5" t="s">
        <v>133</v>
      </c>
      <c r="BO5" t="s">
        <v>134</v>
      </c>
      <c r="BP5" t="s">
        <v>135</v>
      </c>
      <c r="BQ5" t="s">
        <v>136</v>
      </c>
      <c r="BR5" t="s">
        <v>137</v>
      </c>
      <c r="BS5" t="s">
        <v>138</v>
      </c>
      <c r="BT5" t="s">
        <v>139</v>
      </c>
      <c r="BU5" t="s">
        <v>140</v>
      </c>
      <c r="BV5" t="s">
        <v>141</v>
      </c>
      <c r="BW5" t="s">
        <v>142</v>
      </c>
      <c r="BX5" t="s">
        <v>143</v>
      </c>
      <c r="BY5" t="s">
        <v>144</v>
      </c>
      <c r="BZ5" t="s">
        <v>145</v>
      </c>
      <c r="CA5" t="s">
        <v>146</v>
      </c>
      <c r="CB5" t="s">
        <v>147</v>
      </c>
      <c r="CC5" t="s">
        <v>148</v>
      </c>
      <c r="CD5" t="s">
        <v>149</v>
      </c>
      <c r="CE5" t="s">
        <v>150</v>
      </c>
      <c r="CF5" t="s">
        <v>151</v>
      </c>
    </row>
    <row r="6" spans="36:37">
      <c r="AJ6" t="s">
        <v>49</v>
      </c>
      <c r="AK6" t="s">
        <v>152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K14" sqref="K14"/>
    </sheetView>
  </sheetViews>
  <sheetFormatPr defaultColWidth="9" defaultRowHeight="15" outlineLevelRow="5" outlineLevelCol="6"/>
  <sheetData>
    <row r="5" spans="2:7">
      <c r="B5" t="s">
        <v>153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</row>
    <row r="6" spans="2:7">
      <c r="B6" t="s">
        <v>159</v>
      </c>
      <c r="C6" t="s">
        <v>160</v>
      </c>
      <c r="D6" t="s">
        <v>50</v>
      </c>
      <c r="E6" t="s">
        <v>50</v>
      </c>
      <c r="F6" t="s">
        <v>50</v>
      </c>
      <c r="G6" t="s">
        <v>50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6"/>
  <sheetViews>
    <sheetView topLeftCell="Z1" workbookViewId="0">
      <selection activeCell="AK7" sqref="AK7"/>
    </sheetView>
  </sheetViews>
  <sheetFormatPr defaultColWidth="9" defaultRowHeight="15" outlineLevelRow="5"/>
  <sheetData>
    <row r="5" spans="2:38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t="s">
        <v>32</v>
      </c>
      <c r="W5" t="s">
        <v>33</v>
      </c>
      <c r="X5" t="s">
        <v>34</v>
      </c>
      <c r="Y5" t="s">
        <v>35</v>
      </c>
      <c r="Z5" t="s">
        <v>36</v>
      </c>
      <c r="AA5" t="s">
        <v>37</v>
      </c>
      <c r="AB5" t="s">
        <v>38</v>
      </c>
      <c r="AC5" t="s">
        <v>39</v>
      </c>
      <c r="AD5" t="s">
        <v>40</v>
      </c>
      <c r="AE5" t="s">
        <v>41</v>
      </c>
      <c r="AF5" t="s">
        <v>42</v>
      </c>
      <c r="AG5" t="s">
        <v>43</v>
      </c>
      <c r="AH5" t="s">
        <v>44</v>
      </c>
      <c r="AI5" t="s">
        <v>45</v>
      </c>
      <c r="AJ5" t="s">
        <v>46</v>
      </c>
      <c r="AK5" t="s">
        <v>47</v>
      </c>
      <c r="AL5" t="s">
        <v>48</v>
      </c>
    </row>
    <row r="6" spans="2:38">
      <c r="B6" t="s">
        <v>50</v>
      </c>
      <c r="C6" t="s">
        <v>50</v>
      </c>
      <c r="D6" t="s">
        <v>161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159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55</v>
      </c>
      <c r="AL6" t="s">
        <v>50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:C6"/>
    </sheetView>
  </sheetViews>
  <sheetFormatPr defaultColWidth="9" defaultRowHeight="15" outlineLevelRow="5" outlineLevelCol="6"/>
  <sheetData>
    <row r="5" spans="2:7">
      <c r="B5" t="s">
        <v>153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</row>
    <row r="6" spans="2:7">
      <c r="B6" t="s">
        <v>162</v>
      </c>
      <c r="C6" t="s">
        <v>163</v>
      </c>
      <c r="D6" t="s">
        <v>50</v>
      </c>
      <c r="E6" t="s">
        <v>50</v>
      </c>
      <c r="F6" t="s">
        <v>50</v>
      </c>
      <c r="G6" t="s">
        <v>50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6"/>
  <sheetViews>
    <sheetView topLeftCell="D1" workbookViewId="0">
      <selection activeCell="A1" sqref="A1"/>
    </sheetView>
  </sheetViews>
  <sheetFormatPr defaultColWidth="9" defaultRowHeight="15" outlineLevelRow="5"/>
  <sheetData>
    <row r="5" spans="2:38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t="s">
        <v>32</v>
      </c>
      <c r="W5" t="s">
        <v>33</v>
      </c>
      <c r="X5" t="s">
        <v>34</v>
      </c>
      <c r="Y5" t="s">
        <v>35</v>
      </c>
      <c r="Z5" t="s">
        <v>36</v>
      </c>
      <c r="AA5" t="s">
        <v>37</v>
      </c>
      <c r="AB5" t="s">
        <v>38</v>
      </c>
      <c r="AC5" t="s">
        <v>39</v>
      </c>
      <c r="AD5" t="s">
        <v>40</v>
      </c>
      <c r="AE5" t="s">
        <v>41</v>
      </c>
      <c r="AF5" t="s">
        <v>42</v>
      </c>
      <c r="AG5" t="s">
        <v>43</v>
      </c>
      <c r="AH5" t="s">
        <v>44</v>
      </c>
      <c r="AI5" t="s">
        <v>45</v>
      </c>
      <c r="AJ5" t="s">
        <v>46</v>
      </c>
      <c r="AK5" t="s">
        <v>47</v>
      </c>
      <c r="AL5" t="s">
        <v>48</v>
      </c>
    </row>
    <row r="6" spans="2:38">
      <c r="B6" t="s">
        <v>49</v>
      </c>
      <c r="C6" t="s">
        <v>50</v>
      </c>
      <c r="D6" t="s">
        <v>51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76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54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H6" sqref="H6"/>
    </sheetView>
  </sheetViews>
  <sheetFormatPr defaultColWidth="9" defaultRowHeight="15" outlineLevelRow="6"/>
  <sheetData>
    <row r="5" spans="2:16">
      <c r="B5" t="s">
        <v>164</v>
      </c>
      <c r="C5" t="s">
        <v>165</v>
      </c>
      <c r="D5" t="s">
        <v>166</v>
      </c>
      <c r="E5" t="s">
        <v>167</v>
      </c>
      <c r="F5" t="s">
        <v>168</v>
      </c>
      <c r="G5" t="s">
        <v>169</v>
      </c>
      <c r="H5" t="s">
        <v>170</v>
      </c>
      <c r="I5" t="s">
        <v>171</v>
      </c>
      <c r="J5" t="s">
        <v>172</v>
      </c>
      <c r="K5" t="s">
        <v>47</v>
      </c>
      <c r="L5" t="s">
        <v>173</v>
      </c>
      <c r="M5" t="s">
        <v>174</v>
      </c>
      <c r="N5" t="s">
        <v>175</v>
      </c>
      <c r="O5" t="s">
        <v>176</v>
      </c>
      <c r="P5" t="s">
        <v>177</v>
      </c>
    </row>
    <row r="6" spans="2:16"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182</v>
      </c>
      <c r="H6" s="10" t="s">
        <v>183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</row>
    <row r="7" spans="2:16">
      <c r="B7" t="s">
        <v>178</v>
      </c>
      <c r="C7" t="s">
        <v>184</v>
      </c>
      <c r="D7" t="s">
        <v>180</v>
      </c>
      <c r="E7" t="s">
        <v>185</v>
      </c>
      <c r="F7" t="s">
        <v>182</v>
      </c>
      <c r="G7" t="s">
        <v>182</v>
      </c>
      <c r="H7" s="11" t="s">
        <v>186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A5" sqref="A5:EX6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187</v>
      </c>
      <c r="C5" s="2" t="s">
        <v>188</v>
      </c>
      <c r="D5" s="2" t="s">
        <v>189</v>
      </c>
      <c r="E5" s="2" t="s">
        <v>190</v>
      </c>
      <c r="F5" s="2" t="s">
        <v>191</v>
      </c>
      <c r="G5" s="2" t="s">
        <v>192</v>
      </c>
      <c r="H5" s="2" t="s">
        <v>193</v>
      </c>
      <c r="I5" s="2" t="s">
        <v>194</v>
      </c>
      <c r="J5" s="9" t="s">
        <v>195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54">
      <c r="A6" s="5"/>
      <c r="B6" s="5"/>
      <c r="C6" s="5"/>
      <c r="D6" s="8" t="b">
        <v>0</v>
      </c>
      <c r="E6" s="8" t="b">
        <v>0</v>
      </c>
      <c r="F6" s="8" t="b">
        <v>0</v>
      </c>
      <c r="G6" s="8" t="b"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D9" sqref="D9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196</v>
      </c>
      <c r="C5" s="2" t="s">
        <v>197</v>
      </c>
      <c r="D5" s="2" t="s">
        <v>198</v>
      </c>
      <c r="E5" s="2" t="s">
        <v>199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26.25" spans="1:154">
      <c r="A6" s="5"/>
      <c r="B6" s="6" t="s">
        <v>200</v>
      </c>
      <c r="C6" s="7" t="s">
        <v>201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G7" sqref="G7"/>
    </sheetView>
  </sheetViews>
  <sheetFormatPr defaultColWidth="9.14285714285714" defaultRowHeight="15" outlineLevelRow="5"/>
  <cols>
    <col min="2" max="2" width="10.5714285714286"/>
  </cols>
  <sheetData>
    <row r="4" ht="15.75"/>
    <row r="5" ht="51.75" spans="1:154">
      <c r="A5" s="1"/>
      <c r="B5" s="2" t="s">
        <v>12</v>
      </c>
      <c r="C5" s="2" t="s">
        <v>202</v>
      </c>
      <c r="D5" s="2" t="s">
        <v>203</v>
      </c>
      <c r="E5" s="2" t="s">
        <v>2</v>
      </c>
      <c r="F5" s="2" t="s">
        <v>58</v>
      </c>
      <c r="G5" s="2" t="s">
        <v>204</v>
      </c>
      <c r="H5" s="2" t="s">
        <v>205</v>
      </c>
      <c r="I5" s="2" t="s">
        <v>206</v>
      </c>
      <c r="J5" s="2" t="s">
        <v>207</v>
      </c>
      <c r="K5" s="2" t="s">
        <v>208</v>
      </c>
      <c r="L5" s="2" t="s">
        <v>209</v>
      </c>
      <c r="M5" s="2" t="s">
        <v>210</v>
      </c>
      <c r="N5" s="2" t="s">
        <v>211</v>
      </c>
      <c r="O5" s="2" t="s">
        <v>212</v>
      </c>
      <c r="P5" s="2" t="s">
        <v>213</v>
      </c>
      <c r="Q5" s="2" t="s">
        <v>214</v>
      </c>
      <c r="R5" s="2" t="s">
        <v>215</v>
      </c>
      <c r="S5" s="2" t="s">
        <v>216</v>
      </c>
      <c r="T5" s="3" t="s">
        <v>123</v>
      </c>
      <c r="U5" s="3" t="s">
        <v>124</v>
      </c>
      <c r="V5" s="3" t="s">
        <v>125</v>
      </c>
      <c r="W5" s="3" t="s">
        <v>127</v>
      </c>
      <c r="X5" s="3" t="s">
        <v>126</v>
      </c>
      <c r="Y5" s="3" t="s">
        <v>197</v>
      </c>
      <c r="Z5" s="3" t="s">
        <v>217</v>
      </c>
      <c r="AA5" s="4" t="s">
        <v>80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2:10">
      <c r="B6">
        <v>123456789</v>
      </c>
      <c r="D6" t="s">
        <v>218</v>
      </c>
      <c r="E6" t="s">
        <v>7</v>
      </c>
      <c r="F6" t="s">
        <v>219</v>
      </c>
      <c r="G6">
        <v>200</v>
      </c>
      <c r="H6" t="s">
        <v>220</v>
      </c>
      <c r="I6">
        <v>20</v>
      </c>
      <c r="J6">
        <v>20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6"/>
  <sheetViews>
    <sheetView tabSelected="1" workbookViewId="0">
      <selection activeCell="D7" sqref="D7"/>
    </sheetView>
  </sheetViews>
  <sheetFormatPr defaultColWidth="9.14285714285714" defaultRowHeight="15" outlineLevelRow="5"/>
  <sheetData>
    <row r="5" spans="2:84"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37</v>
      </c>
      <c r="I5" t="s">
        <v>83</v>
      </c>
      <c r="J5" t="s">
        <v>84</v>
      </c>
      <c r="K5" t="s">
        <v>14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103</v>
      </c>
      <c r="AE5" t="s">
        <v>104</v>
      </c>
      <c r="AF5" t="s">
        <v>105</v>
      </c>
      <c r="AG5" t="s">
        <v>106</v>
      </c>
      <c r="AH5" t="s">
        <v>107</v>
      </c>
      <c r="AI5" t="s">
        <v>58</v>
      </c>
      <c r="AJ5" t="s">
        <v>12</v>
      </c>
      <c r="AK5" t="s">
        <v>108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17</v>
      </c>
      <c r="AU5" t="s">
        <v>2</v>
      </c>
      <c r="AV5" t="s">
        <v>19</v>
      </c>
      <c r="AW5" t="s">
        <v>117</v>
      </c>
      <c r="AX5" t="s">
        <v>118</v>
      </c>
      <c r="AY5" t="s">
        <v>119</v>
      </c>
      <c r="AZ5" t="s">
        <v>120</v>
      </c>
      <c r="BA5" t="s">
        <v>121</v>
      </c>
      <c r="BB5" t="s">
        <v>122</v>
      </c>
      <c r="BC5" t="s">
        <v>123</v>
      </c>
      <c r="BD5" t="s">
        <v>124</v>
      </c>
      <c r="BE5" t="s">
        <v>125</v>
      </c>
      <c r="BF5" t="s">
        <v>126</v>
      </c>
      <c r="BG5" t="s">
        <v>127</v>
      </c>
      <c r="BH5" t="s">
        <v>128</v>
      </c>
      <c r="BI5" t="s">
        <v>18</v>
      </c>
      <c r="BJ5" t="s">
        <v>129</v>
      </c>
      <c r="BK5" t="s">
        <v>130</v>
      </c>
      <c r="BL5" t="s">
        <v>131</v>
      </c>
      <c r="BM5" t="s">
        <v>132</v>
      </c>
      <c r="BN5" t="s">
        <v>133</v>
      </c>
      <c r="BO5" t="s">
        <v>134</v>
      </c>
      <c r="BP5" t="s">
        <v>135</v>
      </c>
      <c r="BQ5" t="s">
        <v>136</v>
      </c>
      <c r="BR5" t="s">
        <v>137</v>
      </c>
      <c r="BS5" t="s">
        <v>138</v>
      </c>
      <c r="BT5" t="s">
        <v>139</v>
      </c>
      <c r="BU5" t="s">
        <v>140</v>
      </c>
      <c r="BV5" t="s">
        <v>141</v>
      </c>
      <c r="BW5" t="s">
        <v>142</v>
      </c>
      <c r="BX5" t="s">
        <v>143</v>
      </c>
      <c r="BY5" t="s">
        <v>144</v>
      </c>
      <c r="BZ5" t="s">
        <v>145</v>
      </c>
      <c r="CA5" t="s">
        <v>146</v>
      </c>
      <c r="CB5" t="s">
        <v>147</v>
      </c>
      <c r="CC5" t="s">
        <v>148</v>
      </c>
      <c r="CD5" t="s">
        <v>149</v>
      </c>
      <c r="CE5" t="s">
        <v>150</v>
      </c>
      <c r="CF5" t="s">
        <v>151</v>
      </c>
    </row>
    <row r="6" spans="4:37">
      <c r="D6">
        <v>0.2</v>
      </c>
      <c r="AJ6" t="s">
        <v>49</v>
      </c>
      <c r="AK6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GetDailyCash</vt:lpstr>
      <vt:lpstr>UpdateMultipleDailyCash</vt:lpstr>
      <vt:lpstr>CustomOrderTT</vt:lpstr>
      <vt:lpstr>PricingInput</vt:lpstr>
      <vt:lpstr>CustomOrderTT3</vt:lpstr>
      <vt:lpstr>SelectTradeOnOrderGrid</vt:lpstr>
      <vt:lpstr>SelectTradeSubOrderBlotter</vt:lpstr>
      <vt:lpstr>RightClickAndClickOperations</vt:lpstr>
      <vt:lpstr>CustomOrderTT4</vt:lpstr>
      <vt:lpstr>RightClickAndClickOperations1</vt:lpstr>
      <vt:lpstr>CustomOrderTT5</vt:lpstr>
      <vt:lpstr>VerifyComplianceOrder16</vt:lpstr>
      <vt:lpstr>SetComplianceAlert</vt:lpstr>
      <vt:lpstr>OpenRTPNL</vt:lpstr>
      <vt:lpstr>CheckRealTimeSymAccountMonitor</vt:lpstr>
      <vt:lpstr>SelectTradeOnOrderGrid1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2024-12-02T09:09:00Z</dcterms:created>
  <dcterms:modified xsi:type="dcterms:W3CDTF">2024-12-02T10:29:36Z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D6BA84BE7C004D0292EF9C4D23A316C7_12</vt:lpwstr>
  </property>
  <property fmtid="{D5CDD505-2E9C-101B-9397-08002B2CF9AE}" pid="3" name="KSOProductBuildVer">
    <vt:lpwstr>1033-12.2.0.18911</vt:lpwstr>
  </property>
</Properties>
</file>