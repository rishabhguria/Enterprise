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CreateStageOrder" sheetId="6" r:id="rId8"/>
    <sheet state="visible" name="TradeNewSubOrder" sheetId="7" r:id="rId9"/>
    <sheet state="visible" name="CreateNewSubOrder" sheetId="8" r:id="rId10"/>
    <sheet state="visible" name="EditOrder" sheetId="9" r:id="rId11"/>
    <sheet state="visible" name="CreateReplaceOrder" sheetId="10" r:id="rId12"/>
    <sheet state="visible" name="VerifyOrder" sheetId="11" r:id="rId13"/>
    <sheet state="visible" name="TradeNewSubOrder1" sheetId="12" r:id="rId14"/>
    <sheet state="visible" name="CreateNewSubOrder1" sheetId="13" r:id="rId15"/>
    <sheet state="visible" name="VerifyOrder1" sheetId="14" r:id="rId16"/>
    <sheet state="visible" name="VerifyWorkingSubs" sheetId="15" r:id="rId17"/>
    <sheet state="visible" name="GetDataAllocation" sheetId="16" r:id="rId18"/>
    <sheet state="visible" name="CheckAllocatedGroups" sheetId="17" r:id="rId19"/>
    <sheet state="visible" name="CheckPortfolioManagement" sheetId="18" r:id="rId20"/>
  </sheets>
  <definedNames/>
  <calcPr/>
</workbook>
</file>

<file path=xl/sharedStrings.xml><?xml version="1.0" encoding="utf-8"?>
<sst xmlns="http://schemas.openxmlformats.org/spreadsheetml/2006/main" count="368" uniqueCount="71">
  <si>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</si>
  <si>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</si>
  <si>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</si>
  <si>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</si>
  <si>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</si>
  <si>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</si>
  <si>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</si>
  <si>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</si>
  <si>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</si>
  <si>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</si>
  <si>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</si>
  <si>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</si>
  <si>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</si>
  <si>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</si>
  <si>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</si>
  <si>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</si>
  <si>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</si>
  <si>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</si>
  <si>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AAPL</t>
  </si>
  <si>
    <t>Sell short</t>
  </si>
  <si>
    <t>Allocation2</t>
  </si>
  <si>
    <t>Limit</t>
  </si>
  <si>
    <t>CreateStageOrder</t>
  </si>
  <si>
    <t>Buy to Close</t>
  </si>
  <si>
    <t>Allocation1</t>
  </si>
  <si>
    <t xml:space="preserve">Limit </t>
  </si>
  <si>
    <t>Blotter</t>
  </si>
  <si>
    <t>TradeNewSubOrder</t>
  </si>
  <si>
    <t>NASDAQ</t>
  </si>
  <si>
    <t>Equity</t>
  </si>
  <si>
    <t>New</t>
  </si>
  <si>
    <t>MS</t>
  </si>
  <si>
    <t>CreateNewSubOrder</t>
  </si>
  <si>
    <t>EditOrder</t>
  </si>
  <si>
    <t>PartialyFilled</t>
  </si>
  <si>
    <t>CreateReplaceOrder</t>
  </si>
  <si>
    <t>VerifyOrder</t>
  </si>
  <si>
    <t>jpearce</t>
  </si>
  <si>
    <t>US</t>
  </si>
  <si>
    <t>USD</t>
  </si>
  <si>
    <t>M</t>
  </si>
  <si>
    <t>Filled</t>
  </si>
  <si>
    <t>Replaced</t>
  </si>
  <si>
    <t xml:space="preserve">No </t>
  </si>
  <si>
    <t>VerifyWorkingSubs</t>
  </si>
  <si>
    <t>Allocation</t>
  </si>
  <si>
    <t>GetDataAllocation</t>
  </si>
  <si>
    <t>Current</t>
  </si>
  <si>
    <t>CheckAllocatedGroups</t>
  </si>
  <si>
    <t>Open</t>
  </si>
  <si>
    <t>None</t>
  </si>
  <si>
    <t>Strategy Unallocated</t>
  </si>
  <si>
    <t>GCCAP1</t>
  </si>
  <si>
    <t>SellShort</t>
  </si>
  <si>
    <t>NONE</t>
  </si>
  <si>
    <t>BuytoClose</t>
  </si>
  <si>
    <t>PortfolioManagement</t>
  </si>
  <si>
    <t>CheckPortfolioManagement</t>
  </si>
  <si>
    <t>Short</t>
  </si>
  <si>
    <t>APPLE</t>
  </si>
  <si>
    <t>Undefined</t>
  </si>
  <si>
    <t>New Hedge</t>
  </si>
  <si>
    <t>Small Cap</t>
  </si>
  <si>
    <t>AAPL US EQUITY</t>
  </si>
  <si>
    <t>Default</t>
  </si>
  <si>
    <t>test1</t>
  </si>
  <si>
    <t>india</t>
  </si>
  <si>
    <t>test 1</t>
  </si>
  <si>
    <t>Yes</t>
  </si>
  <si>
    <t>Long</t>
  </si>
  <si>
    <t>FIMAT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</si>
</sst>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4" fontId="13" numFmtId="0" xfId="0" applyFont="1"/>
    <xf borderId="0" fillId="0" fontId="14" numFmtId="0" xfId="0" applyAlignment="1" applyFont="1">
      <alignment readingOrder="0" shrinkToFit="0" vertical="bottom" wrapText="0"/>
    </xf>
    <xf borderId="0" fillId="0" fontId="5" numFmtId="0" xfId="0" applyAlignment="1" applyFont="1">
      <alignment horizontal="right" vertical="bottom"/>
    </xf>
    <xf borderId="0" fillId="0" fontId="14" numFmtId="4" xfId="0" applyAlignment="1" applyFont="1" applyNumberFormat="1">
      <alignment horizontal="right" readingOrder="0" shrinkToFit="0" vertical="bottom" wrapText="0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readingOrder="0" shrinkToFit="0" vertical="bottom" wrapText="0"/>
    </xf>
    <xf borderId="5" fillId="0" fontId="5" numFmtId="0" xfId="0" applyAlignment="1" applyBorder="1" applyFont="1">
      <alignment vertical="bottom"/>
    </xf>
    <xf borderId="0" fillId="0" fontId="3" numFmtId="0" xfId="0" applyAlignment="1" applyFont="1">
      <alignment horizontal="right" readingOrder="0" vertical="bottom"/>
    </xf>
    <xf borderId="0" fillId="0" fontId="14" numFmtId="0" xfId="0" applyAlignment="1" applyFont="1">
      <alignment horizontal="right" readingOrder="0" vertical="bottom"/>
    </xf>
    <xf borderId="0" fillId="0" fontId="14" numFmtId="0" xfId="0" applyAlignment="1" applyFont="1">
      <alignment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0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30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9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IFERROR(__xludf.DUMMYFUNCTION("""COMPUTED_VALUE"""),"CheckPreferences")</f>
        <v>CheckPreferences</v>
      </c>
      <c r="C548" t="str">
        <f>IFERROR(__xludf.DUMMYFUNCTION("""COMPUTED_VALUE"""),"19LWAFgtJK8TJic3Bigl3vokyu1yraGt63a_sVpP1MUU")</f>
        <v>19LWAFgtJK8TJic3Bigl3vokyu1yraGt63a_sVpP1MUU</v>
      </c>
    </row>
    <row r="549" ht="15.75" customHeight="1">
      <c r="A549" t="str">
        <f>IFERROR(__xludf.DUMMYFUNCTION("""COMPUTED_VALUE"""),"Rebalancer")</f>
        <v>Rebalancer</v>
      </c>
      <c r="B549" t="str">
        <f>IFERROR(__xludf.DUMMYFUNCTION("""COMPUTED_VALUE"""),"SymbologyChangeRB")</f>
        <v>SymbologyChangeRB</v>
      </c>
      <c r="C549" t="str">
        <f>IFERROR(__xludf.DUMMYFUNCTION("""COMPUTED_VALUE"""),"Undefined")</f>
        <v>Undefined</v>
      </c>
    </row>
    <row r="550" ht="15.75" customHeight="1">
      <c r="A550" t="str">
        <f>IFERROR(__xludf.DUMMYFUNCTION("""COMPUTED_VALUE"""),"TradingTicket")</f>
        <v>TradingTicket</v>
      </c>
      <c r="B550" t="str">
        <f>IFERROR(__xludf.DUMMYFUNCTION("""COMPUTED_VALUE"""),"CreateReplaceLiveOrder")</f>
        <v>CreateReplaceLiveOrder</v>
      </c>
      <c r="C550" t="str">
        <f>IFERROR(__xludf.DUMMYFUNCTION("""COMPUTED_VALUE"""),"1WKdqwN3CzS__R4r-J0QXkrMVzdcNg8eJuijQ4dJIXSU")</f>
        <v>1WKdqwN3CzS__R4r-J0QXkrMVzdcNg8eJuijQ4dJIXSU</v>
      </c>
    </row>
    <row r="551" ht="15.75" customHeight="1">
      <c r="A551" t="str">
        <f>IFERROR(__xludf.DUMMYFUNCTION("""COMPUTED_VALUE"""),"Admin")</f>
        <v>Admin</v>
      </c>
      <c r="B551" t="str">
        <f>IFERROR(__xludf.DUMMYFUNCTION("""COMPUTED_VALUE"""),"RevertingSMSharesOutValue")</f>
        <v>RevertingSMSharesOutValue</v>
      </c>
      <c r="C551" t="str">
        <f>IFERROR(__xludf.DUMMYFUNCTION("""COMPUTED_VALUE"""),"1TMvyzuvaXNvx9qH4tERqEMaAM8IhUKVHedPNcqMqnso")</f>
        <v>1TMvyzuvaXNvx9qH4tERqEMaAM8IhUKVHedPNcqMqnso</v>
      </c>
    </row>
    <row r="552" ht="15.75" customHeight="1">
      <c r="A552" t="str">
        <f>IFERROR(__xludf.DUMMYFUNCTION("""COMPUTED_VALUE"""),"SymbolLookup")</f>
        <v>SymbolLookup</v>
      </c>
      <c r="B552" t="str">
        <f>IFERROR(__xludf.DUMMYFUNCTION("""COMPUTED_VALUE"""),"TradeSymbolFromSM")</f>
        <v>TradeSymbolFromSM</v>
      </c>
      <c r="C552" t="str">
        <f>IFERROR(__xludf.DUMMYFUNCTION("""COMPUTED_VALUE"""),"1-CEopEQMGMoXLU6RCzJz5EPF9dIkT0gUSqvavHcsYis")</f>
        <v>1-CEopEQMGMoXLU6RCzJz5EPF9dIkT0gUSqvavHcsYis</v>
      </c>
    </row>
    <row r="553" ht="15.75" customHeight="1">
      <c r="A553" t="str">
        <f>IFERROR(__xludf.DUMMYFUNCTION("""COMPUTED_VALUE"""),"Closing")</f>
        <v>Closing</v>
      </c>
      <c r="B553" t="str">
        <f>IFERROR(__xludf.DUMMYFUNCTION("""COMPUTED_VALUE"""),"SelectAccountWiseAsset")</f>
        <v>SelectAccountWiseAsset</v>
      </c>
      <c r="C553" t="str">
        <f>IFERROR(__xludf.DUMMYFUNCTION("""COMPUTED_VALUE"""),"1T8QT8BlZU5hSthOscwYVMb0pI8jbsslQ3q_iqR9NEvo")</f>
        <v>1T8QT8BlZU5hSthOscwYVMb0pI8jbsslQ3q_iqR9NEvo</v>
      </c>
    </row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b">
        <v>1</v>
      </c>
      <c r="D6" s="13"/>
      <c r="E6" s="31"/>
      <c r="F6" s="8"/>
      <c r="G6" s="8"/>
      <c r="H6" s="8"/>
      <c r="I6" s="8"/>
      <c r="J6" s="8"/>
      <c r="K6" s="8"/>
      <c r="L6" s="8"/>
      <c r="M6" s="13" t="b">
        <v>1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500.0</v>
      </c>
      <c r="E6" s="13">
        <v>500.0</v>
      </c>
      <c r="F6" s="13" t="s">
        <v>20</v>
      </c>
      <c r="G6" s="8"/>
      <c r="H6" s="8"/>
      <c r="I6" s="13" t="s">
        <v>21</v>
      </c>
      <c r="J6" s="8"/>
      <c r="K6" s="8"/>
      <c r="L6" s="13">
        <v>10.0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23</v>
      </c>
      <c r="D6" s="13">
        <v>1000.0</v>
      </c>
      <c r="E6" s="13">
        <v>1000.0</v>
      </c>
      <c r="F6" s="13" t="s">
        <v>24</v>
      </c>
      <c r="G6" s="8"/>
      <c r="H6" s="8"/>
      <c r="I6" s="13" t="s">
        <v>25</v>
      </c>
      <c r="J6" s="13"/>
      <c r="K6" s="8"/>
      <c r="L6" s="13">
        <v>10.0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0.0</v>
      </c>
      <c r="E6" s="31"/>
      <c r="F6" s="13">
        <v>10.0</v>
      </c>
      <c r="G6" s="8"/>
      <c r="H6" s="13" t="s">
        <v>28</v>
      </c>
      <c r="I6" s="8"/>
      <c r="J6" s="13" t="s">
        <v>18</v>
      </c>
      <c r="K6" s="8"/>
      <c r="L6" s="8"/>
      <c r="M6" s="8"/>
      <c r="N6" s="8"/>
      <c r="O6" s="8"/>
      <c r="AD6" s="9">
        <v>1.0</v>
      </c>
      <c r="AH6" s="9" t="s">
        <v>29</v>
      </c>
      <c r="AI6" s="9" t="s">
        <v>18</v>
      </c>
      <c r="AJ6" s="9" t="s">
        <v>23</v>
      </c>
      <c r="AK6" s="9" t="s">
        <v>30</v>
      </c>
      <c r="AL6" s="9">
        <v>1000.0</v>
      </c>
      <c r="AR6" s="9">
        <v>0.0</v>
      </c>
      <c r="AS6" s="9" t="s">
        <v>31</v>
      </c>
      <c r="AT6" s="9" t="s">
        <v>24</v>
      </c>
      <c r="AU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/>
      <c r="D6" s="13">
        <v>400.0</v>
      </c>
      <c r="E6" s="13">
        <v>400.0</v>
      </c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31"/>
      <c r="F6" s="13">
        <v>10.0</v>
      </c>
      <c r="G6" s="8"/>
      <c r="H6" s="8"/>
      <c r="I6" s="8"/>
      <c r="J6" s="13" t="s">
        <v>18</v>
      </c>
      <c r="K6" s="8"/>
      <c r="L6" s="8"/>
      <c r="M6" s="8"/>
      <c r="N6" s="8"/>
      <c r="O6" s="8"/>
      <c r="AH6" s="9" t="s">
        <v>29</v>
      </c>
      <c r="AI6" s="9" t="s">
        <v>18</v>
      </c>
      <c r="AJ6" s="9" t="s">
        <v>23</v>
      </c>
      <c r="AK6" s="9" t="s">
        <v>34</v>
      </c>
      <c r="AL6" s="9">
        <v>1000.0</v>
      </c>
      <c r="AM6" s="9">
        <v>400.0</v>
      </c>
      <c r="AR6" s="9">
        <v>10.0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>
        <v>1500.0</v>
      </c>
      <c r="E6" s="13">
        <v>1500.0</v>
      </c>
      <c r="F6" s="13" t="s">
        <v>20</v>
      </c>
      <c r="G6" s="8"/>
      <c r="H6" s="8"/>
      <c r="I6" s="8"/>
      <c r="J6" s="13">
        <v>20.0</v>
      </c>
      <c r="K6" s="8"/>
      <c r="L6" s="13">
        <v>10.0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31"/>
      <c r="F6" s="13">
        <v>10.0</v>
      </c>
      <c r="G6" s="8"/>
      <c r="H6" s="13" t="s">
        <v>28</v>
      </c>
      <c r="I6" s="13" t="s">
        <v>37</v>
      </c>
      <c r="J6" s="13" t="s">
        <v>18</v>
      </c>
      <c r="K6" s="13" t="s">
        <v>38</v>
      </c>
      <c r="L6" s="8"/>
      <c r="M6" s="8"/>
      <c r="N6" s="8"/>
      <c r="O6" s="8"/>
      <c r="S6" s="9">
        <v>0.0</v>
      </c>
      <c r="T6" s="9">
        <v>0.0</v>
      </c>
      <c r="U6" s="9" t="s">
        <v>39</v>
      </c>
      <c r="AD6" s="9">
        <v>1.0</v>
      </c>
      <c r="AF6" s="9" t="s">
        <v>40</v>
      </c>
      <c r="AH6" s="9" t="s">
        <v>29</v>
      </c>
      <c r="AI6" s="9" t="s">
        <v>18</v>
      </c>
      <c r="AJ6" s="9" t="s">
        <v>19</v>
      </c>
      <c r="AK6" s="9" t="s">
        <v>41</v>
      </c>
      <c r="AL6" s="9">
        <v>500.0</v>
      </c>
      <c r="AM6" s="9">
        <v>500.0</v>
      </c>
      <c r="AO6" s="9">
        <v>500.0</v>
      </c>
      <c r="AR6" s="9">
        <v>10.0</v>
      </c>
      <c r="AS6" s="9" t="s">
        <v>31</v>
      </c>
      <c r="AT6" s="9" t="s">
        <v>20</v>
      </c>
      <c r="AU6" s="9" t="s">
        <v>21</v>
      </c>
      <c r="AV6" s="9">
        <v>-5000.0</v>
      </c>
      <c r="AW6" s="9">
        <v>-5000.0</v>
      </c>
      <c r="AY6" s="9">
        <v>500.0</v>
      </c>
      <c r="AZ6" s="9">
        <v>0.0</v>
      </c>
      <c r="BA6" s="9" t="s">
        <v>37</v>
      </c>
    </row>
    <row r="7" ht="15.75" customHeight="1">
      <c r="A7" s="8"/>
      <c r="B7" s="8"/>
      <c r="C7" s="8"/>
      <c r="D7" s="13">
        <v>10.0</v>
      </c>
      <c r="E7" s="8"/>
      <c r="F7" s="13">
        <v>10.0</v>
      </c>
      <c r="G7" s="8"/>
      <c r="H7" s="13" t="s">
        <v>28</v>
      </c>
      <c r="I7" s="13" t="s">
        <v>37</v>
      </c>
      <c r="J7" s="13" t="s">
        <v>18</v>
      </c>
      <c r="K7" s="13" t="s">
        <v>38</v>
      </c>
      <c r="L7" s="8"/>
      <c r="M7" s="8"/>
      <c r="N7" s="8"/>
      <c r="O7" s="8"/>
      <c r="S7" s="9">
        <v>0.0</v>
      </c>
      <c r="T7" s="9">
        <v>0.0</v>
      </c>
      <c r="U7" s="9" t="s">
        <v>39</v>
      </c>
      <c r="AD7" s="9">
        <v>1.0</v>
      </c>
      <c r="AF7" s="9" t="s">
        <v>40</v>
      </c>
      <c r="AH7" s="9" t="s">
        <v>29</v>
      </c>
      <c r="AI7" s="9" t="s">
        <v>18</v>
      </c>
      <c r="AJ7" s="9" t="s">
        <v>23</v>
      </c>
      <c r="AK7" s="9" t="s">
        <v>42</v>
      </c>
      <c r="AL7" s="9">
        <v>1500.0</v>
      </c>
      <c r="AM7" s="9">
        <v>400.0</v>
      </c>
      <c r="AO7" s="9">
        <v>400.0</v>
      </c>
      <c r="AP7" s="9">
        <v>1100.0</v>
      </c>
      <c r="AR7" s="9">
        <v>10.0</v>
      </c>
      <c r="AS7" s="9" t="s">
        <v>31</v>
      </c>
      <c r="AT7" s="9" t="s">
        <v>20</v>
      </c>
      <c r="AU7" s="9" t="s">
        <v>21</v>
      </c>
      <c r="AV7" s="9">
        <v>4000.0</v>
      </c>
      <c r="AW7" s="9">
        <v>4000.0</v>
      </c>
      <c r="AY7" s="9">
        <v>1500.0</v>
      </c>
      <c r="AZ7" s="9">
        <v>1100.0</v>
      </c>
      <c r="BA7" s="9" t="s">
        <v>37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H6" s="9" t="s">
        <v>29</v>
      </c>
      <c r="AI6" s="9" t="s">
        <v>18</v>
      </c>
      <c r="AJ6" s="9" t="s">
        <v>23</v>
      </c>
      <c r="AK6" s="9" t="s">
        <v>42</v>
      </c>
      <c r="AL6" s="9">
        <v>1500.0</v>
      </c>
      <c r="AR6" s="9">
        <v>10.0</v>
      </c>
      <c r="AS6" s="9" t="s">
        <v>31</v>
      </c>
      <c r="AT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23</v>
      </c>
      <c r="D6" s="13">
        <v>700.0</v>
      </c>
      <c r="E6" s="13">
        <v>700.0</v>
      </c>
      <c r="F6" s="13" t="s">
        <v>20</v>
      </c>
      <c r="G6" s="8"/>
      <c r="H6" s="8"/>
      <c r="I6" s="8"/>
      <c r="J6" s="13">
        <v>10.0</v>
      </c>
      <c r="K6" s="8"/>
      <c r="L6" s="13">
        <v>10.0</v>
      </c>
      <c r="M6" s="8"/>
      <c r="N6" s="8"/>
      <c r="O6" s="8"/>
      <c r="AR6" s="9" t="s">
        <v>43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31"/>
      <c r="F6" s="13">
        <v>10.0</v>
      </c>
      <c r="G6" s="8"/>
      <c r="H6" s="13" t="s">
        <v>28</v>
      </c>
      <c r="I6" s="13" t="s">
        <v>37</v>
      </c>
      <c r="J6" s="13" t="s">
        <v>18</v>
      </c>
      <c r="K6" s="13" t="s">
        <v>38</v>
      </c>
      <c r="L6" s="8"/>
      <c r="M6" s="8"/>
      <c r="N6" s="8"/>
      <c r="O6" s="8"/>
      <c r="S6" s="9">
        <v>0.0</v>
      </c>
      <c r="T6" s="9">
        <v>0.0</v>
      </c>
      <c r="U6" s="9" t="s">
        <v>39</v>
      </c>
      <c r="AD6" s="9">
        <v>1.0</v>
      </c>
      <c r="AF6" s="9" t="s">
        <v>40</v>
      </c>
      <c r="AH6" s="9" t="s">
        <v>29</v>
      </c>
      <c r="AI6" s="9" t="s">
        <v>18</v>
      </c>
      <c r="AJ6" s="9" t="s">
        <v>19</v>
      </c>
      <c r="AK6" s="9" t="s">
        <v>41</v>
      </c>
      <c r="AL6" s="9">
        <v>500.0</v>
      </c>
      <c r="AM6" s="9">
        <v>500.0</v>
      </c>
      <c r="AO6" s="9">
        <v>500.0</v>
      </c>
      <c r="AR6" s="9">
        <v>10.0</v>
      </c>
      <c r="AS6" s="9" t="s">
        <v>31</v>
      </c>
      <c r="AT6" s="9" t="s">
        <v>20</v>
      </c>
      <c r="AU6" s="9" t="s">
        <v>21</v>
      </c>
      <c r="AV6" s="9">
        <v>-5000.0</v>
      </c>
      <c r="AW6" s="9">
        <v>-5000.0</v>
      </c>
      <c r="AY6" s="9">
        <v>500.0</v>
      </c>
      <c r="AZ6" s="9">
        <v>0.0</v>
      </c>
      <c r="BA6" s="9" t="s">
        <v>37</v>
      </c>
    </row>
    <row r="7" ht="15.75" customHeight="1">
      <c r="A7" s="8"/>
      <c r="B7" s="8"/>
      <c r="C7" s="8"/>
      <c r="D7" s="13">
        <v>10.0</v>
      </c>
      <c r="E7" s="8"/>
      <c r="F7" s="13">
        <v>10.0</v>
      </c>
      <c r="G7" s="8"/>
      <c r="H7" s="13" t="s">
        <v>28</v>
      </c>
      <c r="I7" s="13" t="s">
        <v>37</v>
      </c>
      <c r="J7" s="13" t="s">
        <v>18</v>
      </c>
      <c r="K7" s="13" t="s">
        <v>38</v>
      </c>
      <c r="L7" s="8"/>
      <c r="M7" s="8"/>
      <c r="N7" s="8"/>
      <c r="O7" s="8"/>
      <c r="S7" s="9">
        <v>0.0</v>
      </c>
      <c r="T7" s="9">
        <v>0.0</v>
      </c>
      <c r="U7" s="9" t="s">
        <v>39</v>
      </c>
      <c r="AD7" s="9">
        <v>1.0</v>
      </c>
      <c r="AF7" s="9" t="s">
        <v>40</v>
      </c>
      <c r="AH7" s="9" t="s">
        <v>29</v>
      </c>
      <c r="AI7" s="9" t="s">
        <v>18</v>
      </c>
      <c r="AJ7" s="9" t="s">
        <v>23</v>
      </c>
      <c r="AK7" s="9" t="s">
        <v>42</v>
      </c>
      <c r="AL7" s="9">
        <v>1500.0</v>
      </c>
      <c r="AM7" s="9">
        <v>400.0</v>
      </c>
      <c r="AO7" s="9">
        <v>400.0</v>
      </c>
      <c r="AP7" s="9">
        <v>1100.0</v>
      </c>
      <c r="AR7" s="9">
        <v>10.0</v>
      </c>
      <c r="AS7" s="9" t="s">
        <v>31</v>
      </c>
      <c r="AT7" s="9" t="s">
        <v>20</v>
      </c>
      <c r="AU7" s="9" t="s">
        <v>21</v>
      </c>
      <c r="AV7" s="9">
        <v>4000.0</v>
      </c>
      <c r="AW7" s="9">
        <v>4000.0</v>
      </c>
      <c r="AY7" s="9">
        <v>1500.0</v>
      </c>
      <c r="AZ7" s="9">
        <v>1100.0</v>
      </c>
      <c r="BA7" s="9" t="s">
        <v>37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IFERROR(__xludf.DUMMYFUNCTION("""COMPUTED_VALUE"""),"Unexecuted Qty")</f>
        <v>Unexecuted Qty</v>
      </c>
      <c r="G5" s="28" t="str">
        <f>IFERROR(__xludf.DUMMYFUNCTION("""COMPUTED_VALUE"""),"Status")</f>
        <v>Status</v>
      </c>
      <c r="H5" s="28" t="str">
        <f>IFERROR(__xludf.DUMMYFUNCTION("""COMPUTED_VALUE"""),"Last Shares")</f>
        <v>Last Shares</v>
      </c>
      <c r="I5" s="28" t="str">
        <f>IFERROR(__xludf.DUMMYFUNCTION("""COMPUTED_VALUE"""),"Last Fill Price (Local)")</f>
        <v>Last Fill Price (Local)</v>
      </c>
      <c r="J5" s="28" t="str">
        <f>IFERROR(__xludf.DUMMYFUNCTION("""COMPUTED_VALUE"""),"Avg Fill Price (Local)")</f>
        <v>Avg Fill Price (Local)</v>
      </c>
      <c r="K5" s="28" t="str">
        <f>IFERROR(__xludf.DUMMYFUNCTION("""COMPUTED_VALUE"""),"Broker")</f>
        <v>Broker</v>
      </c>
      <c r="L5" s="28" t="str">
        <f>IFERROR(__xludf.DUMMYFUNCTION("""COMPUTED_VALUE"""),"Account")</f>
        <v>Account</v>
      </c>
      <c r="M5" s="28" t="str">
        <f>IFERROR(__xludf.DUMMYFUNCTION("""COMPUTED_VALUE"""),"Order Type")</f>
        <v>Order Type</v>
      </c>
      <c r="N5" s="28" t="str">
        <f>IFERROR(__xludf.DUMMYFUNCTION("""COMPUTED_VALUE"""),"OrderStatus")</f>
        <v>OrderStatus</v>
      </c>
      <c r="O5" s="28" t="str">
        <f>IFERROR(__xludf.DUMMYFUNCTION("""COMPUTED_VALUE"""),"Avg Fill Price (Base)")</f>
        <v>Avg Fill Price (Base)</v>
      </c>
      <c r="P5" s="28" t="str">
        <f>IFERROR(__xludf.DUMMYFUNCTION("""COMPUTED_VALUE"""),"Limit Price")</f>
        <v>Limit Price</v>
      </c>
      <c r="Q5" s="28" t="str">
        <f>IFERROR(__xludf.DUMMYFUNCTION("""COMPUTED_VALUE"""),"Stop Price")</f>
        <v>Stop Price</v>
      </c>
      <c r="R5" s="28" t="str">
        <f>IFERROR(__xludf.DUMMYFUNCTION("""COMPUTED_VALUE"""),"Actual User")</f>
        <v>Actual User</v>
      </c>
      <c r="S5" s="28" t="str">
        <f>IFERROR(__xludf.DUMMYFUNCTION("""COMPUTED_VALUE"""),"Bloomberg Symbol")</f>
        <v>Bloomberg Symbol</v>
      </c>
      <c r="T5" s="30" t="str">
        <f>IFERROR(__xludf.DUMMYFUNCTION("""COMPUTED_VALUE"""),"Algo")</f>
        <v>Algo</v>
      </c>
      <c r="U5" s="30" t="str">
        <f>IFERROR(__xludf.DUMMYFUNCTION("""COMPUTED_VALUE"""),"Allocation Scheme Name")</f>
        <v>Allocation Scheme Name</v>
      </c>
      <c r="V5" s="30" t="str">
        <f>IFERROR(__xludf.DUMMYFUNCTION("""COMPUTED_VALUE"""),"Allocation Status")</f>
        <v>Allocation Status</v>
      </c>
      <c r="W5" s="30" t="str">
        <f>IFERROR(__xludf.DUMMYFUNCTION("""COMPUTED_VALUE"""),"Asset Class")</f>
        <v>Asset Class</v>
      </c>
      <c r="X5" s="30" t="str">
        <f>IFERROR(__xludf.DUMMYFUNCTION("""COMPUTED_VALUE"""),"FX Conversion Operator")</f>
        <v>FX Conversion Operator</v>
      </c>
      <c r="Y5" s="30" t="str">
        <f>IFERROR(__xludf.DUMMYFUNCTION("""COMPUTED_VALUE"""),"FX Rate")</f>
        <v>FX Rate</v>
      </c>
      <c r="Z5" s="30" t="str">
        <f>IFERROR(__xludf.DUMMYFUNCTION("""COMPUTED_VALUE"""),"Imported File Name")</f>
        <v>Imported File Name</v>
      </c>
      <c r="AA5" s="30" t="str">
        <f>IFERROR(__xludf.DUMMYFUNCTION("""COMPUTED_VALUE"""),"Internal Comments")</f>
        <v>Internal Comments</v>
      </c>
      <c r="AB5" s="30" t="str">
        <f>IFERROR(__xludf.DUMMYFUNCTION("""COMPUTED_VALUE"""),"Peg")</f>
        <v>Peg</v>
      </c>
      <c r="AC5" s="30" t="str">
        <f>IFERROR(__xludf.DUMMYFUNCTION("""COMPUTED_VALUE"""),"Principal Amount (Base)")</f>
        <v>Principal Amount (Base)</v>
      </c>
      <c r="AD5" s="30" t="str">
        <f>IFERROR(__xludf.DUMMYFUNCTION("""COMPUTED_VALUE"""),"Principal Amount (Local)")</f>
        <v>Principal Amount (Local)</v>
      </c>
      <c r="AE5" s="30" t="str">
        <f>IFERROR(__xludf.DUMMYFUNCTION("""COMPUTED_VALUE"""),"Process Date")</f>
        <v>Process Date</v>
      </c>
      <c r="AF5" s="30" t="str">
        <f>IFERROR(__xludf.DUMMYFUNCTION("""COMPUTED_VALUE"""),"Put/Call")</f>
        <v>Put/Call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IFERROR(__xludf.DUMMYFUNCTION("""COMPUTED_VALUE"""),"Source")</f>
        <v>Source</v>
      </c>
      <c r="AI5" s="30" t="str">
        <f>IFERROR(__xludf.DUMMYFUNCTION("""COMPUTED_VALUE"""),"Status (With Rollover)")</f>
        <v>Status (With Rollover)</v>
      </c>
      <c r="AJ5" s="30" t="str">
        <f>IFERROR(__xludf.DUMMYFUNCTION("""COMPUTED_VALUE"""),"Strategy")</f>
        <v>Strategy</v>
      </c>
      <c r="AK5" s="30" t="str">
        <f>IFERROR(__xludf.DUMMYFUNCTION("""COMPUTED_VALUE"""),"Strike Price")</f>
        <v>Strike Price</v>
      </c>
      <c r="AL5" s="30" t="str">
        <f>IFERROR(__xludf.DUMMYFUNCTION("""COMPUTED_VALUE"""),"Trade Attribute 1")</f>
        <v>Trade Attribute 1</v>
      </c>
      <c r="AM5" s="30" t="str">
        <f>IFERROR(__xludf.DUMMYFUNCTION("""COMPUTED_VALUE"""),"Trade Attribute 2")</f>
        <v>Trade Attribute 2</v>
      </c>
      <c r="AN5" s="30" t="str">
        <f>IFERROR(__xludf.DUMMYFUNCTION("""COMPUTED_VALUE"""),"Trade Attribute 3")</f>
        <v>Trade Attribute 3</v>
      </c>
      <c r="AO5" s="30" t="str">
        <f>IFERROR(__xludf.DUMMYFUNCTION("""COMPUTED_VALUE"""),"Trade Attribute 4")</f>
        <v>Trade Attribute 4</v>
      </c>
      <c r="AP5" s="30" t="str">
        <f>IFERROR(__xludf.DUMMYFUNCTION("""COMPUTED_VALUE"""),"Trade Attribute 5")</f>
        <v>Trade Attribute 5</v>
      </c>
      <c r="AQ5" s="30" t="str">
        <f>IFERROR(__xludf.DUMMYFUNCTION("""COMPUTED_VALUE"""),"Trade Attribute 6")</f>
        <v>Trade Attribute 6</v>
      </c>
      <c r="AR5" s="30" t="str">
        <f>IFERROR(__xludf.DUMMYFUNCTION("""COMPUTED_VALUE"""),"Trader")</f>
        <v>Trader</v>
      </c>
      <c r="AS5" s="30" t="str">
        <f>IFERROR(__xludf.DUMMYFUNCTION("""COMPUTED_VALUE"""),"Transaction Time")</f>
        <v>Transaction Time</v>
      </c>
      <c r="AT5" s="30" t="str">
        <f>IFERROR(__xludf.DUMMYFUNCTION("""COMPUTED_VALUE"""),"Underlying Country")</f>
        <v>Underlying Country</v>
      </c>
      <c r="AU5" s="30" t="str">
        <f>IFERROR(__xludf.DUMMYFUNCTION("""COMPUTED_VALUE"""),"Underlying Symbol")</f>
        <v>Underlying Symbol</v>
      </c>
      <c r="AV5" s="30" t="str">
        <f>IFERROR(__xludf.DUMMYFUNCTION("""COMPUTED_VALUE"""),"Venue")</f>
        <v>Venue</v>
      </c>
      <c r="AW5" s="30" t="str">
        <f>IFERROR(__xludf.DUMMYFUNCTION("""COMPUTED_VALUE"""),"Working Qty")</f>
        <v>Working Qty</v>
      </c>
      <c r="AX5" s="30" t="str">
        <f>IFERROR(__xludf.DUMMYFUNCTION("""COMPUTED_VALUE"""),"Client")</f>
        <v>Client</v>
      </c>
      <c r="AY5" s="30" t="str">
        <f>IFERROR(__xludf.DUMMYFUNCTION("""COMPUTED_VALUE"""),"OrderID")</f>
        <v>OrderID</v>
      </c>
      <c r="AZ5" s="30" t="str">
        <f>IFERROR(__xludf.DUMMYFUNCTION("""COMPUTED_VALUE"""),"ParentClOrderID")</f>
        <v>ParentClOrderID</v>
      </c>
      <c r="BA5" s="30" t="str">
        <f>IFERROR(__xludf.DUMMYFUNCTION("""COMPUTED_VALUE"""),"Master Fund")</f>
        <v>Master Fund</v>
      </c>
      <c r="BB5" s="30" t="str">
        <f>IFERROR(__xludf.DUMMYFUNCTION("""COMPUTED_VALUE"""),"Current User")</f>
        <v>Current User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500.0</v>
      </c>
      <c r="E6" s="13">
        <v>500.0</v>
      </c>
      <c r="F6" s="8"/>
      <c r="G6" s="13" t="s">
        <v>41</v>
      </c>
      <c r="H6" s="8"/>
      <c r="I6" s="8"/>
      <c r="J6" s="13">
        <v>10.0</v>
      </c>
      <c r="K6" s="13" t="s">
        <v>31</v>
      </c>
      <c r="L6" s="13" t="s">
        <v>20</v>
      </c>
      <c r="M6" s="13" t="s">
        <v>21</v>
      </c>
      <c r="N6" s="8"/>
      <c r="O6" s="13">
        <v>10.0</v>
      </c>
      <c r="P6" s="9">
        <v>10.0</v>
      </c>
      <c r="Q6" s="9">
        <v>0.0</v>
      </c>
      <c r="R6" s="9" t="s">
        <v>37</v>
      </c>
      <c r="W6" s="9" t="s">
        <v>29</v>
      </c>
      <c r="X6" s="9" t="s">
        <v>40</v>
      </c>
      <c r="Y6" s="9">
        <v>1.0</v>
      </c>
      <c r="AC6" s="9">
        <v>-5000.0</v>
      </c>
      <c r="AD6" s="9">
        <v>-5000.0</v>
      </c>
      <c r="AK6" s="9">
        <v>0.0</v>
      </c>
      <c r="AT6" s="9" t="s">
        <v>38</v>
      </c>
      <c r="AU6" s="9" t="s">
        <v>18</v>
      </c>
      <c r="AV6" s="9" t="s">
        <v>28</v>
      </c>
      <c r="BB6" s="9" t="s">
        <v>37</v>
      </c>
    </row>
    <row r="7" ht="15.75" customHeight="1">
      <c r="A7" s="8"/>
      <c r="B7" s="13" t="s">
        <v>18</v>
      </c>
      <c r="C7" s="13" t="s">
        <v>23</v>
      </c>
      <c r="D7" s="13">
        <v>400.0</v>
      </c>
      <c r="E7" s="13">
        <v>400.0</v>
      </c>
      <c r="F7" s="8"/>
      <c r="G7" s="13" t="s">
        <v>41</v>
      </c>
      <c r="H7" s="8"/>
      <c r="I7" s="8"/>
      <c r="J7" s="13">
        <v>10.0</v>
      </c>
      <c r="K7" s="13" t="s">
        <v>31</v>
      </c>
      <c r="L7" s="13" t="s">
        <v>24</v>
      </c>
      <c r="M7" s="13" t="s">
        <v>25</v>
      </c>
      <c r="N7" s="8"/>
      <c r="O7" s="13">
        <v>10.0</v>
      </c>
      <c r="P7" s="9">
        <v>10.0</v>
      </c>
      <c r="Q7" s="9">
        <v>0.0</v>
      </c>
      <c r="R7" s="9" t="s">
        <v>37</v>
      </c>
      <c r="W7" s="9" t="s">
        <v>29</v>
      </c>
      <c r="X7" s="9" t="s">
        <v>40</v>
      </c>
      <c r="Y7" s="9">
        <v>1.0</v>
      </c>
      <c r="AC7" s="9">
        <v>4000.0</v>
      </c>
      <c r="AD7" s="9">
        <v>4000.0</v>
      </c>
      <c r="AK7" s="9">
        <v>0.0</v>
      </c>
      <c r="AT7" s="9" t="s">
        <v>38</v>
      </c>
      <c r="AU7" s="9" t="s">
        <v>18</v>
      </c>
      <c r="AV7" s="9" t="s">
        <v>28</v>
      </c>
      <c r="BB7" s="9" t="s">
        <v>37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47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hyperlinks>
    <hyperlink r:id="rId1" ref="DT4"/>
  </hyperlin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20</v>
      </c>
      <c r="C6" s="8"/>
      <c r="D6" s="34">
        <v>0.0</v>
      </c>
      <c r="E6" s="35">
        <v>500.0</v>
      </c>
      <c r="F6" s="36"/>
      <c r="G6" s="36" t="s">
        <v>29</v>
      </c>
      <c r="H6" s="37">
        <v>4.0</v>
      </c>
      <c r="I6" s="37">
        <v>5.0</v>
      </c>
      <c r="J6" s="37">
        <v>1.0</v>
      </c>
      <c r="K6" s="37">
        <v>10.0</v>
      </c>
      <c r="L6" s="37">
        <v>10.0</v>
      </c>
      <c r="M6" s="8"/>
      <c r="N6" s="8"/>
      <c r="O6" s="38" t="s">
        <v>31</v>
      </c>
      <c r="P6" s="36"/>
      <c r="Q6" s="39">
        <v>3.0</v>
      </c>
      <c r="R6" s="39">
        <v>0.0</v>
      </c>
      <c r="S6" s="36" t="s">
        <v>49</v>
      </c>
      <c r="T6" s="40">
        <v>0.0</v>
      </c>
      <c r="U6" s="40">
        <v>0.0</v>
      </c>
      <c r="V6" s="41"/>
      <c r="W6" s="41"/>
      <c r="X6" s="41"/>
      <c r="Y6" s="41"/>
      <c r="Z6" s="41" t="s">
        <v>39</v>
      </c>
      <c r="AA6" s="41"/>
      <c r="AB6" s="40">
        <v>1.0</v>
      </c>
      <c r="AD6" s="41" t="s">
        <v>28</v>
      </c>
      <c r="AE6" s="40">
        <v>500.0</v>
      </c>
      <c r="AF6" s="41"/>
      <c r="AG6" s="41"/>
      <c r="AH6" s="41" t="s">
        <v>40</v>
      </c>
      <c r="AI6" s="40">
        <v>1.0</v>
      </c>
      <c r="AJ6" s="41" t="s">
        <v>50</v>
      </c>
      <c r="AK6" s="41"/>
      <c r="AL6" s="41"/>
      <c r="AM6" s="41"/>
      <c r="AN6" s="42" t="b">
        <v>0</v>
      </c>
      <c r="AO6" s="41"/>
      <c r="AP6" s="42" t="b">
        <v>1</v>
      </c>
      <c r="AQ6" s="42" t="b">
        <v>0</v>
      </c>
      <c r="AR6" s="42" t="b">
        <v>1</v>
      </c>
      <c r="AT6" s="35">
        <v>4985.9972</v>
      </c>
      <c r="AU6" s="35">
        <v>4985.9972</v>
      </c>
      <c r="AW6" s="40">
        <v>0.0</v>
      </c>
      <c r="AX6" s="40">
        <v>0.0</v>
      </c>
      <c r="AY6" s="43" t="s">
        <v>21</v>
      </c>
      <c r="AZ6" s="40">
        <v>0.0</v>
      </c>
      <c r="BA6" s="41"/>
      <c r="BB6" s="41"/>
      <c r="BC6" s="40">
        <v>0.0</v>
      </c>
      <c r="BD6" s="41"/>
      <c r="BE6" s="35">
        <v>5000.0</v>
      </c>
      <c r="BF6" s="35">
        <v>5000.0</v>
      </c>
      <c r="BJ6" s="44">
        <v>500.0</v>
      </c>
      <c r="BK6" s="40">
        <v>0.0</v>
      </c>
      <c r="BL6" s="41"/>
      <c r="BM6" s="41" t="s">
        <v>39</v>
      </c>
      <c r="BN6" s="41"/>
      <c r="BO6" s="45" t="s">
        <v>19</v>
      </c>
      <c r="BP6" s="40">
        <v>0.0</v>
      </c>
      <c r="BQ6" s="40">
        <v>0.0</v>
      </c>
      <c r="BR6" s="41"/>
      <c r="BS6" s="45" t="s">
        <v>51</v>
      </c>
      <c r="BT6" s="41" t="s">
        <v>18</v>
      </c>
      <c r="BU6" s="40">
        <v>3.0</v>
      </c>
      <c r="BV6" s="40">
        <v>0.0</v>
      </c>
      <c r="BW6" s="46">
        <v>14.0028</v>
      </c>
      <c r="BX6" s="9">
        <v>0.0</v>
      </c>
      <c r="CF6" s="45" t="s">
        <v>52</v>
      </c>
      <c r="CG6" s="40">
        <v>2.0</v>
      </c>
      <c r="CH6" s="45" t="s">
        <v>16</v>
      </c>
      <c r="CI6" s="45" t="s">
        <v>53</v>
      </c>
      <c r="CJ6" s="40">
        <v>0.0</v>
      </c>
      <c r="CK6" s="41" t="s">
        <v>38</v>
      </c>
      <c r="CL6" s="40">
        <v>1.0</v>
      </c>
      <c r="CM6" s="41" t="s">
        <v>18</v>
      </c>
      <c r="CN6" s="45" t="s">
        <v>37</v>
      </c>
      <c r="CO6" s="45" t="s">
        <v>28</v>
      </c>
      <c r="CP6" s="45" t="s">
        <v>54</v>
      </c>
      <c r="CQ6" s="41"/>
      <c r="CR6" s="41"/>
      <c r="CS6" s="41"/>
      <c r="CT6" s="41"/>
    </row>
    <row r="7" ht="15.75" customHeight="1">
      <c r="A7" s="8"/>
      <c r="B7" s="33" t="s">
        <v>24</v>
      </c>
      <c r="C7" s="8"/>
      <c r="D7" s="37">
        <v>0.0</v>
      </c>
      <c r="E7" s="35">
        <v>400.0</v>
      </c>
      <c r="F7" s="36"/>
      <c r="G7" s="36" t="s">
        <v>29</v>
      </c>
      <c r="H7" s="37">
        <v>4.0</v>
      </c>
      <c r="I7" s="37">
        <v>5.0</v>
      </c>
      <c r="J7" s="37">
        <v>1.0</v>
      </c>
      <c r="K7" s="37">
        <v>10.0</v>
      </c>
      <c r="L7" s="37">
        <v>10.0</v>
      </c>
      <c r="M7" s="8"/>
      <c r="N7" s="8"/>
      <c r="O7" s="47" t="s">
        <v>31</v>
      </c>
      <c r="P7" s="36"/>
      <c r="Q7" s="39">
        <v>3.0</v>
      </c>
      <c r="R7" s="39">
        <v>0.0</v>
      </c>
      <c r="S7" s="36" t="s">
        <v>49</v>
      </c>
      <c r="T7" s="40">
        <v>0.0</v>
      </c>
      <c r="U7" s="40">
        <v>0.0</v>
      </c>
      <c r="V7" s="41"/>
      <c r="W7" s="41"/>
      <c r="X7" s="41"/>
      <c r="Y7" s="41"/>
      <c r="Z7" s="41" t="s">
        <v>39</v>
      </c>
      <c r="AA7" s="41"/>
      <c r="AB7" s="40">
        <v>1.0</v>
      </c>
      <c r="AD7" s="41" t="s">
        <v>28</v>
      </c>
      <c r="AE7" s="48">
        <v>400.0</v>
      </c>
      <c r="AF7" s="41"/>
      <c r="AG7" s="41"/>
      <c r="AH7" s="41" t="s">
        <v>40</v>
      </c>
      <c r="AI7" s="40">
        <v>1.0</v>
      </c>
      <c r="AJ7" s="41" t="s">
        <v>50</v>
      </c>
      <c r="AK7" s="41"/>
      <c r="AL7" s="41"/>
      <c r="AM7" s="41"/>
      <c r="AN7" s="42" t="b">
        <v>0</v>
      </c>
      <c r="AO7" s="41"/>
      <c r="AP7" s="42" t="b">
        <v>1</v>
      </c>
      <c r="AQ7" s="42" t="b">
        <v>0</v>
      </c>
      <c r="AR7" s="42" t="b">
        <v>1</v>
      </c>
      <c r="AT7" s="35">
        <v>4014.0022</v>
      </c>
      <c r="AU7" s="35">
        <v>4014.0022</v>
      </c>
      <c r="AW7" s="40">
        <v>0.0</v>
      </c>
      <c r="AX7" s="40">
        <v>0.0</v>
      </c>
      <c r="AY7" s="43" t="s">
        <v>21</v>
      </c>
      <c r="AZ7" s="40">
        <v>0.0</v>
      </c>
      <c r="BA7" s="41"/>
      <c r="BB7" s="41"/>
      <c r="BC7" s="40">
        <v>0.0</v>
      </c>
      <c r="BD7" s="41"/>
      <c r="BE7" s="35">
        <v>4000.0</v>
      </c>
      <c r="BF7" s="35">
        <v>4000.0</v>
      </c>
      <c r="BJ7" s="49">
        <v>400.0</v>
      </c>
      <c r="BK7" s="40">
        <v>0.0</v>
      </c>
      <c r="BL7" s="41"/>
      <c r="BM7" s="41" t="s">
        <v>39</v>
      </c>
      <c r="BN7" s="41"/>
      <c r="BO7" s="45" t="s">
        <v>23</v>
      </c>
      <c r="BP7" s="40">
        <v>0.0</v>
      </c>
      <c r="BQ7" s="40">
        <v>0.0</v>
      </c>
      <c r="BR7" s="41"/>
      <c r="BS7" s="45" t="s">
        <v>51</v>
      </c>
      <c r="BT7" s="41" t="s">
        <v>18</v>
      </c>
      <c r="BU7" s="40">
        <v>3.0</v>
      </c>
      <c r="BV7" s="40">
        <v>0.0</v>
      </c>
      <c r="BW7" s="46">
        <v>14.0022</v>
      </c>
      <c r="BX7" s="9">
        <v>0.0</v>
      </c>
      <c r="CF7" s="45" t="s">
        <v>52</v>
      </c>
      <c r="CG7" s="40">
        <v>2.0</v>
      </c>
      <c r="CH7" s="45" t="s">
        <v>16</v>
      </c>
      <c r="CI7" s="45" t="s">
        <v>55</v>
      </c>
      <c r="CJ7" s="40">
        <v>0.0</v>
      </c>
      <c r="CK7" s="41" t="s">
        <v>38</v>
      </c>
      <c r="CL7" s="40">
        <v>1.0</v>
      </c>
      <c r="CM7" s="41" t="s">
        <v>18</v>
      </c>
      <c r="CN7" s="45" t="s">
        <v>37</v>
      </c>
      <c r="CO7" s="45" t="s">
        <v>28</v>
      </c>
      <c r="CP7" s="45" t="s">
        <v>54</v>
      </c>
      <c r="CQ7" s="41"/>
      <c r="CR7" s="41"/>
      <c r="CS7" s="41"/>
      <c r="CT7" s="41"/>
    </row>
    <row r="8" ht="15.75" customHeight="1">
      <c r="A8" s="8"/>
      <c r="B8" s="8"/>
      <c r="C8" s="8"/>
      <c r="D8" s="41"/>
      <c r="E8" s="41"/>
      <c r="F8" s="41"/>
      <c r="G8" s="41"/>
      <c r="H8" s="41"/>
      <c r="I8" s="41"/>
      <c r="J8" s="41"/>
      <c r="K8" s="41"/>
      <c r="L8" s="41"/>
      <c r="M8" s="8"/>
      <c r="N8" s="8"/>
      <c r="O8" s="8"/>
      <c r="BE8" s="50"/>
      <c r="BF8" s="50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BE9" s="50"/>
      <c r="BF9" s="5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/>
      <c r="FJ5" s="30"/>
      <c r="FK5" s="30"/>
      <c r="FL5" s="30"/>
      <c r="FM5" s="30"/>
      <c r="FN5" s="30"/>
      <c r="FO5" s="30"/>
      <c r="FP5" s="30"/>
      <c r="FQ5" s="30"/>
      <c r="FR5" s="30"/>
    </row>
    <row r="6" ht="15.75" customHeight="1">
      <c r="A6" s="13"/>
      <c r="B6" s="13"/>
      <c r="C6" s="33" t="s">
        <v>18</v>
      </c>
      <c r="D6" s="46">
        <v>-500.0</v>
      </c>
      <c r="E6" s="33" t="s">
        <v>20</v>
      </c>
      <c r="F6" s="8"/>
      <c r="G6" s="13">
        <v>10.0</v>
      </c>
      <c r="H6" s="33" t="s">
        <v>58</v>
      </c>
      <c r="I6" s="13">
        <v>0.0</v>
      </c>
      <c r="J6" s="8"/>
      <c r="K6" s="13">
        <v>0.0</v>
      </c>
      <c r="L6" s="13">
        <v>0.0</v>
      </c>
      <c r="M6" s="13">
        <v>0.0</v>
      </c>
      <c r="N6" s="51">
        <v>5000.0</v>
      </c>
      <c r="O6" s="33" t="s">
        <v>59</v>
      </c>
      <c r="P6" s="33" t="s">
        <v>60</v>
      </c>
      <c r="Q6" s="51">
        <v>5000.0</v>
      </c>
      <c r="R6" s="33" t="s">
        <v>31</v>
      </c>
      <c r="S6" s="33" t="s">
        <v>51</v>
      </c>
      <c r="T6" s="33" t="s">
        <v>29</v>
      </c>
      <c r="U6" s="33" t="s">
        <v>38</v>
      </c>
      <c r="V6" s="33" t="s">
        <v>28</v>
      </c>
      <c r="W6" s="33" t="s">
        <v>39</v>
      </c>
      <c r="X6" s="46">
        <v>1.0</v>
      </c>
      <c r="Y6" s="9">
        <v>1.0</v>
      </c>
      <c r="AB6" s="46">
        <v>0.0</v>
      </c>
      <c r="AC6" s="46">
        <v>0.0</v>
      </c>
      <c r="AD6" s="46">
        <v>0.0</v>
      </c>
      <c r="AE6" s="46">
        <v>0.0</v>
      </c>
      <c r="AF6" s="46">
        <v>-500.0</v>
      </c>
      <c r="AG6" s="46">
        <v>0.0</v>
      </c>
      <c r="AH6" s="46">
        <v>0.0</v>
      </c>
      <c r="AI6" s="46">
        <v>0.0</v>
      </c>
      <c r="AJ6" s="46">
        <v>0.0</v>
      </c>
      <c r="AK6" s="51">
        <v>5000.0</v>
      </c>
      <c r="AL6" s="46">
        <v>1.0</v>
      </c>
      <c r="AM6" s="46">
        <v>1.0</v>
      </c>
      <c r="AN6" s="33" t="s">
        <v>19</v>
      </c>
      <c r="AP6" s="33" t="s">
        <v>58</v>
      </c>
      <c r="AQ6" s="33" t="s">
        <v>18</v>
      </c>
      <c r="AR6" s="46">
        <v>0.0</v>
      </c>
      <c r="AS6" s="46">
        <v>-1.0</v>
      </c>
      <c r="AV6" s="46">
        <v>1.0</v>
      </c>
      <c r="AW6" s="51">
        <v>5000.0</v>
      </c>
      <c r="AX6" s="46">
        <v>0.0</v>
      </c>
      <c r="AY6" s="46">
        <v>0.0</v>
      </c>
      <c r="AZ6" s="46">
        <v>0.0</v>
      </c>
      <c r="BA6" s="46">
        <v>100.0</v>
      </c>
      <c r="BC6" s="46">
        <v>1.0</v>
      </c>
      <c r="BD6" s="51">
        <v>5000.0</v>
      </c>
      <c r="BE6" s="33" t="s">
        <v>29</v>
      </c>
      <c r="BF6" s="33" t="s">
        <v>61</v>
      </c>
      <c r="BG6" s="33" t="s">
        <v>62</v>
      </c>
      <c r="BH6" s="33" t="s">
        <v>60</v>
      </c>
      <c r="BI6" s="46">
        <v>5.0</v>
      </c>
      <c r="BJ6" s="46">
        <v>0.0</v>
      </c>
      <c r="BK6" s="46">
        <v>0.0</v>
      </c>
      <c r="BL6" s="46">
        <v>0.0</v>
      </c>
      <c r="BM6" s="46">
        <v>0.0</v>
      </c>
      <c r="BO6" s="51">
        <v>5000.0</v>
      </c>
      <c r="BP6" s="46">
        <v>0.0</v>
      </c>
      <c r="BQ6" s="33" t="s">
        <v>37</v>
      </c>
      <c r="BR6" s="33" t="s">
        <v>31</v>
      </c>
      <c r="BS6" s="46">
        <v>0.0</v>
      </c>
      <c r="BT6" s="46">
        <v>0.0</v>
      </c>
      <c r="BU6" s="33" t="s">
        <v>29</v>
      </c>
      <c r="BW6" s="46">
        <v>0.0</v>
      </c>
      <c r="BX6" s="46">
        <v>0.0</v>
      </c>
      <c r="BY6" s="46">
        <v>0.0</v>
      </c>
      <c r="BZ6" s="46">
        <v>0.0</v>
      </c>
      <c r="CA6" s="46">
        <v>0.0</v>
      </c>
      <c r="CB6" s="46"/>
      <c r="CC6" s="46">
        <v>0.0</v>
      </c>
      <c r="CD6" s="51">
        <v>5000.0</v>
      </c>
      <c r="CE6" s="46">
        <v>0.0</v>
      </c>
      <c r="CF6" s="46">
        <v>0.0</v>
      </c>
      <c r="CG6" s="51">
        <v>5000.0</v>
      </c>
      <c r="CH6" s="46">
        <v>100.0</v>
      </c>
      <c r="CI6" s="46">
        <v>0.0</v>
      </c>
      <c r="CJ6" s="46">
        <v>0.0</v>
      </c>
      <c r="CK6" s="33" t="b">
        <v>0</v>
      </c>
      <c r="CL6" s="50"/>
      <c r="CM6" s="50"/>
      <c r="CN6" s="33" t="s">
        <v>18</v>
      </c>
      <c r="CO6" s="33" t="s">
        <v>18</v>
      </c>
      <c r="CP6" s="33" t="s">
        <v>63</v>
      </c>
      <c r="CY6" s="33" t="s">
        <v>50</v>
      </c>
      <c r="CZ6" s="33" t="s">
        <v>64</v>
      </c>
      <c r="DA6" s="46">
        <v>0.0</v>
      </c>
      <c r="DB6" s="46">
        <v>0.0</v>
      </c>
      <c r="DC6" s="46"/>
      <c r="DD6" s="46">
        <v>-500.0</v>
      </c>
      <c r="DE6" s="46">
        <v>0.0</v>
      </c>
      <c r="DF6" s="46">
        <v>0.0</v>
      </c>
      <c r="DG6" s="46">
        <v>0.0</v>
      </c>
      <c r="DH6" s="33" t="s">
        <v>60</v>
      </c>
      <c r="DI6" s="46">
        <v>0.0</v>
      </c>
      <c r="DJ6" s="33" t="s">
        <v>19</v>
      </c>
      <c r="DK6" s="46">
        <v>0.0</v>
      </c>
      <c r="DL6" s="46">
        <v>0.0</v>
      </c>
      <c r="DM6" s="46">
        <v>1.0</v>
      </c>
      <c r="DN6" s="46">
        <v>0.0</v>
      </c>
      <c r="DO6" s="50"/>
      <c r="DP6" s="33" t="s">
        <v>58</v>
      </c>
      <c r="DQ6" s="33" t="s">
        <v>65</v>
      </c>
      <c r="DR6" s="33" t="s">
        <v>66</v>
      </c>
      <c r="DS6" s="33" t="s">
        <v>65</v>
      </c>
      <c r="DT6" s="33" t="s">
        <v>65</v>
      </c>
      <c r="DU6" s="33" t="s">
        <v>67</v>
      </c>
      <c r="DV6" s="33" t="s">
        <v>65</v>
      </c>
      <c r="DW6" s="33" t="s">
        <v>65</v>
      </c>
      <c r="DX6" s="33" t="s">
        <v>65</v>
      </c>
      <c r="DY6" s="33" t="s">
        <v>65</v>
      </c>
      <c r="DZ6" s="33" t="s">
        <v>59</v>
      </c>
      <c r="EA6" s="33" t="s">
        <v>67</v>
      </c>
      <c r="EB6" s="33" t="s">
        <v>65</v>
      </c>
      <c r="EC6" s="33" t="s">
        <v>65</v>
      </c>
      <c r="ED6" s="33" t="s">
        <v>39</v>
      </c>
      <c r="EE6" s="33" t="s">
        <v>68</v>
      </c>
      <c r="EF6" s="46">
        <v>0.0</v>
      </c>
      <c r="EG6" s="46">
        <v>0.0</v>
      </c>
      <c r="EH6" s="46">
        <v>0.0</v>
      </c>
      <c r="EI6" s="46">
        <v>0.0</v>
      </c>
      <c r="EJ6" s="46">
        <v>0.0</v>
      </c>
      <c r="EK6" s="46">
        <v>0.0</v>
      </c>
      <c r="EL6" s="33" t="s">
        <v>69</v>
      </c>
      <c r="EM6" s="46">
        <v>0.0</v>
      </c>
      <c r="EN6" s="46">
        <v>0.0</v>
      </c>
      <c r="EO6" s="46"/>
      <c r="EP6" s="46"/>
      <c r="EQ6" s="46">
        <v>0.0</v>
      </c>
      <c r="ER6" s="46">
        <v>0.0</v>
      </c>
      <c r="ES6" s="51"/>
      <c r="ET6" s="46"/>
      <c r="EU6" s="46">
        <v>0.0</v>
      </c>
      <c r="EV6" s="33" t="s">
        <v>69</v>
      </c>
    </row>
    <row r="7" ht="15.75" customHeight="1">
      <c r="A7" s="8"/>
      <c r="B7" s="8"/>
      <c r="C7" s="33" t="s">
        <v>18</v>
      </c>
      <c r="D7" s="46">
        <v>400.0</v>
      </c>
      <c r="E7" s="33" t="s">
        <v>24</v>
      </c>
      <c r="F7" s="8"/>
      <c r="G7" s="13">
        <v>10.0</v>
      </c>
      <c r="H7" s="33" t="s">
        <v>58</v>
      </c>
      <c r="I7" s="13">
        <v>0.0</v>
      </c>
      <c r="J7" s="8"/>
      <c r="K7" s="13">
        <v>0.0</v>
      </c>
      <c r="L7" s="13">
        <v>0.0</v>
      </c>
      <c r="M7" s="13">
        <v>0.0</v>
      </c>
      <c r="N7" s="51">
        <v>-4000.0</v>
      </c>
      <c r="O7" s="33" t="s">
        <v>59</v>
      </c>
      <c r="P7" s="33" t="s">
        <v>60</v>
      </c>
      <c r="Q7" s="51">
        <v>-4000.0</v>
      </c>
      <c r="R7" s="33" t="s">
        <v>70</v>
      </c>
      <c r="S7" s="33" t="s">
        <v>51</v>
      </c>
      <c r="T7" s="33" t="s">
        <v>29</v>
      </c>
      <c r="U7" s="33" t="s">
        <v>38</v>
      </c>
      <c r="V7" s="33" t="s">
        <v>28</v>
      </c>
      <c r="W7" s="33" t="s">
        <v>39</v>
      </c>
      <c r="X7" s="46">
        <v>1.0</v>
      </c>
      <c r="Y7" s="9">
        <v>1.0</v>
      </c>
      <c r="AB7" s="46">
        <v>0.0</v>
      </c>
      <c r="AC7" s="46">
        <v>0.0</v>
      </c>
      <c r="AD7" s="46">
        <v>0.0</v>
      </c>
      <c r="AE7" s="46">
        <v>0.0</v>
      </c>
      <c r="AF7" s="46">
        <v>400.0</v>
      </c>
      <c r="AG7" s="46">
        <v>0.0</v>
      </c>
      <c r="AH7" s="46">
        <v>0.0</v>
      </c>
      <c r="AI7" s="46">
        <v>0.0</v>
      </c>
      <c r="AJ7" s="46">
        <v>0.0</v>
      </c>
      <c r="AK7" s="51">
        <v>-4000.0</v>
      </c>
      <c r="AL7" s="46">
        <v>1.0</v>
      </c>
      <c r="AM7" s="46">
        <v>1.0</v>
      </c>
      <c r="AN7" s="33" t="s">
        <v>23</v>
      </c>
      <c r="AP7" s="33" t="s">
        <v>58</v>
      </c>
      <c r="AQ7" s="33" t="s">
        <v>18</v>
      </c>
      <c r="AR7" s="46">
        <v>0.0</v>
      </c>
      <c r="AS7" s="46">
        <v>1.0</v>
      </c>
      <c r="AV7" s="46">
        <v>1.0</v>
      </c>
      <c r="AW7" s="51">
        <v>-4000.0</v>
      </c>
      <c r="AX7" s="46">
        <v>0.0</v>
      </c>
      <c r="AY7" s="46">
        <v>0.0</v>
      </c>
      <c r="AZ7" s="46">
        <v>0.0</v>
      </c>
      <c r="BA7" s="46">
        <v>-100.0</v>
      </c>
      <c r="BC7" s="46">
        <v>1.0</v>
      </c>
      <c r="BD7" s="51">
        <v>-4000.0</v>
      </c>
      <c r="BE7" s="33" t="s">
        <v>29</v>
      </c>
      <c r="BF7" s="33" t="s">
        <v>61</v>
      </c>
      <c r="BG7" s="33" t="s">
        <v>62</v>
      </c>
      <c r="BH7" s="33" t="s">
        <v>60</v>
      </c>
      <c r="BI7" s="46">
        <v>5.0</v>
      </c>
      <c r="BJ7" s="46">
        <v>0.0</v>
      </c>
      <c r="BK7" s="46">
        <v>0.0</v>
      </c>
      <c r="BL7" s="46">
        <v>0.0</v>
      </c>
      <c r="BM7" s="46">
        <v>0.0</v>
      </c>
      <c r="BO7" s="51">
        <v>-4000.0</v>
      </c>
      <c r="BP7" s="46">
        <v>0.0</v>
      </c>
      <c r="BQ7" s="33" t="s">
        <v>37</v>
      </c>
      <c r="BR7" s="33" t="s">
        <v>31</v>
      </c>
      <c r="BS7" s="46">
        <v>0.0</v>
      </c>
      <c r="BT7" s="46">
        <v>0.0</v>
      </c>
      <c r="BU7" s="33" t="s">
        <v>29</v>
      </c>
      <c r="BW7" s="46">
        <v>0.0</v>
      </c>
      <c r="BX7" s="46">
        <v>0.0</v>
      </c>
      <c r="BY7" s="46">
        <v>0.0</v>
      </c>
      <c r="BZ7" s="46">
        <v>0.0</v>
      </c>
      <c r="CA7" s="46">
        <v>0.0</v>
      </c>
      <c r="CB7" s="46"/>
      <c r="CC7" s="46">
        <v>0.0</v>
      </c>
      <c r="CD7" s="51">
        <v>-4000.0</v>
      </c>
      <c r="CE7" s="46">
        <v>0.0</v>
      </c>
      <c r="CF7" s="46">
        <v>0.0</v>
      </c>
      <c r="CG7" s="51">
        <v>-4000.0</v>
      </c>
      <c r="CH7" s="46">
        <v>-100.0</v>
      </c>
      <c r="CI7" s="46">
        <v>0.0</v>
      </c>
      <c r="CJ7" s="46">
        <v>0.0</v>
      </c>
      <c r="CK7" s="33" t="b">
        <v>0</v>
      </c>
      <c r="CL7" s="50"/>
      <c r="CM7" s="50"/>
      <c r="CN7" s="33" t="s">
        <v>18</v>
      </c>
      <c r="CO7" s="33" t="s">
        <v>18</v>
      </c>
      <c r="CP7" s="33" t="s">
        <v>63</v>
      </c>
      <c r="CY7" s="33" t="s">
        <v>50</v>
      </c>
      <c r="CZ7" s="33" t="s">
        <v>64</v>
      </c>
      <c r="DA7" s="46">
        <v>0.0</v>
      </c>
      <c r="DB7" s="46">
        <v>0.0</v>
      </c>
      <c r="DC7" s="46"/>
      <c r="DD7" s="46">
        <v>400.0</v>
      </c>
      <c r="DE7" s="46">
        <v>0.0</v>
      </c>
      <c r="DF7" s="46">
        <v>0.0</v>
      </c>
      <c r="DG7" s="46">
        <v>0.0</v>
      </c>
      <c r="DH7" s="33" t="s">
        <v>60</v>
      </c>
      <c r="DI7" s="46">
        <v>0.0</v>
      </c>
      <c r="DJ7" s="33" t="s">
        <v>23</v>
      </c>
      <c r="DK7" s="46">
        <v>0.0</v>
      </c>
      <c r="DL7" s="46">
        <v>0.0</v>
      </c>
      <c r="DM7" s="46">
        <v>1.0</v>
      </c>
      <c r="DN7" s="46">
        <v>0.0</v>
      </c>
      <c r="DO7" s="50"/>
      <c r="DP7" s="33" t="s">
        <v>58</v>
      </c>
      <c r="DQ7" s="33" t="s">
        <v>65</v>
      </c>
      <c r="DR7" s="33" t="s">
        <v>66</v>
      </c>
      <c r="DS7" s="33" t="s">
        <v>65</v>
      </c>
      <c r="DT7" s="33" t="s">
        <v>65</v>
      </c>
      <c r="DU7" s="33" t="s">
        <v>67</v>
      </c>
      <c r="DV7" s="33" t="s">
        <v>65</v>
      </c>
      <c r="DW7" s="33" t="s">
        <v>65</v>
      </c>
      <c r="DX7" s="33" t="s">
        <v>65</v>
      </c>
      <c r="DY7" s="33" t="s">
        <v>65</v>
      </c>
      <c r="DZ7" s="33" t="s">
        <v>59</v>
      </c>
      <c r="EA7" s="33" t="s">
        <v>67</v>
      </c>
      <c r="EB7" s="33" t="s">
        <v>65</v>
      </c>
      <c r="EC7" s="33" t="s">
        <v>65</v>
      </c>
      <c r="ED7" s="33" t="s">
        <v>39</v>
      </c>
      <c r="EE7" s="33" t="s">
        <v>68</v>
      </c>
      <c r="EF7" s="46">
        <v>0.0</v>
      </c>
      <c r="EG7" s="46">
        <v>0.0</v>
      </c>
      <c r="EH7" s="46">
        <v>0.0</v>
      </c>
      <c r="EI7" s="46">
        <v>0.0</v>
      </c>
      <c r="EJ7" s="46">
        <v>0.0</v>
      </c>
      <c r="EK7" s="46">
        <v>0.0</v>
      </c>
      <c r="EL7" s="33" t="s">
        <v>69</v>
      </c>
      <c r="EM7" s="46">
        <v>0.0</v>
      </c>
      <c r="EN7" s="46">
        <v>0.0</v>
      </c>
      <c r="EO7" s="46"/>
      <c r="EP7" s="46"/>
      <c r="EQ7" s="46">
        <v>0.0</v>
      </c>
      <c r="ER7" s="46">
        <v>0.0</v>
      </c>
      <c r="ES7" s="51"/>
      <c r="ET7" s="46"/>
      <c r="EU7" s="46">
        <v>0.0</v>
      </c>
      <c r="EV7" s="33" t="s">
        <v>69</v>
      </c>
    </row>
    <row r="8" ht="15.75" customHeight="1">
      <c r="A8" s="8"/>
      <c r="B8" s="8"/>
      <c r="C8" s="50"/>
      <c r="D8" s="50"/>
      <c r="E8" s="50"/>
      <c r="F8" s="8"/>
      <c r="G8" s="8"/>
      <c r="H8" s="8"/>
      <c r="I8" s="8"/>
      <c r="J8" s="8"/>
      <c r="K8" s="8"/>
      <c r="L8" s="8"/>
      <c r="M8" s="8"/>
      <c r="N8" s="8"/>
      <c r="O8" s="8"/>
      <c r="EU8" s="50"/>
      <c r="EV8" s="50"/>
    </row>
    <row r="9" ht="15.75" customHeight="1">
      <c r="A9" s="8"/>
      <c r="B9" s="8"/>
      <c r="C9" s="50"/>
      <c r="D9" s="50"/>
      <c r="E9" s="50"/>
      <c r="F9" s="8"/>
      <c r="G9" s="8"/>
      <c r="H9" s="8"/>
      <c r="I9" s="8"/>
      <c r="J9" s="8"/>
      <c r="K9" s="8"/>
      <c r="L9" s="8"/>
      <c r="M9" s="8"/>
      <c r="N9" s="8"/>
      <c r="O9" s="8"/>
      <c r="EU9" s="50"/>
      <c r="EV9" s="5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EU10" s="50"/>
      <c r="EV10" s="50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