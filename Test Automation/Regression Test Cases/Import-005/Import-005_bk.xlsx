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ServerConfig" sheetId="4" r:id="rId6"/>
    <sheet state="visible" name="Import" sheetId="5" r:id="rId7"/>
    <sheet state="visible" name="SelectAllOnImport" sheetId="6" r:id="rId8"/>
    <sheet state="visible" name="GetDataAllocation" sheetId="7" r:id="rId9"/>
    <sheet state="visible" name="CheckAllocatedGroups" sheetId="8" r:id="rId10"/>
    <sheet state="visible" name="Unallocate" sheetId="9" r:id="rId11"/>
    <sheet state="visible" name="SelectUnallocatedGroup" sheetId="10" r:id="rId12"/>
    <sheet state="visible" name="EnterAccountValuesToAllocate" sheetId="11" r:id="rId13"/>
    <sheet state="visible" name="CheckAllocatedGroups1" sheetId="12" r:id="rId14"/>
    <sheet state="visible" name="UpdateServerConfig1" sheetId="13" r:id="rId15"/>
  </sheets>
  <definedNames/>
  <calcPr/>
</workbook>
</file>

<file path=xl/sharedStrings.xml><?xml version="1.0" encoding="utf-8"?>
<sst xmlns="http://schemas.openxmlformats.org/spreadsheetml/2006/main" count="106" uniqueCount="35">
  <si>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</si>
  <si>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</si>
  <si>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</si>
  <si>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</si>
  <si>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</si>
  <si>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</si>
  <si>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</si>
  <si>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</si>
  <si>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</si>
  <si>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</si>
  <si>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</si>
  <si>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</si>
  <si>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</si>
  <si>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</si>
  <si>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</si>
  <si>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</si>
  <si>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CreateCacheInAllocation</t>
  </si>
  <si>
    <t>UseCacheInAllocation</t>
  </si>
  <si>
    <t>Import</t>
  </si>
  <si>
    <t>E:\DistributedAutomation\TestAutomationV2.4\Release\Import Cases\Trade_Import.csv</t>
  </si>
  <si>
    <t>Cameron</t>
  </si>
  <si>
    <t>Transaction</t>
  </si>
  <si>
    <t>SelectAllOnImport</t>
  </si>
  <si>
    <t>Allocation</t>
  </si>
  <si>
    <t>GetDataAllocation</t>
  </si>
  <si>
    <t>Historical</t>
  </si>
  <si>
    <t>CheckAllocatedGroups</t>
  </si>
  <si>
    <t>Allocation1</t>
  </si>
  <si>
    <t>FixedIncome</t>
  </si>
  <si>
    <t>M</t>
  </si>
  <si>
    <t>Buy</t>
  </si>
  <si>
    <t>EF828225</t>
  </si>
  <si>
    <t>Unallocate</t>
  </si>
  <si>
    <t>SelectUnallocatedGroup</t>
  </si>
  <si>
    <t>EnterAccountValuesToAllocate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</si>
</sst>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center" readingOrder="0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0" fillId="0" fontId="5" numFmtId="164" xfId="0" applyAlignment="1" applyFont="1" applyNumberFormat="1">
      <alignment readingOrder="0" shrinkToFit="0" wrapText="0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5" fillId="0" fontId="1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1" t="b">
        <v>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4" t="b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UpdateServerConfig!$4:$4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IFERROR(__xludf.DUMMYFUNCTION("""COMPUTED_VALUE"""),"SelectAllOnImport")</f>
        <v>SelectAllOnImport</v>
      </c>
      <c r="D4" s="24" t="str">
        <f>IFERROR(__xludf.DUMMYFUNCTION("""COMPUTED_VALUE"""),"SelectTransactionImportType")</f>
        <v>SelectTransactionImportType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IFERROR(__xludf.DUMMYFUNCTION("""COMPUTED_VALUE"""),"Select Date")</f>
        <v>Select Date</v>
      </c>
      <c r="D5" s="27" t="str">
        <f>IFERROR(__xludf.DUMMYFUNCTION("""COMPUTED_VALUE"""),"Date")</f>
        <v>Date</v>
      </c>
      <c r="E5" s="27" t="str">
        <f>IFERROR(__xludf.DUMMYFUNCTION("""COMPUTED_VALUE"""),"Select File")</f>
        <v>Select File</v>
      </c>
      <c r="F5" s="28" t="str">
        <f>IFERROR(__xludf.DUMMYFUNCTION("""COMPUTED_VALUE"""),"Upload ThirdParty")</f>
        <v>Upload ThirdParty</v>
      </c>
      <c r="G5" s="27" t="str">
        <f>IFERROR(__xludf.DUMMYFUNCTION("""COMPUTED_VALUE"""),"Import Type")</f>
        <v>Import Type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/>
      <c r="C6" s="31" t="b">
        <v>0</v>
      </c>
      <c r="D6" s="36"/>
      <c r="E6" s="37" t="s">
        <v>19</v>
      </c>
      <c r="F6" s="33" t="s">
        <v>20</v>
      </c>
      <c r="G6" s="33" t="s">
        <v>21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Import!$4:$4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IFERROR(__xludf.DUMMYFUNCTION("IF(C3="""","""",Transpose(IMPORTRANGE('_Settings'!$B$3,C3&amp;""!A4:A1000"")))"),"Import")</f>
        <v>Import</v>
      </c>
      <c r="C4" s="24" t="str">
        <f>IFERROR(__xludf.DUMMYFUNCTION("""COMPUTED_VALUE"""),"SelectAllOnImport")</f>
        <v>SelectAllOnImport</v>
      </c>
      <c r="D4" s="24" t="str">
        <f>IFERROR(__xludf.DUMMYFUNCTION("""COMPUTED_VALUE"""),"SelectTransactionImportType")</f>
        <v>SelectTransactionImportType</v>
      </c>
      <c r="E4" s="24" t="str">
        <f>IFERROR(__xludf.DUMMYFUNCTION("""COMPUTED_VALUE"""),"SelectMarkPriceImportType")</f>
        <v>SelectMarkPriceImportType</v>
      </c>
      <c r="F4" s="24" t="str">
        <f>IFERROR(__xludf.DUMMYFUNCTION("""COMPUTED_VALUE"""),"SelectForexImportType")</f>
        <v>SelectForexImportType</v>
      </c>
      <c r="G4" s="24" t="str">
        <f>IFERROR(__xludf.DUMMYFUNCTION("""COMPUTED_VALUE"""),"SelectDoubleEntryCashImportType")</f>
        <v>SelectDoubleEntryCashImportType</v>
      </c>
      <c r="H4" s="24" t="str">
        <f>IFERROR(__xludf.DUMMYFUNCTION("""COMPUTED_VALUE"""),"SelectActivitiesImportType")</f>
        <v>SelectActivitiesImportType</v>
      </c>
      <c r="I4" s="24" t="str">
        <f>IFERROR(__xludf.DUMMYFUNCTION("""COMPUTED_VALUE"""),"ApplyFilterOnImport")</f>
        <v>ApplyFilterOnImport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 Type")</f>
        <v>Import Type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3" t="s">
        <v>21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SelectAllOnImport!$4:$4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25</v>
      </c>
      <c r="C6" s="38">
        <v>44089.0</v>
      </c>
      <c r="D6" s="38">
        <v>44090.0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 t="s">
        <v>27</v>
      </c>
      <c r="C6" s="40"/>
      <c r="D6" s="41">
        <v>0.0</v>
      </c>
      <c r="E6" s="42">
        <v>1500.0</v>
      </c>
      <c r="F6" s="40"/>
      <c r="G6" s="33" t="s">
        <v>28</v>
      </c>
      <c r="H6" s="40"/>
      <c r="I6" s="40"/>
      <c r="J6" s="40"/>
      <c r="K6" s="42">
        <v>44.1</v>
      </c>
      <c r="L6" s="42">
        <v>35.0</v>
      </c>
      <c r="M6" s="40"/>
      <c r="N6" s="40"/>
      <c r="O6" s="40"/>
      <c r="P6" s="40"/>
      <c r="Q6" s="40"/>
      <c r="R6" s="40"/>
      <c r="S6" s="40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4">
        <v>1500.0</v>
      </c>
      <c r="AF6" s="43"/>
      <c r="AG6" s="43"/>
      <c r="AH6" s="43" t="s">
        <v>29</v>
      </c>
      <c r="AI6" s="44">
        <v>1.26</v>
      </c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4">
        <v>68188.05</v>
      </c>
      <c r="AU6" s="44">
        <v>54117.5</v>
      </c>
      <c r="AV6" s="43"/>
      <c r="AW6" s="43"/>
      <c r="AX6" s="43"/>
      <c r="AY6" s="43"/>
      <c r="AZ6" s="43"/>
      <c r="BA6" s="43"/>
      <c r="BB6" s="43"/>
      <c r="BC6" s="43"/>
      <c r="BD6" s="43"/>
      <c r="BE6" s="44">
        <v>68134.5</v>
      </c>
      <c r="BF6" s="44">
        <v>54075.0</v>
      </c>
      <c r="BG6" s="43"/>
      <c r="BH6" s="43"/>
      <c r="BI6" s="43"/>
      <c r="BJ6" s="44">
        <v>1500.0</v>
      </c>
      <c r="BK6" s="43"/>
      <c r="BL6" s="43"/>
      <c r="BM6" s="43"/>
      <c r="BN6" s="43"/>
      <c r="BO6" s="43" t="s">
        <v>30</v>
      </c>
      <c r="BP6" s="43"/>
      <c r="BQ6" s="43"/>
      <c r="BR6" s="43"/>
      <c r="BS6" s="43"/>
      <c r="BT6" s="45" t="s">
        <v>31</v>
      </c>
      <c r="BU6" s="43"/>
      <c r="BV6" s="43"/>
      <c r="BW6" s="43"/>
      <c r="BX6" s="43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43"/>
      <c r="DB6" s="43"/>
      <c r="DC6" s="43"/>
      <c r="DD6" s="43"/>
      <c r="DE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 Base)")</f>
        <v>Avg Price( 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31</v>
      </c>
      <c r="C6" s="42">
        <v>1500.0</v>
      </c>
      <c r="D6" s="36"/>
      <c r="E6" s="40" t="s">
        <v>27</v>
      </c>
      <c r="F6" s="40" t="s">
        <v>30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Unallocate!$4:$4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1-RJhOo2E5PhyqaiMEjsPi8RpfYBuiSqE9fj_-bRpkKw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6" t="s">
        <v>31</v>
      </c>
      <c r="C6" s="33" t="s">
        <v>30</v>
      </c>
      <c r="D6" s="41">
        <v>1500.0</v>
      </c>
      <c r="E6" s="42">
        <v>1500.0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1mOtszotVOdqHquQTLi-4CBnAUrtAF2MEABuvYJh_hzw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IFERROR(__xludf.DUMMYFUNCTION("""COMPUTED_VALUE"""),"Account Percentage")</f>
        <v>Account Percentage</v>
      </c>
      <c r="D5" s="27" t="str">
        <f>IFERROR(__xludf.DUMMYFUNCTION("""COMPUTED_VALUE"""),"Account Quantity")</f>
        <v>Account Quantity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27</v>
      </c>
      <c r="C6" s="11">
        <v>100.0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9" t="s">
        <v>27</v>
      </c>
      <c r="C6" s="40"/>
      <c r="D6" s="41">
        <v>143.918</v>
      </c>
      <c r="E6" s="42">
        <v>1500.0</v>
      </c>
      <c r="F6" s="40"/>
      <c r="G6" s="33" t="s">
        <v>28</v>
      </c>
      <c r="H6" s="40"/>
      <c r="I6" s="40"/>
      <c r="J6" s="40"/>
      <c r="K6" s="42">
        <v>44.1</v>
      </c>
      <c r="L6" s="42">
        <v>35.0</v>
      </c>
      <c r="M6" s="40"/>
      <c r="N6" s="40"/>
      <c r="O6" s="40"/>
      <c r="P6" s="40"/>
      <c r="Q6" s="40"/>
      <c r="R6" s="40"/>
      <c r="S6" s="40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4">
        <v>1500.0</v>
      </c>
      <c r="AF6" s="43"/>
      <c r="AG6" s="43"/>
      <c r="AH6" s="43" t="s">
        <v>29</v>
      </c>
      <c r="AI6" s="44">
        <v>1.26</v>
      </c>
      <c r="AJ6" s="43"/>
      <c r="AK6" s="43"/>
      <c r="AL6" s="43"/>
      <c r="AM6" s="43"/>
      <c r="AN6" s="43"/>
      <c r="AO6" s="43"/>
      <c r="AP6" s="43"/>
      <c r="AQ6" s="43"/>
      <c r="AR6" s="43"/>
      <c r="AS6" s="43"/>
      <c r="AT6" s="44">
        <v>68369.386</v>
      </c>
      <c r="AU6" s="44">
        <v>54261.418</v>
      </c>
      <c r="AV6" s="43"/>
      <c r="AW6" s="43"/>
      <c r="AX6" s="43"/>
      <c r="AY6" s="43"/>
      <c r="AZ6" s="43"/>
      <c r="BA6" s="43"/>
      <c r="BB6" s="43"/>
      <c r="BC6" s="43"/>
      <c r="BD6" s="43"/>
      <c r="BE6" s="44">
        <v>68134.5</v>
      </c>
      <c r="BF6" s="44">
        <v>54075.0</v>
      </c>
      <c r="BG6" s="43"/>
      <c r="BH6" s="43"/>
      <c r="BI6" s="43"/>
      <c r="BJ6" s="44">
        <v>1500.0</v>
      </c>
      <c r="BK6" s="43"/>
      <c r="BL6" s="43"/>
      <c r="BM6" s="43"/>
      <c r="BN6" s="43"/>
      <c r="BO6" s="43" t="s">
        <v>30</v>
      </c>
      <c r="BP6" s="43"/>
      <c r="BQ6" s="43"/>
      <c r="BR6" s="43"/>
      <c r="BS6" s="43"/>
      <c r="BT6" s="45" t="s">
        <v>31</v>
      </c>
      <c r="BU6" s="43"/>
      <c r="BV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IFERROR(__xludf.DUMMYFUNCTION("IF(C3="""","""",Transpose(IMPORTRANGE('_Settings'!$B$3,C3&amp;""!A4:A1000"")))"),"RestartServer")</f>
        <v>RestartServer</v>
      </c>
      <c r="C4" s="24" t="str">
        <f>IFERROR(__xludf.DUMMYFUNCTION("""COMPUTED_VALUE"""),"UpdateServerConfig")</f>
        <v>UpdateServerConfig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IFERROR(__xludf.DUMMYFUNCTION("""COMPUTED_VALUE"""),"AppSetting_Key")</f>
        <v>AppSetting_Key</v>
      </c>
      <c r="C5" s="27" t="str">
        <f>IFERROR(__xludf.DUMMYFUNCTION("""COMPUTED_VALUE"""),"AppSetting_Value")</f>
        <v>AppSetting_Value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s">
        <v>16</v>
      </c>
      <c r="C6" s="34" t="b">
        <v>1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s">
        <v>17</v>
      </c>
      <c r="C7" s="34" t="b">
        <v>1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UpdateServerConfig1!$4:$4</formula1>
    </dataValidation>
  </dataValidations>
  <drawing r:id="rId1"/>
</worksheet>
</file>