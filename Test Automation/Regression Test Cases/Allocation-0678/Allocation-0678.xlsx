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SetGeneralRuleCalculatedPref" sheetId="7" r:id="rId9"/>
    <sheet state="visible" name="UpdateGRAccountValue" sheetId="8" r:id="rId10"/>
    <sheet state="visible" name="UpdateGRDefaultRule" sheetId="9" r:id="rId11"/>
    <sheet state="visible" name="CreateDoneAwayOrder" sheetId="10" r:id="rId12"/>
    <sheet state="visible" name="SelectUnallocatedGroup" sheetId="11" r:id="rId13"/>
    <sheet state="visible" name="EnterAllocatePreference" sheetId="12" r:id="rId14"/>
    <sheet state="visible" name="CheckAllocatedGroups" sheetId="13" r:id="rId15"/>
  </sheets>
  <definedNames/>
  <calcPr/>
</workbook>
</file>

<file path=xl/sharedStrings.xml><?xml version="1.0" encoding="utf-8"?>
<sst xmlns="http://schemas.openxmlformats.org/spreadsheetml/2006/main" count="122" uniqueCount="43">
  <si>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</si>
  <si>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</si>
  <si>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</si>
  <si>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</si>
  <si>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</si>
  <si>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</si>
  <si>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</si>
  <si>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</si>
  <si>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</si>
  <si>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</si>
  <si>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</si>
  <si>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</si>
  <si>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</si>
  <si>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</si>
  <si>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</si>
  <si>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</si>
  <si>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Test2</t>
  </si>
  <si>
    <t>SetAccountValueCalculatedPref</t>
  </si>
  <si>
    <t>Allocation1</t>
  </si>
  <si>
    <t>SetDefaultRuleCalculatedPref</t>
  </si>
  <si>
    <t>Trade Quantity</t>
  </si>
  <si>
    <t>Current Preference</t>
  </si>
  <si>
    <t>SetGeneralRuleCalculatedPref</t>
  </si>
  <si>
    <t>Include</t>
  </si>
  <si>
    <t>Buy,Buy to Open</t>
  </si>
  <si>
    <t>UpdateGRAccountValue</t>
  </si>
  <si>
    <t>Allocation2</t>
  </si>
  <si>
    <t>Allocation3</t>
  </si>
  <si>
    <t>Allocation4</t>
  </si>
  <si>
    <t>UpdateGRDefaultRule</t>
  </si>
  <si>
    <t>TradingTicket</t>
  </si>
  <si>
    <t>CreateDoneAwayOrder</t>
  </si>
  <si>
    <t>FB</t>
  </si>
  <si>
    <t>Buy</t>
  </si>
  <si>
    <t>Unallocated</t>
  </si>
  <si>
    <t>O:GOOG 13A700.00</t>
  </si>
  <si>
    <t>Buy to Open</t>
  </si>
  <si>
    <t>O:AAPL 13N715.00</t>
  </si>
  <si>
    <t>Buy to Close</t>
  </si>
  <si>
    <t>SelectUnallocatedGroup</t>
  </si>
  <si>
    <t>EnterAllocatePreference</t>
  </si>
  <si>
    <t>Calculated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</si>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</sst>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16</v>
      </c>
      <c r="C6" s="34" t="s">
        <v>18</v>
      </c>
      <c r="D6" s="35">
        <v>100.0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20</v>
      </c>
      <c r="C6" s="36"/>
      <c r="D6" s="32" t="s">
        <v>21</v>
      </c>
      <c r="E6" s="36"/>
      <c r="F6" s="36"/>
      <c r="G6" s="38" t="b">
        <v>0</v>
      </c>
      <c r="H6" s="3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IFERROR(__xludf.DUMMYFUNCTION("""COMPUTED_VALUE"""),"Exchange Selector")</f>
        <v>Exchange Selector</v>
      </c>
      <c r="C5" s="28" t="str">
        <f>IFERROR(__xludf.DUMMYFUNCTION("""COMPUTED_VALUE"""),"Exchange List")</f>
        <v>Exchange List</v>
      </c>
      <c r="D5" s="28" t="str">
        <f>IFERROR(__xludf.DUMMYFUNCTION("""COMPUTED_VALUE"""),"Asset Selector")</f>
        <v>Asset Selector</v>
      </c>
      <c r="E5" s="28" t="str">
        <f>IFERROR(__xludf.DUMMYFUNCTION("""COMPUTED_VALUE"""),"Asset List")</f>
        <v>Asset List</v>
      </c>
      <c r="F5" s="29" t="str">
        <f>IFERROR(__xludf.DUMMYFUNCTION("""COMPUTED_VALUE"""),"PR Selector")</f>
        <v>PR Selector</v>
      </c>
      <c r="G5" s="28" t="str">
        <f>IFERROR(__xludf.DUMMYFUNCTION("""COMPUTED_VALUE"""),"PR List")</f>
        <v>PR List</v>
      </c>
      <c r="H5" s="28" t="str">
        <f>IFERROR(__xludf.DUMMYFUNCTION("""COMPUTED_VALUE"""),"Order Side Selector")</f>
        <v>Order Side Selector</v>
      </c>
      <c r="I5" s="28" t="str">
        <f>IFERROR(__xludf.DUMMYFUNCTION("""COMPUTED_VALUE"""),"Order Side List")</f>
        <v>Order Side List</v>
      </c>
      <c r="J5" s="28" t="str">
        <f>IFERROR(__xludf.DUMMYFUNCTION("""COMPUTED_VALUE"""),"PreferenceName")</f>
        <v>PreferenceName</v>
      </c>
      <c r="K5" s="28" t="str">
        <f>IFERROR(__xludf.DUMMYFUNCTION("""COMPUTED_VALUE"""),"Update Preference")</f>
        <v>Update Preference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6"/>
      <c r="D6" s="32"/>
      <c r="E6" s="36"/>
      <c r="F6" s="36"/>
      <c r="G6" s="36"/>
      <c r="H6" s="34" t="s">
        <v>23</v>
      </c>
      <c r="I6" s="33" t="s">
        <v>24</v>
      </c>
      <c r="J6" s="33" t="s">
        <v>16</v>
      </c>
      <c r="K6" s="38" t="b">
        <v>1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SetGeneralRuleCalculatedPref!$4:$4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25.0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26</v>
      </c>
      <c r="D7" s="13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27</v>
      </c>
      <c r="D8" s="13">
        <v>25.0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16</v>
      </c>
      <c r="C9" s="13" t="s">
        <v>28</v>
      </c>
      <c r="D9" s="13">
        <v>25.0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20</v>
      </c>
      <c r="C6" s="36"/>
      <c r="D6" s="32" t="s">
        <v>21</v>
      </c>
      <c r="E6" s="36"/>
      <c r="F6" s="36"/>
      <c r="G6" s="38" t="b">
        <v>0</v>
      </c>
      <c r="H6" s="3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UpdateGRDefaultRule!$4:$4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33</v>
      </c>
      <c r="D6" s="13">
        <v>100.0</v>
      </c>
      <c r="E6" s="31"/>
      <c r="F6" s="13" t="s">
        <v>34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34" t="s">
        <v>35</v>
      </c>
      <c r="C7" s="33" t="s">
        <v>36</v>
      </c>
      <c r="D7" s="39">
        <v>100.0</v>
      </c>
      <c r="E7" s="36"/>
      <c r="F7" s="34" t="s">
        <v>34</v>
      </c>
      <c r="G7" s="36"/>
      <c r="H7" s="36"/>
      <c r="I7" s="36"/>
      <c r="J7" s="39">
        <v>2.0</v>
      </c>
      <c r="K7" s="8"/>
      <c r="L7" s="8"/>
      <c r="M7" s="8"/>
      <c r="N7" s="8"/>
      <c r="O7" s="8"/>
    </row>
    <row r="8" ht="15.75" customHeight="1">
      <c r="A8" s="8"/>
      <c r="B8" s="40" t="s">
        <v>37</v>
      </c>
      <c r="C8" s="40" t="s">
        <v>38</v>
      </c>
      <c r="D8" s="40">
        <v>100.0</v>
      </c>
      <c r="E8" s="36"/>
      <c r="F8" s="40" t="s">
        <v>16</v>
      </c>
      <c r="G8" s="36"/>
      <c r="H8" s="36"/>
      <c r="I8" s="36"/>
      <c r="J8" s="40">
        <v>2.0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33</v>
      </c>
      <c r="D6" s="13">
        <v>100.0</v>
      </c>
      <c r="E6" s="13">
        <v>100.0</v>
      </c>
      <c r="F6" s="13"/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34" t="s">
        <v>35</v>
      </c>
      <c r="C7" s="33" t="s">
        <v>36</v>
      </c>
      <c r="D7" s="39">
        <v>100.0</v>
      </c>
      <c r="E7" s="39">
        <v>100.0</v>
      </c>
      <c r="F7" s="34"/>
      <c r="G7" s="36"/>
      <c r="H7" s="36"/>
      <c r="I7" s="36"/>
      <c r="J7" s="39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41</v>
      </c>
      <c r="C6" s="3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7"/>
      <c r="C6" s="36"/>
      <c r="D6" s="32"/>
      <c r="E6" s="39">
        <v>100.0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9">
        <v>100.0</v>
      </c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9">
        <v>100.0</v>
      </c>
      <c r="BK6" s="36"/>
      <c r="BL6" s="36"/>
      <c r="BM6" s="36"/>
      <c r="BN6" s="36"/>
      <c r="BO6" s="36" t="s">
        <v>33</v>
      </c>
      <c r="BP6" s="36"/>
      <c r="BQ6" s="36"/>
      <c r="BR6" s="36"/>
      <c r="BS6" s="36"/>
      <c r="BT6" s="40" t="s">
        <v>32</v>
      </c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4"/>
      <c r="C7" s="36"/>
      <c r="D7" s="36"/>
      <c r="E7" s="39">
        <v>100.0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9">
        <v>100.0</v>
      </c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9">
        <v>100.0</v>
      </c>
      <c r="BK7" s="36"/>
      <c r="BL7" s="36"/>
      <c r="BM7" s="36"/>
      <c r="BN7" s="36"/>
      <c r="BO7" s="40" t="s">
        <v>36</v>
      </c>
      <c r="BP7" s="36"/>
      <c r="BQ7" s="36"/>
      <c r="BR7" s="36"/>
      <c r="BS7" s="36"/>
      <c r="BT7" s="34" t="s">
        <v>35</v>
      </c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4"/>
      <c r="C8" s="36"/>
      <c r="D8" s="36"/>
      <c r="E8" s="41">
        <v>100.0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41">
        <v>100.0</v>
      </c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41">
        <v>100.0</v>
      </c>
      <c r="BK8" s="36"/>
      <c r="BL8" s="36"/>
      <c r="BM8" s="36"/>
      <c r="BN8" s="40"/>
      <c r="BO8" s="40" t="s">
        <v>38</v>
      </c>
      <c r="BP8" s="36"/>
      <c r="BQ8" s="36"/>
      <c r="BR8" s="36"/>
      <c r="BS8" s="36"/>
      <c r="BT8" s="40" t="s">
        <v>37</v>
      </c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