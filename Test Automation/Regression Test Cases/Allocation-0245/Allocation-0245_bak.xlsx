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UpdateServerConfig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CreateLiv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GetDataAllocation" sheetId="17" r:id="rId19"/>
    <sheet state="visible" name="CheckAllocatedGroups" sheetId="18" r:id="rId20"/>
    <sheet state="visible" name="UpdateServerConfig1" sheetId="19" r:id="rId21"/>
  </sheets>
  <definedNames/>
  <calcPr/>
</workbook>
</file>

<file path=xl/sharedStrings.xml><?xml version="1.0" encoding="utf-8"?>
<sst xmlns="http://schemas.openxmlformats.org/spreadsheetml/2006/main" count="246" uniqueCount="55">
  <si>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</si>
  <si>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</si>
  <si>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</si>
  <si>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</si>
  <si>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</si>
  <si>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</si>
  <si>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</si>
  <si>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</si>
  <si>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</si>
  <si>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</si>
  <si>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</si>
  <si>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</si>
  <si>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</si>
  <si>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</si>
  <si>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</si>
  <si>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</si>
  <si>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</si>
  <si>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Allocation2</t>
  </si>
  <si>
    <t>Allocation3</t>
  </si>
  <si>
    <t>Allocation1</t>
  </si>
  <si>
    <t>TradeServer</t>
  </si>
  <si>
    <t>UpdateServerConfig</t>
  </si>
  <si>
    <t>MatchClosingTransactionAtPortfolioOnly</t>
  </si>
  <si>
    <t>AddCalculatedPreferences</t>
  </si>
  <si>
    <t>Pref5-02-10-22</t>
  </si>
  <si>
    <t>SetAccountValueCalculatedPref</t>
  </si>
  <si>
    <t>SetDefaultRuleCalculatedPref</t>
  </si>
  <si>
    <t>Trade Quantity</t>
  </si>
  <si>
    <t>Account Inception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</si>
  <si>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</si>
  <si>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</si>
  <si>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</si>
  <si>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</si>
  <si>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</si>
  <si>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</si>
  <si>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</si>
  <si>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</si>
  <si>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GetDataAllocation</t>
  </si>
  <si>
    <t>Historical</t>
  </si>
  <si>
    <t>1/1/1800</t>
  </si>
  <si>
    <t>CheckAllocatedGroups</t>
  </si>
  <si>
    <t>Multiple</t>
  </si>
  <si>
    <t/>
  </si>
  <si>
    <t>Equity</t>
  </si>
  <si>
    <t>AAPL US EQUITY</t>
  </si>
  <si>
    <t>MS</t>
  </si>
  <si>
    <t>Open</t>
  </si>
  <si>
    <t>USD</t>
  </si>
  <si>
    <t>NASDAQ</t>
  </si>
  <si>
    <t>M</t>
  </si>
  <si>
    <t>Market</t>
  </si>
  <si>
    <t>Strategy Unallocated</t>
  </si>
  <si>
    <t>GCCAP1</t>
  </si>
  <si>
    <t>None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</si>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</sst>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IFERROR(__xludf.DUMMYFUNCTION("""COMPUTED_VALUE"""),"AutoGroup")</f>
        <v>AutoGroup</v>
      </c>
      <c r="C5" s="29" t="str">
        <f>IFERROR(__xludf.DUMMYFUNCTION("""COMPUTED_VALUE"""),"TradeAttribute1")</f>
        <v>TradeAttribute1</v>
      </c>
      <c r="D5" s="29" t="str">
        <f>IFERROR(__xludf.DUMMYFUNCTION("""COMPUTED_VALUE"""),"TradeAttribute2")</f>
        <v>TradeAttribute2</v>
      </c>
      <c r="E5" s="29" t="str">
        <f>IFERROR(__xludf.DUMMYFUNCTION("""COMPUTED_VALUE"""),"TradeAttribute3")</f>
        <v>TradeAttribute3</v>
      </c>
      <c r="F5" s="30" t="str">
        <f>IFERROR(__xludf.DUMMYFUNCTION("""COMPUTED_VALUE"""),"TradeAttribute4")</f>
        <v>TradeAttribute4</v>
      </c>
      <c r="G5" s="29" t="str">
        <f>IFERROR(__xludf.DUMMYFUNCTION("""COMPUTED_VALUE"""),"TradeAttribute5")</f>
        <v>TradeAttribute5</v>
      </c>
      <c r="H5" s="29" t="str">
        <f>IFERROR(__xludf.DUMMYFUNCTION("""COMPUTED_VALUE"""),"TradeAttribute6")</f>
        <v>TradeAttribute6</v>
      </c>
      <c r="I5" s="29" t="str">
        <f>IFERROR(__xludf.DUMMYFUNCTION("""COMPUTED_VALUE"""),"Broker")</f>
        <v>Broker</v>
      </c>
      <c r="J5" s="29" t="str">
        <f>IFERROR(__xludf.DUMMYFUNCTION("""COMPUTED_VALUE"""),"Venue")</f>
        <v>Venue</v>
      </c>
      <c r="K5" s="29" t="str">
        <f>IFERROR(__xludf.DUMMYFUNCTION("""COMPUTED_VALUE"""),"TradingAC")</f>
        <v>TradingAC</v>
      </c>
      <c r="L5" s="29" t="str">
        <f>IFERROR(__xludf.DUMMYFUNCTION("""COMPUTED_VALUE"""),"TradeDate")</f>
        <v>TradeDate</v>
      </c>
      <c r="M5" s="29" t="str">
        <f>IFERROR(__xludf.DUMMYFUNCTION("""COMPUTED_VALUE"""),"ProcessDate")</f>
        <v>ProcessDate</v>
      </c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 t="b">
        <v>1</v>
      </c>
      <c r="C6" s="34"/>
      <c r="D6" s="35"/>
      <c r="E6" s="34"/>
      <c r="F6" s="34"/>
      <c r="G6" s="34"/>
      <c r="H6" s="34"/>
      <c r="I6" s="34"/>
      <c r="J6" s="34"/>
      <c r="K6" s="36" t="b">
        <v>1</v>
      </c>
      <c r="L6" s="36" t="b">
        <v>1</v>
      </c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IFERROR(__xludf.DUMMYFUNCTION("""COMPUTED_VALUE"""),"FundName")</f>
        <v>FundName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8" t="s">
        <v>17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IFERROR(__xludf.DUMMYFUNCTION("""COMPUTED_VALUE"""),"AppSetting_Key")</f>
        <v>AppSetting_Key</v>
      </c>
      <c r="C5" s="29" t="str">
        <f>IFERROR(__xludf.DUMMYFUNCTION("""COMPUTED_VALUE"""),"AppSetting_Value")</f>
        <v>AppSetting_Value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22</v>
      </c>
      <c r="C6" s="41" t="b">
        <v>0</v>
      </c>
      <c r="D6" s="3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24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24</v>
      </c>
      <c r="C6" s="34" t="s">
        <v>17</v>
      </c>
      <c r="D6" s="42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24</v>
      </c>
      <c r="C7" s="37" t="s">
        <v>19</v>
      </c>
      <c r="D7" s="43">
        <v>50.0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5"/>
      <c r="B6" s="35" t="s">
        <v>27</v>
      </c>
      <c r="C6" s="34"/>
      <c r="D6" s="44" t="s">
        <v>28</v>
      </c>
      <c r="E6" s="34"/>
      <c r="F6" s="34"/>
      <c r="G6" s="45" t="b">
        <v>1</v>
      </c>
      <c r="H6" s="46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IFERROR(__xludf.DUMMYFUNCTION("""COMPUTED_VALUE"""),"SharesOutstandingPopUpQty")</f>
        <v>SharesOutstandingPopUpQty</v>
      </c>
      <c r="AQ5" s="31" t="str">
        <f>IFERROR(__xludf.DUMMYFUNCTION("""COMPUTED_VALUE"""),"SharesOutstandingPopUp")</f>
        <v>SharesOutstandingPopUp</v>
      </c>
      <c r="AR5" s="31" t="str">
        <f>IFERROR(__xludf.DUMMYFUNCTION("""COMPUTED_VALUE"""),"ResAllowedListPopUp")</f>
        <v>ResAllowedListPopUp</v>
      </c>
      <c r="AS5" s="31" t="str">
        <f>IFERROR(__xludf.DUMMYFUNCTION("""COMPUTED_VALUE"""),"ChkBoxBookAsSwap")</f>
        <v>ChkBoxBookAsSwap</v>
      </c>
      <c r="AT5" s="31" t="str">
        <f>IFERROR(__xludf.DUMMYFUNCTION("""COMPUTED_VALUE"""),"Interest Rate")</f>
        <v>Interest Rate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31</v>
      </c>
      <c r="C6" s="34" t="s">
        <v>32</v>
      </c>
      <c r="D6" s="42">
        <v>100.0</v>
      </c>
      <c r="E6" s="47">
        <v>100.0</v>
      </c>
      <c r="F6" s="34" t="s">
        <v>24</v>
      </c>
      <c r="G6" s="34"/>
      <c r="H6" s="34"/>
      <c r="I6" s="34"/>
      <c r="J6" s="4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31</v>
      </c>
      <c r="C7" s="37" t="s">
        <v>32</v>
      </c>
      <c r="D7" s="43">
        <v>200.0</v>
      </c>
      <c r="E7" s="43">
        <v>200.0</v>
      </c>
      <c r="F7" s="37" t="s">
        <v>24</v>
      </c>
      <c r="G7" s="37"/>
      <c r="H7" s="37"/>
      <c r="I7" s="37"/>
      <c r="J7" s="43">
        <v>10.0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32</v>
      </c>
      <c r="C6" s="34" t="s">
        <v>31</v>
      </c>
      <c r="D6" s="35"/>
      <c r="E6" s="34"/>
      <c r="F6" s="34"/>
      <c r="G6" s="47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32</v>
      </c>
      <c r="C6" s="34" t="s">
        <v>31</v>
      </c>
      <c r="D6" s="35"/>
      <c r="E6" s="34"/>
      <c r="F6" s="34"/>
      <c r="G6" s="47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42">
        <v>10.0</v>
      </c>
      <c r="C6" s="47">
        <v>100.0</v>
      </c>
      <c r="D6" s="3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32</v>
      </c>
      <c r="C6" s="34" t="s">
        <v>31</v>
      </c>
      <c r="D6" s="35"/>
      <c r="E6" s="34"/>
      <c r="F6" s="34"/>
      <c r="G6" s="47">
        <v>200.0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32</v>
      </c>
      <c r="C6" s="34" t="s">
        <v>31</v>
      </c>
      <c r="D6" s="35"/>
      <c r="E6" s="34"/>
      <c r="F6" s="34"/>
      <c r="G6" s="47">
        <v>200.0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48">
        <v>10.0</v>
      </c>
      <c r="C6" s="48">
        <v>200.0</v>
      </c>
      <c r="D6" s="35"/>
      <c r="E6" s="34"/>
      <c r="F6" s="34"/>
      <c r="G6" s="47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38</v>
      </c>
      <c r="C6" s="49" t="s">
        <v>39</v>
      </c>
      <c r="D6" s="50">
        <f>today()</f>
        <v>44609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13"/>
      <c r="B6" s="51" t="s">
        <v>41</v>
      </c>
      <c r="C6" s="8" t="s">
        <v>42</v>
      </c>
      <c r="D6" s="51">
        <v>0.0</v>
      </c>
      <c r="E6" s="8">
        <v>300.0</v>
      </c>
      <c r="F6" s="8" t="s">
        <v>24</v>
      </c>
      <c r="G6" s="8" t="s">
        <v>43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44</v>
      </c>
      <c r="N6" s="8" t="s">
        <v>42</v>
      </c>
      <c r="O6" s="8" t="s">
        <v>45</v>
      </c>
      <c r="Q6">
        <v>3.0</v>
      </c>
      <c r="R6">
        <v>0.0</v>
      </c>
      <c r="S6" t="s">
        <v>46</v>
      </c>
      <c r="T6">
        <v>0.0</v>
      </c>
      <c r="U6">
        <v>0.0</v>
      </c>
      <c r="X6" t="s">
        <v>42</v>
      </c>
      <c r="Y6" t="s">
        <v>42</v>
      </c>
      <c r="Z6" t="s">
        <v>47</v>
      </c>
      <c r="AA6" t="s">
        <v>31</v>
      </c>
      <c r="AB6">
        <v>1.0</v>
      </c>
      <c r="AD6" t="s">
        <v>48</v>
      </c>
      <c r="AE6">
        <v>300.0</v>
      </c>
      <c r="AF6" t="s">
        <v>42</v>
      </c>
      <c r="AH6" t="s">
        <v>49</v>
      </c>
      <c r="AI6">
        <v>1.0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3014.0017</v>
      </c>
      <c r="AU6">
        <v>3014.0017</v>
      </c>
      <c r="AW6">
        <v>0.0</v>
      </c>
      <c r="AX6">
        <v>0.0</v>
      </c>
      <c r="AY6" t="s">
        <v>50</v>
      </c>
      <c r="AZ6">
        <v>0.0</v>
      </c>
      <c r="BE6">
        <v>3000.0</v>
      </c>
      <c r="BF6">
        <v>3000.0</v>
      </c>
      <c r="BJ6">
        <v>300.0</v>
      </c>
      <c r="BK6">
        <v>0.0</v>
      </c>
      <c r="BL6" t="s">
        <v>42</v>
      </c>
      <c r="BM6" t="s">
        <v>47</v>
      </c>
      <c r="BO6" t="s">
        <v>32</v>
      </c>
      <c r="BP6">
        <v>0.0</v>
      </c>
      <c r="BQ6">
        <v>0.0</v>
      </c>
      <c r="BS6" t="s">
        <v>51</v>
      </c>
      <c r="BT6" t="s">
        <v>31</v>
      </c>
      <c r="BU6">
        <v>3.0</v>
      </c>
      <c r="BV6">
        <v>0.0</v>
      </c>
      <c r="BX6">
        <v>0.0</v>
      </c>
      <c r="CF6" t="s">
        <v>52</v>
      </c>
      <c r="CG6">
        <v>2.0</v>
      </c>
      <c r="CH6" t="s">
        <v>53</v>
      </c>
      <c r="CI6" t="s">
        <v>32</v>
      </c>
      <c r="CJ6">
        <v>0.0</v>
      </c>
      <c r="CK6" t="s">
        <v>54</v>
      </c>
      <c r="CL6">
        <v>1.0</v>
      </c>
      <c r="CM6" t="s">
        <v>31</v>
      </c>
      <c r="CO6" t="s">
        <v>48</v>
      </c>
      <c r="CS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IFERROR(__xludf.DUMMYFUNCTION("""COMPUTED_VALUE"""),"AppSetting_Key")</f>
        <v>AppSetting_Key</v>
      </c>
      <c r="C5" s="29" t="str">
        <f>IFERROR(__xludf.DUMMYFUNCTION("""COMPUTED_VALUE"""),"AppSetting_Value")</f>
        <v>AppSetting_Value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5" t="s">
        <v>22</v>
      </c>
      <c r="C6" s="41" t="b">
        <v>1</v>
      </c>
      <c r="D6" s="3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UpdateServerConfig1!$4:$4</formula1>
    </dataValidation>
  </dataValidations>
  <drawing r:id="rId1"/>
</worksheet>
</file>