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5" activeTab="17"/>
  </bookViews>
  <sheets>
    <sheet name="_Modules" sheetId="1" r:id="rId1"/>
    <sheet name="_Settings" sheetId="2" r:id="rId2"/>
    <sheet name="_MasterData" sheetId="3" r:id="rId3"/>
    <sheet name="CreateDoneAwayOrder" sheetId="4" r:id="rId4"/>
    <sheet name="CheckPortfolioManagement" sheetId="5" r:id="rId5"/>
    <sheet name="GroupRowPM" sheetId="6" r:id="rId6"/>
    <sheet name="ClosePositionFromPM" sheetId="7" r:id="rId7"/>
    <sheet name="CreateDoneAwayOrder1" sheetId="8" r:id="rId8"/>
    <sheet name="GetDataClosing" sheetId="9" r:id="rId9"/>
    <sheet name="VerifyLongPositionsGrid" sheetId="10" r:id="rId10"/>
    <sheet name="VerifyShortPositionsGrid" sheetId="11" r:id="rId11"/>
    <sheet name="ManualClosing" sheetId="12" r:id="rId12"/>
    <sheet name="ManualClosing1" sheetId="13" r:id="rId13"/>
    <sheet name="VerifyClosedTrades" sheetId="14" r:id="rId14"/>
    <sheet name="VerifyWorkingSubs" sheetId="15" r:id="rId15"/>
    <sheet name="GetDataAllocation" sheetId="16" r:id="rId16"/>
    <sheet name="CheckAllocatedGroups" sheetId="17" r:id="rId17"/>
    <sheet name="CheckPortfolioManagement1" sheetId="18" r:id="rId18"/>
  </sheets>
  <calcPr calcId="145621"/>
</workbook>
</file>

<file path=xl/calcChain.xml><?xml version="1.0" encoding="utf-8"?>
<calcChain xmlns="http://schemas.openxmlformats.org/spreadsheetml/2006/main">
  <c r="BK5" i="18" l="1"/>
  <c r="BK5" i="5"/>
  <c r="FB5" i="18"/>
  <c r="ET5" i="18"/>
  <c r="EL5" i="18"/>
  <c r="ED5" i="18"/>
  <c r="DV5" i="18"/>
  <c r="DN5" i="18"/>
  <c r="DF5" i="18"/>
  <c r="CX5" i="18"/>
  <c r="CP5" i="18"/>
  <c r="CH5" i="18"/>
  <c r="BZ5" i="18"/>
  <c r="BR5" i="18"/>
  <c r="BJ5" i="18"/>
  <c r="BB5" i="18"/>
  <c r="AT5" i="18"/>
  <c r="AL5" i="18"/>
  <c r="AD5" i="18"/>
  <c r="V5" i="18"/>
  <c r="N5" i="18"/>
  <c r="F5" i="18"/>
  <c r="X4" i="18"/>
  <c r="P4" i="18"/>
  <c r="H4" i="18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AX5" i="15"/>
  <c r="AP5" i="15"/>
  <c r="AH5" i="15"/>
  <c r="Z5" i="15"/>
  <c r="R5" i="15"/>
  <c r="J5" i="15"/>
  <c r="B5" i="15"/>
  <c r="AN4" i="15"/>
  <c r="AF4" i="15"/>
  <c r="X4" i="15"/>
  <c r="P4" i="15"/>
  <c r="H4" i="15"/>
  <c r="AG5" i="14"/>
  <c r="Y5" i="14"/>
  <c r="Q5" i="14"/>
  <c r="I5" i="14"/>
  <c r="A5" i="14"/>
  <c r="V4" i="14"/>
  <c r="N4" i="14"/>
  <c r="F4" i="14"/>
  <c r="BC5" i="13"/>
  <c r="AU5" i="13"/>
  <c r="AM5" i="13"/>
  <c r="AE5" i="13"/>
  <c r="W5" i="13"/>
  <c r="O5" i="13"/>
  <c r="G5" i="13"/>
  <c r="AB4" i="13"/>
  <c r="T4" i="13"/>
  <c r="L4" i="13"/>
  <c r="D4" i="13"/>
  <c r="BA5" i="12"/>
  <c r="AS5" i="12"/>
  <c r="AK5" i="12"/>
  <c r="AC5" i="12"/>
  <c r="U5" i="12"/>
  <c r="M5" i="12"/>
  <c r="E5" i="12"/>
  <c r="Z4" i="12"/>
  <c r="R4" i="12"/>
  <c r="J4" i="12"/>
  <c r="B4" i="12"/>
  <c r="T5" i="11"/>
  <c r="L5" i="11"/>
  <c r="D5" i="11"/>
  <c r="Y4" i="11"/>
  <c r="Q4" i="11"/>
  <c r="I4" i="11"/>
  <c r="S5" i="10"/>
  <c r="K5" i="10"/>
  <c r="C5" i="10"/>
  <c r="X4" i="10"/>
  <c r="P4" i="10"/>
  <c r="H4" i="10"/>
  <c r="E5" i="9"/>
  <c r="FA5" i="18"/>
  <c r="ES5" i="18"/>
  <c r="EK5" i="18"/>
  <c r="EC5" i="18"/>
  <c r="DU5" i="18"/>
  <c r="DM5" i="18"/>
  <c r="DE5" i="18"/>
  <c r="CW5" i="18"/>
  <c r="CO5" i="18"/>
  <c r="CG5" i="18"/>
  <c r="BY5" i="18"/>
  <c r="BQ5" i="18"/>
  <c r="BI5" i="18"/>
  <c r="BA5" i="18"/>
  <c r="AS5" i="18"/>
  <c r="AK5" i="18"/>
  <c r="AC5" i="18"/>
  <c r="U5" i="18"/>
  <c r="M5" i="18"/>
  <c r="E5" i="18"/>
  <c r="W4" i="18"/>
  <c r="O4" i="18"/>
  <c r="G4" i="18"/>
  <c r="CR5" i="17"/>
  <c r="CJ5" i="17"/>
  <c r="CB5" i="17"/>
  <c r="BT5" i="17"/>
  <c r="BL5" i="17"/>
  <c r="BD5" i="17"/>
  <c r="AV5" i="17"/>
  <c r="AN5" i="17"/>
  <c r="AF5" i="17"/>
  <c r="X5" i="17"/>
  <c r="P5" i="17"/>
  <c r="H5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EZ5" i="18"/>
  <c r="ER5" i="18"/>
  <c r="EJ5" i="18"/>
  <c r="EB5" i="18"/>
  <c r="DT5" i="18"/>
  <c r="DL5" i="18"/>
  <c r="DD5" i="18"/>
  <c r="CV5" i="18"/>
  <c r="CN5" i="18"/>
  <c r="CF5" i="18"/>
  <c r="BX5" i="18"/>
  <c r="BP5" i="18"/>
  <c r="BH5" i="18"/>
  <c r="AZ5" i="18"/>
  <c r="AR5" i="18"/>
  <c r="AJ5" i="18"/>
  <c r="AB5" i="18"/>
  <c r="T5" i="18"/>
  <c r="L5" i="18"/>
  <c r="D5" i="18"/>
  <c r="V4" i="18"/>
  <c r="N4" i="18"/>
  <c r="F4" i="18"/>
  <c r="CQ5" i="17"/>
  <c r="CI5" i="17"/>
  <c r="CA5" i="17"/>
  <c r="BS5" i="17"/>
  <c r="BK5" i="17"/>
  <c r="BC5" i="17"/>
  <c r="AU5" i="17"/>
  <c r="AM5" i="17"/>
  <c r="AE5" i="17"/>
  <c r="W5" i="17"/>
  <c r="O5" i="17"/>
  <c r="G5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AV5" i="15"/>
  <c r="AN5" i="15"/>
  <c r="AF5" i="15"/>
  <c r="X5" i="15"/>
  <c r="P5" i="15"/>
  <c r="H5" i="15"/>
  <c r="AT4" i="15"/>
  <c r="AL4" i="15"/>
  <c r="AD4" i="15"/>
  <c r="V4" i="15"/>
  <c r="N4" i="15"/>
  <c r="F4" i="15"/>
  <c r="AE5" i="14"/>
  <c r="W5" i="14"/>
  <c r="O5" i="14"/>
  <c r="G5" i="14"/>
  <c r="AB4" i="14"/>
  <c r="T4" i="14"/>
  <c r="L4" i="14"/>
  <c r="D4" i="14"/>
  <c r="BA5" i="13"/>
  <c r="AS5" i="13"/>
  <c r="AK5" i="13"/>
  <c r="AC5" i="13"/>
  <c r="U5" i="13"/>
  <c r="M5" i="13"/>
  <c r="E5" i="13"/>
  <c r="Z4" i="13"/>
  <c r="R4" i="13"/>
  <c r="J4" i="13"/>
  <c r="B4" i="13"/>
  <c r="AY5" i="12"/>
  <c r="AQ5" i="12"/>
  <c r="AI5" i="12"/>
  <c r="AA5" i="12"/>
  <c r="S5" i="12"/>
  <c r="K5" i="12"/>
  <c r="C5" i="12"/>
  <c r="X4" i="12"/>
  <c r="P4" i="12"/>
  <c r="H4" i="12"/>
  <c r="Z5" i="11"/>
  <c r="R5" i="11"/>
  <c r="J5" i="11"/>
  <c r="B5" i="11"/>
  <c r="W4" i="11"/>
  <c r="O4" i="11"/>
  <c r="G4" i="11"/>
  <c r="Y5" i="10"/>
  <c r="Q5" i="10"/>
  <c r="I5" i="10"/>
  <c r="A5" i="10"/>
  <c r="V4" i="10"/>
  <c r="N4" i="10"/>
  <c r="F4" i="10"/>
  <c r="C5" i="9"/>
  <c r="X4" i="9"/>
  <c r="P4" i="9"/>
  <c r="H4" i="9"/>
  <c r="EY5" i="18"/>
  <c r="EQ5" i="18"/>
  <c r="EI5" i="18"/>
  <c r="EA5" i="18"/>
  <c r="DS5" i="18"/>
  <c r="DK5" i="18"/>
  <c r="DC5" i="18"/>
  <c r="CU5" i="18"/>
  <c r="CM5" i="18"/>
  <c r="CE5" i="18"/>
  <c r="BW5" i="18"/>
  <c r="BO5" i="18"/>
  <c r="BG5" i="18"/>
  <c r="AY5" i="18"/>
  <c r="AQ5" i="18"/>
  <c r="AI5" i="18"/>
  <c r="AA5" i="18"/>
  <c r="S5" i="18"/>
  <c r="K5" i="18"/>
  <c r="C5" i="18"/>
  <c r="U4" i="18"/>
  <c r="M4" i="18"/>
  <c r="E4" i="18"/>
  <c r="CP5" i="17"/>
  <c r="CH5" i="17"/>
  <c r="BZ5" i="17"/>
  <c r="BR5" i="17"/>
  <c r="BJ5" i="17"/>
  <c r="BB5" i="17"/>
  <c r="AT5" i="17"/>
  <c r="AL5" i="17"/>
  <c r="AD5" i="17"/>
  <c r="V5" i="17"/>
  <c r="N5" i="17"/>
  <c r="F5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AU5" i="15"/>
  <c r="AM5" i="15"/>
  <c r="AE5" i="15"/>
  <c r="W5" i="15"/>
  <c r="O5" i="15"/>
  <c r="G5" i="15"/>
  <c r="AS4" i="15"/>
  <c r="AK4" i="15"/>
  <c r="AC4" i="15"/>
  <c r="U4" i="15"/>
  <c r="M4" i="15"/>
  <c r="E4" i="15"/>
  <c r="AD5" i="14"/>
  <c r="V5" i="14"/>
  <c r="N5" i="14"/>
  <c r="F5" i="14"/>
  <c r="AA4" i="14"/>
  <c r="S4" i="14"/>
  <c r="K4" i="14"/>
  <c r="C4" i="14"/>
  <c r="AZ5" i="13"/>
  <c r="AR5" i="13"/>
  <c r="AJ5" i="13"/>
  <c r="AB5" i="13"/>
  <c r="T5" i="13"/>
  <c r="L5" i="13"/>
  <c r="D5" i="13"/>
  <c r="Y4" i="13"/>
  <c r="Q4" i="13"/>
  <c r="I4" i="13"/>
  <c r="AX5" i="12"/>
  <c r="AP5" i="12"/>
  <c r="AH5" i="12"/>
  <c r="Z5" i="12"/>
  <c r="R5" i="12"/>
  <c r="J5" i="12"/>
  <c r="B5" i="12"/>
  <c r="W4" i="12"/>
  <c r="O4" i="12"/>
  <c r="G4" i="12"/>
  <c r="Y5" i="11"/>
  <c r="Q5" i="11"/>
  <c r="I5" i="11"/>
  <c r="EX5" i="18"/>
  <c r="EP5" i="18"/>
  <c r="EH5" i="18"/>
  <c r="DZ5" i="18"/>
  <c r="DR5" i="18"/>
  <c r="DJ5" i="18"/>
  <c r="DB5" i="18"/>
  <c r="CT5" i="18"/>
  <c r="CL5" i="18"/>
  <c r="CD5" i="18"/>
  <c r="BV5" i="18"/>
  <c r="BN5" i="18"/>
  <c r="BF5" i="18"/>
  <c r="AX5" i="18"/>
  <c r="AP5" i="18"/>
  <c r="AH5" i="18"/>
  <c r="Z5" i="18"/>
  <c r="R5" i="18"/>
  <c r="J5" i="18"/>
  <c r="B5" i="18"/>
  <c r="T4" i="18"/>
  <c r="L4" i="18"/>
  <c r="D4" i="18"/>
  <c r="CO5" i="17"/>
  <c r="CG5" i="17"/>
  <c r="BY5" i="17"/>
  <c r="BQ5" i="17"/>
  <c r="BI5" i="17"/>
  <c r="BA5" i="17"/>
  <c r="AS5" i="17"/>
  <c r="AK5" i="17"/>
  <c r="AC5" i="17"/>
  <c r="U5" i="17"/>
  <c r="M5" i="17"/>
  <c r="E5" i="17"/>
  <c r="DN4" i="17"/>
  <c r="DF4" i="17"/>
  <c r="CX4" i="17"/>
  <c r="CP4" i="17"/>
  <c r="CH4" i="17"/>
  <c r="BZ4" i="17"/>
  <c r="BR4" i="17"/>
  <c r="BJ4" i="17"/>
  <c r="BB4" i="17"/>
  <c r="AT4" i="17"/>
  <c r="AL4" i="17"/>
  <c r="AD4" i="17"/>
  <c r="V4" i="17"/>
  <c r="N4" i="17"/>
  <c r="F4" i="17"/>
  <c r="P5" i="16"/>
  <c r="EW5" i="18"/>
  <c r="EO5" i="18"/>
  <c r="EG5" i="18"/>
  <c r="DY5" i="18"/>
  <c r="DQ5" i="18"/>
  <c r="DI5" i="18"/>
  <c r="DA5" i="18"/>
  <c r="CS5" i="18"/>
  <c r="CK5" i="18"/>
  <c r="CC5" i="18"/>
  <c r="BU5" i="18"/>
  <c r="BM5" i="18"/>
  <c r="BE5" i="18"/>
  <c r="AW5" i="18"/>
  <c r="AO5" i="18"/>
  <c r="AG5" i="18"/>
  <c r="Y5" i="18"/>
  <c r="Q5" i="18"/>
  <c r="I5" i="18"/>
  <c r="A5" i="18"/>
  <c r="S4" i="18"/>
  <c r="K4" i="18"/>
  <c r="C4" i="18"/>
  <c r="CN5" i="17"/>
  <c r="CF5" i="17"/>
  <c r="BX5" i="17"/>
  <c r="BP5" i="17"/>
  <c r="BH5" i="17"/>
  <c r="AZ5" i="17"/>
  <c r="AR5" i="17"/>
  <c r="AJ5" i="17"/>
  <c r="AB5" i="17"/>
  <c r="T5" i="17"/>
  <c r="L5" i="17"/>
  <c r="D5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BA5" i="15"/>
  <c r="AS5" i="15"/>
  <c r="AK5" i="15"/>
  <c r="AC5" i="15"/>
  <c r="U5" i="15"/>
  <c r="M5" i="15"/>
  <c r="E5" i="15"/>
  <c r="AQ4" i="15"/>
  <c r="AI4" i="15"/>
  <c r="AA4" i="15"/>
  <c r="S4" i="15"/>
  <c r="K4" i="15"/>
  <c r="C4" i="15"/>
  <c r="AB5" i="14"/>
  <c r="T5" i="14"/>
  <c r="L5" i="14"/>
  <c r="D5" i="14"/>
  <c r="Y4" i="14"/>
  <c r="Q4" i="14"/>
  <c r="I4" i="14"/>
  <c r="AX5" i="13"/>
  <c r="AP5" i="13"/>
  <c r="AH5" i="13"/>
  <c r="Z5" i="13"/>
  <c r="R5" i="13"/>
  <c r="J5" i="13"/>
  <c r="B5" i="13"/>
  <c r="W4" i="13"/>
  <c r="O4" i="13"/>
  <c r="G4" i="13"/>
  <c r="BD5" i="12"/>
  <c r="AV5" i="12"/>
  <c r="AN5" i="12"/>
  <c r="AF5" i="12"/>
  <c r="X5" i="12"/>
  <c r="P5" i="12"/>
  <c r="H5" i="12"/>
  <c r="AC4" i="12"/>
  <c r="U4" i="12"/>
  <c r="M4" i="12"/>
  <c r="E4" i="12"/>
  <c r="W5" i="11"/>
  <c r="O5" i="11"/>
  <c r="G5" i="11"/>
  <c r="AB4" i="11"/>
  <c r="EV5" i="18"/>
  <c r="EN5" i="18"/>
  <c r="EF5" i="18"/>
  <c r="DX5" i="18"/>
  <c r="DP5" i="18"/>
  <c r="DH5" i="18"/>
  <c r="CZ5" i="18"/>
  <c r="CR5" i="18"/>
  <c r="CJ5" i="18"/>
  <c r="CB5" i="18"/>
  <c r="BT5" i="18"/>
  <c r="BL5" i="18"/>
  <c r="BD5" i="18"/>
  <c r="AV5" i="18"/>
  <c r="AN5" i="18"/>
  <c r="AF5" i="18"/>
  <c r="X5" i="18"/>
  <c r="P5" i="18"/>
  <c r="H5" i="18"/>
  <c r="Z4" i="18"/>
  <c r="R4" i="18"/>
  <c r="J4" i="18"/>
  <c r="B4" i="18"/>
  <c r="CM5" i="17"/>
  <c r="CE5" i="17"/>
  <c r="BW5" i="17"/>
  <c r="BO5" i="17"/>
  <c r="BG5" i="17"/>
  <c r="AY5" i="17"/>
  <c r="AQ5" i="17"/>
  <c r="AI5" i="17"/>
  <c r="AA5" i="17"/>
  <c r="S5" i="17"/>
  <c r="K5" i="17"/>
  <c r="C5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AZ5" i="15"/>
  <c r="AR5" i="15"/>
  <c r="AJ5" i="15"/>
  <c r="AB5" i="15"/>
  <c r="T5" i="15"/>
  <c r="L5" i="15"/>
  <c r="D5" i="15"/>
  <c r="AP4" i="15"/>
  <c r="AH4" i="15"/>
  <c r="Z4" i="15"/>
  <c r="R4" i="15"/>
  <c r="J4" i="15"/>
  <c r="B4" i="15"/>
  <c r="AA5" i="14"/>
  <c r="S5" i="14"/>
  <c r="K5" i="14"/>
  <c r="C5" i="14"/>
  <c r="X4" i="14"/>
  <c r="P4" i="14"/>
  <c r="H4" i="14"/>
  <c r="BE5" i="13"/>
  <c r="AW5" i="13"/>
  <c r="AO5" i="13"/>
  <c r="AG5" i="13"/>
  <c r="Y5" i="13"/>
  <c r="Q5" i="13"/>
  <c r="EU5" i="18"/>
  <c r="EM5" i="18"/>
  <c r="EE5" i="18"/>
  <c r="DW5" i="18"/>
  <c r="DO5" i="18"/>
  <c r="DG5" i="18"/>
  <c r="CY5" i="18"/>
  <c r="CQ5" i="18"/>
  <c r="CI5" i="18"/>
  <c r="CA5" i="18"/>
  <c r="BS5" i="18"/>
  <c r="BC5" i="18"/>
  <c r="AU5" i="18"/>
  <c r="AM5" i="18"/>
  <c r="AE5" i="18"/>
  <c r="W5" i="18"/>
  <c r="O5" i="18"/>
  <c r="G5" i="18"/>
  <c r="Y4" i="18"/>
  <c r="Q4" i="18"/>
  <c r="I4" i="18"/>
  <c r="CL5" i="17"/>
  <c r="CD5" i="17"/>
  <c r="BV5" i="17"/>
  <c r="BN5" i="17"/>
  <c r="BF5" i="17"/>
  <c r="AX5" i="17"/>
  <c r="AP5" i="17"/>
  <c r="AH5" i="17"/>
  <c r="Z5" i="17"/>
  <c r="R5" i="17"/>
  <c r="J5" i="17"/>
  <c r="B5" i="17"/>
  <c r="DK4" i="17"/>
  <c r="DC4" i="17"/>
  <c r="CU4" i="17"/>
  <c r="CM4" i="17"/>
  <c r="CE4" i="17"/>
  <c r="BW4" i="17"/>
  <c r="BO4" i="17"/>
  <c r="BG4" i="17"/>
  <c r="AY4" i="17"/>
  <c r="AQ4" i="17"/>
  <c r="AI4" i="17"/>
  <c r="AA4" i="17"/>
  <c r="S4" i="17"/>
  <c r="K4" i="17"/>
  <c r="C4" i="17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AY5" i="15"/>
  <c r="AQ5" i="15"/>
  <c r="AI5" i="15"/>
  <c r="AA5" i="15"/>
  <c r="S5" i="15"/>
  <c r="K5" i="15"/>
  <c r="C5" i="15"/>
  <c r="AO4" i="15"/>
  <c r="AG4" i="15"/>
  <c r="Y4" i="15"/>
  <c r="Q4" i="15"/>
  <c r="I4" i="15"/>
  <c r="Z5" i="14"/>
  <c r="R5" i="14"/>
  <c r="J5" i="14"/>
  <c r="B5" i="14"/>
  <c r="W4" i="14"/>
  <c r="O4" i="14"/>
  <c r="G4" i="14"/>
  <c r="BD5" i="13"/>
  <c r="AV5" i="13"/>
  <c r="AN5" i="13"/>
  <c r="AF5" i="13"/>
  <c r="X5" i="13"/>
  <c r="P5" i="13"/>
  <c r="H5" i="13"/>
  <c r="AC4" i="13"/>
  <c r="U4" i="13"/>
  <c r="M4" i="13"/>
  <c r="E4" i="13"/>
  <c r="BB5" i="12"/>
  <c r="AT5" i="12"/>
  <c r="AL5" i="12"/>
  <c r="AD5" i="12"/>
  <c r="V5" i="12"/>
  <c r="N5" i="12"/>
  <c r="F5" i="12"/>
  <c r="AA4" i="12"/>
  <c r="S4" i="12"/>
  <c r="K4" i="12"/>
  <c r="C4" i="12"/>
  <c r="U5" i="11"/>
  <c r="M5" i="11"/>
  <c r="E5" i="11"/>
  <c r="Z4" i="11"/>
  <c r="K5" i="16"/>
  <c r="CV4" i="16"/>
  <c r="BP4" i="16"/>
  <c r="AJ4" i="16"/>
  <c r="D4" i="16"/>
  <c r="Y5" i="15"/>
  <c r="AM4" i="15"/>
  <c r="G4" i="15"/>
  <c r="H5" i="14"/>
  <c r="E4" i="14"/>
  <c r="AD5" i="13"/>
  <c r="C5" i="13"/>
  <c r="K4" i="13"/>
  <c r="AU5" i="12"/>
  <c r="Y5" i="12"/>
  <c r="D5" i="12"/>
  <c r="L4" i="12"/>
  <c r="P5" i="11"/>
  <c r="AA4" i="11"/>
  <c r="N4" i="11"/>
  <c r="D4" i="11"/>
  <c r="T5" i="10"/>
  <c r="H5" i="10"/>
  <c r="AA4" i="10"/>
  <c r="Q4" i="10"/>
  <c r="E4" i="10"/>
  <c r="AC4" i="9"/>
  <c r="T4" i="9"/>
  <c r="K4" i="9"/>
  <c r="B4" i="9"/>
  <c r="AK5" i="8"/>
  <c r="AC5" i="8"/>
  <c r="U5" i="8"/>
  <c r="M5" i="8"/>
  <c r="E5" i="8"/>
  <c r="Q4" i="8"/>
  <c r="I4" i="8"/>
  <c r="V4" i="7"/>
  <c r="N4" i="7"/>
  <c r="F4" i="7"/>
  <c r="Z4" i="6"/>
  <c r="R4" i="6"/>
  <c r="J4" i="6"/>
  <c r="B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Z4" i="5"/>
  <c r="R4" i="5"/>
  <c r="J4" i="5"/>
  <c r="B4" i="5"/>
  <c r="AK5" i="4"/>
  <c r="AC5" i="4"/>
  <c r="U5" i="4"/>
  <c r="M5" i="4"/>
  <c r="E5" i="4"/>
  <c r="Q4" i="4"/>
  <c r="I4" i="4"/>
  <c r="A19" i="3"/>
  <c r="A17" i="3"/>
  <c r="A15" i="3"/>
  <c r="A13" i="3"/>
  <c r="A11" i="3"/>
  <c r="A9" i="3"/>
  <c r="A7" i="3"/>
  <c r="A5" i="3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H5" i="16"/>
  <c r="CS4" i="16"/>
  <c r="BM4" i="16"/>
  <c r="AG4" i="16"/>
  <c r="V5" i="15"/>
  <c r="AJ4" i="15"/>
  <c r="D4" i="15"/>
  <c r="E5" i="14"/>
  <c r="B4" i="14"/>
  <c r="AA5" i="13"/>
  <c r="A5" i="13"/>
  <c r="H4" i="13"/>
  <c r="AR5" i="12"/>
  <c r="W5" i="12"/>
  <c r="A5" i="12"/>
  <c r="I4" i="12"/>
  <c r="N5" i="11"/>
  <c r="X4" i="11"/>
  <c r="M4" i="11"/>
  <c r="C4" i="11"/>
  <c r="R5" i="10"/>
  <c r="G5" i="10"/>
  <c r="Z4" i="10"/>
  <c r="O4" i="10"/>
  <c r="D4" i="10"/>
  <c r="AB4" i="9"/>
  <c r="S4" i="9"/>
  <c r="J4" i="9"/>
  <c r="AJ5" i="8"/>
  <c r="AB5" i="8"/>
  <c r="T5" i="8"/>
  <c r="L5" i="8"/>
  <c r="D5" i="8"/>
  <c r="P4" i="8"/>
  <c r="H4" i="8"/>
  <c r="C5" i="7"/>
  <c r="U4" i="7"/>
  <c r="M4" i="7"/>
  <c r="E4" i="7"/>
  <c r="Y4" i="6"/>
  <c r="Q4" i="6"/>
  <c r="I4" i="6"/>
  <c r="EU5" i="5"/>
  <c r="EM5" i="5"/>
  <c r="EE5" i="5"/>
  <c r="DW5" i="5"/>
  <c r="DO5" i="5"/>
  <c r="DG5" i="5"/>
  <c r="CY5" i="5"/>
  <c r="CQ5" i="5"/>
  <c r="CI5" i="5"/>
  <c r="CA5" i="5"/>
  <c r="BS5" i="5"/>
  <c r="BC5" i="5"/>
  <c r="AU5" i="5"/>
  <c r="AM5" i="5"/>
  <c r="AE5" i="5"/>
  <c r="W5" i="5"/>
  <c r="O5" i="5"/>
  <c r="G5" i="5"/>
  <c r="Y4" i="5"/>
  <c r="Q4" i="5"/>
  <c r="I4" i="5"/>
  <c r="AJ5" i="4"/>
  <c r="AB5" i="4"/>
  <c r="T5" i="4"/>
  <c r="L5" i="4"/>
  <c r="D5" i="4"/>
  <c r="P4" i="4"/>
  <c r="H4" i="4"/>
  <c r="D20" i="3"/>
  <c r="D18" i="3"/>
  <c r="D16" i="3"/>
  <c r="D14" i="3"/>
  <c r="D12" i="3"/>
  <c r="D10" i="3"/>
  <c r="D8" i="3"/>
  <c r="D6" i="3"/>
  <c r="D4" i="3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C5" i="16"/>
  <c r="CN4" i="16"/>
  <c r="BH4" i="16"/>
  <c r="AB4" i="16"/>
  <c r="AW5" i="15"/>
  <c r="Q5" i="15"/>
  <c r="AE4" i="15"/>
  <c r="AF5" i="14"/>
  <c r="AC4" i="14"/>
  <c r="BB5" i="13"/>
  <c r="V5" i="13"/>
  <c r="AA4" i="13"/>
  <c r="F4" i="13"/>
  <c r="AO5" i="12"/>
  <c r="T5" i="12"/>
  <c r="AB4" i="12"/>
  <c r="F4" i="12"/>
  <c r="K5" i="11"/>
  <c r="V4" i="11"/>
  <c r="L4" i="11"/>
  <c r="B4" i="11"/>
  <c r="P5" i="10"/>
  <c r="F5" i="10"/>
  <c r="Y4" i="10"/>
  <c r="M4" i="10"/>
  <c r="C4" i="10"/>
  <c r="AA4" i="9"/>
  <c r="R4" i="9"/>
  <c r="I4" i="9"/>
  <c r="AQ5" i="8"/>
  <c r="AI5" i="8"/>
  <c r="AA5" i="8"/>
  <c r="S5" i="8"/>
  <c r="K5" i="8"/>
  <c r="C5" i="8"/>
  <c r="O4" i="8"/>
  <c r="G4" i="8"/>
  <c r="B5" i="7"/>
  <c r="T4" i="7"/>
  <c r="L4" i="7"/>
  <c r="D4" i="7"/>
  <c r="X4" i="6"/>
  <c r="P4" i="6"/>
  <c r="H4" i="6"/>
  <c r="FB5" i="5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X4" i="5"/>
  <c r="P4" i="5"/>
  <c r="H4" i="5"/>
  <c r="AQ5" i="4"/>
  <c r="AI5" i="4"/>
  <c r="AA5" i="4"/>
  <c r="S5" i="4"/>
  <c r="K5" i="4"/>
  <c r="C5" i="4"/>
  <c r="O4" i="4"/>
  <c r="G4" i="4"/>
  <c r="C20" i="3"/>
  <c r="C18" i="3"/>
  <c r="C16" i="3"/>
  <c r="C14" i="3"/>
  <c r="C12" i="3"/>
  <c r="C10" i="3"/>
  <c r="C8" i="3"/>
  <c r="C6" i="3"/>
  <c r="C4" i="3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DQ4" i="16"/>
  <c r="CK4" i="16"/>
  <c r="BE4" i="16"/>
  <c r="Y4" i="16"/>
  <c r="AT5" i="15"/>
  <c r="N5" i="15"/>
  <c r="AB4" i="15"/>
  <c r="AC5" i="14"/>
  <c r="Z4" i="14"/>
  <c r="AY5" i="13"/>
  <c r="S5" i="13"/>
  <c r="X4" i="13"/>
  <c r="C4" i="13"/>
  <c r="AM5" i="12"/>
  <c r="Q5" i="12"/>
  <c r="Y4" i="12"/>
  <c r="D4" i="12"/>
  <c r="H5" i="11"/>
  <c r="U4" i="11"/>
  <c r="K4" i="11"/>
  <c r="Z5" i="10"/>
  <c r="O5" i="10"/>
  <c r="E5" i="10"/>
  <c r="W4" i="10"/>
  <c r="L4" i="10"/>
  <c r="B4" i="10"/>
  <c r="Z4" i="9"/>
  <c r="Q4" i="9"/>
  <c r="G4" i="9"/>
  <c r="AP5" i="8"/>
  <c r="AH5" i="8"/>
  <c r="Z5" i="8"/>
  <c r="R5" i="8"/>
  <c r="J5" i="8"/>
  <c r="B5" i="8"/>
  <c r="N4" i="8"/>
  <c r="F4" i="8"/>
  <c r="A5" i="7"/>
  <c r="S4" i="7"/>
  <c r="K4" i="7"/>
  <c r="C4" i="7"/>
  <c r="W4" i="6"/>
  <c r="O4" i="6"/>
  <c r="G4" i="6"/>
  <c r="FA5" i="5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W4" i="5"/>
  <c r="O4" i="5"/>
  <c r="G4" i="5"/>
  <c r="AP5" i="4"/>
  <c r="AH5" i="4"/>
  <c r="Z5" i="4"/>
  <c r="R5" i="4"/>
  <c r="J5" i="4"/>
  <c r="B5" i="4"/>
  <c r="N4" i="4"/>
  <c r="F4" i="4"/>
  <c r="B20" i="3"/>
  <c r="B18" i="3"/>
  <c r="B16" i="3"/>
  <c r="B14" i="3"/>
  <c r="B12" i="3"/>
  <c r="B10" i="3"/>
  <c r="B8" i="3"/>
  <c r="B6" i="3"/>
  <c r="B4" i="3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DL4" i="16"/>
  <c r="CF4" i="16"/>
  <c r="AZ4" i="16"/>
  <c r="T4" i="16"/>
  <c r="AO5" i="15"/>
  <c r="I5" i="15"/>
  <c r="W4" i="15"/>
  <c r="X5" i="14"/>
  <c r="U4" i="14"/>
  <c r="AT5" i="13"/>
  <c r="N5" i="13"/>
  <c r="V4" i="13"/>
  <c r="BE5" i="12"/>
  <c r="AJ5" i="12"/>
  <c r="O5" i="12"/>
  <c r="V4" i="12"/>
  <c r="F5" i="11"/>
  <c r="T4" i="11"/>
  <c r="J4" i="11"/>
  <c r="X5" i="10"/>
  <c r="N5" i="10"/>
  <c r="D5" i="10"/>
  <c r="U4" i="10"/>
  <c r="K4" i="10"/>
  <c r="Y4" i="9"/>
  <c r="O4" i="9"/>
  <c r="F4" i="9"/>
  <c r="AO5" i="8"/>
  <c r="AG5" i="8"/>
  <c r="Y5" i="8"/>
  <c r="Q5" i="8"/>
  <c r="I5" i="8"/>
  <c r="A5" i="8"/>
  <c r="M4" i="8"/>
  <c r="E4" i="8"/>
  <c r="Z4" i="7"/>
  <c r="R4" i="7"/>
  <c r="J4" i="7"/>
  <c r="B4" i="7"/>
  <c r="V4" i="6"/>
  <c r="N4" i="6"/>
  <c r="F4" i="6"/>
  <c r="EZ5" i="5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V4" i="5"/>
  <c r="N4" i="5"/>
  <c r="F4" i="5"/>
  <c r="AO5" i="4"/>
  <c r="AG5" i="4"/>
  <c r="Y5" i="4"/>
  <c r="Q5" i="4"/>
  <c r="I5" i="4"/>
  <c r="A5" i="4"/>
  <c r="M4" i="4"/>
  <c r="E4" i="4"/>
  <c r="A20" i="3"/>
  <c r="A18" i="3"/>
  <c r="A16" i="3"/>
  <c r="A14" i="3"/>
  <c r="A12" i="3"/>
  <c r="A10" i="3"/>
  <c r="A8" i="3"/>
  <c r="A6" i="3"/>
  <c r="A4" i="3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DI4" i="16"/>
  <c r="CC4" i="16"/>
  <c r="AW4" i="16"/>
  <c r="Q4" i="16"/>
  <c r="AL5" i="15"/>
  <c r="F5" i="15"/>
  <c r="T4" i="15"/>
  <c r="U5" i="14"/>
  <c r="R4" i="14"/>
  <c r="AQ5" i="13"/>
  <c r="K5" i="13"/>
  <c r="S4" i="13"/>
  <c r="BC5" i="12"/>
  <c r="AG5" i="12"/>
  <c r="L5" i="12"/>
  <c r="T4" i="12"/>
  <c r="X5" i="11"/>
  <c r="C5" i="11"/>
  <c r="S4" i="11"/>
  <c r="H4" i="11"/>
  <c r="W5" i="10"/>
  <c r="M5" i="10"/>
  <c r="B5" i="10"/>
  <c r="T4" i="10"/>
  <c r="J4" i="10"/>
  <c r="D5" i="9"/>
  <c r="W4" i="9"/>
  <c r="N4" i="9"/>
  <c r="E4" i="9"/>
  <c r="AN5" i="8"/>
  <c r="AF5" i="8"/>
  <c r="X5" i="8"/>
  <c r="P5" i="8"/>
  <c r="H5" i="8"/>
  <c r="T4" i="8"/>
  <c r="L4" i="8"/>
  <c r="D4" i="8"/>
  <c r="Y4" i="7"/>
  <c r="Q4" i="7"/>
  <c r="I4" i="7"/>
  <c r="U4" i="6"/>
  <c r="M4" i="6"/>
  <c r="E4" i="6"/>
  <c r="EY5" i="5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U4" i="5"/>
  <c r="M4" i="5"/>
  <c r="E4" i="5"/>
  <c r="AN5" i="4"/>
  <c r="AF5" i="4"/>
  <c r="X5" i="4"/>
  <c r="P5" i="4"/>
  <c r="H5" i="4"/>
  <c r="T4" i="4"/>
  <c r="L4" i="4"/>
  <c r="D4" i="4"/>
  <c r="D19" i="3"/>
  <c r="D17" i="3"/>
  <c r="D15" i="3"/>
  <c r="D13" i="3"/>
  <c r="D11" i="3"/>
  <c r="D9" i="3"/>
  <c r="D7" i="3"/>
  <c r="D5" i="3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DD4" i="16"/>
  <c r="BX4" i="16"/>
  <c r="AR4" i="16"/>
  <c r="L4" i="16"/>
  <c r="AG5" i="15"/>
  <c r="A5" i="15"/>
  <c r="O4" i="15"/>
  <c r="P5" i="14"/>
  <c r="M4" i="14"/>
  <c r="AL5" i="13"/>
  <c r="I5" i="13"/>
  <c r="P4" i="13"/>
  <c r="AZ5" i="12"/>
  <c r="AE5" i="12"/>
  <c r="I5" i="12"/>
  <c r="Q4" i="12"/>
  <c r="V5" i="11"/>
  <c r="A5" i="11"/>
  <c r="R4" i="11"/>
  <c r="F4" i="11"/>
  <c r="V5" i="10"/>
  <c r="L5" i="10"/>
  <c r="AC4" i="10"/>
  <c r="S4" i="10"/>
  <c r="I4" i="10"/>
  <c r="B5" i="9"/>
  <c r="V4" i="9"/>
  <c r="M4" i="9"/>
  <c r="D4" i="9"/>
  <c r="AM5" i="8"/>
  <c r="AE5" i="8"/>
  <c r="W5" i="8"/>
  <c r="O5" i="8"/>
  <c r="G5" i="8"/>
  <c r="S4" i="8"/>
  <c r="K4" i="8"/>
  <c r="C4" i="8"/>
  <c r="X4" i="7"/>
  <c r="P4" i="7"/>
  <c r="H4" i="7"/>
  <c r="B5" i="6"/>
  <c r="T4" i="6"/>
  <c r="L4" i="6"/>
  <c r="D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T4" i="5"/>
  <c r="L4" i="5"/>
  <c r="D4" i="5"/>
  <c r="AM5" i="4"/>
  <c r="AE5" i="4"/>
  <c r="W5" i="4"/>
  <c r="O5" i="4"/>
  <c r="G5" i="4"/>
  <c r="S4" i="4"/>
  <c r="K4" i="4"/>
  <c r="C4" i="4"/>
  <c r="C19" i="3"/>
  <c r="C17" i="3"/>
  <c r="C15" i="3"/>
  <c r="C13" i="3"/>
  <c r="C11" i="3"/>
  <c r="C9" i="3"/>
  <c r="C7" i="3"/>
  <c r="C5" i="3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DA4" i="16"/>
  <c r="BU4" i="16"/>
  <c r="AO4" i="16"/>
  <c r="I4" i="16"/>
  <c r="AD5" i="15"/>
  <c r="AR4" i="15"/>
  <c r="L4" i="15"/>
  <c r="M5" i="14"/>
  <c r="J4" i="14"/>
  <c r="AI5" i="13"/>
  <c r="F5" i="13"/>
  <c r="N4" i="13"/>
  <c r="AW5" i="12"/>
  <c r="AB5" i="12"/>
  <c r="G5" i="12"/>
  <c r="N4" i="12"/>
  <c r="S5" i="11"/>
  <c r="AC4" i="11"/>
  <c r="P4" i="11"/>
  <c r="E4" i="11"/>
  <c r="U5" i="10"/>
  <c r="J5" i="10"/>
  <c r="AB4" i="10"/>
  <c r="R4" i="10"/>
  <c r="G4" i="10"/>
  <c r="A5" i="9"/>
  <c r="U4" i="9"/>
  <c r="L4" i="9"/>
  <c r="C4" i="9"/>
  <c r="AL5" i="8"/>
  <c r="AD5" i="8"/>
  <c r="V5" i="8"/>
  <c r="N5" i="8"/>
  <c r="F5" i="8"/>
  <c r="R4" i="8"/>
  <c r="J4" i="8"/>
  <c r="B4" i="8"/>
  <c r="W4" i="7"/>
  <c r="O4" i="7"/>
  <c r="G4" i="7"/>
  <c r="A5" i="6"/>
  <c r="S4" i="6"/>
  <c r="K4" i="6"/>
  <c r="C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S4" i="5"/>
  <c r="K4" i="5"/>
  <c r="C4" i="5"/>
  <c r="AL5" i="4"/>
  <c r="AD5" i="4"/>
  <c r="V5" i="4"/>
  <c r="N5" i="4"/>
  <c r="F5" i="4"/>
  <c r="R4" i="4"/>
  <c r="J4" i="4"/>
  <c r="B4" i="4"/>
  <c r="B19" i="3"/>
  <c r="B17" i="3"/>
  <c r="B15" i="3"/>
  <c r="B13" i="3"/>
  <c r="B11" i="3"/>
  <c r="B9" i="3"/>
  <c r="B7" i="3"/>
  <c r="B5" i="3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B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A370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C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33" i="1"/>
  <c r="A29" i="1"/>
  <c r="B26" i="1"/>
  <c r="C23" i="1"/>
  <c r="A21" i="1"/>
  <c r="B18" i="1"/>
  <c r="C15" i="1"/>
  <c r="A13" i="1"/>
  <c r="B10" i="1"/>
  <c r="C7" i="1"/>
  <c r="A5" i="1"/>
  <c r="C4" i="1"/>
  <c r="A12" i="1"/>
  <c r="A4" i="1"/>
  <c r="B13" i="1"/>
  <c r="A32" i="1"/>
  <c r="C28" i="1"/>
  <c r="A26" i="1"/>
  <c r="B23" i="1"/>
  <c r="C20" i="1"/>
  <c r="A18" i="1"/>
  <c r="B15" i="1"/>
  <c r="C12" i="1"/>
  <c r="A10" i="1"/>
  <c r="B7" i="1"/>
  <c r="B9" i="1"/>
  <c r="C8" i="1"/>
  <c r="B31" i="1"/>
  <c r="B28" i="1"/>
  <c r="C25" i="1"/>
  <c r="A23" i="1"/>
  <c r="B20" i="1"/>
  <c r="C17" i="1"/>
  <c r="A15" i="1"/>
  <c r="B12" i="1"/>
  <c r="C9" i="1"/>
  <c r="A7" i="1"/>
  <c r="B4" i="1"/>
  <c r="C6" i="1"/>
  <c r="A11" i="1"/>
  <c r="A31" i="1"/>
  <c r="A28" i="1"/>
  <c r="B25" i="1"/>
  <c r="C22" i="1"/>
  <c r="A20" i="1"/>
  <c r="B17" i="1"/>
  <c r="C14" i="1"/>
  <c r="B11" i="1"/>
  <c r="B5" i="1"/>
  <c r="B30" i="1"/>
  <c r="C27" i="1"/>
  <c r="A25" i="1"/>
  <c r="B22" i="1"/>
  <c r="C19" i="1"/>
  <c r="A17" i="1"/>
  <c r="B14" i="1"/>
  <c r="C11" i="1"/>
  <c r="A9" i="1"/>
  <c r="B6" i="1"/>
  <c r="B8" i="1"/>
  <c r="A30" i="1"/>
  <c r="B27" i="1"/>
  <c r="C24" i="1"/>
  <c r="A22" i="1"/>
  <c r="B19" i="1"/>
  <c r="C16" i="1"/>
  <c r="A14" i="1"/>
  <c r="A6" i="1"/>
  <c r="A8" i="1"/>
  <c r="C29" i="1"/>
  <c r="A27" i="1"/>
  <c r="B24" i="1"/>
  <c r="C21" i="1"/>
  <c r="A19" i="1"/>
  <c r="B16" i="1"/>
  <c r="C13" i="1"/>
  <c r="C5" i="1"/>
  <c r="B29" i="1"/>
  <c r="C26" i="1"/>
  <c r="A24" i="1"/>
  <c r="B21" i="1"/>
  <c r="C18" i="1"/>
  <c r="A16" i="1"/>
  <c r="C10" i="1"/>
  <c r="J2" i="11" l="1"/>
  <c r="J2" i="17"/>
  <c r="J2" i="13"/>
  <c r="J2" i="14"/>
  <c r="J2" i="18"/>
  <c r="J2" i="15"/>
  <c r="J2" i="8"/>
  <c r="J2" i="4"/>
  <c r="J2" i="16"/>
  <c r="J2" i="9"/>
  <c r="J2" i="6"/>
  <c r="J2" i="5"/>
  <c r="J2" i="12"/>
  <c r="J2" i="10"/>
  <c r="J2" i="7"/>
</calcChain>
</file>

<file path=xl/sharedStrings.xml><?xml version="1.0" encoding="utf-8"?>
<sst xmlns="http://schemas.openxmlformats.org/spreadsheetml/2006/main" count="272" uniqueCount="49">
  <si>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</si>
  <si>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</si>
  <si>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</si>
  <si>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</si>
  <si>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</si>
  <si>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</si>
  <si>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</si>
  <si>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</si>
  <si>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</si>
  <si>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</si>
  <si>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</si>
  <si>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</si>
  <si>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</si>
  <si>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</si>
  <si>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</si>
  <si>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</si>
  <si>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</si>
  <si>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Sell short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</si>
  <si>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</si>
  <si>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</si>
  <si>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</si>
  <si>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</si>
  <si>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</si>
  <si>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</si>
  <si>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</si>
  <si>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Short</t>
  </si>
  <si>
    <t>GroupRowPM</t>
  </si>
  <si>
    <t>Symbol</t>
  </si>
  <si>
    <t>ClosePositionFromPM</t>
  </si>
  <si>
    <t>Buy to Close</t>
  </si>
  <si>
    <t>Closing</t>
  </si>
  <si>
    <t>GetDataClosing</t>
  </si>
  <si>
    <t>Current</t>
  </si>
  <si>
    <t>VerifyLongPositionsGrid</t>
  </si>
  <si>
    <t>VerifyShortPositionsGrid</t>
  </si>
  <si>
    <t>ManualClosing</t>
  </si>
  <si>
    <t>VerifyClosedTrades</t>
  </si>
  <si>
    <t>MANUAL</t>
  </si>
  <si>
    <t>Blotter</t>
  </si>
  <si>
    <t>VerifyWorkingSubs</t>
  </si>
  <si>
    <t>Filled</t>
  </si>
  <si>
    <t>Market</t>
  </si>
  <si>
    <t>Multiple</t>
  </si>
  <si>
    <t>Allocation</t>
  </si>
  <si>
    <t>GetDataAllocation</t>
  </si>
  <si>
    <t>CheckAllocatedGroups</t>
  </si>
  <si>
    <t>Closed</t>
  </si>
  <si>
    <t>SellShort</t>
  </si>
  <si>
    <t>BuytoClose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</si>
</sst>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3" fontId="5" fillId="0" borderId="0" xfId="0" applyNumberFormat="1" applyFont="1" applyAlignment="1"/>
    <xf numFmtId="3" fontId="2" fillId="0" borderId="0" xfId="0" applyNumberFormat="1" applyFont="1" applyAlignment="1"/>
    <xf numFmtId="0" fontId="5" fillId="0" borderId="0" xfId="0" applyFont="1" applyAlignment="1"/>
    <xf numFmtId="4" fontId="5" fillId="0" borderId="0" xfId="0" applyNumberFormat="1" applyFont="1" applyAlignment="1"/>
    <xf numFmtId="3" fontId="5" fillId="0" borderId="0" xfId="0" applyNumberFormat="1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3" t="s">
        <v>0</v>
      </c>
      <c r="B1" s="34"/>
      <c r="C1" s="34"/>
      <c r="D1" s="34"/>
      <c r="E1" s="34"/>
      <c r="F1" s="35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6" t="s">
        <v>2</v>
      </c>
      <c r="B1" s="34"/>
      <c r="C1" s="35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3" t="s">
        <v>7</v>
      </c>
      <c r="B1" s="34"/>
      <c r="C1" s="34"/>
      <c r="D1" s="34"/>
      <c r="E1" s="34"/>
      <c r="F1" s="35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50000</v>
      </c>
      <c r="E6" s="7">
        <v>50000</v>
      </c>
      <c r="F6" s="7" t="s">
        <v>18</v>
      </c>
      <c r="G6" s="7" t="s">
        <v>19</v>
      </c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7" t="s">
        <v>16</v>
      </c>
      <c r="C7" s="7" t="s">
        <v>17</v>
      </c>
      <c r="D7" s="7">
        <v>50000</v>
      </c>
      <c r="E7" s="7">
        <v>50000</v>
      </c>
      <c r="F7" s="7" t="s">
        <v>20</v>
      </c>
      <c r="G7" s="7" t="s">
        <v>19</v>
      </c>
      <c r="H7" s="5"/>
      <c r="I7" s="5"/>
      <c r="J7" s="7">
        <v>11</v>
      </c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B1" workbookViewId="0">
      <selection activeCell="BK11" sqref="BK11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1" width="14.42578125" customWidth="1"/>
    <col min="62" max="62" width="16.85546875" customWidth="1"/>
    <col min="63" max="63" width="22.28515625" customWidth="1"/>
    <col min="64" max="168" width="14.42578125" customWidth="1"/>
  </cols>
  <sheetData>
    <row r="1" spans="1:168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16</v>
      </c>
      <c r="D6" s="25">
        <v>-50000</v>
      </c>
      <c r="E6" s="7" t="s">
        <v>18</v>
      </c>
      <c r="F6" s="5"/>
      <c r="G6" s="7">
        <v>10</v>
      </c>
      <c r="H6" s="5"/>
      <c r="I6" s="5"/>
      <c r="J6" s="5"/>
      <c r="K6" s="5"/>
      <c r="L6" s="5"/>
      <c r="M6" s="5"/>
      <c r="N6" s="7">
        <v>0</v>
      </c>
      <c r="O6" s="5"/>
      <c r="Q6" s="6">
        <v>0</v>
      </c>
      <c r="T6" s="6" t="s">
        <v>23</v>
      </c>
      <c r="U6" s="6" t="s">
        <v>24</v>
      </c>
      <c r="AB6" s="6">
        <v>0</v>
      </c>
      <c r="AD6" s="6">
        <v>0</v>
      </c>
      <c r="AE6" s="6">
        <v>0</v>
      </c>
      <c r="AF6" s="26">
        <v>-50000</v>
      </c>
      <c r="AG6" s="6">
        <v>0</v>
      </c>
      <c r="AH6" s="6">
        <v>0</v>
      </c>
      <c r="AI6" s="6">
        <v>0</v>
      </c>
      <c r="AJ6" s="6">
        <v>0</v>
      </c>
      <c r="AK6" s="26">
        <v>500000</v>
      </c>
      <c r="AL6" s="6">
        <v>1</v>
      </c>
      <c r="AN6" s="6" t="s">
        <v>17</v>
      </c>
      <c r="AP6" s="6" t="s">
        <v>25</v>
      </c>
      <c r="AQ6" s="6" t="s">
        <v>16</v>
      </c>
      <c r="AW6" s="26">
        <v>500000</v>
      </c>
      <c r="AX6" s="6">
        <v>0</v>
      </c>
      <c r="AY6" s="6">
        <v>0</v>
      </c>
      <c r="AZ6" s="6">
        <v>0</v>
      </c>
      <c r="BD6" s="26">
        <v>500000</v>
      </c>
      <c r="BJ6" s="6">
        <v>0</v>
      </c>
      <c r="BK6" s="6">
        <v>0</v>
      </c>
      <c r="BL6" s="6">
        <v>0</v>
      </c>
      <c r="BM6" s="6">
        <v>0</v>
      </c>
      <c r="BO6" s="6">
        <v>0</v>
      </c>
      <c r="BP6" s="6">
        <v>0</v>
      </c>
      <c r="BR6" s="6" t="s">
        <v>19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DE6" s="6">
        <v>0</v>
      </c>
      <c r="DF6" s="6">
        <v>0</v>
      </c>
      <c r="DG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8" ht="15.75" customHeight="1" x14ac:dyDescent="0.2">
      <c r="A7" s="5"/>
      <c r="B7" s="5"/>
      <c r="C7" s="7" t="s">
        <v>16</v>
      </c>
      <c r="D7" s="25">
        <v>-50000</v>
      </c>
      <c r="E7" s="7" t="s">
        <v>20</v>
      </c>
      <c r="F7" s="5"/>
      <c r="G7" s="7">
        <v>11</v>
      </c>
      <c r="H7" s="5"/>
      <c r="I7" s="5"/>
      <c r="J7" s="5"/>
      <c r="K7" s="5"/>
      <c r="L7" s="5"/>
      <c r="M7" s="5"/>
      <c r="N7" s="7">
        <v>0</v>
      </c>
      <c r="O7" s="5"/>
      <c r="Q7" s="6">
        <v>0</v>
      </c>
      <c r="T7" s="6" t="s">
        <v>23</v>
      </c>
      <c r="U7" s="6" t="s">
        <v>24</v>
      </c>
      <c r="AB7" s="6">
        <v>0</v>
      </c>
      <c r="AD7" s="6">
        <v>0</v>
      </c>
      <c r="AE7" s="6">
        <v>0</v>
      </c>
      <c r="AF7" s="26">
        <v>-50000</v>
      </c>
      <c r="AG7" s="6">
        <v>0</v>
      </c>
      <c r="AH7" s="6">
        <v>0</v>
      </c>
      <c r="AI7" s="6">
        <v>0</v>
      </c>
      <c r="AJ7" s="6">
        <v>0</v>
      </c>
      <c r="AK7" s="26">
        <v>550000</v>
      </c>
      <c r="AL7" s="6">
        <v>1</v>
      </c>
      <c r="AN7" s="6" t="s">
        <v>17</v>
      </c>
      <c r="AP7" s="6" t="s">
        <v>25</v>
      </c>
      <c r="AQ7" s="6" t="s">
        <v>16</v>
      </c>
      <c r="AW7" s="26">
        <v>550000</v>
      </c>
      <c r="AX7" s="6">
        <v>0</v>
      </c>
      <c r="AY7" s="6">
        <v>0</v>
      </c>
      <c r="AZ7" s="6">
        <v>0</v>
      </c>
      <c r="BD7" s="26">
        <v>550000</v>
      </c>
      <c r="BJ7" s="6">
        <v>0</v>
      </c>
      <c r="BK7" s="6">
        <v>0</v>
      </c>
      <c r="BL7" s="6">
        <v>0</v>
      </c>
      <c r="BM7" s="6">
        <v>0</v>
      </c>
      <c r="BO7" s="6">
        <v>0</v>
      </c>
      <c r="BP7" s="6">
        <v>0</v>
      </c>
      <c r="BR7" s="6" t="s">
        <v>19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DE7" s="6">
        <v>0</v>
      </c>
      <c r="DF7" s="6">
        <v>0</v>
      </c>
      <c r="DG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27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16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29</v>
      </c>
      <c r="D6" s="7">
        <v>100000</v>
      </c>
      <c r="E6" s="27"/>
      <c r="F6" s="7"/>
      <c r="G6" s="7" t="s">
        <v>19</v>
      </c>
      <c r="H6" s="5"/>
      <c r="I6" s="5"/>
      <c r="J6" s="7">
        <v>20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23</v>
      </c>
      <c r="D6" s="7"/>
      <c r="E6" s="27"/>
      <c r="F6" s="5"/>
      <c r="G6" s="5"/>
      <c r="H6" s="28">
        <v>1000000</v>
      </c>
      <c r="I6" s="7">
        <v>20</v>
      </c>
      <c r="J6" s="5"/>
      <c r="K6" s="5"/>
      <c r="L6" s="5"/>
      <c r="M6" s="28">
        <v>50000</v>
      </c>
      <c r="N6" s="5"/>
      <c r="O6" s="5"/>
      <c r="P6" s="6" t="s">
        <v>29</v>
      </c>
      <c r="R6" s="6" t="s">
        <v>16</v>
      </c>
      <c r="X6" s="6">
        <v>20</v>
      </c>
    </row>
    <row r="7" spans="1:154" ht="15.75" customHeight="1" x14ac:dyDescent="0.2">
      <c r="A7" s="5"/>
      <c r="B7" s="7" t="s">
        <v>20</v>
      </c>
      <c r="C7" s="7" t="s">
        <v>23</v>
      </c>
      <c r="D7" s="5"/>
      <c r="E7" s="5"/>
      <c r="F7" s="5"/>
      <c r="G7" s="5"/>
      <c r="H7" s="28">
        <v>1000000</v>
      </c>
      <c r="I7" s="7">
        <v>20</v>
      </c>
      <c r="J7" s="5"/>
      <c r="K7" s="5"/>
      <c r="L7" s="5"/>
      <c r="M7" s="28">
        <v>50000</v>
      </c>
      <c r="N7" s="5"/>
      <c r="O7" s="5"/>
      <c r="P7" s="6" t="s">
        <v>29</v>
      </c>
      <c r="R7" s="6" t="s">
        <v>16</v>
      </c>
      <c r="X7" s="6">
        <v>20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23</v>
      </c>
      <c r="D6" s="7"/>
      <c r="E6" s="27"/>
      <c r="F6" s="5"/>
      <c r="G6" s="5"/>
      <c r="H6" s="25">
        <v>500000</v>
      </c>
      <c r="I6" s="7">
        <v>10</v>
      </c>
      <c r="J6" s="5"/>
      <c r="K6" s="5"/>
      <c r="L6" s="5"/>
      <c r="M6" s="25">
        <v>50000</v>
      </c>
      <c r="N6" s="5"/>
      <c r="O6" s="5"/>
      <c r="P6" s="6" t="s">
        <v>17</v>
      </c>
      <c r="R6" s="6" t="s">
        <v>16</v>
      </c>
    </row>
    <row r="7" spans="1:154" ht="15.75" customHeight="1" x14ac:dyDescent="0.2">
      <c r="A7" s="5"/>
      <c r="B7" s="7" t="s">
        <v>20</v>
      </c>
      <c r="C7" s="7" t="s">
        <v>23</v>
      </c>
      <c r="D7" s="5"/>
      <c r="E7" s="5"/>
      <c r="F7" s="5"/>
      <c r="G7" s="5"/>
      <c r="H7" s="25">
        <v>550000</v>
      </c>
      <c r="I7" s="7">
        <v>11</v>
      </c>
      <c r="J7" s="5"/>
      <c r="K7" s="5"/>
      <c r="L7" s="5"/>
      <c r="M7" s="25">
        <v>50000</v>
      </c>
      <c r="N7" s="5"/>
      <c r="O7" s="5"/>
      <c r="P7" s="6" t="s">
        <v>17</v>
      </c>
      <c r="R7" s="6" t="s">
        <v>16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IFERROR(__xludf.DUMMYFUNCTION("""COMPUTED_VALUE"""),"CloseSSw/BuyBTO")</f>
        <v>CloseSSw/BuyBTO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IFERROR(__xludf.DUMMYFUNCTION("""COMPUTED_VALUE"""),"LongAccount")</f>
        <v>LongAccount</v>
      </c>
      <c r="E5" s="22" t="str">
        <f ca="1">IFERROR(__xludf.DUMMYFUNCTION("""COMPUTED_VALUE"""),"LongAsset Class")</f>
        <v>LongAsset Class</v>
      </c>
      <c r="F5" s="23" t="str">
        <f ca="1">IFERROR(__xludf.DUMMYFUNCTION("""COMPUTED_VALUE"""),"LongAUECID")</f>
        <v>LongAUECID</v>
      </c>
      <c r="G5" s="22" t="str">
        <f ca="1">IFERROR(__xludf.DUMMYFUNCTION("""COMPUTED_VALUE"""),"LongExternalTransId")</f>
        <v>LongExternalTransId</v>
      </c>
      <c r="H5" s="22" t="str">
        <f ca="1">IFERROR(__xludf.DUMMYFUNCTION("""COMPUTED_VALUE"""),"LongIsSwapped")</f>
        <v>LongIsSwapped</v>
      </c>
      <c r="I5" s="22" t="str">
        <f ca="1">IFERROR(__xludf.DUMMYFUNCTION("""COMPUTED_VALUE"""),"LongLotId")</f>
        <v>LongLotId</v>
      </c>
      <c r="J5" s="22" t="str">
        <f ca="1">IFERROR(__xludf.DUMMYFUNCTION("""COMPUTED_VALUE"""),"LongNet Notional")</f>
        <v>LongNet Notional</v>
      </c>
      <c r="K5" s="22" t="str">
        <f ca="1">IFERROR(__xludf.DUMMYFUNCTION("""COMPUTED_VALUE"""),"LongOpening Price")</f>
        <v>LongOpening Price</v>
      </c>
      <c r="L5" s="22" t="str">
        <f ca="1">IFERROR(__xludf.DUMMYFUNCTION("""COMPUTED_VALUE"""),"LongOriginal Purchase Date")</f>
        <v>LongOriginal Purchase Date</v>
      </c>
      <c r="M5" s="22" t="str">
        <f ca="1">IFERROR(__xludf.DUMMYFUNCTION("""COMPUTED_VALUE"""),"LongPositionTag")</f>
        <v>LongPositionTag</v>
      </c>
      <c r="N5" s="22" t="str">
        <f ca="1">IFERROR(__xludf.DUMMYFUNCTION("""COMPUTED_VALUE"""),"LongProcess Date")</f>
        <v>LongProcess Date</v>
      </c>
      <c r="O5" s="22" t="str">
        <f ca="1">IFERROR(__xludf.DUMMYFUNCTION("""COMPUTED_VALUE"""),"LongQuantity")</f>
        <v>LongQuantity</v>
      </c>
      <c r="P5" s="22" t="str">
        <f ca="1">IFERROR(__xludf.DUMMYFUNCTION("""COMPUTED_VALUE"""),"LongSecurity Name")</f>
        <v>LongSecurity Name</v>
      </c>
      <c r="Q5" s="22" t="str">
        <f ca="1">IFERROR(__xludf.DUMMYFUNCTION("""COMPUTED_VALUE"""),"LongSettlement Currency")</f>
        <v>LongSettlement Currency</v>
      </c>
      <c r="R5" s="22" t="str">
        <f ca="1">IFERROR(__xludf.DUMMYFUNCTION("""COMPUTED_VALUE"""),"LongSettlement FxRate")</f>
        <v>LongSettlement FxRate</v>
      </c>
      <c r="S5" s="22" t="str">
        <f ca="1">IFERROR(__xludf.DUMMYFUNCTION("""COMPUTED_VALUE"""),"LongSettlement FxRate Operator")</f>
        <v>LongSettlement FxRate Operator</v>
      </c>
      <c r="T5" s="24" t="str">
        <f ca="1">IFERROR(__xludf.DUMMYFUNCTION("""COMPUTED_VALUE"""),"LongSettlement Price")</f>
        <v>LongSettlement Price</v>
      </c>
      <c r="U5" s="24" t="str">
        <f ca="1">IFERROR(__xludf.DUMMYFUNCTION("""COMPUTED_VALUE"""),"LongSettlement Unit Cost")</f>
        <v>LongSettlement Unit Cost</v>
      </c>
      <c r="V5" s="24" t="str">
        <f ca="1">IFERROR(__xludf.DUMMYFUNCTION("""COMPUTED_VALUE"""),"LongSide")</f>
        <v>LongSide</v>
      </c>
      <c r="W5" s="24" t="str">
        <f ca="1">IFERROR(__xludf.DUMMYFUNCTION("""COMPUTED_VALUE"""),"LongStrategy")</f>
        <v>LongStrategy</v>
      </c>
      <c r="X5" s="24" t="str">
        <f ca="1">IFERROR(__xludf.DUMMYFUNCTION("""COMPUTED_VALUE"""),"LongSymbol")</f>
        <v>LongSymbol</v>
      </c>
      <c r="Y5" s="24" t="str">
        <f ca="1">IFERROR(__xludf.DUMMYFUNCTION("""COMPUTED_VALUE"""),"LongTaxlot Id")</f>
        <v>LongTaxlot Id</v>
      </c>
      <c r="Z5" s="24" t="str">
        <f ca="1">IFERROR(__xludf.DUMMYFUNCTION("""COMPUTED_VALUE"""),"LongTotal Fee And Commission")</f>
        <v>LongTotal Fee And Commission</v>
      </c>
      <c r="AA5" s="24" t="str">
        <f ca="1">IFERROR(__xludf.DUMMYFUNCTION("""COMPUTED_VALUE"""),"LongTrade Date")</f>
        <v>LongTrade Date</v>
      </c>
      <c r="AB5" s="24" t="str">
        <f ca="1">IFERROR(__xludf.DUMMYFUNCTION("""COMPUTED_VALUE"""),"LongTransaction Type")</f>
        <v>LongTransaction Type</v>
      </c>
      <c r="AC5" s="24" t="str">
        <f ca="1">IFERROR(__xludf.DUMMYFUNCTION("""COMPUTED_VALUE"""),"LongUnderlyingName")</f>
        <v>LongUnderlyingName</v>
      </c>
      <c r="AD5" s="24" t="str">
        <f ca="1">IFERROR(__xludf.DUMMYFUNCTION("""COMPUTED_VALUE"""),"LongUnitCost")</f>
        <v>LongUnitCost</v>
      </c>
      <c r="AE5" s="24" t="str">
        <f ca="1">IFERROR(__xludf.DUMMYFUNCTION("""COMPUTED_VALUE"""),"ShortAccount")</f>
        <v>ShortAccount</v>
      </c>
      <c r="AF5" s="24" t="str">
        <f ca="1">IFERROR(__xludf.DUMMYFUNCTION("""COMPUTED_VALUE"""),"ShortAsset Class")</f>
        <v>ShortAsset Class</v>
      </c>
      <c r="AG5" s="24" t="str">
        <f ca="1">IFERROR(__xludf.DUMMYFUNCTION("""COMPUTED_VALUE"""),"ShortAUECID")</f>
        <v>ShortAUECID</v>
      </c>
      <c r="AH5" s="24" t="str">
        <f ca="1">IFERROR(__xludf.DUMMYFUNCTION("""COMPUTED_VALUE"""),"ShortExternalTransId")</f>
        <v>ShortExternalTransId</v>
      </c>
      <c r="AI5" s="24" t="str">
        <f ca="1">IFERROR(__xludf.DUMMYFUNCTION("""COMPUTED_VALUE"""),"ShortIsSwapped")</f>
        <v>ShortIsSwapped</v>
      </c>
      <c r="AJ5" s="24" t="str">
        <f ca="1">IFERROR(__xludf.DUMMYFUNCTION("""COMPUTED_VALUE"""),"ShortLotId")</f>
        <v>ShortLotId</v>
      </c>
      <c r="AK5" s="24" t="str">
        <f ca="1">IFERROR(__xludf.DUMMYFUNCTION("""COMPUTED_VALUE"""),"ShortNet Notional")</f>
        <v>ShortNet Notional</v>
      </c>
      <c r="AL5" s="24" t="str">
        <f ca="1">IFERROR(__xludf.DUMMYFUNCTION("""COMPUTED_VALUE"""),"ShortOpening Price")</f>
        <v>ShortOpening Price</v>
      </c>
      <c r="AM5" s="24" t="str">
        <f ca="1">IFERROR(__xludf.DUMMYFUNCTION("""COMPUTED_VALUE"""),"ShortOriginal Purchase Date")</f>
        <v>ShortOriginal Purchase Date</v>
      </c>
      <c r="AN5" s="24" t="str">
        <f ca="1">IFERROR(__xludf.DUMMYFUNCTION("""COMPUTED_VALUE"""),"ShortPositionTag")</f>
        <v>ShortPositionTag</v>
      </c>
      <c r="AO5" s="24" t="str">
        <f ca="1">IFERROR(__xludf.DUMMYFUNCTION("""COMPUTED_VALUE"""),"ShortProcess Date")</f>
        <v>ShortProcess Date</v>
      </c>
      <c r="AP5" s="24" t="str">
        <f ca="1">IFERROR(__xludf.DUMMYFUNCTION("""COMPUTED_VALUE"""),"ShortQuantity")</f>
        <v>ShortQuantity</v>
      </c>
      <c r="AQ5" s="24" t="str">
        <f ca="1">IFERROR(__xludf.DUMMYFUNCTION("""COMPUTED_VALUE"""),"ShortSecurity Name")</f>
        <v>ShortSecurity Name</v>
      </c>
      <c r="AR5" s="24" t="str">
        <f ca="1">IFERROR(__xludf.DUMMYFUNCTION("""COMPUTED_VALUE"""),"ShortSettlement Currency")</f>
        <v>ShortSettlement Currency</v>
      </c>
      <c r="AS5" s="24" t="str">
        <f ca="1">IFERROR(__xludf.DUMMYFUNCTION("""COMPUTED_VALUE"""),"ShortSettlement FxRate")</f>
        <v>ShortSettlement FxRate</v>
      </c>
      <c r="AT5" s="24" t="str">
        <f ca="1">IFERROR(__xludf.DUMMYFUNCTION("""COMPUTED_VALUE"""),"ShortSettlement FxRate Operator")</f>
        <v>ShortSettlement FxRate Operator</v>
      </c>
      <c r="AU5" s="24" t="str">
        <f ca="1">IFERROR(__xludf.DUMMYFUNCTION("""COMPUTED_VALUE"""),"ShortSettlement Price")</f>
        <v>ShortSettlement Price</v>
      </c>
      <c r="AV5" s="24" t="str">
        <f ca="1">IFERROR(__xludf.DUMMYFUNCTION("""COMPUTED_VALUE"""),"ShortSettlement Unit Cost")</f>
        <v>ShortSettlement Unit Cost</v>
      </c>
      <c r="AW5" s="24" t="str">
        <f ca="1">IFERROR(__xludf.DUMMYFUNCTION("""COMPUTED_VALUE"""),"ShortSide")</f>
        <v>ShortSide</v>
      </c>
      <c r="AX5" s="24" t="str">
        <f ca="1">IFERROR(__xludf.DUMMYFUNCTION("""COMPUTED_VALUE"""),"ShortStrategy")</f>
        <v>ShortStrategy</v>
      </c>
      <c r="AY5" s="24" t="str">
        <f ca="1">IFERROR(__xludf.DUMMYFUNCTION("""COMPUTED_VALUE"""),"ShortSymbol")</f>
        <v>ShortSymbol</v>
      </c>
      <c r="AZ5" s="24" t="str">
        <f ca="1">IFERROR(__xludf.DUMMYFUNCTION("""COMPUTED_VALUE"""),"ShortTaxlot Id")</f>
        <v>ShortTaxlot Id</v>
      </c>
      <c r="BA5" s="24" t="str">
        <f ca="1">IFERROR(__xludf.DUMMYFUNCTION("""COMPUTED_VALUE"""),"ShortTotal Fee And Commission")</f>
        <v>ShortTotal Fee And Commission</v>
      </c>
      <c r="BB5" s="24" t="str">
        <f ca="1">IFERROR(__xludf.DUMMYFUNCTION("""COMPUTED_VALUE"""),"ShortTrade Date")</f>
        <v>ShortTrade Date</v>
      </c>
      <c r="BC5" s="24" t="str">
        <f ca="1">IFERROR(__xludf.DUMMYFUNCTION("""COMPUTED_VALUE"""),"ShortTransaction Type")</f>
        <v>ShortTransaction Type</v>
      </c>
      <c r="BD5" s="24" t="str">
        <f ca="1">IFERROR(__xludf.DUMMYFUNCTION("""COMPUTED_VALUE"""),"ShortUnderlyingName")</f>
        <v>ShortUnderlyingName</v>
      </c>
      <c r="BE5" s="24" t="str">
        <f ca="1">IFERROR(__xludf.DUMMYFUNCTION("""COMPUTED_VALUE"""),"ShortUnitCost")</f>
        <v>ShortUnitCost</v>
      </c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0</v>
      </c>
      <c r="C6" s="7" t="b">
        <v>1</v>
      </c>
      <c r="D6" s="7" t="s">
        <v>18</v>
      </c>
      <c r="E6" s="7" t="s">
        <v>23</v>
      </c>
      <c r="F6" s="5"/>
      <c r="G6" s="5"/>
      <c r="H6" s="5"/>
      <c r="I6" s="5"/>
      <c r="J6" s="5"/>
      <c r="K6" s="7">
        <v>20</v>
      </c>
      <c r="L6" s="5"/>
      <c r="M6" s="5"/>
      <c r="N6" s="5"/>
      <c r="O6" s="7">
        <v>50000</v>
      </c>
      <c r="V6" s="6" t="s">
        <v>29</v>
      </c>
      <c r="X6" s="6" t="s">
        <v>16</v>
      </c>
      <c r="AE6" s="6" t="s">
        <v>18</v>
      </c>
      <c r="AF6" s="6" t="s">
        <v>23</v>
      </c>
      <c r="AL6" s="6">
        <v>10</v>
      </c>
      <c r="AP6" s="26">
        <v>50000</v>
      </c>
      <c r="AW6" s="6" t="s">
        <v>17</v>
      </c>
      <c r="AY6" s="6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IFERROR(__xludf.DUMMYFUNCTION("""COMPUTED_VALUE"""),"CloseSSw/BuyBTO")</f>
        <v>CloseSSw/BuyBTO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IFERROR(__xludf.DUMMYFUNCTION("""COMPUTED_VALUE"""),"LongAccount")</f>
        <v>LongAccount</v>
      </c>
      <c r="E5" s="22" t="str">
        <f ca="1">IFERROR(__xludf.DUMMYFUNCTION("""COMPUTED_VALUE"""),"LongAsset Class")</f>
        <v>LongAsset Class</v>
      </c>
      <c r="F5" s="23" t="str">
        <f ca="1">IFERROR(__xludf.DUMMYFUNCTION("""COMPUTED_VALUE"""),"LongAUECID")</f>
        <v>LongAUECID</v>
      </c>
      <c r="G5" s="22" t="str">
        <f ca="1">IFERROR(__xludf.DUMMYFUNCTION("""COMPUTED_VALUE"""),"LongExternalTransId")</f>
        <v>LongExternalTransId</v>
      </c>
      <c r="H5" s="22" t="str">
        <f ca="1">IFERROR(__xludf.DUMMYFUNCTION("""COMPUTED_VALUE"""),"LongIsSwapped")</f>
        <v>LongIsSwapped</v>
      </c>
      <c r="I5" s="22" t="str">
        <f ca="1">IFERROR(__xludf.DUMMYFUNCTION("""COMPUTED_VALUE"""),"LongLotId")</f>
        <v>LongLotId</v>
      </c>
      <c r="J5" s="22" t="str">
        <f ca="1">IFERROR(__xludf.DUMMYFUNCTION("""COMPUTED_VALUE"""),"LongNet Notional")</f>
        <v>LongNet Notional</v>
      </c>
      <c r="K5" s="22" t="str">
        <f ca="1">IFERROR(__xludf.DUMMYFUNCTION("""COMPUTED_VALUE"""),"LongOpening Price")</f>
        <v>LongOpening Price</v>
      </c>
      <c r="L5" s="22" t="str">
        <f ca="1">IFERROR(__xludf.DUMMYFUNCTION("""COMPUTED_VALUE"""),"LongOriginal Purchase Date")</f>
        <v>LongOriginal Purchase Date</v>
      </c>
      <c r="M5" s="22" t="str">
        <f ca="1">IFERROR(__xludf.DUMMYFUNCTION("""COMPUTED_VALUE"""),"LongPositionTag")</f>
        <v>LongPositionTag</v>
      </c>
      <c r="N5" s="22" t="str">
        <f ca="1">IFERROR(__xludf.DUMMYFUNCTION("""COMPUTED_VALUE"""),"LongProcess Date")</f>
        <v>LongProcess Date</v>
      </c>
      <c r="O5" s="22" t="str">
        <f ca="1">IFERROR(__xludf.DUMMYFUNCTION("""COMPUTED_VALUE"""),"LongQuantity")</f>
        <v>LongQuantity</v>
      </c>
      <c r="P5" s="22" t="str">
        <f ca="1">IFERROR(__xludf.DUMMYFUNCTION("""COMPUTED_VALUE"""),"LongSecurity Name")</f>
        <v>LongSecurity Name</v>
      </c>
      <c r="Q5" s="22" t="str">
        <f ca="1">IFERROR(__xludf.DUMMYFUNCTION("""COMPUTED_VALUE"""),"LongSettlement Currency")</f>
        <v>LongSettlement Currency</v>
      </c>
      <c r="R5" s="22" t="str">
        <f ca="1">IFERROR(__xludf.DUMMYFUNCTION("""COMPUTED_VALUE"""),"LongSettlement FxRate")</f>
        <v>LongSettlement FxRate</v>
      </c>
      <c r="S5" s="22" t="str">
        <f ca="1">IFERROR(__xludf.DUMMYFUNCTION("""COMPUTED_VALUE"""),"LongSettlement FxRate Operator")</f>
        <v>LongSettlement FxRate Operator</v>
      </c>
      <c r="T5" s="24" t="str">
        <f ca="1">IFERROR(__xludf.DUMMYFUNCTION("""COMPUTED_VALUE"""),"LongSettlement Price")</f>
        <v>LongSettlement Price</v>
      </c>
      <c r="U5" s="24" t="str">
        <f ca="1">IFERROR(__xludf.DUMMYFUNCTION("""COMPUTED_VALUE"""),"LongSettlement Unit Cost")</f>
        <v>LongSettlement Unit Cost</v>
      </c>
      <c r="V5" s="24" t="str">
        <f ca="1">IFERROR(__xludf.DUMMYFUNCTION("""COMPUTED_VALUE"""),"LongSide")</f>
        <v>LongSide</v>
      </c>
      <c r="W5" s="24" t="str">
        <f ca="1">IFERROR(__xludf.DUMMYFUNCTION("""COMPUTED_VALUE"""),"LongStrategy")</f>
        <v>LongStrategy</v>
      </c>
      <c r="X5" s="24" t="str">
        <f ca="1">IFERROR(__xludf.DUMMYFUNCTION("""COMPUTED_VALUE"""),"LongSymbol")</f>
        <v>LongSymbol</v>
      </c>
      <c r="Y5" s="24" t="str">
        <f ca="1">IFERROR(__xludf.DUMMYFUNCTION("""COMPUTED_VALUE"""),"LongTaxlot Id")</f>
        <v>LongTaxlot Id</v>
      </c>
      <c r="Z5" s="24" t="str">
        <f ca="1">IFERROR(__xludf.DUMMYFUNCTION("""COMPUTED_VALUE"""),"LongTotal Fee And Commission")</f>
        <v>LongTotal Fee And Commission</v>
      </c>
      <c r="AA5" s="24" t="str">
        <f ca="1">IFERROR(__xludf.DUMMYFUNCTION("""COMPUTED_VALUE"""),"LongTrade Date")</f>
        <v>LongTrade Date</v>
      </c>
      <c r="AB5" s="24" t="str">
        <f ca="1">IFERROR(__xludf.DUMMYFUNCTION("""COMPUTED_VALUE"""),"LongTransaction Type")</f>
        <v>LongTransaction Type</v>
      </c>
      <c r="AC5" s="24" t="str">
        <f ca="1">IFERROR(__xludf.DUMMYFUNCTION("""COMPUTED_VALUE"""),"LongUnderlyingName")</f>
        <v>LongUnderlyingName</v>
      </c>
      <c r="AD5" s="24" t="str">
        <f ca="1">IFERROR(__xludf.DUMMYFUNCTION("""COMPUTED_VALUE"""),"LongUnitCost")</f>
        <v>LongUnitCost</v>
      </c>
      <c r="AE5" s="24" t="str">
        <f ca="1">IFERROR(__xludf.DUMMYFUNCTION("""COMPUTED_VALUE"""),"ShortAccount")</f>
        <v>ShortAccount</v>
      </c>
      <c r="AF5" s="24" t="str">
        <f ca="1">IFERROR(__xludf.DUMMYFUNCTION("""COMPUTED_VALUE"""),"ShortAsset Class")</f>
        <v>ShortAsset Class</v>
      </c>
      <c r="AG5" s="24" t="str">
        <f ca="1">IFERROR(__xludf.DUMMYFUNCTION("""COMPUTED_VALUE"""),"ShortAUECID")</f>
        <v>ShortAUECID</v>
      </c>
      <c r="AH5" s="24" t="str">
        <f ca="1">IFERROR(__xludf.DUMMYFUNCTION("""COMPUTED_VALUE"""),"ShortExternalTransId")</f>
        <v>ShortExternalTransId</v>
      </c>
      <c r="AI5" s="24" t="str">
        <f ca="1">IFERROR(__xludf.DUMMYFUNCTION("""COMPUTED_VALUE"""),"ShortIsSwapped")</f>
        <v>ShortIsSwapped</v>
      </c>
      <c r="AJ5" s="24" t="str">
        <f ca="1">IFERROR(__xludf.DUMMYFUNCTION("""COMPUTED_VALUE"""),"ShortLotId")</f>
        <v>ShortLotId</v>
      </c>
      <c r="AK5" s="24" t="str">
        <f ca="1">IFERROR(__xludf.DUMMYFUNCTION("""COMPUTED_VALUE"""),"ShortNet Notional")</f>
        <v>ShortNet Notional</v>
      </c>
      <c r="AL5" s="24" t="str">
        <f ca="1">IFERROR(__xludf.DUMMYFUNCTION("""COMPUTED_VALUE"""),"ShortOpening Price")</f>
        <v>ShortOpening Price</v>
      </c>
      <c r="AM5" s="24" t="str">
        <f ca="1">IFERROR(__xludf.DUMMYFUNCTION("""COMPUTED_VALUE"""),"ShortOriginal Purchase Date")</f>
        <v>ShortOriginal Purchase Date</v>
      </c>
      <c r="AN5" s="24" t="str">
        <f ca="1">IFERROR(__xludf.DUMMYFUNCTION("""COMPUTED_VALUE"""),"ShortPositionTag")</f>
        <v>ShortPositionTag</v>
      </c>
      <c r="AO5" s="24" t="str">
        <f ca="1">IFERROR(__xludf.DUMMYFUNCTION("""COMPUTED_VALUE"""),"ShortProcess Date")</f>
        <v>ShortProcess Date</v>
      </c>
      <c r="AP5" s="24" t="str">
        <f ca="1">IFERROR(__xludf.DUMMYFUNCTION("""COMPUTED_VALUE"""),"ShortQuantity")</f>
        <v>ShortQuantity</v>
      </c>
      <c r="AQ5" s="24" t="str">
        <f ca="1">IFERROR(__xludf.DUMMYFUNCTION("""COMPUTED_VALUE"""),"ShortSecurity Name")</f>
        <v>ShortSecurity Name</v>
      </c>
      <c r="AR5" s="24" t="str">
        <f ca="1">IFERROR(__xludf.DUMMYFUNCTION("""COMPUTED_VALUE"""),"ShortSettlement Currency")</f>
        <v>ShortSettlement Currency</v>
      </c>
      <c r="AS5" s="24" t="str">
        <f ca="1">IFERROR(__xludf.DUMMYFUNCTION("""COMPUTED_VALUE"""),"ShortSettlement FxRate")</f>
        <v>ShortSettlement FxRate</v>
      </c>
      <c r="AT5" s="24" t="str">
        <f ca="1">IFERROR(__xludf.DUMMYFUNCTION("""COMPUTED_VALUE"""),"ShortSettlement FxRate Operator")</f>
        <v>ShortSettlement FxRate Operator</v>
      </c>
      <c r="AU5" s="24" t="str">
        <f ca="1">IFERROR(__xludf.DUMMYFUNCTION("""COMPUTED_VALUE"""),"ShortSettlement Price")</f>
        <v>ShortSettlement Price</v>
      </c>
      <c r="AV5" s="24" t="str">
        <f ca="1">IFERROR(__xludf.DUMMYFUNCTION("""COMPUTED_VALUE"""),"ShortSettlement Unit Cost")</f>
        <v>ShortSettlement Unit Cost</v>
      </c>
      <c r="AW5" s="24" t="str">
        <f ca="1">IFERROR(__xludf.DUMMYFUNCTION("""COMPUTED_VALUE"""),"ShortSide")</f>
        <v>ShortSide</v>
      </c>
      <c r="AX5" s="24" t="str">
        <f ca="1">IFERROR(__xludf.DUMMYFUNCTION("""COMPUTED_VALUE"""),"ShortStrategy")</f>
        <v>ShortStrategy</v>
      </c>
      <c r="AY5" s="24" t="str">
        <f ca="1">IFERROR(__xludf.DUMMYFUNCTION("""COMPUTED_VALUE"""),"ShortSymbol")</f>
        <v>ShortSymbol</v>
      </c>
      <c r="AZ5" s="24" t="str">
        <f ca="1">IFERROR(__xludf.DUMMYFUNCTION("""COMPUTED_VALUE"""),"ShortTaxlot Id")</f>
        <v>ShortTaxlot Id</v>
      </c>
      <c r="BA5" s="24" t="str">
        <f ca="1">IFERROR(__xludf.DUMMYFUNCTION("""COMPUTED_VALUE"""),"ShortTotal Fee And Commission")</f>
        <v>ShortTotal Fee And Commission</v>
      </c>
      <c r="BB5" s="24" t="str">
        <f ca="1">IFERROR(__xludf.DUMMYFUNCTION("""COMPUTED_VALUE"""),"ShortTrade Date")</f>
        <v>ShortTrade Date</v>
      </c>
      <c r="BC5" s="24" t="str">
        <f ca="1">IFERROR(__xludf.DUMMYFUNCTION("""COMPUTED_VALUE"""),"ShortTransaction Type")</f>
        <v>ShortTransaction Type</v>
      </c>
      <c r="BD5" s="24" t="str">
        <f ca="1">IFERROR(__xludf.DUMMYFUNCTION("""COMPUTED_VALUE"""),"ShortUnderlyingName")</f>
        <v>ShortUnderlyingName</v>
      </c>
      <c r="BE5" s="24" t="str">
        <f ca="1">IFERROR(__xludf.DUMMYFUNCTION("""COMPUTED_VALUE"""),"ShortUnitCost")</f>
        <v>ShortUnitCost</v>
      </c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0</v>
      </c>
      <c r="C6" s="7" t="b">
        <v>1</v>
      </c>
      <c r="D6" s="7" t="s">
        <v>20</v>
      </c>
      <c r="E6" s="7" t="s">
        <v>23</v>
      </c>
      <c r="F6" s="5"/>
      <c r="G6" s="5"/>
      <c r="H6" s="5"/>
      <c r="I6" s="5"/>
      <c r="J6" s="5"/>
      <c r="K6" s="7">
        <v>20</v>
      </c>
      <c r="L6" s="5"/>
      <c r="M6" s="5"/>
      <c r="N6" s="5"/>
      <c r="O6" s="7">
        <v>50000</v>
      </c>
      <c r="V6" s="6" t="s">
        <v>29</v>
      </c>
      <c r="X6" s="6" t="s">
        <v>16</v>
      </c>
      <c r="AE6" s="6" t="s">
        <v>20</v>
      </c>
      <c r="AF6" s="6" t="s">
        <v>23</v>
      </c>
      <c r="AL6" s="6">
        <v>11</v>
      </c>
      <c r="AP6" s="26">
        <v>50000</v>
      </c>
      <c r="AW6" s="6" t="s">
        <v>17</v>
      </c>
      <c r="AY6" s="6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 t="s">
        <v>18</v>
      </c>
      <c r="E6" s="27"/>
      <c r="F6" s="7" t="s">
        <v>25</v>
      </c>
      <c r="G6" s="7" t="s">
        <v>23</v>
      </c>
      <c r="H6" s="7" t="s">
        <v>16</v>
      </c>
      <c r="I6" s="25">
        <v>50000</v>
      </c>
      <c r="J6" s="7">
        <v>10</v>
      </c>
      <c r="K6" s="7">
        <v>20</v>
      </c>
      <c r="L6" s="7">
        <v>0</v>
      </c>
      <c r="M6" s="5"/>
      <c r="N6" s="5"/>
      <c r="O6" s="7" t="s">
        <v>25</v>
      </c>
      <c r="P6" s="6">
        <v>0</v>
      </c>
      <c r="Q6" s="6" t="s">
        <v>29</v>
      </c>
      <c r="R6" s="6" t="s">
        <v>37</v>
      </c>
    </row>
    <row r="7" spans="1:154" ht="15.75" customHeight="1" x14ac:dyDescent="0.2">
      <c r="A7" s="5"/>
      <c r="B7" s="5"/>
      <c r="C7" s="5"/>
      <c r="D7" s="7" t="s">
        <v>20</v>
      </c>
      <c r="E7" s="5"/>
      <c r="F7" s="7" t="s">
        <v>25</v>
      </c>
      <c r="G7" s="7" t="s">
        <v>23</v>
      </c>
      <c r="H7" s="7" t="s">
        <v>16</v>
      </c>
      <c r="I7" s="25">
        <v>50000</v>
      </c>
      <c r="J7" s="7">
        <v>11</v>
      </c>
      <c r="K7" s="7">
        <v>20</v>
      </c>
      <c r="L7" s="7">
        <v>0</v>
      </c>
      <c r="M7" s="5"/>
      <c r="N7" s="5"/>
      <c r="O7" s="7" t="s">
        <v>25</v>
      </c>
      <c r="P7" s="6">
        <v>0</v>
      </c>
      <c r="Q7" s="6" t="s">
        <v>29</v>
      </c>
      <c r="R7" s="6" t="s">
        <v>37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25">
        <v>50000</v>
      </c>
      <c r="E6" s="25">
        <v>50000</v>
      </c>
      <c r="F6" s="5"/>
      <c r="G6" s="7" t="s">
        <v>40</v>
      </c>
      <c r="H6" s="25">
        <v>50000</v>
      </c>
      <c r="I6" s="7">
        <v>10</v>
      </c>
      <c r="J6" s="7">
        <v>10</v>
      </c>
      <c r="K6" s="7" t="s">
        <v>19</v>
      </c>
      <c r="L6" s="7" t="s">
        <v>18</v>
      </c>
      <c r="M6" s="7" t="s">
        <v>41</v>
      </c>
      <c r="N6" s="5"/>
      <c r="O6" s="7">
        <v>0</v>
      </c>
      <c r="AC6" s="6">
        <v>0</v>
      </c>
      <c r="AD6" s="26">
        <v>-500000</v>
      </c>
    </row>
    <row r="7" spans="1:154" ht="15.75" customHeight="1" x14ac:dyDescent="0.2">
      <c r="A7" s="5"/>
      <c r="B7" s="7" t="s">
        <v>16</v>
      </c>
      <c r="C7" s="7" t="s">
        <v>17</v>
      </c>
      <c r="D7" s="25">
        <v>50000</v>
      </c>
      <c r="E7" s="25">
        <v>50000</v>
      </c>
      <c r="F7" s="5"/>
      <c r="G7" s="7" t="s">
        <v>40</v>
      </c>
      <c r="H7" s="25">
        <v>50000</v>
      </c>
      <c r="I7" s="7">
        <v>11</v>
      </c>
      <c r="J7" s="7">
        <v>11</v>
      </c>
      <c r="K7" s="7" t="s">
        <v>19</v>
      </c>
      <c r="L7" s="7" t="s">
        <v>20</v>
      </c>
      <c r="M7" s="7" t="s">
        <v>41</v>
      </c>
      <c r="N7" s="5"/>
      <c r="O7" s="7">
        <v>0</v>
      </c>
      <c r="AC7" s="6">
        <v>0</v>
      </c>
      <c r="AD7" s="26">
        <v>-550000</v>
      </c>
    </row>
    <row r="8" spans="1:154" ht="15.75" customHeight="1" x14ac:dyDescent="0.2">
      <c r="A8" s="5"/>
      <c r="B8" s="7" t="s">
        <v>16</v>
      </c>
      <c r="C8" s="7" t="s">
        <v>29</v>
      </c>
      <c r="D8" s="29">
        <v>100000</v>
      </c>
      <c r="E8" s="29">
        <v>100000</v>
      </c>
      <c r="F8" s="30"/>
      <c r="G8" s="31" t="s">
        <v>40</v>
      </c>
      <c r="H8" s="29">
        <v>100000</v>
      </c>
      <c r="I8" s="32">
        <v>20</v>
      </c>
      <c r="J8" s="32">
        <v>20</v>
      </c>
      <c r="K8" s="31" t="s">
        <v>19</v>
      </c>
      <c r="L8" s="31" t="s">
        <v>42</v>
      </c>
      <c r="M8" s="7" t="s">
        <v>41</v>
      </c>
      <c r="N8" s="5"/>
      <c r="O8" s="7">
        <v>0</v>
      </c>
      <c r="AC8" s="6">
        <v>0</v>
      </c>
      <c r="AD8" s="26">
        <v>2000000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43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43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5"/>
      <c r="D6" s="7"/>
      <c r="E6" s="25">
        <v>50000</v>
      </c>
      <c r="F6" s="5"/>
      <c r="G6" s="7" t="s">
        <v>23</v>
      </c>
      <c r="H6" s="7">
        <v>0</v>
      </c>
      <c r="I6" s="7">
        <v>0</v>
      </c>
      <c r="J6" s="5"/>
      <c r="K6" s="7">
        <v>0</v>
      </c>
      <c r="L6" s="7">
        <v>10</v>
      </c>
      <c r="M6" s="5"/>
      <c r="N6" s="5"/>
      <c r="O6" s="7" t="s">
        <v>19</v>
      </c>
      <c r="R6" s="6">
        <v>0</v>
      </c>
      <c r="S6" s="6" t="s">
        <v>46</v>
      </c>
      <c r="T6" s="6">
        <v>0</v>
      </c>
      <c r="AE6" s="26">
        <v>50000</v>
      </c>
      <c r="AT6" s="6">
        <v>0</v>
      </c>
      <c r="AU6" s="26">
        <v>500000</v>
      </c>
      <c r="AW6" s="6">
        <v>0</v>
      </c>
      <c r="AY6" s="6" t="s">
        <v>41</v>
      </c>
      <c r="AZ6" s="6">
        <v>0</v>
      </c>
      <c r="BC6" s="6">
        <v>0</v>
      </c>
      <c r="BE6" s="6">
        <v>0</v>
      </c>
      <c r="BF6" s="26">
        <v>500000</v>
      </c>
      <c r="BJ6" s="26">
        <v>50000</v>
      </c>
      <c r="BK6" s="6">
        <v>0</v>
      </c>
      <c r="BO6" s="6" t="s">
        <v>17</v>
      </c>
      <c r="BT6" s="6" t="s">
        <v>16</v>
      </c>
      <c r="BW6" s="6">
        <v>0</v>
      </c>
      <c r="CG6" s="6">
        <v>0</v>
      </c>
      <c r="CI6" s="6" t="s">
        <v>47</v>
      </c>
      <c r="CJ6" s="6">
        <v>0</v>
      </c>
    </row>
    <row r="7" spans="1:154" ht="15.75" customHeight="1" x14ac:dyDescent="0.2">
      <c r="A7" s="5"/>
      <c r="B7" s="7" t="s">
        <v>20</v>
      </c>
      <c r="C7" s="5"/>
      <c r="D7" s="5"/>
      <c r="E7" s="25">
        <v>50000</v>
      </c>
      <c r="F7" s="5"/>
      <c r="G7" s="7" t="s">
        <v>23</v>
      </c>
      <c r="H7" s="7">
        <v>0</v>
      </c>
      <c r="I7" s="7">
        <v>0</v>
      </c>
      <c r="J7" s="5"/>
      <c r="K7" s="7">
        <v>0</v>
      </c>
      <c r="L7" s="7">
        <v>11</v>
      </c>
      <c r="M7" s="5"/>
      <c r="N7" s="5"/>
      <c r="O7" s="7" t="s">
        <v>19</v>
      </c>
      <c r="R7" s="6">
        <v>0</v>
      </c>
      <c r="S7" s="6" t="s">
        <v>46</v>
      </c>
      <c r="T7" s="6">
        <v>0</v>
      </c>
      <c r="AE7" s="26">
        <v>50000</v>
      </c>
      <c r="AT7" s="6">
        <v>0</v>
      </c>
      <c r="AU7" s="26">
        <v>550000</v>
      </c>
      <c r="AW7" s="6">
        <v>0</v>
      </c>
      <c r="AY7" s="6" t="s">
        <v>41</v>
      </c>
      <c r="AZ7" s="6">
        <v>0</v>
      </c>
      <c r="BC7" s="6">
        <v>0</v>
      </c>
      <c r="BE7" s="6">
        <v>0</v>
      </c>
      <c r="BF7" s="26">
        <v>550000</v>
      </c>
      <c r="BJ7" s="26">
        <v>50000</v>
      </c>
      <c r="BK7" s="6">
        <v>0</v>
      </c>
      <c r="BO7" s="6" t="s">
        <v>17</v>
      </c>
      <c r="BT7" s="6" t="s">
        <v>16</v>
      </c>
      <c r="BW7" s="6">
        <v>0</v>
      </c>
      <c r="CG7" s="6">
        <v>0</v>
      </c>
      <c r="CI7" s="6" t="s">
        <v>47</v>
      </c>
      <c r="CJ7" s="6">
        <v>0</v>
      </c>
    </row>
    <row r="8" spans="1:154" ht="15.75" customHeight="1" x14ac:dyDescent="0.2">
      <c r="A8" s="5"/>
      <c r="B8" s="7" t="s">
        <v>42</v>
      </c>
      <c r="C8" s="5"/>
      <c r="D8" s="5"/>
      <c r="E8" s="25">
        <v>100000</v>
      </c>
      <c r="F8" s="5"/>
      <c r="G8" s="7" t="s">
        <v>23</v>
      </c>
      <c r="H8" s="7">
        <v>0</v>
      </c>
      <c r="I8" s="7">
        <v>0</v>
      </c>
      <c r="J8" s="5"/>
      <c r="K8" s="7">
        <v>0</v>
      </c>
      <c r="L8" s="7">
        <v>20</v>
      </c>
      <c r="M8" s="5"/>
      <c r="N8" s="5"/>
      <c r="O8" s="7" t="s">
        <v>19</v>
      </c>
      <c r="R8" s="6">
        <v>0</v>
      </c>
      <c r="S8" s="6" t="s">
        <v>46</v>
      </c>
      <c r="T8" s="6">
        <v>0</v>
      </c>
      <c r="AE8" s="26">
        <v>100000</v>
      </c>
      <c r="AT8" s="6">
        <v>0</v>
      </c>
      <c r="AU8" s="26">
        <v>2000000</v>
      </c>
      <c r="AW8" s="6">
        <v>0</v>
      </c>
      <c r="AY8" s="6" t="s">
        <v>41</v>
      </c>
      <c r="AZ8" s="6">
        <v>0</v>
      </c>
      <c r="BC8" s="6">
        <v>0</v>
      </c>
      <c r="BE8" s="6">
        <v>0</v>
      </c>
      <c r="BF8" s="26">
        <v>2000000</v>
      </c>
      <c r="BJ8" s="26">
        <v>100000</v>
      </c>
      <c r="BK8" s="6">
        <v>0</v>
      </c>
      <c r="BO8" s="6" t="s">
        <v>29</v>
      </c>
      <c r="BT8" s="6" t="s">
        <v>16</v>
      </c>
      <c r="BW8" s="6">
        <v>0</v>
      </c>
      <c r="CG8" s="6">
        <v>0</v>
      </c>
      <c r="CI8" s="6" t="s">
        <v>48</v>
      </c>
      <c r="CJ8" s="6">
        <v>0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D1" workbookViewId="0">
      <selection activeCell="BK15" sqref="BK1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0.7109375" customWidth="1"/>
    <col min="64" max="168" width="14.42578125" customWidth="1"/>
  </cols>
  <sheetData>
    <row r="1" spans="1:168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16</v>
      </c>
      <c r="D6" s="25">
        <v>-50000</v>
      </c>
      <c r="E6" s="7" t="s">
        <v>18</v>
      </c>
      <c r="F6" s="5"/>
      <c r="G6" s="7">
        <v>10</v>
      </c>
      <c r="H6" s="7" t="s">
        <v>25</v>
      </c>
      <c r="I6" s="5"/>
      <c r="J6" s="5"/>
      <c r="K6" s="7">
        <v>0</v>
      </c>
      <c r="L6" s="5"/>
      <c r="M6" s="5"/>
      <c r="N6" s="7">
        <v>0</v>
      </c>
      <c r="O6" s="5"/>
      <c r="Q6" s="6">
        <v>0</v>
      </c>
      <c r="T6" s="6" t="s">
        <v>23</v>
      </c>
      <c r="U6" s="6" t="s">
        <v>24</v>
      </c>
      <c r="AB6" s="6">
        <v>0</v>
      </c>
      <c r="AD6" s="6">
        <v>0</v>
      </c>
      <c r="AE6" s="6">
        <v>0</v>
      </c>
      <c r="AF6" s="26">
        <v>-50000</v>
      </c>
      <c r="AG6" s="6">
        <v>0</v>
      </c>
      <c r="AH6" s="6">
        <v>0</v>
      </c>
      <c r="AI6" s="6">
        <v>0</v>
      </c>
      <c r="AJ6" s="6">
        <v>0</v>
      </c>
      <c r="AK6" s="26">
        <v>500000</v>
      </c>
      <c r="AL6" s="6">
        <v>1</v>
      </c>
      <c r="AN6" s="6" t="s">
        <v>17</v>
      </c>
      <c r="AP6" s="6" t="s">
        <v>25</v>
      </c>
      <c r="AQ6" s="6" t="s">
        <v>16</v>
      </c>
      <c r="AW6" s="26">
        <v>500000</v>
      </c>
      <c r="AX6" s="6">
        <v>0</v>
      </c>
      <c r="AY6" s="6">
        <v>0</v>
      </c>
      <c r="AZ6" s="6">
        <v>0</v>
      </c>
      <c r="BD6" s="26">
        <v>500000</v>
      </c>
      <c r="BJ6" s="6">
        <v>0</v>
      </c>
      <c r="BK6" s="6">
        <v>0</v>
      </c>
      <c r="BL6" s="6">
        <v>0</v>
      </c>
      <c r="BM6" s="6">
        <v>0</v>
      </c>
      <c r="BO6" s="6">
        <v>0</v>
      </c>
      <c r="BP6" s="6">
        <v>0</v>
      </c>
      <c r="BR6" s="6" t="s">
        <v>19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DE6" s="6">
        <v>0</v>
      </c>
      <c r="DF6" s="6">
        <v>0</v>
      </c>
      <c r="DG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8" ht="15.75" customHeight="1" x14ac:dyDescent="0.2">
      <c r="A7" s="5"/>
      <c r="B7" s="5"/>
      <c r="C7" s="7" t="s">
        <v>16</v>
      </c>
      <c r="D7" s="25">
        <v>-50000</v>
      </c>
      <c r="E7" s="7" t="s">
        <v>20</v>
      </c>
      <c r="F7" s="5"/>
      <c r="G7" s="7">
        <v>11</v>
      </c>
      <c r="H7" s="7" t="s">
        <v>25</v>
      </c>
      <c r="I7" s="5"/>
      <c r="J7" s="5"/>
      <c r="K7" s="7">
        <v>0</v>
      </c>
      <c r="L7" s="5"/>
      <c r="M7" s="5"/>
      <c r="N7" s="7">
        <v>0</v>
      </c>
      <c r="O7" s="5"/>
      <c r="Q7" s="6">
        <v>0</v>
      </c>
      <c r="T7" s="6" t="s">
        <v>23</v>
      </c>
      <c r="U7" s="6" t="s">
        <v>24</v>
      </c>
      <c r="AB7" s="6">
        <v>0</v>
      </c>
      <c r="AD7" s="6">
        <v>0</v>
      </c>
      <c r="AE7" s="6">
        <v>0</v>
      </c>
      <c r="AF7" s="26">
        <v>-50000</v>
      </c>
      <c r="AG7" s="6">
        <v>0</v>
      </c>
      <c r="AH7" s="6">
        <v>0</v>
      </c>
      <c r="AI7" s="6">
        <v>0</v>
      </c>
      <c r="AJ7" s="6">
        <v>0</v>
      </c>
      <c r="AK7" s="26">
        <v>550000</v>
      </c>
      <c r="AL7" s="6">
        <v>1</v>
      </c>
      <c r="AN7" s="6" t="s">
        <v>17</v>
      </c>
      <c r="AP7" s="6" t="s">
        <v>25</v>
      </c>
      <c r="AQ7" s="6" t="s">
        <v>16</v>
      </c>
      <c r="AW7" s="26">
        <v>550000</v>
      </c>
      <c r="AX7" s="6">
        <v>0</v>
      </c>
      <c r="AY7" s="6">
        <v>0</v>
      </c>
      <c r="AZ7" s="6">
        <v>0</v>
      </c>
      <c r="BD7" s="26">
        <v>550000</v>
      </c>
      <c r="BJ7" s="6">
        <v>0</v>
      </c>
      <c r="BK7" s="6">
        <v>0</v>
      </c>
      <c r="BL7" s="6">
        <v>0</v>
      </c>
      <c r="BM7" s="6">
        <v>0</v>
      </c>
      <c r="BO7" s="6">
        <v>0</v>
      </c>
      <c r="BP7" s="6">
        <v>0</v>
      </c>
      <c r="BR7" s="6" t="s">
        <v>19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DE7" s="6">
        <v>0</v>
      </c>
      <c r="DF7" s="6">
        <v>0</v>
      </c>
      <c r="DG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</row>
    <row r="8" spans="1:168" ht="15.75" customHeight="1" x14ac:dyDescent="0.2">
      <c r="A8" s="5"/>
      <c r="B8" s="5"/>
      <c r="C8" s="7" t="s">
        <v>16</v>
      </c>
      <c r="D8" s="25">
        <v>50000</v>
      </c>
      <c r="E8" s="7" t="s">
        <v>18</v>
      </c>
      <c r="F8" s="5"/>
      <c r="G8" s="7">
        <v>20</v>
      </c>
      <c r="H8" s="7" t="s">
        <v>25</v>
      </c>
      <c r="I8" s="5"/>
      <c r="J8" s="5"/>
      <c r="K8" s="7">
        <v>0</v>
      </c>
      <c r="L8" s="5"/>
      <c r="M8" s="5"/>
      <c r="N8" s="7">
        <v>0</v>
      </c>
      <c r="O8" s="5"/>
      <c r="Q8" s="6">
        <v>0</v>
      </c>
      <c r="T8" s="6" t="s">
        <v>23</v>
      </c>
      <c r="U8" s="6" t="s">
        <v>24</v>
      </c>
      <c r="AB8" s="6">
        <v>0</v>
      </c>
      <c r="AD8" s="6">
        <v>0</v>
      </c>
      <c r="AE8" s="6">
        <v>0</v>
      </c>
      <c r="AF8" s="26">
        <v>50000</v>
      </c>
      <c r="AG8" s="6">
        <v>0</v>
      </c>
      <c r="AH8" s="6">
        <v>0</v>
      </c>
      <c r="AI8" s="6">
        <v>0</v>
      </c>
      <c r="AJ8" s="6">
        <v>0</v>
      </c>
      <c r="AK8" s="26">
        <v>-1000000</v>
      </c>
      <c r="AL8" s="6">
        <v>1</v>
      </c>
      <c r="AN8" s="6" t="s">
        <v>29</v>
      </c>
      <c r="AP8" s="6" t="s">
        <v>25</v>
      </c>
      <c r="AQ8" s="6" t="s">
        <v>16</v>
      </c>
      <c r="AW8" s="26">
        <v>-1000000</v>
      </c>
      <c r="AX8" s="6">
        <v>0</v>
      </c>
      <c r="AY8" s="6">
        <v>0</v>
      </c>
      <c r="AZ8" s="6">
        <v>0</v>
      </c>
      <c r="BD8" s="26">
        <v>-1000000</v>
      </c>
      <c r="BJ8" s="6">
        <v>0</v>
      </c>
      <c r="BK8" s="6">
        <v>0</v>
      </c>
      <c r="BL8" s="6">
        <v>0</v>
      </c>
      <c r="BM8" s="6">
        <v>0</v>
      </c>
      <c r="BO8" s="6">
        <v>0</v>
      </c>
      <c r="BP8" s="6">
        <v>0</v>
      </c>
      <c r="BR8" s="6" t="s">
        <v>19</v>
      </c>
      <c r="BS8" s="6">
        <v>0</v>
      </c>
      <c r="BT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DE8" s="6">
        <v>0</v>
      </c>
      <c r="DF8" s="6">
        <v>0</v>
      </c>
      <c r="DG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M8" s="6">
        <v>0</v>
      </c>
      <c r="EN8" s="6">
        <v>0</v>
      </c>
      <c r="EO8" s="6">
        <v>0</v>
      </c>
    </row>
    <row r="9" spans="1:168" ht="15.75" customHeight="1" x14ac:dyDescent="0.2">
      <c r="A9" s="5"/>
      <c r="B9" s="5"/>
      <c r="C9" s="7" t="s">
        <v>16</v>
      </c>
      <c r="D9" s="25">
        <v>50000</v>
      </c>
      <c r="E9" s="7" t="s">
        <v>20</v>
      </c>
      <c r="F9" s="5"/>
      <c r="G9" s="7">
        <v>20</v>
      </c>
      <c r="H9" s="7" t="s">
        <v>25</v>
      </c>
      <c r="I9" s="5"/>
      <c r="J9" s="5"/>
      <c r="K9" s="7">
        <v>0</v>
      </c>
      <c r="L9" s="5"/>
      <c r="M9" s="5"/>
      <c r="N9" s="7">
        <v>0</v>
      </c>
      <c r="O9" s="5"/>
      <c r="Q9" s="6">
        <v>0</v>
      </c>
      <c r="T9" s="6" t="s">
        <v>23</v>
      </c>
      <c r="U9" s="6" t="s">
        <v>24</v>
      </c>
      <c r="AB9" s="6">
        <v>0</v>
      </c>
      <c r="AD9" s="6">
        <v>0</v>
      </c>
      <c r="AE9" s="6">
        <v>0</v>
      </c>
      <c r="AF9" s="26">
        <v>50000</v>
      </c>
      <c r="AG9" s="6">
        <v>0</v>
      </c>
      <c r="AH9" s="6">
        <v>0</v>
      </c>
      <c r="AI9" s="6">
        <v>0</v>
      </c>
      <c r="AJ9" s="6">
        <v>0</v>
      </c>
      <c r="AK9" s="26">
        <v>-1000000</v>
      </c>
      <c r="AL9" s="6">
        <v>1</v>
      </c>
      <c r="AN9" s="6" t="s">
        <v>29</v>
      </c>
      <c r="AP9" s="6" t="s">
        <v>25</v>
      </c>
      <c r="AQ9" s="6" t="s">
        <v>16</v>
      </c>
      <c r="AW9" s="26">
        <v>-1000000</v>
      </c>
      <c r="AX9" s="6">
        <v>0</v>
      </c>
      <c r="AY9" s="6">
        <v>0</v>
      </c>
      <c r="AZ9" s="6">
        <v>0</v>
      </c>
      <c r="BD9" s="26">
        <v>-1000000</v>
      </c>
      <c r="BJ9" s="6">
        <v>0</v>
      </c>
      <c r="BK9" s="6">
        <v>0</v>
      </c>
      <c r="BL9" s="6">
        <v>0</v>
      </c>
      <c r="BM9" s="6">
        <v>0</v>
      </c>
      <c r="BO9" s="6">
        <v>0</v>
      </c>
      <c r="BP9" s="6">
        <v>0</v>
      </c>
      <c r="BR9" s="6" t="s">
        <v>19</v>
      </c>
      <c r="BS9" s="6">
        <v>0</v>
      </c>
      <c r="BT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DE9" s="6">
        <v>0</v>
      </c>
      <c r="DF9" s="6">
        <v>0</v>
      </c>
      <c r="DG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M9" s="6">
        <v>0</v>
      </c>
      <c r="EN9" s="6">
        <v>0</v>
      </c>
      <c r="EO9" s="6">
        <v>0</v>
      </c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_Modules</vt:lpstr>
      <vt:lpstr>_Settings</vt:lpstr>
      <vt:lpstr>_MasterData</vt:lpstr>
      <vt:lpstr>CreateDoneAwayOrder</vt:lpstr>
      <vt:lpstr>CheckPortfolioManagement</vt:lpstr>
      <vt:lpstr>GroupRowPM</vt:lpstr>
      <vt:lpstr>ClosePositionFromPM</vt:lpstr>
      <vt:lpstr>CreateDoneAwayOrder1</vt:lpstr>
      <vt:lpstr>GetDataClosing</vt:lpstr>
      <vt:lpstr>VerifyLongPositionsGrid</vt:lpstr>
      <vt:lpstr>VerifyShortPositionsGrid</vt:lpstr>
      <vt:lpstr>ManualClosing</vt:lpstr>
      <vt:lpstr>ManualClosing1</vt:lpstr>
      <vt:lpstr>VerifyClosedTrades</vt:lpstr>
      <vt:lpstr>VerifyWorkingSubs</vt:lpstr>
      <vt:lpstr>GetDataAllocation</vt:lpstr>
      <vt:lpstr>CheckAllocatedGroups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2021-08-04T11:20:04Z</dcterms:modified>
</cp:coreProperties>
</file>