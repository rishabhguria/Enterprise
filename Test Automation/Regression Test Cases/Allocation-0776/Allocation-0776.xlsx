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locationPreferences" sheetId="4" r:id="rId6"/>
    <sheet state="visible" name="SetGeneralPreferences" sheetId="5" r:id="rId7"/>
    <sheet state="visible" name="CustomOrderTT" sheetId="6" r:id="rId8"/>
    <sheet state="visible" name="CustomOrderTT1" sheetId="7" r:id="rId9"/>
    <sheet state="visible" name="CustomOrderTT2" sheetId="8" r:id="rId10"/>
    <sheet state="visible" name="CustomOrderTT3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SelectTrade1" sheetId="13" r:id="rId15"/>
    <sheet state="visible" name="AcknowledgeTrade1" sheetId="14" r:id="rId16"/>
    <sheet state="visible" name="ExecuteTrade1" sheetId="15" r:id="rId17"/>
    <sheet state="visible" name="SelectTrade2" sheetId="16" r:id="rId18"/>
    <sheet state="visible" name="AcknowledgeTrade2" sheetId="17" r:id="rId19"/>
    <sheet state="visible" name="ExecuteTrade2" sheetId="18" r:id="rId20"/>
    <sheet state="visible" name="SelectAllocatedGroup" sheetId="19" r:id="rId21"/>
    <sheet state="visible" name="ReviewExistingPositions" sheetId="20" r:id="rId22"/>
    <sheet state="visible" name="CheckPortfolioManagement" sheetId="21" r:id="rId23"/>
  </sheets>
  <definedNames/>
  <calcPr/>
</workbook>
</file>

<file path=xl/sharedStrings.xml><?xml version="1.0" encoding="utf-8"?>
<sst xmlns="http://schemas.openxmlformats.org/spreadsheetml/2006/main" count="175" uniqueCount="38">
  <si>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</si>
  <si>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</si>
  <si>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</si>
  <si>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</si>
  <si>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</si>
  <si>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</si>
  <si>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</si>
  <si>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</si>
  <si>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</si>
  <si>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</si>
  <si>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</si>
  <si>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</si>
  <si>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</si>
  <si>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SetAllocationPreferences</t>
  </si>
  <si>
    <t>Data Format</t>
  </si>
  <si>
    <t>Input Format</t>
  </si>
  <si>
    <t>Allocation</t>
  </si>
  <si>
    <t>SetGeneralPreferences</t>
  </si>
  <si>
    <t>TradingTicket</t>
  </si>
  <si>
    <t>CustomOrderTT</t>
  </si>
  <si>
    <t>AAPL</t>
  </si>
  <si>
    <t>DoneAway</t>
  </si>
  <si>
    <t>Sell short</t>
  </si>
  <si>
    <t>Allocation1</t>
  </si>
  <si>
    <t>Send</t>
  </si>
  <si>
    <t>Buy to Close</t>
  </si>
  <si>
    <t>Simulator</t>
  </si>
  <si>
    <t>SelectTrade</t>
  </si>
  <si>
    <t>AcknowledgeTrade</t>
  </si>
  <si>
    <t>ExecuteTrade</t>
  </si>
  <si>
    <t>SelectAllocatedGroup</t>
  </si>
  <si>
    <t>ReviewExistingPositions</t>
  </si>
  <si>
    <t>PortfolioManagement</t>
  </si>
  <si>
    <t>CheckPortfolioManagement</t>
  </si>
  <si>
    <t>Long</t>
  </si>
  <si>
    <t>US</t>
  </si>
  <si>
    <t>NASDAQ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</si>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</sst>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IFERROR(__xludf.DUMMYFUNCTION("""COMPUTED_VALUE"""),"CompanyId")</f>
        <v>CompanyId</v>
      </c>
      <c r="C5" s="27" t="str">
        <f>IFERROR(__xludf.DUMMYFUNCTION("""COMPUTED_VALUE"""),"AutoGroup")</f>
        <v>AutoGroup</v>
      </c>
      <c r="D5" s="27" t="str">
        <f>IFERROR(__xludf.DUMMYFUNCTION("""COMPUTED_VALUE"""),"TradeAttribute1")</f>
        <v>TradeAttribute1</v>
      </c>
      <c r="E5" s="27" t="str">
        <f>IFERROR(__xludf.DUMMYFUNCTION("""COMPUTED_VALUE"""),"TradeAttribute2")</f>
        <v>TradeAttribute2</v>
      </c>
      <c r="F5" s="28" t="str">
        <f>IFERROR(__xludf.DUMMYFUNCTION("""COMPUTED_VALUE"""),"TradeAttribute3")</f>
        <v>TradeAttribute3</v>
      </c>
      <c r="G5" s="27" t="str">
        <f>IFERROR(__xludf.DUMMYFUNCTION("""COMPUTED_VALUE"""),"TradeAttribute4")</f>
        <v>TradeAttribute4</v>
      </c>
      <c r="H5" s="27" t="str">
        <f>IFERROR(__xludf.DUMMYFUNCTION("""COMPUTED_VALUE"""),"TradeAttribute5")</f>
        <v>TradeAttribute5</v>
      </c>
      <c r="I5" s="27" t="str">
        <f>IFERROR(__xludf.DUMMYFUNCTION("""COMPUTED_VALUE"""),"TradeAttribute6")</f>
        <v>TradeAttribute6</v>
      </c>
      <c r="J5" s="27" t="str">
        <f>IFERROR(__xludf.DUMMYFUNCTION("""COMPUTED_VALUE"""),"Broker")</f>
        <v>Broker</v>
      </c>
      <c r="K5" s="27" t="str">
        <f>IFERROR(__xludf.DUMMYFUNCTION("""COMPUTED_VALUE"""),"Venue")</f>
        <v>Venue</v>
      </c>
      <c r="L5" s="27" t="str">
        <f>IFERROR(__xludf.DUMMYFUNCTION("""COMPUTED_VALUE"""),"TradingAC")</f>
        <v>TradingAC</v>
      </c>
      <c r="M5" s="27" t="str">
        <f>IFERROR(__xludf.DUMMYFUNCTION("""COMPUTED_VALUE"""),"TradeDate")</f>
        <v>TradeDate</v>
      </c>
      <c r="N5" s="27" t="str">
        <f>IFERROR(__xludf.DUMMYFUNCTION("""COMPUTED_VALUE"""),"ProcessDate")</f>
        <v>ProcessDate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5.0</v>
      </c>
      <c r="C6" s="12">
        <v>1.0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SetAllocationPreferences!$4:$4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37500.0</v>
      </c>
      <c r="D6" s="9">
        <v>1.0</v>
      </c>
      <c r="E6" s="12" t="s">
        <v>21</v>
      </c>
      <c r="F6" s="12"/>
      <c r="G6" s="8"/>
      <c r="H6" s="8"/>
      <c r="I6" s="8"/>
      <c r="J6" s="12" t="s">
        <v>22</v>
      </c>
      <c r="K6" s="8"/>
      <c r="L6" s="8"/>
      <c r="M6" s="8"/>
      <c r="N6" s="8"/>
      <c r="O6" s="8"/>
      <c r="P6" s="12" t="s">
        <v>23</v>
      </c>
      <c r="Z6" s="31">
        <f>TODAY()-1</f>
        <v>45924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20</v>
      </c>
      <c r="C6" s="33">
        <v>5000.0</v>
      </c>
      <c r="D6" s="9">
        <v>1.0</v>
      </c>
      <c r="E6" s="34" t="s">
        <v>24</v>
      </c>
      <c r="G6" s="35"/>
      <c r="H6" s="35"/>
      <c r="I6" s="35"/>
      <c r="J6" s="36" t="s">
        <v>25</v>
      </c>
      <c r="K6" s="8"/>
      <c r="L6" s="8"/>
      <c r="M6" s="8"/>
      <c r="N6" s="8"/>
      <c r="O6" s="8"/>
      <c r="P6" s="36" t="s">
        <v>23</v>
      </c>
    </row>
    <row r="7" ht="15.75" customHeight="1">
      <c r="A7" s="8"/>
      <c r="B7" s="35"/>
      <c r="C7" s="35"/>
      <c r="D7" s="35"/>
      <c r="E7" s="35"/>
      <c r="F7" s="35"/>
      <c r="G7" s="35"/>
      <c r="H7" s="35"/>
      <c r="I7" s="35"/>
      <c r="J7" s="35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20</v>
      </c>
      <c r="C6" s="33">
        <v>25000.0</v>
      </c>
      <c r="D6" s="9">
        <v>1.0</v>
      </c>
      <c r="E6" s="34" t="s">
        <v>24</v>
      </c>
      <c r="G6" s="35"/>
      <c r="H6" s="35"/>
      <c r="I6" s="35"/>
      <c r="J6" s="36" t="s">
        <v>25</v>
      </c>
      <c r="K6" s="8"/>
      <c r="L6" s="8"/>
      <c r="M6" s="8"/>
      <c r="N6" s="8"/>
      <c r="O6" s="8"/>
      <c r="P6" s="36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20</v>
      </c>
      <c r="C6" s="33">
        <v>7501.0</v>
      </c>
      <c r="D6" s="9">
        <v>1.0</v>
      </c>
      <c r="E6" s="34" t="s">
        <v>24</v>
      </c>
      <c r="G6" s="35"/>
      <c r="H6" s="35"/>
      <c r="I6" s="35"/>
      <c r="J6" s="36" t="s">
        <v>25</v>
      </c>
      <c r="K6" s="8"/>
      <c r="L6" s="8"/>
      <c r="M6" s="8"/>
      <c r="N6" s="8"/>
      <c r="O6" s="8"/>
      <c r="P6" s="36" t="s">
        <v>23</v>
      </c>
    </row>
    <row r="7" ht="15.75" customHeight="1">
      <c r="A7" s="8"/>
      <c r="B7" s="35"/>
      <c r="C7" s="35"/>
      <c r="D7" s="35"/>
      <c r="E7" s="35"/>
      <c r="F7" s="35"/>
      <c r="G7" s="35"/>
      <c r="H7" s="35"/>
      <c r="I7" s="35"/>
      <c r="J7" s="35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CustomOrderTT3!$4:$4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20</v>
      </c>
      <c r="D6" s="12"/>
      <c r="E6" s="30"/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20</v>
      </c>
      <c r="D6" s="12"/>
      <c r="E6" s="30"/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5000.0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20</v>
      </c>
      <c r="D6" s="12"/>
      <c r="E6" s="30"/>
      <c r="F6" s="8"/>
      <c r="G6" s="12">
        <v>25000.0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20</v>
      </c>
      <c r="D6" s="12"/>
      <c r="E6" s="30"/>
      <c r="F6" s="8"/>
      <c r="G6" s="12">
        <v>25000.0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25000.0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20</v>
      </c>
      <c r="D6" s="12"/>
      <c r="E6" s="30"/>
      <c r="F6" s="8"/>
      <c r="G6" s="12">
        <v>7501.0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20</v>
      </c>
      <c r="D6" s="12"/>
      <c r="E6" s="30"/>
      <c r="F6" s="8"/>
      <c r="G6" s="12">
        <v>7501.0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7501.0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/>
      <c r="D6" s="12"/>
      <c r="E6" s="12" t="s">
        <v>23</v>
      </c>
      <c r="F6" s="12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23</v>
      </c>
      <c r="D6" s="12">
        <v>-37500.0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12" t="s">
        <v>20</v>
      </c>
      <c r="D6" s="37">
        <v>37501.0</v>
      </c>
      <c r="E6" s="30"/>
      <c r="F6" s="8"/>
      <c r="G6" s="8"/>
      <c r="H6" s="12" t="s">
        <v>34</v>
      </c>
      <c r="I6" s="8"/>
      <c r="J6" s="8"/>
      <c r="K6" s="8"/>
      <c r="L6" s="8"/>
      <c r="M6" s="8"/>
      <c r="N6" s="8"/>
      <c r="O6" s="8"/>
      <c r="U6" s="9" t="s">
        <v>35</v>
      </c>
      <c r="V6" s="9" t="s">
        <v>36</v>
      </c>
      <c r="W6" s="9" t="s">
        <v>37</v>
      </c>
      <c r="X6" s="9">
        <v>1.0</v>
      </c>
      <c r="Y6" s="9">
        <v>1.0</v>
      </c>
      <c r="AN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