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" sheetId="4" r:id="rId6"/>
    <sheet state="visible" name="SetCompliancePermission" sheetId="5" r:id="rId7"/>
    <sheet state="visible" name="RestartReleasesAndServices" sheetId="6" r:id="rId8"/>
    <sheet state="visible" name="CreateLiveOrder" sheetId="7" r:id="rId9"/>
    <sheet state="visible" name="AcknowledgeTrade" sheetId="8" r:id="rId10"/>
    <sheet state="visible" name="SelectTradeOnOrderGrid" sheetId="9" r:id="rId11"/>
    <sheet state="visible" name="ReplaceSubOrder" sheetId="10" r:id="rId12"/>
    <sheet state="visible" name="CreateReplaceOrder" sheetId="11" r:id="rId13"/>
    <sheet state="visible" name="VerifyComplianceOrder" sheetId="12" r:id="rId14"/>
    <sheet state="visible" name="CancelWorkingSubs" sheetId="13" r:id="rId15"/>
    <sheet state="visible" name="VerifyAlertHistory" sheetId="14" r:id="rId16"/>
    <sheet state="visible" name="SelectTradeOnOrderGrid1" sheetId="15" r:id="rId17"/>
  </sheets>
  <definedNames/>
  <calcPr/>
</workbook>
</file>

<file path=xl/sharedStrings.xml><?xml version="1.0" encoding="utf-8"?>
<sst xmlns="http://schemas.openxmlformats.org/spreadsheetml/2006/main" count="134" uniqueCount="49">
  <si>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</si>
  <si>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</si>
  <si>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</si>
  <si>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</si>
  <si>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</si>
  <si>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</si>
  <si>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</si>
  <si>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</si>
  <si>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</si>
  <si>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</si>
  <si>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</si>
  <si>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</si>
  <si>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</si>
  <si>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SetGeneralPreference</t>
  </si>
  <si>
    <t>Data Format</t>
  </si>
  <si>
    <t>Input Format</t>
  </si>
  <si>
    <t>DefaultNotes,DefaultBrokerNotes</t>
  </si>
  <si>
    <t>Admin</t>
  </si>
  <si>
    <t>SetCompliancePermission</t>
  </si>
  <si>
    <t>TradeQuantity100</t>
  </si>
  <si>
    <t>REQUIRES APPROVAL</t>
  </si>
  <si>
    <t>17</t>
  </si>
  <si>
    <t>Compliance</t>
  </si>
  <si>
    <t>RestartReleasesAndServices</t>
  </si>
  <si>
    <t>CreateLiveOrder</t>
  </si>
  <si>
    <t>IBM</t>
  </si>
  <si>
    <t>Buy</t>
  </si>
  <si>
    <t>Allocation1</t>
  </si>
  <si>
    <t>Yes</t>
  </si>
  <si>
    <t>Simulator</t>
  </si>
  <si>
    <t>AcknowledgeTrade</t>
  </si>
  <si>
    <t>Blotter</t>
  </si>
  <si>
    <t>SelectTradeOnOrderGrid</t>
  </si>
  <si>
    <t>New</t>
  </si>
  <si>
    <t>ReplaceSubOrder</t>
  </si>
  <si>
    <t>CreateReplaceOrder</t>
  </si>
  <si>
    <t>VerifyComplianceOrder</t>
  </si>
  <si>
    <t>Requires Approval</t>
  </si>
  <si>
    <t>Enter Summary</t>
  </si>
  <si>
    <t>quantity: 1,000.00, Symbol: IBM</t>
  </si>
  <si>
    <t>Compliance Officer - Please Approve</t>
  </si>
  <si>
    <t>Replace</t>
  </si>
  <si>
    <t>CancelWorkingSubs</t>
  </si>
  <si>
    <t>VerifyAlertHistory</t>
  </si>
  <si>
    <t>Support1</t>
  </si>
  <si>
    <t>PreTrade</t>
  </si>
  <si>
    <t>Trade</t>
  </si>
  <si>
    <t>Expired because the order was cancelled.</t>
  </si>
  <si>
    <t>If Quantity greater than 100, Then block the trade.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</si>
</sst>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9.0"/>
      <color rgb="FFFFFFFF"/>
      <name val="Segoe UI"/>
    </font>
    <font>
      <sz val="9.0"/>
      <color rgb="FF000000"/>
      <name val="Segoe UI"/>
    </font>
    <font>
      <sz val="9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A500"/>
        <bgColor rgb="FFFFA50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5" fillId="6" fontId="14" numFmtId="0" xfId="0" applyAlignment="1" applyBorder="1" applyFill="1" applyFont="1">
      <alignment readingOrder="0" vertical="top"/>
    </xf>
    <xf borderId="5" fillId="7" fontId="15" numFmtId="0" xfId="0" applyAlignment="1" applyBorder="1" applyFill="1" applyFont="1">
      <alignment readingOrder="0" vertical="top"/>
    </xf>
    <xf borderId="5" fillId="7" fontId="15" numFmtId="0" xfId="0" applyAlignment="1" applyBorder="1" applyFont="1">
      <alignment horizontal="right" readingOrder="0" vertical="top"/>
    </xf>
    <xf borderId="5" fillId="7" fontId="16" numFmtId="0" xfId="0" applyAlignment="1" applyBorder="1" applyFont="1">
      <alignment horizontal="right" readingOrder="0" vertical="top"/>
    </xf>
    <xf borderId="5" fillId="7" fontId="16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t="s">
        <v>16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19</v>
      </c>
      <c r="C6" s="32" t="s">
        <v>20</v>
      </c>
      <c r="D6" s="31" t="s">
        <v>21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26</v>
      </c>
      <c r="D6" s="12">
        <v>100.0</v>
      </c>
      <c r="E6" s="30"/>
      <c r="F6" s="12" t="s">
        <v>27</v>
      </c>
      <c r="G6" s="8"/>
      <c r="H6" s="8"/>
      <c r="I6" s="8"/>
      <c r="J6" s="12">
        <v>2.0</v>
      </c>
      <c r="K6" s="8"/>
      <c r="L6" s="8"/>
      <c r="M6" s="8"/>
      <c r="N6" s="8"/>
      <c r="O6" s="8"/>
      <c r="AO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25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25</v>
      </c>
      <c r="E6" s="30"/>
      <c r="F6" s="12" t="s">
        <v>26</v>
      </c>
      <c r="G6" s="12" t="s">
        <v>33</v>
      </c>
      <c r="H6" s="12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25</v>
      </c>
      <c r="AK6" s="9" t="s">
        <v>26</v>
      </c>
      <c r="AL6" s="9" t="s">
        <v>33</v>
      </c>
      <c r="AM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26</v>
      </c>
      <c r="D6" s="12">
        <v>1000.0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37</v>
      </c>
      <c r="C6" s="34" t="s">
        <v>19</v>
      </c>
      <c r="D6" s="34" t="s">
        <v>38</v>
      </c>
      <c r="E6" s="34" t="s">
        <v>25</v>
      </c>
      <c r="F6" s="35">
        <v>100.0</v>
      </c>
      <c r="G6" s="36">
        <v>1000.0</v>
      </c>
      <c r="H6" s="37" t="s">
        <v>39</v>
      </c>
      <c r="I6" s="12" t="s">
        <v>40</v>
      </c>
      <c r="J6" s="8"/>
      <c r="K6" s="12" t="s">
        <v>28</v>
      </c>
      <c r="L6" s="8"/>
      <c r="M6" s="12" t="s">
        <v>41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IFERROR(__xludf.DUMMYFUNCTION("""COMPUTED_VALUE"""),"Remaining Qty")</f>
        <v>Remaining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IFERROR(__xludf.DUMMYFUNCTION("""COMPUTED_VALUE"""),"Status (With Rollover)")</f>
        <v>Status (With Rollover)</v>
      </c>
      <c r="AY5" s="29" t="str">
        <f>IFERROR(__xludf.DUMMYFUNCTION("""COMPUTED_VALUE"""),"CustomTabName")</f>
        <v>CustomTabName</v>
      </c>
      <c r="AZ5" s="29" t="str">
        <f>IFERROR(__xludf.DUMMYFUNCTION("""COMPUTED_VALUE"""),"CancelAllSubsOnHeader")</f>
        <v>CancelAllSubsOnHeader</v>
      </c>
      <c r="BA5" s="29" t="str">
        <f>IFERROR(__xludf.DUMMYFUNCTION("""COMPUTED_VALUE"""),"CancelOrderPopup(Yes/No)")</f>
        <v>CancelOrderPopup(Yes/No)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25</v>
      </c>
      <c r="E6" s="30"/>
      <c r="F6" s="12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CancelWorkingSubs!$4:$4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IFERROR(__xludf.DUMMYFUNCTION("""COMPUTED_VALUE"""),"Name")</f>
        <v>Name</v>
      </c>
      <c r="C5" s="27" t="str">
        <f>IFERROR(__xludf.DUMMYFUNCTION("""COMPUTED_VALUE"""),"User Name")</f>
        <v>User Name</v>
      </c>
      <c r="D5" s="27" t="str">
        <f>IFERROR(__xludf.DUMMYFUNCTION("""COMPUTED_VALUE"""),"Rule Type")</f>
        <v>Rule Type</v>
      </c>
      <c r="E5" s="27" t="str">
        <f>IFERROR(__xludf.DUMMYFUNCTION("""COMPUTED_VALUE"""),"Summary")</f>
        <v>Summary</v>
      </c>
      <c r="F5" s="28" t="str">
        <f>IFERROR(__xludf.DUMMYFUNCTION("""COMPUTED_VALUE"""),"Compression Level")</f>
        <v>Compression Level</v>
      </c>
      <c r="G5" s="27" t="str">
        <f>IFERROR(__xludf.DUMMYFUNCTION("""COMPUTED_VALUE"""),"Parameters")</f>
        <v>Parameters</v>
      </c>
      <c r="H5" s="27" t="str">
        <f>IFERROR(__xludf.DUMMYFUNCTION("""COMPUTED_VALUE"""),"Validation Time")</f>
        <v>Validation Time</v>
      </c>
      <c r="I5" s="27" t="str">
        <f>IFERROR(__xludf.DUMMYFUNCTION("""COMPUTED_VALUE"""),"OrderId")</f>
        <v>OrderId</v>
      </c>
      <c r="J5" s="27" t="str">
        <f>IFERROR(__xludf.DUMMYFUNCTION("""COMPUTED_VALUE"""),"Status")</f>
        <v>Status</v>
      </c>
      <c r="K5" s="27" t="str">
        <f>IFERROR(__xludf.DUMMYFUNCTION("""COMPUTED_VALUE"""),"Description")</f>
        <v>Description</v>
      </c>
      <c r="L5" s="27" t="str">
        <f>IFERROR(__xludf.DUMMYFUNCTION("""COMPUTED_VALUE"""),"Dimension")</f>
        <v>Dimension</v>
      </c>
      <c r="M5" s="27" t="str">
        <f>IFERROR(__xludf.DUMMYFUNCTION("""COMPUTED_VALUE"""),"Rule Deleted")</f>
        <v>Rule Deleted</v>
      </c>
      <c r="N5" s="27" t="str">
        <f>IFERROR(__xludf.DUMMYFUNCTION("""COMPUTED_VALUE"""),"PreTrade Type")</f>
        <v>PreTrade Type</v>
      </c>
      <c r="O5" s="27" t="str">
        <f>IFERROR(__xludf.DUMMYFUNCTION("""COMPUTED_VALUE"""),"Compliance Officer Notes")</f>
        <v>Compliance Officer Notes</v>
      </c>
      <c r="P5" s="27" t="str">
        <f>IFERROR(__xludf.DUMMYFUNCTION("""COMPUTED_VALUE"""),"User Notes")</f>
        <v>User Notes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19</v>
      </c>
      <c r="C6" s="12" t="s">
        <v>44</v>
      </c>
      <c r="D6" s="12" t="s">
        <v>45</v>
      </c>
      <c r="E6" s="12" t="s">
        <v>38</v>
      </c>
      <c r="F6" s="12" t="s">
        <v>46</v>
      </c>
      <c r="G6" s="12" t="s">
        <v>39</v>
      </c>
      <c r="H6" s="8"/>
      <c r="I6" s="8"/>
      <c r="J6" s="12" t="s">
        <v>47</v>
      </c>
      <c r="K6" s="12" t="s">
        <v>48</v>
      </c>
      <c r="L6" s="12" t="s">
        <v>25</v>
      </c>
      <c r="M6" s="12" t="b">
        <v>0</v>
      </c>
      <c r="N6" s="12" t="s">
        <v>46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VerifyAlertHistory!$4:$4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25</v>
      </c>
      <c r="E6" s="30"/>
      <c r="F6" s="12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