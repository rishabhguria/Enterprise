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GetForexConversion" sheetId="5" r:id="rId7"/>
    <sheet state="visible" name="GetDataClosing" sheetId="6" r:id="rId8"/>
    <sheet state="visible" name="SelectTradeUnexpiredUnsettled" sheetId="7" r:id="rId9"/>
    <sheet state="visible" name="CashSettlementAtClosingDtSpotPx" sheetId="8" r:id="rId10"/>
    <sheet state="visible" name="VerifyExpiredSettledGrid" sheetId="9" r:id="rId11"/>
    <sheet state="visible" name="GetDataAllocation" sheetId="10" r:id="rId12"/>
    <sheet state="visible" name="CheckAllocatedGroups" sheetId="11" r:id="rId13"/>
    <sheet state="visible" name="GetTradingTransaction" sheetId="12" r:id="rId14"/>
    <sheet state="visible" name="VerifyTradingTransaction" sheetId="13" r:id="rId15"/>
    <sheet state="visible" name="RunRevaluation" sheetId="14" r:id="rId16"/>
    <sheet state="visible" name="UpdateForexConversionMonthly" sheetId="15" r:id="rId17"/>
    <sheet state="visible" name="VerifyRevaluationData" sheetId="16" r:id="rId18"/>
    <sheet state="visible" name="GetRevaluationData" sheetId="17" r:id="rId19"/>
  </sheets>
  <definedNames/>
  <calcPr/>
</workbook>
</file>

<file path=xl/sharedStrings.xml><?xml version="1.0" encoding="utf-8"?>
<sst xmlns="http://schemas.openxmlformats.org/spreadsheetml/2006/main" count="423" uniqueCount="59">
  <si>
    <t>Settings</t>
  </si>
  <si>
    <t>Master Data Info</t>
  </si>
  <si>
    <t>Modules Info</t>
  </si>
  <si>
    <t>Module</t>
  </si>
  <si>
    <t>Module Step Setting File</t>
  </si>
  <si>
    <t>Step</t>
  </si>
  <si>
    <t>1BICZ_GcMhh_S937ZinFvSYqvvKYtOYB2Bc4woEPpgPg</t>
  </si>
  <si>
    <t>Master Data Settings File</t>
  </si>
  <si>
    <t>1Nt_rf5DtgjbN9Ag4AMMlUkZYROxKZLH5m54YOl7tRT0</t>
  </si>
  <si>
    <t>Modules</t>
  </si>
  <si>
    <t>Master Data Sheet</t>
  </si>
  <si>
    <t>Data</t>
  </si>
  <si>
    <t>DailyValuation</t>
  </si>
  <si>
    <t>TradingTicket</t>
  </si>
  <si>
    <t>GetForexConversion</t>
  </si>
  <si>
    <t>Data Format</t>
  </si>
  <si>
    <t>CreateDoneAwayOrder</t>
  </si>
  <si>
    <t>Input Format</t>
  </si>
  <si>
    <t>USD/CAD</t>
  </si>
  <si>
    <t>Sell</t>
  </si>
  <si>
    <t>CAD</t>
  </si>
  <si>
    <t>Closing</t>
  </si>
  <si>
    <t>GetDataClosing</t>
  </si>
  <si>
    <t>SelectTradeUnexpiredUnsettled</t>
  </si>
  <si>
    <t>Historical</t>
  </si>
  <si>
    <t>Allocation1</t>
  </si>
  <si>
    <t>FX</t>
  </si>
  <si>
    <t>CashSettlementAtClosingDtSpotPx</t>
  </si>
  <si>
    <t>VerifyExpiredSettledGrid</t>
  </si>
  <si>
    <t>Allocation</t>
  </si>
  <si>
    <t>GetDataAllocation</t>
  </si>
  <si>
    <t>CheckAllocatedGroups</t>
  </si>
  <si>
    <t>Buy</t>
  </si>
  <si>
    <t>GeneralLedger</t>
  </si>
  <si>
    <t>GetTradingTransaction</t>
  </si>
  <si>
    <t>VerifyTradingTransaction</t>
  </si>
  <si>
    <t>NewMF</t>
  </si>
  <si>
    <t>DR</t>
  </si>
  <si>
    <t>Trading</t>
  </si>
  <si>
    <t>USD</t>
  </si>
  <si>
    <t>Due From Broker [Cash]</t>
  </si>
  <si>
    <t>CR</t>
  </si>
  <si>
    <t>Due To Broker [Cash]</t>
  </si>
  <si>
    <t>Cash [Cash]</t>
  </si>
  <si>
    <t>FX Profit And Loss [Income]</t>
  </si>
  <si>
    <t>UpdateForexConversionMonthly</t>
  </si>
  <si>
    <t>RunRevaluation</t>
  </si>
  <si>
    <t>CAD A0-FX</t>
  </si>
  <si>
    <t>VerifyRevaluationData</t>
  </si>
  <si>
    <t>GetRevaluationData</t>
  </si>
  <si>
    <t>FX Short Revaluation [Asset]</t>
  </si>
  <si>
    <t>Revaluation</t>
  </si>
  <si>
    <t>UnRealized PNL Entry</t>
  </si>
  <si>
    <t>FX UnRealized Profit And Loss [Income]</t>
  </si>
  <si>
    <t>Contra UnRealized PNL Entry</t>
  </si>
  <si>
    <t>UNRealized PNL Entry</t>
  </si>
  <si>
    <t>Contra Cash PNL Entry</t>
  </si>
  <si>
    <t>Cash UnRealized Profit And Loss [Income]</t>
  </si>
  <si>
    <t>Cash PNL Entry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</si>
</sst>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6">
    <font>
      <sz val="10.0"/>
      <color rgb="FF000000"/>
      <name val="Arial"/>
    </font>
    <font>
      <sz val="14.0"/>
      <color rgb="FFFFFFFF"/>
      <name val="Calibri"/>
    </font>
    <font>
      <b/>
      <sz val="14.0"/>
      <color rgb="FFFFFFFF"/>
      <name val="Calibri"/>
    </font>
    <font/>
    <font>
      <name val="Arial"/>
    </font>
    <font>
      <name val="Calibri"/>
    </font>
    <font>
      <b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777777"/>
      <name val="Roboto"/>
    </font>
    <font>
      <color rgb="FF000000"/>
      <name val="Roboto"/>
    </font>
    <font>
      <color rgb="FF000000"/>
      <name val="Docs-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1" fillId="2" fontId="2" numFmtId="0" xfId="0" applyAlignment="1" applyBorder="1" applyFont="1">
      <alignment horizontal="center" shrinkToFit="0" wrapText="0"/>
    </xf>
    <xf borderId="1" fillId="2" fontId="2" numFmtId="0" xfId="0" applyAlignment="1" applyBorder="1" applyFont="1">
      <alignment horizontal="center" readingOrder="0" shrinkToFit="0" wrapText="0"/>
    </xf>
    <xf borderId="2" fillId="0" fontId="3" numFmtId="0" xfId="0" applyBorder="1" applyFont="1"/>
    <xf borderId="3" fillId="0" fontId="3" numFmtId="0" xfId="0" applyBorder="1" applyFont="1"/>
    <xf borderId="0" fillId="0" fontId="4" numFmtId="0" xfId="0" applyAlignment="1" applyFont="1">
      <alignment shrinkToFit="0" wrapText="0"/>
    </xf>
    <xf borderId="0" fillId="0" fontId="5" numFmtId="0" xfId="0" applyAlignment="1" applyFont="1">
      <alignment shrinkToFit="0" wrapText="0"/>
    </xf>
    <xf borderId="4" fillId="3" fontId="6" numFmtId="0" xfId="0" applyAlignment="1" applyBorder="1" applyFill="1" applyFont="1">
      <alignment readingOrder="0" shrinkToFit="0" wrapText="0"/>
    </xf>
    <xf borderId="4" fillId="3" fontId="6" numFmtId="0" xfId="0" applyAlignment="1" applyBorder="1" applyFont="1">
      <alignment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4" numFmtId="0" xfId="0" applyAlignment="1" applyBorder="1" applyFont="1">
      <alignment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2" numFmtId="0" xfId="0" applyAlignment="1" applyFont="1">
      <alignment horizontal="center" shrinkToFit="0" wrapText="0"/>
    </xf>
    <xf borderId="0" fillId="2" fontId="3" numFmtId="0" xfId="0" applyFont="1"/>
    <xf borderId="0" fillId="0" fontId="7" numFmtId="0" xfId="0" applyAlignment="1" applyFont="1">
      <alignment shrinkToFit="0" wrapText="0"/>
    </xf>
    <xf borderId="0" fillId="3" fontId="6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6" numFmtId="0" xfId="0" applyAlignment="1" applyFill="1" applyFont="1">
      <alignment shrinkToFit="0" wrapText="0"/>
    </xf>
    <xf borderId="4" fillId="5" fontId="6" numFmtId="0" xfId="0" applyAlignment="1" applyBorder="1" applyFont="1">
      <alignment shrinkToFit="0" wrapText="0"/>
    </xf>
    <xf borderId="4" fillId="5" fontId="6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164" xfId="0" applyAlignment="1" applyFont="1" applyNumberFormat="1">
      <alignment readingOrder="0" shrinkToFit="0" wrapText="0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readingOrder="0"/>
    </xf>
    <xf borderId="0" fillId="6" fontId="13" numFmtId="0" xfId="0" applyAlignment="1" applyFill="1" applyFont="1">
      <alignment readingOrder="0"/>
    </xf>
    <xf borderId="0" fillId="6" fontId="14" numFmtId="0" xfId="0" applyAlignment="1" applyFont="1">
      <alignment readingOrder="0"/>
    </xf>
    <xf borderId="5" fillId="0" fontId="5" numFmtId="0" xfId="0" applyAlignment="1" applyBorder="1" applyFont="1">
      <alignment vertical="bottom"/>
    </xf>
    <xf borderId="5" fillId="0" fontId="4" numFmtId="0" xfId="0" applyAlignment="1" applyBorder="1" applyFont="1">
      <alignment vertical="bottom"/>
    </xf>
    <xf borderId="0" fillId="0" fontId="4" numFmtId="0" xfId="0" applyAlignment="1" applyFont="1">
      <alignment vertical="bottom"/>
    </xf>
    <xf borderId="0" fillId="0" fontId="5" numFmtId="164" xfId="0" applyAlignment="1" applyFont="1" applyNumberFormat="1">
      <alignment horizontal="right" vertical="bottom"/>
    </xf>
    <xf borderId="0" fillId="6" fontId="15" numFmtId="0" xfId="0" applyAlignment="1" applyFont="1">
      <alignment vertical="bottom"/>
    </xf>
    <xf borderId="0" fillId="6" fontId="14" numFmtId="0" xfId="0" applyAlignment="1" applyFont="1">
      <alignment vertical="bottom"/>
    </xf>
    <xf borderId="0" fillId="0" fontId="5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8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5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2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8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9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25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3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28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2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2" t="s">
        <v>2</v>
      </c>
      <c r="B1" s="4"/>
      <c r="C1" s="4"/>
      <c r="D1" s="4"/>
      <c r="E1" s="4"/>
      <c r="F1" s="5"/>
    </row>
    <row r="2" ht="15.75" customHeight="1">
      <c r="A2" s="6"/>
      <c r="B2" s="6"/>
      <c r="C2" s="6"/>
      <c r="D2" s="6"/>
      <c r="E2" s="6"/>
      <c r="F2" s="6"/>
    </row>
    <row r="3" ht="15.75" customHeight="1">
      <c r="A3" s="9" t="s">
        <v>9</v>
      </c>
      <c r="B3" s="13"/>
      <c r="C3" s="14"/>
      <c r="D3" s="14"/>
      <c r="E3" s="14"/>
      <c r="F3" s="14"/>
    </row>
    <row r="4" ht="15.75" customHeight="1">
      <c r="A4" s="7" t="str">
        <f>IFERROR(__xludf.DUMMYFUNCTION("IMPORTRANGE('_Settings'!B3,""Modules!A4:L1000"")"),"Allocation")</f>
        <v>Allocation</v>
      </c>
      <c r="B4" s="6" t="str">
        <f>IFERROR(__xludf.DUMMYFUNCTION("""COMPUTED_VALUE"""),"Allocate")</f>
        <v>Allocate</v>
      </c>
      <c r="C4" s="6" t="str">
        <f>IFERROR(__xludf.DUMMYFUNCTION("""COMPUTED_VALUE"""),"1g8wLprruaWRC_5pQcovqkv8ZCiMt5fspCOACibdkz7g")</f>
        <v>1g8wLprruaWRC_5pQcovqkv8ZCiMt5fspCOACibdkz7g</v>
      </c>
      <c r="D4" s="6" t="str">
        <f>IFERROR(__xludf.DUMMYFUNCTION("""COMPUTED_VALUE"""),"")</f>
        <v/>
      </c>
      <c r="E4" s="6" t="str">
        <f>IFERROR(__xludf.DUMMYFUNCTION("""COMPUTED_VALUE"""),"")</f>
        <v/>
      </c>
      <c r="F4" s="6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 ht="15.75" customHeight="1">
      <c r="A5" s="7" t="str">
        <f>IFERROR(__xludf.DUMMYFUNCTION("""COMPUTED_VALUE"""),"Allocation")</f>
        <v>Allocation</v>
      </c>
      <c r="B5" s="6" t="str">
        <f>IFERROR(__xludf.DUMMYFUNCTION("""COMPUTED_VALUE"""),"CheckAllocatedGroups")</f>
        <v>CheckAllocatedGroups</v>
      </c>
      <c r="C5" s="6" t="str">
        <f>IFERROR(__xludf.DUMMYFUNCTION("""COMPUTED_VALUE"""),"1aecq-HMDoDkIInONjPC11z5TBFHyJhv4ro66e2ZOphg")</f>
        <v>1aecq-HMDoDkIInONjPC11z5TBFHyJhv4ro66e2ZOphg</v>
      </c>
      <c r="D5" s="6" t="str">
        <f>IFERROR(__xludf.DUMMYFUNCTION("""COMPUTED_VALUE"""),"")</f>
        <v/>
      </c>
      <c r="E5" s="6" t="str">
        <f>IFERROR(__xludf.DUMMYFUNCTION("""COMPUTED_VALUE"""),"")</f>
        <v/>
      </c>
      <c r="F5" s="6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 ht="15.75" customHeight="1">
      <c r="A6" s="6" t="str">
        <f>IFERROR(__xludf.DUMMYFUNCTION("""COMPUTED_VALUE"""),"Allocation")</f>
        <v>Allocation</v>
      </c>
      <c r="B6" s="6" t="str">
        <f>IFERROR(__xludf.DUMMYFUNCTION("""COMPUTED_VALUE"""),"Unallocate")</f>
        <v>Unallocate</v>
      </c>
      <c r="C6" s="6" t="str">
        <f>IFERROR(__xludf.DUMMYFUNCTION("""COMPUTED_VALUE"""),"1eDZq-_vllq4jwvwpk9qGnwQUhlb-sFvyFKPBriT2dA0")</f>
        <v>1eDZq-_vllq4jwvwpk9qGnwQUhlb-sFvyFKPBriT2dA0</v>
      </c>
      <c r="D6" s="6" t="str">
        <f>IFERROR(__xludf.DUMMYFUNCTION("""COMPUTED_VALUE"""),"")</f>
        <v/>
      </c>
      <c r="E6" s="6" t="str">
        <f>IFERROR(__xludf.DUMMYFUNCTION("""COMPUTED_VALUE"""),"")</f>
        <v/>
      </c>
      <c r="F6" s="6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 ht="15.75" customHeight="1">
      <c r="A7" s="6" t="str">
        <f>IFERROR(__xludf.DUMMYFUNCTION("""COMPUTED_VALUE"""),"Allocation")</f>
        <v>Allocation</v>
      </c>
      <c r="B7" s="6" t="str">
        <f>IFERROR(__xludf.DUMMYFUNCTION("""COMPUTED_VALUE"""),"GetDataAllocation")</f>
        <v>GetDataAllocation</v>
      </c>
      <c r="C7" s="6" t="str">
        <f>IFERROR(__xludf.DUMMYFUNCTION("""COMPUTED_VALUE"""),"1FBTO3wCB7odq-jpQMbYHgSrAL5-rFO2_kp9Kr2iXqXE")</f>
        <v>1FBTO3wCB7odq-jpQMbYHgSrAL5-rFO2_kp9Kr2iXqXE</v>
      </c>
      <c r="D7" s="6" t="str">
        <f>IFERROR(__xludf.DUMMYFUNCTION("""COMPUTED_VALUE"""),"")</f>
        <v/>
      </c>
      <c r="E7" s="6" t="str">
        <f>IFERROR(__xludf.DUMMYFUNCTION("""COMPUTED_VALUE"""),"")</f>
        <v/>
      </c>
      <c r="F7" s="6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 ht="15.75" customHeight="1">
      <c r="A8" s="6" t="str">
        <f>IFERROR(__xludf.DUMMYFUNCTION("""COMPUTED_VALUE"""),"Allocation")</f>
        <v>Allocation</v>
      </c>
      <c r="B8" s="6" t="str">
        <f>IFERROR(__xludf.DUMMYFUNCTION("""COMPUTED_VALUE"""),"SelectAllocatedGroup")</f>
        <v>SelectAllocatedGroup</v>
      </c>
      <c r="C8" s="6" t="str">
        <f>IFERROR(__xludf.DUMMYFUNCTION("""COMPUTED_VALUE"""),"1G0ZkXDrIDX_loGmAyLs_Shy8hExtTELtFXERbX-HdPo")</f>
        <v>1G0ZkXDrIDX_loGmAyLs_Shy8hExtTELtFXERbX-HdPo</v>
      </c>
      <c r="D8" s="6" t="str">
        <f>IFERROR(__xludf.DUMMYFUNCTION("""COMPUTED_VALUE"""),"")</f>
        <v/>
      </c>
      <c r="E8" s="6" t="str">
        <f>IFERROR(__xludf.DUMMYFUNCTION("""COMPUTED_VALUE"""),"")</f>
        <v/>
      </c>
      <c r="F8" s="6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 ht="15.75" customHeight="1">
      <c r="A9" s="6" t="str">
        <f>IFERROR(__xludf.DUMMYFUNCTION("""COMPUTED_VALUE"""),"Allocation")</f>
        <v>Allocation</v>
      </c>
      <c r="B9" s="6" t="str">
        <f>IFERROR(__xludf.DUMMYFUNCTION("""COMPUTED_VALUE"""),"EditTradesAllocated")</f>
        <v>EditTradesAllocated</v>
      </c>
      <c r="C9" s="6" t="str">
        <f>IFERROR(__xludf.DUMMYFUNCTION("""COMPUTED_VALUE"""),"1YgVZ1jEVgjUF1Dp8FAj_W_zLEZCyqvNMlWJIg0Tmkq4")</f>
        <v>1YgVZ1jEVgjUF1Dp8FAj_W_zLEZCyqvNMlWJIg0Tmkq4</v>
      </c>
      <c r="D9" s="6" t="str">
        <f>IFERROR(__xludf.DUMMYFUNCTION("""COMPUTED_VALUE"""),"")</f>
        <v/>
      </c>
      <c r="E9" s="6" t="str">
        <f>IFERROR(__xludf.DUMMYFUNCTION("""COMPUTED_VALUE"""),"")</f>
        <v/>
      </c>
      <c r="F9" s="6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 ht="15.75" customHeight="1">
      <c r="A10" s="6" t="str">
        <f>IFERROR(__xludf.DUMMYFUNCTION("""COMPUTED_VALUE"""),"Allocation")</f>
        <v>Allocation</v>
      </c>
      <c r="B10" s="6" t="str">
        <f>IFERROR(__xludf.DUMMYFUNCTION("""COMPUTED_VALUE"""),"EditTradesUnallocated")</f>
        <v>EditTradesUnallocated</v>
      </c>
      <c r="C10" s="6" t="str">
        <f>IFERROR(__xludf.DUMMYFUNCTION("""COMPUTED_VALUE"""),"1MyB61T39MDAUyQqCUJLATzUT2f5UlE8nFq4ltWy_DJ4")</f>
        <v>1MyB61T39MDAUyQqCUJLATzUT2f5UlE8nFq4ltWy_DJ4</v>
      </c>
      <c r="D10" s="6" t="str">
        <f>IFERROR(__xludf.DUMMYFUNCTION("""COMPUTED_VALUE"""),"")</f>
        <v/>
      </c>
      <c r="E10" s="6" t="str">
        <f>IFERROR(__xludf.DUMMYFUNCTION("""COMPUTED_VALUE"""),"")</f>
        <v/>
      </c>
      <c r="F10" s="6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 ht="15.75" customHeight="1">
      <c r="A11" s="6" t="str">
        <f>IFERROR(__xludf.DUMMYFUNCTION("""COMPUTED_VALUE"""),"Allocation")</f>
        <v>Allocation</v>
      </c>
      <c r="B11" s="6" t="str">
        <f>IFERROR(__xludf.DUMMYFUNCTION("""COMPUTED_VALUE"""),"Reallocate")</f>
        <v>Reallocate</v>
      </c>
      <c r="C11" s="6" t="str">
        <f>IFERROR(__xludf.DUMMYFUNCTION("""COMPUTED_VALUE"""),"undefined")</f>
        <v>undefined</v>
      </c>
      <c r="D11" s="6" t="str">
        <f>IFERROR(__xludf.DUMMYFUNCTION("""COMPUTED_VALUE"""),"")</f>
        <v/>
      </c>
      <c r="E11" s="6" t="str">
        <f>IFERROR(__xludf.DUMMYFUNCTION("""COMPUTED_VALUE"""),"")</f>
        <v/>
      </c>
      <c r="F11" s="6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 ht="15.75" customHeight="1">
      <c r="A12" s="6" t="str">
        <f>IFERROR(__xludf.DUMMYFUNCTION("""COMPUTED_VALUE"""),"Blotter")</f>
        <v>Blotter</v>
      </c>
      <c r="B12" s="6" t="str">
        <f>IFERROR(__xludf.DUMMYFUNCTION("""COMPUTED_VALUE"""),"ReplaceFillsOnBlotter")</f>
        <v>ReplaceFillsOnBlotter</v>
      </c>
      <c r="C12" s="6" t="str">
        <f>IFERROR(__xludf.DUMMYFUNCTION("""COMPUTED_VALUE"""),"undefined")</f>
        <v>undefined</v>
      </c>
      <c r="D12" s="6" t="str">
        <f>IFERROR(__xludf.DUMMYFUNCTION("""COMPUTED_VALUE"""),"")</f>
        <v/>
      </c>
      <c r="E12" s="6" t="str">
        <f>IFERROR(__xludf.DUMMYFUNCTION("""COMPUTED_VALUE"""),"")</f>
        <v/>
      </c>
      <c r="F12" s="6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 ht="15.75" customHeight="1">
      <c r="A13" s="6" t="str">
        <f>IFERROR(__xludf.DUMMYFUNCTION("""COMPUTED_VALUE"""),"Blotter")</f>
        <v>Blotter</v>
      </c>
      <c r="B13" s="6" t="str">
        <f>IFERROR(__xludf.DUMMYFUNCTION("""COMPUTED_VALUE"""),"CheckBlotter")</f>
        <v>CheckBlotter</v>
      </c>
      <c r="C13" s="6" t="str">
        <f>IFERROR(__xludf.DUMMYFUNCTION("""COMPUTED_VALUE"""),"16qheLbvgC92hKxalWDlpWfHBMyDDVqHERUCc7bQiO2A")</f>
        <v>16qheLbvgC92hKxalWDlpWfHBMyDDVqHERUCc7bQiO2A</v>
      </c>
      <c r="D13" s="6" t="str">
        <f>IFERROR(__xludf.DUMMYFUNCTION("""COMPUTED_VALUE"""),"")</f>
        <v/>
      </c>
      <c r="E13" s="6" t="str">
        <f>IFERROR(__xludf.DUMMYFUNCTION("""COMPUTED_VALUE"""),"")</f>
        <v/>
      </c>
      <c r="F13" s="6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 ht="15.75" customHeight="1">
      <c r="A14" s="6" t="str">
        <f>IFERROR(__xludf.DUMMYFUNCTION("""COMPUTED_VALUE"""),"GeneralLedger")</f>
        <v>GeneralLedger</v>
      </c>
      <c r="B14" s="6" t="str">
        <f>IFERROR(__xludf.DUMMYFUNCTION("""COMPUTED_VALUE"""),"GetDataCash")</f>
        <v>GetDataCash</v>
      </c>
      <c r="C14" s="6" t="str">
        <f>IFERROR(__xludf.DUMMYFUNCTION("""COMPUTED_VALUE"""),"1zLd3ju-mV8f6PZiQUYLU-cAgAUwLwyoIAKuu0WgG2zI")</f>
        <v>1zLd3ju-mV8f6PZiQUYLU-cAgAUwLwyoIAKuu0WgG2zI</v>
      </c>
      <c r="D14" s="6" t="str">
        <f>IFERROR(__xludf.DUMMYFUNCTION("""COMPUTED_VALUE"""),"")</f>
        <v/>
      </c>
      <c r="E14" s="6" t="str">
        <f>IFERROR(__xludf.DUMMYFUNCTION("""COMPUTED_VALUE"""),"")</f>
        <v/>
      </c>
      <c r="F14" s="6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 ht="15.75" customHeight="1">
      <c r="A15" s="6" t="str">
        <f>IFERROR(__xludf.DUMMYFUNCTION("""COMPUTED_VALUE"""),"GeneralLedger")</f>
        <v>GeneralLedger</v>
      </c>
      <c r="B15" s="6" t="str">
        <f>IFERROR(__xludf.DUMMYFUNCTION("""COMPUTED_VALUE"""),"EnterCashDividends")</f>
        <v>EnterCashDividends</v>
      </c>
      <c r="C15" s="6" t="str">
        <f>IFERROR(__xludf.DUMMYFUNCTION("""COMPUTED_VALUE"""),"1sjDsI5FIL_l_G6osMJQ7e8auBgYd3R3JDaKWKV_8Og0")</f>
        <v>1sjDsI5FIL_l_G6osMJQ7e8auBgYd3R3JDaKWKV_8Og0</v>
      </c>
      <c r="D15" s="6" t="str">
        <f>IFERROR(__xludf.DUMMYFUNCTION("""COMPUTED_VALUE"""),"")</f>
        <v/>
      </c>
      <c r="E15" s="6" t="str">
        <f>IFERROR(__xludf.DUMMYFUNCTION("""COMPUTED_VALUE"""),"")</f>
        <v/>
      </c>
      <c r="F15" s="6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 ht="15.75" customHeight="1">
      <c r="A16" s="6" t="str">
        <f>IFERROR(__xludf.DUMMYFUNCTION("""COMPUTED_VALUE"""),"GeneralLedger")</f>
        <v>GeneralLedger</v>
      </c>
      <c r="B16" s="6" t="str">
        <f>IFERROR(__xludf.DUMMYFUNCTION("""COMPUTED_VALUE"""),"EnterNonTradingTransaction")</f>
        <v>EnterNonTradingTransaction</v>
      </c>
      <c r="C16" s="6" t="str">
        <f>IFERROR(__xludf.DUMMYFUNCTION("""COMPUTED_VALUE"""),"1xn1P_Z-3N4d2BC1SUPly2HiVZazly5ZQcS18BfaTyho")</f>
        <v>1xn1P_Z-3N4d2BC1SUPly2HiVZazly5ZQcS18BfaTyho</v>
      </c>
      <c r="D16" s="6" t="str">
        <f>IFERROR(__xludf.DUMMYFUNCTION("""COMPUTED_VALUE"""),"")</f>
        <v/>
      </c>
      <c r="E16" s="6" t="str">
        <f>IFERROR(__xludf.DUMMYFUNCTION("""COMPUTED_VALUE"""),"")</f>
        <v/>
      </c>
      <c r="F16" s="6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 ht="15.75" customHeight="1">
      <c r="A17" s="6" t="str">
        <f>IFERROR(__xludf.DUMMYFUNCTION("""COMPUTED_VALUE"""),"GeneralLedger")</f>
        <v>GeneralLedger</v>
      </c>
      <c r="B17" s="6" t="str">
        <f>IFERROR(__xludf.DUMMYFUNCTION("""COMPUTED_VALUE"""),"VerifyCash")</f>
        <v>VerifyCash</v>
      </c>
      <c r="C17" s="6" t="str">
        <f>IFERROR(__xludf.DUMMYFUNCTION("""COMPUTED_VALUE"""),"1vlvYPsiFAWjsnFrbkGn_fAvkwF00V3e7htalalU6QN4")</f>
        <v>1vlvYPsiFAWjsnFrbkGn_fAvkwF00V3e7htalalU6QN4</v>
      </c>
      <c r="D17" s="6" t="str">
        <f>IFERROR(__xludf.DUMMYFUNCTION("""COMPUTED_VALUE"""),"")</f>
        <v/>
      </c>
      <c r="E17" s="6" t="str">
        <f>IFERROR(__xludf.DUMMYFUNCTION("""COMPUTED_VALUE"""),"")</f>
        <v/>
      </c>
      <c r="F17" s="6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 ht="15.75" customHeight="1">
      <c r="A18" s="6" t="str">
        <f>IFERROR(__xludf.DUMMYFUNCTION("""COMPUTED_VALUE"""),"GeneralLedger")</f>
        <v>GeneralLedger</v>
      </c>
      <c r="B18" s="6" t="str">
        <f>IFERROR(__xludf.DUMMYFUNCTION("""COMPUTED_VALUE"""),"VerifyActivity")</f>
        <v>VerifyActivity</v>
      </c>
      <c r="C18" s="6" t="str">
        <f>IFERROR(__xludf.DUMMYFUNCTION("""COMPUTED_VALUE"""),"1o2rCg2FuoAOT5Pl8i4iFP_TwpPm0UB1dd49GbpkytfM")</f>
        <v>1o2rCg2FuoAOT5Pl8i4iFP_TwpPm0UB1dd49GbpkytfM</v>
      </c>
      <c r="D18" s="6" t="str">
        <f>IFERROR(__xludf.DUMMYFUNCTION("""COMPUTED_VALUE"""),"")</f>
        <v/>
      </c>
      <c r="E18" s="6" t="str">
        <f>IFERROR(__xludf.DUMMYFUNCTION("""COMPUTED_VALUE"""),"")</f>
        <v/>
      </c>
      <c r="F18" s="6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 ht="15.75" customHeight="1">
      <c r="A19" s="6" t="str">
        <f>IFERROR(__xludf.DUMMYFUNCTION("""COMPUTED_VALUE"""),"GeneralLedger")</f>
        <v>GeneralLedger</v>
      </c>
      <c r="B19" s="6" t="str">
        <f>IFERROR(__xludf.DUMMYFUNCTION("""COMPUTED_VALUE"""),"VerifyTradingTransaction")</f>
        <v>VerifyTradingTransaction</v>
      </c>
      <c r="C19" s="6" t="str">
        <f>IFERROR(__xludf.DUMMYFUNCTION("""COMPUTED_VALUE"""),"1_v2niCJ9VGNvgEBpvz030BFqEISSUhYRHyWcAJAn_Eg")</f>
        <v>1_v2niCJ9VGNvgEBpvz030BFqEISSUhYRHyWcAJAn_Eg</v>
      </c>
      <c r="D19" s="6" t="str">
        <f>IFERROR(__xludf.DUMMYFUNCTION("""COMPUTED_VALUE"""),"")</f>
        <v/>
      </c>
      <c r="E19" s="6" t="str">
        <f>IFERROR(__xludf.DUMMYFUNCTION("""COMPUTED_VALUE"""),"")</f>
        <v/>
      </c>
      <c r="F19" s="6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 ht="15.75" customHeight="1">
      <c r="A20" s="6" t="str">
        <f>IFERROR(__xludf.DUMMYFUNCTION("""COMPUTED_VALUE"""),"GeneralLedger")</f>
        <v>GeneralLedger</v>
      </c>
      <c r="B20" s="6" t="str">
        <f>IFERROR(__xludf.DUMMYFUNCTION("""COMPUTED_VALUE"""),"VerifyRevaluationData")</f>
        <v>VerifyRevaluationData</v>
      </c>
      <c r="C20" s="6" t="str">
        <f>IFERROR(__xludf.DUMMYFUNCTION("""COMPUTED_VALUE"""),"1hsRs1-LY0akTrMe91ArnbLtk6GUy_bKxVwMYCaiMs-8")</f>
        <v>1hsRs1-LY0akTrMe91ArnbLtk6GUy_bKxVwMYCaiMs-8</v>
      </c>
      <c r="D20" s="6" t="str">
        <f>IFERROR(__xludf.DUMMYFUNCTION("""COMPUTED_VALUE"""),"")</f>
        <v/>
      </c>
      <c r="E20" s="6" t="str">
        <f>IFERROR(__xludf.DUMMYFUNCTION("""COMPUTED_VALUE"""),"")</f>
        <v/>
      </c>
      <c r="F20" s="6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 ht="15.75" customHeight="1">
      <c r="A21" s="6" t="str">
        <f>IFERROR(__xludf.DUMMYFUNCTION("""COMPUTED_VALUE"""),"CorporateAction")</f>
        <v>CorporateAction</v>
      </c>
      <c r="B21" s="6" t="str">
        <f>IFERROR(__xludf.DUMMYFUNCTION("""COMPUTED_VALUE"""),"CorporateAction")</f>
        <v>CorporateAction</v>
      </c>
      <c r="C21" s="6" t="str">
        <f>IFERROR(__xludf.DUMMYFUNCTION("""COMPUTED_VALUE"""),"14rwUHTx4auE_hf60WN-tNOx3atNg7QGvErWNwVQIRqE")</f>
        <v>14rwUHTx4auE_hf60WN-tNOx3atNg7QGvErWNwVQIRqE</v>
      </c>
      <c r="D21" s="6" t="str">
        <f>IFERROR(__xludf.DUMMYFUNCTION("""COMPUTED_VALUE"""),"")</f>
        <v/>
      </c>
      <c r="E21" s="6" t="str">
        <f>IFERROR(__xludf.DUMMYFUNCTION("""COMPUTED_VALUE"""),"")</f>
        <v/>
      </c>
      <c r="F21" s="6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 ht="15.75" customHeight="1">
      <c r="A22" s="6" t="str">
        <f>IFERROR(__xludf.DUMMYFUNCTION("""COMPUTED_VALUE"""),"CreateTransaction")</f>
        <v>CreateTransaction</v>
      </c>
      <c r="B22" s="6" t="str">
        <f>IFERROR(__xludf.DUMMYFUNCTION("""COMPUTED_VALUE"""),"CreateTransaction")</f>
        <v>CreateTransaction</v>
      </c>
      <c r="C22" s="6" t="str">
        <f>IFERROR(__xludf.DUMMYFUNCTION("""COMPUTED_VALUE"""),"1amshi8Ns36lsDpccBK0y_9bL_pQ2rHdGNYypcgzceUg")</f>
        <v>1amshi8Ns36lsDpccBK0y_9bL_pQ2rHdGNYypcgzceUg</v>
      </c>
      <c r="D22" s="6" t="str">
        <f>IFERROR(__xludf.DUMMYFUNCTION("""COMPUTED_VALUE"""),"")</f>
        <v/>
      </c>
      <c r="E22" s="6" t="str">
        <f>IFERROR(__xludf.DUMMYFUNCTION("""COMPUTED_VALUE"""),"")</f>
        <v/>
      </c>
      <c r="F22" s="6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 ht="15.75" customHeight="1">
      <c r="A23" s="6" t="str">
        <f>IFERROR(__xludf.DUMMYFUNCTION("""COMPUTED_VALUE"""),"DailyValuation")</f>
        <v>DailyValuation</v>
      </c>
      <c r="B23" s="6" t="str">
        <f>IFERROR(__xludf.DUMMYFUNCTION("""COMPUTED_VALUE"""),"UpdateBeta")</f>
        <v>UpdateBeta</v>
      </c>
      <c r="C23" s="6" t="str">
        <f>IFERROR(__xludf.DUMMYFUNCTION("""COMPUTED_VALUE"""),"1YKttwHsdIskNDoo0Sl7HF2DWikROW-KA05qfT3GLIyI")</f>
        <v>1YKttwHsdIskNDoo0Sl7HF2DWikROW-KA05qfT3GLIyI</v>
      </c>
      <c r="D23" s="6" t="str">
        <f>IFERROR(__xludf.DUMMYFUNCTION("""COMPUTED_VALUE"""),"")</f>
        <v/>
      </c>
      <c r="E23" s="6" t="str">
        <f>IFERROR(__xludf.DUMMYFUNCTION("""COMPUTED_VALUE"""),"")</f>
        <v/>
      </c>
      <c r="F23" s="6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 ht="15.75" customHeight="1">
      <c r="A24" s="6" t="str">
        <f>IFERROR(__xludf.DUMMYFUNCTION("""COMPUTED_VALUE"""),"DailyValuation")</f>
        <v>DailyValuation</v>
      </c>
      <c r="B24" s="6" t="str">
        <f>IFERROR(__xludf.DUMMYFUNCTION("""COMPUTED_VALUE"""),"UpdateDailyCash")</f>
        <v>UpdateDailyCash</v>
      </c>
      <c r="C24" s="6" t="str">
        <f>IFERROR(__xludf.DUMMYFUNCTION("""COMPUTED_VALUE"""),"1YJ2rTp-OqQTGjubvs_cBC6fl0l94pyHI2eaLJzbddS4")</f>
        <v>1YJ2rTp-OqQTGjubvs_cBC6fl0l94pyHI2eaLJzbddS4</v>
      </c>
      <c r="D24" s="6" t="str">
        <f>IFERROR(__xludf.DUMMYFUNCTION("""COMPUTED_VALUE"""),"")</f>
        <v/>
      </c>
      <c r="E24" s="6" t="str">
        <f>IFERROR(__xludf.DUMMYFUNCTION("""COMPUTED_VALUE"""),"")</f>
        <v/>
      </c>
      <c r="F24" s="6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 ht="15.75" customHeight="1">
      <c r="A25" s="6" t="str">
        <f>IFERROR(__xludf.DUMMYFUNCTION("""COMPUTED_VALUE"""),"DailyValuation")</f>
        <v>DailyValuation</v>
      </c>
      <c r="B25" s="6" t="str">
        <f>IFERROR(__xludf.DUMMYFUNCTION("""COMPUTED_VALUE"""),"UpdateForexConversion")</f>
        <v>UpdateForexConversion</v>
      </c>
      <c r="C25" s="6" t="str">
        <f>IFERROR(__xludf.DUMMYFUNCTION("""COMPUTED_VALUE"""),"1mLyEfNTVFd65cnE6GfgCRD6TdpKg1BgqNIDjHCFzyO4")</f>
        <v>1mLyEfNTVFd65cnE6GfgCRD6TdpKg1BgqNIDjHCFzyO4</v>
      </c>
      <c r="D25" s="6" t="str">
        <f>IFERROR(__xludf.DUMMYFUNCTION("""COMPUTED_VALUE"""),"")</f>
        <v/>
      </c>
      <c r="E25" s="6" t="str">
        <f>IFERROR(__xludf.DUMMYFUNCTION("""COMPUTED_VALUE"""),"")</f>
        <v/>
      </c>
      <c r="F25" s="6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 ht="15.75" customHeight="1">
      <c r="A26" s="6" t="str">
        <f>IFERROR(__xludf.DUMMYFUNCTION("""COMPUTED_VALUE"""),"DailyValuation")</f>
        <v>DailyValuation</v>
      </c>
      <c r="B26" s="6" t="str">
        <f>IFERROR(__xludf.DUMMYFUNCTION("""COMPUTED_VALUE"""),"UpdateMarkPrice")</f>
        <v>UpdateMarkPrice</v>
      </c>
      <c r="C26" s="6" t="str">
        <f>IFERROR(__xludf.DUMMYFUNCTION("""COMPUTED_VALUE"""),"1M8d9TyOhMnA65NSIYvS6dR68SH5RL6oKahd6uz7yp6c")</f>
        <v>1M8d9TyOhMnA65NSIYvS6dR68SH5RL6oKahd6uz7yp6c</v>
      </c>
      <c r="D26" s="6" t="str">
        <f>IFERROR(__xludf.DUMMYFUNCTION("""COMPUTED_VALUE"""),"")</f>
        <v/>
      </c>
      <c r="E26" s="6" t="str">
        <f>IFERROR(__xludf.DUMMYFUNCTION("""COMPUTED_VALUE"""),"")</f>
        <v/>
      </c>
      <c r="F26" s="6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 ht="15.75" customHeight="1">
      <c r="A27" s="6" t="str">
        <f>IFERROR(__xludf.DUMMYFUNCTION("""COMPUTED_VALUE"""),"Import")</f>
        <v>Import</v>
      </c>
      <c r="B27" s="6" t="str">
        <f>IFERROR(__xludf.DUMMYFUNCTION("""COMPUTED_VALUE"""),"Import")</f>
        <v>Import</v>
      </c>
      <c r="C27" s="6" t="str">
        <f>IFERROR(__xludf.DUMMYFUNCTION("""COMPUTED_VALUE"""),"1Q5uOVYo1NMRks6hQRJuV8XWMPb6VFEAbSzpgP1dot1I")</f>
        <v>1Q5uOVYo1NMRks6hQRJuV8XWMPb6VFEAbSzpgP1dot1I</v>
      </c>
      <c r="D27" s="6" t="str">
        <f>IFERROR(__xludf.DUMMYFUNCTION("""COMPUTED_VALUE"""),"")</f>
        <v/>
      </c>
      <c r="E27" s="6" t="str">
        <f>IFERROR(__xludf.DUMMYFUNCTION("""COMPUTED_VALUE"""),"")</f>
        <v/>
      </c>
      <c r="F27" s="6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 ht="15.75" customHeight="1">
      <c r="A28" s="6" t="str">
        <f>IFERROR(__xludf.DUMMYFUNCTION("""COMPUTED_VALUE"""),"PortfolioManagement")</f>
        <v>PortfolioManagement</v>
      </c>
      <c r="B28" s="6" t="str">
        <f>IFERROR(__xludf.DUMMYFUNCTION("""COMPUTED_VALUE"""),"CheckDashboardPM")</f>
        <v>CheckDashboardPM</v>
      </c>
      <c r="C28" s="6" t="str">
        <f>IFERROR(__xludf.DUMMYFUNCTION("""COMPUTED_VALUE"""),"1iqfUyYqyebXIeNBGljH7-T8whBcywTlkBBU3dBZV06s")</f>
        <v>1iqfUyYqyebXIeNBGljH7-T8whBcywTlkBBU3dBZV06s</v>
      </c>
      <c r="D28" s="6" t="str">
        <f>IFERROR(__xludf.DUMMYFUNCTION("""COMPUTED_VALUE"""),"")</f>
        <v/>
      </c>
      <c r="E28" s="6" t="str">
        <f>IFERROR(__xludf.DUMMYFUNCTION("""COMPUTED_VALUE"""),"")</f>
        <v/>
      </c>
      <c r="F28" s="6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 ht="15.75" customHeight="1">
      <c r="A29" s="6" t="str">
        <f>IFERROR(__xludf.DUMMYFUNCTION("""COMPUTED_VALUE"""),"PortfolioManagement")</f>
        <v>PortfolioManagement</v>
      </c>
      <c r="B29" s="6" t="str">
        <f>IFERROR(__xludf.DUMMYFUNCTION("""COMPUTED_VALUE"""),"CheckPortfolioManagement")</f>
        <v>CheckPortfolioManagement</v>
      </c>
      <c r="C29" s="6" t="str">
        <f>IFERROR(__xludf.DUMMYFUNCTION("""COMPUTED_VALUE"""),"1u0XMlZJy_Slp7uXMwirinW7StOOdTcWD-D8V07sO0VA")</f>
        <v>1u0XMlZJy_Slp7uXMwirinW7StOOdTcWD-D8V07sO0VA</v>
      </c>
      <c r="D29" s="6" t="str">
        <f>IFERROR(__xludf.DUMMYFUNCTION("""COMPUTED_VALUE"""),"")</f>
        <v/>
      </c>
      <c r="E29" s="6" t="str">
        <f>IFERROR(__xludf.DUMMYFUNCTION("""COMPUTED_VALUE"""),"")</f>
        <v/>
      </c>
      <c r="F29" s="6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 ht="15.75" customHeight="1">
      <c r="A30" s="6" t="str">
        <f>IFERROR(__xludf.DUMMYFUNCTION("""COMPUTED_VALUE"""),"PricingInput")</f>
        <v>PricingInput</v>
      </c>
      <c r="B30" s="6" t="str">
        <f>IFERROR(__xludf.DUMMYFUNCTION("""COMPUTED_VALUE"""),"PricingInput")</f>
        <v>PricingInput</v>
      </c>
      <c r="C30" s="6" t="str">
        <f>IFERROR(__xludf.DUMMYFUNCTION("""COMPUTED_VALUE"""),"1mh3Z5PifhJ3yzX8TPeoc3H3nteNiA0V2tWFse0rVChE")</f>
        <v>1mh3Z5PifhJ3yzX8TPeoc3H3nteNiA0V2tWFse0rVChE</v>
      </c>
      <c r="D30" s="6" t="str">
        <f>IFERROR(__xludf.DUMMYFUNCTION("""COMPUTED_VALUE"""),"")</f>
        <v/>
      </c>
      <c r="E30" s="6" t="str">
        <f>IFERROR(__xludf.DUMMYFUNCTION("""COMPUTED_VALUE"""),"")</f>
        <v/>
      </c>
      <c r="F30" s="6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 ht="15.75" customHeight="1">
      <c r="A31" s="6" t="str">
        <f>IFERROR(__xludf.DUMMYFUNCTION("""COMPUTED_VALUE"""),"PricingInput")</f>
        <v>PricingInput</v>
      </c>
      <c r="B31" s="6" t="str">
        <f>IFERROR(__xludf.DUMMYFUNCTION("""COMPUTED_VALUE"""),"UpdateSharesOutstanding")</f>
        <v>UpdateSharesOutstanding</v>
      </c>
      <c r="C31" s="6" t="str">
        <f>IFERROR(__xludf.DUMMYFUNCTION("""COMPUTED_VALUE"""),"1vmZ6v1OyZ8SSi8bqqjK3ap3KtM_yPA_SEcIQgYiRInY")</f>
        <v>1vmZ6v1OyZ8SSi8bqqjK3ap3KtM_yPA_SEcIQgYiRInY</v>
      </c>
      <c r="D31" s="6" t="str">
        <f>IFERROR(__xludf.DUMMYFUNCTION("""COMPUTED_VALUE"""),"")</f>
        <v/>
      </c>
      <c r="E31" s="6" t="str">
        <f>IFERROR(__xludf.DUMMYFUNCTION("""COMPUTED_VALUE"""),"")</f>
        <v/>
      </c>
      <c r="F31" s="6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 ht="15.75" customHeight="1">
      <c r="A32" s="6" t="str">
        <f>IFERROR(__xludf.DUMMYFUNCTION("""COMPUTED_VALUE"""),"SymbolLookup")</f>
        <v>SymbolLookup</v>
      </c>
      <c r="B32" s="6" t="str">
        <f>IFERROR(__xludf.DUMMYFUNCTION("""COMPUTED_VALUE"""),"VerifySymbolLookUp")</f>
        <v>VerifySymbolLookUp</v>
      </c>
      <c r="C32" s="6" t="str">
        <f>IFERROR(__xludf.DUMMYFUNCTION("""COMPUTED_VALUE"""),"1OiI1Pi_JAFOFi8ByMaD3_qqEXSv6yQMo_u6aGTozbl8")</f>
        <v>1OiI1Pi_JAFOFi8ByMaD3_qqEXSv6yQMo_u6aGTozbl8</v>
      </c>
      <c r="D32" s="6" t="str">
        <f>IFERROR(__xludf.DUMMYFUNCTION("""COMPUTED_VALUE"""),"")</f>
        <v/>
      </c>
      <c r="E32" s="6" t="str">
        <f>IFERROR(__xludf.DUMMYFUNCTION("""COMPUTED_VALUE"""),"")</f>
        <v/>
      </c>
      <c r="F32" s="6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 ht="15.75" customHeight="1">
      <c r="A33" s="6" t="str">
        <f>IFERROR(__xludf.DUMMYFUNCTION("""COMPUTED_VALUE"""),"SymbolLookup")</f>
        <v>SymbolLookup</v>
      </c>
      <c r="B33" s="6" t="str">
        <f>IFERROR(__xludf.DUMMYFUNCTION("""COMPUTED_VALUE"""),"SymbolLookupFromTT")</f>
        <v>SymbolLookupFromTT</v>
      </c>
      <c r="C33" s="6" t="str">
        <f>IFERROR(__xludf.DUMMYFUNCTION("""COMPUTED_VALUE"""),"1ubfvE9sHq5KpJ9NazeH96CrVMJqAuol5Ya9GPjxWrgI")</f>
        <v>1ubfvE9sHq5KpJ9NazeH96CrVMJqAuol5Ya9GPjxWrgI</v>
      </c>
      <c r="D33" s="6" t="str">
        <f>IFERROR(__xludf.DUMMYFUNCTION("""COMPUTED_VALUE"""),"")</f>
        <v/>
      </c>
      <c r="E33" s="6" t="str">
        <f>IFERROR(__xludf.DUMMYFUNCTION("""COMPUTED_VALUE"""),"")</f>
        <v/>
      </c>
      <c r="F33" s="6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 ht="15.75" customHeight="1">
      <c r="A118" s="31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IFERROR(__xludf.DUMMYFUNCTION("""COMPUTED_VALUE"""),"OpenCreateTransactionFromPM")</f>
        <v>OpenCreateTransactionFromPM</v>
      </c>
      <c r="C317" t="str">
        <f>IFERROR(__xludf.DUMMYFUNCTION("""COMPUTED_VALUE"""),"undefined")</f>
        <v>undefined</v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IFERROR(__xludf.DUMMYFUNCTION("""COMPUTED_VALUE"""),"OpenClosingFromPM")</f>
        <v>OpenClosingFromPM</v>
      </c>
      <c r="C318" t="str">
        <f>IFERROR(__xludf.DUMMYFUNCTION("""COMPUTED_VALUE"""),"undefined")</f>
        <v>undefined</v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IFERROR(__xludf.DUMMYFUNCTION("""COMPUTED_VALUE"""),"OpenCorporateActionFromPM")</f>
        <v>OpenCorporateActionFromPM</v>
      </c>
      <c r="C319" t="str">
        <f>IFERROR(__xludf.DUMMYFUNCTION("""COMPUTED_VALUE"""),"undefined")</f>
        <v>undefined</v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IFERROR(__xludf.DUMMYFUNCTION("""COMPUTED_VALUE"""),"OpenDailyValuationFromPM")</f>
        <v>OpenDailyValuationFromPM</v>
      </c>
      <c r="C320" t="str">
        <f>IFERROR(__xludf.DUMMYFUNCTION("""COMPUTED_VALUE"""),"undefined")</f>
        <v>undefined</v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IFERROR(__xludf.DUMMYFUNCTION("""COMPUTED_VALUE"""),"ClosePositionFromPM")</f>
        <v>ClosePositionFromPM</v>
      </c>
      <c r="C321" t="str">
        <f>IFERROR(__xludf.DUMMYFUNCTION("""COMPUTED_VALUE"""),"1-P8y2jWa8-TgjIAgysm8LiFOFNCawLK6ehtNf8n3g0o")</f>
        <v>1-P8y2jWa8-TgjIAgysm8LiFOFNCawLK6ehtNf8n3g0o</v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IFERROR(__xludf.DUMMYFUNCTION("""COMPUTED_VALUE"""),"ShowSummaryToolFromPM")</f>
        <v>ShowSummaryToolFromPM</v>
      </c>
      <c r="C322" t="str">
        <f>IFERROR(__xludf.DUMMYFUNCTION("""COMPUTED_VALUE"""),"undefined")</f>
        <v>undefined</v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IFERROR(__xludf.DUMMYFUNCTION("""COMPUTED_VALUE"""),"HideSummaryToolFromPM")</f>
        <v>HideSummaryToolFromPM</v>
      </c>
      <c r="C323" t="str">
        <f>IFERROR(__xludf.DUMMYFUNCTION("""COMPUTED_VALUE"""),"undefined")</f>
        <v>undefined</v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IFERROR(__xludf.DUMMYFUNCTION("""COMPUTED_VALUE"""),"CloseAccountPositionFromPM")</f>
        <v>CloseAccountPositionFromPM</v>
      </c>
      <c r="C324" t="str">
        <f>IFERROR(__xludf.DUMMYFUNCTION("""COMPUTED_VALUE"""),"1r4mdKH6xHBGXly0xX_3kfVZnbgFRt6h09CKzb6B2j30")</f>
        <v>1r4mdKH6xHBGXly0xX_3kfVZnbgFRt6h09CKzb6B2j30</v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IFERROR(__xludf.DUMMYFUNCTION("""COMPUTED_VALUE"""),"CloseSelectedTaxlotsFromPM")</f>
        <v>CloseSelectedTaxlotsFromPM</v>
      </c>
      <c r="C325" t="str">
        <f>IFERROR(__xludf.DUMMYFUNCTION("""COMPUTED_VALUE"""),"1bepmvkmXtLL4UpGLcjeYXrovfZi8iUwi1A3os0v1Uj0")</f>
        <v>1bepmvkmXtLL4UpGLcjeYXrovfZi8iUwi1A3os0v1Uj0</v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IFERROR(__xludf.DUMMYFUNCTION("""COMPUTED_VALUE"""),"ExpandCollapsePM")</f>
        <v>ExpandCollapsePM</v>
      </c>
      <c r="C326" t="str">
        <f>IFERROR(__xludf.DUMMYFUNCTION("""COMPUTED_VALUE"""),"undefined")</f>
        <v>undefined</v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IFERROR(__xludf.DUMMYFUNCTION("""COMPUTED_VALUE"""),"AddCustomViewPM")</f>
        <v>AddCustomViewPM</v>
      </c>
      <c r="C327" t="str">
        <f>IFERROR(__xludf.DUMMYFUNCTION("""COMPUTED_VALUE"""),"1NbdvoXzq9bLTUkCX2_gVxCtjCR2kBldnGGw-z1Eim8I")</f>
        <v>1NbdvoXzq9bLTUkCX2_gVxCtjCR2kBldnGGw-z1Eim8I</v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IFERROR(__xludf.DUMMYFUNCTION("""COMPUTED_VALUE"""),"AddCustomViewRightClickPM")</f>
        <v>AddCustomViewRightClickPM</v>
      </c>
      <c r="C328" t="str">
        <f>IFERROR(__xludf.DUMMYFUNCTION("""COMPUTED_VALUE"""),"1Q7iif6wWXqCIfSrgSBzoU30gZbMUkNAMhcF68qLMvps")</f>
        <v>1Q7iif6wWXqCIfSrgSBzoU30gZbMUkNAMhcF68qLMvps</v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IFERROR(__xludf.DUMMYFUNCTION("""COMPUTED_VALUE"""),"RenameCustomViewPM")</f>
        <v>RenameCustomViewPM</v>
      </c>
      <c r="C329" t="str">
        <f>IFERROR(__xludf.DUMMYFUNCTION("""COMPUTED_VALUE"""),"11-lGY3oTzf5kpgkJM4lHHX32AUcd6BpZ2CU2UsLPpAE")</f>
        <v>11-lGY3oTzf5kpgkJM4lHHX32AUcd6BpZ2CU2UsLPpAE</v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IFERROR(__xludf.DUMMYFUNCTION("""COMPUTED_VALUE"""),"DeleteCustomViewPM")</f>
        <v>DeleteCustomViewPM</v>
      </c>
      <c r="C330" t="str">
        <f>IFERROR(__xludf.DUMMYFUNCTION("""COMPUTED_VALUE"""),"1X-gnstY40ismguHxChNKmthJ1G80Q49D37OBmzHA5BM")</f>
        <v>1X-gnstY40ismguHxChNKmthJ1G80Q49D37OBmzHA5BM</v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 ht="15.75" customHeight="1">
      <c r="A331" t="str">
        <f>IFERROR(__xludf.DUMMYFUNCTION("""COMPUTED_VALUE"""),"Closing")</f>
        <v>Closing</v>
      </c>
      <c r="B331" t="str">
        <f>IFERROR(__xludf.DUMMYFUNCTION("""COMPUTED_VALUE"""),"SetClosingPreference")</f>
        <v>SetClosingPreference</v>
      </c>
      <c r="C331" t="str">
        <f>IFERROR(__xludf.DUMMYFUNCTION("""COMPUTED_VALUE"""),"1SBWCGC1qCDElP5xT215lxXFECJmufBKtZhmLiF-uDlE")</f>
        <v>1SBWCGC1qCDElP5xT215lxXFECJmufBKtZhmLiF-uDlE</v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 ht="15.75" customHeight="1">
      <c r="A332" t="str">
        <f>IFERROR(__xludf.DUMMYFUNCTION("""COMPUTED_VALUE"""),"CreateTransaction")</f>
        <v>CreateTransaction</v>
      </c>
      <c r="B332" t="str">
        <f>IFERROR(__xludf.DUMMYFUNCTION("""COMPUTED_VALUE"""),"SaveTransaction")</f>
        <v>SaveTransaction</v>
      </c>
      <c r="C332" t="str">
        <f>IFERROR(__xludf.DUMMYFUNCTION("""COMPUTED_VALUE"""),"undefined")</f>
        <v>undefined</v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IFERROR(__xludf.DUMMYFUNCTION("""COMPUTED_VALUE"""),"EditUnallocatedGrid")</f>
        <v>EditUnallocatedGrid</v>
      </c>
      <c r="C333" t="str">
        <f>IFERROR(__xludf.DUMMYFUNCTION("""COMPUTED_VALUE"""),"13ZNMuqKcSpAW_MsR69_GoKBz_beluHfFVyViDpUnCkc")</f>
        <v>13ZNMuqKcSpAW_MsR69_GoKBz_beluHfFVyViDpUnCkc</v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IFERROR(__xludf.DUMMYFUNCTION("""COMPUTED_VALUE"""),"EditAllocatedGrid")</f>
        <v>EditAllocatedGrid</v>
      </c>
      <c r="C334" t="str">
        <f>IFERROR(__xludf.DUMMYFUNCTION("""COMPUTED_VALUE"""),"1Qe_MB72ABGFy_tC-AtAJSBoOqNECmDnuHW2p--em0xc")</f>
        <v>1Qe_MB72ABGFy_tC-AtAJSBoOqNECmDnuHW2p--em0xc</v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IFERROR(__xludf.DUMMYFUNCTION("""COMPUTED_VALUE"""),"SetPTTPreference")</f>
        <v>SetPTTPreference</v>
      </c>
      <c r="C335" t="str">
        <f>IFERROR(__xludf.DUMMYFUNCTION("""COMPUTED_VALUE"""),"1ldeUCvJu8gA2hZDe6NneM5_zHpORs3VIMmFqtZK_zTo")</f>
        <v>1ldeUCvJu8gA2hZDe6NneM5_zHpORs3VIMmFqtZK_zTo</v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IFERROR(__xludf.DUMMYFUNCTION("""COMPUTED_VALUE"""),"SetLongShortPTTPreference")</f>
        <v>SetLongShortPTTPreference</v>
      </c>
      <c r="C336" t="str">
        <f>IFERROR(__xludf.DUMMYFUNCTION("""COMPUTED_VALUE"""),"1K6pZbNryz6dksItb7aYYpqHUV4sWPVRsnYGiEZCb6BY")</f>
        <v>1K6pZbNryz6dksItb7aYYpqHUV4sWPVRsnYGiEZCb6BY</v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 ht="15.75" customHeight="1">
      <c r="A337" t="str">
        <f>IFERROR(__xludf.DUMMYFUNCTION("""COMPUTED_VALUE"""),"TradingTicket")</f>
        <v>TradingTicket</v>
      </c>
      <c r="B337" t="str">
        <f>IFERROR(__xludf.DUMMYFUNCTION("""COMPUTED_VALUE"""),"VerifyTT")</f>
        <v>VerifyTT</v>
      </c>
      <c r="C337" t="str">
        <f>IFERROR(__xludf.DUMMYFUNCTION("""COMPUTED_VALUE"""),"1bKhXEya1wodNYLnY1-QcHI_XG3UWZaHQ81HV-TN-5Kc")</f>
        <v>1bKhXEya1wodNYLnY1-QcHI_XG3UWZaHQ81HV-TN-5Kc</v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IFERROR(__xludf.DUMMYFUNCTION("""COMPUTED_VALUE"""),"SaveLayoutAllocatedGrid")</f>
        <v>SaveLayoutAllocatedGrid</v>
      </c>
      <c r="C338" t="str">
        <f>IFERROR(__xludf.DUMMYFUNCTION("""COMPUTED_VALUE"""),"1aTyf1QMUlY1sd90ATn_Ik7tSnqoJNJ2ORUTgE2CcKVc")</f>
        <v>1aTyf1QMUlY1sd90ATn_Ik7tSnqoJNJ2ORUTgE2CcKVc</v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IFERROR(__xludf.DUMMYFUNCTION("""COMPUTED_VALUE"""),"SaveLayoutUnallocatedGrid")</f>
        <v>SaveLayoutUnallocatedGrid</v>
      </c>
      <c r="C339" t="str">
        <f>IFERROR(__xludf.DUMMYFUNCTION("""COMPUTED_VALUE"""),"14EKTplxgrSnZ3LrmPGSsdvC3A1Cn7Gl3iYaLoliVy5c")</f>
        <v>14EKTplxgrSnZ3LrmPGSsdvC3A1Cn7Gl3iYaLoliVy5c</v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IFERROR(__xludf.DUMMYFUNCTION("""COMPUTED_VALUE"""),"SaveLayoutAllocationUI")</f>
        <v>SaveLayoutAllocationUI</v>
      </c>
      <c r="C340" t="str">
        <f>IFERROR(__xludf.DUMMYFUNCTION("""COMPUTED_VALUE"""),"1w55ijS0jNdggXMegSAddndubbfCazPcYQ4T-iQXE9-8")</f>
        <v>1w55ijS0jNdggXMegSAddndubbfCazPcYQ4T-iQXE9-8</v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IFERROR(__xludf.DUMMYFUNCTION("""COMPUTED_VALUE"""),"ClearFiltersAllocatedGrid")</f>
        <v>ClearFiltersAllocatedGrid</v>
      </c>
      <c r="C341" t="str">
        <f>IFERROR(__xludf.DUMMYFUNCTION("""COMPUTED_VALUE"""),"undefined")</f>
        <v>undefined</v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IFERROR(__xludf.DUMMYFUNCTION("""COMPUTED_VALUE"""),"ClearFiltersUnallocatedGrid")</f>
        <v>ClearFiltersUnallocatedGrid</v>
      </c>
      <c r="C342" t="str">
        <f>IFERROR(__xludf.DUMMYFUNCTION("""COMPUTED_VALUE"""),"undefined")</f>
        <v>undefined</v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IFERROR(__xludf.DUMMYFUNCTION("""COMPUTED_VALUE"""),"VerifyLayoutAllocatedGrid")</f>
        <v>VerifyLayoutAllocatedGrid</v>
      </c>
      <c r="C343" t="str">
        <f>IFERROR(__xludf.DUMMYFUNCTION("""COMPUTED_VALUE"""),"1Dm60vGCrArH03PZJNSUJF2XSLE8bTZId3GMfDSiNsgE")</f>
        <v>1Dm60vGCrArH03PZJNSUJF2XSLE8bTZId3GMfDSiNsgE</v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IFERROR(__xludf.DUMMYFUNCTION("""COMPUTED_VALUE"""),"VerifyLayoutUnallocatedGrid")</f>
        <v>VerifyLayoutUnallocatedGrid</v>
      </c>
      <c r="C344" t="str">
        <f>IFERROR(__xludf.DUMMYFUNCTION("""COMPUTED_VALUE"""),"13oH5Ytu1wVsxt5b13YVUvBPplFK0NO_TK4bRhOZWxN8")</f>
        <v>13oH5Ytu1wVsxt5b13YVUvBPplFK0NO_TK4bRhOZWxN8</v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IFERROR(__xludf.DUMMYFUNCTION("""COMPUTED_VALUE"""),"UpdateForexConversionMonthly")</f>
        <v>UpdateForexConversionMonthly</v>
      </c>
      <c r="C345" t="str">
        <f>IFERROR(__xludf.DUMMYFUNCTION("""COMPUTED_VALUE"""),"1TZUZ5-nBzkzBtbjFUoa_EB6_eDzdYjS0ibH5XGYYwAw")</f>
        <v>1TZUZ5-nBzkzBtbjFUoa_EB6_eDzdYjS0ibH5XGYYwAw</v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 ht="15.75" customHeight="1">
      <c r="A346" t="str">
        <f>IFERROR(__xludf.DUMMYFUNCTION("""COMPUTED_VALUE"""),"GeneralLedger")</f>
        <v>GeneralLedger</v>
      </c>
      <c r="B346" t="str">
        <f>IFERROR(__xludf.DUMMYFUNCTION("""COMPUTED_VALUE"""),"SaveTransaction")</f>
        <v>SaveTransaction</v>
      </c>
      <c r="C346" t="str">
        <f>IFERROR(__xludf.DUMMYFUNCTION("""COMPUTED_VALUE"""),"undefined")</f>
        <v>undefined</v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IFERROR(__xludf.DUMMYFUNCTION("""COMPUTED_VALUE"""),"UpdateMarkPriceMonthly")</f>
        <v>UpdateMarkPriceMonthly</v>
      </c>
      <c r="C347" t="str">
        <f>IFERROR(__xludf.DUMMYFUNCTION("""COMPUTED_VALUE"""),"1CAqtQbVxh4NllyrMXscZd9EiKnaMKSW-_a9zZtK2ULI")</f>
        <v>1CAqtQbVxh4NllyrMXscZd9EiKnaMKSW-_a9zZtK2ULI</v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IFERROR(__xludf.DUMMYFUNCTION("""COMPUTED_VALUE"""),"CleanUp")</f>
        <v>CleanUp</v>
      </c>
      <c r="C348" t="str">
        <f>IFERROR(__xludf.DUMMYFUNCTION("""COMPUTED_VALUE"""),"141237jvZTCMRUMwfe0LXJI6_OVqTlCniHe4xfwketxs")</f>
        <v>141237jvZTCMRUMwfe0LXJI6_OVqTlCniHe4xfwketxs</v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IFERROR(__xludf.DUMMYFUNCTION("""COMPUTED_VALUE"""),"CheckAllocatedTaxlots")</f>
        <v>CheckAllocatedTaxlots</v>
      </c>
      <c r="C349" t="str">
        <f>IFERROR(__xludf.DUMMYFUNCTION("""COMPUTED_VALUE"""),"1ly27YrdiNWaAup2LCqtlbPCuNU2qHnDVGbGX6s6cAJM")</f>
        <v>1ly27YrdiNWaAup2LCqtlbPCuNU2qHnDVGbGX6s6cAJM</v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 ht="15.75" customHeight="1">
      <c r="A350" t="str">
        <f>IFERROR(__xludf.DUMMYFUNCTION("""COMPUTED_VALUE"""),"Closing")</f>
        <v>Closing</v>
      </c>
      <c r="B350" t="str">
        <f>IFERROR(__xludf.DUMMYFUNCTION("""COMPUTED_VALUE"""),"EditTradeUnexpiredUnsettled")</f>
        <v>EditTradeUnexpiredUnsettled</v>
      </c>
      <c r="C350" t="str">
        <f>IFERROR(__xludf.DUMMYFUNCTION("""COMPUTED_VALUE"""),"1gjlTvz7BOfWSUwRY25-5BkROLuD55WxDrFeD31t9BlQ")</f>
        <v>1gjlTvz7BOfWSUwRY25-5BkROLuD55WxDrFeD31t9BlQ</v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 ht="15.75" customHeight="1">
      <c r="A351" t="str">
        <f>IFERROR(__xludf.DUMMYFUNCTION("""COMPUTED_VALUE"""),"ThirdParty")</f>
        <v>ThirdParty</v>
      </c>
      <c r="B351" t="str">
        <f>IFERROR(__xludf.DUMMYFUNCTION("""COMPUTED_VALUE"""),"VerifyThirdPartyView")</f>
        <v>VerifyThirdPartyView</v>
      </c>
      <c r="C351" t="str">
        <f>IFERROR(__xludf.DUMMYFUNCTION("""COMPUTED_VALUE"""),"1OPgUZqNYhV3KEPmPCahj5p6WvTvcu6yt-IilVEoYdck")</f>
        <v>1OPgUZqNYhV3KEPmPCahj5p6WvTvcu6yt-IilVEoYdck</v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IFERROR(__xludf.DUMMYFUNCTION("""COMPUTED_VALUE"""),"CheckCompliance")</f>
        <v>CheckCompliance</v>
      </c>
      <c r="C352" t="str">
        <f>IFERROR(__xludf.DUMMYFUNCTION("""COMPUTED_VALUE"""),"1rHjLXpZjBLQM6QWnpXPgAllc-YEEgN3ft01yzOc3Z_k")</f>
        <v>1rHjLXpZjBLQM6QWnpXPgAllc-YEEgN3ft01yzOc3Z_k</v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IFERROR(__xludf.DUMMYFUNCTION("""COMPUTED_VALUE"""),"VerifyAccountDivisorWindow")</f>
        <v>VerifyAccountDivisorWindow</v>
      </c>
      <c r="C353" t="str">
        <f>IFERROR(__xludf.DUMMYFUNCTION("""COMPUTED_VALUE"""),"1o2I6wY7Q2ZhQmtkXdRpqlxQVJ8IApk0IcIxM0anIe4E")</f>
        <v>1o2I6wY7Q2ZhQmtkXdRpqlxQVJ8IApk0IcIxM0anIe4E</v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IFERROR(__xludf.DUMMYFUNCTION("""COMPUTED_VALUE"""),"VerifyAccountSymbolDivisorWindow")</f>
        <v>VerifyAccountSymbolDivisorWindow</v>
      </c>
      <c r="C354" t="str">
        <f>IFERROR(__xludf.DUMMYFUNCTION("""COMPUTED_VALUE"""),"1ADKVvtlUcDE2a_GFsrcnF3qLRtLLDQ1rEJbzQws78i8")</f>
        <v>1ADKVvtlUcDE2a_GFsrcnF3qLRtLLDQ1rEJbzQws78i8</v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IFERROR(__xludf.DUMMYFUNCTION("""COMPUTED_VALUE"""),"VerifyAggregationAccountSymbolWithNav")</f>
        <v>VerifyAggregationAccountSymbolWithNav</v>
      </c>
      <c r="C355" t="str">
        <f>IFERROR(__xludf.DUMMYFUNCTION("""COMPUTED_VALUE"""),"1lnfZcSlUOa9o7gHKbVZNk25z7jkFzrWO3HCg1iRDEhg")</f>
        <v>1lnfZcSlUOa9o7gHKbVZNk25z7jkFzrWO3HCg1iRDEhg</v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IFERROR(__xludf.DUMMYFUNCTION("""COMPUTED_VALUE"""),"VerifyAggregationAccountWithNav")</f>
        <v>VerifyAggregationAccountWithNav</v>
      </c>
      <c r="C356" t="str">
        <f>IFERROR(__xludf.DUMMYFUNCTION("""COMPUTED_VALUE"""),"1bVQ8hXYcI8QA4dwbvx9VW307agnDiO6msA8_55Z9Ho4")</f>
        <v>1bVQ8hXYcI8QA4dwbvx9VW307agnDiO6msA8_55Z9Ho4</v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IFERROR(__xludf.DUMMYFUNCTION("""COMPUTED_VALUE"""),"VerifyAggregationMasterFundSymbolWithNav")</f>
        <v>VerifyAggregationMasterFundSymbolWithNav</v>
      </c>
      <c r="C357" t="str">
        <f>IFERROR(__xludf.DUMMYFUNCTION("""COMPUTED_VALUE"""),"149nnw4Cwl1HHouYCXdqP9R7Mx98I_xiisiVCYk7UJkk")</f>
        <v>149nnw4Cwl1HHouYCXdqP9R7Mx98I_xiisiVCYk7UJkk</v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IFERROR(__xludf.DUMMYFUNCTION("""COMPUTED_VALUE"""),"VerifyAggregationMasterFundUnderlyingSymbolWithNav")</f>
        <v>VerifyAggregationMasterFundUnderlyingSymbolWithNav</v>
      </c>
      <c r="C358" t="str">
        <f>IFERROR(__xludf.DUMMYFUNCTION("""COMPUTED_VALUE"""),"14DzH-ZDYwWbCfXuBzG8v04Qb1mQp1of2O6GLQXcWMsQ")</f>
        <v>14DzH-ZDYwWbCfXuBzG8v04Qb1mQp1of2O6GLQXcWMsQ</v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IFERROR(__xludf.DUMMYFUNCTION("""COMPUTED_VALUE"""),"VerifyAggregationMasterFundWithNav")</f>
        <v>VerifyAggregationMasterFundWithNav</v>
      </c>
      <c r="C359" t="str">
        <f>IFERROR(__xludf.DUMMYFUNCTION("""COMPUTED_VALUE"""),"1zsjoqOkIN3nYkIIxRHJMhmyX6J_C62DE3Oo2y7BGdVs")</f>
        <v>1zsjoqOkIN3nYkIIxRHJMhmyX6J_C62DE3Oo2y7BGdVs</v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IFERROR(__xludf.DUMMYFUNCTION("""COMPUTED_VALUE"""),"VerifyAggregationSectorWithNav")</f>
        <v>VerifyAggregationSectorWithNav</v>
      </c>
      <c r="C360" t="str">
        <f>IFERROR(__xludf.DUMMYFUNCTION("""COMPUTED_VALUE"""),"1PwtsUw7M1uKb7OUFflhtzsANVeSCTOQuOmvDpORnIho")</f>
        <v>1PwtsUw7M1uKb7OUFflhtzsANVeSCTOQuOmvDpORnIho</v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IFERROR(__xludf.DUMMYFUNCTION("""COMPUTED_VALUE"""),"VerifyAggregationUnderlyingSymbolWithNav")</f>
        <v>VerifyAggregationUnderlyingSymbolWithNav</v>
      </c>
      <c r="C361" t="str">
        <f>IFERROR(__xludf.DUMMYFUNCTION("""COMPUTED_VALUE"""),"176-KXks3ZB5ZHuKBMwUMw29_Cv2044sZyo8Km9DSXhY")</f>
        <v>176-KXks3ZB5ZHuKBMwUMw29_Cv2044sZyo8Km9DSXhY</v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IFERROR(__xludf.DUMMYFUNCTION("""COMPUTED_VALUE"""),"VerifyAuecWindow")</f>
        <v>VerifyAuecWindow</v>
      </c>
      <c r="C362" t="str">
        <f>IFERROR(__xludf.DUMMYFUNCTION("""COMPUTED_VALUE"""),"16b_2-FgoStwuBkNr_JjCAyklRXIuqbbe3yokDxprokc")</f>
        <v>16b_2-FgoStwuBkNr_JjCAyklRXIuqbbe3yokDxprokc</v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IFERROR(__xludf.DUMMYFUNCTION("""COMPUTED_VALUE"""),"VerifyBetaWindow")</f>
        <v>VerifyBetaWindow</v>
      </c>
      <c r="C363" t="str">
        <f>IFERROR(__xludf.DUMMYFUNCTION("""COMPUTED_VALUE"""),"1fbKcjC8gLwYcrNAXPL4_1obtoTCCX0MmPEKkR5s582U")</f>
        <v>1fbKcjC8gLwYcrNAXPL4_1obtoTCCX0MmPEKkR5s582U</v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IFERROR(__xludf.DUMMYFUNCTION("""COMPUTED_VALUE"""),"VerifyCustomSymbolDataWindow")</f>
        <v>VerifyCustomSymbolDataWindow</v>
      </c>
      <c r="C364" t="str">
        <f>IFERROR(__xludf.DUMMYFUNCTION("""COMPUTED_VALUE"""),"1-ro_FbZAIVOSxzuukFA-JqauiFzAp2zzPW1nR5HDbNQ")</f>
        <v>1-ro_FbZAIVOSxzuukFA-JqauiFzAp2zzPW1nR5HDbNQ</v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IFERROR(__xludf.DUMMYFUNCTION("""COMPUTED_VALUE"""),"VerifyDayEndCashAccountWindow")</f>
        <v>VerifyDayEndCashAccountWindow</v>
      </c>
      <c r="C365" t="str">
        <f>IFERROR(__xludf.DUMMYFUNCTION("""COMPUTED_VALUE"""),"14hibcKhSsVy9-wON6kpUuT3WpnX2wo9pBQzmPi8qLL0")</f>
        <v>14hibcKhSsVy9-wON6kpUuT3WpnX2wo9pBQzmPi8qLL0</v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IFERROR(__xludf.DUMMYFUNCTION("""COMPUTED_VALUE"""),"VerifyDbNavWindow")</f>
        <v>VerifyDbNavWindow</v>
      </c>
      <c r="C366" t="str">
        <f>IFERROR(__xludf.DUMMYFUNCTION("""COMPUTED_VALUE"""),"18-WlIts2DAJ-WJbsdY1Rpj5dOSmW5uYCwetKlx26fnQ")</f>
        <v>18-WlIts2DAJ-WJbsdY1Rpj5dOSmW5uYCwetKlx26fnQ</v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IFERROR(__xludf.DUMMYFUNCTION("""COMPUTED_VALUE"""),"VerifyGlobalDivisorWindow")</f>
        <v>VerifyGlobalDivisorWindow</v>
      </c>
      <c r="C367" t="str">
        <f>IFERROR(__xludf.DUMMYFUNCTION("""COMPUTED_VALUE"""),"1z5ONnrNdd3WVB7RZIGa-yHhn0U7mw19K0moh5ObmK-I")</f>
        <v>1z5ONnrNdd3WVB7RZIGa-yHhn0U7mw19K0moh5ObmK-I</v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IFERROR(__xludf.DUMMYFUNCTION("""COMPUTED_VALUE"""),"VerifyPmCalculationPreferenceWindow")</f>
        <v>VerifyPmCalculationPreferenceWindow</v>
      </c>
      <c r="C368" t="str">
        <f>IFERROR(__xludf.DUMMYFUNCTION("""COMPUTED_VALUE"""),"1yse7cNfakHdRjfRrq1SQW0Yxxopg67W_juGAkOyqHPk")</f>
        <v>1yse7cNfakHdRjfRrq1SQW0Yxxopg67W_juGAkOyqHPk</v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IFERROR(__xludf.DUMMYFUNCTION("""COMPUTED_VALUE"""),"VerifyRowCalculationBaseWindow")</f>
        <v>VerifyRowCalculationBaseWindow</v>
      </c>
      <c r="C369" t="str">
        <f>IFERROR(__xludf.DUMMYFUNCTION("""COMPUTED_VALUE"""),"16bZAwMHOfN8bD2TadtVor3HvDM0dtF51XYU1iRUEXpQ")</f>
        <v>16bZAwMHOfN8bD2TadtVor3HvDM0dtF51XYU1iRUEXpQ</v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IFERROR(__xludf.DUMMYFUNCTION("""COMPUTED_VALUE"""),"VerifySecurityWindow")</f>
        <v>VerifySecurityWindow</v>
      </c>
      <c r="C370" t="str">
        <f>IFERROR(__xludf.DUMMYFUNCTION("""COMPUTED_VALUE"""),"1xeK-JWq8oHwAbmnGt_N4qn9Nt8F9XHo5-Mtr0t_7pRw")</f>
        <v>1xeK-JWq8oHwAbmnGt_N4qn9Nt8F9XHo5-Mtr0t_7pRw</v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IFERROR(__xludf.DUMMYFUNCTION("""COMPUTED_VALUE"""),"VerifySymbolDataWindow")</f>
        <v>VerifySymbolDataWindow</v>
      </c>
      <c r="C371" t="str">
        <f>IFERROR(__xludf.DUMMYFUNCTION("""COMPUTED_VALUE"""),"13iKSNjdwzv3DKe_1fcHZJ8GUk5s-HKAGG5PE6MY-smA")</f>
        <v>13iKSNjdwzv3DKe_1fcHZJ8GUk5s-HKAGG5PE6MY-smA</v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IFERROR(__xludf.DUMMYFUNCTION("""COMPUTED_VALUE"""),"VerifySymbolDivisorWindow")</f>
        <v>VerifySymbolDivisorWindow</v>
      </c>
      <c r="C372" t="str">
        <f>IFERROR(__xludf.DUMMYFUNCTION("""COMPUTED_VALUE"""),"1uyHz1cQUHCK-GcBufMehtS9i6BspKa5HVCLnf4pfGuk")</f>
        <v>1uyHz1cQUHCK-GcBufMehtS9i6BspKa5HVCLnf4pfGuk</v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IFERROR(__xludf.DUMMYFUNCTION("""COMPUTED_VALUE"""),"VerifyTaxlotWindow")</f>
        <v>VerifyTaxlotWindow</v>
      </c>
      <c r="C373" t="str">
        <f>IFERROR(__xludf.DUMMYFUNCTION("""COMPUTED_VALUE"""),"1LmfcHeXwbnPa-An0b_OD4pDLm7pUlzSX41G5QZ2Uons")</f>
        <v>1LmfcHeXwbnPa-An0b_OD4pDLm7pUlzSX41G5QZ2Uons</v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IFERROR(__xludf.DUMMYFUNCTION("""COMPUTED_VALUE"""),"RestartEsper")</f>
        <v>RestartEsper</v>
      </c>
      <c r="C374" t="str">
        <f>IFERROR(__xludf.DUMMYFUNCTION("""COMPUTED_VALUE"""),"undefined")</f>
        <v>undefined</v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IFERROR(__xludf.DUMMYFUNCTION("""COMPUTED_VALUE"""),"VerifyAccountNavPreferenceWindow")</f>
        <v>VerifyAccountNavPreferenceWindow</v>
      </c>
      <c r="C375" t="str">
        <f>IFERROR(__xludf.DUMMYFUNCTION("""COMPUTED_VALUE"""),"1PbpS5QGNvwJE_YSvMrjHxbUPPQhcUDrQHC4N9KHYjWY")</f>
        <v>1PbpS5QGNvwJE_YSvMrjHxbUPPQhcUDrQHC4N9KHYjWY</v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 VerifyAggregationAccountUnderlyingSymbolWithNav")</f>
        <v> VerifyAggregationAccountUnderlyingSymbolWithNav</v>
      </c>
      <c r="C376" t="str">
        <f>IFERROR(__xludf.DUMMYFUNCTION("""COMPUTED_VALUE"""),"1e43aiziZ9lVzR6j8eABeYJVnCkgU34OcPRcWujsT2Sk")</f>
        <v>1e43aiziZ9lVzR6j8eABeYJVnCkgU34OcPRcWujsT2Sk</v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IFERROR(__xludf.DUMMYFUNCTION("""COMPUTED_VALUE"""),"VerifyAggregationAssetWithNav")</f>
        <v>VerifyAggregationAssetWithNav</v>
      </c>
      <c r="C377" t="str">
        <f>IFERROR(__xludf.DUMMYFUNCTION("""COMPUTED_VALUE"""),"1etvN2Ze8TA6NI_8xSaOdqLwhWnk9NXKUUDhi-_NctcY")</f>
        <v>1etvN2Ze8TA6NI_8xSaOdqLwhWnk9NXKUUDhi-_NctcY</v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IFERROR(__xludf.DUMMYFUNCTION("""COMPUTED_VALUE"""),"VerifyAggregationSymbolWithNav")</f>
        <v>VerifyAggregationSymbolWithNav</v>
      </c>
      <c r="C378" t="str">
        <f>IFERROR(__xludf.DUMMYFUNCTION("""COMPUTED_VALUE"""),"13XyCHzB6LhftZ5UNht5K7e3dan_fGbii_TnOOGLwDg0")</f>
        <v>13XyCHzB6LhftZ5UNht5K7e3dan_fGbii_TnOOGLwDg0</v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IFERROR(__xludf.DUMMYFUNCTION("""COMPUTED_VALUE"""),"VerifyAggregationSubSectorWithNav")</f>
        <v>VerifyAggregationSubSectorWithNav</v>
      </c>
      <c r="C379" t="str">
        <f>IFERROR(__xludf.DUMMYFUNCTION("""COMPUTED_VALUE"""),"1DBHQwTuKH0lzdeBCel_4raYQn6PkkFTYydpCHbsB4Qk")</f>
        <v>1DBHQwTuKH0lzdeBCel_4raYQn6PkkFTYydpCHbsB4Qk</v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IFERROR(__xludf.DUMMYFUNCTION("""COMPUTED_VALUE"""),"VerifyAggregationGlobalWithNav")</f>
        <v>VerifyAggregationGlobalWithNav</v>
      </c>
      <c r="C380" t="str">
        <f>IFERROR(__xludf.DUMMYFUNCTION("""COMPUTED_VALUE"""),"1XVSAkmIoWI-AC0BHXwWO3TqCkz2uOlJFE5eM6W0_Cew")</f>
        <v>1XVSAkmIoWI-AC0BHXwWO3TqCkz2uOlJFE5eM6W0_Cew</v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VerifyAggregationGlobalWithNav")</f>
        <v> VerifyAggregationGlobalWithNav</v>
      </c>
      <c r="C381" t="str">
        <f>IFERROR(__xludf.DUMMYFUNCTION("""COMPUTED_VALUE"""),"1XVSAkmIoWI-AC0BHXwWO3TqCkz2uOlJFE5eM6W0_Cew")</f>
        <v>1XVSAkmIoWI-AC0BHXwWO3TqCkz2uOlJFE5eM6W0_Cew</v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VerifyAccrualForAccountWindow")</f>
        <v> VerifyAccrualForAccountWindow</v>
      </c>
      <c r="C383" t="str">
        <f>IFERROR(__xludf.DUMMYFUNCTION("""COMPUTED_VALUE"""),"1zKkT3mW6MMJ2tPzzT2fHVQT6vyc0mePzllndBlUl5IM")</f>
        <v>1zKkT3mW6MMJ2tPzzT2fHVQT6vyc0mePzllndBlUl5IM</v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IFERROR(__xludf.DUMMYFUNCTION("""COMPUTED_VALUE"""),"1z5ONnrNdd3WVB7RZIGa-yHhn0U7mw19K0moh5ObmK-I")</f>
        <v>1z5ONnrNdd3WVB7RZIGa-yHhn0U7mw19K0moh5ObmK-I</v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IFERROR(__xludf.DUMMYFUNCTION("""COMPUTED_VALUE"""),"VerifyMasterFundDivisorWindow")</f>
        <v>VerifyMasterFundDivisorWindow</v>
      </c>
      <c r="C385" t="str">
        <f>IFERROR(__xludf.DUMMYFUNCTION("""COMPUTED_VALUE"""),"13rWeedH_MlhhxYACJeLeckVtBWejh246MGPN4QQpmMM")</f>
        <v>13rWeedH_MlhhxYACJeLeckVtBWejh246MGPN4QQpmMM</v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IFERROR(__xludf.DUMMYFUNCTION("""COMPUTED_VALUE"""),"VerifyMasterFundSymbolDivisorWindow")</f>
        <v>VerifyMasterFundSymbolDivisorWindow</v>
      </c>
      <c r="C386" t="str">
        <f>IFERROR(__xludf.DUMMYFUNCTION("""COMPUTED_VALUE"""),"1YPctyrs3yMgf0X1_jVz3LRORCo4B4cNqbyc_K0FujO0")</f>
        <v>1YPctyrs3yMgf0X1_jVz3LRORCo4B4cNqbyc_K0FujO0</v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IFERROR(__xludf.DUMMYFUNCTION("""COMPUTED_VALUE"""),"FetchAccountPositions")</f>
        <v>FetchAccountPositions</v>
      </c>
      <c r="C387" t="str">
        <f>IFERROR(__xludf.DUMMYFUNCTION("""COMPUTED_VALUE"""),"1BeNn_44h4ClIE46em_ho4qgzGnXy_GxtYTH3cBmtKPk")</f>
        <v>1BeNn_44h4ClIE46em_ho4qgzGnXy_GxtYTH3cBmtKPk</v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IFERROR(__xludf.DUMMYFUNCTION("""COMPUTED_VALUE"""),"AddCash")</f>
        <v>AddCash</v>
      </c>
      <c r="C388" t="str">
        <f>IFERROR(__xludf.DUMMYFUNCTION("""COMPUTED_VALUE"""),"1jkLpZFgLuRokIigwbjW9_Z47rlvj-YDlRcP_c4XkP_k")</f>
        <v>1jkLpZFgLuRokIigwbjW9_Z47rlvj-YDlRcP_c4XkP_k</v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IFERROR(__xludf.DUMMYFUNCTION("""COMPUTED_VALUE"""),"VerifyGridData")</f>
        <v>VerifyGridData</v>
      </c>
      <c r="C389" t="str">
        <f>IFERROR(__xludf.DUMMYFUNCTION("""COMPUTED_VALUE"""),"1mspGsgTjI-yT8NsZKZn8moOE-Vp0hoNdUziI1pFBq0I")</f>
        <v>1mspGsgTjI-yT8NsZKZn8moOE-Vp0hoNdUziI1pFBq0I</v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IFERROR(__xludf.DUMMYFUNCTION("""COMPUTED_VALUE"""),"RunRebalance")</f>
        <v>RunRebalance</v>
      </c>
      <c r="C390" t="str">
        <f>IFERROR(__xludf.DUMMYFUNCTION("""COMPUTED_VALUE"""),"1B2L3J6YUrDWz8rRtdvv0lYDQvnH8nYkmqQm12ZwK7jc")</f>
        <v>1B2L3J6YUrDWz8rRtdvv0lYDQvnH8nYkmqQm12ZwK7jc</v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IFERROR(__xludf.DUMMYFUNCTION("""COMPUTED_VALUE"""),"SelectTrade")</f>
        <v>SelectTrade</v>
      </c>
      <c r="C391" t="str">
        <f>IFERROR(__xludf.DUMMYFUNCTION("""COMPUTED_VALUE"""),"1FTTZIzpIKJz6P-IPbrA5EPTxiMe2ARbyGfgsnMXlct4")</f>
        <v>1FTTZIzpIKJz6P-IPbrA5EPTxiMe2ARbyGfgsnMXlct4</v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IFERROR(__xludf.DUMMYFUNCTION("""COMPUTED_VALUE"""),"AcknowledgeTrade")</f>
        <v>AcknowledgeTrade</v>
      </c>
      <c r="C392" t="str">
        <f>IFERROR(__xludf.DUMMYFUNCTION("""COMPUTED_VALUE"""),"1sQAsvIkAT3oSRlv0P4ERgM6O-p9EGHnCNRCfZZ6EKPM")</f>
        <v>1sQAsvIkAT3oSRlv0P4ERgM6O-p9EGHnCNRCfZZ6EKPM</v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IFERROR(__xludf.DUMMYFUNCTION("""COMPUTED_VALUE"""),"RejectTrade")</f>
        <v>RejectTrade</v>
      </c>
      <c r="C393" t="str">
        <f>IFERROR(__xludf.DUMMYFUNCTION("""COMPUTED_VALUE"""),"18DR7gQzurIoB_fivnSt8QoqUWcLVRpZQSDr37UqoXKU")</f>
        <v>18DR7gQzurIoB_fivnSt8QoqUWcLVRpZQSDr37UqoXKU</v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IFERROR(__xludf.DUMMYFUNCTION("""COMPUTED_VALUE"""),"ExecuteTrade")</f>
        <v>ExecuteTrade</v>
      </c>
      <c r="C394" t="str">
        <f>IFERROR(__xludf.DUMMYFUNCTION("""COMPUTED_VALUE"""),"1pp_DAI1bHvMNnrEvw8O7TeJWebgUjt3FSsdgjVWeJkE")</f>
        <v>1pp_DAI1bHvMNnrEvw8O7TeJWebgUjt3FSsdgjVWeJkE</v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IFERROR(__xludf.DUMMYFUNCTION("""COMPUTED_VALUE"""),"CancelTrade")</f>
        <v>CancelTrade</v>
      </c>
      <c r="C395" t="str">
        <f>IFERROR(__xludf.DUMMYFUNCTION("""COMPUTED_VALUE"""),"1hX7-3j5InwEYhwGhZXePVHcW-9vxINkOET671xdWGsc")</f>
        <v>1hX7-3j5InwEYhwGhZXePVHcW-9vxINkOET671xdWGsc</v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IFERROR(__xludf.DUMMYFUNCTION("""COMPUTED_VALUE"""),"OpenLiveTT")</f>
        <v>OpenLiveTT</v>
      </c>
      <c r="C396" t="str">
        <f>IFERROR(__xludf.DUMMYFUNCTION("""COMPUTED_VALUE"""),"1q3BIdA-Gau2cX2cBnlgy7eas26rbuZEdQMfROhYvOgI")</f>
        <v>1q3BIdA-Gau2cX2cBnlgy7eas26rbuZEdQMfROhYvOgI</v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 ht="15.75" customHeight="1">
      <c r="A397" t="str">
        <f>IFERROR(__xludf.DUMMYFUNCTION("""COMPUTED_VALUE"""),"TradingTicket")</f>
        <v>TradingTicket</v>
      </c>
      <c r="B397" t="str">
        <f>IFERROR(__xludf.DUMMYFUNCTION("""COMPUTED_VALUE"""),"CreateLiveOrder")</f>
        <v>CreateLiveOrder</v>
      </c>
      <c r="C397" t="str">
        <f>IFERROR(__xludf.DUMMYFUNCTION("""COMPUTED_VALUE"""),"115Bw2-ohdF1ilHcVpmgJ2DX9SJjX1zI-6SvF3CpCjm8")</f>
        <v>115Bw2-ohdF1ilHcVpmgJ2DX9SJjX1zI-6SvF3CpCjm8</v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IFERROR(__xludf.DUMMYFUNCTION("""COMPUTED_VALUE"""),"SetManualResponse ")</f>
        <v>SetManualResponse </v>
      </c>
      <c r="C398" t="str">
        <f>IFERROR(__xludf.DUMMYFUNCTION("""COMPUTED_VALUE"""),"10qeNhV85AQPMToOqHZlhzdXyNnDNjiueFxVwGUI_MO4")</f>
        <v>10qeNhV85AQPMToOqHZlhzdXyNnDNjiueFxVwGUI_MO4</v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IFERROR(__xludf.DUMMYFUNCTION("""COMPUTED_VALUE"""),"ClearUI")</f>
        <v>ClearUI</v>
      </c>
      <c r="C399" t="str">
        <f>IFERROR(__xludf.DUMMYFUNCTION("""COMPUTED_VALUE"""),"1LO0lVmw42vb8rN4FBdD2nZspNUXqgQCerd4ip5U8His")</f>
        <v>1LO0lVmw42vb8rN4FBdD2nZspNUXqgQCerd4ip5U8His</v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IFERROR(__xludf.DUMMYFUNCTION("""COMPUTED_VALUE"""),"RebalanceAcrossSecurities")</f>
        <v>RebalanceAcrossSecurities</v>
      </c>
      <c r="C400" t="str">
        <f>IFERROR(__xludf.DUMMYFUNCTION("""COMPUTED_VALUE"""),"1C-pSRr2mYlstlgFOXGSaoMyr-7ZKnUyCiCZMgNR75C0")</f>
        <v>1C-pSRr2mYlstlgFOXGSaoMyr-7ZKnUyCiCZMgNR75C0</v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IFERROR(__xludf.DUMMYFUNCTION("""COMPUTED_VALUE"""),"ClearCalculations")</f>
        <v>ClearCalculations</v>
      </c>
      <c r="C401" t="str">
        <f>IFERROR(__xludf.DUMMYFUNCTION("""COMPUTED_VALUE"""),"1pQy7yDMWL8pTAYmkyQd-37O6NjL8-HJsxUSDe_0vr3Y")</f>
        <v>1pQy7yDMWL8pTAYmkyQd-37O6NjL8-HJsxUSDe_0vr3Y</v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 ht="15.75" customHeight="1">
      <c r="A402" t="str">
        <f>IFERROR(__xludf.DUMMYFUNCTION("""COMPUTED_VALUE"""),"Rebalancer")</f>
        <v>Rebalancer</v>
      </c>
      <c r="B402" t="str">
        <f>IFERROR(__xludf.DUMMYFUNCTION("""COMPUTED_VALUE"""),"ModifyRebalance")</f>
        <v>ModifyRebalance</v>
      </c>
      <c r="C402" t="str">
        <f>IFERROR(__xludf.DUMMYFUNCTION("""COMPUTED_VALUE"""),"1PL-GKbx6oOTs--yRdzkUeclt9Wvb6f5jt4XN1oEGIZk")</f>
        <v>1PL-GKbx6oOTs--yRdzkUeclt9Wvb6f5jt4XN1oEGIZk</v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IFERROR(__xludf.DUMMYFUNCTION("""COMPUTED_VALUE"""),"SelectThirdParty")</f>
        <v>SelectThirdParty</v>
      </c>
      <c r="C403" t="str">
        <f>IFERROR(__xludf.DUMMYFUNCTION("""COMPUTED_VALUE"""),"1liR_hGZCDbVQXoq6lXJaHhVX-C6zpm2FZKNUaUnD7k8")</f>
        <v>1liR_hGZCDbVQXoq6lXJaHhVX-C6zpm2FZKNUaUnD7k8</v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IFERROR(__xludf.DUMMYFUNCTION("""COMPUTED_VALUE"""),"ViewThirdParty")</f>
        <v>ViewThirdParty</v>
      </c>
      <c r="C404" t="str">
        <f>IFERROR(__xludf.DUMMYFUNCTION("""COMPUTED_VALUE"""),"1L-T9YKEKNm_ncTLX6p563fxmzW1DvdfOn3fW5ZhQiKs")</f>
        <v>1L-T9YKEKNm_ncTLX6p563fxmzW1DvdfOn3fW5ZhQiKs</v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IFERROR(__xludf.DUMMYFUNCTION("""COMPUTED_VALUE"""),"ThirdPartyGenerate")</f>
        <v>ThirdPartyGenerate</v>
      </c>
      <c r="C405" t="str">
        <f>IFERROR(__xludf.DUMMYFUNCTION("""COMPUTED_VALUE"""),"1hWXI97uokXrkZMWLiuOrUPZMYEmIb2-QuYGHPvEooqk")</f>
        <v>1hWXI97uokXrkZMWLiuOrUPZMYEmIb2-QuYGHPvEooqk</v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IFERROR(__xludf.DUMMYFUNCTION("""COMPUTED_VALUE"""),"VerifyThirdPartyView")</f>
        <v>VerifyThirdPartyView</v>
      </c>
      <c r="C406" t="str">
        <f>IFERROR(__xludf.DUMMYFUNCTION("""COMPUTED_VALUE"""),"1OPgUZqNYhV3KEPmPCahj5p6WvTvcu6yt-IilVEoYdck")</f>
        <v>1OPgUZqNYhV3KEPmPCahj5p6WvTvcu6yt-IilVEoYdck</v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IFERROR(__xludf.DUMMYFUNCTION("""COMPUTED_VALUE"""),"VerifyThirdPartyGenerate")</f>
        <v>VerifyThirdPartyGenerate</v>
      </c>
      <c r="C407" t="str">
        <f>IFERROR(__xludf.DUMMYFUNCTION("""COMPUTED_VALUE"""),"1TX-aVCyjewgmTHgLEH493prpSt_ChoMDatfBG5cVehM")</f>
        <v>1TX-aVCyjewgmTHgLEH493prpSt_ChoMDatfBG5cVehM</v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IFERROR(__xludf.DUMMYFUNCTION("""COMPUTED_VALUE"""),"VerifyThirdPartySend")</f>
        <v>VerifyThirdPartySend</v>
      </c>
      <c r="C408" t="str">
        <f>IFERROR(__xludf.DUMMYFUNCTION("""COMPUTED_VALUE"""),"1TFrpzJZv_IpTrlD7aBcoe8mWXKXiq4OeBVw49pOpJY8")</f>
        <v>1TFrpzJZv_IpTrlD7aBcoe8mWXKXiq4OeBVw49pOpJY8</v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IFERROR(__xludf.DUMMYFUNCTION("""COMPUTED_VALUE"""),"ThirdPartySend")</f>
        <v>ThirdPartySend</v>
      </c>
      <c r="C409" t="str">
        <f>IFERROR(__xludf.DUMMYFUNCTION("""COMPUTED_VALUE"""),"1ELxt02tfMApvtpApk-Uz6JQVqK95xGCxH6tEwuv_yMQ")</f>
        <v>1ELxt02tfMApvtpApk-Uz6JQVqK95xGCxH6tEwuv_yMQ</v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IFERROR(__xludf.DUMMYFUNCTION("""COMPUTED_VALUE"""),"VerifyViewAllocationDetails")</f>
        <v>VerifyViewAllocationDetails</v>
      </c>
      <c r="C410" t="str">
        <f>IFERROR(__xludf.DUMMYFUNCTION("""COMPUTED_VALUE"""),"1onX95lO5NTDqGvP-5pv_fQlL0p1SAPerH3jm5s9xIbE")</f>
        <v>1onX95lO5NTDqGvP-5pv_fQlL0p1SAPerH3jm5s9xIbE</v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IFERROR(__xludf.DUMMYFUNCTION("""COMPUTED_VALUE"""),"SelectPTTRecord")</f>
        <v>SelectPTTRecord</v>
      </c>
      <c r="C411" t="str">
        <f>IFERROR(__xludf.DUMMYFUNCTION("""COMPUTED_VALUE"""),"1MzR4w0s74eMMAMcl-KSxjpoZfHiuOypwn42ACvmTkKM")</f>
        <v>1MzR4w0s74eMMAMcl-KSxjpoZfHiuOypwn42ACvmTkKM</v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 ht="15.75" customHeight="1">
      <c r="A412" t="str">
        <f>IFERROR(__xludf.DUMMYFUNCTION("""COMPUTED_VALUE"""),"PTT")</f>
        <v>PTT</v>
      </c>
      <c r="B412" t="str">
        <f>IFERROR(__xludf.DUMMYFUNCTION("""COMPUTED_VALUE"""),"EditPTTRecord")</f>
        <v>EditPTTRecord</v>
      </c>
      <c r="C412" t="str">
        <f>IFERROR(__xludf.DUMMYFUNCTION("""COMPUTED_VALUE"""),"13Ecyy3eTKlOlM2mlZRP_nxQjfP02VfkmPAAS8AQWMQk")</f>
        <v>13Ecyy3eTKlOlM2mlZRP_nxQjfP02VfkmPAAS8AQWMQk</v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 ht="15.75" customHeight="1">
      <c r="A413" t="str">
        <f>IFERROR(__xludf.DUMMYFUNCTION("""COMPUTED_VALUE"""),"Blotter")</f>
        <v>Blotter</v>
      </c>
      <c r="B413" t="str">
        <f>IFERROR(__xludf.DUMMYFUNCTION("""COMPUTED_VALUE"""),"GoToAllocation")</f>
        <v>GoToAllocation</v>
      </c>
      <c r="C413" t="str">
        <f>IFERROR(__xludf.DUMMYFUNCTION("""COMPUTED_VALUE"""),"1O10TSVXx7-qL87FJas1gFd9p3JugF_Bn4u9W7TpD46U")</f>
        <v>1O10TSVXx7-qL87FJas1gFd9p3JugF_Bn4u9W7TpD46U</v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 ht="15.75" customHeight="1">
      <c r="A414" t="str">
        <f>IFERROR(__xludf.DUMMYFUNCTION("""COMPUTED_VALUE"""),"Simulator")</f>
        <v>Simulator</v>
      </c>
      <c r="B414" t="str">
        <f>IFERROR(__xludf.DUMMYFUNCTION("""COMPUTED_VALUE"""),"CloseSimulator")</f>
        <v>CloseSimulator</v>
      </c>
      <c r="C414" t="str">
        <f>IFERROR(__xludf.DUMMYFUNCTION("""COMPUTED_VALUE"""),"undefined")</f>
        <v>undefined</v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 ht="15.75" customHeight="1">
      <c r="A415" t="str">
        <f>IFERROR(__xludf.DUMMYFUNCTION("""COMPUTED_VALUE"""),"GeneralLedger")</f>
        <v>GeneralLedger</v>
      </c>
      <c r="B415" t="str">
        <f>IFERROR(__xludf.DUMMYFUNCTION("""COMPUTED_VALUE"""),"VerifyCashTransaction")</f>
        <v>VerifyCashTransaction</v>
      </c>
      <c r="C415" t="str">
        <f>IFERROR(__xludf.DUMMYFUNCTION("""COMPUTED_VALUE"""),"1txiXYRv6RuxBB6CkKPa64Foilc8XIy5M-1KPAOBp9Z0")</f>
        <v>1txiXYRv6RuxBB6CkKPa64Foilc8XIy5M-1KPAOBp9Z0</v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 ht="15.75" customHeight="1">
      <c r="A416" t="str">
        <f>IFERROR(__xludf.DUMMYFUNCTION("""COMPUTED_VALUE"""),"Rebalancer")</f>
        <v>Rebalancer</v>
      </c>
      <c r="B416" t="str">
        <f>IFERROR(__xludf.DUMMYFUNCTION("""COMPUTED_VALUE"""),"ModelPortfolio")</f>
        <v>ModelPortfolio</v>
      </c>
      <c r="C416" t="str">
        <f>IFERROR(__xludf.DUMMYFUNCTION("""COMPUTED_VALUE"""),"1w51NpunZkBS_x4rZvkQXu2o8AUhD_GQPCtuFN-r1AFw")</f>
        <v>1w51NpunZkBS_x4rZvkQXu2o8AUhD_GQPCtuFN-r1AFw</v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 ht="15.75" customHeight="1">
      <c r="A417" t="str">
        <f>IFERROR(__xludf.DUMMYFUNCTION("""COMPUTED_VALUE"""),"DailyValuation")</f>
        <v>DailyValuation</v>
      </c>
      <c r="B417" t="str">
        <f>IFERROR(__xludf.DUMMYFUNCTION("""COMPUTED_VALUE"""),"VerifyDailyCash")</f>
        <v>VerifyDailyCash</v>
      </c>
      <c r="C417" t="str">
        <f>IFERROR(__xludf.DUMMYFUNCTION("""COMPUTED_VALUE"""),"1wXn8vaJbEg8VcRqhsw0cR1-Odkjr1m2zE8tXCmLX54g")</f>
        <v>1wXn8vaJbEg8VcRqhsw0cR1-Odkjr1m2zE8tXCmLX54g</v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 ht="15.75" customHeight="1">
      <c r="A418" t="str">
        <f>IFERROR(__xludf.DUMMYFUNCTION("""COMPUTED_VALUE"""),"Admin")</f>
        <v>Admin</v>
      </c>
      <c r="B418" t="str">
        <f>IFERROR(__xludf.DUMMYFUNCTION("""COMPUTED_VALUE"""),"SetCheckSide")</f>
        <v>SetCheckSide</v>
      </c>
      <c r="C418" t="str">
        <f>IFERROR(__xludf.DUMMYFUNCTION("""COMPUTED_VALUE"""),"1yyQmTWt6_vzUYvOiD3DjjThIuA-7rtaxLv1CWXWSP1c")</f>
        <v>1yyQmTWt6_vzUYvOiD3DjjThIuA-7rtaxLv1CWXWSP1c</v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IFERROR(__xludf.DUMMYFUNCTION("""COMPUTED_VALUE"""),"OpenSpinOff")</f>
        <v>OpenSpinOff</v>
      </c>
      <c r="C419" t="str">
        <f>IFERROR(__xludf.DUMMYFUNCTION("""COMPUTED_VALUE"""),"1s7UywmXsvA66vGSvDSU_CidM0OgQwEbFnisEBEFmoz0")</f>
        <v>1s7UywmXsvA66vGSvDSU_CidM0OgQwEbFnisEBEFmoz0</v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 ht="15.75" customHeight="1">
      <c r="A420" t="str">
        <f>IFERROR(__xludf.DUMMYFUNCTION("""COMPUTED_VALUE"""),"CorporateAction")</f>
        <v>CorporateAction</v>
      </c>
      <c r="B420" t="str">
        <f>IFERROR(__xludf.DUMMYFUNCTION("""COMPUTED_VALUE"""),"VerifyAndApplyCorpAction")</f>
        <v>VerifyAndApplyCorpAction</v>
      </c>
      <c r="C420" t="str">
        <f>IFERROR(__xludf.DUMMYFUNCTION("""COMPUTED_VALUE"""),"1cHNKlWy_s_rmmZHG2nid4hP7PjQozO104yUNI3CyU1o")</f>
        <v>1cHNKlWy_s_rmmZHG2nid4hP7PjQozO104yUNI3CyU1o</v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 ht="15.75" customHeight="1">
      <c r="A421" t="str">
        <f>IFERROR(__xludf.DUMMYFUNCTION("""COMPUTED_VALUE"""),"CorporateAction ")</f>
        <v>CorporateAction </v>
      </c>
      <c r="B421" t="str">
        <f>IFERROR(__xludf.DUMMYFUNCTION("""COMPUTED_VALUE"""),"VerifyAndSaveCorpAction")</f>
        <v>VerifyAndSaveCorpAction</v>
      </c>
      <c r="C421" t="str">
        <f>IFERROR(__xludf.DUMMYFUNCTION("""COMPUTED_VALUE"""),"1bruEDkUzHa33GtKgwOjgeu-gUDGJFATMt-u7J51XEU4")</f>
        <v>1bruEDkUzHa33GtKgwOjgeu-gUDGJFATMt-u7J51XEU4</v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IFERROR(__xludf.DUMMYFUNCTION("""COMPUTED_VALUE"""),"DisableChecksideForAsset")</f>
        <v>DisableChecksideForAsset</v>
      </c>
      <c r="C422" t="str">
        <f>IFERROR(__xludf.DUMMYFUNCTION("""COMPUTED_VALUE"""),"1w1BRJVZsjn1B0PDYrYEKzXGEw-NFKSMIyNqeBCt4yec")</f>
        <v>1w1BRJVZsjn1B0PDYrYEKzXGEw-NFKSMIyNqeBCt4yec</v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IFERROR(__xludf.DUMMYFUNCTION("""COMPUTED_VALUE"""),"DisableChecksideForAccount")</f>
        <v>DisableChecksideForAccount</v>
      </c>
      <c r="C423" t="str">
        <f>IFERROR(__xludf.DUMMYFUNCTION("""COMPUTED_VALUE"""),"1m8_kQ_0tVJoTiBpYOtlKW23NWSHVfniRS6qC-gXm10s")</f>
        <v>1m8_kQ_0tVJoTiBpYOtlKW23NWSHVfniRS6qC-gXm10s</v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IFERROR(__xludf.DUMMYFUNCTION("""COMPUTED_VALUE"""),"DisableChecksideForCounterParty")</f>
        <v>DisableChecksideForCounterParty</v>
      </c>
      <c r="C424" t="str">
        <f>IFERROR(__xludf.DUMMYFUNCTION("""COMPUTED_VALUE"""),"17N8VCOwI2fnS5Lh1_oE2TZ5tHs8EeP3ATBk93WwvRHk")</f>
        <v>17N8VCOwI2fnS5Lh1_oE2TZ5tHs8EeP3ATBk93WwvRHk</v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IFERROR(__xludf.DUMMYFUNCTION("""COMPUTED_VALUE"""),"DisableCheckside")</f>
        <v>DisableCheckside</v>
      </c>
      <c r="C425" t="str">
        <f>IFERROR(__xludf.DUMMYFUNCTION("""COMPUTED_VALUE"""),"1F88uJdltwqga7oeOfytDjDGsBP4kpEF_aSFBEzDCUqY")</f>
        <v>1F88uJdltwqga7oeOfytDjDGsBP4kpEF_aSFBEzDCUqY</v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IFERROR(__xludf.DUMMYFUNCTION("""COMPUTED_VALUE"""),"ApplyMasterFundFilter")</f>
        <v>ApplyMasterFundFilter</v>
      </c>
      <c r="C426" t="str">
        <f>IFERROR(__xludf.DUMMYFUNCTION("""COMPUTED_VALUE"""),"1yIy9yo2gUgRLah_KTWBr8Q8ouxWuW7qEoYCxd-IyZqU")</f>
        <v>1yIy9yo2gUgRLah_KTWBr8Q8ouxWuW7qEoYCxd-IyZqU</v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 ht="15.75" customHeight="1">
      <c r="A427" t="str">
        <f>IFERROR(__xludf.DUMMYFUNCTION("""COMPUTED_VALUE"""),"TradingTicket")</f>
        <v>TradingTicket</v>
      </c>
      <c r="B427" t="str">
        <f>IFERROR(__xludf.DUMMYFUNCTION("""COMPUTED_VALUE"""),"UpdateMasterFundOnTT")</f>
        <v>UpdateMasterFundOnTT</v>
      </c>
      <c r="C427" t="str">
        <f>IFERROR(__xludf.DUMMYFUNCTION("""COMPUTED_VALUE"""),"1vtwSXTZXLwVYR5bhmfKT7b9o6JVmS_9MOZn7CcypLvw")</f>
        <v>1vtwSXTZXLwVYR5bhmfKT7b9o6JVmS_9MOZn7CcypLvw</v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IFERROR(__xludf.DUMMYFUNCTION("""COMPUTED_VALUE"""),"ShowMasterFundOnTT")</f>
        <v>ShowMasterFundOnTT</v>
      </c>
      <c r="C428" t="str">
        <f>IFERROR(__xludf.DUMMYFUNCTION("""COMPUTED_VALUE"""),"1tY8_vmgwAtlU3wdGRDk8WSaRLCv6640XZ0pVR7jx06k")</f>
        <v>1tY8_vmgwAtlU3wdGRDk8WSaRLCv6640XZ0pVR7jx06k</v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IFERROR(__xludf.DUMMYFUNCTION("""COMPUTED_VALUE"""),"ShowMasterFundAsClient")</f>
        <v>ShowMasterFundAsClient</v>
      </c>
      <c r="C429" t="str">
        <f>IFERROR(__xludf.DUMMYFUNCTION("""COMPUTED_VALUE"""),"1dXSCZtp_PbY2-xO4HyuQFjP9rqovyxBIHohhAalWHdk")</f>
        <v>1dXSCZtp_PbY2-xO4HyuQFjP9rqovyxBIHohhAalWHdk</v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IFERROR(__xludf.DUMMYFUNCTION("""COMPUTED_VALUE"""),"SetBrokerAccountMapping")</f>
        <v>SetBrokerAccountMapping</v>
      </c>
      <c r="C430" t="str">
        <f>IFERROR(__xludf.DUMMYFUNCTION("""COMPUTED_VALUE"""),"1MPDRlprMFMS8DkR-4ntdGvBOQ6Gp4Cbkz1mGJyRiPBU")</f>
        <v>1MPDRlprMFMS8DkR-4ntdGvBOQ6Gp4Cbkz1mGJyRiPBU</v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 ht="15.75" customHeight="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 ht="15.75" customHeight="1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 ht="15.75" customHeight="1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 ht="15.75" customHeight="1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 ht="15.75" customHeight="1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 ht="15.75" customHeight="1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 ht="15.75" customHeight="1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 ht="15.75" customHeight="1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 ht="15.75" customHeight="1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 ht="15.75" customHeight="1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 ht="15.75" customHeight="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 ht="15.75" customHeight="1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 ht="15.75" customHeight="1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 ht="15.75" customHeight="1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 ht="15.75" customHeight="1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 ht="15.75" customHeight="1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 ht="15.75" customHeight="1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 ht="15.75" customHeight="1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 ht="15.75" customHeight="1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 ht="15.75" customHeight="1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 ht="15.75" customHeight="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 ht="15.75" customHeight="1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 ht="15.75" customHeight="1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 ht="15.75" customHeight="1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 ht="15.75" customHeight="1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 ht="15.75" customHeight="1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 ht="15.75" customHeight="1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 ht="15.75" customHeight="1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 ht="15.75" customHeight="1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 ht="15.75" customHeight="1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 ht="15.75" customHeight="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 ht="15.75" customHeight="1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 ht="15.75" customHeight="1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 ht="15.75" customHeight="1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 ht="15.75" customHeight="1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 ht="15.75" customHeight="1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 ht="15.75" customHeight="1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 ht="15.75" customHeight="1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 ht="15.75" customHeight="1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 ht="15.75" customHeight="1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 ht="15.75" customHeight="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 ht="15.75" customHeight="1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 ht="15.75" customHeight="1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 ht="15.75" customHeight="1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 ht="15.75" customHeight="1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 ht="15.75" customHeight="1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 ht="15.75" customHeight="1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 ht="15.75" customHeight="1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 ht="15.75" customHeight="1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 ht="15.75" customHeight="1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 ht="15.75" customHeight="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 ht="15.75" customHeight="1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 ht="15.75" customHeight="1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 ht="15.75" customHeight="1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 ht="15.75" customHeight="1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 ht="15.75" customHeight="1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 ht="15.75" customHeight="1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 ht="15.75" customHeight="1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 ht="15.75" customHeight="1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 ht="15.75" customHeight="1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 ht="15.75" customHeight="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 ht="15.75" customHeight="1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 ht="15.75" customHeight="1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 ht="15.75" customHeight="1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 ht="15.75" customHeight="1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 ht="15.75" customHeight="1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 ht="15.75" customHeight="1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 ht="15.75" customHeight="1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 ht="15.75" customHeight="1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 ht="15.75" customHeight="1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 ht="15.75" customHeight="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 ht="15.75" customHeight="1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 ht="15.75" customHeight="1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 ht="15.75" customHeight="1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 ht="15.75" customHeight="1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 ht="15.75" customHeight="1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 ht="15.75" customHeight="1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 ht="15.75" customHeight="1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 ht="15.75" customHeight="1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 ht="15.75" customHeight="1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 ht="15.75" customHeight="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 ht="15.75" customHeight="1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 ht="15.75" customHeight="1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 ht="15.75" customHeight="1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 ht="15.75" customHeight="1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 ht="15.75" customHeight="1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 ht="15.75" customHeight="1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 ht="15.75" customHeight="1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 ht="15.75" customHeight="1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 ht="15.75" customHeight="1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 ht="15.75" customHeight="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 ht="15.75" customHeight="1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 ht="15.75" customHeight="1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 ht="15.75" customHeight="1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 ht="15.75" customHeight="1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 ht="15.75" customHeight="1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 ht="15.75" customHeight="1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 ht="15.75" customHeight="1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 ht="15.75" customHeight="1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 ht="15.75" customHeight="1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 ht="15.75" customHeight="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 ht="15.75" customHeight="1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 ht="15.75" customHeight="1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 ht="15.75" customHeight="1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 ht="15.75" customHeight="1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 ht="15.75" customHeight="1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 ht="15.75" customHeight="1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 ht="15.75" customHeight="1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 ht="15.75" customHeight="1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 ht="15.75" customHeight="1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 ht="15.75" customHeight="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 ht="15.75" customHeight="1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 ht="15.75" customHeight="1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 ht="15.75" customHeight="1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 ht="15.75" customHeight="1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 ht="15.75" customHeight="1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 ht="15.75" customHeight="1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 ht="15.75" customHeight="1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 ht="15.75" customHeight="1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 ht="15.75" customHeight="1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 ht="15.75" customHeight="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 ht="15.75" customHeight="1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 ht="15.75" customHeight="1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 ht="15.75" customHeight="1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 ht="15.75" customHeight="1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 ht="15.75" customHeight="1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 ht="15.75" customHeight="1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 ht="15.75" customHeight="1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 ht="15.75" customHeight="1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 ht="15.75" customHeight="1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 ht="15.75" customHeight="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 ht="15.75" customHeight="1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 ht="15.75" customHeight="1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 ht="15.75" customHeight="1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 ht="15.75" customHeight="1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 ht="15.75" customHeight="1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 ht="15.75" customHeight="1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 ht="15.75" customHeight="1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 ht="15.75" customHeight="1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 ht="15.75" customHeight="1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 ht="15.75" customHeight="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 ht="15.75" customHeight="1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 ht="15.75" customHeight="1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 ht="15.75" customHeight="1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 ht="15.75" customHeight="1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 ht="15.75" customHeight="1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 ht="15.75" customHeight="1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 ht="15.75" customHeight="1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 ht="15.75" customHeight="1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 ht="15.75" customHeight="1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 ht="15.75" customHeight="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 ht="15.75" customHeight="1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 ht="15.75" customHeight="1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 ht="15.75" customHeight="1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 ht="15.75" customHeight="1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 ht="15.75" customHeight="1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 ht="15.75" customHeight="1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 ht="15.75" customHeight="1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 ht="15.75" customHeight="1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 ht="15.75" customHeight="1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 ht="15.75" customHeight="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 ht="15.75" customHeight="1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 ht="15.75" customHeight="1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 ht="15.75" customHeight="1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 ht="15.75" customHeight="1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 ht="15.75" customHeight="1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 ht="15.75" customHeight="1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 ht="15.75" customHeight="1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 ht="15.75" customHeight="1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 ht="15.75" customHeight="1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 ht="15.75" customHeight="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 ht="15.75" customHeight="1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 ht="15.75" customHeight="1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 ht="15.75" customHeight="1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 ht="15.75" customHeight="1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 ht="15.75" customHeight="1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 ht="15.75" customHeight="1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 ht="15.75" customHeight="1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 ht="15.75" customHeight="1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 ht="15.75" customHeight="1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 ht="15.75" customHeight="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 ht="15.75" customHeight="1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 ht="15.75" customHeight="1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 ht="15.75" customHeight="1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 ht="15.75" customHeight="1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 ht="15.75" customHeight="1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 ht="15.75" customHeight="1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 ht="15.75" customHeight="1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 ht="15.75" customHeight="1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 ht="15.75" customHeight="1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 ht="15.75" customHeight="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 ht="15.75" customHeight="1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 ht="15.75" customHeight="1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 ht="15.75" customHeight="1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 ht="15.75" customHeight="1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 ht="15.75" customHeight="1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 ht="15.75" customHeight="1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 ht="15.75" customHeight="1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 ht="15.75" customHeight="1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 ht="15.75" customHeight="1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 ht="15.75" customHeight="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 ht="15.75" customHeight="1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 ht="15.75" customHeight="1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 ht="15.75" customHeight="1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 ht="15.75" customHeight="1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 ht="15.75" customHeight="1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 ht="15.75" customHeight="1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 ht="15.75" customHeight="1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 ht="15.75" customHeight="1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 ht="15.75" customHeight="1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 ht="15.75" customHeight="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 ht="15.75" customHeight="1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 ht="15.75" customHeight="1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 ht="15.75" customHeight="1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 ht="15.75" customHeight="1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 ht="15.75" customHeight="1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 ht="15.75" customHeight="1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 ht="15.75" customHeight="1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 ht="15.75" customHeight="1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 ht="15.75" customHeight="1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 ht="15.75" customHeight="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 ht="15.75" customHeight="1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 ht="15.75" customHeight="1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 ht="15.75" customHeight="1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 ht="15.75" customHeight="1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 ht="15.75" customHeight="1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 ht="15.75" customHeight="1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 ht="15.75" customHeight="1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 ht="15.75" customHeight="1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 ht="15.75" customHeight="1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 ht="15.75" customHeight="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 ht="15.75" customHeight="1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 ht="15.75" customHeight="1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 ht="15.75" customHeight="1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 ht="15.75" customHeight="1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 ht="15.75" customHeight="1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 ht="15.75" customHeight="1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 ht="15.75" customHeight="1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 ht="15.75" customHeight="1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 ht="15.75" customHeight="1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 ht="15.75" customHeight="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 ht="15.75" customHeight="1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 ht="15.75" customHeight="1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 ht="15.75" customHeight="1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 ht="15.75" customHeight="1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 ht="15.75" customHeight="1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 ht="15.75" customHeight="1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 ht="15.75" customHeight="1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 ht="15.75" customHeight="1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 ht="15.75" customHeight="1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 ht="15.75" customHeight="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 ht="15.75" customHeight="1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 ht="15.75" customHeight="1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 ht="15.75" customHeight="1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 ht="15.75" customHeight="1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 ht="15.75" customHeight="1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 ht="15.75" customHeight="1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 ht="15.75" customHeight="1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 ht="15.75" customHeight="1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 ht="15.75" customHeight="1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 ht="15.75" customHeight="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 ht="15.75" customHeight="1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 ht="15.75" customHeight="1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 ht="15.75" customHeight="1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 ht="15.75" customHeight="1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 ht="15.75" customHeight="1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 ht="15.75" customHeight="1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 ht="15.75" customHeight="1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 ht="15.75" customHeight="1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 ht="15.75" customHeight="1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 ht="15.75" customHeight="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 ht="15.75" customHeight="1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 ht="15.75" customHeight="1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 ht="15.75" customHeight="1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 ht="15.75" customHeight="1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 ht="15.75" customHeight="1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 ht="15.75" customHeight="1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 ht="15.75" customHeight="1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 ht="15.75" customHeight="1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 ht="15.75" customHeight="1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 ht="15.75" customHeight="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 ht="15.75" customHeight="1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 ht="15.75" customHeight="1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 ht="15.75" customHeight="1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 ht="15.75" customHeight="1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 ht="15.75" customHeight="1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 ht="15.75" customHeight="1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 ht="15.75" customHeight="1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 ht="15.75" customHeight="1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 ht="15.75" customHeight="1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 ht="15.75" customHeight="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 ht="15.75" customHeight="1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 ht="15.75" customHeight="1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 ht="15.75" customHeight="1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 ht="15.75" customHeight="1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 ht="15.75" customHeight="1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 ht="15.75" customHeight="1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 ht="15.75" customHeight="1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 ht="15.75" customHeight="1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 ht="15.75" customHeight="1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 ht="15.75" customHeight="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 ht="15.75" customHeight="1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 ht="15.75" customHeight="1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 ht="15.75" customHeight="1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 ht="15.75" customHeight="1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 ht="15.75" customHeight="1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 ht="15.75" customHeight="1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 ht="15.75" customHeight="1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 ht="15.75" customHeight="1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 ht="15.75" customHeight="1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 ht="15.75" customHeight="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 ht="15.75" customHeight="1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 ht="15.75" customHeight="1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 ht="15.75" customHeight="1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 ht="15.75" customHeight="1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 ht="15.75" customHeight="1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 ht="15.75" customHeight="1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 ht="15.75" customHeight="1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 ht="15.75" customHeight="1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 ht="15.75" customHeight="1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 ht="15.75" customHeight="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 ht="15.75" customHeight="1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 ht="15.75" customHeight="1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 ht="15.75" customHeight="1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 ht="15.75" customHeight="1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 ht="15.75" customHeight="1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 ht="15.75" customHeight="1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 ht="15.75" customHeight="1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 ht="15.75" customHeight="1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 ht="15.75" customHeight="1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 ht="15.75" customHeight="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 ht="15.75" customHeight="1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 ht="15.75" customHeight="1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 ht="15.75" customHeight="1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 ht="15.75" customHeight="1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 ht="15.75" customHeight="1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 ht="15.75" customHeight="1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 ht="15.75" customHeight="1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 ht="15.75" customHeight="1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 ht="15.75" customHeight="1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 ht="15.75" customHeight="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 ht="15.75" customHeight="1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 ht="15.75" customHeight="1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 ht="15.75" customHeight="1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 ht="15.75" customHeight="1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 ht="15.75" customHeight="1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 ht="15.75" customHeight="1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 ht="15.75" customHeight="1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 ht="15.75" customHeight="1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 ht="15.75" customHeight="1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 ht="15.75" customHeight="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 ht="15.75" customHeight="1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 ht="15.75" customHeight="1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 ht="15.75" customHeight="1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 ht="15.75" customHeight="1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 ht="15.75" customHeight="1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 ht="15.75" customHeight="1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 ht="15.75" customHeight="1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 ht="15.75" customHeight="1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 ht="15.75" customHeight="1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 ht="15.75" customHeight="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 ht="15.75" customHeight="1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 ht="15.75" customHeight="1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 ht="15.75" customHeight="1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 ht="15.75" customHeight="1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 ht="15.75" customHeight="1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 ht="15.75" customHeight="1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 ht="15.75" customHeight="1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 ht="15.75" customHeight="1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 ht="15.75" customHeight="1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 ht="15.75" customHeight="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 ht="15.75" customHeight="1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 ht="15.75" customHeight="1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 ht="15.75" customHeight="1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 ht="15.75" customHeight="1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 ht="15.75" customHeight="1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 ht="15.75" customHeight="1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 ht="15.75" customHeight="1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 ht="15.75" customHeight="1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 ht="15.75" customHeight="1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 ht="15.75" customHeight="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 ht="15.75" customHeight="1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 ht="15.75" customHeight="1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 ht="15.75" customHeight="1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 ht="15.75" customHeight="1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 ht="15.75" customHeight="1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 ht="15.75" customHeight="1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 ht="15.75" customHeight="1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 ht="15.75" customHeight="1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 ht="15.75" customHeight="1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 ht="15.75" customHeight="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 ht="15.75" customHeight="1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 ht="15.75" customHeight="1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 ht="15.75" customHeight="1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 ht="15.75" customHeight="1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 ht="15.75" customHeight="1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 ht="15.75" customHeight="1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 ht="15.75" customHeight="1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 ht="15.75" customHeight="1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 ht="15.75" customHeight="1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 ht="15.75" customHeight="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 ht="15.75" customHeight="1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 ht="15.75" customHeight="1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 ht="15.75" customHeight="1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 ht="15.75" customHeight="1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 ht="15.75" customHeight="1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 ht="15.75" customHeight="1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 ht="15.75" customHeight="1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 ht="15.75" customHeight="1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 ht="15.75" customHeight="1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 ht="15.75" customHeight="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 ht="15.75" customHeight="1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 ht="15.75" customHeight="1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 ht="15.75" customHeight="1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 ht="15.75" customHeight="1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 ht="15.75" customHeight="1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 ht="15.75" customHeight="1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 ht="15.75" customHeight="1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 ht="15.75" customHeight="1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 ht="15.75" customHeight="1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 ht="15.75" customHeight="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 ht="15.75" customHeight="1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 ht="15.75" customHeight="1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 ht="15.75" customHeight="1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 ht="15.75" customHeight="1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 ht="15.75" customHeight="1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 ht="15.75" customHeight="1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 ht="15.75" customHeight="1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 ht="15.75" customHeight="1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 ht="15.75" customHeight="1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 ht="15.75" customHeight="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 ht="15.75" customHeight="1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 ht="15.75" customHeight="1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 ht="15.75" customHeight="1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 ht="15.75" customHeight="1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 ht="15.75" customHeight="1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 ht="15.75" customHeight="1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 ht="15.75" customHeight="1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 ht="15.75" customHeight="1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 ht="15.75" customHeight="1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" t="s">
        <v>0</v>
      </c>
      <c r="B1" s="4"/>
      <c r="C1" s="5"/>
    </row>
    <row r="2" ht="15.75" customHeight="1">
      <c r="A2" s="7"/>
      <c r="B2" s="7"/>
      <c r="C2" s="7"/>
    </row>
    <row r="3" ht="15.75" customHeight="1">
      <c r="A3" s="9" t="s">
        <v>4</v>
      </c>
      <c r="B3" s="10" t="s">
        <v>6</v>
      </c>
      <c r="C3" s="7"/>
    </row>
    <row r="4" ht="15.75" customHeight="1">
      <c r="A4" s="8" t="s">
        <v>7</v>
      </c>
      <c r="B4" s="10" t="s">
        <v>8</v>
      </c>
      <c r="C4" s="7"/>
    </row>
    <row r="5" ht="15.75" customHeight="1">
      <c r="A5" s="11"/>
      <c r="B5" s="7"/>
      <c r="C5" s="7"/>
    </row>
    <row r="6" ht="15.75" customHeight="1">
      <c r="A6" s="11"/>
      <c r="B6" s="7"/>
      <c r="C6" s="7"/>
    </row>
    <row r="7" ht="15.75" customHeight="1">
      <c r="A7" s="11"/>
      <c r="B7" s="7"/>
      <c r="C7" s="7"/>
    </row>
    <row r="8" ht="15.75" customHeight="1">
      <c r="A8" s="11"/>
      <c r="B8" s="7"/>
      <c r="C8" s="7"/>
    </row>
    <row r="9" ht="15.75" customHeight="1">
      <c r="A9" s="11"/>
      <c r="B9" s="7"/>
      <c r="C9" s="7"/>
    </row>
    <row r="10" ht="15.75" customHeight="1">
      <c r="A10" s="11"/>
      <c r="B10" s="7"/>
      <c r="C10" s="7"/>
    </row>
    <row r="11" ht="15.75" customHeight="1">
      <c r="A11" s="11"/>
      <c r="B11" s="7"/>
      <c r="C11" s="7"/>
    </row>
    <row r="12" ht="15.75" customHeight="1">
      <c r="A12" s="11"/>
      <c r="B12" s="7"/>
      <c r="C12" s="7"/>
    </row>
    <row r="13" ht="15.75" customHeight="1">
      <c r="A13" s="11"/>
      <c r="B13" s="7"/>
      <c r="C13" s="7"/>
    </row>
    <row r="14" ht="15.75" customHeight="1">
      <c r="A14" s="11"/>
      <c r="B14" s="7"/>
      <c r="C14" s="7"/>
    </row>
    <row r="15" ht="15.75" customHeight="1">
      <c r="A15" s="11"/>
      <c r="B15" s="7"/>
      <c r="C15" s="7"/>
    </row>
    <row r="16" ht="15.75" customHeight="1">
      <c r="A16" s="11"/>
      <c r="B16" s="7"/>
      <c r="C16" s="7"/>
    </row>
    <row r="17" ht="15.75" customHeight="1">
      <c r="A17" s="11"/>
      <c r="B17" s="7"/>
      <c r="C17" s="7"/>
    </row>
    <row r="18" ht="15.75" customHeight="1">
      <c r="A18" s="11"/>
      <c r="B18" s="7"/>
      <c r="C18" s="7"/>
    </row>
    <row r="19" ht="15.75" customHeight="1">
      <c r="A19" s="11"/>
      <c r="B19" s="7"/>
      <c r="C19" s="7"/>
    </row>
    <row r="20" ht="15.75" customHeight="1">
      <c r="A20" s="11"/>
      <c r="B20" s="7"/>
      <c r="C20" s="7"/>
    </row>
    <row r="21" ht="15.75" customHeight="1">
      <c r="A21" s="11"/>
      <c r="B21" s="7"/>
      <c r="C21" s="7"/>
    </row>
    <row r="22" ht="15.75" customHeight="1">
      <c r="A22" s="11"/>
      <c r="B22" s="7"/>
      <c r="C22" s="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3" t="s">
        <v>1</v>
      </c>
      <c r="B1" s="4"/>
      <c r="C1" s="4"/>
      <c r="D1" s="4"/>
      <c r="E1" s="4"/>
      <c r="F1" s="5"/>
    </row>
    <row r="2">
      <c r="A2" s="6"/>
      <c r="B2" s="6"/>
      <c r="C2" s="6"/>
      <c r="D2" s="6"/>
      <c r="E2" s="6"/>
      <c r="F2" s="6"/>
    </row>
    <row r="3">
      <c r="A3" s="8" t="s">
        <v>3</v>
      </c>
      <c r="B3" s="12" t="s">
        <v>5</v>
      </c>
      <c r="C3" s="12" t="s">
        <v>10</v>
      </c>
      <c r="D3" s="15"/>
      <c r="E3" s="15"/>
      <c r="F3" s="15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3</v>
      </c>
      <c r="C3" s="21" t="s">
        <v>13</v>
      </c>
      <c r="D3" s="9" t="s">
        <v>5</v>
      </c>
      <c r="E3" s="21" t="s">
        <v>16</v>
      </c>
      <c r="F3" s="9" t="s">
        <v>15</v>
      </c>
      <c r="G3" s="11" t="s">
        <v>17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IFERROR(__xludf.DUMMYFUNCTION("IF(C3="""","""",Transpose(IMPORTRANGE('_Settings'!$B$3,C3&amp;""!A4:A1000"")))"),"OpenTTFromPST")</f>
        <v>OpenTTFromPST</v>
      </c>
      <c r="C4" s="23" t="str">
        <f>IFERROR(__xludf.DUMMYFUNCTION("""COMPUTED_VALUE"""),"EnterDetailsOnTT")</f>
        <v>EnterDetailsOnTT</v>
      </c>
      <c r="D4" s="23" t="str">
        <f>IFERROR(__xludf.DUMMYFUNCTION("""COMPUTED_VALUE"""),"ValidateSymbolTT")</f>
        <v>ValidateSymbolTT</v>
      </c>
      <c r="E4" s="23" t="str">
        <f>IFERROR(__xludf.DUMMYFUNCTION("""COMPUTED_VALUE"""),"VerifyDataTT")</f>
        <v>VerifyDataTT</v>
      </c>
      <c r="F4" s="23" t="str">
        <f>IFERROR(__xludf.DUMMYFUNCTION("""COMPUTED_VALUE"""),"SetUIPreferencesTT")</f>
        <v>SetUIPreferencesTT</v>
      </c>
      <c r="G4" s="23" t="str">
        <f>IFERROR(__xludf.DUMMYFUNCTION("""COMPUTED_VALUE"""),"SetBrokerWisePreferencesTT")</f>
        <v>SetBrokerWisePreferencesTT</v>
      </c>
      <c r="H4" s="23" t="str">
        <f>IFERROR(__xludf.DUMMYFUNCTION("""COMPUTED_VALUE"""),"TradeNewSub")</f>
        <v>TradeNewSub</v>
      </c>
      <c r="I4" s="23" t="str">
        <f>IFERROR(__xludf.DUMMYFUNCTION("""COMPUTED_VALUE"""),"CreateStageOrder")</f>
        <v>CreateStageOrder</v>
      </c>
      <c r="J4" s="23" t="str">
        <f>IFERROR(__xludf.DUMMYFUNCTION("""COMPUTED_VALUE"""),"CreateReplaceOrder")</f>
        <v>CreateReplaceOrder</v>
      </c>
      <c r="K4" s="23" t="str">
        <f>IFERROR(__xludf.DUMMYFUNCTION("""COMPUTED_VALUE"""),"SetGeneralPreference")</f>
        <v>SetGeneralPreference</v>
      </c>
      <c r="L4" s="23" t="str">
        <f>IFERROR(__xludf.DUMMYFUNCTION("""COMPUTED_VALUE"""),"CreateDoneAwayOrder")</f>
        <v>CreateDoneAwayOrder</v>
      </c>
      <c r="M4" s="23" t="str">
        <f>IFERROR(__xludf.DUMMYFUNCTION("""COMPUTED_VALUE"""),"CreateNewSubOrder")</f>
        <v>CreateNewSubOrder</v>
      </c>
      <c r="N4" s="23" t="str">
        <f>IFERROR(__xludf.DUMMYFUNCTION("""COMPUTED_VALUE"""),"TradeBloomberg")</f>
        <v>TradeBloomberg</v>
      </c>
      <c r="O4" s="23" t="str">
        <f>IFERROR(__xludf.DUMMYFUNCTION("""COMPUTED_VALUE"""),"ClickSymbolLookup")</f>
        <v>ClickSymbolLookup</v>
      </c>
      <c r="P4" s="24" t="str">
        <f>IFERROR(__xludf.DUMMYFUNCTION("""COMPUTED_VALUE"""),"VerifyTT")</f>
        <v>VerifyTT</v>
      </c>
      <c r="Q4" s="24" t="str">
        <f>IFERROR(__xludf.DUMMYFUNCTION("""COMPUTED_VALUE"""),"CreateLiveOrder")</f>
        <v>CreateLiveOrder</v>
      </c>
      <c r="R4" s="24" t="str">
        <f>IFERROR(__xludf.DUMMYFUNCTION("""COMPUTED_VALUE"""),"ShowMasterFundOnTT")</f>
        <v>ShowMasterFundOnTT</v>
      </c>
      <c r="S4" s="24" t="str">
        <f>IFERROR(__xludf.DUMMYFUNCTION("""COMPUTED_VALUE"""),"UpdateMasterFundOnTT")</f>
        <v>UpdateMasterFundOnTT</v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IFERROR(__xludf.DUMMYFUNCTION("""COMPUTED_VALUE"""),"Order Side")</f>
        <v>Order Side</v>
      </c>
      <c r="D5" s="26" t="str">
        <f>IFERROR(__xludf.DUMMYFUNCTION("""COMPUTED_VALUE"""),"Quantity")</f>
        <v>Quantity</v>
      </c>
      <c r="E5" s="26" t="str">
        <f>IFERROR(__xludf.DUMMYFUNCTION("""COMPUTED_VALUE"""),"TargetQuantityIn")</f>
        <v>TargetQuantityIn</v>
      </c>
      <c r="F5" s="27" t="str">
        <f>IFERROR(__xludf.DUMMYFUNCTION("""COMPUTED_VALUE"""),"AllocationMethod")</f>
        <v>AllocationMethod</v>
      </c>
      <c r="G5" s="26" t="str">
        <f>IFERROR(__xludf.DUMMYFUNCTION("""COMPUTED_VALUE"""),"Broker")</f>
        <v>Broker</v>
      </c>
      <c r="H5" s="26" t="str">
        <f>IFERROR(__xludf.DUMMYFUNCTION("""COMPUTED_VALUE"""),"TIF")</f>
        <v>TIF</v>
      </c>
      <c r="I5" s="26" t="str">
        <f>IFERROR(__xludf.DUMMYFUNCTION("""COMPUTED_VALUE"""),"Order Type")</f>
        <v>Order Type</v>
      </c>
      <c r="J5" s="26" t="str">
        <f>IFERROR(__xludf.DUMMYFUNCTION("""COMPUTED_VALUE"""),"Price")</f>
        <v>Price</v>
      </c>
      <c r="K5" s="26" t="str">
        <f>IFERROR(__xludf.DUMMYFUNCTION("""COMPUTED_VALUE"""),"Stop")</f>
        <v>Stop</v>
      </c>
      <c r="L5" s="26" t="str">
        <f>IFERROR(__xludf.DUMMYFUNCTION("""COMPUTED_VALUE"""),"Limit")</f>
        <v>Limit</v>
      </c>
      <c r="M5" s="26" t="str">
        <f>IFERROR(__xludf.DUMMYFUNCTION("""COMPUTED_VALUE"""),"Strategy")</f>
        <v>Strategy</v>
      </c>
      <c r="N5" s="26" t="str">
        <f>IFERROR(__xludf.DUMMYFUNCTION("""COMPUTED_VALUE"""),"Trade Date")</f>
        <v>Trade Date</v>
      </c>
      <c r="O5" s="26" t="str">
        <f>IFERROR(__xludf.DUMMYFUNCTION("""COMPUTED_VALUE"""),"FxRate")</f>
        <v>FxRate</v>
      </c>
      <c r="P5" s="26" t="str">
        <f>IFERROR(__xludf.DUMMYFUNCTION("""COMPUTED_VALUE"""),"Notes")</f>
        <v>Notes</v>
      </c>
      <c r="Q5" s="26" t="str">
        <f>IFERROR(__xludf.DUMMYFUNCTION("""COMPUTED_VALUE"""),"Broker Notes")</f>
        <v>Broker Notes</v>
      </c>
      <c r="R5" s="26" t="str">
        <f>IFERROR(__xludf.DUMMYFUNCTION("""COMPUTED_VALUE"""),"CommissionBasis")</f>
        <v>CommissionBasis</v>
      </c>
      <c r="S5" s="26" t="str">
        <f>IFERROR(__xludf.DUMMYFUNCTION("""COMPUTED_VALUE"""),"CommissionRate")</f>
        <v>CommissionRate</v>
      </c>
      <c r="T5" s="28" t="str">
        <f>IFERROR(__xludf.DUMMYFUNCTION("""COMPUTED_VALUE"""),"SoftBasis")</f>
        <v>SoftBasis</v>
      </c>
      <c r="U5" s="28" t="str">
        <f>IFERROR(__xludf.DUMMYFUNCTION("""COMPUTED_VALUE"""),"SoftRate")</f>
        <v>SoftRate</v>
      </c>
      <c r="V5" s="28" t="str">
        <f>IFERROR(__xludf.DUMMYFUNCTION("""COMPUTED_VALUE"""),"TradeAttribute1")</f>
        <v>TradeAttribute1</v>
      </c>
      <c r="W5" s="28" t="str">
        <f>IFERROR(__xludf.DUMMYFUNCTION("""COMPUTED_VALUE"""),"TradeAttribute2")</f>
        <v>TradeAttribute2</v>
      </c>
      <c r="X5" s="28" t="str">
        <f>IFERROR(__xludf.DUMMYFUNCTION("""COMPUTED_VALUE"""),"TradeAttribute3")</f>
        <v>TradeAttribute3</v>
      </c>
      <c r="Y5" s="28" t="str">
        <f>IFERROR(__xludf.DUMMYFUNCTION("""COMPUTED_VALUE"""),"TradeAttribute4")</f>
        <v>TradeAttribute4</v>
      </c>
      <c r="Z5" s="28" t="str">
        <f>IFERROR(__xludf.DUMMYFUNCTION("""COMPUTED_VALUE"""),"TradeAttribute5")</f>
        <v>TradeAttribute5</v>
      </c>
      <c r="AA5" s="28" t="str">
        <f>IFERROR(__xludf.DUMMYFUNCTION("""COMPUTED_VALUE"""),"TradeAttribute6")</f>
        <v>TradeAttribute6</v>
      </c>
      <c r="AB5" s="28" t="str">
        <f>IFERROR(__xludf.DUMMYFUNCTION("""COMPUTED_VALUE"""),"Venue")</f>
        <v>Venue</v>
      </c>
      <c r="AC5" s="28" t="str">
        <f>IFERROR(__xludf.DUMMYFUNCTION("""COMPUTED_VALUE"""),"ExecutionInstructions")</f>
        <v>ExecutionInstructions</v>
      </c>
      <c r="AD5" s="28" t="str">
        <f>IFERROR(__xludf.DUMMYFUNCTION("""COMPUTED_VALUE"""),"HandlingInstructions")</f>
        <v>HandlingInstructions</v>
      </c>
      <c r="AE5" s="28" t="str">
        <f>IFERROR(__xludf.DUMMYFUNCTION("""COMPUTED_VALUE"""),"Trader")</f>
        <v>Trader</v>
      </c>
      <c r="AF5" s="28" t="str">
        <f>IFERROR(__xludf.DUMMYFUNCTION("""COMPUTED_VALUE"""),"SettlementCurrency")</f>
        <v>SettlementCurrency</v>
      </c>
      <c r="AG5" s="28" t="str">
        <f>IFERROR(__xludf.DUMMYFUNCTION("""COMPUTED_VALUE"""),"SettlementFXRate")</f>
        <v>SettlementFXRate</v>
      </c>
      <c r="AH5" s="28" t="str">
        <f>IFERROR(__xludf.DUMMYFUNCTION("""COMPUTED_VALUE"""),"SettlementAmount")</f>
        <v>SettlementAmount</v>
      </c>
      <c r="AI5" s="28" t="str">
        <f>IFERROR(__xludf.DUMMYFUNCTION("""COMPUTED_VALUE"""),"SettlementFXOperator")</f>
        <v>SettlementFXOperator</v>
      </c>
      <c r="AJ5" s="28" t="str">
        <f>IFERROR(__xludf.DUMMYFUNCTION("""COMPUTED_VALUE"""),"SettleByBroker")</f>
        <v>SettleByBroker</v>
      </c>
      <c r="AK5" s="28" t="str">
        <f>IFERROR(__xludf.DUMMYFUNCTION("""COMPUTED_VALUE"""),"Account")</f>
        <v>Account</v>
      </c>
      <c r="AL5" s="28" t="str">
        <f>IFERROR(__xludf.DUMMYFUNCTION("""COMPUTED_VALUE"""),"Account %")</f>
        <v>Account %</v>
      </c>
      <c r="AM5" s="28" t="str">
        <f>IFERROR(__xludf.DUMMYFUNCTION("""COMPUTED_VALUE"""),"Deal In")</f>
        <v>Deal In</v>
      </c>
      <c r="AN5" s="28" t="str">
        <f>IFERROR(__xludf.DUMMYFUNCTION("""COMPUTED_VALUE"""),"ChkBoxBookAsSwap")</f>
        <v>ChkBoxBookAsSwap</v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10" t="s">
        <v>18</v>
      </c>
      <c r="C6" s="10" t="s">
        <v>19</v>
      </c>
      <c r="D6" s="10">
        <v>3532015.0</v>
      </c>
      <c r="E6" s="31">
        <v>3532015.0</v>
      </c>
      <c r="F6" s="7"/>
      <c r="G6" s="7"/>
      <c r="H6" s="7"/>
      <c r="I6" s="7"/>
      <c r="J6" s="10">
        <v>1.3</v>
      </c>
      <c r="K6" s="7"/>
      <c r="L6" s="7"/>
      <c r="M6" s="7"/>
      <c r="N6" s="29">
        <v>43490.0</v>
      </c>
      <c r="O6" s="10">
        <v>1.3</v>
      </c>
      <c r="AM6" s="31" t="s">
        <v>20</v>
      </c>
    </row>
    <row r="7" ht="15.75" customHeight="1">
      <c r="A7" s="7"/>
      <c r="B7" s="7"/>
      <c r="C7" s="7"/>
      <c r="D7" s="7"/>
      <c r="E7" s="32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3</v>
      </c>
      <c r="C3" s="21" t="s">
        <v>12</v>
      </c>
      <c r="D3" s="9" t="s">
        <v>5</v>
      </c>
      <c r="E3" s="21" t="s">
        <v>14</v>
      </c>
      <c r="F3" s="9" t="s">
        <v>15</v>
      </c>
      <c r="G3" s="11" t="s">
        <v>17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IFERROR(__xludf.DUMMYFUNCTION("""COMPUTED_VALUE"""),"Select Date")</f>
        <v>Select Date</v>
      </c>
      <c r="C5" s="26" t="str">
        <f>IFERROR(__xludf.DUMMYFUNCTION("""COMPUTED_VALUE"""),"Copy Date")</f>
        <v>Copy Date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29">
        <v>43490.0</v>
      </c>
      <c r="C6" s="7"/>
      <c r="D6" s="10"/>
      <c r="E6" s="30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GetForexConversion!$4:$4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3</v>
      </c>
      <c r="C3" s="21" t="s">
        <v>21</v>
      </c>
      <c r="D3" s="9" t="s">
        <v>5</v>
      </c>
      <c r="E3" s="21" t="s">
        <v>22</v>
      </c>
      <c r="F3" s="9" t="s">
        <v>15</v>
      </c>
      <c r="G3" s="11" t="s">
        <v>17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IFERROR(__xludf.DUMMYFUNCTION("""COMPUTED_VALUE"""),"RangeType")</f>
        <v>RangeType</v>
      </c>
      <c r="C5" s="26" t="str">
        <f>IFERROR(__xludf.DUMMYFUNCTION("""COMPUTED_VALUE"""),"From")</f>
        <v>From</v>
      </c>
      <c r="D5" s="26" t="str">
        <f>IFERROR(__xludf.DUMMYFUNCTION("""COMPUTED_VALUE"""),"To")</f>
        <v>To</v>
      </c>
      <c r="E5" s="26" t="str">
        <f>IFERROR(__xludf.DUMMYFUNCTION("""COMPUTED_VALUE"""),"Account Filter")</f>
        <v>Account Filter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10" t="s">
        <v>24</v>
      </c>
      <c r="C6" s="29">
        <v>43490.0</v>
      </c>
      <c r="D6" s="29">
        <v>43491.0</v>
      </c>
      <c r="E6" s="30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3</v>
      </c>
      <c r="C3" s="21" t="s">
        <v>21</v>
      </c>
      <c r="D3" s="9" t="s">
        <v>5</v>
      </c>
      <c r="E3" s="21" t="s">
        <v>23</v>
      </c>
      <c r="F3" s="9" t="s">
        <v>15</v>
      </c>
      <c r="G3" s="11" t="s">
        <v>17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IFERROR(__xludf.DUMMYFUNCTION("""COMPUTED_VALUE"""),"Account")</f>
        <v>Account</v>
      </c>
      <c r="C5" s="26" t="str">
        <f>IFERROR(__xludf.DUMMYFUNCTION("""COMPUTED_VALUE"""),"AccruedInterest")</f>
        <v>AccruedInterest</v>
      </c>
      <c r="D5" s="26" t="str">
        <f>IFERROR(__xludf.DUMMYFUNCTION("""COMPUTED_VALUE"""),"Analyst")</f>
        <v>Analyst</v>
      </c>
      <c r="E5" s="26" t="str">
        <f>IFERROR(__xludf.DUMMYFUNCTION("""COMPUTED_VALUE"""),"Asset Class")</f>
        <v>Asset Class</v>
      </c>
      <c r="F5" s="27" t="str">
        <f>IFERROR(__xludf.DUMMYFUNCTION("""COMPUTED_VALUE"""),"Asset Derivative")</f>
        <v>Asset Derivative</v>
      </c>
      <c r="G5" s="26" t="str">
        <f>IFERROR(__xludf.DUMMYFUNCTION("""COMPUTED_VALUE"""),"AUECID")</f>
        <v>AUECID</v>
      </c>
      <c r="H5" s="26" t="str">
        <f>IFERROR(__xludf.DUMMYFUNCTION("""COMPUTED_VALUE"""),"AUECModifiedDate")</f>
        <v>AUECModifiedDate</v>
      </c>
      <c r="I5" s="26" t="str">
        <f>IFERROR(__xludf.DUMMYFUNCTION("""COMPUTED_VALUE"""),"Average Price")</f>
        <v>Average Price</v>
      </c>
      <c r="J5" s="26" t="str">
        <f>IFERROR(__xludf.DUMMYFUNCTION("""COMPUTED_VALUE"""),"BloombergSymbol")</f>
        <v>BloombergSymbol</v>
      </c>
      <c r="K5" s="26" t="str">
        <f>IFERROR(__xludf.DUMMYFUNCTION("""COMPUTED_VALUE"""),"Broker")</f>
        <v>Broker</v>
      </c>
      <c r="L5" s="26" t="str">
        <f>IFERROR(__xludf.DUMMYFUNCTION("""COMPUTED_VALUE"""),"CalcBasis")</f>
        <v>CalcBasis</v>
      </c>
      <c r="M5" s="26" t="str">
        <f>IFERROR(__xludf.DUMMYFUNCTION("""COMPUTED_VALUE"""),"CashSettledPrice")</f>
        <v>CashSettledPrice</v>
      </c>
      <c r="N5" s="26" t="str">
        <f>IFERROR(__xludf.DUMMYFUNCTION("""COMPUTED_VALUE"""),"ChangeComment")</f>
        <v>ChangeComment</v>
      </c>
      <c r="O5" s="26" t="str">
        <f>IFERROR(__xludf.DUMMYFUNCTION("""COMPUTED_VALUE"""),"ChangeType")</f>
        <v>ChangeType</v>
      </c>
      <c r="P5" s="26" t="str">
        <f>IFERROR(__xludf.DUMMYFUNCTION("""COMPUTED_VALUE"""),"ClearingBrokerFee")</f>
        <v>ClearingBrokerFee</v>
      </c>
      <c r="Q5" s="26" t="str">
        <f>IFERROR(__xludf.DUMMYFUNCTION("""COMPUTED_VALUE"""),"ClearingFee")</f>
        <v>ClearingFee</v>
      </c>
      <c r="R5" s="26" t="str">
        <f>IFERROR(__xludf.DUMMYFUNCTION("""COMPUTED_VALUE"""),"ClosedTotalCommissionandFees")</f>
        <v>ClosedTotalCommissionandFees</v>
      </c>
      <c r="S5" s="26" t="str">
        <f>IFERROR(__xludf.DUMMYFUNCTION("""COMPUTED_VALUE"""),"ClosingAlgo")</f>
        <v>ClosingAlgo</v>
      </c>
      <c r="T5" s="28" t="str">
        <f>IFERROR(__xludf.DUMMYFUNCTION("""COMPUTED_VALUE"""),"ClosingDate")</f>
        <v>ClosingDate</v>
      </c>
      <c r="U5" s="28" t="str">
        <f>IFERROR(__xludf.DUMMYFUNCTION("""COMPUTED_VALUE"""),"ClosingStatus")</f>
        <v>ClosingStatus</v>
      </c>
      <c r="V5" s="28" t="str">
        <f>IFERROR(__xludf.DUMMYFUNCTION("""COMPUTED_VALUE"""),"Commission")</f>
        <v>Commission</v>
      </c>
      <c r="W5" s="28" t="str">
        <f>IFERROR(__xludf.DUMMYFUNCTION("""COMPUTED_VALUE"""),"CommissionAmt")</f>
        <v>CommissionAmt</v>
      </c>
      <c r="X5" s="28" t="str">
        <f>IFERROR(__xludf.DUMMYFUNCTION("""COMPUTED_VALUE"""),"CommissionRate")</f>
        <v>CommissionRate</v>
      </c>
      <c r="Y5" s="28" t="str">
        <f>IFERROR(__xludf.DUMMYFUNCTION("""COMPUTED_VALUE"""),"CompanyUserName")</f>
        <v>CompanyUserName</v>
      </c>
      <c r="Z5" s="28" t="str">
        <f>IFERROR(__xludf.DUMMYFUNCTION("""COMPUTED_VALUE"""),"ContractMultiplier")</f>
        <v>ContractMultiplier</v>
      </c>
      <c r="AA5" s="28" t="str">
        <f>IFERROR(__xludf.DUMMYFUNCTION("""COMPUTED_VALUE"""),"CountryName")</f>
        <v>CountryName</v>
      </c>
      <c r="AB5" s="28" t="str">
        <f>IFERROR(__xludf.DUMMYFUNCTION("""COMPUTED_VALUE"""),"CountryOfRisk")</f>
        <v>CountryOfRisk</v>
      </c>
      <c r="AC5" s="28" t="str">
        <f>IFERROR(__xludf.DUMMYFUNCTION("""COMPUTED_VALUE"""),"CumQty")</f>
        <v>CumQty</v>
      </c>
      <c r="AD5" s="28" t="str">
        <f>IFERROR(__xludf.DUMMYFUNCTION("""COMPUTED_VALUE"""),"CurrencyID")</f>
        <v>CurrencyID</v>
      </c>
      <c r="AE5" s="28" t="str">
        <f>IFERROR(__xludf.DUMMYFUNCTION("""COMPUTED_VALUE"""),"CurrencyName")</f>
        <v>CurrencyName</v>
      </c>
      <c r="AF5" s="28" t="str">
        <f>IFERROR(__xludf.DUMMYFUNCTION("""COMPUTED_VALUE"""),"CusipSymbol")</f>
        <v>CusipSymbol</v>
      </c>
      <c r="AG5" s="28" t="str">
        <f>IFERROR(__xludf.DUMMYFUNCTION("""COMPUTED_VALUE"""),"CustomUDA1")</f>
        <v>CustomUDA1</v>
      </c>
      <c r="AH5" s="28" t="str">
        <f>IFERROR(__xludf.DUMMYFUNCTION("""COMPUTED_VALUE"""),"CustomUDA2")</f>
        <v>CustomUDA2</v>
      </c>
      <c r="AI5" s="28" t="str">
        <f>IFERROR(__xludf.DUMMYFUNCTION("""COMPUTED_VALUE"""),"CustomUDA3")</f>
        <v>CustomUDA3</v>
      </c>
      <c r="AJ5" s="28" t="str">
        <f>IFERROR(__xludf.DUMMYFUNCTION("""COMPUTED_VALUE"""),"CustomUDA4")</f>
        <v>CustomUDA4</v>
      </c>
      <c r="AK5" s="28" t="str">
        <f>IFERROR(__xludf.DUMMYFUNCTION("""COMPUTED_VALUE"""),"CustomUDA5")</f>
        <v>CustomUDA5</v>
      </c>
      <c r="AL5" s="28" t="str">
        <f>IFERROR(__xludf.DUMMYFUNCTION("""COMPUTED_VALUE"""),"CustomUDA6")</f>
        <v>CustomUDA6</v>
      </c>
      <c r="AM5" s="28" t="str">
        <f>IFERROR(__xludf.DUMMYFUNCTION("""COMPUTED_VALUE"""),"CustomUDA7")</f>
        <v>CustomUDA7</v>
      </c>
      <c r="AN5" s="28" t="str">
        <f>IFERROR(__xludf.DUMMYFUNCTION("""COMPUTED_VALUE"""),"Delta")</f>
        <v>Delta</v>
      </c>
      <c r="AO5" s="28" t="str">
        <f>IFERROR(__xludf.DUMMYFUNCTION("""COMPUTED_VALUE"""),"Description")</f>
        <v>Description</v>
      </c>
      <c r="AP5" s="28" t="str">
        <f>IFERROR(__xludf.DUMMYFUNCTION("""COMPUTED_VALUE"""),"ExchangeName")</f>
        <v>ExchangeName</v>
      </c>
      <c r="AQ5" s="28" t="str">
        <f>IFERROR(__xludf.DUMMYFUNCTION("""COMPUTED_VALUE"""),"ExecutedQty")</f>
        <v>ExecutedQty</v>
      </c>
      <c r="AR5" s="28" t="str">
        <f>IFERROR(__xludf.DUMMYFUNCTION("""COMPUTED_VALUE"""),"ExpirationDate")</f>
        <v>ExpirationDate</v>
      </c>
      <c r="AS5" s="28" t="str">
        <f>IFERROR(__xludf.DUMMYFUNCTION("""COMPUTED_VALUE"""),"ExternalTransID")</f>
        <v>ExternalTransID</v>
      </c>
      <c r="AT5" s="28" t="str">
        <f>IFERROR(__xludf.DUMMYFUNCTION("""COMPUTED_VALUE"""),"FXConversionMethodOperator")</f>
        <v>FXConversionMethodOperator</v>
      </c>
      <c r="AU5" s="28" t="str">
        <f>IFERROR(__xludf.DUMMYFUNCTION("""COMPUTED_VALUE"""),"FXRate")</f>
        <v>FXRate</v>
      </c>
      <c r="AV5" s="28" t="str">
        <f>IFERROR(__xludf.DUMMYFUNCTION("""COMPUTED_VALUE"""),"GroupID")</f>
        <v>GroupID</v>
      </c>
      <c r="AW5" s="28" t="str">
        <f>IFERROR(__xludf.DUMMYFUNCTION("""COMPUTED_VALUE"""),"IDCOSymbol")</f>
        <v>IDCOSymbol</v>
      </c>
      <c r="AX5" s="28" t="str">
        <f>IFERROR(__xludf.DUMMYFUNCTION("""COMPUTED_VALUE"""),"InternalComments")</f>
        <v>InternalComments</v>
      </c>
      <c r="AY5" s="28" t="str">
        <f>IFERROR(__xludf.DUMMYFUNCTION("""COMPUTED_VALUE"""),"IsExerciseAtZero")</f>
        <v>IsExerciseAtZero</v>
      </c>
      <c r="AZ5" s="28" t="str">
        <f>IFERROR(__xludf.DUMMYFUNCTION("""COMPUTED_VALUE"""),"ISINSymbol")</f>
        <v>ISINSymbol</v>
      </c>
      <c r="BA5" s="28" t="str">
        <f>IFERROR(__xludf.DUMMYFUNCTION("""COMPUTED_VALUE"""),"IsNDF")</f>
        <v>IsNDF</v>
      </c>
      <c r="BB5" s="28" t="str">
        <f>IFERROR(__xludf.DUMMYFUNCTION("""COMPUTED_VALUE"""),"IsPosition")</f>
        <v>IsPosition</v>
      </c>
      <c r="BC5" s="28" t="str">
        <f>IFERROR(__xludf.DUMMYFUNCTION("""COMPUTED_VALUE"""),"IsPreAllocated")</f>
        <v>IsPreAllocated</v>
      </c>
      <c r="BD5" s="28" t="str">
        <f>IFERROR(__xludf.DUMMYFUNCTION("""COMPUTED_VALUE"""),"Issuer")</f>
        <v>Issuer</v>
      </c>
      <c r="BE5" s="28" t="str">
        <f>IFERROR(__xludf.DUMMYFUNCTION("""COMPUTED_VALUE"""),"IsSwapped")</f>
        <v>IsSwapped</v>
      </c>
      <c r="BF5" s="28" t="str">
        <f>IFERROR(__xludf.DUMMYFUNCTION("""COMPUTED_VALUE"""),"LeadCurrencyID")</f>
        <v>LeadCurrencyID</v>
      </c>
      <c r="BG5" s="28" t="str">
        <f>IFERROR(__xludf.DUMMYFUNCTION("""COMPUTED_VALUE"""),"LiquidTag")</f>
        <v>LiquidTag</v>
      </c>
      <c r="BH5" s="28" t="str">
        <f>IFERROR(__xludf.DUMMYFUNCTION("""COMPUTED_VALUE"""),"LongOrShort")</f>
        <v>LongOrShort</v>
      </c>
      <c r="BI5" s="28" t="str">
        <f>IFERROR(__xludf.DUMMYFUNCTION("""COMPUTED_VALUE"""),"LotId")</f>
        <v>LotId</v>
      </c>
      <c r="BJ5" s="28" t="str">
        <f>IFERROR(__xludf.DUMMYFUNCTION("""COMPUTED_VALUE"""),"M2MProfitLoss")</f>
        <v>M2MProfitLoss</v>
      </c>
      <c r="BK5" s="28" t="str">
        <f>IFERROR(__xludf.DUMMYFUNCTION("""COMPUTED_VALUE"""),"MarkPrice")</f>
        <v>MarkPrice</v>
      </c>
      <c r="BL5" s="28" t="str">
        <f>IFERROR(__xludf.DUMMYFUNCTION("""COMPUTED_VALUE"""),"MasterFund")</f>
        <v>MasterFund</v>
      </c>
      <c r="BM5" s="28" t="str">
        <f>IFERROR(__xludf.DUMMYFUNCTION("""COMPUTED_VALUE"""),"MiscFees")</f>
        <v>MiscFees</v>
      </c>
      <c r="BN5" s="28" t="str">
        <f>IFERROR(__xludf.DUMMYFUNCTION("""COMPUTED_VALUE"""),"NavLockStatus")</f>
        <v>NavLockStatus</v>
      </c>
      <c r="BO5" s="28" t="str">
        <f>IFERROR(__xludf.DUMMYFUNCTION("""COMPUTED_VALUE"""),"Net Notional")</f>
        <v>Net Notional</v>
      </c>
      <c r="BP5" s="28" t="str">
        <f>IFERROR(__xludf.DUMMYFUNCTION("""COMPUTED_VALUE"""),"NirvanaProcessDate")</f>
        <v>NirvanaProcessDate</v>
      </c>
      <c r="BQ5" s="28" t="str">
        <f>IFERROR(__xludf.DUMMYFUNCTION("""COMPUTED_VALUE"""),"OccFee")</f>
        <v>OccFee</v>
      </c>
      <c r="BR5" s="28" t="str">
        <f>IFERROR(__xludf.DUMMYFUNCTION("""COMPUTED_VALUE"""),"OptionPremiumAdjustment")</f>
        <v>OptionPremiumAdjustment</v>
      </c>
      <c r="BS5" s="28" t="str">
        <f>IFERROR(__xludf.DUMMYFUNCTION("""COMPUTED_VALUE"""),"OrderSideTagValue")</f>
        <v>OrderSideTagValue</v>
      </c>
      <c r="BT5" s="28" t="str">
        <f>IFERROR(__xludf.DUMMYFUNCTION("""COMPUTED_VALUE"""),"OrderType")</f>
        <v>OrderType</v>
      </c>
      <c r="BU5" s="28" t="str">
        <f>IFERROR(__xludf.DUMMYFUNCTION("""COMPUTED_VALUE"""),"OrfFee")</f>
        <v>OrfFee</v>
      </c>
      <c r="BV5" s="28" t="str">
        <f>IFERROR(__xludf.DUMMYFUNCTION("""COMPUTED_VALUE"""),"Original Side")</f>
        <v>Original Side</v>
      </c>
      <c r="BW5" s="28" t="str">
        <f>IFERROR(__xludf.DUMMYFUNCTION("""COMPUTED_VALUE"""),"OriginalPurchase Date")</f>
        <v>OriginalPurchase Date</v>
      </c>
      <c r="BX5" s="28" t="str">
        <f>IFERROR(__xludf.DUMMYFUNCTION("""COMPUTED_VALUE"""),"OSISymbol")</f>
        <v>OSISymbol</v>
      </c>
      <c r="BY5" s="28" t="str">
        <f>IFERROR(__xludf.DUMMYFUNCTION("""COMPUTED_VALUE"""),"OtherBrokerFees")</f>
        <v>OtherBrokerFees</v>
      </c>
      <c r="BZ5" s="28" t="str">
        <f>IFERROR(__xludf.DUMMYFUNCTION("""COMPUTED_VALUE"""),"ParentRowPK")</f>
        <v>ParentRowPK</v>
      </c>
      <c r="CA5" s="28" t="str">
        <f>IFERROR(__xludf.DUMMYFUNCTION("""COMPUTED_VALUE"""),"Percentage")</f>
        <v>Percentage</v>
      </c>
      <c r="CB5" s="28" t="str">
        <f>IFERROR(__xludf.DUMMYFUNCTION("""COMPUTED_VALUE"""),"PositionTag")</f>
        <v>PositionTag</v>
      </c>
      <c r="CC5" s="28" t="str">
        <f>IFERROR(__xludf.DUMMYFUNCTION("""COMPUTED_VALUE"""),"PositionType")</f>
        <v>PositionType</v>
      </c>
      <c r="CD5" s="28" t="str">
        <f>IFERROR(__xludf.DUMMYFUNCTION("""COMPUTED_VALUE"""),"Process Date")</f>
        <v>Process Date</v>
      </c>
      <c r="CE5" s="28" t="str">
        <f>IFERROR(__xludf.DUMMYFUNCTION("""COMPUTED_VALUE"""),"ProxySymbol")</f>
        <v>ProxySymbol</v>
      </c>
      <c r="CF5" s="28" t="str">
        <f>IFERROR(__xludf.DUMMYFUNCTION("""COMPUTED_VALUE"""),"PutOrCall")</f>
        <v>PutOrCall</v>
      </c>
      <c r="CG5" s="28" t="str">
        <f>IFERROR(__xludf.DUMMYFUNCTION("""COMPUTED_VALUE"""),"Quantity")</f>
        <v>Quantity</v>
      </c>
      <c r="CH5" s="28" t="str">
        <f>IFERROR(__xludf.DUMMYFUNCTION("""COMPUTED_VALUE"""),"Region")</f>
        <v>Region</v>
      </c>
      <c r="CI5" s="28" t="str">
        <f>IFERROR(__xludf.DUMMYFUNCTION("""COMPUTED_VALUE"""),"ReutersSymbol")</f>
        <v>ReutersSymbol</v>
      </c>
      <c r="CJ5" s="28" t="str">
        <f>IFERROR(__xludf.DUMMYFUNCTION("""COMPUTED_VALUE"""),"RiskCurrency")</f>
        <v>RiskCurrency</v>
      </c>
      <c r="CK5" s="28" t="str">
        <f>IFERROR(__xludf.DUMMYFUNCTION("""COMPUTED_VALUE"""),"SecFee")</f>
        <v>SecFee</v>
      </c>
      <c r="CL5" s="28" t="str">
        <f>IFERROR(__xludf.DUMMYFUNCTION("""COMPUTED_VALUE"""),"SectorName")</f>
        <v>SectorName</v>
      </c>
      <c r="CM5" s="28" t="str">
        <f>IFERROR(__xludf.DUMMYFUNCTION("""COMPUTED_VALUE"""),"Security Name")</f>
        <v>Security Name</v>
      </c>
      <c r="CN5" s="28" t="str">
        <f>IFERROR(__xludf.DUMMYFUNCTION("""COMPUTED_VALUE"""),"SecurityTypeName")</f>
        <v>SecurityTypeName</v>
      </c>
      <c r="CO5" s="28" t="str">
        <f>IFERROR(__xludf.DUMMYFUNCTION("""COMPUTED_VALUE"""),"SedolSymbol")</f>
        <v>SedolSymbol</v>
      </c>
      <c r="CP5" s="28" t="str">
        <f>IFERROR(__xludf.DUMMYFUNCTION("""COMPUTED_VALUE"""),"SettlCurrAmt")</f>
        <v>SettlCurrAmt</v>
      </c>
      <c r="CQ5" s="28" t="str">
        <f>IFERROR(__xludf.DUMMYFUNCTION("""COMPUTED_VALUE"""),"SettlCurrFxRate")</f>
        <v>SettlCurrFxRate</v>
      </c>
      <c r="CR5" s="28" t="str">
        <f>IFERROR(__xludf.DUMMYFUNCTION("""COMPUTED_VALUE"""),"SettlCurrFxRateCalc")</f>
        <v>SettlCurrFxRateCalc</v>
      </c>
      <c r="CS5" s="28" t="str">
        <f>IFERROR(__xludf.DUMMYFUNCTION("""COMPUTED_VALUE"""),"SettlCurrUnitCost")</f>
        <v>SettlCurrUnitCost</v>
      </c>
      <c r="CT5" s="28" t="str">
        <f>IFERROR(__xludf.DUMMYFUNCTION("""COMPUTED_VALUE"""),"Settlement Mode")</f>
        <v>Settlement Mode</v>
      </c>
      <c r="CU5" s="28" t="str">
        <f>IFERROR(__xludf.DUMMYFUNCTION("""COMPUTED_VALUE"""),"Settlement Qty")</f>
        <v>Settlement Qty</v>
      </c>
      <c r="CV5" s="28" t="str">
        <f>IFERROR(__xludf.DUMMYFUNCTION("""COMPUTED_VALUE"""),"SettlementCurrencyID")</f>
        <v>SettlementCurrencyID</v>
      </c>
      <c r="CW5" s="28" t="str">
        <f>IFERROR(__xludf.DUMMYFUNCTION("""COMPUTED_VALUE"""),"SettlementDate")</f>
        <v>SettlementDate</v>
      </c>
      <c r="CX5" s="28" t="str">
        <f>IFERROR(__xludf.DUMMYFUNCTION("""COMPUTED_VALUE"""),"SideMultiplier")</f>
        <v>SideMultiplier</v>
      </c>
      <c r="CY5" s="28" t="str">
        <f>IFERROR(__xludf.DUMMYFUNCTION("""COMPUTED_VALUE"""),"SoftCommission")</f>
        <v>SoftCommission</v>
      </c>
      <c r="CZ5" s="28" t="str">
        <f>IFERROR(__xludf.DUMMYFUNCTION("""COMPUTED_VALUE"""),"SoftCommissionAmt")</f>
        <v>SoftCommissionAmt</v>
      </c>
      <c r="DA5" s="28" t="str">
        <f>IFERROR(__xludf.DUMMYFUNCTION("""COMPUTED_VALUE"""),"SoftCommissionCalcBasis")</f>
        <v>SoftCommissionCalcBasis</v>
      </c>
      <c r="DB5" s="28" t="str">
        <f>IFERROR(__xludf.DUMMYFUNCTION("""COMPUTED_VALUE"""),"SoftCommissionRate")</f>
        <v>SoftCommissionRate</v>
      </c>
      <c r="DC5" s="28" t="str">
        <f>IFERROR(__xludf.DUMMYFUNCTION("""COMPUTED_VALUE"""),"StampDuty")</f>
        <v>StampDuty</v>
      </c>
      <c r="DD5" s="28" t="str">
        <f>IFERROR(__xludf.DUMMYFUNCTION("""COMPUTED_VALUE"""),"Strategy")</f>
        <v>Strategy</v>
      </c>
      <c r="DE5" s="28" t="str">
        <f>IFERROR(__xludf.DUMMYFUNCTION("""COMPUTED_VALUE"""),"StrikePrice")</f>
        <v>StrikePrice</v>
      </c>
      <c r="DF5" s="28" t="str">
        <f>IFERROR(__xludf.DUMMYFUNCTION("""COMPUTED_VALUE"""),"SubSectorName")</f>
        <v>SubSectorName</v>
      </c>
      <c r="DG5" s="28" t="str">
        <f>IFERROR(__xludf.DUMMYFUNCTION("""COMPUTED_VALUE"""),"SwapParameters")</f>
        <v>SwapParameters</v>
      </c>
      <c r="DH5" s="28" t="str">
        <f>IFERROR(__xludf.DUMMYFUNCTION("""COMPUTED_VALUE"""),"Symbol")</f>
        <v>Symbol</v>
      </c>
      <c r="DI5" s="28" t="str">
        <f>IFERROR(__xludf.DUMMYFUNCTION("""COMPUTED_VALUE"""),"TaxlotClosingId")</f>
        <v>TaxlotClosingId</v>
      </c>
      <c r="DJ5" s="28" t="str">
        <f>IFERROR(__xludf.DUMMYFUNCTION("""COMPUTED_VALUE"""),"TaxLotID")</f>
        <v>TaxLotID</v>
      </c>
      <c r="DK5" s="28" t="str">
        <f>IFERROR(__xludf.DUMMYFUNCTION("""COMPUTED_VALUE"""),"TaxlotPk")</f>
        <v>TaxlotPk</v>
      </c>
      <c r="DL5" s="28" t="str">
        <f>IFERROR(__xludf.DUMMYFUNCTION("""COMPUTED_VALUE"""),"TaxLotQtyToClose")</f>
        <v>TaxLotQtyToClose</v>
      </c>
      <c r="DM5" s="28" t="str">
        <f>IFERROR(__xludf.DUMMYFUNCTION("""COMPUTED_VALUE"""),"TaxonCommissions")</f>
        <v>TaxonCommissions</v>
      </c>
      <c r="DN5" s="28" t="str">
        <f>IFERROR(__xludf.DUMMYFUNCTION("""COMPUTED_VALUE"""),"TimeOfSaveUTC")</f>
        <v>TimeOfSaveUTC</v>
      </c>
      <c r="DO5" s="28" t="str">
        <f>IFERROR(__xludf.DUMMYFUNCTION("""COMPUTED_VALUE"""),"TotalCommission&amp;Fees")</f>
        <v>TotalCommission&amp;Fees</v>
      </c>
      <c r="DP5" s="28" t="str">
        <f>IFERROR(__xludf.DUMMYFUNCTION("""COMPUTED_VALUE"""),"TotalCommissionandFees")</f>
        <v>TotalCommissionandFees</v>
      </c>
      <c r="DQ5" s="28" t="str">
        <f>IFERROR(__xludf.DUMMYFUNCTION("""COMPUTED_VALUE"""),"Tradedate")</f>
        <v>Tradedate</v>
      </c>
      <c r="DR5" s="28" t="str">
        <f>IFERROR(__xludf.DUMMYFUNCTION("""COMPUTED_VALUE"""),"TradeAttribute1")</f>
        <v>TradeAttribute1</v>
      </c>
      <c r="DS5" s="28" t="str">
        <f>IFERROR(__xludf.DUMMYFUNCTION("""COMPUTED_VALUE"""),"TradeAttribute2")</f>
        <v>TradeAttribute2</v>
      </c>
      <c r="DT5" s="28" t="str">
        <f>IFERROR(__xludf.DUMMYFUNCTION("""COMPUTED_VALUE"""),"TradeAttribute3")</f>
        <v>TradeAttribute3</v>
      </c>
      <c r="DU5" s="28" t="str">
        <f>IFERROR(__xludf.DUMMYFUNCTION("""COMPUTED_VALUE"""),"TradeAttribute4")</f>
        <v>TradeAttribute4</v>
      </c>
      <c r="DV5" s="28" t="str">
        <f>IFERROR(__xludf.DUMMYFUNCTION("""COMPUTED_VALUE"""),"TradeAttribute5")</f>
        <v>TradeAttribute5</v>
      </c>
      <c r="DW5" s="28" t="str">
        <f>IFERROR(__xludf.DUMMYFUNCTION("""COMPUTED_VALUE"""),"TradeAttribute6")</f>
        <v>TradeAttribute6</v>
      </c>
      <c r="DX5" s="28" t="str">
        <f>IFERROR(__xludf.DUMMYFUNCTION("""COMPUTED_VALUE"""),"TradingAccountName")</f>
        <v>TradingAccountName</v>
      </c>
      <c r="DY5" s="28" t="str">
        <f>IFERROR(__xludf.DUMMYFUNCTION("""COMPUTED_VALUE"""),"TransactionLevy")</f>
        <v>TransactionLevy</v>
      </c>
      <c r="DZ5" s="28" t="str">
        <f>IFERROR(__xludf.DUMMYFUNCTION("""COMPUTED_VALUE"""),"TransactionType")</f>
        <v>TransactionType</v>
      </c>
      <c r="EA5" s="28" t="str">
        <f>IFERROR(__xludf.DUMMYFUNCTION("""COMPUTED_VALUE"""),"UcitsEligibleTag")</f>
        <v>UcitsEligibleTag</v>
      </c>
      <c r="EB5" s="28" t="str">
        <f>IFERROR(__xludf.DUMMYFUNCTION("""COMPUTED_VALUE"""),"UDAAsset")</f>
        <v>UDAAsset</v>
      </c>
      <c r="EC5" s="28" t="str">
        <f>IFERROR(__xludf.DUMMYFUNCTION("""COMPUTED_VALUE"""),"UnderlyingDelta")</f>
        <v>UnderlyingDelta</v>
      </c>
      <c r="ED5" s="28" t="str">
        <f>IFERROR(__xludf.DUMMYFUNCTION("""COMPUTED_VALUE"""),"UnderlyingName")</f>
        <v>UnderlyingName</v>
      </c>
      <c r="EE5" s="28" t="str">
        <f>IFERROR(__xludf.DUMMYFUNCTION("""COMPUTED_VALUE"""),"UnderlyingSymbol")</f>
        <v>UnderlyingSymbol</v>
      </c>
      <c r="EF5" s="28" t="str">
        <f>IFERROR(__xludf.DUMMYFUNCTION("""COMPUTED_VALUE"""),"UnitCost")</f>
        <v>UnitCost</v>
      </c>
      <c r="EG5" s="28" t="str">
        <f>IFERROR(__xludf.DUMMYFUNCTION("""COMPUTED_VALUE"""),"UnRealizedPNL")</f>
        <v>UnRealizedPNL</v>
      </c>
      <c r="EH5" s="28" t="str">
        <f>IFERROR(__xludf.DUMMYFUNCTION("""COMPUTED_VALUE"""),"Venue")</f>
        <v>Venue</v>
      </c>
      <c r="EI5" s="28" t="str">
        <f>IFERROR(__xludf.DUMMYFUNCTION("""COMPUTED_VALUE"""),"VsCurrencyID")</f>
        <v>VsCurrencyID</v>
      </c>
      <c r="EJ5" s="28" t="str">
        <f>IFERROR(__xludf.DUMMYFUNCTION("""COMPUTED_VALUE"""),"WorkflowState")</f>
        <v>WorkflowState</v>
      </c>
      <c r="EK5" s="28" t="str">
        <f>IFERROR(__xludf.DUMMYFUNCTION("""COMPUTED_VALUE"""),"AvgPriceBase")</f>
        <v>AvgPriceBase</v>
      </c>
      <c r="EL5" s="28" t="str">
        <f>IFERROR(__xludf.DUMMYFUNCTION("""COMPUTED_VALUE"""),"MarketCap")</f>
        <v>MarketCap</v>
      </c>
      <c r="EM5" s="28" t="str">
        <f>IFERROR(__xludf.DUMMYFUNCTION("""COMPUTED_VALUE"""),"UnitCostBase")</f>
        <v>UnitCostBase</v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10" t="s">
        <v>25</v>
      </c>
      <c r="C6" s="7"/>
      <c r="D6" s="10"/>
      <c r="E6" s="10" t="s">
        <v>26</v>
      </c>
      <c r="F6" s="7"/>
      <c r="G6" s="7"/>
      <c r="H6" s="7"/>
      <c r="I6" s="10">
        <v>1.3</v>
      </c>
      <c r="J6" s="7"/>
      <c r="K6" s="7"/>
      <c r="L6" s="7"/>
      <c r="M6" s="7"/>
      <c r="N6" s="7"/>
      <c r="O6" s="7"/>
      <c r="BV6" s="31" t="s">
        <v>19</v>
      </c>
      <c r="CG6" s="31">
        <v>3532015.0</v>
      </c>
      <c r="DH6" s="31" t="s">
        <v>18</v>
      </c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SelectTradeUnexpiredUnsettled!$4:$4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3</v>
      </c>
      <c r="C3" s="21" t="s">
        <v>21</v>
      </c>
      <c r="D3" s="9" t="s">
        <v>5</v>
      </c>
      <c r="E3" s="21" t="s">
        <v>27</v>
      </c>
      <c r="F3" s="9" t="s">
        <v>15</v>
      </c>
      <c r="G3" s="11" t="s">
        <v>17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IFERROR(__xludf.DUMMYFUNCTION("""COMPUTED_VALUE"""),"AccrudInterest")</f>
        <v>AccrudInterest</v>
      </c>
      <c r="C5" s="26" t="str">
        <f>IFERROR(__xludf.DUMMYFUNCTION("""COMPUTED_VALUE"""),"Analyst")</f>
        <v>Analyst</v>
      </c>
      <c r="D5" s="26" t="str">
        <f>IFERROR(__xludf.DUMMYFUNCTION("""COMPUTED_VALUE"""),"Asset Class")</f>
        <v>Asset Class</v>
      </c>
      <c r="E5" s="26" t="str">
        <f>IFERROR(__xludf.DUMMYFUNCTION("""COMPUTED_VALUE"""),"AUCID")</f>
        <v>AUCID</v>
      </c>
      <c r="F5" s="27" t="str">
        <f>IFERROR(__xludf.DUMMYFUNCTION("""COMPUTED_VALUE"""),"AUECModifiedDate")</f>
        <v>AUECModifiedDate</v>
      </c>
      <c r="G5" s="26" t="str">
        <f>IFERROR(__xludf.DUMMYFUNCTION("""COMPUTED_VALUE"""),"Average Price")</f>
        <v>Average Price</v>
      </c>
      <c r="H5" s="26" t="str">
        <f>IFERROR(__xludf.DUMMYFUNCTION("""COMPUTED_VALUE"""),"BloombergSymbol")</f>
        <v>BloombergSymbol</v>
      </c>
      <c r="I5" s="26" t="str">
        <f>IFERROR(__xludf.DUMMYFUNCTION("""COMPUTED_VALUE"""),"CalcBasis")</f>
        <v>CalcBasis</v>
      </c>
      <c r="J5" s="26" t="str">
        <f>IFERROR(__xludf.DUMMYFUNCTION("""COMPUTED_VALUE"""),"CashSettledPrice")</f>
        <v>CashSettledPrice</v>
      </c>
      <c r="K5" s="26" t="str">
        <f>IFERROR(__xludf.DUMMYFUNCTION("""COMPUTED_VALUE"""),"ChangeComment")</f>
        <v>ChangeComment</v>
      </c>
      <c r="L5" s="26" t="str">
        <f>IFERROR(__xludf.DUMMYFUNCTION("""COMPUTED_VALUE"""),"ChangeType")</f>
        <v>ChangeType</v>
      </c>
      <c r="M5" s="26" t="str">
        <f>IFERROR(__xludf.DUMMYFUNCTION("""COMPUTED_VALUE"""),"ChangeBrokerFee")</f>
        <v>ChangeBrokerFee</v>
      </c>
      <c r="N5" s="26" t="str">
        <f>IFERROR(__xludf.DUMMYFUNCTION("""COMPUTED_VALUE"""),"ClearingFee")</f>
        <v>ClearingFee</v>
      </c>
      <c r="O5" s="26" t="str">
        <f>IFERROR(__xludf.DUMMYFUNCTION("""COMPUTED_VALUE"""),"Close Date")</f>
        <v>Close Date</v>
      </c>
      <c r="P5" s="26" t="str">
        <f>IFERROR(__xludf.DUMMYFUNCTION("""COMPUTED_VALUE"""),"ClosedTotalCommissionandFees")</f>
        <v>ClosedTotalCommissionandFees</v>
      </c>
      <c r="Q5" s="26" t="str">
        <f>IFERROR(__xludf.DUMMYFUNCTION("""COMPUTED_VALUE"""),"ClosingAlgo")</f>
        <v>ClosingAlgo</v>
      </c>
      <c r="R5" s="26" t="str">
        <f>IFERROR(__xludf.DUMMYFUNCTION("""COMPUTED_VALUE"""),"ClosingDate")</f>
        <v>ClosingDate</v>
      </c>
      <c r="S5" s="26" t="str">
        <f>IFERROR(__xludf.DUMMYFUNCTION("""COMPUTED_VALUE"""),"ClosingMode")</f>
        <v>ClosingMode</v>
      </c>
      <c r="T5" s="28" t="str">
        <f>IFERROR(__xludf.DUMMYFUNCTION("""COMPUTED_VALUE"""),"ClosingStatus")</f>
        <v>ClosingStatus</v>
      </c>
      <c r="U5" s="28" t="str">
        <f>IFERROR(__xludf.DUMMYFUNCTION("""COMPUTED_VALUE"""),"CommissionAmt")</f>
        <v>CommissionAmt</v>
      </c>
      <c r="V5" s="28" t="str">
        <f>IFERROR(__xludf.DUMMYFUNCTION("""COMPUTED_VALUE"""),"CommissionRate")</f>
        <v>CommissionRate</v>
      </c>
      <c r="W5" s="28" t="str">
        <f>IFERROR(__xludf.DUMMYFUNCTION("""COMPUTED_VALUE"""),"CompanyName")</f>
        <v>CompanyName</v>
      </c>
      <c r="X5" s="28" t="str">
        <f>IFERROR(__xludf.DUMMYFUNCTION("""COMPUTED_VALUE"""),"CompanyuserName")</f>
        <v>CompanyuserName</v>
      </c>
      <c r="Y5" s="28" t="str">
        <f>IFERROR(__xludf.DUMMYFUNCTION("""COMPUTED_VALUE"""),"ContractMultiplier")</f>
        <v>ContractMultiplier</v>
      </c>
      <c r="Z5" s="28" t="str">
        <f>IFERROR(__xludf.DUMMYFUNCTION("""COMPUTED_VALUE"""),"CounterPartyName")</f>
        <v>CounterPartyName</v>
      </c>
      <c r="AA5" s="28" t="str">
        <f>IFERROR(__xludf.DUMMYFUNCTION("""COMPUTED_VALUE"""),"CountryName")</f>
        <v>CountryName</v>
      </c>
      <c r="AB5" s="28" t="str">
        <f>IFERROR(__xludf.DUMMYFUNCTION("""COMPUTED_VALUE"""),"CountryOfRisk")</f>
        <v>CountryOfRisk</v>
      </c>
      <c r="AC5" s="28" t="str">
        <f>IFERROR(__xludf.DUMMYFUNCTION("""COMPUTED_VALUE"""),"CumQty")</f>
        <v>CumQty</v>
      </c>
      <c r="AD5" s="28" t="str">
        <f>IFERROR(__xludf.DUMMYFUNCTION("""COMPUTED_VALUE"""),"CurrencyID")</f>
        <v>CurrencyID</v>
      </c>
      <c r="AE5" s="28" t="str">
        <f>IFERROR(__xludf.DUMMYFUNCTION("""COMPUTED_VALUE"""),"CurrencyName")</f>
        <v>CurrencyName</v>
      </c>
      <c r="AF5" s="28" t="str">
        <f>IFERROR(__xludf.DUMMYFUNCTION("""COMPUTED_VALUE"""),"CusipSymbol")</f>
        <v>CusipSymbol</v>
      </c>
      <c r="AG5" s="28" t="str">
        <f>IFERROR(__xludf.DUMMYFUNCTION("""COMPUTED_VALUE"""),"CustomUDA1")</f>
        <v>CustomUDA1</v>
      </c>
      <c r="AH5" s="28" t="str">
        <f>IFERROR(__xludf.DUMMYFUNCTION("""COMPUTED_VALUE"""),"CustomUDA2")</f>
        <v>CustomUDA2</v>
      </c>
      <c r="AI5" s="28" t="str">
        <f>IFERROR(__xludf.DUMMYFUNCTION("""COMPUTED_VALUE"""),"CustomUDA3")</f>
        <v>CustomUDA3</v>
      </c>
      <c r="AJ5" s="28" t="str">
        <f>IFERROR(__xludf.DUMMYFUNCTION("""COMPUTED_VALUE"""),"CustomUDA4")</f>
        <v>CustomUDA4</v>
      </c>
      <c r="AK5" s="28" t="str">
        <f>IFERROR(__xludf.DUMMYFUNCTION("""COMPUTED_VALUE"""),"CustomUDA5")</f>
        <v>CustomUDA5</v>
      </c>
      <c r="AL5" s="28" t="str">
        <f>IFERROR(__xludf.DUMMYFUNCTION("""COMPUTED_VALUE"""),"CustomUDA6")</f>
        <v>CustomUDA6</v>
      </c>
      <c r="AM5" s="28" t="str">
        <f>IFERROR(__xludf.DUMMYFUNCTION("""COMPUTED_VALUE"""),"CustomUDA7")</f>
        <v>CustomUDA7</v>
      </c>
      <c r="AN5" s="28" t="str">
        <f>IFERROR(__xludf.DUMMYFUNCTION("""COMPUTED_VALUE"""),"Delta")</f>
        <v>Delta</v>
      </c>
      <c r="AO5" s="28" t="str">
        <f>IFERROR(__xludf.DUMMYFUNCTION("""COMPUTED_VALUE"""),"Description")</f>
        <v>Description</v>
      </c>
      <c r="AP5" s="28" t="str">
        <f>IFERROR(__xludf.DUMMYFUNCTION("""COMPUTED_VALUE"""),"ExchangeName")</f>
        <v>ExchangeName</v>
      </c>
      <c r="AQ5" s="28" t="str">
        <f>IFERROR(__xludf.DUMMYFUNCTION("""COMPUTED_VALUE"""),"ExecutedQty")</f>
        <v>ExecutedQty</v>
      </c>
      <c r="AR5" s="28" t="str">
        <f>IFERROR(__xludf.DUMMYFUNCTION("""COMPUTED_VALUE"""),"ExternalTransId")</f>
        <v>ExternalTransId</v>
      </c>
      <c r="AS5" s="28" t="str">
        <f>IFERROR(__xludf.DUMMYFUNCTION("""COMPUTED_VALUE"""),"ForexReq")</f>
        <v>ForexReq</v>
      </c>
      <c r="AT5" s="28" t="str">
        <f>IFERROR(__xludf.DUMMYFUNCTION("""COMPUTED_VALUE"""),"FXConversionMethodOperator")</f>
        <v>FXConversionMethodOperator</v>
      </c>
      <c r="AU5" s="28" t="str">
        <f>IFERROR(__xludf.DUMMYFUNCTION("""COMPUTED_VALUE"""),"FXRate")</f>
        <v>FXRate</v>
      </c>
      <c r="AV5" s="28" t="str">
        <f>IFERROR(__xludf.DUMMYFUNCTION("""COMPUTED_VALUE"""),"GroupID")</f>
        <v>GroupID</v>
      </c>
      <c r="AW5" s="28" t="str">
        <f>IFERROR(__xludf.DUMMYFUNCTION("""COMPUTED_VALUE"""),"IDCOSymbol")</f>
        <v>IDCOSymbol</v>
      </c>
      <c r="AX5" s="28" t="str">
        <f>IFERROR(__xludf.DUMMYFUNCTION("""COMPUTED_VALUE"""),"InternalComments")</f>
        <v>InternalComments</v>
      </c>
      <c r="AY5" s="28" t="str">
        <f>IFERROR(__xludf.DUMMYFUNCTION("""COMPUTED_VALUE"""),"IsExcerciseAtZero")</f>
        <v>IsExcerciseAtZero</v>
      </c>
      <c r="AZ5" s="28" t="str">
        <f>IFERROR(__xludf.DUMMYFUNCTION("""COMPUTED_VALUE"""),"ISINSymbol")</f>
        <v>ISINSymbol</v>
      </c>
      <c r="BA5" s="28" t="str">
        <f>IFERROR(__xludf.DUMMYFUNCTION("""COMPUTED_VALUE"""),"IsNDF")</f>
        <v>IsNDF</v>
      </c>
      <c r="BB5" s="28" t="str">
        <f>IFERROR(__xludf.DUMMYFUNCTION("""COMPUTED_VALUE"""),"IsPosition")</f>
        <v>IsPosition</v>
      </c>
      <c r="BC5" s="28" t="str">
        <f>IFERROR(__xludf.DUMMYFUNCTION("""COMPUTED_VALUE"""),"IsPreAllocated")</f>
        <v>IsPreAllocated</v>
      </c>
      <c r="BD5" s="28" t="str">
        <f>IFERROR(__xludf.DUMMYFUNCTION("""COMPUTED_VALUE"""),"Issuer")</f>
        <v>Issuer</v>
      </c>
      <c r="BE5" s="28" t="str">
        <f>IFERROR(__xludf.DUMMYFUNCTION("""COMPUTED_VALUE"""),"ISSwap")</f>
        <v>ISSwap</v>
      </c>
      <c r="BF5" s="28" t="str">
        <f>IFERROR(__xludf.DUMMYFUNCTION("""COMPUTED_VALUE"""),"LeadCurrencyID")</f>
        <v>LeadCurrencyID</v>
      </c>
      <c r="BG5" s="28" t="str">
        <f>IFERROR(__xludf.DUMMYFUNCTION("""COMPUTED_VALUE"""),"Level1Name")</f>
        <v>Level1Name</v>
      </c>
      <c r="BH5" s="28" t="str">
        <f>IFERROR(__xludf.DUMMYFUNCTION("""COMPUTED_VALUE"""),"LevelName2")</f>
        <v>LevelName2</v>
      </c>
      <c r="BI5" s="28" t="str">
        <f>IFERROR(__xludf.DUMMYFUNCTION("""COMPUTED_VALUE"""),"LiquidTag")</f>
        <v>LiquidTag</v>
      </c>
      <c r="BJ5" s="28" t="str">
        <f>IFERROR(__xludf.DUMMYFUNCTION("""COMPUTED_VALUE"""),"LongOrShort")</f>
        <v>LongOrShort</v>
      </c>
      <c r="BK5" s="28" t="str">
        <f>IFERROR(__xludf.DUMMYFUNCTION("""COMPUTED_VALUE"""),"LotId")</f>
        <v>LotId</v>
      </c>
      <c r="BL5" s="28" t="str">
        <f>IFERROR(__xludf.DUMMYFUNCTION("""COMPUTED_VALUE"""),"M2MProfitLoss")</f>
        <v>M2MProfitLoss</v>
      </c>
      <c r="BM5" s="28" t="str">
        <f>IFERROR(__xludf.DUMMYFUNCTION("""COMPUTED_VALUE"""),"MarketCap")</f>
        <v>MarketCap</v>
      </c>
      <c r="BN5" s="28" t="str">
        <f>IFERROR(__xludf.DUMMYFUNCTION("""COMPUTED_VALUE"""),"MarkPrice")</f>
        <v>MarkPrice</v>
      </c>
      <c r="BO5" s="28" t="str">
        <f>IFERROR(__xludf.DUMMYFUNCTION("""COMPUTED_VALUE"""),"MasterFund")</f>
        <v>MasterFund</v>
      </c>
      <c r="BP5" s="28" t="str">
        <f>IFERROR(__xludf.DUMMYFUNCTION("""COMPUTED_VALUE"""),"MiscFees")</f>
        <v>MiscFees</v>
      </c>
      <c r="BQ5" s="28" t="str">
        <f>IFERROR(__xludf.DUMMYFUNCTION("""COMPUTED_VALUE"""),"NavLockStatus")</f>
        <v>NavLockStatus</v>
      </c>
      <c r="BR5" s="28" t="str">
        <f>IFERROR(__xludf.DUMMYFUNCTION("""COMPUTED_VALUE"""),"NetNotionalValue")</f>
        <v>NetNotionalValue</v>
      </c>
      <c r="BS5" s="28" t="str">
        <f>IFERROR(__xludf.DUMMYFUNCTION("""COMPUTED_VALUE"""),"NirvanaProcessDate")</f>
        <v>NirvanaProcessDate</v>
      </c>
      <c r="BT5" s="28" t="str">
        <f>IFERROR(__xludf.DUMMYFUNCTION("""COMPUTED_VALUE"""),"OCC Fee")</f>
        <v>OCC Fee</v>
      </c>
      <c r="BU5" s="28" t="str">
        <f>IFERROR(__xludf.DUMMYFUNCTION("""COMPUTED_VALUE"""),"OpenQty")</f>
        <v>OpenQty</v>
      </c>
      <c r="BV5" s="28" t="str">
        <f>IFERROR(__xludf.DUMMYFUNCTION("""COMPUTED_VALUE"""),"OpenTotalCommissionFees")</f>
        <v>OpenTotalCommissionFees</v>
      </c>
      <c r="BW5" s="28" t="str">
        <f>IFERROR(__xludf.DUMMYFUNCTION("""COMPUTED_VALUE"""),"OptionPremiumAdjustment")</f>
        <v>OptionPremiumAdjustment</v>
      </c>
      <c r="BX5" s="28" t="str">
        <f>IFERROR(__xludf.DUMMYFUNCTION("""COMPUTED_VALUE"""),"OrderSideTagValue")</f>
        <v>OrderSideTagValue</v>
      </c>
      <c r="BY5" s="28" t="str">
        <f>IFERROR(__xludf.DUMMYFUNCTION("""COMPUTED_VALUE"""),"orderType")</f>
        <v>orderType</v>
      </c>
      <c r="BZ5" s="28" t="str">
        <f>IFERROR(__xludf.DUMMYFUNCTION("""COMPUTED_VALUE"""),"OrfFee")</f>
        <v>OrfFee</v>
      </c>
      <c r="CA5" s="28" t="str">
        <f>IFERROR(__xludf.DUMMYFUNCTION("""COMPUTED_VALUE"""),"Original Side")</f>
        <v>Original Side</v>
      </c>
      <c r="CB5" s="28" t="str">
        <f>IFERROR(__xludf.DUMMYFUNCTION("""COMPUTED_VALUE"""),"OriginalPurchaseDate")</f>
        <v>OriginalPurchaseDate</v>
      </c>
      <c r="CC5" s="28" t="str">
        <f>IFERROR(__xludf.DUMMYFUNCTION("""COMPUTED_VALUE"""),"OSISymbol")</f>
        <v>OSISymbol</v>
      </c>
      <c r="CD5" s="28" t="str">
        <f>IFERROR(__xludf.DUMMYFUNCTION("""COMPUTED_VALUE"""),"OtherBrokerFees")</f>
        <v>OtherBrokerFees</v>
      </c>
      <c r="CE5" s="28" t="str">
        <f>IFERROR(__xludf.DUMMYFUNCTION("""COMPUTED_VALUE"""),"ParentRowPk")</f>
        <v>ParentRowPk</v>
      </c>
      <c r="CF5" s="28" t="str">
        <f>IFERROR(__xludf.DUMMYFUNCTION("""COMPUTED_VALUE"""),"Percentage")</f>
        <v>Percentage</v>
      </c>
      <c r="CG5" s="28" t="str">
        <f>IFERROR(__xludf.DUMMYFUNCTION("""COMPUTED_VALUE"""),"PositionTag")</f>
        <v>PositionTag</v>
      </c>
      <c r="CH5" s="28" t="str">
        <f>IFERROR(__xludf.DUMMYFUNCTION("""COMPUTED_VALUE"""),"PositionType")</f>
        <v>PositionType</v>
      </c>
      <c r="CI5" s="28" t="str">
        <f>IFERROR(__xludf.DUMMYFUNCTION("""COMPUTED_VALUE"""),"ProcessDate")</f>
        <v>ProcessDate</v>
      </c>
      <c r="CJ5" s="28" t="str">
        <f>IFERROR(__xludf.DUMMYFUNCTION("""COMPUTED_VALUE"""),"ProxySymbol")</f>
        <v>ProxySymbol</v>
      </c>
      <c r="CK5" s="28" t="str">
        <f>IFERROR(__xludf.DUMMYFUNCTION("""COMPUTED_VALUE"""),"SecFee")</f>
        <v>SecFee</v>
      </c>
      <c r="CL5" s="28" t="str">
        <f>IFERROR(__xludf.DUMMYFUNCTION("""COMPUTED_VALUE"""),"SectorName")</f>
        <v>SectorName</v>
      </c>
      <c r="CM5" s="28" t="str">
        <f>IFERROR(__xludf.DUMMYFUNCTION("""COMPUTED_VALUE"""),"SecurityTypeName")</f>
        <v>SecurityTypeName</v>
      </c>
      <c r="CN5" s="28" t="str">
        <f>IFERROR(__xludf.DUMMYFUNCTION("""COMPUTED_VALUE"""),"SedolSymbol")</f>
        <v>SedolSymbol</v>
      </c>
      <c r="CO5" s="28" t="str">
        <f>IFERROR(__xludf.DUMMYFUNCTION("""COMPUTED_VALUE"""),"SettlCurrAmt")</f>
        <v>SettlCurrAmt</v>
      </c>
      <c r="CP5" s="28" t="str">
        <f>IFERROR(__xludf.DUMMYFUNCTION("""COMPUTED_VALUE"""),"SettlCurrFxRate")</f>
        <v>SettlCurrFxRate</v>
      </c>
      <c r="CQ5" s="28" t="str">
        <f>IFERROR(__xludf.DUMMYFUNCTION("""COMPUTED_VALUE"""),"SettlCurrFxRateCalc")</f>
        <v>SettlCurrFxRateCalc</v>
      </c>
      <c r="CR5" s="28" t="str">
        <f>IFERROR(__xludf.DUMMYFUNCTION("""COMPUTED_VALUE"""),"SettlCurrUnitCost")</f>
        <v>SettlCurrUnitCost</v>
      </c>
      <c r="CS5" s="28" t="str">
        <f>IFERROR(__xludf.DUMMYFUNCTION("""COMPUTED_VALUE"""),"SettledQty")</f>
        <v>SettledQty</v>
      </c>
      <c r="CT5" s="28" t="str">
        <f>IFERROR(__xludf.DUMMYFUNCTION("""COMPUTED_VALUE"""),"Settlement Currency")</f>
        <v>Settlement Currency</v>
      </c>
      <c r="CU5" s="28" t="str">
        <f>IFERROR(__xludf.DUMMYFUNCTION("""COMPUTED_VALUE"""),"SettlementDate")</f>
        <v>SettlementDate</v>
      </c>
      <c r="CV5" s="28" t="str">
        <f>IFERROR(__xludf.DUMMYFUNCTION("""COMPUTED_VALUE"""),"SideMultiplier")</f>
        <v>SideMultiplier</v>
      </c>
      <c r="CW5" s="28" t="str">
        <f>IFERROR(__xludf.DUMMYFUNCTION("""COMPUTED_VALUE"""),"SoftCommission")</f>
        <v>SoftCommission</v>
      </c>
      <c r="CX5" s="28" t="str">
        <f>IFERROR(__xludf.DUMMYFUNCTION("""COMPUTED_VALUE"""),"SoftCommissionAmt")</f>
        <v>SoftCommissionAmt</v>
      </c>
      <c r="CY5" s="28" t="str">
        <f>IFERROR(__xludf.DUMMYFUNCTION("""COMPUTED_VALUE"""),"SoftCommissionCalcBasis")</f>
        <v>SoftCommissionCalcBasis</v>
      </c>
      <c r="CZ5" s="28" t="str">
        <f>IFERROR(__xludf.DUMMYFUNCTION("""COMPUTED_VALUE"""),"SoftCommissionRate")</f>
        <v>SoftCommissionRate</v>
      </c>
      <c r="DA5" s="28" t="str">
        <f>IFERROR(__xludf.DUMMYFUNCTION("""COMPUTED_VALUE"""),"StampDuty")</f>
        <v>StampDuty</v>
      </c>
      <c r="DB5" s="28" t="str">
        <f>IFERROR(__xludf.DUMMYFUNCTION("""COMPUTED_VALUE"""),"StrikePrice")</f>
        <v>StrikePrice</v>
      </c>
      <c r="DC5" s="28" t="str">
        <f>IFERROR(__xludf.DUMMYFUNCTION("""COMPUTED_VALUE"""),"SubSectorName")</f>
        <v>SubSectorName</v>
      </c>
      <c r="DD5" s="28" t="str">
        <f>IFERROR(__xludf.DUMMYFUNCTION("""COMPUTED_VALUE"""),"SwapParameters")</f>
        <v>SwapParameters</v>
      </c>
      <c r="DE5" s="28" t="str">
        <f>IFERROR(__xludf.DUMMYFUNCTION("""COMPUTED_VALUE"""),"Symbol")</f>
        <v>Symbol</v>
      </c>
      <c r="DF5" s="28" t="str">
        <f>IFERROR(__xludf.DUMMYFUNCTION("""COMPUTED_VALUE"""),"TaxlotClosingId")</f>
        <v>TaxlotClosingId</v>
      </c>
      <c r="DG5" s="28" t="str">
        <f>IFERROR(__xludf.DUMMYFUNCTION("""COMPUTED_VALUE"""),"TaxLotID")</f>
        <v>TaxLotID</v>
      </c>
      <c r="DH5" s="28" t="str">
        <f>IFERROR(__xludf.DUMMYFUNCTION("""COMPUTED_VALUE"""),"taxlotPk")</f>
        <v>taxlotPk</v>
      </c>
      <c r="DI5" s="28" t="str">
        <f>IFERROR(__xludf.DUMMYFUNCTION("""COMPUTED_VALUE"""),"TaxLotQtyToClose")</f>
        <v>TaxLotQtyToClose</v>
      </c>
      <c r="DJ5" s="28" t="str">
        <f>IFERROR(__xludf.DUMMYFUNCTION("""COMPUTED_VALUE"""),"TaxonCommissions")</f>
        <v>TaxonCommissions</v>
      </c>
      <c r="DK5" s="28" t="str">
        <f>IFERROR(__xludf.DUMMYFUNCTION("""COMPUTED_VALUE"""),"TimeOfSaveUTC")</f>
        <v>TimeOfSaveUTC</v>
      </c>
      <c r="DL5" s="28" t="str">
        <f>IFERROR(__xludf.DUMMYFUNCTION("""COMPUTED_VALUE"""),"TotalCommissionandFees")</f>
        <v>TotalCommissionandFees</v>
      </c>
      <c r="DM5" s="28" t="str">
        <f>IFERROR(__xludf.DUMMYFUNCTION("""COMPUTED_VALUE"""),"Tradedate")</f>
        <v>Tradedate</v>
      </c>
      <c r="DN5" s="28" t="str">
        <f>IFERROR(__xludf.DUMMYFUNCTION("""COMPUTED_VALUE"""),"TradeAttribute1")</f>
        <v>TradeAttribute1</v>
      </c>
      <c r="DO5" s="28" t="str">
        <f>IFERROR(__xludf.DUMMYFUNCTION("""COMPUTED_VALUE"""),"TradeAttribute2")</f>
        <v>TradeAttribute2</v>
      </c>
      <c r="DP5" s="28" t="str">
        <f>IFERROR(__xludf.DUMMYFUNCTION("""COMPUTED_VALUE"""),"TradeAttribute3")</f>
        <v>TradeAttribute3</v>
      </c>
      <c r="DQ5" s="28" t="str">
        <f>IFERROR(__xludf.DUMMYFUNCTION("""COMPUTED_VALUE"""),"TradeAttribute4")</f>
        <v>TradeAttribute4</v>
      </c>
      <c r="DR5" s="28" t="str">
        <f>IFERROR(__xludf.DUMMYFUNCTION("""COMPUTED_VALUE"""),"TradeAttribute5")</f>
        <v>TradeAttribute5</v>
      </c>
      <c r="DS5" s="28" t="str">
        <f>IFERROR(__xludf.DUMMYFUNCTION("""COMPUTED_VALUE"""),"TradeAttribute6")</f>
        <v>TradeAttribute6</v>
      </c>
      <c r="DT5" s="28" t="str">
        <f>IFERROR(__xludf.DUMMYFUNCTION("""COMPUTED_VALUE"""),"TradingAccountName")</f>
        <v>TradingAccountName</v>
      </c>
      <c r="DU5" s="28" t="str">
        <f>IFERROR(__xludf.DUMMYFUNCTION("""COMPUTED_VALUE"""),"TransactionLevy")</f>
        <v>TransactionLevy</v>
      </c>
      <c r="DV5" s="28" t="str">
        <f>IFERROR(__xludf.DUMMYFUNCTION("""COMPUTED_VALUE"""),"TransactionType")</f>
        <v>TransactionType</v>
      </c>
      <c r="DW5" s="28" t="str">
        <f>IFERROR(__xludf.DUMMYFUNCTION("""COMPUTED_VALUE"""),"UcitsEligibleTag")</f>
        <v>UcitsEligibleTag</v>
      </c>
      <c r="DX5" s="28" t="str">
        <f>IFERROR(__xludf.DUMMYFUNCTION("""COMPUTED_VALUE"""),"UDAAsset")</f>
        <v>UDAAsset</v>
      </c>
      <c r="DY5" s="28" t="str">
        <f>IFERROR(__xludf.DUMMYFUNCTION("""COMPUTED_VALUE"""),"UnderlyingDelta")</f>
        <v>UnderlyingDelta</v>
      </c>
      <c r="DZ5" s="28" t="str">
        <f>IFERROR(__xludf.DUMMYFUNCTION("""COMPUTED_VALUE"""),"UnderlyingName")</f>
        <v>UnderlyingName</v>
      </c>
      <c r="EA5" s="28" t="str">
        <f>IFERROR(__xludf.DUMMYFUNCTION("""COMPUTED_VALUE"""),"UnderlyingSymbol")</f>
        <v>UnderlyingSymbol</v>
      </c>
      <c r="EB5" s="28" t="str">
        <f>IFERROR(__xludf.DUMMYFUNCTION("""COMPUTED_VALUE"""),"UnitCost")</f>
        <v>UnitCost</v>
      </c>
      <c r="EC5" s="28" t="str">
        <f>IFERROR(__xludf.DUMMYFUNCTION("""COMPUTED_VALUE"""),"UnRealizedPNL")</f>
        <v>UnRealizedPNL</v>
      </c>
      <c r="ED5" s="28" t="str">
        <f>IFERROR(__xludf.DUMMYFUNCTION("""COMPUTED_VALUE"""),"Venue")</f>
        <v>Venue</v>
      </c>
      <c r="EE5" s="28" t="str">
        <f>IFERROR(__xludf.DUMMYFUNCTION("""COMPUTED_VALUE"""),"VsCurrencyID")</f>
        <v>VsCurrencyID</v>
      </c>
      <c r="EF5" s="28" t="str">
        <f>IFERROR(__xludf.DUMMYFUNCTION("""COMPUTED_VALUE"""),"WorkflowState")</f>
        <v>WorkflowState</v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10"/>
      <c r="C6" s="7"/>
      <c r="D6" s="10"/>
      <c r="E6" s="30"/>
      <c r="F6" s="7"/>
      <c r="G6" s="7"/>
      <c r="H6" s="7"/>
      <c r="I6" s="7"/>
      <c r="J6" s="7"/>
      <c r="K6" s="7"/>
      <c r="L6" s="7"/>
      <c r="M6" s="7"/>
      <c r="N6" s="7"/>
      <c r="O6" s="29">
        <v>43494.0</v>
      </c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CashSettlementAtClosingDtSpotPx!$4:$4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3</v>
      </c>
      <c r="C3" s="21" t="s">
        <v>21</v>
      </c>
      <c r="D3" s="9" t="s">
        <v>5</v>
      </c>
      <c r="E3" s="21" t="s">
        <v>28</v>
      </c>
      <c r="F3" s="9" t="s">
        <v>15</v>
      </c>
      <c r="G3" s="11" t="s">
        <v>17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IFERROR(__xludf.DUMMYFUNCTION("""COMPUTED_VALUE"""),"Account")</f>
        <v>Account</v>
      </c>
      <c r="C5" s="26" t="str">
        <f>IFERROR(__xludf.DUMMYFUNCTION("""COMPUTED_VALUE"""),"Asset Class")</f>
        <v>Asset Class</v>
      </c>
      <c r="D5" s="26" t="str">
        <f>IFERROR(__xludf.DUMMYFUNCTION("""COMPUTED_VALUE"""),"checkBox")</f>
        <v>checkBox</v>
      </c>
      <c r="E5" s="26" t="str">
        <f>IFERROR(__xludf.DUMMYFUNCTION("""COMPUTED_VALUE"""),"Close Date")</f>
        <v>Close Date</v>
      </c>
      <c r="F5" s="27" t="str">
        <f>IFERROR(__xludf.DUMMYFUNCTION("""COMPUTED_VALUE"""),"ClosedAveragePrice")</f>
        <v>ClosedAveragePrice</v>
      </c>
      <c r="G5" s="26" t="str">
        <f>IFERROR(__xludf.DUMMYFUNCTION("""COMPUTED_VALUE"""),"ClosedQty")</f>
        <v>ClosedQty</v>
      </c>
      <c r="H5" s="26" t="str">
        <f>IFERROR(__xludf.DUMMYFUNCTION("""COMPUTED_VALUE"""),"Closing Method")</f>
        <v>Closing Method</v>
      </c>
      <c r="I5" s="26" t="str">
        <f>IFERROR(__xludf.DUMMYFUNCTION("""COMPUTED_VALUE"""),"ClosingID")</f>
        <v>ClosingID</v>
      </c>
      <c r="J5" s="26" t="str">
        <f>IFERROR(__xludf.DUMMYFUNCTION("""COMPUTED_VALUE"""),"ClosingMode")</f>
        <v>ClosingMode</v>
      </c>
      <c r="K5" s="26" t="str">
        <f>IFERROR(__xludf.DUMMYFUNCTION("""COMPUTED_VALUE"""),"ClosingPositionTag")</f>
        <v>ClosingPositionTag</v>
      </c>
      <c r="L5" s="26" t="str">
        <f>IFERROR(__xludf.DUMMYFUNCTION("""COMPUTED_VALUE"""),"ClosingSide")</f>
        <v>ClosingSide</v>
      </c>
      <c r="M5" s="26" t="str">
        <f>IFERROR(__xludf.DUMMYFUNCTION("""COMPUTED_VALUE"""),"ClosingTotalCommissionandFees")</f>
        <v>ClosingTotalCommissionandFees</v>
      </c>
      <c r="N5" s="26" t="str">
        <f>IFERROR(__xludf.DUMMYFUNCTION("""COMPUTED_VALUE"""),"Column1")</f>
        <v>Column1</v>
      </c>
      <c r="O5" s="26" t="str">
        <f>IFERROR(__xludf.DUMMYFUNCTION("""COMPUTED_VALUE"""),"CostBasisGrossPNL")</f>
        <v>CostBasisGrossPNL</v>
      </c>
      <c r="P5" s="26" t="str">
        <f>IFERROR(__xludf.DUMMYFUNCTION("""COMPUTED_VALUE"""),"Currency")</f>
        <v>Currency</v>
      </c>
      <c r="Q5" s="26" t="str">
        <f>IFERROR(__xludf.DUMMYFUNCTION("""COMPUTED_VALUE"""),"CurrencyID")</f>
        <v>CurrencyID</v>
      </c>
      <c r="R5" s="26" t="str">
        <f>IFERROR(__xludf.DUMMYFUNCTION("""COMPUTED_VALUE"""),"Exchange")</f>
        <v>Exchange</v>
      </c>
      <c r="S5" s="26" t="str">
        <f>IFERROR(__xludf.DUMMYFUNCTION("""COMPUTED_VALUE"""),"NotionalChange")</f>
        <v>NotionalChange</v>
      </c>
      <c r="T5" s="28" t="str">
        <f>IFERROR(__xludf.DUMMYFUNCTION("""COMPUTED_VALUE"""),"OpenAveragePrice")</f>
        <v>OpenAveragePrice</v>
      </c>
      <c r="U5" s="28" t="str">
        <f>IFERROR(__xludf.DUMMYFUNCTION("""COMPUTED_VALUE"""),"Original Purchase Date")</f>
        <v>Original Purchase Date</v>
      </c>
      <c r="V5" s="28" t="str">
        <f>IFERROR(__xludf.DUMMYFUNCTION("""COMPUTED_VALUE"""),"Position Type")</f>
        <v>Position Type</v>
      </c>
      <c r="W5" s="28" t="str">
        <f>IFERROR(__xludf.DUMMYFUNCTION("""COMPUTED_VALUE"""),"PositionSide")</f>
        <v>PositionSide</v>
      </c>
      <c r="X5" s="28" t="str">
        <f>IFERROR(__xludf.DUMMYFUNCTION("""COMPUTED_VALUE"""),"PositionTotalCommissionandFees")</f>
        <v>PositionTotalCommissionandFees</v>
      </c>
      <c r="Y5" s="28" t="str">
        <f>IFERROR(__xludf.DUMMYFUNCTION("""COMPUTED_VALUE"""),"Realized PNL(C.B.)")</f>
        <v>Realized PNL(C.B.)</v>
      </c>
      <c r="Z5" s="28" t="str">
        <f>IFERROR(__xludf.DUMMYFUNCTION("""COMPUTED_VALUE"""),"Side")</f>
        <v>Side</v>
      </c>
      <c r="AA5" s="28" t="str">
        <f>IFERROR(__xludf.DUMMYFUNCTION("""COMPUTED_VALUE"""),"Strategy")</f>
        <v>Strategy</v>
      </c>
      <c r="AB5" s="28" t="str">
        <f>IFERROR(__xludf.DUMMYFUNCTION("""COMPUTED_VALUE"""),"Symbol")</f>
        <v>Symbol</v>
      </c>
      <c r="AC5" s="28" t="str">
        <f>IFERROR(__xludf.DUMMYFUNCTION("""COMPUTED_VALUE"""),"Taxlot ID")</f>
        <v>Taxlot ID</v>
      </c>
      <c r="AD5" s="28" t="str">
        <f>IFERROR(__xludf.DUMMYFUNCTION("""COMPUTED_VALUE"""),"UnderlyingName")</f>
        <v>UnderlyingName</v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10" t="s">
        <v>25</v>
      </c>
      <c r="C6" s="10" t="s">
        <v>26</v>
      </c>
      <c r="D6" s="10"/>
      <c r="E6" s="30"/>
      <c r="F6" s="7"/>
      <c r="G6" s="7"/>
      <c r="H6" s="7"/>
      <c r="I6" s="7"/>
      <c r="J6" s="7"/>
      <c r="K6" s="7"/>
      <c r="L6" s="7"/>
      <c r="M6" s="7"/>
      <c r="N6" s="7"/>
      <c r="O6" s="7"/>
      <c r="Y6" s="31">
        <v>51262.9173</v>
      </c>
      <c r="Z6" s="31" t="s">
        <v>19</v>
      </c>
      <c r="AB6" s="31" t="s">
        <v>18</v>
      </c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VerifyExpiredSettledGrid!$4:$4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3</v>
      </c>
      <c r="C3" s="21" t="s">
        <v>29</v>
      </c>
      <c r="D3" s="9" t="s">
        <v>5</v>
      </c>
      <c r="E3" s="21" t="s">
        <v>30</v>
      </c>
      <c r="F3" s="9" t="s">
        <v>15</v>
      </c>
      <c r="G3" s="11" t="s">
        <v>17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IFERROR(__xludf.DUMMYFUNCTION("""COMPUTED_VALUE"""),"CopyCalculatedPreferenceToolbar")</f>
        <v>CopyCalculatedPreferenceToolbar</v>
      </c>
      <c r="CX4" s="24" t="str">
        <f>IFERROR(__xludf.DUMMYFUNCTION("""COMPUTED_VALUE"""),"CloseOrder")</f>
        <v>CloseOrder</v>
      </c>
      <c r="CY4" s="24" t="str">
        <f>IFERROR(__xludf.DUMMYFUNCTION("""COMPUTED_VALUE"""),"DisableChecksideForAsset")</f>
        <v>DisableChecksideForAsset</v>
      </c>
      <c r="CZ4" s="24" t="str">
        <f>IFERROR(__xludf.DUMMYFUNCTION("""COMPUTED_VALUE"""),"DisableChecksideForAccount")</f>
        <v>DisableChecksideForAccount</v>
      </c>
      <c r="DA4" s="24" t="str">
        <f>IFERROR(__xludf.DUMMYFUNCTION("""COMPUTED_VALUE"""),"DisableChecksideForCounterParty")</f>
        <v>DisableChecksideForCounterParty</v>
      </c>
      <c r="DB4" s="24" t="str">
        <f>IFERROR(__xludf.DUMMYFUNCTION("""COMPUTED_VALUE"""),"DisableCheckside")</f>
        <v>DisableCheckside</v>
      </c>
      <c r="DC4" s="24" t="str">
        <f>IFERROR(__xludf.DUMMYFUNCTION("""COMPUTED_VALUE"""),"ApplyMasterFundFilter")</f>
        <v>ApplyMasterFundFilter</v>
      </c>
      <c r="DD4" s="24" t="str">
        <f>IFERROR(__xludf.DUMMYFUNCTION("""COMPUTED_VALUE"""),"ShowMasterFundOnTT")</f>
        <v>ShowMasterFundOnTT</v>
      </c>
      <c r="DE4" s="24" t="str">
        <f>IFERROR(__xludf.DUMMYFUNCTION("""COMPUTED_VALUE"""),"ShowMasterFundAsClient")</f>
        <v>ShowMasterFundAsClient</v>
      </c>
      <c r="DF4" s="24" t="str">
        <f>IFERROR(__xludf.DUMMYFUNCTION("""COMPUTED_VALUE"""),"SetBrokerAccountMapping")</f>
        <v>SetBrokerAccountMapping</v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IFERROR(__xludf.DUMMYFUNCTION("""COMPUTED_VALUE"""),"RangeType")</f>
        <v>RangeType</v>
      </c>
      <c r="C5" s="26" t="str">
        <f>IFERROR(__xludf.DUMMYFUNCTION("""COMPUTED_VALUE"""),"From")</f>
        <v>From</v>
      </c>
      <c r="D5" s="26" t="str">
        <f>IFERROR(__xludf.DUMMYFUNCTION("""COMPUTED_VALUE"""),"To")</f>
        <v>To</v>
      </c>
      <c r="E5" s="26" t="str">
        <f>IFERROR(__xludf.DUMMYFUNCTION("""COMPUTED_VALUE"""),"FilterTabName")</f>
        <v>FilterTabName</v>
      </c>
      <c r="F5" s="27" t="str">
        <f>IFERROR(__xludf.DUMMYFUNCTION("""COMPUTED_VALUE"""),"Symbol")</f>
        <v>Symbol</v>
      </c>
      <c r="G5" s="26" t="str">
        <f>IFERROR(__xludf.DUMMYFUNCTION("""COMPUTED_VALUE"""),"Asset")</f>
        <v>Asset</v>
      </c>
      <c r="H5" s="26" t="str">
        <f>IFERROR(__xludf.DUMMYFUNCTION("""COMPUTED_VALUE"""),"Side")</f>
        <v>Side</v>
      </c>
      <c r="I5" s="26" t="str">
        <f>IFERROR(__xludf.DUMMYFUNCTION("""COMPUTED_VALUE"""),"Account")</f>
        <v>Account</v>
      </c>
      <c r="J5" s="26" t="str">
        <f>IFERROR(__xludf.DUMMYFUNCTION("""COMPUTED_VALUE"""),"Broker")</f>
        <v>Broker</v>
      </c>
      <c r="K5" s="26" t="str">
        <f>IFERROR(__xludf.DUMMYFUNCTION("""COMPUTED_VALUE"""),"Currency")</f>
        <v>Currency</v>
      </c>
      <c r="L5" s="26" t="str">
        <f>IFERROR(__xludf.DUMMYFUNCTION("""COMPUTED_VALUE"""),"Exchange")</f>
        <v>Exchange</v>
      </c>
      <c r="M5" s="26" t="str">
        <f>IFERROR(__xludf.DUMMYFUNCTION("""COMPUTED_VALUE"""),"StrategyName")</f>
        <v>StrategyName</v>
      </c>
      <c r="N5" s="26" t="str">
        <f>IFERROR(__xludf.DUMMYFUNCTION("""COMPUTED_VALUE"""),"Underlying")</f>
        <v>Underlying</v>
      </c>
      <c r="O5" s="26" t="str">
        <f>IFERROR(__xludf.DUMMYFUNCTION("""COMPUTED_VALUE"""),"Venue")</f>
        <v>Venue</v>
      </c>
      <c r="P5" s="26" t="str">
        <f>IFERROR(__xludf.DUMMYFUNCTION("""COMPUTED_VALUE"""),"TradingAccount")</f>
        <v>TradingAccount</v>
      </c>
      <c r="Q5" s="26" t="str">
        <f>IFERROR(__xludf.DUMMYFUNCTION("""COMPUTED_VALUE"""),"PreAllocated")</f>
        <v>PreAllocated</v>
      </c>
      <c r="R5" s="26" t="str">
        <f>IFERROR(__xludf.DUMMYFUNCTION("""COMPUTED_VALUE"""),"ManualGroup")</f>
        <v>ManualGroup</v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10" t="s">
        <v>24</v>
      </c>
      <c r="C6" s="29">
        <v>43490.0</v>
      </c>
      <c r="D6" s="29">
        <v>43494.0</v>
      </c>
      <c r="E6" s="30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45" width="14.43"/>
    <col customWidth="1" min="46" max="46" width="19.0"/>
    <col customWidth="1" min="47" max="47" width="21.71"/>
    <col customWidth="1" min="48" max="56" width="14.43"/>
    <col customWidth="1" min="57" max="57" width="23.0"/>
    <col customWidth="1" min="58" max="154" width="14.43"/>
  </cols>
  <sheetData>
    <row r="1" ht="15.75" customHeight="1">
      <c r="A1" s="17"/>
      <c r="B1" s="2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3</v>
      </c>
      <c r="C3" s="21" t="s">
        <v>29</v>
      </c>
      <c r="D3" s="9" t="s">
        <v>5</v>
      </c>
      <c r="E3" s="21" t="s">
        <v>31</v>
      </c>
      <c r="F3" s="9" t="s">
        <v>15</v>
      </c>
      <c r="G3" s="11" t="s">
        <v>17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IFERROR(__xludf.DUMMYFUNCTION("""COMPUTED_VALUE"""),"CopyCalculatedPreferenceToolbar")</f>
        <v>CopyCalculatedPreferenceToolbar</v>
      </c>
      <c r="CX4" s="24" t="str">
        <f>IFERROR(__xludf.DUMMYFUNCTION("""COMPUTED_VALUE"""),"CloseOrder")</f>
        <v>CloseOrder</v>
      </c>
      <c r="CY4" s="24" t="str">
        <f>IFERROR(__xludf.DUMMYFUNCTION("""COMPUTED_VALUE"""),"DisableChecksideForAsset")</f>
        <v>DisableChecksideForAsset</v>
      </c>
      <c r="CZ4" s="24" t="str">
        <f>IFERROR(__xludf.DUMMYFUNCTION("""COMPUTED_VALUE"""),"DisableChecksideForAccount")</f>
        <v>DisableChecksideForAccount</v>
      </c>
      <c r="DA4" s="24" t="str">
        <f>IFERROR(__xludf.DUMMYFUNCTION("""COMPUTED_VALUE"""),"DisableChecksideForCounterParty")</f>
        <v>DisableChecksideForCounterParty</v>
      </c>
      <c r="DB4" s="24" t="str">
        <f>IFERROR(__xludf.DUMMYFUNCTION("""COMPUTED_VALUE"""),"DisableCheckside")</f>
        <v>DisableCheckside</v>
      </c>
      <c r="DC4" s="24" t="str">
        <f>IFERROR(__xludf.DUMMYFUNCTION("""COMPUTED_VALUE"""),"ApplyMasterFundFilter")</f>
        <v>ApplyMasterFundFilter</v>
      </c>
      <c r="DD4" s="24" t="str">
        <f>IFERROR(__xludf.DUMMYFUNCTION("""COMPUTED_VALUE"""),"ShowMasterFundOnTT")</f>
        <v>ShowMasterFundOnTT</v>
      </c>
      <c r="DE4" s="24" t="str">
        <f>IFERROR(__xludf.DUMMYFUNCTION("""COMPUTED_VALUE"""),"ShowMasterFundAsClient")</f>
        <v>ShowMasterFundAsClient</v>
      </c>
      <c r="DF4" s="24" t="str">
        <f>IFERROR(__xludf.DUMMYFUNCTION("""COMPUTED_VALUE"""),"SetBrokerAccountMapping")</f>
        <v>SetBrokerAccountMapping</v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 Name")</f>
        <v>Account Name</v>
      </c>
      <c r="C5" s="26" t="str">
        <f>IFERROR(__xludf.DUMMYFUNCTION("""COMPUTED_VALUE"""),"Accrual Basis")</f>
        <v>Accrual Basis</v>
      </c>
      <c r="D5" s="26" t="str">
        <f>IFERROR(__xludf.DUMMYFUNCTION("""COMPUTED_VALUE"""),"Accrued Interest")</f>
        <v>Accrued Interest</v>
      </c>
      <c r="E5" s="26" t="str">
        <f>IFERROR(__xludf.DUMMYFUNCTION("""COMPUTED_VALUE"""),"Allocated Qty")</f>
        <v>Allocated Qty</v>
      </c>
      <c r="F5" s="27" t="str">
        <f>IFERROR(__xludf.DUMMYFUNCTION("""COMPUTED_VALUE"""),"Allocation Scheme Name")</f>
        <v>Allocation Scheme Name</v>
      </c>
      <c r="G5" s="26" t="str">
        <f>IFERROR(__xludf.DUMMYFUNCTION("""COMPUTED_VALUE"""),"Asset Category")</f>
        <v>Asset Category</v>
      </c>
      <c r="H5" s="26" t="str">
        <f>IFERROR(__xludf.DUMMYFUNCTION("""COMPUTED_VALUE"""),"AUEC Fee1")</f>
        <v>AUEC Fee1</v>
      </c>
      <c r="I5" s="26" t="str">
        <f>IFERROR(__xludf.DUMMYFUNCTION("""COMPUTED_VALUE"""),"AUEC Fee2")</f>
        <v>AUEC Fee2</v>
      </c>
      <c r="J5" s="26" t="str">
        <f>IFERROR(__xludf.DUMMYFUNCTION("""COMPUTED_VALUE"""),"AUECID")</f>
        <v>AUECID</v>
      </c>
      <c r="K5" s="26" t="str">
        <f>IFERROR(__xludf.DUMMYFUNCTION("""COMPUTED_VALUE"""),"Avg Price(Base)")</f>
        <v>Avg Price(Base)</v>
      </c>
      <c r="L5" s="26" t="str">
        <f>IFERROR(__xludf.DUMMYFUNCTION("""COMPUTED_VALUE"""),"Avg Price(Local)")</f>
        <v>Avg Price(Local)</v>
      </c>
      <c r="M5" s="26" t="str">
        <f>IFERROR(__xludf.DUMMYFUNCTION("""COMPUTED_VALUE"""),"Bloomberg")</f>
        <v>Bloomberg</v>
      </c>
      <c r="N5" s="26" t="str">
        <f>IFERROR(__xludf.DUMMYFUNCTION("""COMPUTED_VALUE"""),"Bond Type")</f>
        <v>Bond Type</v>
      </c>
      <c r="O5" s="26" t="str">
        <f>IFERROR(__xludf.DUMMYFUNCTION("""COMPUTED_VALUE"""),"Broker")</f>
        <v>Broker</v>
      </c>
      <c r="P5" s="26" t="str">
        <f>IFERROR(__xludf.DUMMYFUNCTION("""COMPUTED_VALUE"""),"Change Comment")</f>
        <v>Change Comment</v>
      </c>
      <c r="Q5" s="26" t="str">
        <f>IFERROR(__xludf.DUMMYFUNCTION("""COMPUTED_VALUE"""),"Change Type")</f>
        <v>Change Type</v>
      </c>
      <c r="R5" s="26" t="str">
        <f>IFERROR(__xludf.DUMMYFUNCTION("""COMPUTED_VALUE"""),"Clearing Broker Fee")</f>
        <v>Clearing Broker Fee</v>
      </c>
      <c r="S5" s="26" t="str">
        <f>IFERROR(__xludf.DUMMYFUNCTION("""COMPUTED_VALUE"""),"Closing Status")</f>
        <v>Closing Status</v>
      </c>
      <c r="T5" s="28" t="str">
        <f>IFERROR(__xludf.DUMMYFUNCTION("""COMPUTED_VALUE"""),"Commission")</f>
        <v>Commission</v>
      </c>
      <c r="U5" s="28" t="str">
        <f>IFERROR(__xludf.DUMMYFUNCTION("""COMPUTED_VALUE"""),"Commission Per Share")</f>
        <v>Commission Per Share</v>
      </c>
      <c r="V5" s="28" t="str">
        <f>IFERROR(__xludf.DUMMYFUNCTION("""COMPUTED_VALUE"""),"Company")</f>
        <v>Company</v>
      </c>
      <c r="W5" s="28" t="str">
        <f>IFERROR(__xludf.DUMMYFUNCTION("""COMPUTED_VALUE"""),"Contract Multiplier")</f>
        <v>Contract Multiplier</v>
      </c>
      <c r="X5" s="28" t="str">
        <f>IFERROR(__xludf.DUMMYFUNCTION("""COMPUTED_VALUE"""),"Coupon Rate")</f>
        <v>Coupon Rate</v>
      </c>
      <c r="Y5" s="28" t="str">
        <f>IFERROR(__xludf.DUMMYFUNCTION("""COMPUTED_VALUE"""),"Cum Qty For Sub Order")</f>
        <v>Cum Qty For Sub Order</v>
      </c>
      <c r="Z5" s="28" t="str">
        <f>IFERROR(__xludf.DUMMYFUNCTION("""COMPUTED_VALUE"""),"Currency")</f>
        <v>Currency</v>
      </c>
      <c r="AA5" s="28" t="str">
        <f>IFERROR(__xludf.DUMMYFUNCTION("""COMPUTED_VALUE"""),"Cusip Symbol")</f>
        <v>Cusip Symbol</v>
      </c>
      <c r="AB5" s="28" t="str">
        <f>IFERROR(__xludf.DUMMYFUNCTION("""COMPUTED_VALUE"""),"Delta")</f>
        <v>Delta</v>
      </c>
      <c r="AC5" s="28" t="str">
        <f>IFERROR(__xludf.DUMMYFUNCTION("""COMPUTED_VALUE"""),"Description")</f>
        <v>Description</v>
      </c>
      <c r="AD5" s="28" t="str">
        <f>IFERROR(__xludf.DUMMYFUNCTION("""COMPUTED_VALUE"""),"Exchange")</f>
        <v>Exchange</v>
      </c>
      <c r="AE5" s="28" t="str">
        <f>IFERROR(__xludf.DUMMYFUNCTION("""COMPUTED_VALUE"""),"Executed Qty")</f>
        <v>Executed Qty</v>
      </c>
      <c r="AF5" s="28" t="str">
        <f>IFERROR(__xludf.DUMMYFUNCTION("""COMPUTED_VALUE"""),"Exceution Time")</f>
        <v>Exceution Time</v>
      </c>
      <c r="AG5" s="28" t="str">
        <f>IFERROR(__xludf.DUMMYFUNCTION("""COMPUTED_VALUE"""),"Expiration Date")</f>
        <v>Expiration Date</v>
      </c>
      <c r="AH5" s="28" t="str">
        <f>IFERROR(__xludf.DUMMYFUNCTION("""COMPUTED_VALUE"""),"FX Conversion Operator")</f>
        <v>FX Conversion Operator</v>
      </c>
      <c r="AI5" s="28" t="str">
        <f>IFERROR(__xludf.DUMMYFUNCTION("""COMPUTED_VALUE"""),"FX Rate")</f>
        <v>FX Rate</v>
      </c>
      <c r="AJ5" s="28" t="str">
        <f>IFERROR(__xludf.DUMMYFUNCTION("""COMPUTED_VALUE"""),"Group Status")</f>
        <v>Group Status</v>
      </c>
      <c r="AK5" s="28" t="str">
        <f>IFERROR(__xludf.DUMMYFUNCTION("""COMPUTED_VALUE"""),"IDCOSymbol")</f>
        <v>IDCOSymbol</v>
      </c>
      <c r="AL5" s="28" t="str">
        <f>IFERROR(__xludf.DUMMYFUNCTION("""COMPUTED_VALUE"""),"Import File Name")</f>
        <v>Import File Name</v>
      </c>
      <c r="AM5" s="28" t="str">
        <f>IFERROR(__xludf.DUMMYFUNCTION("""COMPUTED_VALUE"""),"Internal Comments")</f>
        <v>Internal Comments</v>
      </c>
      <c r="AN5" s="28" t="str">
        <f>IFERROR(__xludf.DUMMYFUNCTION("""COMPUTED_VALUE"""),"IsAnotherTaxlotAttributesUpdated")</f>
        <v>IsAnotherTaxlotAttributesUpdated</v>
      </c>
      <c r="AO5" s="28" t="str">
        <f>IFERROR(__xludf.DUMMYFUNCTION("""COMPUTED_VALUE"""),"ISIN")</f>
        <v>ISIN</v>
      </c>
      <c r="AP5" s="28" t="str">
        <f>IFERROR(__xludf.DUMMYFUNCTION("""COMPUTED_VALUE"""),"IsManualGroup")</f>
        <v>IsManualGroup</v>
      </c>
      <c r="AQ5" s="28" t="str">
        <f>IFERROR(__xludf.DUMMYFUNCTION("""COMPUTED_VALUE"""),"ISNDF")</f>
        <v>ISNDF</v>
      </c>
      <c r="AR5" s="28" t="str">
        <f>IFERROR(__xludf.DUMMYFUNCTION("""COMPUTED_VALUE"""),"IsPreAllocated")</f>
        <v>IsPreAllocated</v>
      </c>
      <c r="AS5" s="28" t="str">
        <f>IFERROR(__xludf.DUMMYFUNCTION("""COMPUTED_VALUE"""),"M2MProfitLoss")</f>
        <v>M2MProfitLoss</v>
      </c>
      <c r="AT5" s="28" t="str">
        <f>IFERROR(__xludf.DUMMYFUNCTION("""COMPUTED_VALUE"""),"Net Amount( Base)")</f>
        <v>Net Amount( Base)</v>
      </c>
      <c r="AU5" s="28" t="str">
        <f>IFERROR(__xludf.DUMMYFUNCTION("""COMPUTED_VALUE"""),"Net Amount( Local)")</f>
        <v>Net Amount( Local)</v>
      </c>
      <c r="AV5" s="28" t="str">
        <f>IFERROR(__xludf.DUMMYFUNCTION("""COMPUTED_VALUE"""),"Nirvana Process Date")</f>
        <v>Nirvana Process Date</v>
      </c>
      <c r="AW5" s="28" t="str">
        <f>IFERROR(__xludf.DUMMYFUNCTION("""COMPUTED_VALUE"""),"OCC Fee")</f>
        <v>OCC Fee</v>
      </c>
      <c r="AX5" s="28" t="str">
        <f>IFERROR(__xludf.DUMMYFUNCTION("""COMPUTED_VALUE"""),"Option Premium Adjustment")</f>
        <v>Option Premium Adjustment</v>
      </c>
      <c r="AY5" s="28" t="str">
        <f>IFERROR(__xludf.DUMMYFUNCTION("""COMPUTED_VALUE"""),"Order Type")</f>
        <v>Order Type</v>
      </c>
      <c r="AZ5" s="28" t="str">
        <f>IFERROR(__xludf.DUMMYFUNCTION("""COMPUTED_VALUE"""),"ORF Fee")</f>
        <v>ORF Fee</v>
      </c>
      <c r="BA5" s="28" t="str">
        <f>IFERROR(__xludf.DUMMYFUNCTION("""COMPUTED_VALUE"""),"Original Purchase Date")</f>
        <v>Original Purchase Date</v>
      </c>
      <c r="BB5" s="28" t="str">
        <f>IFERROR(__xludf.DUMMYFUNCTION("""COMPUTED_VALUE"""),"OSISSymbol")</f>
        <v>OSISSymbol</v>
      </c>
      <c r="BC5" s="28" t="str">
        <f>IFERROR(__xludf.DUMMYFUNCTION("""COMPUTED_VALUE"""),"Other Broker Fees")</f>
        <v>Other Broker Fees</v>
      </c>
      <c r="BD5" s="28" t="str">
        <f>IFERROR(__xludf.DUMMYFUNCTION("""COMPUTED_VALUE"""),"Prana Msg Type")</f>
        <v>Prana Msg Type</v>
      </c>
      <c r="BE5" s="28" t="str">
        <f>IFERROR(__xludf.DUMMYFUNCTION("""COMPUTED_VALUE"""),"Principal Amount( Base)")</f>
        <v>Principal Amount( Base)</v>
      </c>
      <c r="BF5" s="28" t="str">
        <f>IFERROR(__xludf.DUMMYFUNCTION("""COMPUTED_VALUE"""),"Principal Amount( Local)")</f>
        <v>Principal Amount( Local)</v>
      </c>
      <c r="BG5" s="28" t="str">
        <f>IFERROR(__xludf.DUMMYFUNCTION("""COMPUTED_VALUE"""),"Process Date")</f>
        <v>Process Date</v>
      </c>
      <c r="BH5" s="28" t="str">
        <f>IFERROR(__xludf.DUMMYFUNCTION("""COMPUTED_VALUE"""),"Proxy Symbol")</f>
        <v>Proxy Symbol</v>
      </c>
      <c r="BI5" s="28" t="str">
        <f>IFERROR(__xludf.DUMMYFUNCTION("""COMPUTED_VALUE"""),"Put Or Call")</f>
        <v>Put Or Call</v>
      </c>
      <c r="BJ5" s="28" t="str">
        <f>IFERROR(__xludf.DUMMYFUNCTION("""COMPUTED_VALUE"""),"Quantity")</f>
        <v>Quantity</v>
      </c>
      <c r="BK5" s="28" t="str">
        <f>IFERROR(__xludf.DUMMYFUNCTION("""COMPUTED_VALUE"""),"SEC Fee")</f>
        <v>SEC Fee</v>
      </c>
      <c r="BL5" s="28" t="str">
        <f>IFERROR(__xludf.DUMMYFUNCTION("""COMPUTED_VALUE"""),"Sedol Symbol")</f>
        <v>Sedol Symbol</v>
      </c>
      <c r="BM5" s="28" t="str">
        <f>IFERROR(__xludf.DUMMYFUNCTION("""COMPUTED_VALUE"""),"Settlement Currency")</f>
        <v>Settlement Currency</v>
      </c>
      <c r="BN5" s="28" t="str">
        <f>IFERROR(__xludf.DUMMYFUNCTION("""COMPUTED_VALUE"""),"Settlement Date")</f>
        <v>Settlement Date</v>
      </c>
      <c r="BO5" s="28" t="str">
        <f>IFERROR(__xludf.DUMMYFUNCTION("""COMPUTED_VALUE"""),"Side")</f>
        <v>Side</v>
      </c>
      <c r="BP5" s="28" t="str">
        <f>IFERROR(__xludf.DUMMYFUNCTION("""COMPUTED_VALUE"""),"Soft Commission")</f>
        <v>Soft Commission</v>
      </c>
      <c r="BQ5" s="28" t="str">
        <f>IFERROR(__xludf.DUMMYFUNCTION("""COMPUTED_VALUE"""),"Soft Commission Per Share")</f>
        <v>Soft Commission Per Share</v>
      </c>
      <c r="BR5" s="28" t="str">
        <f>IFERROR(__xludf.DUMMYFUNCTION("""COMPUTED_VALUE"""),"Stamp Duty")</f>
        <v>Stamp Duty</v>
      </c>
      <c r="BS5" s="28" t="str">
        <f>IFERROR(__xludf.DUMMYFUNCTION("""COMPUTED_VALUE"""),"Strategy Name")</f>
        <v>Strategy Name</v>
      </c>
      <c r="BT5" s="28" t="str">
        <f>IFERROR(__xludf.DUMMYFUNCTION("""COMPUTED_VALUE"""),"Symbol")</f>
        <v>Symbol</v>
      </c>
      <c r="BU5" s="28" t="str">
        <f>IFERROR(__xludf.DUMMYFUNCTION("""COMPUTED_VALUE"""),"Tax On Commissions")</f>
        <v>Tax On Commissions</v>
      </c>
      <c r="BV5" s="28" t="str">
        <f>IFERROR(__xludf.DUMMYFUNCTION("""COMPUTED_VALUE"""),"Total Commission")</f>
        <v>Total Commission</v>
      </c>
      <c r="BW5" s="28" t="str">
        <f>IFERROR(__xludf.DUMMYFUNCTION("""COMPUTED_VALUE"""),"Total Commission And Fee")</f>
        <v>Total Commission And Fee</v>
      </c>
      <c r="BX5" s="28" t="str">
        <f>IFERROR(__xludf.DUMMYFUNCTION("""COMPUTED_VALUE"""),"Total Commission Per Share")</f>
        <v>Total Commission Per Share</v>
      </c>
      <c r="BY5" s="28" t="str">
        <f>IFERROR(__xludf.DUMMYFUNCTION("""COMPUTED_VALUE"""),"Trade Attribute 1")</f>
        <v>Trade Attribute 1</v>
      </c>
      <c r="BZ5" s="28" t="str">
        <f>IFERROR(__xludf.DUMMYFUNCTION("""COMPUTED_VALUE"""),"Trade Attribute 2")</f>
        <v>Trade Attribute 2</v>
      </c>
      <c r="CA5" s="28" t="str">
        <f>IFERROR(__xludf.DUMMYFUNCTION("""COMPUTED_VALUE"""),"Trade Attribute 3")</f>
        <v>Trade Attribute 3</v>
      </c>
      <c r="CB5" s="28" t="str">
        <f>IFERROR(__xludf.DUMMYFUNCTION("""COMPUTED_VALUE"""),"Trade Attribute 4")</f>
        <v>Trade Attribute 4</v>
      </c>
      <c r="CC5" s="28" t="str">
        <f>IFERROR(__xludf.DUMMYFUNCTION("""COMPUTED_VALUE"""),"Trade Attribute 5")</f>
        <v>Trade Attribute 5</v>
      </c>
      <c r="CD5" s="28" t="str">
        <f>IFERROR(__xludf.DUMMYFUNCTION("""COMPUTED_VALUE"""),"Trade Attribute 6")</f>
        <v>Trade Attribute 6</v>
      </c>
      <c r="CE5" s="28" t="str">
        <f>IFERROR(__xludf.DUMMYFUNCTION("""COMPUTED_VALUE"""),"Trade Date")</f>
        <v>Trade Date</v>
      </c>
      <c r="CF5" s="28" t="str">
        <f>IFERROR(__xludf.DUMMYFUNCTION("""COMPUTED_VALUE"""),"Trading Account")</f>
        <v>Trading Account</v>
      </c>
      <c r="CG5" s="28" t="str">
        <f>IFERROR(__xludf.DUMMYFUNCTION("""COMPUTED_VALUE"""),"Transaction Levy")</f>
        <v>Transaction Levy</v>
      </c>
      <c r="CH5" s="28" t="str">
        <f>IFERROR(__xludf.DUMMYFUNCTION("""COMPUTED_VALUE"""),"Transaction Source")</f>
        <v>Transaction Source</v>
      </c>
      <c r="CI5" s="28" t="str">
        <f>IFERROR(__xludf.DUMMYFUNCTION("""COMPUTED_VALUE"""),"Transaction Type")</f>
        <v>Transaction Type</v>
      </c>
      <c r="CJ5" s="28" t="str">
        <f>IFERROR(__xludf.DUMMYFUNCTION("""COMPUTED_VALUE"""),"UnAllocatedQty")</f>
        <v>UnAllocatedQty</v>
      </c>
      <c r="CK5" s="28" t="str">
        <f>IFERROR(__xludf.DUMMYFUNCTION("""COMPUTED_VALUE"""),"Underlying")</f>
        <v>Underlying</v>
      </c>
      <c r="CL5" s="28" t="str">
        <f>IFERROR(__xludf.DUMMYFUNCTION("""COMPUTED_VALUE"""),"Underlying Delta")</f>
        <v>Underlying Delta</v>
      </c>
      <c r="CM5" s="28" t="str">
        <f>IFERROR(__xludf.DUMMYFUNCTION("""COMPUTED_VALUE"""),"Underlying Symbol")</f>
        <v>Underlying Symbol</v>
      </c>
      <c r="CN5" s="28" t="str">
        <f>IFERROR(__xludf.DUMMYFUNCTION("""COMPUTED_VALUE"""),"User")</f>
        <v>User</v>
      </c>
      <c r="CO5" s="28" t="str">
        <f>IFERROR(__xludf.DUMMYFUNCTION("""COMPUTED_VALUE"""),"Venue")</f>
        <v>Venue</v>
      </c>
      <c r="CP5" s="28" t="str">
        <f>IFERROR(__xludf.DUMMYFUNCTION("""COMPUTED_VALUE"""),"Closing Method")</f>
        <v>Closing Method</v>
      </c>
      <c r="CQ5" s="28" t="str">
        <f>IFERROR(__xludf.DUMMYFUNCTION("""COMPUTED_VALUE"""),"Closing Date")</f>
        <v>Closing Date</v>
      </c>
      <c r="CR5" s="28" t="str">
        <f>IFERROR(__xludf.DUMMYFUNCTION("""COMPUTED_VALUE"""),"GroupID")</f>
        <v>GroupID</v>
      </c>
      <c r="CS5" s="28" t="str">
        <f>IFERROR(__xludf.DUMMYFUNCTION("""COMPUTED_VALUE"""),"Client")</f>
        <v>Client</v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10" t="s">
        <v>25</v>
      </c>
      <c r="C6" s="7"/>
      <c r="D6" s="10"/>
      <c r="E6" s="10">
        <v>3532015.0</v>
      </c>
      <c r="F6" s="7"/>
      <c r="G6" s="10" t="s">
        <v>26</v>
      </c>
      <c r="H6" s="7"/>
      <c r="I6" s="7"/>
      <c r="J6" s="7"/>
      <c r="K6" s="10">
        <v>0.76923076923077</v>
      </c>
      <c r="L6" s="10">
        <v>1.3</v>
      </c>
      <c r="M6" s="7"/>
      <c r="N6" s="7"/>
      <c r="O6" s="7"/>
      <c r="AI6" s="31">
        <v>0.7692</v>
      </c>
      <c r="AT6" s="31">
        <v>2716934.61538462</v>
      </c>
      <c r="AU6" s="31">
        <v>3532015.0</v>
      </c>
      <c r="BE6" s="33">
        <v>2716934.61538462</v>
      </c>
      <c r="BF6" s="31">
        <v>3532015.0</v>
      </c>
      <c r="BJ6" s="31">
        <v>3532015.0</v>
      </c>
      <c r="BO6" s="31" t="s">
        <v>19</v>
      </c>
      <c r="BT6" s="31" t="s">
        <v>18</v>
      </c>
    </row>
    <row r="7" ht="15.75" customHeight="1">
      <c r="A7" s="7"/>
      <c r="B7" s="10" t="s">
        <v>25</v>
      </c>
      <c r="C7" s="7"/>
      <c r="D7" s="7"/>
      <c r="E7" s="10">
        <v>3532015.0</v>
      </c>
      <c r="F7" s="7"/>
      <c r="G7" s="10" t="s">
        <v>26</v>
      </c>
      <c r="H7" s="7"/>
      <c r="I7" s="7"/>
      <c r="J7" s="7"/>
      <c r="K7" s="33">
        <v>0.76923076923077</v>
      </c>
      <c r="L7" s="10">
        <v>1.3</v>
      </c>
      <c r="M7" s="7"/>
      <c r="N7" s="7"/>
      <c r="O7" s="7"/>
      <c r="AI7" s="31">
        <v>1.325</v>
      </c>
      <c r="AT7" s="31">
        <v>2716934.61538462</v>
      </c>
      <c r="AU7" s="31">
        <v>3532015.0</v>
      </c>
      <c r="BE7" s="33">
        <v>2716934.61538462</v>
      </c>
      <c r="BF7" s="31">
        <v>3532015.0</v>
      </c>
      <c r="BJ7" s="31">
        <v>3532015.0</v>
      </c>
      <c r="BO7" s="31" t="s">
        <v>32</v>
      </c>
      <c r="BT7" s="31" t="s">
        <v>18</v>
      </c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3</v>
      </c>
      <c r="C3" s="21" t="s">
        <v>33</v>
      </c>
      <c r="D3" s="9" t="s">
        <v>5</v>
      </c>
      <c r="E3" s="21" t="s">
        <v>34</v>
      </c>
      <c r="F3" s="9" t="s">
        <v>15</v>
      </c>
      <c r="G3" s="11" t="s">
        <v>17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IFERROR(__xludf.DUMMYFUNCTION("""COMPUTED_VALUE"""),"From Date")</f>
        <v>From Date</v>
      </c>
      <c r="E5" s="26" t="str">
        <f>IFERROR(__xludf.DUMMYFUNCTION("""COMPUTED_VALUE"""),"To Date")</f>
        <v>To Date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10" t="s">
        <v>36</v>
      </c>
      <c r="C6" s="10" t="s">
        <v>25</v>
      </c>
      <c r="D6" s="29">
        <v>43490.0</v>
      </c>
      <c r="E6" s="29">
        <v>43494.0</v>
      </c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GetTradingTransaction!$4:$4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" width="14.43"/>
    <col customWidth="1" min="17" max="17" width="24.43"/>
    <col customWidth="1" min="18" max="154" width="14.43"/>
  </cols>
  <sheetData>
    <row r="1" ht="15.75" customHeight="1">
      <c r="A1" s="17"/>
      <c r="B1" s="2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3</v>
      </c>
      <c r="C3" s="21" t="s">
        <v>33</v>
      </c>
      <c r="D3" s="9" t="s">
        <v>5</v>
      </c>
      <c r="E3" s="21" t="s">
        <v>35</v>
      </c>
      <c r="F3" s="9" t="s">
        <v>15</v>
      </c>
      <c r="G3" s="11" t="s">
        <v>17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IFERROR(__xludf.DUMMYFUNCTION("""COMPUTED_VALUE"""),"Date")</f>
        <v>Date</v>
      </c>
      <c r="C5" s="26" t="str">
        <f>IFERROR(__xludf.DUMMYFUNCTION("""COMPUTED_VALUE"""),"Modify Date")</f>
        <v>Modify Date</v>
      </c>
      <c r="D5" s="26" t="str">
        <f>IFERROR(__xludf.DUMMYFUNCTION("""COMPUTED_VALUE"""),"Entry Date")</f>
        <v>Entry Date</v>
      </c>
      <c r="E5" s="26" t="str">
        <f>IFERROR(__xludf.DUMMYFUNCTION("""COMPUTED_VALUE"""),"DR")</f>
        <v>DR</v>
      </c>
      <c r="F5" s="27" t="str">
        <f>IFERROR(__xludf.DUMMYFUNCTION("""COMPUTED_VALUE"""),"CR")</f>
        <v>CR</v>
      </c>
      <c r="G5" s="26" t="str">
        <f>IFERROR(__xludf.DUMMYFUNCTION("""COMPUTED_VALUE"""),"Fx Rate")</f>
        <v>Fx Rate</v>
      </c>
      <c r="H5" s="26" t="str">
        <f>IFERROR(__xludf.DUMMYFUNCTION("""COMPUTED_VALUE"""),"FX Conversion Method Operator")</f>
        <v>FX Conversion Method Operator</v>
      </c>
      <c r="I5" s="26" t="str">
        <f>IFERROR(__xludf.DUMMYFUNCTION("""COMPUTED_VALUE"""),"Account Side")</f>
        <v>Account Side</v>
      </c>
      <c r="J5" s="26" t="str">
        <f>IFERROR(__xludf.DUMMYFUNCTION("""COMPUTED_VALUE"""),"TransactionSource")</f>
        <v>TransactionSource</v>
      </c>
      <c r="K5" s="26" t="str">
        <f>IFERROR(__xludf.DUMMYFUNCTION("""COMPUTED_VALUE"""),"Currency")</f>
        <v>Currency</v>
      </c>
      <c r="L5" s="26" t="str">
        <f>IFERROR(__xludf.DUMMYFUNCTION("""COMPUTED_VALUE"""),"Base Currency")</f>
        <v>Base Currency</v>
      </c>
      <c r="M5" s="26" t="str">
        <f>IFERROR(__xludf.DUMMYFUNCTION("""COMPUTED_VALUE"""),"Symbol")</f>
        <v>Symbol</v>
      </c>
      <c r="N5" s="26" t="str">
        <f>IFERROR(__xludf.DUMMYFUNCTION("""COMPUTED_VALUE"""),"Description")</f>
        <v>Description</v>
      </c>
      <c r="O5" s="26" t="str">
        <f>IFERROR(__xludf.DUMMYFUNCTION("""COMPUTED_VALUE"""),"DR (Base)")</f>
        <v>DR (Base)</v>
      </c>
      <c r="P5" s="26" t="str">
        <f>IFERROR(__xludf.DUMMYFUNCTION("""COMPUTED_VALUE"""),"CR (Base)")</f>
        <v>CR (Base)</v>
      </c>
      <c r="Q5" s="26" t="str">
        <f>IFERROR(__xludf.DUMMYFUNCTION("""COMPUTED_VALUE"""),"Cash Sub-Account")</f>
        <v>Cash Sub-Account</v>
      </c>
      <c r="R5" s="26" t="str">
        <f>IFERROR(__xludf.DUMMYFUNCTION("""COMPUTED_VALUE"""),"Account")</f>
        <v>Account</v>
      </c>
      <c r="S5" s="26" t="str">
        <f>IFERROR(__xludf.DUMMYFUNCTION("""COMPUTED_VALUE"""),"TaxLotId")</f>
        <v>TaxLotId</v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29">
        <v>43490.0</v>
      </c>
      <c r="C6" s="7"/>
      <c r="D6" s="10"/>
      <c r="E6" s="10">
        <v>2716934.62</v>
      </c>
      <c r="F6" s="7"/>
      <c r="G6" s="10">
        <v>1.0</v>
      </c>
      <c r="H6" s="7"/>
      <c r="I6" s="10" t="s">
        <v>37</v>
      </c>
      <c r="J6" s="10" t="s">
        <v>38</v>
      </c>
      <c r="K6" s="10" t="s">
        <v>39</v>
      </c>
      <c r="L6" s="7"/>
      <c r="M6" s="10" t="s">
        <v>18</v>
      </c>
      <c r="N6" s="7"/>
      <c r="O6" s="10">
        <v>2716934.62</v>
      </c>
      <c r="Q6" s="31" t="s">
        <v>40</v>
      </c>
      <c r="R6" s="31" t="s">
        <v>25</v>
      </c>
    </row>
    <row r="7" ht="15.75" customHeight="1">
      <c r="A7" s="7"/>
      <c r="B7" s="29">
        <v>43490.0</v>
      </c>
      <c r="C7" s="7"/>
      <c r="D7" s="7"/>
      <c r="E7" s="7"/>
      <c r="F7" s="10">
        <v>3532015.0</v>
      </c>
      <c r="G7" s="10">
        <v>0.7692307692308</v>
      </c>
      <c r="H7" s="7"/>
      <c r="I7" s="10" t="s">
        <v>41</v>
      </c>
      <c r="J7" s="10" t="s">
        <v>38</v>
      </c>
      <c r="K7" s="10" t="s">
        <v>20</v>
      </c>
      <c r="L7" s="7"/>
      <c r="M7" s="10" t="s">
        <v>18</v>
      </c>
      <c r="N7" s="7"/>
      <c r="O7" s="7"/>
      <c r="P7" s="31">
        <v>2716934.62</v>
      </c>
      <c r="Q7" s="31" t="s">
        <v>42</v>
      </c>
      <c r="R7" s="31" t="s">
        <v>25</v>
      </c>
    </row>
    <row r="8" ht="15.75" customHeight="1">
      <c r="A8" s="7"/>
      <c r="B8" s="29">
        <v>43494.0</v>
      </c>
      <c r="C8" s="7"/>
      <c r="D8" s="7"/>
      <c r="E8" s="10">
        <v>3532015.0</v>
      </c>
      <c r="F8" s="7"/>
      <c r="G8" s="10">
        <v>0.7692307692308</v>
      </c>
      <c r="H8" s="7"/>
      <c r="I8" s="10" t="s">
        <v>37</v>
      </c>
      <c r="J8" s="10" t="s">
        <v>21</v>
      </c>
      <c r="K8" s="10" t="s">
        <v>20</v>
      </c>
      <c r="L8" s="7"/>
      <c r="M8" s="10" t="s">
        <v>18</v>
      </c>
      <c r="N8" s="7"/>
      <c r="O8" s="10">
        <v>2716934.62</v>
      </c>
      <c r="Q8" s="31" t="s">
        <v>42</v>
      </c>
      <c r="R8" s="31" t="s">
        <v>25</v>
      </c>
    </row>
    <row r="9" ht="15.75" customHeight="1">
      <c r="A9" s="7"/>
      <c r="B9" s="29">
        <v>43494.0</v>
      </c>
      <c r="C9" s="7"/>
      <c r="D9" s="7"/>
      <c r="E9" s="7"/>
      <c r="F9" s="10">
        <v>2716934.62</v>
      </c>
      <c r="G9" s="10">
        <v>1.0</v>
      </c>
      <c r="H9" s="7"/>
      <c r="I9" s="10" t="s">
        <v>41</v>
      </c>
      <c r="J9" s="10" t="s">
        <v>21</v>
      </c>
      <c r="K9" s="10" t="s">
        <v>39</v>
      </c>
      <c r="L9" s="7"/>
      <c r="M9" s="10" t="s">
        <v>18</v>
      </c>
      <c r="N9" s="7"/>
      <c r="O9" s="7"/>
      <c r="P9" s="31">
        <v>2716934.62</v>
      </c>
      <c r="Q9" s="31" t="s">
        <v>40</v>
      </c>
      <c r="R9" s="31" t="s">
        <v>25</v>
      </c>
    </row>
    <row r="10" ht="15.75" customHeight="1">
      <c r="A10" s="7"/>
      <c r="B10" s="29">
        <v>43494.0</v>
      </c>
      <c r="C10" s="7"/>
      <c r="D10" s="7"/>
      <c r="E10" s="10">
        <v>2716934.62</v>
      </c>
      <c r="F10" s="7"/>
      <c r="G10" s="10">
        <v>1.0</v>
      </c>
      <c r="H10" s="7"/>
      <c r="I10" s="10" t="s">
        <v>37</v>
      </c>
      <c r="J10" s="10" t="s">
        <v>21</v>
      </c>
      <c r="K10" s="10" t="s">
        <v>39</v>
      </c>
      <c r="L10" s="7"/>
      <c r="M10" s="10" t="s">
        <v>18</v>
      </c>
      <c r="N10" s="7"/>
      <c r="O10" s="10">
        <v>2716934.62</v>
      </c>
      <c r="Q10" s="31" t="s">
        <v>43</v>
      </c>
      <c r="R10" s="31" t="s">
        <v>25</v>
      </c>
    </row>
    <row r="11" ht="15.75" customHeight="1">
      <c r="A11" s="7"/>
      <c r="B11" s="29">
        <v>43494.0</v>
      </c>
      <c r="C11" s="7"/>
      <c r="D11" s="7"/>
      <c r="E11" s="7"/>
      <c r="F11" s="10">
        <v>3532015.0</v>
      </c>
      <c r="G11" s="10">
        <v>0.7547169811321</v>
      </c>
      <c r="H11" s="7"/>
      <c r="I11" s="10" t="s">
        <v>41</v>
      </c>
      <c r="J11" s="10" t="s">
        <v>21</v>
      </c>
      <c r="K11" s="10" t="s">
        <v>20</v>
      </c>
      <c r="L11" s="7"/>
      <c r="M11" s="10" t="s">
        <v>18</v>
      </c>
      <c r="N11" s="7"/>
      <c r="O11" s="7"/>
      <c r="P11" s="31">
        <v>2665671.7</v>
      </c>
      <c r="Q11" s="31" t="s">
        <v>43</v>
      </c>
      <c r="R11" s="31" t="s">
        <v>25</v>
      </c>
    </row>
    <row r="12" ht="15.75" customHeight="1">
      <c r="A12" s="7"/>
      <c r="B12" s="29">
        <v>43494.0</v>
      </c>
      <c r="C12" s="7"/>
      <c r="D12" s="7"/>
      <c r="E12" s="7"/>
      <c r="F12" s="10">
        <v>51262.92</v>
      </c>
      <c r="G12" s="10">
        <v>1.0</v>
      </c>
      <c r="H12" s="7"/>
      <c r="I12" s="10" t="s">
        <v>41</v>
      </c>
      <c r="J12" s="10" t="s">
        <v>21</v>
      </c>
      <c r="K12" s="10" t="s">
        <v>39</v>
      </c>
      <c r="L12" s="7"/>
      <c r="M12" s="10" t="s">
        <v>18</v>
      </c>
      <c r="N12" s="7"/>
      <c r="O12" s="7"/>
      <c r="P12" s="31">
        <v>51262.92</v>
      </c>
      <c r="Q12" s="31" t="s">
        <v>44</v>
      </c>
      <c r="R12" s="31" t="s">
        <v>25</v>
      </c>
    </row>
    <row r="13" ht="15.75" customHeight="1">
      <c r="A13" s="7"/>
      <c r="B13" s="29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29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VerifyTradingTransaction!$4:$4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3</v>
      </c>
      <c r="C3" s="21" t="s">
        <v>33</v>
      </c>
      <c r="D3" s="9" t="s">
        <v>5</v>
      </c>
      <c r="E3" s="21" t="s">
        <v>46</v>
      </c>
      <c r="F3" s="9" t="s">
        <v>15</v>
      </c>
      <c r="G3" s="11" t="s">
        <v>17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IFERROR(__xludf.DUMMYFUNCTION("""COMPUTED_VALUE"""),"Balances as on date")</f>
        <v>Balances as on date</v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10" t="s">
        <v>36</v>
      </c>
      <c r="C6" s="10" t="s">
        <v>25</v>
      </c>
      <c r="D6" s="29">
        <v>43496.0</v>
      </c>
      <c r="E6" s="30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RunRevaluation!$4:$4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3</v>
      </c>
      <c r="C3" s="21" t="s">
        <v>12</v>
      </c>
      <c r="D3" s="9" t="s">
        <v>5</v>
      </c>
      <c r="E3" s="21" t="s">
        <v>45</v>
      </c>
      <c r="F3" s="9" t="s">
        <v>15</v>
      </c>
      <c r="G3" s="11" t="s">
        <v>17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IFERROR(__xludf.DUMMYFUNCTION("""COMPUTED_VALUE"""),"From Currency")</f>
        <v>From Currency</v>
      </c>
      <c r="C5" s="26" t="str">
        <f>IFERROR(__xludf.DUMMYFUNCTION("""COMPUTED_VALUE"""),"To Currency")</f>
        <v>To Currency</v>
      </c>
      <c r="D5" s="26" t="str">
        <f>IFERROR(__xludf.DUMMYFUNCTION("""COMPUTED_VALUE"""),"Symbol")</f>
        <v>Symbol</v>
      </c>
      <c r="E5" s="26" t="str">
        <f>IFERROR(__xludf.DUMMYFUNCTION("""COMPUTED_VALUE"""),"Date")</f>
        <v>Date</v>
      </c>
      <c r="F5" s="27" t="str">
        <f>IFERROR(__xludf.DUMMYFUNCTION("""COMPUTED_VALUE"""),"Price")</f>
        <v>Price</v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10" t="s">
        <v>39</v>
      </c>
      <c r="C6" s="10" t="s">
        <v>20</v>
      </c>
      <c r="D6" s="10" t="s">
        <v>47</v>
      </c>
      <c r="E6" s="29">
        <v>43490.0</v>
      </c>
      <c r="F6" s="10">
        <v>1.31</v>
      </c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10" t="s">
        <v>39</v>
      </c>
      <c r="C7" s="10" t="s">
        <v>20</v>
      </c>
      <c r="D7" s="10" t="s">
        <v>47</v>
      </c>
      <c r="E7" s="29">
        <v>43491.0</v>
      </c>
      <c r="F7" s="10">
        <v>1.31</v>
      </c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10" t="s">
        <v>39</v>
      </c>
      <c r="C8" s="10" t="s">
        <v>20</v>
      </c>
      <c r="D8" s="10" t="s">
        <v>47</v>
      </c>
      <c r="E8" s="29">
        <v>43492.0</v>
      </c>
      <c r="F8" s="10">
        <v>1.31</v>
      </c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10" t="s">
        <v>39</v>
      </c>
      <c r="C9" s="10" t="s">
        <v>20</v>
      </c>
      <c r="D9" s="10" t="s">
        <v>47</v>
      </c>
      <c r="E9" s="29">
        <v>43493.0</v>
      </c>
      <c r="F9" s="10">
        <v>1.325</v>
      </c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10" t="s">
        <v>39</v>
      </c>
      <c r="C10" s="10" t="s">
        <v>20</v>
      </c>
      <c r="D10" s="10" t="s">
        <v>47</v>
      </c>
      <c r="E10" s="29">
        <v>43494.0</v>
      </c>
      <c r="F10" s="10">
        <v>1.33</v>
      </c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10" t="s">
        <v>39</v>
      </c>
      <c r="C11" s="10" t="s">
        <v>20</v>
      </c>
      <c r="D11" s="10" t="s">
        <v>47</v>
      </c>
      <c r="E11" s="29">
        <v>43495.0</v>
      </c>
      <c r="F11" s="10">
        <v>1.34</v>
      </c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10" t="s">
        <v>39</v>
      </c>
      <c r="C12" s="10" t="s">
        <v>20</v>
      </c>
      <c r="D12" s="10" t="s">
        <v>47</v>
      </c>
      <c r="E12" s="29">
        <v>43496.0</v>
      </c>
      <c r="F12" s="10">
        <v>1.344</v>
      </c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10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UpdateForexConversionMonthly!$4:$4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6" width="41.71"/>
    <col customWidth="1" min="7" max="8" width="14.43"/>
    <col customWidth="1" min="9" max="9" width="18.14"/>
    <col customWidth="1" min="10" max="11" width="17.43"/>
    <col customWidth="1" min="12" max="16" width="14.43"/>
    <col customWidth="1" min="17" max="17" width="29.57"/>
    <col customWidth="1" min="18" max="154" width="14.43"/>
  </cols>
  <sheetData>
    <row r="1" ht="15.75" customHeight="1">
      <c r="A1" s="17"/>
      <c r="B1" s="2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3</v>
      </c>
      <c r="C3" s="21" t="s">
        <v>33</v>
      </c>
      <c r="D3" s="9" t="s">
        <v>5</v>
      </c>
      <c r="E3" s="21" t="s">
        <v>48</v>
      </c>
      <c r="F3" s="9" t="s">
        <v>15</v>
      </c>
      <c r="G3" s="11" t="s">
        <v>17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IFERROR(__xludf.DUMMYFUNCTION("""COMPUTED_VALUE"""),"Date")</f>
        <v>Date</v>
      </c>
      <c r="C5" s="26" t="str">
        <f>IFERROR(__xludf.DUMMYFUNCTION("""COMPUTED_VALUE"""),"Account")</f>
        <v>Account</v>
      </c>
      <c r="D5" s="26" t="str">
        <f>IFERROR(__xludf.DUMMYFUNCTION("""COMPUTED_VALUE"""),"Symbol")</f>
        <v>Symbol</v>
      </c>
      <c r="E5" s="26" t="str">
        <f>IFERROR(__xludf.DUMMYFUNCTION("""COMPUTED_VALUE"""),"Currency")</f>
        <v>Currency</v>
      </c>
      <c r="F5" s="27" t="str">
        <f>IFERROR(__xludf.DUMMYFUNCTION("""COMPUTED_VALUE"""),"Cash Sub-Account")</f>
        <v>Cash Sub-Account</v>
      </c>
      <c r="G5" s="26" t="str">
        <f>IFERROR(__xludf.DUMMYFUNCTION("""COMPUTED_VALUE"""),"DR")</f>
        <v>DR</v>
      </c>
      <c r="H5" s="26" t="str">
        <f>IFERROR(__xludf.DUMMYFUNCTION("""COMPUTED_VALUE"""),"CR")</f>
        <v>CR</v>
      </c>
      <c r="I5" s="26" t="str">
        <f>IFERROR(__xludf.DUMMYFUNCTION("""COMPUTED_VALUE"""),"Modify Date")</f>
        <v>Modify Date</v>
      </c>
      <c r="J5" s="26" t="str">
        <f>IFERROR(__xludf.DUMMYFUNCTION("""COMPUTED_VALUE"""),"Entry Date")</f>
        <v>Entry Date</v>
      </c>
      <c r="K5" s="26" t="str">
        <f>IFERROR(__xludf.DUMMYFUNCTION("""COMPUTED_VALUE"""),"User")</f>
        <v>User</v>
      </c>
      <c r="L5" s="26" t="str">
        <f>IFERROR(__xludf.DUMMYFUNCTION("""COMPUTED_VALUE"""),"Fx Rate")</f>
        <v>Fx Rate</v>
      </c>
      <c r="M5" s="26" t="str">
        <f>IFERROR(__xludf.DUMMYFUNCTION("""COMPUTED_VALUE"""),"FX Conversion Method Operator")</f>
        <v>FX Conversion Method Operator</v>
      </c>
      <c r="N5" s="26" t="str">
        <f>IFERROR(__xludf.DUMMYFUNCTION("""COMPUTED_VALUE"""),"Account Side")</f>
        <v>Account Side</v>
      </c>
      <c r="O5" s="26" t="str">
        <f>IFERROR(__xludf.DUMMYFUNCTION("""COMPUTED_VALUE"""),"TransactionSource")</f>
        <v>TransactionSource</v>
      </c>
      <c r="P5" s="26" t="str">
        <f>IFERROR(__xludf.DUMMYFUNCTION("""COMPUTED_VALUE"""),"Base Currency")</f>
        <v>Base Currency</v>
      </c>
      <c r="Q5" s="26" t="str">
        <f>IFERROR(__xludf.DUMMYFUNCTION("""COMPUTED_VALUE"""),"Description")</f>
        <v>Description</v>
      </c>
      <c r="R5" s="26" t="str">
        <f>IFERROR(__xludf.DUMMYFUNCTION("""COMPUTED_VALUE"""),"DR (Base)")</f>
        <v>DR (Base)</v>
      </c>
      <c r="S5" s="26" t="str">
        <f>IFERROR(__xludf.DUMMYFUNCTION("""COMPUTED_VALUE"""),"CR (Base)")</f>
        <v>CR (Base)</v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29">
        <v>43490.0</v>
      </c>
      <c r="C6" s="10" t="s">
        <v>25</v>
      </c>
      <c r="D6" s="10" t="s">
        <v>18</v>
      </c>
      <c r="E6" s="10" t="s">
        <v>39</v>
      </c>
      <c r="F6" s="10" t="s">
        <v>50</v>
      </c>
      <c r="G6" s="10">
        <v>20739.96</v>
      </c>
      <c r="H6" s="7"/>
      <c r="I6" s="7"/>
      <c r="J6" s="7"/>
      <c r="K6" s="7"/>
      <c r="L6" s="10">
        <v>1.0</v>
      </c>
      <c r="M6" s="7"/>
      <c r="N6" s="10" t="s">
        <v>37</v>
      </c>
      <c r="O6" s="34" t="s">
        <v>51</v>
      </c>
      <c r="P6" s="35" t="s">
        <v>39</v>
      </c>
      <c r="Q6" s="36" t="s">
        <v>52</v>
      </c>
      <c r="R6" s="31">
        <v>20739.96</v>
      </c>
    </row>
    <row r="7" ht="15.75" customHeight="1">
      <c r="A7" s="7"/>
      <c r="B7" s="29">
        <v>43490.0</v>
      </c>
      <c r="C7" s="10" t="s">
        <v>25</v>
      </c>
      <c r="D7" s="10" t="s">
        <v>18</v>
      </c>
      <c r="E7" s="10" t="s">
        <v>39</v>
      </c>
      <c r="F7" s="10" t="s">
        <v>53</v>
      </c>
      <c r="G7" s="7"/>
      <c r="H7" s="10">
        <v>20739.96</v>
      </c>
      <c r="I7" s="7"/>
      <c r="J7" s="7"/>
      <c r="K7" s="7"/>
      <c r="L7" s="10">
        <v>1.0</v>
      </c>
      <c r="M7" s="7"/>
      <c r="N7" s="10" t="s">
        <v>41</v>
      </c>
      <c r="O7" s="34" t="s">
        <v>51</v>
      </c>
      <c r="P7" s="35" t="s">
        <v>39</v>
      </c>
      <c r="Q7" s="35" t="s">
        <v>52</v>
      </c>
      <c r="S7" s="31">
        <v>20739.96</v>
      </c>
    </row>
    <row r="8" ht="15.75" customHeight="1">
      <c r="A8" s="7"/>
      <c r="B8" s="29">
        <v>43491.0</v>
      </c>
      <c r="C8" s="10" t="s">
        <v>25</v>
      </c>
      <c r="D8" s="10" t="s">
        <v>18</v>
      </c>
      <c r="E8" s="10" t="s">
        <v>39</v>
      </c>
      <c r="F8" s="10" t="s">
        <v>53</v>
      </c>
      <c r="G8" s="10">
        <v>20739.96</v>
      </c>
      <c r="H8" s="7"/>
      <c r="I8" s="7"/>
      <c r="J8" s="7"/>
      <c r="K8" s="7"/>
      <c r="L8" s="10">
        <v>1.0</v>
      </c>
      <c r="M8" s="7"/>
      <c r="N8" s="10" t="s">
        <v>37</v>
      </c>
      <c r="O8" s="34" t="s">
        <v>51</v>
      </c>
      <c r="P8" s="35" t="s">
        <v>39</v>
      </c>
      <c r="Q8" s="35" t="s">
        <v>54</v>
      </c>
      <c r="R8" s="31">
        <v>20739.96</v>
      </c>
    </row>
    <row r="9" ht="15.75" customHeight="1">
      <c r="A9" s="7"/>
      <c r="B9" s="29">
        <v>43491.0</v>
      </c>
      <c r="C9" s="10" t="s">
        <v>25</v>
      </c>
      <c r="D9" s="10" t="s">
        <v>18</v>
      </c>
      <c r="E9" s="10" t="s">
        <v>39</v>
      </c>
      <c r="F9" s="10" t="s">
        <v>50</v>
      </c>
      <c r="G9" s="7"/>
      <c r="H9" s="10">
        <v>20739.96</v>
      </c>
      <c r="I9" s="7"/>
      <c r="J9" s="7"/>
      <c r="K9" s="7"/>
      <c r="L9" s="10">
        <v>1.0</v>
      </c>
      <c r="M9" s="7"/>
      <c r="N9" s="10" t="s">
        <v>41</v>
      </c>
      <c r="O9" s="34" t="s">
        <v>51</v>
      </c>
      <c r="P9" s="35" t="s">
        <v>39</v>
      </c>
      <c r="Q9" s="35" t="s">
        <v>54</v>
      </c>
      <c r="S9" s="31">
        <v>20739.96</v>
      </c>
    </row>
    <row r="10" ht="15.75" customHeight="1">
      <c r="A10" s="7"/>
      <c r="B10" s="29">
        <v>43491.0</v>
      </c>
      <c r="C10" s="10" t="s">
        <v>25</v>
      </c>
      <c r="D10" s="10" t="s">
        <v>18</v>
      </c>
      <c r="E10" s="10" t="s">
        <v>39</v>
      </c>
      <c r="F10" s="10" t="s">
        <v>50</v>
      </c>
      <c r="G10" s="10">
        <v>20739.96</v>
      </c>
      <c r="H10" s="7"/>
      <c r="I10" s="7"/>
      <c r="J10" s="7"/>
      <c r="K10" s="7"/>
      <c r="L10" s="10">
        <v>1.0</v>
      </c>
      <c r="M10" s="7"/>
      <c r="N10" s="10" t="s">
        <v>37</v>
      </c>
      <c r="O10" s="34" t="s">
        <v>51</v>
      </c>
      <c r="P10" s="35" t="s">
        <v>39</v>
      </c>
      <c r="Q10" s="35" t="s">
        <v>55</v>
      </c>
      <c r="R10" s="31">
        <v>20739.96</v>
      </c>
    </row>
    <row r="11" ht="15.75" customHeight="1">
      <c r="A11" s="7"/>
      <c r="B11" s="29">
        <v>43491.0</v>
      </c>
      <c r="C11" s="10" t="s">
        <v>25</v>
      </c>
      <c r="D11" s="10" t="s">
        <v>18</v>
      </c>
      <c r="E11" s="10" t="s">
        <v>39</v>
      </c>
      <c r="F11" s="10" t="s">
        <v>53</v>
      </c>
      <c r="G11" s="7"/>
      <c r="H11" s="10">
        <v>20739.96</v>
      </c>
      <c r="I11" s="7"/>
      <c r="J11" s="7"/>
      <c r="K11" s="7"/>
      <c r="L11" s="10">
        <v>1.0</v>
      </c>
      <c r="M11" s="7"/>
      <c r="N11" s="10" t="s">
        <v>41</v>
      </c>
      <c r="O11" s="34" t="s">
        <v>51</v>
      </c>
      <c r="P11" s="35" t="s">
        <v>39</v>
      </c>
      <c r="Q11" s="35" t="s">
        <v>55</v>
      </c>
      <c r="S11" s="31">
        <v>20739.96</v>
      </c>
    </row>
    <row r="12" ht="15.75" customHeight="1">
      <c r="A12" s="7"/>
      <c r="B12" s="29">
        <v>43492.0</v>
      </c>
      <c r="C12" s="10" t="s">
        <v>25</v>
      </c>
      <c r="D12" s="10" t="s">
        <v>18</v>
      </c>
      <c r="E12" s="10" t="s">
        <v>39</v>
      </c>
      <c r="F12" s="10" t="s">
        <v>53</v>
      </c>
      <c r="G12" s="10">
        <v>20739.96</v>
      </c>
      <c r="H12" s="7"/>
      <c r="I12" s="7"/>
      <c r="J12" s="7"/>
      <c r="K12" s="7"/>
      <c r="L12" s="10">
        <v>1.0</v>
      </c>
      <c r="M12" s="7"/>
      <c r="N12" s="10" t="s">
        <v>37</v>
      </c>
      <c r="O12" s="34" t="s">
        <v>51</v>
      </c>
      <c r="P12" s="35" t="s">
        <v>39</v>
      </c>
      <c r="Q12" s="35" t="s">
        <v>54</v>
      </c>
      <c r="R12" s="31">
        <v>20739.96</v>
      </c>
    </row>
    <row r="13" ht="15.75" customHeight="1">
      <c r="A13" s="7"/>
      <c r="B13" s="29">
        <v>43492.0</v>
      </c>
      <c r="C13" s="10" t="s">
        <v>25</v>
      </c>
      <c r="D13" s="10" t="s">
        <v>18</v>
      </c>
      <c r="E13" s="10" t="s">
        <v>39</v>
      </c>
      <c r="F13" s="10" t="s">
        <v>50</v>
      </c>
      <c r="G13" s="7"/>
      <c r="H13" s="10">
        <v>20739.96</v>
      </c>
      <c r="I13" s="7"/>
      <c r="J13" s="7"/>
      <c r="K13" s="7"/>
      <c r="L13" s="10">
        <v>1.0</v>
      </c>
      <c r="M13" s="7"/>
      <c r="N13" s="10" t="s">
        <v>41</v>
      </c>
      <c r="O13" s="34" t="s">
        <v>51</v>
      </c>
      <c r="P13" s="35" t="s">
        <v>39</v>
      </c>
      <c r="Q13" s="35" t="s">
        <v>54</v>
      </c>
      <c r="S13" s="31">
        <v>20739.96</v>
      </c>
    </row>
    <row r="14" ht="15.75" customHeight="1">
      <c r="A14" s="7"/>
      <c r="B14" s="29">
        <v>43492.0</v>
      </c>
      <c r="C14" s="10" t="s">
        <v>25</v>
      </c>
      <c r="D14" s="10" t="s">
        <v>18</v>
      </c>
      <c r="E14" s="10" t="s">
        <v>39</v>
      </c>
      <c r="F14" s="10" t="s">
        <v>50</v>
      </c>
      <c r="G14" s="10">
        <v>20739.96</v>
      </c>
      <c r="H14" s="7"/>
      <c r="I14" s="7"/>
      <c r="J14" s="7"/>
      <c r="K14" s="7"/>
      <c r="L14" s="10">
        <v>1.0</v>
      </c>
      <c r="M14" s="7"/>
      <c r="N14" s="10" t="s">
        <v>37</v>
      </c>
      <c r="O14" s="34" t="s">
        <v>51</v>
      </c>
      <c r="P14" s="35" t="s">
        <v>39</v>
      </c>
      <c r="Q14" s="35" t="s">
        <v>55</v>
      </c>
      <c r="R14" s="31">
        <v>20739.96</v>
      </c>
    </row>
    <row r="15" ht="15.75" customHeight="1">
      <c r="A15" s="7"/>
      <c r="B15" s="29">
        <v>43492.0</v>
      </c>
      <c r="C15" s="10" t="s">
        <v>25</v>
      </c>
      <c r="D15" s="10" t="s">
        <v>18</v>
      </c>
      <c r="E15" s="10" t="s">
        <v>39</v>
      </c>
      <c r="F15" s="10" t="s">
        <v>53</v>
      </c>
      <c r="G15" s="7"/>
      <c r="H15" s="10">
        <v>20739.96</v>
      </c>
      <c r="I15" s="7"/>
      <c r="J15" s="7"/>
      <c r="K15" s="7"/>
      <c r="L15" s="10">
        <v>1.0</v>
      </c>
      <c r="M15" s="7"/>
      <c r="N15" s="10" t="s">
        <v>41</v>
      </c>
      <c r="O15" s="34" t="s">
        <v>51</v>
      </c>
      <c r="P15" s="35" t="s">
        <v>39</v>
      </c>
      <c r="Q15" s="35" t="s">
        <v>55</v>
      </c>
      <c r="S15" s="31">
        <v>20739.96</v>
      </c>
    </row>
    <row r="16" ht="15.75" customHeight="1">
      <c r="A16" s="7"/>
      <c r="B16" s="29">
        <v>43493.0</v>
      </c>
      <c r="C16" s="10" t="s">
        <v>25</v>
      </c>
      <c r="D16" s="10" t="s">
        <v>18</v>
      </c>
      <c r="E16" s="10" t="s">
        <v>39</v>
      </c>
      <c r="F16" s="10" t="s">
        <v>53</v>
      </c>
      <c r="G16" s="10">
        <v>20739.96</v>
      </c>
      <c r="H16" s="7"/>
      <c r="I16" s="7"/>
      <c r="J16" s="7"/>
      <c r="K16" s="7"/>
      <c r="L16" s="10">
        <v>1.0</v>
      </c>
      <c r="M16" s="7"/>
      <c r="N16" s="10" t="s">
        <v>37</v>
      </c>
      <c r="O16" s="34" t="s">
        <v>51</v>
      </c>
      <c r="P16" s="35" t="s">
        <v>39</v>
      </c>
      <c r="Q16" s="35" t="s">
        <v>54</v>
      </c>
      <c r="R16" s="31">
        <v>20739.96</v>
      </c>
    </row>
    <row r="17" ht="15.75" customHeight="1">
      <c r="A17" s="7"/>
      <c r="B17" s="29">
        <v>43493.0</v>
      </c>
      <c r="C17" s="10" t="s">
        <v>25</v>
      </c>
      <c r="D17" s="10" t="s">
        <v>18</v>
      </c>
      <c r="E17" s="10" t="s">
        <v>39</v>
      </c>
      <c r="F17" s="10" t="s">
        <v>50</v>
      </c>
      <c r="G17" s="7"/>
      <c r="H17" s="10">
        <v>20739.96</v>
      </c>
      <c r="I17" s="7"/>
      <c r="J17" s="7"/>
      <c r="K17" s="7"/>
      <c r="L17" s="10">
        <v>1.0</v>
      </c>
      <c r="M17" s="7"/>
      <c r="N17" s="10" t="s">
        <v>41</v>
      </c>
      <c r="O17" s="34" t="s">
        <v>51</v>
      </c>
      <c r="P17" s="35" t="s">
        <v>39</v>
      </c>
      <c r="Q17" s="35" t="s">
        <v>54</v>
      </c>
      <c r="S17" s="31">
        <v>20739.96</v>
      </c>
    </row>
    <row r="18" ht="15.75" customHeight="1">
      <c r="A18" s="7"/>
      <c r="B18" s="29">
        <v>43493.0</v>
      </c>
      <c r="C18" s="10" t="s">
        <v>25</v>
      </c>
      <c r="D18" s="10" t="s">
        <v>18</v>
      </c>
      <c r="E18" s="10" t="s">
        <v>39</v>
      </c>
      <c r="F18" s="10" t="s">
        <v>50</v>
      </c>
      <c r="G18" s="10">
        <v>51262.92</v>
      </c>
      <c r="H18" s="7"/>
      <c r="I18" s="7"/>
      <c r="J18" s="7"/>
      <c r="K18" s="7"/>
      <c r="L18" s="10">
        <v>1.0</v>
      </c>
      <c r="M18" s="7"/>
      <c r="N18" s="10" t="s">
        <v>37</v>
      </c>
      <c r="O18" s="34" t="s">
        <v>51</v>
      </c>
      <c r="P18" s="35" t="s">
        <v>39</v>
      </c>
      <c r="Q18" s="35" t="s">
        <v>55</v>
      </c>
      <c r="R18" s="31">
        <v>51262.92</v>
      </c>
    </row>
    <row r="19" ht="15.75" customHeight="1">
      <c r="A19" s="7"/>
      <c r="B19" s="29">
        <v>43493.0</v>
      </c>
      <c r="C19" s="10" t="s">
        <v>25</v>
      </c>
      <c r="D19" s="10" t="s">
        <v>18</v>
      </c>
      <c r="E19" s="10" t="s">
        <v>39</v>
      </c>
      <c r="F19" s="10" t="s">
        <v>53</v>
      </c>
      <c r="G19" s="7"/>
      <c r="H19" s="10">
        <v>51262.92</v>
      </c>
      <c r="I19" s="7"/>
      <c r="J19" s="7"/>
      <c r="K19" s="7"/>
      <c r="L19" s="10">
        <v>1.0</v>
      </c>
      <c r="M19" s="7"/>
      <c r="N19" s="10" t="s">
        <v>41</v>
      </c>
      <c r="O19" s="34" t="s">
        <v>51</v>
      </c>
      <c r="P19" s="35" t="s">
        <v>39</v>
      </c>
      <c r="Q19" s="35" t="s">
        <v>55</v>
      </c>
      <c r="S19" s="31">
        <v>51262.92</v>
      </c>
    </row>
    <row r="20" ht="15.75" customHeight="1">
      <c r="A20" s="7"/>
      <c r="B20" s="29">
        <v>43494.0</v>
      </c>
      <c r="C20" s="10" t="s">
        <v>25</v>
      </c>
      <c r="D20" s="10" t="s">
        <v>20</v>
      </c>
      <c r="E20" s="10" t="s">
        <v>20</v>
      </c>
      <c r="F20" s="10" t="s">
        <v>43</v>
      </c>
      <c r="G20" s="10">
        <v>3532015.0</v>
      </c>
      <c r="H20" s="7"/>
      <c r="I20" s="7"/>
      <c r="J20" s="7"/>
      <c r="K20" s="7"/>
      <c r="L20" s="10">
        <v>0.75471701</v>
      </c>
      <c r="M20" s="7"/>
      <c r="N20" s="10" t="s">
        <v>37</v>
      </c>
      <c r="O20" s="34" t="s">
        <v>51</v>
      </c>
      <c r="P20" s="35" t="s">
        <v>39</v>
      </c>
      <c r="Q20" s="35" t="s">
        <v>56</v>
      </c>
      <c r="R20" s="31">
        <v>2665671.7</v>
      </c>
    </row>
    <row r="21" ht="15.75" customHeight="1">
      <c r="A21" s="7"/>
      <c r="B21" s="29">
        <v>43494.0</v>
      </c>
      <c r="C21" s="10" t="s">
        <v>25</v>
      </c>
      <c r="D21" s="10" t="s">
        <v>20</v>
      </c>
      <c r="E21" s="10" t="s">
        <v>20</v>
      </c>
      <c r="F21" s="33" t="s">
        <v>57</v>
      </c>
      <c r="G21" s="7"/>
      <c r="H21" s="10">
        <v>3532015.0</v>
      </c>
      <c r="I21" s="7"/>
      <c r="J21" s="7"/>
      <c r="K21" s="7"/>
      <c r="L21" s="10">
        <v>0.75471701</v>
      </c>
      <c r="M21" s="7"/>
      <c r="N21" s="10" t="s">
        <v>41</v>
      </c>
      <c r="O21" s="34" t="s">
        <v>51</v>
      </c>
      <c r="P21" s="35" t="s">
        <v>39</v>
      </c>
      <c r="Q21" s="35" t="s">
        <v>56</v>
      </c>
      <c r="S21" s="31">
        <v>2665671.7</v>
      </c>
    </row>
    <row r="22" ht="15.75" customHeight="1">
      <c r="A22" s="7"/>
      <c r="B22" s="29">
        <v>43494.0</v>
      </c>
      <c r="C22" s="10" t="s">
        <v>25</v>
      </c>
      <c r="D22" s="10" t="s">
        <v>20</v>
      </c>
      <c r="E22" s="10" t="s">
        <v>20</v>
      </c>
      <c r="F22" s="33" t="s">
        <v>57</v>
      </c>
      <c r="G22" s="10">
        <v>3532015.0</v>
      </c>
      <c r="H22" s="7"/>
      <c r="I22" s="7"/>
      <c r="J22" s="7"/>
      <c r="K22" s="7"/>
      <c r="L22" s="10">
        <v>0.7518797</v>
      </c>
      <c r="M22" s="7"/>
      <c r="N22" s="10" t="s">
        <v>37</v>
      </c>
      <c r="O22" s="34" t="s">
        <v>51</v>
      </c>
      <c r="P22" s="35" t="s">
        <v>39</v>
      </c>
      <c r="Q22" s="36" t="s">
        <v>58</v>
      </c>
      <c r="R22" s="31">
        <v>2655650.38</v>
      </c>
    </row>
    <row r="23" ht="15.75" customHeight="1">
      <c r="A23" s="7"/>
      <c r="B23" s="29">
        <v>43494.0</v>
      </c>
      <c r="C23" s="10" t="s">
        <v>25</v>
      </c>
      <c r="D23" s="10" t="s">
        <v>20</v>
      </c>
      <c r="E23" s="10" t="s">
        <v>20</v>
      </c>
      <c r="F23" s="10" t="s">
        <v>43</v>
      </c>
      <c r="G23" s="7"/>
      <c r="H23" s="10">
        <v>3532015.0</v>
      </c>
      <c r="I23" s="7"/>
      <c r="J23" s="7"/>
      <c r="K23" s="7"/>
      <c r="L23" s="10">
        <v>0.7518797</v>
      </c>
      <c r="M23" s="7"/>
      <c r="N23" s="10" t="s">
        <v>41</v>
      </c>
      <c r="O23" s="34" t="s">
        <v>51</v>
      </c>
      <c r="P23" s="35" t="s">
        <v>39</v>
      </c>
      <c r="Q23" s="36" t="s">
        <v>58</v>
      </c>
      <c r="S23" s="31">
        <v>2655650.38</v>
      </c>
    </row>
    <row r="24" ht="15.75" customHeight="1">
      <c r="A24" s="7"/>
      <c r="B24" s="29">
        <v>43494.0</v>
      </c>
      <c r="C24" s="10" t="s">
        <v>25</v>
      </c>
      <c r="D24" s="10" t="s">
        <v>18</v>
      </c>
      <c r="E24" s="10" t="s">
        <v>39</v>
      </c>
      <c r="F24" s="10" t="s">
        <v>53</v>
      </c>
      <c r="G24" s="10">
        <v>51262.92</v>
      </c>
      <c r="H24" s="7"/>
      <c r="I24" s="7"/>
      <c r="J24" s="7"/>
      <c r="K24" s="7"/>
      <c r="L24" s="10">
        <v>1.0</v>
      </c>
      <c r="M24" s="7"/>
      <c r="N24" s="10" t="s">
        <v>37</v>
      </c>
      <c r="O24" s="34" t="s">
        <v>51</v>
      </c>
      <c r="P24" s="35" t="s">
        <v>39</v>
      </c>
      <c r="Q24" s="35" t="s">
        <v>54</v>
      </c>
      <c r="R24" s="31">
        <v>51262.92</v>
      </c>
    </row>
    <row r="25" ht="15.75" customHeight="1">
      <c r="A25" s="7"/>
      <c r="B25" s="29">
        <v>43494.0</v>
      </c>
      <c r="C25" s="10" t="s">
        <v>25</v>
      </c>
      <c r="D25" s="10" t="s">
        <v>18</v>
      </c>
      <c r="E25" s="10" t="s">
        <v>39</v>
      </c>
      <c r="F25" s="10" t="s">
        <v>50</v>
      </c>
      <c r="G25" s="7"/>
      <c r="H25" s="10">
        <v>51262.92</v>
      </c>
      <c r="I25" s="7"/>
      <c r="J25" s="7"/>
      <c r="K25" s="7"/>
      <c r="L25" s="10">
        <v>1.0</v>
      </c>
      <c r="M25" s="7"/>
      <c r="N25" s="10" t="s">
        <v>41</v>
      </c>
      <c r="O25" s="34" t="s">
        <v>51</v>
      </c>
      <c r="P25" s="35" t="s">
        <v>39</v>
      </c>
      <c r="Q25" s="35" t="s">
        <v>54</v>
      </c>
      <c r="S25" s="31">
        <v>51262.92</v>
      </c>
    </row>
    <row r="26" ht="15.75" customHeight="1">
      <c r="A26" s="7"/>
      <c r="B26" s="37">
        <v>43495.0</v>
      </c>
      <c r="C26" s="38" t="s">
        <v>25</v>
      </c>
      <c r="D26" s="10" t="s">
        <v>20</v>
      </c>
      <c r="E26" s="10" t="s">
        <v>20</v>
      </c>
      <c r="F26" s="39" t="s">
        <v>57</v>
      </c>
      <c r="G26" s="10">
        <v>3532015.0</v>
      </c>
      <c r="H26" s="7"/>
      <c r="I26" s="7"/>
      <c r="J26" s="7"/>
      <c r="K26" s="7"/>
      <c r="L26" s="10">
        <v>0.7462687</v>
      </c>
      <c r="M26" s="7"/>
      <c r="N26" s="10" t="s">
        <v>37</v>
      </c>
      <c r="O26" s="34" t="s">
        <v>51</v>
      </c>
      <c r="P26" s="35" t="s">
        <v>39</v>
      </c>
      <c r="Q26" s="35" t="s">
        <v>58</v>
      </c>
      <c r="R26" s="31">
        <v>2635832.09</v>
      </c>
    </row>
    <row r="27" ht="15.75" customHeight="1">
      <c r="B27" s="37">
        <v>43495.0</v>
      </c>
      <c r="C27" s="38" t="s">
        <v>25</v>
      </c>
      <c r="D27" s="10" t="s">
        <v>20</v>
      </c>
      <c r="E27" s="10" t="s">
        <v>20</v>
      </c>
      <c r="F27" s="40" t="s">
        <v>43</v>
      </c>
      <c r="G27" s="7"/>
      <c r="H27" s="10">
        <v>3532015.0</v>
      </c>
      <c r="L27" s="31">
        <v>0.7462687</v>
      </c>
      <c r="N27" s="10" t="s">
        <v>41</v>
      </c>
      <c r="O27" s="34" t="s">
        <v>51</v>
      </c>
      <c r="P27" s="35" t="s">
        <v>39</v>
      </c>
      <c r="Q27" s="35" t="s">
        <v>58</v>
      </c>
      <c r="S27" s="31">
        <v>2635832.09</v>
      </c>
    </row>
    <row r="28" ht="15.75" customHeight="1">
      <c r="B28" s="37">
        <v>43495.0</v>
      </c>
      <c r="C28" s="38" t="s">
        <v>25</v>
      </c>
      <c r="D28" s="10" t="s">
        <v>20</v>
      </c>
      <c r="E28" s="10" t="s">
        <v>20</v>
      </c>
      <c r="F28" s="40" t="s">
        <v>43</v>
      </c>
      <c r="G28" s="10">
        <v>3532015.0</v>
      </c>
      <c r="H28" s="7"/>
      <c r="L28" s="31">
        <v>0.7518797</v>
      </c>
      <c r="N28" s="10" t="s">
        <v>37</v>
      </c>
      <c r="O28" s="34" t="s">
        <v>51</v>
      </c>
      <c r="P28" s="35" t="s">
        <v>39</v>
      </c>
      <c r="Q28" s="35" t="s">
        <v>56</v>
      </c>
      <c r="R28" s="31">
        <v>2655650.38</v>
      </c>
    </row>
    <row r="29" ht="15.75" customHeight="1">
      <c r="B29" s="37">
        <v>43495.0</v>
      </c>
      <c r="C29" s="38" t="s">
        <v>25</v>
      </c>
      <c r="D29" s="10" t="s">
        <v>20</v>
      </c>
      <c r="E29" s="10" t="s">
        <v>20</v>
      </c>
      <c r="F29" s="39" t="s">
        <v>57</v>
      </c>
      <c r="G29" s="7"/>
      <c r="H29" s="10">
        <v>3532015.0</v>
      </c>
      <c r="L29" s="31">
        <v>0.7518797</v>
      </c>
      <c r="N29" s="10" t="s">
        <v>41</v>
      </c>
      <c r="O29" s="34" t="s">
        <v>51</v>
      </c>
      <c r="P29" s="35" t="s">
        <v>39</v>
      </c>
      <c r="Q29" s="35" t="s">
        <v>56</v>
      </c>
      <c r="S29" s="31">
        <v>2655650.38</v>
      </c>
    </row>
    <row r="30" ht="15.75" customHeight="1">
      <c r="B30" s="37">
        <v>43496.0</v>
      </c>
      <c r="C30" s="38" t="s">
        <v>25</v>
      </c>
      <c r="D30" s="10" t="s">
        <v>20</v>
      </c>
      <c r="E30" s="10" t="s">
        <v>20</v>
      </c>
      <c r="F30" s="39" t="s">
        <v>57</v>
      </c>
      <c r="G30" s="10">
        <v>3532015.0</v>
      </c>
      <c r="H30" s="7"/>
      <c r="L30" s="31">
        <v>0.7440476</v>
      </c>
      <c r="N30" s="10" t="s">
        <v>37</v>
      </c>
      <c r="O30" s="34" t="s">
        <v>51</v>
      </c>
      <c r="P30" s="35" t="s">
        <v>39</v>
      </c>
      <c r="Q30" s="35" t="s">
        <v>58</v>
      </c>
      <c r="R30" s="31">
        <v>2627987.35</v>
      </c>
    </row>
    <row r="31" ht="15.75" customHeight="1">
      <c r="B31" s="37">
        <v>43496.0</v>
      </c>
      <c r="C31" s="38" t="s">
        <v>25</v>
      </c>
      <c r="D31" s="10" t="s">
        <v>20</v>
      </c>
      <c r="E31" s="10" t="s">
        <v>20</v>
      </c>
      <c r="F31" s="40" t="s">
        <v>43</v>
      </c>
      <c r="G31" s="7"/>
      <c r="H31" s="10">
        <v>3532015.0</v>
      </c>
      <c r="L31" s="31">
        <v>0.7440476</v>
      </c>
      <c r="N31" s="10" t="s">
        <v>41</v>
      </c>
      <c r="O31" s="34" t="s">
        <v>51</v>
      </c>
      <c r="P31" s="35" t="s">
        <v>39</v>
      </c>
      <c r="Q31" s="35" t="s">
        <v>58</v>
      </c>
      <c r="S31" s="31">
        <v>2627987.35</v>
      </c>
    </row>
    <row r="32" ht="15.75" customHeight="1">
      <c r="B32" s="37">
        <v>43496.0</v>
      </c>
      <c r="C32" s="38" t="s">
        <v>25</v>
      </c>
      <c r="D32" s="10" t="s">
        <v>20</v>
      </c>
      <c r="E32" s="10" t="s">
        <v>20</v>
      </c>
      <c r="F32" s="40" t="s">
        <v>43</v>
      </c>
      <c r="G32" s="10">
        <v>3532015.0</v>
      </c>
      <c r="H32" s="7"/>
      <c r="L32" s="31">
        <v>0.7462687</v>
      </c>
      <c r="N32" s="10" t="s">
        <v>37</v>
      </c>
      <c r="O32" s="34" t="s">
        <v>51</v>
      </c>
      <c r="P32" s="35" t="s">
        <v>39</v>
      </c>
      <c r="Q32" s="35" t="s">
        <v>56</v>
      </c>
      <c r="R32" s="31">
        <v>2635832.09</v>
      </c>
    </row>
    <row r="33" ht="15.75" customHeight="1">
      <c r="B33" s="37">
        <v>43496.0</v>
      </c>
      <c r="C33" s="38" t="s">
        <v>25</v>
      </c>
      <c r="D33" s="10" t="s">
        <v>20</v>
      </c>
      <c r="E33" s="10" t="s">
        <v>20</v>
      </c>
      <c r="F33" s="39" t="s">
        <v>57</v>
      </c>
      <c r="G33" s="7"/>
      <c r="H33" s="10">
        <v>3532015.0</v>
      </c>
      <c r="L33" s="31">
        <v>0.7462687</v>
      </c>
      <c r="N33" s="10" t="s">
        <v>41</v>
      </c>
      <c r="O33" s="34" t="s">
        <v>51</v>
      </c>
      <c r="P33" s="35" t="s">
        <v>39</v>
      </c>
      <c r="Q33" s="35" t="s">
        <v>56</v>
      </c>
      <c r="S33" s="31">
        <v>2635832.09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VerifyRevaluationData!$4:$4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3</v>
      </c>
      <c r="C3" s="21" t="s">
        <v>33</v>
      </c>
      <c r="D3" s="9" t="s">
        <v>5</v>
      </c>
      <c r="E3" s="21" t="s">
        <v>49</v>
      </c>
      <c r="F3" s="9" t="s">
        <v>15</v>
      </c>
      <c r="G3" s="11" t="s">
        <v>17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IFERROR(__xludf.DUMMYFUNCTION("""COMPUTED_VALUE"""),"From Date")</f>
        <v>From Date</v>
      </c>
      <c r="E5" s="26" t="str">
        <f>IFERROR(__xludf.DUMMYFUNCTION("""COMPUTED_VALUE"""),"To Date")</f>
        <v>To Date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10" t="s">
        <v>36</v>
      </c>
      <c r="C6" s="10" t="s">
        <v>25</v>
      </c>
      <c r="D6" s="29">
        <v>43490.0</v>
      </c>
      <c r="E6" s="29">
        <v>43496.0</v>
      </c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GetRevaluationData!$4:$4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