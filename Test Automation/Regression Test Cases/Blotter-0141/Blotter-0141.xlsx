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ransferToUserOrder" sheetId="5" r:id="rId7"/>
    <sheet state="visible" name="LoginClient" sheetId="6" r:id="rId8"/>
    <sheet state="visible" name="TransferToUserOrder1" sheetId="7" r:id="rId9"/>
    <sheet state="visible" name="VerifyOrder" sheetId="8" r:id="rId10"/>
    <sheet state="visible" name="GetDataAllocation" sheetId="9" r:id="rId11"/>
    <sheet state="visible" name="SelectAllocatedGroup" sheetId="10" r:id="rId12"/>
    <sheet state="visible" name="EditAllocatedGroupSidePanel" sheetId="11" r:id="rId13"/>
    <sheet state="visible" name="GetExecutionReportOrders" sheetId="12" r:id="rId14"/>
    <sheet state="visible" name="VerifyExecutionReport" sheetId="13" r:id="rId15"/>
    <sheet state="visible" name="GetDataAllocation1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<sst xmlns="http://schemas.openxmlformats.org/spreadsheetml/2006/main" count="162" uniqueCount="47">
  <si>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</si>
  <si>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</si>
  <si>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</si>
  <si>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</si>
  <si>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</si>
  <si>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</si>
  <si>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</si>
  <si>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</si>
  <si>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</si>
  <si>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</si>
  <si>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</si>
  <si>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</si>
  <si>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</si>
  <si>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</si>
  <si>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</si>
  <si>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</si>
  <si>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</si>
  <si>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</si>
  <si>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</si>
  <si>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</si>
  <si>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TransferToUserOrder</t>
  </si>
  <si>
    <t>Equity</t>
  </si>
  <si>
    <t>PartiallyFilled</t>
  </si>
  <si>
    <t>jgulbrandsen</t>
  </si>
  <si>
    <t>PranaClient</t>
  </si>
  <si>
    <t>LoginClient</t>
  </si>
  <si>
    <t>Support2</t>
  </si>
  <si>
    <t>Nirvana@1</t>
  </si>
  <si>
    <t>M</t>
  </si>
  <si>
    <t>UAT</t>
  </si>
  <si>
    <t>VerifyOrder</t>
  </si>
  <si>
    <t>MS</t>
  </si>
  <si>
    <t>Market</t>
  </si>
  <si>
    <t>jpearce</t>
  </si>
  <si>
    <t>Allocation</t>
  </si>
  <si>
    <t>GetDataAllocation</t>
  </si>
  <si>
    <t>Current</t>
  </si>
  <si>
    <t>SelectAllocatedGroup</t>
  </si>
  <si>
    <t>EditAllocatedGroupSidePanel</t>
  </si>
  <si>
    <t>GS</t>
  </si>
  <si>
    <t>OPTS</t>
  </si>
  <si>
    <t>GetExecutionReportOrders</t>
  </si>
  <si>
    <t>VerifyExecutionReport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</si>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</sst>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right" readingOrder="0" shrinkToFit="0" vertical="top" wrapText="0"/>
    </xf>
    <xf borderId="0" fillId="4" fontId="14" numFmtId="0" xfId="0" applyFont="1"/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150.0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22</v>
      </c>
      <c r="AL6" s="9">
        <v>500.0</v>
      </c>
      <c r="AM6" s="9">
        <v>150.0</v>
      </c>
      <c r="AX6" s="32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28</v>
      </c>
      <c r="AH6" s="9" t="s">
        <v>21</v>
      </c>
      <c r="AI6" s="9" t="s">
        <v>16</v>
      </c>
      <c r="AJ6" s="9" t="s">
        <v>17</v>
      </c>
      <c r="AK6" s="9" t="s">
        <v>22</v>
      </c>
      <c r="AL6" s="9">
        <v>500.0</v>
      </c>
      <c r="AM6" s="9">
        <v>150.0</v>
      </c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350.0</v>
      </c>
      <c r="H6" s="8"/>
      <c r="I6" s="13" t="s">
        <v>29</v>
      </c>
      <c r="J6" s="8"/>
      <c r="K6" s="8"/>
      <c r="L6" s="8"/>
      <c r="M6" s="8"/>
      <c r="N6" s="8"/>
      <c r="O6" s="8"/>
      <c r="AD6" s="9">
        <v>1.0</v>
      </c>
      <c r="AF6" s="9" t="s">
        <v>28</v>
      </c>
      <c r="AH6" s="9" t="s">
        <v>21</v>
      </c>
      <c r="AI6" s="9" t="s">
        <v>16</v>
      </c>
      <c r="AJ6" s="9" t="s">
        <v>17</v>
      </c>
      <c r="AK6" s="9" t="s">
        <v>22</v>
      </c>
      <c r="AL6" s="9">
        <v>500.0</v>
      </c>
      <c r="AM6" s="9">
        <v>150.0</v>
      </c>
      <c r="AQ6" s="9">
        <v>10.0</v>
      </c>
      <c r="AR6" s="9">
        <v>10.0</v>
      </c>
      <c r="AS6" s="9" t="s">
        <v>31</v>
      </c>
      <c r="AT6" s="9" t="s">
        <v>18</v>
      </c>
      <c r="AU6" s="9" t="s">
        <v>32</v>
      </c>
      <c r="AV6" s="9">
        <v>1500.0</v>
      </c>
      <c r="AW6" s="9">
        <v>1500.0</v>
      </c>
      <c r="BA6" s="32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500.0</v>
      </c>
      <c r="D6" s="13"/>
      <c r="E6" s="13" t="s">
        <v>18</v>
      </c>
      <c r="F6" s="13" t="s">
        <v>17</v>
      </c>
      <c r="G6" s="8"/>
      <c r="H6" s="13">
        <v>10.0</v>
      </c>
      <c r="I6" s="8"/>
      <c r="J6" s="8"/>
      <c r="K6" s="8"/>
      <c r="L6" s="8"/>
      <c r="M6" s="8"/>
      <c r="N6" s="8"/>
      <c r="O6" s="8"/>
      <c r="P6" s="9" t="s">
        <v>31</v>
      </c>
      <c r="AJ6" s="9">
        <v>1.0</v>
      </c>
      <c r="AK6" s="9" t="s">
        <v>28</v>
      </c>
      <c r="AQ6" s="9">
        <v>150.0</v>
      </c>
      <c r="AS6" s="9">
        <v>150.0</v>
      </c>
      <c r="BB6" s="9" t="s">
        <v>21</v>
      </c>
      <c r="BN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IFERROR(__xludf.DUMMYFUNCTION("""COMPUTED_VALUE"""),"AvgPrice")</f>
        <v>AvgPrice</v>
      </c>
      <c r="C5" s="28" t="str">
        <f>IFERROR(__xludf.DUMMYFUNCTION("""COMPUTED_VALUE"""),"Commission")</f>
        <v>Commission</v>
      </c>
      <c r="D5" s="28" t="str">
        <f>IFERROR(__xludf.DUMMYFUNCTION("""COMPUTED_VALUE"""),"SoftCommission")</f>
        <v>SoftCommission</v>
      </c>
      <c r="E5" s="28" t="str">
        <f>IFERROR(__xludf.DUMMYFUNCTION("""COMPUTED_VALUE"""),"OtherBrokerFees")</f>
        <v>OtherBrokerFees</v>
      </c>
      <c r="F5" s="29" t="str">
        <f>IFERROR(__xludf.DUMMYFUNCTION("""COMPUTED_VALUE"""),"ClearingBrokerFees")</f>
        <v>ClearingBrokerFees</v>
      </c>
      <c r="G5" s="28" t="str">
        <f>IFERROR(__xludf.DUMMYFUNCTION("""COMPUTED_VALUE"""),"StampDuty")</f>
        <v>StampDuty</v>
      </c>
      <c r="H5" s="28" t="str">
        <f>IFERROR(__xludf.DUMMYFUNCTION("""COMPUTED_VALUE"""),"TransactionLevy")</f>
        <v>TransactionLevy</v>
      </c>
      <c r="I5" s="28" t="str">
        <f>IFERROR(__xludf.DUMMYFUNCTION("""COMPUTED_VALUE"""),"AUECFee1")</f>
        <v>AUECFee1</v>
      </c>
      <c r="J5" s="28" t="str">
        <f>IFERROR(__xludf.DUMMYFUNCTION("""COMPUTED_VALUE"""),"TaxOnCommissions")</f>
        <v>TaxOnCommissions</v>
      </c>
      <c r="K5" s="28" t="str">
        <f>IFERROR(__xludf.DUMMYFUNCTION("""COMPUTED_VALUE"""),"AUECFee2")</f>
        <v>AUECFee2</v>
      </c>
      <c r="L5" s="28" t="str">
        <f>IFERROR(__xludf.DUMMYFUNCTION("""COMPUTED_VALUE"""),"SecFee")</f>
        <v>SecFee</v>
      </c>
      <c r="M5" s="28" t="str">
        <f>IFERROR(__xludf.DUMMYFUNCTION("""COMPUTED_VALUE"""),"OccFee")</f>
        <v>OccFee</v>
      </c>
      <c r="N5" s="28" t="str">
        <f>IFERROR(__xludf.DUMMYFUNCTION("""COMPUTED_VALUE"""),"OrfFee")</f>
        <v>OrfFee</v>
      </c>
      <c r="O5" s="28" t="str">
        <f>IFERROR(__xludf.DUMMYFUNCTION("""COMPUTED_VALUE"""),"Broker")</f>
        <v>Broker</v>
      </c>
      <c r="P5" s="28" t="str">
        <f>IFERROR(__xludf.DUMMYFUNCTION("""COMPUTED_VALUE"""),"Venue")</f>
        <v>Venue</v>
      </c>
      <c r="Q5" s="28" t="str">
        <f>IFERROR(__xludf.DUMMYFUNCTION("""COMPUTED_VALUE"""),"Description")</f>
        <v>Description</v>
      </c>
      <c r="R5" s="28" t="str">
        <f>IFERROR(__xludf.DUMMYFUNCTION("""COMPUTED_VALUE"""),"InternalComments")</f>
        <v>InternalComments</v>
      </c>
      <c r="S5" s="28" t="str">
        <f>IFERROR(__xludf.DUMMYFUNCTION("""COMPUTED_VALUE"""),"FXRate")</f>
        <v>FXRate</v>
      </c>
      <c r="T5" s="30" t="str">
        <f>IFERROR(__xludf.DUMMYFUNCTION("""COMPUTED_VALUE"""),"FxConvOperator")</f>
        <v>FxConvOperator</v>
      </c>
      <c r="U5" s="30" t="str">
        <f>IFERROR(__xludf.DUMMYFUNCTION("""COMPUTED_VALUE"""),"AccruedInterest")</f>
        <v>AccruedInterest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IFERROR(__xludf.DUMMYFUNCTION("""COMPUTED_VALUE"""),"SettlementCurrency")</f>
        <v>SettlementCurrency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13" t="s">
        <v>39</v>
      </c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 t="shared" ref="B6:C6" si="1">TODAY()</f>
        <v>44588</v>
      </c>
      <c r="C6" s="34">
        <f t="shared" si="1"/>
        <v>44588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6" t="s">
        <v>17</v>
      </c>
      <c r="D6" s="37"/>
      <c r="E6" s="38"/>
      <c r="F6" s="39">
        <v>150.0</v>
      </c>
      <c r="G6" s="39">
        <v>20.0</v>
      </c>
      <c r="H6" s="40" t="s">
        <v>22</v>
      </c>
      <c r="I6" s="38"/>
      <c r="J6" s="38"/>
      <c r="K6" s="38"/>
      <c r="L6" s="36" t="s">
        <v>33</v>
      </c>
      <c r="M6" s="38"/>
      <c r="N6" s="40" t="s">
        <v>39</v>
      </c>
      <c r="O6" s="32" t="s">
        <v>23</v>
      </c>
      <c r="P6" s="40" t="s">
        <v>29</v>
      </c>
      <c r="Q6" s="38"/>
      <c r="R6" s="41" t="s">
        <v>18</v>
      </c>
      <c r="S6" s="38"/>
      <c r="T6" s="42"/>
      <c r="U6" s="42"/>
      <c r="V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150.0</v>
      </c>
      <c r="F6" s="8"/>
      <c r="G6" s="13" t="s">
        <v>21</v>
      </c>
      <c r="H6" s="8"/>
      <c r="I6" s="8"/>
      <c r="J6" s="8"/>
      <c r="K6" s="13">
        <v>20.0</v>
      </c>
      <c r="L6" s="13">
        <v>20.0</v>
      </c>
      <c r="M6" s="8"/>
      <c r="N6" s="8"/>
      <c r="O6" s="13" t="s">
        <v>39</v>
      </c>
      <c r="AE6" s="9">
        <v>150.0</v>
      </c>
      <c r="AH6" s="9" t="s">
        <v>28</v>
      </c>
      <c r="AI6" s="9">
        <v>1.0</v>
      </c>
      <c r="AT6" s="9">
        <v>3014.001</v>
      </c>
      <c r="AU6" s="9">
        <v>3014.001</v>
      </c>
      <c r="AY6" s="9" t="s">
        <v>32</v>
      </c>
      <c r="BE6" s="9">
        <v>3000.0</v>
      </c>
      <c r="BF6" s="9">
        <v>3000.0</v>
      </c>
      <c r="BJ6" s="9">
        <v>500.0</v>
      </c>
      <c r="BO6" s="9" t="s">
        <v>17</v>
      </c>
      <c r="BT6" s="9" t="s">
        <v>16</v>
      </c>
      <c r="CO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16</v>
      </c>
      <c r="D6" s="13">
        <v>150.0</v>
      </c>
      <c r="E6" s="13" t="s">
        <v>18</v>
      </c>
      <c r="F6" s="8"/>
      <c r="G6" s="13">
        <v>20.0</v>
      </c>
      <c r="H6" s="13" t="s">
        <v>46</v>
      </c>
      <c r="I6" s="8"/>
      <c r="J6" s="8"/>
      <c r="K6" s="8"/>
      <c r="L6" s="8"/>
      <c r="M6" s="8"/>
      <c r="N6" s="8"/>
      <c r="O6" s="8"/>
      <c r="T6" s="9" t="s">
        <v>21</v>
      </c>
      <c r="Y6" s="9">
        <v>1.0</v>
      </c>
      <c r="AN6" s="9" t="s">
        <v>17</v>
      </c>
      <c r="BQ6" s="9" t="s">
        <v>29</v>
      </c>
      <c r="BR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