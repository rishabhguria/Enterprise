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EditUnallocatedGridWPF" sheetId="5" r:id="rId7"/>
    <sheet state="visible" name="GetDataAllocation" sheetId="6" r:id="rId8"/>
    <sheet state="visible" name="SelectUnallocatedGroup" sheetId="7" r:id="rId9"/>
    <sheet state="visible" name="EnterAccountValuesToAllocate" sheetId="8" r:id="rId10"/>
    <sheet state="visible" name="CheckAllocatedGroups" sheetId="9" r:id="rId11"/>
  </sheets>
  <definedNames/>
  <calcPr/>
</workbook>
</file>

<file path=xl/sharedStrings.xml><?xml version="1.0" encoding="utf-8"?>
<sst xmlns="http://schemas.openxmlformats.org/spreadsheetml/2006/main" count="80" uniqueCount="40">
  <si>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</si>
  <si>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</si>
  <si>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</si>
  <si>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</si>
  <si>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</si>
  <si>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</si>
  <si>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</si>
  <si>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</si>
  <si>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</si>
  <si>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</si>
  <si>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</si>
  <si>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</si>
  <si>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</si>
  <si>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</si>
  <si>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</si>
  <si>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</si>
  <si>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</si>
  <si>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</si>
  <si>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Unallocated</t>
  </si>
  <si>
    <t>Allocation</t>
  </si>
  <si>
    <t>EditUnallocatedGridWPF</t>
  </si>
  <si>
    <t>EditTrade</t>
  </si>
  <si>
    <t>GetDataAllocation</t>
  </si>
  <si>
    <t>Current</t>
  </si>
  <si>
    <t>SelectUnallocatedGroup</t>
  </si>
  <si>
    <t>EnterAccountValuesToAllocate</t>
  </si>
  <si>
    <t>Allocation1</t>
  </si>
  <si>
    <t>CheckAllocatedGroups</t>
  </si>
  <si>
    <t>Manual</t>
  </si>
  <si>
    <t>Equity</t>
  </si>
  <si>
    <t>AAPL US EQUITY</t>
  </si>
  <si>
    <t>MS</t>
  </si>
  <si>
    <t>Open</t>
  </si>
  <si>
    <t>APPLE</t>
  </si>
  <si>
    <t>USD</t>
  </si>
  <si>
    <t>BrokerNotes</t>
  </si>
  <si>
    <t>NASDAQ</t>
  </si>
  <si>
    <t>M</t>
  </si>
  <si>
    <t>None</t>
  </si>
  <si>
    <t>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</si>
</sst>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4" fontId="13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14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500.0</v>
      </c>
      <c r="E6" s="13">
        <v>500.0</v>
      </c>
      <c r="F6" s="31" t="s">
        <v>18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IFERROR(__xludf.DUMMYFUNCTION("""COMPUTED_VALUE"""),"Venue")</f>
        <v>Venue</v>
      </c>
      <c r="D5" s="28" t="str">
        <f>IFERROR(__xludf.DUMMYFUNCTION("""COMPUTED_VALUE"""),"Transaction Levy")</f>
        <v>Transaction Levy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IFERROR(__xludf.DUMMYFUNCTION("""COMPUTED_VALUE"""),"Process Date")</f>
        <v>Process Date</v>
      </c>
      <c r="H5" s="28" t="str">
        <f>IFERROR(__xludf.DUMMYFUNCTION("""COMPUTED_VALUE"""),"Original Purchase Date")</f>
        <v>Original Purchase Date</v>
      </c>
      <c r="I5" s="28" t="str">
        <f>IFERROR(__xludf.DUMMYFUNCTION("""COMPUTED_VALUE"""),"Settlement Date")</f>
        <v>Settlement Date</v>
      </c>
      <c r="J5" s="28" t="str">
        <f>IFERROR(__xludf.DUMMYFUNCTION("""COMPUTED_VALUE"""),"ISIN")</f>
        <v>ISIN</v>
      </c>
      <c r="K5" s="28" t="str">
        <f>IFERROR(__xludf.DUMMYFUNCTION("""COMPUTED_VALUE"""),"Internal Comments")</f>
        <v>Internal Comments</v>
      </c>
      <c r="L5" s="28" t="str">
        <f>IFERROR(__xludf.DUMMYFUNCTION("""COMPUTED_VALUE"""),"Accrued Interest")</f>
        <v>Accrued Interest</v>
      </c>
      <c r="M5" s="28" t="str">
        <f>IFERROR(__xludf.DUMMYFUNCTION("""COMPUTED_VALUE"""),"Broker")</f>
        <v>Broker</v>
      </c>
      <c r="N5" s="28" t="str">
        <f>IFERROR(__xludf.DUMMYFUNCTION("""COMPUTED_VALUE"""),"Transaction Type")</f>
        <v>Transaction Type</v>
      </c>
      <c r="O5" s="28" t="str">
        <f>IFERROR(__xludf.DUMMYFUNCTION("""COMPUTED_VALUE"""),"Trade Attribute 1")</f>
        <v>Trade Attribute 1</v>
      </c>
      <c r="P5" s="28" t="str">
        <f>IFERROR(__xludf.DUMMYFUNCTION("""COMPUTED_VALUE"""),"Trade Attribute 2")</f>
        <v>Trade Attribute 2</v>
      </c>
      <c r="Q5" s="28" t="str">
        <f>IFERROR(__xludf.DUMMYFUNCTION("""COMPUTED_VALUE"""),"Trade Attribute 3")</f>
        <v>Trade Attribute 3</v>
      </c>
      <c r="R5" s="28" t="str">
        <f>IFERROR(__xludf.DUMMYFUNCTION("""COMPUTED_VALUE"""),"Trade Attribute 4")</f>
        <v>Trade Attribute 4</v>
      </c>
      <c r="S5" s="28" t="str">
        <f>IFERROR(__xludf.DUMMYFUNCTION("""COMPUTED_VALUE"""),"Trade Attribute 5")</f>
        <v>Trade Attribute 5</v>
      </c>
      <c r="T5" s="30" t="str">
        <f>IFERROR(__xludf.DUMMYFUNCTION("""COMPUTED_VALUE"""),"Trade Attribute 6")</f>
        <v>Trade Attribute 6</v>
      </c>
      <c r="U5" s="30" t="str">
        <f>IFERROR(__xludf.DUMMYFUNCTION("""COMPUTED_VALUE"""),"Commission")</f>
        <v>Commission</v>
      </c>
      <c r="V5" s="30" t="str">
        <f>IFERROR(__xludf.DUMMYFUNCTION("""COMPUTED_VALUE"""),"Soft Commission")</f>
        <v>Soft Commission</v>
      </c>
      <c r="W5" s="30" t="str">
        <f>IFERROR(__xludf.DUMMYFUNCTION("""COMPUTED_VALUE"""),"Other Broker Fees")</f>
        <v>Other Broker Fees</v>
      </c>
      <c r="X5" s="30" t="str">
        <f>IFERROR(__xludf.DUMMYFUNCTION("""COMPUTED_VALUE"""),"Clearing Broker Fee")</f>
        <v>Clearing Broker Fee</v>
      </c>
      <c r="Y5" s="30" t="str">
        <f>IFERROR(__xludf.DUMMYFUNCTION("""COMPUTED_VALUE"""),"Stamp Duty")</f>
        <v>Stamp Duty</v>
      </c>
      <c r="Z5" s="30" t="str">
        <f>IFERROR(__xludf.DUMMYFUNCTION("""COMPUTED_VALUE"""),"AUEC Fee1")</f>
        <v>AUEC Fee1</v>
      </c>
      <c r="AA5" s="30" t="str">
        <f>IFERROR(__xludf.DUMMYFUNCTION("""COMPUTED_VALUE"""),"Tax On Commissions")</f>
        <v>Tax On Commissions</v>
      </c>
      <c r="AB5" s="30" t="str">
        <f>IFERROR(__xludf.DUMMYFUNCTION("""COMPUTED_VALUE"""),"AUEC Fee2")</f>
        <v>AUEC Fee2</v>
      </c>
      <c r="AC5" s="30" t="str">
        <f>IFERROR(__xludf.DUMMYFUNCTION("""COMPUTED_VALUE"""),"Avg Price(Local)")</f>
        <v>Avg Price(Local)</v>
      </c>
      <c r="AD5" s="30" t="str">
        <f>IFERROR(__xludf.DUMMYFUNCTION("""COMPUTED_VALUE"""),"OCC Fee")</f>
        <v>OCC Fee</v>
      </c>
      <c r="AE5" s="30" t="str">
        <f>IFERROR(__xludf.DUMMYFUNCTION("""COMPUTED_VALUE"""),"ORF Fee")</f>
        <v>ORF Fee</v>
      </c>
      <c r="AF5" s="30" t="str">
        <f>IFERROR(__xludf.DUMMYFUNCTION("""COMPUTED_VALUE"""),"Option Premium Adjustment")</f>
        <v>Option Premium Adjustment</v>
      </c>
      <c r="AG5" s="30" t="str">
        <f>IFERROR(__xludf.DUMMYFUNCTION("""COMPUTED_VALUE"""),"Change Comment")</f>
        <v>Change Comment</v>
      </c>
      <c r="AH5" s="30" t="str">
        <f>IFERROR(__xludf.DUMMYFUNCTION("""COMPUTED_VALUE"""),"SEC Fee")</f>
        <v>SEC Fee</v>
      </c>
      <c r="AI5" s="30" t="str">
        <f>IFERROR(__xludf.DUMMYFUNCTION("""COMPUTED_VALUE"""),"Nirvana Process Date")</f>
        <v>Nirvana Process Date</v>
      </c>
      <c r="AJ5" s="30" t="str">
        <f>IFERROR(__xludf.DUMMYFUNCTION("""COMPUTED_VALUE"""),"Closing Date")</f>
        <v>Closing Date</v>
      </c>
      <c r="AK5" s="30" t="str">
        <f>IFERROR(__xludf.DUMMYFUNCTION("""COMPUTED_VALUE"""),"Description")</f>
        <v>Description</v>
      </c>
      <c r="AL5" s="30" t="str">
        <f>IFERROR(__xludf.DUMMYFUNCTION("""COMPUTED_VALUE"""),"Coupon Rate")</f>
        <v>Coupon Rate</v>
      </c>
      <c r="AM5" s="30" t="str">
        <f>IFERROR(__xludf.DUMMYFUNCTION("""COMPUTED_VALUE"""),"Delta")</f>
        <v>Delta</v>
      </c>
      <c r="AN5" s="30" t="str">
        <f>IFERROR(__xludf.DUMMYFUNCTION("""COMPUTED_VALUE"""),"Symbol")</f>
        <v>Symbol</v>
      </c>
      <c r="AO5" s="30" t="str">
        <f>IFERROR(__xludf.DUMMYFUNCTION("""COMPUTED_VALUE"""),"Quantity")</f>
        <v>Quantity</v>
      </c>
      <c r="AP5" s="30" t="str">
        <f>IFERROR(__xludf.DUMMYFUNCTION("""COMPUTED_VALUE"""),"Avg Price(Base)")</f>
        <v>Avg Price(Base)</v>
      </c>
      <c r="AQ5" s="30" t="str">
        <f>IFERROR(__xludf.DUMMYFUNCTION("""COMPUTED_VALUE"""),"Sedol Symbol")</f>
        <v>Sedol Symbol</v>
      </c>
      <c r="AR5" s="30" t="str">
        <f>IFERROR(__xludf.DUMMYFUNCTION("""COMPUTED_VALUE"""),"Borrow Broker")</f>
        <v>Borrow Broker</v>
      </c>
      <c r="AS5" s="30" t="str">
        <f>IFERROR(__xludf.DUMMYFUNCTION("""COMPUTED_VALUE"""),"FX Rate")</f>
        <v>FX Rate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3"/>
      <c r="D6" s="31"/>
      <c r="E6" s="34">
        <v>700.0</v>
      </c>
      <c r="F6" s="33"/>
      <c r="G6" s="33"/>
      <c r="H6" s="33"/>
      <c r="I6" s="33"/>
      <c r="J6" s="33"/>
      <c r="K6" s="33" t="s">
        <v>21</v>
      </c>
      <c r="L6" s="33"/>
      <c r="M6" s="33"/>
      <c r="N6" s="33"/>
      <c r="O6" s="33"/>
      <c r="P6" s="33"/>
      <c r="Q6" s="33"/>
      <c r="R6" s="33"/>
      <c r="S6" s="33"/>
      <c r="T6" s="33"/>
      <c r="U6" s="35">
        <v>0.0</v>
      </c>
      <c r="V6" s="35">
        <v>0.0</v>
      </c>
      <c r="W6" s="35">
        <v>0.0</v>
      </c>
      <c r="X6" s="35">
        <v>0.0</v>
      </c>
      <c r="Y6" s="35"/>
      <c r="Z6" s="35">
        <v>4.0</v>
      </c>
      <c r="AA6" s="35">
        <v>3.0</v>
      </c>
      <c r="AB6" s="35">
        <v>5.0</v>
      </c>
      <c r="AC6" s="35"/>
      <c r="AD6" s="35">
        <v>0.0</v>
      </c>
      <c r="AE6" s="35">
        <v>0.0</v>
      </c>
      <c r="AF6" s="35"/>
      <c r="AG6" s="33"/>
      <c r="AH6" s="33"/>
      <c r="AI6" s="33"/>
      <c r="AJ6" s="33"/>
      <c r="AK6" s="33"/>
      <c r="AL6" s="33"/>
      <c r="AM6" s="33"/>
      <c r="AN6" s="33" t="s">
        <v>16</v>
      </c>
      <c r="AO6" s="36">
        <v>500.0</v>
      </c>
      <c r="AP6" s="36">
        <v>10.0</v>
      </c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EditUnallocatedGridWPF!$4:$4</formula1>
    </dataValidation>
  </dataValidations>
  <hyperlinks>
    <hyperlink r:id="rId1" ref="DT4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500.0</v>
      </c>
      <c r="E6" s="13">
        <v>500.0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1mOtszotVOdqHquQTLi-4CBnAUrtAF2MEABuvYJh_hzw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</row>
    <row r="6" ht="15.75" customHeight="1">
      <c r="A6" s="31"/>
      <c r="B6" s="38" t="s">
        <v>26</v>
      </c>
      <c r="C6" s="34">
        <v>100.0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8"/>
      <c r="D6" s="13"/>
      <c r="E6" s="39">
        <v>500.0</v>
      </c>
      <c r="F6" s="40" t="s">
        <v>28</v>
      </c>
      <c r="G6" s="40" t="s">
        <v>29</v>
      </c>
      <c r="H6" s="39">
        <v>4.0</v>
      </c>
      <c r="I6" s="39">
        <v>5.0</v>
      </c>
      <c r="J6" s="39">
        <v>1.0</v>
      </c>
      <c r="K6" s="39">
        <v>10.0</v>
      </c>
      <c r="L6" s="39">
        <v>10.0</v>
      </c>
      <c r="M6" s="40" t="s">
        <v>30</v>
      </c>
      <c r="N6" s="8"/>
      <c r="O6" s="40" t="s">
        <v>31</v>
      </c>
      <c r="Q6" s="39">
        <v>3.0</v>
      </c>
      <c r="R6" s="39">
        <v>0.0</v>
      </c>
      <c r="S6" s="40" t="s">
        <v>32</v>
      </c>
      <c r="T6" s="39">
        <v>0.0</v>
      </c>
      <c r="U6" s="39">
        <v>0.0</v>
      </c>
      <c r="V6" s="40" t="s">
        <v>33</v>
      </c>
      <c r="W6" s="39">
        <v>1.0</v>
      </c>
      <c r="X6" s="33"/>
      <c r="Y6" s="33"/>
      <c r="Z6" s="38" t="s">
        <v>34</v>
      </c>
      <c r="AA6" s="33"/>
      <c r="AB6" s="39">
        <v>1.0</v>
      </c>
      <c r="AC6" s="40" t="s">
        <v>35</v>
      </c>
      <c r="AD6" s="40" t="s">
        <v>36</v>
      </c>
      <c r="AE6" s="39">
        <v>500.0</v>
      </c>
      <c r="AF6" s="33"/>
      <c r="AG6" s="33"/>
      <c r="AH6" s="40" t="s">
        <v>37</v>
      </c>
      <c r="AI6" s="39">
        <v>1.0</v>
      </c>
      <c r="AJ6" s="40" t="s">
        <v>38</v>
      </c>
      <c r="AK6" s="33"/>
      <c r="AN6" s="40" t="b">
        <v>0</v>
      </c>
      <c r="AO6" s="33"/>
      <c r="AP6" s="40" t="b">
        <v>1</v>
      </c>
      <c r="AQ6" s="40" t="b">
        <v>0</v>
      </c>
      <c r="AR6" s="40" t="b">
        <v>0</v>
      </c>
      <c r="AS6" s="36"/>
      <c r="AT6" s="41">
        <v>5014.0028</v>
      </c>
      <c r="AU6" s="41">
        <v>5014.0028</v>
      </c>
      <c r="AW6" s="36"/>
      <c r="AX6" s="36"/>
      <c r="AY6" t="s">
        <v>39</v>
      </c>
      <c r="AZ6" s="36"/>
      <c r="BA6" s="33"/>
      <c r="BB6" s="33"/>
      <c r="BC6" s="36"/>
      <c r="BD6" s="33"/>
      <c r="BE6" s="41">
        <v>5000.0</v>
      </c>
      <c r="BF6" s="41">
        <v>5000.0</v>
      </c>
      <c r="BG6" s="33"/>
      <c r="BH6" s="33"/>
      <c r="BI6" s="33"/>
      <c r="BJ6" s="42">
        <v>500.0</v>
      </c>
      <c r="BK6" s="39">
        <v>0.0</v>
      </c>
      <c r="BL6" s="33"/>
      <c r="BM6" s="40" t="s">
        <v>34</v>
      </c>
      <c r="BN6" s="33"/>
      <c r="BO6" t="s">
        <v>17</v>
      </c>
      <c r="BP6" s="36"/>
      <c r="BQ6" s="36"/>
      <c r="BR6" s="36"/>
      <c r="BS6" s="33"/>
      <c r="BT6" s="40" t="s">
        <v>16</v>
      </c>
      <c r="CI6" s="40" t="s">
        <v>17</v>
      </c>
      <c r="CJ6" s="39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yperlinks>
    <hyperlink r:id="rId1" ref="DT4"/>
  </hyperlinks>
  <drawing r:id="rId2"/>
</worksheet>
</file>