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SelectTradeOnOrderGrid" sheetId="8" r:id="rId10"/>
    <sheet state="visible" name="EnableOrVerifyHotButton1" sheetId="9" r:id="rId11"/>
    <sheet state="visible" name="VerifyToastMessage" sheetId="10" r:id="rId12"/>
    <sheet state="visible" name="AddTabBlotter" sheetId="11" r:id="rId13"/>
    <sheet state="visible" name="CustomTabActions" sheetId="12" r:id="rId14"/>
  </sheets>
  <definedNames/>
  <calcPr/>
</workbook>
</file>

<file path=xl/sharedStrings.xml><?xml version="1.0" encoding="utf-8"?>
<sst xmlns="http://schemas.openxmlformats.org/spreadsheetml/2006/main" count="95" uniqueCount="40">
  <si>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</si>
  <si>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</si>
  <si>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</si>
  <si>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</si>
  <si>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</si>
  <si>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</si>
  <si>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</si>
  <si>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</si>
  <si>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</si>
  <si>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</si>
  <si>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</si>
  <si>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</si>
  <si>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</si>
  <si>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</si>
  <si>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</si>
  <si>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</si>
  <si>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</si>
  <si>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</si>
  <si>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</si>
  <si>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</si>
  <si>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Blotter</t>
  </si>
  <si>
    <t>EnableOrVerifyHotButton</t>
  </si>
  <si>
    <t>CreateHotButtonOnBlotter</t>
  </si>
  <si>
    <t>hbtn</t>
  </si>
  <si>
    <t>Send Order To Market</t>
  </si>
  <si>
    <t>No Confirmation</t>
  </si>
  <si>
    <t>Next</t>
  </si>
  <si>
    <t>FillHBdetailsOnBlotter</t>
  </si>
  <si>
    <t>Quantity</t>
  </si>
  <si>
    <t>SelectTradeOnOrderGrid</t>
  </si>
  <si>
    <t>favorite</t>
  </si>
  <si>
    <t>OpenFin</t>
  </si>
  <si>
    <t>VerifyToastMessage</t>
  </si>
  <si>
    <t>Cannot generate sub order since quantities greater than remaining.</t>
  </si>
  <si>
    <t>AddTabBlotter</t>
  </si>
  <si>
    <t>Custom</t>
  </si>
  <si>
    <t>Add Tab(Order)</t>
  </si>
  <si>
    <t>CustomTabActions</t>
  </si>
  <si>
    <t>Select</t>
  </si>
  <si>
    <t>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</si>
</sst>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32" t="s">
        <v>24</v>
      </c>
      <c r="D6" s="33" t="s">
        <v>25</v>
      </c>
      <c r="E6" s="34"/>
      <c r="F6" s="32" t="s">
        <v>26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35" t="b">
        <v>1</v>
      </c>
      <c r="L6" s="32" t="s">
        <v>26</v>
      </c>
      <c r="M6" s="32" t="s">
        <v>28</v>
      </c>
      <c r="N6" s="36">
        <v>100.0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23</v>
      </c>
      <c r="E6" s="13" t="b">
        <v>1</v>
      </c>
      <c r="F6" s="13" t="s">
        <v>30</v>
      </c>
      <c r="G6" s="8"/>
      <c r="H6" s="13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EnableOrVerifyHotButton1!$4:$4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IFERROR(__xludf.DUMMYFUNCTION("IF(C3="""","""",Transpose(IMPORTRANGE('_Settings'!$B$3,C3&amp;""!A4:A1000"")))"),"CheckOpenFinWindowName")</f>
        <v>CheckOpenFinWindowName</v>
      </c>
      <c r="C4" s="25" t="str">
        <f>IFERROR(__xludf.DUMMYFUNCTION("""COMPUTED_VALUE"""),"OpenWindowFromSearch")</f>
        <v>OpenWindowFromSearch</v>
      </c>
      <c r="D4" s="25" t="str">
        <f>IFERROR(__xludf.DUMMYFUNCTION("""COMPUTED_VALUE"""),"VerifyColour")</f>
        <v>VerifyColour</v>
      </c>
      <c r="E4" s="25" t="str">
        <f>IFERROR(__xludf.DUMMYFUNCTION("""COMPUTED_VALUE"""),"OpenReleaseClient")</f>
        <v>OpenReleaseClient</v>
      </c>
      <c r="F4" s="25" t="str">
        <f>IFERROR(__xludf.DUMMYFUNCTION("""COMPUTED_VALUE"""),"ActionOnPageFromSearch")</f>
        <v>ActionOnPageFromSearch</v>
      </c>
      <c r="G4" s="25" t="str">
        <f>IFERROR(__xludf.DUMMYFUNCTION("""COMPUTED_VALUE"""),"SavePageView")</f>
        <v>SavePageView</v>
      </c>
      <c r="H4" s="25" t="str">
        <f>IFERROR(__xludf.DUMMYFUNCTION("""COMPUTED_VALUE"""),"ChangeThemeOnModule")</f>
        <v>ChangeThemeOnModule</v>
      </c>
      <c r="I4" s="25" t="str">
        <f>IFERROR(__xludf.DUMMYFUNCTION("""COMPUTED_VALUE"""),"CloseService")</f>
        <v>CloseService</v>
      </c>
      <c r="J4" s="25" t="str">
        <f>IFERROR(__xludf.DUMMYFUNCTION("""COMPUTED_VALUE"""),"LogOutSamsara")</f>
        <v>LogOutSamsara</v>
      </c>
      <c r="K4" s="25" t="str">
        <f>IFERROR(__xludf.DUMMYFUNCTION("""COMPUTED_VALUE"""),"ResizeEnsure")</f>
        <v>ResizeEnsure</v>
      </c>
      <c r="L4" s="25" t="str">
        <f>IFERROR(__xludf.DUMMYFUNCTION("""COMPUTED_VALUE"""),"VerifyNotification")</f>
        <v>VerifyNotification</v>
      </c>
      <c r="M4" s="25" t="str">
        <f>IFERROR(__xludf.DUMMYFUNCTION("""COMPUTED_VALUE"""),"LockUnlockModule")</f>
        <v>LockUnlockModule</v>
      </c>
      <c r="N4" s="25" t="str">
        <f>IFERROR(__xludf.DUMMYFUNCTION("""COMPUTED_VALUE"""),"OpenModuleFromDock")</f>
        <v>OpenModuleFromDock</v>
      </c>
      <c r="O4" s="25" t="str">
        <f>IFERROR(__xludf.DUMMYFUNCTION("""COMPUTED_VALUE"""),"SavePageRTPNL")</f>
        <v>SavePageRTPNL</v>
      </c>
      <c r="P4" s="26" t="str">
        <f>IFERROR(__xludf.DUMMYFUNCTION("""COMPUTED_VALUE"""),"VerifyToastMessage")</f>
        <v>VerifyToastMessage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IFERROR(__xludf.DUMMYFUNCTION("""COMPUTED_VALUE"""),"Message")</f>
        <v>Message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VerifyToastMessage!$4:$4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IFERROR(__xludf.DUMMYFUNCTION("""COMPUTED_VALUE"""),"TabName")</f>
        <v>TabName</v>
      </c>
      <c r="C5" s="28" t="str">
        <f>IFERROR(__xludf.DUMMYFUNCTION("""COMPUTED_VALUE"""),"Button Name")</f>
        <v>Button 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32" t="s">
        <v>36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AddTabBlotter!$4:$4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IFERROR(__xludf.DUMMYFUNCTION("""COMPUTED_VALUE"""),"Action")</f>
        <v>Action</v>
      </c>
      <c r="C5" s="28" t="str">
        <f>IFERROR(__xludf.DUMMYFUNCTION("""COMPUTED_VALUE"""),"ActionOnWhichGrid")</f>
        <v>ActionOnWhichGrid</v>
      </c>
      <c r="D5" s="28" t="str">
        <f>IFERROR(__xludf.DUMMYFUNCTION("""COMPUTED_VALUE"""),"TabName")</f>
        <v>TabName</v>
      </c>
      <c r="E5" s="28" t="str">
        <f>IFERROR(__xludf.DUMMYFUNCTION("""COMPUTED_VALUE"""),"Symbol")</f>
        <v>Symbol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IFERROR(__xludf.DUMMYFUNCTION("""COMPUTED_VALUE"""),"Broker")</f>
        <v>Broker</v>
      </c>
      <c r="J5" s="28" t="str">
        <f>IFERROR(__xludf.DUMMYFUNCTION("""COMPUTED_VALUE"""),"Account")</f>
        <v>Account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38</v>
      </c>
      <c r="C6" s="32" t="s">
        <v>39</v>
      </c>
      <c r="D6" s="37" t="s">
        <v>35</v>
      </c>
      <c r="E6" s="13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CustomTabActions!$4:$4</formula1>
    </dataValidation>
  </dataValidations>
  <drawing r:id="rId1"/>
</worksheet>
</file>