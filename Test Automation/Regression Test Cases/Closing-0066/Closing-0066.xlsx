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EditAllocatedGroupSidePanel" sheetId="6" r:id="rId8"/>
    <sheet state="visible" name="CheckAllocatedGroups" sheetId="7" r:id="rId9"/>
    <sheet state="visible" name="ManualClosing" sheetId="8" r:id="rId10"/>
  </sheets>
  <definedNames/>
  <calcPr/>
</workbook>
</file>

<file path=xl/sharedStrings.xml><?xml version="1.0" encoding="utf-8"?>
<sst xmlns="http://schemas.openxmlformats.org/spreadsheetml/2006/main" count="66" uniqueCount="27">
  <si>
    <t>Settings</t>
  </si>
  <si>
    <t>Modules Info</t>
  </si>
  <si>
    <t>Master Data Info</t>
  </si>
  <si>
    <t>Module Step Setting File</t>
  </si>
  <si>
    <t>Module</t>
  </si>
  <si>
    <t>Modules</t>
  </si>
  <si>
    <t>Step</t>
  </si>
  <si>
    <t>Master Data Sheet</t>
  </si>
  <si>
    <t>1sG6uB28jAaiyaldDeMtbboQN41jJ2tAmE2rg6U9qH5o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</si>
  <si>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</si>
  <si>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</si>
  <si>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</si>
  <si>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</si>
  <si>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</si>
  <si>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</si>
  <si>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</si>
  <si>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</si>
  <si>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</si>
  <si>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</si>
  <si>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</si>
  <si>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Allocation</t>
  </si>
  <si>
    <t>SelectAllocatedGroup</t>
  </si>
  <si>
    <t>EditAllocatedGroupSidePanel</t>
  </si>
  <si>
    <t>CheckAllocatedGroups</t>
  </si>
  <si>
    <t>Closing</t>
  </si>
  <si>
    <t>ManualClosing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</si>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</sst>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shrinkToFit="0" wrapText="0"/>
    </xf>
    <xf borderId="0" fillId="2" fontId="4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1</v>
      </c>
      <c r="B1" s="2"/>
      <c r="C1" s="2"/>
      <c r="D1" s="2"/>
      <c r="E1" s="2"/>
      <c r="F1" s="3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3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9" t="s">
        <v>3</v>
      </c>
      <c r="B3" s="12" t="s">
        <v>8</v>
      </c>
      <c r="C3" s="4"/>
    </row>
    <row r="4" ht="15.75" customHeight="1">
      <c r="A4" s="8" t="s">
        <v>9</v>
      </c>
      <c r="B4" s="12" t="s">
        <v>10</v>
      </c>
      <c r="C4" s="4"/>
    </row>
    <row r="5" ht="15.75" customHeight="1">
      <c r="A5" s="14"/>
      <c r="B5" s="4"/>
      <c r="C5" s="4"/>
    </row>
    <row r="6" ht="15.75" customHeight="1">
      <c r="A6" s="14"/>
      <c r="B6" s="4"/>
      <c r="C6" s="4"/>
    </row>
    <row r="7" ht="15.75" customHeight="1">
      <c r="A7" s="14"/>
      <c r="B7" s="4"/>
      <c r="C7" s="4"/>
    </row>
    <row r="8" ht="15.75" customHeight="1">
      <c r="A8" s="14"/>
      <c r="B8" s="4"/>
      <c r="C8" s="4"/>
    </row>
    <row r="9" ht="15.75" customHeight="1">
      <c r="A9" s="14"/>
      <c r="B9" s="4"/>
      <c r="C9" s="4"/>
    </row>
    <row r="10" ht="15.75" customHeight="1">
      <c r="A10" s="14"/>
      <c r="B10" s="4"/>
      <c r="C10" s="4"/>
    </row>
    <row r="11" ht="15.75" customHeight="1">
      <c r="A11" s="14"/>
      <c r="B11" s="4"/>
      <c r="C11" s="4"/>
    </row>
    <row r="12" ht="15.75" customHeight="1">
      <c r="A12" s="14"/>
      <c r="B12" s="4"/>
      <c r="C12" s="4"/>
    </row>
    <row r="13" ht="15.75" customHeight="1">
      <c r="A13" s="14"/>
      <c r="B13" s="4"/>
      <c r="C13" s="4"/>
    </row>
    <row r="14" ht="15.75" customHeight="1">
      <c r="A14" s="14"/>
      <c r="B14" s="4"/>
      <c r="C14" s="4"/>
    </row>
    <row r="15" ht="15.75" customHeight="1">
      <c r="A15" s="14"/>
      <c r="B15" s="4"/>
      <c r="C15" s="4"/>
    </row>
    <row r="16" ht="15.75" customHeight="1">
      <c r="A16" s="14"/>
      <c r="B16" s="4"/>
      <c r="C16" s="4"/>
    </row>
    <row r="17" ht="15.75" customHeight="1">
      <c r="A17" s="14"/>
      <c r="B17" s="4"/>
      <c r="C17" s="4"/>
    </row>
    <row r="18" ht="15.75" customHeight="1">
      <c r="A18" s="14"/>
      <c r="B18" s="4"/>
      <c r="C18" s="4"/>
    </row>
    <row r="19" ht="15.75" customHeight="1">
      <c r="A19" s="14"/>
      <c r="B19" s="4"/>
      <c r="C19" s="4"/>
    </row>
    <row r="20" ht="15.75" customHeight="1">
      <c r="A20" s="14"/>
      <c r="B20" s="4"/>
      <c r="C20" s="4"/>
    </row>
    <row r="21" ht="15.75" customHeight="1">
      <c r="A21" s="14"/>
      <c r="B21" s="4"/>
      <c r="C21" s="4"/>
    </row>
    <row r="22" ht="15.75" customHeight="1">
      <c r="A22" s="14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2"/>
      <c r="C1" s="2"/>
      <c r="D1" s="2"/>
      <c r="E1" s="2"/>
      <c r="F1" s="3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7</v>
      </c>
      <c r="D3" s="11"/>
      <c r="E3" s="11"/>
      <c r="F3" s="11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4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12" t="s">
        <v>16</v>
      </c>
      <c r="C6" s="12" t="s">
        <v>17</v>
      </c>
      <c r="D6" s="12">
        <v>1000.0</v>
      </c>
      <c r="E6" s="4"/>
      <c r="F6" s="12" t="s">
        <v>18</v>
      </c>
      <c r="G6" s="4"/>
      <c r="H6" s="4"/>
      <c r="I6" s="4"/>
      <c r="J6" s="12">
        <v>22.0</v>
      </c>
      <c r="K6" s="4"/>
      <c r="L6" s="4"/>
      <c r="M6" s="4"/>
      <c r="N6" s="29">
        <f t="shared" ref="N6:N7" si="1">today()</f>
        <v>43726</v>
      </c>
      <c r="O6" s="4"/>
    </row>
    <row r="7" ht="15.75" customHeight="1">
      <c r="A7" s="4"/>
      <c r="B7" s="12" t="s">
        <v>16</v>
      </c>
      <c r="C7" s="12" t="s">
        <v>19</v>
      </c>
      <c r="D7" s="12">
        <v>1000.0</v>
      </c>
      <c r="E7" s="4"/>
      <c r="F7" s="12" t="s">
        <v>18</v>
      </c>
      <c r="G7" s="4"/>
      <c r="H7" s="4"/>
      <c r="I7" s="4"/>
      <c r="J7" s="12">
        <v>29.0</v>
      </c>
      <c r="K7" s="4"/>
      <c r="L7" s="4"/>
      <c r="M7" s="4"/>
      <c r="N7" s="29">
        <f t="shared" si="1"/>
        <v>43726</v>
      </c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1-RJhOo2E5PhyqaiMEjsPi8RpfYBuiSqE9fj_-bRpkKw</v>
      </c>
      <c r="K2" s="19"/>
      <c r="L2" s="4"/>
      <c r="M2" s="4"/>
      <c r="N2" s="4"/>
      <c r="O2" s="4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21</v>
      </c>
      <c r="F3" s="9" t="s">
        <v>14</v>
      </c>
      <c r="G3" s="14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12" t="s">
        <v>16</v>
      </c>
      <c r="C6" s="12">
        <v>1000.0</v>
      </c>
      <c r="D6" s="4"/>
      <c r="E6" s="12" t="s">
        <v>18</v>
      </c>
      <c r="F6" s="12" t="s">
        <v>17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22</v>
      </c>
      <c r="F3" s="9" t="s">
        <v>14</v>
      </c>
      <c r="G3" s="14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IFERROR(__xludf.DUMMYFUNCTION("""COMPUTED_VALUE"""),"AvgPrice")</f>
        <v>AvgPrice</v>
      </c>
      <c r="C5" s="26" t="str">
        <f>IFERROR(__xludf.DUMMYFUNCTION("""COMPUTED_VALUE"""),"Commission")</f>
        <v>Commission</v>
      </c>
      <c r="D5" s="26" t="str">
        <f>IFERROR(__xludf.DUMMYFUNCTION("""COMPUTED_VALUE"""),"SoftCommission")</f>
        <v>SoftCommission</v>
      </c>
      <c r="E5" s="26" t="str">
        <f>IFERROR(__xludf.DUMMYFUNCTION("""COMPUTED_VALUE"""),"OtherBrokerFees")</f>
        <v>OtherBrokerFees</v>
      </c>
      <c r="F5" s="27" t="str">
        <f>IFERROR(__xludf.DUMMYFUNCTION("""COMPUTED_VALUE"""),"ClearingBrokerFees")</f>
        <v>ClearingBrokerFees</v>
      </c>
      <c r="G5" s="26" t="str">
        <f>IFERROR(__xludf.DUMMYFUNCTION("""COMPUTED_VALUE"""),"StampDuty")</f>
        <v>StampDuty</v>
      </c>
      <c r="H5" s="26" t="str">
        <f>IFERROR(__xludf.DUMMYFUNCTION("""COMPUTED_VALUE"""),"TransactionLevy")</f>
        <v>TransactionLevy</v>
      </c>
      <c r="I5" s="26" t="str">
        <f>IFERROR(__xludf.DUMMYFUNCTION("""COMPUTED_VALUE"""),"AUECFee1")</f>
        <v>AUECFee1</v>
      </c>
      <c r="J5" s="26" t="str">
        <f>IFERROR(__xludf.DUMMYFUNCTION("""COMPUTED_VALUE"""),"TaxOnCommissions")</f>
        <v>TaxOnCommissions</v>
      </c>
      <c r="K5" s="26" t="str">
        <f>IFERROR(__xludf.DUMMYFUNCTION("""COMPUTED_VALUE"""),"AUECFee2")</f>
        <v>AUECFee2</v>
      </c>
      <c r="L5" s="26" t="str">
        <f>IFERROR(__xludf.DUMMYFUNCTION("""COMPUTED_VALUE"""),"SecFee")</f>
        <v>SecFee</v>
      </c>
      <c r="M5" s="26" t="str">
        <f>IFERROR(__xludf.DUMMYFUNCTION("""COMPUTED_VALUE"""),"OccFee")</f>
        <v>OccFee</v>
      </c>
      <c r="N5" s="26" t="str">
        <f>IFERROR(__xludf.DUMMYFUNCTION("""COMPUTED_VALUE"""),"OrfFee")</f>
        <v>OrfFee</v>
      </c>
      <c r="O5" s="26" t="str">
        <f>IFERROR(__xludf.DUMMYFUNCTION("""COMPUTED_VALUE"""),"Broker")</f>
        <v>Broker</v>
      </c>
      <c r="P5" s="26" t="str">
        <f>IFERROR(__xludf.DUMMYFUNCTION("""COMPUTED_VALUE"""),"Venue")</f>
        <v>Venue</v>
      </c>
      <c r="Q5" s="26" t="str">
        <f>IFERROR(__xludf.DUMMYFUNCTION("""COMPUTED_VALUE"""),"Description")</f>
        <v>Description</v>
      </c>
      <c r="R5" s="26" t="str">
        <f>IFERROR(__xludf.DUMMYFUNCTION("""COMPUTED_VALUE"""),"InternalComments")</f>
        <v>InternalComments</v>
      </c>
      <c r="S5" s="26" t="str">
        <f>IFERROR(__xludf.DUMMYFUNCTION("""COMPUTED_VALUE"""),"FXRate")</f>
        <v>FXRate</v>
      </c>
      <c r="T5" s="28" t="str">
        <f>IFERROR(__xludf.DUMMYFUNCTION("""COMPUTED_VALUE"""),"FxConvOperator")</f>
        <v>FxConvOperator</v>
      </c>
      <c r="U5" s="28" t="str">
        <f>IFERROR(__xludf.DUMMYFUNCTION("""COMPUTED_VALUE"""),"AccruedInterest")</f>
        <v>AccruedInterest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4"/>
      <c r="C6" s="12">
        <v>60.0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23</v>
      </c>
      <c r="F3" s="9" t="s">
        <v>14</v>
      </c>
      <c r="G3" s="14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12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T6" s="30">
        <v>60.0</v>
      </c>
      <c r="BO6" s="30" t="s">
        <v>17</v>
      </c>
      <c r="BT6" s="30" t="s">
        <v>16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9" t="s">
        <v>4</v>
      </c>
      <c r="C3" s="21" t="s">
        <v>24</v>
      </c>
      <c r="D3" s="9" t="s">
        <v>6</v>
      </c>
      <c r="E3" s="21" t="s">
        <v>25</v>
      </c>
      <c r="F3" s="9" t="s">
        <v>14</v>
      </c>
      <c r="G3" s="14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b">
        <v>0</v>
      </c>
      <c r="C6" s="32" t="b">
        <v>1</v>
      </c>
      <c r="D6" s="33" t="s">
        <v>18</v>
      </c>
      <c r="E6" s="33" t="s">
        <v>26</v>
      </c>
      <c r="F6" s="33"/>
      <c r="G6" s="33"/>
      <c r="H6" s="33"/>
      <c r="I6" s="34"/>
      <c r="J6" s="33"/>
      <c r="K6" s="33"/>
      <c r="L6" s="33"/>
      <c r="M6" s="33"/>
      <c r="N6" s="33"/>
      <c r="O6" s="35">
        <v>1000.0</v>
      </c>
      <c r="P6" s="33"/>
      <c r="Q6" s="33"/>
      <c r="R6" s="33"/>
      <c r="S6" s="33"/>
      <c r="T6" s="31"/>
      <c r="U6" s="31"/>
      <c r="V6" s="31" t="s">
        <v>17</v>
      </c>
      <c r="W6" s="31"/>
      <c r="X6" s="36" t="s">
        <v>16</v>
      </c>
      <c r="Y6" s="31"/>
      <c r="Z6" s="31"/>
      <c r="AA6" s="31"/>
      <c r="AB6" s="31"/>
      <c r="AC6" s="31"/>
      <c r="AD6" s="31"/>
      <c r="AE6" s="31" t="s">
        <v>18</v>
      </c>
      <c r="AF6" s="31" t="s">
        <v>26</v>
      </c>
      <c r="AG6" s="31"/>
      <c r="AH6" s="31"/>
      <c r="AI6" s="31"/>
      <c r="AJ6" s="31"/>
      <c r="AK6" s="31"/>
      <c r="AL6" s="31"/>
      <c r="AM6" s="31"/>
      <c r="AN6" s="31"/>
      <c r="AO6" s="31"/>
      <c r="AP6" s="37">
        <v>1000.0</v>
      </c>
      <c r="AQ6" s="31"/>
      <c r="AR6" s="31"/>
      <c r="AS6" s="31"/>
      <c r="AT6" s="31"/>
      <c r="AU6" s="31"/>
      <c r="AV6" s="31"/>
      <c r="AW6" s="31" t="s">
        <v>19</v>
      </c>
      <c r="AX6" s="31"/>
      <c r="AY6" s="36" t="s">
        <v>16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