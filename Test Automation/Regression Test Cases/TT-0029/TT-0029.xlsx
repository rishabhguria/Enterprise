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CompliancePreference" sheetId="4" r:id="rId6"/>
    <sheet state="visible" name="CreateStageOrder" sheetId="5" r:id="rId7"/>
    <sheet state="visible" name="CreateDoneAwayOrder" sheetId="6" r:id="rId8"/>
    <sheet state="visible" name="CreateLiveOrder" sheetId="7" r:id="rId9"/>
    <sheet state="visible" name="VerifyOrder" sheetId="8" r:id="rId10"/>
    <sheet state="visible" name="GetDataAllocation" sheetId="9" r:id="rId11"/>
    <sheet state="visible" name="CheckAllocatedGroups" sheetId="10" r:id="rId12"/>
  </sheets>
  <definedNames/>
  <calcPr/>
</workbook>
</file>

<file path=xl/sharedStrings.xml><?xml version="1.0" encoding="utf-8"?>
<sst xmlns="http://schemas.openxmlformats.org/spreadsheetml/2006/main" count="130" uniqueCount="35">
  <si>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</si>
  <si>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</si>
  <si>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</si>
  <si>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</si>
  <si>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</si>
  <si>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</si>
  <si>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</si>
  <si>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</si>
  <si>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</si>
  <si>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</si>
  <si>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</si>
  <si>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</si>
  <si>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</si>
  <si>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SetTTCompliancePreference</t>
  </si>
  <si>
    <t>Data Format</t>
  </si>
  <si>
    <t>Input Format</t>
  </si>
  <si>
    <t>CreateStageOrder</t>
  </si>
  <si>
    <t>AAPL</t>
  </si>
  <si>
    <t>Buy</t>
  </si>
  <si>
    <t>Allocation1</t>
  </si>
  <si>
    <t>CreateDoneAwayOrder</t>
  </si>
  <si>
    <t>CreateLiveOrder</t>
  </si>
  <si>
    <t>Blotter</t>
  </si>
  <si>
    <t>VerifyOrder</t>
  </si>
  <si>
    <t>Equity</t>
  </si>
  <si>
    <t>New</t>
  </si>
  <si>
    <t>MS</t>
  </si>
  <si>
    <t>Market</t>
  </si>
  <si>
    <t>PartiallyFilled</t>
  </si>
  <si>
    <t>Filled</t>
  </si>
  <si>
    <t>Allocation</t>
  </si>
  <si>
    <t>GetDataAllocation</t>
  </si>
  <si>
    <t>Current</t>
  </si>
  <si>
    <t>CheckAllocatedGroups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</si>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</sst>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#,###,###,###,##0.00#############"/>
    <numFmt numFmtId="165" formatCode="#,##0.0000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Arial"/>
    </font>
    <font>
      <sz val="11.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5" numFmtId="3" xfId="0" applyAlignment="1" applyFont="1" applyNumberFormat="1">
      <alignment horizontal="right" vertical="bottom"/>
    </xf>
    <xf borderId="0" fillId="0" fontId="14" numFmtId="164" xfId="0" applyAlignment="1" applyFont="1" applyNumberFormat="1">
      <alignment horizontal="right" vertical="bottom"/>
    </xf>
    <xf borderId="0" fillId="0" fontId="15" numFmtId="164" xfId="0" applyAlignment="1" applyFont="1" applyNumberFormat="1">
      <alignment horizontal="right" vertical="bottom"/>
    </xf>
    <xf borderId="0" fillId="0" fontId="16" numFmtId="165" xfId="0" applyAlignment="1" applyFont="1" applyNumberFormat="1">
      <alignment horizontal="right" vertical="bottom"/>
    </xf>
    <xf borderId="0" fillId="0" fontId="16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IFERROR(__xludf.DUMMYFUNCTION("""COMPUTED_VALUE"""),"PopUpTargetQty")</f>
        <v>PopUpTargetQty</v>
      </c>
      <c r="C5" s="28" t="str">
        <f>IFERROR(__xludf.DUMMYFUNCTION("""COMPUTED_VALUE"""),"PopUpNewOrder")</f>
        <v>PopUpNewOrder</v>
      </c>
      <c r="D5" s="28" t="str">
        <f>IFERROR(__xludf.DUMMYFUNCTION("""COMPUTED_VALUE"""),"PopUpCXL")</f>
        <v>PopUpCXL</v>
      </c>
      <c r="E5" s="28" t="str">
        <f>IFERROR(__xludf.DUMMYFUNCTION("""COMPUTED_VALUE"""),"PopUpReplace")</f>
        <v>PopUpReplace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SetTTCompliancePreference!$4:$4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17</v>
      </c>
      <c r="C6" s="34" t="s">
        <v>18</v>
      </c>
      <c r="D6" s="35">
        <v>1000.0</v>
      </c>
      <c r="E6" s="36">
        <v>1000.0</v>
      </c>
      <c r="F6" s="34" t="s">
        <v>19</v>
      </c>
      <c r="G6" s="37"/>
      <c r="H6" s="37"/>
      <c r="I6" s="37"/>
      <c r="J6" s="36">
        <v>10.0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4" t="s">
        <v>17</v>
      </c>
      <c r="C7" s="34" t="s">
        <v>18</v>
      </c>
      <c r="D7" s="36">
        <v>1000.0</v>
      </c>
      <c r="E7" s="36">
        <v>1000.0</v>
      </c>
      <c r="F7" s="34" t="s">
        <v>19</v>
      </c>
      <c r="G7" s="37"/>
      <c r="H7" s="37"/>
      <c r="I7" s="37"/>
      <c r="J7" s="36">
        <v>10.0</v>
      </c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17</v>
      </c>
      <c r="C6" s="34" t="s">
        <v>18</v>
      </c>
      <c r="D6" s="35">
        <v>1000.0</v>
      </c>
      <c r="E6" s="36">
        <v>1000.0</v>
      </c>
      <c r="F6" s="34" t="s">
        <v>19</v>
      </c>
      <c r="G6" s="37"/>
      <c r="H6" s="37"/>
      <c r="I6" s="37"/>
      <c r="J6" s="36">
        <v>10.0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8">
        <v>500.0</v>
      </c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4" t="s">
        <v>17</v>
      </c>
      <c r="C7" s="34" t="s">
        <v>18</v>
      </c>
      <c r="D7" s="36">
        <v>1000.0</v>
      </c>
      <c r="E7" s="36">
        <v>1000.0</v>
      </c>
      <c r="F7" s="34" t="s">
        <v>19</v>
      </c>
      <c r="G7" s="37"/>
      <c r="H7" s="37"/>
      <c r="I7" s="37"/>
      <c r="J7" s="36">
        <v>10.0</v>
      </c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17</v>
      </c>
      <c r="C6" s="34" t="s">
        <v>18</v>
      </c>
      <c r="D6" s="35">
        <v>1000.0</v>
      </c>
      <c r="E6" s="36">
        <v>1000.0</v>
      </c>
      <c r="F6" s="34" t="s">
        <v>19</v>
      </c>
      <c r="G6" s="37"/>
      <c r="H6" s="37"/>
      <c r="I6" s="37"/>
      <c r="J6" s="36">
        <v>10.0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4" t="s">
        <v>17</v>
      </c>
      <c r="C7" s="34" t="s">
        <v>18</v>
      </c>
      <c r="D7" s="36">
        <v>1000.0</v>
      </c>
      <c r="E7" s="36">
        <v>1000.0</v>
      </c>
      <c r="F7" s="34" t="s">
        <v>19</v>
      </c>
      <c r="G7" s="37"/>
      <c r="H7" s="37"/>
      <c r="I7" s="37"/>
      <c r="J7" s="36">
        <v>10.0</v>
      </c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7"/>
      <c r="D6" s="35">
        <v>0.0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8">
        <v>1.0</v>
      </c>
      <c r="AE6" s="37"/>
      <c r="AF6" s="37"/>
      <c r="AG6" s="37"/>
      <c r="AH6" s="37" t="s">
        <v>24</v>
      </c>
      <c r="AI6" s="37" t="s">
        <v>17</v>
      </c>
      <c r="AJ6" s="37" t="s">
        <v>18</v>
      </c>
      <c r="AK6" s="37" t="s">
        <v>25</v>
      </c>
      <c r="AL6" s="39">
        <v>1000.0</v>
      </c>
      <c r="AM6" s="37"/>
      <c r="AN6" s="37"/>
      <c r="AO6" s="37"/>
      <c r="AP6" s="39">
        <v>1000.0</v>
      </c>
      <c r="AQ6" s="38">
        <v>0.0</v>
      </c>
      <c r="AR6" s="38">
        <v>0.0</v>
      </c>
      <c r="AS6" s="37" t="s">
        <v>26</v>
      </c>
      <c r="AT6" s="37" t="s">
        <v>19</v>
      </c>
      <c r="AU6" s="37" t="s">
        <v>27</v>
      </c>
      <c r="AV6" s="38">
        <v>0.0</v>
      </c>
      <c r="AW6" s="38">
        <v>0.0</v>
      </c>
      <c r="AX6" s="37"/>
      <c r="AY6" s="39">
        <v>1000.0</v>
      </c>
      <c r="AZ6" s="39">
        <v>1000.0</v>
      </c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/>
      <c r="C7" s="37"/>
      <c r="D7" s="36">
        <v>10.0</v>
      </c>
      <c r="E7" s="37"/>
      <c r="F7" s="37"/>
      <c r="G7" s="36">
        <v>500.0</v>
      </c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8">
        <v>1.0</v>
      </c>
      <c r="AE7" s="37"/>
      <c r="AF7" s="37"/>
      <c r="AG7" s="37"/>
      <c r="AH7" s="37" t="s">
        <v>24</v>
      </c>
      <c r="AI7" s="37" t="s">
        <v>17</v>
      </c>
      <c r="AJ7" s="37" t="s">
        <v>18</v>
      </c>
      <c r="AK7" s="37" t="s">
        <v>28</v>
      </c>
      <c r="AL7" s="39">
        <v>1000.0</v>
      </c>
      <c r="AM7" s="38">
        <v>500.0</v>
      </c>
      <c r="AN7" s="38">
        <v>50.0</v>
      </c>
      <c r="AO7" s="38">
        <v>500.0</v>
      </c>
      <c r="AP7" s="37"/>
      <c r="AQ7" s="38">
        <v>10.0</v>
      </c>
      <c r="AR7" s="38">
        <v>10.0</v>
      </c>
      <c r="AS7" s="37" t="s">
        <v>26</v>
      </c>
      <c r="AT7" s="37" t="s">
        <v>19</v>
      </c>
      <c r="AU7" s="37" t="s">
        <v>27</v>
      </c>
      <c r="AV7" s="39">
        <v>5000.0</v>
      </c>
      <c r="AW7" s="39">
        <v>5000.0</v>
      </c>
      <c r="AX7" s="37"/>
      <c r="AY7" s="39">
        <v>1000.0</v>
      </c>
      <c r="AZ7" s="38">
        <v>500.0</v>
      </c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/>
      <c r="C8" s="37"/>
      <c r="D8" s="36">
        <v>0.0</v>
      </c>
      <c r="E8" s="37"/>
      <c r="F8" s="37"/>
      <c r="G8" s="40">
        <v>1000.0</v>
      </c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8">
        <v>1.0</v>
      </c>
      <c r="AE8" s="37"/>
      <c r="AF8" s="37"/>
      <c r="AG8" s="37"/>
      <c r="AH8" s="37" t="s">
        <v>24</v>
      </c>
      <c r="AI8" s="37" t="s">
        <v>17</v>
      </c>
      <c r="AJ8" s="37" t="s">
        <v>18</v>
      </c>
      <c r="AK8" s="37" t="s">
        <v>25</v>
      </c>
      <c r="AL8" s="39">
        <v>1000.0</v>
      </c>
      <c r="AM8" s="37"/>
      <c r="AN8" s="37"/>
      <c r="AO8" s="37"/>
      <c r="AP8" s="37"/>
      <c r="AQ8" s="38">
        <v>0.0</v>
      </c>
      <c r="AR8" s="38">
        <v>0.0</v>
      </c>
      <c r="AS8" s="37" t="s">
        <v>26</v>
      </c>
      <c r="AT8" s="37" t="s">
        <v>19</v>
      </c>
      <c r="AU8" s="37" t="s">
        <v>27</v>
      </c>
      <c r="AV8" s="38">
        <v>0.0</v>
      </c>
      <c r="AW8" s="38">
        <v>0.0</v>
      </c>
      <c r="AX8" s="37"/>
      <c r="AY8" s="39">
        <v>1000.0</v>
      </c>
      <c r="AZ8" s="39">
        <v>1000.0</v>
      </c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7"/>
      <c r="C9" s="37"/>
      <c r="D9" s="36">
        <v>0.0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 t="s">
        <v>24</v>
      </c>
      <c r="AI9" s="37" t="s">
        <v>17</v>
      </c>
      <c r="AJ9" s="37" t="s">
        <v>18</v>
      </c>
      <c r="AK9" s="37" t="s">
        <v>25</v>
      </c>
      <c r="AL9" s="38">
        <v>1000.0</v>
      </c>
      <c r="AM9" s="37"/>
      <c r="AN9" s="37"/>
      <c r="AO9" s="37"/>
      <c r="AP9" s="38">
        <v>1000.0</v>
      </c>
      <c r="AQ9" s="38">
        <v>0.0</v>
      </c>
      <c r="AR9" s="38">
        <v>0.0</v>
      </c>
      <c r="AS9" s="37"/>
      <c r="AT9" s="37" t="s">
        <v>19</v>
      </c>
      <c r="AU9" s="37"/>
      <c r="AV9" s="38">
        <v>0.0</v>
      </c>
      <c r="AW9" s="38">
        <v>0.0</v>
      </c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37"/>
      <c r="C10" s="37"/>
      <c r="D10" s="36">
        <v>10.0</v>
      </c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 t="s">
        <v>24</v>
      </c>
      <c r="AI10" s="37" t="s">
        <v>17</v>
      </c>
      <c r="AJ10" s="37" t="s">
        <v>18</v>
      </c>
      <c r="AK10" s="37" t="s">
        <v>29</v>
      </c>
      <c r="AL10" s="38">
        <v>1000.0</v>
      </c>
      <c r="AM10" s="38">
        <v>1000.0</v>
      </c>
      <c r="AN10" s="38">
        <v>100.0</v>
      </c>
      <c r="AO10" s="37"/>
      <c r="AP10" s="37"/>
      <c r="AQ10" s="38">
        <v>10.0</v>
      </c>
      <c r="AR10" s="38">
        <v>10.0</v>
      </c>
      <c r="AS10" s="37"/>
      <c r="AT10" s="37" t="s">
        <v>19</v>
      </c>
      <c r="AU10" s="37"/>
      <c r="AV10" s="38">
        <v>10000.0</v>
      </c>
      <c r="AW10" s="38">
        <v>10000.0</v>
      </c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37"/>
      <c r="B11" s="37"/>
      <c r="C11" s="37"/>
      <c r="D11" s="36">
        <v>0.0</v>
      </c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 t="s">
        <v>24</v>
      </c>
      <c r="AI11" s="37" t="s">
        <v>17</v>
      </c>
      <c r="AJ11" s="37" t="s">
        <v>18</v>
      </c>
      <c r="AK11" s="37" t="s">
        <v>25</v>
      </c>
      <c r="AL11" s="38">
        <v>1000.0</v>
      </c>
      <c r="AM11" s="37"/>
      <c r="AN11" s="37"/>
      <c r="AO11" s="37"/>
      <c r="AP11" s="37"/>
      <c r="AQ11" s="38">
        <v>0.0</v>
      </c>
      <c r="AR11" s="38">
        <v>0.0</v>
      </c>
      <c r="AS11" s="37"/>
      <c r="AT11" s="37" t="s">
        <v>19</v>
      </c>
      <c r="AU11" s="37"/>
      <c r="AV11" s="38">
        <v>0.0</v>
      </c>
      <c r="AW11" s="38">
        <v>0.0</v>
      </c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19</v>
      </c>
      <c r="C6" s="37"/>
      <c r="D6" s="41">
        <v>0.0</v>
      </c>
      <c r="E6" s="41">
        <v>500.0</v>
      </c>
      <c r="F6" s="37"/>
      <c r="G6" s="34" t="s">
        <v>24</v>
      </c>
      <c r="H6" s="41">
        <v>4.0</v>
      </c>
      <c r="I6" s="41">
        <v>5.0</v>
      </c>
      <c r="J6" s="37"/>
      <c r="K6" s="42">
        <v>10.0</v>
      </c>
      <c r="L6" s="42">
        <v>10.0</v>
      </c>
      <c r="M6" s="37"/>
      <c r="N6" s="37"/>
      <c r="O6" s="34" t="s">
        <v>26</v>
      </c>
      <c r="P6" s="37"/>
      <c r="Q6" s="41">
        <v>3.0</v>
      </c>
      <c r="R6" s="41">
        <v>0.0</v>
      </c>
      <c r="S6" s="37" t="s">
        <v>34</v>
      </c>
      <c r="T6" s="41">
        <v>0.0</v>
      </c>
      <c r="U6" s="41">
        <v>0.0</v>
      </c>
      <c r="V6" s="37"/>
      <c r="W6" s="37"/>
      <c r="X6" s="37"/>
      <c r="Y6" s="37"/>
      <c r="Z6" s="37"/>
      <c r="AA6" s="37"/>
      <c r="AB6" s="37"/>
      <c r="AC6" s="37"/>
      <c r="AD6" s="37"/>
      <c r="AE6" s="41">
        <v>500.0</v>
      </c>
      <c r="AF6" s="37"/>
      <c r="AG6" s="37"/>
      <c r="AH6" s="37"/>
      <c r="AI6" s="38">
        <v>1.0</v>
      </c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42">
        <v>5014.0028</v>
      </c>
      <c r="AU6" s="42">
        <v>5014.0028</v>
      </c>
      <c r="AV6" s="37"/>
      <c r="AW6" s="41">
        <v>0.0</v>
      </c>
      <c r="AX6" s="41">
        <v>0.0</v>
      </c>
      <c r="AY6" s="37" t="s">
        <v>27</v>
      </c>
      <c r="AZ6" s="41">
        <v>0.0</v>
      </c>
      <c r="BA6" s="37"/>
      <c r="BB6" s="37"/>
      <c r="BC6" s="41">
        <v>0.0</v>
      </c>
      <c r="BD6" s="37"/>
      <c r="BE6" s="42">
        <v>5000.0</v>
      </c>
      <c r="BF6" s="42">
        <v>5000.0</v>
      </c>
      <c r="BG6" s="37"/>
      <c r="BH6" s="37"/>
      <c r="BI6" s="37"/>
      <c r="BJ6" s="41">
        <v>1000.0</v>
      </c>
      <c r="BK6" s="41">
        <v>0.0</v>
      </c>
      <c r="BL6" s="37"/>
      <c r="BM6" s="37"/>
      <c r="BN6" s="37"/>
      <c r="BO6" s="37" t="s">
        <v>18</v>
      </c>
      <c r="BP6" s="41">
        <v>0.0</v>
      </c>
      <c r="BQ6" s="41">
        <v>0.0</v>
      </c>
      <c r="BR6" s="37"/>
      <c r="BS6" s="37"/>
      <c r="BT6" s="37" t="s">
        <v>17</v>
      </c>
      <c r="BU6" s="41">
        <v>3.0</v>
      </c>
      <c r="BV6" s="41">
        <v>0.0</v>
      </c>
      <c r="BW6" s="41">
        <v>14.0028</v>
      </c>
      <c r="BX6" s="41">
        <v>0.0</v>
      </c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 t="s">
        <v>18</v>
      </c>
      <c r="CJ6" s="41">
        <v>0.0</v>
      </c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4" t="s">
        <v>19</v>
      </c>
      <c r="C7" s="37"/>
      <c r="D7" s="36">
        <v>0.0</v>
      </c>
      <c r="E7" s="36">
        <v>1000.0</v>
      </c>
      <c r="F7" s="37"/>
      <c r="G7" s="37"/>
      <c r="H7" s="36">
        <v>4.0</v>
      </c>
      <c r="I7" s="36">
        <v>5.0</v>
      </c>
      <c r="J7" s="36">
        <v>1.0</v>
      </c>
      <c r="K7" s="36">
        <v>10.0</v>
      </c>
      <c r="L7" s="36">
        <v>10.0</v>
      </c>
      <c r="M7" s="37"/>
      <c r="N7" s="37"/>
      <c r="O7" s="34" t="s">
        <v>26</v>
      </c>
      <c r="P7" s="37"/>
      <c r="Q7" s="37"/>
      <c r="R7" s="38">
        <v>0.0</v>
      </c>
      <c r="S7" s="37" t="s">
        <v>34</v>
      </c>
      <c r="T7" s="38">
        <v>0.0</v>
      </c>
      <c r="U7" s="38">
        <v>0.0</v>
      </c>
      <c r="V7" s="37"/>
      <c r="W7" s="37"/>
      <c r="X7" s="37"/>
      <c r="Y7" s="37"/>
      <c r="Z7" s="37"/>
      <c r="AA7" s="37"/>
      <c r="AB7" s="37"/>
      <c r="AC7" s="37"/>
      <c r="AD7" s="37"/>
      <c r="AE7" s="38">
        <v>1000.0</v>
      </c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43">
        <v>10014.0056</v>
      </c>
      <c r="AU7" s="43">
        <v>10014.0056</v>
      </c>
      <c r="AV7" s="37"/>
      <c r="AW7" s="37"/>
      <c r="AX7" s="37"/>
      <c r="AY7" s="37" t="s">
        <v>27</v>
      </c>
      <c r="AZ7" s="37"/>
      <c r="BA7" s="37"/>
      <c r="BB7" s="37"/>
      <c r="BC7" s="37"/>
      <c r="BD7" s="37"/>
      <c r="BE7" s="44">
        <v>10000.0</v>
      </c>
      <c r="BF7" s="44">
        <v>10000.0</v>
      </c>
      <c r="BG7" s="37"/>
      <c r="BH7" s="37"/>
      <c r="BI7" s="37"/>
      <c r="BJ7" s="38">
        <v>1000.0</v>
      </c>
      <c r="BK7" s="38">
        <v>0.0</v>
      </c>
      <c r="BL7" s="37"/>
      <c r="BM7" s="37"/>
      <c r="BN7" s="37"/>
      <c r="BO7" s="37" t="s">
        <v>18</v>
      </c>
      <c r="BP7" s="38">
        <v>0.0</v>
      </c>
      <c r="BQ7" s="38">
        <v>0.0</v>
      </c>
      <c r="BR7" s="37"/>
      <c r="BS7" s="37"/>
      <c r="BT7" s="37" t="s">
        <v>17</v>
      </c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8">
        <v>2.0</v>
      </c>
      <c r="CH7" s="37"/>
      <c r="CI7" s="37" t="s">
        <v>18</v>
      </c>
      <c r="CJ7" s="38">
        <v>0.0</v>
      </c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