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reateDoneAwayOrder1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reateDoneAwayOrder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CheckDashboardPM" sheetId="23" r:id="rId25"/>
  </sheets>
  <definedNames/>
  <calcPr/>
</workbook>
</file>

<file path=xl/sharedStrings.xml><?xml version="1.0" encoding="utf-8"?>
<sst xmlns="http://schemas.openxmlformats.org/spreadsheetml/2006/main" count="285" uniqueCount="137">
  <si>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</si>
  <si>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</si>
  <si>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</si>
  <si>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</si>
  <si>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</si>
  <si>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</si>
  <si>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</si>
  <si>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</si>
  <si>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</si>
  <si>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</si>
  <si>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</si>
  <si>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</si>
  <si>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</si>
  <si>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</si>
  <si>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</si>
  <si>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</si>
  <si>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</si>
  <si>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</si>
  <si>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</si>
  <si>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</si>
  <si>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</si>
  <si>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</si>
  <si>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</si>
  <si>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</si>
  <si>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</si>
  <si>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</si>
  <si>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</si>
  <si>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</si>
  <si>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</si>
  <si>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</si>
  <si>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</si>
  <si>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</si>
  <si>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</si>
  <si>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</si>
  <si>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</si>
  <si>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</si>
  <si>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</si>
  <si>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</si>
  <si>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</si>
  <si>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</si>
  <si>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</si>
  <si>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</si>
  <si>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</si>
  <si>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</si>
  <si>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</si>
  <si>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</si>
  <si>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</si>
  <si>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</si>
  <si>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</si>
  <si>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</si>
  <si>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</si>
  <si>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</si>
  <si>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</si>
  <si>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</si>
  <si>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</si>
  <si>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</si>
  <si>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</si>
  <si>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</si>
  <si>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</si>
  <si>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</si>
  <si>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</si>
  <si>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</si>
  <si>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</si>
  <si>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</si>
  <si>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</si>
  <si>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</si>
  <si>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</si>
  <si>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</si>
  <si>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</si>
  <si>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</si>
  <si>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</si>
  <si>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</si>
  <si>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</si>
  <si>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</si>
  <si>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</si>
  <si>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</si>
  <si>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</si>
  <si>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</si>
  <si>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</si>
  <si>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</si>
  <si>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</si>
  <si>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</si>
  <si>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</si>
  <si>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</si>
  <si>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</si>
  <si>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</si>
  <si>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</si>
  <si>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</si>
  <si>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</si>
  <si>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</si>
  <si>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</si>
  <si>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</si>
  <si>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</si>
  <si>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</si>
  <si>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</si>
  <si>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</si>
  <si>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</si>
  <si>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</si>
  <si>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</si>
  <si>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</si>
  <si>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</si>
  <si>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Open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</si>
  <si>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</si>
  <si>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</si>
  <si>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</si>
  <si>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</si>
  <si>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</si>
  <si>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</si>
  <si>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</si>
  <si>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</si>
  <si>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</si>
  <si>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</si>
  <si>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</si>
  <si>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</si>
  <si>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</si>
  <si>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</si>
  <si>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>CreateDoneAwayOrder</t>
  </si>
  <si>
    <t xml:space="preserve"> ES U5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</si>
  <si>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</si>
  <si>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</si>
  <si>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</si>
  <si>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</si>
  <si>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</si>
  <si>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</si>
  <si>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</si>
  <si>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</si>
  <si>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</si>
  <si>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</si>
  <si>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</si>
  <si>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</si>
  <si>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</si>
  <si>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</si>
  <si>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</si>
  <si>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</si>
  <si>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</si>
  <si>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PortfolioManagement</t>
  </si>
  <si>
    <t>CheckDashboardPM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</si>
</sst>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31</v>
      </c>
      <c r="C5" s="27" t="s">
        <v>32</v>
      </c>
      <c r="D5" s="27" t="s">
        <v>33</v>
      </c>
      <c r="E5" s="27" t="s">
        <v>34</v>
      </c>
      <c r="F5" s="28" t="s">
        <v>35</v>
      </c>
      <c r="G5" s="27" t="s">
        <v>36</v>
      </c>
      <c r="H5" s="27" t="s">
        <v>37</v>
      </c>
      <c r="I5" s="27" t="s">
        <v>38</v>
      </c>
      <c r="J5" s="27" t="s">
        <v>39</v>
      </c>
      <c r="K5" s="27" t="s">
        <v>40</v>
      </c>
      <c r="L5" s="27" t="s">
        <v>41</v>
      </c>
      <c r="M5" s="27" t="s">
        <v>42</v>
      </c>
      <c r="N5" s="27" t="s">
        <v>43</v>
      </c>
      <c r="O5" s="27" t="s">
        <v>44</v>
      </c>
      <c r="P5" s="27" t="s">
        <v>45</v>
      </c>
      <c r="Q5" s="27" t="s">
        <v>46</v>
      </c>
      <c r="R5" s="27" t="s">
        <v>47</v>
      </c>
      <c r="S5" s="27" t="s">
        <v>48</v>
      </c>
      <c r="T5" s="29" t="s">
        <v>49</v>
      </c>
      <c r="U5" s="29" t="s">
        <v>50</v>
      </c>
      <c r="V5" s="29" t="s">
        <v>51</v>
      </c>
      <c r="W5" s="29" t="s">
        <v>52</v>
      </c>
      <c r="X5" s="29" t="s">
        <v>53</v>
      </c>
      <c r="Y5" s="29" t="s">
        <v>54</v>
      </c>
      <c r="Z5" s="29" t="s">
        <v>55</v>
      </c>
      <c r="AA5" s="29" t="s">
        <v>56</v>
      </c>
      <c r="AB5" s="29" t="s">
        <v>57</v>
      </c>
      <c r="AC5" s="29" t="s">
        <v>58</v>
      </c>
      <c r="AD5" s="29" t="s">
        <v>59</v>
      </c>
      <c r="AE5" s="29" t="s">
        <v>60</v>
      </c>
      <c r="AF5" s="29" t="s">
        <v>61</v>
      </c>
      <c r="AG5" s="29" t="s">
        <v>62</v>
      </c>
      <c r="AH5" s="29" t="s">
        <v>63</v>
      </c>
      <c r="AI5" s="29" t="s">
        <v>64</v>
      </c>
      <c r="AJ5" s="29" t="s">
        <v>65</v>
      </c>
      <c r="AK5" s="29" t="s">
        <v>66</v>
      </c>
      <c r="AL5" s="29" t="s">
        <v>67</v>
      </c>
      <c r="AM5" s="29" t="s">
        <v>68</v>
      </c>
      <c r="AN5" s="29" t="s">
        <v>69</v>
      </c>
      <c r="AO5" s="29" t="s">
        <v>70</v>
      </c>
      <c r="AP5" s="29" t="s">
        <v>71</v>
      </c>
      <c r="AQ5" s="29" t="s">
        <v>72</v>
      </c>
      <c r="AR5" s="29" t="s">
        <v>73</v>
      </c>
      <c r="AS5" s="29" t="s">
        <v>74</v>
      </c>
      <c r="AT5" s="29" t="s">
        <v>75</v>
      </c>
      <c r="AU5" s="29" t="s">
        <v>76</v>
      </c>
      <c r="AV5" s="29" t="s">
        <v>77</v>
      </c>
      <c r="AW5" s="29" t="s">
        <v>78</v>
      </c>
      <c r="AX5" s="29" t="s">
        <v>79</v>
      </c>
      <c r="AY5" s="29" t="s">
        <v>80</v>
      </c>
      <c r="AZ5" s="29" t="s">
        <v>81</v>
      </c>
      <c r="BA5" s="29" t="s">
        <v>82</v>
      </c>
      <c r="BB5" s="29" t="s">
        <v>83</v>
      </c>
      <c r="BC5" s="29" t="s">
        <v>84</v>
      </c>
      <c r="BD5" s="29" t="s">
        <v>85</v>
      </c>
      <c r="BE5" s="29" t="s">
        <v>86</v>
      </c>
      <c r="BF5" s="29" t="s">
        <v>87</v>
      </c>
      <c r="BG5" s="29" t="s">
        <v>88</v>
      </c>
      <c r="BH5" s="29" t="s">
        <v>89</v>
      </c>
      <c r="BI5" s="29" t="s">
        <v>90</v>
      </c>
      <c r="BJ5" s="29" t="s">
        <v>91</v>
      </c>
      <c r="BK5" s="29" t="s">
        <v>92</v>
      </c>
      <c r="BL5" s="29" t="s">
        <v>93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2" t="s">
        <v>94</v>
      </c>
      <c r="D6" s="33">
        <v>100.0</v>
      </c>
      <c r="F6" s="31"/>
      <c r="G6" s="31"/>
      <c r="H6" s="31"/>
      <c r="I6" s="31"/>
      <c r="J6" s="36">
        <v>26.47</v>
      </c>
      <c r="K6" s="31"/>
      <c r="L6" s="31"/>
      <c r="M6" s="31"/>
      <c r="N6" s="37">
        <f t="shared" ref="N6:N15" si="1">TODAY()-1</f>
        <v>45869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2" t="s">
        <v>94</v>
      </c>
      <c r="D7" s="33">
        <v>100.0</v>
      </c>
      <c r="F7" s="31"/>
      <c r="G7" s="31"/>
      <c r="H7" s="31"/>
      <c r="I7" s="31"/>
      <c r="J7" s="33">
        <v>10.0</v>
      </c>
      <c r="K7" s="31"/>
      <c r="L7" s="31"/>
      <c r="M7" s="31"/>
      <c r="N7" s="37">
        <f t="shared" si="1"/>
        <v>45869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2" t="s">
        <v>94</v>
      </c>
      <c r="D8" s="33">
        <v>12000.0</v>
      </c>
      <c r="F8" s="31"/>
      <c r="G8" s="31"/>
      <c r="H8" s="31"/>
      <c r="I8" s="31"/>
      <c r="J8" s="33">
        <v>25.0</v>
      </c>
      <c r="K8" s="31"/>
      <c r="L8" s="31"/>
      <c r="M8" s="31"/>
      <c r="N8" s="37">
        <f t="shared" si="1"/>
        <v>45869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2" t="s">
        <v>95</v>
      </c>
      <c r="D9" s="33">
        <v>10.0</v>
      </c>
      <c r="F9" s="31"/>
      <c r="G9" s="31"/>
      <c r="H9" s="31"/>
      <c r="I9" s="31"/>
      <c r="J9" s="33">
        <v>20.0</v>
      </c>
      <c r="K9" s="31"/>
      <c r="L9" s="31"/>
      <c r="M9" s="31"/>
      <c r="N9" s="37">
        <f t="shared" si="1"/>
        <v>45869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2" t="s">
        <v>96</v>
      </c>
      <c r="D10" s="33">
        <v>100.0</v>
      </c>
      <c r="F10" s="31"/>
      <c r="G10" s="31"/>
      <c r="H10" s="31"/>
      <c r="I10" s="31"/>
      <c r="J10" s="33">
        <v>10.0</v>
      </c>
      <c r="K10" s="31"/>
      <c r="L10" s="31"/>
      <c r="M10" s="31"/>
      <c r="N10" s="37">
        <f t="shared" si="1"/>
        <v>45869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2" t="s">
        <v>96</v>
      </c>
      <c r="D11" s="33">
        <v>10.0</v>
      </c>
      <c r="F11" s="31"/>
      <c r="G11" s="31"/>
      <c r="H11" s="31"/>
      <c r="I11" s="31"/>
      <c r="J11" s="33">
        <v>36.6</v>
      </c>
      <c r="K11" s="31"/>
      <c r="L11" s="31"/>
      <c r="M11" s="31"/>
      <c r="N11" s="37">
        <f t="shared" si="1"/>
        <v>45869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2" t="s">
        <v>94</v>
      </c>
      <c r="D12" s="33">
        <v>100.0</v>
      </c>
      <c r="F12" s="31"/>
      <c r="G12" s="31"/>
      <c r="H12" s="31"/>
      <c r="I12" s="31"/>
      <c r="J12" s="33">
        <v>8.0</v>
      </c>
      <c r="K12" s="31"/>
      <c r="L12" s="31"/>
      <c r="M12" s="31"/>
      <c r="N12" s="37">
        <f t="shared" si="1"/>
        <v>45869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97</v>
      </c>
      <c r="C13" s="32" t="s">
        <v>95</v>
      </c>
      <c r="D13" s="33">
        <v>20000.0</v>
      </c>
      <c r="F13" s="31"/>
      <c r="G13" s="31"/>
      <c r="H13" s="31"/>
      <c r="I13" s="31"/>
      <c r="J13" s="33">
        <v>5.0</v>
      </c>
      <c r="K13" s="31"/>
      <c r="L13" s="31"/>
      <c r="M13" s="31"/>
      <c r="N13" s="37">
        <f t="shared" si="1"/>
        <v>45869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98</v>
      </c>
      <c r="C14" s="32" t="s">
        <v>99</v>
      </c>
      <c r="D14" s="33">
        <v>100.0</v>
      </c>
      <c r="F14" s="31"/>
      <c r="G14" s="31"/>
      <c r="H14" s="31"/>
      <c r="I14" s="31"/>
      <c r="J14" s="33">
        <v>8.0</v>
      </c>
      <c r="K14" s="31"/>
      <c r="L14" s="31"/>
      <c r="M14" s="31"/>
      <c r="N14" s="37">
        <f t="shared" si="1"/>
        <v>45869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100</v>
      </c>
      <c r="C15" s="38" t="s">
        <v>101</v>
      </c>
      <c r="D15" s="33">
        <v>10.0</v>
      </c>
      <c r="F15" s="31"/>
      <c r="G15" s="31"/>
      <c r="H15" s="31"/>
      <c r="I15" s="31"/>
      <c r="J15" s="33">
        <v>5.0</v>
      </c>
      <c r="K15" s="31"/>
      <c r="L15" s="31"/>
      <c r="M15" s="31"/>
      <c r="N15" s="37">
        <f t="shared" si="1"/>
        <v>45869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102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97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98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100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45869</v>
      </c>
      <c r="C6" s="37">
        <f>TODAY()</f>
        <v>45870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106</v>
      </c>
      <c r="C6" s="32" t="s">
        <v>107</v>
      </c>
      <c r="D6" s="34" t="s">
        <v>108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109</v>
      </c>
      <c r="C7" s="32" t="s">
        <v>107</v>
      </c>
      <c r="D7" s="32" t="s">
        <v>110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111</v>
      </c>
      <c r="D3" s="5" t="s">
        <v>9</v>
      </c>
      <c r="E3" s="22" t="s">
        <v>112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113</v>
      </c>
      <c r="C6" s="37">
        <f>TODAY()-1</f>
        <v>45869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111</v>
      </c>
      <c r="D3" s="5" t="s">
        <v>9</v>
      </c>
      <c r="E3" s="22" t="s">
        <v>114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111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111</v>
      </c>
      <c r="D3" s="5" t="s">
        <v>9</v>
      </c>
      <c r="E3" s="22" t="s">
        <v>114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111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116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117</v>
      </c>
      <c r="C6" s="32" t="s">
        <v>94</v>
      </c>
      <c r="D6" s="36">
        <v>100.0</v>
      </c>
      <c r="E6" s="40"/>
      <c r="F6" s="8"/>
      <c r="G6" s="8"/>
      <c r="H6" s="8"/>
      <c r="I6" s="8"/>
      <c r="J6" s="33">
        <v>50.0</v>
      </c>
      <c r="K6" s="8"/>
      <c r="L6" s="8"/>
      <c r="M6" s="8"/>
      <c r="N6" s="8"/>
      <c r="O6" s="8"/>
    </row>
    <row r="7" ht="15.75" customHeight="1">
      <c r="A7" s="8"/>
      <c r="B7" s="32" t="s">
        <v>117</v>
      </c>
      <c r="C7" s="32" t="s">
        <v>95</v>
      </c>
      <c r="D7" s="33">
        <v>1.0</v>
      </c>
      <c r="E7" s="8"/>
      <c r="F7" s="8"/>
      <c r="G7" s="8"/>
      <c r="H7" s="8"/>
      <c r="I7" s="8"/>
      <c r="J7" s="33">
        <v>50.0</v>
      </c>
      <c r="K7" s="8"/>
      <c r="L7" s="8"/>
      <c r="M7" s="8"/>
      <c r="N7" s="8"/>
      <c r="O7" s="8"/>
    </row>
    <row r="8" ht="15.75" customHeight="1">
      <c r="A8" s="8"/>
      <c r="B8" s="32" t="s">
        <v>117</v>
      </c>
      <c r="C8" s="32" t="s">
        <v>95</v>
      </c>
      <c r="D8" s="33">
        <v>98.0</v>
      </c>
      <c r="E8" s="8"/>
      <c r="F8" s="8"/>
      <c r="G8" s="8"/>
      <c r="H8" s="8"/>
      <c r="I8" s="8"/>
      <c r="J8" s="33">
        <v>50.0</v>
      </c>
      <c r="K8" s="8"/>
      <c r="L8" s="8"/>
      <c r="M8" s="8"/>
      <c r="N8" s="8"/>
      <c r="O8" s="8"/>
    </row>
    <row r="9" ht="15.75" customHeight="1">
      <c r="A9" s="8"/>
      <c r="B9" s="32"/>
      <c r="C9" s="32"/>
      <c r="D9" s="33"/>
      <c r="E9" s="8"/>
      <c r="F9" s="8"/>
      <c r="G9" s="8"/>
      <c r="H9" s="8"/>
      <c r="I9" s="8"/>
      <c r="J9" s="33"/>
      <c r="K9" s="8"/>
      <c r="L9" s="8"/>
      <c r="M9" s="8"/>
      <c r="N9" s="8"/>
      <c r="O9" s="8"/>
    </row>
    <row r="10" ht="15.75" customHeight="1">
      <c r="A10" s="8"/>
      <c r="B10" s="8"/>
      <c r="C10" s="31"/>
      <c r="D10" s="8"/>
      <c r="E10" s="8"/>
      <c r="F10" s="8"/>
      <c r="G10" s="8"/>
      <c r="H10" s="8"/>
      <c r="I10" s="8"/>
      <c r="J10" s="31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102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117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/>
      <c r="C7" s="33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45869</v>
      </c>
      <c r="C6" s="37">
        <f t="shared" si="1"/>
        <v>45869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120</v>
      </c>
      <c r="C6" s="32" t="s">
        <v>107</v>
      </c>
      <c r="D6" s="41">
        <v>54662.0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121</v>
      </c>
      <c r="D3" s="5" t="s">
        <v>9</v>
      </c>
      <c r="E3" s="22" t="s">
        <v>122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120</v>
      </c>
      <c r="C6" s="31" t="s">
        <v>123</v>
      </c>
      <c r="D6" s="42">
        <f t="shared" ref="D6:E6" si="1">TODAY()</f>
        <v>45870</v>
      </c>
      <c r="E6" s="42">
        <f t="shared" si="1"/>
        <v>45870</v>
      </c>
      <c r="F6" s="31"/>
      <c r="G6" s="31" t="s">
        <v>124</v>
      </c>
      <c r="H6" s="31" t="s">
        <v>125</v>
      </c>
      <c r="I6" s="31" t="s">
        <v>124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121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127</v>
      </c>
      <c r="D6" s="34" t="s">
        <v>128</v>
      </c>
      <c r="E6" s="31" t="s">
        <v>129</v>
      </c>
      <c r="F6" s="32" t="s">
        <v>120</v>
      </c>
      <c r="G6" s="32" t="s">
        <v>107</v>
      </c>
      <c r="H6" s="33">
        <v>1500.0</v>
      </c>
      <c r="I6" s="37">
        <f>TODAY()-1</f>
        <v>45869</v>
      </c>
      <c r="J6" s="37">
        <f>TODAY()+2</f>
        <v>45872</v>
      </c>
      <c r="K6" s="37">
        <f>TODAY()</f>
        <v>45870</v>
      </c>
      <c r="L6" s="31"/>
      <c r="M6" s="43" t="s">
        <v>130</v>
      </c>
      <c r="N6" s="43" t="s">
        <v>107</v>
      </c>
      <c r="O6" s="44">
        <v>1.0</v>
      </c>
      <c r="P6" s="43" t="s">
        <v>131</v>
      </c>
      <c r="Q6" s="45" t="s">
        <v>132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121</v>
      </c>
      <c r="D3" s="5" t="s">
        <v>9</v>
      </c>
      <c r="E3" s="22" t="s">
        <v>133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134</v>
      </c>
      <c r="C6" s="32" t="s">
        <v>120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135</v>
      </c>
      <c r="D3" s="5" t="s">
        <v>9</v>
      </c>
      <c r="E3" s="22" t="s">
        <v>136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8"/>
      <c r="C6" s="38"/>
      <c r="D6" s="41"/>
      <c r="E6" s="39"/>
      <c r="F6" s="39"/>
      <c r="G6" s="39"/>
      <c r="H6" s="39"/>
      <c r="I6" s="39"/>
      <c r="J6" s="39"/>
      <c r="K6" s="39"/>
      <c r="L6" s="39"/>
      <c r="M6" s="12">
        <v>294740.0</v>
      </c>
      <c r="N6" s="31"/>
      <c r="O6" s="31"/>
      <c r="P6" s="31"/>
      <c r="Q6" s="31"/>
      <c r="R6" s="31"/>
      <c r="S6" s="31"/>
      <c r="T6" s="31"/>
      <c r="U6" s="39"/>
      <c r="V6" s="39"/>
      <c r="W6" s="31"/>
      <c r="X6" s="39"/>
      <c r="Y6" s="39"/>
      <c r="Z6" s="31"/>
      <c r="AA6" s="39"/>
      <c r="AB6" s="39"/>
      <c r="AC6" s="39"/>
      <c r="AD6" s="39"/>
      <c r="AE6" s="31"/>
      <c r="AF6" s="31"/>
      <c r="AG6" s="31"/>
      <c r="AH6" s="39"/>
      <c r="AI6" s="39"/>
      <c r="AJ6" s="39"/>
      <c r="AK6" s="39"/>
      <c r="AL6" s="31"/>
      <c r="AM6" s="31"/>
      <c r="AN6" s="39"/>
      <c r="AO6" s="31"/>
      <c r="AP6" s="39"/>
      <c r="AQ6" s="39"/>
      <c r="AR6" s="31"/>
      <c r="AS6" s="39"/>
      <c r="AT6" s="31"/>
      <c r="AU6" s="31"/>
      <c r="AV6" s="31"/>
      <c r="AW6" s="39"/>
      <c r="AX6" s="31"/>
      <c r="AY6" s="39"/>
      <c r="AZ6" s="31"/>
      <c r="BA6" s="31"/>
      <c r="BB6" s="39"/>
      <c r="BC6" s="39"/>
      <c r="BD6" s="39"/>
      <c r="BE6" s="31"/>
      <c r="BF6" s="39"/>
      <c r="BG6" s="31"/>
      <c r="BH6" s="39"/>
      <c r="BI6" s="39"/>
      <c r="BJ6" s="39"/>
      <c r="BK6" s="39"/>
      <c r="BL6" s="31"/>
      <c r="BM6" s="31"/>
      <c r="BN6" s="31"/>
      <c r="BO6" s="31"/>
      <c r="BP6" s="31"/>
      <c r="BQ6" s="39"/>
      <c r="BR6" s="31"/>
      <c r="BS6" s="39"/>
      <c r="BT6" s="39"/>
      <c r="BU6" s="31"/>
      <c r="BV6" s="31"/>
      <c r="BW6" s="31"/>
      <c r="BX6" s="31"/>
      <c r="BY6" s="39"/>
      <c r="BZ6" s="39"/>
      <c r="CA6" s="39"/>
      <c r="CB6" s="39"/>
      <c r="CC6" s="39"/>
      <c r="CD6" s="31"/>
      <c r="CE6" s="39"/>
      <c r="CF6" s="39"/>
      <c r="CG6" s="39"/>
      <c r="CH6" s="39"/>
      <c r="CI6" s="39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9"/>
      <c r="CU6" s="31"/>
      <c r="CV6" s="39"/>
      <c r="CW6" s="39"/>
      <c r="CX6" s="39"/>
      <c r="CY6" s="31"/>
      <c r="CZ6" s="31"/>
      <c r="DA6" s="31"/>
      <c r="DB6" s="31"/>
      <c r="DC6" s="31"/>
      <c r="DD6" s="31"/>
      <c r="DE6" s="39"/>
      <c r="DF6" s="31"/>
      <c r="DG6" s="39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9"/>
      <c r="EH6" s="39"/>
      <c r="EI6" s="39"/>
      <c r="EJ6" s="39"/>
      <c r="EK6" s="39"/>
      <c r="EL6" s="31"/>
      <c r="EM6" s="39"/>
      <c r="EN6" s="39"/>
      <c r="EO6" s="31"/>
      <c r="EP6" s="39"/>
      <c r="EQ6" s="39"/>
      <c r="ER6" s="31"/>
      <c r="ES6" s="39"/>
      <c r="ET6" s="39"/>
      <c r="EU6" s="39"/>
      <c r="EV6" s="39"/>
      <c r="EW6" s="31"/>
      <c r="EX6" s="39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</row>
    <row r="7" ht="15.75" customHeight="1">
      <c r="A7" s="8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8"/>
      <c r="O7" s="8"/>
    </row>
    <row r="8" ht="15.75" customHeight="1">
      <c r="A8" s="8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8"/>
      <c r="O8" s="8"/>
    </row>
    <row r="9" ht="15.75" customHeight="1">
      <c r="A9" s="8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8"/>
      <c r="O9" s="8"/>
    </row>
    <row r="10" ht="15.75" customHeight="1">
      <c r="A10" s="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8"/>
      <c r="O10" s="8"/>
    </row>
    <row r="11" ht="15.75" customHeight="1">
      <c r="A11" s="8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8"/>
      <c r="O11" s="8"/>
    </row>
    <row r="12" ht="15.75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8"/>
      <c r="O12" s="8"/>
    </row>
    <row r="13" ht="15.75" customHeight="1">
      <c r="A13" s="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8"/>
      <c r="O13" s="8"/>
    </row>
    <row r="14" ht="15.75" customHeight="1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8"/>
      <c r="O14" s="8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8"/>
      <c r="O15" s="8"/>
    </row>
    <row r="16" ht="15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8"/>
      <c r="O16" s="8"/>
    </row>
    <row r="17" ht="15.75" customHeight="1">
      <c r="A17" s="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8"/>
      <c r="O17" s="8"/>
    </row>
    <row r="18" ht="15.75" customHeight="1">
      <c r="A18" s="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8"/>
      <c r="O18" s="8"/>
    </row>
    <row r="19" ht="15.75" customHeight="1">
      <c r="A19" s="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