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CreateDoneAwayOrder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<sst xmlns="http://schemas.openxmlformats.org/spreadsheetml/2006/main" count="65" uniqueCount="36">
  <si>
    <t>Settings</t>
  </si>
  <si>
    <t>Modules Info</t>
  </si>
  <si>
    <t>Master Data Info</t>
  </si>
  <si>
    <t>Modules</t>
  </si>
  <si>
    <t>Module</t>
  </si>
  <si>
    <t>Step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</si>
  <si>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</si>
  <si>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</si>
  <si>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</si>
  <si>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</si>
  <si>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Sheet</t>
  </si>
  <si>
    <t>Data</t>
  </si>
  <si>
    <t>Allocation</t>
  </si>
  <si>
    <t>DisableCheckside</t>
  </si>
  <si>
    <t>Data Format</t>
  </si>
  <si>
    <t>Input Format</t>
  </si>
  <si>
    <t>Cash</t>
  </si>
  <si>
    <t>MS</t>
  </si>
  <si>
    <t>EquityOption</t>
  </si>
  <si>
    <t>Bernstein</t>
  </si>
  <si>
    <t>Forex</t>
  </si>
  <si>
    <t>dik</t>
  </si>
  <si>
    <t>Wolverine</t>
  </si>
  <si>
    <t>TradingTicket</t>
  </si>
  <si>
    <t>CreateDoneAwayOrder</t>
  </si>
  <si>
    <t>MSFT</t>
  </si>
  <si>
    <t>Buy</t>
  </si>
  <si>
    <t>Allocation3</t>
  </si>
  <si>
    <t>Market</t>
  </si>
  <si>
    <t>Sell short</t>
  </si>
  <si>
    <t>Allocation4</t>
  </si>
  <si>
    <t>GS</t>
  </si>
  <si>
    <t>GetDataAllocation</t>
  </si>
  <si>
    <t>Current</t>
  </si>
  <si>
    <t>CheckAllocatedGroups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</si>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</sst>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/>
    </xf>
    <xf borderId="0" fillId="0" fontId="6" numFmtId="14" xfId="0" applyAlignment="1" applyFont="1" applyNumberFormat="1">
      <alignment shrinkToFit="0" wrapText="0"/>
    </xf>
    <xf borderId="0" fillId="0" fontId="4" numFmtId="0" xfId="0" applyAlignment="1" applyFont="1">
      <alignment vertical="bottom"/>
    </xf>
    <xf borderId="0" fillId="0" fontId="6" numFmtId="164" xfId="0" applyAlignment="1" applyFont="1" applyNumberFormat="1">
      <alignment readingOrder="0" shrinkToFit="0" wrapText="0"/>
    </xf>
    <xf borderId="0" fillId="0" fontId="3" numFmtId="14" xfId="0" applyFont="1" applyNumberFormat="1"/>
    <xf borderId="0" fillId="6" fontId="1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1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9"/>
      <c r="C3" s="11"/>
      <c r="D3" s="11"/>
      <c r="E3" s="11"/>
      <c r="F3" s="11"/>
    </row>
    <row r="4" ht="15.75" customHeight="1">
      <c r="A4" s="10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0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10"/>
      <c r="B2" s="10"/>
      <c r="C2" s="10"/>
    </row>
    <row r="3" ht="15.75" customHeight="1">
      <c r="A3" s="7" t="s">
        <v>6</v>
      </c>
      <c r="B3" s="12" t="s">
        <v>7</v>
      </c>
      <c r="C3" s="10"/>
    </row>
    <row r="4" ht="15.75" customHeight="1">
      <c r="A4" s="8" t="s">
        <v>8</v>
      </c>
      <c r="B4" s="12" t="s">
        <v>9</v>
      </c>
      <c r="C4" s="10"/>
    </row>
    <row r="5" ht="15.75" customHeight="1">
      <c r="A5" s="14"/>
      <c r="B5" s="10"/>
      <c r="C5" s="10"/>
    </row>
    <row r="6" ht="15.75" customHeight="1">
      <c r="A6" s="14"/>
      <c r="B6" s="10"/>
      <c r="C6" s="10"/>
    </row>
    <row r="7" ht="15.75" customHeight="1">
      <c r="A7" s="14"/>
      <c r="B7" s="10"/>
      <c r="C7" s="10"/>
    </row>
    <row r="8" ht="15.75" customHeight="1">
      <c r="A8" s="14"/>
      <c r="B8" s="10"/>
      <c r="C8" s="10"/>
    </row>
    <row r="9" ht="15.75" customHeight="1">
      <c r="A9" s="14"/>
      <c r="B9" s="10"/>
      <c r="C9" s="10"/>
    </row>
    <row r="10" ht="15.75" customHeight="1">
      <c r="A10" s="14"/>
      <c r="B10" s="10"/>
      <c r="C10" s="10"/>
    </row>
    <row r="11" ht="15.75" customHeight="1">
      <c r="A11" s="14"/>
      <c r="B11" s="10"/>
      <c r="C11" s="10"/>
    </row>
    <row r="12" ht="15.75" customHeight="1">
      <c r="A12" s="14"/>
      <c r="B12" s="10"/>
      <c r="C12" s="10"/>
    </row>
    <row r="13" ht="15.75" customHeight="1">
      <c r="A13" s="14"/>
      <c r="B13" s="10"/>
      <c r="C13" s="10"/>
    </row>
    <row r="14" ht="15.75" customHeight="1">
      <c r="A14" s="14"/>
      <c r="B14" s="10"/>
      <c r="C14" s="10"/>
    </row>
    <row r="15" ht="15.75" customHeight="1">
      <c r="A15" s="14"/>
      <c r="B15" s="10"/>
      <c r="C15" s="10"/>
    </row>
    <row r="16" ht="15.75" customHeight="1">
      <c r="A16" s="14"/>
      <c r="B16" s="10"/>
      <c r="C16" s="10"/>
    </row>
    <row r="17" ht="15.75" customHeight="1">
      <c r="A17" s="14"/>
      <c r="B17" s="10"/>
      <c r="C17" s="10"/>
    </row>
    <row r="18" ht="15.75" customHeight="1">
      <c r="A18" s="14"/>
      <c r="B18" s="10"/>
      <c r="C18" s="10"/>
    </row>
    <row r="19" ht="15.75" customHeight="1">
      <c r="A19" s="14"/>
      <c r="B19" s="10"/>
      <c r="C19" s="10"/>
    </row>
    <row r="20" ht="15.75" customHeight="1">
      <c r="A20" s="14"/>
      <c r="B20" s="10"/>
      <c r="C20" s="10"/>
    </row>
    <row r="21" ht="15.75" customHeight="1">
      <c r="A21" s="14"/>
      <c r="B21" s="10"/>
      <c r="C21" s="10"/>
    </row>
    <row r="22" ht="15.75" customHeight="1">
      <c r="A22" s="14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8" t="s">
        <v>4</v>
      </c>
      <c r="B3" s="13" t="s">
        <v>5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5</v>
      </c>
      <c r="E3" s="21" t="s">
        <v>13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IFERROR(__xludf.DUMMYFUNCTION("""COMPUTED_VALUE"""),"Asset")</f>
        <v>Asset</v>
      </c>
      <c r="C5" s="26" t="str">
        <f>IFERROR(__xludf.DUMMYFUNCTION("""COMPUTED_VALUE"""),"Account Name")</f>
        <v>Account Name</v>
      </c>
      <c r="D5" s="26" t="str">
        <f>IFERROR(__xludf.DUMMYFUNCTION("""COMPUTED_VALUE"""),"Broker")</f>
        <v>Broker</v>
      </c>
      <c r="E5" s="26" t="str">
        <f>IFERROR(__xludf.DUMMYFUNCTION("""COMPUTED_VALUE"""),"ValidateCheckSide")</f>
        <v>ValidateCheckSide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2" t="s">
        <v>16</v>
      </c>
      <c r="C6" s="10"/>
      <c r="D6" s="12" t="s">
        <v>17</v>
      </c>
      <c r="E6" s="12" t="b">
        <v>1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2" t="s">
        <v>18</v>
      </c>
      <c r="C7" s="10"/>
      <c r="D7" s="12" t="s">
        <v>19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2" t="s">
        <v>20</v>
      </c>
      <c r="C8" s="10"/>
      <c r="D8" s="12" t="s">
        <v>21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2" t="s">
        <v>22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1b5S4Xpp4fgZ1ez6cK92QFnVBylqz8jhwxdAyEvwDqUI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23</v>
      </c>
      <c r="D3" s="7" t="s">
        <v>5</v>
      </c>
      <c r="E3" s="21" t="s">
        <v>24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2" t="s">
        <v>25</v>
      </c>
      <c r="C6" s="12" t="s">
        <v>26</v>
      </c>
      <c r="D6" s="12">
        <v>500.0</v>
      </c>
      <c r="E6" s="12">
        <v>500.0</v>
      </c>
      <c r="F6" s="12" t="s">
        <v>27</v>
      </c>
      <c r="G6" s="12" t="s">
        <v>17</v>
      </c>
      <c r="H6" s="10"/>
      <c r="I6" s="12" t="s">
        <v>28</v>
      </c>
      <c r="J6" s="12">
        <v>12.0</v>
      </c>
      <c r="K6" s="10"/>
      <c r="L6" s="10"/>
      <c r="M6" s="10"/>
      <c r="N6" s="30">
        <f t="shared" ref="N6:N7" si="1">TODAY()</f>
        <v>43970</v>
      </c>
      <c r="O6" s="10"/>
      <c r="AB6" s="31"/>
    </row>
    <row r="7" ht="15.75" customHeight="1">
      <c r="A7" s="10"/>
      <c r="B7" s="12" t="s">
        <v>25</v>
      </c>
      <c r="C7" s="12" t="s">
        <v>29</v>
      </c>
      <c r="D7" s="12">
        <v>45.0</v>
      </c>
      <c r="E7" s="12">
        <v>45.0</v>
      </c>
      <c r="F7" s="12" t="s">
        <v>30</v>
      </c>
      <c r="G7" s="12" t="s">
        <v>31</v>
      </c>
      <c r="H7" s="10"/>
      <c r="I7" s="12" t="s">
        <v>28</v>
      </c>
      <c r="J7" s="12">
        <v>14.0</v>
      </c>
      <c r="K7" s="10"/>
      <c r="L7" s="10"/>
      <c r="M7" s="10"/>
      <c r="N7" s="30">
        <f t="shared" si="1"/>
        <v>43970</v>
      </c>
      <c r="O7" s="10"/>
      <c r="AB7" s="31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5</v>
      </c>
      <c r="E3" s="21" t="s">
        <v>32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2" t="s">
        <v>33</v>
      </c>
      <c r="C6" s="32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5" width="14.43"/>
    <col customWidth="1" min="46" max="46" width="18.0"/>
    <col customWidth="1" min="47" max="155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7" t="s">
        <v>4</v>
      </c>
      <c r="C3" s="21" t="s">
        <v>12</v>
      </c>
      <c r="D3" s="7" t="s">
        <v>5</v>
      </c>
      <c r="E3" s="21" t="s">
        <v>34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10"/>
      <c r="B6" s="10"/>
      <c r="C6" s="10"/>
      <c r="D6" s="10"/>
      <c r="E6" s="10"/>
      <c r="F6" s="10"/>
      <c r="G6" s="12" t="s">
        <v>35</v>
      </c>
      <c r="H6" s="10"/>
      <c r="I6" s="10"/>
      <c r="J6" s="10"/>
      <c r="K6" s="12">
        <v>12.0</v>
      </c>
      <c r="L6" s="12">
        <v>12.0</v>
      </c>
      <c r="M6" s="10"/>
      <c r="N6" s="10"/>
      <c r="O6" s="12" t="s">
        <v>17</v>
      </c>
      <c r="AE6" s="29">
        <v>500.0</v>
      </c>
      <c r="AT6" s="29">
        <v>6014.003</v>
      </c>
      <c r="AU6" s="29">
        <v>6014.003</v>
      </c>
      <c r="BE6" s="29">
        <v>6000.0</v>
      </c>
      <c r="BF6" s="29">
        <v>6000.0</v>
      </c>
      <c r="BO6" s="29" t="s">
        <v>26</v>
      </c>
      <c r="BT6" s="31" t="s">
        <v>25</v>
      </c>
      <c r="CE6" s="33">
        <f t="shared" ref="CE6:CE7" si="1">TODAY()</f>
        <v>43970</v>
      </c>
    </row>
    <row r="7" ht="15.75" customHeight="1">
      <c r="A7" s="10"/>
      <c r="B7" s="10"/>
      <c r="C7" s="10"/>
      <c r="D7" s="10"/>
      <c r="E7" s="10"/>
      <c r="F7" s="10"/>
      <c r="G7" s="12" t="s">
        <v>35</v>
      </c>
      <c r="H7" s="10"/>
      <c r="I7" s="10"/>
      <c r="J7" s="10"/>
      <c r="K7" s="12">
        <v>14.0</v>
      </c>
      <c r="L7" s="12">
        <v>14.0</v>
      </c>
      <c r="M7" s="10"/>
      <c r="N7" s="10"/>
      <c r="O7" s="34" t="s">
        <v>31</v>
      </c>
      <c r="AE7" s="29">
        <v>45.0</v>
      </c>
      <c r="AT7" s="29">
        <v>616.001</v>
      </c>
      <c r="AU7" s="29">
        <v>616.001</v>
      </c>
      <c r="BE7" s="29">
        <v>630.0</v>
      </c>
      <c r="BF7" s="29">
        <v>630.0</v>
      </c>
      <c r="BO7" s="29" t="s">
        <v>29</v>
      </c>
      <c r="BT7" s="31" t="s">
        <v>25</v>
      </c>
      <c r="CE7" s="33">
        <f t="shared" si="1"/>
        <v>43970</v>
      </c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