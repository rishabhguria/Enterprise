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" sheetId="4" r:id="rId6"/>
    <sheet state="visible" name="AddTabBlotter" sheetId="5" r:id="rId7"/>
    <sheet state="visible" name="SetCompliancePermission" sheetId="6" r:id="rId8"/>
    <sheet state="visible" name="LoginClient" sheetId="7" r:id="rId9"/>
    <sheet state="visible" name="AddSymbolToWatchlist" sheetId="8" r:id="rId10"/>
    <sheet state="visible" name="TradeFromWatchlist" sheetId="9" r:id="rId11"/>
    <sheet state="visible" name="SelectTradeUsingMTT" sheetId="10" r:id="rId12"/>
    <sheet state="visible" name="EditTradeUsingMTT" sheetId="11" r:id="rId13"/>
    <sheet state="visible" name="SendOrderUsingMTT" sheetId="12" r:id="rId14"/>
    <sheet state="visible" name="VerifyComplianceOrder" sheetId="13" r:id="rId15"/>
    <sheet state="visible" name="CustomTabActions" sheetId="14" r:id="rId16"/>
    <sheet state="visible" name="LoginClient1" sheetId="15" r:id="rId17"/>
    <sheet state="visible" name="ApproveorRejectpendingapproval" sheetId="16" r:id="rId18"/>
    <sheet state="visible" name="LoginClient2" sheetId="17" r:id="rId19"/>
  </sheets>
  <definedNames/>
  <calcPr/>
</workbook>
</file>

<file path=xl/sharedStrings.xml><?xml version="1.0" encoding="utf-8"?>
<sst xmlns="http://schemas.openxmlformats.org/spreadsheetml/2006/main" count="147" uniqueCount="54">
  <si>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</si>
  <si>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</si>
  <si>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</si>
  <si>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</si>
  <si>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</si>
  <si>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</si>
  <si>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</si>
  <si>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</si>
  <si>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</si>
  <si>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</si>
  <si>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</si>
  <si>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</si>
  <si>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</si>
  <si>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SetGeneralPreference</t>
  </si>
  <si>
    <t>Data Format</t>
  </si>
  <si>
    <t>Input Format</t>
  </si>
  <si>
    <t>DefaultNotes,DefaultBrokerNotes</t>
  </si>
  <si>
    <t>Blotter</t>
  </si>
  <si>
    <t>AddTabBlotter</t>
  </si>
  <si>
    <t>CustomWorking</t>
  </si>
  <si>
    <t>Add Tab(Order)</t>
  </si>
  <si>
    <t>Admin</t>
  </si>
  <si>
    <t>SetCompliancePermission</t>
  </si>
  <si>
    <t>TradeQuantity-123</t>
  </si>
  <si>
    <t>REQUIRES APPROVAL</t>
  </si>
  <si>
    <t>PranaClient</t>
  </si>
  <si>
    <t>LoginClient</t>
  </si>
  <si>
    <t>Support1</t>
  </si>
  <si>
    <t>Nirvana@1</t>
  </si>
  <si>
    <t>Watchlist</t>
  </si>
  <si>
    <t>AddSymbolToWatchlist</t>
  </si>
  <si>
    <t>AAPL</t>
  </si>
  <si>
    <t>SAP</t>
  </si>
  <si>
    <t>TradeFromWatchlist</t>
  </si>
  <si>
    <t>Buy</t>
  </si>
  <si>
    <t>Sell</t>
  </si>
  <si>
    <t>MultiTradingTicket</t>
  </si>
  <si>
    <t>SelectTradeUsingMTT</t>
  </si>
  <si>
    <t>EditTradeUsingMTT</t>
  </si>
  <si>
    <t>Allocation1</t>
  </si>
  <si>
    <t>SendOrderUsingMTT</t>
  </si>
  <si>
    <t>VerifyComplianceOrder</t>
  </si>
  <si>
    <t>Requires Approval</t>
  </si>
  <si>
    <t>Enter Summary</t>
  </si>
  <si>
    <t>Compliance Officer - Please Approve</t>
  </si>
  <si>
    <t>Yes</t>
  </si>
  <si>
    <t>Send</t>
  </si>
  <si>
    <t>CustomTabActions</t>
  </si>
  <si>
    <t>Allocate</t>
  </si>
  <si>
    <t>suborder</t>
  </si>
  <si>
    <t>Support2</t>
  </si>
  <si>
    <t>Compliance</t>
  </si>
  <si>
    <t>ApproveorRejectpendingapproval</t>
  </si>
  <si>
    <t>Approve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</si>
</sst>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Segoe UI"/>
    </font>
    <font>
      <sz val="9.0"/>
      <color rgb="FF000000"/>
      <name val="Segoe UI"/>
    </font>
    <font>
      <sz val="9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A500"/>
        <bgColor rgb="FFFFA500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6" fontId="13" numFmtId="0" xfId="0" applyAlignment="1" applyBorder="1" applyFill="1" applyFont="1">
      <alignment vertical="top"/>
    </xf>
    <xf borderId="5" fillId="7" fontId="14" numFmtId="0" xfId="0" applyAlignment="1" applyBorder="1" applyFill="1" applyFont="1">
      <alignment vertical="top"/>
    </xf>
    <xf borderId="5" fillId="7" fontId="14" numFmtId="0" xfId="0" applyAlignment="1" applyBorder="1" applyFont="1">
      <alignment vertical="top"/>
    </xf>
    <xf borderId="5" fillId="7" fontId="15" numFmtId="0" xfId="0" applyAlignment="1" applyBorder="1" applyFont="1">
      <alignment horizontal="right" vertical="top"/>
    </xf>
    <xf borderId="5" fillId="7" fontId="3" numFmtId="0" xfId="0" applyAlignment="1" applyBorder="1" applyFont="1">
      <alignment horizontal="right" vertical="top"/>
    </xf>
    <xf borderId="5" fillId="7" fontId="3" numFmtId="0" xfId="0" applyAlignment="1" applyBorder="1" applyFont="1">
      <alignment vertical="top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IFERROR(__xludf.DUMMYFUNCTION("""COMPUTED_VALUE"""),"DefaultSymbology")</f>
        <v>DefaultSymbology</v>
      </c>
      <c r="C5" s="27" t="str">
        <f>IFERROR(__xludf.DUMMYFUNCTION("""COMPUTED_VALUE"""),"DefaultOptionType")</f>
        <v>DefaultOptionType</v>
      </c>
      <c r="D5" s="27" t="str">
        <f>IFERROR(__xludf.DUMMYFUNCTION("""COMPUTED_VALUE"""),"DefaultNotes")</f>
        <v>DefaultNotes</v>
      </c>
      <c r="E5" s="27" t="str">
        <f>IFERROR(__xludf.DUMMYFUNCTION("""COMPUTED_VALUE"""),"DefaultBrokerNotes")</f>
        <v>DefaultBrokerNotes</v>
      </c>
      <c r="F5" s="28" t="str">
        <f>IFERROR(__xludf.DUMMYFUNCTION("""COMPUTED_VALUE"""),"KeepTradingTicketOpenAfterTrade")</f>
        <v>KeepTradingTicketOpenAfterTrade</v>
      </c>
      <c r="G5" s="27" t="str">
        <f>IFERROR(__xludf.DUMMYFUNCTION("""COMPUTED_VALUE"""),"ShowOptionDetails")</f>
        <v>ShowOptionDetails</v>
      </c>
      <c r="H5" s="27" t="str">
        <f>IFERROR(__xludf.DUMMYFUNCTION("""COMPUTED_VALUE"""),"Use Custodian Broker")</f>
        <v>Use Custodian Broker</v>
      </c>
      <c r="I5" s="27" t="str">
        <f>IFERROR(__xludf.DUMMYFUNCTION("""COMPUTED_VALUE"""),"Button_Status")</f>
        <v>Button_Status</v>
      </c>
      <c r="J5" s="27" t="str">
        <f>IFERROR(__xludf.DUMMYFUNCTION("""COMPUTED_VALUE"""),"ClearColumnValue")</f>
        <v>ClearColumnValue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12" t="s">
        <v>16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IFERROR(__xludf.DUMMYFUNCTION("""COMPUTED_VALUE"""),"TabName")</f>
        <v>TabName</v>
      </c>
      <c r="C5" s="27" t="str">
        <f>IFERROR(__xludf.DUMMYFUNCTION("""COMPUTED_VALUE"""),"Button Name")</f>
        <v>Button 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31" t="s">
        <v>20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AddTabBlotter!$4:$4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IFERROR(__xludf.DUMMYFUNCTION("""COMPUTED_VALUE"""),"Rule Name")</f>
        <v>Rule Name</v>
      </c>
      <c r="C5" s="27" t="str">
        <f>IFERROR(__xludf.DUMMYFUNCTION("""COMPUTED_VALUE"""),"Alert Type Permission")</f>
        <v>Alert Type Permission</v>
      </c>
      <c r="D5" s="27" t="str">
        <f>IFERROR(__xludf.DUMMYFUNCTION("""COMPUTED_VALUE"""),"UserID")</f>
        <v>UserID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23</v>
      </c>
      <c r="C6" s="31" t="s">
        <v>24</v>
      </c>
      <c r="D6" s="33">
        <v>17.0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 t="s">
        <v>28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IFERROR(__xludf.DUMMYFUNCTION("IF(C3="""","""",Transpose(IMPORTRANGE('_Settings'!$B$3,C3&amp;""!A4:A1000"")))"),"AddTabOnWatchlist")</f>
        <v>AddTabOnWatchlist</v>
      </c>
      <c r="C4" s="24" t="str">
        <f>IFERROR(__xludf.DUMMYFUNCTION("""COMPUTED_VALUE"""),"DeleteTabOnWatchlist")</f>
        <v>DeleteTabOnWatchlist</v>
      </c>
      <c r="D4" s="24" t="str">
        <f>IFERROR(__xludf.DUMMYFUNCTION("""COMPUTED_VALUE"""),"AddSymbolToWatchlist")</f>
        <v>AddSymbolToWatchlist</v>
      </c>
      <c r="E4" s="24" t="str">
        <f>IFERROR(__xludf.DUMMYFUNCTION("""COMPUTED_VALUE"""),"TradeFromWatchlist")</f>
        <v>TradeFromWatchlist</v>
      </c>
      <c r="F4" s="24" t="str">
        <f>IFERROR(__xludf.DUMMYFUNCTION("""COMPUTED_VALUE"""),"MultiTradeFromWatchlist")</f>
        <v>MultiTradeFromWatchlist</v>
      </c>
      <c r="G4" s="24" t="str">
        <f>IFERROR(__xludf.DUMMYFUNCTION("""COMPUTED_VALUE"""),"DeleteSymbolFromWatchlist")</f>
        <v>DeleteSymbolFromWatchlist</v>
      </c>
      <c r="H4" s="24" t="str">
        <f>IFERROR(__xludf.DUMMYFUNCTION("""COMPUTED_VALUE"""),"VerifySymbolsOnWatchlist")</f>
        <v>VerifySymbolsOnWatchlist</v>
      </c>
      <c r="I4" s="24" t="str">
        <f>IFERROR(__xludf.DUMMYFUNCTION("""COMPUTED_VALUE"""),"OpenPTTFromWatchlist")</f>
        <v>OpenPTTFromWatchlist</v>
      </c>
      <c r="J4" s="24" t="str">
        <f>IFERROR(__xludf.DUMMYFUNCTION("""COMPUTED_VALUE"""),"SelectTradeWatchlist")</f>
        <v>SelectTradeWatchlist</v>
      </c>
      <c r="K4" s="24" t="str">
        <f>IFERROR(__xludf.DUMMYFUNCTION("""COMPUTED_VALUE"""),"ActionOnWatchlist")</f>
        <v>ActionOnWatchlist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32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AddSymbolToWatchlist!$4:$4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IFERROR(__xludf.DUMMYFUNCTION("IF(C3="""","""",Transpose(IMPORTRANGE('_Settings'!$B$3,C3&amp;""!A4:A1000"")))"),"AddTabOnWatchlist")</f>
        <v>AddTabOnWatchlist</v>
      </c>
      <c r="C4" s="24" t="str">
        <f>IFERROR(__xludf.DUMMYFUNCTION("""COMPUTED_VALUE"""),"DeleteTabOnWatchlist")</f>
        <v>DeleteTabOnWatchlist</v>
      </c>
      <c r="D4" s="24" t="str">
        <f>IFERROR(__xludf.DUMMYFUNCTION("""COMPUTED_VALUE"""),"AddSymbolToWatchlist")</f>
        <v>AddSymbolToWatchlist</v>
      </c>
      <c r="E4" s="24" t="str">
        <f>IFERROR(__xludf.DUMMYFUNCTION("""COMPUTED_VALUE"""),"TradeFromWatchlist")</f>
        <v>TradeFromWatchlist</v>
      </c>
      <c r="F4" s="24" t="str">
        <f>IFERROR(__xludf.DUMMYFUNCTION("""COMPUTED_VALUE"""),"MultiTradeFromWatchlist")</f>
        <v>MultiTradeFromWatchlist</v>
      </c>
      <c r="G4" s="24" t="str">
        <f>IFERROR(__xludf.DUMMYFUNCTION("""COMPUTED_VALUE"""),"DeleteSymbolFromWatchlist")</f>
        <v>DeleteSymbolFromWatchlist</v>
      </c>
      <c r="H4" s="24" t="str">
        <f>IFERROR(__xludf.DUMMYFUNCTION("""COMPUTED_VALUE"""),"VerifySymbolsOnWatchlist")</f>
        <v>VerifySymbolsOnWatchlist</v>
      </c>
      <c r="I4" s="24" t="str">
        <f>IFERROR(__xludf.DUMMYFUNCTION("""COMPUTED_VALUE"""),"OpenPTTFromWatchlist")</f>
        <v>OpenPTTFromWatchlist</v>
      </c>
      <c r="J4" s="24" t="str">
        <f>IFERROR(__xludf.DUMMYFUNCTION("""COMPUTED_VALUE"""),"SelectTradeWatchlist")</f>
        <v>SelectTradeWatchlist</v>
      </c>
      <c r="K4" s="24" t="str">
        <f>IFERROR(__xludf.DUMMYFUNCTION("""COMPUTED_VALUE"""),"ActionOnWatchlist")</f>
        <v>ActionOnWatchlist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12" t="s">
        <v>34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32</v>
      </c>
      <c r="C7" s="12" t="s">
        <v>35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TradeFromWatchlist!$4:$4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 t="str">
        <f>IFERROR(__xludf.DUMMYFUNCTION("""COMPUTED_VALUE"""),"VerifyMTTNavLockPopup")</f>
        <v>VerifyMTTNavLockPopup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12" t="s">
        <v>34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 t="str">
        <f>IFERROR(__xludf.DUMMYFUNCTION("""COMPUTED_VALUE"""),"VerifyMTTNavLockPopup")</f>
        <v>VerifyMTTNavLockPopup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IFERROR(__xludf.DUMMYFUNCTION("""COMPUTED_VALUE"""),"FX Operator")</f>
        <v>FX Operator</v>
      </c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12" t="s">
        <v>34</v>
      </c>
      <c r="D6" s="12">
        <v>100.0</v>
      </c>
      <c r="E6" s="30"/>
      <c r="F6" s="12" t="s">
        <v>39</v>
      </c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 t="str">
        <f>IFERROR(__xludf.DUMMYFUNCTION("""COMPUTED_VALUE"""),"VerifyMTTNavLockPopup")</f>
        <v>VerifyMTTNavLockPopup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IFERROR(__xludf.DUMMYFUNCTION("""COMPUTED_VALUE"""),"SharesOutstandingPopUp")</f>
        <v>SharesOutstandingPopUp</v>
      </c>
      <c r="AL5" s="29" t="str">
        <f>IFERROR(__xludf.DUMMYFUNCTION("""COMPUTED_VALUE"""),"PopUpQuantity")</f>
        <v>PopUpQuantity</v>
      </c>
      <c r="AM5" s="29" t="str">
        <f>IFERROR(__xludf.DUMMYFUNCTION("""COMPUTED_VALUE"""),"ResAllowedListPopUp")</f>
        <v>ResAllowedListPopUp</v>
      </c>
      <c r="AN5" s="29" t="str">
        <f>IFERROR(__xludf.DUMMYFUNCTION("""COMPUTED_VALUE"""),"Click Commit &amp; Send/Review")</f>
        <v>Click Commit &amp; Send/Review</v>
      </c>
      <c r="AO5" s="29" t="str">
        <f>IFERROR(__xludf.DUMMYFUNCTION("""COMPUTED_VALUE"""),"VerifyUnclickabilityOutsidePopup")</f>
        <v>VerifyUnclickabilityOutsidePopup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12" t="s">
        <v>34</v>
      </c>
      <c r="D6" s="12">
        <v>100.0</v>
      </c>
      <c r="E6" s="30"/>
      <c r="F6" s="12" t="s">
        <v>39</v>
      </c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SendOrderUsingMTT!$4:$4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42</v>
      </c>
      <c r="C6" s="35" t="s">
        <v>23</v>
      </c>
      <c r="D6" s="36" t="s">
        <v>43</v>
      </c>
      <c r="E6" s="35" t="s">
        <v>31</v>
      </c>
      <c r="F6" s="37">
        <v>-123.0</v>
      </c>
      <c r="G6" s="38">
        <v>100.0</v>
      </c>
      <c r="H6" s="39"/>
      <c r="I6" s="35" t="s">
        <v>44</v>
      </c>
      <c r="J6" s="40"/>
      <c r="K6" s="31" t="s">
        <v>45</v>
      </c>
      <c r="L6" s="40"/>
      <c r="M6" s="40" t="s">
        <v>46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 t="str">
        <f>IFERROR(__xludf.DUMMYFUNCTION("""COMPUTED_VALUE"""),"ActionOnWhichGrid")</f>
        <v>ActionOnWhichGrid</v>
      </c>
      <c r="D5" s="27" t="str">
        <f>IFERROR(__xludf.DUMMYFUNCTION("""COMPUTED_VALUE"""),"TabName")</f>
        <v>TabName</v>
      </c>
      <c r="E5" s="27" t="str">
        <f>IFERROR(__xludf.DUMMYFUNCTION("""COMPUTED_VALUE"""),"Symbol")</f>
        <v>Symbol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IFERROR(__xludf.DUMMYFUNCTION("""COMPUTED_VALUE"""),"Broker")</f>
        <v>Broker</v>
      </c>
      <c r="J5" s="27" t="str">
        <f>IFERROR(__xludf.DUMMYFUNCTION("""COMPUTED_VALUE"""),"Account")</f>
        <v>Account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48</v>
      </c>
      <c r="C6" s="31" t="s">
        <v>49</v>
      </c>
      <c r="D6" s="41" t="s">
        <v>19</v>
      </c>
      <c r="E6" s="31" t="s">
        <v>31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CustomTabActions!$4:$4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50</v>
      </c>
      <c r="C6" s="12" t="s">
        <v>28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51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IFERROR(__xludf.DUMMYFUNCTION("""COMPUTED_VALUE"""),"Symbols")</f>
        <v>Symbols</v>
      </c>
      <c r="D5" s="27" t="str">
        <f>IFERROR(__xludf.DUMMYFUNCTION("""COMPUTED_VALUE"""),"Trade Origination")</f>
        <v>Trade Origination</v>
      </c>
      <c r="E5" s="27" t="str">
        <f>IFERROR(__xludf.DUMMYFUNCTION("""COMPUTED_VALUE"""),"Trader")</f>
        <v>Trader</v>
      </c>
      <c r="F5" s="28" t="str">
        <f>IFERROR(__xludf.DUMMYFUNCTION("""COMPUTED_VALUE"""),"Trade Details")</f>
        <v>Trade Details</v>
      </c>
      <c r="G5" s="27" t="str">
        <f>IFERROR(__xludf.DUMMYFUNCTION("""COMPUTED_VALUE"""),"Trade Notes")</f>
        <v>Trade Notes</v>
      </c>
      <c r="H5" s="27" t="str">
        <f>IFERROR(__xludf.DUMMYFUNCTION("""COMPUTED_VALUE"""),"Compliance Officer Notes")</f>
        <v>Compliance Officer Notes</v>
      </c>
      <c r="I5" s="27" t="str">
        <f>IFERROR(__xludf.DUMMYFUNCTION("""COMPUTED_VALUE"""),"User Name")</f>
        <v>User Name</v>
      </c>
      <c r="J5" s="27" t="str">
        <f>IFERROR(__xludf.DUMMYFUNCTION("""COMPUTED_VALUE"""),"Trade Price")</f>
        <v>Trade Price</v>
      </c>
      <c r="K5" s="27" t="str">
        <f>IFERROR(__xludf.DUMMYFUNCTION("""COMPUTED_VALUE"""),"Basket Name")</f>
        <v>Basket Name</v>
      </c>
      <c r="L5" s="27" t="str">
        <f>IFERROR(__xludf.DUMMYFUNCTION("""COMPUTED_VALUE"""),"Quantity")</f>
        <v>Quantity</v>
      </c>
      <c r="M5" s="27" t="str">
        <f>IFERROR(__xludf.DUMMYFUNCTION("""COMPUTED_VALUE"""),"Broker")</f>
        <v>Broker</v>
      </c>
      <c r="N5" s="27" t="str">
        <f>IFERROR(__xludf.DUMMYFUNCTION("""COMPUTED_VALUE"""),"Status")</f>
        <v>Status</v>
      </c>
      <c r="O5" s="27" t="str">
        <f>IFERROR(__xludf.DUMMYFUNCTION("""COMPUTED_VALUE"""),"Order Side")</f>
        <v>Order Side</v>
      </c>
      <c r="P5" s="27" t="str">
        <f>IFERROR(__xludf.DUMMYFUNCTION("""COMPUTED_VALUE"""),"ApproveorRejectAll")</f>
        <v>ApproveorRejectAll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P6" s="9" t="s">
        <v>53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 t="s">
        <v>28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LoginClient2!$4:$4</formula1>
    </dataValidation>
  </dataValidations>
  <drawing r:id="rId1"/>
</worksheet>
</file>