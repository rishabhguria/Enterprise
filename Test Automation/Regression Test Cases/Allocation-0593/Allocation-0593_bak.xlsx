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missionRule" sheetId="4" r:id="rId6"/>
    <sheet state="visible" name="CreateDoneAwayOrder" sheetId="5" r:id="rId7"/>
    <sheet state="visible" name="SetGeneralPreferences" sheetId="6" r:id="rId8"/>
    <sheet state="visible" name="RunProrata" sheetId="7" r:id="rId9"/>
    <sheet state="visible" name="CreateLiveOrder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GetDataAllocation" sheetId="12" r:id="rId14"/>
    <sheet state="visible" name="CheckAllocatedGroups" sheetId="13" r:id="rId15"/>
    <sheet state="visible" name="CheckAllocatedGroups1" sheetId="14" r:id="rId16"/>
    <sheet state="visible" name="CreateLiveOrder1" sheetId="15" r:id="rId17"/>
    <sheet state="visible" name="SelectTrade1" sheetId="16" r:id="rId18"/>
    <sheet state="visible" name="AcknowledgeTrade1" sheetId="17" r:id="rId19"/>
    <sheet state="visible" name="ExecuteTrade1" sheetId="18" r:id="rId20"/>
    <sheet state="visible" name="CheckAllocatedGroups2" sheetId="19" r:id="rId21"/>
    <sheet state="visible" name="CheckAllocatedGroups3" sheetId="20" r:id="rId22"/>
  </sheets>
  <definedNames/>
  <calcPr/>
</workbook>
</file>

<file path=xl/sharedStrings.xml><?xml version="1.0" encoding="utf-8"?>
<sst xmlns="http://schemas.openxmlformats.org/spreadsheetml/2006/main" count="579" uniqueCount="68">
  <si>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</si>
  <si>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</si>
  <si>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</si>
  <si>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</si>
  <si>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</si>
  <si>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</si>
  <si>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</si>
  <si>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</si>
  <si>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</si>
  <si>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</si>
  <si>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</si>
  <si>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</si>
  <si>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</si>
  <si>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SetCommissionRule</t>
  </si>
  <si>
    <t>Data Format</t>
  </si>
  <si>
    <t>Input Format</t>
  </si>
  <si>
    <t>PREALLOCATION</t>
  </si>
  <si>
    <t>TradingTicket</t>
  </si>
  <si>
    <t>CreateDoneAwayOrder</t>
  </si>
  <si>
    <t>AAPL</t>
  </si>
  <si>
    <t>Buy</t>
  </si>
  <si>
    <t>Allocation1</t>
  </si>
  <si>
    <t>MS</t>
  </si>
  <si>
    <t>Day</t>
  </si>
  <si>
    <t>Market</t>
  </si>
  <si>
    <t>Allocation2</t>
  </si>
  <si>
    <t>Allocation</t>
  </si>
  <si>
    <t>SetGeneralPreferences</t>
  </si>
  <si>
    <t>Pref</t>
  </si>
  <si>
    <t>RunProrata</t>
  </si>
  <si>
    <t>CreateLiveOrder</t>
  </si>
  <si>
    <t>Sell</t>
  </si>
  <si>
    <t>Flat Amount ProRata</t>
  </si>
  <si>
    <t>Simulator</t>
  </si>
  <si>
    <t>SelectTrade</t>
  </si>
  <si>
    <t>AcknowledgeTrade</t>
  </si>
  <si>
    <t>ExecuteTrade</t>
  </si>
  <si>
    <t>GetDataAllocation</t>
  </si>
  <si>
    <t>Historical</t>
  </si>
  <si>
    <t>CheckAllocatedGroups</t>
  </si>
  <si>
    <t/>
  </si>
  <si>
    <t>Multiple</t>
  </si>
  <si>
    <t>Actual_365</t>
  </si>
  <si>
    <t>Equity</t>
  </si>
  <si>
    <t>AAPL US EQUITY</t>
  </si>
  <si>
    <t>Treasury</t>
  </si>
  <si>
    <t>Open</t>
  </si>
  <si>
    <t>APPLE</t>
  </si>
  <si>
    <t>USD</t>
  </si>
  <si>
    <t>NASDAQ</t>
  </si>
  <si>
    <t>M</t>
  </si>
  <si>
    <t>None</t>
  </si>
  <si>
    <t>InternalOrder</t>
  </si>
  <si>
    <t>Strategy Unallocated</t>
  </si>
  <si>
    <t>GCCAP1</t>
  </si>
  <si>
    <t>FIX</t>
  </si>
  <si>
    <t>US</t>
  </si>
  <si>
    <t>jpearce</t>
  </si>
  <si>
    <t>NONE</t>
  </si>
  <si>
    <t>FRU-TC</t>
  </si>
  <si>
    <t>Manual</t>
  </si>
  <si>
    <t>FRU CN EQUITY</t>
  </si>
  <si>
    <t>CAD</t>
  </si>
  <si>
    <t>FRU-TC.C</t>
  </si>
  <si>
    <t>TSX</t>
  </si>
  <si>
    <t>D</t>
  </si>
  <si>
    <t>RANDOM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</si>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</sst>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IFERROR(__xludf.DUMMYFUNCTION("""COMPUTED_VALUE"""),"CommissionCalculation")</f>
        <v>CommissionCalculation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SetCommissionRule!$4:$4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>
        <v>50.0</v>
      </c>
      <c r="E6" s="12">
        <v>50.0</v>
      </c>
      <c r="F6" s="12" t="s">
        <v>21</v>
      </c>
      <c r="G6" s="12" t="s">
        <v>22</v>
      </c>
      <c r="H6" s="12" t="s">
        <v>23</v>
      </c>
      <c r="I6" s="12" t="s">
        <v>24</v>
      </c>
      <c r="J6" s="12">
        <v>10.0</v>
      </c>
      <c r="K6" s="8"/>
      <c r="L6" s="8"/>
      <c r="M6" s="8"/>
      <c r="N6" s="31">
        <f t="shared" ref="N6:N7" si="1">today()</f>
        <v>45246</v>
      </c>
      <c r="O6" s="8"/>
      <c r="R6" s="32"/>
      <c r="S6" s="33"/>
      <c r="T6" s="32"/>
      <c r="U6" s="33"/>
    </row>
    <row r="7" ht="15.75" customHeight="1">
      <c r="A7" s="12"/>
      <c r="B7" s="12" t="s">
        <v>19</v>
      </c>
      <c r="C7" s="12" t="s">
        <v>20</v>
      </c>
      <c r="D7" s="12">
        <v>50.0</v>
      </c>
      <c r="E7" s="12">
        <v>50.0</v>
      </c>
      <c r="F7" s="12" t="s">
        <v>25</v>
      </c>
      <c r="G7" s="12" t="s">
        <v>22</v>
      </c>
      <c r="H7" s="12" t="s">
        <v>23</v>
      </c>
      <c r="I7" s="12" t="s">
        <v>24</v>
      </c>
      <c r="J7" s="12">
        <v>10.0</v>
      </c>
      <c r="K7" s="8"/>
      <c r="L7" s="8"/>
      <c r="M7" s="8"/>
      <c r="N7" s="31">
        <f t="shared" si="1"/>
        <v>45246</v>
      </c>
      <c r="O7" s="8"/>
      <c r="R7" s="32"/>
      <c r="S7" s="33"/>
      <c r="T7" s="32"/>
      <c r="U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X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IFERROR(__xludf.DUMMYFUNCTION("""COMPUTED_VALUE"""),"SchemeName")</f>
        <v>SchemeName</v>
      </c>
      <c r="D5" s="27" t="str">
        <f>IFERROR(__xludf.DUMMYFUNCTION("""COMPUTED_VALUE"""),"SchemeBasis")</f>
        <v>SchemeBasis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>
        <f>today()</f>
        <v>45246</v>
      </c>
      <c r="C6" s="12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31</v>
      </c>
      <c r="D6" s="12">
        <v>100.0</v>
      </c>
      <c r="E6" s="12">
        <v>100.0</v>
      </c>
      <c r="F6" s="12" t="s">
        <v>28</v>
      </c>
      <c r="G6" s="12" t="s">
        <v>22</v>
      </c>
      <c r="H6" s="12" t="s">
        <v>23</v>
      </c>
      <c r="I6" s="12" t="s">
        <v>24</v>
      </c>
      <c r="J6" s="12">
        <v>10.0</v>
      </c>
      <c r="K6" s="8"/>
      <c r="L6" s="8"/>
      <c r="M6" s="8"/>
      <c r="N6" s="31">
        <f>today()</f>
        <v>45246</v>
      </c>
      <c r="O6" s="8"/>
      <c r="R6" s="32" t="s">
        <v>32</v>
      </c>
      <c r="S6" s="33">
        <v>20.0</v>
      </c>
      <c r="T6" s="32" t="s">
        <v>32</v>
      </c>
      <c r="U6" s="33">
        <v>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38</v>
      </c>
      <c r="C6" s="31">
        <f>today()-1</f>
        <v>45245</v>
      </c>
      <c r="D6" s="34">
        <f>today()</f>
        <v>45246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5" t="s">
        <v>40</v>
      </c>
      <c r="B6" s="12" t="s">
        <v>41</v>
      </c>
      <c r="C6" s="8" t="s">
        <v>42</v>
      </c>
      <c r="D6" s="35">
        <v>0.0</v>
      </c>
      <c r="E6" s="8">
        <v>10.0</v>
      </c>
      <c r="F6" s="8" t="s">
        <v>28</v>
      </c>
      <c r="G6" s="8" t="s">
        <v>43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44</v>
      </c>
      <c r="N6" s="8" t="s">
        <v>45</v>
      </c>
      <c r="O6" s="8" t="s">
        <v>22</v>
      </c>
      <c r="Q6">
        <v>3.0</v>
      </c>
      <c r="R6">
        <v>0.0</v>
      </c>
      <c r="S6" t="s">
        <v>46</v>
      </c>
      <c r="T6">
        <v>2.0</v>
      </c>
      <c r="U6">
        <v>0.2</v>
      </c>
      <c r="V6" t="s">
        <v>47</v>
      </c>
      <c r="W6">
        <v>1.0</v>
      </c>
      <c r="X6">
        <v>0.0</v>
      </c>
      <c r="Y6" t="s">
        <v>40</v>
      </c>
      <c r="Z6" t="s">
        <v>48</v>
      </c>
      <c r="AA6" t="s">
        <v>19</v>
      </c>
      <c r="AB6">
        <v>1.0</v>
      </c>
      <c r="AD6" t="s">
        <v>49</v>
      </c>
      <c r="AE6">
        <v>10.0</v>
      </c>
      <c r="AF6" t="s">
        <v>40</v>
      </c>
      <c r="AH6" t="s">
        <v>50</v>
      </c>
      <c r="AI6">
        <v>1.0</v>
      </c>
      <c r="AJ6" t="s">
        <v>51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81.9999</v>
      </c>
      <c r="AU6">
        <v>81.9999</v>
      </c>
      <c r="AW6">
        <v>0.0</v>
      </c>
      <c r="AX6">
        <v>0.0</v>
      </c>
      <c r="AY6" t="s">
        <v>24</v>
      </c>
      <c r="AZ6">
        <v>0.0</v>
      </c>
      <c r="BC6">
        <v>0.0</v>
      </c>
      <c r="BD6" t="s">
        <v>52</v>
      </c>
      <c r="BE6">
        <v>100.0</v>
      </c>
      <c r="BF6">
        <v>100.0</v>
      </c>
      <c r="BJ6">
        <v>100.0</v>
      </c>
      <c r="BK6">
        <v>0.0</v>
      </c>
      <c r="BL6" t="s">
        <v>40</v>
      </c>
      <c r="BM6" t="s">
        <v>48</v>
      </c>
      <c r="BO6" t="s">
        <v>31</v>
      </c>
      <c r="BP6">
        <v>2.0</v>
      </c>
      <c r="BQ6">
        <v>0.2</v>
      </c>
      <c r="BR6">
        <v>1.0E-4</v>
      </c>
      <c r="BS6" t="s">
        <v>53</v>
      </c>
      <c r="BT6" t="s">
        <v>19</v>
      </c>
      <c r="BU6">
        <v>3.0</v>
      </c>
      <c r="BV6">
        <v>4.0</v>
      </c>
      <c r="BW6">
        <v>18.0001</v>
      </c>
      <c r="BX6">
        <v>0.4</v>
      </c>
      <c r="CF6" t="s">
        <v>54</v>
      </c>
      <c r="CG6">
        <v>2.0</v>
      </c>
      <c r="CH6" t="s">
        <v>55</v>
      </c>
      <c r="CI6" t="s">
        <v>31</v>
      </c>
      <c r="CJ6">
        <v>0.0</v>
      </c>
      <c r="CK6" t="s">
        <v>56</v>
      </c>
      <c r="CL6">
        <v>1.0</v>
      </c>
      <c r="CM6" t="s">
        <v>19</v>
      </c>
      <c r="CN6" t="s">
        <v>57</v>
      </c>
      <c r="CO6" t="s">
        <v>49</v>
      </c>
      <c r="CP6" t="s">
        <v>58</v>
      </c>
      <c r="CS6" t="s">
        <v>40</v>
      </c>
      <c r="CW6">
        <v>0.0</v>
      </c>
      <c r="CX6" s="9" t="s">
        <v>41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5" t="s">
        <v>40</v>
      </c>
      <c r="B6" s="12" t="s">
        <v>41</v>
      </c>
      <c r="C6" s="8" t="s">
        <v>42</v>
      </c>
      <c r="D6" s="35">
        <v>0.0</v>
      </c>
      <c r="E6" s="8">
        <v>20.0</v>
      </c>
      <c r="F6" s="8" t="s">
        <v>28</v>
      </c>
      <c r="G6" s="8" t="s">
        <v>43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44</v>
      </c>
      <c r="N6" s="8" t="s">
        <v>45</v>
      </c>
      <c r="O6" s="8" t="s">
        <v>22</v>
      </c>
      <c r="Q6">
        <v>3.0</v>
      </c>
      <c r="R6">
        <v>0.0</v>
      </c>
      <c r="S6" t="s">
        <v>46</v>
      </c>
      <c r="T6">
        <v>4.0</v>
      </c>
      <c r="U6">
        <v>0.2</v>
      </c>
      <c r="V6" t="s">
        <v>47</v>
      </c>
      <c r="W6">
        <v>1.0</v>
      </c>
      <c r="X6">
        <v>0.0</v>
      </c>
      <c r="Y6" t="s">
        <v>40</v>
      </c>
      <c r="Z6" t="s">
        <v>48</v>
      </c>
      <c r="AA6" t="s">
        <v>19</v>
      </c>
      <c r="AB6">
        <v>1.0</v>
      </c>
      <c r="AD6" t="s">
        <v>49</v>
      </c>
      <c r="AE6">
        <v>20.0</v>
      </c>
      <c r="AF6" t="s">
        <v>40</v>
      </c>
      <c r="AH6" t="s">
        <v>50</v>
      </c>
      <c r="AI6">
        <v>1.0</v>
      </c>
      <c r="AJ6" t="s">
        <v>51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177.9999</v>
      </c>
      <c r="AU6">
        <v>177.9999</v>
      </c>
      <c r="AW6">
        <v>0.0</v>
      </c>
      <c r="AX6">
        <v>0.0</v>
      </c>
      <c r="AY6" t="s">
        <v>24</v>
      </c>
      <c r="AZ6">
        <v>0.0</v>
      </c>
      <c r="BC6">
        <v>0.0</v>
      </c>
      <c r="BD6" t="s">
        <v>52</v>
      </c>
      <c r="BE6">
        <v>200.0</v>
      </c>
      <c r="BF6">
        <v>200.0</v>
      </c>
      <c r="BJ6">
        <v>100.0</v>
      </c>
      <c r="BK6">
        <v>0.0</v>
      </c>
      <c r="BL6" t="s">
        <v>40</v>
      </c>
      <c r="BM6" t="s">
        <v>48</v>
      </c>
      <c r="BO6" t="s">
        <v>31</v>
      </c>
      <c r="BP6">
        <v>4.0</v>
      </c>
      <c r="BQ6">
        <v>0.2</v>
      </c>
      <c r="BR6">
        <v>1.0E-4</v>
      </c>
      <c r="BS6" t="s">
        <v>53</v>
      </c>
      <c r="BT6" t="s">
        <v>19</v>
      </c>
      <c r="BU6">
        <v>3.0</v>
      </c>
      <c r="BV6">
        <v>8.0</v>
      </c>
      <c r="BW6">
        <v>22.0001</v>
      </c>
      <c r="BX6">
        <v>0.4</v>
      </c>
      <c r="CF6" t="s">
        <v>54</v>
      </c>
      <c r="CG6">
        <v>2.0</v>
      </c>
      <c r="CH6" t="s">
        <v>55</v>
      </c>
      <c r="CI6" t="s">
        <v>31</v>
      </c>
      <c r="CJ6">
        <v>0.0</v>
      </c>
      <c r="CK6" t="s">
        <v>56</v>
      </c>
      <c r="CL6">
        <v>1.0</v>
      </c>
      <c r="CM6" t="s">
        <v>19</v>
      </c>
      <c r="CN6" t="s">
        <v>57</v>
      </c>
      <c r="CO6" t="s">
        <v>49</v>
      </c>
      <c r="CP6" t="s">
        <v>58</v>
      </c>
      <c r="CS6" t="s">
        <v>40</v>
      </c>
      <c r="CW6">
        <v>0.0</v>
      </c>
      <c r="CX6" s="9" t="s">
        <v>41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59</v>
      </c>
      <c r="C6" s="12" t="s">
        <v>20</v>
      </c>
      <c r="D6" s="12">
        <v>100.0</v>
      </c>
      <c r="E6" s="12">
        <v>100.0</v>
      </c>
      <c r="F6" s="12" t="s">
        <v>21</v>
      </c>
      <c r="G6" s="12" t="s">
        <v>22</v>
      </c>
      <c r="H6" s="12" t="s">
        <v>23</v>
      </c>
      <c r="I6" s="12" t="s">
        <v>24</v>
      </c>
      <c r="J6" s="12">
        <v>10.0</v>
      </c>
      <c r="K6" s="8"/>
      <c r="L6" s="8"/>
      <c r="M6" s="8"/>
      <c r="N6" s="31">
        <f>today()</f>
        <v>45246</v>
      </c>
      <c r="O6" s="12">
        <v>2.5</v>
      </c>
      <c r="R6" s="32" t="s">
        <v>32</v>
      </c>
      <c r="S6" s="33">
        <v>20.0</v>
      </c>
      <c r="T6" s="32" t="s">
        <v>32</v>
      </c>
      <c r="U6" s="33">
        <v>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59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59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5" t="s">
        <v>40</v>
      </c>
      <c r="B6" s="35" t="s">
        <v>21</v>
      </c>
      <c r="C6" s="8" t="s">
        <v>42</v>
      </c>
      <c r="D6" s="35">
        <v>0.0</v>
      </c>
      <c r="E6" s="8">
        <v>10.0</v>
      </c>
      <c r="F6" s="8" t="s">
        <v>60</v>
      </c>
      <c r="G6" s="8" t="s">
        <v>43</v>
      </c>
      <c r="H6" s="8">
        <v>0.0</v>
      </c>
      <c r="I6" s="8">
        <v>0.0</v>
      </c>
      <c r="J6" s="8">
        <v>73.0</v>
      </c>
      <c r="K6" s="8">
        <v>4.0</v>
      </c>
      <c r="L6" s="8">
        <v>10.0</v>
      </c>
      <c r="M6" s="8" t="s">
        <v>61</v>
      </c>
      <c r="N6" s="8" t="s">
        <v>45</v>
      </c>
      <c r="O6" s="8" t="s">
        <v>22</v>
      </c>
      <c r="Q6">
        <v>3.0</v>
      </c>
      <c r="R6" s="9">
        <v>0.3</v>
      </c>
      <c r="S6" t="s">
        <v>46</v>
      </c>
      <c r="T6">
        <v>2.0</v>
      </c>
      <c r="U6">
        <v>0.2</v>
      </c>
      <c r="V6" t="s">
        <v>59</v>
      </c>
      <c r="W6">
        <v>1.0</v>
      </c>
      <c r="X6">
        <v>0.0</v>
      </c>
      <c r="Y6" t="s">
        <v>40</v>
      </c>
      <c r="Z6" t="s">
        <v>62</v>
      </c>
      <c r="AA6" t="s">
        <v>63</v>
      </c>
      <c r="AB6">
        <v>1.0</v>
      </c>
      <c r="AD6" t="s">
        <v>64</v>
      </c>
      <c r="AE6">
        <v>10.0</v>
      </c>
      <c r="AF6" t="s">
        <v>40</v>
      </c>
      <c r="AH6" t="s">
        <v>65</v>
      </c>
      <c r="AI6">
        <v>2.5</v>
      </c>
      <c r="AJ6" t="s">
        <v>51</v>
      </c>
      <c r="AN6" t="b">
        <v>0</v>
      </c>
      <c r="AO6" t="s">
        <v>66</v>
      </c>
      <c r="AP6" t="b">
        <v>0</v>
      </c>
      <c r="AQ6" t="b">
        <v>0</v>
      </c>
      <c r="AR6" t="b">
        <v>1</v>
      </c>
      <c r="AS6">
        <v>0.0</v>
      </c>
      <c r="AT6" s="9">
        <v>41.94</v>
      </c>
      <c r="AU6" s="9">
        <v>104.85</v>
      </c>
      <c r="AW6">
        <v>0.0</v>
      </c>
      <c r="AX6">
        <v>0.0</v>
      </c>
      <c r="AY6" t="s">
        <v>24</v>
      </c>
      <c r="AZ6">
        <v>0.0</v>
      </c>
      <c r="BC6" s="9">
        <v>0.55</v>
      </c>
      <c r="BD6" t="s">
        <v>52</v>
      </c>
      <c r="BE6">
        <v>40.0</v>
      </c>
      <c r="BF6">
        <v>100.0</v>
      </c>
      <c r="BJ6">
        <v>100.0</v>
      </c>
      <c r="BK6">
        <v>0.0</v>
      </c>
      <c r="BL6" t="s">
        <v>40</v>
      </c>
      <c r="BM6" t="s">
        <v>62</v>
      </c>
      <c r="BO6" t="s">
        <v>20</v>
      </c>
      <c r="BP6">
        <v>2.0</v>
      </c>
      <c r="BQ6">
        <v>0.2</v>
      </c>
      <c r="BR6">
        <v>0.0</v>
      </c>
      <c r="BS6" t="s">
        <v>53</v>
      </c>
      <c r="BT6" t="s">
        <v>59</v>
      </c>
      <c r="BU6">
        <v>0.0</v>
      </c>
      <c r="BV6">
        <v>4.0</v>
      </c>
      <c r="BW6" s="9">
        <v>4.85</v>
      </c>
      <c r="BX6">
        <v>0.4</v>
      </c>
      <c r="CF6" t="s">
        <v>54</v>
      </c>
      <c r="CG6">
        <v>0.0</v>
      </c>
      <c r="CH6" t="s">
        <v>55</v>
      </c>
      <c r="CI6" t="s">
        <v>20</v>
      </c>
      <c r="CJ6">
        <v>0.0</v>
      </c>
      <c r="CK6" t="s">
        <v>56</v>
      </c>
      <c r="CL6">
        <v>1.0</v>
      </c>
      <c r="CM6" t="s">
        <v>59</v>
      </c>
      <c r="CN6" t="s">
        <v>57</v>
      </c>
      <c r="CO6" t="s">
        <v>49</v>
      </c>
      <c r="CP6" t="s">
        <v>58</v>
      </c>
      <c r="CS6" t="s">
        <v>40</v>
      </c>
      <c r="CW6">
        <v>0.0</v>
      </c>
      <c r="CX6" t="s">
        <v>67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5" t="s">
        <v>40</v>
      </c>
      <c r="B6" s="35" t="s">
        <v>21</v>
      </c>
      <c r="C6" s="8" t="s">
        <v>42</v>
      </c>
      <c r="D6" s="35">
        <v>0.0</v>
      </c>
      <c r="E6" s="8">
        <v>20.0</v>
      </c>
      <c r="F6" s="8" t="s">
        <v>60</v>
      </c>
      <c r="G6" s="8" t="s">
        <v>43</v>
      </c>
      <c r="H6" s="8">
        <v>0.0</v>
      </c>
      <c r="I6" s="8">
        <v>0.0</v>
      </c>
      <c r="J6" s="8">
        <v>73.0</v>
      </c>
      <c r="K6" s="8">
        <v>25.0</v>
      </c>
      <c r="L6" s="8">
        <v>10.0</v>
      </c>
      <c r="M6" s="8" t="s">
        <v>61</v>
      </c>
      <c r="N6" s="8" t="s">
        <v>45</v>
      </c>
      <c r="O6" s="8" t="s">
        <v>22</v>
      </c>
      <c r="Q6">
        <v>3.0</v>
      </c>
      <c r="R6" s="9">
        <v>0.6</v>
      </c>
      <c r="S6" t="s">
        <v>46</v>
      </c>
      <c r="T6">
        <v>4.0</v>
      </c>
      <c r="U6">
        <v>0.2</v>
      </c>
      <c r="V6" t="s">
        <v>59</v>
      </c>
      <c r="W6">
        <v>1.0</v>
      </c>
      <c r="X6">
        <v>0.0</v>
      </c>
      <c r="Y6" t="s">
        <v>40</v>
      </c>
      <c r="Z6" t="s">
        <v>62</v>
      </c>
      <c r="AA6" t="s">
        <v>63</v>
      </c>
      <c r="AB6">
        <v>1.0</v>
      </c>
      <c r="AD6" t="s">
        <v>64</v>
      </c>
      <c r="AE6">
        <v>20.0</v>
      </c>
      <c r="AF6" t="s">
        <v>40</v>
      </c>
      <c r="AH6" t="s">
        <v>50</v>
      </c>
      <c r="AI6">
        <v>2.5</v>
      </c>
      <c r="AJ6" t="s">
        <v>51</v>
      </c>
      <c r="AN6" t="b">
        <v>0</v>
      </c>
      <c r="AO6" t="s">
        <v>66</v>
      </c>
      <c r="AP6" t="b">
        <v>0</v>
      </c>
      <c r="AQ6" t="b">
        <v>0</v>
      </c>
      <c r="AR6" t="b">
        <v>1</v>
      </c>
      <c r="AS6">
        <v>0.0</v>
      </c>
      <c r="AT6" s="9">
        <v>524.25</v>
      </c>
      <c r="AU6" s="9">
        <v>209.7</v>
      </c>
      <c r="AW6">
        <v>0.0</v>
      </c>
      <c r="AX6">
        <v>0.0</v>
      </c>
      <c r="AY6" t="s">
        <v>24</v>
      </c>
      <c r="AZ6">
        <v>0.0</v>
      </c>
      <c r="BC6" s="9">
        <v>1.1</v>
      </c>
      <c r="BD6" t="s">
        <v>52</v>
      </c>
      <c r="BE6">
        <v>500.0</v>
      </c>
      <c r="BF6">
        <v>200.0</v>
      </c>
      <c r="BJ6">
        <v>100.0</v>
      </c>
      <c r="BK6">
        <v>0.0</v>
      </c>
      <c r="BL6" t="s">
        <v>40</v>
      </c>
      <c r="BM6" t="s">
        <v>62</v>
      </c>
      <c r="BO6" t="s">
        <v>20</v>
      </c>
      <c r="BP6">
        <v>4.0</v>
      </c>
      <c r="BQ6">
        <v>0.2</v>
      </c>
      <c r="BR6">
        <v>0.0</v>
      </c>
      <c r="BS6" t="s">
        <v>53</v>
      </c>
      <c r="BT6" t="s">
        <v>59</v>
      </c>
      <c r="BU6">
        <v>0.0</v>
      </c>
      <c r="BV6">
        <v>8.0</v>
      </c>
      <c r="BW6" s="9">
        <v>9.7</v>
      </c>
      <c r="BX6">
        <v>0.4</v>
      </c>
      <c r="CF6" t="s">
        <v>54</v>
      </c>
      <c r="CG6">
        <v>0.0</v>
      </c>
      <c r="CH6" t="s">
        <v>55</v>
      </c>
      <c r="CI6" t="s">
        <v>20</v>
      </c>
      <c r="CJ6">
        <v>0.0</v>
      </c>
      <c r="CK6" t="s">
        <v>56</v>
      </c>
      <c r="CL6">
        <v>1.0</v>
      </c>
      <c r="CM6" t="s">
        <v>59</v>
      </c>
      <c r="CN6" t="s">
        <v>57</v>
      </c>
      <c r="CO6" t="s">
        <v>49</v>
      </c>
      <c r="CP6" t="s">
        <v>58</v>
      </c>
      <c r="CS6" t="s">
        <v>40</v>
      </c>
      <c r="CW6">
        <v>0.0</v>
      </c>
      <c r="CX6" t="s">
        <v>67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