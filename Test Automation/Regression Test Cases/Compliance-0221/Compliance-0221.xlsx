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SetPreTradeCompliancePermission" sheetId="5" r:id="rId7"/>
    <sheet state="visible" name="RestartReleasesAndServices" sheetId="6" r:id="rId8"/>
    <sheet state="visible" name="CreateDoneAwayOrder" sheetId="7" r:id="rId9"/>
    <sheet state="visible" name="CreateComplianceOrder" sheetId="8" r:id="rId10"/>
    <sheet state="visible" name="CreateLiveOrder" sheetId="9" r:id="rId11"/>
    <sheet state="visible" name="SelectTrade" sheetId="10" r:id="rId12"/>
    <sheet state="visible" name="AcknowledgeTrade" sheetId="11" r:id="rId13"/>
    <sheet state="visible" name="CreateComplianceOrder1" sheetId="12" r:id="rId14"/>
    <sheet state="visible" name="ExecuteTrade" sheetId="13" r:id="rId15"/>
    <sheet state="visible" name="SetComplianceAlert1" sheetId="14" r:id="rId16"/>
    <sheet state="visible" name="VerifyComplianceOrder" sheetId="15" r:id="rId17"/>
    <sheet state="visible" name="CreateDoneAwayOrder1" sheetId="16" r:id="rId18"/>
    <sheet state="visible" name="CreateComplianceOrder2" sheetId="17" r:id="rId19"/>
    <sheet state="visible" name="CreateLiveOrder1" sheetId="18" r:id="rId20"/>
    <sheet state="visible" name="SelectTrade1" sheetId="19" r:id="rId21"/>
    <sheet state="visible" name="AcknowledgeTrade1" sheetId="20" r:id="rId22"/>
    <sheet state="visible" name="ExecuteTrade1" sheetId="21" r:id="rId23"/>
    <sheet state="visible" name="CreateComplianceOrder3" sheetId="22" r:id="rId24"/>
    <sheet state="visible" name="VerifyComplianceOrder1" sheetId="23" r:id="rId25"/>
    <sheet state="visible" name="SetComplianceAlert2" sheetId="24" r:id="rId26"/>
    <sheet state="visible" name="CreateDoneAwayOrder2" sheetId="25" r:id="rId27"/>
    <sheet state="visible" name="CreateComplianceOrder4" sheetId="26" r:id="rId28"/>
    <sheet state="visible" name="CreateLiveOrder2" sheetId="27" r:id="rId29"/>
    <sheet state="visible" name="SelectTrade2" sheetId="28" r:id="rId30"/>
    <sheet state="visible" name="AcknowledgeTrade2" sheetId="29" r:id="rId31"/>
    <sheet state="visible" name="ExecuteTrade2" sheetId="30" r:id="rId32"/>
    <sheet state="visible" name="CreateComplianceOrder5" sheetId="31" r:id="rId33"/>
    <sheet state="visible" name="CreateComplianceOrder6" sheetId="32" r:id="rId34"/>
    <sheet state="visible" name="VerifyComplianceOrder2" sheetId="33" r:id="rId35"/>
  </sheets>
  <definedNames/>
  <calcPr/>
</workbook>
</file>

<file path=xl/sharedStrings.xml><?xml version="1.0" encoding="utf-8"?>
<sst xmlns="http://schemas.openxmlformats.org/spreadsheetml/2006/main" count="349" uniqueCount="48">
  <si>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</si>
  <si>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</si>
  <si>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</si>
  <si>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</si>
  <si>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</si>
  <si>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</si>
  <si>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</si>
  <si>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</si>
  <si>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</si>
  <si>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</si>
  <si>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</si>
  <si>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</si>
  <si>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</si>
  <si>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</si>
  <si>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</si>
  <si>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</si>
  <si>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SetPreTradeCompliancePermission</t>
  </si>
  <si>
    <t>Compliance</t>
  </si>
  <si>
    <t>RestartReleasesAndServices</t>
  </si>
  <si>
    <t>Yes</t>
  </si>
  <si>
    <t>TradingTicket</t>
  </si>
  <si>
    <t>CreateDoneAwayOrder</t>
  </si>
  <si>
    <t>MSFT</t>
  </si>
  <si>
    <t>Buy</t>
  </si>
  <si>
    <t>Allocation1</t>
  </si>
  <si>
    <t>MS</t>
  </si>
  <si>
    <t>Day</t>
  </si>
  <si>
    <t>Market</t>
  </si>
  <si>
    <t>CreateComplianceOrder</t>
  </si>
  <si>
    <t>CreateOrder</t>
  </si>
  <si>
    <t>CreateLiveOrder</t>
  </si>
  <si>
    <t>Simulator</t>
  </si>
  <si>
    <t>SelectTrade</t>
  </si>
  <si>
    <t>AcknowledgeTrade</t>
  </si>
  <si>
    <t>DoneAway</t>
  </si>
  <si>
    <t>ExecuteTrade</t>
  </si>
  <si>
    <t>VerifyComplianceOrder</t>
  </si>
  <si>
    <t>Soft</t>
  </si>
  <si>
    <t>Staging</t>
  </si>
  <si>
    <t>Enter Summary</t>
  </si>
  <si>
    <t>Allocation1-MSFT</t>
  </si>
  <si>
    <t>quantity: 3,000.00, AccountShortName: Allocation1, Symbol: MSFT</t>
  </si>
  <si>
    <t>AAPL</t>
  </si>
  <si>
    <t>Allocation1-AAPL</t>
  </si>
  <si>
    <t>quantity: 3,400.00, AccountShortName: Allocation1, Symbol: AAPL</t>
  </si>
  <si>
    <t>GOOG</t>
  </si>
  <si>
    <t>Allocation1-GOOG</t>
  </si>
  <si>
    <t>quantity: 2,600.00, AccountShortName: Allocation1, Symbol: GOOG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</si>
</sst>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5" fillId="6" fontId="13" numFmtId="0" xfId="0" applyAlignment="1" applyBorder="1" applyFill="1" applyFont="1">
      <alignment horizontal="left" readingOrder="0" shrinkToFit="0" vertical="top" wrapText="0"/>
    </xf>
    <xf borderId="5" fillId="7" fontId="14" numFmtId="0" xfId="0" applyAlignment="1" applyBorder="1" applyFill="1" applyFont="1">
      <alignment horizontal="left" readingOrder="0" shrinkToFit="0" vertical="top" wrapText="0"/>
    </xf>
    <xf borderId="5" fillId="7" fontId="14" numFmtId="0" xfId="0" applyAlignment="1" applyBorder="1" applyFont="1">
      <alignment horizontal="left" shrinkToFit="0" vertical="top" wrapText="0"/>
    </xf>
    <xf borderId="0" fillId="0" fontId="5" numFmtId="0" xfId="0" applyAlignment="1" applyFont="1">
      <alignment readingOrder="0" vertical="bottom"/>
    </xf>
    <xf borderId="5" fillId="7" fontId="15" numFmtId="0" xfId="0" applyAlignment="1" applyBorder="1" applyFont="1">
      <alignment horizontal="left" readingOrder="0" shrinkToFit="0" vertical="top" wrapText="0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1</v>
      </c>
      <c r="E6" s="12" t="b">
        <v>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IFERROR(__xludf.DUMMYFUNCTION("""COMPUTED_VALUE"""),"Trading")</f>
        <v>Trading</v>
      </c>
      <c r="C5" s="27" t="str">
        <f>IFERROR(__xludf.DUMMYFUNCTION("""COMPUTED_VALUE"""),"Manual Trading")</f>
        <v>Manual Trading</v>
      </c>
      <c r="D5" s="27" t="str">
        <f>IFERROR(__xludf.DUMMYFUNCTION("""COMPUTED_VALUE"""),"Staging")</f>
        <v>Staging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 t="b">
        <v>1</v>
      </c>
      <c r="D6" s="12" t="b">
        <v>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SetPreTradeCompliancePermission!$4:$4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22</v>
      </c>
      <c r="C6" s="33" t="s">
        <v>23</v>
      </c>
      <c r="D6" s="34">
        <v>1000.0</v>
      </c>
      <c r="E6" s="35">
        <v>1000.0</v>
      </c>
      <c r="F6" s="33" t="s">
        <v>24</v>
      </c>
      <c r="G6" s="33" t="s">
        <v>25</v>
      </c>
      <c r="H6" s="33" t="s">
        <v>26</v>
      </c>
      <c r="I6" s="33" t="s">
        <v>27</v>
      </c>
      <c r="J6" s="35">
        <v>10.0</v>
      </c>
      <c r="K6" s="36"/>
      <c r="L6" s="36"/>
      <c r="M6" s="36"/>
      <c r="N6" s="37">
        <f>today()</f>
        <v>45861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 t="s">
        <v>19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3" t="s">
        <v>22</v>
      </c>
      <c r="C6" s="33" t="s">
        <v>23</v>
      </c>
      <c r="D6" s="35">
        <v>400.0</v>
      </c>
      <c r="E6" s="35">
        <v>400.0</v>
      </c>
      <c r="F6" s="33" t="s">
        <v>24</v>
      </c>
      <c r="G6" s="33" t="s">
        <v>25</v>
      </c>
      <c r="H6" s="33" t="s">
        <v>26</v>
      </c>
      <c r="I6" s="33" t="s">
        <v>27</v>
      </c>
      <c r="J6" s="35">
        <v>10.0</v>
      </c>
      <c r="K6" s="36"/>
      <c r="L6" s="36"/>
      <c r="M6" s="36"/>
      <c r="N6" s="37">
        <f>today()</f>
        <v>45861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 t="s">
        <v>19</v>
      </c>
      <c r="AR6" s="36"/>
      <c r="AS6" s="36"/>
      <c r="AT6" s="36"/>
      <c r="AU6" s="36"/>
      <c r="AV6" s="36"/>
      <c r="AW6" s="36"/>
      <c r="AX6" s="36" t="s">
        <v>29</v>
      </c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3" t="s">
        <v>22</v>
      </c>
      <c r="C6" s="33" t="s">
        <v>23</v>
      </c>
      <c r="D6" s="35">
        <v>1000.0</v>
      </c>
      <c r="E6" s="35">
        <v>1000.0</v>
      </c>
      <c r="F6" s="33" t="s">
        <v>24</v>
      </c>
      <c r="G6" s="33" t="s">
        <v>25</v>
      </c>
      <c r="H6" s="33" t="s">
        <v>26</v>
      </c>
      <c r="I6" s="33" t="s">
        <v>27</v>
      </c>
      <c r="J6" s="35">
        <v>10.0</v>
      </c>
      <c r="K6" s="36"/>
      <c r="L6" s="36"/>
      <c r="M6" s="36"/>
      <c r="N6" s="37">
        <f>today()</f>
        <v>45861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 t="s">
        <v>19</v>
      </c>
      <c r="AP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22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22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22</v>
      </c>
      <c r="C6" s="33" t="s">
        <v>23</v>
      </c>
      <c r="D6" s="34">
        <v>1000.0</v>
      </c>
      <c r="E6" s="35">
        <v>1000.0</v>
      </c>
      <c r="F6" s="33" t="s">
        <v>24</v>
      </c>
      <c r="G6" s="33" t="s">
        <v>25</v>
      </c>
      <c r="H6" s="33" t="s">
        <v>26</v>
      </c>
      <c r="I6" s="33" t="s">
        <v>27</v>
      </c>
      <c r="J6" s="35">
        <v>10.0</v>
      </c>
      <c r="K6" s="36"/>
      <c r="L6" s="36"/>
      <c r="M6" s="36"/>
      <c r="N6" s="37">
        <f>today()</f>
        <v>45861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 t="s">
        <v>19</v>
      </c>
      <c r="AR6" s="36"/>
      <c r="AS6" s="36"/>
      <c r="AT6" s="36"/>
      <c r="AU6" s="36"/>
      <c r="AV6" s="36"/>
      <c r="AW6" s="36"/>
      <c r="AX6" s="38" t="s">
        <v>34</v>
      </c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1</v>
      </c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37</v>
      </c>
      <c r="C6" s="40" t="s">
        <v>38</v>
      </c>
      <c r="D6" s="40" t="s">
        <v>39</v>
      </c>
      <c r="E6" s="40" t="s">
        <v>40</v>
      </c>
      <c r="F6" s="40">
        <v>2500.0</v>
      </c>
      <c r="G6" s="40">
        <v>3000.0</v>
      </c>
      <c r="H6" s="40" t="s">
        <v>41</v>
      </c>
      <c r="I6" s="41"/>
      <c r="J6" s="8"/>
      <c r="K6" s="12" t="s">
        <v>19</v>
      </c>
      <c r="L6" s="8"/>
      <c r="M6" s="12" t="s">
        <v>34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2" t="s">
        <v>42</v>
      </c>
      <c r="C6" s="33" t="s">
        <v>23</v>
      </c>
      <c r="D6" s="34">
        <v>1000.0</v>
      </c>
      <c r="E6" s="35">
        <v>1000.0</v>
      </c>
      <c r="F6" s="33" t="s">
        <v>24</v>
      </c>
      <c r="G6" s="33" t="s">
        <v>25</v>
      </c>
      <c r="H6" s="33" t="s">
        <v>26</v>
      </c>
      <c r="I6" s="33" t="s">
        <v>27</v>
      </c>
      <c r="J6" s="35">
        <v>10.0</v>
      </c>
      <c r="K6" s="36"/>
      <c r="L6" s="36"/>
      <c r="M6" s="36"/>
      <c r="N6" s="37">
        <f>today()</f>
        <v>45861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 t="s">
        <v>19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42" t="s">
        <v>42</v>
      </c>
      <c r="C6" s="33" t="s">
        <v>23</v>
      </c>
      <c r="D6" s="35">
        <v>400.0</v>
      </c>
      <c r="E6" s="35">
        <v>400.0</v>
      </c>
      <c r="F6" s="33" t="s">
        <v>24</v>
      </c>
      <c r="G6" s="33" t="s">
        <v>25</v>
      </c>
      <c r="H6" s="33" t="s">
        <v>26</v>
      </c>
      <c r="I6" s="33" t="s">
        <v>27</v>
      </c>
      <c r="J6" s="35">
        <v>10.0</v>
      </c>
      <c r="K6" s="36"/>
      <c r="L6" s="36"/>
      <c r="M6" s="36"/>
      <c r="N6" s="37">
        <f>today()</f>
        <v>45861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 t="s">
        <v>19</v>
      </c>
      <c r="AR6" s="36"/>
      <c r="AS6" s="36"/>
      <c r="AT6" s="36"/>
      <c r="AU6" s="36"/>
      <c r="AV6" s="36"/>
      <c r="AW6" s="36"/>
      <c r="AX6" s="36" t="s">
        <v>29</v>
      </c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42" t="s">
        <v>42</v>
      </c>
      <c r="C6" s="33" t="s">
        <v>23</v>
      </c>
      <c r="D6" s="35">
        <v>1000.0</v>
      </c>
      <c r="E6" s="35">
        <v>1000.0</v>
      </c>
      <c r="F6" s="33" t="s">
        <v>24</v>
      </c>
      <c r="G6" s="33" t="s">
        <v>25</v>
      </c>
      <c r="H6" s="33" t="s">
        <v>26</v>
      </c>
      <c r="I6" s="33" t="s">
        <v>27</v>
      </c>
      <c r="J6" s="35">
        <v>10.0</v>
      </c>
      <c r="K6" s="36"/>
      <c r="L6" s="36"/>
      <c r="M6" s="36"/>
      <c r="N6" s="37">
        <f>today()</f>
        <v>45861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 t="s">
        <v>19</v>
      </c>
      <c r="AP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42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42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2" t="s">
        <v>42</v>
      </c>
      <c r="C6" s="33" t="s">
        <v>23</v>
      </c>
      <c r="D6" s="34">
        <v>1000.0</v>
      </c>
      <c r="E6" s="35">
        <v>1000.0</v>
      </c>
      <c r="F6" s="33" t="s">
        <v>24</v>
      </c>
      <c r="G6" s="33" t="s">
        <v>25</v>
      </c>
      <c r="H6" s="33" t="s">
        <v>26</v>
      </c>
      <c r="I6" s="33" t="s">
        <v>27</v>
      </c>
      <c r="J6" s="35">
        <v>10.0</v>
      </c>
      <c r="K6" s="36"/>
      <c r="L6" s="36"/>
      <c r="M6" s="36"/>
      <c r="N6" s="37">
        <f>today()</f>
        <v>45861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 t="s">
        <v>19</v>
      </c>
      <c r="AR6" s="36"/>
      <c r="AS6" s="36"/>
      <c r="AT6" s="36"/>
      <c r="AU6" s="36"/>
      <c r="AV6" s="36"/>
      <c r="AW6" s="36"/>
      <c r="AX6" s="38" t="s">
        <v>34</v>
      </c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37</v>
      </c>
      <c r="C6" s="40" t="s">
        <v>38</v>
      </c>
      <c r="D6" s="40" t="s">
        <v>39</v>
      </c>
      <c r="E6" s="43" t="s">
        <v>43</v>
      </c>
      <c r="F6" s="40">
        <v>2500.0</v>
      </c>
      <c r="G6" s="43">
        <v>3400.0</v>
      </c>
      <c r="H6" s="43" t="s">
        <v>44</v>
      </c>
      <c r="I6" s="41"/>
      <c r="J6" s="8"/>
      <c r="K6" s="12" t="s">
        <v>19</v>
      </c>
      <c r="L6" s="8"/>
      <c r="M6" s="12" t="s">
        <v>34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0</v>
      </c>
      <c r="E6" s="12" t="b">
        <v>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2" t="s">
        <v>45</v>
      </c>
      <c r="C6" s="33" t="s">
        <v>23</v>
      </c>
      <c r="D6" s="34">
        <v>1000.0</v>
      </c>
      <c r="E6" s="35">
        <v>1000.0</v>
      </c>
      <c r="F6" s="33" t="s">
        <v>24</v>
      </c>
      <c r="G6" s="33" t="s">
        <v>25</v>
      </c>
      <c r="H6" s="33" t="s">
        <v>26</v>
      </c>
      <c r="I6" s="33" t="s">
        <v>27</v>
      </c>
      <c r="J6" s="35">
        <v>10.0</v>
      </c>
      <c r="K6" s="36"/>
      <c r="L6" s="36"/>
      <c r="M6" s="36"/>
      <c r="N6" s="37">
        <f>today()</f>
        <v>45861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 t="s">
        <v>19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42" t="s">
        <v>45</v>
      </c>
      <c r="C6" s="33" t="s">
        <v>23</v>
      </c>
      <c r="D6" s="35">
        <v>400.0</v>
      </c>
      <c r="E6" s="35">
        <v>400.0</v>
      </c>
      <c r="F6" s="33" t="s">
        <v>24</v>
      </c>
      <c r="G6" s="33" t="s">
        <v>25</v>
      </c>
      <c r="H6" s="33" t="s">
        <v>26</v>
      </c>
      <c r="I6" s="33" t="s">
        <v>27</v>
      </c>
      <c r="J6" s="35">
        <v>10.0</v>
      </c>
      <c r="K6" s="36"/>
      <c r="L6" s="36"/>
      <c r="M6" s="36"/>
      <c r="N6" s="37">
        <f>today()</f>
        <v>45861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 t="s">
        <v>19</v>
      </c>
      <c r="AR6" s="36"/>
      <c r="AS6" s="36"/>
      <c r="AT6" s="36"/>
      <c r="AU6" s="36"/>
      <c r="AV6" s="36"/>
      <c r="AW6" s="36"/>
      <c r="AX6" s="36" t="s">
        <v>29</v>
      </c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42" t="s">
        <v>45</v>
      </c>
      <c r="C6" s="33" t="s">
        <v>23</v>
      </c>
      <c r="D6" s="35">
        <v>1000.0</v>
      </c>
      <c r="E6" s="35">
        <v>1000.0</v>
      </c>
      <c r="F6" s="33" t="s">
        <v>24</v>
      </c>
      <c r="G6" s="33" t="s">
        <v>25</v>
      </c>
      <c r="H6" s="33" t="s">
        <v>26</v>
      </c>
      <c r="I6" s="33" t="s">
        <v>27</v>
      </c>
      <c r="J6" s="35">
        <v>10.0</v>
      </c>
      <c r="K6" s="36"/>
      <c r="L6" s="36"/>
      <c r="M6" s="36"/>
      <c r="N6" s="37">
        <f>today()</f>
        <v>45861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 t="s">
        <v>19</v>
      </c>
      <c r="AP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CreateLiveOrder2!$4:$4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2" t="s">
        <v>45</v>
      </c>
      <c r="C6" s="33" t="s">
        <v>23</v>
      </c>
      <c r="D6" s="34">
        <v>1000.0</v>
      </c>
      <c r="E6" s="35">
        <v>1000.0</v>
      </c>
      <c r="F6" s="33" t="s">
        <v>24</v>
      </c>
      <c r="G6" s="33" t="s">
        <v>25</v>
      </c>
      <c r="H6" s="33" t="s">
        <v>26</v>
      </c>
      <c r="I6" s="33" t="s">
        <v>27</v>
      </c>
      <c r="J6" s="35">
        <v>10.0</v>
      </c>
      <c r="K6" s="36"/>
      <c r="L6" s="36"/>
      <c r="M6" s="36"/>
      <c r="N6" s="37">
        <f>today()</f>
        <v>45861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 t="s">
        <v>19</v>
      </c>
      <c r="AR6" s="36"/>
      <c r="AS6" s="36"/>
      <c r="AT6" s="36"/>
      <c r="AU6" s="36"/>
      <c r="AV6" s="36"/>
      <c r="AW6" s="36"/>
      <c r="AX6" s="36" t="s">
        <v>34</v>
      </c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2" t="s">
        <v>45</v>
      </c>
      <c r="C6" s="33" t="s">
        <v>23</v>
      </c>
      <c r="D6" s="44">
        <v>600.0</v>
      </c>
      <c r="E6" s="44">
        <v>600.0</v>
      </c>
      <c r="F6" s="33" t="s">
        <v>24</v>
      </c>
      <c r="G6" s="33" t="s">
        <v>25</v>
      </c>
      <c r="H6" s="33" t="s">
        <v>26</v>
      </c>
      <c r="I6" s="33" t="s">
        <v>27</v>
      </c>
      <c r="J6" s="35">
        <v>10.0</v>
      </c>
      <c r="K6" s="36"/>
      <c r="L6" s="36"/>
      <c r="M6" s="36"/>
      <c r="N6" s="37">
        <f>today()</f>
        <v>45861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 t="s">
        <v>19</v>
      </c>
      <c r="AR6" s="36"/>
      <c r="AS6" s="36"/>
      <c r="AT6" s="36"/>
      <c r="AU6" s="36"/>
      <c r="AV6" s="36"/>
      <c r="AW6" s="36"/>
      <c r="AX6" s="36" t="s">
        <v>34</v>
      </c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CreateComplianceOrder6!$4:$4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37</v>
      </c>
      <c r="C6" s="40" t="s">
        <v>38</v>
      </c>
      <c r="D6" s="40" t="s">
        <v>39</v>
      </c>
      <c r="E6" s="43" t="s">
        <v>46</v>
      </c>
      <c r="F6" s="40">
        <v>2500.0</v>
      </c>
      <c r="G6" s="43">
        <v>2600.0</v>
      </c>
      <c r="H6" s="43" t="s">
        <v>47</v>
      </c>
      <c r="I6" s="41"/>
      <c r="J6" s="8"/>
      <c r="K6" s="12" t="s">
        <v>19</v>
      </c>
      <c r="L6" s="8"/>
      <c r="M6" s="12" t="s">
        <v>34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