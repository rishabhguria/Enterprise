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UpdateMultipleDailyCash" sheetId="6" r:id="rId8"/>
    <sheet state="visible" name="FetchAccountPositions" sheetId="7" r:id="rId9"/>
    <sheet state="visible" name="AddCash" sheetId="8" r:id="rId10"/>
    <sheet state="visible" name="RunRebalance" sheetId="9" r:id="rId11"/>
    <sheet state="visible" name="SendtoStaging" sheetId="10" r:id="rId12"/>
    <sheet state="visible" name="CreateDoneAwayOrder1" sheetId="11" r:id="rId13"/>
    <sheet state="visible" name="CreateDoneAwayOrder2" sheetId="12" r:id="rId14"/>
    <sheet state="visible" name="PricingInput" sheetId="13" r:id="rId15"/>
    <sheet state="visible" name="TradeNewSubOrder" sheetId="14" r:id="rId16"/>
    <sheet state="visible" name="CreateNewSubOrder" sheetId="15" r:id="rId17"/>
    <sheet state="visible" name="SelectTradeOnOrderGrid" sheetId="16" r:id="rId18"/>
    <sheet state="visible" name="RemoveExecutionWorkingSubs" sheetId="17" r:id="rId19"/>
    <sheet state="visible" name="CreateDoneAwayOrder3" sheetId="18" r:id="rId20"/>
    <sheet state="visible" name="CreateDoneAwayOrder4" sheetId="19" r:id="rId21"/>
    <sheet state="visible" name="GetDataAllocation" sheetId="20" r:id="rId22"/>
    <sheet state="visible" name="Unallocate" sheetId="21" r:id="rId23"/>
    <sheet state="visible" name="DeleteGroup" sheetId="22" r:id="rId24"/>
    <sheet state="visible" name="CreateDoneAwayOrder5" sheetId="23" r:id="rId25"/>
    <sheet state="visible" name="GetDailyCash1" sheetId="24" r:id="rId26"/>
  </sheets>
  <definedNames/>
  <calcPr/>
</workbook>
</file>

<file path=xl/sharedStrings.xml><?xml version="1.0" encoding="utf-8"?>
<sst xmlns="http://schemas.openxmlformats.org/spreadsheetml/2006/main" count="229" uniqueCount="56">
  <si>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</si>
  <si>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</si>
  <si>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</si>
  <si>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</si>
  <si>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</si>
  <si>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</si>
  <si>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</si>
  <si>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</si>
  <si>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</si>
  <si>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</si>
  <si>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</si>
  <si>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</si>
  <si>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</si>
  <si>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</si>
  <si>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</si>
  <si>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</si>
  <si>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</si>
  <si>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</si>
  <si>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AAPL</t>
  </si>
  <si>
    <t>Buy</t>
  </si>
  <si>
    <t>Allocation1</t>
  </si>
  <si>
    <t>MS</t>
  </si>
  <si>
    <t>DailyValuation</t>
  </si>
  <si>
    <t>UpdateMultipleDailyCash</t>
  </si>
  <si>
    <t>USD</t>
  </si>
  <si>
    <t>Rebalancer</t>
  </si>
  <si>
    <t>FetchAccountPositions</t>
  </si>
  <si>
    <t>NewMF</t>
  </si>
  <si>
    <t>Real-Time Positions</t>
  </si>
  <si>
    <t>Account</t>
  </si>
  <si>
    <t>Positions</t>
  </si>
  <si>
    <t>AddCash</t>
  </si>
  <si>
    <t>No Impact</t>
  </si>
  <si>
    <t>None</t>
  </si>
  <si>
    <t>RunRebalance</t>
  </si>
  <si>
    <t>Nearest Round Off</t>
  </si>
  <si>
    <t>SendtoStaging</t>
  </si>
  <si>
    <t>Unallocated</t>
  </si>
  <si>
    <t>PricingInput</t>
  </si>
  <si>
    <t>Blotter</t>
  </si>
  <si>
    <t>TradeNewSubOrder</t>
  </si>
  <si>
    <t>NASDAQ</t>
  </si>
  <si>
    <t>New</t>
  </si>
  <si>
    <t>Market</t>
  </si>
  <si>
    <t>CreateNewSubOrder</t>
  </si>
  <si>
    <t>SelectTradeOnOrderGrid</t>
  </si>
  <si>
    <t>Filled</t>
  </si>
  <si>
    <t>RemoveExecutionWorkingSubs</t>
  </si>
  <si>
    <t>Sell</t>
  </si>
  <si>
    <t>No</t>
  </si>
  <si>
    <t>Allocation</t>
  </si>
  <si>
    <t>GetDataAllocation</t>
  </si>
  <si>
    <t>Historical</t>
  </si>
  <si>
    <t>Unallocate</t>
  </si>
  <si>
    <t>DeleteGroup</t>
  </si>
  <si>
    <t>GetDailyCash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</si>
</sst>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shrinkToFit="0" wrapText="0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>
      <c r="A636" t="str">
        <f>IFERROR(__xludf.DUMMYFUNCTION("""COMPUTED_VALUE"""),"Simulator")</f>
        <v>Simulator</v>
      </c>
      <c r="B636" t="str">
        <f>IFERROR(__xludf.DUMMYFUNCTION("""COMPUTED_VALUE"""),"VerifyTagInAllFixLogs")</f>
        <v>VerifyTagInAllFixLogs</v>
      </c>
      <c r="C636" t="str">
        <f>IFERROR(__xludf.DUMMYFUNCTION("""COMPUTED_VALUE"""),"1jKDiJYpLWAfkSGRoeJ_liPC1ZaTdCTC5AqjDzj9I61Q")</f>
        <v>1jKDiJYpLWAfkSGRoeJ_liPC1ZaTdCTC5AqjDzj9I61Q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13" t="b">
        <v>1</v>
      </c>
      <c r="D6" s="13"/>
      <c r="E6" s="31"/>
      <c r="F6" s="8"/>
      <c r="G6" s="8"/>
      <c r="H6" s="8"/>
      <c r="I6" s="8"/>
      <c r="J6" s="8"/>
      <c r="K6" s="8"/>
      <c r="L6" s="8"/>
      <c r="M6" s="13" t="b">
        <v>1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100.0</v>
      </c>
      <c r="E6" s="31"/>
      <c r="F6" s="13" t="s">
        <v>20</v>
      </c>
      <c r="G6" s="13" t="s">
        <v>21</v>
      </c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20</v>
      </c>
      <c r="C6" s="13" t="s">
        <v>24</v>
      </c>
      <c r="D6" s="13">
        <v>100000.0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27</v>
      </c>
      <c r="C6" s="34" t="s">
        <v>28</v>
      </c>
      <c r="D6" s="33" t="s">
        <v>29</v>
      </c>
      <c r="E6" s="34" t="s">
        <v>30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200000.0</v>
      </c>
      <c r="C6" s="13" t="s">
        <v>32</v>
      </c>
      <c r="D6" s="13" t="s">
        <v>33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35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19</v>
      </c>
      <c r="D6" s="13" t="s">
        <v>18</v>
      </c>
      <c r="E6" s="13">
        <v>200.0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100.0</v>
      </c>
      <c r="E6" s="31"/>
      <c r="F6" s="13" t="s">
        <v>37</v>
      </c>
      <c r="G6" s="13" t="s">
        <v>21</v>
      </c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100.0</v>
      </c>
      <c r="E6" s="31"/>
      <c r="F6" s="13" t="s">
        <v>20</v>
      </c>
      <c r="G6" s="13" t="s">
        <v>21</v>
      </c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18</v>
      </c>
      <c r="C6" s="13">
        <v>10.0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35"/>
      <c r="D6" s="35"/>
      <c r="E6" s="35"/>
      <c r="F6" s="35"/>
      <c r="G6" s="35"/>
      <c r="H6" s="36" t="s">
        <v>41</v>
      </c>
      <c r="I6" s="35"/>
      <c r="J6" s="36" t="s">
        <v>18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 t="s">
        <v>27</v>
      </c>
      <c r="AB6" s="35"/>
      <c r="AC6" s="35"/>
      <c r="AD6" s="35"/>
      <c r="AE6" s="35"/>
      <c r="AF6" s="35"/>
      <c r="AG6" s="35"/>
      <c r="AH6" s="35"/>
      <c r="AI6" s="35" t="s">
        <v>18</v>
      </c>
      <c r="AJ6" s="35" t="s">
        <v>19</v>
      </c>
      <c r="AK6" s="35" t="s">
        <v>42</v>
      </c>
      <c r="AL6" s="37">
        <v>200.0</v>
      </c>
      <c r="AM6" s="35"/>
      <c r="AN6" s="35"/>
      <c r="AO6" s="35"/>
      <c r="AP6" s="35"/>
      <c r="AQ6" s="35"/>
      <c r="AR6" s="35"/>
      <c r="AS6" s="35" t="s">
        <v>21</v>
      </c>
      <c r="AT6" s="35" t="s">
        <v>20</v>
      </c>
      <c r="AU6" s="35" t="s">
        <v>43</v>
      </c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6" t="s">
        <v>18</v>
      </c>
      <c r="C6" s="36"/>
      <c r="D6" s="38">
        <v>200.0</v>
      </c>
      <c r="E6" s="39"/>
      <c r="F6" s="35"/>
      <c r="G6" s="35"/>
      <c r="H6" s="35"/>
      <c r="I6" s="35"/>
      <c r="J6" s="39">
        <v>10.0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>
        <v>10.0</v>
      </c>
      <c r="C6" s="8"/>
      <c r="D6" s="13" t="s">
        <v>18</v>
      </c>
      <c r="E6" s="8"/>
      <c r="F6" s="13" t="s">
        <v>19</v>
      </c>
      <c r="G6" s="13" t="s">
        <v>46</v>
      </c>
      <c r="H6" s="13">
        <v>100.0</v>
      </c>
      <c r="I6" s="13">
        <v>100.0</v>
      </c>
      <c r="J6" s="8"/>
      <c r="K6" s="8"/>
      <c r="L6" s="8"/>
      <c r="M6" s="8"/>
      <c r="N6" s="8"/>
      <c r="O6" s="8"/>
      <c r="Q6" s="9" t="s">
        <v>21</v>
      </c>
      <c r="R6" s="9" t="s">
        <v>20</v>
      </c>
      <c r="T6" s="9" t="s">
        <v>43</v>
      </c>
      <c r="AD6" s="9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Name")</f>
        <v>Allocation Scheme Name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IFERROR(__xludf.DUMMYFUNCTION("""COMPUTED_VALUE"""),"Source")</f>
        <v>Source</v>
      </c>
      <c r="AW5" s="30" t="str">
        <f>IFERROR(__xludf.DUMMYFUNCTION("""COMPUTED_VALUE"""),"Strategy")</f>
        <v>Strategy</v>
      </c>
      <c r="AX5" s="30" t="str">
        <f>IFERROR(__xludf.DUMMYFUNCTION("""COMPUTED_VALUE"""),"Unexecuted Qty")</f>
        <v>Unexecuted Qty</v>
      </c>
      <c r="AY5" s="30" t="str">
        <f>IFERROR(__xludf.DUMMYFUNCTION("""COMPUTED_VALUE"""),"Allocation Status")</f>
        <v>Allocation Status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>
        <v>10.0</v>
      </c>
      <c r="C6" s="8"/>
      <c r="D6" s="13" t="s">
        <v>18</v>
      </c>
      <c r="E6" s="8"/>
      <c r="F6" s="13" t="s">
        <v>19</v>
      </c>
      <c r="G6" s="13" t="s">
        <v>46</v>
      </c>
      <c r="H6" s="13">
        <v>100.0</v>
      </c>
      <c r="I6" s="13">
        <v>100.0</v>
      </c>
      <c r="J6" s="8"/>
      <c r="K6" s="8"/>
      <c r="L6" s="8"/>
      <c r="M6" s="8"/>
      <c r="N6" s="8"/>
      <c r="O6" s="13" t="s">
        <v>20</v>
      </c>
      <c r="Q6" s="9" t="s">
        <v>43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RemoveExecutionWorkingSubs!$4:$4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48</v>
      </c>
      <c r="D6" s="13">
        <v>4000.0</v>
      </c>
      <c r="E6" s="31"/>
      <c r="F6" s="13" t="s">
        <v>20</v>
      </c>
      <c r="G6" s="13" t="s">
        <v>21</v>
      </c>
      <c r="H6" s="8"/>
      <c r="I6" s="8"/>
      <c r="J6" s="13">
        <v>10.0</v>
      </c>
      <c r="K6" s="8"/>
      <c r="L6" s="8"/>
      <c r="M6" s="8"/>
      <c r="N6" s="8"/>
      <c r="O6" s="8"/>
      <c r="AS6" s="9" t="s">
        <v>49</v>
      </c>
      <c r="AZ6" s="35" t="s">
        <v>20</v>
      </c>
      <c r="BA6" s="13">
        <v>4000.0</v>
      </c>
      <c r="BB6" s="37">
        <v>200.0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CreateDoneAwayOrder3!$4:$4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101.0</v>
      </c>
      <c r="E6" s="31"/>
      <c r="F6" s="13" t="s">
        <v>20</v>
      </c>
      <c r="G6" s="13" t="s">
        <v>21</v>
      </c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52</v>
      </c>
      <c r="C6" s="40">
        <f>TODAY()-9</f>
        <v>44999</v>
      </c>
      <c r="D6" s="40">
        <f>TODAY()</f>
        <v>45008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18</v>
      </c>
      <c r="C6" s="13">
        <v>101.0</v>
      </c>
      <c r="D6" s="8"/>
      <c r="E6" s="13" t="s">
        <v>20</v>
      </c>
      <c r="F6" s="13" t="s">
        <v>19</v>
      </c>
      <c r="G6" s="8"/>
      <c r="H6" s="8"/>
      <c r="I6" s="8"/>
      <c r="J6" s="8"/>
      <c r="K6" s="13">
        <v>10.0</v>
      </c>
      <c r="L6" s="8"/>
      <c r="M6" s="8"/>
      <c r="N6" s="8"/>
      <c r="O6" s="8"/>
      <c r="P6" s="9" t="s">
        <v>21</v>
      </c>
      <c r="AJ6" s="9">
        <v>1.0</v>
      </c>
      <c r="AS6" s="9">
        <v>101.0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Unallocate!$4:$4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18</v>
      </c>
      <c r="C6" s="13" t="s">
        <v>19</v>
      </c>
      <c r="D6" s="13">
        <v>101.0</v>
      </c>
      <c r="E6" s="13">
        <v>101.0</v>
      </c>
      <c r="F6" s="8"/>
      <c r="G6" s="8"/>
      <c r="H6" s="8"/>
      <c r="I6" s="8"/>
      <c r="J6" s="8"/>
      <c r="K6" s="8"/>
      <c r="L6" s="8"/>
      <c r="M6" s="8"/>
      <c r="N6" s="13">
        <v>10.0</v>
      </c>
      <c r="O6" s="8"/>
      <c r="P6" s="9" t="s">
        <v>21</v>
      </c>
      <c r="Q6" s="9">
        <v>1.0</v>
      </c>
      <c r="R6" s="9" t="s">
        <v>41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DeleteGroup!$4:$4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18</v>
      </c>
      <c r="C6" s="13" t="s">
        <v>48</v>
      </c>
      <c r="D6" s="13">
        <v>4000.0</v>
      </c>
      <c r="E6" s="8"/>
      <c r="F6" s="13" t="s">
        <v>20</v>
      </c>
      <c r="G6" s="13" t="s">
        <v>21</v>
      </c>
      <c r="H6" s="8"/>
      <c r="I6" s="8"/>
      <c r="J6" s="13">
        <v>10.0</v>
      </c>
      <c r="K6" s="8"/>
      <c r="L6" s="8"/>
      <c r="M6" s="8"/>
      <c r="N6" s="8"/>
      <c r="O6" s="8"/>
      <c r="AZ6" s="35" t="s">
        <v>20</v>
      </c>
      <c r="BA6" s="13">
        <v>4000.0</v>
      </c>
      <c r="BB6" s="41">
        <v>200.0</v>
      </c>
      <c r="BC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CreateDoneAwayOrder5!$4:$4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0">
        <f t="shared" ref="B6:C6" si="1">TODAY()-1</f>
        <v>45007</v>
      </c>
      <c r="C6" s="40">
        <f t="shared" si="1"/>
        <v>45007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