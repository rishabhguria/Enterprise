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VerifyOrder" sheetId="12" r:id="rId14"/>
    <sheet state="visible" name="GetDailyCash" sheetId="13" r:id="rId15"/>
    <sheet state="visible" name="UpdateMultipleDailyCash" sheetId="14" r:id="rId16"/>
  </sheets>
  <definedNames/>
  <calcPr/>
</workbook>
</file>

<file path=xl/sharedStrings.xml><?xml version="1.0" encoding="utf-8"?>
<sst xmlns="http://schemas.openxmlformats.org/spreadsheetml/2006/main" count="278" uniqueCount="65">
  <si>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</si>
  <si>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</si>
  <si>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</si>
  <si>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</si>
  <si>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</si>
  <si>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</si>
  <si>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</si>
  <si>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</si>
  <si>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</si>
  <si>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</si>
  <si>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</si>
  <si>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</si>
  <si>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</si>
  <si>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</si>
  <si>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</si>
  <si>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</si>
  <si>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</si>
  <si>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</si>
  <si>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</si>
  <si>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</si>
  <si>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</si>
  <si>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CASH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</si>
  <si>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</si>
  <si>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</si>
  <si>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</si>
  <si>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</si>
  <si>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</si>
  <si>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</si>
  <si>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</si>
  <si>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Allocation1</t>
  </si>
  <si>
    <t>Real-Time Positions</t>
  </si>
  <si>
    <t>Account</t>
  </si>
  <si>
    <t>Positions</t>
  </si>
  <si>
    <t>AddCash</t>
  </si>
  <si>
    <t>Impact NAV</t>
  </si>
  <si>
    <t>Target Cash-22</t>
  </si>
  <si>
    <t>RunRebalance</t>
  </si>
  <si>
    <t>Round Down</t>
  </si>
  <si>
    <t>VerifyGridData</t>
  </si>
  <si>
    <t>Equity</t>
  </si>
  <si>
    <t>Long</t>
  </si>
  <si>
    <t>Accruals</t>
  </si>
  <si>
    <t>Cash</t>
  </si>
  <si>
    <t>SendtoStaging</t>
  </si>
  <si>
    <t>Sell</t>
  </si>
  <si>
    <t>Blotter</t>
  </si>
  <si>
    <t>VerifyOrder</t>
  </si>
  <si>
    <t>C US EQUITY</t>
  </si>
  <si>
    <t>NASDAQ</t>
  </si>
  <si>
    <t>jpearce</t>
  </si>
  <si>
    <t>US</t>
  </si>
  <si>
    <t>GCCAP1</t>
  </si>
  <si>
    <t>USD</t>
  </si>
  <si>
    <t>NewMF</t>
  </si>
  <si>
    <t>M</t>
  </si>
  <si>
    <t>New</t>
  </si>
  <si>
    <t>MS</t>
  </si>
  <si>
    <t>Market</t>
  </si>
  <si>
    <t/>
  </si>
  <si>
    <t>B US EQUITY</t>
  </si>
  <si>
    <t>D US EQUITY</t>
  </si>
  <si>
    <t>CASH US EQUITY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</si>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</sst>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25.0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3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4" t="s">
        <v>24</v>
      </c>
      <c r="D6" s="32">
        <v>300.0</v>
      </c>
      <c r="E6" s="34"/>
      <c r="F6" s="34"/>
      <c r="G6" s="34"/>
      <c r="H6" s="34"/>
      <c r="I6" s="34"/>
      <c r="J6" s="32">
        <v>100.0</v>
      </c>
      <c r="K6" s="34"/>
      <c r="L6" s="34"/>
      <c r="M6" s="34"/>
      <c r="N6" s="35">
        <f t="shared" ref="N6:N11" si="1">today()-1</f>
        <v>45075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24</v>
      </c>
      <c r="D7" s="32">
        <v>250.0</v>
      </c>
      <c r="E7" s="34"/>
      <c r="F7" s="34"/>
      <c r="G7" s="34"/>
      <c r="H7" s="34"/>
      <c r="I7" s="34"/>
      <c r="J7" s="32">
        <v>100.0</v>
      </c>
      <c r="K7" s="34"/>
      <c r="L7" s="34"/>
      <c r="M7" s="34"/>
      <c r="N7" s="35">
        <f t="shared" si="1"/>
        <v>45075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24</v>
      </c>
      <c r="D8" s="32">
        <v>150.0</v>
      </c>
      <c r="E8" s="34"/>
      <c r="F8" s="34"/>
      <c r="G8" s="34"/>
      <c r="H8" s="34"/>
      <c r="I8" s="34"/>
      <c r="J8" s="32">
        <v>100.0</v>
      </c>
      <c r="K8" s="34"/>
      <c r="L8" s="34"/>
      <c r="M8" s="34"/>
      <c r="N8" s="35">
        <f t="shared" si="1"/>
        <v>45075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20</v>
      </c>
      <c r="C9" s="34" t="s">
        <v>24</v>
      </c>
      <c r="D9" s="32">
        <v>50.0</v>
      </c>
      <c r="E9" s="34"/>
      <c r="F9" s="34"/>
      <c r="G9" s="34"/>
      <c r="H9" s="34"/>
      <c r="I9" s="34"/>
      <c r="J9" s="32">
        <v>100.0</v>
      </c>
      <c r="K9" s="34"/>
      <c r="L9" s="34"/>
      <c r="M9" s="34"/>
      <c r="N9" s="35">
        <f t="shared" si="1"/>
        <v>45075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1" t="s">
        <v>19</v>
      </c>
      <c r="C10" s="31" t="s">
        <v>24</v>
      </c>
      <c r="D10" s="32">
        <v>100.0</v>
      </c>
      <c r="E10" s="34"/>
      <c r="F10" s="31" t="s">
        <v>25</v>
      </c>
      <c r="G10" s="34"/>
      <c r="H10" s="34"/>
      <c r="I10" s="34"/>
      <c r="J10" s="32">
        <v>100.0</v>
      </c>
      <c r="K10" s="34"/>
      <c r="L10" s="34"/>
      <c r="M10" s="34"/>
      <c r="N10" s="35">
        <f t="shared" si="1"/>
        <v>45075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1" t="s">
        <v>21</v>
      </c>
      <c r="C11" s="31" t="s">
        <v>24</v>
      </c>
      <c r="D11" s="32">
        <v>2000.0</v>
      </c>
      <c r="E11" s="34"/>
      <c r="F11" s="31"/>
      <c r="G11" s="34"/>
      <c r="H11" s="34"/>
      <c r="I11" s="34"/>
      <c r="J11" s="32">
        <v>1.0</v>
      </c>
      <c r="K11" s="34"/>
      <c r="L11" s="34"/>
      <c r="M11" s="34"/>
      <c r="N11" s="35">
        <f t="shared" si="1"/>
        <v>45075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1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29</v>
      </c>
      <c r="C6" s="37" t="s">
        <v>30</v>
      </c>
      <c r="D6" s="37" t="s">
        <v>31</v>
      </c>
      <c r="E6" s="37" t="s">
        <v>32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v>10000.0</v>
      </c>
      <c r="C6" s="37" t="s">
        <v>34</v>
      </c>
      <c r="D6" s="37" t="s">
        <v>35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37</v>
      </c>
      <c r="C6" s="34"/>
      <c r="D6" s="40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29</v>
      </c>
      <c r="D6" s="13" t="s">
        <v>16</v>
      </c>
      <c r="E6" s="13" t="s">
        <v>39</v>
      </c>
      <c r="F6" s="13" t="s">
        <v>40</v>
      </c>
      <c r="G6" s="13">
        <v>100.0</v>
      </c>
      <c r="H6" s="13">
        <v>100.0</v>
      </c>
      <c r="I6" s="13">
        <v>1.0</v>
      </c>
      <c r="J6" s="8"/>
      <c r="K6" s="13">
        <v>300.0</v>
      </c>
      <c r="L6" s="13">
        <v>30000.0</v>
      </c>
      <c r="M6" s="13">
        <v>30000.0</v>
      </c>
      <c r="N6" s="8"/>
      <c r="O6" s="13">
        <v>300.0</v>
      </c>
      <c r="P6" s="9">
        <v>30000.0</v>
      </c>
      <c r="Q6" s="9">
        <v>30000.0</v>
      </c>
      <c r="R6" s="9">
        <v>0.0</v>
      </c>
      <c r="S6" s="9">
        <v>0.0</v>
      </c>
      <c r="W6" s="9">
        <v>25.0</v>
      </c>
    </row>
    <row r="7" ht="15.75" customHeight="1">
      <c r="A7" s="8"/>
      <c r="B7" s="8"/>
      <c r="C7" s="13" t="s">
        <v>29</v>
      </c>
      <c r="D7" s="13" t="s">
        <v>17</v>
      </c>
      <c r="E7" s="13" t="s">
        <v>39</v>
      </c>
      <c r="F7" s="13" t="s">
        <v>40</v>
      </c>
      <c r="G7" s="13">
        <v>100.0</v>
      </c>
      <c r="H7" s="13">
        <v>100.0</v>
      </c>
      <c r="I7" s="13">
        <v>1.0</v>
      </c>
      <c r="J7" s="8"/>
      <c r="K7" s="13">
        <v>250.0</v>
      </c>
      <c r="L7" s="13">
        <v>25000.0</v>
      </c>
      <c r="M7" s="13">
        <v>25000.0</v>
      </c>
      <c r="N7" s="8"/>
      <c r="O7" s="13">
        <v>280.0</v>
      </c>
      <c r="P7" s="9">
        <v>28000.0</v>
      </c>
      <c r="Q7" s="9">
        <v>28000.0</v>
      </c>
      <c r="R7" s="9">
        <v>30.0</v>
      </c>
      <c r="S7" s="41">
        <v>3000.0</v>
      </c>
      <c r="W7" s="9">
        <v>10.0</v>
      </c>
    </row>
    <row r="8" ht="15.75" customHeight="1">
      <c r="A8" s="8"/>
      <c r="B8" s="8"/>
      <c r="C8" s="13" t="s">
        <v>29</v>
      </c>
      <c r="D8" s="13" t="s">
        <v>18</v>
      </c>
      <c r="E8" s="13" t="s">
        <v>39</v>
      </c>
      <c r="F8" s="13" t="s">
        <v>40</v>
      </c>
      <c r="G8" s="13">
        <v>100.0</v>
      </c>
      <c r="H8" s="13">
        <v>100.0</v>
      </c>
      <c r="I8" s="13">
        <v>1.0</v>
      </c>
      <c r="J8" s="8"/>
      <c r="K8" s="13">
        <v>150.0</v>
      </c>
      <c r="L8" s="13">
        <v>15000.0</v>
      </c>
      <c r="M8" s="13">
        <v>15000.0</v>
      </c>
      <c r="N8" s="8"/>
      <c r="O8" s="13">
        <v>130.0</v>
      </c>
      <c r="P8" s="9">
        <v>13000.0</v>
      </c>
      <c r="Q8" s="9">
        <v>13000.0</v>
      </c>
      <c r="R8" s="9">
        <v>-20.0</v>
      </c>
      <c r="S8" s="41">
        <v>-2000.0</v>
      </c>
      <c r="W8" s="9">
        <v>10.0</v>
      </c>
    </row>
    <row r="9" ht="15.75" customHeight="1">
      <c r="A9" s="8"/>
      <c r="B9" s="8"/>
      <c r="C9" s="13" t="s">
        <v>29</v>
      </c>
      <c r="D9" s="13" t="s">
        <v>21</v>
      </c>
      <c r="E9" s="13" t="s">
        <v>39</v>
      </c>
      <c r="F9" s="13" t="s">
        <v>40</v>
      </c>
      <c r="G9" s="13">
        <v>1.0</v>
      </c>
      <c r="H9" s="13">
        <v>1.0</v>
      </c>
      <c r="I9" s="13">
        <v>1.0</v>
      </c>
      <c r="J9" s="8"/>
      <c r="K9" s="13">
        <v>2000.0</v>
      </c>
      <c r="L9" s="13">
        <v>2000.0</v>
      </c>
      <c r="M9" s="13">
        <v>2000.0</v>
      </c>
      <c r="N9" s="8"/>
      <c r="O9" s="13">
        <v>6000.0</v>
      </c>
      <c r="P9" s="9">
        <v>6000.0</v>
      </c>
      <c r="Q9" s="9">
        <v>6000.0</v>
      </c>
      <c r="R9" s="9">
        <v>4000.0</v>
      </c>
      <c r="S9" s="41">
        <v>4000.0</v>
      </c>
      <c r="W9" s="9">
        <v>1.0</v>
      </c>
    </row>
    <row r="10" ht="15.75" customHeight="1">
      <c r="A10" s="8"/>
      <c r="B10" s="8"/>
      <c r="C10" s="13" t="s">
        <v>29</v>
      </c>
      <c r="D10" s="13" t="s">
        <v>19</v>
      </c>
      <c r="E10" s="13" t="s">
        <v>39</v>
      </c>
      <c r="F10" s="13" t="s">
        <v>40</v>
      </c>
      <c r="G10" s="13">
        <v>100.0</v>
      </c>
      <c r="H10" s="13">
        <v>100.0</v>
      </c>
      <c r="I10" s="13">
        <v>1.0</v>
      </c>
      <c r="J10" s="8"/>
      <c r="K10" s="13">
        <v>0.0</v>
      </c>
      <c r="L10" s="13">
        <v>0.0</v>
      </c>
      <c r="M10" s="13">
        <v>0.0</v>
      </c>
      <c r="N10" s="8"/>
      <c r="O10" s="13">
        <v>30.0</v>
      </c>
      <c r="P10" s="9">
        <v>3000.0</v>
      </c>
      <c r="Q10" s="9">
        <v>3000.0</v>
      </c>
      <c r="R10" s="9">
        <v>30.0</v>
      </c>
      <c r="S10" s="41">
        <v>3000.0</v>
      </c>
      <c r="W10" s="9">
        <v>10.0</v>
      </c>
    </row>
    <row r="11" ht="15.75" customHeight="1">
      <c r="A11" s="8"/>
      <c r="B11" s="8"/>
      <c r="C11" s="13" t="s">
        <v>29</v>
      </c>
      <c r="D11" s="13" t="s">
        <v>20</v>
      </c>
      <c r="E11" s="13" t="s">
        <v>39</v>
      </c>
      <c r="F11" s="13" t="s">
        <v>40</v>
      </c>
      <c r="G11" s="13">
        <v>100.0</v>
      </c>
      <c r="H11" s="13">
        <v>100.0</v>
      </c>
      <c r="I11" s="13">
        <v>1.0</v>
      </c>
      <c r="J11" s="8"/>
      <c r="K11" s="13">
        <v>50.0</v>
      </c>
      <c r="L11" s="13">
        <v>5000.0</v>
      </c>
      <c r="M11" s="13">
        <v>5000.0</v>
      </c>
      <c r="N11" s="8"/>
      <c r="O11" s="13">
        <v>50.0</v>
      </c>
      <c r="P11" s="9">
        <v>5000.0</v>
      </c>
      <c r="Q11" s="9">
        <v>5000.0</v>
      </c>
      <c r="R11" s="9">
        <v>0.0</v>
      </c>
      <c r="S11" s="9">
        <v>0.0</v>
      </c>
      <c r="W11" s="9">
        <v>15.0</v>
      </c>
    </row>
    <row r="12" ht="15.75" customHeight="1">
      <c r="A12" s="8"/>
      <c r="B12" s="8"/>
      <c r="C12" s="13" t="s">
        <v>29</v>
      </c>
      <c r="D12" s="13" t="s">
        <v>41</v>
      </c>
      <c r="E12" s="13" t="s">
        <v>41</v>
      </c>
      <c r="F12" s="13" t="s">
        <v>40</v>
      </c>
      <c r="G12" s="13">
        <v>1.0</v>
      </c>
      <c r="H12" s="13">
        <v>1.0</v>
      </c>
      <c r="I12" s="13">
        <v>1.0</v>
      </c>
      <c r="J12" s="8"/>
      <c r="K12" s="13">
        <v>0.0</v>
      </c>
      <c r="L12" s="13">
        <v>0.0</v>
      </c>
      <c r="M12" s="13">
        <v>0.0</v>
      </c>
      <c r="N12" s="8"/>
      <c r="O12" s="13">
        <v>0.0</v>
      </c>
      <c r="P12" s="9">
        <v>0.0</v>
      </c>
      <c r="Q12" s="9">
        <v>0.0</v>
      </c>
      <c r="R12" s="9">
        <v>0.0</v>
      </c>
      <c r="S12" s="9">
        <v>0.0</v>
      </c>
      <c r="W12" s="9">
        <v>1.0</v>
      </c>
    </row>
    <row r="13" ht="15.75" customHeight="1">
      <c r="A13" s="8"/>
      <c r="B13" s="8"/>
      <c r="C13" s="13" t="s">
        <v>29</v>
      </c>
      <c r="D13" s="13" t="s">
        <v>42</v>
      </c>
      <c r="E13" s="13" t="s">
        <v>42</v>
      </c>
      <c r="F13" s="13" t="s">
        <v>40</v>
      </c>
      <c r="G13" s="13">
        <v>1.0</v>
      </c>
      <c r="H13" s="13">
        <v>1.0</v>
      </c>
      <c r="I13" s="13">
        <v>1.0</v>
      </c>
      <c r="J13" s="8"/>
      <c r="K13" s="13">
        <v>2000.0</v>
      </c>
      <c r="L13" s="13">
        <v>2000.0</v>
      </c>
      <c r="M13" s="13">
        <v>2000.0</v>
      </c>
      <c r="N13" s="8"/>
      <c r="O13" s="13">
        <v>4000.0</v>
      </c>
      <c r="P13" s="9">
        <v>4000.0</v>
      </c>
      <c r="Q13" s="9">
        <v>4000.0</v>
      </c>
      <c r="R13" s="9">
        <v>2000.0</v>
      </c>
      <c r="S13" s="41">
        <v>2000.0</v>
      </c>
      <c r="W13" s="9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24</v>
      </c>
      <c r="D6" s="13" t="s">
        <v>17</v>
      </c>
      <c r="E6" s="13">
        <v>30.0</v>
      </c>
      <c r="F6" s="13">
        <v>100.0</v>
      </c>
      <c r="G6" s="42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44</v>
      </c>
      <c r="D7" s="13" t="s">
        <v>18</v>
      </c>
      <c r="E7" s="13">
        <v>20.0</v>
      </c>
      <c r="F7" s="13">
        <v>100.0</v>
      </c>
      <c r="G7" s="42">
        <v>-2000.0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29</v>
      </c>
      <c r="C8" s="13" t="s">
        <v>24</v>
      </c>
      <c r="D8" s="13" t="s">
        <v>21</v>
      </c>
      <c r="E8" s="13">
        <v>4000.0</v>
      </c>
      <c r="F8" s="13">
        <v>1.0</v>
      </c>
      <c r="G8" s="42">
        <v>4000.0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29</v>
      </c>
      <c r="C9" s="13" t="s">
        <v>24</v>
      </c>
      <c r="D9" s="13" t="s">
        <v>19</v>
      </c>
      <c r="E9" s="13">
        <v>30.0</v>
      </c>
      <c r="F9" s="13">
        <v>100.0</v>
      </c>
      <c r="G9" s="42">
        <v>3000.0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100.0</v>
      </c>
      <c r="E6" s="8" t="s">
        <v>47</v>
      </c>
      <c r="F6" s="8"/>
      <c r="G6" s="8"/>
      <c r="H6" s="8" t="s">
        <v>48</v>
      </c>
      <c r="I6" s="8" t="s">
        <v>49</v>
      </c>
      <c r="J6" s="8" t="s">
        <v>18</v>
      </c>
      <c r="K6" s="8" t="s">
        <v>50</v>
      </c>
      <c r="L6" s="8" t="s">
        <v>51</v>
      </c>
      <c r="M6" s="8"/>
      <c r="N6" s="8"/>
      <c r="O6" s="8"/>
      <c r="U6" t="s">
        <v>52</v>
      </c>
      <c r="AA6" t="s">
        <v>53</v>
      </c>
      <c r="AD6">
        <v>1.0</v>
      </c>
      <c r="AF6" t="s">
        <v>54</v>
      </c>
      <c r="AH6" t="s">
        <v>39</v>
      </c>
      <c r="AI6" t="s">
        <v>18</v>
      </c>
      <c r="AJ6" t="s">
        <v>44</v>
      </c>
      <c r="AK6" t="s">
        <v>55</v>
      </c>
      <c r="AL6">
        <v>20.0</v>
      </c>
      <c r="AR6">
        <v>100.0</v>
      </c>
      <c r="AS6" t="s">
        <v>56</v>
      </c>
      <c r="AT6" t="s">
        <v>29</v>
      </c>
      <c r="AU6" t="s">
        <v>57</v>
      </c>
      <c r="BA6" t="s">
        <v>49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</row>
    <row r="7" ht="15.75" customHeight="1">
      <c r="A7" s="8"/>
      <c r="B7" s="8"/>
      <c r="C7" s="8"/>
      <c r="D7" s="8">
        <v>100.0</v>
      </c>
      <c r="E7" s="8" t="s">
        <v>59</v>
      </c>
      <c r="F7" s="8"/>
      <c r="G7" s="8"/>
      <c r="H7" s="8" t="s">
        <v>48</v>
      </c>
      <c r="I7" s="8" t="s">
        <v>49</v>
      </c>
      <c r="J7" s="8" t="s">
        <v>17</v>
      </c>
      <c r="K7" s="8" t="s">
        <v>50</v>
      </c>
      <c r="L7" s="8" t="s">
        <v>51</v>
      </c>
      <c r="M7" s="8"/>
      <c r="N7" s="8"/>
      <c r="O7" s="8"/>
      <c r="U7" t="s">
        <v>52</v>
      </c>
      <c r="AA7" t="s">
        <v>53</v>
      </c>
      <c r="AD7">
        <v>1.0</v>
      </c>
      <c r="AF7" t="s">
        <v>54</v>
      </c>
      <c r="AH7" t="s">
        <v>39</v>
      </c>
      <c r="AI7" t="s">
        <v>17</v>
      </c>
      <c r="AJ7" t="s">
        <v>24</v>
      </c>
      <c r="AK7" t="s">
        <v>55</v>
      </c>
      <c r="AL7">
        <v>30.0</v>
      </c>
      <c r="AR7">
        <v>100.0</v>
      </c>
      <c r="AS7" t="s">
        <v>56</v>
      </c>
      <c r="AT7" t="s">
        <v>29</v>
      </c>
      <c r="AU7" t="s">
        <v>57</v>
      </c>
      <c r="BA7" t="s">
        <v>49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</row>
    <row r="8" ht="15.75" customHeight="1">
      <c r="A8" s="8"/>
      <c r="B8" s="8"/>
      <c r="C8" s="8"/>
      <c r="D8" s="8">
        <v>100.0</v>
      </c>
      <c r="E8" s="8" t="s">
        <v>60</v>
      </c>
      <c r="F8" s="8"/>
      <c r="G8" s="8"/>
      <c r="H8" s="8" t="s">
        <v>48</v>
      </c>
      <c r="I8" s="8" t="s">
        <v>49</v>
      </c>
      <c r="J8" s="8" t="s">
        <v>19</v>
      </c>
      <c r="K8" s="8" t="s">
        <v>50</v>
      </c>
      <c r="L8" s="8" t="s">
        <v>51</v>
      </c>
      <c r="M8" s="8"/>
      <c r="N8" s="8"/>
      <c r="O8" s="8"/>
      <c r="U8" t="s">
        <v>52</v>
      </c>
      <c r="AA8" t="s">
        <v>53</v>
      </c>
      <c r="AD8">
        <v>1.0</v>
      </c>
      <c r="AF8" t="s">
        <v>54</v>
      </c>
      <c r="AH8" t="s">
        <v>39</v>
      </c>
      <c r="AI8" t="s">
        <v>19</v>
      </c>
      <c r="AJ8" t="s">
        <v>24</v>
      </c>
      <c r="AK8" t="s">
        <v>55</v>
      </c>
      <c r="AL8">
        <v>30.0</v>
      </c>
      <c r="AR8">
        <v>100.0</v>
      </c>
      <c r="AS8" t="s">
        <v>56</v>
      </c>
      <c r="AT8" t="s">
        <v>29</v>
      </c>
      <c r="AU8" t="s">
        <v>57</v>
      </c>
      <c r="BA8" t="s">
        <v>49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</row>
    <row r="9" ht="15.75" customHeight="1">
      <c r="A9" s="8"/>
      <c r="B9" s="8"/>
      <c r="C9" s="8"/>
      <c r="D9" s="8">
        <v>1.0</v>
      </c>
      <c r="E9" s="8" t="s">
        <v>61</v>
      </c>
      <c r="F9" s="8"/>
      <c r="G9" s="8"/>
      <c r="H9" s="8" t="s">
        <v>48</v>
      </c>
      <c r="I9" s="8" t="s">
        <v>49</v>
      </c>
      <c r="J9" s="8" t="s">
        <v>21</v>
      </c>
      <c r="K9" s="8" t="s">
        <v>50</v>
      </c>
      <c r="L9" s="8" t="s">
        <v>51</v>
      </c>
      <c r="M9" s="8"/>
      <c r="N9" s="8"/>
      <c r="O9" s="8"/>
      <c r="U9" t="s">
        <v>52</v>
      </c>
      <c r="AA9" t="s">
        <v>53</v>
      </c>
      <c r="AD9">
        <v>1.0</v>
      </c>
      <c r="AF9" t="s">
        <v>54</v>
      </c>
      <c r="AH9" t="s">
        <v>39</v>
      </c>
      <c r="AI9" t="s">
        <v>21</v>
      </c>
      <c r="AJ9" t="s">
        <v>24</v>
      </c>
      <c r="AK9" t="s">
        <v>55</v>
      </c>
      <c r="AL9">
        <v>4000.0</v>
      </c>
      <c r="AR9">
        <v>1.0</v>
      </c>
      <c r="AS9" t="s">
        <v>56</v>
      </c>
      <c r="AT9" t="s">
        <v>29</v>
      </c>
      <c r="AU9" t="s">
        <v>57</v>
      </c>
      <c r="BA9" t="s">
        <v>49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>TODAY()-1</f>
        <v>45075</v>
      </c>
      <c r="C6" s="35">
        <f>TODAY()</f>
        <v>45076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29</v>
      </c>
      <c r="C6" s="34" t="s">
        <v>52</v>
      </c>
      <c r="D6" s="32">
        <v>2000.0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