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LinkDashboardTabs" sheetId="7" r:id="rId9"/>
    <sheet state="visible" name="SelectRowAtFLAggregation" sheetId="8" r:id="rId10"/>
    <sheet state="visible" name="FilterFLA" sheetId="9" r:id="rId11"/>
    <sheet state="visible" name="ExtractTabOutsidePMDashboard" sheetId="10" r:id="rId12"/>
    <sheet state="visible" name="CloseRTPNL" sheetId="11" r:id="rId13"/>
    <sheet state="visible" name="LinkDashboardTabs1" sheetId="12" r:id="rId14"/>
    <sheet state="visible" name="SelectRowAtALAggregation" sheetId="13" r:id="rId15"/>
    <sheet state="visible" name="CheckSymbolLevelAggregation" sheetId="14" r:id="rId16"/>
    <sheet state="visible" name="CloseRTPNL1" sheetId="15" r:id="rId17"/>
    <sheet state="visible" name="SelectRowAtSLAggregation" sheetId="16" r:id="rId18"/>
    <sheet state="visible" name="CheckAccountLevelAggregation" sheetId="17" r:id="rId19"/>
    <sheet state="visible" name="FilterSLA" sheetId="18" r:id="rId20"/>
    <sheet state="visible" name="CheckFundLevelAggregation" sheetId="19" r:id="rId21"/>
    <sheet state="visible" name="CheckSummaryDashboard" sheetId="20" r:id="rId22"/>
  </sheets>
  <definedNames/>
  <calcPr/>
</workbook>
</file>

<file path=xl/sharedStrings.xml><?xml version="1.0" encoding="utf-8"?>
<sst xmlns="http://schemas.openxmlformats.org/spreadsheetml/2006/main" count="179" uniqueCount="53">
  <si>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</si>
  <si>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</si>
  <si>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</si>
  <si>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</si>
  <si>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</si>
  <si>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</si>
  <si>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</si>
  <si>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</si>
  <si>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</si>
  <si>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</si>
  <si>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</si>
  <si>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</si>
  <si>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</si>
  <si>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</si>
  <si>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</si>
  <si>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</si>
  <si>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</si>
  <si>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</si>
  <si>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</t>
  </si>
  <si>
    <t>Yes</t>
  </si>
  <si>
    <t>TSLA</t>
  </si>
  <si>
    <t>Allocation2</t>
  </si>
  <si>
    <t>PricingInput</t>
  </si>
  <si>
    <t>RTPNL</t>
  </si>
  <si>
    <t>OpenRTPNL</t>
  </si>
  <si>
    <t>Nirvana,PM</t>
  </si>
  <si>
    <t>SummaryDashboard</t>
  </si>
  <si>
    <t>LinkDashboardTabs</t>
  </si>
  <si>
    <t>FundLevelAggregation,SymbolLevelAggregation</t>
  </si>
  <si>
    <t>yellow</t>
  </si>
  <si>
    <t>SelectRowAtFLAggregation</t>
  </si>
  <si>
    <t>NewMF</t>
  </si>
  <si>
    <t>FilterFLA</t>
  </si>
  <si>
    <t>Fund</t>
  </si>
  <si>
    <t>ExtractTabOutsidePMDashboard</t>
  </si>
  <si>
    <t>FundLevelAggregation</t>
  </si>
  <si>
    <t>Nirvana,PM_FundLevelAggregation</t>
  </si>
  <si>
    <t>CloseRTPNL</t>
  </si>
  <si>
    <t>AccountLevelAggregation,SymbolLevelAggregation</t>
  </si>
  <si>
    <t>SelectRowAtALAggregation</t>
  </si>
  <si>
    <t>Allocation1</t>
  </si>
  <si>
    <t>CheckSymbolLevelAggregation</t>
  </si>
  <si>
    <t>MICROSOFT INC</t>
  </si>
  <si>
    <t>SelectRowAtSLAggregation</t>
  </si>
  <si>
    <t>CheckAccountLevelAggregation</t>
  </si>
  <si>
    <t>NewMF1</t>
  </si>
  <si>
    <t>FilterSLA</t>
  </si>
  <si>
    <t>Symbol</t>
  </si>
  <si>
    <t>CheckFundLevelAggregation</t>
  </si>
  <si>
    <t>CheckSummaryDashboard</t>
  </si>
  <si>
    <t>$ 0</t>
  </si>
  <si>
    <t>$ 20000</t>
  </si>
  <si>
    <t>$ -20000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</si>
</sst>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ont="1">
      <alignment readingOrder="0"/>
    </xf>
    <xf borderId="0" fillId="0" fontId="5" numFmtId="49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8"/>
      <c r="G6" s="12" t="s">
        <v>18</v>
      </c>
      <c r="H6" s="8"/>
      <c r="I6" s="8"/>
      <c r="J6" s="12">
        <v>10.0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12" t="s">
        <v>20</v>
      </c>
      <c r="C7" s="12" t="s">
        <v>17</v>
      </c>
      <c r="D7" s="12">
        <v>1000.0</v>
      </c>
      <c r="E7" s="8"/>
      <c r="F7" s="12" t="s">
        <v>21</v>
      </c>
      <c r="G7" s="12" t="s">
        <v>18</v>
      </c>
      <c r="H7" s="8"/>
      <c r="I7" s="8"/>
      <c r="J7" s="12">
        <v>10.0</v>
      </c>
      <c r="K7" s="8"/>
      <c r="L7" s="8"/>
      <c r="M7" s="8"/>
      <c r="N7" s="8"/>
      <c r="O7" s="8"/>
      <c r="AQ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3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3" t="s">
        <v>28</v>
      </c>
      <c r="D6" s="33" t="s">
        <v>29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SelectRowAtFLAggregation!$4:$4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FilterFLA!$4:$4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0.13"/>
    <col customWidth="1" min="4" max="4" width="12.63"/>
    <col customWidth="1" min="5" max="5" width="16.25"/>
    <col customWidth="1" min="6" max="6" width="12.63"/>
    <col customWidth="1" min="7" max="7" width="25.2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4" t="s">
        <v>35</v>
      </c>
      <c r="D6" s="35"/>
      <c r="E6" s="36" t="s">
        <v>19</v>
      </c>
      <c r="F6" s="36"/>
      <c r="G6" s="36" t="s">
        <v>36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5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3" t="s">
        <v>38</v>
      </c>
      <c r="D6" s="33" t="s">
        <v>29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SelectRowAtALAggregation!$4:$4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42</v>
      </c>
      <c r="D6" s="12">
        <v>1000.0</v>
      </c>
      <c r="E6" s="12">
        <v>10000.0</v>
      </c>
      <c r="F6" s="12">
        <v>0.0</v>
      </c>
      <c r="G6" s="12">
        <v>0.0</v>
      </c>
      <c r="H6" s="12">
        <v>10000.0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10000.0</v>
      </c>
      <c r="O6" s="12">
        <v>0.0</v>
      </c>
      <c r="P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SelectRowAtSLAggregation!$4:$4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31</v>
      </c>
      <c r="D6" s="12">
        <v>10000.0</v>
      </c>
      <c r="E6" s="12">
        <v>0.0</v>
      </c>
      <c r="F6" s="12">
        <v>0.0</v>
      </c>
      <c r="G6" s="12">
        <v>10000.0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10000.0</v>
      </c>
      <c r="O6" s="12">
        <v>0.0</v>
      </c>
      <c r="P6" s="9">
        <v>0.0</v>
      </c>
      <c r="Q6" s="9">
        <v>-10000.0</v>
      </c>
      <c r="R6" s="9">
        <v>0.0</v>
      </c>
    </row>
    <row r="7" ht="15.75" customHeight="1">
      <c r="A7" s="12"/>
      <c r="B7" s="12" t="s">
        <v>21</v>
      </c>
      <c r="C7" s="12" t="s">
        <v>45</v>
      </c>
      <c r="D7" s="12">
        <v>10000.0</v>
      </c>
      <c r="E7" s="12">
        <v>0.0</v>
      </c>
      <c r="F7" s="12">
        <v>0.0</v>
      </c>
      <c r="G7" s="12">
        <v>10000.0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10000.0</v>
      </c>
      <c r="O7" s="12">
        <v>0.0</v>
      </c>
      <c r="P7" s="9">
        <v>0.0</v>
      </c>
      <c r="Q7" s="9">
        <v>-10000.0</v>
      </c>
      <c r="R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FilterSLA!$4:$4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>
        <v>10000.0</v>
      </c>
      <c r="D6" s="12">
        <v>0.0</v>
      </c>
      <c r="E6" s="12">
        <v>0.0</v>
      </c>
      <c r="F6" s="12">
        <v>10000.0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10000.0</v>
      </c>
      <c r="N6" s="12">
        <v>0.0</v>
      </c>
      <c r="O6" s="12">
        <v>0.0</v>
      </c>
      <c r="P6" s="9">
        <v>-10000.0</v>
      </c>
      <c r="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IFERROR(__xludf.DUMMYFUNCTION("""COMPUTED_VALUE"""),"Total P&amp;L")</f>
        <v>Total P&amp;L</v>
      </c>
      <c r="C5" s="27" t="str">
        <f>IFERROR(__xludf.DUMMYFUNCTION("""COMPUTED_VALUE"""),"% Gain/Loss Cost")</f>
        <v>% Gain/Loss Cost</v>
      </c>
      <c r="D5" s="27" t="str">
        <f>IFERROR(__xludf.DUMMYFUNCTION("""COMPUTED_VALUE"""),"Day P&amp;L")</f>
        <v>Day P&amp;L</v>
      </c>
      <c r="E5" s="27" t="str">
        <f>IFERROR(__xludf.DUMMYFUNCTION("""COMPUTED_VALUE"""),"% Gain/Loss Day")</f>
        <v>% Gain/Loss Day</v>
      </c>
      <c r="F5" s="28" t="str">
        <f>IFERROR(__xludf.DUMMYFUNCTION("""COMPUTED_VALUE"""),"Exposure")</f>
        <v>Exposure</v>
      </c>
      <c r="G5" s="27" t="str">
        <f>IFERROR(__xludf.DUMMYFUNCTION("""COMPUTED_VALUE"""),"% Exposure")</f>
        <v>% Exposure</v>
      </c>
      <c r="H5" s="27" t="str">
        <f>IFERROR(__xludf.DUMMYFUNCTION("""COMPUTED_VALUE"""),"Long Exposure")</f>
        <v>Long Exposure</v>
      </c>
      <c r="I5" s="27" t="str">
        <f>IFERROR(__xludf.DUMMYFUNCTION("""COMPUTED_VALUE"""),"% Long Exposure")</f>
        <v>% Long Exposure</v>
      </c>
      <c r="J5" s="27" t="str">
        <f>IFERROR(__xludf.DUMMYFUNCTION("""COMPUTED_VALUE"""),"Short Exposure")</f>
        <v>Short Exposure</v>
      </c>
      <c r="K5" s="27" t="str">
        <f>IFERROR(__xludf.DUMMYFUNCTION("""COMPUTED_VALUE"""),"% Short Exposure")</f>
        <v>% Short Exposure</v>
      </c>
      <c r="L5" s="27" t="str">
        <f>IFERROR(__xludf.DUMMYFUNCTION("""COMPUTED_VALUE"""),"Market Value")</f>
        <v>Market Value</v>
      </c>
      <c r="M5" s="27" t="str">
        <f>IFERROR(__xludf.DUMMYFUNCTION("""COMPUTED_VALUE"""),"% Net Market Value")</f>
        <v>% Net Market Value</v>
      </c>
      <c r="N5" s="27" t="str">
        <f>IFERROR(__xludf.DUMMYFUNCTION("""COMPUTED_VALUE"""),"NAV")</f>
        <v>NAV</v>
      </c>
      <c r="O5" s="27" t="str">
        <f>IFERROR(__xludf.DUMMYFUNCTION("""COMPUTED_VALUE"""),"Cash")</f>
        <v>Cash</v>
      </c>
      <c r="P5" s="27" t="str">
        <f>IFERROR(__xludf.DUMMYFUNCTION("""COMPUTED_VALUE"""),"Accruals")</f>
        <v>Accruals</v>
      </c>
      <c r="Q5" s="27" t="str">
        <f>IFERROR(__xludf.DUMMYFUNCTION("""COMPUTED_VALUE"""),"TabName")</f>
        <v>TabName</v>
      </c>
      <c r="R5" s="27" t="str">
        <f>IFERROR(__xludf.DUMMYFUNCTION("""COMPUTED_VALUE"""),"GridDataWidgetName")</f>
        <v>GridDataWidgetName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8" t="s">
        <v>50</v>
      </c>
      <c r="D6" s="38" t="s">
        <v>50</v>
      </c>
      <c r="F6" s="38" t="s">
        <v>51</v>
      </c>
      <c r="H6" s="38" t="s">
        <v>51</v>
      </c>
      <c r="J6" s="38" t="s">
        <v>50</v>
      </c>
      <c r="L6" s="38" t="s">
        <v>51</v>
      </c>
      <c r="N6" s="38" t="s">
        <v>50</v>
      </c>
      <c r="O6" s="38" t="s">
        <v>52</v>
      </c>
      <c r="P6" s="38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CheckSummaryDashboard!$4:$4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