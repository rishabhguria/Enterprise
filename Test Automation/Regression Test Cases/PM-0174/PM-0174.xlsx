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PricingConfig" sheetId="4" r:id="rId6"/>
    <sheet name="GetMarkPriceData" sheetId="5" r:id="rId7"/>
    <sheet name="UpateSymbolBlankMP" sheetId="6" r:id="rId8"/>
    <sheet name="UpdateBlankMP" sheetId="7" r:id="rId9"/>
    <sheet name="CheckPortfolioManagement" sheetId="9" r:id="rId11"/>
    <sheet name="CheckPortfolioManagement1" sheetId="11" r:id="rId13"/>
    <sheet name="FilterBlankMP" sheetId="12" r:id="rId14"/>
    <sheet name="CreateDoneAwayOrder" sheetId="13" r:id="rId15"/>
    <sheet name="UpdateBlankMP1" sheetId="14" r:id="rId16"/>
    <sheet name="EnableBlankMarkPrices" sheetId="15" r:id="rId17"/>
  </sheets>
  <calcPr fullCalcOnLoad="1"/>
</workbook>
</file>

<file path=xl/sharedStrings.xml><?xml version="1.0" encoding="utf-8"?>
<sst xmlns="http://schemas.openxmlformats.org/spreadsheetml/2006/main" count="48" uniqueCount="48">
  <si>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</si>
  <si>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</si>
  <si>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</si>
  <si>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</si>
  <si>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</si>
  <si>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</si>
  <si>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</si>
  <si>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</si>
  <si>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</si>
  <si>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</si>
  <si>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</si>
  <si>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</si>
  <si>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PricingServer</t>
  </si>
  <si>
    <t>UpdatePricingConfig</t>
  </si>
  <si>
    <t>Data Format</t>
  </si>
  <si>
    <t>Input Format</t>
  </si>
  <si>
    <t>isFundWiseMarkPriceRequired</t>
  </si>
  <si>
    <t>DailyValuation</t>
  </si>
  <si>
    <t>GetMarkPriceData</t>
  </si>
  <si>
    <t>UpateSymbolBlankMP</t>
  </si>
  <si>
    <t>SAP</t>
  </si>
  <si>
    <t>UpdateBlankMP</t>
  </si>
  <si>
    <t>PortfolioManagement</t>
  </si>
  <si>
    <t>CheckPortfolioManagement</t>
  </si>
  <si>
    <t>Allocation3</t>
  </si>
  <si>
    <t>NewMF</t>
  </si>
  <si>
    <t>Long</t>
  </si>
  <si>
    <t>Strategy Unallocated</t>
  </si>
  <si>
    <t>Equity</t>
  </si>
  <si>
    <t>US</t>
  </si>
  <si>
    <t>NYSE</t>
  </si>
  <si>
    <t>USD</t>
  </si>
  <si>
    <t>Buy</t>
  </si>
  <si>
    <t>BrokerNotes</t>
  </si>
  <si>
    <t>DefaultNotes</t>
  </si>
  <si>
    <t>jpearce</t>
  </si>
  <si>
    <t>MS</t>
  </si>
  <si>
    <t>Yes</t>
  </si>
  <si>
    <t>Undefined</t>
  </si>
  <si>
    <t>Allocation1</t>
  </si>
  <si>
    <t>FilterBlankMP</t>
  </si>
  <si>
    <t>Account</t>
  </si>
  <si>
    <t>All</t>
  </si>
  <si>
    <t>TradingTicket</t>
  </si>
  <si>
    <t>CreateDoneAwayOrder</t>
  </si>
  <si>
    <t>Allocation1,Allocation3</t>
  </si>
  <si>
    <t>50,50</t>
  </si>
  <si>
    <t>EnableBlankMarkPrices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</si>
</sst>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8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center"/>
    </xf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3" Type="http://schemas.openxmlformats.org/officeDocument/2006/relationships/worksheet" Target="worksheets/sheet11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IFERROR(__xludf.DUMMYFUNCTION("IF(C3="""","""",Transpose(IMPORTRANGE('_Settings'!$B$3,C3&amp;""!A4:A1000"")))"),"RestartPricingServer")</f>
        <v>RestartPricingServer</v>
      </c>
      <c r="C4" s="25" t="str">
        <f>IFERROR(__xludf.DUMMYFUNCTION("""COMPUTED_VALUE"""),"RestartPricingServer")</f>
        <v>RestartPricingServer</v>
      </c>
      <c r="D4" s="25" t="str">
        <f>IFERROR(__xludf.DUMMYFUNCTION("""COMPUTED_VALUE"""),"RestartPricingServer")</f>
        <v>RestartPricingServer</v>
      </c>
      <c r="E4" s="25" t="str">
        <f>IFERROR(__xludf.DUMMYFUNCTION("""COMPUTED_VALUE"""),"RestartPricingServer")</f>
        <v>RestartPricingServer</v>
      </c>
      <c r="F4" s="25" t="str">
        <f>IFERROR(__xludf.DUMMYFUNCTION("""COMPUTED_VALUE"""),"UpdatePricingConfig")</f>
        <v>UpdatePricingConfig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b"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UpdatePricingConfig!$4:$4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>
        <f ref="B6:C6" t="shared" si="1">today()-1</f>
        <v>45070</v>
      </c>
      <c r="C6" s="33">
        <f t="shared" si="1"/>
        <v>45070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IFERROR(__xludf.DUMMYFUNCTION("""COMPUTED_VALUE"""),"Enter Symbol")</f>
        <v>Enter Symbol</v>
      </c>
      <c r="C5" s="28" t="str">
        <f>IFERROR(__xludf.DUMMYFUNCTION("""COMPUTED_VALUE"""),"Copy From")</f>
        <v>Copy From</v>
      </c>
      <c r="D5" s="28" t="str">
        <f>IFERROR(__xludf.DUMMYFUNCTION("""COMPUTED_VALUE"""),"Copy To")</f>
        <v>Copy To</v>
      </c>
      <c r="E5" s="28" t="str">
        <f>IFERROR(__xludf.DUMMYFUNCTION("""COMPUTED_VALUE"""),"Click On Copy")</f>
        <v>Click On Copy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UpateSymbolBlankMP!$4:$4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IFERROR(__xludf.DUMMYFUNCTION("""COMPUTED_VALUE"""),"Bloomberg Symbol")</f>
        <v>Bloomberg Symbol</v>
      </c>
      <c r="D5" s="28" t="str">
        <f>IFERROR(__xludf.DUMMYFUNCTION("""COMPUTED_VALUE"""),"Account")</f>
        <v>Account</v>
      </c>
      <c r="E5" s="28" t="str">
        <f>IFERROR(__xludf.DUMMYFUNCTION("""COMPUTED_VALUE"""),"MarkPrice")</f>
        <v>MarkPrice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20</v>
      </c>
      <c r="C6" s="34"/>
      <c r="D6" s="31"/>
      <c r="E6" s="35">
        <v>20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UpdateBlankMP!$4:$4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4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>
      <c r="C6" s="0" t="s">
        <v>20</v>
      </c>
      <c r="D6" s="0">
        <v>250</v>
      </c>
      <c r="E6" s="0" t="s">
        <v>24</v>
      </c>
      <c r="F6" s="0" t="s">
        <v>25</v>
      </c>
      <c r="G6" s="0">
        <v>1</v>
      </c>
      <c r="H6" s="0" t="s">
        <v>26</v>
      </c>
      <c r="N6" s="0">
        <v>-5000</v>
      </c>
      <c r="P6" s="0">
        <v>20</v>
      </c>
      <c r="S6" s="0" t="s">
        <v>27</v>
      </c>
      <c r="T6" s="0" t="s">
        <v>28</v>
      </c>
      <c r="U6" s="0" t="s">
        <v>29</v>
      </c>
      <c r="V6" s="0" t="s">
        <v>30</v>
      </c>
      <c r="W6" s="0" t="s">
        <v>31</v>
      </c>
      <c r="X6" s="0">
        <v>1</v>
      </c>
      <c r="Y6" s="0">
        <v>1</v>
      </c>
      <c r="AF6" s="0">
        <v>250</v>
      </c>
      <c r="AL6" s="0">
        <v>1</v>
      </c>
      <c r="AM6" s="0">
        <v>1</v>
      </c>
      <c r="AN6" s="0" t="s">
        <v>32</v>
      </c>
      <c r="AP6" s="0" t="s">
        <v>26</v>
      </c>
      <c r="AS6" s="0">
        <v>1</v>
      </c>
      <c r="AT6" s="0" t="s">
        <v>33</v>
      </c>
      <c r="AU6" s="0" t="s">
        <v>34</v>
      </c>
      <c r="AV6" s="0">
        <v>1</v>
      </c>
      <c r="AW6" s="0">
        <v>-250</v>
      </c>
      <c r="BQ6" s="0" t="s">
        <v>35</v>
      </c>
      <c r="BR6" s="0" t="s">
        <v>36</v>
      </c>
      <c r="BU6" s="0" t="s">
        <v>28</v>
      </c>
      <c r="DD6" s="0">
        <v>250</v>
      </c>
      <c r="DJ6" s="0" t="s">
        <v>32</v>
      </c>
      <c r="DK6" s="0">
        <v>5000</v>
      </c>
      <c r="DL6" s="0">
        <v>5000</v>
      </c>
      <c r="DM6" s="0">
        <v>1</v>
      </c>
      <c r="EA6" s="0" t="s">
        <v>37</v>
      </c>
      <c r="EB6" s="0" t="s">
        <v>38</v>
      </c>
      <c r="EC6" s="0" t="s">
        <v>38</v>
      </c>
      <c r="ED6" s="0" t="s">
        <v>31</v>
      </c>
      <c r="EE6" s="0" t="s">
        <v>37</v>
      </c>
      <c r="EL6" s="0" t="s">
        <v>26</v>
      </c>
      <c r="EV6" s="0" t="s">
        <v>26</v>
      </c>
    </row>
    <row r="7" ht="15.75" customHeight="1">
      <c r="A7" s="8"/>
      <c r="B7" s="8"/>
      <c r="C7" s="8" t="s">
        <v>20</v>
      </c>
      <c r="D7" s="8">
        <v>250</v>
      </c>
      <c r="E7" s="8" t="s">
        <v>39</v>
      </c>
      <c r="F7" s="8" t="s">
        <v>25</v>
      </c>
      <c r="G7" s="8">
        <v>1</v>
      </c>
      <c r="H7" s="8" t="s">
        <v>26</v>
      </c>
      <c r="I7" s="8"/>
      <c r="J7" s="8"/>
      <c r="K7" s="8"/>
      <c r="L7" s="8"/>
      <c r="M7" s="8"/>
      <c r="N7" s="8">
        <v>-5000</v>
      </c>
      <c r="O7" s="8"/>
      <c r="P7" s="0">
        <v>20</v>
      </c>
      <c r="S7" s="0" t="s">
        <v>27</v>
      </c>
      <c r="T7" s="0" t="s">
        <v>28</v>
      </c>
      <c r="U7" s="0" t="s">
        <v>29</v>
      </c>
      <c r="V7" s="0" t="s">
        <v>30</v>
      </c>
      <c r="W7" s="0" t="s">
        <v>31</v>
      </c>
      <c r="X7" s="0">
        <v>1</v>
      </c>
      <c r="Y7" s="0">
        <v>1</v>
      </c>
      <c r="AF7" s="0">
        <v>250</v>
      </c>
      <c r="AL7" s="0">
        <v>1</v>
      </c>
      <c r="AM7" s="0">
        <v>1</v>
      </c>
      <c r="AN7" s="0" t="s">
        <v>32</v>
      </c>
      <c r="AP7" s="0" t="s">
        <v>26</v>
      </c>
      <c r="AS7" s="0">
        <v>1</v>
      </c>
      <c r="AT7" s="0" t="s">
        <v>33</v>
      </c>
      <c r="AU7" s="0" t="s">
        <v>34</v>
      </c>
      <c r="AV7" s="0">
        <v>1</v>
      </c>
      <c r="AW7" s="0">
        <v>-250</v>
      </c>
      <c r="BQ7" s="0" t="s">
        <v>35</v>
      </c>
      <c r="BR7" s="0" t="s">
        <v>36</v>
      </c>
      <c r="BU7" s="0" t="s">
        <v>28</v>
      </c>
      <c r="DD7" s="0">
        <v>250</v>
      </c>
      <c r="DJ7" s="0" t="s">
        <v>32</v>
      </c>
      <c r="DK7" s="0">
        <v>5000</v>
      </c>
      <c r="DL7" s="0">
        <v>5000</v>
      </c>
      <c r="DM7" s="0">
        <v>1</v>
      </c>
      <c r="EA7" s="0" t="s">
        <v>37</v>
      </c>
      <c r="EB7" s="0" t="s">
        <v>38</v>
      </c>
      <c r="EC7" s="0" t="s">
        <v>38</v>
      </c>
      <c r="ED7" s="0" t="s">
        <v>31</v>
      </c>
      <c r="EE7" s="0" t="s">
        <v>37</v>
      </c>
      <c r="EL7" s="0" t="s">
        <v>26</v>
      </c>
      <c r="EV7" s="0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9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13" t="s">
        <v>20</v>
      </c>
      <c r="D6" s="13">
        <v>250</v>
      </c>
      <c r="E6" s="13" t="s">
        <v>24</v>
      </c>
      <c r="F6" s="13" t="s">
        <v>25</v>
      </c>
      <c r="G6" s="13">
        <v>1</v>
      </c>
      <c r="H6" s="13" t="s">
        <v>26</v>
      </c>
      <c r="I6" s="13"/>
      <c r="J6" s="13"/>
      <c r="K6" s="13"/>
      <c r="L6" s="13"/>
      <c r="M6" s="13"/>
      <c r="N6" s="13">
        <v>-6250</v>
      </c>
      <c r="O6" s="13"/>
      <c r="P6" s="9">
        <v>25</v>
      </c>
      <c r="S6" s="9" t="s">
        <v>27</v>
      </c>
      <c r="T6" s="9" t="s">
        <v>28</v>
      </c>
      <c r="U6" s="9" t="s">
        <v>29</v>
      </c>
      <c r="V6" s="9" t="s">
        <v>30</v>
      </c>
      <c r="W6" s="9" t="s">
        <v>31</v>
      </c>
      <c r="X6" s="9">
        <v>1</v>
      </c>
      <c r="Y6" s="9">
        <v>1</v>
      </c>
      <c r="AF6" s="9">
        <v>250</v>
      </c>
      <c r="AL6" s="9">
        <v>1</v>
      </c>
      <c r="AM6" s="9">
        <v>1</v>
      </c>
      <c r="AN6" s="9" t="s">
        <v>32</v>
      </c>
      <c r="AP6" s="9" t="s">
        <v>26</v>
      </c>
      <c r="AS6" s="9">
        <v>1</v>
      </c>
      <c r="AT6" s="9" t="s">
        <v>33</v>
      </c>
      <c r="AU6" s="9" t="s">
        <v>34</v>
      </c>
      <c r="AV6" s="9">
        <v>1</v>
      </c>
      <c r="AW6" s="9">
        <v>-250</v>
      </c>
      <c r="BQ6" s="9" t="s">
        <v>35</v>
      </c>
      <c r="BR6" s="9" t="s">
        <v>36</v>
      </c>
      <c r="BS6" s="9">
        <v>0</v>
      </c>
      <c r="BT6" s="9">
        <v>0</v>
      </c>
      <c r="BU6" s="9" t="s">
        <v>28</v>
      </c>
      <c r="DD6" s="9">
        <v>250</v>
      </c>
      <c r="DJ6" s="9" t="s">
        <v>32</v>
      </c>
      <c r="DK6" s="9">
        <v>6250</v>
      </c>
      <c r="DL6" s="9">
        <v>6250</v>
      </c>
      <c r="DM6" s="9">
        <v>1</v>
      </c>
      <c r="EA6" s="9" t="s">
        <v>37</v>
      </c>
      <c r="EB6" s="9" t="s">
        <v>38</v>
      </c>
      <c r="EC6" s="9" t="s">
        <v>38</v>
      </c>
      <c r="ED6" s="9" t="s">
        <v>31</v>
      </c>
      <c r="EE6" s="9" t="s">
        <v>37</v>
      </c>
      <c r="EL6" s="9" t="s">
        <v>26</v>
      </c>
      <c r="EV6" s="9" t="s">
        <v>26</v>
      </c>
    </row>
    <row r="7" ht="15.75" customHeight="1">
      <c r="A7" s="8"/>
      <c r="B7" s="8"/>
      <c r="C7" s="13" t="s">
        <v>20</v>
      </c>
      <c r="D7" s="13">
        <v>250</v>
      </c>
      <c r="E7" s="13" t="s">
        <v>39</v>
      </c>
      <c r="F7" s="13" t="s">
        <v>25</v>
      </c>
      <c r="G7" s="13">
        <v>1</v>
      </c>
      <c r="H7" s="13" t="s">
        <v>26</v>
      </c>
      <c r="I7" s="13"/>
      <c r="J7" s="13"/>
      <c r="K7" s="13"/>
      <c r="L7" s="13"/>
      <c r="M7" s="13"/>
      <c r="N7" s="13">
        <v>-6250</v>
      </c>
      <c r="O7" s="13"/>
      <c r="P7" s="9">
        <v>25</v>
      </c>
      <c r="S7" s="9" t="s">
        <v>27</v>
      </c>
      <c r="T7" s="9" t="s">
        <v>28</v>
      </c>
      <c r="U7" s="9" t="s">
        <v>29</v>
      </c>
      <c r="V7" s="9" t="s">
        <v>30</v>
      </c>
      <c r="W7" s="9" t="s">
        <v>31</v>
      </c>
      <c r="X7" s="9">
        <v>1</v>
      </c>
      <c r="Y7" s="9">
        <v>1</v>
      </c>
      <c r="AF7" s="9">
        <v>250</v>
      </c>
      <c r="AL7" s="9">
        <v>1</v>
      </c>
      <c r="AM7" s="9">
        <v>1</v>
      </c>
      <c r="AN7" s="9" t="s">
        <v>32</v>
      </c>
      <c r="AP7" s="9" t="s">
        <v>26</v>
      </c>
      <c r="AS7" s="9">
        <v>1</v>
      </c>
      <c r="AT7" s="9" t="s">
        <v>33</v>
      </c>
      <c r="AU7" s="9" t="s">
        <v>34</v>
      </c>
      <c r="AV7" s="9">
        <v>1</v>
      </c>
      <c r="AW7" s="9">
        <v>-250</v>
      </c>
      <c r="BQ7" s="9" t="s">
        <v>35</v>
      </c>
      <c r="BR7" s="9" t="s">
        <v>36</v>
      </c>
      <c r="BS7" s="9">
        <v>0</v>
      </c>
      <c r="BT7" s="9">
        <v>0</v>
      </c>
      <c r="BU7" s="9" t="s">
        <v>28</v>
      </c>
      <c r="DD7" s="9">
        <v>250</v>
      </c>
      <c r="DJ7" s="9" t="s">
        <v>32</v>
      </c>
      <c r="DK7" s="9">
        <v>6250</v>
      </c>
      <c r="DL7" s="9">
        <v>6250</v>
      </c>
      <c r="DM7" s="9">
        <v>1</v>
      </c>
      <c r="EA7" s="9" t="s">
        <v>37</v>
      </c>
      <c r="EB7" s="9" t="s">
        <v>38</v>
      </c>
      <c r="EC7" s="9" t="s">
        <v>38</v>
      </c>
      <c r="ED7" s="9" t="s">
        <v>31</v>
      </c>
      <c r="EE7" s="9" t="s">
        <v>37</v>
      </c>
      <c r="EL7" s="9" t="s">
        <v>26</v>
      </c>
      <c r="EV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41</v>
      </c>
      <c r="C6" s="31" t="s">
        <v>42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FilterBlankMP!$4:$4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20</v>
      </c>
      <c r="C6" s="34" t="s">
        <v>32</v>
      </c>
      <c r="D6" s="35">
        <v>500</v>
      </c>
      <c r="E6" s="34"/>
      <c r="F6" s="34"/>
      <c r="G6" s="34"/>
      <c r="H6" s="34"/>
      <c r="I6" s="34"/>
      <c r="J6" s="35">
        <v>1</v>
      </c>
      <c r="K6" s="34"/>
      <c r="L6" s="34"/>
      <c r="M6" s="34"/>
      <c r="N6" s="33">
        <f>today()-1</f>
        <v>45070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45</v>
      </c>
      <c r="AL6" s="34" t="s">
        <v>46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IFERROR(__xludf.DUMMYFUNCTION("""COMPUTED_VALUE"""),"Bloomberg Symbol")</f>
        <v>Bloomberg Symbol</v>
      </c>
      <c r="D5" s="28" t="str">
        <f>IFERROR(__xludf.DUMMYFUNCTION("""COMPUTED_VALUE"""),"Account")</f>
        <v>Account</v>
      </c>
      <c r="E5" s="28" t="str">
        <f>IFERROR(__xludf.DUMMYFUNCTION("""COMPUTED_VALUE"""),"MarkPrice")</f>
        <v>MarkPrice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20</v>
      </c>
      <c r="C6" s="34"/>
      <c r="D6" s="36" t="s">
        <v>39</v>
      </c>
      <c r="E6" s="37">
        <v>25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20</v>
      </c>
      <c r="C7" s="34"/>
      <c r="D7" s="36" t="s">
        <v>24</v>
      </c>
      <c r="E7" s="37">
        <v>30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UpdateBlankMP1!$4:$4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IFERROR(__xludf.DUMMYFUNCTION("""COMPUTED_VALUE"""),"IsDefaultFilterToShowAccountWiseDataOnDailyValuation")</f>
        <v>IsDefaultFilterToShowAccountWiseDataOnDailyValuation</v>
      </c>
      <c r="C5" s="28" t="str">
        <f>IFERROR(__xludf.DUMMYFUNCTION("""COMPUTED_VALUE"""),"IsFilteringAccountWiseDataAllowedOnDailyValuation")</f>
        <v>IsFilteringAccountWiseDataAllowedOnDailyValuation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b">
        <v>1</v>
      </c>
      <c r="C6" s="32" t="b"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EnableBlankMarkPrices!$4:$4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