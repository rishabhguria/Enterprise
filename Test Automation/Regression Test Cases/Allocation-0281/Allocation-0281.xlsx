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ExecuteTrade1" sheetId="15" r:id="rId17"/>
    <sheet state="visible" name="VerifyOrder1" sheetId="16" r:id="rId18"/>
    <sheet state="visible" name="CheckAllocatedGroups1" sheetId="17" r:id="rId19"/>
    <sheet state="visible" name="CheckPortfolioManagement1" sheetId="18" r:id="rId20"/>
    <sheet state="visible" name="ExecuteTrade2" sheetId="19" r:id="rId21"/>
    <sheet state="visible" name="VerifyOrder2" sheetId="20" r:id="rId22"/>
    <sheet state="visible" name="CheckAllocatedGroups2" sheetId="21" r:id="rId23"/>
    <sheet state="visible" name="CheckPortfolioManagement2" sheetId="22" r:id="rId24"/>
    <sheet state="visible" name="SelectTrade1" sheetId="23" r:id="rId25"/>
    <sheet state="visible" name="SelectTrade2" sheetId="24" r:id="rId26"/>
  </sheets>
  <definedNames/>
  <calcPr/>
</workbook>
</file>

<file path=xl/sharedStrings.xml><?xml version="1.0" encoding="utf-8"?>
<sst xmlns="http://schemas.openxmlformats.org/spreadsheetml/2006/main" count="307" uniqueCount="48">
  <si>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</si>
  <si>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</si>
  <si>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</si>
  <si>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</si>
  <si>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</si>
  <si>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</si>
  <si>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</si>
  <si>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</si>
  <si>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</si>
  <si>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</si>
  <si>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</si>
  <si>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</si>
  <si>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</si>
  <si>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</si>
  <si>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</si>
  <si>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</si>
  <si>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</si>
  <si>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</si>
  <si>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</si>
  <si>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</si>
  <si>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</t>
  </si>
  <si>
    <t>SetGeneralPreferences</t>
  </si>
  <si>
    <t>Nirvana</t>
  </si>
  <si>
    <t>RunProrata</t>
  </si>
  <si>
    <t>CreateLiveOrder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</si>
  <si>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</si>
  <si>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</si>
  <si>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</si>
  <si>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</si>
  <si>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</si>
  <si>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</si>
  <si>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</si>
  <si>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PartiallyFilled</t>
  </si>
  <si>
    <t>Multiple</t>
  </si>
  <si>
    <t>Market</t>
  </si>
  <si>
    <t>GetDataAllocation</t>
  </si>
  <si>
    <t>Historical</t>
  </si>
  <si>
    <t>CheckAllocatedGroups</t>
  </si>
  <si>
    <t>MSFT US EQUITY</t>
  </si>
  <si>
    <t>PortfolioManagement</t>
  </si>
  <si>
    <t>CheckPortfolioManagement</t>
  </si>
  <si>
    <t>NewMF</t>
  </si>
  <si>
    <t>Long</t>
  </si>
  <si>
    <t>Equity</t>
  </si>
  <si>
    <t>NASDAQ</t>
  </si>
  <si>
    <t>USD</t>
  </si>
  <si>
    <t>NewMF1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</si>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</sst>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164" xfId="0" applyAlignment="1" applyFill="1" applyFont="1" applyNumberFormat="1">
      <alignment readingOrder="0"/>
    </xf>
    <xf borderId="0" fillId="4" fontId="14" numFmtId="0" xfId="0" applyFont="1"/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7" fillId="7" fontId="15" numFmtId="0" xfId="0" applyAlignment="1" applyBorder="1" applyFill="1" applyFont="1">
      <alignment horizontal="right" readingOrder="0" shrinkToFit="0" vertical="top" wrapText="0"/>
    </xf>
    <xf borderId="0" fillId="0" fontId="5" numFmtId="14" xfId="0" applyAlignment="1" applyFont="1" applyNumberFormat="1">
      <alignment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50.0</v>
      </c>
      <c r="E6" s="31"/>
      <c r="F6" s="30" t="s">
        <v>18</v>
      </c>
      <c r="G6" s="8"/>
      <c r="H6" s="8"/>
      <c r="I6" s="8"/>
      <c r="J6" s="30">
        <v>10.0</v>
      </c>
      <c r="K6" s="8"/>
      <c r="L6" s="8"/>
      <c r="M6" s="8"/>
      <c r="N6" s="32">
        <f t="shared" ref="N6:N7" si="1">today()-1</f>
        <v>44964</v>
      </c>
      <c r="O6" s="8"/>
    </row>
    <row r="7" ht="15.75" customHeight="1">
      <c r="A7" s="30"/>
      <c r="B7" s="30" t="s">
        <v>16</v>
      </c>
      <c r="C7" s="30" t="s">
        <v>17</v>
      </c>
      <c r="D7" s="30">
        <v>50.0</v>
      </c>
      <c r="E7" s="31"/>
      <c r="F7" s="30" t="s">
        <v>19</v>
      </c>
      <c r="G7" s="8"/>
      <c r="H7" s="8"/>
      <c r="I7" s="8"/>
      <c r="J7" s="30">
        <v>10.0</v>
      </c>
      <c r="K7" s="8"/>
      <c r="L7" s="8"/>
      <c r="M7" s="8"/>
      <c r="N7" s="32">
        <f t="shared" si="1"/>
        <v>44964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22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>today()-1</f>
        <v>44964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16</v>
      </c>
      <c r="C6" s="37" t="s">
        <v>17</v>
      </c>
      <c r="D6" s="38">
        <v>76.0</v>
      </c>
      <c r="E6" s="38"/>
      <c r="F6" s="36" t="s">
        <v>22</v>
      </c>
      <c r="G6" s="37" t="s">
        <v>25</v>
      </c>
      <c r="H6" s="39"/>
      <c r="I6" s="39"/>
      <c r="J6" s="40">
        <v>10.0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17</v>
      </c>
      <c r="C6" s="36" t="s">
        <v>16</v>
      </c>
      <c r="D6" s="37"/>
      <c r="E6" s="39"/>
      <c r="F6" s="39"/>
      <c r="G6" s="38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17</v>
      </c>
      <c r="C6" s="36" t="s">
        <v>16</v>
      </c>
      <c r="D6" s="37"/>
      <c r="E6" s="39"/>
      <c r="F6" s="39"/>
      <c r="G6" s="38">
        <v>76.0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>
        <v>10.0</v>
      </c>
      <c r="C6" s="44">
        <v>25.0</v>
      </c>
      <c r="D6" s="42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16</v>
      </c>
      <c r="AJ6" s="45" t="s">
        <v>17</v>
      </c>
      <c r="AK6" s="45" t="s">
        <v>32</v>
      </c>
      <c r="AL6" s="45">
        <v>76.0</v>
      </c>
      <c r="AM6" s="45">
        <v>25.0</v>
      </c>
      <c r="AQ6" s="45">
        <v>10.0</v>
      </c>
      <c r="AR6" s="45">
        <v>10.0</v>
      </c>
      <c r="AS6" s="45" t="s">
        <v>25</v>
      </c>
      <c r="AT6" s="45" t="s">
        <v>33</v>
      </c>
      <c r="AU6" s="45" t="s">
        <v>34</v>
      </c>
      <c r="AV6" s="45">
        <v>250.0</v>
      </c>
      <c r="AW6" s="45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46">
        <f t="shared" ref="C6:D6" si="1">today()</f>
        <v>44965</v>
      </c>
      <c r="D6" s="46">
        <f t="shared" si="1"/>
        <v>44965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33</v>
      </c>
      <c r="C6" s="8"/>
      <c r="D6" s="30"/>
      <c r="E6" s="48">
        <v>25.0</v>
      </c>
      <c r="F6" s="8"/>
      <c r="G6" s="8"/>
      <c r="H6" s="48">
        <v>4.0</v>
      </c>
      <c r="I6" s="48">
        <v>5.0</v>
      </c>
      <c r="J6" s="8"/>
      <c r="K6" s="48">
        <v>10.0</v>
      </c>
      <c r="L6" s="48">
        <v>10.0</v>
      </c>
      <c r="M6" s="47" t="s">
        <v>38</v>
      </c>
      <c r="N6" s="8"/>
      <c r="O6" s="8"/>
      <c r="AT6" s="48">
        <v>264.0001</v>
      </c>
      <c r="AU6" s="48">
        <v>264.0001</v>
      </c>
      <c r="AY6" s="47" t="s">
        <v>34</v>
      </c>
      <c r="BE6" s="48">
        <v>250.0</v>
      </c>
      <c r="BF6" s="48">
        <v>250.0</v>
      </c>
      <c r="BJ6" s="48">
        <v>76.0</v>
      </c>
      <c r="BO6" s="47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7" t="s">
        <v>16</v>
      </c>
      <c r="D6" s="48">
        <v>50.0</v>
      </c>
      <c r="E6" s="47" t="s">
        <v>18</v>
      </c>
      <c r="F6" s="47" t="s">
        <v>41</v>
      </c>
      <c r="G6" s="8"/>
      <c r="H6" s="47" t="s">
        <v>42</v>
      </c>
      <c r="I6" s="8"/>
      <c r="J6" s="8"/>
      <c r="K6" s="8"/>
      <c r="L6" s="8"/>
      <c r="M6" s="8"/>
      <c r="N6" s="8"/>
      <c r="O6" s="8"/>
      <c r="T6" s="47" t="s">
        <v>43</v>
      </c>
      <c r="V6" s="47" t="s">
        <v>44</v>
      </c>
      <c r="W6" s="47" t="s">
        <v>45</v>
      </c>
      <c r="Y6" s="48">
        <v>1.0</v>
      </c>
      <c r="AN6" s="47" t="s">
        <v>17</v>
      </c>
    </row>
    <row r="7" ht="15.75" customHeight="1">
      <c r="A7" s="8"/>
      <c r="B7" s="8"/>
      <c r="C7" s="47" t="s">
        <v>16</v>
      </c>
      <c r="D7" s="48">
        <v>12.0</v>
      </c>
      <c r="E7" s="47" t="s">
        <v>18</v>
      </c>
      <c r="F7" s="47" t="s">
        <v>41</v>
      </c>
      <c r="G7" s="8"/>
      <c r="H7" s="47" t="s">
        <v>42</v>
      </c>
      <c r="I7" s="8"/>
      <c r="J7" s="8"/>
      <c r="K7" s="8"/>
      <c r="L7" s="8"/>
      <c r="M7" s="8"/>
      <c r="N7" s="8"/>
      <c r="O7" s="8"/>
      <c r="T7" s="47" t="s">
        <v>43</v>
      </c>
      <c r="V7" s="47" t="s">
        <v>44</v>
      </c>
      <c r="W7" s="47" t="s">
        <v>45</v>
      </c>
      <c r="Y7" s="48">
        <v>1.0</v>
      </c>
      <c r="AN7" s="47" t="s">
        <v>17</v>
      </c>
    </row>
    <row r="8" ht="15.75" customHeight="1">
      <c r="A8" s="8"/>
      <c r="B8" s="8"/>
      <c r="C8" s="47" t="s">
        <v>16</v>
      </c>
      <c r="D8" s="48">
        <v>50.0</v>
      </c>
      <c r="E8" s="47" t="s">
        <v>19</v>
      </c>
      <c r="F8" s="47" t="s">
        <v>46</v>
      </c>
      <c r="G8" s="8"/>
      <c r="H8" s="47" t="s">
        <v>42</v>
      </c>
      <c r="I8" s="8"/>
      <c r="J8" s="8"/>
      <c r="K8" s="8"/>
      <c r="L8" s="8"/>
      <c r="M8" s="8"/>
      <c r="N8" s="8"/>
      <c r="O8" s="8"/>
      <c r="T8" s="47" t="s">
        <v>43</v>
      </c>
      <c r="V8" s="47" t="s">
        <v>44</v>
      </c>
      <c r="W8" s="47" t="s">
        <v>45</v>
      </c>
      <c r="Y8" s="48">
        <v>1.0</v>
      </c>
      <c r="AN8" s="47" t="s">
        <v>17</v>
      </c>
    </row>
    <row r="9" ht="15.75" customHeight="1">
      <c r="A9" s="8"/>
      <c r="B9" s="8"/>
      <c r="C9" s="47" t="s">
        <v>16</v>
      </c>
      <c r="D9" s="48">
        <v>13.0</v>
      </c>
      <c r="E9" s="47" t="s">
        <v>19</v>
      </c>
      <c r="F9" s="47" t="s">
        <v>46</v>
      </c>
      <c r="G9" s="8"/>
      <c r="H9" s="47" t="s">
        <v>42</v>
      </c>
      <c r="I9" s="8"/>
      <c r="J9" s="8"/>
      <c r="K9" s="8"/>
      <c r="L9" s="8"/>
      <c r="M9" s="8"/>
      <c r="N9" s="8"/>
      <c r="O9" s="8"/>
      <c r="T9" s="47" t="s">
        <v>43</v>
      </c>
      <c r="V9" s="47" t="s">
        <v>44</v>
      </c>
      <c r="W9" s="47" t="s">
        <v>45</v>
      </c>
      <c r="Y9" s="48">
        <v>1.0</v>
      </c>
      <c r="AN9" s="47" t="s">
        <v>17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>
        <v>10.0</v>
      </c>
      <c r="C6" s="30">
        <v>10.0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16</v>
      </c>
      <c r="AJ6" s="45" t="s">
        <v>17</v>
      </c>
      <c r="AK6" s="45" t="s">
        <v>32</v>
      </c>
      <c r="AL6" s="45">
        <v>76.0</v>
      </c>
      <c r="AM6" s="45">
        <v>35.0</v>
      </c>
      <c r="AQ6" s="45">
        <v>10.0</v>
      </c>
      <c r="AR6" s="45">
        <v>10.0</v>
      </c>
      <c r="AS6" s="45" t="s">
        <v>25</v>
      </c>
      <c r="AT6" s="45" t="s">
        <v>33</v>
      </c>
      <c r="AU6" s="45" t="s">
        <v>34</v>
      </c>
      <c r="AV6" s="45">
        <v>350.0</v>
      </c>
      <c r="AW6" s="45">
        <v>350.0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33</v>
      </c>
      <c r="C6" s="8"/>
      <c r="D6" s="30"/>
      <c r="E6" s="48">
        <v>35.0</v>
      </c>
      <c r="F6" s="8"/>
      <c r="G6" s="8"/>
      <c r="H6" s="48">
        <v>4.0</v>
      </c>
      <c r="I6" s="48">
        <v>5.0</v>
      </c>
      <c r="J6" s="8"/>
      <c r="K6" s="48">
        <v>10.0</v>
      </c>
      <c r="L6" s="48">
        <v>10.0</v>
      </c>
      <c r="M6" s="47" t="s">
        <v>38</v>
      </c>
      <c r="N6" s="8"/>
      <c r="O6" s="8"/>
      <c r="AT6" s="48">
        <v>364.0002</v>
      </c>
      <c r="AU6" s="48">
        <v>364.0002</v>
      </c>
      <c r="AY6" s="47" t="s">
        <v>34</v>
      </c>
      <c r="BE6" s="48">
        <v>350.0</v>
      </c>
      <c r="BF6" s="48">
        <v>350.0</v>
      </c>
      <c r="BJ6" s="48">
        <v>76.0</v>
      </c>
      <c r="BO6" s="47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7" t="s">
        <v>16</v>
      </c>
      <c r="D6" s="48">
        <v>50.0</v>
      </c>
      <c r="E6" s="47" t="s">
        <v>18</v>
      </c>
      <c r="F6" s="47" t="s">
        <v>41</v>
      </c>
      <c r="G6" s="8"/>
      <c r="H6" s="47" t="s">
        <v>42</v>
      </c>
      <c r="I6" s="8"/>
      <c r="J6" s="8"/>
      <c r="K6" s="8"/>
      <c r="L6" s="8"/>
      <c r="M6" s="8"/>
      <c r="N6" s="8"/>
      <c r="O6" s="8"/>
      <c r="T6" s="47" t="s">
        <v>43</v>
      </c>
      <c r="V6" s="47" t="s">
        <v>44</v>
      </c>
      <c r="W6" s="47" t="s">
        <v>45</v>
      </c>
      <c r="Y6" s="48">
        <v>1.0</v>
      </c>
      <c r="AN6" s="47" t="s">
        <v>17</v>
      </c>
    </row>
    <row r="7" ht="15.75" customHeight="1">
      <c r="A7" s="8"/>
      <c r="B7" s="8"/>
      <c r="C7" s="47" t="s">
        <v>16</v>
      </c>
      <c r="D7" s="48">
        <v>17.0</v>
      </c>
      <c r="E7" s="47" t="s">
        <v>18</v>
      </c>
      <c r="F7" s="47" t="s">
        <v>41</v>
      </c>
      <c r="G7" s="8"/>
      <c r="H7" s="47" t="s">
        <v>42</v>
      </c>
      <c r="I7" s="8"/>
      <c r="J7" s="8"/>
      <c r="K7" s="8"/>
      <c r="L7" s="8"/>
      <c r="M7" s="8"/>
      <c r="N7" s="8"/>
      <c r="O7" s="8"/>
      <c r="T7" s="47" t="s">
        <v>43</v>
      </c>
      <c r="V7" s="47" t="s">
        <v>44</v>
      </c>
      <c r="W7" s="47" t="s">
        <v>45</v>
      </c>
      <c r="Y7" s="48">
        <v>1.0</v>
      </c>
      <c r="AN7" s="47" t="s">
        <v>17</v>
      </c>
    </row>
    <row r="8" ht="15.75" customHeight="1">
      <c r="A8" s="8"/>
      <c r="B8" s="8"/>
      <c r="C8" s="47" t="s">
        <v>16</v>
      </c>
      <c r="D8" s="48">
        <v>50.0</v>
      </c>
      <c r="E8" s="47" t="s">
        <v>19</v>
      </c>
      <c r="F8" s="47" t="s">
        <v>46</v>
      </c>
      <c r="G8" s="8"/>
      <c r="H8" s="47" t="s">
        <v>42</v>
      </c>
      <c r="I8" s="8"/>
      <c r="J8" s="8"/>
      <c r="K8" s="8"/>
      <c r="L8" s="8"/>
      <c r="M8" s="8"/>
      <c r="N8" s="8"/>
      <c r="O8" s="8"/>
      <c r="T8" s="47" t="s">
        <v>43</v>
      </c>
      <c r="V8" s="47" t="s">
        <v>44</v>
      </c>
      <c r="W8" s="47" t="s">
        <v>45</v>
      </c>
      <c r="Y8" s="48">
        <v>1.0</v>
      </c>
      <c r="AN8" s="47" t="s">
        <v>17</v>
      </c>
    </row>
    <row r="9" ht="15.75" customHeight="1">
      <c r="A9" s="8"/>
      <c r="B9" s="8"/>
      <c r="C9" s="47" t="s">
        <v>16</v>
      </c>
      <c r="D9" s="48">
        <v>18.0</v>
      </c>
      <c r="E9" s="47" t="s">
        <v>19</v>
      </c>
      <c r="F9" s="47" t="s">
        <v>46</v>
      </c>
      <c r="G9" s="8"/>
      <c r="H9" s="47" t="s">
        <v>42</v>
      </c>
      <c r="I9" s="8"/>
      <c r="J9" s="8"/>
      <c r="K9" s="8"/>
      <c r="L9" s="8"/>
      <c r="M9" s="8"/>
      <c r="N9" s="8"/>
      <c r="O9" s="8"/>
      <c r="T9" s="47" t="s">
        <v>43</v>
      </c>
      <c r="V9" s="47" t="s">
        <v>44</v>
      </c>
      <c r="W9" s="47" t="s">
        <v>45</v>
      </c>
      <c r="Y9" s="48">
        <v>1.0</v>
      </c>
      <c r="AN9" s="47" t="s">
        <v>17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>
        <v>10.0</v>
      </c>
      <c r="C6" s="30">
        <v>41.0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16</v>
      </c>
      <c r="AJ6" s="45" t="s">
        <v>17</v>
      </c>
      <c r="AK6" s="45" t="s">
        <v>47</v>
      </c>
      <c r="AL6" s="45">
        <v>76.0</v>
      </c>
      <c r="AM6" s="45">
        <v>76.0</v>
      </c>
      <c r="AQ6" s="45">
        <v>10.0</v>
      </c>
      <c r="AR6" s="45">
        <v>10.0</v>
      </c>
      <c r="AS6" s="45" t="s">
        <v>25</v>
      </c>
      <c r="AT6" s="45" t="s">
        <v>33</v>
      </c>
      <c r="AU6" s="45" t="s">
        <v>34</v>
      </c>
      <c r="AV6" s="45">
        <v>760.0</v>
      </c>
      <c r="AW6" s="45">
        <v>760.0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33</v>
      </c>
      <c r="C6" s="8"/>
      <c r="D6" s="30"/>
      <c r="E6" s="48">
        <v>76.0</v>
      </c>
      <c r="F6" s="8"/>
      <c r="G6" s="8"/>
      <c r="H6" s="48">
        <v>4.0</v>
      </c>
      <c r="I6" s="48">
        <v>5.0</v>
      </c>
      <c r="J6" s="8"/>
      <c r="K6" s="48">
        <v>10.0</v>
      </c>
      <c r="L6" s="48">
        <v>10.0</v>
      </c>
      <c r="M6" s="47" t="s">
        <v>38</v>
      </c>
      <c r="N6" s="8"/>
      <c r="O6" s="8"/>
      <c r="AT6" s="48">
        <v>774.0004</v>
      </c>
      <c r="AU6" s="48">
        <v>774.0004</v>
      </c>
      <c r="AY6" s="47" t="s">
        <v>34</v>
      </c>
      <c r="BE6" s="48">
        <v>760.0</v>
      </c>
      <c r="BF6" s="48">
        <v>760.0</v>
      </c>
      <c r="BJ6" s="48">
        <v>76.0</v>
      </c>
      <c r="BO6" s="47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7" t="s">
        <v>16</v>
      </c>
      <c r="D6" s="48">
        <v>50.0</v>
      </c>
      <c r="E6" s="47" t="s">
        <v>18</v>
      </c>
      <c r="F6" s="47" t="s">
        <v>41</v>
      </c>
      <c r="G6" s="8"/>
      <c r="H6" s="47" t="s">
        <v>42</v>
      </c>
      <c r="I6" s="8"/>
      <c r="J6" s="8"/>
      <c r="K6" s="8"/>
      <c r="L6" s="8"/>
      <c r="M6" s="8"/>
      <c r="N6" s="8"/>
      <c r="O6" s="8"/>
      <c r="T6" s="47" t="s">
        <v>43</v>
      </c>
      <c r="V6" s="47" t="s">
        <v>44</v>
      </c>
      <c r="W6" s="47" t="s">
        <v>45</v>
      </c>
      <c r="Y6" s="48">
        <v>1.0</v>
      </c>
      <c r="AN6" s="47" t="s">
        <v>17</v>
      </c>
    </row>
    <row r="7" ht="15.75" customHeight="1">
      <c r="A7" s="8"/>
      <c r="B7" s="8"/>
      <c r="C7" s="47" t="s">
        <v>16</v>
      </c>
      <c r="D7" s="48">
        <v>50.0</v>
      </c>
      <c r="E7" s="47" t="s">
        <v>19</v>
      </c>
      <c r="F7" s="47" t="s">
        <v>46</v>
      </c>
      <c r="G7" s="8"/>
      <c r="H7" s="47" t="s">
        <v>42</v>
      </c>
      <c r="I7" s="8"/>
      <c r="J7" s="8"/>
      <c r="K7" s="8"/>
      <c r="L7" s="8"/>
      <c r="M7" s="8"/>
      <c r="N7" s="8"/>
      <c r="O7" s="8"/>
      <c r="T7" s="47" t="s">
        <v>43</v>
      </c>
      <c r="V7" s="47" t="s">
        <v>44</v>
      </c>
      <c r="W7" s="47" t="s">
        <v>45</v>
      </c>
      <c r="Y7" s="48">
        <v>1.0</v>
      </c>
      <c r="AN7" s="47" t="s">
        <v>17</v>
      </c>
    </row>
    <row r="8" ht="15.75" customHeight="1">
      <c r="A8" s="8"/>
      <c r="B8" s="8"/>
      <c r="C8" s="47" t="s">
        <v>16</v>
      </c>
      <c r="D8" s="48">
        <v>38.0</v>
      </c>
      <c r="E8" s="47" t="s">
        <v>18</v>
      </c>
      <c r="F8" s="47" t="s">
        <v>41</v>
      </c>
      <c r="G8" s="8"/>
      <c r="H8" s="47" t="s">
        <v>42</v>
      </c>
      <c r="I8" s="8"/>
      <c r="J8" s="8"/>
      <c r="K8" s="8"/>
      <c r="L8" s="8"/>
      <c r="M8" s="8"/>
      <c r="N8" s="8"/>
      <c r="O8" s="8"/>
      <c r="T8" s="47" t="s">
        <v>43</v>
      </c>
      <c r="V8" s="47" t="s">
        <v>44</v>
      </c>
      <c r="W8" s="47" t="s">
        <v>45</v>
      </c>
      <c r="Y8" s="48">
        <v>1.0</v>
      </c>
      <c r="AN8" s="47" t="s">
        <v>17</v>
      </c>
    </row>
    <row r="9" ht="15.75" customHeight="1">
      <c r="A9" s="8"/>
      <c r="B9" s="8"/>
      <c r="C9" s="47" t="s">
        <v>16</v>
      </c>
      <c r="D9" s="48">
        <v>38.0</v>
      </c>
      <c r="E9" s="47" t="s">
        <v>19</v>
      </c>
      <c r="F9" s="47" t="s">
        <v>46</v>
      </c>
      <c r="G9" s="8"/>
      <c r="H9" s="47" t="s">
        <v>42</v>
      </c>
      <c r="I9" s="8"/>
      <c r="J9" s="8"/>
      <c r="K9" s="8"/>
      <c r="L9" s="8"/>
      <c r="M9" s="8"/>
      <c r="N9" s="8"/>
      <c r="O9" s="8"/>
      <c r="T9" s="47" t="s">
        <v>43</v>
      </c>
      <c r="V9" s="47" t="s">
        <v>44</v>
      </c>
      <c r="W9" s="47" t="s">
        <v>45</v>
      </c>
      <c r="Y9" s="48">
        <v>1.0</v>
      </c>
      <c r="AN9" s="47" t="s">
        <v>17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 t="s">
        <v>17</v>
      </c>
      <c r="C6" s="41" t="s">
        <v>16</v>
      </c>
      <c r="D6" s="42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 t="s">
        <v>17</v>
      </c>
      <c r="C6" s="41" t="s">
        <v>16</v>
      </c>
      <c r="D6" s="42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