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Closing" sheetId="7" r:id="rId9"/>
    <sheet state="visible" name="AutomaticClosing" sheetId="8" r:id="rId10"/>
    <sheet state="visible" name="GetDataAllocation" sheetId="9" r:id="rId11"/>
    <sheet state="visible" name="CheckAllocatedGroups" sheetId="10" r:id="rId12"/>
    <sheet state="visible" name="GetActivityData" sheetId="11" r:id="rId13"/>
    <sheet state="visible" name="VerifyActivity" sheetId="12" r:id="rId14"/>
    <sheet state="visible" name="GetTradingTransaction" sheetId="13" r:id="rId15"/>
    <sheet state="visible" name="VerifyTradingTransaction" sheetId="14" r:id="rId16"/>
    <sheet state="visible" name="GetDayEndCash" sheetId="15" r:id="rId17"/>
    <sheet state="visible" name="VerifyDayEndCash" sheetId="16" r:id="rId18"/>
    <sheet state="visible" name="GetAccountBalance" sheetId="17" r:id="rId19"/>
    <sheet state="visible" name="VerifyActivity1" sheetId="18" r:id="rId20"/>
    <sheet state="visible" name="GetRevaluationData" sheetId="19" r:id="rId21"/>
    <sheet state="visible" name="VerifyRevaluationData" sheetId="20" r:id="rId22"/>
  </sheets>
  <definedNames/>
  <calcPr/>
</workbook>
</file>

<file path=xl/sharedStrings.xml><?xml version="1.0" encoding="utf-8"?>
<sst xmlns="http://schemas.openxmlformats.org/spreadsheetml/2006/main" count="1093" uniqueCount="77">
  <si>
    <t>Modules Info</t>
  </si>
  <si>
    <t>Settings</t>
  </si>
  <si>
    <t>Master Data Info</t>
  </si>
  <si>
    <t>Module Step Setting File</t>
  </si>
  <si>
    <t>Module</t>
  </si>
  <si>
    <t>Modules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</si>
  <si>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</si>
  <si>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</si>
  <si>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</si>
  <si>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</si>
  <si>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</si>
  <si>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</si>
  <si>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</si>
  <si>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</si>
  <si>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</si>
  <si>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DailyValuation</t>
  </si>
  <si>
    <t>Input Format</t>
  </si>
  <si>
    <t>GetMarkPriceData</t>
  </si>
  <si>
    <t>O:MSFT 18B104.00D2</t>
  </si>
  <si>
    <t>Buy to Open</t>
  </si>
  <si>
    <t>OFFSHORE</t>
  </si>
  <si>
    <t>GS</t>
  </si>
  <si>
    <t>Market</t>
  </si>
  <si>
    <t>Flat Amount</t>
  </si>
  <si>
    <t>O:AAPL 18B177.50D2</t>
  </si>
  <si>
    <t>Sell to Open</t>
  </si>
  <si>
    <t>O:GOOG 18M1092.50D5</t>
  </si>
  <si>
    <t>O:FB 18M167.50D19</t>
  </si>
  <si>
    <t>Sell to Close</t>
  </si>
  <si>
    <t>UpdateMarkPriceMonthly</t>
  </si>
  <si>
    <t>Buy to Close</t>
  </si>
  <si>
    <t>Closing</t>
  </si>
  <si>
    <t>AutomaticClosing</t>
  </si>
  <si>
    <t>GetDataClosing</t>
  </si>
  <si>
    <t>FIFO</t>
  </si>
  <si>
    <t>None</t>
  </si>
  <si>
    <t>Default</t>
  </si>
  <si>
    <t>Historical</t>
  </si>
  <si>
    <t>Allocation</t>
  </si>
  <si>
    <t>GetDataAllocation</t>
  </si>
  <si>
    <t>CheckAllocatedGroups</t>
  </si>
  <si>
    <t>GeneralLedger</t>
  </si>
  <si>
    <t>GetActivityData</t>
  </si>
  <si>
    <t>NewMF1</t>
  </si>
  <si>
    <t>Yes</t>
  </si>
  <si>
    <t>VerifyActivity</t>
  </si>
  <si>
    <t>GetTradingTransaction</t>
  </si>
  <si>
    <t>Trading</t>
  </si>
  <si>
    <t>EquityOptionL</t>
  </si>
  <si>
    <t>Cash</t>
  </si>
  <si>
    <t>USD</t>
  </si>
  <si>
    <t>M</t>
  </si>
  <si>
    <t>EquityOptionS</t>
  </si>
  <si>
    <t>VerifyTradingTransaction</t>
  </si>
  <si>
    <t>GetDayEndCash</t>
  </si>
  <si>
    <t>DR</t>
  </si>
  <si>
    <t>BrokerNotes</t>
  </si>
  <si>
    <t>Investment - Long Equity Option [Asset]</t>
  </si>
  <si>
    <t>CR</t>
  </si>
  <si>
    <t>Cash [Cash]</t>
  </si>
  <si>
    <t>Investment - Short Equity Option [Liability]</t>
  </si>
  <si>
    <t>VerifyDayEndCash</t>
  </si>
  <si>
    <t>GetAccountBalance</t>
  </si>
  <si>
    <t>Revaluation</t>
  </si>
  <si>
    <t>EquityOptionLongUnRealizedPNL</t>
  </si>
  <si>
    <t>UnRealized PNL Entry</t>
  </si>
  <si>
    <t>GetRevaluationData</t>
  </si>
  <si>
    <t>EquityOptionShortUnRealizedPNL</t>
  </si>
  <si>
    <t>EquityOptionShortRealizedPNL</t>
  </si>
  <si>
    <t>Realized PNL Entry</t>
  </si>
  <si>
    <t>Contra UnRealized PNL Entry</t>
  </si>
  <si>
    <t>EquityOptionLongRealizedPNL</t>
  </si>
  <si>
    <t>VerifyRevaluationData</t>
  </si>
  <si>
    <t>Equity Option Short Revaluation [Asset]</t>
  </si>
  <si>
    <t>Equity Option UnRealized Profit And Loss [Income]</t>
  </si>
  <si>
    <t>Equity Option Realized Profit And Loss [Income]</t>
  </si>
  <si>
    <t>Equity Option Long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</si>
</sst>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2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0.0"/>
      <name val="Arial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868686"/>
      <name val="Arial"/>
    </font>
    <font>
      <sz val="9.0"/>
      <color rgb="FFE7E8E9"/>
      <name val="Arial"/>
    </font>
    <font>
      <sz val="10.0"/>
      <color rgb="FFE7E8E9"/>
      <name val="Arial"/>
    </font>
    <font>
      <sz val="10.0"/>
      <color rgb="FF86868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5" fillId="5" fontId="6" numFmtId="0" xfId="0" applyAlignment="1" applyBorder="1" applyFont="1">
      <alignment readingOrder="0" shrinkToFit="0" wrapText="0"/>
    </xf>
    <xf borderId="0" fillId="5" fontId="10" numFmtId="0" xfId="0" applyFont="1"/>
    <xf borderId="6" fillId="0" fontId="5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6" fillId="0" fontId="1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14" numFmtId="0" xfId="0" applyAlignment="1" applyFont="1">
      <alignment readingOrder="0"/>
    </xf>
    <xf borderId="6" fillId="0" fontId="5" numFmtId="0" xfId="0" applyAlignment="1" applyBorder="1" applyFont="1">
      <alignment readingOrder="0" vertical="bottom"/>
    </xf>
    <xf borderId="5" fillId="5" fontId="6" numFmtId="0" xfId="0" applyAlignment="1" applyBorder="1" applyFont="1">
      <alignment shrinkToFit="0" wrapText="0"/>
    </xf>
    <xf borderId="0" fillId="6" fontId="14" numFmtId="0" xfId="0" applyAlignment="1" applyFill="1" applyFont="1">
      <alignment readingOrder="0" shrinkToFit="0" wrapText="0"/>
    </xf>
    <xf borderId="0" fillId="6" fontId="0" numFmtId="0" xfId="0" applyAlignment="1" applyFont="1">
      <alignment horizontal="left" readingOrder="0"/>
    </xf>
    <xf borderId="0" fillId="6" fontId="0" numFmtId="165" xfId="0" applyAlignment="1" applyFont="1" applyNumberFormat="1">
      <alignment horizontal="left" readingOrder="0"/>
    </xf>
    <xf borderId="0" fillId="6" fontId="0" numFmtId="0" xfId="0" applyAlignment="1" applyFont="1">
      <alignment horizontal="left"/>
    </xf>
    <xf borderId="0" fillId="6" fontId="14" numFmtId="164" xfId="0" applyAlignment="1" applyFont="1" applyNumberFormat="1">
      <alignment horizontal="right" readingOrder="0" vertical="bottom"/>
    </xf>
    <xf borderId="0" fillId="6" fontId="14" numFmtId="0" xfId="0" applyFont="1"/>
    <xf borderId="0" fillId="6" fontId="14" numFmtId="0" xfId="0" applyAlignment="1" applyFont="1">
      <alignment shrinkToFit="0" wrapText="0"/>
    </xf>
    <xf borderId="0" fillId="6" fontId="5" numFmtId="0" xfId="0" applyAlignment="1" applyFont="1">
      <alignment readingOrder="0" shrinkToFit="0" wrapText="0"/>
    </xf>
    <xf borderId="7" fillId="7" fontId="15" numFmtId="164" xfId="0" applyAlignment="1" applyBorder="1" applyFill="1" applyFont="1" applyNumberFormat="1">
      <alignment horizontal="left" readingOrder="0"/>
    </xf>
    <xf borderId="0" fillId="6" fontId="15" numFmtId="165" xfId="0" applyAlignment="1" applyFont="1" applyNumberFormat="1">
      <alignment horizontal="left" readingOrder="0"/>
    </xf>
    <xf borderId="7" fillId="7" fontId="16" numFmtId="0" xfId="0" applyAlignment="1" applyBorder="1" applyFont="1">
      <alignment horizontal="right" readingOrder="0"/>
    </xf>
    <xf borderId="7" fillId="7" fontId="17" numFmtId="0" xfId="0" applyAlignment="1" applyBorder="1" applyFont="1">
      <alignment horizontal="right" readingOrder="0"/>
    </xf>
    <xf borderId="7" fillId="7" fontId="16" numFmtId="0" xfId="0" applyAlignment="1" applyBorder="1" applyFont="1">
      <alignment horizontal="left" readingOrder="0"/>
    </xf>
    <xf borderId="0" fillId="6" fontId="15" numFmtId="0" xfId="0" applyAlignment="1" applyFont="1">
      <alignment horizontal="left" readingOrder="0"/>
    </xf>
    <xf borderId="0" fillId="6" fontId="5" numFmtId="0" xfId="0" applyFont="1"/>
    <xf borderId="0" fillId="6" fontId="5" numFmtId="0" xfId="0" applyAlignment="1" applyFont="1">
      <alignment shrinkToFit="0" wrapText="0"/>
    </xf>
    <xf borderId="7" fillId="8" fontId="18" numFmtId="0" xfId="0" applyAlignment="1" applyBorder="1" applyFill="1" applyFont="1">
      <alignment horizontal="right" readingOrder="0"/>
    </xf>
    <xf borderId="7" fillId="8" fontId="16" numFmtId="0" xfId="0" applyAlignment="1" applyBorder="1" applyFont="1">
      <alignment horizontal="right" readingOrder="0"/>
    </xf>
    <xf borderId="7" fillId="8" fontId="16" numFmtId="0" xfId="0" applyAlignment="1" applyBorder="1" applyFont="1">
      <alignment horizontal="left" readingOrder="0"/>
    </xf>
    <xf borderId="0" fillId="6" fontId="5" numFmtId="164" xfId="0" applyAlignment="1" applyFont="1" applyNumberFormat="1">
      <alignment horizontal="right" readingOrder="0" vertical="bottom"/>
    </xf>
    <xf borderId="0" fillId="6" fontId="19" numFmtId="0" xfId="0" applyAlignment="1" applyFont="1">
      <alignment horizontal="right" readingOrder="0"/>
    </xf>
    <xf borderId="0" fillId="6" fontId="15" numFmtId="0" xfId="0" applyAlignment="1" applyFont="1">
      <alignment horizontal="right" readingOrder="0"/>
    </xf>
    <xf borderId="0" fillId="6" fontId="20" numFmtId="0" xfId="0" applyAlignment="1" applyFont="1">
      <alignment horizontal="right" readingOrder="0"/>
    </xf>
    <xf borderId="0" fillId="0" fontId="5" numFmtId="0" xfId="0" applyFont="1"/>
    <xf borderId="0" fillId="6" fontId="15" numFmtId="0" xfId="0" applyAlignment="1" applyFont="1">
      <alignment horizontal="left"/>
    </xf>
    <xf borderId="0" fillId="6" fontId="15" numFmtId="166" xfId="0" applyAlignment="1" applyFont="1" applyNumberFormat="1">
      <alignment horizontal="left" readingOrder="0"/>
    </xf>
    <xf borderId="0" fillId="6" fontId="0" numFmtId="0" xfId="0" applyAlignment="1" applyFont="1">
      <alignment horizontal="right" readingOrder="0"/>
    </xf>
    <xf borderId="0" fillId="6" fontId="21" numFmtId="0" xfId="0" applyAlignment="1" applyFont="1">
      <alignment horizontal="right" readingOrder="0"/>
    </xf>
    <xf borderId="0" fillId="6" fontId="2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5</v>
      </c>
      <c r="B3" s="15"/>
      <c r="C3" s="16"/>
      <c r="D3" s="16"/>
      <c r="E3" s="16"/>
      <c r="F3" s="16"/>
    </row>
    <row r="4" ht="15.75" customHeight="1">
      <c r="A4" s="5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IFERROR(__xludf.DUMMYFUNCTION("""COMPUTED_VALUE"""),"1ZZqZ5gZK_woBgTkjSbwUWy35DmUlF2qcAtcd3eh1j-M")</f>
        <v>1ZZqZ5gZK_woBgTkjSbwUWy35DmUlF2qcAtcd3eh1j-M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IFERROR(__xludf.DUMMYFUNCTION("""COMPUTED_VALUE"""),"Undefined")</f>
        <v>Undefined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IFERROR(__xludf.DUMMYFUNCTION("""COMPUTED_VALUE"""),"1F_BXcQL-UOYNmtCgE2FRSzTxqoMMKNIV-clJRsPLe1s")</f>
        <v>1F_BXcQL-UOYNmtCgE2FRSzTxqoMMKNIV-clJRsPLe1s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IFERROR(__xludf.DUMMYFUNCTION("""COMPUTED_VALUE"""),"1Seece-QvbnxJPXb_gnGofgxvFKlLukvDW2KqTZLtK98")</f>
        <v>1Seece-QvbnxJPXb_gnGofgxvFKlLukvDW2KqTZLtK98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IFERROR(__xludf.DUMMYFUNCTION("""COMPUTED_VALUE"""),"1u7KqMwMvVlHd9mcfrPLUbFG22gfYSWpnZJvdzoK1ZYA")</f>
        <v>1u7KqMwMvVlHd9mcfrPLUbFG22gfYSWpnZJvdzoK1ZYA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IFERROR(__xludf.DUMMYFUNCTION("""COMPUTED_VALUE"""),"19OUC-KFPJBCD5XEanC8Js6T4MSPKjYN8wC24gzOEVFk")</f>
        <v>19OUC-KFPJBCD5XEanC8Js6T4MSPKjYN8wC24gzOEVFk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IFERROR(__xludf.DUMMYFUNCTION("""COMPUTED_VALUE"""),"13u7vqO7dHa-QnQluOEUR6rpZXp__Iv3tfm7aMG4omnc")</f>
        <v>13u7vqO7dHa-QnQluOEUR6rpZXp__Iv3tfm7aMG4omnc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IFERROR(__xludf.DUMMYFUNCTION("""COMPUTED_VALUE"""),"1B7NnkALzxy07DJM7saVZv1o5ZltnXFqFqsxqWW8kqA0")</f>
        <v>1B7NnkALzxy07DJM7saVZv1o5ZltnXFqFqsxqWW8kqA0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IFERROR(__xludf.DUMMYFUNCTION("""COMPUTED_VALUE"""),"1FXo2WcGDASn25PGZWTFfkBEPCkvTAGauIbof2MOtRxE")</f>
        <v>1FXo2WcGDASn25PGZWTFfkBEPCkvTAGauIbof2MOtRxE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IFERROR(__xludf.DUMMYFUNCTION("""COMPUTED_VALUE"""),"1uwp5EUk7yLKid2SqDjwj0_GiGO9VhpJzYIcxQylCTwo")</f>
        <v>1uwp5EUk7yLKid2SqDjwj0_GiGO9VhpJzYIcxQylCTwo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IFERROR(__xludf.DUMMYFUNCTION("""COMPUTED_VALUE"""),"1Hh6nJVl05fGFGgAzhC0v2n-p_CU9Jd0uFqdHlnWwJTg")</f>
        <v>1Hh6nJVl05fGFGgAzhC0v2n-p_CU9Jd0uFqdHlnWwJTg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IFERROR(__xludf.DUMMYFUNCTION("""COMPUTED_VALUE"""),"1O7edVbfzplQ-O-6CEJxzgq38bKuzQqrZMi1hvHduoxM")</f>
        <v>1O7edVbfzplQ-O-6CEJxzgq38bKuzQqrZMi1hvHduoxM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IFERROR(__xludf.DUMMYFUNCTION("""COMPUTED_VALUE"""),"1l95qunFGTeiKLwSKZHVbWlTE0cznZgjCRpuiltJ4gtg")</f>
        <v>1l95qunFGTeiKLwSKZHVbWlTE0cznZgjCRpuiltJ4gtg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IFERROR(__xludf.DUMMYFUNCTION("""COMPUTED_VALUE"""),"12KLRQucApo6IRtAzVp-za62nqiIuztr1Mj52yRvvqOY")</f>
        <v>12KLRQucApo6IRtAzVp-za62nqiIuztr1Mj52yRvvqOY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IFERROR(__xludf.DUMMYFUNCTION("""COMPUTED_VALUE"""),"1qgEiuLYXaLVPJOINdfkRr7c9lyRRS_xBSe6SPkp8K-o")</f>
        <v>1qgEiuLYXaLVPJOINdfkRr7c9lyRRS_xBSe6SPkp8K-o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IFERROR(__xludf.DUMMYFUNCTION("""COMPUTED_VALUE"""),"1VuAexgshIic71eEvB5mnvl0UMXMV0P8jozCsUHV30FM")</f>
        <v>1VuAexgshIic71eEvB5mnvl0UMXMV0P8jozCsUHV30FM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IFERROR(__xludf.DUMMYFUNCTION("""COMPUTED_VALUE"""),"14CbrcCPYaI4Gqde6ADz6rnkGV-C_I_sBUHhcLeGClx8")</f>
        <v>14CbrcCPYaI4Gqde6ADz6rnkGV-C_I_sBUHhcLeGClx8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IFERROR(__xludf.DUMMYFUNCTION("""COMPUTED_VALUE"""),"1QDL5sjj6u7bA-8ZBdirMnBaDWycVY_NycJVU4obVZW4")</f>
        <v>1QDL5sjj6u7bA-8ZBdirMnBaDWycVY_NycJVU4obVZW4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IFERROR(__xludf.DUMMYFUNCTION("""COMPUTED_VALUE"""),"16X2GOg0YhlSXphoVEDqum-MD5qeGqs4ri9q1t365RBM")</f>
        <v>16X2GOg0YhlSXphoVEDqum-MD5qeGqs4ri9q1t365RBM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IFERROR(__xludf.DUMMYFUNCTION("""COMPUTED_VALUE"""),"Undefined")</f>
        <v>Undefined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IFERROR(__xludf.DUMMYFUNCTION("""COMPUTED_VALUE"""),"1obz67sla1dkodV-Q4D2wwh5s-e3HmC4hlGqolpOQUV8")</f>
        <v>1obz67sla1dkodV-Q4D2wwh5s-e3HmC4hlGqolpOQUV8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IFERROR(__xludf.DUMMYFUNCTION("""COMPUTED_VALUE"""),"125zeq5tUeqMKMM-UIYzLLNOo2jnWtqyUOTnd8xgkM2U")</f>
        <v>125zeq5tUeqMKMM-UIYzLLNOo2jnWtqyUOTnd8xgkM2U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IFERROR(__xludf.DUMMYFUNCTION("""COMPUTED_VALUE"""),"1fmnAQFt-_YGqWUkuKgjzxtlh-aixWAcNa1UIwdqtUaQ")</f>
        <v>1fmnAQFt-_YGqWUkuKgjzxtlh-aixWAcNa1UIwdqtUaQ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IFERROR(__xludf.DUMMYFUNCTION("""COMPUTED_VALUE"""),"1RpXT-dPg6X5MwsysSjIzJgVZ1LmQ-pZTaN1xAyetv9k")</f>
        <v>1RpXT-dPg6X5MwsysSjIzJgVZ1LmQ-pZTaN1xAyetv9k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IFERROR(__xludf.DUMMYFUNCTION("""COMPUTED_VALUE"""),"1CV6mfDD8X54LhJ8arf__OEfIfLNrn71OAu-q5NtWkTI")</f>
        <v>1CV6mfDD8X54LhJ8arf__OEfIfLNrn71OAu-q5NtWkTI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IFERROR(__xludf.DUMMYFUNCTION("""COMPUTED_VALUE"""),"1bTLj8UBbX8x8Nh9oZ3dmg11pxddYuwGh_Km5LJlEK6c")</f>
        <v>1bTLj8UBbX8x8Nh9oZ3dmg11pxddYuwGh_Km5LJlEK6c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IFERROR(__xludf.DUMMYFUNCTION("""COMPUTED_VALUE"""),"13LBQhnI0n0hlW6NV8EeRAzwHEza7O_fshrZJkCE660w")</f>
        <v>13LBQhnI0n0hlW6NV8EeRAzwHEza7O_fshrZJkCE660w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IFERROR(__xludf.DUMMYFUNCTION("""COMPUTED_VALUE"""),"1ZI2MUcaIdICaC-BRH8bwfpVUeS1ug7gXksmgYXABZ3g")</f>
        <v>1ZI2MUcaIdICaC-BRH8bwfpVUeS1ug7gXksmgYXABZ3g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IFERROR(__xludf.DUMMYFUNCTION("""COMPUTED_VALUE"""),"1HnUnCvn0omZQKeWh9DMLKrx03H2nG8a-KamHRLb2vko")</f>
        <v>1HnUnCvn0omZQKeWh9DMLKrx03H2nG8a-KamHRLb2vko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IFERROR(__xludf.DUMMYFUNCTION("""COMPUTED_VALUE"""),"1MxG9l1lQczLE5PdZzV-QjYVONc9z69XTu2wBiJDoklc")</f>
        <v>1MxG9l1lQczLE5PdZzV-QjYVONc9z69XTu2wBiJDoklc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IFERROR(__xludf.DUMMYFUNCTION("""COMPUTED_VALUE"""),"1BWEkQ0CkSiYeosqmxnRUzSfMXn7hwmMwFcWaGNhN0a0")</f>
        <v>1BWEkQ0CkSiYeosqmxnRUzSfMXn7hwmMwFcWaGNhN0a0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IFERROR(__xludf.DUMMYFUNCTION("""COMPUTED_VALUE"""),"1WsIU2FuWyqdJMtcmyw_BHMx4U8XVLpWl8JJrotx6ePI")</f>
        <v>1WsIU2FuWyqdJMtcmyw_BHMx4U8XVLpWl8JJrotx6ePI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IFERROR(__xludf.DUMMYFUNCTION("""COMPUTED_VALUE"""),"1NrLLc572hKpMzauSyaNtwhhiCBy61tlfp6nv6OL_CO0")</f>
        <v>1NrLLc572hKpMzauSyaNtwhhiCBy61tlfp6nv6OL_CO0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IFERROR(__xludf.DUMMYFUNCTION("""COMPUTED_VALUE"""),"1dd5N2CaOrQMCwOyMYcpk77icRYAOAWq2Q-iM6d30aaU")</f>
        <v>1dd5N2CaOrQMCwOyMYcpk77icRYAOAWq2Q-iM6d30aaU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IFERROR(__xludf.DUMMYFUNCTION("""COMPUTED_VALUE"""),"16YoKlUkbZBaPrggQKTzQkMlizINp1_oSx9jYRzNx_o4")</f>
        <v>16YoKlUkbZBaPrggQKTzQkMlizINp1_oSx9jYRzNx_o4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IFERROR(__xludf.DUMMYFUNCTION("""COMPUTED_VALUE"""),"1Vh7puU6V8sdg79BDEHjKR85NL7-Acme-qT6OtJYS8jU")</f>
        <v>1Vh7puU6V8sdg79BDEHjKR85NL7-Acme-qT6OtJYS8jU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IFERROR(__xludf.DUMMYFUNCTION("""COMPUTED_VALUE"""),"158eTu4y7Mzj5QKawI53nzZDBNrOyPWeB41H0X9otKtU")</f>
        <v>158eTu4y7Mzj5QKawI53nzZDBNrOyPWeB41H0X9otKtU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IFERROR(__xludf.DUMMYFUNCTION("""COMPUTED_VALUE"""),"1WP_KP7BGdetzKFFV_YXmrIpjZ117e0TQy6He8Pjsbn8")</f>
        <v>1WP_KP7BGdetzKFFV_YXmrIpjZ117e0TQy6He8Pjsbn8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IFERROR(__xludf.DUMMYFUNCTION("""COMPUTED_VALUE"""),"1HJLHDE5oGtsHlvN-IJtqA0k9UCPTKPg__dJ6Xmc6wfs")</f>
        <v>1HJLHDE5oGtsHlvN-IJtqA0k9UCPTKPg__dJ6Xmc6wfs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IFERROR(__xludf.DUMMYFUNCTION("""COMPUTED_VALUE"""),"19y7JJUjHv2co1ySpXKhNftDtMRpP9bKtqpUANMv9Aqk")</f>
        <v>19y7JJUjHv2co1ySpXKhNftDtMRpP9bKtqpUANMv9Aqk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IFERROR(__xludf.DUMMYFUNCTION("""COMPUTED_VALUE"""),"1vJDk7umktKM6xIYCDQtaPORMsI7Lqo0JwhEQIZcbcWA")</f>
        <v>1vJDk7umktKM6xIYCDQtaPORMsI7Lqo0JwhEQIZcbcWA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IFERROR(__xludf.DUMMYFUNCTION("""COMPUTED_VALUE"""),"14IVRT0g-2GNeaAMS9iaPvdKHXE7L-uF6tlIX39pwa6A")</f>
        <v>14IVRT0g-2GNeaAMS9iaPvdKHXE7L-uF6tlIX39pwa6A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IFERROR(__xludf.DUMMYFUNCTION("""COMPUTED_VALUE"""),"10G_Y6isKleDKBUw0uti8mqMOHAiZoyxYlUXPuI0cp84")</f>
        <v>10G_Y6isKleDKBUw0uti8mqMOHAiZoyxYlUXPuI0cp84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IFERROR(__xludf.DUMMYFUNCTION("""COMPUTED_VALUE"""),"1mKK2qOB9c77LvJRMd9V1haRgnEbKEvJHAGMul7LU9r8")</f>
        <v>1mKK2qOB9c77LvJRMd9V1haRgnEbKEvJHAGMul7LU9r8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IFERROR(__xludf.DUMMYFUNCTION("""COMPUTED_VALUE"""),"1IGQeYHwZ1PTtDZ5J3pngQh2CiTe0eztPtkirV05Yfn0")</f>
        <v>1IGQeYHwZ1PTtDZ5J3pngQh2CiTe0eztPtkirV05Yfn0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IFERROR(__xludf.DUMMYFUNCTION("""COMPUTED_VALUE"""),"186JjG_Ko2ioSSokldVvYGEzowliqTGKmrzVD57ebYO0")</f>
        <v>186JjG_Ko2ioSSokldVvYGEzowliqTGKmrzVD57ebYO0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IFERROR(__xludf.DUMMYFUNCTION("""COMPUTED_VALUE"""),"1Muxt3XVeal8ijJZ9PFOV7BjtWOkZwktKh2hr7eyisr8")</f>
        <v>1Muxt3XVeal8ijJZ9PFOV7BjtWOkZwktKh2hr7eyisr8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IFERROR(__xludf.DUMMYFUNCTION("""COMPUTED_VALUE"""),"1VMYHglP2fkjYnP4JAs8baMjTLBOQq4G2nCZZHofxJ_E")</f>
        <v>1VMYHglP2fkjYnP4JAs8baMjTLBOQq4G2nCZZHofxJ_E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IFERROR(__xludf.DUMMYFUNCTION("""COMPUTED_VALUE"""),"1cgB7L-hmW69lXXu8-acayYl62KglwsTMNmc71UN0igs")</f>
        <v>1cgB7L-hmW69lXXu8-acayYl62KglwsTMNmc71UN0igs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IFERROR(__xludf.DUMMYFUNCTION("""COMPUTED_VALUE"""),"1iW8f0wobJi3n6fY9ZFF2ESnVsRhxf3kblT2TOsYbNlY")</f>
        <v>1iW8f0wobJi3n6fY9ZFF2ESnVsRhxf3kblT2TOsYbNlY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IFERROR(__xludf.DUMMYFUNCTION("""COMPUTED_VALUE"""),"1G53tsyKDmEFnrtosRZ96Q4iATP0dLrOdTyyxLeC6_d4")</f>
        <v>1G53tsyKDmEFnrtosRZ96Q4iATP0dLrOdTyyxLeC6_d4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IFERROR(__xludf.DUMMYFUNCTION("""COMPUTED_VALUE"""),"11X0wsOdGxXWCkqhBueMs8fsJ6tZSOyCBY_nreYhelGE")</f>
        <v>11X0wsOdGxXWCkqhBueMs8fsJ6tZSOyCBY_nreYhelGE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IFERROR(__xludf.DUMMYFUNCTION("""COMPUTED_VALUE"""),"1f8LdPG_fu813MWdc5LZ_f3a6pNZvy-agc1gnR2D2d1I")</f>
        <v>1f8LdPG_fu813MWdc5LZ_f3a6pNZvy-agc1gnR2D2d1I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IFERROR(__xludf.DUMMYFUNCTION("""COMPUTED_VALUE"""),"1V-6AQFpzaZJ8xmybbF01Wuug9O7LKL6RW8hnIFpfg0A")</f>
        <v>1V-6AQFpzaZJ8xmybbF01Wuug9O7LKL6RW8hnIFpfg0A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IFERROR(__xludf.DUMMYFUNCTION("""COMPUTED_VALUE"""),"1VB617Gzkn_UV5GDWBAYHZGgHKMLrMfaWHKFGFe9z8G8")</f>
        <v>1VB617Gzkn_UV5GDWBAYHZGgHKMLrMfaWHKFGFe9z8G8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IFERROR(__xludf.DUMMYFUNCTION("""COMPUTED_VALUE"""),"1k1Ie1c24aNxpOs6nYHOYfGQGN9W0vjGnF9yUwonVFeA")</f>
        <v>1k1Ie1c24aNxpOs6nYHOYfGQGN9W0vjGnF9yUwonVFeA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IFERROR(__xludf.DUMMYFUNCTION("""COMPUTED_VALUE"""),"1Xwbnmdxg6m-npWyZ5Gi23GfKz3X3tz-XezmOEO3vNfE")</f>
        <v>1Xwbnmdxg6m-npWyZ5Gi23GfKz3X3tz-XezmOEO3vNfE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IFERROR(__xludf.DUMMYFUNCTION("""COMPUTED_VALUE"""),"1XtTY96kO-E7pz5Jz6qiZoyQVS43HJTN-piH7D1rkU78")</f>
        <v>1XtTY96kO-E7pz5Jz6qiZoyQVS43HJTN-piH7D1rkU78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IFERROR(__xludf.DUMMYFUNCTION("""COMPUTED_VALUE"""),"1H67FQNHuP6xak7FlkxXewU5WTmrQHbta2nU0qPmskvU")</f>
        <v>1H67FQNHuP6xak7FlkxXewU5WTmrQHbta2nU0qPmskvU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IFERROR(__xludf.DUMMYFUNCTION("""COMPUTED_VALUE"""),"12a6kTgyTXVCSfnBgbAKqfG0SPlGmevXkjlXLI_wZUw4")</f>
        <v>12a6kTgyTXVCSfnBgbAKqfG0SPlGmevXkjlXLI_wZUw4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IFERROR(__xludf.DUMMYFUNCTION("""COMPUTED_VALUE"""),"1CoWI-gfDdRPBJ2e4daoGlDb8cG4zbzkObTfK5Aapr84")</f>
        <v>1CoWI-gfDdRPBJ2e4daoGlDb8cG4zbzkObTfK5Aapr84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IFERROR(__xludf.DUMMYFUNCTION("""COMPUTED_VALUE"""),"11r_KFt7jpx8JH9Q62IwhpJdz6uoTKEVt4skafwybhVk")</f>
        <v>11r_KFt7jpx8JH9Q62IwhpJdz6uoTKEVt4skafwybhVk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IFERROR(__xludf.DUMMYFUNCTION("""COMPUTED_VALUE"""),"1ILMSh2S7GBvsNEtiq4zqVqc5DztzmPTMHAtdTK4dnqk")</f>
        <v>1ILMSh2S7GBvsNEtiq4zqVqc5DztzmPTMHAtdTK4dnqk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IFERROR(__xludf.DUMMYFUNCTION("""COMPUTED_VALUE"""),"1heg65kitbQtwmRNUE0JsrxnOUfxvBMG9YTkDxdPt7PU")</f>
        <v>1heg65kitbQtwmRNUE0JsrxnOUfxvBMG9YTkDxdPt7PU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IFERROR(__xludf.DUMMYFUNCTION("""COMPUTED_VALUE"""),"1vlh5Xnse_6x32XgA3u-nJLmDSCp9gMOm-ONvzNJmenM")</f>
        <v>1vlh5Xnse_6x32XgA3u-nJLmDSCp9gMOm-ONvzNJmenM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IFERROR(__xludf.DUMMYFUNCTION("""COMPUTED_VALUE"""),"18FNVFHi4tmvLoVUEYW8OIBj34BJjSE4UfP22Low0lrQ")</f>
        <v>18FNVFHi4tmvLoVUEYW8OIBj34BJjSE4UfP22Low0lrQ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IFERROR(__xludf.DUMMYFUNCTION("""COMPUTED_VALUE"""),"1yu6800I5KuQnhcJ2fJ9MayJrB8hJgR22dDd3yAfoqrs")</f>
        <v>1yu6800I5KuQnhcJ2fJ9MayJrB8hJgR22dDd3yAfoqrs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IFERROR(__xludf.DUMMYFUNCTION("""COMPUTED_VALUE"""),"1LzTW5QCOg1n53cS_dRea7BFsZ_MH6SlpDslAW5yWH5M")</f>
        <v>1LzTW5QCOg1n53cS_dRea7BFsZ_MH6SlpDslAW5yWH5M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IFERROR(__xludf.DUMMYFUNCTION("""COMPUTED_VALUE"""),"1hp2_ancBTw_O56iD2xHFcUmnctCT6XmJGLoL9Zewic0")</f>
        <v>1hp2_ancBTw_O56iD2xHFcUmnctCT6XmJGLoL9Zewic0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IFERROR(__xludf.DUMMYFUNCTION("""COMPUTED_VALUE"""),"1QiWbie1a2ZDKoeS6hogrVj4Gx1vXnqJjYt0otMhw4rQ")</f>
        <v>1QiWbie1a2ZDKoeS6hogrVj4Gx1vXnqJjYt0otMhw4rQ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IFERROR(__xludf.DUMMYFUNCTION("""COMPUTED_VALUE"""),"1-3zFbypNTYN7mseJg5VwjLJF0364sdxy5fm_i_dO6qk")</f>
        <v>1-3zFbypNTYN7mseJg5VwjLJF0364sdxy5fm_i_dO6qk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IFERROR(__xludf.DUMMYFUNCTION("""COMPUTED_VALUE"""),"1c3Ferc-qWUMc6sFnFHepxgiRH529ndWvHz_y9tP3QiQ")</f>
        <v>1c3Ferc-qWUMc6sFnFHepxgiRH529ndWvHz_y9tP3QiQ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IFERROR(__xludf.DUMMYFUNCTION("""COMPUTED_VALUE"""),"1Ie_ryJDtUyC5cY8EqwiXzEX5JRMGBxh8DhjtPOq2qH0")</f>
        <v>1Ie_ryJDtUyC5cY8EqwiXzEX5JRMGBxh8DhjtPOq2qH0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IFERROR(__xludf.DUMMYFUNCTION("""COMPUTED_VALUE"""),"1P6hfPLfTjAL9WDojfEMZZ12TRNV1fKQm6BoqOKyc3S4")</f>
        <v>1P6hfPLfTjAL9WDojfEMZZ12TRNV1fKQm6BoqOKyc3S4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IFERROR(__xludf.DUMMYFUNCTION("""COMPUTED_VALUE"""),"16lp7AjDIz-d1LMzx7DbYtSt-dT5ISvHEBpLY97GMi5c")</f>
        <v>16lp7AjDIz-d1LMzx7DbYtSt-dT5ISvHEBpLY97GMi5c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IFERROR(__xludf.DUMMYFUNCTION("""COMPUTED_VALUE"""),"1gcOSfV9GRfC4KYtkqfy-GZrjcJw1ZFzufEIqYnIRXAI")</f>
        <v>1gcOSfV9GRfC4KYtkqfy-GZrjcJw1ZFzufEIqYnIRXAI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IFERROR(__xludf.DUMMYFUNCTION("""COMPUTED_VALUE"""),"1sVDSPYZ4mdi-3PXni9I35_O4hc6X1H3U6gsgeGfmvZw")</f>
        <v>1sVDSPYZ4mdi-3PXni9I35_O4hc6X1H3U6gsgeGfmvZw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IFERROR(__xludf.DUMMYFUNCTION("""COMPUTED_VALUE"""),"1mp1XFP7835KF_T7MiX_Bq2nNPhyoxoF43xXV_hzO_Zw")</f>
        <v>1mp1XFP7835KF_T7MiX_Bq2nNPhyoxoF43xXV_hzO_Zw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IFERROR(__xludf.DUMMYFUNCTION("""COMPUTED_VALUE"""),"1VJ6kSBsB1sCLHWYTcE-jCL1JFseRHXx_eUPn7cMrsC4")</f>
        <v>1VJ6kSBsB1sCLHWYTcE-jCL1JFseRHXx_eUPn7cMrsC4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IFERROR(__xludf.DUMMYFUNCTION("""COMPUTED_VALUE"""),"1cbgDUL82g9J-kIeKIRSbR3N23KhZT2PrbfbfNmiHy4g")</f>
        <v>1cbgDUL82g9J-kIeKIRSbR3N23KhZT2PrbfbfNmiHy4g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IFERROR(__xludf.DUMMYFUNCTION("""COMPUTED_VALUE"""),"16buMqjm-t8DWdN0KXsbYQ_lEbfhNYAAjpimZL4zGss4")</f>
        <v>16buMqjm-t8DWdN0KXsbYQ_lEbfhNYAAjpimZL4zGss4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IFERROR(__xludf.DUMMYFUNCTION("""COMPUTED_VALUE"""),"1cTGXGtKQnVf_iYDZ14Z7WLr9Idi4Fv7ecBnDagaEoxc")</f>
        <v>1cTGXGtKQnVf_iYDZ14Z7WLr9Idi4Fv7ecBnDagaEoxc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IFERROR(__xludf.DUMMYFUNCTION("""COMPUTED_VALUE"""),"1rjH_mAlI-kiVGhxIxfiFp3qZK1WQe6BRlh4DIAucqp8")</f>
        <v>1rjH_mAlI-kiVGhxIxfiFp3qZK1WQe6BRlh4DIAucqp8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IFERROR(__xludf.DUMMYFUNCTION("""COMPUTED_VALUE"""),"1f4UZSvqnSA0-TMEsWanXPqPh8ArCbNzI-iVrxMqdPxI")</f>
        <v>1f4UZSvqnSA0-TMEsWanXPqPh8ArCbNzI-iVrxMqdPxI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IFERROR(__xludf.DUMMYFUNCTION("""COMPUTED_VALUE"""),"1N0y4hQ6-0O4QG9Lw-HRxuoqx62IGJgkW3FYbgGjNsEo")</f>
        <v>1N0y4hQ6-0O4QG9Lw-HRxuoqx62IGJgkW3FYbgGjNsEo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IFERROR(__xludf.DUMMYFUNCTION("""COMPUTED_VALUE"""),"1-uClOKqZLyl7y2gkvrmPsLuujEeaQk89MlmJI-seKDQ")</f>
        <v>1-uClOKqZLyl7y2gkvrmPsLuujEeaQk89MlmJI-seKDQ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IFERROR(__xludf.DUMMYFUNCTION("""COMPUTED_VALUE"""),"1ZeUzy4DVw1BRVaSZ9Gc4b0AxaQ3gmozmUvzNq8PNrSc")</f>
        <v>1ZeUzy4DVw1BRVaSZ9Gc4b0AxaQ3gmozmUvzNq8PNrSc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IFERROR(__xludf.DUMMYFUNCTION("""COMPUTED_VALUE"""),"1w85dUCDeKl2Qn0Srhw7tlKfWNcL7qOffjvVB5Aeacqw")</f>
        <v>1w85dUCDeKl2Qn0Srhw7tlKfWNcL7qOffjvVB5Aeacqw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IFERROR(__xludf.DUMMYFUNCTION("""COMPUTED_VALUE"""),"1bHMGFLukgIQvokymSozfHITL14P-6BmJD1fulShe_nE")</f>
        <v>1bHMGFLukgIQvokymSozfHITL14P-6BmJD1fulShe_nE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IFERROR(__xludf.DUMMYFUNCTION("""COMPUTED_VALUE"""),"1AMIiTOdlTgw9P8zc6L0r7j_BnZ_3MiAz7TO8GcTfNlc")</f>
        <v>1AMIiTOdlTgw9P8zc6L0r7j_BnZ_3MiAz7TO8GcTfNlc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IFERROR(__xludf.DUMMYFUNCTION("""COMPUTED_VALUE"""),"1o5hoU4jKWkNAyzCxyVxXl0pXQTW1E66hZri02EXVnLA")</f>
        <v>1o5hoU4jKWkNAyzCxyVxXl0pXQTW1E66hZri02EXVnLA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IFERROR(__xludf.DUMMYFUNCTION("""COMPUTED_VALUE"""),"1S5h4QaGRhGMlPa2ZRFO9TCNd2bWorBHznLf2u_4jHi8")</f>
        <v>1S5h4QaGRhGMlPa2ZRFO9TCNd2bWorBHznLf2u_4jHi8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IFERROR(__xludf.DUMMYFUNCTION("""COMPUTED_VALUE"""),"1jUV7qVgqGBaaceWSNh0-cSAYDYEL78u2ObuRdiWFjFM")</f>
        <v>1jUV7qVgqGBaaceWSNh0-cSAYDYEL78u2ObuRdiWFjFM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IFERROR(__xludf.DUMMYFUNCTION("""COMPUTED_VALUE"""),"1gnwVxErkX0O8iYhIQrs9DWwoaWkHaW13GCTqGHY6k_w")</f>
        <v>1gnwVxErkX0O8iYhIQrs9DWwoaWkHaW13GCTqGHY6k_w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IFERROR(__xludf.DUMMYFUNCTION("""COMPUTED_VALUE"""),"1Vo4cA56jwD3rxlaJNNHMgg8RQplZa0kTei6Nnq-HRXM")</f>
        <v>1Vo4cA56jwD3rxlaJNNHMgg8RQplZa0kTei6Nnq-HRXM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IFERROR(__xludf.DUMMYFUNCTION("""COMPUTED_VALUE"""),"1M0Fl98LaCTHV2pr19gvtA9fIIfql3PLfeq1ULjK7UzA")</f>
        <v>1M0Fl98LaCTHV2pr19gvtA9fIIfql3PLfeq1ULjK7UzA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IFERROR(__xludf.DUMMYFUNCTION("""COMPUTED_VALUE"""),"1daa0SyOv50AAAdPGI6HsPWh5ZYvQ4SIcLdCEVWzrPQc")</f>
        <v>1daa0SyOv50AAAdPGI6HsPWh5ZYvQ4SIcLdCEVWzrPQc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IFERROR(__xludf.DUMMYFUNCTION("""COMPUTED_VALUE"""),"1siJRAcBcVXgBpK4E1BntQGR7VQIVib_eeve0MvaoRqs")</f>
        <v>1siJRAcBcVXgBpK4E1BntQGR7VQIVib_eeve0MvaoRqs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IFERROR(__xludf.DUMMYFUNCTION("""COMPUTED_VALUE"""),"1mdVvccZ_TGkK59RrMH3Cylr7jydt-mutfHV_wv0d4V4")</f>
        <v>1mdVvccZ_TGkK59RrMH3Cylr7jydt-mutfHV_wv0d4V4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IFERROR(__xludf.DUMMYFUNCTION("""COMPUTED_VALUE"""),"1b4Exp8SZBnmCRcnj8jug_2EDRsh1qKZFqZZ-Kww6ZoU")</f>
        <v>1b4Exp8SZBnmCRcnj8jug_2EDRsh1qKZFqZZ-Kww6ZoU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IFERROR(__xludf.DUMMYFUNCTION("""COMPUTED_VALUE"""),"1su4_C2jiNjIuylQbjXmPiFUtxQLa_obyl9U5T-xhfiY")</f>
        <v>1su4_C2jiNjIuylQbjXmPiFUtxQLa_obyl9U5T-xhfiY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IFERROR(__xludf.DUMMYFUNCTION("""COMPUTED_VALUE"""),"1yqxUE-GcHgNzogkK8Uhq1_S16WkZxmiCHXGj_lFRoMs")</f>
        <v>1yqxUE-GcHgNzogkK8Uhq1_S16WkZxmiCHXGj_lFRoMs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IFERROR(__xludf.DUMMYFUNCTION("""COMPUTED_VALUE"""),"11AaapLB727DIqrzOYaH29ZrZ50I2xzlLgLt7DGwyF-E")</f>
        <v>11AaapLB727DIqrzOYaH29ZrZ50I2xzlLgLt7DGwyF-E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IFERROR(__xludf.DUMMYFUNCTION("""COMPUTED_VALUE"""),"12bKbqZT4x0Zjg9oaFZq47_AyumIAto7nkCK1BpvRO0A")</f>
        <v>12bKbqZT4x0Zjg9oaFZq47_AyumIAto7nkCK1BpvRO0A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IFERROR(__xludf.DUMMYFUNCTION("""COMPUTED_VALUE"""),"1Kt5xAewSpVD6SPB-RgFrUBRQ1H7yWyRBFxZL3Ohrj6M")</f>
        <v>1Kt5xAewSpVD6SPB-RgFrUBRQ1H7yWyRBFxZL3Ohrj6M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IFERROR(__xludf.DUMMYFUNCTION("""COMPUTED_VALUE"""),"1Fluz_DWk_nKXjQBIVwWoOReF4d54NLihSDlBEeir8y8")</f>
        <v>1Fluz_DWk_nKXjQBIVwWoOReF4d54NLihSDlBEeir8y8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IFERROR(__xludf.DUMMYFUNCTION("""COMPUTED_VALUE"""),"1gReRtAWcOTHjowBeRYx4USBTkci2cVwEhCptDhFftUQ")</f>
        <v>1gReRtAWcOTHjowBeRYx4USBTkci2cVwEhCptDhFftUQ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IFERROR(__xludf.DUMMYFUNCTION("""COMPUTED_VALUE"""),"1uA0GOXh4wiGEFn1HBTpQeqSmerQ8wIisPCpc8Ty-HDI")</f>
        <v>1uA0GOXh4wiGEFn1HBTpQeqSmerQ8wIisPCpc8Ty-HDI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IFERROR(__xludf.DUMMYFUNCTION("""COMPUTED_VALUE"""),"1MQEZ1xJtb0wAcffKS4AHWZ6J2wU2x64PFmJubSuC1hU")</f>
        <v>1MQEZ1xJtb0wAcffKS4AHWZ6J2wU2x64PFmJubSuC1hU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IFERROR(__xludf.DUMMYFUNCTION("""COMPUTED_VALUE"""),"1HZK84R5oOOKqObvq4IWVEjFPVr_lAIiOQu5XaQ46GfQ")</f>
        <v>1HZK84R5oOOKqObvq4IWVEjFPVr_lAIiOQu5XaQ46GfQ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IFERROR(__xludf.DUMMYFUNCTION("""COMPUTED_VALUE"""),"1Yuzf3ad1vdeo7Vyxz1jY_tuk18-fmEfJxX0Cl8wtq5o")</f>
        <v>1Yuzf3ad1vdeo7Vyxz1jY_tuk18-fmEfJxX0Cl8wtq5o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IFERROR(__xludf.DUMMYFUNCTION("""COMPUTED_VALUE"""),"1Av2XxI5bNhCFlkv2kfzo6ujcIvVox_ZypslZ1RfvU1Y")</f>
        <v>1Av2XxI5bNhCFlkv2kfzo6ujcIvVox_ZypslZ1RfvU1Y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IFERROR(__xludf.DUMMYFUNCTION("""COMPUTED_VALUE"""),"1CTOcFQrIfmr9l7YbxfJ04bIDqO3dJEewsOBhR4HI24I")</f>
        <v>1CTOcFQrIfmr9l7YbxfJ04bIDqO3dJEewsOBhR4HI24I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IFERROR(__xludf.DUMMYFUNCTION("""COMPUTED_VALUE"""),"1iejPBQBT4ogIeeSTEsofxnnTPt0mnB-izN_DPqUhDu0")</f>
        <v>1iejPBQBT4ogIeeSTEsofxnnTPt0mnB-izN_DPqUhDu0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IFERROR(__xludf.DUMMYFUNCTION("""COMPUTED_VALUE"""),"1_wXfIf5DqAoY91Jb9aEQtyw84UyQs70uAByhfJLqFRY")</f>
        <v>1_wXfIf5DqAoY91Jb9aEQtyw84UyQs70uAByhfJLqFRY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IFERROR(__xludf.DUMMYFUNCTION("""COMPUTED_VALUE"""),"1EpsNt91ChcN8HQWEW-lErl4uX4OltaGCgs2tKp-kj4A")</f>
        <v>1EpsNt91ChcN8HQWEW-lErl4uX4OltaGCgs2tKp-kj4A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IFERROR(__xludf.DUMMYFUNCTION("""COMPUTED_VALUE"""),"18vhnd5xj3NAYjC-yFO1oyOPDOLkT2MS9D6zP1VcOkuU")</f>
        <v>18vhnd5xj3NAYjC-yFO1oyOPDOLkT2MS9D6zP1VcOkuU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IFERROR(__xludf.DUMMYFUNCTION("""COMPUTED_VALUE"""),"1jqS9oQPmnlJep9od8joR9qslA_C25MlFI6PrAbWqhmg")</f>
        <v>1jqS9oQPmnlJep9od8joR9qslA_C25MlFI6PrAbWqhmg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IFERROR(__xludf.DUMMYFUNCTION("""COMPUTED_VALUE"""),"1GW6vFeVwfYm2wcsBKLqW5b_IfQ0IXb-d4lE8S_dCos8")</f>
        <v>1GW6vFeVwfYm2wcsBKLqW5b_IfQ0IXb-d4lE8S_dCos8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IFERROR(__xludf.DUMMYFUNCTION("""COMPUTED_VALUE"""),"13bCdgscSA2xV2a8RyAti9ATAuGCeMp-bGJx93KoFRmI")</f>
        <v>13bCdgscSA2xV2a8RyAti9ATAuGCeMp-bGJx93KoFRmI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IFERROR(__xludf.DUMMYFUNCTION("""COMPUTED_VALUE"""),"1QzNsvV6HianBKTbpA7sMTjHgSpkga9jGXA3zKqeeWm8")</f>
        <v>1QzNsvV6HianBKTbpA7sMTjHgSpkga9jGXA3zKqeeWm8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IFERROR(__xludf.DUMMYFUNCTION("""COMPUTED_VALUE"""),"1rTwy8eQq8KSAOAj5Y93-37Y2MFOELhZnj-9vrSgpRZ0")</f>
        <v>1rTwy8eQq8KSAOAj5Y93-37Y2MFOELhZnj-9vrSgpRZ0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IFERROR(__xludf.DUMMYFUNCTION("""COMPUTED_VALUE"""),"12nLfwKuC1FOVktAPKiL0Y4Nl3H4mPS6B3Sphgv9TeP0")</f>
        <v>12nLfwKuC1FOVktAPKiL0Y4Nl3H4mPS6B3Sphgv9TeP0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IFERROR(__xludf.DUMMYFUNCTION("""COMPUTED_VALUE"""),"1-hvKWsnsvP4bPLjKqz0fU1wSX-sKEKyp38DokUd9uZE")</f>
        <v>1-hvKWsnsvP4bPLjKqz0fU1wSX-sKEKyp38DokUd9uZE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IFERROR(__xludf.DUMMYFUNCTION("""COMPUTED_VALUE"""),"1rXWSc2w5tQgt_ZYA4eliVWt2qdn7dc0mZkX-DLF0YC0")</f>
        <v>1rXWSc2w5tQgt_ZYA4eliVWt2qdn7dc0mZkX-DLF0YC0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IFERROR(__xludf.DUMMYFUNCTION("""COMPUTED_VALUE"""),"18yoHsWAvFJtns5Vgsd3TC9waLg0jy_z8-Ov5sl1j0nE")</f>
        <v>18yoHsWAvFJtns5Vgsd3TC9waLg0jy_z8-Ov5sl1j0nE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IFERROR(__xludf.DUMMYFUNCTION("""COMPUTED_VALUE"""),"135eoaoRkLuLxBtrORiQ-ppYB7kxLijQFuqQ-OkQwsS0")</f>
        <v>135eoaoRkLuLxBtrORiQ-ppYB7kxLijQFuqQ-OkQwsS0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IFERROR(__xludf.DUMMYFUNCTION("""COMPUTED_VALUE"""),"1CSubToCak00thNXt6dtgCyBu3YVpO6DoKpBFQn2tb8k")</f>
        <v>1CSubToCak00thNXt6dtgCyBu3YVpO6DoKpBFQn2tb8k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IFERROR(__xludf.DUMMYFUNCTION("""COMPUTED_VALUE"""),"1qmP1zA3NwJXtfrBkoOmDjhF_cNSgtaOLfuoYqzGc8R0")</f>
        <v>1qmP1zA3NwJXtfrBkoOmDjhF_cNSgtaOLfuoYqzGc8R0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IFERROR(__xludf.DUMMYFUNCTION("""COMPUTED_VALUE"""),"1va5hZGEz8VAzZA8aF0bZ9yh24u7m6qpwPBq2w5yQk10")</f>
        <v>1va5hZGEz8VAzZA8aF0bZ9yh24u7m6qpwPBq2w5yQk10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IFERROR(__xludf.DUMMYFUNCTION("""COMPUTED_VALUE"""),"1L7WsHnZcDFzKmLPyelSR2n6F9BZz95HHlTa512p2S3c")</f>
        <v>1L7WsHnZcDFzKmLPyelSR2n6F9BZz95HHlTa512p2S3c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IFERROR(__xludf.DUMMYFUNCTION("""COMPUTED_VALUE"""),"1XA81-82HUa-cDA4PoYbJLTzM5_StfOfHam4UgnOt59E")</f>
        <v>1XA81-82HUa-cDA4PoYbJLTzM5_StfOfHam4UgnOt59E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IFERROR(__xludf.DUMMYFUNCTION("""COMPUTED_VALUE"""),"1X0pX_-x5vAH2oEKcaX2e6hOSBrvXzqnQAiN-Xns9A4M")</f>
        <v>1X0pX_-x5vAH2oEKcaX2e6hOSBrvXzqnQAiN-Xns9A4M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IFERROR(__xludf.DUMMYFUNCTION("""COMPUTED_VALUE"""),"1qTLVP_ce37jUncyDHY-5RHgrhpMowqKs8GPqX5Nux3g")</f>
        <v>1qTLVP_ce37jUncyDHY-5RHgrhpMowqKs8GPqX5Nux3g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IFERROR(__xludf.DUMMYFUNCTION("""COMPUTED_VALUE"""),"16uXj0rM-TvT9Xs9p8FMjMICfXtauwu5kNy0aNXH7pLQ")</f>
        <v>16uXj0rM-TvT9Xs9p8FMjMICfXtauwu5kNy0aNXH7pLQ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IFERROR(__xludf.DUMMYFUNCTION("""COMPUTED_VALUE"""),"1SL0UOLEyeTKN5t8dANjKQtXJvpkgBYY94wYFU1dJ0nY")</f>
        <v>1SL0UOLEyeTKN5t8dANjKQtXJvpkgBYY94wYFU1dJ0nY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IFERROR(__xludf.DUMMYFUNCTION("""COMPUTED_VALUE"""),"1juNE2nr1TxtNCKBuQfkWvVylAAmwXNLSW_76uowDwa4")</f>
        <v>1juNE2nr1TxtNCKBuQfkWvVylAAmwXNLSW_76uowDwa4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IFERROR(__xludf.DUMMYFUNCTION("""COMPUTED_VALUE"""),"1CYaZFNpRJb9tk_I1DjPVmUH7-bb4mrZAzwUG6v_kppo")</f>
        <v>1CYaZFNpRJb9tk_I1DjPVmUH7-bb4mrZAzwUG6v_kppo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IFERROR(__xludf.DUMMYFUNCTION("""COMPUTED_VALUE"""),"1NIxqFRW6hO3o7gkug_W-ZRDHlkaA6snAgVdpd8K2xA4")</f>
        <v>1NIxqFRW6hO3o7gkug_W-ZRDHlkaA6snAgVdpd8K2xA4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IFERROR(__xludf.DUMMYFUNCTION("""COMPUTED_VALUE"""),"11hX4oOfIZKxEBvdLS83-6pQVKc4swlGBapLI49USjho")</f>
        <v>11hX4oOfIZKxEBvdLS83-6pQVKc4swlGBapLI49USjho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IFERROR(__xludf.DUMMYFUNCTION("""COMPUTED_VALUE"""),"1lDeEb2buBvWgu1OSCJh6NnjKUxlKprChfx4D9ZCsKwk")</f>
        <v>1lDeEb2buBvWgu1OSCJh6NnjKUxlKprChfx4D9ZCsKwk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IFERROR(__xludf.DUMMYFUNCTION("""COMPUTED_VALUE"""),"15Ez0MbQhn35K7KDtdMPxBfexxg6QOLfyORrrD3R7qI8")</f>
        <v>15Ez0MbQhn35K7KDtdMPxBfexxg6QOLfyORrrD3R7qI8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IFERROR(__xludf.DUMMYFUNCTION("""COMPUTED_VALUE"""),"1JF6fLvYrKC9Sn5-TyS3-I2R7LfC9n72HPAI8VLWJr_g")</f>
        <v>1JF6fLvYrKC9Sn5-TyS3-I2R7LfC9n72HPAI8VLWJr_g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IFERROR(__xludf.DUMMYFUNCTION("""COMPUTED_VALUE"""),"1uDsVwLW9b8TEVShY-j_ut_kq18E4Re5weYncy-uH1tE")</f>
        <v>1uDsVwLW9b8TEVShY-j_ut_kq18E4Re5weYncy-uH1tE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IFERROR(__xludf.DUMMYFUNCTION("""COMPUTED_VALUE"""),"12I6Q5d2VpAvDFSyHcGNJGG_m8QPY_Gf0bbMoiA8GE_0")</f>
        <v>12I6Q5d2VpAvDFSyHcGNJGG_m8QPY_Gf0bbMoiA8GE_0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IFERROR(__xludf.DUMMYFUNCTION("""COMPUTED_VALUE"""),"1jAzFL5XZAAfLw8yxhch5Uylta8SX4hiHfWzCcMWtmN0")</f>
        <v>1jAzFL5XZAAfLw8yxhch5Uylta8SX4hiHfWzCcMWtmN0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IFERROR(__xludf.DUMMYFUNCTION("""COMPUTED_VALUE"""),"1gG0uUz-Upr6j_nNv7o9ydqTkxVdr514WUQfLPd41Ha4")</f>
        <v>1gG0uUz-Upr6j_nNv7o9ydqTkxVdr514WUQfLPd41Ha4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IFERROR(__xludf.DUMMYFUNCTION("""COMPUTED_VALUE"""),"1vI4jNAUSGdUG6xvjysTCvc6awnnEgXiNdfWdNpVkdIE")</f>
        <v>1vI4jNAUSGdUG6xvjysTCvc6awnnEgXiNdfWdNpVkdIE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IFERROR(__xludf.DUMMYFUNCTION("""COMPUTED_VALUE"""),"1hEt6xnVuw25cLBsI-Ve9ddGC7eYgEF6P8njkDhI_xsQ")</f>
        <v>1hEt6xnVuw25cLBsI-Ve9ddGC7eYgEF6P8njkDhI_xsQ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IFERROR(__xludf.DUMMYFUNCTION("""COMPUTED_VALUE"""),"1l3UMevp9h45oN8SOXDCJMeQ1dHDluUropGW6rCZ1Ja0")</f>
        <v>1l3UMevp9h45oN8SOXDCJMeQ1dHDluUropGW6rCZ1Ja0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IFERROR(__xludf.DUMMYFUNCTION("""COMPUTED_VALUE"""),"1qMvNw9pd6SImE9vO8N9MXt8z4nrtH_Fd-BraVePtfFY")</f>
        <v>1qMvNw9pd6SImE9vO8N9MXt8z4nrtH_Fd-BraVePtfFY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IFERROR(__xludf.DUMMYFUNCTION("""COMPUTED_VALUE"""),"1jfUJOmRerGO0dVQ4dI89-flzuofAROPMO6VcDQbXwDU")</f>
        <v>1jfUJOmRerGO0dVQ4dI89-flzuofAROPMO6VcDQbXwDU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IFERROR(__xludf.DUMMYFUNCTION("""COMPUTED_VALUE"""),"18HP9fc6jV5UlsSwvfXYnWOMHexpMe80JdMrYKFZYaDs")</f>
        <v>18HP9fc6jV5UlsSwvfXYnWOMHexpMe80JdMrYKFZYaDs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IFERROR(__xludf.DUMMYFUNCTION("""COMPUTED_VALUE"""),"1g15gYgbNgiqhhlIWBSRtatFTjPRMBBC6SrmmBNM1Pkc")</f>
        <v>1g15gYgbNgiqhhlIWBSRtatFTjPRMBBC6SrmmBNM1Pkc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IFERROR(__xludf.DUMMYFUNCTION("""COMPUTED_VALUE"""),"1PjPKM0VaZH7pOb0yKIqHZbera4HKMSx4-yaxj2MfMqM")</f>
        <v>1PjPKM0VaZH7pOb0yKIqHZbera4HKMSx4-yaxj2MfMqM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IFERROR(__xludf.DUMMYFUNCTION("""COMPUTED_VALUE"""),"153rAtnJuNh4UK26GjSOxUSjAHcOxzWv7CRGvmhrIJRs")</f>
        <v>153rAtnJuNh4UK26GjSOxUSjAHcOxzWv7CRGvmhrIJRs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IFERROR(__xludf.DUMMYFUNCTION("""COMPUTED_VALUE"""),"1QtaQDH7V1c0A0yDQl2SL67HhtdpeojzJDU2qg7qKQY8")</f>
        <v>1QtaQDH7V1c0A0yDQl2SL67HhtdpeojzJDU2qg7qKQY8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IFERROR(__xludf.DUMMYFUNCTION("""COMPUTED_VALUE"""),"1qsRn4zz2i07D4vPzDnBLUzrnXu2IpG24XdBPkRDRrZI")</f>
        <v>1qsRn4zz2i07D4vPzDnBLUzrnXu2IpG24XdBPkRDRrZI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IFERROR(__xludf.DUMMYFUNCTION("""COMPUTED_VALUE"""),"1y0ieooAoYit1YHy7MDlHCV6ujc-NITlV_gw1AK9Hnho")</f>
        <v>1y0ieooAoYit1YHy7MDlHCV6ujc-NITlV_gw1AK9Hnho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IFERROR(__xludf.DUMMYFUNCTION("""COMPUTED_VALUE"""),"1x47skVggGiWEn0Ej2HvW5XTsrFsGYBWpjn6bJabdm_k")</f>
        <v>1x47skVggGiWEn0Ej2HvW5XTsrFsGYBWpjn6bJabdm_k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IFERROR(__xludf.DUMMYFUNCTION("""COMPUTED_VALUE"""),"1P_HAvqQfrY1Kj7nUD4l96kTKHqe0nICLlE1H8EpReTo")</f>
        <v>1P_HAvqQfrY1Kj7nUD4l96kTKHqe0nICLlE1H8EpReTo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IFERROR(__xludf.DUMMYFUNCTION("""COMPUTED_VALUE"""),"1ttxKH48_5usZGjc6vBfBVpbTCg7pDZ3FvWN6Dd43Fh4")</f>
        <v>1ttxKH48_5usZGjc6vBfBVpbTCg7pDZ3FvWN6Dd43Fh4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IFERROR(__xludf.DUMMYFUNCTION("""COMPUTED_VALUE"""),"16ygoYxfK_5kj8wWwCsAwyneuMnBr5H-DDZv1wWSe5ug")</f>
        <v>16ygoYxfK_5kj8wWwCsAwyneuMnBr5H-DDZv1wWSe5ug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IFERROR(__xludf.DUMMYFUNCTION("""COMPUTED_VALUE"""),"1E8BvTzoXMl0QoiRs2x6Gz61Ynt6Y4ijLw19dlE3IbWg")</f>
        <v>1E8BvTzoXMl0QoiRs2x6Gz61Ynt6Y4ijLw19dlE3IbWg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IFERROR(__xludf.DUMMYFUNCTION("""COMPUTED_VALUE"""),"1fim-H9q-wv0Hni06pvPKZap2wNcdOz7Hs9EN4cYHWwM")</f>
        <v>1fim-H9q-wv0Hni06pvPKZap2wNcdOz7Hs9EN4cYHWwM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IFERROR(__xludf.DUMMYFUNCTION("""COMPUTED_VALUE"""),"1j2eu6YCZ2WOBVwUMcD_7yyVlu9KxfaD0WhOfCo1ndAY")</f>
        <v>1j2eu6YCZ2WOBVwUMcD_7yyVlu9KxfaD0WhOfCo1ndAY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IFERROR(__xludf.DUMMYFUNCTION("""COMPUTED_VALUE"""),"1YBOZeqciRB-s8sGsmX1jzi4T2plSgOckQ1QnndFu_rg")</f>
        <v>1YBOZeqciRB-s8sGsmX1jzi4T2plSgOckQ1QnndFu_rg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IFERROR(__xludf.DUMMYFUNCTION("""COMPUTED_VALUE"""),"1VSjObHwe6mgJ3zELOc8KCLuelTWUdoRO9KGqeIZZgOw")</f>
        <v>1VSjObHwe6mgJ3zELOc8KCLuelTWUdoRO9KGqeIZZgOw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IFERROR(__xludf.DUMMYFUNCTION("""COMPUTED_VALUE"""),"13yqh3ZoHWLFsBRwQRuMCxyOHJa_oZY6nfTgr6vbII_Y")</f>
        <v>13yqh3ZoHWLFsBRwQRuMCxyOHJa_oZY6nfTgr6vbII_Y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IFERROR(__xludf.DUMMYFUNCTION("""COMPUTED_VALUE"""),"1CPi0o2X-sAUdoxlDON_2KUNJKoQm5pGF1uDEwVBvNXE")</f>
        <v>1CPi0o2X-sAUdoxlDON_2KUNJKoQm5pGF1uDEwVBvNXE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IFERROR(__xludf.DUMMYFUNCTION("""COMPUTED_VALUE"""),"1dbzZB_M22nY4Q6uxT_PTlyy6HTeUDBHiE60g8TkZxVw")</f>
        <v>1dbzZB_M22nY4Q6uxT_PTlyy6HTeUDBHiE60g8TkZxVw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IFERROR(__xludf.DUMMYFUNCTION("""COMPUTED_VALUE"""),"1w4D3GtBtxTz5FW7dP-vBOd6eYGFVsOKKKXxwOjyKpug")</f>
        <v>1w4D3GtBtxTz5FW7dP-vBOd6eYGFVsOKKKXxwOjyKpug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IFERROR(__xludf.DUMMYFUNCTION("""COMPUTED_VALUE"""),"1sA8b75vpmPdPw2bPLjZruUUSBlMVYpJOjVu5SY3E7tg")</f>
        <v>1sA8b75vpmPdPw2bPLjZruUUSBlMVYpJOjVu5SY3E7tg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IFERROR(__xludf.DUMMYFUNCTION("""COMPUTED_VALUE"""),"1S3CAftFFzsr3ACCdLXl02NTqNvu6g598xECpXbVEv94")</f>
        <v>1S3CAftFFzsr3ACCdLXl02NTqNvu6g598xECpXbVEv94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IFERROR(__xludf.DUMMYFUNCTION("""COMPUTED_VALUE"""),"13nVXBpc9DMalp1qBDH8UYT5HdbFAJyU5j_aDzs3JK7M")</f>
        <v>13nVXBpc9DMalp1qBDH8UYT5HdbFAJyU5j_aDzs3JK7M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IFERROR(__xludf.DUMMYFUNCTION("""COMPUTED_VALUE"""),"1Qe8hBDL_TdcyzXT9vcPE3yUA7h1pLlvAdzJdX6CRE98")</f>
        <v>1Qe8hBDL_TdcyzXT9vcPE3yUA7h1pLlvAdzJdX6CRE98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IFERROR(__xludf.DUMMYFUNCTION("""COMPUTED_VALUE"""),"1FhF1znnJ_1uUh3yd5Xs8Tk6jb04yOpcBvnaS4YnDeJg")</f>
        <v>1FhF1znnJ_1uUh3yd5Xs8Tk6jb04yOpcBvnaS4YnDeJg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IFERROR(__xludf.DUMMYFUNCTION("""COMPUTED_VALUE"""),"1CsC40UOdI8I-E666zLwCVq5rtrH4HNQYTZPq01A3DVc")</f>
        <v>1CsC40UOdI8I-E666zLwCVq5rtrH4HNQYTZPq01A3DVc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IFERROR(__xludf.DUMMYFUNCTION("""COMPUTED_VALUE"""),"1Pu_mcZRAmT4Bb3jPpD1pwwWTEA3wf1lc9SGqgzy200I")</f>
        <v>1Pu_mcZRAmT4Bb3jPpD1pwwWTEA3wf1lc9SGqgzy200I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IFERROR(__xludf.DUMMYFUNCTION("""COMPUTED_VALUE"""),"1yLdJG1OS5ujReV9E5G-DEulfc2VNjGyDyb9HltPKoWs")</f>
        <v>1yLdJG1OS5ujReV9E5G-DEulfc2VNjGyDyb9HltPKoWs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IFERROR(__xludf.DUMMYFUNCTION("""COMPUTED_VALUE"""),"1_G71Dy-pXPO-6F-oumOUwExAhdly4GU5sJ16gp2yCpU")</f>
        <v>1_G71Dy-pXPO-6F-oumOUwExAhdly4GU5sJ16gp2yCpU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IFERROR(__xludf.DUMMYFUNCTION("""COMPUTED_VALUE"""),"1UXf78dHpFfYsQr7rlXLtuA2F2RFUrDn0dJBxlZ3I5nM")</f>
        <v>1UXf78dHpFfYsQr7rlXLtuA2F2RFUrDn0dJBxlZ3I5nM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IFERROR(__xludf.DUMMYFUNCTION("""COMPUTED_VALUE"""),"1tsACmLQx1Qq98vNFJPUJgY8srkxz2bj4Mmz5EV3xZZA")</f>
        <v>1tsACmLQx1Qq98vNFJPUJgY8srkxz2bj4Mmz5EV3xZZA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IFERROR(__xludf.DUMMYFUNCTION("""COMPUTED_VALUE"""),"1UxO9-Nc4VoA-xQC2zVS-zQzPcb6Y5e5ttyYuOlVizvQ")</f>
        <v>1UxO9-Nc4VoA-xQC2zVS-zQzPcb6Y5e5ttyYuOlVizvQ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IFERROR(__xludf.DUMMYFUNCTION("""COMPUTED_VALUE"""),"1T0TxnlQEM8i13IlSzu5RudR8jwYo2Ae0qGYjWTB63QA")</f>
        <v>1T0TxnlQEM8i13IlSzu5RudR8jwYo2Ae0qGYjWTB63QA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IFERROR(__xludf.DUMMYFUNCTION("""COMPUTED_VALUE"""),"1GWFw2LTCW-0KTvHPqk-SAKaGDGCWMshMmobGnhoD2IM")</f>
        <v>1GWFw2LTCW-0KTvHPqk-SAKaGDGCWMshMmobGnhoD2IM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IFERROR(__xludf.DUMMYFUNCTION("""COMPUTED_VALUE"""),"1QbdwdFznukIx11sIy-9N7A1fl9nhXKIB31gJR7mmKd4")</f>
        <v>1QbdwdFznukIx11sIy-9N7A1fl9nhXKIB31gJR7mmKd4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IFERROR(__xludf.DUMMYFUNCTION("""COMPUTED_VALUE"""),"1dZTZT5QW_lQQAeKE30XPkTaaKYBdbBURgIShMzGMLyY")</f>
        <v>1dZTZT5QW_lQQAeKE30XPkTaaKYBdbBURgIShMzGMLyY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IFERROR(__xludf.DUMMYFUNCTION("""COMPUTED_VALUE"""),"15MGMFMBhtgI1KWFEwdBBX7GuLF102gf47roRKsHL6H4")</f>
        <v>15MGMFMBhtgI1KWFEwdBBX7GuLF102gf47roRKsHL6H4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IFERROR(__xludf.DUMMYFUNCTION("""COMPUTED_VALUE"""),"1L-87XqJTaTF45GScp5sjdRWHx58ypZKZQMDK8AEsSm8")</f>
        <v>1L-87XqJTaTF45GScp5sjdRWHx58ypZKZQMDK8AEsSm8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IFERROR(__xludf.DUMMYFUNCTION("""COMPUTED_VALUE"""),"1jUV7qVgqGBaaceWSNh0-cSAYDYEL78u2ObuRdiWFjFM")</f>
        <v>1jUV7qVgqGBaaceWSNh0-cSAYDYEL78u2ObuRdiWFjFM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IFERROR(__xludf.DUMMYFUNCTION("""COMPUTED_VALUE"""),"14S9-0WztJC4brFwd_sntJdqg7oYUAd1uHpvzCdasPbo")</f>
        <v>14S9-0WztJC4brFwd_sntJdqg7oYUAd1uHpvzCdasPbo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IFERROR(__xludf.DUMMYFUNCTION("""COMPUTED_VALUE"""),"1de4udoQU07lam9vm95A4d1A6RqvJbiE5i2kofHeQU1k")</f>
        <v>1de4udoQU07lam9vm95A4d1A6RqvJbiE5i2kofHeQU1k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IFERROR(__xludf.DUMMYFUNCTION("""COMPUTED_VALUE"""),"1jnqQvqsYi6sMHiXLJ5WkhQHKVqji9WtS9IX5IquumYc")</f>
        <v>1jnqQvqsYi6sMHiXLJ5WkhQHKVqji9WtS9IX5IquumYc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IFERROR(__xludf.DUMMYFUNCTION("""COMPUTED_VALUE"""),"1bj4LymBZ8XfE61pCMOJflz-ChaAoZMZ8KHMwAXy6xKs")</f>
        <v>1bj4LymBZ8XfE61pCMOJflz-ChaAoZMZ8KHMwAXy6xKs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IFERROR(__xludf.DUMMYFUNCTION("""COMPUTED_VALUE"""),"10U7ywXXW22666-yhPjmEDMvmcIq-s1Gx2M4WuGeY2F8")</f>
        <v>10U7ywXXW22666-yhPjmEDMvmcIq-s1Gx2M4WuGeY2F8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IFERROR(__xludf.DUMMYFUNCTION("""COMPUTED_VALUE"""),"1ndiYwjgnh7VPji0iUN6yLkOVL80yi26iaXjkHTLPTjQ")</f>
        <v>1ndiYwjgnh7VPji0iUN6yLkOVL80yi26iaXjkHTLPTjQ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IFERROR(__xludf.DUMMYFUNCTION("""COMPUTED_VALUE"""),"1CBMTDHHaM3Vrk9VBgqqO929riAtN9XT67VXMtLxCZdY")</f>
        <v>1CBMTDHHaM3Vrk9VBgqqO929riAtN9XT67VXMtLxCZdY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IFERROR(__xludf.DUMMYFUNCTION("""COMPUTED_VALUE"""),"15BORdA3XCoeP0mqq47_6CZChNlRCEaFkcjD-78tQaYI")</f>
        <v>15BORdA3XCoeP0mqq47_6CZChNlRCEaFkcjD-78tQaYI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IFERROR(__xludf.DUMMYFUNCTION("""COMPUTED_VALUE"""),"1_CaVb4-xzusJdLbMAV8WXTZnHlyEkOh01iD5JBLlYgM")</f>
        <v>1_CaVb4-xzusJdLbMAV8WXTZnHlyEkOh01iD5JBLlYgM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IFERROR(__xludf.DUMMYFUNCTION("""COMPUTED_VALUE"""),"1reG3EA1CyAISEzdlLJ5ERpoY_I-JZ0KuTqR0-GzNP7c")</f>
        <v>1reG3EA1CyAISEzdlLJ5ERpoY_I-JZ0KuTqR0-GzNP7c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IFERROR(__xludf.DUMMYFUNCTION("""COMPUTED_VALUE"""),"1njeJPFKEjXjWbNPXNBWuLdM4A4Hrt1xzLevPTOnFd48")</f>
        <v>1njeJPFKEjXjWbNPXNBWuLdM4A4Hrt1xzLevPTOnFd48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IFERROR(__xludf.DUMMYFUNCTION("""COMPUTED_VALUE"""),"1x5iUjYB72ZJ35IOvQ_JQkWHV-d1FlgKY3bIxxTpk-f0")</f>
        <v>1x5iUjYB72ZJ35IOvQ_JQkWHV-d1FlgKY3bIxxTpk-f0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IFERROR(__xludf.DUMMYFUNCTION("""COMPUTED_VALUE"""),"176KL7gj6FjCSMsvH7P2baGR-AF725MRypsOXPr43n0g")</f>
        <v>176KL7gj6FjCSMsvH7P2baGR-AF725MRypsOXPr43n0g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IFERROR(__xludf.DUMMYFUNCTION("""COMPUTED_VALUE"""),"1Li5RKULV7Lc2MLczTkVbzq0oDYcFGfTlBUO9__NoODc")</f>
        <v>1Li5RKULV7Lc2MLczTkVbzq0oDYcFGfTlBUO9__NoODc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IFERROR(__xludf.DUMMYFUNCTION("""COMPUTED_VALUE"""),"1Hggu8OCyZ4MPErwQA19VtwwJflpzOtAaPAe9t3cT6pk")</f>
        <v>1Hggu8OCyZ4MPErwQA19VtwwJflpzOtAaPAe9t3cT6pk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IFERROR(__xludf.DUMMYFUNCTION("""COMPUTED_VALUE"""),"1LRmptpZEe1O6Iz3Ffw8MBJYO5YL7PyDMHChcY1EdCZw")</f>
        <v>1LRmptpZEe1O6Iz3Ffw8MBJYO5YL7PyDMHChcY1EdCZw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IFERROR(__xludf.DUMMYFUNCTION("""COMPUTED_VALUE"""),"1ULQHy38ZnYFvbEI9sm_tNzDsMUyBXbiKYdpGxChGiPs")</f>
        <v>1ULQHy38ZnYFvbEI9sm_tNzDsMUyBXbiKYdpGxChGiPs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IFERROR(__xludf.DUMMYFUNCTION("""COMPUTED_VALUE"""),"1gHuqOKbEFaF-FX6M9JRGAEvCfjDZityjkbkB-2tDTN8")</f>
        <v>1gHuqOKbEFaF-FX6M9JRGAEvCfjDZityjkbkB-2tDTN8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IFERROR(__xludf.DUMMYFUNCTION("""COMPUTED_VALUE"""),"1-90taYQR0ReB1LeWlhD8eXqV-TAgtuWRoC_rfmSUR0E")</f>
        <v>1-90taYQR0ReB1LeWlhD8eXqV-TAgtuWRoC_rfmSUR0E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IFERROR(__xludf.DUMMYFUNCTION("""COMPUTED_VALUE"""),"1Yyicgon40_tYgdmKCkOwwU3pK7CjbU1YFofcQWMeUzY")</f>
        <v>1Yyicgon40_tYgdmKCkOwwU3pK7CjbU1YFofcQWMeUzY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IFERROR(__xludf.DUMMYFUNCTION("""COMPUTED_VALUE"""),"1f9-1p-_wPNSAH6MBN_WolwNrBbcb5vGR4maJeT6ASzk")</f>
        <v>1f9-1p-_wPNSAH6MBN_WolwNrBbcb5vGR4maJeT6ASzk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IFERROR(__xludf.DUMMYFUNCTION("""COMPUTED_VALUE"""),"1FWp2_v19fmVoPIsw_BJhrsAqUEhebfJYo5T1vCK-yMQ")</f>
        <v>1FWp2_v19fmVoPIsw_BJhrsAqUEhebfJYo5T1vCK-yMQ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IFERROR(__xludf.DUMMYFUNCTION("""COMPUTED_VALUE"""),"1chm8mWXPg3RUjpQhkqqLfInlWIGOSnhfKIzNfBTnK_o")</f>
        <v>1chm8mWXPg3RUjpQhkqqLfInlWIGOSnhfKIzNfBTnK_o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IFERROR(__xludf.DUMMYFUNCTION("""COMPUTED_VALUE"""),"18wq9EBdTjVM_o2NWnHC8C4fw2rRgWfb_MPvfaAm-mJ8")</f>
        <v>18wq9EBdTjVM_o2NWnHC8C4fw2rRgWfb_MPvfaAm-mJ8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IFERROR(__xludf.DUMMYFUNCTION("""COMPUTED_VALUE"""),"1h3kE6mxfRt8AAMF3tzHC-scSdChXooOOld42-4Gv8HA")</f>
        <v>1h3kE6mxfRt8AAMF3tzHC-scSdChXooOOld42-4Gv8HA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IFERROR(__xludf.DUMMYFUNCTION("""COMPUTED_VALUE"""),"1qGWLtOINiaVtZohaEupJcqLbeUhwVu1Neg32z7LzAwE")</f>
        <v>1qGWLtOINiaVtZohaEupJcqLbeUhwVu1Neg32z7LzAwE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IFERROR(__xludf.DUMMYFUNCTION("""COMPUTED_VALUE"""),"1ggc3C-AgCuq5bg0nI16D-lmZU--83aV_rjtKKrb-K7g")</f>
        <v>1ggc3C-AgCuq5bg0nI16D-lmZU--83aV_rjtKKrb-K7g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IFERROR(__xludf.DUMMYFUNCTION("""COMPUTED_VALUE"""),"10yCku8yOnXCUARqi5iHNxNAMwOoAgJ1OX-mHsxrlJxc")</f>
        <v>10yCku8yOnXCUARqi5iHNxNAMwOoAgJ1OX-mHsxrlJxc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IFERROR(__xludf.DUMMYFUNCTION("""COMPUTED_VALUE"""),"14XPNoKflHWgrJhazDvDpyN_v9J_0zTxyB_0TyM3b104")</f>
        <v>14XPNoKflHWgrJhazDvDpyN_v9J_0zTxyB_0TyM3b104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IFERROR(__xludf.DUMMYFUNCTION("""COMPUTED_VALUE"""),"16l6QdcvhT88EvBSovIsD4-TLFFSBt3xR3q6U11f9nZw")</f>
        <v>16l6QdcvhT88EvBSovIsD4-TLFFSBt3xR3q6U11f9nZw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IFERROR(__xludf.DUMMYFUNCTION("""COMPUTED_VALUE"""),"1Bz82rxtbsfQ4tpuZ9syMjXr63Q8bfX_f24L8wLWkI_E")</f>
        <v>1Bz82rxtbsfQ4tpuZ9syMjXr63Q8bfX_f24L8wLWkI_E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IFERROR(__xludf.DUMMYFUNCTION("""COMPUTED_VALUE"""),"1lKTIY25KFKUdpe6XoZciVb0-8L9erXZZRMEZ8RqdFuk")</f>
        <v>1lKTIY25KFKUdpe6XoZciVb0-8L9erXZZRMEZ8RqdFuk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IFERROR(__xludf.DUMMYFUNCTION("""COMPUTED_VALUE"""),"1Y_osOCfGaPjTXREAr1CRTQXuy2-Bq6Aj1Wq4Vr7xLB0")</f>
        <v>1Y_osOCfGaPjTXREAr1CRTQXuy2-Bq6Aj1Wq4Vr7xLB0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IFERROR(__xludf.DUMMYFUNCTION("""COMPUTED_VALUE"""),"1KJoqGwoGAbW-k0cws1grduypgTSNep_spZkLm2mnXIY")</f>
        <v>1KJoqGwoGAbW-k0cws1grduypgTSNep_spZkLm2mnXIY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IFERROR(__xludf.DUMMYFUNCTION("""COMPUTED_VALUE"""),"1rKKuHwia87Iph96Yr0B2xwHIwU4r2nE-kwzrWqfsFO0")</f>
        <v>1rKKuHwia87Iph96Yr0B2xwHIwU4r2nE-kwzrWqfsFO0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IFERROR(__xludf.DUMMYFUNCTION("""COMPUTED_VALUE"""),"1kvM2eaDgA1XPZr4DgAR7VdeO81ykGM2ClEe0AueBLtI")</f>
        <v>1kvM2eaDgA1XPZr4DgAR7VdeO81ykGM2ClEe0AueBLtI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IFERROR(__xludf.DUMMYFUNCTION("""COMPUTED_VALUE"""),"1zobR6S1l9oHcDvoWFwMx7noG6NNOhCMh6AHfjyl5ouM")</f>
        <v>1zobR6S1l9oHcDvoWFwMx7noG6NNOhCMh6AHfjyl5ouM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IFERROR(__xludf.DUMMYFUNCTION("""COMPUTED_VALUE"""),"1lroslTGp1-X34JkAjgjr_qgu9aTB7y01mA3IPcyUxe8")</f>
        <v>1lroslTGp1-X34JkAjgjr_qgu9aTB7y01mA3IPcyUxe8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IFERROR(__xludf.DUMMYFUNCTION("""COMPUTED_VALUE"""),"18n9jM99QvAs2Zd7W22CLAHTJnjnP7zY9Zd3jkfNyBdA")</f>
        <v>18n9jM99QvAs2Zd7W22CLAHTJnjnP7zY9Zd3jkfNyBdA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IFERROR(__xludf.DUMMYFUNCTION("""COMPUTED_VALUE"""),"1KePLyYIHyMPa4vAGK8j2lktW3nYqSRgJoBOwwl8Mrcg")</f>
        <v>1KePLyYIHyMPa4vAGK8j2lktW3nYqSRgJoBOwwl8Mrcg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IFERROR(__xludf.DUMMYFUNCTION("""COMPUTED_VALUE"""),"1ylEeWzbM5-H-f9HQ0hqVcYZETYY7A6yTazfTtjL4Hbg")</f>
        <v>1ylEeWzbM5-H-f9HQ0hqVcYZETYY7A6yTazfTtjL4Hbg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IFERROR(__xludf.DUMMYFUNCTION("""COMPUTED_VALUE"""),"1oclpANwYA5vyF0G5v4OwaiuA7mu0oFb6MtNLmKeJRxg")</f>
        <v>1oclpANwYA5vyF0G5v4OwaiuA7mu0oFb6MtNLmKeJRxg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IFERROR(__xludf.DUMMYFUNCTION("""COMPUTED_VALUE"""),"1KP7yPihDZOgWG3Z2G-4AYFr4Zz7JxlZq-euRNvEeEBo")</f>
        <v>1KP7yPihDZOgWG3Z2G-4AYFr4Zz7JxlZq-euRNvEeEBo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IFERROR(__xludf.DUMMYFUNCTION("""COMPUTED_VALUE"""),"1w1_t3dujSKMzyrGYdqX8iDQHLU7PoIaB1FNC_R3c5lE")</f>
        <v>1w1_t3dujSKMzyrGYdqX8iDQHLU7PoIaB1FNC_R3c5lE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IFERROR(__xludf.DUMMYFUNCTION("""COMPUTED_VALUE"""),"1_ufv_nXKd3ZNaDbziIFtTWVO12weR3P5utLmJsphE1Q")</f>
        <v>1_ufv_nXKd3ZNaDbziIFtTWVO12weR3P5utLmJsphE1Q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IFERROR(__xludf.DUMMYFUNCTION("""COMPUTED_VALUE"""),"1gjYHBk2Re526Plkd-9T2Fcp82W2M_xS30ry2LdO1Mak")</f>
        <v>1gjYHBk2Re526Plkd-9T2Fcp82W2M_xS30ry2LdO1Mak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IFERROR(__xludf.DUMMYFUNCTION("""COMPUTED_VALUE"""),"1IYiRc1wyd9LDqwhFYa5t6wU_7GkLccIcXcey1uFWQcs")</f>
        <v>1IYiRc1wyd9LDqwhFYa5t6wU_7GkLccIcXcey1uFWQcs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IFERROR(__xludf.DUMMYFUNCTION("""COMPUTED_VALUE"""),"1URgx1zFx0u42-s4fzLq7KJ4ZFAiaLFy6--zd2Ixf-3I")</f>
        <v>1URgx1zFx0u42-s4fzLq7KJ4ZFAiaLFy6--zd2Ixf-3I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IFERROR(__xludf.DUMMYFUNCTION("""COMPUTED_VALUE"""),"1cB211gXXr66rCjnYXDxwr00xlzTWQnE6ktfSHSP3imU")</f>
        <v>1cB211gXXr66rCjnYXDxwr00xlzTWQnE6ktfSHSP3imU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IFERROR(__xludf.DUMMYFUNCTION("""COMPUTED_VALUE"""),"1Z2A-X9HWO-7HYvpOHR7lr-bHADqfo3GllKZXWPHIYYE")</f>
        <v>1Z2A-X9HWO-7HYvpOHR7lr-bHADqfo3GllKZXWPHIYYE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IFERROR(__xludf.DUMMYFUNCTION("""COMPUTED_VALUE"""),"1NHtfDRa6f4QyIWIBvHICcov2a9oblvqOkKtUi021afg")</f>
        <v>1NHtfDRa6f4QyIWIBvHICcov2a9oblvqOkKtUi021afg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IFERROR(__xludf.DUMMYFUNCTION("""COMPUTED_VALUE"""),"18NzJZgPH05B2t6ue8bOkcdhhyiudlegCZmkV-VWizvk")</f>
        <v>18NzJZgPH05B2t6ue8bOkcdhhyiudlegCZmkV-VWizvk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IFERROR(__xludf.DUMMYFUNCTION("""COMPUTED_VALUE"""),"1va6752DENAYeVhS50lUAkhwGSYev0Xktjtar45RqPkk")</f>
        <v>1va6752DENAYeVhS50lUAkhwGSYev0Xktjtar45RqPkk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IFERROR(__xludf.DUMMYFUNCTION("""COMPUTED_VALUE"""),"1Ry0ZELbqu1Mwmjv4apaY0huRg4RzMnHcrAL-FcEW65w")</f>
        <v>1Ry0ZELbqu1Mwmjv4apaY0huRg4RzMnHcrAL-FcEW65w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IFERROR(__xludf.DUMMYFUNCTION("""COMPUTED_VALUE"""),"1mCRD3EmDUNhyzjpvHK_KjUJHB78N4X4a3VHjm7KfAxk")</f>
        <v>1mCRD3EmDUNhyzjpvHK_KjUJHB78N4X4a3VHjm7KfAxk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IFERROR(__xludf.DUMMYFUNCTION("""COMPUTED_VALUE"""),"1bQnvNaxzPwb6m0rx94FNm85vCLF4YgQkqftXa453b-w")</f>
        <v>1bQnvNaxzPwb6m0rx94FNm85vCLF4YgQkqftXa453b-w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IFERROR(__xludf.DUMMYFUNCTION("""COMPUTED_VALUE"""),"1qEjbJ2hmw-Bv7YoPCV0P4aY4X_s5Rd9B3cJaWt50vOc")</f>
        <v>1qEjbJ2hmw-Bv7YoPCV0P4aY4X_s5Rd9B3cJaWt50vOc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IFERROR(__xludf.DUMMYFUNCTION("""COMPUTED_VALUE"""),"14arkgkANgSlPx3msdbjJS_BCNAV0D0bj0ilVQGyyV48")</f>
        <v>14arkgkANgSlPx3msdbjJS_BCNAV0D0bj0ilVQGyyV48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IFERROR(__xludf.DUMMYFUNCTION("""COMPUTED_VALUE"""),"1yFCtsHtjse7L-TUP_xVh4TQ6B7h2cpfVQedPGV6Hltk")</f>
        <v>1yFCtsHtjse7L-TUP_xVh4TQ6B7h2cpfVQedPGV6Hltk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IFERROR(__xludf.DUMMYFUNCTION("""COMPUTED_VALUE"""),"1fQ4P6Q-mjxDj3SOLhADw90TKMmoQO5xAkvHFQA50RWM")</f>
        <v>1fQ4P6Q-mjxDj3SOLhADw90TKMmoQO5xAkvHFQA50RWM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IFERROR(__xludf.DUMMYFUNCTION("""COMPUTED_VALUE"""),"1FxEmWS_WxFMiePuiEZ3_Fkd4eRckfCHzv-PzlXxgFEA")</f>
        <v>1FxEmWS_WxFMiePuiEZ3_Fkd4eRckfCHzv-PzlXxgFEA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IFERROR(__xludf.DUMMYFUNCTION("""COMPUTED_VALUE"""),"10NYzauTdFcKUdkzKWlheqOMWeWEnOr2oMx2iDpeXXTg")</f>
        <v>10NYzauTdFcKUdkzKWlheqOMWeWEnOr2oMx2iDpeXXTg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IFERROR(__xludf.DUMMYFUNCTION("""COMPUTED_VALUE"""),"1tqkyJbl0bkgE0Xw_h7KPwQVanQUCDA6ZpILYHOywock")</f>
        <v>1tqkyJbl0bkgE0Xw_h7KPwQVanQUCDA6ZpILYHOywock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IFERROR(__xludf.DUMMYFUNCTION("""COMPUTED_VALUE"""),"1cODN6ucPYWbxoLsX1rQvJGCGAV6TOEenIeykDlOND3A")</f>
        <v>1cODN6ucPYWbxoLsX1rQvJGCGAV6TOEenIeykDlOND3A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IFERROR(__xludf.DUMMYFUNCTION("""COMPUTED_VALUE"""),"13vYOn1vp7ZLlp6ZEZA8Kn_yTUR7Q5ZSQfYP4k2NK3Mc")</f>
        <v>13vYOn1vp7ZLlp6ZEZA8Kn_yTUR7Q5ZSQfYP4k2NK3Mc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IFERROR(__xludf.DUMMYFUNCTION("""COMPUTED_VALUE"""),"1Yf-1PQsF8BXP-8l51qBj-t3VUktFVDtpeBc9m2usM_0")</f>
        <v>1Yf-1PQsF8BXP-8l51qBj-t3VUktFVDtpeBc9m2usM_0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IFERROR(__xludf.DUMMYFUNCTION("""COMPUTED_VALUE"""),"1KOvj3Mc_p9Dobx8L9x1S-2V0RfTN9eoQyG_29ny5eMA")</f>
        <v>1KOvj3Mc_p9Dobx8L9x1S-2V0RfTN9eoQyG_29ny5eMA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IFERROR(__xludf.DUMMYFUNCTION("""COMPUTED_VALUE"""),"19cVarbOuQNlg9tbxHuhn3wzrl0Dl0aQ74q1jmyomP4g")</f>
        <v>19cVarbOuQNlg9tbxHuhn3wzrl0Dl0aQ74q1jmyomP4g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IFERROR(__xludf.DUMMYFUNCTION("""COMPUTED_VALUE"""),"1ntguYqi1K2vWfsTRW2CtSm4KINPmjFS_eOvtKxY85ZQ")</f>
        <v>1ntguYqi1K2vWfsTRW2CtSm4KINPmjFS_eOvtKxY85ZQ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IFERROR(__xludf.DUMMYFUNCTION("""COMPUTED_VALUE"""),"1-2O1thHoOe8Jm1Wv3Fb4tCm4pWcUbZihcfSvem_Boyg")</f>
        <v>1-2O1thHoOe8Jm1Wv3Fb4tCm4pWcUbZihcfSvem_Boyg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IFERROR(__xludf.DUMMYFUNCTION("""COMPUTED_VALUE"""),"1ZV-NcVGXqPhAJDn1HEBrg0nS-ePPBIhT2PqF_bzjjbI")</f>
        <v>1ZV-NcVGXqPhAJDn1HEBrg0nS-ePPBIhT2PqF_bzjjbI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IFERROR(__xludf.DUMMYFUNCTION("""COMPUTED_VALUE"""),"1frY1LhLHMBPkCYhsVVAsBHFT2rlJyiEXFkSkzxH1Gds")</f>
        <v>1frY1LhLHMBPkCYhsVVAsBHFT2rlJyiEXFkSkzxH1Gds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IFERROR(__xludf.DUMMYFUNCTION("""COMPUTED_VALUE"""),"1hwn8YF0CJ2vMWiEWuMugnRzYhgCmVscoVCcOJ02qeec")</f>
        <v>1hwn8YF0CJ2vMWiEWuMugnRzYhgCmVscoVCcOJ02qeec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IFERROR(__xludf.DUMMYFUNCTION("""COMPUTED_VALUE"""),"16e4g-RAoYjoWitnDJ9y3fFYf3SAe4_CsF6ky1sSABkc")</f>
        <v>16e4g-RAoYjoWitnDJ9y3fFYf3SAe4_CsF6ky1sSABkc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IFERROR(__xludf.DUMMYFUNCTION("""COMPUTED_VALUE"""),"1hAoKGRhAfXB8jHJT_UcDFw8-xg_dAOnRuzX6lewOyc4")</f>
        <v>1hAoKGRhAfXB8jHJT_UcDFw8-xg_dAOnRuzX6lewOyc4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IFERROR(__xludf.DUMMYFUNCTION("""COMPUTED_VALUE"""),"1gSE_3bNggHmnsbG6fS9t4pXwl5etTuSELL1JWFBMCMo")</f>
        <v>1gSE_3bNggHmnsbG6fS9t4pXwl5etTuSELL1JWFBMCMo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IFERROR(__xludf.DUMMYFUNCTION("""COMPUTED_VALUE"""),"1mVIjr7WiCUI_8T1Nu9kLLd9RyRky8B0dpiVPi39wPsQ")</f>
        <v>1mVIjr7WiCUI_8T1Nu9kLLd9RyRky8B0dpiVPi39wPsQ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IFERROR(__xludf.DUMMYFUNCTION("""COMPUTED_VALUE"""),"1SPVn3fs4LD-sB1fNGx0hjylZj_EPXAuPw12tQSsykLE")</f>
        <v>1SPVn3fs4LD-sB1fNGx0hjylZj_EPXAuPw12tQSsykLE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IFERROR(__xludf.DUMMYFUNCTION("""COMPUTED_VALUE"""),"1EvRy_aXh9WrXyZvrkdk38cDpdJw5quK_eZf3ga9Uq-0")</f>
        <v>1EvRy_aXh9WrXyZvrkdk38cDpdJw5quK_eZf3ga9Uq-0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IFERROR(__xludf.DUMMYFUNCTION("""COMPUTED_VALUE"""),"1pC4k61XEpSu9UFhSg1vDsoE5sNKd6oFM8IQAnmCT3IA")</f>
        <v>1pC4k61XEpSu9UFhSg1vDsoE5sNKd6oFM8IQAnmCT3IA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IFERROR(__xludf.DUMMYFUNCTION("""COMPUTED_VALUE"""),"1r-jMuudozlz8r2zrwJ2PjOPCk616iGWZcBg4_ad6oSg")</f>
        <v>1r-jMuudozlz8r2zrwJ2PjOPCk616iGWZcBg4_ad6oSg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IFERROR(__xludf.DUMMYFUNCTION("""COMPUTED_VALUE"""),"1jrQw598shWWXw6ZjU8Px2JuS2qONwaexZdAGHbU5sdM")</f>
        <v>1jrQw598shWWXw6ZjU8Px2JuS2qONwaexZdAGHbU5sdM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IFERROR(__xludf.DUMMYFUNCTION("""COMPUTED_VALUE"""),"1EDJvzKHMHo1Dv3IYf4bbQ2XiEIL8o1Wsf4PwuQirIEM")</f>
        <v>1EDJvzKHMHo1Dv3IYf4bbQ2XiEIL8o1Wsf4PwuQirIEM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IFERROR(__xludf.DUMMYFUNCTION("""COMPUTED_VALUE"""),"1VRK3w9-AlLx6tene3e2MfXjazMUBDHk-xx5pfFTsprs")</f>
        <v>1VRK3w9-AlLx6tene3e2MfXjazMUBDHk-xx5pfFTsprs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IFERROR(__xludf.DUMMYFUNCTION("""COMPUTED_VALUE"""),"1Y-B9aR4y4vzlZUqWLoxW-jKdnha_AYEBG-4WGQ_19hk")</f>
        <v>1Y-B9aR4y4vzlZUqWLoxW-jKdnha_AYEBG-4WGQ_19hk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IFERROR(__xludf.DUMMYFUNCTION("""COMPUTED_VALUE"""),"1Kwn0Qzs9hDRfphqulV-JqNQiiCzjrOEwF0oAX3LbYDc")</f>
        <v>1Kwn0Qzs9hDRfphqulV-JqNQiiCzjrOEwF0oAX3LbYDc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IFERROR(__xludf.DUMMYFUNCTION("""COMPUTED_VALUE"""),"1tRj8lXNex06fWnQVGrX5I5OPI78adr3XFcJK1h8rIHg")</f>
        <v>1tRj8lXNex06fWnQVGrX5I5OPI78adr3XFcJK1h8rIHg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IFERROR(__xludf.DUMMYFUNCTION("""COMPUTED_VALUE"""),"1-HJfPPk4JKRUN4RTdsb-f3wQPOfEmuaW1ze0BpTGTUo")</f>
        <v>1-HJfPPk4JKRUN4RTdsb-f3wQPOfEmuaW1ze0BpTGTUo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IFERROR(__xludf.DUMMYFUNCTION("""COMPUTED_VALUE"""),"14Tygy0EYVLe0QC_N08Tfbzy9GPatKGdeJDzdn55gASw")</f>
        <v>14Tygy0EYVLe0QC_N08Tfbzy9GPatKGdeJDzdn55gASw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IFERROR(__xludf.DUMMYFUNCTION("""COMPUTED_VALUE"""),"1pycFZUjkr7vdJD6eubKHogcFpDbgMUN3smIZ8Rm_yco")</f>
        <v>1pycFZUjkr7vdJD6eubKHogcFpDbgMUN3smIZ8Rm_yco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IFERROR(__xludf.DUMMYFUNCTION("""COMPUTED_VALUE"""),"1HpQVbf8W4GajTSIC8kGF1tH3WnFo6pK6B7uke36ir2A")</f>
        <v>1HpQVbf8W4GajTSIC8kGF1tH3WnFo6pK6B7uke36ir2A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IFERROR(__xludf.DUMMYFUNCTION("""COMPUTED_VALUE"""),"1LZNbFC1PnuaPrnBTiS7cPn77JWS5KamtO5NC0K2w_4U")</f>
        <v>1LZNbFC1PnuaPrnBTiS7cPn77JWS5KamtO5NC0K2w_4U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IFERROR(__xludf.DUMMYFUNCTION("""COMPUTED_VALUE"""),"1AhEe6J2rslqa3BzEP_7UvQ7jPy4A-eMiqZrnKYFwzsA")</f>
        <v>1AhEe6J2rslqa3BzEP_7UvQ7jPy4A-eMiqZrnKYFwzsA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5"/>
      <c r="B2" s="5"/>
      <c r="C2" s="5"/>
    </row>
    <row r="3" ht="15.75" customHeight="1">
      <c r="A3" s="9" t="s">
        <v>3</v>
      </c>
      <c r="B3" s="12" t="s">
        <v>7</v>
      </c>
      <c r="C3" s="5"/>
    </row>
    <row r="4" ht="15.75" customHeight="1">
      <c r="A4" s="8" t="s">
        <v>9</v>
      </c>
      <c r="B4" s="12" t="s">
        <v>10</v>
      </c>
      <c r="C4" s="5"/>
    </row>
    <row r="5" ht="15.75" customHeight="1">
      <c r="A5" s="14"/>
      <c r="B5" s="5"/>
      <c r="C5" s="5"/>
    </row>
    <row r="6" ht="15.75" customHeight="1">
      <c r="A6" s="14"/>
      <c r="B6" s="5"/>
      <c r="C6" s="5"/>
    </row>
    <row r="7" ht="15.75" customHeight="1">
      <c r="A7" s="14"/>
      <c r="B7" s="5"/>
      <c r="C7" s="5"/>
    </row>
    <row r="8" ht="15.75" customHeight="1">
      <c r="A8" s="14"/>
      <c r="B8" s="5"/>
      <c r="C8" s="5"/>
    </row>
    <row r="9" ht="15.75" customHeight="1">
      <c r="A9" s="14"/>
      <c r="B9" s="5"/>
      <c r="C9" s="5"/>
    </row>
    <row r="10" ht="15.75" customHeight="1">
      <c r="A10" s="14"/>
      <c r="B10" s="5"/>
      <c r="C10" s="5"/>
    </row>
    <row r="11" ht="15.75" customHeight="1">
      <c r="A11" s="14"/>
      <c r="B11" s="5"/>
      <c r="C11" s="5"/>
    </row>
    <row r="12" ht="15.75" customHeight="1">
      <c r="A12" s="14"/>
      <c r="B12" s="5"/>
      <c r="C12" s="5"/>
    </row>
    <row r="13" ht="15.75" customHeight="1">
      <c r="A13" s="14"/>
      <c r="B13" s="5"/>
      <c r="C13" s="5"/>
    </row>
    <row r="14" ht="15.75" customHeight="1">
      <c r="A14" s="14"/>
      <c r="B14" s="5"/>
      <c r="C14" s="5"/>
    </row>
    <row r="15" ht="15.75" customHeight="1">
      <c r="A15" s="14"/>
      <c r="B15" s="5"/>
      <c r="C15" s="5"/>
    </row>
    <row r="16" ht="15.75" customHeight="1">
      <c r="A16" s="14"/>
      <c r="B16" s="5"/>
      <c r="C16" s="5"/>
    </row>
    <row r="17" ht="15.75" customHeight="1">
      <c r="A17" s="14"/>
      <c r="B17" s="5"/>
      <c r="C17" s="5"/>
    </row>
    <row r="18" ht="15.75" customHeight="1">
      <c r="A18" s="14"/>
      <c r="B18" s="5"/>
      <c r="C18" s="5"/>
    </row>
    <row r="19" ht="15.75" customHeight="1">
      <c r="A19" s="14"/>
      <c r="B19" s="5"/>
      <c r="C19" s="5"/>
    </row>
    <row r="20" ht="15.75" customHeight="1">
      <c r="A20" s="14"/>
      <c r="B20" s="5"/>
      <c r="C20" s="5"/>
    </row>
    <row r="21" ht="15.75" customHeight="1">
      <c r="A21" s="14"/>
      <c r="B21" s="5"/>
      <c r="C21" s="5"/>
    </row>
    <row r="22" ht="15.75" customHeight="1">
      <c r="A22" s="14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2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8" t="s">
        <v>4</v>
      </c>
      <c r="B3" s="10" t="s">
        <v>6</v>
      </c>
      <c r="C3" s="10" t="s">
        <v>8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 t="s">
        <v>18</v>
      </c>
      <c r="C6" s="34" t="s">
        <v>19</v>
      </c>
      <c r="D6" s="35">
        <v>100.0</v>
      </c>
      <c r="E6" s="36">
        <v>100.0</v>
      </c>
      <c r="F6" s="37" t="s">
        <v>20</v>
      </c>
      <c r="G6" s="34" t="s">
        <v>21</v>
      </c>
      <c r="H6" s="34"/>
      <c r="I6" s="34" t="s">
        <v>22</v>
      </c>
      <c r="J6" s="36">
        <v>10.0</v>
      </c>
      <c r="K6" s="34"/>
      <c r="L6" s="34"/>
      <c r="M6" s="34"/>
      <c r="N6" s="30">
        <v>43255.0</v>
      </c>
      <c r="O6" s="34"/>
      <c r="P6" s="34"/>
      <c r="Q6" s="34"/>
      <c r="R6" s="34" t="s">
        <v>23</v>
      </c>
      <c r="S6" s="36">
        <v>5.0</v>
      </c>
      <c r="T6" s="38" t="s">
        <v>23</v>
      </c>
      <c r="U6" s="39">
        <v>5.0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38"/>
      <c r="B7" s="40" t="s">
        <v>24</v>
      </c>
      <c r="C7" s="38" t="s">
        <v>25</v>
      </c>
      <c r="D7" s="39">
        <v>100.0</v>
      </c>
      <c r="E7" s="39">
        <v>100.0</v>
      </c>
      <c r="F7" s="37" t="s">
        <v>20</v>
      </c>
      <c r="G7" s="38" t="s">
        <v>21</v>
      </c>
      <c r="H7" s="38"/>
      <c r="I7" s="38" t="s">
        <v>22</v>
      </c>
      <c r="J7" s="39">
        <v>11.0</v>
      </c>
      <c r="K7" s="38"/>
      <c r="L7" s="38"/>
      <c r="M7" s="38"/>
      <c r="N7" s="41">
        <v>43255.0</v>
      </c>
      <c r="O7" s="38"/>
      <c r="P7" s="38"/>
      <c r="Q7" s="38"/>
      <c r="R7" s="38" t="s">
        <v>23</v>
      </c>
      <c r="S7" s="39">
        <v>10.0</v>
      </c>
      <c r="T7" s="38" t="s">
        <v>23</v>
      </c>
      <c r="U7" s="39">
        <v>10.0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38"/>
      <c r="B8" s="40" t="s">
        <v>26</v>
      </c>
      <c r="C8" s="38" t="s">
        <v>19</v>
      </c>
      <c r="D8" s="39">
        <v>100.0</v>
      </c>
      <c r="E8" s="39">
        <v>100.0</v>
      </c>
      <c r="F8" s="37" t="s">
        <v>20</v>
      </c>
      <c r="G8" s="38" t="s">
        <v>21</v>
      </c>
      <c r="H8" s="38"/>
      <c r="I8" s="38" t="s">
        <v>22</v>
      </c>
      <c r="J8" s="39">
        <v>12.0</v>
      </c>
      <c r="K8" s="38"/>
      <c r="L8" s="38"/>
      <c r="M8" s="38"/>
      <c r="N8" s="41">
        <v>43255.0</v>
      </c>
      <c r="O8" s="38"/>
      <c r="P8" s="38"/>
      <c r="Q8" s="38"/>
      <c r="R8" s="38" t="s">
        <v>23</v>
      </c>
      <c r="S8" s="39">
        <v>15.0</v>
      </c>
      <c r="T8" s="38" t="s">
        <v>23</v>
      </c>
      <c r="U8" s="39">
        <v>15.0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38"/>
      <c r="B9" s="40" t="s">
        <v>27</v>
      </c>
      <c r="C9" s="38" t="s">
        <v>25</v>
      </c>
      <c r="D9" s="39">
        <v>100.0</v>
      </c>
      <c r="E9" s="39">
        <v>100.0</v>
      </c>
      <c r="F9" s="37" t="s">
        <v>20</v>
      </c>
      <c r="G9" s="38" t="s">
        <v>21</v>
      </c>
      <c r="H9" s="38"/>
      <c r="I9" s="38" t="s">
        <v>22</v>
      </c>
      <c r="J9" s="39">
        <v>13.0</v>
      </c>
      <c r="K9" s="38"/>
      <c r="L9" s="38"/>
      <c r="M9" s="38"/>
      <c r="N9" s="41">
        <v>43255.0</v>
      </c>
      <c r="O9" s="38"/>
      <c r="P9" s="38"/>
      <c r="Q9" s="38"/>
      <c r="R9" s="38" t="s">
        <v>23</v>
      </c>
      <c r="S9" s="39">
        <v>20.0</v>
      </c>
      <c r="T9" s="38" t="s">
        <v>23</v>
      </c>
      <c r="U9" s="39">
        <v>20.0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38"/>
      <c r="B10" s="40" t="s">
        <v>18</v>
      </c>
      <c r="C10" s="38" t="s">
        <v>28</v>
      </c>
      <c r="D10" s="39">
        <v>100.0</v>
      </c>
      <c r="E10" s="39">
        <v>100.0</v>
      </c>
      <c r="F10" s="37" t="s">
        <v>20</v>
      </c>
      <c r="G10" s="38" t="s">
        <v>21</v>
      </c>
      <c r="H10" s="38"/>
      <c r="I10" s="38" t="s">
        <v>22</v>
      </c>
      <c r="J10" s="39">
        <v>14.0</v>
      </c>
      <c r="K10" s="38"/>
      <c r="L10" s="38"/>
      <c r="M10" s="38"/>
      <c r="N10" s="41">
        <v>43256.0</v>
      </c>
      <c r="O10" s="38"/>
      <c r="P10" s="38"/>
      <c r="Q10" s="38"/>
      <c r="R10" s="38" t="s">
        <v>23</v>
      </c>
      <c r="S10" s="39">
        <v>25.0</v>
      </c>
      <c r="T10" s="38" t="s">
        <v>23</v>
      </c>
      <c r="U10" s="39">
        <v>25.0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38"/>
      <c r="B11" s="40" t="s">
        <v>24</v>
      </c>
      <c r="C11" s="38" t="s">
        <v>30</v>
      </c>
      <c r="D11" s="39">
        <v>50.0</v>
      </c>
      <c r="E11" s="39">
        <v>50.0</v>
      </c>
      <c r="F11" s="37" t="s">
        <v>20</v>
      </c>
      <c r="G11" s="38" t="s">
        <v>21</v>
      </c>
      <c r="H11" s="38"/>
      <c r="I11" s="38" t="s">
        <v>22</v>
      </c>
      <c r="J11" s="39">
        <v>15.0</v>
      </c>
      <c r="K11" s="38"/>
      <c r="L11" s="38"/>
      <c r="M11" s="38"/>
      <c r="N11" s="41">
        <v>43256.0</v>
      </c>
      <c r="O11" s="38"/>
      <c r="P11" s="38"/>
      <c r="Q11" s="38"/>
      <c r="R11" s="38" t="s">
        <v>23</v>
      </c>
      <c r="S11" s="39">
        <v>30.0</v>
      </c>
      <c r="T11" s="38" t="s">
        <v>23</v>
      </c>
      <c r="U11" s="39">
        <v>30.0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38"/>
      <c r="B12" s="40" t="s">
        <v>26</v>
      </c>
      <c r="C12" s="38" t="s">
        <v>28</v>
      </c>
      <c r="D12" s="39">
        <v>50.0</v>
      </c>
      <c r="E12" s="39">
        <v>50.0</v>
      </c>
      <c r="F12" s="37" t="s">
        <v>20</v>
      </c>
      <c r="G12" s="38" t="s">
        <v>21</v>
      </c>
      <c r="H12" s="38"/>
      <c r="I12" s="38" t="s">
        <v>22</v>
      </c>
      <c r="J12" s="39">
        <v>16.0</v>
      </c>
      <c r="K12" s="38"/>
      <c r="L12" s="38"/>
      <c r="M12" s="38"/>
      <c r="N12" s="41">
        <v>43256.0</v>
      </c>
      <c r="O12" s="38"/>
      <c r="P12" s="38"/>
      <c r="Q12" s="38"/>
      <c r="R12" s="38" t="s">
        <v>23</v>
      </c>
      <c r="S12" s="39">
        <v>35.0</v>
      </c>
      <c r="T12" s="38" t="s">
        <v>23</v>
      </c>
      <c r="U12" s="39">
        <v>35.0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38"/>
      <c r="B13" s="40" t="s">
        <v>27</v>
      </c>
      <c r="C13" s="38" t="s">
        <v>30</v>
      </c>
      <c r="D13" s="39">
        <v>100.0</v>
      </c>
      <c r="E13" s="39">
        <v>100.0</v>
      </c>
      <c r="F13" s="37" t="s">
        <v>20</v>
      </c>
      <c r="G13" s="38" t="s">
        <v>21</v>
      </c>
      <c r="H13" s="38"/>
      <c r="I13" s="38" t="s">
        <v>22</v>
      </c>
      <c r="J13" s="39">
        <v>17.0</v>
      </c>
      <c r="K13" s="38"/>
      <c r="L13" s="38"/>
      <c r="M13" s="38"/>
      <c r="N13" s="41">
        <v>43256.0</v>
      </c>
      <c r="O13" s="38"/>
      <c r="P13" s="38"/>
      <c r="Q13" s="38"/>
      <c r="R13" s="38" t="s">
        <v>23</v>
      </c>
      <c r="S13" s="39">
        <v>40.0</v>
      </c>
      <c r="T13" s="38" t="s">
        <v>23</v>
      </c>
      <c r="U13" s="39">
        <v>40.0</v>
      </c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15</v>
      </c>
      <c r="D3" s="9" t="s">
        <v>6</v>
      </c>
      <c r="E3" s="21" t="s">
        <v>17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30">
        <v>43255.0</v>
      </c>
      <c r="C6" s="5"/>
      <c r="D6" s="12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15</v>
      </c>
      <c r="D3" s="9" t="s">
        <v>6</v>
      </c>
      <c r="E3" s="21" t="s">
        <v>29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IFERROR(__xludf.DUMMYFUNCTION("""COMPUTED_VALUE"""),"Date")</f>
        <v>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33" t="s">
        <v>18</v>
      </c>
      <c r="C6" s="36">
        <v>55.0</v>
      </c>
      <c r="D6" s="30">
        <v>43255.0</v>
      </c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40" t="s">
        <v>24</v>
      </c>
      <c r="C7" s="39">
        <v>25.0</v>
      </c>
      <c r="D7" s="41">
        <v>43255.0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40" t="s">
        <v>26</v>
      </c>
      <c r="C8" s="39">
        <v>45.0</v>
      </c>
      <c r="D8" s="41">
        <v>43255.0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40" t="s">
        <v>27</v>
      </c>
      <c r="C9" s="39">
        <v>35.0</v>
      </c>
      <c r="D9" s="41">
        <v>43255.0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33" t="s">
        <v>18</v>
      </c>
      <c r="C10" s="43">
        <v>65.0</v>
      </c>
      <c r="D10" s="41">
        <v>43256.0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40" t="s">
        <v>24</v>
      </c>
      <c r="C11" s="43">
        <v>85.0</v>
      </c>
      <c r="D11" s="41">
        <v>43256.0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40" t="s">
        <v>26</v>
      </c>
      <c r="C12" s="43">
        <v>75.0</v>
      </c>
      <c r="D12" s="41">
        <v>43256.0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40" t="s">
        <v>27</v>
      </c>
      <c r="C13" s="43">
        <v>95.0</v>
      </c>
      <c r="D13" s="41">
        <v>43256.0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31</v>
      </c>
      <c r="D3" s="9" t="s">
        <v>6</v>
      </c>
      <c r="E3" s="21" t="s">
        <v>33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37</v>
      </c>
      <c r="C6" s="30">
        <v>43255.0</v>
      </c>
      <c r="D6" s="30">
        <v>43256.0</v>
      </c>
      <c r="E6" s="37" t="s">
        <v>20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31</v>
      </c>
      <c r="D3" s="9" t="s">
        <v>6</v>
      </c>
      <c r="E3" s="21" t="s">
        <v>32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4" t="b">
        <v>1</v>
      </c>
      <c r="C6" s="45" t="b">
        <v>1</v>
      </c>
      <c r="D6" s="46" t="s">
        <v>34</v>
      </c>
      <c r="E6" s="34" t="s">
        <v>35</v>
      </c>
      <c r="F6" s="34" t="s">
        <v>36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38</v>
      </c>
      <c r="D3" s="9" t="s">
        <v>6</v>
      </c>
      <c r="E3" s="21" t="s">
        <v>39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37</v>
      </c>
      <c r="C6" s="41">
        <v>43255.0</v>
      </c>
      <c r="D6" s="41">
        <v>43257.0</v>
      </c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24.43"/>
    <col customWidth="1" min="4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38</v>
      </c>
      <c r="D3" s="9" t="s">
        <v>6</v>
      </c>
      <c r="E3" s="21" t="s">
        <v>40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37" t="s">
        <v>20</v>
      </c>
      <c r="C6" s="5"/>
      <c r="D6" s="12"/>
      <c r="E6" s="31"/>
      <c r="F6" s="5"/>
      <c r="G6" s="5"/>
      <c r="H6" s="5"/>
      <c r="I6" s="5"/>
      <c r="J6" s="5"/>
      <c r="K6" s="5"/>
      <c r="L6" s="5"/>
      <c r="M6" s="5"/>
      <c r="N6" s="5"/>
      <c r="O6" s="5"/>
      <c r="AU6" s="42">
        <v>75060.0</v>
      </c>
      <c r="BJ6" s="42">
        <v>50.0</v>
      </c>
      <c r="BO6" s="47" t="s">
        <v>30</v>
      </c>
      <c r="BT6" s="48" t="s">
        <v>24</v>
      </c>
      <c r="CI6" s="47"/>
    </row>
    <row r="7" ht="15.75" customHeight="1">
      <c r="A7" s="5"/>
      <c r="B7" s="37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U7" s="42">
        <v>100010.0</v>
      </c>
      <c r="BJ7" s="42">
        <v>100.0</v>
      </c>
      <c r="BO7" s="49" t="s">
        <v>19</v>
      </c>
      <c r="BT7" s="48" t="s">
        <v>18</v>
      </c>
      <c r="CI7" s="49"/>
    </row>
    <row r="8" ht="15.75" customHeight="1">
      <c r="A8" s="5"/>
      <c r="B8" s="37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U8" s="42">
        <v>120030.0</v>
      </c>
      <c r="BJ8" s="42">
        <v>100.0</v>
      </c>
      <c r="BO8" s="49" t="s">
        <v>19</v>
      </c>
      <c r="BT8" s="48" t="s">
        <v>26</v>
      </c>
      <c r="CI8" s="49"/>
    </row>
    <row r="9" ht="15.75" customHeight="1">
      <c r="A9" s="5"/>
      <c r="B9" s="37" t="s">
        <v>20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U9" s="42">
        <v>109980.0</v>
      </c>
      <c r="BJ9" s="42">
        <v>100.0</v>
      </c>
      <c r="BO9" s="47" t="s">
        <v>25</v>
      </c>
      <c r="BT9" s="48" t="s">
        <v>24</v>
      </c>
      <c r="CI9" s="47"/>
    </row>
    <row r="10" ht="15.75" customHeight="1">
      <c r="A10" s="5"/>
      <c r="B10" s="37" t="s">
        <v>20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U10" s="42">
        <v>139950.0</v>
      </c>
      <c r="BJ10" s="42">
        <v>100.0</v>
      </c>
      <c r="BO10" s="47" t="s">
        <v>28</v>
      </c>
      <c r="BT10" s="48" t="s">
        <v>18</v>
      </c>
      <c r="CI10" s="47"/>
    </row>
    <row r="11" ht="15.75" customHeight="1">
      <c r="A11" s="5"/>
      <c r="B11" s="37" t="s">
        <v>20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U11" s="42">
        <v>129960.0</v>
      </c>
      <c r="BJ11" s="42">
        <v>100.0</v>
      </c>
      <c r="BO11" s="47" t="s">
        <v>25</v>
      </c>
      <c r="BT11" s="48" t="s">
        <v>27</v>
      </c>
      <c r="CI11" s="47"/>
    </row>
    <row r="12" ht="15.75" customHeight="1">
      <c r="A12" s="5"/>
      <c r="B12" s="37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U12" s="42">
        <v>79930.0</v>
      </c>
      <c r="BJ12" s="42">
        <v>50.0</v>
      </c>
      <c r="BO12" s="47" t="s">
        <v>28</v>
      </c>
      <c r="BT12" s="48" t="s">
        <v>26</v>
      </c>
      <c r="CI12" s="47"/>
    </row>
    <row r="13" ht="15.75" customHeight="1">
      <c r="A13" s="5"/>
      <c r="B13" s="37" t="s">
        <v>20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U13" s="42">
        <v>170080.0</v>
      </c>
      <c r="BJ13" s="42">
        <v>100.0</v>
      </c>
      <c r="BO13" s="47" t="s">
        <v>30</v>
      </c>
      <c r="BT13" s="48" t="s">
        <v>27</v>
      </c>
      <c r="CI13" s="47"/>
    </row>
    <row r="14" ht="15.75" customHeight="1">
      <c r="A14" s="5"/>
      <c r="B14" s="3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42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43</v>
      </c>
      <c r="C6" s="50" t="s">
        <v>20</v>
      </c>
      <c r="D6" s="30">
        <v>43255.0</v>
      </c>
      <c r="E6" s="30">
        <v>43257.0</v>
      </c>
      <c r="F6" s="34"/>
      <c r="G6" s="34" t="s">
        <v>44</v>
      </c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45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1" t="str">
        <f>IFERROR(__xludf.DUMMYFUNCTION("""COMPUTED_VALUE"""),"Account")</f>
        <v>Account</v>
      </c>
      <c r="C5" s="51" t="str">
        <f>IFERROR(__xludf.DUMMYFUNCTION("""COMPUTED_VALUE"""),"Activity Source")</f>
        <v>Activity Source</v>
      </c>
      <c r="D5" s="51" t="str">
        <f>IFERROR(__xludf.DUMMYFUNCTION("""COMPUTED_VALUE"""),"ActivityType")</f>
        <v>ActivityType</v>
      </c>
      <c r="E5" s="51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51" t="str">
        <f>IFERROR(__xludf.DUMMYFUNCTION("""COMPUTED_VALUE"""),"AUEC Fee2")</f>
        <v>AUEC Fee2</v>
      </c>
      <c r="H5" s="51" t="str">
        <f>IFERROR(__xludf.DUMMYFUNCTION("""COMPUTED_VALUE"""),"Balance Type")</f>
        <v>Balance Type</v>
      </c>
      <c r="I5" s="51" t="str">
        <f>IFERROR(__xludf.DUMMYFUNCTION("""COMPUTED_VALUE"""),"Clearing Broker Fees")</f>
        <v>Clearing Broker Fees</v>
      </c>
      <c r="J5" s="51" t="str">
        <f>IFERROR(__xludf.DUMMYFUNCTION("""COMPUTED_VALUE"""),"Commission")</f>
        <v>Commission</v>
      </c>
      <c r="K5" s="51" t="str">
        <f>IFERROR(__xludf.DUMMYFUNCTION("""COMPUTED_VALUE"""),"Currency")</f>
        <v>Currency</v>
      </c>
      <c r="L5" s="51" t="str">
        <f>IFERROR(__xludf.DUMMYFUNCTION("""COMPUTED_VALUE"""),"Description")</f>
        <v>Description</v>
      </c>
      <c r="M5" s="51" t="str">
        <f>IFERROR(__xludf.DUMMYFUNCTION("""COMPUTED_VALUE"""),"Entry Date")</f>
        <v>Entry Date</v>
      </c>
      <c r="N5" s="51" t="str">
        <f>IFERROR(__xludf.DUMMYFUNCTION("""COMPUTED_VALUE"""),"FX Conversion Method Operator")</f>
        <v>FX Conversion Method Operator</v>
      </c>
      <c r="O5" s="51" t="str">
        <f>IFERROR(__xludf.DUMMYFUNCTION("""COMPUTED_VALUE"""),"Fx Rate")</f>
        <v>Fx Rate</v>
      </c>
      <c r="P5" s="51" t="str">
        <f>IFERROR(__xludf.DUMMYFUNCTION("""COMPUTED_VALUE"""),"Lead Currency")</f>
        <v>Lead Currency</v>
      </c>
      <c r="Q5" s="51" t="str">
        <f>IFERROR(__xludf.DUMMYFUNCTION("""COMPUTED_VALUE"""),"Modify date")</f>
        <v>Modify date</v>
      </c>
      <c r="R5" s="51" t="str">
        <f>IFERROR(__xludf.DUMMYFUNCTION("""COMPUTED_VALUE"""),"OCC Fee")</f>
        <v>OCC Fee</v>
      </c>
      <c r="S5" s="51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2"/>
      <c r="B6" s="53" t="s">
        <v>20</v>
      </c>
      <c r="C6" s="53" t="s">
        <v>47</v>
      </c>
      <c r="D6" s="53" t="s">
        <v>48</v>
      </c>
      <c r="E6" s="53">
        <v>-100010.0</v>
      </c>
      <c r="F6" s="53">
        <v>0.0</v>
      </c>
      <c r="G6" s="53">
        <v>0.0</v>
      </c>
      <c r="H6" s="53" t="s">
        <v>49</v>
      </c>
      <c r="I6" s="53">
        <v>0.0</v>
      </c>
      <c r="J6" s="53">
        <v>5.0</v>
      </c>
      <c r="K6" s="53" t="s">
        <v>50</v>
      </c>
      <c r="L6" s="53"/>
      <c r="M6" s="54"/>
      <c r="N6" s="53" t="s">
        <v>51</v>
      </c>
      <c r="O6" s="53">
        <v>1.0</v>
      </c>
      <c r="P6" s="55"/>
      <c r="Q6" s="54"/>
      <c r="R6" s="53">
        <v>0.0</v>
      </c>
      <c r="S6" s="53">
        <v>0.0</v>
      </c>
      <c r="T6" s="53">
        <v>0.0</v>
      </c>
      <c r="U6" s="53">
        <v>0.0</v>
      </c>
      <c r="V6" s="53">
        <v>100.0</v>
      </c>
      <c r="W6" s="53">
        <v>0.0</v>
      </c>
      <c r="X6" s="53" t="s">
        <v>50</v>
      </c>
      <c r="Y6" s="54"/>
      <c r="Z6" s="53">
        <v>5.0</v>
      </c>
      <c r="AA6" s="53">
        <v>0.0</v>
      </c>
      <c r="AB6" s="53" t="s">
        <v>18</v>
      </c>
      <c r="AC6" s="53">
        <v>0.0</v>
      </c>
      <c r="AD6" s="53">
        <v>10.0</v>
      </c>
      <c r="AE6" s="56">
        <v>43255.0</v>
      </c>
      <c r="AF6" s="53">
        <v>0.0</v>
      </c>
      <c r="AG6" s="53" t="s">
        <v>47</v>
      </c>
      <c r="AH6" s="55"/>
      <c r="AI6" s="55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8"/>
      <c r="B7" s="53" t="s">
        <v>20</v>
      </c>
      <c r="C7" s="53" t="s">
        <v>47</v>
      </c>
      <c r="D7" s="53" t="s">
        <v>52</v>
      </c>
      <c r="E7" s="53">
        <v>109980.0</v>
      </c>
      <c r="F7" s="53">
        <v>0.0</v>
      </c>
      <c r="G7" s="53">
        <v>0.0</v>
      </c>
      <c r="H7" s="53" t="s">
        <v>49</v>
      </c>
      <c r="I7" s="53">
        <v>0.0</v>
      </c>
      <c r="J7" s="53">
        <v>10.0</v>
      </c>
      <c r="K7" s="53" t="s">
        <v>50</v>
      </c>
      <c r="L7" s="53"/>
      <c r="M7" s="54"/>
      <c r="N7" s="53" t="s">
        <v>51</v>
      </c>
      <c r="O7" s="53">
        <v>1.0</v>
      </c>
      <c r="P7" s="55"/>
      <c r="Q7" s="54"/>
      <c r="R7" s="53">
        <v>0.0</v>
      </c>
      <c r="S7" s="53">
        <v>0.0</v>
      </c>
      <c r="T7" s="53">
        <v>0.0</v>
      </c>
      <c r="U7" s="53">
        <v>0.0</v>
      </c>
      <c r="V7" s="53">
        <v>100.0</v>
      </c>
      <c r="W7" s="53">
        <v>0.0</v>
      </c>
      <c r="X7" s="53" t="s">
        <v>50</v>
      </c>
      <c r="Y7" s="54"/>
      <c r="Z7" s="53">
        <v>10.0</v>
      </c>
      <c r="AA7" s="53">
        <v>0.0</v>
      </c>
      <c r="AB7" s="53" t="s">
        <v>24</v>
      </c>
      <c r="AC7" s="53">
        <v>0.0</v>
      </c>
      <c r="AD7" s="53">
        <v>20.0</v>
      </c>
      <c r="AE7" s="56">
        <v>43255.0</v>
      </c>
      <c r="AF7" s="53">
        <v>0.0</v>
      </c>
      <c r="AG7" s="53" t="s">
        <v>47</v>
      </c>
      <c r="AH7" s="55"/>
      <c r="AI7" s="55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8"/>
      <c r="B8" s="53" t="s">
        <v>20</v>
      </c>
      <c r="C8" s="53" t="s">
        <v>47</v>
      </c>
      <c r="D8" s="53" t="s">
        <v>48</v>
      </c>
      <c r="E8" s="53">
        <v>-120030.0</v>
      </c>
      <c r="F8" s="53">
        <v>0.0</v>
      </c>
      <c r="G8" s="53">
        <v>0.0</v>
      </c>
      <c r="H8" s="53" t="s">
        <v>49</v>
      </c>
      <c r="I8" s="53">
        <v>0.0</v>
      </c>
      <c r="J8" s="53">
        <v>15.0</v>
      </c>
      <c r="K8" s="53" t="s">
        <v>50</v>
      </c>
      <c r="L8" s="53"/>
      <c r="M8" s="54"/>
      <c r="N8" s="53" t="s">
        <v>51</v>
      </c>
      <c r="O8" s="53">
        <v>1.0</v>
      </c>
      <c r="P8" s="55"/>
      <c r="Q8" s="54"/>
      <c r="R8" s="53">
        <v>0.0</v>
      </c>
      <c r="S8" s="53">
        <v>0.0</v>
      </c>
      <c r="T8" s="53">
        <v>0.0</v>
      </c>
      <c r="U8" s="53">
        <v>0.0</v>
      </c>
      <c r="V8" s="53">
        <v>100.0</v>
      </c>
      <c r="W8" s="53">
        <v>0.0</v>
      </c>
      <c r="X8" s="53" t="s">
        <v>50</v>
      </c>
      <c r="Y8" s="54"/>
      <c r="Z8" s="53">
        <v>15.0</v>
      </c>
      <c r="AA8" s="53">
        <v>0.0</v>
      </c>
      <c r="AB8" s="53" t="s">
        <v>26</v>
      </c>
      <c r="AC8" s="53">
        <v>0.0</v>
      </c>
      <c r="AD8" s="53">
        <v>30.0</v>
      </c>
      <c r="AE8" s="56">
        <v>43255.0</v>
      </c>
      <c r="AF8" s="53">
        <v>0.0</v>
      </c>
      <c r="AG8" s="53" t="s">
        <v>47</v>
      </c>
      <c r="AH8" s="55"/>
      <c r="AI8" s="55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8"/>
      <c r="B9" s="53" t="s">
        <v>20</v>
      </c>
      <c r="C9" s="53" t="s">
        <v>47</v>
      </c>
      <c r="D9" s="53" t="s">
        <v>52</v>
      </c>
      <c r="E9" s="53">
        <v>129960.0</v>
      </c>
      <c r="F9" s="53">
        <v>0.0</v>
      </c>
      <c r="G9" s="53">
        <v>0.0</v>
      </c>
      <c r="H9" s="53" t="s">
        <v>49</v>
      </c>
      <c r="I9" s="53">
        <v>0.0</v>
      </c>
      <c r="J9" s="53">
        <v>20.0</v>
      </c>
      <c r="K9" s="53" t="s">
        <v>50</v>
      </c>
      <c r="L9" s="53"/>
      <c r="M9" s="54"/>
      <c r="N9" s="53" t="s">
        <v>51</v>
      </c>
      <c r="O9" s="53">
        <v>1.0</v>
      </c>
      <c r="P9" s="55"/>
      <c r="Q9" s="54"/>
      <c r="R9" s="53">
        <v>0.0</v>
      </c>
      <c r="S9" s="53">
        <v>0.0</v>
      </c>
      <c r="T9" s="53">
        <v>0.0</v>
      </c>
      <c r="U9" s="53">
        <v>0.0</v>
      </c>
      <c r="V9" s="53">
        <v>100.0</v>
      </c>
      <c r="W9" s="53">
        <v>0.0</v>
      </c>
      <c r="X9" s="53" t="s">
        <v>50</v>
      </c>
      <c r="Y9" s="54"/>
      <c r="Z9" s="53">
        <v>20.0</v>
      </c>
      <c r="AA9" s="53">
        <v>0.0</v>
      </c>
      <c r="AB9" s="53" t="s">
        <v>27</v>
      </c>
      <c r="AC9" s="53">
        <v>0.0</v>
      </c>
      <c r="AD9" s="53">
        <v>40.0</v>
      </c>
      <c r="AE9" s="56">
        <v>43255.0</v>
      </c>
      <c r="AF9" s="53">
        <v>0.0</v>
      </c>
      <c r="AG9" s="53" t="s">
        <v>47</v>
      </c>
      <c r="AH9" s="55"/>
      <c r="AI9" s="55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58"/>
      <c r="B10" s="53" t="s">
        <v>20</v>
      </c>
      <c r="C10" s="53" t="s">
        <v>47</v>
      </c>
      <c r="D10" s="53" t="s">
        <v>48</v>
      </c>
      <c r="E10" s="53">
        <v>139950.0</v>
      </c>
      <c r="F10" s="53">
        <v>0.0</v>
      </c>
      <c r="G10" s="53">
        <v>0.0</v>
      </c>
      <c r="H10" s="53" t="s">
        <v>49</v>
      </c>
      <c r="I10" s="53">
        <v>0.0</v>
      </c>
      <c r="J10" s="53">
        <v>25.0</v>
      </c>
      <c r="K10" s="53" t="s">
        <v>50</v>
      </c>
      <c r="L10" s="53"/>
      <c r="M10" s="54"/>
      <c r="N10" s="53" t="s">
        <v>51</v>
      </c>
      <c r="O10" s="53">
        <v>1.0</v>
      </c>
      <c r="P10" s="55"/>
      <c r="Q10" s="54"/>
      <c r="R10" s="53">
        <v>0.0</v>
      </c>
      <c r="S10" s="53">
        <v>0.0</v>
      </c>
      <c r="T10" s="53">
        <v>0.0</v>
      </c>
      <c r="U10" s="53">
        <v>0.0</v>
      </c>
      <c r="V10" s="53">
        <v>100.0</v>
      </c>
      <c r="W10" s="53">
        <v>0.0</v>
      </c>
      <c r="X10" s="53" t="s">
        <v>50</v>
      </c>
      <c r="Y10" s="54"/>
      <c r="Z10" s="53">
        <v>25.0</v>
      </c>
      <c r="AA10" s="53">
        <v>0.0</v>
      </c>
      <c r="AB10" s="53" t="s">
        <v>18</v>
      </c>
      <c r="AC10" s="53">
        <v>0.0</v>
      </c>
      <c r="AD10" s="53">
        <v>50.0</v>
      </c>
      <c r="AE10" s="56">
        <v>43256.0</v>
      </c>
      <c r="AF10" s="53">
        <v>0.0</v>
      </c>
      <c r="AG10" s="53" t="s">
        <v>47</v>
      </c>
      <c r="AH10" s="55"/>
      <c r="AI10" s="55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</row>
    <row r="11" ht="15.75" customHeight="1">
      <c r="A11" s="58"/>
      <c r="B11" s="53" t="s">
        <v>20</v>
      </c>
      <c r="C11" s="53" t="s">
        <v>47</v>
      </c>
      <c r="D11" s="53" t="s">
        <v>52</v>
      </c>
      <c r="E11" s="53">
        <v>-75060.0</v>
      </c>
      <c r="F11" s="53">
        <v>0.0</v>
      </c>
      <c r="G11" s="53">
        <v>0.0</v>
      </c>
      <c r="H11" s="53" t="s">
        <v>49</v>
      </c>
      <c r="I11" s="53">
        <v>0.0</v>
      </c>
      <c r="J11" s="53">
        <v>30.0</v>
      </c>
      <c r="K11" s="53" t="s">
        <v>50</v>
      </c>
      <c r="L11" s="53"/>
      <c r="M11" s="54"/>
      <c r="N11" s="53" t="s">
        <v>51</v>
      </c>
      <c r="O11" s="53">
        <v>1.0</v>
      </c>
      <c r="P11" s="55"/>
      <c r="Q11" s="54"/>
      <c r="R11" s="53">
        <v>0.0</v>
      </c>
      <c r="S11" s="53">
        <v>0.0</v>
      </c>
      <c r="T11" s="53">
        <v>0.0</v>
      </c>
      <c r="U11" s="53">
        <v>0.0</v>
      </c>
      <c r="V11" s="53">
        <v>50.0</v>
      </c>
      <c r="W11" s="53">
        <v>0.0</v>
      </c>
      <c r="X11" s="53" t="s">
        <v>50</v>
      </c>
      <c r="Y11" s="54"/>
      <c r="Z11" s="53">
        <v>30.0</v>
      </c>
      <c r="AA11" s="53">
        <v>0.0</v>
      </c>
      <c r="AB11" s="53" t="s">
        <v>24</v>
      </c>
      <c r="AC11" s="53">
        <v>0.0</v>
      </c>
      <c r="AD11" s="53">
        <v>60.0</v>
      </c>
      <c r="AE11" s="56">
        <v>43256.0</v>
      </c>
      <c r="AF11" s="53">
        <v>0.0</v>
      </c>
      <c r="AG11" s="53" t="s">
        <v>47</v>
      </c>
      <c r="AH11" s="55"/>
      <c r="AI11" s="55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</row>
    <row r="12" ht="15.75" customHeight="1">
      <c r="A12" s="58"/>
      <c r="B12" s="53" t="s">
        <v>20</v>
      </c>
      <c r="C12" s="53" t="s">
        <v>47</v>
      </c>
      <c r="D12" s="53" t="s">
        <v>48</v>
      </c>
      <c r="E12" s="53">
        <v>79930.0</v>
      </c>
      <c r="F12" s="53">
        <v>0.0</v>
      </c>
      <c r="G12" s="53">
        <v>0.0</v>
      </c>
      <c r="H12" s="53" t="s">
        <v>49</v>
      </c>
      <c r="I12" s="53">
        <v>0.0</v>
      </c>
      <c r="J12" s="53">
        <v>35.0</v>
      </c>
      <c r="K12" s="53" t="s">
        <v>50</v>
      </c>
      <c r="L12" s="53"/>
      <c r="M12" s="54"/>
      <c r="N12" s="53" t="s">
        <v>51</v>
      </c>
      <c r="O12" s="53">
        <v>1.0</v>
      </c>
      <c r="P12" s="55"/>
      <c r="Q12" s="54"/>
      <c r="R12" s="53">
        <v>0.0</v>
      </c>
      <c r="S12" s="53">
        <v>0.0</v>
      </c>
      <c r="T12" s="53">
        <v>0.0</v>
      </c>
      <c r="U12" s="53">
        <v>0.0</v>
      </c>
      <c r="V12" s="53">
        <v>50.0</v>
      </c>
      <c r="W12" s="53">
        <v>0.0</v>
      </c>
      <c r="X12" s="53" t="s">
        <v>50</v>
      </c>
      <c r="Y12" s="54"/>
      <c r="Z12" s="53">
        <v>35.0</v>
      </c>
      <c r="AA12" s="53">
        <v>0.0</v>
      </c>
      <c r="AB12" s="53" t="s">
        <v>26</v>
      </c>
      <c r="AC12" s="53">
        <v>0.0</v>
      </c>
      <c r="AD12" s="53">
        <v>70.0</v>
      </c>
      <c r="AE12" s="56">
        <v>43256.0</v>
      </c>
      <c r="AF12" s="53">
        <v>0.0</v>
      </c>
      <c r="AG12" s="53" t="s">
        <v>47</v>
      </c>
      <c r="AH12" s="55"/>
      <c r="AI12" s="55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</row>
    <row r="13" ht="15.75" customHeight="1">
      <c r="A13" s="58"/>
      <c r="B13" s="53" t="s">
        <v>20</v>
      </c>
      <c r="C13" s="53" t="s">
        <v>47</v>
      </c>
      <c r="D13" s="53" t="s">
        <v>52</v>
      </c>
      <c r="E13" s="53">
        <v>-170080.0</v>
      </c>
      <c r="F13" s="53">
        <v>0.0</v>
      </c>
      <c r="G13" s="53">
        <v>0.0</v>
      </c>
      <c r="H13" s="53" t="s">
        <v>49</v>
      </c>
      <c r="I13" s="53">
        <v>0.0</v>
      </c>
      <c r="J13" s="53">
        <v>40.0</v>
      </c>
      <c r="K13" s="53" t="s">
        <v>50</v>
      </c>
      <c r="L13" s="53"/>
      <c r="M13" s="54"/>
      <c r="N13" s="53" t="s">
        <v>51</v>
      </c>
      <c r="O13" s="53">
        <v>1.0</v>
      </c>
      <c r="P13" s="55"/>
      <c r="Q13" s="54"/>
      <c r="R13" s="53">
        <v>0.0</v>
      </c>
      <c r="S13" s="53">
        <v>0.0</v>
      </c>
      <c r="T13" s="53">
        <v>0.0</v>
      </c>
      <c r="U13" s="53">
        <v>0.0</v>
      </c>
      <c r="V13" s="53">
        <v>100.0</v>
      </c>
      <c r="W13" s="53">
        <v>0.0</v>
      </c>
      <c r="X13" s="53" t="s">
        <v>50</v>
      </c>
      <c r="Y13" s="54"/>
      <c r="Z13" s="53">
        <v>40.0</v>
      </c>
      <c r="AA13" s="53">
        <v>0.0</v>
      </c>
      <c r="AB13" s="53" t="s">
        <v>27</v>
      </c>
      <c r="AC13" s="53">
        <v>0.0</v>
      </c>
      <c r="AD13" s="53">
        <v>80.0</v>
      </c>
      <c r="AE13" s="56">
        <v>43256.0</v>
      </c>
      <c r="AF13" s="53">
        <v>0.0</v>
      </c>
      <c r="AG13" s="53" t="s">
        <v>47</v>
      </c>
      <c r="AH13" s="55"/>
      <c r="AI13" s="55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46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43</v>
      </c>
      <c r="C6" s="50" t="s">
        <v>20</v>
      </c>
      <c r="D6" s="30">
        <v>43255.0</v>
      </c>
      <c r="E6" s="30">
        <v>43257.0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43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53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1" t="str">
        <f>IFERROR(__xludf.DUMMYFUNCTION("""COMPUTED_VALUE"""),"Date")</f>
        <v>Date</v>
      </c>
      <c r="C5" s="51" t="str">
        <f>IFERROR(__xludf.DUMMYFUNCTION("""COMPUTED_VALUE"""),"Modify Date")</f>
        <v>Modify Date</v>
      </c>
      <c r="D5" s="51" t="str">
        <f>IFERROR(__xludf.DUMMYFUNCTION("""COMPUTED_VALUE"""),"Entry Date")</f>
        <v>Entry Date</v>
      </c>
      <c r="E5" s="51" t="str">
        <f>IFERROR(__xludf.DUMMYFUNCTION("""COMPUTED_VALUE"""),"DR")</f>
        <v>DR</v>
      </c>
      <c r="F5" s="28" t="str">
        <f>IFERROR(__xludf.DUMMYFUNCTION("""COMPUTED_VALUE"""),"CR")</f>
        <v>CR</v>
      </c>
      <c r="G5" s="51" t="str">
        <f>IFERROR(__xludf.DUMMYFUNCTION("""COMPUTED_VALUE"""),"Fx Rate")</f>
        <v>Fx Rate</v>
      </c>
      <c r="H5" s="51" t="str">
        <f>IFERROR(__xludf.DUMMYFUNCTION("""COMPUTED_VALUE"""),"FX Conversion Method Operator")</f>
        <v>FX Conversion Method Operator</v>
      </c>
      <c r="I5" s="51" t="str">
        <f>IFERROR(__xludf.DUMMYFUNCTION("""COMPUTED_VALUE"""),"Account Side")</f>
        <v>Account Side</v>
      </c>
      <c r="J5" s="51" t="str">
        <f>IFERROR(__xludf.DUMMYFUNCTION("""COMPUTED_VALUE"""),"TransactionSource")</f>
        <v>TransactionSource</v>
      </c>
      <c r="K5" s="51" t="str">
        <f>IFERROR(__xludf.DUMMYFUNCTION("""COMPUTED_VALUE"""),"Currency")</f>
        <v>Currency</v>
      </c>
      <c r="L5" s="51" t="str">
        <f>IFERROR(__xludf.DUMMYFUNCTION("""COMPUTED_VALUE"""),"Base Currency")</f>
        <v>Base Currency</v>
      </c>
      <c r="M5" s="51" t="str">
        <f>IFERROR(__xludf.DUMMYFUNCTION("""COMPUTED_VALUE"""),"Symbol")</f>
        <v>Symbol</v>
      </c>
      <c r="N5" s="51" t="str">
        <f>IFERROR(__xludf.DUMMYFUNCTION("""COMPUTED_VALUE"""),"Description")</f>
        <v>Description</v>
      </c>
      <c r="O5" s="51" t="str">
        <f>IFERROR(__xludf.DUMMYFUNCTION("""COMPUTED_VALUE"""),"DR (Base)")</f>
        <v>DR (Base)</v>
      </c>
      <c r="P5" s="51" t="str">
        <f>IFERROR(__xludf.DUMMYFUNCTION("""COMPUTED_VALUE"""),"CR (Base)")</f>
        <v>CR (Base)</v>
      </c>
      <c r="Q5" s="51" t="str">
        <f>IFERROR(__xludf.DUMMYFUNCTION("""COMPUTED_VALUE"""),"Cash Sub-Account")</f>
        <v>Cash Sub-Account</v>
      </c>
      <c r="R5" s="51" t="str">
        <f>IFERROR(__xludf.DUMMYFUNCTION("""COMPUTED_VALUE"""),"Account")</f>
        <v>Account</v>
      </c>
      <c r="S5" s="51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9"/>
      <c r="B6" s="60">
        <v>43255.0</v>
      </c>
      <c r="C6" s="61"/>
      <c r="D6" s="61"/>
      <c r="E6" s="62">
        <v>100010.0</v>
      </c>
      <c r="F6" s="63">
        <v>0.0</v>
      </c>
      <c r="G6" s="64">
        <v>1.0</v>
      </c>
      <c r="H6" s="64" t="s">
        <v>51</v>
      </c>
      <c r="I6" s="64" t="s">
        <v>55</v>
      </c>
      <c r="J6" s="64" t="s">
        <v>47</v>
      </c>
      <c r="K6" s="64" t="s">
        <v>50</v>
      </c>
      <c r="L6" s="64" t="s">
        <v>50</v>
      </c>
      <c r="M6" s="64" t="s">
        <v>18</v>
      </c>
      <c r="N6" s="64" t="s">
        <v>56</v>
      </c>
      <c r="O6" s="62">
        <v>100010.0</v>
      </c>
      <c r="P6" s="62">
        <v>0.0</v>
      </c>
      <c r="Q6" s="64" t="s">
        <v>57</v>
      </c>
      <c r="R6" s="64" t="s">
        <v>20</v>
      </c>
      <c r="S6" s="65"/>
      <c r="T6" s="65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</row>
    <row r="7" ht="15.75" customHeight="1">
      <c r="A7" s="67"/>
      <c r="B7" s="60">
        <v>43255.0</v>
      </c>
      <c r="C7" s="61"/>
      <c r="D7" s="61"/>
      <c r="E7" s="68">
        <v>0.0</v>
      </c>
      <c r="F7" s="69">
        <v>100010.0</v>
      </c>
      <c r="G7" s="70">
        <v>1.0</v>
      </c>
      <c r="H7" s="70" t="s">
        <v>51</v>
      </c>
      <c r="I7" s="70" t="s">
        <v>58</v>
      </c>
      <c r="J7" s="70" t="s">
        <v>47</v>
      </c>
      <c r="K7" s="64" t="s">
        <v>50</v>
      </c>
      <c r="L7" s="70" t="s">
        <v>50</v>
      </c>
      <c r="M7" s="64" t="s">
        <v>18</v>
      </c>
      <c r="N7" s="64" t="s">
        <v>56</v>
      </c>
      <c r="O7" s="69">
        <v>0.0</v>
      </c>
      <c r="P7" s="69">
        <v>100010.0</v>
      </c>
      <c r="Q7" s="70" t="s">
        <v>59</v>
      </c>
      <c r="R7" s="64" t="s">
        <v>20</v>
      </c>
      <c r="S7" s="65"/>
      <c r="T7" s="65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</row>
    <row r="8" ht="15.75" customHeight="1">
      <c r="A8" s="67"/>
      <c r="B8" s="60">
        <v>43255.0</v>
      </c>
      <c r="C8" s="61"/>
      <c r="D8" s="61"/>
      <c r="E8" s="62">
        <v>20.0</v>
      </c>
      <c r="F8" s="63">
        <v>0.0</v>
      </c>
      <c r="G8" s="64">
        <v>1.0</v>
      </c>
      <c r="H8" s="64" t="s">
        <v>51</v>
      </c>
      <c r="I8" s="64" t="s">
        <v>55</v>
      </c>
      <c r="J8" s="64" t="s">
        <v>47</v>
      </c>
      <c r="K8" s="64" t="s">
        <v>50</v>
      </c>
      <c r="L8" s="64" t="s">
        <v>50</v>
      </c>
      <c r="M8" s="64" t="s">
        <v>24</v>
      </c>
      <c r="N8" s="64" t="s">
        <v>56</v>
      </c>
      <c r="O8" s="62">
        <v>20.0</v>
      </c>
      <c r="P8" s="62">
        <v>0.0</v>
      </c>
      <c r="Q8" s="64" t="s">
        <v>60</v>
      </c>
      <c r="R8" s="64" t="s">
        <v>20</v>
      </c>
      <c r="S8" s="65"/>
      <c r="T8" s="65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</row>
    <row r="9" ht="15.75" customHeight="1">
      <c r="A9" s="67"/>
      <c r="B9" s="60">
        <v>43255.0</v>
      </c>
      <c r="C9" s="61"/>
      <c r="D9" s="61"/>
      <c r="E9" s="68">
        <v>0.0</v>
      </c>
      <c r="F9" s="69">
        <v>20.0</v>
      </c>
      <c r="G9" s="70">
        <v>1.0</v>
      </c>
      <c r="H9" s="70" t="s">
        <v>51</v>
      </c>
      <c r="I9" s="70" t="s">
        <v>58</v>
      </c>
      <c r="J9" s="70" t="s">
        <v>47</v>
      </c>
      <c r="K9" s="64" t="s">
        <v>50</v>
      </c>
      <c r="L9" s="70" t="s">
        <v>50</v>
      </c>
      <c r="M9" s="64" t="s">
        <v>24</v>
      </c>
      <c r="N9" s="64" t="s">
        <v>56</v>
      </c>
      <c r="O9" s="69">
        <v>0.0</v>
      </c>
      <c r="P9" s="69">
        <v>20.0</v>
      </c>
      <c r="Q9" s="70" t="s">
        <v>59</v>
      </c>
      <c r="R9" s="64" t="s">
        <v>20</v>
      </c>
      <c r="S9" s="65"/>
      <c r="T9" s="65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</row>
    <row r="10" ht="15.75" customHeight="1">
      <c r="A10" s="67"/>
      <c r="B10" s="60">
        <v>43255.0</v>
      </c>
      <c r="C10" s="61"/>
      <c r="D10" s="61"/>
      <c r="E10" s="62">
        <v>110000.0</v>
      </c>
      <c r="F10" s="63">
        <v>0.0</v>
      </c>
      <c r="G10" s="64">
        <v>1.0</v>
      </c>
      <c r="H10" s="64" t="s">
        <v>51</v>
      </c>
      <c r="I10" s="64" t="s">
        <v>55</v>
      </c>
      <c r="J10" s="64" t="s">
        <v>47</v>
      </c>
      <c r="K10" s="64" t="s">
        <v>50</v>
      </c>
      <c r="L10" s="64" t="s">
        <v>50</v>
      </c>
      <c r="M10" s="64" t="s">
        <v>24</v>
      </c>
      <c r="N10" s="64" t="s">
        <v>56</v>
      </c>
      <c r="O10" s="62">
        <v>110000.0</v>
      </c>
      <c r="P10" s="62">
        <v>0.0</v>
      </c>
      <c r="Q10" s="64" t="s">
        <v>59</v>
      </c>
      <c r="R10" s="64" t="s">
        <v>20</v>
      </c>
      <c r="S10" s="65"/>
      <c r="T10" s="65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</row>
    <row r="11" ht="15.75" customHeight="1">
      <c r="A11" s="67"/>
      <c r="B11" s="60">
        <v>43255.0</v>
      </c>
      <c r="C11" s="61"/>
      <c r="D11" s="61"/>
      <c r="E11" s="68">
        <v>0.0</v>
      </c>
      <c r="F11" s="69">
        <v>110000.0</v>
      </c>
      <c r="G11" s="70">
        <v>1.0</v>
      </c>
      <c r="H11" s="70" t="s">
        <v>51</v>
      </c>
      <c r="I11" s="70" t="s">
        <v>58</v>
      </c>
      <c r="J11" s="70" t="s">
        <v>47</v>
      </c>
      <c r="K11" s="64" t="s">
        <v>50</v>
      </c>
      <c r="L11" s="70" t="s">
        <v>50</v>
      </c>
      <c r="M11" s="64" t="s">
        <v>24</v>
      </c>
      <c r="N11" s="64" t="s">
        <v>56</v>
      </c>
      <c r="O11" s="69">
        <v>0.0</v>
      </c>
      <c r="P11" s="69">
        <v>110000.0</v>
      </c>
      <c r="Q11" s="70" t="s">
        <v>60</v>
      </c>
      <c r="R11" s="64" t="s">
        <v>20</v>
      </c>
      <c r="S11" s="65"/>
      <c r="T11" s="65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</row>
    <row r="12" ht="15.75" customHeight="1">
      <c r="A12" s="67"/>
      <c r="B12" s="60">
        <v>43255.0</v>
      </c>
      <c r="C12" s="61"/>
      <c r="D12" s="61"/>
      <c r="E12" s="62">
        <v>120030.0</v>
      </c>
      <c r="F12" s="63">
        <v>0.0</v>
      </c>
      <c r="G12" s="64">
        <v>1.0</v>
      </c>
      <c r="H12" s="64" t="s">
        <v>51</v>
      </c>
      <c r="I12" s="64" t="s">
        <v>55</v>
      </c>
      <c r="J12" s="64" t="s">
        <v>47</v>
      </c>
      <c r="K12" s="64" t="s">
        <v>50</v>
      </c>
      <c r="L12" s="64" t="s">
        <v>50</v>
      </c>
      <c r="M12" s="64" t="s">
        <v>26</v>
      </c>
      <c r="N12" s="64" t="s">
        <v>56</v>
      </c>
      <c r="O12" s="62">
        <v>120030.0</v>
      </c>
      <c r="P12" s="62">
        <v>0.0</v>
      </c>
      <c r="Q12" s="64" t="s">
        <v>57</v>
      </c>
      <c r="R12" s="64" t="s">
        <v>20</v>
      </c>
      <c r="S12" s="65"/>
      <c r="T12" s="65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</row>
    <row r="13" ht="15.75" customHeight="1">
      <c r="A13" s="67"/>
      <c r="B13" s="60">
        <v>43255.0</v>
      </c>
      <c r="C13" s="61"/>
      <c r="D13" s="61"/>
      <c r="E13" s="68">
        <v>0.0</v>
      </c>
      <c r="F13" s="69">
        <v>120030.0</v>
      </c>
      <c r="G13" s="70">
        <v>1.0</v>
      </c>
      <c r="H13" s="70" t="s">
        <v>51</v>
      </c>
      <c r="I13" s="70" t="s">
        <v>58</v>
      </c>
      <c r="J13" s="70" t="s">
        <v>47</v>
      </c>
      <c r="K13" s="64" t="s">
        <v>50</v>
      </c>
      <c r="L13" s="70" t="s">
        <v>50</v>
      </c>
      <c r="M13" s="64" t="s">
        <v>26</v>
      </c>
      <c r="N13" s="64" t="s">
        <v>56</v>
      </c>
      <c r="O13" s="69">
        <v>0.0</v>
      </c>
      <c r="P13" s="69">
        <v>120030.0</v>
      </c>
      <c r="Q13" s="70" t="s">
        <v>59</v>
      </c>
      <c r="R13" s="64" t="s">
        <v>20</v>
      </c>
      <c r="S13" s="65"/>
      <c r="T13" s="65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</row>
    <row r="14" ht="15.75" customHeight="1">
      <c r="A14" s="67"/>
      <c r="B14" s="60">
        <v>43255.0</v>
      </c>
      <c r="C14" s="61"/>
      <c r="D14" s="61"/>
      <c r="E14" s="62">
        <v>40.0</v>
      </c>
      <c r="F14" s="63">
        <v>0.0</v>
      </c>
      <c r="G14" s="64">
        <v>1.0</v>
      </c>
      <c r="H14" s="64" t="s">
        <v>51</v>
      </c>
      <c r="I14" s="64" t="s">
        <v>55</v>
      </c>
      <c r="J14" s="64" t="s">
        <v>47</v>
      </c>
      <c r="K14" s="64" t="s">
        <v>50</v>
      </c>
      <c r="L14" s="64" t="s">
        <v>50</v>
      </c>
      <c r="M14" s="64" t="s">
        <v>27</v>
      </c>
      <c r="N14" s="64" t="s">
        <v>56</v>
      </c>
      <c r="O14" s="62">
        <v>40.0</v>
      </c>
      <c r="P14" s="62">
        <v>0.0</v>
      </c>
      <c r="Q14" s="64" t="s">
        <v>60</v>
      </c>
      <c r="R14" s="64" t="s">
        <v>20</v>
      </c>
      <c r="S14" s="65"/>
      <c r="T14" s="65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</row>
    <row r="15" ht="15.75" customHeight="1">
      <c r="A15" s="67"/>
      <c r="B15" s="60">
        <v>43255.0</v>
      </c>
      <c r="C15" s="61"/>
      <c r="D15" s="61"/>
      <c r="E15" s="68">
        <v>0.0</v>
      </c>
      <c r="F15" s="69">
        <v>40.0</v>
      </c>
      <c r="G15" s="70">
        <v>1.0</v>
      </c>
      <c r="H15" s="70" t="s">
        <v>51</v>
      </c>
      <c r="I15" s="70" t="s">
        <v>58</v>
      </c>
      <c r="J15" s="70" t="s">
        <v>47</v>
      </c>
      <c r="K15" s="64" t="s">
        <v>50</v>
      </c>
      <c r="L15" s="70" t="s">
        <v>50</v>
      </c>
      <c r="M15" s="64" t="s">
        <v>27</v>
      </c>
      <c r="N15" s="64" t="s">
        <v>56</v>
      </c>
      <c r="O15" s="69">
        <v>0.0</v>
      </c>
      <c r="P15" s="69">
        <v>40.0</v>
      </c>
      <c r="Q15" s="70" t="s">
        <v>59</v>
      </c>
      <c r="R15" s="64" t="s">
        <v>20</v>
      </c>
      <c r="S15" s="65"/>
      <c r="T15" s="65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</row>
    <row r="16" ht="15.75" customHeight="1">
      <c r="A16" s="67"/>
      <c r="B16" s="60">
        <v>43255.0</v>
      </c>
      <c r="C16" s="61"/>
      <c r="D16" s="61"/>
      <c r="E16" s="62">
        <v>130000.0</v>
      </c>
      <c r="F16" s="63">
        <v>0.0</v>
      </c>
      <c r="G16" s="64">
        <v>1.0</v>
      </c>
      <c r="H16" s="64" t="s">
        <v>51</v>
      </c>
      <c r="I16" s="64" t="s">
        <v>55</v>
      </c>
      <c r="J16" s="64" t="s">
        <v>47</v>
      </c>
      <c r="K16" s="64" t="s">
        <v>50</v>
      </c>
      <c r="L16" s="64" t="s">
        <v>50</v>
      </c>
      <c r="M16" s="64" t="s">
        <v>27</v>
      </c>
      <c r="N16" s="64" t="s">
        <v>56</v>
      </c>
      <c r="O16" s="62">
        <v>130000.0</v>
      </c>
      <c r="P16" s="62">
        <v>0.0</v>
      </c>
      <c r="Q16" s="64" t="s">
        <v>59</v>
      </c>
      <c r="R16" s="64" t="s">
        <v>20</v>
      </c>
      <c r="S16" s="65"/>
      <c r="T16" s="65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</row>
    <row r="17" ht="15.75" customHeight="1">
      <c r="A17" s="67"/>
      <c r="B17" s="60">
        <v>43255.0</v>
      </c>
      <c r="C17" s="61"/>
      <c r="D17" s="61"/>
      <c r="E17" s="68">
        <v>0.0</v>
      </c>
      <c r="F17" s="69">
        <v>130000.0</v>
      </c>
      <c r="G17" s="70">
        <v>1.0</v>
      </c>
      <c r="H17" s="70" t="s">
        <v>51</v>
      </c>
      <c r="I17" s="70" t="s">
        <v>58</v>
      </c>
      <c r="J17" s="70" t="s">
        <v>47</v>
      </c>
      <c r="K17" s="64" t="s">
        <v>50</v>
      </c>
      <c r="L17" s="70" t="s">
        <v>50</v>
      </c>
      <c r="M17" s="64" t="s">
        <v>27</v>
      </c>
      <c r="N17" s="64" t="s">
        <v>56</v>
      </c>
      <c r="O17" s="69">
        <v>0.0</v>
      </c>
      <c r="P17" s="69">
        <v>130000.0</v>
      </c>
      <c r="Q17" s="70" t="s">
        <v>60</v>
      </c>
      <c r="R17" s="64" t="s">
        <v>20</v>
      </c>
      <c r="S17" s="65"/>
      <c r="T17" s="65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</row>
    <row r="18" ht="15.75" customHeight="1">
      <c r="A18" s="67"/>
      <c r="B18" s="60">
        <v>43256.0</v>
      </c>
      <c r="C18" s="61"/>
      <c r="D18" s="61"/>
      <c r="E18" s="62">
        <v>50.0</v>
      </c>
      <c r="F18" s="63">
        <v>0.0</v>
      </c>
      <c r="G18" s="64">
        <v>1.0</v>
      </c>
      <c r="H18" s="64" t="s">
        <v>51</v>
      </c>
      <c r="I18" s="64" t="s">
        <v>55</v>
      </c>
      <c r="J18" s="64" t="s">
        <v>47</v>
      </c>
      <c r="K18" s="64" t="s">
        <v>50</v>
      </c>
      <c r="L18" s="64" t="s">
        <v>50</v>
      </c>
      <c r="M18" s="64" t="s">
        <v>18</v>
      </c>
      <c r="N18" s="64" t="s">
        <v>56</v>
      </c>
      <c r="O18" s="62">
        <v>50.0</v>
      </c>
      <c r="P18" s="62">
        <v>0.0</v>
      </c>
      <c r="Q18" s="64" t="s">
        <v>57</v>
      </c>
      <c r="R18" s="64" t="s">
        <v>20</v>
      </c>
      <c r="S18" s="65"/>
      <c r="T18" s="65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</row>
    <row r="19" ht="15.75" customHeight="1">
      <c r="A19" s="67"/>
      <c r="B19" s="60">
        <v>43256.0</v>
      </c>
      <c r="C19" s="61"/>
      <c r="D19" s="61"/>
      <c r="E19" s="68">
        <v>0.0</v>
      </c>
      <c r="F19" s="69">
        <v>50.0</v>
      </c>
      <c r="G19" s="70">
        <v>1.0</v>
      </c>
      <c r="H19" s="70" t="s">
        <v>51</v>
      </c>
      <c r="I19" s="70" t="s">
        <v>58</v>
      </c>
      <c r="J19" s="70" t="s">
        <v>47</v>
      </c>
      <c r="K19" s="64" t="s">
        <v>50</v>
      </c>
      <c r="L19" s="70" t="s">
        <v>50</v>
      </c>
      <c r="M19" s="64" t="s">
        <v>18</v>
      </c>
      <c r="N19" s="64" t="s">
        <v>56</v>
      </c>
      <c r="O19" s="69">
        <v>0.0</v>
      </c>
      <c r="P19" s="69">
        <v>50.0</v>
      </c>
      <c r="Q19" s="70" t="s">
        <v>59</v>
      </c>
      <c r="R19" s="64" t="s">
        <v>20</v>
      </c>
      <c r="S19" s="65"/>
      <c r="T19" s="65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</row>
    <row r="20" ht="15.75" customHeight="1">
      <c r="A20" s="67"/>
      <c r="B20" s="60">
        <v>43256.0</v>
      </c>
      <c r="C20" s="61"/>
      <c r="D20" s="61"/>
      <c r="E20" s="62">
        <v>140000.0</v>
      </c>
      <c r="F20" s="63">
        <v>0.0</v>
      </c>
      <c r="G20" s="64">
        <v>1.0</v>
      </c>
      <c r="H20" s="64" t="s">
        <v>51</v>
      </c>
      <c r="I20" s="64" t="s">
        <v>55</v>
      </c>
      <c r="J20" s="64" t="s">
        <v>47</v>
      </c>
      <c r="K20" s="64" t="s">
        <v>50</v>
      </c>
      <c r="L20" s="64" t="s">
        <v>50</v>
      </c>
      <c r="M20" s="64" t="s">
        <v>18</v>
      </c>
      <c r="N20" s="64" t="s">
        <v>56</v>
      </c>
      <c r="O20" s="62">
        <v>140000.0</v>
      </c>
      <c r="P20" s="62">
        <v>0.0</v>
      </c>
      <c r="Q20" s="64" t="s">
        <v>59</v>
      </c>
      <c r="R20" s="64" t="s">
        <v>20</v>
      </c>
      <c r="S20" s="65"/>
      <c r="T20" s="65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</row>
    <row r="21" ht="15.75" customHeight="1">
      <c r="A21" s="67"/>
      <c r="B21" s="60">
        <v>43256.0</v>
      </c>
      <c r="C21" s="61"/>
      <c r="D21" s="61"/>
      <c r="E21" s="68">
        <v>0.0</v>
      </c>
      <c r="F21" s="69">
        <v>140000.0</v>
      </c>
      <c r="G21" s="70">
        <v>1.0</v>
      </c>
      <c r="H21" s="70" t="s">
        <v>51</v>
      </c>
      <c r="I21" s="70" t="s">
        <v>58</v>
      </c>
      <c r="J21" s="70" t="s">
        <v>47</v>
      </c>
      <c r="K21" s="64" t="s">
        <v>50</v>
      </c>
      <c r="L21" s="70" t="s">
        <v>50</v>
      </c>
      <c r="M21" s="64" t="s">
        <v>18</v>
      </c>
      <c r="N21" s="64" t="s">
        <v>56</v>
      </c>
      <c r="O21" s="69">
        <v>0.0</v>
      </c>
      <c r="P21" s="69">
        <v>140000.0</v>
      </c>
      <c r="Q21" s="70" t="s">
        <v>57</v>
      </c>
      <c r="R21" s="64" t="s">
        <v>20</v>
      </c>
      <c r="S21" s="65"/>
      <c r="T21" s="65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</row>
    <row r="22" ht="15.75" customHeight="1">
      <c r="A22" s="67"/>
      <c r="B22" s="60">
        <v>43256.0</v>
      </c>
      <c r="C22" s="61"/>
      <c r="D22" s="61"/>
      <c r="E22" s="62">
        <v>75060.0</v>
      </c>
      <c r="F22" s="63">
        <v>0.0</v>
      </c>
      <c r="G22" s="64">
        <v>1.0</v>
      </c>
      <c r="H22" s="64" t="s">
        <v>51</v>
      </c>
      <c r="I22" s="64" t="s">
        <v>55</v>
      </c>
      <c r="J22" s="64" t="s">
        <v>47</v>
      </c>
      <c r="K22" s="64" t="s">
        <v>50</v>
      </c>
      <c r="L22" s="64" t="s">
        <v>50</v>
      </c>
      <c r="M22" s="64" t="s">
        <v>24</v>
      </c>
      <c r="N22" s="64" t="s">
        <v>56</v>
      </c>
      <c r="O22" s="62">
        <v>75060.0</v>
      </c>
      <c r="P22" s="62">
        <v>0.0</v>
      </c>
      <c r="Q22" s="64" t="s">
        <v>60</v>
      </c>
      <c r="R22" s="64" t="s">
        <v>20</v>
      </c>
      <c r="S22" s="65"/>
      <c r="T22" s="65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</row>
    <row r="23" ht="15.75" customHeight="1">
      <c r="A23" s="67"/>
      <c r="B23" s="60">
        <v>43256.0</v>
      </c>
      <c r="C23" s="61"/>
      <c r="D23" s="61"/>
      <c r="E23" s="68">
        <v>0.0</v>
      </c>
      <c r="F23" s="69">
        <v>75060.0</v>
      </c>
      <c r="G23" s="70">
        <v>1.0</v>
      </c>
      <c r="H23" s="70" t="s">
        <v>51</v>
      </c>
      <c r="I23" s="70" t="s">
        <v>58</v>
      </c>
      <c r="J23" s="70" t="s">
        <v>47</v>
      </c>
      <c r="K23" s="64" t="s">
        <v>50</v>
      </c>
      <c r="L23" s="70" t="s">
        <v>50</v>
      </c>
      <c r="M23" s="64" t="s">
        <v>24</v>
      </c>
      <c r="N23" s="64" t="s">
        <v>56</v>
      </c>
      <c r="O23" s="69">
        <v>0.0</v>
      </c>
      <c r="P23" s="69">
        <v>75060.0</v>
      </c>
      <c r="Q23" s="70" t="s">
        <v>59</v>
      </c>
      <c r="R23" s="64" t="s">
        <v>20</v>
      </c>
      <c r="S23" s="65"/>
      <c r="T23" s="65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</row>
    <row r="24" ht="15.75" customHeight="1">
      <c r="A24" s="67"/>
      <c r="B24" s="60">
        <v>43256.0</v>
      </c>
      <c r="C24" s="61"/>
      <c r="D24" s="61"/>
      <c r="E24" s="62">
        <v>70.0</v>
      </c>
      <c r="F24" s="63">
        <v>0.0</v>
      </c>
      <c r="G24" s="64">
        <v>1.0</v>
      </c>
      <c r="H24" s="64" t="s">
        <v>51</v>
      </c>
      <c r="I24" s="64" t="s">
        <v>55</v>
      </c>
      <c r="J24" s="64" t="s">
        <v>47</v>
      </c>
      <c r="K24" s="64" t="s">
        <v>50</v>
      </c>
      <c r="L24" s="64" t="s">
        <v>50</v>
      </c>
      <c r="M24" s="64" t="s">
        <v>26</v>
      </c>
      <c r="N24" s="64" t="s">
        <v>56</v>
      </c>
      <c r="O24" s="62">
        <v>70.0</v>
      </c>
      <c r="P24" s="62">
        <v>0.0</v>
      </c>
      <c r="Q24" s="64" t="s">
        <v>57</v>
      </c>
      <c r="R24" s="64" t="s">
        <v>20</v>
      </c>
      <c r="S24" s="65"/>
      <c r="T24" s="65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</row>
    <row r="25" ht="15.75" customHeight="1">
      <c r="A25" s="67"/>
      <c r="B25" s="60">
        <v>43256.0</v>
      </c>
      <c r="C25" s="61"/>
      <c r="D25" s="61"/>
      <c r="E25" s="68">
        <v>0.0</v>
      </c>
      <c r="F25" s="69">
        <v>70.0</v>
      </c>
      <c r="G25" s="70">
        <v>1.0</v>
      </c>
      <c r="H25" s="70" t="s">
        <v>51</v>
      </c>
      <c r="I25" s="70" t="s">
        <v>58</v>
      </c>
      <c r="J25" s="70" t="s">
        <v>47</v>
      </c>
      <c r="K25" s="64" t="s">
        <v>50</v>
      </c>
      <c r="L25" s="70" t="s">
        <v>50</v>
      </c>
      <c r="M25" s="64" t="s">
        <v>26</v>
      </c>
      <c r="N25" s="64" t="s">
        <v>56</v>
      </c>
      <c r="O25" s="69">
        <v>0.0</v>
      </c>
      <c r="P25" s="69">
        <v>70.0</v>
      </c>
      <c r="Q25" s="70" t="s">
        <v>59</v>
      </c>
      <c r="R25" s="64" t="s">
        <v>20</v>
      </c>
      <c r="S25" s="65"/>
      <c r="T25" s="65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</row>
    <row r="26" ht="15.75" customHeight="1">
      <c r="A26" s="67"/>
      <c r="B26" s="60">
        <v>43256.0</v>
      </c>
      <c r="C26" s="61"/>
      <c r="D26" s="61"/>
      <c r="E26" s="62">
        <v>80000.0</v>
      </c>
      <c r="F26" s="63">
        <v>0.0</v>
      </c>
      <c r="G26" s="64">
        <v>1.0</v>
      </c>
      <c r="H26" s="64" t="s">
        <v>51</v>
      </c>
      <c r="I26" s="64" t="s">
        <v>55</v>
      </c>
      <c r="J26" s="64" t="s">
        <v>47</v>
      </c>
      <c r="K26" s="64" t="s">
        <v>50</v>
      </c>
      <c r="L26" s="64" t="s">
        <v>50</v>
      </c>
      <c r="M26" s="64" t="s">
        <v>26</v>
      </c>
      <c r="N26" s="64" t="s">
        <v>56</v>
      </c>
      <c r="O26" s="62">
        <v>80000.0</v>
      </c>
      <c r="P26" s="62">
        <v>0.0</v>
      </c>
      <c r="Q26" s="64" t="s">
        <v>59</v>
      </c>
      <c r="R26" s="64" t="s">
        <v>20</v>
      </c>
      <c r="S26" s="65"/>
      <c r="T26" s="65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</row>
    <row r="27" ht="15.75" customHeight="1">
      <c r="A27" s="66"/>
      <c r="B27" s="60">
        <v>43256.0</v>
      </c>
      <c r="C27" s="61"/>
      <c r="D27" s="61"/>
      <c r="E27" s="68">
        <v>0.0</v>
      </c>
      <c r="F27" s="69">
        <v>80000.0</v>
      </c>
      <c r="G27" s="70">
        <v>1.0</v>
      </c>
      <c r="H27" s="70" t="s">
        <v>51</v>
      </c>
      <c r="I27" s="70" t="s">
        <v>58</v>
      </c>
      <c r="J27" s="70" t="s">
        <v>47</v>
      </c>
      <c r="K27" s="64" t="s">
        <v>50</v>
      </c>
      <c r="L27" s="70" t="s">
        <v>50</v>
      </c>
      <c r="M27" s="64" t="s">
        <v>26</v>
      </c>
      <c r="N27" s="64" t="s">
        <v>56</v>
      </c>
      <c r="O27" s="69">
        <v>0.0</v>
      </c>
      <c r="P27" s="69">
        <v>80000.0</v>
      </c>
      <c r="Q27" s="70" t="s">
        <v>57</v>
      </c>
      <c r="R27" s="64" t="s">
        <v>20</v>
      </c>
      <c r="S27" s="65"/>
      <c r="T27" s="65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</row>
    <row r="28" ht="15.75" customHeight="1">
      <c r="A28" s="66"/>
      <c r="B28" s="60">
        <v>43256.0</v>
      </c>
      <c r="C28" s="61"/>
      <c r="D28" s="61"/>
      <c r="E28" s="62">
        <v>170080.0</v>
      </c>
      <c r="F28" s="63">
        <v>0.0</v>
      </c>
      <c r="G28" s="64">
        <v>1.0</v>
      </c>
      <c r="H28" s="64" t="s">
        <v>51</v>
      </c>
      <c r="I28" s="64" t="s">
        <v>55</v>
      </c>
      <c r="J28" s="64" t="s">
        <v>47</v>
      </c>
      <c r="K28" s="64" t="s">
        <v>50</v>
      </c>
      <c r="L28" s="64" t="s">
        <v>50</v>
      </c>
      <c r="M28" s="64" t="s">
        <v>27</v>
      </c>
      <c r="N28" s="64" t="s">
        <v>56</v>
      </c>
      <c r="O28" s="62">
        <v>170080.0</v>
      </c>
      <c r="P28" s="62">
        <v>0.0</v>
      </c>
      <c r="Q28" s="64" t="s">
        <v>60</v>
      </c>
      <c r="R28" s="64" t="s">
        <v>20</v>
      </c>
      <c r="S28" s="65"/>
      <c r="T28" s="65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</row>
    <row r="29" ht="15.75" customHeight="1">
      <c r="A29" s="66"/>
      <c r="B29" s="60">
        <v>43256.0</v>
      </c>
      <c r="C29" s="61"/>
      <c r="D29" s="61"/>
      <c r="E29" s="68">
        <v>0.0</v>
      </c>
      <c r="F29" s="69">
        <v>170080.0</v>
      </c>
      <c r="G29" s="70">
        <v>1.0</v>
      </c>
      <c r="H29" s="70" t="s">
        <v>51</v>
      </c>
      <c r="I29" s="70" t="s">
        <v>58</v>
      </c>
      <c r="J29" s="70" t="s">
        <v>47</v>
      </c>
      <c r="K29" s="64" t="s">
        <v>50</v>
      </c>
      <c r="L29" s="70" t="s">
        <v>50</v>
      </c>
      <c r="M29" s="64" t="s">
        <v>27</v>
      </c>
      <c r="N29" s="64" t="s">
        <v>56</v>
      </c>
      <c r="O29" s="69">
        <v>0.0</v>
      </c>
      <c r="P29" s="69">
        <v>170080.0</v>
      </c>
      <c r="Q29" s="70" t="s">
        <v>59</v>
      </c>
      <c r="R29" s="64" t="s">
        <v>20</v>
      </c>
      <c r="S29" s="65"/>
      <c r="T29" s="65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</row>
    <row r="30" ht="15.75" customHeight="1">
      <c r="A30" s="66"/>
      <c r="B30" s="71"/>
      <c r="C30" s="61"/>
      <c r="D30" s="61"/>
      <c r="E30" s="72"/>
      <c r="F30" s="73"/>
      <c r="G30" s="65"/>
      <c r="H30" s="65"/>
      <c r="I30" s="65"/>
      <c r="J30" s="65"/>
      <c r="K30" s="65"/>
      <c r="L30" s="65"/>
      <c r="M30" s="65"/>
      <c r="N30" s="65"/>
      <c r="O30" s="73"/>
      <c r="P30" s="73"/>
      <c r="Q30" s="65"/>
      <c r="R30" s="65"/>
      <c r="S30" s="65"/>
      <c r="T30" s="65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</row>
    <row r="31" ht="15.75" customHeight="1">
      <c r="A31" s="66"/>
      <c r="B31" s="71"/>
      <c r="C31" s="61"/>
      <c r="D31" s="61"/>
      <c r="E31" s="73"/>
      <c r="F31" s="74"/>
      <c r="G31" s="65"/>
      <c r="H31" s="65"/>
      <c r="I31" s="65"/>
      <c r="J31" s="65"/>
      <c r="K31" s="65"/>
      <c r="L31" s="65"/>
      <c r="M31" s="65"/>
      <c r="N31" s="65"/>
      <c r="O31" s="73"/>
      <c r="P31" s="73"/>
      <c r="Q31" s="65"/>
      <c r="R31" s="65"/>
      <c r="S31" s="65"/>
      <c r="T31" s="65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</row>
    <row r="32" ht="15.75" customHeight="1">
      <c r="A32" s="66"/>
      <c r="B32" s="71"/>
      <c r="C32" s="61"/>
      <c r="D32" s="61"/>
      <c r="E32" s="73"/>
      <c r="F32" s="74"/>
      <c r="G32" s="65"/>
      <c r="H32" s="65"/>
      <c r="I32" s="65"/>
      <c r="J32" s="65"/>
      <c r="K32" s="65"/>
      <c r="L32" s="65"/>
      <c r="M32" s="65"/>
      <c r="N32" s="65"/>
      <c r="O32" s="73"/>
      <c r="P32" s="73"/>
      <c r="Q32" s="65"/>
      <c r="R32" s="65"/>
      <c r="S32" s="65"/>
      <c r="T32" s="65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</row>
    <row r="33" ht="15.75" customHeight="1">
      <c r="A33" s="66"/>
      <c r="B33" s="71"/>
      <c r="C33" s="61"/>
      <c r="D33" s="61"/>
      <c r="E33" s="73"/>
      <c r="F33" s="74"/>
      <c r="G33" s="65"/>
      <c r="H33" s="65"/>
      <c r="I33" s="65"/>
      <c r="J33" s="65"/>
      <c r="K33" s="65"/>
      <c r="L33" s="65"/>
      <c r="M33" s="65"/>
      <c r="N33" s="65"/>
      <c r="O33" s="73"/>
      <c r="P33" s="73"/>
      <c r="Q33" s="65"/>
      <c r="R33" s="65"/>
      <c r="S33" s="65"/>
      <c r="T33" s="65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</row>
    <row r="34" ht="15.75" customHeight="1">
      <c r="A34" s="66"/>
      <c r="B34" s="71"/>
      <c r="C34" s="61"/>
      <c r="D34" s="61"/>
      <c r="E34" s="72"/>
      <c r="F34" s="73"/>
      <c r="G34" s="65"/>
      <c r="H34" s="65"/>
      <c r="I34" s="65"/>
      <c r="J34" s="65"/>
      <c r="K34" s="65"/>
      <c r="L34" s="65"/>
      <c r="M34" s="65"/>
      <c r="N34" s="65"/>
      <c r="O34" s="73"/>
      <c r="P34" s="73"/>
      <c r="Q34" s="65"/>
      <c r="R34" s="65"/>
      <c r="S34" s="65"/>
      <c r="T34" s="65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</row>
    <row r="35" ht="15.75" customHeight="1">
      <c r="A35" s="66"/>
      <c r="B35" s="71"/>
      <c r="C35" s="61"/>
      <c r="D35" s="61"/>
      <c r="E35" s="73"/>
      <c r="F35" s="74"/>
      <c r="G35" s="65"/>
      <c r="H35" s="65"/>
      <c r="I35" s="65"/>
      <c r="J35" s="65"/>
      <c r="K35" s="65"/>
      <c r="L35" s="65"/>
      <c r="M35" s="65"/>
      <c r="N35" s="65"/>
      <c r="O35" s="73"/>
      <c r="P35" s="73"/>
      <c r="Q35" s="65"/>
      <c r="R35" s="65"/>
      <c r="S35" s="65"/>
      <c r="T35" s="65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</row>
    <row r="36" ht="15.75" customHeight="1">
      <c r="A36" s="66"/>
      <c r="B36" s="71"/>
      <c r="C36" s="61"/>
      <c r="D36" s="61"/>
      <c r="E36" s="72"/>
      <c r="F36" s="73"/>
      <c r="G36" s="65"/>
      <c r="H36" s="65"/>
      <c r="I36" s="65"/>
      <c r="J36" s="65"/>
      <c r="K36" s="65"/>
      <c r="L36" s="65"/>
      <c r="M36" s="65"/>
      <c r="N36" s="65"/>
      <c r="O36" s="73"/>
      <c r="P36" s="73"/>
      <c r="Q36" s="65"/>
      <c r="R36" s="65"/>
      <c r="S36" s="65"/>
      <c r="T36" s="65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</row>
    <row r="37" ht="15.75" customHeight="1">
      <c r="A37" s="66"/>
      <c r="B37" s="71"/>
      <c r="C37" s="61"/>
      <c r="D37" s="61"/>
      <c r="E37" s="73"/>
      <c r="F37" s="74"/>
      <c r="G37" s="65"/>
      <c r="H37" s="65"/>
      <c r="I37" s="65"/>
      <c r="J37" s="65"/>
      <c r="K37" s="65"/>
      <c r="L37" s="65"/>
      <c r="M37" s="65"/>
      <c r="N37" s="65"/>
      <c r="O37" s="73"/>
      <c r="P37" s="73"/>
      <c r="Q37" s="65"/>
      <c r="R37" s="65"/>
      <c r="S37" s="65"/>
      <c r="T37" s="65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</row>
    <row r="38" ht="15.75" customHeight="1">
      <c r="A38" s="66"/>
      <c r="B38" s="71"/>
      <c r="C38" s="61"/>
      <c r="D38" s="61"/>
      <c r="E38" s="73"/>
      <c r="F38" s="74"/>
      <c r="G38" s="65"/>
      <c r="H38" s="65"/>
      <c r="I38" s="65"/>
      <c r="J38" s="65"/>
      <c r="K38" s="65"/>
      <c r="L38" s="65"/>
      <c r="M38" s="65"/>
      <c r="N38" s="65"/>
      <c r="O38" s="73"/>
      <c r="P38" s="73"/>
      <c r="Q38" s="65"/>
      <c r="R38" s="65"/>
      <c r="S38" s="65"/>
      <c r="T38" s="65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</row>
    <row r="39" ht="15.75" customHeight="1">
      <c r="A39" s="66"/>
      <c r="B39" s="71"/>
      <c r="C39" s="61"/>
      <c r="D39" s="61"/>
      <c r="E39" s="72"/>
      <c r="F39" s="73"/>
      <c r="G39" s="65"/>
      <c r="H39" s="65"/>
      <c r="I39" s="65"/>
      <c r="J39" s="65"/>
      <c r="K39" s="65"/>
      <c r="L39" s="65"/>
      <c r="M39" s="65"/>
      <c r="N39" s="65"/>
      <c r="O39" s="73"/>
      <c r="P39" s="73"/>
      <c r="Q39" s="65"/>
      <c r="R39" s="65"/>
      <c r="S39" s="65"/>
      <c r="T39" s="65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</row>
    <row r="40" ht="15.75" customHeight="1">
      <c r="A40" s="66"/>
      <c r="B40" s="71"/>
      <c r="C40" s="61"/>
      <c r="D40" s="61"/>
      <c r="E40" s="73"/>
      <c r="F40" s="74"/>
      <c r="G40" s="65"/>
      <c r="H40" s="65"/>
      <c r="I40" s="65"/>
      <c r="J40" s="65"/>
      <c r="K40" s="65"/>
      <c r="L40" s="65"/>
      <c r="M40" s="65"/>
      <c r="N40" s="65"/>
      <c r="O40" s="73"/>
      <c r="P40" s="73"/>
      <c r="Q40" s="65"/>
      <c r="R40" s="65"/>
      <c r="S40" s="65"/>
      <c r="T40" s="65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</row>
    <row r="41" ht="15.75" customHeight="1">
      <c r="A41" s="66"/>
      <c r="B41" s="71"/>
      <c r="C41" s="61"/>
      <c r="D41" s="61"/>
      <c r="E41" s="73"/>
      <c r="F41" s="74"/>
      <c r="G41" s="65"/>
      <c r="H41" s="65"/>
      <c r="I41" s="65"/>
      <c r="J41" s="65"/>
      <c r="K41" s="65"/>
      <c r="L41" s="65"/>
      <c r="M41" s="65"/>
      <c r="N41" s="65"/>
      <c r="O41" s="73"/>
      <c r="P41" s="73"/>
      <c r="Q41" s="65"/>
      <c r="R41" s="65"/>
      <c r="S41" s="65"/>
      <c r="T41" s="65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</row>
    <row r="42" ht="15.75" customHeight="1"/>
    <row r="43" ht="15.75" customHeight="1"/>
    <row r="44" ht="15.75" customHeight="1"/>
    <row r="4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54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43</v>
      </c>
      <c r="C6" s="50" t="s">
        <v>20</v>
      </c>
      <c r="D6" s="30">
        <v>43255.0</v>
      </c>
      <c r="E6" s="30">
        <v>43257.0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61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IFERROR(__xludf.DUMMYFUNCTION("""COMPUTED_VALUE"""),"Date")</f>
        <v>Date</v>
      </c>
      <c r="D5" s="26" t="str">
        <f>IFERROR(__xludf.DUMMYFUNCTION("""COMPUTED_VALUE"""),"Currency (Local)")</f>
        <v>Currency (Local)</v>
      </c>
      <c r="E5" s="26" t="str">
        <f>IFERROR(__xludf.DUMMYFUNCTION("""COMPUTED_VALUE"""),"Cash (Local)")</f>
        <v>Cash (Local)</v>
      </c>
      <c r="F5" s="27" t="str">
        <f>IFERROR(__xludf.DUMMYFUNCTION("""COMPUTED_VALUE"""),"Currency (Base)")</f>
        <v>Currency (Base)</v>
      </c>
      <c r="G5" s="26" t="str">
        <f>IFERROR(__xludf.DUMMYFUNCTION("""COMPUTED_VALUE"""),"Cash (Base)")</f>
        <v>Cash (Base)</v>
      </c>
      <c r="H5" s="26" t="str">
        <f>IFERROR(__xludf.DUMMYFUNCTION("""COMPUTED_VALUE"""),"BalanceType")</f>
        <v>BalanceType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3"/>
      <c r="B6" s="50" t="s">
        <v>20</v>
      </c>
      <c r="C6" s="30">
        <v>43255.0</v>
      </c>
      <c r="D6" s="43" t="s">
        <v>50</v>
      </c>
      <c r="E6" s="43">
        <v>19900.0</v>
      </c>
      <c r="F6" s="43" t="s">
        <v>50</v>
      </c>
      <c r="G6" s="43">
        <v>19900.0</v>
      </c>
      <c r="H6" s="43" t="s">
        <v>49</v>
      </c>
      <c r="I6" s="7"/>
      <c r="J6" s="7"/>
      <c r="K6" s="7"/>
      <c r="L6" s="7"/>
      <c r="M6" s="7"/>
      <c r="N6" s="7"/>
      <c r="O6" s="7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62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43</v>
      </c>
      <c r="C6" s="50" t="s">
        <v>20</v>
      </c>
      <c r="D6" s="30">
        <v>43257.0</v>
      </c>
      <c r="E6" s="45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3.29"/>
    <col customWidth="1" min="13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45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1" t="str">
        <f>IFERROR(__xludf.DUMMYFUNCTION("""COMPUTED_VALUE"""),"Account")</f>
        <v>Account</v>
      </c>
      <c r="C5" s="51" t="str">
        <f>IFERROR(__xludf.DUMMYFUNCTION("""COMPUTED_VALUE"""),"Activity Source")</f>
        <v>Activity Source</v>
      </c>
      <c r="D5" s="51" t="str">
        <f>IFERROR(__xludf.DUMMYFUNCTION("""COMPUTED_VALUE"""),"ActivityType")</f>
        <v>ActivityType</v>
      </c>
      <c r="E5" s="51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51" t="str">
        <f>IFERROR(__xludf.DUMMYFUNCTION("""COMPUTED_VALUE"""),"AUEC Fee2")</f>
        <v>AUEC Fee2</v>
      </c>
      <c r="H5" s="51" t="str">
        <f>IFERROR(__xludf.DUMMYFUNCTION("""COMPUTED_VALUE"""),"Balance Type")</f>
        <v>Balance Type</v>
      </c>
      <c r="I5" s="51" t="str">
        <f>IFERROR(__xludf.DUMMYFUNCTION("""COMPUTED_VALUE"""),"Clearing Broker Fees")</f>
        <v>Clearing Broker Fees</v>
      </c>
      <c r="J5" s="51" t="str">
        <f>IFERROR(__xludf.DUMMYFUNCTION("""COMPUTED_VALUE"""),"Commission")</f>
        <v>Commission</v>
      </c>
      <c r="K5" s="51" t="str">
        <f>IFERROR(__xludf.DUMMYFUNCTION("""COMPUTED_VALUE"""),"Currency")</f>
        <v>Currency</v>
      </c>
      <c r="L5" s="51" t="str">
        <f>IFERROR(__xludf.DUMMYFUNCTION("""COMPUTED_VALUE"""),"Description")</f>
        <v>Description</v>
      </c>
      <c r="M5" s="51" t="str">
        <f>IFERROR(__xludf.DUMMYFUNCTION("""COMPUTED_VALUE"""),"Entry Date")</f>
        <v>Entry Date</v>
      </c>
      <c r="N5" s="51" t="str">
        <f>IFERROR(__xludf.DUMMYFUNCTION("""COMPUTED_VALUE"""),"FX Conversion Method Operator")</f>
        <v>FX Conversion Method Operator</v>
      </c>
      <c r="O5" s="51" t="str">
        <f>IFERROR(__xludf.DUMMYFUNCTION("""COMPUTED_VALUE"""),"Fx Rate")</f>
        <v>Fx Rate</v>
      </c>
      <c r="P5" s="51" t="str">
        <f>IFERROR(__xludf.DUMMYFUNCTION("""COMPUTED_VALUE"""),"Lead Currency")</f>
        <v>Lead Currency</v>
      </c>
      <c r="Q5" s="51" t="str">
        <f>IFERROR(__xludf.DUMMYFUNCTION("""COMPUTED_VALUE"""),"Modify date")</f>
        <v>Modify date</v>
      </c>
      <c r="R5" s="51" t="str">
        <f>IFERROR(__xludf.DUMMYFUNCTION("""COMPUTED_VALUE"""),"OCC Fee")</f>
        <v>OCC Fee</v>
      </c>
      <c r="S5" s="51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9"/>
      <c r="B6" s="65" t="s">
        <v>20</v>
      </c>
      <c r="C6" s="65" t="s">
        <v>63</v>
      </c>
      <c r="D6" s="65" t="s">
        <v>64</v>
      </c>
      <c r="E6" s="65">
        <v>449990.0</v>
      </c>
      <c r="F6" s="65">
        <v>0.0</v>
      </c>
      <c r="G6" s="65">
        <v>0.0</v>
      </c>
      <c r="H6" s="65" t="s">
        <v>49</v>
      </c>
      <c r="I6" s="65">
        <v>0.0</v>
      </c>
      <c r="J6" s="65">
        <v>0.0</v>
      </c>
      <c r="K6" s="65" t="s">
        <v>50</v>
      </c>
      <c r="L6" s="65" t="s">
        <v>65</v>
      </c>
      <c r="M6" s="61"/>
      <c r="N6" s="65" t="s">
        <v>51</v>
      </c>
      <c r="O6" s="65">
        <v>1.0</v>
      </c>
      <c r="P6" s="76"/>
      <c r="Q6" s="61"/>
      <c r="R6" s="65">
        <v>0.0</v>
      </c>
      <c r="S6" s="65">
        <v>0.0</v>
      </c>
      <c r="T6" s="65">
        <v>0.0</v>
      </c>
      <c r="U6" s="65">
        <v>0.0</v>
      </c>
      <c r="V6" s="65">
        <v>0.0</v>
      </c>
      <c r="W6" s="65">
        <v>0.0</v>
      </c>
      <c r="X6" s="76"/>
      <c r="Y6" s="77"/>
      <c r="Z6" s="65">
        <v>0.0</v>
      </c>
      <c r="AA6" s="65">
        <v>0.0</v>
      </c>
      <c r="AB6" s="65" t="s">
        <v>18</v>
      </c>
      <c r="AC6" s="65">
        <v>0.0</v>
      </c>
      <c r="AD6" s="65">
        <v>0.0</v>
      </c>
      <c r="AE6" s="56">
        <v>43255.0</v>
      </c>
      <c r="AF6" s="65">
        <v>0.0</v>
      </c>
      <c r="AG6" s="65" t="s">
        <v>63</v>
      </c>
      <c r="AH6" s="65"/>
      <c r="AI6" s="7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</row>
    <row r="7" ht="15.75" customHeight="1">
      <c r="A7" s="67"/>
      <c r="B7" s="65" t="s">
        <v>20</v>
      </c>
      <c r="C7" s="65" t="s">
        <v>63</v>
      </c>
      <c r="D7" s="65" t="s">
        <v>67</v>
      </c>
      <c r="E7" s="65">
        <v>-220040.0</v>
      </c>
      <c r="F7" s="65">
        <v>0.0</v>
      </c>
      <c r="G7" s="65">
        <v>0.0</v>
      </c>
      <c r="H7" s="65" t="s">
        <v>49</v>
      </c>
      <c r="I7" s="65">
        <v>0.0</v>
      </c>
      <c r="J7" s="65">
        <v>0.0</v>
      </c>
      <c r="K7" s="65" t="s">
        <v>50</v>
      </c>
      <c r="L7" s="65" t="s">
        <v>65</v>
      </c>
      <c r="M7" s="61"/>
      <c r="N7" s="65" t="s">
        <v>51</v>
      </c>
      <c r="O7" s="65">
        <v>1.0</v>
      </c>
      <c r="P7" s="76"/>
      <c r="Q7" s="61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76"/>
      <c r="Y7" s="77"/>
      <c r="Z7" s="65">
        <v>0.0</v>
      </c>
      <c r="AA7" s="65">
        <v>0.0</v>
      </c>
      <c r="AB7" s="65" t="s">
        <v>27</v>
      </c>
      <c r="AC7" s="65">
        <v>0.0</v>
      </c>
      <c r="AD7" s="65">
        <v>0.0</v>
      </c>
      <c r="AE7" s="56">
        <v>43255.0</v>
      </c>
      <c r="AF7" s="65">
        <v>0.0</v>
      </c>
      <c r="AG7" s="65" t="s">
        <v>63</v>
      </c>
      <c r="AH7" s="65"/>
      <c r="AI7" s="7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</row>
    <row r="8" ht="15.75" customHeight="1">
      <c r="A8" s="67"/>
      <c r="B8" s="65" t="s">
        <v>20</v>
      </c>
      <c r="C8" s="65" t="s">
        <v>63</v>
      </c>
      <c r="D8" s="65" t="s">
        <v>67</v>
      </c>
      <c r="E8" s="65">
        <v>-140020.0</v>
      </c>
      <c r="F8" s="65">
        <v>0.0</v>
      </c>
      <c r="G8" s="65">
        <v>0.0</v>
      </c>
      <c r="H8" s="65" t="s">
        <v>49</v>
      </c>
      <c r="I8" s="65">
        <v>0.0</v>
      </c>
      <c r="J8" s="65">
        <v>0.0</v>
      </c>
      <c r="K8" s="65" t="s">
        <v>50</v>
      </c>
      <c r="L8" s="65" t="s">
        <v>65</v>
      </c>
      <c r="M8" s="61"/>
      <c r="N8" s="65" t="s">
        <v>51</v>
      </c>
      <c r="O8" s="65">
        <v>1.0</v>
      </c>
      <c r="P8" s="76"/>
      <c r="Q8" s="61"/>
      <c r="R8" s="65">
        <v>0.0</v>
      </c>
      <c r="S8" s="65">
        <v>0.0</v>
      </c>
      <c r="T8" s="65">
        <v>0.0</v>
      </c>
      <c r="U8" s="65">
        <v>0.0</v>
      </c>
      <c r="V8" s="65">
        <v>0.0</v>
      </c>
      <c r="W8" s="65">
        <v>0.0</v>
      </c>
      <c r="X8" s="76"/>
      <c r="Y8" s="77"/>
      <c r="Z8" s="65">
        <v>0.0</v>
      </c>
      <c r="AA8" s="65">
        <v>0.0</v>
      </c>
      <c r="AB8" s="65" t="s">
        <v>24</v>
      </c>
      <c r="AC8" s="65">
        <v>0.0</v>
      </c>
      <c r="AD8" s="65">
        <v>0.0</v>
      </c>
      <c r="AE8" s="56">
        <v>43255.0</v>
      </c>
      <c r="AF8" s="65">
        <v>0.0</v>
      </c>
      <c r="AG8" s="65" t="s">
        <v>63</v>
      </c>
      <c r="AH8" s="65"/>
      <c r="AI8" s="7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</row>
    <row r="9" ht="15.75" customHeight="1">
      <c r="A9" s="67"/>
      <c r="B9" s="65" t="s">
        <v>20</v>
      </c>
      <c r="C9" s="65" t="s">
        <v>63</v>
      </c>
      <c r="D9" s="65" t="s">
        <v>64</v>
      </c>
      <c r="E9" s="65">
        <v>329970.0</v>
      </c>
      <c r="F9" s="65">
        <v>0.0</v>
      </c>
      <c r="G9" s="65">
        <v>0.0</v>
      </c>
      <c r="H9" s="65" t="s">
        <v>49</v>
      </c>
      <c r="I9" s="65">
        <v>0.0</v>
      </c>
      <c r="J9" s="65">
        <v>0.0</v>
      </c>
      <c r="K9" s="65" t="s">
        <v>50</v>
      </c>
      <c r="L9" s="65" t="s">
        <v>65</v>
      </c>
      <c r="M9" s="61"/>
      <c r="N9" s="65" t="s">
        <v>51</v>
      </c>
      <c r="O9" s="65">
        <v>1.0</v>
      </c>
      <c r="P9" s="76"/>
      <c r="Q9" s="61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76"/>
      <c r="Y9" s="77"/>
      <c r="Z9" s="65">
        <v>0.0</v>
      </c>
      <c r="AA9" s="65">
        <v>0.0</v>
      </c>
      <c r="AB9" s="65" t="s">
        <v>26</v>
      </c>
      <c r="AC9" s="65">
        <v>0.0</v>
      </c>
      <c r="AD9" s="65">
        <v>0.0</v>
      </c>
      <c r="AE9" s="56">
        <v>43255.0</v>
      </c>
      <c r="AF9" s="65">
        <v>0.0</v>
      </c>
      <c r="AG9" s="65" t="s">
        <v>63</v>
      </c>
      <c r="AH9" s="65"/>
      <c r="AI9" s="7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</row>
    <row r="10" ht="15.75" customHeight="1">
      <c r="A10" s="67"/>
      <c r="B10" s="65" t="s">
        <v>20</v>
      </c>
      <c r="C10" s="65" t="s">
        <v>47</v>
      </c>
      <c r="D10" s="65" t="s">
        <v>48</v>
      </c>
      <c r="E10" s="65">
        <v>-100010.0</v>
      </c>
      <c r="F10" s="65">
        <v>0.0</v>
      </c>
      <c r="G10" s="65">
        <v>0.0</v>
      </c>
      <c r="H10" s="65" t="s">
        <v>49</v>
      </c>
      <c r="I10" s="65">
        <v>0.0</v>
      </c>
      <c r="J10" s="65">
        <v>5.0</v>
      </c>
      <c r="K10" s="65" t="s">
        <v>50</v>
      </c>
      <c r="L10" s="65" t="s">
        <v>56</v>
      </c>
      <c r="M10" s="61"/>
      <c r="N10" s="65" t="s">
        <v>51</v>
      </c>
      <c r="O10" s="65">
        <v>1.0</v>
      </c>
      <c r="P10" s="76"/>
      <c r="Q10" s="61"/>
      <c r="R10" s="65">
        <v>0.0</v>
      </c>
      <c r="S10" s="65">
        <v>0.0</v>
      </c>
      <c r="T10" s="65">
        <v>0.0</v>
      </c>
      <c r="U10" s="65">
        <v>0.0</v>
      </c>
      <c r="V10" s="65">
        <v>100.0</v>
      </c>
      <c r="W10" s="65">
        <v>0.0</v>
      </c>
      <c r="X10" s="65" t="s">
        <v>50</v>
      </c>
      <c r="Y10" s="61"/>
      <c r="Z10" s="65">
        <v>5.0</v>
      </c>
      <c r="AA10" s="65">
        <v>0.0</v>
      </c>
      <c r="AB10" s="65" t="s">
        <v>18</v>
      </c>
      <c r="AC10" s="65">
        <v>0.0</v>
      </c>
      <c r="AD10" s="65">
        <v>10.0</v>
      </c>
      <c r="AE10" s="56">
        <v>43255.0</v>
      </c>
      <c r="AF10" s="65">
        <v>0.0</v>
      </c>
      <c r="AG10" s="65" t="s">
        <v>47</v>
      </c>
      <c r="AH10" s="76"/>
      <c r="AI10" s="7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</row>
    <row r="11" ht="15.75" customHeight="1">
      <c r="A11" s="67"/>
      <c r="B11" s="65" t="s">
        <v>20</v>
      </c>
      <c r="C11" s="65" t="s">
        <v>47</v>
      </c>
      <c r="D11" s="65" t="s">
        <v>52</v>
      </c>
      <c r="E11" s="65">
        <v>109980.0</v>
      </c>
      <c r="F11" s="65">
        <v>0.0</v>
      </c>
      <c r="G11" s="65">
        <v>0.0</v>
      </c>
      <c r="H11" s="65" t="s">
        <v>49</v>
      </c>
      <c r="I11" s="65">
        <v>0.0</v>
      </c>
      <c r="J11" s="65">
        <v>10.0</v>
      </c>
      <c r="K11" s="65" t="s">
        <v>50</v>
      </c>
      <c r="L11" s="65" t="s">
        <v>56</v>
      </c>
      <c r="M11" s="61"/>
      <c r="N11" s="65" t="s">
        <v>51</v>
      </c>
      <c r="O11" s="65">
        <v>1.0</v>
      </c>
      <c r="P11" s="76"/>
      <c r="Q11" s="61"/>
      <c r="R11" s="65">
        <v>0.0</v>
      </c>
      <c r="S11" s="65">
        <v>0.0</v>
      </c>
      <c r="T11" s="65">
        <v>0.0</v>
      </c>
      <c r="U11" s="65">
        <v>0.0</v>
      </c>
      <c r="V11" s="65">
        <v>100.0</v>
      </c>
      <c r="W11" s="65">
        <v>0.0</v>
      </c>
      <c r="X11" s="65" t="s">
        <v>50</v>
      </c>
      <c r="Y11" s="61"/>
      <c r="Z11" s="65">
        <v>10.0</v>
      </c>
      <c r="AA11" s="65">
        <v>0.0</v>
      </c>
      <c r="AB11" s="65" t="s">
        <v>24</v>
      </c>
      <c r="AC11" s="65">
        <v>0.0</v>
      </c>
      <c r="AD11" s="65">
        <v>20.0</v>
      </c>
      <c r="AE11" s="56">
        <v>43255.0</v>
      </c>
      <c r="AF11" s="65">
        <v>0.0</v>
      </c>
      <c r="AG11" s="65" t="s">
        <v>47</v>
      </c>
      <c r="AH11" s="76"/>
      <c r="AI11" s="7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</row>
    <row r="12" ht="15.75" customHeight="1">
      <c r="A12" s="67"/>
      <c r="B12" s="65" t="s">
        <v>20</v>
      </c>
      <c r="C12" s="65" t="s">
        <v>47</v>
      </c>
      <c r="D12" s="65" t="s">
        <v>48</v>
      </c>
      <c r="E12" s="65">
        <v>-120030.0</v>
      </c>
      <c r="F12" s="65">
        <v>0.0</v>
      </c>
      <c r="G12" s="65">
        <v>0.0</v>
      </c>
      <c r="H12" s="65" t="s">
        <v>49</v>
      </c>
      <c r="I12" s="65">
        <v>0.0</v>
      </c>
      <c r="J12" s="65">
        <v>15.0</v>
      </c>
      <c r="K12" s="65" t="s">
        <v>50</v>
      </c>
      <c r="L12" s="65" t="s">
        <v>56</v>
      </c>
      <c r="M12" s="61"/>
      <c r="N12" s="65" t="s">
        <v>51</v>
      </c>
      <c r="O12" s="65">
        <v>1.0</v>
      </c>
      <c r="P12" s="76"/>
      <c r="Q12" s="61"/>
      <c r="R12" s="65">
        <v>0.0</v>
      </c>
      <c r="S12" s="65">
        <v>0.0</v>
      </c>
      <c r="T12" s="65">
        <v>0.0</v>
      </c>
      <c r="U12" s="65">
        <v>0.0</v>
      </c>
      <c r="V12" s="65">
        <v>100.0</v>
      </c>
      <c r="W12" s="65">
        <v>0.0</v>
      </c>
      <c r="X12" s="65" t="s">
        <v>50</v>
      </c>
      <c r="Y12" s="61"/>
      <c r="Z12" s="65">
        <v>15.0</v>
      </c>
      <c r="AA12" s="65">
        <v>0.0</v>
      </c>
      <c r="AB12" s="65" t="s">
        <v>26</v>
      </c>
      <c r="AC12" s="65">
        <v>0.0</v>
      </c>
      <c r="AD12" s="65">
        <v>30.0</v>
      </c>
      <c r="AE12" s="56">
        <v>43255.0</v>
      </c>
      <c r="AF12" s="65">
        <v>0.0</v>
      </c>
      <c r="AG12" s="65" t="s">
        <v>47</v>
      </c>
      <c r="AH12" s="76"/>
      <c r="AI12" s="7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</row>
    <row r="13" ht="15.75" customHeight="1">
      <c r="A13" s="67"/>
      <c r="B13" s="65" t="s">
        <v>20</v>
      </c>
      <c r="C13" s="65" t="s">
        <v>47</v>
      </c>
      <c r="D13" s="65" t="s">
        <v>52</v>
      </c>
      <c r="E13" s="65">
        <v>129960.0</v>
      </c>
      <c r="F13" s="65">
        <v>0.0</v>
      </c>
      <c r="G13" s="65">
        <v>0.0</v>
      </c>
      <c r="H13" s="65" t="s">
        <v>49</v>
      </c>
      <c r="I13" s="65">
        <v>0.0</v>
      </c>
      <c r="J13" s="65">
        <v>20.0</v>
      </c>
      <c r="K13" s="65" t="s">
        <v>50</v>
      </c>
      <c r="L13" s="65" t="s">
        <v>56</v>
      </c>
      <c r="M13" s="61"/>
      <c r="N13" s="65" t="s">
        <v>51</v>
      </c>
      <c r="O13" s="65">
        <v>1.0</v>
      </c>
      <c r="P13" s="76"/>
      <c r="Q13" s="61"/>
      <c r="R13" s="65">
        <v>0.0</v>
      </c>
      <c r="S13" s="65">
        <v>0.0</v>
      </c>
      <c r="T13" s="65">
        <v>0.0</v>
      </c>
      <c r="U13" s="65">
        <v>0.0</v>
      </c>
      <c r="V13" s="65">
        <v>100.0</v>
      </c>
      <c r="W13" s="65">
        <v>0.0</v>
      </c>
      <c r="X13" s="65" t="s">
        <v>50</v>
      </c>
      <c r="Y13" s="61"/>
      <c r="Z13" s="65">
        <v>20.0</v>
      </c>
      <c r="AA13" s="65">
        <v>0.0</v>
      </c>
      <c r="AB13" s="65" t="s">
        <v>27</v>
      </c>
      <c r="AC13" s="65">
        <v>0.0</v>
      </c>
      <c r="AD13" s="65">
        <v>40.0</v>
      </c>
      <c r="AE13" s="56">
        <v>43255.0</v>
      </c>
      <c r="AF13" s="65">
        <v>0.0</v>
      </c>
      <c r="AG13" s="65" t="s">
        <v>47</v>
      </c>
      <c r="AH13" s="76"/>
      <c r="AI13" s="7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</row>
    <row r="14" ht="15.75" customHeight="1">
      <c r="A14" s="67"/>
      <c r="B14" s="65" t="s">
        <v>20</v>
      </c>
      <c r="C14" s="65" t="s">
        <v>63</v>
      </c>
      <c r="D14" s="65" t="s">
        <v>67</v>
      </c>
      <c r="E14" s="65">
        <v>-370010.0</v>
      </c>
      <c r="F14" s="65">
        <v>0.0</v>
      </c>
      <c r="G14" s="65">
        <v>0.0</v>
      </c>
      <c r="H14" s="65" t="s">
        <v>49</v>
      </c>
      <c r="I14" s="65">
        <v>0.0</v>
      </c>
      <c r="J14" s="65">
        <v>0.0</v>
      </c>
      <c r="K14" s="65" t="s">
        <v>50</v>
      </c>
      <c r="L14" s="65" t="s">
        <v>65</v>
      </c>
      <c r="M14" s="61"/>
      <c r="N14" s="65" t="s">
        <v>51</v>
      </c>
      <c r="O14" s="65">
        <v>1.0</v>
      </c>
      <c r="P14" s="76"/>
      <c r="Q14" s="61"/>
      <c r="R14" s="65">
        <v>0.0</v>
      </c>
      <c r="S14" s="65">
        <v>0.0</v>
      </c>
      <c r="T14" s="65">
        <v>0.0</v>
      </c>
      <c r="U14" s="65">
        <v>0.0</v>
      </c>
      <c r="V14" s="65">
        <v>0.0</v>
      </c>
      <c r="W14" s="65">
        <v>0.0</v>
      </c>
      <c r="X14" s="76"/>
      <c r="Y14" s="77"/>
      <c r="Z14" s="65">
        <v>0.0</v>
      </c>
      <c r="AA14" s="65">
        <v>0.0</v>
      </c>
      <c r="AB14" s="65" t="s">
        <v>24</v>
      </c>
      <c r="AC14" s="65">
        <v>0.0</v>
      </c>
      <c r="AD14" s="65">
        <v>0.0</v>
      </c>
      <c r="AE14" s="56">
        <v>43256.0</v>
      </c>
      <c r="AF14" s="65">
        <v>0.0</v>
      </c>
      <c r="AG14" s="65" t="s">
        <v>63</v>
      </c>
      <c r="AH14" s="65"/>
      <c r="AI14" s="7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</row>
    <row r="15" ht="15.75" customHeight="1">
      <c r="A15" s="67"/>
      <c r="B15" s="65" t="s">
        <v>20</v>
      </c>
      <c r="C15" s="65" t="s">
        <v>63</v>
      </c>
      <c r="D15" s="65" t="s">
        <v>68</v>
      </c>
      <c r="E15" s="65">
        <v>-40120.0</v>
      </c>
      <c r="F15" s="65">
        <v>0.0</v>
      </c>
      <c r="G15" s="65">
        <v>0.0</v>
      </c>
      <c r="H15" s="65" t="s">
        <v>49</v>
      </c>
      <c r="I15" s="65">
        <v>0.0</v>
      </c>
      <c r="J15" s="65">
        <v>0.0</v>
      </c>
      <c r="K15" s="65" t="s">
        <v>50</v>
      </c>
      <c r="L15" s="65" t="s">
        <v>69</v>
      </c>
      <c r="M15" s="61"/>
      <c r="N15" s="65" t="s">
        <v>51</v>
      </c>
      <c r="O15" s="65">
        <v>1.0</v>
      </c>
      <c r="P15" s="76"/>
      <c r="Q15" s="61"/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W15" s="65">
        <v>0.0</v>
      </c>
      <c r="X15" s="76"/>
      <c r="Y15" s="77"/>
      <c r="Z15" s="65">
        <v>0.0</v>
      </c>
      <c r="AA15" s="65">
        <v>0.0</v>
      </c>
      <c r="AB15" s="65" t="s">
        <v>27</v>
      </c>
      <c r="AC15" s="65">
        <v>0.0</v>
      </c>
      <c r="AD15" s="65">
        <v>0.0</v>
      </c>
      <c r="AE15" s="56">
        <v>43256.0</v>
      </c>
      <c r="AF15" s="65">
        <v>0.0</v>
      </c>
      <c r="AG15" s="65" t="s">
        <v>63</v>
      </c>
      <c r="AH15" s="65"/>
      <c r="AI15" s="7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</row>
    <row r="16" ht="15.75" customHeight="1">
      <c r="A16" s="67"/>
      <c r="B16" s="65" t="s">
        <v>20</v>
      </c>
      <c r="C16" s="65" t="s">
        <v>63</v>
      </c>
      <c r="D16" s="65" t="s">
        <v>64</v>
      </c>
      <c r="E16" s="65">
        <v>-449990.0</v>
      </c>
      <c r="F16" s="65">
        <v>0.0</v>
      </c>
      <c r="G16" s="65">
        <v>0.0</v>
      </c>
      <c r="H16" s="65" t="s">
        <v>49</v>
      </c>
      <c r="I16" s="65">
        <v>0.0</v>
      </c>
      <c r="J16" s="65">
        <v>0.0</v>
      </c>
      <c r="K16" s="65" t="s">
        <v>50</v>
      </c>
      <c r="L16" s="65" t="s">
        <v>70</v>
      </c>
      <c r="M16" s="61"/>
      <c r="N16" s="65" t="s">
        <v>51</v>
      </c>
      <c r="O16" s="65">
        <v>1.0</v>
      </c>
      <c r="P16" s="76"/>
      <c r="Q16" s="61"/>
      <c r="R16" s="65">
        <v>0.0</v>
      </c>
      <c r="S16" s="65">
        <v>0.0</v>
      </c>
      <c r="T16" s="65">
        <v>0.0</v>
      </c>
      <c r="U16" s="65">
        <v>0.0</v>
      </c>
      <c r="V16" s="65">
        <v>0.0</v>
      </c>
      <c r="W16" s="65">
        <v>0.0</v>
      </c>
      <c r="X16" s="76"/>
      <c r="Y16" s="77"/>
      <c r="Z16" s="65">
        <v>0.0</v>
      </c>
      <c r="AA16" s="65">
        <v>0.0</v>
      </c>
      <c r="AB16" s="65" t="s">
        <v>18</v>
      </c>
      <c r="AC16" s="65">
        <v>0.0</v>
      </c>
      <c r="AD16" s="65">
        <v>0.0</v>
      </c>
      <c r="AE16" s="56">
        <v>43256.0</v>
      </c>
      <c r="AF16" s="65">
        <v>0.0</v>
      </c>
      <c r="AG16" s="65" t="s">
        <v>63</v>
      </c>
      <c r="AH16" s="65"/>
      <c r="AI16" s="7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</row>
    <row r="17" ht="15.75" customHeight="1">
      <c r="A17" s="67"/>
      <c r="B17" s="65" t="s">
        <v>20</v>
      </c>
      <c r="C17" s="65" t="s">
        <v>63</v>
      </c>
      <c r="D17" s="65" t="s">
        <v>71</v>
      </c>
      <c r="E17" s="65">
        <v>39940.0</v>
      </c>
      <c r="F17" s="65">
        <v>0.0</v>
      </c>
      <c r="G17" s="65">
        <v>0.0</v>
      </c>
      <c r="H17" s="65" t="s">
        <v>49</v>
      </c>
      <c r="I17" s="65">
        <v>0.0</v>
      </c>
      <c r="J17" s="65">
        <v>0.0</v>
      </c>
      <c r="K17" s="65" t="s">
        <v>50</v>
      </c>
      <c r="L17" s="65" t="s">
        <v>69</v>
      </c>
      <c r="M17" s="61"/>
      <c r="N17" s="65" t="s">
        <v>51</v>
      </c>
      <c r="O17" s="65">
        <v>1.0</v>
      </c>
      <c r="P17" s="76"/>
      <c r="Q17" s="61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76"/>
      <c r="Y17" s="77"/>
      <c r="Z17" s="65">
        <v>0.0</v>
      </c>
      <c r="AA17" s="65">
        <v>0.0</v>
      </c>
      <c r="AB17" s="65" t="s">
        <v>18</v>
      </c>
      <c r="AC17" s="65">
        <v>0.0</v>
      </c>
      <c r="AD17" s="65">
        <v>0.0</v>
      </c>
      <c r="AE17" s="56">
        <v>43256.0</v>
      </c>
      <c r="AF17" s="65">
        <v>0.0</v>
      </c>
      <c r="AG17" s="65" t="s">
        <v>63</v>
      </c>
      <c r="AH17" s="65"/>
      <c r="AI17" s="7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</row>
    <row r="18" ht="15.75" customHeight="1">
      <c r="A18" s="67"/>
      <c r="B18" s="65" t="s">
        <v>20</v>
      </c>
      <c r="C18" s="65" t="s">
        <v>63</v>
      </c>
      <c r="D18" s="65" t="s">
        <v>67</v>
      </c>
      <c r="E18" s="65">
        <v>140020.0</v>
      </c>
      <c r="F18" s="65">
        <v>0.0</v>
      </c>
      <c r="G18" s="65">
        <v>0.0</v>
      </c>
      <c r="H18" s="65" t="s">
        <v>49</v>
      </c>
      <c r="I18" s="65">
        <v>0.0</v>
      </c>
      <c r="J18" s="65">
        <v>0.0</v>
      </c>
      <c r="K18" s="65" t="s">
        <v>50</v>
      </c>
      <c r="L18" s="65" t="s">
        <v>70</v>
      </c>
      <c r="M18" s="61"/>
      <c r="N18" s="65" t="s">
        <v>51</v>
      </c>
      <c r="O18" s="65">
        <v>1.0</v>
      </c>
      <c r="P18" s="76"/>
      <c r="Q18" s="61"/>
      <c r="R18" s="65">
        <v>0.0</v>
      </c>
      <c r="S18" s="65">
        <v>0.0</v>
      </c>
      <c r="T18" s="65">
        <v>0.0</v>
      </c>
      <c r="U18" s="65">
        <v>0.0</v>
      </c>
      <c r="V18" s="65">
        <v>0.0</v>
      </c>
      <c r="W18" s="65">
        <v>0.0</v>
      </c>
      <c r="X18" s="76"/>
      <c r="Y18" s="77"/>
      <c r="Z18" s="65">
        <v>0.0</v>
      </c>
      <c r="AA18" s="65">
        <v>0.0</v>
      </c>
      <c r="AB18" s="65" t="s">
        <v>24</v>
      </c>
      <c r="AC18" s="65">
        <v>0.0</v>
      </c>
      <c r="AD18" s="65">
        <v>0.0</v>
      </c>
      <c r="AE18" s="56">
        <v>43256.0</v>
      </c>
      <c r="AF18" s="65">
        <v>0.0</v>
      </c>
      <c r="AG18" s="65" t="s">
        <v>63</v>
      </c>
      <c r="AH18" s="65"/>
      <c r="AI18" s="7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</row>
    <row r="19" ht="15.75" customHeight="1">
      <c r="A19" s="67"/>
      <c r="B19" s="65" t="s">
        <v>20</v>
      </c>
      <c r="C19" s="65" t="s">
        <v>63</v>
      </c>
      <c r="D19" s="65" t="s">
        <v>64</v>
      </c>
      <c r="E19" s="65">
        <v>314985.0</v>
      </c>
      <c r="F19" s="65">
        <v>0.0</v>
      </c>
      <c r="G19" s="65">
        <v>0.0</v>
      </c>
      <c r="H19" s="65" t="s">
        <v>49</v>
      </c>
      <c r="I19" s="65">
        <v>0.0</v>
      </c>
      <c r="J19" s="65">
        <v>0.0</v>
      </c>
      <c r="K19" s="65" t="s">
        <v>50</v>
      </c>
      <c r="L19" s="65" t="s">
        <v>65</v>
      </c>
      <c r="M19" s="61"/>
      <c r="N19" s="65" t="s">
        <v>51</v>
      </c>
      <c r="O19" s="65">
        <v>1.0</v>
      </c>
      <c r="P19" s="76"/>
      <c r="Q19" s="61"/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W19" s="65">
        <v>0.0</v>
      </c>
      <c r="X19" s="76"/>
      <c r="Y19" s="77"/>
      <c r="Z19" s="65">
        <v>0.0</v>
      </c>
      <c r="AA19" s="65">
        <v>0.0</v>
      </c>
      <c r="AB19" s="65" t="s">
        <v>26</v>
      </c>
      <c r="AC19" s="65">
        <v>0.0</v>
      </c>
      <c r="AD19" s="65">
        <v>0.0</v>
      </c>
      <c r="AE19" s="56">
        <v>43256.0</v>
      </c>
      <c r="AF19" s="65">
        <v>0.0</v>
      </c>
      <c r="AG19" s="65" t="s">
        <v>63</v>
      </c>
      <c r="AH19" s="65"/>
      <c r="AI19" s="7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</row>
    <row r="20" ht="15.75" customHeight="1">
      <c r="A20" s="67"/>
      <c r="B20" s="65" t="s">
        <v>20</v>
      </c>
      <c r="C20" s="65" t="s">
        <v>63</v>
      </c>
      <c r="D20" s="65" t="s">
        <v>68</v>
      </c>
      <c r="E20" s="65">
        <v>-20070.0</v>
      </c>
      <c r="F20" s="65">
        <v>0.0</v>
      </c>
      <c r="G20" s="65">
        <v>0.0</v>
      </c>
      <c r="H20" s="65" t="s">
        <v>49</v>
      </c>
      <c r="I20" s="65">
        <v>0.0</v>
      </c>
      <c r="J20" s="65">
        <v>0.0</v>
      </c>
      <c r="K20" s="65" t="s">
        <v>50</v>
      </c>
      <c r="L20" s="65" t="s">
        <v>69</v>
      </c>
      <c r="M20" s="61"/>
      <c r="N20" s="65" t="s">
        <v>51</v>
      </c>
      <c r="O20" s="65">
        <v>1.0</v>
      </c>
      <c r="P20" s="76"/>
      <c r="Q20" s="61"/>
      <c r="R20" s="65">
        <v>0.0</v>
      </c>
      <c r="S20" s="65">
        <v>0.0</v>
      </c>
      <c r="T20" s="65">
        <v>0.0</v>
      </c>
      <c r="U20" s="65">
        <v>0.0</v>
      </c>
      <c r="V20" s="65">
        <v>0.0</v>
      </c>
      <c r="W20" s="65">
        <v>0.0</v>
      </c>
      <c r="X20" s="76"/>
      <c r="Y20" s="77"/>
      <c r="Z20" s="65">
        <v>0.0</v>
      </c>
      <c r="AA20" s="65">
        <v>0.0</v>
      </c>
      <c r="AB20" s="65" t="s">
        <v>24</v>
      </c>
      <c r="AC20" s="65">
        <v>0.0</v>
      </c>
      <c r="AD20" s="65">
        <v>0.0</v>
      </c>
      <c r="AE20" s="56">
        <v>43256.0</v>
      </c>
      <c r="AF20" s="65">
        <v>0.0</v>
      </c>
      <c r="AG20" s="65" t="s">
        <v>63</v>
      </c>
      <c r="AH20" s="65"/>
      <c r="AI20" s="7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</row>
    <row r="21" ht="15.75" customHeight="1">
      <c r="A21" s="67"/>
      <c r="B21" s="65" t="s">
        <v>20</v>
      </c>
      <c r="C21" s="65" t="s">
        <v>63</v>
      </c>
      <c r="D21" s="65" t="s">
        <v>64</v>
      </c>
      <c r="E21" s="65">
        <v>-329970.0</v>
      </c>
      <c r="F21" s="65">
        <v>0.0</v>
      </c>
      <c r="G21" s="65">
        <v>0.0</v>
      </c>
      <c r="H21" s="65" t="s">
        <v>49</v>
      </c>
      <c r="I21" s="65">
        <v>0.0</v>
      </c>
      <c r="J21" s="65">
        <v>0.0</v>
      </c>
      <c r="K21" s="65" t="s">
        <v>50</v>
      </c>
      <c r="L21" s="65" t="s">
        <v>70</v>
      </c>
      <c r="M21" s="61"/>
      <c r="N21" s="65" t="s">
        <v>51</v>
      </c>
      <c r="O21" s="65">
        <v>1.0</v>
      </c>
      <c r="P21" s="76"/>
      <c r="Q21" s="61"/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W21" s="65">
        <v>0.0</v>
      </c>
      <c r="X21" s="76"/>
      <c r="Y21" s="77"/>
      <c r="Z21" s="65">
        <v>0.0</v>
      </c>
      <c r="AA21" s="65">
        <v>0.0</v>
      </c>
      <c r="AB21" s="65" t="s">
        <v>26</v>
      </c>
      <c r="AC21" s="65">
        <v>0.0</v>
      </c>
      <c r="AD21" s="65">
        <v>0.0</v>
      </c>
      <c r="AE21" s="56">
        <v>43256.0</v>
      </c>
      <c r="AF21" s="65">
        <v>0.0</v>
      </c>
      <c r="AG21" s="65" t="s">
        <v>63</v>
      </c>
      <c r="AH21" s="65"/>
      <c r="AI21" s="7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</row>
    <row r="22" ht="15.75" customHeight="1">
      <c r="A22" s="67"/>
      <c r="B22" s="65" t="s">
        <v>20</v>
      </c>
      <c r="C22" s="65" t="s">
        <v>63</v>
      </c>
      <c r="D22" s="65" t="s">
        <v>67</v>
      </c>
      <c r="E22" s="65">
        <v>220040.0</v>
      </c>
      <c r="F22" s="65">
        <v>0.0</v>
      </c>
      <c r="G22" s="65">
        <v>0.0</v>
      </c>
      <c r="H22" s="65" t="s">
        <v>49</v>
      </c>
      <c r="I22" s="65">
        <v>0.0</v>
      </c>
      <c r="J22" s="65">
        <v>0.0</v>
      </c>
      <c r="K22" s="65" t="s">
        <v>50</v>
      </c>
      <c r="L22" s="65" t="s">
        <v>70</v>
      </c>
      <c r="M22" s="61"/>
      <c r="N22" s="65" t="s">
        <v>51</v>
      </c>
      <c r="O22" s="65">
        <v>1.0</v>
      </c>
      <c r="P22" s="76"/>
      <c r="Q22" s="61"/>
      <c r="R22" s="65">
        <v>0.0</v>
      </c>
      <c r="S22" s="65">
        <v>0.0</v>
      </c>
      <c r="T22" s="65">
        <v>0.0</v>
      </c>
      <c r="U22" s="65">
        <v>0.0</v>
      </c>
      <c r="V22" s="65">
        <v>0.0</v>
      </c>
      <c r="W22" s="65">
        <v>0.0</v>
      </c>
      <c r="X22" s="76"/>
      <c r="Y22" s="77"/>
      <c r="Z22" s="65">
        <v>0.0</v>
      </c>
      <c r="AA22" s="65">
        <v>0.0</v>
      </c>
      <c r="AB22" s="65" t="s">
        <v>27</v>
      </c>
      <c r="AC22" s="65">
        <v>0.0</v>
      </c>
      <c r="AD22" s="65">
        <v>0.0</v>
      </c>
      <c r="AE22" s="56">
        <v>43256.0</v>
      </c>
      <c r="AF22" s="65">
        <v>0.0</v>
      </c>
      <c r="AG22" s="65" t="s">
        <v>63</v>
      </c>
      <c r="AH22" s="65"/>
      <c r="AI22" s="7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</row>
    <row r="23" ht="15.75" customHeight="1">
      <c r="A23" s="67"/>
      <c r="B23" s="65" t="s">
        <v>20</v>
      </c>
      <c r="C23" s="65" t="s">
        <v>63</v>
      </c>
      <c r="D23" s="65" t="s">
        <v>71</v>
      </c>
      <c r="E23" s="65">
        <v>19915.0</v>
      </c>
      <c r="F23" s="65">
        <v>0.0</v>
      </c>
      <c r="G23" s="65">
        <v>0.0</v>
      </c>
      <c r="H23" s="65" t="s">
        <v>49</v>
      </c>
      <c r="I23" s="65">
        <v>0.0</v>
      </c>
      <c r="J23" s="65">
        <v>0.0</v>
      </c>
      <c r="K23" s="65" t="s">
        <v>50</v>
      </c>
      <c r="L23" s="65" t="s">
        <v>69</v>
      </c>
      <c r="M23" s="61"/>
      <c r="N23" s="65" t="s">
        <v>51</v>
      </c>
      <c r="O23" s="65">
        <v>1.0</v>
      </c>
      <c r="P23" s="76"/>
      <c r="Q23" s="61"/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W23" s="65">
        <v>0.0</v>
      </c>
      <c r="X23" s="76"/>
      <c r="Y23" s="77"/>
      <c r="Z23" s="65">
        <v>0.0</v>
      </c>
      <c r="AA23" s="65">
        <v>0.0</v>
      </c>
      <c r="AB23" s="65" t="s">
        <v>26</v>
      </c>
      <c r="AC23" s="65">
        <v>0.0</v>
      </c>
      <c r="AD23" s="65">
        <v>0.0</v>
      </c>
      <c r="AE23" s="56">
        <v>43256.0</v>
      </c>
      <c r="AF23" s="65">
        <v>0.0</v>
      </c>
      <c r="AG23" s="65" t="s">
        <v>63</v>
      </c>
      <c r="AH23" s="65"/>
      <c r="AI23" s="7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</row>
    <row r="24" ht="15.75" customHeight="1">
      <c r="A24" s="67"/>
      <c r="B24" s="65" t="s">
        <v>20</v>
      </c>
      <c r="C24" s="65" t="s">
        <v>47</v>
      </c>
      <c r="D24" s="65" t="s">
        <v>48</v>
      </c>
      <c r="E24" s="65">
        <v>139950.0</v>
      </c>
      <c r="F24" s="65">
        <v>0.0</v>
      </c>
      <c r="G24" s="65">
        <v>0.0</v>
      </c>
      <c r="H24" s="65" t="s">
        <v>49</v>
      </c>
      <c r="I24" s="65">
        <v>0.0</v>
      </c>
      <c r="J24" s="65">
        <v>25.0</v>
      </c>
      <c r="K24" s="65" t="s">
        <v>50</v>
      </c>
      <c r="L24" s="65" t="s">
        <v>56</v>
      </c>
      <c r="M24" s="61"/>
      <c r="N24" s="65" t="s">
        <v>51</v>
      </c>
      <c r="O24" s="65">
        <v>1.0</v>
      </c>
      <c r="P24" s="76"/>
      <c r="Q24" s="61"/>
      <c r="R24" s="65">
        <v>0.0</v>
      </c>
      <c r="S24" s="65">
        <v>0.0</v>
      </c>
      <c r="T24" s="65">
        <v>0.0</v>
      </c>
      <c r="U24" s="65">
        <v>0.0</v>
      </c>
      <c r="V24" s="65">
        <v>100.0</v>
      </c>
      <c r="W24" s="65">
        <v>0.0</v>
      </c>
      <c r="X24" s="65" t="s">
        <v>50</v>
      </c>
      <c r="Y24" s="61"/>
      <c r="Z24" s="65">
        <v>25.0</v>
      </c>
      <c r="AA24" s="65">
        <v>0.0</v>
      </c>
      <c r="AB24" s="65" t="s">
        <v>18</v>
      </c>
      <c r="AC24" s="65">
        <v>0.0</v>
      </c>
      <c r="AD24" s="65">
        <v>50.0</v>
      </c>
      <c r="AE24" s="56">
        <v>43256.0</v>
      </c>
      <c r="AF24" s="65">
        <v>0.0</v>
      </c>
      <c r="AG24" s="65" t="s">
        <v>47</v>
      </c>
      <c r="AH24" s="76"/>
      <c r="AI24" s="7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</row>
    <row r="25" ht="15.75" customHeight="1">
      <c r="A25" s="67"/>
      <c r="B25" s="65" t="s">
        <v>20</v>
      </c>
      <c r="C25" s="65" t="s">
        <v>47</v>
      </c>
      <c r="D25" s="65" t="s">
        <v>52</v>
      </c>
      <c r="E25" s="65">
        <v>-75060.0</v>
      </c>
      <c r="F25" s="65">
        <v>0.0</v>
      </c>
      <c r="G25" s="65">
        <v>0.0</v>
      </c>
      <c r="H25" s="65" t="s">
        <v>49</v>
      </c>
      <c r="I25" s="65">
        <v>0.0</v>
      </c>
      <c r="J25" s="65">
        <v>30.0</v>
      </c>
      <c r="K25" s="65" t="s">
        <v>50</v>
      </c>
      <c r="L25" s="65" t="s">
        <v>56</v>
      </c>
      <c r="M25" s="61"/>
      <c r="N25" s="65" t="s">
        <v>51</v>
      </c>
      <c r="O25" s="65">
        <v>1.0</v>
      </c>
      <c r="P25" s="76"/>
      <c r="Q25" s="61"/>
      <c r="R25" s="65">
        <v>0.0</v>
      </c>
      <c r="S25" s="65">
        <v>0.0</v>
      </c>
      <c r="T25" s="65">
        <v>0.0</v>
      </c>
      <c r="U25" s="65">
        <v>0.0</v>
      </c>
      <c r="V25" s="65">
        <v>50.0</v>
      </c>
      <c r="W25" s="65">
        <v>0.0</v>
      </c>
      <c r="X25" s="65" t="s">
        <v>50</v>
      </c>
      <c r="Y25" s="61"/>
      <c r="Z25" s="65">
        <v>30.0</v>
      </c>
      <c r="AA25" s="65">
        <v>0.0</v>
      </c>
      <c r="AB25" s="65" t="s">
        <v>24</v>
      </c>
      <c r="AC25" s="65">
        <v>0.0</v>
      </c>
      <c r="AD25" s="65">
        <v>60.0</v>
      </c>
      <c r="AE25" s="56">
        <v>43256.0</v>
      </c>
      <c r="AF25" s="65">
        <v>0.0</v>
      </c>
      <c r="AG25" s="65" t="s">
        <v>47</v>
      </c>
      <c r="AH25" s="76"/>
      <c r="AI25" s="7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</row>
    <row r="26" ht="15.75" customHeight="1">
      <c r="A26" s="67"/>
      <c r="B26" s="65" t="s">
        <v>20</v>
      </c>
      <c r="C26" s="65" t="s">
        <v>47</v>
      </c>
      <c r="D26" s="65" t="s">
        <v>48</v>
      </c>
      <c r="E26" s="65">
        <v>79930.0</v>
      </c>
      <c r="F26" s="65">
        <v>0.0</v>
      </c>
      <c r="G26" s="65">
        <v>0.0</v>
      </c>
      <c r="H26" s="65" t="s">
        <v>49</v>
      </c>
      <c r="I26" s="65">
        <v>0.0</v>
      </c>
      <c r="J26" s="65">
        <v>35.0</v>
      </c>
      <c r="K26" s="65" t="s">
        <v>50</v>
      </c>
      <c r="L26" s="65" t="s">
        <v>56</v>
      </c>
      <c r="M26" s="61"/>
      <c r="N26" s="65" t="s">
        <v>51</v>
      </c>
      <c r="O26" s="65">
        <v>1.0</v>
      </c>
      <c r="P26" s="76"/>
      <c r="Q26" s="61"/>
      <c r="R26" s="65">
        <v>0.0</v>
      </c>
      <c r="S26" s="65">
        <v>0.0</v>
      </c>
      <c r="T26" s="65">
        <v>0.0</v>
      </c>
      <c r="U26" s="65">
        <v>0.0</v>
      </c>
      <c r="V26" s="65">
        <v>50.0</v>
      </c>
      <c r="W26" s="65">
        <v>0.0</v>
      </c>
      <c r="X26" s="65" t="s">
        <v>50</v>
      </c>
      <c r="Y26" s="61"/>
      <c r="Z26" s="65">
        <v>35.0</v>
      </c>
      <c r="AA26" s="65">
        <v>0.0</v>
      </c>
      <c r="AB26" s="65" t="s">
        <v>26</v>
      </c>
      <c r="AC26" s="65">
        <v>0.0</v>
      </c>
      <c r="AD26" s="65">
        <v>70.0</v>
      </c>
      <c r="AE26" s="56">
        <v>43256.0</v>
      </c>
      <c r="AF26" s="65">
        <v>0.0</v>
      </c>
      <c r="AG26" s="65" t="s">
        <v>47</v>
      </c>
      <c r="AH26" s="76"/>
      <c r="AI26" s="7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</row>
    <row r="27" ht="15.75" customHeight="1">
      <c r="A27" s="66"/>
      <c r="B27" s="65" t="s">
        <v>20</v>
      </c>
      <c r="C27" s="65" t="s">
        <v>47</v>
      </c>
      <c r="D27" s="65" t="s">
        <v>52</v>
      </c>
      <c r="E27" s="65">
        <v>-170080.0</v>
      </c>
      <c r="F27" s="65">
        <v>0.0</v>
      </c>
      <c r="G27" s="65">
        <v>0.0</v>
      </c>
      <c r="H27" s="65" t="s">
        <v>49</v>
      </c>
      <c r="I27" s="65">
        <v>0.0</v>
      </c>
      <c r="J27" s="65">
        <v>40.0</v>
      </c>
      <c r="K27" s="65" t="s">
        <v>50</v>
      </c>
      <c r="L27" s="65" t="s">
        <v>56</v>
      </c>
      <c r="M27" s="61"/>
      <c r="N27" s="65" t="s">
        <v>51</v>
      </c>
      <c r="O27" s="65">
        <v>1.0</v>
      </c>
      <c r="P27" s="76"/>
      <c r="Q27" s="61"/>
      <c r="R27" s="65">
        <v>0.0</v>
      </c>
      <c r="S27" s="65">
        <v>0.0</v>
      </c>
      <c r="T27" s="65">
        <v>0.0</v>
      </c>
      <c r="U27" s="65">
        <v>0.0</v>
      </c>
      <c r="V27" s="65">
        <v>100.0</v>
      </c>
      <c r="W27" s="65">
        <v>0.0</v>
      </c>
      <c r="X27" s="65" t="s">
        <v>50</v>
      </c>
      <c r="Y27" s="61"/>
      <c r="Z27" s="65">
        <v>40.0</v>
      </c>
      <c r="AA27" s="65">
        <v>0.0</v>
      </c>
      <c r="AB27" s="65" t="s">
        <v>27</v>
      </c>
      <c r="AC27" s="65">
        <v>0.0</v>
      </c>
      <c r="AD27" s="65">
        <v>80.0</v>
      </c>
      <c r="AE27" s="56">
        <v>43256.0</v>
      </c>
      <c r="AF27" s="65">
        <v>0.0</v>
      </c>
      <c r="AG27" s="65" t="s">
        <v>47</v>
      </c>
      <c r="AH27" s="76"/>
      <c r="AI27" s="7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</row>
    <row r="28" ht="15.75" customHeight="1">
      <c r="A28" s="66"/>
      <c r="B28" s="65" t="s">
        <v>20</v>
      </c>
      <c r="C28" s="65" t="s">
        <v>63</v>
      </c>
      <c r="D28" s="65" t="s">
        <v>67</v>
      </c>
      <c r="E28" s="65">
        <v>370010.0</v>
      </c>
      <c r="F28" s="65">
        <v>0.0</v>
      </c>
      <c r="G28" s="65">
        <v>0.0</v>
      </c>
      <c r="H28" s="65" t="s">
        <v>49</v>
      </c>
      <c r="I28" s="65">
        <v>0.0</v>
      </c>
      <c r="J28" s="65">
        <v>0.0</v>
      </c>
      <c r="K28" s="65" t="s">
        <v>50</v>
      </c>
      <c r="L28" s="65" t="s">
        <v>70</v>
      </c>
      <c r="M28" s="61"/>
      <c r="N28" s="65" t="s">
        <v>51</v>
      </c>
      <c r="O28" s="65">
        <v>1.0</v>
      </c>
      <c r="P28" s="76"/>
      <c r="Q28" s="61"/>
      <c r="R28" s="65">
        <v>0.0</v>
      </c>
      <c r="S28" s="65">
        <v>0.0</v>
      </c>
      <c r="T28" s="65">
        <v>0.0</v>
      </c>
      <c r="U28" s="65">
        <v>0.0</v>
      </c>
      <c r="V28" s="65">
        <v>0.0</v>
      </c>
      <c r="W28" s="65">
        <v>0.0</v>
      </c>
      <c r="X28" s="76"/>
      <c r="Y28" s="77"/>
      <c r="Z28" s="65">
        <v>0.0</v>
      </c>
      <c r="AA28" s="65">
        <v>0.0</v>
      </c>
      <c r="AB28" s="65" t="s">
        <v>24</v>
      </c>
      <c r="AC28" s="65">
        <v>0.0</v>
      </c>
      <c r="AD28" s="65">
        <v>0.0</v>
      </c>
      <c r="AE28" s="56">
        <v>43257.0</v>
      </c>
      <c r="AF28" s="65">
        <v>0.0</v>
      </c>
      <c r="AG28" s="65" t="s">
        <v>63</v>
      </c>
      <c r="AH28" s="65"/>
      <c r="AI28" s="7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</row>
    <row r="29" ht="15.75" customHeight="1">
      <c r="A29" s="66"/>
      <c r="B29" s="65" t="s">
        <v>20</v>
      </c>
      <c r="C29" s="65" t="s">
        <v>63</v>
      </c>
      <c r="D29" s="65" t="s">
        <v>67</v>
      </c>
      <c r="E29" s="65">
        <v>54990.0</v>
      </c>
      <c r="F29" s="65">
        <v>0.0</v>
      </c>
      <c r="G29" s="65">
        <v>0.0</v>
      </c>
      <c r="H29" s="65" t="s">
        <v>49</v>
      </c>
      <c r="I29" s="65">
        <v>0.0</v>
      </c>
      <c r="J29" s="65">
        <v>0.0</v>
      </c>
      <c r="K29" s="65" t="s">
        <v>50</v>
      </c>
      <c r="L29" s="65" t="s">
        <v>65</v>
      </c>
      <c r="M29" s="61"/>
      <c r="N29" s="65" t="s">
        <v>51</v>
      </c>
      <c r="O29" s="65">
        <v>1.0</v>
      </c>
      <c r="P29" s="76"/>
      <c r="Q29" s="61"/>
      <c r="R29" s="65">
        <v>0.0</v>
      </c>
      <c r="S29" s="65">
        <v>0.0</v>
      </c>
      <c r="T29" s="65">
        <v>0.0</v>
      </c>
      <c r="U29" s="65">
        <v>0.0</v>
      </c>
      <c r="V29" s="65">
        <v>0.0</v>
      </c>
      <c r="W29" s="65">
        <v>0.0</v>
      </c>
      <c r="X29" s="76"/>
      <c r="Y29" s="77"/>
      <c r="Z29" s="65">
        <v>0.0</v>
      </c>
      <c r="AA29" s="65">
        <v>0.0</v>
      </c>
      <c r="AB29" s="65" t="s">
        <v>24</v>
      </c>
      <c r="AC29" s="65">
        <v>0.0</v>
      </c>
      <c r="AD29" s="65">
        <v>0.0</v>
      </c>
      <c r="AE29" s="56">
        <v>43257.0</v>
      </c>
      <c r="AF29" s="65">
        <v>0.0</v>
      </c>
      <c r="AG29" s="65" t="s">
        <v>63</v>
      </c>
      <c r="AH29" s="65"/>
      <c r="AI29" s="7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</row>
    <row r="30" ht="15.75" customHeight="1">
      <c r="A30" s="66"/>
      <c r="B30" s="65" t="s">
        <v>20</v>
      </c>
      <c r="C30" s="65" t="s">
        <v>63</v>
      </c>
      <c r="D30" s="65" t="s">
        <v>64</v>
      </c>
      <c r="E30" s="65">
        <v>-314985.0</v>
      </c>
      <c r="F30" s="65">
        <v>0.0</v>
      </c>
      <c r="G30" s="65">
        <v>0.0</v>
      </c>
      <c r="H30" s="65" t="s">
        <v>49</v>
      </c>
      <c r="I30" s="65">
        <v>0.0</v>
      </c>
      <c r="J30" s="65">
        <v>0.0</v>
      </c>
      <c r="K30" s="65" t="s">
        <v>50</v>
      </c>
      <c r="L30" s="65" t="s">
        <v>70</v>
      </c>
      <c r="M30" s="61"/>
      <c r="N30" s="65" t="s">
        <v>51</v>
      </c>
      <c r="O30" s="65">
        <v>1.0</v>
      </c>
      <c r="P30" s="76"/>
      <c r="Q30" s="61"/>
      <c r="R30" s="65">
        <v>0.0</v>
      </c>
      <c r="S30" s="65">
        <v>0.0</v>
      </c>
      <c r="T30" s="65">
        <v>0.0</v>
      </c>
      <c r="U30" s="65">
        <v>0.0</v>
      </c>
      <c r="V30" s="65">
        <v>0.0</v>
      </c>
      <c r="W30" s="65">
        <v>0.0</v>
      </c>
      <c r="X30" s="76"/>
      <c r="Y30" s="77"/>
      <c r="Z30" s="65">
        <v>0.0</v>
      </c>
      <c r="AA30" s="65">
        <v>0.0</v>
      </c>
      <c r="AB30" s="65" t="s">
        <v>26</v>
      </c>
      <c r="AC30" s="65">
        <v>0.0</v>
      </c>
      <c r="AD30" s="65">
        <v>0.0</v>
      </c>
      <c r="AE30" s="56">
        <v>43257.0</v>
      </c>
      <c r="AF30" s="65">
        <v>0.0</v>
      </c>
      <c r="AG30" s="65" t="s">
        <v>63</v>
      </c>
      <c r="AH30" s="65"/>
      <c r="AI30" s="7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</row>
    <row r="31" ht="15.75" customHeight="1">
      <c r="A31" s="66"/>
      <c r="B31" s="65" t="s">
        <v>20</v>
      </c>
      <c r="C31" s="65" t="s">
        <v>63</v>
      </c>
      <c r="D31" s="65" t="s">
        <v>64</v>
      </c>
      <c r="E31" s="65">
        <v>-60015.0</v>
      </c>
      <c r="F31" s="65">
        <v>0.0</v>
      </c>
      <c r="G31" s="65">
        <v>0.0</v>
      </c>
      <c r="H31" s="65" t="s">
        <v>49</v>
      </c>
      <c r="I31" s="65">
        <v>0.0</v>
      </c>
      <c r="J31" s="65">
        <v>0.0</v>
      </c>
      <c r="K31" s="65" t="s">
        <v>50</v>
      </c>
      <c r="L31" s="65" t="s">
        <v>65</v>
      </c>
      <c r="M31" s="61"/>
      <c r="N31" s="65" t="s">
        <v>51</v>
      </c>
      <c r="O31" s="65">
        <v>1.0</v>
      </c>
      <c r="P31" s="76"/>
      <c r="Q31" s="61"/>
      <c r="R31" s="65">
        <v>0.0</v>
      </c>
      <c r="S31" s="65">
        <v>0.0</v>
      </c>
      <c r="T31" s="65">
        <v>0.0</v>
      </c>
      <c r="U31" s="65">
        <v>0.0</v>
      </c>
      <c r="V31" s="65">
        <v>0.0</v>
      </c>
      <c r="W31" s="65">
        <v>0.0</v>
      </c>
      <c r="X31" s="76"/>
      <c r="Y31" s="77"/>
      <c r="Z31" s="65">
        <v>0.0</v>
      </c>
      <c r="AA31" s="65">
        <v>0.0</v>
      </c>
      <c r="AB31" s="65" t="s">
        <v>26</v>
      </c>
      <c r="AC31" s="65">
        <v>0.0</v>
      </c>
      <c r="AD31" s="65">
        <v>0.0</v>
      </c>
      <c r="AE31" s="56">
        <v>43257.0</v>
      </c>
      <c r="AF31" s="65">
        <v>0.0</v>
      </c>
      <c r="AG31" s="65" t="s">
        <v>63</v>
      </c>
      <c r="AH31" s="65"/>
      <c r="AI31" s="7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</row>
    <row r="32" ht="15.7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</row>
    <row r="33" ht="15.75" customHeight="1"/>
    <row r="3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66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43</v>
      </c>
      <c r="C6" s="50" t="s">
        <v>20</v>
      </c>
      <c r="D6" s="30">
        <v>43255.0</v>
      </c>
      <c r="E6" s="30">
        <v>43257.0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3.14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5.86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9" t="s">
        <v>4</v>
      </c>
      <c r="C3" s="21" t="s">
        <v>41</v>
      </c>
      <c r="D3" s="9" t="s">
        <v>6</v>
      </c>
      <c r="E3" s="21" t="s">
        <v>72</v>
      </c>
      <c r="F3" s="9" t="s">
        <v>14</v>
      </c>
      <c r="G3" s="14" t="s">
        <v>16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1" t="str">
        <f>IFERROR(__xludf.DUMMYFUNCTION("""COMPUTED_VALUE"""),"Date")</f>
        <v>Date</v>
      </c>
      <c r="C5" s="51" t="str">
        <f>IFERROR(__xludf.DUMMYFUNCTION("""COMPUTED_VALUE"""),"Account")</f>
        <v>Account</v>
      </c>
      <c r="D5" s="51" t="str">
        <f>IFERROR(__xludf.DUMMYFUNCTION("""COMPUTED_VALUE"""),"Symbol")</f>
        <v>Symbol</v>
      </c>
      <c r="E5" s="51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51" t="str">
        <f>IFERROR(__xludf.DUMMYFUNCTION("""COMPUTED_VALUE"""),"DR")</f>
        <v>DR</v>
      </c>
      <c r="H5" s="51" t="str">
        <f>IFERROR(__xludf.DUMMYFUNCTION("""COMPUTED_VALUE"""),"CR")</f>
        <v>CR</v>
      </c>
      <c r="I5" s="51" t="str">
        <f>IFERROR(__xludf.DUMMYFUNCTION("""COMPUTED_VALUE"""),"Modify Date")</f>
        <v>Modify Date</v>
      </c>
      <c r="J5" s="51" t="str">
        <f>IFERROR(__xludf.DUMMYFUNCTION("""COMPUTED_VALUE"""),"Entry Date")</f>
        <v>Entry Date</v>
      </c>
      <c r="K5" s="51" t="str">
        <f>IFERROR(__xludf.DUMMYFUNCTION("""COMPUTED_VALUE"""),"User")</f>
        <v>User</v>
      </c>
      <c r="L5" s="51" t="str">
        <f>IFERROR(__xludf.DUMMYFUNCTION("""COMPUTED_VALUE"""),"Fx Rate")</f>
        <v>Fx Rate</v>
      </c>
      <c r="M5" s="51" t="str">
        <f>IFERROR(__xludf.DUMMYFUNCTION("""COMPUTED_VALUE"""),"FX Conversion Method Operator")</f>
        <v>FX Conversion Method Operator</v>
      </c>
      <c r="N5" s="51" t="str">
        <f>IFERROR(__xludf.DUMMYFUNCTION("""COMPUTED_VALUE"""),"Account Side")</f>
        <v>Account Side</v>
      </c>
      <c r="O5" s="51" t="str">
        <f>IFERROR(__xludf.DUMMYFUNCTION("""COMPUTED_VALUE"""),"TransactionSource")</f>
        <v>TransactionSource</v>
      </c>
      <c r="P5" s="51" t="str">
        <f>IFERROR(__xludf.DUMMYFUNCTION("""COMPUTED_VALUE"""),"Base Currency")</f>
        <v>Base Currency</v>
      </c>
      <c r="Q5" s="51" t="str">
        <f>IFERROR(__xludf.DUMMYFUNCTION("""COMPUTED_VALUE"""),"Description")</f>
        <v>Description</v>
      </c>
      <c r="R5" s="51" t="str">
        <f>IFERROR(__xludf.DUMMYFUNCTION("""COMPUTED_VALUE"""),"DR (Base)")</f>
        <v>DR (Base)</v>
      </c>
      <c r="S5" s="51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52"/>
      <c r="B6" s="56">
        <v>43256.0</v>
      </c>
      <c r="C6" s="53" t="s">
        <v>20</v>
      </c>
      <c r="D6" s="53" t="s">
        <v>27</v>
      </c>
      <c r="E6" s="53" t="s">
        <v>50</v>
      </c>
      <c r="F6" s="53" t="s">
        <v>73</v>
      </c>
      <c r="G6" s="78">
        <v>220040.0</v>
      </c>
      <c r="H6" s="79">
        <v>0.0</v>
      </c>
      <c r="I6" s="54"/>
      <c r="J6" s="54"/>
      <c r="K6" s="53"/>
      <c r="L6" s="53">
        <v>1.0</v>
      </c>
      <c r="M6" s="53" t="s">
        <v>51</v>
      </c>
      <c r="N6" s="53" t="s">
        <v>55</v>
      </c>
      <c r="O6" s="53" t="s">
        <v>63</v>
      </c>
      <c r="P6" s="53" t="s">
        <v>50</v>
      </c>
      <c r="Q6" s="53" t="s">
        <v>70</v>
      </c>
      <c r="R6" s="78">
        <v>220040.0</v>
      </c>
      <c r="S6" s="78">
        <v>0.0</v>
      </c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8"/>
      <c r="B7" s="56">
        <v>43256.0</v>
      </c>
      <c r="C7" s="53" t="s">
        <v>20</v>
      </c>
      <c r="D7" s="53" t="s">
        <v>27</v>
      </c>
      <c r="E7" s="53" t="s">
        <v>50</v>
      </c>
      <c r="F7" s="53" t="s">
        <v>74</v>
      </c>
      <c r="G7" s="80">
        <v>0.0</v>
      </c>
      <c r="H7" s="78">
        <v>220040.0</v>
      </c>
      <c r="I7" s="54"/>
      <c r="J7" s="54"/>
      <c r="K7" s="53"/>
      <c r="L7" s="53">
        <v>1.0</v>
      </c>
      <c r="M7" s="53" t="s">
        <v>51</v>
      </c>
      <c r="N7" s="53" t="s">
        <v>58</v>
      </c>
      <c r="O7" s="53" t="s">
        <v>63</v>
      </c>
      <c r="P7" s="53" t="s">
        <v>50</v>
      </c>
      <c r="Q7" s="53" t="s">
        <v>70</v>
      </c>
      <c r="R7" s="78">
        <v>0.0</v>
      </c>
      <c r="S7" s="78">
        <v>220040.0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8"/>
      <c r="B8" s="56">
        <v>43255.0</v>
      </c>
      <c r="C8" s="53" t="s">
        <v>20</v>
      </c>
      <c r="D8" s="53" t="s">
        <v>27</v>
      </c>
      <c r="E8" s="53" t="s">
        <v>50</v>
      </c>
      <c r="F8" s="53" t="s">
        <v>74</v>
      </c>
      <c r="G8" s="78">
        <v>220040.0</v>
      </c>
      <c r="H8" s="79">
        <v>0.0</v>
      </c>
      <c r="I8" s="54"/>
      <c r="J8" s="54"/>
      <c r="K8" s="53"/>
      <c r="L8" s="53">
        <v>1.0</v>
      </c>
      <c r="M8" s="53" t="s">
        <v>51</v>
      </c>
      <c r="N8" s="53" t="s">
        <v>55</v>
      </c>
      <c r="O8" s="53" t="s">
        <v>63</v>
      </c>
      <c r="P8" s="53" t="s">
        <v>50</v>
      </c>
      <c r="Q8" s="53" t="s">
        <v>65</v>
      </c>
      <c r="R8" s="78">
        <v>220040.0</v>
      </c>
      <c r="S8" s="78">
        <v>0.0</v>
      </c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8"/>
      <c r="B9" s="56">
        <v>43255.0</v>
      </c>
      <c r="C9" s="53" t="s">
        <v>20</v>
      </c>
      <c r="D9" s="53" t="s">
        <v>27</v>
      </c>
      <c r="E9" s="53" t="s">
        <v>50</v>
      </c>
      <c r="F9" s="53" t="s">
        <v>73</v>
      </c>
      <c r="G9" s="80">
        <v>0.0</v>
      </c>
      <c r="H9" s="78">
        <v>220040.0</v>
      </c>
      <c r="I9" s="54"/>
      <c r="J9" s="54"/>
      <c r="K9" s="53"/>
      <c r="L9" s="53">
        <v>1.0</v>
      </c>
      <c r="M9" s="53" t="s">
        <v>51</v>
      </c>
      <c r="N9" s="53" t="s">
        <v>58</v>
      </c>
      <c r="O9" s="53" t="s">
        <v>63</v>
      </c>
      <c r="P9" s="53" t="s">
        <v>50</v>
      </c>
      <c r="Q9" s="53" t="s">
        <v>65</v>
      </c>
      <c r="R9" s="78">
        <v>0.0</v>
      </c>
      <c r="S9" s="78">
        <v>220040.0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58"/>
      <c r="B10" s="56">
        <v>43256.0</v>
      </c>
      <c r="C10" s="53" t="s">
        <v>20</v>
      </c>
      <c r="D10" s="53" t="s">
        <v>27</v>
      </c>
      <c r="E10" s="53" t="s">
        <v>50</v>
      </c>
      <c r="F10" s="53" t="s">
        <v>75</v>
      </c>
      <c r="G10" s="78">
        <v>40120.0</v>
      </c>
      <c r="H10" s="79">
        <v>0.0</v>
      </c>
      <c r="I10" s="54"/>
      <c r="J10" s="54"/>
      <c r="K10" s="53"/>
      <c r="L10" s="53">
        <v>1.0</v>
      </c>
      <c r="M10" s="53" t="s">
        <v>51</v>
      </c>
      <c r="N10" s="53" t="s">
        <v>55</v>
      </c>
      <c r="O10" s="53" t="s">
        <v>63</v>
      </c>
      <c r="P10" s="53" t="s">
        <v>50</v>
      </c>
      <c r="Q10" s="53" t="s">
        <v>69</v>
      </c>
      <c r="R10" s="78">
        <v>40120.0</v>
      </c>
      <c r="S10" s="78">
        <v>0.0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</row>
    <row r="11" ht="15.75" customHeight="1">
      <c r="A11" s="58"/>
      <c r="B11" s="56">
        <v>43256.0</v>
      </c>
      <c r="C11" s="53" t="s">
        <v>20</v>
      </c>
      <c r="D11" s="53" t="s">
        <v>27</v>
      </c>
      <c r="E11" s="53" t="s">
        <v>50</v>
      </c>
      <c r="F11" s="53" t="s">
        <v>60</v>
      </c>
      <c r="G11" s="80">
        <v>0.0</v>
      </c>
      <c r="H11" s="78">
        <v>40120.0</v>
      </c>
      <c r="I11" s="54"/>
      <c r="J11" s="54"/>
      <c r="K11" s="53"/>
      <c r="L11" s="53">
        <v>1.0</v>
      </c>
      <c r="M11" s="53" t="s">
        <v>51</v>
      </c>
      <c r="N11" s="53" t="s">
        <v>58</v>
      </c>
      <c r="O11" s="53" t="s">
        <v>63</v>
      </c>
      <c r="P11" s="53" t="s">
        <v>50</v>
      </c>
      <c r="Q11" s="53" t="s">
        <v>69</v>
      </c>
      <c r="R11" s="78">
        <v>0.0</v>
      </c>
      <c r="S11" s="78">
        <v>40120.0</v>
      </c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</row>
    <row r="12" ht="15.75" customHeight="1">
      <c r="A12" s="58"/>
      <c r="B12" s="56">
        <v>43256.0</v>
      </c>
      <c r="C12" s="53" t="s">
        <v>20</v>
      </c>
      <c r="D12" s="53" t="s">
        <v>18</v>
      </c>
      <c r="E12" s="53" t="s">
        <v>50</v>
      </c>
      <c r="F12" s="53" t="s">
        <v>74</v>
      </c>
      <c r="G12" s="78">
        <v>449990.0</v>
      </c>
      <c r="H12" s="79">
        <v>0.0</v>
      </c>
      <c r="I12" s="54"/>
      <c r="J12" s="54"/>
      <c r="K12" s="53"/>
      <c r="L12" s="53">
        <v>1.0</v>
      </c>
      <c r="M12" s="53" t="s">
        <v>51</v>
      </c>
      <c r="N12" s="53" t="s">
        <v>55</v>
      </c>
      <c r="O12" s="53" t="s">
        <v>63</v>
      </c>
      <c r="P12" s="53" t="s">
        <v>50</v>
      </c>
      <c r="Q12" s="53" t="s">
        <v>70</v>
      </c>
      <c r="R12" s="78">
        <v>449990.0</v>
      </c>
      <c r="S12" s="78">
        <v>0.0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</row>
    <row r="13" ht="15.75" customHeight="1">
      <c r="A13" s="58"/>
      <c r="B13" s="56">
        <v>43256.0</v>
      </c>
      <c r="C13" s="53" t="s">
        <v>20</v>
      </c>
      <c r="D13" s="53" t="s">
        <v>18</v>
      </c>
      <c r="E13" s="53" t="s">
        <v>50</v>
      </c>
      <c r="F13" s="53" t="s">
        <v>76</v>
      </c>
      <c r="G13" s="80">
        <v>0.0</v>
      </c>
      <c r="H13" s="78">
        <v>449990.0</v>
      </c>
      <c r="I13" s="54"/>
      <c r="J13" s="54"/>
      <c r="K13" s="53"/>
      <c r="L13" s="53">
        <v>1.0</v>
      </c>
      <c r="M13" s="53" t="s">
        <v>51</v>
      </c>
      <c r="N13" s="53" t="s">
        <v>58</v>
      </c>
      <c r="O13" s="53" t="s">
        <v>63</v>
      </c>
      <c r="P13" s="53" t="s">
        <v>50</v>
      </c>
      <c r="Q13" s="53" t="s">
        <v>70</v>
      </c>
      <c r="R13" s="78">
        <v>0.0</v>
      </c>
      <c r="S13" s="78">
        <v>449990.0</v>
      </c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</row>
    <row r="14" ht="15.75" customHeight="1">
      <c r="A14" s="58"/>
      <c r="B14" s="56">
        <v>43255.0</v>
      </c>
      <c r="C14" s="53" t="s">
        <v>20</v>
      </c>
      <c r="D14" s="53" t="s">
        <v>18</v>
      </c>
      <c r="E14" s="53" t="s">
        <v>50</v>
      </c>
      <c r="F14" s="53" t="s">
        <v>76</v>
      </c>
      <c r="G14" s="78">
        <v>449990.0</v>
      </c>
      <c r="H14" s="79">
        <v>0.0</v>
      </c>
      <c r="I14" s="54"/>
      <c r="J14" s="54"/>
      <c r="K14" s="53"/>
      <c r="L14" s="53">
        <v>1.0</v>
      </c>
      <c r="M14" s="53" t="s">
        <v>51</v>
      </c>
      <c r="N14" s="53" t="s">
        <v>55</v>
      </c>
      <c r="O14" s="53" t="s">
        <v>63</v>
      </c>
      <c r="P14" s="53" t="s">
        <v>50</v>
      </c>
      <c r="Q14" s="53" t="s">
        <v>65</v>
      </c>
      <c r="R14" s="78">
        <v>449990.0</v>
      </c>
      <c r="S14" s="78">
        <v>0.0</v>
      </c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</row>
    <row r="15" ht="15.75" customHeight="1">
      <c r="A15" s="58"/>
      <c r="B15" s="56">
        <v>43255.0</v>
      </c>
      <c r="C15" s="53" t="s">
        <v>20</v>
      </c>
      <c r="D15" s="53" t="s">
        <v>18</v>
      </c>
      <c r="E15" s="53" t="s">
        <v>50</v>
      </c>
      <c r="F15" s="53" t="s">
        <v>74</v>
      </c>
      <c r="G15" s="80">
        <v>0.0</v>
      </c>
      <c r="H15" s="78">
        <v>449990.0</v>
      </c>
      <c r="I15" s="54"/>
      <c r="J15" s="54"/>
      <c r="K15" s="53"/>
      <c r="L15" s="53">
        <v>1.0</v>
      </c>
      <c r="M15" s="53" t="s">
        <v>51</v>
      </c>
      <c r="N15" s="53" t="s">
        <v>58</v>
      </c>
      <c r="O15" s="53" t="s">
        <v>63</v>
      </c>
      <c r="P15" s="53" t="s">
        <v>50</v>
      </c>
      <c r="Q15" s="53" t="s">
        <v>65</v>
      </c>
      <c r="R15" s="78">
        <v>0.0</v>
      </c>
      <c r="S15" s="78">
        <v>449990.0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</row>
    <row r="16" ht="15.75" customHeight="1">
      <c r="A16" s="58"/>
      <c r="B16" s="56">
        <v>43256.0</v>
      </c>
      <c r="C16" s="53" t="s">
        <v>20</v>
      </c>
      <c r="D16" s="53" t="s">
        <v>18</v>
      </c>
      <c r="E16" s="53" t="s">
        <v>50</v>
      </c>
      <c r="F16" s="53" t="s">
        <v>57</v>
      </c>
      <c r="G16" s="78">
        <v>39940.0</v>
      </c>
      <c r="H16" s="79">
        <v>0.0</v>
      </c>
      <c r="I16" s="54"/>
      <c r="J16" s="54"/>
      <c r="K16" s="53"/>
      <c r="L16" s="53">
        <v>1.0</v>
      </c>
      <c r="M16" s="53" t="s">
        <v>51</v>
      </c>
      <c r="N16" s="53" t="s">
        <v>55</v>
      </c>
      <c r="O16" s="53" t="s">
        <v>63</v>
      </c>
      <c r="P16" s="53" t="s">
        <v>50</v>
      </c>
      <c r="Q16" s="53" t="s">
        <v>69</v>
      </c>
      <c r="R16" s="78">
        <v>39940.0</v>
      </c>
      <c r="S16" s="78">
        <v>0.0</v>
      </c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</row>
    <row r="17" ht="15.75" customHeight="1">
      <c r="A17" s="58"/>
      <c r="B17" s="56">
        <v>43256.0</v>
      </c>
      <c r="C17" s="53" t="s">
        <v>20</v>
      </c>
      <c r="D17" s="53" t="s">
        <v>18</v>
      </c>
      <c r="E17" s="53" t="s">
        <v>50</v>
      </c>
      <c r="F17" s="53" t="s">
        <v>75</v>
      </c>
      <c r="G17" s="80">
        <v>0.0</v>
      </c>
      <c r="H17" s="78">
        <v>39940.0</v>
      </c>
      <c r="I17" s="54"/>
      <c r="J17" s="54"/>
      <c r="K17" s="53"/>
      <c r="L17" s="53">
        <v>1.0</v>
      </c>
      <c r="M17" s="53" t="s">
        <v>51</v>
      </c>
      <c r="N17" s="53" t="s">
        <v>58</v>
      </c>
      <c r="O17" s="53" t="s">
        <v>63</v>
      </c>
      <c r="P17" s="53" t="s">
        <v>50</v>
      </c>
      <c r="Q17" s="53" t="s">
        <v>69</v>
      </c>
      <c r="R17" s="78">
        <v>0.0</v>
      </c>
      <c r="S17" s="78">
        <v>39940.0</v>
      </c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</row>
    <row r="18" ht="15.75" customHeight="1">
      <c r="A18" s="58"/>
      <c r="B18" s="56">
        <v>43256.0</v>
      </c>
      <c r="C18" s="53" t="s">
        <v>20</v>
      </c>
      <c r="D18" s="53" t="s">
        <v>24</v>
      </c>
      <c r="E18" s="53" t="s">
        <v>50</v>
      </c>
      <c r="F18" s="53" t="s">
        <v>73</v>
      </c>
      <c r="G18" s="78">
        <v>140020.0</v>
      </c>
      <c r="H18" s="79">
        <v>0.0</v>
      </c>
      <c r="I18" s="54"/>
      <c r="J18" s="54"/>
      <c r="K18" s="53"/>
      <c r="L18" s="53">
        <v>1.0</v>
      </c>
      <c r="M18" s="53" t="s">
        <v>51</v>
      </c>
      <c r="N18" s="53" t="s">
        <v>55</v>
      </c>
      <c r="O18" s="53" t="s">
        <v>63</v>
      </c>
      <c r="P18" s="53" t="s">
        <v>50</v>
      </c>
      <c r="Q18" s="53" t="s">
        <v>70</v>
      </c>
      <c r="R18" s="78">
        <v>140020.0</v>
      </c>
      <c r="S18" s="78">
        <v>0.0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</row>
    <row r="19" ht="15.75" customHeight="1">
      <c r="A19" s="58"/>
      <c r="B19" s="56">
        <v>43256.0</v>
      </c>
      <c r="C19" s="53" t="s">
        <v>20</v>
      </c>
      <c r="D19" s="53" t="s">
        <v>24</v>
      </c>
      <c r="E19" s="53" t="s">
        <v>50</v>
      </c>
      <c r="F19" s="53" t="s">
        <v>74</v>
      </c>
      <c r="G19" s="80">
        <v>0.0</v>
      </c>
      <c r="H19" s="78">
        <v>140020.0</v>
      </c>
      <c r="I19" s="54"/>
      <c r="J19" s="54"/>
      <c r="K19" s="53"/>
      <c r="L19" s="53">
        <v>1.0</v>
      </c>
      <c r="M19" s="53" t="s">
        <v>51</v>
      </c>
      <c r="N19" s="53" t="s">
        <v>58</v>
      </c>
      <c r="O19" s="53" t="s">
        <v>63</v>
      </c>
      <c r="P19" s="53" t="s">
        <v>50</v>
      </c>
      <c r="Q19" s="53" t="s">
        <v>70</v>
      </c>
      <c r="R19" s="78">
        <v>0.0</v>
      </c>
      <c r="S19" s="78">
        <v>140020.0</v>
      </c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</row>
    <row r="20" ht="15.75" customHeight="1">
      <c r="A20" s="58"/>
      <c r="B20" s="56">
        <v>43257.0</v>
      </c>
      <c r="C20" s="53" t="s">
        <v>20</v>
      </c>
      <c r="D20" s="53" t="s">
        <v>24</v>
      </c>
      <c r="E20" s="53" t="s">
        <v>50</v>
      </c>
      <c r="F20" s="53" t="s">
        <v>73</v>
      </c>
      <c r="G20" s="78">
        <v>370010.0</v>
      </c>
      <c r="H20" s="79">
        <v>0.0</v>
      </c>
      <c r="I20" s="54"/>
      <c r="J20" s="54"/>
      <c r="K20" s="53"/>
      <c r="L20" s="53">
        <v>1.0</v>
      </c>
      <c r="M20" s="53" t="s">
        <v>51</v>
      </c>
      <c r="N20" s="53" t="s">
        <v>55</v>
      </c>
      <c r="O20" s="53" t="s">
        <v>63</v>
      </c>
      <c r="P20" s="53" t="s">
        <v>50</v>
      </c>
      <c r="Q20" s="53" t="s">
        <v>70</v>
      </c>
      <c r="R20" s="78">
        <v>370010.0</v>
      </c>
      <c r="S20" s="78">
        <v>0.0</v>
      </c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</row>
    <row r="21" ht="15.75" customHeight="1">
      <c r="A21" s="58"/>
      <c r="B21" s="56">
        <v>43257.0</v>
      </c>
      <c r="C21" s="53" t="s">
        <v>20</v>
      </c>
      <c r="D21" s="53" t="s">
        <v>24</v>
      </c>
      <c r="E21" s="53" t="s">
        <v>50</v>
      </c>
      <c r="F21" s="53" t="s">
        <v>74</v>
      </c>
      <c r="G21" s="80">
        <v>0.0</v>
      </c>
      <c r="H21" s="78">
        <v>370010.0</v>
      </c>
      <c r="I21" s="54"/>
      <c r="J21" s="54"/>
      <c r="K21" s="53"/>
      <c r="L21" s="53">
        <v>1.0</v>
      </c>
      <c r="M21" s="53" t="s">
        <v>51</v>
      </c>
      <c r="N21" s="53" t="s">
        <v>58</v>
      </c>
      <c r="O21" s="53" t="s">
        <v>63</v>
      </c>
      <c r="P21" s="53" t="s">
        <v>50</v>
      </c>
      <c r="Q21" s="53" t="s">
        <v>70</v>
      </c>
      <c r="R21" s="78">
        <v>0.0</v>
      </c>
      <c r="S21" s="78">
        <v>370010.0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</row>
    <row r="22" ht="15.75" customHeight="1">
      <c r="A22" s="58"/>
      <c r="B22" s="56">
        <v>43255.0</v>
      </c>
      <c r="C22" s="53" t="s">
        <v>20</v>
      </c>
      <c r="D22" s="53" t="s">
        <v>24</v>
      </c>
      <c r="E22" s="53" t="s">
        <v>50</v>
      </c>
      <c r="F22" s="53" t="s">
        <v>74</v>
      </c>
      <c r="G22" s="78">
        <v>140020.0</v>
      </c>
      <c r="H22" s="79">
        <v>0.0</v>
      </c>
      <c r="I22" s="54"/>
      <c r="J22" s="54"/>
      <c r="K22" s="53"/>
      <c r="L22" s="53">
        <v>1.0</v>
      </c>
      <c r="M22" s="53" t="s">
        <v>51</v>
      </c>
      <c r="N22" s="53" t="s">
        <v>55</v>
      </c>
      <c r="O22" s="53" t="s">
        <v>63</v>
      </c>
      <c r="P22" s="53" t="s">
        <v>50</v>
      </c>
      <c r="Q22" s="53" t="s">
        <v>65</v>
      </c>
      <c r="R22" s="78">
        <v>140020.0</v>
      </c>
      <c r="S22" s="78">
        <v>0.0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</row>
    <row r="23" ht="15.75" customHeight="1">
      <c r="A23" s="58"/>
      <c r="B23" s="56">
        <v>43255.0</v>
      </c>
      <c r="C23" s="53" t="s">
        <v>20</v>
      </c>
      <c r="D23" s="53" t="s">
        <v>24</v>
      </c>
      <c r="E23" s="53" t="s">
        <v>50</v>
      </c>
      <c r="F23" s="53" t="s">
        <v>73</v>
      </c>
      <c r="G23" s="80">
        <v>0.0</v>
      </c>
      <c r="H23" s="78">
        <v>140020.0</v>
      </c>
      <c r="I23" s="54"/>
      <c r="J23" s="54"/>
      <c r="K23" s="53"/>
      <c r="L23" s="53">
        <v>1.0</v>
      </c>
      <c r="M23" s="53" t="s">
        <v>51</v>
      </c>
      <c r="N23" s="53" t="s">
        <v>58</v>
      </c>
      <c r="O23" s="53" t="s">
        <v>63</v>
      </c>
      <c r="P23" s="53" t="s">
        <v>50</v>
      </c>
      <c r="Q23" s="53" t="s">
        <v>65</v>
      </c>
      <c r="R23" s="78">
        <v>0.0</v>
      </c>
      <c r="S23" s="78">
        <v>140020.0</v>
      </c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</row>
    <row r="24" ht="15.75" customHeight="1">
      <c r="A24" s="58"/>
      <c r="B24" s="56">
        <v>43256.0</v>
      </c>
      <c r="C24" s="53" t="s">
        <v>20</v>
      </c>
      <c r="D24" s="53" t="s">
        <v>24</v>
      </c>
      <c r="E24" s="53" t="s">
        <v>50</v>
      </c>
      <c r="F24" s="53" t="s">
        <v>74</v>
      </c>
      <c r="G24" s="78">
        <v>370010.0</v>
      </c>
      <c r="H24" s="79">
        <v>0.0</v>
      </c>
      <c r="I24" s="54"/>
      <c r="J24" s="54"/>
      <c r="K24" s="53"/>
      <c r="L24" s="53">
        <v>1.0</v>
      </c>
      <c r="M24" s="53" t="s">
        <v>51</v>
      </c>
      <c r="N24" s="53" t="s">
        <v>55</v>
      </c>
      <c r="O24" s="53" t="s">
        <v>63</v>
      </c>
      <c r="P24" s="53" t="s">
        <v>50</v>
      </c>
      <c r="Q24" s="53" t="s">
        <v>65</v>
      </c>
      <c r="R24" s="78">
        <v>370010.0</v>
      </c>
      <c r="S24" s="78">
        <v>0.0</v>
      </c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</row>
    <row r="25" ht="15.75" customHeight="1">
      <c r="A25" s="58"/>
      <c r="B25" s="56">
        <v>43256.0</v>
      </c>
      <c r="C25" s="53" t="s">
        <v>20</v>
      </c>
      <c r="D25" s="53" t="s">
        <v>24</v>
      </c>
      <c r="E25" s="53" t="s">
        <v>50</v>
      </c>
      <c r="F25" s="53" t="s">
        <v>73</v>
      </c>
      <c r="G25" s="80">
        <v>0.0</v>
      </c>
      <c r="H25" s="78">
        <v>370010.0</v>
      </c>
      <c r="I25" s="54"/>
      <c r="J25" s="54"/>
      <c r="K25" s="53"/>
      <c r="L25" s="53">
        <v>1.0</v>
      </c>
      <c r="M25" s="53" t="s">
        <v>51</v>
      </c>
      <c r="N25" s="53" t="s">
        <v>58</v>
      </c>
      <c r="O25" s="53" t="s">
        <v>63</v>
      </c>
      <c r="P25" s="53" t="s">
        <v>50</v>
      </c>
      <c r="Q25" s="53" t="s">
        <v>65</v>
      </c>
      <c r="R25" s="78">
        <v>0.0</v>
      </c>
      <c r="S25" s="78">
        <v>370010.0</v>
      </c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</row>
    <row r="26" ht="15.75" customHeight="1">
      <c r="A26" s="58"/>
      <c r="B26" s="56">
        <v>43257.0</v>
      </c>
      <c r="C26" s="53" t="s">
        <v>20</v>
      </c>
      <c r="D26" s="53" t="s">
        <v>24</v>
      </c>
      <c r="E26" s="53" t="s">
        <v>50</v>
      </c>
      <c r="F26" s="53" t="s">
        <v>73</v>
      </c>
      <c r="G26" s="78">
        <v>54990.0</v>
      </c>
      <c r="H26" s="79">
        <v>0.0</v>
      </c>
      <c r="I26" s="54"/>
      <c r="J26" s="54"/>
      <c r="K26" s="53"/>
      <c r="L26" s="53">
        <v>1.0</v>
      </c>
      <c r="M26" s="53" t="s">
        <v>51</v>
      </c>
      <c r="N26" s="53" t="s">
        <v>55</v>
      </c>
      <c r="O26" s="53" t="s">
        <v>63</v>
      </c>
      <c r="P26" s="53" t="s">
        <v>50</v>
      </c>
      <c r="Q26" s="53" t="s">
        <v>65</v>
      </c>
      <c r="R26" s="78">
        <v>54990.0</v>
      </c>
      <c r="S26" s="78">
        <v>0.0</v>
      </c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</row>
    <row r="27" ht="15.75" customHeight="1">
      <c r="A27" s="57"/>
      <c r="B27" s="56">
        <v>43257.0</v>
      </c>
      <c r="C27" s="53" t="s">
        <v>20</v>
      </c>
      <c r="D27" s="53" t="s">
        <v>24</v>
      </c>
      <c r="E27" s="53" t="s">
        <v>50</v>
      </c>
      <c r="F27" s="53" t="s">
        <v>74</v>
      </c>
      <c r="G27" s="80">
        <v>0.0</v>
      </c>
      <c r="H27" s="78">
        <v>54990.0</v>
      </c>
      <c r="I27" s="54"/>
      <c r="J27" s="54"/>
      <c r="K27" s="53"/>
      <c r="L27" s="53">
        <v>1.0</v>
      </c>
      <c r="M27" s="53" t="s">
        <v>51</v>
      </c>
      <c r="N27" s="53" t="s">
        <v>58</v>
      </c>
      <c r="O27" s="53" t="s">
        <v>63</v>
      </c>
      <c r="P27" s="53" t="s">
        <v>50</v>
      </c>
      <c r="Q27" s="53" t="s">
        <v>65</v>
      </c>
      <c r="R27" s="78">
        <v>0.0</v>
      </c>
      <c r="S27" s="78">
        <v>54990.0</v>
      </c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</row>
    <row r="28" ht="15.75" customHeight="1">
      <c r="A28" s="57"/>
      <c r="B28" s="56">
        <v>43256.0</v>
      </c>
      <c r="C28" s="53" t="s">
        <v>20</v>
      </c>
      <c r="D28" s="53" t="s">
        <v>24</v>
      </c>
      <c r="E28" s="53" t="s">
        <v>50</v>
      </c>
      <c r="F28" s="53" t="s">
        <v>75</v>
      </c>
      <c r="G28" s="78">
        <v>20070.0</v>
      </c>
      <c r="H28" s="79">
        <v>0.0</v>
      </c>
      <c r="I28" s="54"/>
      <c r="J28" s="54"/>
      <c r="K28" s="53"/>
      <c r="L28" s="53">
        <v>1.0</v>
      </c>
      <c r="M28" s="53" t="s">
        <v>51</v>
      </c>
      <c r="N28" s="53" t="s">
        <v>55</v>
      </c>
      <c r="O28" s="53" t="s">
        <v>63</v>
      </c>
      <c r="P28" s="53" t="s">
        <v>50</v>
      </c>
      <c r="Q28" s="53" t="s">
        <v>69</v>
      </c>
      <c r="R28" s="78">
        <v>20070.0</v>
      </c>
      <c r="S28" s="78">
        <v>0.0</v>
      </c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</row>
    <row r="29" ht="15.75" customHeight="1">
      <c r="A29" s="57"/>
      <c r="B29" s="56">
        <v>43256.0</v>
      </c>
      <c r="C29" s="53" t="s">
        <v>20</v>
      </c>
      <c r="D29" s="53" t="s">
        <v>24</v>
      </c>
      <c r="E29" s="53" t="s">
        <v>50</v>
      </c>
      <c r="F29" s="53" t="s">
        <v>60</v>
      </c>
      <c r="G29" s="80">
        <v>0.0</v>
      </c>
      <c r="H29" s="78">
        <v>20070.0</v>
      </c>
      <c r="I29" s="54"/>
      <c r="J29" s="54"/>
      <c r="K29" s="53"/>
      <c r="L29" s="53">
        <v>1.0</v>
      </c>
      <c r="M29" s="53" t="s">
        <v>51</v>
      </c>
      <c r="N29" s="53" t="s">
        <v>58</v>
      </c>
      <c r="O29" s="53" t="s">
        <v>63</v>
      </c>
      <c r="P29" s="53" t="s">
        <v>50</v>
      </c>
      <c r="Q29" s="53" t="s">
        <v>69</v>
      </c>
      <c r="R29" s="78">
        <v>0.0</v>
      </c>
      <c r="S29" s="78">
        <v>20070.0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</row>
    <row r="30" ht="15.75" customHeight="1">
      <c r="A30" s="57"/>
      <c r="B30" s="56">
        <v>43256.0</v>
      </c>
      <c r="C30" s="53" t="s">
        <v>20</v>
      </c>
      <c r="D30" s="53" t="s">
        <v>26</v>
      </c>
      <c r="E30" s="53" t="s">
        <v>50</v>
      </c>
      <c r="F30" s="53" t="s">
        <v>74</v>
      </c>
      <c r="G30" s="78">
        <v>329970.0</v>
      </c>
      <c r="H30" s="79">
        <v>0.0</v>
      </c>
      <c r="I30" s="54"/>
      <c r="J30" s="54"/>
      <c r="K30" s="53"/>
      <c r="L30" s="53">
        <v>1.0</v>
      </c>
      <c r="M30" s="53" t="s">
        <v>51</v>
      </c>
      <c r="N30" s="53" t="s">
        <v>55</v>
      </c>
      <c r="O30" s="53" t="s">
        <v>63</v>
      </c>
      <c r="P30" s="53" t="s">
        <v>50</v>
      </c>
      <c r="Q30" s="53" t="s">
        <v>70</v>
      </c>
      <c r="R30" s="78">
        <v>329970.0</v>
      </c>
      <c r="S30" s="78">
        <v>0.0</v>
      </c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</row>
    <row r="31" ht="15.75" customHeight="1">
      <c r="A31" s="57"/>
      <c r="B31" s="56">
        <v>43256.0</v>
      </c>
      <c r="C31" s="53" t="s">
        <v>20</v>
      </c>
      <c r="D31" s="53" t="s">
        <v>26</v>
      </c>
      <c r="E31" s="53" t="s">
        <v>50</v>
      </c>
      <c r="F31" s="53" t="s">
        <v>76</v>
      </c>
      <c r="G31" s="80">
        <v>0.0</v>
      </c>
      <c r="H31" s="78">
        <v>329970.0</v>
      </c>
      <c r="I31" s="54"/>
      <c r="J31" s="54"/>
      <c r="K31" s="53"/>
      <c r="L31" s="53">
        <v>1.0</v>
      </c>
      <c r="M31" s="53" t="s">
        <v>51</v>
      </c>
      <c r="N31" s="53" t="s">
        <v>58</v>
      </c>
      <c r="O31" s="53" t="s">
        <v>63</v>
      </c>
      <c r="P31" s="53" t="s">
        <v>50</v>
      </c>
      <c r="Q31" s="53" t="s">
        <v>70</v>
      </c>
      <c r="R31" s="78">
        <v>0.0</v>
      </c>
      <c r="S31" s="78">
        <v>329970.0</v>
      </c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</row>
    <row r="32" ht="15.75" customHeight="1">
      <c r="A32" s="57"/>
      <c r="B32" s="56">
        <v>43257.0</v>
      </c>
      <c r="C32" s="53" t="s">
        <v>20</v>
      </c>
      <c r="D32" s="53" t="s">
        <v>26</v>
      </c>
      <c r="E32" s="53" t="s">
        <v>50</v>
      </c>
      <c r="F32" s="53" t="s">
        <v>74</v>
      </c>
      <c r="G32" s="78">
        <v>314985.0</v>
      </c>
      <c r="H32" s="79">
        <v>0.0</v>
      </c>
      <c r="I32" s="54"/>
      <c r="J32" s="54"/>
      <c r="K32" s="53"/>
      <c r="L32" s="53">
        <v>1.0</v>
      </c>
      <c r="M32" s="53" t="s">
        <v>51</v>
      </c>
      <c r="N32" s="53" t="s">
        <v>55</v>
      </c>
      <c r="O32" s="53" t="s">
        <v>63</v>
      </c>
      <c r="P32" s="53" t="s">
        <v>50</v>
      </c>
      <c r="Q32" s="53" t="s">
        <v>70</v>
      </c>
      <c r="R32" s="78">
        <v>314985.0</v>
      </c>
      <c r="S32" s="78">
        <v>0.0</v>
      </c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</row>
    <row r="33" ht="15.75" customHeight="1">
      <c r="A33" s="57"/>
      <c r="B33" s="56">
        <v>43257.0</v>
      </c>
      <c r="C33" s="53" t="s">
        <v>20</v>
      </c>
      <c r="D33" s="53" t="s">
        <v>26</v>
      </c>
      <c r="E33" s="53" t="s">
        <v>50</v>
      </c>
      <c r="F33" s="53" t="s">
        <v>76</v>
      </c>
      <c r="G33" s="80">
        <v>0.0</v>
      </c>
      <c r="H33" s="78">
        <v>314985.0</v>
      </c>
      <c r="I33" s="54"/>
      <c r="J33" s="54"/>
      <c r="K33" s="53"/>
      <c r="L33" s="53">
        <v>1.0</v>
      </c>
      <c r="M33" s="53" t="s">
        <v>51</v>
      </c>
      <c r="N33" s="53" t="s">
        <v>58</v>
      </c>
      <c r="O33" s="53" t="s">
        <v>63</v>
      </c>
      <c r="P33" s="53" t="s">
        <v>50</v>
      </c>
      <c r="Q33" s="53" t="s">
        <v>70</v>
      </c>
      <c r="R33" s="78">
        <v>0.0</v>
      </c>
      <c r="S33" s="78">
        <v>314985.0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</row>
    <row r="34" ht="15.75" customHeight="1">
      <c r="A34" s="57"/>
      <c r="B34" s="56">
        <v>43255.0</v>
      </c>
      <c r="C34" s="53" t="s">
        <v>20</v>
      </c>
      <c r="D34" s="53" t="s">
        <v>26</v>
      </c>
      <c r="E34" s="53" t="s">
        <v>50</v>
      </c>
      <c r="F34" s="53" t="s">
        <v>76</v>
      </c>
      <c r="G34" s="78">
        <v>329970.0</v>
      </c>
      <c r="H34" s="79">
        <v>0.0</v>
      </c>
      <c r="I34" s="54"/>
      <c r="J34" s="54"/>
      <c r="K34" s="53"/>
      <c r="L34" s="53">
        <v>1.0</v>
      </c>
      <c r="M34" s="53" t="s">
        <v>51</v>
      </c>
      <c r="N34" s="53" t="s">
        <v>55</v>
      </c>
      <c r="O34" s="53" t="s">
        <v>63</v>
      </c>
      <c r="P34" s="53" t="s">
        <v>50</v>
      </c>
      <c r="Q34" s="53" t="s">
        <v>65</v>
      </c>
      <c r="R34" s="78">
        <v>329970.0</v>
      </c>
      <c r="S34" s="78">
        <v>0.0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</row>
    <row r="35" ht="15.75" customHeight="1">
      <c r="A35" s="57"/>
      <c r="B35" s="56">
        <v>43255.0</v>
      </c>
      <c r="C35" s="53" t="s">
        <v>20</v>
      </c>
      <c r="D35" s="53" t="s">
        <v>26</v>
      </c>
      <c r="E35" s="53" t="s">
        <v>50</v>
      </c>
      <c r="F35" s="53" t="s">
        <v>74</v>
      </c>
      <c r="G35" s="80">
        <v>0.0</v>
      </c>
      <c r="H35" s="78">
        <v>329970.0</v>
      </c>
      <c r="I35" s="54"/>
      <c r="J35" s="54"/>
      <c r="K35" s="53"/>
      <c r="L35" s="53">
        <v>1.0</v>
      </c>
      <c r="M35" s="53" t="s">
        <v>51</v>
      </c>
      <c r="N35" s="53" t="s">
        <v>58</v>
      </c>
      <c r="O35" s="53" t="s">
        <v>63</v>
      </c>
      <c r="P35" s="53" t="s">
        <v>50</v>
      </c>
      <c r="Q35" s="53" t="s">
        <v>65</v>
      </c>
      <c r="R35" s="78">
        <v>0.0</v>
      </c>
      <c r="S35" s="78">
        <v>329970.0</v>
      </c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</row>
    <row r="36" ht="15.75" customHeight="1">
      <c r="A36" s="57"/>
      <c r="B36" s="56">
        <v>43256.0</v>
      </c>
      <c r="C36" s="53" t="s">
        <v>20</v>
      </c>
      <c r="D36" s="53" t="s">
        <v>26</v>
      </c>
      <c r="E36" s="53" t="s">
        <v>50</v>
      </c>
      <c r="F36" s="53" t="s">
        <v>76</v>
      </c>
      <c r="G36" s="78">
        <v>314985.0</v>
      </c>
      <c r="H36" s="79">
        <v>0.0</v>
      </c>
      <c r="I36" s="54"/>
      <c r="J36" s="54"/>
      <c r="K36" s="53"/>
      <c r="L36" s="53">
        <v>1.0</v>
      </c>
      <c r="M36" s="53" t="s">
        <v>51</v>
      </c>
      <c r="N36" s="53" t="s">
        <v>55</v>
      </c>
      <c r="O36" s="53" t="s">
        <v>63</v>
      </c>
      <c r="P36" s="53" t="s">
        <v>50</v>
      </c>
      <c r="Q36" s="53" t="s">
        <v>65</v>
      </c>
      <c r="R36" s="78">
        <v>314985.0</v>
      </c>
      <c r="S36" s="78">
        <v>0.0</v>
      </c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</row>
    <row r="37" ht="15.75" customHeight="1">
      <c r="A37" s="57"/>
      <c r="B37" s="56">
        <v>43256.0</v>
      </c>
      <c r="C37" s="53" t="s">
        <v>20</v>
      </c>
      <c r="D37" s="53" t="s">
        <v>26</v>
      </c>
      <c r="E37" s="53" t="s">
        <v>50</v>
      </c>
      <c r="F37" s="53" t="s">
        <v>74</v>
      </c>
      <c r="G37" s="80">
        <v>0.0</v>
      </c>
      <c r="H37" s="78">
        <v>314985.0</v>
      </c>
      <c r="I37" s="54"/>
      <c r="J37" s="54"/>
      <c r="K37" s="53"/>
      <c r="L37" s="53">
        <v>1.0</v>
      </c>
      <c r="M37" s="53" t="s">
        <v>51</v>
      </c>
      <c r="N37" s="53" t="s">
        <v>58</v>
      </c>
      <c r="O37" s="53" t="s">
        <v>63</v>
      </c>
      <c r="P37" s="53" t="s">
        <v>50</v>
      </c>
      <c r="Q37" s="53" t="s">
        <v>65</v>
      </c>
      <c r="R37" s="78">
        <v>0.0</v>
      </c>
      <c r="S37" s="78">
        <v>314985.0</v>
      </c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</row>
    <row r="38" ht="15.75" customHeight="1">
      <c r="A38" s="57"/>
      <c r="B38" s="56">
        <v>43257.0</v>
      </c>
      <c r="C38" s="53" t="s">
        <v>20</v>
      </c>
      <c r="D38" s="53" t="s">
        <v>26</v>
      </c>
      <c r="E38" s="53" t="s">
        <v>50</v>
      </c>
      <c r="F38" s="53" t="s">
        <v>74</v>
      </c>
      <c r="G38" s="78">
        <v>60015.0</v>
      </c>
      <c r="H38" s="79">
        <v>0.0</v>
      </c>
      <c r="I38" s="54"/>
      <c r="J38" s="54"/>
      <c r="K38" s="53"/>
      <c r="L38" s="53">
        <v>1.0</v>
      </c>
      <c r="M38" s="53" t="s">
        <v>51</v>
      </c>
      <c r="N38" s="53" t="s">
        <v>55</v>
      </c>
      <c r="O38" s="53" t="s">
        <v>63</v>
      </c>
      <c r="P38" s="53" t="s">
        <v>50</v>
      </c>
      <c r="Q38" s="53" t="s">
        <v>65</v>
      </c>
      <c r="R38" s="78">
        <v>60015.0</v>
      </c>
      <c r="S38" s="78">
        <v>0.0</v>
      </c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</row>
    <row r="39" ht="15.75" customHeight="1">
      <c r="A39" s="57"/>
      <c r="B39" s="56">
        <v>43257.0</v>
      </c>
      <c r="C39" s="53" t="s">
        <v>20</v>
      </c>
      <c r="D39" s="53" t="s">
        <v>26</v>
      </c>
      <c r="E39" s="53" t="s">
        <v>50</v>
      </c>
      <c r="F39" s="53" t="s">
        <v>76</v>
      </c>
      <c r="G39" s="80">
        <v>0.0</v>
      </c>
      <c r="H39" s="78">
        <v>60015.0</v>
      </c>
      <c r="I39" s="54"/>
      <c r="J39" s="54"/>
      <c r="K39" s="53"/>
      <c r="L39" s="53">
        <v>1.0</v>
      </c>
      <c r="M39" s="53" t="s">
        <v>51</v>
      </c>
      <c r="N39" s="53" t="s">
        <v>58</v>
      </c>
      <c r="O39" s="53" t="s">
        <v>63</v>
      </c>
      <c r="P39" s="53" t="s">
        <v>50</v>
      </c>
      <c r="Q39" s="53" t="s">
        <v>65</v>
      </c>
      <c r="R39" s="78">
        <v>0.0</v>
      </c>
      <c r="S39" s="78">
        <v>60015.0</v>
      </c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</row>
    <row r="40" ht="15.75" customHeight="1">
      <c r="A40" s="57"/>
      <c r="B40" s="56">
        <v>43256.0</v>
      </c>
      <c r="C40" s="53" t="s">
        <v>20</v>
      </c>
      <c r="D40" s="53" t="s">
        <v>26</v>
      </c>
      <c r="E40" s="53" t="s">
        <v>50</v>
      </c>
      <c r="F40" s="53" t="s">
        <v>57</v>
      </c>
      <c r="G40" s="78">
        <v>19915.0</v>
      </c>
      <c r="H40" s="79">
        <v>0.0</v>
      </c>
      <c r="I40" s="54"/>
      <c r="J40" s="54"/>
      <c r="K40" s="53"/>
      <c r="L40" s="53">
        <v>1.0</v>
      </c>
      <c r="M40" s="53" t="s">
        <v>51</v>
      </c>
      <c r="N40" s="53" t="s">
        <v>55</v>
      </c>
      <c r="O40" s="53" t="s">
        <v>63</v>
      </c>
      <c r="P40" s="53" t="s">
        <v>50</v>
      </c>
      <c r="Q40" s="53" t="s">
        <v>69</v>
      </c>
      <c r="R40" s="78">
        <v>19915.0</v>
      </c>
      <c r="S40" s="78">
        <v>0.0</v>
      </c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</row>
    <row r="41" ht="15.75" customHeight="1">
      <c r="A41" s="57"/>
      <c r="B41" s="56">
        <v>43256.0</v>
      </c>
      <c r="C41" s="53" t="s">
        <v>20</v>
      </c>
      <c r="D41" s="53" t="s">
        <v>26</v>
      </c>
      <c r="E41" s="53" t="s">
        <v>50</v>
      </c>
      <c r="F41" s="53" t="s">
        <v>75</v>
      </c>
      <c r="G41" s="80">
        <v>0.0</v>
      </c>
      <c r="H41" s="78">
        <v>19915.0</v>
      </c>
      <c r="I41" s="54"/>
      <c r="J41" s="54"/>
      <c r="K41" s="53"/>
      <c r="L41" s="53">
        <v>1.0</v>
      </c>
      <c r="M41" s="53" t="s">
        <v>51</v>
      </c>
      <c r="N41" s="53" t="s">
        <v>58</v>
      </c>
      <c r="O41" s="53" t="s">
        <v>63</v>
      </c>
      <c r="P41" s="53" t="s">
        <v>50</v>
      </c>
      <c r="Q41" s="53" t="s">
        <v>69</v>
      </c>
      <c r="R41" s="78">
        <v>0.0</v>
      </c>
      <c r="S41" s="78">
        <v>19915.0</v>
      </c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</row>
    <row r="42" ht="15.75" customHeight="1"/>
    <row r="43" ht="15.75" customHeight="1"/>
    <row r="44" ht="15.75" customHeight="1"/>
    <row r="4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