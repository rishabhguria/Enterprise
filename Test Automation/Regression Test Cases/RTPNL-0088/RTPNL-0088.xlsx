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IncreaseOrUnwindPositionRTPNL" sheetId="6" r:id="rId8"/>
    <sheet state="visible" name="CheckOpenFinWindowName" sheetId="7" r:id="rId9"/>
    <sheet state="visible" name="IncreaseOrUnwindPositionRTPNL1" sheetId="8" r:id="rId10"/>
  </sheets>
  <definedNames/>
  <calcPr/>
</workbook>
</file>

<file path=xl/sharedStrings.xml><?xml version="1.0" encoding="utf-8"?>
<sst xmlns="http://schemas.openxmlformats.org/spreadsheetml/2006/main" count="93" uniqueCount="62">
  <si>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</si>
  <si>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</si>
  <si>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</si>
  <si>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</si>
  <si>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</si>
  <si>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</si>
  <si>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</si>
  <si>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</si>
  <si>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</si>
  <si>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</si>
  <si>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</si>
  <si>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</si>
  <si>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</si>
  <si>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</si>
  <si>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</si>
  <si>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</si>
  <si>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</si>
  <si>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</si>
  <si>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</si>
  <si>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</si>
  <si>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</si>
  <si>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</si>
  <si>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</si>
  <si>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</si>
  <si>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</si>
  <si>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</si>
  <si>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</si>
  <si>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</si>
  <si>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</si>
  <si>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</si>
  <si>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</si>
  <si>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</si>
  <si>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</si>
  <si>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</si>
  <si>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</si>
  <si>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</si>
  <si>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</si>
  <si>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</si>
  <si>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</si>
  <si>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</si>
  <si>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</si>
  <si>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</si>
  <si>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</si>
  <si>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</si>
  <si>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</si>
  <si>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</si>
  <si>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</si>
  <si>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</si>
  <si>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</si>
  <si>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</si>
  <si>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AAPL</t>
  </si>
  <si>
    <t>DoneAway</t>
  </si>
  <si>
    <t>Yes</t>
  </si>
  <si>
    <t>RTPNL</t>
  </si>
  <si>
    <t>OpenRTPNL</t>
  </si>
  <si>
    <t>Nirvana,PM</t>
  </si>
  <si>
    <t>IncreaseOrUnwindPositionRTPNL</t>
  </si>
  <si>
    <t>Increase</t>
  </si>
  <si>
    <t>OpenFin</t>
  </si>
  <si>
    <t>CheckOpenFinWindowName</t>
  </si>
  <si>
    <t>Trading Ticket</t>
  </si>
  <si>
    <t>Unwind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</si>
</sst>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 t="s">
        <v>50</v>
      </c>
      <c r="C6" s="12">
        <v>100.0</v>
      </c>
      <c r="D6" s="12">
        <v>10.0</v>
      </c>
      <c r="E6" s="12" t="s">
        <v>51</v>
      </c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52</v>
      </c>
    </row>
    <row r="7" ht="15.75" customHeight="1">
      <c r="A7" s="8"/>
      <c r="B7" s="12" t="s">
        <v>50</v>
      </c>
      <c r="C7" s="12">
        <v>200.0</v>
      </c>
      <c r="D7" s="12">
        <v>10.0</v>
      </c>
      <c r="E7" s="12" t="s">
        <v>51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IFERROR(__xludf.DUMMYFUNCTION("""COMPUTED_VALUE"""),"OpenWindow")</f>
        <v>OpenWindow</v>
      </c>
      <c r="C5" s="31" t="str">
        <f>IFERROR(__xludf.DUMMYFUNCTION("""COMPUTED_VALUE"""),"TabName")</f>
        <v>TabName</v>
      </c>
      <c r="D5" s="31" t="str">
        <f>IFERROR(__xludf.DUMMYFUNCTION("""COMPUTED_VALUE"""),"Description")</f>
        <v>Description</v>
      </c>
      <c r="E5" s="31" t="str">
        <f>IFERROR(__xludf.DUMMYFUNCTION("""COMPUTED_VALUE"""),"Save?")</f>
        <v>Save?</v>
      </c>
      <c r="F5" s="3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>
      <c r="A6" s="12"/>
      <c r="B6" s="12" t="s">
        <v>55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IFERROR(__xludf.DUMMYFUNCTION("""COMPUTED_VALUE"""),"Security Name")</f>
        <v>Security Name</v>
      </c>
      <c r="D5" s="31" t="str">
        <f>IFERROR(__xludf.DUMMYFUNCTION("""COMPUTED_VALUE"""),"Fund")</f>
        <v>Fund</v>
      </c>
      <c r="E5" s="31" t="str">
        <f>IFERROR(__xludf.DUMMYFUNCTION("""COMPUTED_VALUE"""),"Account")</f>
        <v>Account</v>
      </c>
      <c r="F5" s="32" t="str">
        <f>IFERROR(__xludf.DUMMYFUNCTION("""COMPUTED_VALUE"""),"Asset Class")</f>
        <v>Asset Class</v>
      </c>
      <c r="G5" s="31" t="str">
        <f>IFERROR(__xludf.DUMMYFUNCTION("""COMPUTED_VALUE"""),"Position")</f>
        <v>Position</v>
      </c>
      <c r="H5" s="31" t="str">
        <f>IFERROR(__xludf.DUMMYFUNCTION("""COMPUTED_VALUE"""),"Position Side")</f>
        <v>Position Side</v>
      </c>
      <c r="I5" s="31" t="str">
        <f>IFERROR(__xludf.DUMMYFUNCTION("""COMPUTED_VALUE"""),"Px Selected Feed (Local)")</f>
        <v>Px Selected Feed (Local)</v>
      </c>
      <c r="J5" s="31" t="str">
        <f>IFERROR(__xludf.DUMMYFUNCTION("""COMPUTED_VALUE"""),"Px Selected Feed (Base)")</f>
        <v>Px Selected Feed (Base)</v>
      </c>
      <c r="K5" s="31" t="str">
        <f>IFERROR(__xludf.DUMMYFUNCTION("""COMPUTED_VALUE"""),"Market Value (Base)")</f>
        <v>Market Value (Base)</v>
      </c>
      <c r="L5" s="31" t="str">
        <f>IFERROR(__xludf.DUMMYFUNCTION("""COMPUTED_VALUE"""),"% Net Market Value (Base)")</f>
        <v>% Net Market Value (Base)</v>
      </c>
      <c r="M5" s="31" t="str">
        <f>IFERROR(__xludf.DUMMYFUNCTION("""COMPUTED_VALUE"""),"Cost Basis P&amp;L (Base)")</f>
        <v>Cost Basis P&amp;L (Base)</v>
      </c>
      <c r="N5" s="31" t="str">
        <f>IFERROR(__xludf.DUMMYFUNCTION("""COMPUTED_VALUE"""),"% Gain/Loss Cost")</f>
        <v>% Gain/Loss Cost</v>
      </c>
      <c r="O5" s="31" t="str">
        <f>IFERROR(__xludf.DUMMYFUNCTION("""COMPUTED_VALUE"""),"Day P&amp;L (Base)")</f>
        <v>Day P&amp;L (Base)</v>
      </c>
      <c r="P5" s="31" t="str">
        <f>IFERROR(__xludf.DUMMYFUNCTION("""COMPUTED_VALUE"""),"% Gain/Loss Day")</f>
        <v>% Gain/Loss Day</v>
      </c>
      <c r="Q5" s="31" t="str">
        <f>IFERROR(__xludf.DUMMYFUNCTION("""COMPUTED_VALUE"""),"Exposure (Base)")</f>
        <v>Exposure (Base)</v>
      </c>
      <c r="R5" s="31" t="str">
        <f>IFERROR(__xludf.DUMMYFUNCTION("""COMPUTED_VALUE"""),"% Exposure (Base)")</f>
        <v>% Exposure (Base)</v>
      </c>
      <c r="S5" s="31" t="str">
        <f>IFERROR(__xludf.DUMMYFUNCTION("""COMPUTED_VALUE"""),"Live Feed Provider Ticker")</f>
        <v>Live Feed Provider Ticker</v>
      </c>
      <c r="T5" s="33" t="str">
        <f>IFERROR(__xludf.DUMMYFUNCTION("""COMPUTED_VALUE"""),"PositionAction")</f>
        <v>PositionAction</v>
      </c>
      <c r="U5" s="33" t="str">
        <f>IFERROR(__xludf.DUMMYFUNCTION("""COMPUTED_VALUE"""),"VerifyOptionsList")</f>
        <v>VerifyOptionsList</v>
      </c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50</v>
      </c>
      <c r="D6" s="12"/>
      <c r="E6" s="34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T6" s="9" t="s">
        <v>57</v>
      </c>
    </row>
    <row r="7" ht="15.75" customHeight="1">
      <c r="A7" s="8"/>
      <c r="B7" s="12" t="s">
        <v>50</v>
      </c>
      <c r="D7" s="8"/>
      <c r="E7" s="8"/>
      <c r="F7" s="8"/>
      <c r="G7" s="12">
        <v>200.0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IFERROR(__xludf.DUMMYFUNCTION("""COMPUTED_VALUE"""),"WindowName")</f>
        <v>WindowName</v>
      </c>
      <c r="C5" s="31" t="str">
        <f>IFERROR(__xludf.DUMMYFUNCTION("""COMPUTED_VALUE"""),"WindowPresentOrNot")</f>
        <v>WindowPresentOrNot</v>
      </c>
      <c r="D5" s="31"/>
      <c r="E5" s="31"/>
      <c r="F5" s="3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60</v>
      </c>
      <c r="C6" s="12" t="b">
        <v>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IFERROR(__xludf.DUMMYFUNCTION("""COMPUTED_VALUE"""),"Security Name")</f>
        <v>Security Name</v>
      </c>
      <c r="D5" s="31" t="str">
        <f>IFERROR(__xludf.DUMMYFUNCTION("""COMPUTED_VALUE"""),"Fund")</f>
        <v>Fund</v>
      </c>
      <c r="E5" s="31" t="str">
        <f>IFERROR(__xludf.DUMMYFUNCTION("""COMPUTED_VALUE"""),"Account")</f>
        <v>Account</v>
      </c>
      <c r="F5" s="32" t="str">
        <f>IFERROR(__xludf.DUMMYFUNCTION("""COMPUTED_VALUE"""),"Asset Class")</f>
        <v>Asset Class</v>
      </c>
      <c r="G5" s="31" t="str">
        <f>IFERROR(__xludf.DUMMYFUNCTION("""COMPUTED_VALUE"""),"Position")</f>
        <v>Position</v>
      </c>
      <c r="H5" s="31" t="str">
        <f>IFERROR(__xludf.DUMMYFUNCTION("""COMPUTED_VALUE"""),"Position Side")</f>
        <v>Position Side</v>
      </c>
      <c r="I5" s="31" t="str">
        <f>IFERROR(__xludf.DUMMYFUNCTION("""COMPUTED_VALUE"""),"Px Selected Feed (Local)")</f>
        <v>Px Selected Feed (Local)</v>
      </c>
      <c r="J5" s="31" t="str">
        <f>IFERROR(__xludf.DUMMYFUNCTION("""COMPUTED_VALUE"""),"Px Selected Feed (Base)")</f>
        <v>Px Selected Feed (Base)</v>
      </c>
      <c r="K5" s="31" t="str">
        <f>IFERROR(__xludf.DUMMYFUNCTION("""COMPUTED_VALUE"""),"Market Value (Base)")</f>
        <v>Market Value (Base)</v>
      </c>
      <c r="L5" s="31" t="str">
        <f>IFERROR(__xludf.DUMMYFUNCTION("""COMPUTED_VALUE"""),"% Net Market Value (Base)")</f>
        <v>% Net Market Value (Base)</v>
      </c>
      <c r="M5" s="31" t="str">
        <f>IFERROR(__xludf.DUMMYFUNCTION("""COMPUTED_VALUE"""),"Cost Basis P&amp;L (Base)")</f>
        <v>Cost Basis P&amp;L (Base)</v>
      </c>
      <c r="N5" s="31" t="str">
        <f>IFERROR(__xludf.DUMMYFUNCTION("""COMPUTED_VALUE"""),"% Gain/Loss Cost")</f>
        <v>% Gain/Loss Cost</v>
      </c>
      <c r="O5" s="31" t="str">
        <f>IFERROR(__xludf.DUMMYFUNCTION("""COMPUTED_VALUE"""),"Day P&amp;L (Base)")</f>
        <v>Day P&amp;L (Base)</v>
      </c>
      <c r="P5" s="31" t="str">
        <f>IFERROR(__xludf.DUMMYFUNCTION("""COMPUTED_VALUE"""),"% Gain/Loss Day")</f>
        <v>% Gain/Loss Day</v>
      </c>
      <c r="Q5" s="31" t="str">
        <f>IFERROR(__xludf.DUMMYFUNCTION("""COMPUTED_VALUE"""),"Exposure (Base)")</f>
        <v>Exposure (Base)</v>
      </c>
      <c r="R5" s="31" t="str">
        <f>IFERROR(__xludf.DUMMYFUNCTION("""COMPUTED_VALUE"""),"% Exposure (Base)")</f>
        <v>% Exposure (Base)</v>
      </c>
      <c r="S5" s="31" t="str">
        <f>IFERROR(__xludf.DUMMYFUNCTION("""COMPUTED_VALUE"""),"Live Feed Provider Ticker")</f>
        <v>Live Feed Provider Ticker</v>
      </c>
      <c r="T5" s="33" t="str">
        <f>IFERROR(__xludf.DUMMYFUNCTION("""COMPUTED_VALUE"""),"PositionAction")</f>
        <v>PositionAction</v>
      </c>
      <c r="U5" s="33" t="str">
        <f>IFERROR(__xludf.DUMMYFUNCTION("""COMPUTED_VALUE"""),"VerifyOptionsList")</f>
        <v>VerifyOptionsList</v>
      </c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12"/>
      <c r="B6" s="12" t="s">
        <v>50</v>
      </c>
      <c r="D6" s="12"/>
      <c r="E6" s="34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T6" s="9" t="s">
        <v>61</v>
      </c>
    </row>
    <row r="7" ht="15.75" customHeight="1">
      <c r="A7" s="8"/>
      <c r="B7" s="12" t="s">
        <v>50</v>
      </c>
      <c r="D7" s="8"/>
      <c r="E7" s="8"/>
      <c r="F7" s="8"/>
      <c r="G7" s="12">
        <v>200.0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