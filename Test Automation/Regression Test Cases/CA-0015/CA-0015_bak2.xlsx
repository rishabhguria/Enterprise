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25" windowWidth="15015" windowHeight="6090" firstSheet="32" activeTab="33"/>
  </bookViews>
  <sheets>
    <sheet name="_Modules" sheetId="1" r:id="rId1"/>
    <sheet name="_Settings" sheetId="2" r:id="rId2"/>
    <sheet name="_MasterData" sheetId="3" r:id="rId3"/>
    <sheet name="GetNonTradingTransaction" sheetId="4" r:id="rId4"/>
    <sheet name="AddNonTradingTransaction" sheetId="5" r:id="rId5"/>
    <sheet name="CreateDoneAwayOrder" sheetId="6" r:id="rId6"/>
    <sheet name="GetForexConversion" sheetId="7" r:id="rId7"/>
    <sheet name="UpdateForexConversion" sheetId="8" r:id="rId8"/>
    <sheet name="GetMarkPriceData" sheetId="9" r:id="rId9"/>
    <sheet name="UpdateMarkPrice" sheetId="10" r:id="rId10"/>
    <sheet name="GetDayEndCash" sheetId="11" r:id="rId11"/>
    <sheet name="GetAccountBalance" sheetId="12" r:id="rId12"/>
    <sheet name="GetForexConversion1" sheetId="13" r:id="rId13"/>
    <sheet name="UpdateForexConversion1" sheetId="14" r:id="rId14"/>
    <sheet name="GetMarkPriceData1" sheetId="15" r:id="rId15"/>
    <sheet name="UpdateMarkPrice1" sheetId="16" r:id="rId16"/>
    <sheet name="GetDayEndCash1" sheetId="17" r:id="rId17"/>
    <sheet name="GetAccountBalance1" sheetId="18" r:id="rId18"/>
    <sheet name="GetRevaluationData" sheetId="19" r:id="rId19"/>
    <sheet name="VerifyRevaluationData" sheetId="20" r:id="rId20"/>
    <sheet name="VerifyTradingTransaction" sheetId="21" r:id="rId21"/>
    <sheet name="GetActivityData" sheetId="22" r:id="rId22"/>
    <sheet name="VerifyActivity" sheetId="23" r:id="rId23"/>
    <sheet name="OpenSpinOff" sheetId="24" r:id="rId24"/>
    <sheet name="SpinOff" sheetId="25" r:id="rId25"/>
    <sheet name="VerifyAndApplyCorpAction" sheetId="26" r:id="rId26"/>
    <sheet name="GetForexConversion2" sheetId="27" r:id="rId27"/>
    <sheet name="UpdateForexConversion2" sheetId="28" r:id="rId28"/>
    <sheet name="GetMarkPriceData2" sheetId="29" r:id="rId29"/>
    <sheet name="UpdateMarkPrice2" sheetId="30" r:id="rId30"/>
    <sheet name="GetAccountBalance2" sheetId="31" r:id="rId31"/>
    <sheet name="GetRevaluationData1" sheetId="32" r:id="rId32"/>
    <sheet name="VerifyRevaluationData1" sheetId="33" r:id="rId33"/>
    <sheet name="VerifyTradingTransaction1" sheetId="34" r:id="rId34"/>
    <sheet name="GetActivityData1" sheetId="35" r:id="rId35"/>
    <sheet name="VerifyActivity1" sheetId="36" r:id="rId36"/>
    <sheet name="GetDataClosing" sheetId="37" r:id="rId37"/>
    <sheet name="VerifyLongPositionsGrid" sheetId="38" r:id="rId38"/>
    <sheet name="GetDataAllocation" sheetId="39" r:id="rId39"/>
    <sheet name="CheckAllocatedGroups" sheetId="40" r:id="rId40"/>
  </sheets>
  <calcPr calcId="145621"/>
</workbook>
</file>

<file path=xl/calcChain.xml><?xml version="1.0" encoding="utf-8"?>
<calcChain xmlns="http://schemas.openxmlformats.org/spreadsheetml/2006/main">
  <c r="EX5" i="40" l="1"/>
  <c r="EP5" i="40"/>
  <c r="EH5" i="40"/>
  <c r="DZ5" i="40"/>
  <c r="DR5" i="40"/>
  <c r="DJ5" i="40"/>
  <c r="DB5" i="40"/>
  <c r="CT5" i="40"/>
  <c r="CL5" i="40"/>
  <c r="CD5" i="40"/>
  <c r="BV5" i="40"/>
  <c r="BN5" i="40"/>
  <c r="BF5" i="40"/>
  <c r="AX5" i="40"/>
  <c r="AP5" i="40"/>
  <c r="AH5" i="40"/>
  <c r="Z5" i="40"/>
  <c r="R5" i="40"/>
  <c r="J5" i="40"/>
  <c r="B5" i="40"/>
  <c r="ER4" i="40"/>
  <c r="EJ4" i="40"/>
  <c r="EB4" i="40"/>
  <c r="DT4" i="40"/>
  <c r="DL4" i="40"/>
  <c r="DD4" i="40"/>
  <c r="CV4" i="40"/>
  <c r="CN4" i="40"/>
  <c r="CF4" i="40"/>
  <c r="BX4" i="40"/>
  <c r="BP4" i="40"/>
  <c r="BH4" i="40"/>
  <c r="AZ4" i="40"/>
  <c r="AR4" i="40"/>
  <c r="AJ4" i="40"/>
  <c r="AB4" i="40"/>
  <c r="T4" i="40"/>
  <c r="L4" i="40"/>
  <c r="D4" i="40"/>
  <c r="ET5" i="39"/>
  <c r="EL5" i="39"/>
  <c r="ED5" i="39"/>
  <c r="DV5" i="39"/>
  <c r="DN5" i="39"/>
  <c r="DF5" i="39"/>
  <c r="CX5" i="39"/>
  <c r="CP5" i="39"/>
  <c r="CH5" i="39"/>
  <c r="BZ5" i="39"/>
  <c r="BR5" i="39"/>
  <c r="BJ5" i="39"/>
  <c r="BB5" i="39"/>
  <c r="AT5" i="39"/>
  <c r="AL5" i="39"/>
  <c r="AD5" i="39"/>
  <c r="V5" i="39"/>
  <c r="N5" i="39"/>
  <c r="F5" i="39"/>
  <c r="EV4" i="39"/>
  <c r="EN4" i="39"/>
  <c r="EF4" i="39"/>
  <c r="DX4" i="39"/>
  <c r="DP4" i="39"/>
  <c r="DH4" i="39"/>
  <c r="CZ4" i="39"/>
  <c r="CR4" i="39"/>
  <c r="CJ4" i="39"/>
  <c r="CB4" i="39"/>
  <c r="BT4" i="39"/>
  <c r="BL4" i="39"/>
  <c r="BD4" i="39"/>
  <c r="AV4" i="39"/>
  <c r="AN4" i="39"/>
  <c r="AF4" i="39"/>
  <c r="X4" i="39"/>
  <c r="P4" i="39"/>
  <c r="H4" i="39"/>
  <c r="EX5" i="38"/>
  <c r="EP5" i="38"/>
  <c r="EH5" i="38"/>
  <c r="DZ5" i="38"/>
  <c r="DR5" i="38"/>
  <c r="DJ5" i="38"/>
  <c r="DB5" i="38"/>
  <c r="CT5" i="38"/>
  <c r="CL5" i="38"/>
  <c r="CD5" i="38"/>
  <c r="BV5" i="38"/>
  <c r="BN5" i="38"/>
  <c r="BF5" i="38"/>
  <c r="AX5" i="38"/>
  <c r="AP5" i="38"/>
  <c r="AH5" i="38"/>
  <c r="Z5" i="38"/>
  <c r="R5" i="38"/>
  <c r="J5" i="38"/>
  <c r="B5" i="38"/>
  <c r="ER4" i="38"/>
  <c r="EJ4" i="38"/>
  <c r="EB4" i="38"/>
  <c r="DT4" i="38"/>
  <c r="DL4" i="38"/>
  <c r="DD4" i="38"/>
  <c r="CV4" i="38"/>
  <c r="CN4" i="38"/>
  <c r="CF4" i="38"/>
  <c r="BX4" i="38"/>
  <c r="BP4" i="38"/>
  <c r="BH4" i="38"/>
  <c r="AZ4" i="38"/>
  <c r="AR4" i="38"/>
  <c r="AJ4" i="38"/>
  <c r="AB4" i="38"/>
  <c r="T4" i="38"/>
  <c r="L4" i="38"/>
  <c r="D4" i="38"/>
  <c r="ET5" i="37"/>
  <c r="EL5" i="37"/>
  <c r="ED5" i="37"/>
  <c r="DV5" i="37"/>
  <c r="EW5" i="40"/>
  <c r="EO5" i="40"/>
  <c r="EG5" i="40"/>
  <c r="DY5" i="40"/>
  <c r="DQ5" i="40"/>
  <c r="DI5" i="40"/>
  <c r="DA5" i="40"/>
  <c r="CS5" i="40"/>
  <c r="CK5" i="40"/>
  <c r="CC5" i="40"/>
  <c r="BU5" i="40"/>
  <c r="BM5" i="40"/>
  <c r="BE5" i="40"/>
  <c r="AW5" i="40"/>
  <c r="AO5" i="40"/>
  <c r="AG5" i="40"/>
  <c r="Y5" i="40"/>
  <c r="Q5" i="40"/>
  <c r="I5" i="40"/>
  <c r="A5" i="40"/>
  <c r="EQ4" i="40"/>
  <c r="EI4" i="40"/>
  <c r="EA4" i="40"/>
  <c r="DS4" i="40"/>
  <c r="DK4" i="40"/>
  <c r="DC4" i="40"/>
  <c r="CU4" i="40"/>
  <c r="CM4" i="40"/>
  <c r="CE4" i="40"/>
  <c r="BW4" i="40"/>
  <c r="BO4" i="40"/>
  <c r="BG4" i="40"/>
  <c r="AY4" i="40"/>
  <c r="AQ4" i="40"/>
  <c r="AI4" i="40"/>
  <c r="AA4" i="40"/>
  <c r="S4" i="40"/>
  <c r="K4" i="40"/>
  <c r="C4" i="40"/>
  <c r="ES5" i="39"/>
  <c r="EK5" i="39"/>
  <c r="EC5" i="39"/>
  <c r="DU5" i="39"/>
  <c r="EV5" i="40"/>
  <c r="EU5" i="40"/>
  <c r="ET5" i="40"/>
  <c r="EL5" i="40"/>
  <c r="ED5" i="40"/>
  <c r="DV5" i="40"/>
  <c r="DN5" i="40"/>
  <c r="DF5" i="40"/>
  <c r="CX5" i="40"/>
  <c r="CP5" i="40"/>
  <c r="CH5" i="40"/>
  <c r="BZ5" i="40"/>
  <c r="BR5" i="40"/>
  <c r="BJ5" i="40"/>
  <c r="BB5" i="40"/>
  <c r="AT5" i="40"/>
  <c r="AL5" i="40"/>
  <c r="AD5" i="40"/>
  <c r="V5" i="40"/>
  <c r="N5" i="40"/>
  <c r="F5" i="40"/>
  <c r="EV4" i="40"/>
  <c r="EN4" i="40"/>
  <c r="EF4" i="40"/>
  <c r="DX4" i="40"/>
  <c r="DP4" i="40"/>
  <c r="DH4" i="40"/>
  <c r="CZ4" i="40"/>
  <c r="CR4" i="40"/>
  <c r="CJ4" i="40"/>
  <c r="CB4" i="40"/>
  <c r="BT4" i="40"/>
  <c r="BL4" i="40"/>
  <c r="BD4" i="40"/>
  <c r="AV4" i="40"/>
  <c r="AN4" i="40"/>
  <c r="AF4" i="40"/>
  <c r="X4" i="40"/>
  <c r="P4" i="40"/>
  <c r="H4" i="40"/>
  <c r="EX5" i="39"/>
  <c r="EP5" i="39"/>
  <c r="EH5" i="39"/>
  <c r="DZ5" i="39"/>
  <c r="DR5" i="39"/>
  <c r="DJ5" i="39"/>
  <c r="DB5" i="39"/>
  <c r="CT5" i="39"/>
  <c r="CL5" i="39"/>
  <c r="CD5" i="39"/>
  <c r="BV5" i="39"/>
  <c r="BN5" i="39"/>
  <c r="BF5" i="39"/>
  <c r="AX5" i="39"/>
  <c r="AP5" i="39"/>
  <c r="AH5" i="39"/>
  <c r="Z5" i="39"/>
  <c r="R5" i="39"/>
  <c r="J5" i="39"/>
  <c r="B5" i="39"/>
  <c r="ER4" i="39"/>
  <c r="EJ4" i="39"/>
  <c r="EB4" i="39"/>
  <c r="DT4" i="39"/>
  <c r="DL4" i="39"/>
  <c r="DD4" i="39"/>
  <c r="CV4" i="39"/>
  <c r="CN4" i="39"/>
  <c r="CF4" i="39"/>
  <c r="BX4" i="39"/>
  <c r="BP4" i="39"/>
  <c r="BH4" i="39"/>
  <c r="AZ4" i="39"/>
  <c r="AR4" i="39"/>
  <c r="AJ4" i="39"/>
  <c r="AB4" i="39"/>
  <c r="T4" i="39"/>
  <c r="L4" i="39"/>
  <c r="D4" i="39"/>
  <c r="ET5" i="38"/>
  <c r="EL5" i="38"/>
  <c r="ED5" i="38"/>
  <c r="DV5" i="38"/>
  <c r="DN5" i="38"/>
  <c r="DF5" i="38"/>
  <c r="CX5" i="38"/>
  <c r="CP5" i="38"/>
  <c r="CH5" i="38"/>
  <c r="BZ5" i="38"/>
  <c r="BR5" i="38"/>
  <c r="BJ5" i="38"/>
  <c r="BB5" i="38"/>
  <c r="AT5" i="38"/>
  <c r="AL5" i="38"/>
  <c r="AD5" i="38"/>
  <c r="V5" i="38"/>
  <c r="N5" i="38"/>
  <c r="F5" i="38"/>
  <c r="EV4" i="38"/>
  <c r="EN4" i="38"/>
  <c r="EF4" i="38"/>
  <c r="DX4" i="38"/>
  <c r="DP4" i="38"/>
  <c r="DH4" i="38"/>
  <c r="CZ4" i="38"/>
  <c r="CR4" i="38"/>
  <c r="CJ4" i="38"/>
  <c r="CB4" i="38"/>
  <c r="BT4" i="38"/>
  <c r="BL4" i="38"/>
  <c r="BD4" i="38"/>
  <c r="AV4" i="38"/>
  <c r="AN4" i="38"/>
  <c r="AF4" i="38"/>
  <c r="X4" i="38"/>
  <c r="P4" i="38"/>
  <c r="H4" i="38"/>
  <c r="EX5" i="37"/>
  <c r="EP5" i="37"/>
  <c r="EH5" i="37"/>
  <c r="DZ5" i="37"/>
  <c r="DR5" i="37"/>
  <c r="DJ5" i="37"/>
  <c r="DB5" i="37"/>
  <c r="CT5" i="37"/>
  <c r="CL5" i="37"/>
  <c r="CD5" i="37"/>
  <c r="BV5" i="37"/>
  <c r="BN5" i="37"/>
  <c r="ES5" i="40"/>
  <c r="EK5" i="40"/>
  <c r="EC5" i="40"/>
  <c r="DU5" i="40"/>
  <c r="DM5" i="40"/>
  <c r="DE5" i="40"/>
  <c r="CW5" i="40"/>
  <c r="CO5" i="40"/>
  <c r="CG5" i="40"/>
  <c r="BY5" i="40"/>
  <c r="BQ5" i="40"/>
  <c r="BI5" i="40"/>
  <c r="BA5" i="40"/>
  <c r="AS5" i="40"/>
  <c r="AK5" i="40"/>
  <c r="AC5" i="40"/>
  <c r="U5" i="40"/>
  <c r="M5" i="40"/>
  <c r="E5" i="40"/>
  <c r="EU4" i="40"/>
  <c r="EM4" i="40"/>
  <c r="EE4" i="40"/>
  <c r="DW4" i="40"/>
  <c r="DO4" i="40"/>
  <c r="DG4" i="40"/>
  <c r="CY4" i="40"/>
  <c r="CQ4" i="40"/>
  <c r="CI4" i="40"/>
  <c r="CA4" i="40"/>
  <c r="BS4" i="40"/>
  <c r="BK4" i="40"/>
  <c r="BC4" i="40"/>
  <c r="AU4" i="40"/>
  <c r="AM4" i="40"/>
  <c r="AE4" i="40"/>
  <c r="ER5" i="40"/>
  <c r="EJ5" i="40"/>
  <c r="EB5" i="40"/>
  <c r="DT5" i="40"/>
  <c r="DL5" i="40"/>
  <c r="DD5" i="40"/>
  <c r="CV5" i="40"/>
  <c r="CN5" i="40"/>
  <c r="CF5" i="40"/>
  <c r="BX5" i="40"/>
  <c r="BP5" i="40"/>
  <c r="BH5" i="40"/>
  <c r="AZ5" i="40"/>
  <c r="AR5" i="40"/>
  <c r="AJ5" i="40"/>
  <c r="AB5" i="40"/>
  <c r="T5" i="40"/>
  <c r="L5" i="40"/>
  <c r="D5" i="40"/>
  <c r="ET4" i="40"/>
  <c r="EL4" i="40"/>
  <c r="ED4" i="40"/>
  <c r="DV4" i="40"/>
  <c r="DN4" i="40"/>
  <c r="DF4" i="40"/>
  <c r="CX4" i="40"/>
  <c r="CP4" i="40"/>
  <c r="CH4" i="40"/>
  <c r="BZ4" i="40"/>
  <c r="BR4" i="40"/>
  <c r="BJ4" i="40"/>
  <c r="BB4" i="40"/>
  <c r="AT4" i="40"/>
  <c r="AL4" i="40"/>
  <c r="AD4" i="40"/>
  <c r="V4" i="40"/>
  <c r="N4" i="40"/>
  <c r="F4" i="40"/>
  <c r="EV5" i="39"/>
  <c r="EN5" i="39"/>
  <c r="EF5" i="39"/>
  <c r="DX5" i="39"/>
  <c r="DP5" i="39"/>
  <c r="DH5" i="39"/>
  <c r="CZ5" i="39"/>
  <c r="CR5" i="39"/>
  <c r="CJ5" i="39"/>
  <c r="CB5" i="39"/>
  <c r="BT5" i="39"/>
  <c r="BL5" i="39"/>
  <c r="BD5" i="39"/>
  <c r="AV5" i="39"/>
  <c r="AN5" i="39"/>
  <c r="AF5" i="39"/>
  <c r="X5" i="39"/>
  <c r="P5" i="39"/>
  <c r="H5" i="39"/>
  <c r="EX4" i="39"/>
  <c r="EP4" i="39"/>
  <c r="EH4" i="39"/>
  <c r="DZ4" i="39"/>
  <c r="DR4" i="39"/>
  <c r="DJ4" i="39"/>
  <c r="DB4" i="39"/>
  <c r="CT4" i="39"/>
  <c r="CL4" i="39"/>
  <c r="CD4" i="39"/>
  <c r="BV4" i="39"/>
  <c r="BN4" i="39"/>
  <c r="BF4" i="39"/>
  <c r="AX4" i="39"/>
  <c r="AP4" i="39"/>
  <c r="AH4" i="39"/>
  <c r="Z4" i="39"/>
  <c r="R4" i="39"/>
  <c r="J4" i="39"/>
  <c r="B4" i="39"/>
  <c r="ER5" i="38"/>
  <c r="EJ5" i="38"/>
  <c r="EB5" i="38"/>
  <c r="DT5" i="38"/>
  <c r="DL5" i="38"/>
  <c r="DD5" i="38"/>
  <c r="CV5" i="38"/>
  <c r="CN5" i="38"/>
  <c r="CF5" i="38"/>
  <c r="BX5" i="38"/>
  <c r="BP5" i="38"/>
  <c r="BH5" i="38"/>
  <c r="AZ5" i="38"/>
  <c r="AR5" i="38"/>
  <c r="AJ5" i="38"/>
  <c r="AB5" i="38"/>
  <c r="T5" i="38"/>
  <c r="L5" i="38"/>
  <c r="EQ5" i="40"/>
  <c r="EN5" i="40"/>
  <c r="DS5" i="40"/>
  <c r="CY5" i="40"/>
  <c r="CB5" i="40"/>
  <c r="BG5" i="40"/>
  <c r="AM5" i="40"/>
  <c r="P5" i="40"/>
  <c r="ES4" i="40"/>
  <c r="DY4" i="40"/>
  <c r="DB4" i="40"/>
  <c r="CG4" i="40"/>
  <c r="BM4" i="40"/>
  <c r="AP4" i="40"/>
  <c r="W4" i="40"/>
  <c r="G4" i="40"/>
  <c r="EO5" i="39"/>
  <c r="DY5" i="39"/>
  <c r="DK5" i="39"/>
  <c r="CW5" i="39"/>
  <c r="CK5" i="39"/>
  <c r="BX5" i="39"/>
  <c r="BK5" i="39"/>
  <c r="AY5" i="39"/>
  <c r="AK5" i="39"/>
  <c r="Y5" i="39"/>
  <c r="L5" i="39"/>
  <c r="EW4" i="39"/>
  <c r="EK4" i="39"/>
  <c r="DW4" i="39"/>
  <c r="DK4" i="39"/>
  <c r="CX4" i="39"/>
  <c r="CK4" i="39"/>
  <c r="BY4" i="39"/>
  <c r="BK4" i="39"/>
  <c r="AY4" i="39"/>
  <c r="AL4" i="39"/>
  <c r="Y4" i="39"/>
  <c r="M4" i="39"/>
  <c r="EW5" i="38"/>
  <c r="EK5" i="38"/>
  <c r="DX5" i="38"/>
  <c r="DK5" i="38"/>
  <c r="CY5" i="38"/>
  <c r="CK5" i="38"/>
  <c r="BY5" i="38"/>
  <c r="BL5" i="38"/>
  <c r="AY5" i="38"/>
  <c r="AM5" i="38"/>
  <c r="Y5" i="38"/>
  <c r="M5" i="38"/>
  <c r="A5" i="38"/>
  <c r="EO4" i="38"/>
  <c r="ED4" i="38"/>
  <c r="DS4" i="38"/>
  <c r="DI4" i="38"/>
  <c r="CX4" i="38"/>
  <c r="CM4" i="38"/>
  <c r="CC4" i="38"/>
  <c r="BR4" i="38"/>
  <c r="BG4" i="38"/>
  <c r="AW4" i="38"/>
  <c r="AL4" i="38"/>
  <c r="AA4" i="38"/>
  <c r="Q4" i="38"/>
  <c r="F4" i="38"/>
  <c r="ES5" i="37"/>
  <c r="EI5" i="37"/>
  <c r="DX5" i="37"/>
  <c r="DN5" i="37"/>
  <c r="DE5" i="37"/>
  <c r="CV5" i="37"/>
  <c r="CM5" i="37"/>
  <c r="CC5" i="37"/>
  <c r="BT5" i="37"/>
  <c r="BK5" i="37"/>
  <c r="BC5" i="37"/>
  <c r="AU5" i="37"/>
  <c r="AM5" i="37"/>
  <c r="AE5" i="37"/>
  <c r="W5" i="37"/>
  <c r="O5" i="37"/>
  <c r="G5" i="37"/>
  <c r="EW4" i="37"/>
  <c r="EO4" i="37"/>
  <c r="EG4" i="37"/>
  <c r="DY4" i="37"/>
  <c r="DQ4" i="37"/>
  <c r="DI4" i="37"/>
  <c r="DA4" i="37"/>
  <c r="CS4" i="37"/>
  <c r="CK4" i="37"/>
  <c r="CC4" i="37"/>
  <c r="BU4" i="37"/>
  <c r="BM4" i="37"/>
  <c r="BE4" i="37"/>
  <c r="AW4" i="37"/>
  <c r="AO4" i="37"/>
  <c r="AG4" i="37"/>
  <c r="Y4" i="37"/>
  <c r="Q4" i="37"/>
  <c r="I4" i="37"/>
  <c r="EM5" i="40"/>
  <c r="DP5" i="40"/>
  <c r="CU5" i="40"/>
  <c r="CA5" i="40"/>
  <c r="BD5" i="40"/>
  <c r="AI5" i="40"/>
  <c r="O5" i="40"/>
  <c r="EP4" i="40"/>
  <c r="DU4" i="40"/>
  <c r="DA4" i="40"/>
  <c r="CD4" i="40"/>
  <c r="BI4" i="40"/>
  <c r="AO4" i="40"/>
  <c r="U4" i="40"/>
  <c r="E4" i="40"/>
  <c r="EM5" i="39"/>
  <c r="DW5" i="39"/>
  <c r="DI5" i="39"/>
  <c r="CV5" i="39"/>
  <c r="CI5" i="39"/>
  <c r="BW5" i="39"/>
  <c r="BI5" i="39"/>
  <c r="AW5" i="39"/>
  <c r="AJ5" i="39"/>
  <c r="W5" i="39"/>
  <c r="K5" i="39"/>
  <c r="EU4" i="39"/>
  <c r="EI4" i="39"/>
  <c r="DV4" i="39"/>
  <c r="DI4" i="39"/>
  <c r="CW4" i="39"/>
  <c r="CI4" i="39"/>
  <c r="BW4" i="39"/>
  <c r="BJ4" i="39"/>
  <c r="AW4" i="39"/>
  <c r="AK4" i="39"/>
  <c r="W4" i="39"/>
  <c r="K4" i="39"/>
  <c r="EV5" i="38"/>
  <c r="EI5" i="38"/>
  <c r="DW5" i="38"/>
  <c r="DI5" i="38"/>
  <c r="CW5" i="38"/>
  <c r="CJ5" i="38"/>
  <c r="BW5" i="38"/>
  <c r="BK5" i="38"/>
  <c r="AW5" i="38"/>
  <c r="AK5" i="38"/>
  <c r="X5" i="38"/>
  <c r="K5" i="38"/>
  <c r="EX4" i="38"/>
  <c r="EM4" i="38"/>
  <c r="EC4" i="38"/>
  <c r="DR4" i="38"/>
  <c r="DG4" i="38"/>
  <c r="CW4" i="38"/>
  <c r="CL4" i="38"/>
  <c r="CA4" i="38"/>
  <c r="BQ4" i="38"/>
  <c r="BF4" i="38"/>
  <c r="AU4" i="38"/>
  <c r="AK4" i="38"/>
  <c r="Z4" i="38"/>
  <c r="O4" i="38"/>
  <c r="E4" i="38"/>
  <c r="ER5" i="37"/>
  <c r="EG5" i="37"/>
  <c r="DW5" i="37"/>
  <c r="DM5" i="37"/>
  <c r="DD5" i="37"/>
  <c r="CU5" i="37"/>
  <c r="CK5" i="37"/>
  <c r="CB5" i="37"/>
  <c r="BS5" i="37"/>
  <c r="BJ5" i="37"/>
  <c r="BB5" i="37"/>
  <c r="AT5" i="37"/>
  <c r="AL5" i="37"/>
  <c r="AD5" i="37"/>
  <c r="V5" i="37"/>
  <c r="N5" i="37"/>
  <c r="F5" i="37"/>
  <c r="EV4" i="37"/>
  <c r="EN4" i="37"/>
  <c r="EF4" i="37"/>
  <c r="DX4" i="37"/>
  <c r="DP4" i="37"/>
  <c r="DH4" i="37"/>
  <c r="CZ4" i="37"/>
  <c r="CR4" i="37"/>
  <c r="CJ4" i="37"/>
  <c r="CB4" i="37"/>
  <c r="BT4" i="37"/>
  <c r="BL4" i="37"/>
  <c r="BD4" i="37"/>
  <c r="AV4" i="37"/>
  <c r="AN4" i="37"/>
  <c r="AF4" i="37"/>
  <c r="X4" i="37"/>
  <c r="P4" i="37"/>
  <c r="H4" i="37"/>
  <c r="EX5" i="36"/>
  <c r="EP5" i="36"/>
  <c r="EH5" i="36"/>
  <c r="DZ5" i="36"/>
  <c r="DR5" i="36"/>
  <c r="DJ5" i="36"/>
  <c r="DB5" i="36"/>
  <c r="CT5" i="36"/>
  <c r="CL5" i="36"/>
  <c r="CD5" i="36"/>
  <c r="BV5" i="36"/>
  <c r="BN5" i="36"/>
  <c r="BF5" i="36"/>
  <c r="AX5" i="36"/>
  <c r="AP5" i="36"/>
  <c r="AH5" i="36"/>
  <c r="Z5" i="36"/>
  <c r="R5" i="36"/>
  <c r="J5" i="36"/>
  <c r="B5" i="36"/>
  <c r="ER4" i="36"/>
  <c r="EJ4" i="36"/>
  <c r="EB4" i="36"/>
  <c r="DT4" i="36"/>
  <c r="DL4" i="36"/>
  <c r="DD4" i="36"/>
  <c r="EI5" i="40"/>
  <c r="DO5" i="40"/>
  <c r="CR5" i="40"/>
  <c r="BW5" i="40"/>
  <c r="BC5" i="40"/>
  <c r="AF5" i="40"/>
  <c r="K5" i="40"/>
  <c r="EO4" i="40"/>
  <c r="DR4" i="40"/>
  <c r="CW4" i="40"/>
  <c r="CC4" i="40"/>
  <c r="BF4" i="40"/>
  <c r="AK4" i="40"/>
  <c r="R4" i="40"/>
  <c r="B4" i="40"/>
  <c r="EJ5" i="39"/>
  <c r="DT5" i="39"/>
  <c r="DG5" i="39"/>
  <c r="CU5" i="39"/>
  <c r="CG5" i="39"/>
  <c r="BU5" i="39"/>
  <c r="BH5" i="39"/>
  <c r="AU5" i="39"/>
  <c r="AI5" i="39"/>
  <c r="U5" i="39"/>
  <c r="I5" i="39"/>
  <c r="ET4" i="39"/>
  <c r="EG4" i="39"/>
  <c r="DU4" i="39"/>
  <c r="DG4" i="39"/>
  <c r="CU4" i="39"/>
  <c r="CH4" i="39"/>
  <c r="BU4" i="39"/>
  <c r="BI4" i="39"/>
  <c r="AU4" i="39"/>
  <c r="AI4" i="39"/>
  <c r="V4" i="39"/>
  <c r="I4" i="39"/>
  <c r="EU5" i="38"/>
  <c r="EG5" i="38"/>
  <c r="DU5" i="38"/>
  <c r="DH5" i="38"/>
  <c r="CU5" i="38"/>
  <c r="CI5" i="38"/>
  <c r="BU5" i="38"/>
  <c r="BI5" i="38"/>
  <c r="AV5" i="38"/>
  <c r="AI5" i="38"/>
  <c r="W5" i="38"/>
  <c r="I5" i="38"/>
  <c r="EW4" i="38"/>
  <c r="EL4" i="38"/>
  <c r="EA4" i="38"/>
  <c r="DQ4" i="38"/>
  <c r="DF4" i="38"/>
  <c r="CU4" i="38"/>
  <c r="CK4" i="38"/>
  <c r="BZ4" i="38"/>
  <c r="BO4" i="38"/>
  <c r="BE4" i="38"/>
  <c r="AT4" i="38"/>
  <c r="AI4" i="38"/>
  <c r="Y4" i="38"/>
  <c r="N4" i="38"/>
  <c r="C4" i="38"/>
  <c r="EQ5" i="37"/>
  <c r="EF5" i="37"/>
  <c r="DU5" i="37"/>
  <c r="DL5" i="37"/>
  <c r="DC5" i="37"/>
  <c r="CS5" i="37"/>
  <c r="CJ5" i="37"/>
  <c r="CA5" i="37"/>
  <c r="BR5" i="37"/>
  <c r="BI5" i="37"/>
  <c r="BA5" i="37"/>
  <c r="AS5" i="37"/>
  <c r="AK5" i="37"/>
  <c r="AC5" i="37"/>
  <c r="U5" i="37"/>
  <c r="M5" i="37"/>
  <c r="E5" i="37"/>
  <c r="EU4" i="37"/>
  <c r="EM4" i="37"/>
  <c r="EE4" i="37"/>
  <c r="DW4" i="37"/>
  <c r="DO4" i="37"/>
  <c r="DG4" i="37"/>
  <c r="CY4" i="37"/>
  <c r="CQ4" i="37"/>
  <c r="CI4" i="37"/>
  <c r="CA4" i="37"/>
  <c r="BS4" i="37"/>
  <c r="BK4" i="37"/>
  <c r="BC4" i="37"/>
  <c r="AU4" i="37"/>
  <c r="AM4" i="37"/>
  <c r="AE4" i="37"/>
  <c r="W4" i="37"/>
  <c r="O4" i="37"/>
  <c r="G4" i="37"/>
  <c r="EW5" i="36"/>
  <c r="EO5" i="36"/>
  <c r="EG5" i="36"/>
  <c r="DY5" i="36"/>
  <c r="DQ5" i="36"/>
  <c r="DI5" i="36"/>
  <c r="DA5" i="36"/>
  <c r="CS5" i="36"/>
  <c r="CK5" i="36"/>
  <c r="CC5" i="36"/>
  <c r="BU5" i="36"/>
  <c r="BM5" i="36"/>
  <c r="BE5" i="36"/>
  <c r="AW5" i="36"/>
  <c r="AO5" i="36"/>
  <c r="AG5" i="36"/>
  <c r="Y5" i="36"/>
  <c r="Q5" i="36"/>
  <c r="I5" i="36"/>
  <c r="A5" i="36"/>
  <c r="EQ4" i="36"/>
  <c r="EI4" i="36"/>
  <c r="EA4" i="36"/>
  <c r="DS4" i="36"/>
  <c r="DK4" i="36"/>
  <c r="EF5" i="40"/>
  <c r="DK5" i="40"/>
  <c r="CQ5" i="40"/>
  <c r="BT5" i="40"/>
  <c r="AY5" i="40"/>
  <c r="AE5" i="40"/>
  <c r="H5" i="40"/>
  <c r="EK4" i="40"/>
  <c r="DQ4" i="40"/>
  <c r="CT4" i="40"/>
  <c r="BY4" i="40"/>
  <c r="BE4" i="40"/>
  <c r="AH4" i="40"/>
  <c r="Q4" i="40"/>
  <c r="EE5" i="40"/>
  <c r="DH5" i="40"/>
  <c r="CM5" i="40"/>
  <c r="BS5" i="40"/>
  <c r="AV5" i="40"/>
  <c r="AA5" i="40"/>
  <c r="G5" i="40"/>
  <c r="EH4" i="40"/>
  <c r="DM4" i="40"/>
  <c r="CS4" i="40"/>
  <c r="BV4" i="40"/>
  <c r="BA4" i="40"/>
  <c r="AG4" i="40"/>
  <c r="O4" i="40"/>
  <c r="EW5" i="39"/>
  <c r="EG5" i="39"/>
  <c r="DQ5" i="39"/>
  <c r="DD5" i="39"/>
  <c r="CQ5" i="39"/>
  <c r="CE5" i="39"/>
  <c r="BQ5" i="39"/>
  <c r="BE5" i="39"/>
  <c r="AR5" i="39"/>
  <c r="AE5" i="39"/>
  <c r="S5" i="39"/>
  <c r="E5" i="39"/>
  <c r="EQ4" i="39"/>
  <c r="ED4" i="39"/>
  <c r="DQ4" i="39"/>
  <c r="DE4" i="39"/>
  <c r="CQ4" i="39"/>
  <c r="CE4" i="39"/>
  <c r="BR4" i="39"/>
  <c r="BE4" i="39"/>
  <c r="AS4" i="39"/>
  <c r="AE4" i="39"/>
  <c r="S4" i="39"/>
  <c r="F4" i="39"/>
  <c r="EQ5" i="38"/>
  <c r="EE5" i="38"/>
  <c r="DQ5" i="38"/>
  <c r="DE5" i="38"/>
  <c r="CR5" i="38"/>
  <c r="CE5" i="38"/>
  <c r="BS5" i="38"/>
  <c r="BE5" i="38"/>
  <c r="AS5" i="38"/>
  <c r="AF5" i="38"/>
  <c r="S5" i="38"/>
  <c r="G5" i="38"/>
  <c r="ET4" i="38"/>
  <c r="EI4" i="38"/>
  <c r="DY4" i="38"/>
  <c r="DN4" i="38"/>
  <c r="DC4" i="38"/>
  <c r="CS4" i="38"/>
  <c r="CH4" i="38"/>
  <c r="BW4" i="38"/>
  <c r="BM4" i="38"/>
  <c r="BB4" i="38"/>
  <c r="AQ4" i="38"/>
  <c r="AG4" i="38"/>
  <c r="V4" i="38"/>
  <c r="K4" i="38"/>
  <c r="EA5" i="40"/>
  <c r="DG5" i="40"/>
  <c r="CJ5" i="40"/>
  <c r="BO5" i="40"/>
  <c r="AU5" i="40"/>
  <c r="X5" i="40"/>
  <c r="C5" i="40"/>
  <c r="EG4" i="40"/>
  <c r="DJ4" i="40"/>
  <c r="CO4" i="40"/>
  <c r="BU4" i="40"/>
  <c r="AX4" i="40"/>
  <c r="AC4" i="40"/>
  <c r="M4" i="40"/>
  <c r="EU5" i="39"/>
  <c r="EE5" i="39"/>
  <c r="DO5" i="39"/>
  <c r="DC5" i="39"/>
  <c r="CO5" i="39"/>
  <c r="CC5" i="39"/>
  <c r="BP5" i="39"/>
  <c r="BC5" i="39"/>
  <c r="AQ5" i="39"/>
  <c r="AC5" i="39"/>
  <c r="Q5" i="39"/>
  <c r="D5" i="39"/>
  <c r="EO4" i="39"/>
  <c r="EC4" i="39"/>
  <c r="DO4" i="39"/>
  <c r="DC4" i="39"/>
  <c r="CP4" i="39"/>
  <c r="CC4" i="39"/>
  <c r="BQ4" i="39"/>
  <c r="BC4" i="39"/>
  <c r="AQ4" i="39"/>
  <c r="AD4" i="39"/>
  <c r="Q4" i="39"/>
  <c r="E4" i="39"/>
  <c r="EO5" i="38"/>
  <c r="EC5" i="38"/>
  <c r="DP5" i="38"/>
  <c r="DC5" i="38"/>
  <c r="CQ5" i="38"/>
  <c r="CC5" i="38"/>
  <c r="BQ5" i="38"/>
  <c r="BD5" i="38"/>
  <c r="AQ5" i="38"/>
  <c r="AE5" i="38"/>
  <c r="Q5" i="38"/>
  <c r="E5" i="38"/>
  <c r="ES4" i="38"/>
  <c r="EH4" i="38"/>
  <c r="DW4" i="38"/>
  <c r="DM4" i="38"/>
  <c r="DB4" i="38"/>
  <c r="CQ4" i="38"/>
  <c r="CG4" i="38"/>
  <c r="BV4" i="38"/>
  <c r="BK4" i="38"/>
  <c r="BA4" i="38"/>
  <c r="AP4" i="38"/>
  <c r="AE4" i="38"/>
  <c r="U4" i="38"/>
  <c r="J4" i="38"/>
  <c r="EW5" i="37"/>
  <c r="EM5" i="37"/>
  <c r="EB5" i="37"/>
  <c r="DQ5" i="37"/>
  <c r="DH5" i="37"/>
  <c r="CY5" i="37"/>
  <c r="CP5" i="37"/>
  <c r="CG5" i="37"/>
  <c r="BX5" i="37"/>
  <c r="BO5" i="37"/>
  <c r="BF5" i="37"/>
  <c r="AX5" i="37"/>
  <c r="AP5" i="37"/>
  <c r="AH5" i="37"/>
  <c r="Z5" i="37"/>
  <c r="R5" i="37"/>
  <c r="J5" i="37"/>
  <c r="B5" i="37"/>
  <c r="ER4" i="37"/>
  <c r="EJ4" i="37"/>
  <c r="EB4" i="37"/>
  <c r="DT4" i="37"/>
  <c r="DL4" i="37"/>
  <c r="DD4" i="37"/>
  <c r="CV4" i="37"/>
  <c r="CN4" i="37"/>
  <c r="CF4" i="37"/>
  <c r="BX4" i="37"/>
  <c r="BP4" i="37"/>
  <c r="BH4" i="37"/>
  <c r="AZ4" i="37"/>
  <c r="AR4" i="37"/>
  <c r="AJ4" i="37"/>
  <c r="AB4" i="37"/>
  <c r="T4" i="37"/>
  <c r="L4" i="37"/>
  <c r="D4" i="37"/>
  <c r="ET5" i="36"/>
  <c r="EL5" i="36"/>
  <c r="ED5" i="36"/>
  <c r="DV5" i="36"/>
  <c r="DN5" i="36"/>
  <c r="DF5" i="36"/>
  <c r="CX5" i="36"/>
  <c r="CP5" i="36"/>
  <c r="CH5" i="36"/>
  <c r="BZ5" i="36"/>
  <c r="BR5" i="36"/>
  <c r="BJ5" i="36"/>
  <c r="BB5" i="36"/>
  <c r="AT5" i="36"/>
  <c r="AL5" i="36"/>
  <c r="AD5" i="36"/>
  <c r="V5" i="36"/>
  <c r="N5" i="36"/>
  <c r="F5" i="36"/>
  <c r="EV4" i="36"/>
  <c r="EN4" i="36"/>
  <c r="EF4" i="36"/>
  <c r="DX4" i="36"/>
  <c r="DP4" i="36"/>
  <c r="DX5" i="40"/>
  <c r="DC5" i="40"/>
  <c r="CI5" i="40"/>
  <c r="BL5" i="40"/>
  <c r="AQ5" i="40"/>
  <c r="W5" i="40"/>
  <c r="EX4" i="40"/>
  <c r="EC4" i="40"/>
  <c r="DI4" i="40"/>
  <c r="CL4" i="40"/>
  <c r="BQ4" i="40"/>
  <c r="AW4" i="40"/>
  <c r="Z4" i="40"/>
  <c r="J4" i="40"/>
  <c r="ER5" i="39"/>
  <c r="EB5" i="39"/>
  <c r="DM5" i="39"/>
  <c r="DA5" i="39"/>
  <c r="CN5" i="39"/>
  <c r="CA5" i="39"/>
  <c r="BO5" i="39"/>
  <c r="BA5" i="39"/>
  <c r="AO5" i="39"/>
  <c r="AB5" i="39"/>
  <c r="O5" i="39"/>
  <c r="C5" i="39"/>
  <c r="EM4" i="39"/>
  <c r="EA4" i="39"/>
  <c r="DN4" i="39"/>
  <c r="DA4" i="39"/>
  <c r="CO4" i="39"/>
  <c r="CA4" i="39"/>
  <c r="BO4" i="39"/>
  <c r="BB4" i="39"/>
  <c r="AO4" i="39"/>
  <c r="AC4" i="39"/>
  <c r="O4" i="39"/>
  <c r="C4" i="39"/>
  <c r="EN5" i="38"/>
  <c r="EA5" i="38"/>
  <c r="DO5" i="38"/>
  <c r="DA5" i="38"/>
  <c r="CO5" i="38"/>
  <c r="CB5" i="38"/>
  <c r="BO5" i="38"/>
  <c r="BC5" i="38"/>
  <c r="AO5" i="38"/>
  <c r="AC5" i="38"/>
  <c r="P5" i="38"/>
  <c r="D5" i="38"/>
  <c r="EQ4" i="38"/>
  <c r="EG4" i="38"/>
  <c r="DV4" i="38"/>
  <c r="DK4" i="38"/>
  <c r="DA4" i="38"/>
  <c r="CP4" i="38"/>
  <c r="CE4" i="38"/>
  <c r="BU4" i="38"/>
  <c r="BJ4" i="38"/>
  <c r="AY4" i="38"/>
  <c r="AO4" i="38"/>
  <c r="AD4" i="38"/>
  <c r="S4" i="38"/>
  <c r="I4" i="38"/>
  <c r="EV5" i="37"/>
  <c r="EK5" i="37"/>
  <c r="EA5" i="37"/>
  <c r="DP5" i="37"/>
  <c r="DG5" i="37"/>
  <c r="CX5" i="37"/>
  <c r="CO5" i="37"/>
  <c r="CF5" i="37"/>
  <c r="BW5" i="37"/>
  <c r="BM5" i="37"/>
  <c r="BE5" i="37"/>
  <c r="AW5" i="37"/>
  <c r="AO5" i="37"/>
  <c r="AG5" i="37"/>
  <c r="Y5" i="37"/>
  <c r="Q5" i="37"/>
  <c r="I5" i="37"/>
  <c r="A5" i="37"/>
  <c r="EQ4" i="37"/>
  <c r="EI4" i="37"/>
  <c r="EA4" i="37"/>
  <c r="DS4" i="37"/>
  <c r="DK4" i="37"/>
  <c r="DC4" i="37"/>
  <c r="CU4" i="37"/>
  <c r="CM4" i="37"/>
  <c r="CE4" i="37"/>
  <c r="BW4" i="37"/>
  <c r="BO4" i="37"/>
  <c r="BG4" i="37"/>
  <c r="AY4" i="37"/>
  <c r="AQ4" i="37"/>
  <c r="AI4" i="37"/>
  <c r="AA4" i="37"/>
  <c r="S4" i="37"/>
  <c r="K4" i="37"/>
  <c r="C4" i="37"/>
  <c r="ES5" i="36"/>
  <c r="EK5" i="36"/>
  <c r="EC5" i="36"/>
  <c r="DU5" i="36"/>
  <c r="DM5" i="36"/>
  <c r="DE5" i="36"/>
  <c r="CW5" i="36"/>
  <c r="CO5" i="36"/>
  <c r="CG5" i="36"/>
  <c r="BY5" i="36"/>
  <c r="BQ5" i="36"/>
  <c r="BI5" i="36"/>
  <c r="BA5" i="36"/>
  <c r="AS5" i="36"/>
  <c r="AK5" i="36"/>
  <c r="AC5" i="36"/>
  <c r="U5" i="36"/>
  <c r="M5" i="36"/>
  <c r="E5" i="36"/>
  <c r="EU4" i="36"/>
  <c r="EM4" i="36"/>
  <c r="EE4" i="36"/>
  <c r="DW4" i="36"/>
  <c r="DO4" i="36"/>
  <c r="DG4" i="36"/>
  <c r="DW5" i="40"/>
  <c r="CZ5" i="40"/>
  <c r="CE5" i="40"/>
  <c r="BK5" i="40"/>
  <c r="AN5" i="40"/>
  <c r="S5" i="40"/>
  <c r="EW4" i="40"/>
  <c r="DZ4" i="40"/>
  <c r="DE4" i="40"/>
  <c r="CK4" i="40"/>
  <c r="BN4" i="40"/>
  <c r="AS4" i="40"/>
  <c r="Y4" i="40"/>
  <c r="I4" i="40"/>
  <c r="EQ5" i="39"/>
  <c r="EA5" i="39"/>
  <c r="DL5" i="39"/>
  <c r="CY5" i="39"/>
  <c r="CM5" i="39"/>
  <c r="BY5" i="39"/>
  <c r="BM5" i="39"/>
  <c r="AZ5" i="39"/>
  <c r="AM5" i="39"/>
  <c r="AA5" i="39"/>
  <c r="M5" i="39"/>
  <c r="A5" i="39"/>
  <c r="EL4" i="39"/>
  <c r="DY4" i="39"/>
  <c r="DM4" i="39"/>
  <c r="CY4" i="39"/>
  <c r="CM4" i="39"/>
  <c r="BZ4" i="39"/>
  <c r="BM4" i="39"/>
  <c r="BA4" i="39"/>
  <c r="AM4" i="39"/>
  <c r="AA4" i="39"/>
  <c r="N4" i="39"/>
  <c r="EI5" i="39"/>
  <c r="AG5" i="39"/>
  <c r="CG4" i="39"/>
  <c r="EM5" i="38"/>
  <c r="CM5" i="38"/>
  <c r="AN5" i="38"/>
  <c r="EP4" i="38"/>
  <c r="CY4" i="38"/>
  <c r="BI4" i="38"/>
  <c r="R4" i="38"/>
  <c r="EE5" i="37"/>
  <c r="DF5" i="37"/>
  <c r="CH5" i="37"/>
  <c r="BH5" i="37"/>
  <c r="AN5" i="37"/>
  <c r="S5" i="37"/>
  <c r="ET4" i="37"/>
  <c r="DZ4" i="37"/>
  <c r="DE4" i="37"/>
  <c r="CH4" i="37"/>
  <c r="BN4" i="37"/>
  <c r="AS4" i="37"/>
  <c r="V4" i="37"/>
  <c r="B4" i="37"/>
  <c r="EI5" i="36"/>
  <c r="DS5" i="36"/>
  <c r="DC5" i="36"/>
  <c r="CM5" i="36"/>
  <c r="BW5" i="36"/>
  <c r="BG5" i="36"/>
  <c r="AQ5" i="36"/>
  <c r="AA5" i="36"/>
  <c r="K5" i="36"/>
  <c r="ES4" i="36"/>
  <c r="EC4" i="36"/>
  <c r="DM4" i="36"/>
  <c r="DA4" i="36"/>
  <c r="CS4" i="36"/>
  <c r="CK4" i="36"/>
  <c r="CC4" i="36"/>
  <c r="BU4" i="36"/>
  <c r="BM4" i="36"/>
  <c r="BE4" i="36"/>
  <c r="AW4" i="36"/>
  <c r="AO4" i="36"/>
  <c r="AG4" i="36"/>
  <c r="Y4" i="36"/>
  <c r="Q4" i="36"/>
  <c r="I4" i="36"/>
  <c r="EQ5" i="35"/>
  <c r="EI5" i="35"/>
  <c r="EA5" i="35"/>
  <c r="DS5" i="35"/>
  <c r="DK5" i="35"/>
  <c r="DC5" i="35"/>
  <c r="CU5" i="35"/>
  <c r="CM5" i="35"/>
  <c r="CE5" i="35"/>
  <c r="BW5" i="35"/>
  <c r="BO5" i="35"/>
  <c r="BG5" i="35"/>
  <c r="AY5" i="35"/>
  <c r="AQ5" i="35"/>
  <c r="AI5" i="35"/>
  <c r="AA5" i="35"/>
  <c r="S5" i="35"/>
  <c r="K5" i="35"/>
  <c r="C5" i="35"/>
  <c r="ES4" i="35"/>
  <c r="EK4" i="35"/>
  <c r="EC4" i="35"/>
  <c r="DU4" i="35"/>
  <c r="DM4" i="35"/>
  <c r="DE4" i="35"/>
  <c r="CW4" i="35"/>
  <c r="CO4" i="35"/>
  <c r="CG4" i="35"/>
  <c r="BY4" i="35"/>
  <c r="BQ4" i="35"/>
  <c r="BI4" i="35"/>
  <c r="BA4" i="35"/>
  <c r="AS4" i="35"/>
  <c r="AK4" i="35"/>
  <c r="AC4" i="35"/>
  <c r="U4" i="35"/>
  <c r="M4" i="35"/>
  <c r="E4" i="35"/>
  <c r="EU5" i="34"/>
  <c r="EM5" i="34"/>
  <c r="EE5" i="34"/>
  <c r="DW5" i="34"/>
  <c r="DO5" i="34"/>
  <c r="DG5" i="34"/>
  <c r="CY5" i="34"/>
  <c r="CQ5" i="34"/>
  <c r="CI5" i="34"/>
  <c r="CA5" i="34"/>
  <c r="BS5" i="34"/>
  <c r="BK5" i="34"/>
  <c r="BC5" i="34"/>
  <c r="AU5" i="34"/>
  <c r="AM5" i="34"/>
  <c r="AE5" i="34"/>
  <c r="W5" i="34"/>
  <c r="O5" i="34"/>
  <c r="G5" i="34"/>
  <c r="EW4" i="34"/>
  <c r="EO4" i="34"/>
  <c r="EG4" i="34"/>
  <c r="DY4" i="34"/>
  <c r="DQ4" i="34"/>
  <c r="DI4" i="34"/>
  <c r="DA4" i="34"/>
  <c r="CS4" i="34"/>
  <c r="CK4" i="34"/>
  <c r="CC4" i="34"/>
  <c r="BU4" i="34"/>
  <c r="BM4" i="34"/>
  <c r="BE4" i="34"/>
  <c r="AW4" i="34"/>
  <c r="AO4" i="34"/>
  <c r="AG4" i="34"/>
  <c r="Y4" i="34"/>
  <c r="Q4" i="34"/>
  <c r="I4" i="34"/>
  <c r="DS5" i="39"/>
  <c r="T5" i="39"/>
  <c r="BS4" i="39"/>
  <c r="EF5" i="38"/>
  <c r="CG5" i="38"/>
  <c r="AG5" i="38"/>
  <c r="EK4" i="38"/>
  <c r="CT4" i="38"/>
  <c r="BC4" i="38"/>
  <c r="M4" i="38"/>
  <c r="EC5" i="37"/>
  <c r="DA5" i="37"/>
  <c r="CE5" i="37"/>
  <c r="BG5" i="37"/>
  <c r="AJ5" i="37"/>
  <c r="P5" i="37"/>
  <c r="ES4" i="37"/>
  <c r="DV4" i="37"/>
  <c r="DB4" i="37"/>
  <c r="CG4" i="37"/>
  <c r="BJ4" i="37"/>
  <c r="AP4" i="37"/>
  <c r="U4" i="37"/>
  <c r="EV5" i="36"/>
  <c r="EF5" i="36"/>
  <c r="DP5" i="36"/>
  <c r="CZ5" i="36"/>
  <c r="CJ5" i="36"/>
  <c r="BT5" i="36"/>
  <c r="BD5" i="36"/>
  <c r="AN5" i="36"/>
  <c r="X5" i="36"/>
  <c r="H5" i="36"/>
  <c r="EP4" i="36"/>
  <c r="DZ4" i="36"/>
  <c r="DJ4" i="36"/>
  <c r="CZ4" i="36"/>
  <c r="CR4" i="36"/>
  <c r="CJ4" i="36"/>
  <c r="CB4" i="36"/>
  <c r="BT4" i="36"/>
  <c r="BL4" i="36"/>
  <c r="BD4" i="36"/>
  <c r="AV4" i="36"/>
  <c r="AN4" i="36"/>
  <c r="AF4" i="36"/>
  <c r="X4" i="36"/>
  <c r="P4" i="36"/>
  <c r="H4" i="36"/>
  <c r="EX5" i="35"/>
  <c r="EP5" i="35"/>
  <c r="EH5" i="35"/>
  <c r="DZ5" i="35"/>
  <c r="DR5" i="35"/>
  <c r="DJ5" i="35"/>
  <c r="DB5" i="35"/>
  <c r="CT5" i="35"/>
  <c r="CL5" i="35"/>
  <c r="CD5" i="35"/>
  <c r="BV5" i="35"/>
  <c r="BN5" i="35"/>
  <c r="BF5" i="35"/>
  <c r="AX5" i="35"/>
  <c r="AP5" i="35"/>
  <c r="AH5" i="35"/>
  <c r="Z5" i="35"/>
  <c r="R5" i="35"/>
  <c r="J5" i="35"/>
  <c r="B5" i="35"/>
  <c r="ER4" i="35"/>
  <c r="EJ4" i="35"/>
  <c r="EB4" i="35"/>
  <c r="DT4" i="35"/>
  <c r="DL4" i="35"/>
  <c r="DD4" i="35"/>
  <c r="CV4" i="35"/>
  <c r="CN4" i="35"/>
  <c r="CF4" i="35"/>
  <c r="BX4" i="35"/>
  <c r="BP4" i="35"/>
  <c r="BH4" i="35"/>
  <c r="AZ4" i="35"/>
  <c r="AR4" i="35"/>
  <c r="AJ4" i="35"/>
  <c r="AB4" i="35"/>
  <c r="T4" i="35"/>
  <c r="L4" i="35"/>
  <c r="D4" i="35"/>
  <c r="ET5" i="34"/>
  <c r="EL5" i="34"/>
  <c r="ED5" i="34"/>
  <c r="DV5" i="34"/>
  <c r="DN5" i="34"/>
  <c r="DF5" i="34"/>
  <c r="CX5" i="34"/>
  <c r="CP5" i="34"/>
  <c r="CH5" i="34"/>
  <c r="BZ5" i="34"/>
  <c r="BR5" i="34"/>
  <c r="BJ5" i="34"/>
  <c r="BB5" i="34"/>
  <c r="AT5" i="34"/>
  <c r="AL5" i="34"/>
  <c r="AD5" i="34"/>
  <c r="V5" i="34"/>
  <c r="N5" i="34"/>
  <c r="F5" i="34"/>
  <c r="EV4" i="34"/>
  <c r="EN4" i="34"/>
  <c r="EF4" i="34"/>
  <c r="DX4" i="34"/>
  <c r="DP4" i="34"/>
  <c r="DH4" i="34"/>
  <c r="CZ4" i="34"/>
  <c r="CR4" i="34"/>
  <c r="CJ4" i="34"/>
  <c r="CB4" i="34"/>
  <c r="BT4" i="34"/>
  <c r="BL4" i="34"/>
  <c r="BD4" i="34"/>
  <c r="AV4" i="34"/>
  <c r="AN4" i="34"/>
  <c r="AF4" i="34"/>
  <c r="X4" i="34"/>
  <c r="P4" i="34"/>
  <c r="H4" i="34"/>
  <c r="EX5" i="33"/>
  <c r="DE5" i="39"/>
  <c r="G5" i="39"/>
  <c r="BG4" i="39"/>
  <c r="DY5" i="38"/>
  <c r="CA5" i="38"/>
  <c r="AA5" i="38"/>
  <c r="EE4" i="38"/>
  <c r="CO4" i="38"/>
  <c r="AX4" i="38"/>
  <c r="G4" i="38"/>
  <c r="DY5" i="37"/>
  <c r="CZ5" i="37"/>
  <c r="BZ5" i="37"/>
  <c r="BD5" i="37"/>
  <c r="AI5" i="37"/>
  <c r="L5" i="37"/>
  <c r="EP4" i="37"/>
  <c r="DU4" i="37"/>
  <c r="CX4" i="37"/>
  <c r="CD4" i="37"/>
  <c r="BI4" i="37"/>
  <c r="AL4" i="37"/>
  <c r="R4" i="37"/>
  <c r="EU5" i="36"/>
  <c r="EE5" i="36"/>
  <c r="DO5" i="36"/>
  <c r="CY5" i="36"/>
  <c r="CI5" i="36"/>
  <c r="BS5" i="36"/>
  <c r="BC5" i="36"/>
  <c r="AM5" i="36"/>
  <c r="W5" i="36"/>
  <c r="G5" i="36"/>
  <c r="EO4" i="36"/>
  <c r="DY4" i="36"/>
  <c r="DI4" i="36"/>
  <c r="CY4" i="36"/>
  <c r="CQ4" i="36"/>
  <c r="CI4" i="36"/>
  <c r="CA4" i="36"/>
  <c r="BS4" i="36"/>
  <c r="BK4" i="36"/>
  <c r="BC4" i="36"/>
  <c r="AU4" i="36"/>
  <c r="AM4" i="36"/>
  <c r="AE4" i="36"/>
  <c r="W4" i="36"/>
  <c r="O4" i="36"/>
  <c r="G4" i="36"/>
  <c r="EW5" i="35"/>
  <c r="EO5" i="35"/>
  <c r="EG5" i="35"/>
  <c r="DY5" i="35"/>
  <c r="DQ5" i="35"/>
  <c r="DI5" i="35"/>
  <c r="DA5" i="35"/>
  <c r="CS5" i="35"/>
  <c r="CK5" i="35"/>
  <c r="CC5" i="35"/>
  <c r="BU5" i="35"/>
  <c r="BM5" i="35"/>
  <c r="BE5" i="35"/>
  <c r="AW5" i="35"/>
  <c r="AO5" i="35"/>
  <c r="AG5" i="35"/>
  <c r="Y5" i="35"/>
  <c r="Q5" i="35"/>
  <c r="I5" i="35"/>
  <c r="A5" i="35"/>
  <c r="EQ4" i="35"/>
  <c r="EI4" i="35"/>
  <c r="EA4" i="35"/>
  <c r="DS4" i="35"/>
  <c r="DK4" i="35"/>
  <c r="DC4" i="35"/>
  <c r="CU4" i="35"/>
  <c r="CM4" i="35"/>
  <c r="CE4" i="35"/>
  <c r="BW4" i="35"/>
  <c r="BO4" i="35"/>
  <c r="BG4" i="35"/>
  <c r="AY4" i="35"/>
  <c r="AQ4" i="35"/>
  <c r="AI4" i="35"/>
  <c r="AA4" i="35"/>
  <c r="S4" i="35"/>
  <c r="K4" i="35"/>
  <c r="C4" i="35"/>
  <c r="ES5" i="34"/>
  <c r="EK5" i="34"/>
  <c r="EC5" i="34"/>
  <c r="DU5" i="34"/>
  <c r="DM5" i="34"/>
  <c r="DE5" i="34"/>
  <c r="CW5" i="34"/>
  <c r="CO5" i="34"/>
  <c r="CG5" i="34"/>
  <c r="BY5" i="34"/>
  <c r="BQ5" i="34"/>
  <c r="BI5" i="34"/>
  <c r="BA5" i="34"/>
  <c r="AS5" i="34"/>
  <c r="AK5" i="34"/>
  <c r="AC5" i="34"/>
  <c r="U5" i="34"/>
  <c r="M5" i="34"/>
  <c r="E5" i="34"/>
  <c r="EU4" i="34"/>
  <c r="EM4" i="34"/>
  <c r="EE4" i="34"/>
  <c r="DW4" i="34"/>
  <c r="DO4" i="34"/>
  <c r="DG4" i="34"/>
  <c r="CY4" i="34"/>
  <c r="CQ4" i="34"/>
  <c r="CI4" i="34"/>
  <c r="CA4" i="34"/>
  <c r="BS4" i="34"/>
  <c r="BK4" i="34"/>
  <c r="BC4" i="34"/>
  <c r="AU4" i="34"/>
  <c r="AM4" i="34"/>
  <c r="AE4" i="34"/>
  <c r="W4" i="34"/>
  <c r="O4" i="34"/>
  <c r="G4" i="34"/>
  <c r="EW5" i="33"/>
  <c r="CS5" i="39"/>
  <c r="ES4" i="39"/>
  <c r="AT4" i="39"/>
  <c r="DS5" i="38"/>
  <c r="BT5" i="38"/>
  <c r="U5" i="38"/>
  <c r="DZ4" i="38"/>
  <c r="CI4" i="38"/>
  <c r="AS4" i="38"/>
  <c r="B4" i="38"/>
  <c r="DT5" i="37"/>
  <c r="CW5" i="37"/>
  <c r="BY5" i="37"/>
  <c r="AZ5" i="37"/>
  <c r="AF5" i="37"/>
  <c r="K5" i="37"/>
  <c r="EL4" i="37"/>
  <c r="DR4" i="37"/>
  <c r="CW4" i="37"/>
  <c r="BZ4" i="37"/>
  <c r="BF4" i="37"/>
  <c r="AK4" i="37"/>
  <c r="N4" i="37"/>
  <c r="ER5" i="36"/>
  <c r="EB5" i="36"/>
  <c r="DL5" i="36"/>
  <c r="CV5" i="36"/>
  <c r="CF5" i="36"/>
  <c r="BP5" i="36"/>
  <c r="AZ5" i="36"/>
  <c r="AJ5" i="36"/>
  <c r="T5" i="36"/>
  <c r="D5" i="36"/>
  <c r="EL4" i="36"/>
  <c r="DV4" i="36"/>
  <c r="DH4" i="36"/>
  <c r="CX4" i="36"/>
  <c r="CP4" i="36"/>
  <c r="CH4" i="36"/>
  <c r="BZ4" i="36"/>
  <c r="BR4" i="36"/>
  <c r="BJ4" i="36"/>
  <c r="BB4" i="36"/>
  <c r="AT4" i="36"/>
  <c r="AL4" i="36"/>
  <c r="AD4" i="36"/>
  <c r="V4" i="36"/>
  <c r="N4" i="36"/>
  <c r="F4" i="36"/>
  <c r="EV5" i="35"/>
  <c r="EN5" i="35"/>
  <c r="EF5" i="35"/>
  <c r="DX5" i="35"/>
  <c r="DP5" i="35"/>
  <c r="DH5" i="35"/>
  <c r="CZ5" i="35"/>
  <c r="CR5" i="35"/>
  <c r="CJ5" i="35"/>
  <c r="CB5" i="35"/>
  <c r="BT5" i="35"/>
  <c r="BL5" i="35"/>
  <c r="BD5" i="35"/>
  <c r="AV5" i="35"/>
  <c r="AN5" i="35"/>
  <c r="AF5" i="35"/>
  <c r="X5" i="35"/>
  <c r="P5" i="35"/>
  <c r="H5" i="35"/>
  <c r="EX4" i="35"/>
  <c r="EP4" i="35"/>
  <c r="EH4" i="35"/>
  <c r="DZ4" i="35"/>
  <c r="DR4" i="35"/>
  <c r="DJ4" i="35"/>
  <c r="DB4" i="35"/>
  <c r="CT4" i="35"/>
  <c r="CL4" i="35"/>
  <c r="CD4" i="35"/>
  <c r="BV4" i="35"/>
  <c r="BN4" i="35"/>
  <c r="BF4" i="35"/>
  <c r="AX4" i="35"/>
  <c r="AP4" i="35"/>
  <c r="AH4" i="35"/>
  <c r="Z4" i="35"/>
  <c r="R4" i="35"/>
  <c r="J4" i="35"/>
  <c r="B4" i="35"/>
  <c r="ER5" i="34"/>
  <c r="EJ5" i="34"/>
  <c r="EB5" i="34"/>
  <c r="DT5" i="34"/>
  <c r="DL5" i="34"/>
  <c r="DD5" i="34"/>
  <c r="CV5" i="34"/>
  <c r="CN5" i="34"/>
  <c r="CF5" i="34"/>
  <c r="BX5" i="34"/>
  <c r="BP5" i="34"/>
  <c r="BH5" i="34"/>
  <c r="AZ5" i="34"/>
  <c r="AR5" i="34"/>
  <c r="AJ5" i="34"/>
  <c r="AB5" i="34"/>
  <c r="T5" i="34"/>
  <c r="L5" i="34"/>
  <c r="D5" i="34"/>
  <c r="ET4" i="34"/>
  <c r="EL4" i="34"/>
  <c r="ED4" i="34"/>
  <c r="DV4" i="34"/>
  <c r="DN4" i="34"/>
  <c r="DF4" i="34"/>
  <c r="CX4" i="34"/>
  <c r="CP4" i="34"/>
  <c r="CH4" i="34"/>
  <c r="BZ4" i="34"/>
  <c r="BR4" i="34"/>
  <c r="BJ4" i="34"/>
  <c r="BB4" i="34"/>
  <c r="AT4" i="34"/>
  <c r="AL4" i="34"/>
  <c r="AD4" i="34"/>
  <c r="V4" i="34"/>
  <c r="N4" i="34"/>
  <c r="F4" i="34"/>
  <c r="EV5" i="33"/>
  <c r="CF5" i="39"/>
  <c r="EE4" i="39"/>
  <c r="AG4" i="39"/>
  <c r="DM5" i="38"/>
  <c r="BM5" i="38"/>
  <c r="O5" i="38"/>
  <c r="DU4" i="38"/>
  <c r="CD4" i="38"/>
  <c r="AM4" i="38"/>
  <c r="EU5" i="37"/>
  <c r="DS5" i="37"/>
  <c r="CR5" i="37"/>
  <c r="BU5" i="37"/>
  <c r="AY5" i="37"/>
  <c r="AB5" i="37"/>
  <c r="H5" i="37"/>
  <c r="EK4" i="37"/>
  <c r="DN4" i="37"/>
  <c r="CT4" i="37"/>
  <c r="BY4" i="37"/>
  <c r="BB4" i="37"/>
  <c r="AH4" i="37"/>
  <c r="M4" i="37"/>
  <c r="EQ5" i="36"/>
  <c r="EA5" i="36"/>
  <c r="DK5" i="36"/>
  <c r="CU5" i="36"/>
  <c r="CE5" i="36"/>
  <c r="BO5" i="36"/>
  <c r="AY5" i="36"/>
  <c r="AI5" i="36"/>
  <c r="S5" i="36"/>
  <c r="C5" i="36"/>
  <c r="EK4" i="36"/>
  <c r="DU4" i="36"/>
  <c r="DF4" i="36"/>
  <c r="CW4" i="36"/>
  <c r="CO4" i="36"/>
  <c r="CG4" i="36"/>
  <c r="BY4" i="36"/>
  <c r="BQ4" i="36"/>
  <c r="BI4" i="36"/>
  <c r="BA4" i="36"/>
  <c r="AS4" i="36"/>
  <c r="AK4" i="36"/>
  <c r="AC4" i="36"/>
  <c r="U4" i="36"/>
  <c r="M4" i="36"/>
  <c r="E4" i="36"/>
  <c r="EU5" i="35"/>
  <c r="EM5" i="35"/>
  <c r="EE5" i="35"/>
  <c r="DW5" i="35"/>
  <c r="DO5" i="35"/>
  <c r="DG5" i="35"/>
  <c r="CY5" i="35"/>
  <c r="CQ5" i="35"/>
  <c r="CI5" i="35"/>
  <c r="CA5" i="35"/>
  <c r="BS5" i="35"/>
  <c r="BK5" i="35"/>
  <c r="BC5" i="35"/>
  <c r="AU5" i="35"/>
  <c r="AM5" i="35"/>
  <c r="AE5" i="35"/>
  <c r="W5" i="35"/>
  <c r="O5" i="35"/>
  <c r="G5" i="35"/>
  <c r="EW4" i="35"/>
  <c r="EO4" i="35"/>
  <c r="EG4" i="35"/>
  <c r="DY4" i="35"/>
  <c r="DQ4" i="35"/>
  <c r="DI4" i="35"/>
  <c r="DA4" i="35"/>
  <c r="CS4" i="35"/>
  <c r="CK4" i="35"/>
  <c r="CC4" i="35"/>
  <c r="BU4" i="35"/>
  <c r="BM4" i="35"/>
  <c r="BE4" i="35"/>
  <c r="AW4" i="35"/>
  <c r="AO4" i="35"/>
  <c r="AG4" i="35"/>
  <c r="Y4" i="35"/>
  <c r="Q4" i="35"/>
  <c r="I4" i="35"/>
  <c r="EQ5" i="34"/>
  <c r="EI5" i="34"/>
  <c r="EA5" i="34"/>
  <c r="DS5" i="34"/>
  <c r="DK5" i="34"/>
  <c r="DC5" i="34"/>
  <c r="CU5" i="34"/>
  <c r="CM5" i="34"/>
  <c r="CE5" i="34"/>
  <c r="BW5" i="34"/>
  <c r="BO5" i="34"/>
  <c r="BG5" i="34"/>
  <c r="AY5" i="34"/>
  <c r="AQ5" i="34"/>
  <c r="AI5" i="34"/>
  <c r="AA5" i="34"/>
  <c r="S5" i="34"/>
  <c r="K5" i="34"/>
  <c r="C5" i="34"/>
  <c r="ES4" i="34"/>
  <c r="EK4" i="34"/>
  <c r="EC4" i="34"/>
  <c r="DU4" i="34"/>
  <c r="DM4" i="34"/>
  <c r="DE4" i="34"/>
  <c r="CW4" i="34"/>
  <c r="CO4" i="34"/>
  <c r="CG4" i="34"/>
  <c r="BY4" i="34"/>
  <c r="BQ4" i="34"/>
  <c r="BI4" i="34"/>
  <c r="BA4" i="34"/>
  <c r="AS4" i="34"/>
  <c r="AK4" i="34"/>
  <c r="AC4" i="34"/>
  <c r="U4" i="34"/>
  <c r="M4" i="34"/>
  <c r="E4" i="34"/>
  <c r="EU5" i="33"/>
  <c r="BS5" i="39"/>
  <c r="DS4" i="39"/>
  <c r="U4" i="39"/>
  <c r="DG5" i="38"/>
  <c r="BG5" i="38"/>
  <c r="H5" i="38"/>
  <c r="DO4" i="38"/>
  <c r="BY4" i="38"/>
  <c r="AH4" i="38"/>
  <c r="EO5" i="37"/>
  <c r="DO5" i="37"/>
  <c r="CQ5" i="37"/>
  <c r="BQ5" i="37"/>
  <c r="AV5" i="37"/>
  <c r="AA5" i="37"/>
  <c r="D5" i="37"/>
  <c r="EH4" i="37"/>
  <c r="DM4" i="37"/>
  <c r="CP4" i="37"/>
  <c r="BV4" i="37"/>
  <c r="BA4" i="37"/>
  <c r="AD4" i="37"/>
  <c r="J4" i="37"/>
  <c r="EN5" i="36"/>
  <c r="DX5" i="36"/>
  <c r="DH5" i="36"/>
  <c r="CR5" i="36"/>
  <c r="CB5" i="36"/>
  <c r="BL5" i="36"/>
  <c r="AV5" i="36"/>
  <c r="AF5" i="36"/>
  <c r="P5" i="36"/>
  <c r="EX4" i="36"/>
  <c r="EH4" i="36"/>
  <c r="DR4" i="36"/>
  <c r="DE4" i="36"/>
  <c r="CV4" i="36"/>
  <c r="CN4" i="36"/>
  <c r="CF4" i="36"/>
  <c r="BX4" i="36"/>
  <c r="BP4" i="36"/>
  <c r="BH4" i="36"/>
  <c r="AZ4" i="36"/>
  <c r="AR4" i="36"/>
  <c r="AJ4" i="36"/>
  <c r="AB4" i="36"/>
  <c r="T4" i="36"/>
  <c r="L4" i="36"/>
  <c r="D4" i="36"/>
  <c r="ET5" i="35"/>
  <c r="EL5" i="35"/>
  <c r="ED5" i="35"/>
  <c r="DV5" i="35"/>
  <c r="DN5" i="35"/>
  <c r="DF5" i="35"/>
  <c r="CX5" i="35"/>
  <c r="CP5" i="35"/>
  <c r="CH5" i="35"/>
  <c r="BZ5" i="35"/>
  <c r="BR5" i="35"/>
  <c r="BJ5" i="35"/>
  <c r="BB5" i="35"/>
  <c r="AT5" i="35"/>
  <c r="AL5" i="35"/>
  <c r="AD5" i="35"/>
  <c r="V5" i="35"/>
  <c r="N5" i="35"/>
  <c r="F5" i="35"/>
  <c r="EV4" i="35"/>
  <c r="EN4" i="35"/>
  <c r="EF4" i="35"/>
  <c r="DX4" i="35"/>
  <c r="DP4" i="35"/>
  <c r="DH4" i="35"/>
  <c r="CZ4" i="35"/>
  <c r="CR4" i="35"/>
  <c r="CJ4" i="35"/>
  <c r="CB4" i="35"/>
  <c r="BT4" i="35"/>
  <c r="BL4" i="35"/>
  <c r="BD4" i="35"/>
  <c r="AV4" i="35"/>
  <c r="AN4" i="35"/>
  <c r="AF4" i="35"/>
  <c r="X4" i="35"/>
  <c r="P4" i="35"/>
  <c r="H4" i="35"/>
  <c r="EX5" i="34"/>
  <c r="EP5" i="34"/>
  <c r="EH5" i="34"/>
  <c r="DZ5" i="34"/>
  <c r="DR5" i="34"/>
  <c r="DJ5" i="34"/>
  <c r="DB5" i="34"/>
  <c r="CT5" i="34"/>
  <c r="CL5" i="34"/>
  <c r="CD5" i="34"/>
  <c r="BV5" i="34"/>
  <c r="BN5" i="34"/>
  <c r="BF5" i="34"/>
  <c r="AX5" i="34"/>
  <c r="AP5" i="34"/>
  <c r="AH5" i="34"/>
  <c r="Z5" i="34"/>
  <c r="R5" i="34"/>
  <c r="J5" i="34"/>
  <c r="B5" i="34"/>
  <c r="ER4" i="34"/>
  <c r="EJ4" i="34"/>
  <c r="EB4" i="34"/>
  <c r="DT4" i="34"/>
  <c r="DL4" i="34"/>
  <c r="DD4" i="34"/>
  <c r="CV4" i="34"/>
  <c r="CN4" i="34"/>
  <c r="CF4" i="34"/>
  <c r="BX4" i="34"/>
  <c r="BP4" i="34"/>
  <c r="BH4" i="34"/>
  <c r="AZ4" i="34"/>
  <c r="AR4" i="34"/>
  <c r="AJ4" i="34"/>
  <c r="AB4" i="34"/>
  <c r="T4" i="34"/>
  <c r="L4" i="34"/>
  <c r="D4" i="34"/>
  <c r="BG5" i="39"/>
  <c r="DF4" i="39"/>
  <c r="G4" i="39"/>
  <c r="CZ5" i="38"/>
  <c r="BA5" i="38"/>
  <c r="C5" i="38"/>
  <c r="DJ4" i="38"/>
  <c r="BS4" i="38"/>
  <c r="AC4" i="38"/>
  <c r="EN5" i="37"/>
  <c r="DK5" i="37"/>
  <c r="CN5" i="37"/>
  <c r="BP5" i="37"/>
  <c r="AR5" i="37"/>
  <c r="X5" i="37"/>
  <c r="C5" i="37"/>
  <c r="ED4" i="37"/>
  <c r="DJ4" i="37"/>
  <c r="CO4" i="37"/>
  <c r="BR4" i="37"/>
  <c r="AX4" i="37"/>
  <c r="AC4" i="37"/>
  <c r="F4" i="37"/>
  <c r="EM5" i="36"/>
  <c r="DW5" i="36"/>
  <c r="DG5" i="36"/>
  <c r="CQ5" i="36"/>
  <c r="CA5" i="36"/>
  <c r="BK5" i="36"/>
  <c r="AU5" i="36"/>
  <c r="AE5" i="36"/>
  <c r="O5" i="36"/>
  <c r="EW4" i="36"/>
  <c r="EG4" i="36"/>
  <c r="DQ4" i="36"/>
  <c r="DC4" i="36"/>
  <c r="CU4" i="36"/>
  <c r="CM4" i="36"/>
  <c r="CE4" i="36"/>
  <c r="BW4" i="36"/>
  <c r="BO4" i="36"/>
  <c r="BG4" i="36"/>
  <c r="AY4" i="36"/>
  <c r="AQ4" i="36"/>
  <c r="AI4" i="36"/>
  <c r="AA4" i="36"/>
  <c r="S4" i="36"/>
  <c r="K4" i="36"/>
  <c r="C4" i="36"/>
  <c r="ES5" i="35"/>
  <c r="EK5" i="35"/>
  <c r="EC5" i="35"/>
  <c r="DU5" i="35"/>
  <c r="DM5" i="35"/>
  <c r="DE5" i="35"/>
  <c r="CW5" i="35"/>
  <c r="CO5" i="35"/>
  <c r="CG5" i="35"/>
  <c r="BY5" i="35"/>
  <c r="BQ5" i="35"/>
  <c r="BI5" i="35"/>
  <c r="BA5" i="35"/>
  <c r="AS5" i="35"/>
  <c r="AK5" i="35"/>
  <c r="AC5" i="35"/>
  <c r="U5" i="35"/>
  <c r="M5" i="35"/>
  <c r="E5" i="35"/>
  <c r="EU4" i="35"/>
  <c r="EM4" i="35"/>
  <c r="EE4" i="35"/>
  <c r="DW4" i="35"/>
  <c r="DO4" i="35"/>
  <c r="DG4" i="35"/>
  <c r="CY4" i="35"/>
  <c r="CQ4" i="35"/>
  <c r="CI4" i="35"/>
  <c r="CA4" i="35"/>
  <c r="BS4" i="35"/>
  <c r="BK4" i="35"/>
  <c r="BC4" i="35"/>
  <c r="AU4" i="35"/>
  <c r="AM4" i="35"/>
  <c r="AE4" i="35"/>
  <c r="W4" i="35"/>
  <c r="O4" i="35"/>
  <c r="G4" i="35"/>
  <c r="EW5" i="34"/>
  <c r="EO5" i="34"/>
  <c r="EG5" i="34"/>
  <c r="DY5" i="34"/>
  <c r="DQ5" i="34"/>
  <c r="DI5" i="34"/>
  <c r="DA5" i="34"/>
  <c r="CS5" i="34"/>
  <c r="CK5" i="34"/>
  <c r="CC5" i="34"/>
  <c r="BU5" i="34"/>
  <c r="BM5" i="34"/>
  <c r="BE5" i="34"/>
  <c r="AW5" i="34"/>
  <c r="AO5" i="34"/>
  <c r="AG5" i="34"/>
  <c r="Y5" i="34"/>
  <c r="Q5" i="34"/>
  <c r="I5" i="34"/>
  <c r="A5" i="34"/>
  <c r="EQ4" i="34"/>
  <c r="EI4" i="34"/>
  <c r="EA4" i="34"/>
  <c r="DS4" i="34"/>
  <c r="DK4" i="34"/>
  <c r="DC4" i="34"/>
  <c r="CU4" i="34"/>
  <c r="CM4" i="34"/>
  <c r="CE4" i="34"/>
  <c r="BW4" i="34"/>
  <c r="BO4" i="34"/>
  <c r="BG4" i="34"/>
  <c r="AY4" i="34"/>
  <c r="AQ4" i="34"/>
  <c r="AI4" i="34"/>
  <c r="AA4" i="34"/>
  <c r="S4" i="34"/>
  <c r="K4" i="34"/>
  <c r="C4" i="34"/>
  <c r="AS5" i="39"/>
  <c r="CS4" i="39"/>
  <c r="ES5" i="38"/>
  <c r="CS5" i="38"/>
  <c r="AU5" i="38"/>
  <c r="EU4" i="38"/>
  <c r="DE4" i="38"/>
  <c r="BN4" i="38"/>
  <c r="W4" i="38"/>
  <c r="EJ5" i="37"/>
  <c r="DI5" i="37"/>
  <c r="CI5" i="37"/>
  <c r="BL5" i="37"/>
  <c r="AQ5" i="37"/>
  <c r="T5" i="37"/>
  <c r="EX4" i="37"/>
  <c r="EC4" i="37"/>
  <c r="DF4" i="37"/>
  <c r="CL4" i="37"/>
  <c r="BQ4" i="37"/>
  <c r="AT4" i="37"/>
  <c r="Z4" i="37"/>
  <c r="E4" i="37"/>
  <c r="EJ5" i="36"/>
  <c r="DT5" i="36"/>
  <c r="DD5" i="36"/>
  <c r="CN5" i="36"/>
  <c r="BX5" i="36"/>
  <c r="BH5" i="36"/>
  <c r="AR5" i="36"/>
  <c r="AB5" i="36"/>
  <c r="L5" i="36"/>
  <c r="ET4" i="36"/>
  <c r="ED4" i="36"/>
  <c r="DN4" i="36"/>
  <c r="DB4" i="36"/>
  <c r="CT4" i="36"/>
  <c r="CL4" i="36"/>
  <c r="CD4" i="36"/>
  <c r="BV4" i="36"/>
  <c r="BN4" i="36"/>
  <c r="BF4" i="36"/>
  <c r="AX4" i="36"/>
  <c r="AP4" i="36"/>
  <c r="AH4" i="36"/>
  <c r="Z4" i="36"/>
  <c r="R4" i="36"/>
  <c r="J4" i="36"/>
  <c r="B4" i="36"/>
  <c r="ER5" i="35"/>
  <c r="EJ5" i="35"/>
  <c r="EB5" i="35"/>
  <c r="DT5" i="35"/>
  <c r="DL5" i="35"/>
  <c r="DD5" i="35"/>
  <c r="CV5" i="35"/>
  <c r="CN5" i="35"/>
  <c r="CF5" i="35"/>
  <c r="BX5" i="35"/>
  <c r="BP5" i="35"/>
  <c r="BH5" i="35"/>
  <c r="AZ5" i="35"/>
  <c r="AR5" i="35"/>
  <c r="AJ5" i="35"/>
  <c r="AB5" i="35"/>
  <c r="T5" i="35"/>
  <c r="L5" i="35"/>
  <c r="D5" i="35"/>
  <c r="ET4" i="35"/>
  <c r="EL4" i="35"/>
  <c r="ED4" i="35"/>
  <c r="DV4" i="35"/>
  <c r="DN4" i="35"/>
  <c r="DF4" i="35"/>
  <c r="CX4" i="35"/>
  <c r="CP4" i="35"/>
  <c r="CH4" i="35"/>
  <c r="BZ4" i="35"/>
  <c r="BR4" i="35"/>
  <c r="BJ4" i="35"/>
  <c r="BB4" i="35"/>
  <c r="AT4" i="35"/>
  <c r="AL4" i="35"/>
  <c r="AD4" i="35"/>
  <c r="V4" i="35"/>
  <c r="N4" i="35"/>
  <c r="F4" i="35"/>
  <c r="EV5" i="34"/>
  <c r="EN5" i="34"/>
  <c r="EF5" i="34"/>
  <c r="DX5" i="34"/>
  <c r="DP5" i="34"/>
  <c r="DH5" i="34"/>
  <c r="CZ5" i="34"/>
  <c r="CR5" i="34"/>
  <c r="CJ5" i="34"/>
  <c r="CB5" i="34"/>
  <c r="BT5" i="34"/>
  <c r="BL5" i="34"/>
  <c r="BD5" i="34"/>
  <c r="AV5" i="34"/>
  <c r="AN5" i="34"/>
  <c r="AF5" i="34"/>
  <c r="X5" i="34"/>
  <c r="P5" i="34"/>
  <c r="H5" i="34"/>
  <c r="EX4" i="34"/>
  <c r="EP4" i="34"/>
  <c r="EH4" i="34"/>
  <c r="DZ4" i="34"/>
  <c r="DR4" i="34"/>
  <c r="DJ4" i="34"/>
  <c r="DB4" i="34"/>
  <c r="CT4" i="34"/>
  <c r="CL4" i="34"/>
  <c r="CD4" i="34"/>
  <c r="BV4" i="34"/>
  <c r="BN4" i="34"/>
  <c r="BF4" i="34"/>
  <c r="AX4" i="34"/>
  <c r="AP4" i="34"/>
  <c r="AH4" i="34"/>
  <c r="Z4" i="34"/>
  <c r="R4" i="34"/>
  <c r="J4" i="34"/>
  <c r="B4" i="34"/>
  <c r="ER5" i="33"/>
  <c r="ET5" i="33"/>
  <c r="EK5" i="33"/>
  <c r="EC5" i="33"/>
  <c r="DU5" i="33"/>
  <c r="DM5" i="33"/>
  <c r="DE5" i="33"/>
  <c r="CW5" i="33"/>
  <c r="CO5" i="33"/>
  <c r="CG5" i="33"/>
  <c r="BY5" i="33"/>
  <c r="BQ5" i="33"/>
  <c r="BI5" i="33"/>
  <c r="BA5" i="33"/>
  <c r="AS5" i="33"/>
  <c r="AK5" i="33"/>
  <c r="AC5" i="33"/>
  <c r="U5" i="33"/>
  <c r="M5" i="33"/>
  <c r="E5" i="33"/>
  <c r="EU4" i="33"/>
  <c r="EM4" i="33"/>
  <c r="EE4" i="33"/>
  <c r="DW4" i="33"/>
  <c r="DO4" i="33"/>
  <c r="DG4" i="33"/>
  <c r="CY4" i="33"/>
  <c r="CQ4" i="33"/>
  <c r="CI4" i="33"/>
  <c r="CA4" i="33"/>
  <c r="BS4" i="33"/>
  <c r="BK4" i="33"/>
  <c r="BC4" i="33"/>
  <c r="AU4" i="33"/>
  <c r="AM4" i="33"/>
  <c r="AE4" i="33"/>
  <c r="W4" i="33"/>
  <c r="O4" i="33"/>
  <c r="G4" i="33"/>
  <c r="EW5" i="32"/>
  <c r="EO5" i="32"/>
  <c r="EG5" i="32"/>
  <c r="DY5" i="32"/>
  <c r="DQ5" i="32"/>
  <c r="DI5" i="32"/>
  <c r="DA5" i="32"/>
  <c r="CS5" i="32"/>
  <c r="CK5" i="32"/>
  <c r="CC5" i="32"/>
  <c r="BU5" i="32"/>
  <c r="BM5" i="32"/>
  <c r="BE5" i="32"/>
  <c r="AW5" i="32"/>
  <c r="AO5" i="32"/>
  <c r="AG5" i="32"/>
  <c r="Y5" i="32"/>
  <c r="Q5" i="32"/>
  <c r="I5" i="32"/>
  <c r="A5" i="32"/>
  <c r="EQ4" i="32"/>
  <c r="EI4" i="32"/>
  <c r="EA4" i="32"/>
  <c r="DS4" i="32"/>
  <c r="DK4" i="32"/>
  <c r="DC4" i="32"/>
  <c r="CU4" i="32"/>
  <c r="CM4" i="32"/>
  <c r="CE4" i="32"/>
  <c r="BW4" i="32"/>
  <c r="BO4" i="32"/>
  <c r="BG4" i="32"/>
  <c r="AY4" i="32"/>
  <c r="AQ4" i="32"/>
  <c r="AI4" i="32"/>
  <c r="AA4" i="32"/>
  <c r="S4" i="32"/>
  <c r="K4" i="32"/>
  <c r="C4" i="32"/>
  <c r="ES5" i="31"/>
  <c r="EK5" i="31"/>
  <c r="EC5" i="31"/>
  <c r="DU5" i="31"/>
  <c r="DM5" i="31"/>
  <c r="DE5" i="31"/>
  <c r="CW5" i="31"/>
  <c r="CO5" i="31"/>
  <c r="CG5" i="31"/>
  <c r="BY5" i="31"/>
  <c r="BQ5" i="31"/>
  <c r="BI5" i="31"/>
  <c r="BA5" i="31"/>
  <c r="AS5" i="31"/>
  <c r="AK5" i="31"/>
  <c r="AC5" i="31"/>
  <c r="U5" i="31"/>
  <c r="M5" i="31"/>
  <c r="E5" i="31"/>
  <c r="EU4" i="31"/>
  <c r="EM4" i="31"/>
  <c r="EE4" i="31"/>
  <c r="DW4" i="31"/>
  <c r="DO4" i="31"/>
  <c r="DG4" i="31"/>
  <c r="CY4" i="31"/>
  <c r="CQ4" i="31"/>
  <c r="CI4" i="31"/>
  <c r="CA4" i="31"/>
  <c r="BS4" i="31"/>
  <c r="BK4" i="31"/>
  <c r="BC4" i="31"/>
  <c r="AU4" i="31"/>
  <c r="AM4" i="31"/>
  <c r="AE4" i="31"/>
  <c r="W4" i="31"/>
  <c r="O4" i="31"/>
  <c r="G4" i="31"/>
  <c r="EW5" i="30"/>
  <c r="EO5" i="30"/>
  <c r="EG5" i="30"/>
  <c r="DY5" i="30"/>
  <c r="DQ5" i="30"/>
  <c r="DI5" i="30"/>
  <c r="DA5" i="30"/>
  <c r="CS5" i="30"/>
  <c r="CK5" i="30"/>
  <c r="CC5" i="30"/>
  <c r="BU5" i="30"/>
  <c r="BM5" i="30"/>
  <c r="ES5" i="33"/>
  <c r="EJ5" i="33"/>
  <c r="EB5" i="33"/>
  <c r="DT5" i="33"/>
  <c r="DL5" i="33"/>
  <c r="DD5" i="33"/>
  <c r="CV5" i="33"/>
  <c r="CN5" i="33"/>
  <c r="CF5" i="33"/>
  <c r="BX5" i="33"/>
  <c r="BP5" i="33"/>
  <c r="BH5" i="33"/>
  <c r="AZ5" i="33"/>
  <c r="AR5" i="33"/>
  <c r="AJ5" i="33"/>
  <c r="AB5" i="33"/>
  <c r="T5" i="33"/>
  <c r="L5" i="33"/>
  <c r="D5" i="33"/>
  <c r="ET4" i="33"/>
  <c r="EL4" i="33"/>
  <c r="ED4" i="33"/>
  <c r="DV4" i="33"/>
  <c r="DN4" i="33"/>
  <c r="DF4" i="33"/>
  <c r="CX4" i="33"/>
  <c r="CP4" i="33"/>
  <c r="CH4" i="33"/>
  <c r="BZ4" i="33"/>
  <c r="BR4" i="33"/>
  <c r="BJ4" i="33"/>
  <c r="BB4" i="33"/>
  <c r="AT4" i="33"/>
  <c r="AL4" i="33"/>
  <c r="AD4" i="33"/>
  <c r="V4" i="33"/>
  <c r="N4" i="33"/>
  <c r="F4" i="33"/>
  <c r="EV5" i="32"/>
  <c r="EN5" i="32"/>
  <c r="EF5" i="32"/>
  <c r="DX5" i="32"/>
  <c r="DP5" i="32"/>
  <c r="DH5" i="32"/>
  <c r="CZ5" i="32"/>
  <c r="CR5" i="32"/>
  <c r="CJ5" i="32"/>
  <c r="CB5" i="32"/>
  <c r="BT5" i="32"/>
  <c r="BL5" i="32"/>
  <c r="BD5" i="32"/>
  <c r="AV5" i="32"/>
  <c r="AN5" i="32"/>
  <c r="AF5" i="32"/>
  <c r="X5" i="32"/>
  <c r="P5" i="32"/>
  <c r="H5" i="32"/>
  <c r="EX4" i="32"/>
  <c r="EP4" i="32"/>
  <c r="EH4" i="32"/>
  <c r="DZ4" i="32"/>
  <c r="DR4" i="32"/>
  <c r="DJ4" i="32"/>
  <c r="DB4" i="32"/>
  <c r="CT4" i="32"/>
  <c r="CL4" i="32"/>
  <c r="CD4" i="32"/>
  <c r="BV4" i="32"/>
  <c r="BN4" i="32"/>
  <c r="BF4" i="32"/>
  <c r="AX4" i="32"/>
  <c r="AP4" i="32"/>
  <c r="AH4" i="32"/>
  <c r="Z4" i="32"/>
  <c r="R4" i="32"/>
  <c r="J4" i="32"/>
  <c r="B4" i="32"/>
  <c r="ER5" i="31"/>
  <c r="EJ5" i="31"/>
  <c r="EB5" i="31"/>
  <c r="DT5" i="31"/>
  <c r="DL5" i="31"/>
  <c r="DD5" i="31"/>
  <c r="CV5" i="31"/>
  <c r="CN5" i="31"/>
  <c r="CF5" i="31"/>
  <c r="BX5" i="31"/>
  <c r="BP5" i="31"/>
  <c r="BH5" i="31"/>
  <c r="AZ5" i="31"/>
  <c r="AR5" i="31"/>
  <c r="AJ5" i="31"/>
  <c r="AB5" i="31"/>
  <c r="T5" i="31"/>
  <c r="L5" i="31"/>
  <c r="D5" i="31"/>
  <c r="ET4" i="31"/>
  <c r="EL4" i="31"/>
  <c r="ED4" i="31"/>
  <c r="DV4" i="31"/>
  <c r="DN4" i="31"/>
  <c r="DF4" i="31"/>
  <c r="CX4" i="31"/>
  <c r="CP4" i="31"/>
  <c r="CH4" i="31"/>
  <c r="BZ4" i="31"/>
  <c r="BR4" i="31"/>
  <c r="BJ4" i="31"/>
  <c r="BB4" i="31"/>
  <c r="AT4" i="31"/>
  <c r="AL4" i="31"/>
  <c r="AD4" i="31"/>
  <c r="V4" i="31"/>
  <c r="N4" i="31"/>
  <c r="F4" i="31"/>
  <c r="EV5" i="30"/>
  <c r="EN5" i="30"/>
  <c r="EF5" i="30"/>
  <c r="DX5" i="30"/>
  <c r="DP5" i="30"/>
  <c r="DH5" i="30"/>
  <c r="CZ5" i="30"/>
  <c r="CR5" i="30"/>
  <c r="CJ5" i="30"/>
  <c r="CB5" i="30"/>
  <c r="BT5" i="30"/>
  <c r="BL5" i="30"/>
  <c r="EQ5" i="33"/>
  <c r="EI5" i="33"/>
  <c r="EA5" i="33"/>
  <c r="DS5" i="33"/>
  <c r="DK5" i="33"/>
  <c r="DC5" i="33"/>
  <c r="CU5" i="33"/>
  <c r="CM5" i="33"/>
  <c r="CE5" i="33"/>
  <c r="BW5" i="33"/>
  <c r="BO5" i="33"/>
  <c r="BG5" i="33"/>
  <c r="AY5" i="33"/>
  <c r="AQ5" i="33"/>
  <c r="AI5" i="33"/>
  <c r="AA5" i="33"/>
  <c r="S5" i="33"/>
  <c r="K5" i="33"/>
  <c r="C5" i="33"/>
  <c r="ES4" i="33"/>
  <c r="EK4" i="33"/>
  <c r="EC4" i="33"/>
  <c r="DU4" i="33"/>
  <c r="DM4" i="33"/>
  <c r="DE4" i="33"/>
  <c r="CW4" i="33"/>
  <c r="CO4" i="33"/>
  <c r="CG4" i="33"/>
  <c r="BY4" i="33"/>
  <c r="BQ4" i="33"/>
  <c r="BI4" i="33"/>
  <c r="BA4" i="33"/>
  <c r="AS4" i="33"/>
  <c r="AK4" i="33"/>
  <c r="AC4" i="33"/>
  <c r="U4" i="33"/>
  <c r="M4" i="33"/>
  <c r="E4" i="33"/>
  <c r="EU5" i="32"/>
  <c r="EM5" i="32"/>
  <c r="EE5" i="32"/>
  <c r="DW5" i="32"/>
  <c r="DO5" i="32"/>
  <c r="DG5" i="32"/>
  <c r="CY5" i="32"/>
  <c r="CQ5" i="32"/>
  <c r="CI5" i="32"/>
  <c r="CA5" i="32"/>
  <c r="BS5" i="32"/>
  <c r="BK5" i="32"/>
  <c r="BC5" i="32"/>
  <c r="AU5" i="32"/>
  <c r="AM5" i="32"/>
  <c r="AE5" i="32"/>
  <c r="W5" i="32"/>
  <c r="O5" i="32"/>
  <c r="G5" i="32"/>
  <c r="EW4" i="32"/>
  <c r="EO4" i="32"/>
  <c r="EG4" i="32"/>
  <c r="DY4" i="32"/>
  <c r="DQ4" i="32"/>
  <c r="DI4" i="32"/>
  <c r="DA4" i="32"/>
  <c r="CS4" i="32"/>
  <c r="CK4" i="32"/>
  <c r="CC4" i="32"/>
  <c r="BU4" i="32"/>
  <c r="BM4" i="32"/>
  <c r="BE4" i="32"/>
  <c r="AW4" i="32"/>
  <c r="AO4" i="32"/>
  <c r="AG4" i="32"/>
  <c r="Y4" i="32"/>
  <c r="Q4" i="32"/>
  <c r="I4" i="32"/>
  <c r="EQ5" i="31"/>
  <c r="EI5" i="31"/>
  <c r="EA5" i="31"/>
  <c r="DS5" i="31"/>
  <c r="DK5" i="31"/>
  <c r="DC5" i="31"/>
  <c r="CU5" i="31"/>
  <c r="CM5" i="31"/>
  <c r="CE5" i="31"/>
  <c r="BW5" i="31"/>
  <c r="BO5" i="31"/>
  <c r="BG5" i="31"/>
  <c r="AY5" i="31"/>
  <c r="AQ5" i="31"/>
  <c r="AI5" i="31"/>
  <c r="AA5" i="31"/>
  <c r="S5" i="31"/>
  <c r="K5" i="31"/>
  <c r="C5" i="31"/>
  <c r="ES4" i="31"/>
  <c r="EK4" i="31"/>
  <c r="EC4" i="31"/>
  <c r="DU4" i="31"/>
  <c r="DM4" i="31"/>
  <c r="DE4" i="31"/>
  <c r="CW4" i="31"/>
  <c r="CO4" i="31"/>
  <c r="CG4" i="31"/>
  <c r="BY4" i="31"/>
  <c r="EP5" i="33"/>
  <c r="EH5" i="33"/>
  <c r="DZ5" i="33"/>
  <c r="DR5" i="33"/>
  <c r="DJ5" i="33"/>
  <c r="DB5" i="33"/>
  <c r="CT5" i="33"/>
  <c r="CL5" i="33"/>
  <c r="CD5" i="33"/>
  <c r="BV5" i="33"/>
  <c r="BN5" i="33"/>
  <c r="BF5" i="33"/>
  <c r="AX5" i="33"/>
  <c r="AP5" i="33"/>
  <c r="AH5" i="33"/>
  <c r="Z5" i="33"/>
  <c r="R5" i="33"/>
  <c r="J5" i="33"/>
  <c r="B5" i="33"/>
  <c r="ER4" i="33"/>
  <c r="EJ4" i="33"/>
  <c r="EB4" i="33"/>
  <c r="DT4" i="33"/>
  <c r="DL4" i="33"/>
  <c r="DD4" i="33"/>
  <c r="CV4" i="33"/>
  <c r="CN4" i="33"/>
  <c r="CF4" i="33"/>
  <c r="BX4" i="33"/>
  <c r="BP4" i="33"/>
  <c r="BH4" i="33"/>
  <c r="AZ4" i="33"/>
  <c r="AR4" i="33"/>
  <c r="AJ4" i="33"/>
  <c r="AB4" i="33"/>
  <c r="T4" i="33"/>
  <c r="L4" i="33"/>
  <c r="D4" i="33"/>
  <c r="ET5" i="32"/>
  <c r="EL5" i="32"/>
  <c r="ED5" i="32"/>
  <c r="DV5" i="32"/>
  <c r="DN5" i="32"/>
  <c r="DF5" i="32"/>
  <c r="CX5" i="32"/>
  <c r="CP5" i="32"/>
  <c r="CH5" i="32"/>
  <c r="BZ5" i="32"/>
  <c r="BR5" i="32"/>
  <c r="BJ5" i="32"/>
  <c r="BB5" i="32"/>
  <c r="AT5" i="32"/>
  <c r="AL5" i="32"/>
  <c r="AD5" i="32"/>
  <c r="V5" i="32"/>
  <c r="N5" i="32"/>
  <c r="F5" i="32"/>
  <c r="EV4" i="32"/>
  <c r="EN4" i="32"/>
  <c r="EF4" i="32"/>
  <c r="DX4" i="32"/>
  <c r="DP4" i="32"/>
  <c r="DH4" i="32"/>
  <c r="CZ4" i="32"/>
  <c r="CR4" i="32"/>
  <c r="CJ4" i="32"/>
  <c r="CB4" i="32"/>
  <c r="BT4" i="32"/>
  <c r="BL4" i="32"/>
  <c r="BD4" i="32"/>
  <c r="AV4" i="32"/>
  <c r="AN4" i="32"/>
  <c r="AF4" i="32"/>
  <c r="X4" i="32"/>
  <c r="P4" i="32"/>
  <c r="H4" i="32"/>
  <c r="EX5" i="31"/>
  <c r="EP5" i="31"/>
  <c r="EH5" i="31"/>
  <c r="DZ5" i="31"/>
  <c r="DR5" i="31"/>
  <c r="DJ5" i="31"/>
  <c r="DB5" i="31"/>
  <c r="CT5" i="31"/>
  <c r="CL5" i="31"/>
  <c r="CD5" i="31"/>
  <c r="BV5" i="31"/>
  <c r="BN5" i="31"/>
  <c r="BF5" i="31"/>
  <c r="AX5" i="31"/>
  <c r="AP5" i="31"/>
  <c r="AH5" i="31"/>
  <c r="Z5" i="31"/>
  <c r="R5" i="31"/>
  <c r="J5" i="31"/>
  <c r="B5" i="31"/>
  <c r="ER4" i="31"/>
  <c r="EJ4" i="31"/>
  <c r="EB4" i="31"/>
  <c r="DT4" i="31"/>
  <c r="DL4" i="31"/>
  <c r="DD4" i="31"/>
  <c r="CV4" i="31"/>
  <c r="CN4" i="31"/>
  <c r="CF4" i="31"/>
  <c r="BX4" i="31"/>
  <c r="BP4" i="31"/>
  <c r="BH4" i="31"/>
  <c r="AZ4" i="31"/>
  <c r="AR4" i="31"/>
  <c r="AJ4" i="31"/>
  <c r="AB4" i="31"/>
  <c r="T4" i="31"/>
  <c r="L4" i="31"/>
  <c r="D4" i="31"/>
  <c r="ET5" i="30"/>
  <c r="EL5" i="30"/>
  <c r="ED5" i="30"/>
  <c r="DV5" i="30"/>
  <c r="DN5" i="30"/>
  <c r="DF5" i="30"/>
  <c r="CX5" i="30"/>
  <c r="CP5" i="30"/>
  <c r="CH5" i="30"/>
  <c r="BZ5" i="30"/>
  <c r="BR5" i="30"/>
  <c r="EO5" i="33"/>
  <c r="EG5" i="33"/>
  <c r="DY5" i="33"/>
  <c r="DQ5" i="33"/>
  <c r="DI5" i="33"/>
  <c r="DA5" i="33"/>
  <c r="CS5" i="33"/>
  <c r="CK5" i="33"/>
  <c r="CC5" i="33"/>
  <c r="BU5" i="33"/>
  <c r="BM5" i="33"/>
  <c r="BE5" i="33"/>
  <c r="AW5" i="33"/>
  <c r="AO5" i="33"/>
  <c r="AG5" i="33"/>
  <c r="Y5" i="33"/>
  <c r="Q5" i="33"/>
  <c r="I5" i="33"/>
  <c r="A5" i="33"/>
  <c r="EQ4" i="33"/>
  <c r="EI4" i="33"/>
  <c r="EA4" i="33"/>
  <c r="DS4" i="33"/>
  <c r="DK4" i="33"/>
  <c r="DC4" i="33"/>
  <c r="CU4" i="33"/>
  <c r="CM4" i="33"/>
  <c r="CE4" i="33"/>
  <c r="BW4" i="33"/>
  <c r="BO4" i="33"/>
  <c r="BG4" i="33"/>
  <c r="AY4" i="33"/>
  <c r="AQ4" i="33"/>
  <c r="AI4" i="33"/>
  <c r="AA4" i="33"/>
  <c r="S4" i="33"/>
  <c r="K4" i="33"/>
  <c r="C4" i="33"/>
  <c r="ES5" i="32"/>
  <c r="EK5" i="32"/>
  <c r="EC5" i="32"/>
  <c r="DU5" i="32"/>
  <c r="DM5" i="32"/>
  <c r="DE5" i="32"/>
  <c r="CW5" i="32"/>
  <c r="CO5" i="32"/>
  <c r="CG5" i="32"/>
  <c r="BY5" i="32"/>
  <c r="BQ5" i="32"/>
  <c r="BI5" i="32"/>
  <c r="BA5" i="32"/>
  <c r="AS5" i="32"/>
  <c r="AK5" i="32"/>
  <c r="AC5" i="32"/>
  <c r="U5" i="32"/>
  <c r="M5" i="32"/>
  <c r="E5" i="32"/>
  <c r="EU4" i="32"/>
  <c r="EM4" i="32"/>
  <c r="EE4" i="32"/>
  <c r="DW4" i="32"/>
  <c r="DO4" i="32"/>
  <c r="DG4" i="32"/>
  <c r="CY4" i="32"/>
  <c r="CQ4" i="32"/>
  <c r="CI4" i="32"/>
  <c r="CA4" i="32"/>
  <c r="BS4" i="32"/>
  <c r="BK4" i="32"/>
  <c r="BC4" i="32"/>
  <c r="AU4" i="32"/>
  <c r="AM4" i="32"/>
  <c r="AE4" i="32"/>
  <c r="W4" i="32"/>
  <c r="O4" i="32"/>
  <c r="G4" i="32"/>
  <c r="EW5" i="31"/>
  <c r="EO5" i="31"/>
  <c r="EG5" i="31"/>
  <c r="DY5" i="31"/>
  <c r="DQ5" i="31"/>
  <c r="DI5" i="31"/>
  <c r="DA5" i="31"/>
  <c r="CS5" i="31"/>
  <c r="CK5" i="31"/>
  <c r="CC5" i="31"/>
  <c r="BU5" i="31"/>
  <c r="BM5" i="31"/>
  <c r="BE5" i="31"/>
  <c r="AW5" i="31"/>
  <c r="AO5" i="31"/>
  <c r="AG5" i="31"/>
  <c r="Y5" i="31"/>
  <c r="Q5" i="31"/>
  <c r="I5" i="31"/>
  <c r="A5" i="31"/>
  <c r="EQ4" i="31"/>
  <c r="EI4" i="31"/>
  <c r="EA4" i="31"/>
  <c r="DS4" i="31"/>
  <c r="DK4" i="31"/>
  <c r="DC4" i="31"/>
  <c r="CU4" i="31"/>
  <c r="CM4" i="31"/>
  <c r="CE4" i="31"/>
  <c r="BW4" i="31"/>
  <c r="BO4" i="31"/>
  <c r="BG4" i="31"/>
  <c r="AY4" i="31"/>
  <c r="AQ4" i="31"/>
  <c r="AI4" i="31"/>
  <c r="AA4" i="31"/>
  <c r="S4" i="31"/>
  <c r="K4" i="31"/>
  <c r="C4" i="31"/>
  <c r="ES5" i="30"/>
  <c r="EK5" i="30"/>
  <c r="EC5" i="30"/>
  <c r="DU5" i="30"/>
  <c r="DM5" i="30"/>
  <c r="DE5" i="30"/>
  <c r="CW5" i="30"/>
  <c r="CO5" i="30"/>
  <c r="CG5" i="30"/>
  <c r="BY5" i="30"/>
  <c r="BQ5" i="30"/>
  <c r="BI5" i="30"/>
  <c r="EN5" i="33"/>
  <c r="EF5" i="33"/>
  <c r="DX5" i="33"/>
  <c r="DP5" i="33"/>
  <c r="DH5" i="33"/>
  <c r="CZ5" i="33"/>
  <c r="CR5" i="33"/>
  <c r="CJ5" i="33"/>
  <c r="CB5" i="33"/>
  <c r="BT5" i="33"/>
  <c r="BL5" i="33"/>
  <c r="BD5" i="33"/>
  <c r="AV5" i="33"/>
  <c r="AN5" i="33"/>
  <c r="AF5" i="33"/>
  <c r="X5" i="33"/>
  <c r="P5" i="33"/>
  <c r="H5" i="33"/>
  <c r="EX4" i="33"/>
  <c r="EP4" i="33"/>
  <c r="EH4" i="33"/>
  <c r="DZ4" i="33"/>
  <c r="DR4" i="33"/>
  <c r="DJ4" i="33"/>
  <c r="DB4" i="33"/>
  <c r="CT4" i="33"/>
  <c r="CL4" i="33"/>
  <c r="CD4" i="33"/>
  <c r="BV4" i="33"/>
  <c r="BN4" i="33"/>
  <c r="BF4" i="33"/>
  <c r="AX4" i="33"/>
  <c r="AP4" i="33"/>
  <c r="AH4" i="33"/>
  <c r="Z4" i="33"/>
  <c r="R4" i="33"/>
  <c r="J4" i="33"/>
  <c r="B4" i="33"/>
  <c r="ER5" i="32"/>
  <c r="EJ5" i="32"/>
  <c r="EB5" i="32"/>
  <c r="DT5" i="32"/>
  <c r="DL5" i="32"/>
  <c r="DD5" i="32"/>
  <c r="CV5" i="32"/>
  <c r="CN5" i="32"/>
  <c r="CF5" i="32"/>
  <c r="BX5" i="32"/>
  <c r="BP5" i="32"/>
  <c r="BH5" i="32"/>
  <c r="AZ5" i="32"/>
  <c r="AR5" i="32"/>
  <c r="AJ5" i="32"/>
  <c r="AB5" i="32"/>
  <c r="T5" i="32"/>
  <c r="L5" i="32"/>
  <c r="D5" i="32"/>
  <c r="ET4" i="32"/>
  <c r="EL4" i="32"/>
  <c r="ED4" i="32"/>
  <c r="DV4" i="32"/>
  <c r="DN4" i="32"/>
  <c r="DF4" i="32"/>
  <c r="CX4" i="32"/>
  <c r="CP4" i="32"/>
  <c r="CH4" i="32"/>
  <c r="BZ4" i="32"/>
  <c r="BR4" i="32"/>
  <c r="BJ4" i="32"/>
  <c r="BB4" i="32"/>
  <c r="AT4" i="32"/>
  <c r="AL4" i="32"/>
  <c r="AD4" i="32"/>
  <c r="V4" i="32"/>
  <c r="N4" i="32"/>
  <c r="F4" i="32"/>
  <c r="EV5" i="31"/>
  <c r="EN5" i="31"/>
  <c r="EF5" i="31"/>
  <c r="DX5" i="31"/>
  <c r="DP5" i="31"/>
  <c r="DH5" i="31"/>
  <c r="CZ5" i="31"/>
  <c r="CR5" i="31"/>
  <c r="CJ5" i="31"/>
  <c r="CB5" i="31"/>
  <c r="BT5" i="31"/>
  <c r="BL5" i="31"/>
  <c r="BD5" i="31"/>
  <c r="AV5" i="31"/>
  <c r="AN5" i="31"/>
  <c r="AF5" i="31"/>
  <c r="X5" i="31"/>
  <c r="P5" i="31"/>
  <c r="H5" i="31"/>
  <c r="EX4" i="31"/>
  <c r="EP4" i="31"/>
  <c r="EH4" i="31"/>
  <c r="DZ4" i="31"/>
  <c r="DR4" i="31"/>
  <c r="DJ4" i="31"/>
  <c r="DB4" i="31"/>
  <c r="CT4" i="31"/>
  <c r="CL4" i="31"/>
  <c r="CD4" i="31"/>
  <c r="BV4" i="31"/>
  <c r="BN4" i="31"/>
  <c r="BF4" i="31"/>
  <c r="AX4" i="31"/>
  <c r="AP4" i="31"/>
  <c r="AH4" i="31"/>
  <c r="Z4" i="31"/>
  <c r="R4" i="31"/>
  <c r="J4" i="31"/>
  <c r="B4" i="31"/>
  <c r="ER5" i="30"/>
  <c r="EJ5" i="30"/>
  <c r="EB5" i="30"/>
  <c r="DT5" i="30"/>
  <c r="DL5" i="30"/>
  <c r="DD5" i="30"/>
  <c r="CV5" i="30"/>
  <c r="CN5" i="30"/>
  <c r="CF5" i="30"/>
  <c r="BX5" i="30"/>
  <c r="BP5" i="30"/>
  <c r="EM5" i="33"/>
  <c r="EE5" i="33"/>
  <c r="DW5" i="33"/>
  <c r="DO5" i="33"/>
  <c r="DG5" i="33"/>
  <c r="CY5" i="33"/>
  <c r="CQ5" i="33"/>
  <c r="CI5" i="33"/>
  <c r="CA5" i="33"/>
  <c r="BS5" i="33"/>
  <c r="BK5" i="33"/>
  <c r="BC5" i="33"/>
  <c r="AU5" i="33"/>
  <c r="AM5" i="33"/>
  <c r="AE5" i="33"/>
  <c r="W5" i="33"/>
  <c r="O5" i="33"/>
  <c r="G5" i="33"/>
  <c r="EW4" i="33"/>
  <c r="EO4" i="33"/>
  <c r="EG4" i="33"/>
  <c r="DY4" i="33"/>
  <c r="DQ4" i="33"/>
  <c r="DI4" i="33"/>
  <c r="DA4" i="33"/>
  <c r="CS4" i="33"/>
  <c r="CK4" i="33"/>
  <c r="CC4" i="33"/>
  <c r="BU4" i="33"/>
  <c r="BM4" i="33"/>
  <c r="BE4" i="33"/>
  <c r="AW4" i="33"/>
  <c r="AO4" i="33"/>
  <c r="AG4" i="33"/>
  <c r="Y4" i="33"/>
  <c r="Q4" i="33"/>
  <c r="I4" i="33"/>
  <c r="EQ5" i="32"/>
  <c r="EI5" i="32"/>
  <c r="EA5" i="32"/>
  <c r="DS5" i="32"/>
  <c r="DK5" i="32"/>
  <c r="DC5" i="32"/>
  <c r="CU5" i="32"/>
  <c r="CM5" i="32"/>
  <c r="CE5" i="32"/>
  <c r="BW5" i="32"/>
  <c r="BO5" i="32"/>
  <c r="BG5" i="32"/>
  <c r="AY5" i="32"/>
  <c r="AQ5" i="32"/>
  <c r="AI5" i="32"/>
  <c r="AA5" i="32"/>
  <c r="S5" i="32"/>
  <c r="K5" i="32"/>
  <c r="C5" i="32"/>
  <c r="ES4" i="32"/>
  <c r="EK4" i="32"/>
  <c r="EC4" i="32"/>
  <c r="DU4" i="32"/>
  <c r="DM4" i="32"/>
  <c r="DE4" i="32"/>
  <c r="CW4" i="32"/>
  <c r="CO4" i="32"/>
  <c r="CG4" i="32"/>
  <c r="BY4" i="32"/>
  <c r="BQ4" i="32"/>
  <c r="BI4" i="32"/>
  <c r="BA4" i="32"/>
  <c r="AS4" i="32"/>
  <c r="AK4" i="32"/>
  <c r="AC4" i="32"/>
  <c r="U4" i="32"/>
  <c r="M4" i="32"/>
  <c r="E4" i="32"/>
  <c r="EU5" i="31"/>
  <c r="EM5" i="31"/>
  <c r="EE5" i="31"/>
  <c r="DW5" i="31"/>
  <c r="DO5" i="31"/>
  <c r="DG5" i="31"/>
  <c r="CY5" i="31"/>
  <c r="CQ5" i="31"/>
  <c r="CI5" i="31"/>
  <c r="CA5" i="31"/>
  <c r="BS5" i="31"/>
  <c r="BK5" i="31"/>
  <c r="BC5" i="31"/>
  <c r="AU5" i="31"/>
  <c r="AM5" i="31"/>
  <c r="AE5" i="31"/>
  <c r="W5" i="31"/>
  <c r="O5" i="31"/>
  <c r="G5" i="31"/>
  <c r="EW4" i="31"/>
  <c r="EO4" i="31"/>
  <c r="EG4" i="31"/>
  <c r="DY4" i="31"/>
  <c r="DQ4" i="31"/>
  <c r="DI4" i="31"/>
  <c r="DA4" i="31"/>
  <c r="CS4" i="31"/>
  <c r="CK4" i="31"/>
  <c r="CC4" i="31"/>
  <c r="BU4" i="31"/>
  <c r="BM4" i="31"/>
  <c r="BE4" i="31"/>
  <c r="AW4" i="31"/>
  <c r="AO4" i="31"/>
  <c r="AG4" i="31"/>
  <c r="Y4" i="31"/>
  <c r="Q4" i="31"/>
  <c r="I4" i="31"/>
  <c r="EQ5" i="30"/>
  <c r="EI5" i="30"/>
  <c r="EA5" i="30"/>
  <c r="DS5" i="30"/>
  <c r="DK5" i="30"/>
  <c r="DC5" i="30"/>
  <c r="CU5" i="30"/>
  <c r="CM5" i="30"/>
  <c r="EL5" i="33"/>
  <c r="ED5" i="33"/>
  <c r="DV5" i="33"/>
  <c r="DN5" i="33"/>
  <c r="DF5" i="33"/>
  <c r="CX5" i="33"/>
  <c r="CP5" i="33"/>
  <c r="CH5" i="33"/>
  <c r="BZ5" i="33"/>
  <c r="BR5" i="33"/>
  <c r="BJ5" i="33"/>
  <c r="BB5" i="33"/>
  <c r="AT5" i="33"/>
  <c r="AL5" i="33"/>
  <c r="AD5" i="33"/>
  <c r="V5" i="33"/>
  <c r="N5" i="33"/>
  <c r="F5" i="33"/>
  <c r="EV4" i="33"/>
  <c r="EN4" i="33"/>
  <c r="EF4" i="33"/>
  <c r="DX4" i="33"/>
  <c r="DP4" i="33"/>
  <c r="DH4" i="33"/>
  <c r="CZ4" i="33"/>
  <c r="CR4" i="33"/>
  <c r="CJ4" i="33"/>
  <c r="CB4" i="33"/>
  <c r="BT4" i="33"/>
  <c r="BL4" i="33"/>
  <c r="BD4" i="33"/>
  <c r="AV4" i="33"/>
  <c r="AN4" i="33"/>
  <c r="AF4" i="33"/>
  <c r="X4" i="33"/>
  <c r="P4" i="33"/>
  <c r="H4" i="33"/>
  <c r="EX5" i="32"/>
  <c r="EP5" i="32"/>
  <c r="EH5" i="32"/>
  <c r="DZ5" i="32"/>
  <c r="DR5" i="32"/>
  <c r="DJ5" i="32"/>
  <c r="DB5" i="32"/>
  <c r="CT5" i="32"/>
  <c r="CL5" i="32"/>
  <c r="CD5" i="32"/>
  <c r="BV5" i="32"/>
  <c r="BN5" i="32"/>
  <c r="BF5" i="32"/>
  <c r="AX5" i="32"/>
  <c r="AP5" i="32"/>
  <c r="AH5" i="32"/>
  <c r="Z5" i="32"/>
  <c r="R5" i="32"/>
  <c r="J5" i="32"/>
  <c r="B5" i="32"/>
  <c r="ER4" i="32"/>
  <c r="EJ4" i="32"/>
  <c r="EB4" i="32"/>
  <c r="DT4" i="32"/>
  <c r="DL4" i="32"/>
  <c r="DD4" i="32"/>
  <c r="CV4" i="32"/>
  <c r="CN4" i="32"/>
  <c r="CF4" i="32"/>
  <c r="BX4" i="32"/>
  <c r="BP4" i="32"/>
  <c r="BH4" i="32"/>
  <c r="AZ4" i="32"/>
  <c r="AR4" i="32"/>
  <c r="AJ4" i="32"/>
  <c r="AB4" i="32"/>
  <c r="T4" i="32"/>
  <c r="L4" i="32"/>
  <c r="D4" i="32"/>
  <c r="ET5" i="31"/>
  <c r="EL5" i="31"/>
  <c r="ED5" i="31"/>
  <c r="DV5" i="31"/>
  <c r="DN5" i="31"/>
  <c r="DF5" i="31"/>
  <c r="CX5" i="31"/>
  <c r="CP5" i="31"/>
  <c r="CH5" i="31"/>
  <c r="BZ5" i="31"/>
  <c r="BR5" i="31"/>
  <c r="BJ5" i="31"/>
  <c r="BB5" i="31"/>
  <c r="AT5" i="31"/>
  <c r="AL5" i="31"/>
  <c r="AD5" i="31"/>
  <c r="V5" i="31"/>
  <c r="N5" i="31"/>
  <c r="F5" i="31"/>
  <c r="EV4" i="31"/>
  <c r="EN4" i="31"/>
  <c r="EF4" i="31"/>
  <c r="DX4" i="31"/>
  <c r="DP4" i="31"/>
  <c r="DH4" i="31"/>
  <c r="CZ4" i="31"/>
  <c r="CR4" i="31"/>
  <c r="CJ4" i="31"/>
  <c r="CB4" i="31"/>
  <c r="BT4" i="31"/>
  <c r="BL4" i="31"/>
  <c r="BD4" i="31"/>
  <c r="AV4" i="31"/>
  <c r="AN4" i="31"/>
  <c r="AF4" i="31"/>
  <c r="X4" i="31"/>
  <c r="P4" i="31"/>
  <c r="H4" i="31"/>
  <c r="EX5" i="30"/>
  <c r="EP5" i="30"/>
  <c r="EH5" i="30"/>
  <c r="DZ5" i="30"/>
  <c r="DR5" i="30"/>
  <c r="DJ5" i="30"/>
  <c r="DB5" i="30"/>
  <c r="CT5" i="30"/>
  <c r="CL5" i="30"/>
  <c r="CD5" i="30"/>
  <c r="BV5" i="30"/>
  <c r="BN5" i="30"/>
  <c r="BQ4" i="31"/>
  <c r="E4" i="31"/>
  <c r="CQ5" i="30"/>
  <c r="BJ5" i="30"/>
  <c r="BA5" i="30"/>
  <c r="AS5" i="30"/>
  <c r="AK5" i="30"/>
  <c r="AC5" i="30"/>
  <c r="U5" i="30"/>
  <c r="M5" i="30"/>
  <c r="E5" i="30"/>
  <c r="EU4" i="30"/>
  <c r="EM4" i="30"/>
  <c r="EE4" i="30"/>
  <c r="DW4" i="30"/>
  <c r="DO4" i="30"/>
  <c r="DG4" i="30"/>
  <c r="CY4" i="30"/>
  <c r="CQ4" i="30"/>
  <c r="CI4" i="30"/>
  <c r="CA4" i="30"/>
  <c r="BS4" i="30"/>
  <c r="BK4" i="30"/>
  <c r="BC4" i="30"/>
  <c r="AU4" i="30"/>
  <c r="AM4" i="30"/>
  <c r="AE4" i="30"/>
  <c r="W4" i="30"/>
  <c r="O4" i="30"/>
  <c r="G4" i="30"/>
  <c r="EW5" i="29"/>
  <c r="EO5" i="29"/>
  <c r="EG5" i="29"/>
  <c r="DY5" i="29"/>
  <c r="DQ5" i="29"/>
  <c r="DI5" i="29"/>
  <c r="DA5" i="29"/>
  <c r="CS5" i="29"/>
  <c r="CK5" i="29"/>
  <c r="CC5" i="29"/>
  <c r="BU5" i="29"/>
  <c r="BM5" i="29"/>
  <c r="BE5" i="29"/>
  <c r="AW5" i="29"/>
  <c r="AO5" i="29"/>
  <c r="AG5" i="29"/>
  <c r="Y5" i="29"/>
  <c r="Q5" i="29"/>
  <c r="I5" i="29"/>
  <c r="A5" i="29"/>
  <c r="EQ4" i="29"/>
  <c r="EI4" i="29"/>
  <c r="EA4" i="29"/>
  <c r="DS4" i="29"/>
  <c r="DK4" i="29"/>
  <c r="DC4" i="29"/>
  <c r="CU4" i="29"/>
  <c r="CM4" i="29"/>
  <c r="CE4" i="29"/>
  <c r="BW4" i="29"/>
  <c r="BO4" i="29"/>
  <c r="BG4" i="29"/>
  <c r="AY4" i="29"/>
  <c r="AQ4" i="29"/>
  <c r="AI4" i="29"/>
  <c r="AA4" i="29"/>
  <c r="S4" i="29"/>
  <c r="K4" i="29"/>
  <c r="C4" i="29"/>
  <c r="ES5" i="28"/>
  <c r="EK5" i="28"/>
  <c r="EC5" i="28"/>
  <c r="DU5" i="28"/>
  <c r="DM5" i="28"/>
  <c r="DE5" i="28"/>
  <c r="CW5" i="28"/>
  <c r="CO5" i="28"/>
  <c r="CG5" i="28"/>
  <c r="BY5" i="28"/>
  <c r="BQ5" i="28"/>
  <c r="BI5" i="28"/>
  <c r="BA5" i="28"/>
  <c r="AS5" i="28"/>
  <c r="AK5" i="28"/>
  <c r="AC5" i="28"/>
  <c r="U5" i="28"/>
  <c r="M5" i="28"/>
  <c r="E5" i="28"/>
  <c r="EU4" i="28"/>
  <c r="EM4" i="28"/>
  <c r="EE4" i="28"/>
  <c r="DW4" i="28"/>
  <c r="DO4" i="28"/>
  <c r="DG4" i="28"/>
  <c r="CY4" i="28"/>
  <c r="CQ4" i="28"/>
  <c r="CI4" i="28"/>
  <c r="CA4" i="28"/>
  <c r="BS4" i="28"/>
  <c r="BK4" i="28"/>
  <c r="BC4" i="28"/>
  <c r="AU4" i="28"/>
  <c r="AM4" i="28"/>
  <c r="AE4" i="28"/>
  <c r="W4" i="28"/>
  <c r="O4" i="28"/>
  <c r="G4" i="28"/>
  <c r="EW5" i="27"/>
  <c r="EO5" i="27"/>
  <c r="EG5" i="27"/>
  <c r="DY5" i="27"/>
  <c r="DQ5" i="27"/>
  <c r="DI5" i="27"/>
  <c r="DA5" i="27"/>
  <c r="CS5" i="27"/>
  <c r="CK5" i="27"/>
  <c r="CC5" i="27"/>
  <c r="BU5" i="27"/>
  <c r="BM5" i="27"/>
  <c r="BE5" i="27"/>
  <c r="AW5" i="27"/>
  <c r="AO5" i="27"/>
  <c r="AG5" i="27"/>
  <c r="Y5" i="27"/>
  <c r="Q5" i="27"/>
  <c r="I5" i="27"/>
  <c r="A5" i="27"/>
  <c r="EQ4" i="27"/>
  <c r="BI4" i="31"/>
  <c r="EU5" i="30"/>
  <c r="CI5" i="30"/>
  <c r="BH5" i="30"/>
  <c r="AZ5" i="30"/>
  <c r="AR5" i="30"/>
  <c r="AJ5" i="30"/>
  <c r="AB5" i="30"/>
  <c r="T5" i="30"/>
  <c r="L5" i="30"/>
  <c r="D5" i="30"/>
  <c r="ET4" i="30"/>
  <c r="EL4" i="30"/>
  <c r="ED4" i="30"/>
  <c r="DV4" i="30"/>
  <c r="DN4" i="30"/>
  <c r="DF4" i="30"/>
  <c r="CX4" i="30"/>
  <c r="CP4" i="30"/>
  <c r="CH4" i="30"/>
  <c r="BZ4" i="30"/>
  <c r="BR4" i="30"/>
  <c r="BJ4" i="30"/>
  <c r="BB4" i="30"/>
  <c r="AT4" i="30"/>
  <c r="AL4" i="30"/>
  <c r="AD4" i="30"/>
  <c r="V4" i="30"/>
  <c r="N4" i="30"/>
  <c r="F4" i="30"/>
  <c r="EV5" i="29"/>
  <c r="EN5" i="29"/>
  <c r="EF5" i="29"/>
  <c r="DX5" i="29"/>
  <c r="DP5" i="29"/>
  <c r="DH5" i="29"/>
  <c r="CZ5" i="29"/>
  <c r="CR5" i="29"/>
  <c r="CJ5" i="29"/>
  <c r="CB5" i="29"/>
  <c r="BT5" i="29"/>
  <c r="BL5" i="29"/>
  <c r="BD5" i="29"/>
  <c r="AV5" i="29"/>
  <c r="AN5" i="29"/>
  <c r="AF5" i="29"/>
  <c r="X5" i="29"/>
  <c r="P5" i="29"/>
  <c r="H5" i="29"/>
  <c r="EX4" i="29"/>
  <c r="EP4" i="29"/>
  <c r="EH4" i="29"/>
  <c r="DZ4" i="29"/>
  <c r="DR4" i="29"/>
  <c r="DJ4" i="29"/>
  <c r="DB4" i="29"/>
  <c r="CT4" i="29"/>
  <c r="CL4" i="29"/>
  <c r="CD4" i="29"/>
  <c r="BV4" i="29"/>
  <c r="BN4" i="29"/>
  <c r="BF4" i="29"/>
  <c r="AX4" i="29"/>
  <c r="AP4" i="29"/>
  <c r="AH4" i="29"/>
  <c r="Z4" i="29"/>
  <c r="R4" i="29"/>
  <c r="J4" i="29"/>
  <c r="B4" i="29"/>
  <c r="ER5" i="28"/>
  <c r="EJ5" i="28"/>
  <c r="EB5" i="28"/>
  <c r="DT5" i="28"/>
  <c r="DL5" i="28"/>
  <c r="DD5" i="28"/>
  <c r="CV5" i="28"/>
  <c r="CN5" i="28"/>
  <c r="CF5" i="28"/>
  <c r="BX5" i="28"/>
  <c r="BP5" i="28"/>
  <c r="BH5" i="28"/>
  <c r="AZ5" i="28"/>
  <c r="AR5" i="28"/>
  <c r="AJ5" i="28"/>
  <c r="AB5" i="28"/>
  <c r="T5" i="28"/>
  <c r="L5" i="28"/>
  <c r="D5" i="28"/>
  <c r="ET4" i="28"/>
  <c r="EL4" i="28"/>
  <c r="ED4" i="28"/>
  <c r="DV4" i="28"/>
  <c r="DN4" i="28"/>
  <c r="DF4" i="28"/>
  <c r="CX4" i="28"/>
  <c r="CP4" i="28"/>
  <c r="CH4" i="28"/>
  <c r="BZ4" i="28"/>
  <c r="BR4" i="28"/>
  <c r="BJ4" i="28"/>
  <c r="BB4" i="28"/>
  <c r="AT4" i="28"/>
  <c r="AL4" i="28"/>
  <c r="AD4" i="28"/>
  <c r="V4" i="28"/>
  <c r="N4" i="28"/>
  <c r="F4" i="28"/>
  <c r="EV5" i="27"/>
  <c r="EN5" i="27"/>
  <c r="EF5" i="27"/>
  <c r="DX5" i="27"/>
  <c r="DP5" i="27"/>
  <c r="DH5" i="27"/>
  <c r="CZ5" i="27"/>
  <c r="CR5" i="27"/>
  <c r="CJ5" i="27"/>
  <c r="CB5" i="27"/>
  <c r="BT5" i="27"/>
  <c r="BL5" i="27"/>
  <c r="BD5" i="27"/>
  <c r="AV5" i="27"/>
  <c r="AN5" i="27"/>
  <c r="AF5" i="27"/>
  <c r="X5" i="27"/>
  <c r="P5" i="27"/>
  <c r="H5" i="27"/>
  <c r="EX4" i="27"/>
  <c r="EP4" i="27"/>
  <c r="BA4" i="31"/>
  <c r="EM5" i="30"/>
  <c r="CE5" i="30"/>
  <c r="BG5" i="30"/>
  <c r="AY5" i="30"/>
  <c r="AQ5" i="30"/>
  <c r="AI5" i="30"/>
  <c r="AA5" i="30"/>
  <c r="S5" i="30"/>
  <c r="K5" i="30"/>
  <c r="C5" i="30"/>
  <c r="ES4" i="30"/>
  <c r="EK4" i="30"/>
  <c r="EC4" i="30"/>
  <c r="DU4" i="30"/>
  <c r="DM4" i="30"/>
  <c r="DE4" i="30"/>
  <c r="CW4" i="30"/>
  <c r="CO4" i="30"/>
  <c r="CG4" i="30"/>
  <c r="BY4" i="30"/>
  <c r="BQ4" i="30"/>
  <c r="BI4" i="30"/>
  <c r="BA4" i="30"/>
  <c r="AS4" i="30"/>
  <c r="AK4" i="30"/>
  <c r="AC4" i="30"/>
  <c r="U4" i="30"/>
  <c r="M4" i="30"/>
  <c r="E4" i="30"/>
  <c r="EU5" i="29"/>
  <c r="EM5" i="29"/>
  <c r="EE5" i="29"/>
  <c r="DW5" i="29"/>
  <c r="DO5" i="29"/>
  <c r="DG5" i="29"/>
  <c r="CY5" i="29"/>
  <c r="CQ5" i="29"/>
  <c r="CI5" i="29"/>
  <c r="CA5" i="29"/>
  <c r="BS5" i="29"/>
  <c r="BK5" i="29"/>
  <c r="BC5" i="29"/>
  <c r="AU5" i="29"/>
  <c r="AM5" i="29"/>
  <c r="AE5" i="29"/>
  <c r="W5" i="29"/>
  <c r="O5" i="29"/>
  <c r="G5" i="29"/>
  <c r="EW4" i="29"/>
  <c r="EO4" i="29"/>
  <c r="EG4" i="29"/>
  <c r="DY4" i="29"/>
  <c r="DQ4" i="29"/>
  <c r="DI4" i="29"/>
  <c r="DA4" i="29"/>
  <c r="CS4" i="29"/>
  <c r="CK4" i="29"/>
  <c r="CC4" i="29"/>
  <c r="BU4" i="29"/>
  <c r="BM4" i="29"/>
  <c r="BE4" i="29"/>
  <c r="AW4" i="29"/>
  <c r="AO4" i="29"/>
  <c r="AG4" i="29"/>
  <c r="Y4" i="29"/>
  <c r="Q4" i="29"/>
  <c r="I4" i="29"/>
  <c r="EQ5" i="28"/>
  <c r="EI5" i="28"/>
  <c r="EA5" i="28"/>
  <c r="DS5" i="28"/>
  <c r="DK5" i="28"/>
  <c r="DC5" i="28"/>
  <c r="CU5" i="28"/>
  <c r="CM5" i="28"/>
  <c r="CE5" i="28"/>
  <c r="BW5" i="28"/>
  <c r="BO5" i="28"/>
  <c r="BG5" i="28"/>
  <c r="AY5" i="28"/>
  <c r="AQ5" i="28"/>
  <c r="AI5" i="28"/>
  <c r="AA5" i="28"/>
  <c r="S5" i="28"/>
  <c r="K5" i="28"/>
  <c r="C5" i="28"/>
  <c r="ES4" i="28"/>
  <c r="EK4" i="28"/>
  <c r="EC4" i="28"/>
  <c r="DU4" i="28"/>
  <c r="DM4" i="28"/>
  <c r="DE4" i="28"/>
  <c r="CW4" i="28"/>
  <c r="CO4" i="28"/>
  <c r="CG4" i="28"/>
  <c r="BY4" i="28"/>
  <c r="BQ4" i="28"/>
  <c r="BI4" i="28"/>
  <c r="BA4" i="28"/>
  <c r="AS4" i="28"/>
  <c r="AK4" i="28"/>
  <c r="AC4" i="28"/>
  <c r="U4" i="28"/>
  <c r="M4" i="28"/>
  <c r="E4" i="28"/>
  <c r="EU5" i="27"/>
  <c r="EM5" i="27"/>
  <c r="EE5" i="27"/>
  <c r="DW5" i="27"/>
  <c r="DO5" i="27"/>
  <c r="DG5" i="27"/>
  <c r="CY5" i="27"/>
  <c r="CQ5" i="27"/>
  <c r="CI5" i="27"/>
  <c r="CA5" i="27"/>
  <c r="BS5" i="27"/>
  <c r="BK5" i="27"/>
  <c r="BC5" i="27"/>
  <c r="AU5" i="27"/>
  <c r="AM5" i="27"/>
  <c r="AE5" i="27"/>
  <c r="W5" i="27"/>
  <c r="O5" i="27"/>
  <c r="G5" i="27"/>
  <c r="EW4" i="27"/>
  <c r="AS4" i="31"/>
  <c r="EE5" i="30"/>
  <c r="CA5" i="30"/>
  <c r="BF5" i="30"/>
  <c r="AX5" i="30"/>
  <c r="AP5" i="30"/>
  <c r="AH5" i="30"/>
  <c r="Z5" i="30"/>
  <c r="R5" i="30"/>
  <c r="J5" i="30"/>
  <c r="B5" i="30"/>
  <c r="ER4" i="30"/>
  <c r="EJ4" i="30"/>
  <c r="EB4" i="30"/>
  <c r="DT4" i="30"/>
  <c r="DL4" i="30"/>
  <c r="DD4" i="30"/>
  <c r="CV4" i="30"/>
  <c r="CN4" i="30"/>
  <c r="CF4" i="30"/>
  <c r="BX4" i="30"/>
  <c r="BP4" i="30"/>
  <c r="BH4" i="30"/>
  <c r="AZ4" i="30"/>
  <c r="AR4" i="30"/>
  <c r="AJ4" i="30"/>
  <c r="AB4" i="30"/>
  <c r="T4" i="30"/>
  <c r="L4" i="30"/>
  <c r="D4" i="30"/>
  <c r="ET5" i="29"/>
  <c r="EL5" i="29"/>
  <c r="ED5" i="29"/>
  <c r="DV5" i="29"/>
  <c r="DN5" i="29"/>
  <c r="DF5" i="29"/>
  <c r="CX5" i="29"/>
  <c r="CP5" i="29"/>
  <c r="CH5" i="29"/>
  <c r="BZ5" i="29"/>
  <c r="BR5" i="29"/>
  <c r="BJ5" i="29"/>
  <c r="BB5" i="29"/>
  <c r="AT5" i="29"/>
  <c r="AL5" i="29"/>
  <c r="AD5" i="29"/>
  <c r="V5" i="29"/>
  <c r="N5" i="29"/>
  <c r="F5" i="29"/>
  <c r="EV4" i="29"/>
  <c r="EN4" i="29"/>
  <c r="EF4" i="29"/>
  <c r="DX4" i="29"/>
  <c r="DP4" i="29"/>
  <c r="DH4" i="29"/>
  <c r="CZ4" i="29"/>
  <c r="CR4" i="29"/>
  <c r="CJ4" i="29"/>
  <c r="CB4" i="29"/>
  <c r="BT4" i="29"/>
  <c r="BL4" i="29"/>
  <c r="BD4" i="29"/>
  <c r="AV4" i="29"/>
  <c r="AN4" i="29"/>
  <c r="AF4" i="29"/>
  <c r="X4" i="29"/>
  <c r="P4" i="29"/>
  <c r="H4" i="29"/>
  <c r="EX5" i="28"/>
  <c r="EP5" i="28"/>
  <c r="EH5" i="28"/>
  <c r="DZ5" i="28"/>
  <c r="DR5" i="28"/>
  <c r="DJ5" i="28"/>
  <c r="DB5" i="28"/>
  <c r="CT5" i="28"/>
  <c r="CL5" i="28"/>
  <c r="CD5" i="28"/>
  <c r="BV5" i="28"/>
  <c r="BN5" i="28"/>
  <c r="BF5" i="28"/>
  <c r="AX5" i="28"/>
  <c r="AP5" i="28"/>
  <c r="AH5" i="28"/>
  <c r="Z5" i="28"/>
  <c r="R5" i="28"/>
  <c r="J5" i="28"/>
  <c r="B5" i="28"/>
  <c r="ER4" i="28"/>
  <c r="EJ4" i="28"/>
  <c r="EB4" i="28"/>
  <c r="DT4" i="28"/>
  <c r="DL4" i="28"/>
  <c r="DD4" i="28"/>
  <c r="CV4" i="28"/>
  <c r="CN4" i="28"/>
  <c r="CF4" i="28"/>
  <c r="BX4" i="28"/>
  <c r="BP4" i="28"/>
  <c r="BH4" i="28"/>
  <c r="AZ4" i="28"/>
  <c r="AR4" i="28"/>
  <c r="AJ4" i="28"/>
  <c r="AB4" i="28"/>
  <c r="T4" i="28"/>
  <c r="L4" i="28"/>
  <c r="D4" i="28"/>
  <c r="ET5" i="27"/>
  <c r="EL5" i="27"/>
  <c r="ED5" i="27"/>
  <c r="DV5" i="27"/>
  <c r="DN5" i="27"/>
  <c r="DF5" i="27"/>
  <c r="CX5" i="27"/>
  <c r="CP5" i="27"/>
  <c r="CH5" i="27"/>
  <c r="BZ5" i="27"/>
  <c r="BR5" i="27"/>
  <c r="BJ5" i="27"/>
  <c r="BB5" i="27"/>
  <c r="AT5" i="27"/>
  <c r="AL5" i="27"/>
  <c r="AD5" i="27"/>
  <c r="V5" i="27"/>
  <c r="N5" i="27"/>
  <c r="F5" i="27"/>
  <c r="EV4" i="27"/>
  <c r="AK4" i="31"/>
  <c r="DW5" i="30"/>
  <c r="BW5" i="30"/>
  <c r="BE5" i="30"/>
  <c r="AW5" i="30"/>
  <c r="AO5" i="30"/>
  <c r="AG5" i="30"/>
  <c r="Y5" i="30"/>
  <c r="Q5" i="30"/>
  <c r="I5" i="30"/>
  <c r="A5" i="30"/>
  <c r="EQ4" i="30"/>
  <c r="EI4" i="30"/>
  <c r="EA4" i="30"/>
  <c r="DS4" i="30"/>
  <c r="DK4" i="30"/>
  <c r="DC4" i="30"/>
  <c r="CU4" i="30"/>
  <c r="CM4" i="30"/>
  <c r="CE4" i="30"/>
  <c r="BW4" i="30"/>
  <c r="BO4" i="30"/>
  <c r="BG4" i="30"/>
  <c r="AY4" i="30"/>
  <c r="AQ4" i="30"/>
  <c r="AI4" i="30"/>
  <c r="AA4" i="30"/>
  <c r="S4" i="30"/>
  <c r="K4" i="30"/>
  <c r="C4" i="30"/>
  <c r="ES5" i="29"/>
  <c r="EK5" i="29"/>
  <c r="EC5" i="29"/>
  <c r="DU5" i="29"/>
  <c r="DM5" i="29"/>
  <c r="DE5" i="29"/>
  <c r="CW5" i="29"/>
  <c r="CO5" i="29"/>
  <c r="CG5" i="29"/>
  <c r="BY5" i="29"/>
  <c r="BQ5" i="29"/>
  <c r="BI5" i="29"/>
  <c r="BA5" i="29"/>
  <c r="AS5" i="29"/>
  <c r="AK5" i="29"/>
  <c r="AC5" i="29"/>
  <c r="U5" i="29"/>
  <c r="M5" i="29"/>
  <c r="E5" i="29"/>
  <c r="EU4" i="29"/>
  <c r="EM4" i="29"/>
  <c r="EE4" i="29"/>
  <c r="DW4" i="29"/>
  <c r="DO4" i="29"/>
  <c r="DG4" i="29"/>
  <c r="CY4" i="29"/>
  <c r="CQ4" i="29"/>
  <c r="CI4" i="29"/>
  <c r="CA4" i="29"/>
  <c r="BS4" i="29"/>
  <c r="BK4" i="29"/>
  <c r="BC4" i="29"/>
  <c r="AU4" i="29"/>
  <c r="AM4" i="29"/>
  <c r="AE4" i="29"/>
  <c r="W4" i="29"/>
  <c r="O4" i="29"/>
  <c r="G4" i="29"/>
  <c r="EW5" i="28"/>
  <c r="EO5" i="28"/>
  <c r="EG5" i="28"/>
  <c r="DY5" i="28"/>
  <c r="DQ5" i="28"/>
  <c r="DI5" i="28"/>
  <c r="DA5" i="28"/>
  <c r="CS5" i="28"/>
  <c r="CK5" i="28"/>
  <c r="CC5" i="28"/>
  <c r="BU5" i="28"/>
  <c r="BM5" i="28"/>
  <c r="BE5" i="28"/>
  <c r="AW5" i="28"/>
  <c r="AO5" i="28"/>
  <c r="AG5" i="28"/>
  <c r="Y5" i="28"/>
  <c r="Q5" i="28"/>
  <c r="I5" i="28"/>
  <c r="A5" i="28"/>
  <c r="EQ4" i="28"/>
  <c r="EI4" i="28"/>
  <c r="EA4" i="28"/>
  <c r="DS4" i="28"/>
  <c r="DK4" i="28"/>
  <c r="DC4" i="28"/>
  <c r="CU4" i="28"/>
  <c r="CM4" i="28"/>
  <c r="CE4" i="28"/>
  <c r="BW4" i="28"/>
  <c r="BO4" i="28"/>
  <c r="BG4" i="28"/>
  <c r="AY4" i="28"/>
  <c r="AQ4" i="28"/>
  <c r="AI4" i="28"/>
  <c r="AA4" i="28"/>
  <c r="S4" i="28"/>
  <c r="K4" i="28"/>
  <c r="C4" i="28"/>
  <c r="ES5" i="27"/>
  <c r="EK5" i="27"/>
  <c r="EC5" i="27"/>
  <c r="DU5" i="27"/>
  <c r="DM5" i="27"/>
  <c r="DE5" i="27"/>
  <c r="CW5" i="27"/>
  <c r="CO5" i="27"/>
  <c r="CG5" i="27"/>
  <c r="BY5" i="27"/>
  <c r="BQ5" i="27"/>
  <c r="BI5" i="27"/>
  <c r="BA5" i="27"/>
  <c r="AS5" i="27"/>
  <c r="AK5" i="27"/>
  <c r="AC5" i="27"/>
  <c r="U5" i="27"/>
  <c r="M5" i="27"/>
  <c r="E5" i="27"/>
  <c r="EU4" i="27"/>
  <c r="EM4" i="27"/>
  <c r="AC4" i="31"/>
  <c r="DO5" i="30"/>
  <c r="BS5" i="30"/>
  <c r="BD5" i="30"/>
  <c r="AV5" i="30"/>
  <c r="AN5" i="30"/>
  <c r="AF5" i="30"/>
  <c r="X5" i="30"/>
  <c r="P5" i="30"/>
  <c r="H5" i="30"/>
  <c r="EX4" i="30"/>
  <c r="EP4" i="30"/>
  <c r="EH4" i="30"/>
  <c r="DZ4" i="30"/>
  <c r="DR4" i="30"/>
  <c r="DJ4" i="30"/>
  <c r="DB4" i="30"/>
  <c r="CT4" i="30"/>
  <c r="CL4" i="30"/>
  <c r="CD4" i="30"/>
  <c r="BV4" i="30"/>
  <c r="BN4" i="30"/>
  <c r="BF4" i="30"/>
  <c r="AX4" i="30"/>
  <c r="AP4" i="30"/>
  <c r="AH4" i="30"/>
  <c r="Z4" i="30"/>
  <c r="R4" i="30"/>
  <c r="J4" i="30"/>
  <c r="B4" i="30"/>
  <c r="ER5" i="29"/>
  <c r="EJ5" i="29"/>
  <c r="EB5" i="29"/>
  <c r="DT5" i="29"/>
  <c r="DL5" i="29"/>
  <c r="DD5" i="29"/>
  <c r="CV5" i="29"/>
  <c r="CN5" i="29"/>
  <c r="CF5" i="29"/>
  <c r="BX5" i="29"/>
  <c r="BP5" i="29"/>
  <c r="BH5" i="29"/>
  <c r="AZ5" i="29"/>
  <c r="AR5" i="29"/>
  <c r="AJ5" i="29"/>
  <c r="AB5" i="29"/>
  <c r="T5" i="29"/>
  <c r="L5" i="29"/>
  <c r="D5" i="29"/>
  <c r="ET4" i="29"/>
  <c r="EL4" i="29"/>
  <c r="ED4" i="29"/>
  <c r="DV4" i="29"/>
  <c r="DN4" i="29"/>
  <c r="DF4" i="29"/>
  <c r="CX4" i="29"/>
  <c r="CP4" i="29"/>
  <c r="CH4" i="29"/>
  <c r="BZ4" i="29"/>
  <c r="BR4" i="29"/>
  <c r="BJ4" i="29"/>
  <c r="BB4" i="29"/>
  <c r="AT4" i="29"/>
  <c r="AL4" i="29"/>
  <c r="AD4" i="29"/>
  <c r="V4" i="29"/>
  <c r="N4" i="29"/>
  <c r="F4" i="29"/>
  <c r="EV5" i="28"/>
  <c r="EN5" i="28"/>
  <c r="EF5" i="28"/>
  <c r="DX5" i="28"/>
  <c r="DP5" i="28"/>
  <c r="DH5" i="28"/>
  <c r="CZ5" i="28"/>
  <c r="CR5" i="28"/>
  <c r="CJ5" i="28"/>
  <c r="CB5" i="28"/>
  <c r="BT5" i="28"/>
  <c r="BL5" i="28"/>
  <c r="BD5" i="28"/>
  <c r="AV5" i="28"/>
  <c r="AN5" i="28"/>
  <c r="AF5" i="28"/>
  <c r="X5" i="28"/>
  <c r="P5" i="28"/>
  <c r="H5" i="28"/>
  <c r="EX4" i="28"/>
  <c r="EP4" i="28"/>
  <c r="EH4" i="28"/>
  <c r="DZ4" i="28"/>
  <c r="DR4" i="28"/>
  <c r="DJ4" i="28"/>
  <c r="DB4" i="28"/>
  <c r="CT4" i="28"/>
  <c r="CL4" i="28"/>
  <c r="CD4" i="28"/>
  <c r="BV4" i="28"/>
  <c r="BN4" i="28"/>
  <c r="BF4" i="28"/>
  <c r="AX4" i="28"/>
  <c r="AP4" i="28"/>
  <c r="AH4" i="28"/>
  <c r="Z4" i="28"/>
  <c r="R4" i="28"/>
  <c r="J4" i="28"/>
  <c r="B4" i="28"/>
  <c r="ER5" i="27"/>
  <c r="EJ5" i="27"/>
  <c r="EB5" i="27"/>
  <c r="DT5" i="27"/>
  <c r="DL5" i="27"/>
  <c r="DD5" i="27"/>
  <c r="CV5" i="27"/>
  <c r="CN5" i="27"/>
  <c r="CF5" i="27"/>
  <c r="BX5" i="27"/>
  <c r="BP5" i="27"/>
  <c r="BH5" i="27"/>
  <c r="AZ5" i="27"/>
  <c r="AR5" i="27"/>
  <c r="AJ5" i="27"/>
  <c r="AB5" i="27"/>
  <c r="T5" i="27"/>
  <c r="L5" i="27"/>
  <c r="D5" i="27"/>
  <c r="ET4" i="27"/>
  <c r="U4" i="31"/>
  <c r="DG5" i="30"/>
  <c r="BO5" i="30"/>
  <c r="BC5" i="30"/>
  <c r="AU5" i="30"/>
  <c r="AM5" i="30"/>
  <c r="AE5" i="30"/>
  <c r="W5" i="30"/>
  <c r="O5" i="30"/>
  <c r="G5" i="30"/>
  <c r="EW4" i="30"/>
  <c r="EO4" i="30"/>
  <c r="EG4" i="30"/>
  <c r="DY4" i="30"/>
  <c r="DQ4" i="30"/>
  <c r="DI4" i="30"/>
  <c r="DA4" i="30"/>
  <c r="CS4" i="30"/>
  <c r="CK4" i="30"/>
  <c r="CC4" i="30"/>
  <c r="BU4" i="30"/>
  <c r="BM4" i="30"/>
  <c r="BE4" i="30"/>
  <c r="AW4" i="30"/>
  <c r="AO4" i="30"/>
  <c r="AG4" i="30"/>
  <c r="Y4" i="30"/>
  <c r="Q4" i="30"/>
  <c r="I4" i="30"/>
  <c r="EQ5" i="29"/>
  <c r="EI5" i="29"/>
  <c r="EA5" i="29"/>
  <c r="DS5" i="29"/>
  <c r="DK5" i="29"/>
  <c r="DC5" i="29"/>
  <c r="CU5" i="29"/>
  <c r="CM5" i="29"/>
  <c r="CE5" i="29"/>
  <c r="BW5" i="29"/>
  <c r="BO5" i="29"/>
  <c r="BG5" i="29"/>
  <c r="AY5" i="29"/>
  <c r="AQ5" i="29"/>
  <c r="AI5" i="29"/>
  <c r="AA5" i="29"/>
  <c r="S5" i="29"/>
  <c r="K5" i="29"/>
  <c r="C5" i="29"/>
  <c r="ES4" i="29"/>
  <c r="EK4" i="29"/>
  <c r="EC4" i="29"/>
  <c r="DU4" i="29"/>
  <c r="DM4" i="29"/>
  <c r="DE4" i="29"/>
  <c r="CW4" i="29"/>
  <c r="CO4" i="29"/>
  <c r="CG4" i="29"/>
  <c r="BY4" i="29"/>
  <c r="BQ4" i="29"/>
  <c r="BI4" i="29"/>
  <c r="BA4" i="29"/>
  <c r="AS4" i="29"/>
  <c r="AK4" i="29"/>
  <c r="AC4" i="29"/>
  <c r="U4" i="29"/>
  <c r="M4" i="29"/>
  <c r="E4" i="29"/>
  <c r="EU5" i="28"/>
  <c r="EM5" i="28"/>
  <c r="EE5" i="28"/>
  <c r="DW5" i="28"/>
  <c r="DO5" i="28"/>
  <c r="DG5" i="28"/>
  <c r="CY5" i="28"/>
  <c r="CQ5" i="28"/>
  <c r="CI5" i="28"/>
  <c r="CA5" i="28"/>
  <c r="BS5" i="28"/>
  <c r="BK5" i="28"/>
  <c r="BC5" i="28"/>
  <c r="AU5" i="28"/>
  <c r="AM5" i="28"/>
  <c r="AE5" i="28"/>
  <c r="W5" i="28"/>
  <c r="O5" i="28"/>
  <c r="G5" i="28"/>
  <c r="EW4" i="28"/>
  <c r="EO4" i="28"/>
  <c r="EG4" i="28"/>
  <c r="DY4" i="28"/>
  <c r="DQ4" i="28"/>
  <c r="DI4" i="28"/>
  <c r="DA4" i="28"/>
  <c r="CS4" i="28"/>
  <c r="CK4" i="28"/>
  <c r="CC4" i="28"/>
  <c r="BU4" i="28"/>
  <c r="BM4" i="28"/>
  <c r="BE4" i="28"/>
  <c r="AW4" i="28"/>
  <c r="AO4" i="28"/>
  <c r="AG4" i="28"/>
  <c r="Y4" i="28"/>
  <c r="Q4" i="28"/>
  <c r="I4" i="28"/>
  <c r="EQ5" i="27"/>
  <c r="EI5" i="27"/>
  <c r="EA5" i="27"/>
  <c r="DS5" i="27"/>
  <c r="DK5" i="27"/>
  <c r="DC5" i="27"/>
  <c r="CU5" i="27"/>
  <c r="CM5" i="27"/>
  <c r="CE5" i="27"/>
  <c r="BW5" i="27"/>
  <c r="BO5" i="27"/>
  <c r="BG5" i="27"/>
  <c r="AY5" i="27"/>
  <c r="AQ5" i="27"/>
  <c r="AI5" i="27"/>
  <c r="AA5" i="27"/>
  <c r="S5" i="27"/>
  <c r="K5" i="27"/>
  <c r="C5" i="27"/>
  <c r="M4" i="31"/>
  <c r="CY5" i="30"/>
  <c r="BK5" i="30"/>
  <c r="BB5" i="30"/>
  <c r="AT5" i="30"/>
  <c r="AL5" i="30"/>
  <c r="AD5" i="30"/>
  <c r="V5" i="30"/>
  <c r="N5" i="30"/>
  <c r="F5" i="30"/>
  <c r="EV4" i="30"/>
  <c r="EN4" i="30"/>
  <c r="EF4" i="30"/>
  <c r="DX4" i="30"/>
  <c r="DP4" i="30"/>
  <c r="DH4" i="30"/>
  <c r="CZ4" i="30"/>
  <c r="CR4" i="30"/>
  <c r="CJ4" i="30"/>
  <c r="CB4" i="30"/>
  <c r="BT4" i="30"/>
  <c r="BL4" i="30"/>
  <c r="BD4" i="30"/>
  <c r="AV4" i="30"/>
  <c r="AN4" i="30"/>
  <c r="AF4" i="30"/>
  <c r="X4" i="30"/>
  <c r="P4" i="30"/>
  <c r="H4" i="30"/>
  <c r="EX5" i="29"/>
  <c r="EP5" i="29"/>
  <c r="EH5" i="29"/>
  <c r="DZ5" i="29"/>
  <c r="DR5" i="29"/>
  <c r="DJ5" i="29"/>
  <c r="DB5" i="29"/>
  <c r="CT5" i="29"/>
  <c r="CL5" i="29"/>
  <c r="CD5" i="29"/>
  <c r="BV5" i="29"/>
  <c r="BN5" i="29"/>
  <c r="BF5" i="29"/>
  <c r="AX5" i="29"/>
  <c r="AP5" i="29"/>
  <c r="AH5" i="29"/>
  <c r="Z5" i="29"/>
  <c r="R5" i="29"/>
  <c r="J5" i="29"/>
  <c r="B5" i="29"/>
  <c r="ER4" i="29"/>
  <c r="EJ4" i="29"/>
  <c r="EB4" i="29"/>
  <c r="DT4" i="29"/>
  <c r="DL4" i="29"/>
  <c r="DD4" i="29"/>
  <c r="CV4" i="29"/>
  <c r="CN4" i="29"/>
  <c r="CF4" i="29"/>
  <c r="BX4" i="29"/>
  <c r="BP4" i="29"/>
  <c r="BH4" i="29"/>
  <c r="AZ4" i="29"/>
  <c r="AR4" i="29"/>
  <c r="AJ4" i="29"/>
  <c r="AB4" i="29"/>
  <c r="T4" i="29"/>
  <c r="L4" i="29"/>
  <c r="D4" i="29"/>
  <c r="ET5" i="28"/>
  <c r="EL5" i="28"/>
  <c r="ED5" i="28"/>
  <c r="DV5" i="28"/>
  <c r="DN5" i="28"/>
  <c r="DF5" i="28"/>
  <c r="CX5" i="28"/>
  <c r="CP5" i="28"/>
  <c r="CH5" i="28"/>
  <c r="BZ5" i="28"/>
  <c r="BR5" i="28"/>
  <c r="BJ5" i="28"/>
  <c r="BB5" i="28"/>
  <c r="AT5" i="28"/>
  <c r="AL5" i="28"/>
  <c r="AD5" i="28"/>
  <c r="V5" i="28"/>
  <c r="N5" i="28"/>
  <c r="F5" i="28"/>
  <c r="EV4" i="28"/>
  <c r="EN4" i="28"/>
  <c r="EF4" i="28"/>
  <c r="DX4" i="28"/>
  <c r="DP4" i="28"/>
  <c r="DH4" i="28"/>
  <c r="CZ4" i="28"/>
  <c r="CR4" i="28"/>
  <c r="CJ4" i="28"/>
  <c r="CB4" i="28"/>
  <c r="BT4" i="28"/>
  <c r="BL4" i="28"/>
  <c r="BD4" i="28"/>
  <c r="AV4" i="28"/>
  <c r="AN4" i="28"/>
  <c r="AF4" i="28"/>
  <c r="X4" i="28"/>
  <c r="P4" i="28"/>
  <c r="H4" i="28"/>
  <c r="EX5" i="27"/>
  <c r="EP5" i="27"/>
  <c r="EH5" i="27"/>
  <c r="DZ5" i="27"/>
  <c r="DR5" i="27"/>
  <c r="DJ5" i="27"/>
  <c r="DB5" i="27"/>
  <c r="CT5" i="27"/>
  <c r="CL5" i="27"/>
  <c r="CD5" i="27"/>
  <c r="BV5" i="27"/>
  <c r="BN5" i="27"/>
  <c r="BF5" i="27"/>
  <c r="AX5" i="27"/>
  <c r="AP5" i="27"/>
  <c r="AH5" i="27"/>
  <c r="Z5" i="27"/>
  <c r="R5" i="27"/>
  <c r="J5" i="27"/>
  <c r="B5" i="27"/>
  <c r="ES4" i="27"/>
  <c r="EH4" i="27"/>
  <c r="DZ4" i="27"/>
  <c r="DR4" i="27"/>
  <c r="DJ4" i="27"/>
  <c r="DB4" i="27"/>
  <c r="CT4" i="27"/>
  <c r="CL4" i="27"/>
  <c r="CD4" i="27"/>
  <c r="BV4" i="27"/>
  <c r="BN4" i="27"/>
  <c r="BF4" i="27"/>
  <c r="AX4" i="27"/>
  <c r="AP4" i="27"/>
  <c r="AH4" i="27"/>
  <c r="Z4" i="27"/>
  <c r="R4" i="27"/>
  <c r="J4" i="27"/>
  <c r="B4" i="27"/>
  <c r="ER5" i="26"/>
  <c r="EJ5" i="26"/>
  <c r="EB5" i="26"/>
  <c r="DT5" i="26"/>
  <c r="DL5" i="26"/>
  <c r="DD5" i="26"/>
  <c r="CV5" i="26"/>
  <c r="CN5" i="26"/>
  <c r="CF5" i="26"/>
  <c r="BX5" i="26"/>
  <c r="BP5" i="26"/>
  <c r="BH5" i="26"/>
  <c r="AZ5" i="26"/>
  <c r="AR5" i="26"/>
  <c r="AJ5" i="26"/>
  <c r="AB5" i="26"/>
  <c r="T5" i="26"/>
  <c r="L5" i="26"/>
  <c r="D5" i="26"/>
  <c r="ET4" i="26"/>
  <c r="EL4" i="26"/>
  <c r="ED4" i="26"/>
  <c r="DV4" i="26"/>
  <c r="DN4" i="26"/>
  <c r="DF4" i="26"/>
  <c r="CX4" i="26"/>
  <c r="CP4" i="26"/>
  <c r="CH4" i="26"/>
  <c r="BZ4" i="26"/>
  <c r="BR4" i="26"/>
  <c r="BJ4" i="26"/>
  <c r="BB4" i="26"/>
  <c r="AT4" i="26"/>
  <c r="AL4" i="26"/>
  <c r="AD4" i="26"/>
  <c r="V4" i="26"/>
  <c r="N4" i="26"/>
  <c r="F4" i="26"/>
  <c r="EV5" i="25"/>
  <c r="EN5" i="25"/>
  <c r="EF5" i="25"/>
  <c r="DX5" i="25"/>
  <c r="DP5" i="25"/>
  <c r="DH5" i="25"/>
  <c r="CZ5" i="25"/>
  <c r="CR5" i="25"/>
  <c r="CJ5" i="25"/>
  <c r="CB5" i="25"/>
  <c r="BT5" i="25"/>
  <c r="BL5" i="25"/>
  <c r="BD5" i="25"/>
  <c r="AV5" i="25"/>
  <c r="AN5" i="25"/>
  <c r="AF5" i="25"/>
  <c r="X5" i="25"/>
  <c r="P5" i="25"/>
  <c r="H5" i="25"/>
  <c r="EX4" i="25"/>
  <c r="EP4" i="25"/>
  <c r="EH4" i="25"/>
  <c r="DZ4" i="25"/>
  <c r="DR4" i="25"/>
  <c r="DJ4" i="25"/>
  <c r="DB4" i="25"/>
  <c r="CT4" i="25"/>
  <c r="CL4" i="25"/>
  <c r="CD4" i="25"/>
  <c r="BV4" i="25"/>
  <c r="BN4" i="25"/>
  <c r="BF4" i="25"/>
  <c r="AX4" i="25"/>
  <c r="AP4" i="25"/>
  <c r="AH4" i="25"/>
  <c r="Z4" i="25"/>
  <c r="R4" i="25"/>
  <c r="J4" i="25"/>
  <c r="B4" i="25"/>
  <c r="ER5" i="24"/>
  <c r="EJ5" i="24"/>
  <c r="EB5" i="24"/>
  <c r="DT5" i="24"/>
  <c r="DL5" i="24"/>
  <c r="DD5" i="24"/>
  <c r="CV5" i="24"/>
  <c r="CN5" i="24"/>
  <c r="CF5" i="24"/>
  <c r="BX5" i="24"/>
  <c r="BP5" i="24"/>
  <c r="BH5" i="24"/>
  <c r="AZ5" i="24"/>
  <c r="AR5" i="24"/>
  <c r="AJ5" i="24"/>
  <c r="AB5" i="24"/>
  <c r="T5" i="24"/>
  <c r="L5" i="24"/>
  <c r="D5" i="24"/>
  <c r="ET4" i="24"/>
  <c r="EL4" i="24"/>
  <c r="ED4" i="24"/>
  <c r="DV4" i="24"/>
  <c r="DN4" i="24"/>
  <c r="DF4" i="24"/>
  <c r="CX4" i="24"/>
  <c r="CP4" i="24"/>
  <c r="CH4" i="24"/>
  <c r="BZ4" i="24"/>
  <c r="BR4" i="24"/>
  <c r="BJ4" i="24"/>
  <c r="BB4" i="24"/>
  <c r="ER4" i="27"/>
  <c r="EG4" i="27"/>
  <c r="DY4" i="27"/>
  <c r="DQ4" i="27"/>
  <c r="DI4" i="27"/>
  <c r="DA4" i="27"/>
  <c r="CS4" i="27"/>
  <c r="CK4" i="27"/>
  <c r="CC4" i="27"/>
  <c r="BU4" i="27"/>
  <c r="BM4" i="27"/>
  <c r="BE4" i="27"/>
  <c r="AW4" i="27"/>
  <c r="AO4" i="27"/>
  <c r="AG4" i="27"/>
  <c r="Y4" i="27"/>
  <c r="Q4" i="27"/>
  <c r="I4" i="27"/>
  <c r="EQ5" i="26"/>
  <c r="EI5" i="26"/>
  <c r="EA5" i="26"/>
  <c r="DS5" i="26"/>
  <c r="DK5" i="26"/>
  <c r="DC5" i="26"/>
  <c r="CU5" i="26"/>
  <c r="CM5" i="26"/>
  <c r="CE5" i="26"/>
  <c r="BW5" i="26"/>
  <c r="BO5" i="26"/>
  <c r="BG5" i="26"/>
  <c r="AY5" i="26"/>
  <c r="AQ5" i="26"/>
  <c r="AI5" i="26"/>
  <c r="AA5" i="26"/>
  <c r="S5" i="26"/>
  <c r="K5" i="26"/>
  <c r="C5" i="26"/>
  <c r="ES4" i="26"/>
  <c r="EK4" i="26"/>
  <c r="EC4" i="26"/>
  <c r="DU4" i="26"/>
  <c r="DM4" i="26"/>
  <c r="DE4" i="26"/>
  <c r="CW4" i="26"/>
  <c r="CO4" i="26"/>
  <c r="CG4" i="26"/>
  <c r="BY4" i="26"/>
  <c r="BQ4" i="26"/>
  <c r="BI4" i="26"/>
  <c r="BA4" i="26"/>
  <c r="AS4" i="26"/>
  <c r="AK4" i="26"/>
  <c r="AC4" i="26"/>
  <c r="U4" i="26"/>
  <c r="M4" i="26"/>
  <c r="E4" i="26"/>
  <c r="EU5" i="25"/>
  <c r="EM5" i="25"/>
  <c r="EE5" i="25"/>
  <c r="DW5" i="25"/>
  <c r="DO5" i="25"/>
  <c r="DG5" i="25"/>
  <c r="CY5" i="25"/>
  <c r="CQ5" i="25"/>
  <c r="CI5" i="25"/>
  <c r="CA5" i="25"/>
  <c r="BS5" i="25"/>
  <c r="BK5" i="25"/>
  <c r="BC5" i="25"/>
  <c r="AU5" i="25"/>
  <c r="AM5" i="25"/>
  <c r="AE5" i="25"/>
  <c r="W5" i="25"/>
  <c r="O5" i="25"/>
  <c r="G5" i="25"/>
  <c r="EW4" i="25"/>
  <c r="EO4" i="25"/>
  <c r="EG4" i="25"/>
  <c r="DY4" i="25"/>
  <c r="DQ4" i="25"/>
  <c r="DI4" i="25"/>
  <c r="DA4" i="25"/>
  <c r="CS4" i="25"/>
  <c r="CK4" i="25"/>
  <c r="CC4" i="25"/>
  <c r="BU4" i="25"/>
  <c r="BM4" i="25"/>
  <c r="BE4" i="25"/>
  <c r="AW4" i="25"/>
  <c r="AO4" i="25"/>
  <c r="AG4" i="25"/>
  <c r="Y4" i="25"/>
  <c r="Q4" i="25"/>
  <c r="I4" i="25"/>
  <c r="EQ5" i="24"/>
  <c r="EI5" i="24"/>
  <c r="EA5" i="24"/>
  <c r="DS5" i="24"/>
  <c r="DK5" i="24"/>
  <c r="DC5" i="24"/>
  <c r="CU5" i="24"/>
  <c r="CM5" i="24"/>
  <c r="CE5" i="24"/>
  <c r="BW5" i="24"/>
  <c r="BO5" i="24"/>
  <c r="BG5" i="24"/>
  <c r="AY5" i="24"/>
  <c r="AQ5" i="24"/>
  <c r="AI5" i="24"/>
  <c r="AA5" i="24"/>
  <c r="S5" i="24"/>
  <c r="K5" i="24"/>
  <c r="C5" i="24"/>
  <c r="ES4" i="24"/>
  <c r="EK4" i="24"/>
  <c r="EC4" i="24"/>
  <c r="DU4" i="24"/>
  <c r="DM4" i="24"/>
  <c r="DE4" i="24"/>
  <c r="CW4" i="24"/>
  <c r="CO4" i="24"/>
  <c r="CG4" i="24"/>
  <c r="BY4" i="24"/>
  <c r="BQ4" i="24"/>
  <c r="BI4" i="24"/>
  <c r="BA4" i="24"/>
  <c r="EO4" i="27"/>
  <c r="EF4" i="27"/>
  <c r="DX4" i="27"/>
  <c r="DP4" i="27"/>
  <c r="DH4" i="27"/>
  <c r="CZ4" i="27"/>
  <c r="CR4" i="27"/>
  <c r="CJ4" i="27"/>
  <c r="CB4" i="27"/>
  <c r="BT4" i="27"/>
  <c r="BL4" i="27"/>
  <c r="BD4" i="27"/>
  <c r="AV4" i="27"/>
  <c r="AN4" i="27"/>
  <c r="AF4" i="27"/>
  <c r="X4" i="27"/>
  <c r="P4" i="27"/>
  <c r="H4" i="27"/>
  <c r="EX5" i="26"/>
  <c r="EP5" i="26"/>
  <c r="EH5" i="26"/>
  <c r="DZ5" i="26"/>
  <c r="DR5" i="26"/>
  <c r="DJ5" i="26"/>
  <c r="DB5" i="26"/>
  <c r="CT5" i="26"/>
  <c r="CL5" i="26"/>
  <c r="CD5" i="26"/>
  <c r="BV5" i="26"/>
  <c r="BN5" i="26"/>
  <c r="BF5" i="26"/>
  <c r="AX5" i="26"/>
  <c r="AP5" i="26"/>
  <c r="AH5" i="26"/>
  <c r="Z5" i="26"/>
  <c r="R5" i="26"/>
  <c r="J5" i="26"/>
  <c r="B5" i="26"/>
  <c r="ER4" i="26"/>
  <c r="EJ4" i="26"/>
  <c r="EB4" i="26"/>
  <c r="DT4" i="26"/>
  <c r="DL4" i="26"/>
  <c r="DD4" i="26"/>
  <c r="CV4" i="26"/>
  <c r="CN4" i="26"/>
  <c r="CF4" i="26"/>
  <c r="BX4" i="26"/>
  <c r="BP4" i="26"/>
  <c r="BH4" i="26"/>
  <c r="AZ4" i="26"/>
  <c r="AR4" i="26"/>
  <c r="AJ4" i="26"/>
  <c r="AB4" i="26"/>
  <c r="T4" i="26"/>
  <c r="L4" i="26"/>
  <c r="D4" i="26"/>
  <c r="ET5" i="25"/>
  <c r="EL5" i="25"/>
  <c r="ED5" i="25"/>
  <c r="DV5" i="25"/>
  <c r="DN5" i="25"/>
  <c r="DF5" i="25"/>
  <c r="CX5" i="25"/>
  <c r="CP5" i="25"/>
  <c r="CH5" i="25"/>
  <c r="BZ5" i="25"/>
  <c r="BR5" i="25"/>
  <c r="BJ5" i="25"/>
  <c r="BB5" i="25"/>
  <c r="AT5" i="25"/>
  <c r="AL5" i="25"/>
  <c r="AD5" i="25"/>
  <c r="V5" i="25"/>
  <c r="N5" i="25"/>
  <c r="F5" i="25"/>
  <c r="EV4" i="25"/>
  <c r="EN4" i="25"/>
  <c r="EF4" i="25"/>
  <c r="DX4" i="25"/>
  <c r="DP4" i="25"/>
  <c r="DH4" i="25"/>
  <c r="CZ4" i="25"/>
  <c r="CR4" i="25"/>
  <c r="CJ4" i="25"/>
  <c r="CB4" i="25"/>
  <c r="BT4" i="25"/>
  <c r="BL4" i="25"/>
  <c r="BD4" i="25"/>
  <c r="AV4" i="25"/>
  <c r="AN4" i="25"/>
  <c r="AF4" i="25"/>
  <c r="X4" i="25"/>
  <c r="P4" i="25"/>
  <c r="H4" i="25"/>
  <c r="EX5" i="24"/>
  <c r="EP5" i="24"/>
  <c r="EH5" i="24"/>
  <c r="DZ5" i="24"/>
  <c r="DR5" i="24"/>
  <c r="DJ5" i="24"/>
  <c r="DB5" i="24"/>
  <c r="CT5" i="24"/>
  <c r="CL5" i="24"/>
  <c r="CD5" i="24"/>
  <c r="BV5" i="24"/>
  <c r="BN5" i="24"/>
  <c r="BF5" i="24"/>
  <c r="AX5" i="24"/>
  <c r="AP5" i="24"/>
  <c r="AH5" i="24"/>
  <c r="Z5" i="24"/>
  <c r="R5" i="24"/>
  <c r="J5" i="24"/>
  <c r="B5" i="24"/>
  <c r="ER4" i="24"/>
  <c r="EJ4" i="24"/>
  <c r="EB4" i="24"/>
  <c r="DT4" i="24"/>
  <c r="DL4" i="24"/>
  <c r="DD4" i="24"/>
  <c r="CV4" i="24"/>
  <c r="CN4" i="24"/>
  <c r="CF4" i="24"/>
  <c r="BX4" i="24"/>
  <c r="BP4" i="24"/>
  <c r="BH4" i="24"/>
  <c r="AZ4" i="24"/>
  <c r="EN4" i="27"/>
  <c r="EE4" i="27"/>
  <c r="DW4" i="27"/>
  <c r="DO4" i="27"/>
  <c r="DG4" i="27"/>
  <c r="CY4" i="27"/>
  <c r="CQ4" i="27"/>
  <c r="CI4" i="27"/>
  <c r="CA4" i="27"/>
  <c r="BS4" i="27"/>
  <c r="BK4" i="27"/>
  <c r="BC4" i="27"/>
  <c r="AU4" i="27"/>
  <c r="AM4" i="27"/>
  <c r="AE4" i="27"/>
  <c r="W4" i="27"/>
  <c r="O4" i="27"/>
  <c r="G4" i="27"/>
  <c r="EW5" i="26"/>
  <c r="EO5" i="26"/>
  <c r="EG5" i="26"/>
  <c r="DY5" i="26"/>
  <c r="DQ5" i="26"/>
  <c r="DI5" i="26"/>
  <c r="DA5" i="26"/>
  <c r="CS5" i="26"/>
  <c r="CK5" i="26"/>
  <c r="CC5" i="26"/>
  <c r="BU5" i="26"/>
  <c r="BM5" i="26"/>
  <c r="BE5" i="26"/>
  <c r="AW5" i="26"/>
  <c r="AO5" i="26"/>
  <c r="AG5" i="26"/>
  <c r="Y5" i="26"/>
  <c r="Q5" i="26"/>
  <c r="I5" i="26"/>
  <c r="A5" i="26"/>
  <c r="EQ4" i="26"/>
  <c r="EI4" i="26"/>
  <c r="EA4" i="26"/>
  <c r="DS4" i="26"/>
  <c r="DK4" i="26"/>
  <c r="DC4" i="26"/>
  <c r="CU4" i="26"/>
  <c r="CM4" i="26"/>
  <c r="CE4" i="26"/>
  <c r="BW4" i="26"/>
  <c r="BO4" i="26"/>
  <c r="BG4" i="26"/>
  <c r="AY4" i="26"/>
  <c r="AQ4" i="26"/>
  <c r="AI4" i="26"/>
  <c r="AA4" i="26"/>
  <c r="S4" i="26"/>
  <c r="K4" i="26"/>
  <c r="C4" i="26"/>
  <c r="ES5" i="25"/>
  <c r="EK5" i="25"/>
  <c r="EC5" i="25"/>
  <c r="DU5" i="25"/>
  <c r="DM5" i="25"/>
  <c r="DE5" i="25"/>
  <c r="CW5" i="25"/>
  <c r="CO5" i="25"/>
  <c r="CG5" i="25"/>
  <c r="BY5" i="25"/>
  <c r="BQ5" i="25"/>
  <c r="BI5" i="25"/>
  <c r="BA5" i="25"/>
  <c r="AS5" i="25"/>
  <c r="AK5" i="25"/>
  <c r="AC5" i="25"/>
  <c r="U5" i="25"/>
  <c r="M5" i="25"/>
  <c r="E5" i="25"/>
  <c r="EU4" i="25"/>
  <c r="EM4" i="25"/>
  <c r="EE4" i="25"/>
  <c r="DW4" i="25"/>
  <c r="DO4" i="25"/>
  <c r="DG4" i="25"/>
  <c r="CY4" i="25"/>
  <c r="CQ4" i="25"/>
  <c r="CI4" i="25"/>
  <c r="CA4" i="25"/>
  <c r="BS4" i="25"/>
  <c r="BK4" i="25"/>
  <c r="BC4" i="25"/>
  <c r="AU4" i="25"/>
  <c r="AM4" i="25"/>
  <c r="AE4" i="25"/>
  <c r="W4" i="25"/>
  <c r="O4" i="25"/>
  <c r="G4" i="25"/>
  <c r="EW5" i="24"/>
  <c r="EO5" i="24"/>
  <c r="EG5" i="24"/>
  <c r="DY5" i="24"/>
  <c r="DQ5" i="24"/>
  <c r="DI5" i="24"/>
  <c r="DA5" i="24"/>
  <c r="CS5" i="24"/>
  <c r="CK5" i="24"/>
  <c r="CC5" i="24"/>
  <c r="BU5" i="24"/>
  <c r="BM5" i="24"/>
  <c r="BE5" i="24"/>
  <c r="AW5" i="24"/>
  <c r="AO5" i="24"/>
  <c r="AG5" i="24"/>
  <c r="Y5" i="24"/>
  <c r="Q5" i="24"/>
  <c r="I5" i="24"/>
  <c r="A5" i="24"/>
  <c r="EQ4" i="24"/>
  <c r="EI4" i="24"/>
  <c r="EA4" i="24"/>
  <c r="DS4" i="24"/>
  <c r="DK4" i="24"/>
  <c r="DC4" i="24"/>
  <c r="CU4" i="24"/>
  <c r="CM4" i="24"/>
  <c r="CE4" i="24"/>
  <c r="BW4" i="24"/>
  <c r="BO4" i="24"/>
  <c r="BG4" i="24"/>
  <c r="AY4" i="24"/>
  <c r="EL4" i="27"/>
  <c r="ED4" i="27"/>
  <c r="DV4" i="27"/>
  <c r="DN4" i="27"/>
  <c r="DF4" i="27"/>
  <c r="CX4" i="27"/>
  <c r="CP4" i="27"/>
  <c r="CH4" i="27"/>
  <c r="BZ4" i="27"/>
  <c r="BR4" i="27"/>
  <c r="BJ4" i="27"/>
  <c r="BB4" i="27"/>
  <c r="AT4" i="27"/>
  <c r="AL4" i="27"/>
  <c r="AD4" i="27"/>
  <c r="V4" i="27"/>
  <c r="N4" i="27"/>
  <c r="F4" i="27"/>
  <c r="EV5" i="26"/>
  <c r="EN5" i="26"/>
  <c r="EF5" i="26"/>
  <c r="DX5" i="26"/>
  <c r="DP5" i="26"/>
  <c r="DH5" i="26"/>
  <c r="CZ5" i="26"/>
  <c r="CR5" i="26"/>
  <c r="CJ5" i="26"/>
  <c r="CB5" i="26"/>
  <c r="BT5" i="26"/>
  <c r="BL5" i="26"/>
  <c r="BD5" i="26"/>
  <c r="AV5" i="26"/>
  <c r="AN5" i="26"/>
  <c r="AF5" i="26"/>
  <c r="X5" i="26"/>
  <c r="P5" i="26"/>
  <c r="H5" i="26"/>
  <c r="EX4" i="26"/>
  <c r="EP4" i="26"/>
  <c r="EH4" i="26"/>
  <c r="DZ4" i="26"/>
  <c r="DR4" i="26"/>
  <c r="DJ4" i="26"/>
  <c r="DB4" i="26"/>
  <c r="CT4" i="26"/>
  <c r="CL4" i="26"/>
  <c r="CD4" i="26"/>
  <c r="BV4" i="26"/>
  <c r="BN4" i="26"/>
  <c r="BF4" i="26"/>
  <c r="AX4" i="26"/>
  <c r="AP4" i="26"/>
  <c r="AH4" i="26"/>
  <c r="Z4" i="26"/>
  <c r="R4" i="26"/>
  <c r="J4" i="26"/>
  <c r="B4" i="26"/>
  <c r="ER5" i="25"/>
  <c r="EJ5" i="25"/>
  <c r="EB5" i="25"/>
  <c r="DT5" i="25"/>
  <c r="DL5" i="25"/>
  <c r="DD5" i="25"/>
  <c r="CV5" i="25"/>
  <c r="CN5" i="25"/>
  <c r="CF5" i="25"/>
  <c r="BX5" i="25"/>
  <c r="BP5" i="25"/>
  <c r="BH5" i="25"/>
  <c r="AZ5" i="25"/>
  <c r="AR5" i="25"/>
  <c r="AJ5" i="25"/>
  <c r="AB5" i="25"/>
  <c r="T5" i="25"/>
  <c r="L5" i="25"/>
  <c r="D5" i="25"/>
  <c r="ET4" i="25"/>
  <c r="EL4" i="25"/>
  <c r="ED4" i="25"/>
  <c r="DV4" i="25"/>
  <c r="DN4" i="25"/>
  <c r="DF4" i="25"/>
  <c r="CX4" i="25"/>
  <c r="CP4" i="25"/>
  <c r="CH4" i="25"/>
  <c r="BZ4" i="25"/>
  <c r="BR4" i="25"/>
  <c r="BJ4" i="25"/>
  <c r="BB4" i="25"/>
  <c r="AT4" i="25"/>
  <c r="AL4" i="25"/>
  <c r="AD4" i="25"/>
  <c r="V4" i="25"/>
  <c r="N4" i="25"/>
  <c r="F4" i="25"/>
  <c r="EV5" i="24"/>
  <c r="EN5" i="24"/>
  <c r="EF5" i="24"/>
  <c r="DX5" i="24"/>
  <c r="DP5" i="24"/>
  <c r="DH5" i="24"/>
  <c r="CZ5" i="24"/>
  <c r="CR5" i="24"/>
  <c r="CJ5" i="24"/>
  <c r="CB5" i="24"/>
  <c r="BT5" i="24"/>
  <c r="BL5" i="24"/>
  <c r="BD5" i="24"/>
  <c r="AV5" i="24"/>
  <c r="AN5" i="24"/>
  <c r="AF5" i="24"/>
  <c r="X5" i="24"/>
  <c r="P5" i="24"/>
  <c r="H5" i="24"/>
  <c r="EX4" i="24"/>
  <c r="EP4" i="24"/>
  <c r="EH4" i="24"/>
  <c r="DZ4" i="24"/>
  <c r="DR4" i="24"/>
  <c r="DJ4" i="24"/>
  <c r="DB4" i="24"/>
  <c r="CT4" i="24"/>
  <c r="CL4" i="24"/>
  <c r="CD4" i="24"/>
  <c r="BV4" i="24"/>
  <c r="BN4" i="24"/>
  <c r="BF4" i="24"/>
  <c r="AX4" i="24"/>
  <c r="EK4" i="27"/>
  <c r="EC4" i="27"/>
  <c r="DU4" i="27"/>
  <c r="DM4" i="27"/>
  <c r="DE4" i="27"/>
  <c r="CW4" i="27"/>
  <c r="CO4" i="27"/>
  <c r="CG4" i="27"/>
  <c r="BY4" i="27"/>
  <c r="BQ4" i="27"/>
  <c r="BI4" i="27"/>
  <c r="BA4" i="27"/>
  <c r="AS4" i="27"/>
  <c r="AK4" i="27"/>
  <c r="AC4" i="27"/>
  <c r="U4" i="27"/>
  <c r="M4" i="27"/>
  <c r="E4" i="27"/>
  <c r="EU5" i="26"/>
  <c r="EM5" i="26"/>
  <c r="EE5" i="26"/>
  <c r="DW5" i="26"/>
  <c r="DO5" i="26"/>
  <c r="DG5" i="26"/>
  <c r="CY5" i="26"/>
  <c r="CQ5" i="26"/>
  <c r="CI5" i="26"/>
  <c r="CA5" i="26"/>
  <c r="BS5" i="26"/>
  <c r="BK5" i="26"/>
  <c r="BC5" i="26"/>
  <c r="AU5" i="26"/>
  <c r="AM5" i="26"/>
  <c r="AE5" i="26"/>
  <c r="W5" i="26"/>
  <c r="O5" i="26"/>
  <c r="G5" i="26"/>
  <c r="EW4" i="26"/>
  <c r="EO4" i="26"/>
  <c r="EG4" i="26"/>
  <c r="DY4" i="26"/>
  <c r="DQ4" i="26"/>
  <c r="DI4" i="26"/>
  <c r="DA4" i="26"/>
  <c r="CS4" i="26"/>
  <c r="CK4" i="26"/>
  <c r="CC4" i="26"/>
  <c r="BU4" i="26"/>
  <c r="BM4" i="26"/>
  <c r="BE4" i="26"/>
  <c r="AW4" i="26"/>
  <c r="AO4" i="26"/>
  <c r="AG4" i="26"/>
  <c r="Y4" i="26"/>
  <c r="Q4" i="26"/>
  <c r="I4" i="26"/>
  <c r="EQ5" i="25"/>
  <c r="EI5" i="25"/>
  <c r="EA5" i="25"/>
  <c r="DS5" i="25"/>
  <c r="DK5" i="25"/>
  <c r="DC5" i="25"/>
  <c r="CU5" i="25"/>
  <c r="CM5" i="25"/>
  <c r="CE5" i="25"/>
  <c r="BW5" i="25"/>
  <c r="BO5" i="25"/>
  <c r="BG5" i="25"/>
  <c r="AY5" i="25"/>
  <c r="AQ5" i="25"/>
  <c r="AI5" i="25"/>
  <c r="AA5" i="25"/>
  <c r="S5" i="25"/>
  <c r="K5" i="25"/>
  <c r="C5" i="25"/>
  <c r="ES4" i="25"/>
  <c r="EK4" i="25"/>
  <c r="EC4" i="25"/>
  <c r="DU4" i="25"/>
  <c r="DM4" i="25"/>
  <c r="DE4" i="25"/>
  <c r="CW4" i="25"/>
  <c r="CO4" i="25"/>
  <c r="CG4" i="25"/>
  <c r="BY4" i="25"/>
  <c r="BQ4" i="25"/>
  <c r="BI4" i="25"/>
  <c r="BA4" i="25"/>
  <c r="AS4" i="25"/>
  <c r="AK4" i="25"/>
  <c r="AC4" i="25"/>
  <c r="U4" i="25"/>
  <c r="M4" i="25"/>
  <c r="E4" i="25"/>
  <c r="EU5" i="24"/>
  <c r="EM5" i="24"/>
  <c r="EE5" i="24"/>
  <c r="DW5" i="24"/>
  <c r="DO5" i="24"/>
  <c r="DG5" i="24"/>
  <c r="CY5" i="24"/>
  <c r="CQ5" i="24"/>
  <c r="CI5" i="24"/>
  <c r="CA5" i="24"/>
  <c r="BS5" i="24"/>
  <c r="BK5" i="24"/>
  <c r="BC5" i="24"/>
  <c r="AU5" i="24"/>
  <c r="AM5" i="24"/>
  <c r="AE5" i="24"/>
  <c r="W5" i="24"/>
  <c r="O5" i="24"/>
  <c r="G5" i="24"/>
  <c r="EW4" i="24"/>
  <c r="EO4" i="24"/>
  <c r="EG4" i="24"/>
  <c r="DY4" i="24"/>
  <c r="DQ4" i="24"/>
  <c r="DI4" i="24"/>
  <c r="DA4" i="24"/>
  <c r="CS4" i="24"/>
  <c r="CK4" i="24"/>
  <c r="CC4" i="24"/>
  <c r="BU4" i="24"/>
  <c r="BM4" i="24"/>
  <c r="BE4" i="24"/>
  <c r="EJ4" i="27"/>
  <c r="EB4" i="27"/>
  <c r="DT4" i="27"/>
  <c r="DL4" i="27"/>
  <c r="DD4" i="27"/>
  <c r="CV4" i="27"/>
  <c r="CN4" i="27"/>
  <c r="CF4" i="27"/>
  <c r="BX4" i="27"/>
  <c r="BP4" i="27"/>
  <c r="BH4" i="27"/>
  <c r="AZ4" i="27"/>
  <c r="AR4" i="27"/>
  <c r="AJ4" i="27"/>
  <c r="AB4" i="27"/>
  <c r="T4" i="27"/>
  <c r="L4" i="27"/>
  <c r="D4" i="27"/>
  <c r="ET5" i="26"/>
  <c r="EL5" i="26"/>
  <c r="ED5" i="26"/>
  <c r="DV5" i="26"/>
  <c r="DN5" i="26"/>
  <c r="DF5" i="26"/>
  <c r="CX5" i="26"/>
  <c r="CP5" i="26"/>
  <c r="CH5" i="26"/>
  <c r="BZ5" i="26"/>
  <c r="BR5" i="26"/>
  <c r="BJ5" i="26"/>
  <c r="BB5" i="26"/>
  <c r="AT5" i="26"/>
  <c r="AL5" i="26"/>
  <c r="AD5" i="26"/>
  <c r="V5" i="26"/>
  <c r="N5" i="26"/>
  <c r="F5" i="26"/>
  <c r="EV4" i="26"/>
  <c r="EN4" i="26"/>
  <c r="EF4" i="26"/>
  <c r="DX4" i="26"/>
  <c r="DP4" i="26"/>
  <c r="DH4" i="26"/>
  <c r="CZ4" i="26"/>
  <c r="CR4" i="26"/>
  <c r="CJ4" i="26"/>
  <c r="CB4" i="26"/>
  <c r="BT4" i="26"/>
  <c r="BL4" i="26"/>
  <c r="BD4" i="26"/>
  <c r="AV4" i="26"/>
  <c r="AN4" i="26"/>
  <c r="AF4" i="26"/>
  <c r="X4" i="26"/>
  <c r="P4" i="26"/>
  <c r="H4" i="26"/>
  <c r="EX5" i="25"/>
  <c r="EP5" i="25"/>
  <c r="EH5" i="25"/>
  <c r="DZ5" i="25"/>
  <c r="DR5" i="25"/>
  <c r="DJ5" i="25"/>
  <c r="DB5" i="25"/>
  <c r="CT5" i="25"/>
  <c r="CL5" i="25"/>
  <c r="CD5" i="25"/>
  <c r="BV5" i="25"/>
  <c r="BN5" i="25"/>
  <c r="BF5" i="25"/>
  <c r="AX5" i="25"/>
  <c r="AP5" i="25"/>
  <c r="AH5" i="25"/>
  <c r="Z5" i="25"/>
  <c r="R5" i="25"/>
  <c r="J5" i="25"/>
  <c r="B5" i="25"/>
  <c r="ER4" i="25"/>
  <c r="EJ4" i="25"/>
  <c r="EB4" i="25"/>
  <c r="DT4" i="25"/>
  <c r="DL4" i="25"/>
  <c r="DD4" i="25"/>
  <c r="CV4" i="25"/>
  <c r="CN4" i="25"/>
  <c r="CF4" i="25"/>
  <c r="BX4" i="25"/>
  <c r="BP4" i="25"/>
  <c r="BH4" i="25"/>
  <c r="AZ4" i="25"/>
  <c r="AR4" i="25"/>
  <c r="AJ4" i="25"/>
  <c r="AB4" i="25"/>
  <c r="T4" i="25"/>
  <c r="L4" i="25"/>
  <c r="D4" i="25"/>
  <c r="ET5" i="24"/>
  <c r="EL5" i="24"/>
  <c r="ED5" i="24"/>
  <c r="DV5" i="24"/>
  <c r="DN5" i="24"/>
  <c r="DF5" i="24"/>
  <c r="CX5" i="24"/>
  <c r="CP5" i="24"/>
  <c r="CH5" i="24"/>
  <c r="BZ5" i="24"/>
  <c r="BR5" i="24"/>
  <c r="BJ5" i="24"/>
  <c r="BB5" i="24"/>
  <c r="AT5" i="24"/>
  <c r="AL5" i="24"/>
  <c r="AD5" i="24"/>
  <c r="V5" i="24"/>
  <c r="N5" i="24"/>
  <c r="F5" i="24"/>
  <c r="EV4" i="24"/>
  <c r="EN4" i="24"/>
  <c r="EF4" i="24"/>
  <c r="DX4" i="24"/>
  <c r="DP4" i="24"/>
  <c r="DH4" i="24"/>
  <c r="CZ4" i="24"/>
  <c r="CR4" i="24"/>
  <c r="CJ4" i="24"/>
  <c r="CB4" i="24"/>
  <c r="BT4" i="24"/>
  <c r="BL4" i="24"/>
  <c r="BD4" i="24"/>
  <c r="EI4" i="27"/>
  <c r="EA4" i="27"/>
  <c r="DS4" i="27"/>
  <c r="DK4" i="27"/>
  <c r="DC4" i="27"/>
  <c r="CU4" i="27"/>
  <c r="CM4" i="27"/>
  <c r="CE4" i="27"/>
  <c r="BW4" i="27"/>
  <c r="BO4" i="27"/>
  <c r="BG4" i="27"/>
  <c r="AY4" i="27"/>
  <c r="AQ4" i="27"/>
  <c r="AI4" i="27"/>
  <c r="AA4" i="27"/>
  <c r="S4" i="27"/>
  <c r="K4" i="27"/>
  <c r="C4" i="27"/>
  <c r="ES5" i="26"/>
  <c r="EK5" i="26"/>
  <c r="EC5" i="26"/>
  <c r="DU5" i="26"/>
  <c r="DM5" i="26"/>
  <c r="DE5" i="26"/>
  <c r="CW5" i="26"/>
  <c r="CO5" i="26"/>
  <c r="CG5" i="26"/>
  <c r="BY5" i="26"/>
  <c r="BQ5" i="26"/>
  <c r="BI5" i="26"/>
  <c r="BA5" i="26"/>
  <c r="AS5" i="26"/>
  <c r="AK5" i="26"/>
  <c r="AC5" i="26"/>
  <c r="U5" i="26"/>
  <c r="M5" i="26"/>
  <c r="E5" i="26"/>
  <c r="EU4" i="26"/>
  <c r="EM4" i="26"/>
  <c r="EE4" i="26"/>
  <c r="DW4" i="26"/>
  <c r="DO4" i="26"/>
  <c r="DG4" i="26"/>
  <c r="CY4" i="26"/>
  <c r="CQ4" i="26"/>
  <c r="CI4" i="26"/>
  <c r="CA4" i="26"/>
  <c r="BS4" i="26"/>
  <c r="BK4" i="26"/>
  <c r="BC4" i="26"/>
  <c r="AU4" i="26"/>
  <c r="AM4" i="26"/>
  <c r="AE4" i="26"/>
  <c r="W4" i="26"/>
  <c r="O4" i="26"/>
  <c r="G4" i="26"/>
  <c r="EW5" i="25"/>
  <c r="EO5" i="25"/>
  <c r="EG5" i="25"/>
  <c r="DY5" i="25"/>
  <c r="DQ5" i="25"/>
  <c r="DI5" i="25"/>
  <c r="DA5" i="25"/>
  <c r="CS5" i="25"/>
  <c r="CK5" i="25"/>
  <c r="CC5" i="25"/>
  <c r="BU5" i="25"/>
  <c r="BM5" i="25"/>
  <c r="BE5" i="25"/>
  <c r="AW5" i="25"/>
  <c r="AO5" i="25"/>
  <c r="AG5" i="25"/>
  <c r="Y5" i="25"/>
  <c r="Q5" i="25"/>
  <c r="I5" i="25"/>
  <c r="A5" i="25"/>
  <c r="EQ4" i="25"/>
  <c r="EI4" i="25"/>
  <c r="EA4" i="25"/>
  <c r="DS4" i="25"/>
  <c r="DK4" i="25"/>
  <c r="DC4" i="25"/>
  <c r="CU4" i="25"/>
  <c r="CM4" i="25"/>
  <c r="CE4" i="25"/>
  <c r="BW4" i="25"/>
  <c r="BO4" i="25"/>
  <c r="BG4" i="25"/>
  <c r="AY4" i="25"/>
  <c r="AQ4" i="25"/>
  <c r="AI4" i="25"/>
  <c r="AA4" i="25"/>
  <c r="S4" i="25"/>
  <c r="K4" i="25"/>
  <c r="C4" i="25"/>
  <c r="ES5" i="24"/>
  <c r="EK5" i="24"/>
  <c r="EC5" i="24"/>
  <c r="DU5" i="24"/>
  <c r="DM5" i="24"/>
  <c r="DE5" i="24"/>
  <c r="CW5" i="24"/>
  <c r="CO5" i="24"/>
  <c r="CG5" i="24"/>
  <c r="BY5" i="24"/>
  <c r="BQ5" i="24"/>
  <c r="BI5" i="24"/>
  <c r="BA5" i="24"/>
  <c r="AS5" i="24"/>
  <c r="AK5" i="24"/>
  <c r="AC5" i="24"/>
  <c r="U5" i="24"/>
  <c r="M5" i="24"/>
  <c r="E5" i="24"/>
  <c r="EU4" i="24"/>
  <c r="EM4" i="24"/>
  <c r="EE4" i="24"/>
  <c r="DW4" i="24"/>
  <c r="DO4" i="24"/>
  <c r="DG4" i="24"/>
  <c r="CY4" i="24"/>
  <c r="CQ4" i="24"/>
  <c r="CI4" i="24"/>
  <c r="CA4" i="24"/>
  <c r="BS4" i="24"/>
  <c r="BK4" i="24"/>
  <c r="BC4" i="24"/>
  <c r="AW4" i="24"/>
  <c r="AO4" i="24"/>
  <c r="AG4" i="24"/>
  <c r="Y4" i="24"/>
  <c r="Q4" i="24"/>
  <c r="I4" i="24"/>
  <c r="EQ5" i="23"/>
  <c r="EI5" i="23"/>
  <c r="EA5" i="23"/>
  <c r="DS5" i="23"/>
  <c r="DK5" i="23"/>
  <c r="DC5" i="23"/>
  <c r="CU5" i="23"/>
  <c r="CM5" i="23"/>
  <c r="CE5" i="23"/>
  <c r="BW5" i="23"/>
  <c r="BO5" i="23"/>
  <c r="BG5" i="23"/>
  <c r="AY5" i="23"/>
  <c r="AQ5" i="23"/>
  <c r="AI5" i="23"/>
  <c r="AA5" i="23"/>
  <c r="S5" i="23"/>
  <c r="K5" i="23"/>
  <c r="C5" i="23"/>
  <c r="ES4" i="23"/>
  <c r="EK4" i="23"/>
  <c r="EC4" i="23"/>
  <c r="DU4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EU5" i="22"/>
  <c r="EM5" i="22"/>
  <c r="EE5" i="22"/>
  <c r="DW5" i="22"/>
  <c r="DO5" i="22"/>
  <c r="DG5" i="22"/>
  <c r="CY5" i="22"/>
  <c r="CQ5" i="22"/>
  <c r="CI5" i="22"/>
  <c r="CA5" i="22"/>
  <c r="BS5" i="22"/>
  <c r="BK5" i="22"/>
  <c r="BC5" i="22"/>
  <c r="AU5" i="22"/>
  <c r="AM5" i="22"/>
  <c r="AE5" i="22"/>
  <c r="W5" i="22"/>
  <c r="O5" i="22"/>
  <c r="G5" i="22"/>
  <c r="EW4" i="22"/>
  <c r="EO4" i="22"/>
  <c r="EG4" i="22"/>
  <c r="DY4" i="22"/>
  <c r="DQ4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ES4" i="21"/>
  <c r="EK4" i="21"/>
  <c r="EC4" i="21"/>
  <c r="DU4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EU5" i="20"/>
  <c r="EM5" i="20"/>
  <c r="EE5" i="20"/>
  <c r="DW5" i="20"/>
  <c r="DO5" i="20"/>
  <c r="AV4" i="24"/>
  <c r="AN4" i="24"/>
  <c r="AF4" i="24"/>
  <c r="X4" i="24"/>
  <c r="P4" i="24"/>
  <c r="H4" i="24"/>
  <c r="EX5" i="23"/>
  <c r="EP5" i="23"/>
  <c r="EH5" i="23"/>
  <c r="DZ5" i="23"/>
  <c r="DR5" i="23"/>
  <c r="DJ5" i="23"/>
  <c r="DB5" i="23"/>
  <c r="CT5" i="23"/>
  <c r="CL5" i="23"/>
  <c r="CD5" i="23"/>
  <c r="BV5" i="23"/>
  <c r="BN5" i="23"/>
  <c r="BF5" i="23"/>
  <c r="AX5" i="23"/>
  <c r="AP5" i="23"/>
  <c r="AH5" i="23"/>
  <c r="Z5" i="23"/>
  <c r="R5" i="23"/>
  <c r="J5" i="23"/>
  <c r="B5" i="23"/>
  <c r="ER4" i="23"/>
  <c r="EJ4" i="23"/>
  <c r="EB4" i="23"/>
  <c r="DT4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ET5" i="22"/>
  <c r="EL5" i="22"/>
  <c r="ED5" i="22"/>
  <c r="DV5" i="22"/>
  <c r="DN5" i="22"/>
  <c r="DF5" i="22"/>
  <c r="CX5" i="22"/>
  <c r="CP5" i="22"/>
  <c r="CH5" i="22"/>
  <c r="BZ5" i="22"/>
  <c r="BR5" i="22"/>
  <c r="BJ5" i="22"/>
  <c r="BB5" i="22"/>
  <c r="AT5" i="22"/>
  <c r="AL5" i="22"/>
  <c r="AD5" i="22"/>
  <c r="V5" i="22"/>
  <c r="N5" i="22"/>
  <c r="F5" i="22"/>
  <c r="EV4" i="22"/>
  <c r="EN4" i="22"/>
  <c r="EF4" i="22"/>
  <c r="DX4" i="22"/>
  <c r="DP4" i="22"/>
  <c r="DH4" i="22"/>
  <c r="CZ4" i="22"/>
  <c r="CR4" i="22"/>
  <c r="CJ4" i="22"/>
  <c r="CB4" i="22"/>
  <c r="BT4" i="22"/>
  <c r="BL4" i="22"/>
  <c r="BD4" i="22"/>
  <c r="AV4" i="22"/>
  <c r="AN4" i="22"/>
  <c r="AF4" i="22"/>
  <c r="X4" i="22"/>
  <c r="P4" i="22"/>
  <c r="H4" i="22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ER4" i="21"/>
  <c r="EJ4" i="21"/>
  <c r="EB4" i="21"/>
  <c r="DT4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ET5" i="20"/>
  <c r="EL5" i="20"/>
  <c r="ED5" i="20"/>
  <c r="DV5" i="20"/>
  <c r="DN5" i="20"/>
  <c r="AU4" i="24"/>
  <c r="AM4" i="24"/>
  <c r="AE4" i="24"/>
  <c r="W4" i="24"/>
  <c r="O4" i="24"/>
  <c r="G4" i="24"/>
  <c r="EW5" i="23"/>
  <c r="EO5" i="23"/>
  <c r="EG5" i="23"/>
  <c r="DY5" i="23"/>
  <c r="DQ5" i="23"/>
  <c r="DI5" i="23"/>
  <c r="DA5" i="23"/>
  <c r="CS5" i="23"/>
  <c r="CK5" i="23"/>
  <c r="CC5" i="23"/>
  <c r="BU5" i="23"/>
  <c r="BM5" i="23"/>
  <c r="BE5" i="23"/>
  <c r="AW5" i="23"/>
  <c r="AO5" i="23"/>
  <c r="AG5" i="23"/>
  <c r="Y5" i="23"/>
  <c r="Q5" i="23"/>
  <c r="I5" i="23"/>
  <c r="A5" i="23"/>
  <c r="EQ4" i="23"/>
  <c r="EI4" i="23"/>
  <c r="EA4" i="23"/>
  <c r="DS4" i="23"/>
  <c r="DK4" i="23"/>
  <c r="DC4" i="23"/>
  <c r="CU4" i="23"/>
  <c r="CM4" i="23"/>
  <c r="CE4" i="23"/>
  <c r="BW4" i="23"/>
  <c r="BO4" i="23"/>
  <c r="BG4" i="23"/>
  <c r="AY4" i="23"/>
  <c r="AQ4" i="23"/>
  <c r="AI4" i="23"/>
  <c r="AA4" i="23"/>
  <c r="S4" i="23"/>
  <c r="K4" i="23"/>
  <c r="C4" i="23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EU4" i="22"/>
  <c r="EM4" i="22"/>
  <c r="EE4" i="22"/>
  <c r="DW4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EQ4" i="21"/>
  <c r="EI4" i="21"/>
  <c r="EA4" i="21"/>
  <c r="DS4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ES5" i="20"/>
  <c r="EK5" i="20"/>
  <c r="EC5" i="20"/>
  <c r="DU5" i="20"/>
  <c r="DM5" i="20"/>
  <c r="AT4" i="24"/>
  <c r="AL4" i="24"/>
  <c r="AD4" i="24"/>
  <c r="V4" i="24"/>
  <c r="N4" i="24"/>
  <c r="F4" i="24"/>
  <c r="EV5" i="23"/>
  <c r="EN5" i="23"/>
  <c r="EF5" i="23"/>
  <c r="DX5" i="23"/>
  <c r="DP5" i="23"/>
  <c r="DH5" i="23"/>
  <c r="CZ5" i="23"/>
  <c r="CR5" i="23"/>
  <c r="CJ5" i="23"/>
  <c r="CB5" i="23"/>
  <c r="BT5" i="23"/>
  <c r="BL5" i="23"/>
  <c r="BD5" i="23"/>
  <c r="AV5" i="23"/>
  <c r="AN5" i="23"/>
  <c r="AF5" i="23"/>
  <c r="X5" i="23"/>
  <c r="P5" i="23"/>
  <c r="H5" i="23"/>
  <c r="EX4" i="23"/>
  <c r="EP4" i="23"/>
  <c r="EH4" i="23"/>
  <c r="DZ4" i="23"/>
  <c r="DR4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ET4" i="22"/>
  <c r="EL4" i="22"/>
  <c r="ED4" i="22"/>
  <c r="DV4" i="22"/>
  <c r="DN4" i="22"/>
  <c r="DF4" i="22"/>
  <c r="CX4" i="22"/>
  <c r="CP4" i="22"/>
  <c r="CH4" i="22"/>
  <c r="BZ4" i="22"/>
  <c r="BR4" i="22"/>
  <c r="BJ4" i="22"/>
  <c r="BB4" i="22"/>
  <c r="AT4" i="22"/>
  <c r="AL4" i="22"/>
  <c r="AD4" i="22"/>
  <c r="V4" i="22"/>
  <c r="N4" i="22"/>
  <c r="F4" i="22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EX4" i="21"/>
  <c r="EP4" i="21"/>
  <c r="EH4" i="21"/>
  <c r="DZ4" i="21"/>
  <c r="DR4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ER5" i="20"/>
  <c r="EJ5" i="20"/>
  <c r="EB5" i="20"/>
  <c r="DT5" i="20"/>
  <c r="AS4" i="24"/>
  <c r="AK4" i="24"/>
  <c r="AC4" i="24"/>
  <c r="U4" i="24"/>
  <c r="M4" i="24"/>
  <c r="E4" i="24"/>
  <c r="EU5" i="23"/>
  <c r="EM5" i="23"/>
  <c r="EE5" i="23"/>
  <c r="DW5" i="23"/>
  <c r="DO5" i="23"/>
  <c r="DG5" i="23"/>
  <c r="CY5" i="23"/>
  <c r="CQ5" i="23"/>
  <c r="CI5" i="23"/>
  <c r="CA5" i="23"/>
  <c r="BS5" i="23"/>
  <c r="BK5" i="23"/>
  <c r="BC5" i="23"/>
  <c r="AU5" i="23"/>
  <c r="AM5" i="23"/>
  <c r="AE5" i="23"/>
  <c r="W5" i="23"/>
  <c r="O5" i="23"/>
  <c r="G5" i="23"/>
  <c r="EW4" i="23"/>
  <c r="EO4" i="23"/>
  <c r="EG4" i="23"/>
  <c r="DY4" i="23"/>
  <c r="DQ4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EQ5" i="22"/>
  <c r="EI5" i="22"/>
  <c r="EA5" i="22"/>
  <c r="DS5" i="22"/>
  <c r="DK5" i="22"/>
  <c r="DC5" i="22"/>
  <c r="CU5" i="22"/>
  <c r="CM5" i="22"/>
  <c r="CE5" i="22"/>
  <c r="BW5" i="22"/>
  <c r="BO5" i="22"/>
  <c r="BG5" i="22"/>
  <c r="AY5" i="22"/>
  <c r="AQ5" i="22"/>
  <c r="AI5" i="22"/>
  <c r="AA5" i="22"/>
  <c r="S5" i="22"/>
  <c r="K5" i="22"/>
  <c r="C5" i="22"/>
  <c r="ES4" i="22"/>
  <c r="EK4" i="22"/>
  <c r="EC4" i="22"/>
  <c r="DU4" i="22"/>
  <c r="DM4" i="22"/>
  <c r="DE4" i="22"/>
  <c r="CW4" i="22"/>
  <c r="CO4" i="22"/>
  <c r="CG4" i="22"/>
  <c r="BY4" i="22"/>
  <c r="BQ4" i="22"/>
  <c r="BI4" i="22"/>
  <c r="BA4" i="22"/>
  <c r="AS4" i="22"/>
  <c r="AK4" i="22"/>
  <c r="AC4" i="22"/>
  <c r="U4" i="22"/>
  <c r="M4" i="22"/>
  <c r="E4" i="22"/>
  <c r="EU5" i="21"/>
  <c r="EM5" i="21"/>
  <c r="EE5" i="21"/>
  <c r="DW5" i="21"/>
  <c r="DO5" i="21"/>
  <c r="DG5" i="21"/>
  <c r="CY5" i="21"/>
  <c r="CQ5" i="21"/>
  <c r="CI5" i="21"/>
  <c r="CA5" i="21"/>
  <c r="BS5" i="21"/>
  <c r="BK5" i="21"/>
  <c r="BC5" i="21"/>
  <c r="AU5" i="21"/>
  <c r="AM5" i="21"/>
  <c r="AE5" i="21"/>
  <c r="W5" i="21"/>
  <c r="O5" i="21"/>
  <c r="G5" i="21"/>
  <c r="EW4" i="21"/>
  <c r="EO4" i="21"/>
  <c r="EG4" i="21"/>
  <c r="DY4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EQ5" i="20"/>
  <c r="EI5" i="20"/>
  <c r="AR4" i="24"/>
  <c r="AJ4" i="24"/>
  <c r="AB4" i="24"/>
  <c r="T4" i="24"/>
  <c r="L4" i="24"/>
  <c r="D4" i="24"/>
  <c r="ET5" i="23"/>
  <c r="EL5" i="23"/>
  <c r="ED5" i="23"/>
  <c r="DV5" i="23"/>
  <c r="DN5" i="23"/>
  <c r="DF5" i="23"/>
  <c r="CX5" i="23"/>
  <c r="CP5" i="23"/>
  <c r="CH5" i="23"/>
  <c r="BZ5" i="23"/>
  <c r="BR5" i="23"/>
  <c r="BJ5" i="23"/>
  <c r="BB5" i="23"/>
  <c r="AT5" i="23"/>
  <c r="AL5" i="23"/>
  <c r="AD5" i="23"/>
  <c r="V5" i="23"/>
  <c r="N5" i="23"/>
  <c r="F5" i="23"/>
  <c r="EV4" i="23"/>
  <c r="EN4" i="23"/>
  <c r="EF4" i="23"/>
  <c r="DX4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EX5" i="22"/>
  <c r="EP5" i="22"/>
  <c r="EH5" i="22"/>
  <c r="DZ5" i="22"/>
  <c r="DR5" i="22"/>
  <c r="DJ5" i="22"/>
  <c r="DB5" i="22"/>
  <c r="CT5" i="22"/>
  <c r="CL5" i="22"/>
  <c r="CD5" i="22"/>
  <c r="BV5" i="22"/>
  <c r="BN5" i="22"/>
  <c r="BF5" i="22"/>
  <c r="AX5" i="22"/>
  <c r="AP5" i="22"/>
  <c r="AH5" i="22"/>
  <c r="Z5" i="22"/>
  <c r="R5" i="22"/>
  <c r="J5" i="22"/>
  <c r="B5" i="22"/>
  <c r="ER4" i="22"/>
  <c r="EJ4" i="22"/>
  <c r="EB4" i="22"/>
  <c r="DT4" i="22"/>
  <c r="DL4" i="22"/>
  <c r="DD4" i="22"/>
  <c r="CV4" i="22"/>
  <c r="CN4" i="22"/>
  <c r="CF4" i="22"/>
  <c r="BX4" i="22"/>
  <c r="BP4" i="22"/>
  <c r="BH4" i="22"/>
  <c r="AZ4" i="22"/>
  <c r="AR4" i="22"/>
  <c r="AJ4" i="22"/>
  <c r="AB4" i="22"/>
  <c r="T4" i="22"/>
  <c r="L4" i="22"/>
  <c r="D4" i="22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EV4" i="21"/>
  <c r="EN4" i="21"/>
  <c r="EF4" i="21"/>
  <c r="DX4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EX5" i="20"/>
  <c r="EP5" i="20"/>
  <c r="EH5" i="20"/>
  <c r="DZ5" i="20"/>
  <c r="DR5" i="20"/>
  <c r="DJ5" i="20"/>
  <c r="AQ4" i="24"/>
  <c r="AI4" i="24"/>
  <c r="AA4" i="24"/>
  <c r="S4" i="24"/>
  <c r="K4" i="24"/>
  <c r="C4" i="24"/>
  <c r="ES5" i="23"/>
  <c r="EK5" i="23"/>
  <c r="EC5" i="23"/>
  <c r="DU5" i="23"/>
  <c r="DM5" i="23"/>
  <c r="DE5" i="23"/>
  <c r="CW5" i="23"/>
  <c r="CO5" i="23"/>
  <c r="CG5" i="23"/>
  <c r="BY5" i="23"/>
  <c r="BQ5" i="23"/>
  <c r="BI5" i="23"/>
  <c r="BA5" i="23"/>
  <c r="AS5" i="23"/>
  <c r="AK5" i="23"/>
  <c r="AC5" i="23"/>
  <c r="U5" i="23"/>
  <c r="M5" i="23"/>
  <c r="E5" i="23"/>
  <c r="EU4" i="23"/>
  <c r="EM4" i="23"/>
  <c r="EE4" i="23"/>
  <c r="DW4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EQ4" i="22"/>
  <c r="EI4" i="22"/>
  <c r="EA4" i="22"/>
  <c r="DS4" i="22"/>
  <c r="DK4" i="22"/>
  <c r="DC4" i="22"/>
  <c r="CU4" i="22"/>
  <c r="CM4" i="22"/>
  <c r="CE4" i="22"/>
  <c r="BW4" i="22"/>
  <c r="BO4" i="22"/>
  <c r="BG4" i="22"/>
  <c r="AY4" i="22"/>
  <c r="AQ4" i="22"/>
  <c r="AI4" i="22"/>
  <c r="AA4" i="22"/>
  <c r="S4" i="22"/>
  <c r="K4" i="22"/>
  <c r="C4" i="22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EU4" i="21"/>
  <c r="EM4" i="21"/>
  <c r="EE4" i="21"/>
  <c r="DW4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EW5" i="20"/>
  <c r="EO5" i="20"/>
  <c r="EG5" i="20"/>
  <c r="DY5" i="20"/>
  <c r="DQ5" i="20"/>
  <c r="AP4" i="24"/>
  <c r="AH4" i="24"/>
  <c r="Z4" i="24"/>
  <c r="R4" i="24"/>
  <c r="J4" i="24"/>
  <c r="B4" i="24"/>
  <c r="ER5" i="23"/>
  <c r="EJ5" i="23"/>
  <c r="EB5" i="23"/>
  <c r="DT5" i="23"/>
  <c r="DL5" i="23"/>
  <c r="DD5" i="23"/>
  <c r="CV5" i="23"/>
  <c r="CN5" i="23"/>
  <c r="CF5" i="23"/>
  <c r="BX5" i="23"/>
  <c r="BP5" i="23"/>
  <c r="BH5" i="23"/>
  <c r="AZ5" i="23"/>
  <c r="AR5" i="23"/>
  <c r="AJ5" i="23"/>
  <c r="AB5" i="23"/>
  <c r="T5" i="23"/>
  <c r="L5" i="23"/>
  <c r="D5" i="23"/>
  <c r="ET4" i="23"/>
  <c r="EL4" i="23"/>
  <c r="ED4" i="23"/>
  <c r="DV4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EV5" i="22"/>
  <c r="EN5" i="22"/>
  <c r="EF5" i="22"/>
  <c r="DX5" i="22"/>
  <c r="DP5" i="22"/>
  <c r="DH5" i="22"/>
  <c r="CZ5" i="22"/>
  <c r="CR5" i="22"/>
  <c r="CJ5" i="22"/>
  <c r="CB5" i="22"/>
  <c r="BT5" i="22"/>
  <c r="BL5" i="22"/>
  <c r="BD5" i="22"/>
  <c r="AV5" i="22"/>
  <c r="AN5" i="22"/>
  <c r="AF5" i="22"/>
  <c r="X5" i="22"/>
  <c r="P5" i="22"/>
  <c r="H5" i="22"/>
  <c r="EX4" i="22"/>
  <c r="EP4" i="22"/>
  <c r="EH4" i="22"/>
  <c r="DZ4" i="22"/>
  <c r="DR4" i="22"/>
  <c r="DJ4" i="22"/>
  <c r="DB4" i="22"/>
  <c r="CT4" i="22"/>
  <c r="CL4" i="22"/>
  <c r="CD4" i="22"/>
  <c r="BV4" i="22"/>
  <c r="BN4" i="22"/>
  <c r="BF4" i="22"/>
  <c r="AX4" i="22"/>
  <c r="AP4" i="22"/>
  <c r="AH4" i="22"/>
  <c r="Z4" i="22"/>
  <c r="R4" i="22"/>
  <c r="J4" i="22"/>
  <c r="B4" i="22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ET4" i="21"/>
  <c r="EL4" i="21"/>
  <c r="ED4" i="21"/>
  <c r="DV4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EV5" i="20"/>
  <c r="EN5" i="20"/>
  <c r="EF5" i="20"/>
  <c r="DX5" i="20"/>
  <c r="DP5" i="20"/>
  <c r="EA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EU4" i="18"/>
  <c r="EM4" i="18"/>
  <c r="EE4" i="18"/>
  <c r="DW4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DS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EX4" i="19"/>
  <c r="EP4" i="19"/>
  <c r="EH4" i="19"/>
  <c r="DZ4" i="19"/>
  <c r="DR4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ET4" i="18"/>
  <c r="EL4" i="18"/>
  <c r="ED4" i="18"/>
  <c r="DV4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DL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ES4" i="20"/>
  <c r="EK4" i="20"/>
  <c r="EC4" i="20"/>
  <c r="DU4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EU5" i="19"/>
  <c r="EM5" i="19"/>
  <c r="EE5" i="19"/>
  <c r="DW5" i="19"/>
  <c r="DO5" i="19"/>
  <c r="DG5" i="19"/>
  <c r="CY5" i="19"/>
  <c r="CQ5" i="19"/>
  <c r="CI5" i="19"/>
  <c r="CA5" i="19"/>
  <c r="BS5" i="19"/>
  <c r="BK5" i="19"/>
  <c r="BC5" i="19"/>
  <c r="AU5" i="19"/>
  <c r="AM5" i="19"/>
  <c r="AE5" i="19"/>
  <c r="W5" i="19"/>
  <c r="O5" i="19"/>
  <c r="G5" i="19"/>
  <c r="EW4" i="19"/>
  <c r="EO4" i="19"/>
  <c r="EG4" i="19"/>
  <c r="DY4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ES4" i="18"/>
  <c r="EK4" i="18"/>
  <c r="EC4" i="18"/>
  <c r="DU4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DK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V4" i="19"/>
  <c r="EN4" i="19"/>
  <c r="EF4" i="19"/>
  <c r="DX4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U4" i="19"/>
  <c r="EM4" i="19"/>
  <c r="EE4" i="19"/>
  <c r="DW4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EQ4" i="18"/>
  <c r="EI4" i="18"/>
  <c r="EA4" i="18"/>
  <c r="DS4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EX4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DG5" i="20"/>
  <c r="CY5" i="20"/>
  <c r="CQ5" i="20"/>
  <c r="CI5" i="20"/>
  <c r="CA5" i="20"/>
  <c r="BS5" i="20"/>
  <c r="BK5" i="20"/>
  <c r="BC5" i="20"/>
  <c r="AU5" i="20"/>
  <c r="AM5" i="20"/>
  <c r="AE5" i="20"/>
  <c r="W5" i="20"/>
  <c r="O5" i="20"/>
  <c r="G5" i="20"/>
  <c r="EW4" i="20"/>
  <c r="EO4" i="20"/>
  <c r="EG4" i="20"/>
  <c r="DY4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ES4" i="19"/>
  <c r="EK4" i="19"/>
  <c r="EC4" i="19"/>
  <c r="DU4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EU5" i="18"/>
  <c r="EM5" i="18"/>
  <c r="EE5" i="18"/>
  <c r="DW5" i="18"/>
  <c r="DO5" i="18"/>
  <c r="DG5" i="18"/>
  <c r="CY5" i="18"/>
  <c r="CQ5" i="18"/>
  <c r="CI5" i="18"/>
  <c r="CA5" i="18"/>
  <c r="BS5" i="18"/>
  <c r="BK5" i="18"/>
  <c r="BC5" i="18"/>
  <c r="AU5" i="18"/>
  <c r="AM5" i="18"/>
  <c r="AE5" i="18"/>
  <c r="W5" i="18"/>
  <c r="O5" i="18"/>
  <c r="G5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Y5" i="17"/>
  <c r="Q5" i="17"/>
  <c r="I5" i="17"/>
  <c r="A5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X5" i="17"/>
  <c r="P5" i="17"/>
  <c r="H5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W5" i="17"/>
  <c r="O5" i="17"/>
  <c r="G5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V5" i="17"/>
  <c r="N5" i="17"/>
  <c r="F5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U5" i="17"/>
  <c r="M5" i="17"/>
  <c r="E5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T5" i="17"/>
  <c r="L5" i="17"/>
  <c r="D5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S5" i="17"/>
  <c r="K5" i="17"/>
  <c r="C5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U5" i="16"/>
  <c r="EM5" i="16"/>
  <c r="EE5" i="16"/>
  <c r="DW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R5" i="17"/>
  <c r="J5" i="17"/>
  <c r="B5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ES4" i="12"/>
  <c r="CG4" i="12"/>
  <c r="U4" i="12"/>
  <c r="DG5" i="11"/>
  <c r="AU5" i="11"/>
  <c r="EG4" i="11"/>
  <c r="BU4" i="11"/>
  <c r="I4" i="11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EK4" i="12"/>
  <c r="BY4" i="12"/>
  <c r="M4" i="12"/>
  <c r="CY5" i="11"/>
  <c r="AM5" i="11"/>
  <c r="DY4" i="11"/>
  <c r="BM4" i="11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EC4" i="12"/>
  <c r="BQ4" i="12"/>
  <c r="E4" i="12"/>
  <c r="CQ5" i="11"/>
  <c r="AE5" i="11"/>
  <c r="DQ4" i="11"/>
  <c r="BE4" i="11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DU4" i="12"/>
  <c r="BI4" i="12"/>
  <c r="EU5" i="11"/>
  <c r="CI5" i="11"/>
  <c r="W5" i="11"/>
  <c r="DI4" i="11"/>
  <c r="AW4" i="11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DM4" i="12"/>
  <c r="BA4" i="12"/>
  <c r="EM5" i="11"/>
  <c r="CA5" i="11"/>
  <c r="O5" i="11"/>
  <c r="DA4" i="11"/>
  <c r="AO4" i="11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DE4" i="12"/>
  <c r="AS4" i="12"/>
  <c r="EE5" i="11"/>
  <c r="BS5" i="11"/>
  <c r="G5" i="11"/>
  <c r="CS4" i="11"/>
  <c r="AG4" i="11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CW4" i="12"/>
  <c r="AK4" i="12"/>
  <c r="DW5" i="11"/>
  <c r="BK5" i="11"/>
  <c r="EW4" i="11"/>
  <c r="CK4" i="11"/>
  <c r="Y4" i="11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CO4" i="12"/>
  <c r="AC4" i="12"/>
  <c r="DO5" i="11"/>
  <c r="BC5" i="11"/>
  <c r="EO4" i="11"/>
  <c r="CC4" i="11"/>
  <c r="Q4" i="11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S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Q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P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O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M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H845" i="3"/>
  <c r="K844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G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H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D676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C676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L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K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H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G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L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K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I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H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G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D337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C337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K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H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G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F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E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D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3" i="1"/>
  <c r="J872" i="1"/>
  <c r="B872" i="1"/>
  <c r="F871" i="1"/>
  <c r="J870" i="1"/>
  <c r="B870" i="1"/>
  <c r="F869" i="1"/>
  <c r="J868" i="1"/>
  <c r="B868" i="1"/>
  <c r="F867" i="1"/>
  <c r="J866" i="1"/>
  <c r="B866" i="1"/>
  <c r="C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B166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L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3" i="1"/>
  <c r="C873" i="1"/>
  <c r="G872" i="1"/>
  <c r="K871" i="1"/>
  <c r="C871" i="1"/>
  <c r="G870" i="1"/>
  <c r="K869" i="1"/>
  <c r="C869" i="1"/>
  <c r="G868" i="1"/>
  <c r="K867" i="1"/>
  <c r="C867" i="1"/>
  <c r="G866" i="1"/>
  <c r="K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J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3" i="1"/>
  <c r="L872" i="1"/>
  <c r="D872" i="1"/>
  <c r="H871" i="1"/>
  <c r="L870" i="1"/>
  <c r="D870" i="1"/>
  <c r="H869" i="1"/>
  <c r="L868" i="1"/>
  <c r="D868" i="1"/>
  <c r="H867" i="1"/>
  <c r="L866" i="1"/>
  <c r="D866" i="1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3" i="1"/>
  <c r="K872" i="1"/>
  <c r="C872" i="1"/>
  <c r="G871" i="1"/>
  <c r="K870" i="1"/>
  <c r="C870" i="1"/>
  <c r="G869" i="1"/>
  <c r="K868" i="1"/>
  <c r="C868" i="1"/>
  <c r="G867" i="1"/>
  <c r="K866" i="1"/>
  <c r="C866" i="1"/>
  <c r="K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H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G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F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D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B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C547" i="1"/>
  <c r="L542" i="1"/>
  <c r="G540" i="1"/>
  <c r="D539" i="1"/>
  <c r="D538" i="1"/>
  <c r="E537" i="1"/>
  <c r="G536" i="1"/>
  <c r="H535" i="1"/>
  <c r="I534" i="1"/>
  <c r="K533" i="1"/>
  <c r="L532" i="1"/>
  <c r="A532" i="1"/>
  <c r="C531" i="1"/>
  <c r="D530" i="1"/>
  <c r="E529" i="1"/>
  <c r="G528" i="1"/>
  <c r="H527" i="1"/>
  <c r="I526" i="1"/>
  <c r="K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G546" i="1"/>
  <c r="G542" i="1"/>
  <c r="D540" i="1"/>
  <c r="C539" i="1"/>
  <c r="C538" i="1"/>
  <c r="D537" i="1"/>
  <c r="E536" i="1"/>
  <c r="G535" i="1"/>
  <c r="H534" i="1"/>
  <c r="I533" i="1"/>
  <c r="K532" i="1"/>
  <c r="L531" i="1"/>
  <c r="A531" i="1"/>
  <c r="C530" i="1"/>
  <c r="D529" i="1"/>
  <c r="E528" i="1"/>
  <c r="G527" i="1"/>
  <c r="H526" i="1"/>
  <c r="I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545" i="1"/>
  <c r="D542" i="1"/>
  <c r="C540" i="1"/>
  <c r="L538" i="1"/>
  <c r="A538" i="1"/>
  <c r="C537" i="1"/>
  <c r="D536" i="1"/>
  <c r="E535" i="1"/>
  <c r="G534" i="1"/>
  <c r="H533" i="1"/>
  <c r="I532" i="1"/>
  <c r="K531" i="1"/>
  <c r="L530" i="1"/>
  <c r="A530" i="1"/>
  <c r="C529" i="1"/>
  <c r="D528" i="1"/>
  <c r="E527" i="1"/>
  <c r="G526" i="1"/>
  <c r="H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C545" i="1"/>
  <c r="K541" i="1"/>
  <c r="L539" i="1"/>
  <c r="K538" i="1"/>
  <c r="L537" i="1"/>
  <c r="A537" i="1"/>
  <c r="C536" i="1"/>
  <c r="D535" i="1"/>
  <c r="E534" i="1"/>
  <c r="G533" i="1"/>
  <c r="H532" i="1"/>
  <c r="I531" i="1"/>
  <c r="K530" i="1"/>
  <c r="L529" i="1"/>
  <c r="A529" i="1"/>
  <c r="C528" i="1"/>
  <c r="D527" i="1"/>
  <c r="E526" i="1"/>
  <c r="G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G544" i="1"/>
  <c r="H541" i="1"/>
  <c r="K539" i="1"/>
  <c r="I538" i="1"/>
  <c r="K537" i="1"/>
  <c r="L536" i="1"/>
  <c r="A536" i="1"/>
  <c r="C535" i="1"/>
  <c r="D534" i="1"/>
  <c r="E533" i="1"/>
  <c r="G532" i="1"/>
  <c r="H531" i="1"/>
  <c r="I530" i="1"/>
  <c r="K529" i="1"/>
  <c r="L528" i="1"/>
  <c r="A528" i="1"/>
  <c r="C527" i="1"/>
  <c r="D526" i="1"/>
  <c r="E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K543" i="1"/>
  <c r="C541" i="1"/>
  <c r="H539" i="1"/>
  <c r="H538" i="1"/>
  <c r="I537" i="1"/>
  <c r="K536" i="1"/>
  <c r="L535" i="1"/>
  <c r="A535" i="1"/>
  <c r="C534" i="1"/>
  <c r="D533" i="1"/>
  <c r="E532" i="1"/>
  <c r="G531" i="1"/>
  <c r="H530" i="1"/>
  <c r="I529" i="1"/>
  <c r="K528" i="1"/>
  <c r="L527" i="1"/>
  <c r="A527" i="1"/>
  <c r="C526" i="1"/>
  <c r="D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H543" i="1"/>
  <c r="L540" i="1"/>
  <c r="G539" i="1"/>
  <c r="G538" i="1"/>
  <c r="H537" i="1"/>
  <c r="I536" i="1"/>
  <c r="K535" i="1"/>
  <c r="L534" i="1"/>
  <c r="A534" i="1"/>
  <c r="C533" i="1"/>
  <c r="D532" i="1"/>
  <c r="E531" i="1"/>
  <c r="G530" i="1"/>
  <c r="H529" i="1"/>
  <c r="I528" i="1"/>
  <c r="K527" i="1"/>
  <c r="L526" i="1"/>
  <c r="A526" i="1"/>
  <c r="C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C543" i="1"/>
  <c r="H540" i="1"/>
  <c r="E539" i="1"/>
  <c r="E538" i="1"/>
  <c r="G537" i="1"/>
  <c r="H536" i="1"/>
  <c r="I535" i="1"/>
  <c r="K534" i="1"/>
  <c r="L533" i="1"/>
  <c r="A533" i="1"/>
  <c r="C532" i="1"/>
  <c r="D531" i="1"/>
  <c r="E530" i="1"/>
  <c r="G529" i="1"/>
  <c r="H528" i="1"/>
  <c r="I527" i="1"/>
  <c r="K526" i="1"/>
  <c r="L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K202" i="1"/>
  <c r="C199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C202" i="1"/>
  <c r="K198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4" i="1"/>
  <c r="E5" i="1"/>
  <c r="G201" i="1"/>
  <c r="G198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B4" i="1"/>
  <c r="K200" i="1"/>
  <c r="C198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A4" i="1"/>
  <c r="G200" i="1"/>
  <c r="K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I4" i="1"/>
  <c r="C200" i="1"/>
  <c r="G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4" i="1"/>
  <c r="E4" i="1"/>
  <c r="K199" i="1"/>
  <c r="E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F4" i="1"/>
  <c r="G199" i="1"/>
  <c r="C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J2" i="37" l="1"/>
  <c r="J2" i="40"/>
  <c r="J2" i="38"/>
  <c r="J2" i="39"/>
  <c r="J2" i="36"/>
  <c r="J2" i="34"/>
  <c r="J2" i="35"/>
  <c r="J2" i="32"/>
  <c r="J2" i="33"/>
  <c r="J2" i="31"/>
  <c r="J2" i="29"/>
  <c r="J2" i="30"/>
  <c r="J2" i="28"/>
  <c r="J2" i="27"/>
  <c r="J2" i="25"/>
  <c r="J2" i="26"/>
  <c r="J2" i="24"/>
  <c r="J2" i="22"/>
  <c r="J2" i="23"/>
  <c r="J2" i="21"/>
  <c r="J2" i="19"/>
  <c r="J2" i="20"/>
  <c r="J2" i="18"/>
  <c r="J2" i="17"/>
  <c r="J2" i="15"/>
  <c r="J2" i="13"/>
  <c r="J2" i="16"/>
  <c r="J2" i="14"/>
  <c r="J2" i="12"/>
  <c r="J2" i="11"/>
  <c r="J2" i="9"/>
  <c r="J2" i="7"/>
  <c r="J2" i="5"/>
  <c r="J2" i="10"/>
  <c r="J2" i="8"/>
  <c r="J2" i="6"/>
  <c r="J2" i="4"/>
</calcChain>
</file>

<file path=xl/sharedStrings.xml><?xml version="1.0" encoding="utf-8"?>
<sst xmlns="http://schemas.openxmlformats.org/spreadsheetml/2006/main" count="1210" uniqueCount="78">
  <si>
    <t>Master Data Info</t>
  </si>
  <si>
    <t>Modules Info</t>
  </si>
  <si>
    <t>Settings</t>
  </si>
  <si>
    <t>Modules</t>
  </si>
  <si>
    <t>Module</t>
  </si>
  <si>
    <t>Module Step Setting File</t>
  </si>
  <si>
    <t>Step</t>
  </si>
  <si>
    <t>1BICZ_GcMhh_S937ZinFvSYqvvKYtOYB2Bc4woEPpgPg</t>
  </si>
  <si>
    <t>Master Data Sheet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</si>
  <si>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</si>
  <si>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</si>
  <si>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</si>
  <si>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</si>
  <si>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</si>
  <si>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</si>
  <si>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</si>
  <si>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</si>
  <si>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</si>
  <si>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</si>
  <si>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</si>
  <si>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</si>
  <si>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</si>
  <si>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</si>
  <si>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</si>
  <si>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</si>
  <si>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Buy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</si>
  <si>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</si>
  <si>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</si>
  <si>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</si>
  <si>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</si>
  <si>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</si>
  <si>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</si>
  <si>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</si>
  <si>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</si>
  <si>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</si>
  <si>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</si>
  <si>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</si>
  <si>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</si>
  <si>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</si>
  <si>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</si>
  <si>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</si>
  <si>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</si>
  <si>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</si>
  <si>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</si>
  <si>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</si>
  <si>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</si>
  <si>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</si>
  <si>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</si>
  <si>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</si>
  <si>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</si>
  <si>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</si>
  <si>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Trading</t>
  </si>
  <si>
    <t>Investment - Long Equity [Asset]</t>
  </si>
  <si>
    <t>GetActivityData</t>
  </si>
  <si>
    <t>VerifyActivity</t>
  </si>
  <si>
    <t>EquityLongUnRealizedPNL</t>
  </si>
  <si>
    <t>NonTrading</t>
  </si>
  <si>
    <t>unknown5</t>
  </si>
  <si>
    <t>Manual Journal Entry</t>
  </si>
  <si>
    <t>CashUnRealizedPNL</t>
  </si>
  <si>
    <t>EquityL</t>
  </si>
  <si>
    <t>BrokerNotes</t>
  </si>
  <si>
    <t>CorporateAction</t>
  </si>
  <si>
    <t>OpenSpinOff</t>
  </si>
  <si>
    <t>SpinOff</t>
  </si>
  <si>
    <t>VerifyAndApplyCorpAction</t>
  </si>
  <si>
    <t>LI-EEB</t>
  </si>
  <si>
    <t>Sell</t>
  </si>
  <si>
    <t>Closing</t>
  </si>
  <si>
    <t>GetDataClosing</t>
  </si>
  <si>
    <t>VerifyLongPositionsGrid</t>
  </si>
  <si>
    <t>Historical</t>
  </si>
  <si>
    <t>Equity</t>
  </si>
  <si>
    <t>EU</t>
  </si>
  <si>
    <t>Allocation</t>
  </si>
  <si>
    <t>GetDataAllocation</t>
  </si>
  <si>
    <t>CheckAllocatedGroups</t>
  </si>
  <si>
    <t>CAStockSpinoff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</si>
</sst>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4" fillId="0" borderId="5" xfId="0" applyFont="1" applyBorder="1" applyAlignment="1"/>
    <xf numFmtId="0" fontId="4" fillId="0" borderId="5" xfId="0" applyFont="1" applyBorder="1" applyAlignment="1"/>
    <xf numFmtId="14" fontId="5" fillId="0" borderId="5" xfId="0" applyNumberFormat="1" applyFont="1" applyBorder="1" applyAlignment="1">
      <alignment horizontal="right"/>
    </xf>
    <xf numFmtId="0" fontId="4" fillId="0" borderId="5" xfId="0" applyFont="1" applyBorder="1" applyAlignment="1"/>
    <xf numFmtId="0" fontId="4" fillId="0" borderId="0" xfId="0" applyFont="1" applyAlignment="1"/>
    <xf numFmtId="0" fontId="5" fillId="0" borderId="5" xfId="0" applyFont="1" applyBorder="1" applyAlignment="1">
      <alignment horizontal="right"/>
    </xf>
    <xf numFmtId="0" fontId="4" fillId="0" borderId="2" xfId="0" applyFont="1" applyBorder="1" applyAlignment="1"/>
    <xf numFmtId="14" fontId="5" fillId="0" borderId="0" xfId="0" applyNumberFormat="1" applyFont="1" applyAlignment="1">
      <alignment horizontal="right"/>
    </xf>
    <xf numFmtId="0" fontId="4" fillId="0" borderId="0" xfId="0" applyFont="1" applyAlignment="1"/>
    <xf numFmtId="0" fontId="4" fillId="0" borderId="6" xfId="0" applyFont="1" applyBorder="1" applyAlignment="1"/>
    <xf numFmtId="0" fontId="5" fillId="0" borderId="0" xfId="0" applyFont="1" applyAlignment="1">
      <alignment horizontal="right"/>
    </xf>
    <xf numFmtId="0" fontId="2" fillId="0" borderId="0" xfId="0" applyFont="1" applyAlignment="1"/>
    <xf numFmtId="0" fontId="4" fillId="0" borderId="5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14" fontId="2" fillId="0" borderId="0" xfId="0" applyNumberFormat="1" applyFont="1" applyAlignment="1"/>
    <xf numFmtId="14" fontId="5" fillId="0" borderId="0" xfId="0" applyNumberFormat="1" applyFont="1" applyAlignment="1"/>
    <xf numFmtId="14" fontId="2" fillId="0" borderId="0" xfId="0" applyNumberFormat="1" applyFont="1"/>
    <xf numFmtId="14" fontId="4" fillId="0" borderId="5" xfId="0" applyNumberFormat="1" applyFont="1" applyBorder="1" applyAlignme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5" fillId="0" borderId="0" xfId="0" applyFont="1" applyAlignment="1"/>
    <xf numFmtId="14" fontId="5" fillId="0" borderId="5" xfId="0" applyNumberFormat="1" applyFont="1" applyBorder="1" applyAlignment="1">
      <alignment horizontal="right"/>
    </xf>
    <xf numFmtId="4" fontId="2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49" t="s">
        <v>1</v>
      </c>
      <c r="B1" s="50"/>
      <c r="C1" s="50"/>
      <c r="D1" s="50"/>
      <c r="E1" s="50"/>
      <c r="F1" s="51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4" t="s">
        <v>3</v>
      </c>
      <c r="B3" s="10"/>
      <c r="C3" s="11"/>
      <c r="D3" s="11"/>
      <c r="E3" s="11"/>
      <c r="F3" s="11"/>
    </row>
    <row r="4" spans="1:12" ht="15.75" customHeight="1" x14ac:dyDescent="0.2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3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52" t="s">
        <v>2</v>
      </c>
      <c r="B1" s="50"/>
      <c r="C1" s="51"/>
    </row>
    <row r="2" spans="1:3" ht="15.75" customHeight="1" x14ac:dyDescent="0.2">
      <c r="A2" s="2"/>
      <c r="B2" s="2"/>
      <c r="C2" s="2"/>
    </row>
    <row r="3" spans="1:3" ht="15.75" customHeight="1" x14ac:dyDescent="0.2">
      <c r="A3" s="4" t="s">
        <v>5</v>
      </c>
      <c r="B3" s="6" t="s">
        <v>7</v>
      </c>
      <c r="C3" s="2"/>
    </row>
    <row r="4" spans="1:3" ht="15.75" customHeight="1" x14ac:dyDescent="0.2">
      <c r="A4" s="3" t="s">
        <v>9</v>
      </c>
      <c r="B4" s="6" t="s">
        <v>10</v>
      </c>
      <c r="C4" s="2"/>
    </row>
    <row r="5" spans="1:3" ht="15.75" customHeight="1" x14ac:dyDescent="0.2">
      <c r="A5" s="8"/>
      <c r="B5" s="2"/>
      <c r="C5" s="2"/>
    </row>
    <row r="6" spans="1:3" ht="15.75" customHeight="1" x14ac:dyDescent="0.2">
      <c r="A6" s="8"/>
      <c r="B6" s="2"/>
      <c r="C6" s="2"/>
    </row>
    <row r="7" spans="1:3" ht="15.75" customHeight="1" x14ac:dyDescent="0.2">
      <c r="A7" s="8"/>
      <c r="B7" s="2"/>
      <c r="C7" s="2"/>
    </row>
    <row r="8" spans="1:3" ht="15.75" customHeight="1" x14ac:dyDescent="0.2">
      <c r="A8" s="8"/>
      <c r="B8" s="2"/>
      <c r="C8" s="2"/>
    </row>
    <row r="9" spans="1:3" ht="15.75" customHeight="1" x14ac:dyDescent="0.2">
      <c r="A9" s="8"/>
      <c r="B9" s="2"/>
      <c r="C9" s="2"/>
    </row>
    <row r="10" spans="1:3" ht="15.75" customHeight="1" x14ac:dyDescent="0.2">
      <c r="A10" s="8"/>
      <c r="B10" s="2"/>
      <c r="C10" s="2"/>
    </row>
    <row r="11" spans="1:3" ht="15.75" customHeight="1" x14ac:dyDescent="0.2">
      <c r="A11" s="8"/>
      <c r="B11" s="2"/>
      <c r="C11" s="2"/>
    </row>
    <row r="12" spans="1:3" ht="15.75" customHeight="1" x14ac:dyDescent="0.2">
      <c r="A12" s="8"/>
      <c r="B12" s="2"/>
      <c r="C12" s="2"/>
    </row>
    <row r="13" spans="1:3" ht="15.75" customHeight="1" x14ac:dyDescent="0.2">
      <c r="A13" s="8"/>
      <c r="B13" s="2"/>
      <c r="C13" s="2"/>
    </row>
    <row r="14" spans="1:3" ht="15.75" customHeight="1" x14ac:dyDescent="0.2">
      <c r="A14" s="8"/>
      <c r="B14" s="2"/>
      <c r="C14" s="2"/>
    </row>
    <row r="15" spans="1:3" ht="15.75" customHeight="1" x14ac:dyDescent="0.2">
      <c r="A15" s="8"/>
      <c r="B15" s="2"/>
      <c r="C15" s="2"/>
    </row>
    <row r="16" spans="1:3" ht="15.75" customHeight="1" x14ac:dyDescent="0.2">
      <c r="A16" s="8"/>
      <c r="B16" s="2"/>
      <c r="C16" s="2"/>
    </row>
    <row r="17" spans="1:3" ht="15.75" customHeight="1" x14ac:dyDescent="0.2">
      <c r="A17" s="8"/>
      <c r="B17" s="2"/>
      <c r="C17" s="2"/>
    </row>
    <row r="18" spans="1:3" ht="15.75" customHeight="1" x14ac:dyDescent="0.2">
      <c r="A18" s="8"/>
      <c r="B18" s="2"/>
      <c r="C18" s="2"/>
    </row>
    <row r="19" spans="1:3" ht="15.75" customHeight="1" x14ac:dyDescent="0.2">
      <c r="A19" s="8"/>
      <c r="B19" s="2"/>
      <c r="C19" s="2"/>
    </row>
    <row r="20" spans="1:3" ht="15.75" customHeight="1" x14ac:dyDescent="0.2">
      <c r="A20" s="8"/>
      <c r="B20" s="2"/>
      <c r="C20" s="2"/>
    </row>
    <row r="21" spans="1:3" ht="15.75" customHeight="1" x14ac:dyDescent="0.2">
      <c r="A21" s="8"/>
      <c r="B21" s="2"/>
      <c r="C21" s="2"/>
    </row>
    <row r="22" spans="1:3" ht="15.75" customHeight="1" x14ac:dyDescent="0.2">
      <c r="A22" s="8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9" t="s">
        <v>0</v>
      </c>
      <c r="B1" s="50"/>
      <c r="C1" s="50"/>
      <c r="D1" s="50"/>
      <c r="E1" s="50"/>
      <c r="F1" s="5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3" t="s">
        <v>4</v>
      </c>
      <c r="B3" s="5" t="s">
        <v>6</v>
      </c>
      <c r="C3" s="5" t="s">
        <v>8</v>
      </c>
      <c r="D3" s="7"/>
      <c r="E3" s="7"/>
      <c r="F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2.75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2.75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2.75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2.75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2.75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2.75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2.75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2.75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2.75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13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/>
      <c r="C6" s="26" t="s">
        <v>16</v>
      </c>
      <c r="D6" s="27">
        <v>43871</v>
      </c>
      <c r="E6" s="27">
        <v>43875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17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IFERROR(__xludf.DUMMYFUNCTION("""COMPUTED_VALUE"""),"Date")</f>
        <v>Date</v>
      </c>
      <c r="C5" s="21" t="str">
        <f ca="1">IFERROR(__xludf.DUMMYFUNCTION("""COMPUTED_VALUE"""),"Account")</f>
        <v>Account</v>
      </c>
      <c r="D5" s="21" t="str">
        <f ca="1">IFERROR(__xludf.DUMMYFUNCTION("""COMPUTED_VALUE"""),"Symbol")</f>
        <v>Symbol</v>
      </c>
      <c r="E5" s="21" t="str">
        <f ca="1">IFERROR(__xludf.DUMMYFUNCTION("""COMPUTED_VALUE"""),"Currency")</f>
        <v>Currency</v>
      </c>
      <c r="F5" s="22" t="str">
        <f ca="1">IFERROR(__xludf.DUMMYFUNCTION("""COMPUTED_VALUE"""),"Cash Sub-Account")</f>
        <v>Cash Sub-Account</v>
      </c>
      <c r="G5" s="21" t="str">
        <f ca="1">IFERROR(__xludf.DUMMYFUNCTION("""COMPUTED_VALUE"""),"Account Side")</f>
        <v>Account Side</v>
      </c>
      <c r="H5" s="21" t="str">
        <f ca="1">IFERROR(__xludf.DUMMYFUNCTION("""COMPUTED_VALUE"""),"DR")</f>
        <v>DR</v>
      </c>
      <c r="I5" s="21" t="str">
        <f ca="1">IFERROR(__xludf.DUMMYFUNCTION("""COMPUTED_VALUE"""),"CR")</f>
        <v>CR</v>
      </c>
      <c r="J5" s="21" t="str">
        <f ca="1">IFERROR(__xludf.DUMMYFUNCTION("""COMPUTED_VALUE"""),"Fx Rate")</f>
        <v>Fx Rate</v>
      </c>
      <c r="K5" s="21" t="str">
        <f ca="1">IFERROR(__xludf.DUMMYFUNCTION("""COMPUTED_VALUE"""),"FX Conversion Method Operator")</f>
        <v>FX Conversion Method Operator</v>
      </c>
      <c r="L5" s="21" t="str">
        <f ca="1">IFERROR(__xludf.DUMMYFUNCTION("""COMPUTED_VALUE"""),"Description")</f>
        <v>Description</v>
      </c>
      <c r="M5" s="21" t="str">
        <f ca="1">IFERROR(__xludf.DUMMYFUNCTION("""COMPUTED_VALUE"""),"Modify Date")</f>
        <v>Modify Date</v>
      </c>
      <c r="N5" s="21" t="str">
        <f ca="1">IFERROR(__xludf.DUMMYFUNCTION("""COMPUTED_VALUE"""),"Entry Date")</f>
        <v>Entry Date</v>
      </c>
      <c r="O5" s="21" t="str">
        <f ca="1">IFERROR(__xludf.DUMMYFUNCTION("""COMPUTED_VALUE"""),"User")</f>
        <v>User</v>
      </c>
      <c r="P5" s="21" t="str">
        <f ca="1">IFERROR(__xludf.DUMMYFUNCTION("""COMPUTED_VALUE"""),"TransactionSource")</f>
        <v>TransactionSource</v>
      </c>
      <c r="Q5" s="21" t="str">
        <f ca="1">IFERROR(__xludf.DUMMYFUNCTION("""COMPUTED_VALUE"""),"Base Currency")</f>
        <v>Base Currency</v>
      </c>
      <c r="R5" s="21" t="str">
        <f ca="1">IFERROR(__xludf.DUMMYFUNCTION("""COMPUTED_VALUE"""),"DR (Base)")</f>
        <v>DR (Base)</v>
      </c>
      <c r="S5" s="21" t="str">
        <f ca="1">IFERROR(__xludf.DUMMYFUNCTION("""COMPUTED_VALUE"""),"CR (Base)")</f>
        <v>CR (Base)</v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7">
        <v>43871</v>
      </c>
      <c r="C6" s="26" t="s">
        <v>16</v>
      </c>
      <c r="D6" s="25"/>
      <c r="E6" s="26" t="s">
        <v>18</v>
      </c>
      <c r="F6" s="26" t="s">
        <v>19</v>
      </c>
      <c r="G6" s="28"/>
      <c r="H6" s="30">
        <v>500000</v>
      </c>
      <c r="I6" s="28"/>
      <c r="J6" s="30">
        <v>1</v>
      </c>
      <c r="K6" s="26" t="s">
        <v>20</v>
      </c>
      <c r="L6" s="28"/>
      <c r="M6" s="28"/>
      <c r="N6" s="28"/>
      <c r="O6" s="28"/>
      <c r="P6" s="28"/>
      <c r="Q6" s="28"/>
      <c r="R6" s="30">
        <v>500000</v>
      </c>
      <c r="S6" s="31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9"/>
      <c r="B7" s="32">
        <v>43871</v>
      </c>
      <c r="C7" s="33" t="s">
        <v>16</v>
      </c>
      <c r="D7" s="29"/>
      <c r="E7" s="33" t="s">
        <v>18</v>
      </c>
      <c r="F7" s="34" t="s">
        <v>21</v>
      </c>
      <c r="G7" s="29"/>
      <c r="H7" s="29"/>
      <c r="I7" s="35">
        <v>500000</v>
      </c>
      <c r="J7" s="35">
        <v>1</v>
      </c>
      <c r="K7" s="33" t="s">
        <v>20</v>
      </c>
      <c r="L7" s="29"/>
      <c r="M7" s="29"/>
      <c r="N7" s="29"/>
      <c r="O7" s="29"/>
      <c r="P7" s="29"/>
      <c r="Q7" s="29"/>
      <c r="R7" s="29"/>
      <c r="S7" s="35">
        <v>500000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22</v>
      </c>
      <c r="D3" s="4" t="s">
        <v>6</v>
      </c>
      <c r="E3" s="16" t="s">
        <v>23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6" t="s">
        <v>24</v>
      </c>
      <c r="C6" s="26" t="s">
        <v>25</v>
      </c>
      <c r="D6" s="30">
        <v>105</v>
      </c>
      <c r="E6" s="30">
        <v>105</v>
      </c>
      <c r="F6" s="28"/>
      <c r="G6" s="26" t="s">
        <v>26</v>
      </c>
      <c r="H6" s="28"/>
      <c r="I6" s="28"/>
      <c r="J6" s="30">
        <v>70</v>
      </c>
      <c r="K6" s="28"/>
      <c r="L6" s="28"/>
      <c r="M6" s="28"/>
      <c r="N6" s="27">
        <v>43871</v>
      </c>
      <c r="O6" s="26">
        <v>1.1000000000000001</v>
      </c>
      <c r="P6" s="28"/>
      <c r="Q6" s="28"/>
      <c r="R6" s="26" t="s">
        <v>27</v>
      </c>
      <c r="S6" s="37">
        <v>2.5</v>
      </c>
      <c r="T6" s="33" t="s">
        <v>27</v>
      </c>
      <c r="U6" s="38">
        <v>7.5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33" t="s">
        <v>28</v>
      </c>
      <c r="AG6" s="29"/>
      <c r="AH6" s="29"/>
      <c r="AI6" s="29"/>
      <c r="AJ6" s="29"/>
      <c r="AK6" s="33" t="s">
        <v>16</v>
      </c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30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7">
        <v>43871</v>
      </c>
      <c r="C6" s="27">
        <v>43871</v>
      </c>
      <c r="D6" s="25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31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28</v>
      </c>
      <c r="C6" s="6" t="s">
        <v>18</v>
      </c>
      <c r="D6" s="6"/>
      <c r="E6" s="6">
        <v>1.5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32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7">
        <v>43871</v>
      </c>
      <c r="C6" s="27">
        <v>43871</v>
      </c>
      <c r="D6" s="25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6" t="s">
        <v>24</v>
      </c>
      <c r="C6" s="30">
        <v>75</v>
      </c>
      <c r="D6" s="25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34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/>
      <c r="C6" s="26" t="s">
        <v>16</v>
      </c>
      <c r="D6" s="27">
        <v>43871</v>
      </c>
      <c r="E6" s="27">
        <v>43871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35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IFERROR(__xludf.DUMMYFUNCTION("""COMPUTED_VALUE"""),"Balances as on date")</f>
        <v>Balances as on date</v>
      </c>
      <c r="E5" s="21" t="str">
        <f ca="1">IFERROR(__xludf.DUMMYFUNCTION("""COMPUTED_VALUE"""),"IsRunRevalOnGetAccountBalances")</f>
        <v>IsRunRevalOnGetAccountBalances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/>
      <c r="C6" s="26" t="s">
        <v>16</v>
      </c>
      <c r="D6" s="27">
        <v>43871</v>
      </c>
      <c r="E6" s="39" t="b">
        <v>1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30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7">
        <v>43872</v>
      </c>
      <c r="C6" s="27">
        <v>43872</v>
      </c>
      <c r="D6" s="25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31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28</v>
      </c>
      <c r="C6" s="6" t="s">
        <v>18</v>
      </c>
      <c r="D6" s="6"/>
      <c r="E6" s="6">
        <v>2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32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7">
        <v>43872</v>
      </c>
      <c r="C6" s="27">
        <v>43872</v>
      </c>
      <c r="D6" s="25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6" t="s">
        <v>24</v>
      </c>
      <c r="C6" s="30">
        <v>75</v>
      </c>
      <c r="D6" s="25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34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/>
      <c r="C6" s="26" t="s">
        <v>16</v>
      </c>
      <c r="D6" s="27">
        <v>43872</v>
      </c>
      <c r="E6" s="27">
        <v>43872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35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IFERROR(__xludf.DUMMYFUNCTION("""COMPUTED_VALUE"""),"Balances as on date")</f>
        <v>Balances as on date</v>
      </c>
      <c r="E5" s="21" t="str">
        <f ca="1">IFERROR(__xludf.DUMMYFUNCTION("""COMPUTED_VALUE"""),"IsRunRevalOnGetAccountBalances")</f>
        <v>IsRunRevalOnGetAccountBalances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/>
      <c r="C6" s="26" t="s">
        <v>16</v>
      </c>
      <c r="D6" s="27">
        <v>43872</v>
      </c>
      <c r="E6" s="39" t="b">
        <v>1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36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/>
      <c r="C6" s="26" t="s">
        <v>16</v>
      </c>
      <c r="D6" s="27">
        <v>43871</v>
      </c>
      <c r="E6" s="27">
        <v>43872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6" width="37.140625" customWidth="1"/>
    <col min="7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37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IFERROR(__xludf.DUMMYFUNCTION("""COMPUTED_VALUE"""),"Date")</f>
        <v>Date</v>
      </c>
      <c r="C5" s="21" t="str">
        <f ca="1">IFERROR(__xludf.DUMMYFUNCTION("""COMPUTED_VALUE"""),"Account")</f>
        <v>Account</v>
      </c>
      <c r="D5" s="21" t="str">
        <f ca="1">IFERROR(__xludf.DUMMYFUNCTION("""COMPUTED_VALUE"""),"Symbol")</f>
        <v>Symbol</v>
      </c>
      <c r="E5" s="21" t="str">
        <f ca="1">IFERROR(__xludf.DUMMYFUNCTION("""COMPUTED_VALUE"""),"Currency")</f>
        <v>Currency</v>
      </c>
      <c r="F5" s="22" t="str">
        <f ca="1">IFERROR(__xludf.DUMMYFUNCTION("""COMPUTED_VALUE"""),"Cash Sub-Account")</f>
        <v>Cash Sub-Account</v>
      </c>
      <c r="G5" s="21" t="str">
        <f ca="1">IFERROR(__xludf.DUMMYFUNCTION("""COMPUTED_VALUE"""),"DR")</f>
        <v>DR</v>
      </c>
      <c r="H5" s="21" t="str">
        <f ca="1">IFERROR(__xludf.DUMMYFUNCTION("""COMPUTED_VALUE"""),"CR")</f>
        <v>CR</v>
      </c>
      <c r="I5" s="21" t="str">
        <f ca="1">IFERROR(__xludf.DUMMYFUNCTION("""COMPUTED_VALUE"""),"Modify Date")</f>
        <v>Modify Date</v>
      </c>
      <c r="J5" s="21" t="str">
        <f ca="1">IFERROR(__xludf.DUMMYFUNCTION("""COMPUTED_VALUE"""),"Entry Date")</f>
        <v>Entry Date</v>
      </c>
      <c r="K5" s="21" t="str">
        <f ca="1">IFERROR(__xludf.DUMMYFUNCTION("""COMPUTED_VALUE"""),"User")</f>
        <v>User</v>
      </c>
      <c r="L5" s="21" t="str">
        <f ca="1">IFERROR(__xludf.DUMMYFUNCTION("""COMPUTED_VALUE"""),"Fx Rate")</f>
        <v>Fx Rate</v>
      </c>
      <c r="M5" s="21" t="str">
        <f ca="1">IFERROR(__xludf.DUMMYFUNCTION("""COMPUTED_VALUE"""),"FX Conversion Method Operator")</f>
        <v>FX Conversion Method Operator</v>
      </c>
      <c r="N5" s="21" t="str">
        <f ca="1">IFERROR(__xludf.DUMMYFUNCTION("""COMPUTED_VALUE"""),"Account Side")</f>
        <v>Account Side</v>
      </c>
      <c r="O5" s="21" t="str">
        <f ca="1">IFERROR(__xludf.DUMMYFUNCTION("""COMPUTED_VALUE"""),"TransactionSource")</f>
        <v>TransactionSource</v>
      </c>
      <c r="P5" s="21" t="str">
        <f ca="1">IFERROR(__xludf.DUMMYFUNCTION("""COMPUTED_VALUE"""),"Base Currency")</f>
        <v>Base Currency</v>
      </c>
      <c r="Q5" s="21" t="str">
        <f ca="1">IFERROR(__xludf.DUMMYFUNCTION("""COMPUTED_VALUE"""),"Description")</f>
        <v>Description</v>
      </c>
      <c r="R5" s="21" t="str">
        <f ca="1">IFERROR(__xludf.DUMMYFUNCTION("""COMPUTED_VALUE"""),"DR (Base)")</f>
        <v>DR (Base)</v>
      </c>
      <c r="S5" s="21" t="str">
        <f ca="1">IFERROR(__xludf.DUMMYFUNCTION("""COMPUTED_VALUE"""),"CR (Base)")</f>
        <v>CR (Base)</v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40">
        <v>43871</v>
      </c>
      <c r="C6" s="36" t="s">
        <v>16</v>
      </c>
      <c r="D6" s="36" t="s">
        <v>24</v>
      </c>
      <c r="E6" s="36" t="s">
        <v>28</v>
      </c>
      <c r="F6" s="36" t="s">
        <v>39</v>
      </c>
      <c r="G6" s="36">
        <v>515</v>
      </c>
      <c r="H6" s="36">
        <v>0</v>
      </c>
      <c r="I6" s="2"/>
      <c r="J6" s="2"/>
      <c r="K6" s="2"/>
      <c r="L6" s="36">
        <v>1.5</v>
      </c>
      <c r="M6" s="36" t="s">
        <v>20</v>
      </c>
      <c r="N6" s="36" t="s">
        <v>40</v>
      </c>
      <c r="O6" s="36" t="s">
        <v>41</v>
      </c>
      <c r="P6" s="36" t="s">
        <v>18</v>
      </c>
      <c r="Q6" s="36" t="s">
        <v>42</v>
      </c>
      <c r="R6" s="36">
        <v>772.5</v>
      </c>
      <c r="S6" s="36">
        <v>0</v>
      </c>
    </row>
    <row r="7" spans="1:154" ht="15.75" customHeight="1" x14ac:dyDescent="0.2">
      <c r="A7" s="2"/>
      <c r="B7" s="40">
        <v>43871</v>
      </c>
      <c r="C7" s="36" t="s">
        <v>16</v>
      </c>
      <c r="D7" s="36" t="s">
        <v>24</v>
      </c>
      <c r="E7" s="36" t="s">
        <v>28</v>
      </c>
      <c r="F7" s="36" t="s">
        <v>43</v>
      </c>
      <c r="G7" s="36">
        <v>0</v>
      </c>
      <c r="H7" s="36">
        <v>515</v>
      </c>
      <c r="I7" s="2"/>
      <c r="J7" s="2"/>
      <c r="K7" s="2"/>
      <c r="L7" s="36">
        <v>1.5</v>
      </c>
      <c r="M7" s="36" t="s">
        <v>20</v>
      </c>
      <c r="N7" s="36" t="s">
        <v>44</v>
      </c>
      <c r="O7" s="36" t="s">
        <v>41</v>
      </c>
      <c r="P7" s="36" t="s">
        <v>18</v>
      </c>
      <c r="Q7" s="36" t="s">
        <v>42</v>
      </c>
      <c r="R7" s="36">
        <v>0</v>
      </c>
      <c r="S7" s="36">
        <v>772.5</v>
      </c>
    </row>
    <row r="8" spans="1:154" ht="15.75" customHeight="1" x14ac:dyDescent="0.2">
      <c r="A8" s="2"/>
      <c r="B8" s="40">
        <v>43871</v>
      </c>
      <c r="C8" s="36" t="s">
        <v>16</v>
      </c>
      <c r="D8" s="36" t="s">
        <v>28</v>
      </c>
      <c r="E8" s="36" t="s">
        <v>18</v>
      </c>
      <c r="F8" s="36" t="s">
        <v>39</v>
      </c>
      <c r="G8" s="36">
        <v>2944</v>
      </c>
      <c r="H8" s="36">
        <v>0</v>
      </c>
      <c r="I8" s="2"/>
      <c r="J8" s="2"/>
      <c r="K8" s="2"/>
      <c r="L8" s="36">
        <v>1</v>
      </c>
      <c r="M8" s="36" t="s">
        <v>20</v>
      </c>
      <c r="N8" s="36" t="s">
        <v>40</v>
      </c>
      <c r="O8" s="36" t="s">
        <v>41</v>
      </c>
      <c r="P8" s="36" t="s">
        <v>18</v>
      </c>
      <c r="Q8" s="36" t="s">
        <v>42</v>
      </c>
      <c r="R8" s="36">
        <v>2944</v>
      </c>
      <c r="S8" s="36">
        <v>0</v>
      </c>
    </row>
    <row r="9" spans="1:154" ht="15.75" customHeight="1" x14ac:dyDescent="0.2">
      <c r="A9" s="2"/>
      <c r="B9" s="40">
        <v>43871</v>
      </c>
      <c r="C9" s="36" t="s">
        <v>16</v>
      </c>
      <c r="D9" s="36" t="s">
        <v>28</v>
      </c>
      <c r="E9" s="36" t="s">
        <v>18</v>
      </c>
      <c r="F9" s="36" t="s">
        <v>43</v>
      </c>
      <c r="G9" s="36">
        <v>0</v>
      </c>
      <c r="H9" s="36">
        <v>2944</v>
      </c>
      <c r="I9" s="2"/>
      <c r="J9" s="2"/>
      <c r="K9" s="2"/>
      <c r="L9" s="36">
        <v>1</v>
      </c>
      <c r="M9" s="36" t="s">
        <v>20</v>
      </c>
      <c r="N9" s="36" t="s">
        <v>44</v>
      </c>
      <c r="O9" s="36" t="s">
        <v>41</v>
      </c>
      <c r="P9" s="36" t="s">
        <v>18</v>
      </c>
      <c r="Q9" s="36" t="s">
        <v>42</v>
      </c>
      <c r="R9" s="36">
        <v>0</v>
      </c>
      <c r="S9" s="36">
        <v>2944</v>
      </c>
    </row>
    <row r="10" spans="1:154" ht="15.75" customHeight="1" x14ac:dyDescent="0.2">
      <c r="A10" s="2"/>
      <c r="B10" s="40">
        <v>43872</v>
      </c>
      <c r="C10" s="36" t="s">
        <v>16</v>
      </c>
      <c r="D10" s="36" t="s">
        <v>24</v>
      </c>
      <c r="E10" s="36" t="s">
        <v>28</v>
      </c>
      <c r="F10" s="36" t="s">
        <v>39</v>
      </c>
      <c r="G10" s="36">
        <v>515</v>
      </c>
      <c r="H10" s="36">
        <v>0</v>
      </c>
      <c r="I10" s="2"/>
      <c r="J10" s="2"/>
      <c r="K10" s="2"/>
      <c r="L10" s="36">
        <v>2</v>
      </c>
      <c r="M10" s="36" t="s">
        <v>20</v>
      </c>
      <c r="N10" s="36" t="s">
        <v>40</v>
      </c>
      <c r="O10" s="36" t="s">
        <v>41</v>
      </c>
      <c r="P10" s="36" t="s">
        <v>18</v>
      </c>
      <c r="Q10" s="36" t="s">
        <v>42</v>
      </c>
      <c r="R10" s="36">
        <v>1030</v>
      </c>
      <c r="S10" s="36">
        <v>0</v>
      </c>
    </row>
    <row r="11" spans="1:154" ht="15.75" customHeight="1" x14ac:dyDescent="0.2">
      <c r="A11" s="2"/>
      <c r="B11" s="40">
        <v>43872</v>
      </c>
      <c r="C11" s="36" t="s">
        <v>16</v>
      </c>
      <c r="D11" s="36" t="s">
        <v>24</v>
      </c>
      <c r="E11" s="36" t="s">
        <v>28</v>
      </c>
      <c r="F11" s="36" t="s">
        <v>43</v>
      </c>
      <c r="G11" s="36">
        <v>0</v>
      </c>
      <c r="H11" s="36">
        <v>515</v>
      </c>
      <c r="I11" s="2"/>
      <c r="J11" s="2"/>
      <c r="K11" s="2"/>
      <c r="L11" s="36">
        <v>2</v>
      </c>
      <c r="M11" s="36" t="s">
        <v>20</v>
      </c>
      <c r="N11" s="36" t="s">
        <v>44</v>
      </c>
      <c r="O11" s="36" t="s">
        <v>41</v>
      </c>
      <c r="P11" s="36" t="s">
        <v>18</v>
      </c>
      <c r="Q11" s="36" t="s">
        <v>42</v>
      </c>
      <c r="R11" s="36">
        <v>0</v>
      </c>
      <c r="S11" s="36">
        <v>1030</v>
      </c>
    </row>
    <row r="12" spans="1:154" ht="15.75" customHeight="1" x14ac:dyDescent="0.2">
      <c r="A12" s="2"/>
      <c r="B12" s="40">
        <v>43872</v>
      </c>
      <c r="C12" s="36" t="s">
        <v>16</v>
      </c>
      <c r="D12" s="36" t="s">
        <v>28</v>
      </c>
      <c r="E12" s="36" t="s">
        <v>18</v>
      </c>
      <c r="F12" s="36" t="s">
        <v>39</v>
      </c>
      <c r="G12" s="36">
        <v>6624</v>
      </c>
      <c r="H12" s="36">
        <v>0</v>
      </c>
      <c r="I12" s="2"/>
      <c r="J12" s="2"/>
      <c r="K12" s="2"/>
      <c r="L12" s="36">
        <v>1</v>
      </c>
      <c r="M12" s="36" t="s">
        <v>20</v>
      </c>
      <c r="N12" s="36" t="s">
        <v>40</v>
      </c>
      <c r="O12" s="36" t="s">
        <v>41</v>
      </c>
      <c r="P12" s="36" t="s">
        <v>18</v>
      </c>
      <c r="Q12" s="36" t="s">
        <v>42</v>
      </c>
      <c r="R12" s="36">
        <v>6624</v>
      </c>
      <c r="S12" s="36">
        <v>0</v>
      </c>
    </row>
    <row r="13" spans="1:154" ht="15.75" customHeight="1" x14ac:dyDescent="0.2">
      <c r="A13" s="2"/>
      <c r="B13" s="40">
        <v>43872</v>
      </c>
      <c r="C13" s="36" t="s">
        <v>16</v>
      </c>
      <c r="D13" s="36" t="s">
        <v>28</v>
      </c>
      <c r="E13" s="36" t="s">
        <v>18</v>
      </c>
      <c r="F13" s="36" t="s">
        <v>43</v>
      </c>
      <c r="G13" s="36">
        <v>0</v>
      </c>
      <c r="H13" s="36">
        <v>6624</v>
      </c>
      <c r="I13" s="2"/>
      <c r="J13" s="2"/>
      <c r="K13" s="2"/>
      <c r="L13" s="36">
        <v>1</v>
      </c>
      <c r="M13" s="36" t="s">
        <v>20</v>
      </c>
      <c r="N13" s="36" t="s">
        <v>44</v>
      </c>
      <c r="O13" s="36" t="s">
        <v>41</v>
      </c>
      <c r="P13" s="36" t="s">
        <v>18</v>
      </c>
      <c r="Q13" s="36" t="s">
        <v>42</v>
      </c>
      <c r="R13" s="36">
        <v>0</v>
      </c>
      <c r="S13" s="36">
        <v>6624</v>
      </c>
    </row>
    <row r="14" spans="1:154" ht="15.75" customHeight="1" x14ac:dyDescent="0.2">
      <c r="A14" s="2"/>
      <c r="B14" s="40">
        <v>43872</v>
      </c>
      <c r="C14" s="36" t="s">
        <v>16</v>
      </c>
      <c r="D14" s="36" t="s">
        <v>24</v>
      </c>
      <c r="E14" s="36" t="s">
        <v>28</v>
      </c>
      <c r="F14" s="36" t="s">
        <v>43</v>
      </c>
      <c r="G14" s="36">
        <v>515</v>
      </c>
      <c r="H14" s="36">
        <v>0</v>
      </c>
      <c r="I14" s="2"/>
      <c r="J14" s="2"/>
      <c r="K14" s="2"/>
      <c r="L14" s="36">
        <v>1.5</v>
      </c>
      <c r="M14" s="36" t="s">
        <v>20</v>
      </c>
      <c r="N14" s="36" t="s">
        <v>40</v>
      </c>
      <c r="O14" s="36" t="s">
        <v>41</v>
      </c>
      <c r="P14" s="36" t="s">
        <v>18</v>
      </c>
      <c r="Q14" s="36" t="s">
        <v>45</v>
      </c>
      <c r="R14" s="36">
        <v>772.5</v>
      </c>
      <c r="S14" s="36">
        <v>0</v>
      </c>
    </row>
    <row r="15" spans="1:154" ht="15.75" customHeight="1" x14ac:dyDescent="0.2">
      <c r="A15" s="2"/>
      <c r="B15" s="40">
        <v>43872</v>
      </c>
      <c r="C15" s="36" t="s">
        <v>16</v>
      </c>
      <c r="D15" s="36" t="s">
        <v>24</v>
      </c>
      <c r="E15" s="36" t="s">
        <v>28</v>
      </c>
      <c r="F15" s="36" t="s">
        <v>39</v>
      </c>
      <c r="G15" s="36">
        <v>0</v>
      </c>
      <c r="H15" s="36">
        <v>515</v>
      </c>
      <c r="I15" s="2"/>
      <c r="J15" s="2"/>
      <c r="K15" s="2"/>
      <c r="L15" s="36">
        <v>1.5</v>
      </c>
      <c r="M15" s="36" t="s">
        <v>20</v>
      </c>
      <c r="N15" s="36" t="s">
        <v>44</v>
      </c>
      <c r="O15" s="36" t="s">
        <v>41</v>
      </c>
      <c r="P15" s="36" t="s">
        <v>18</v>
      </c>
      <c r="Q15" s="36" t="s">
        <v>45</v>
      </c>
      <c r="R15" s="36">
        <v>0</v>
      </c>
      <c r="S15" s="36">
        <v>772.5</v>
      </c>
    </row>
    <row r="16" spans="1:154" ht="15.75" customHeight="1" x14ac:dyDescent="0.2">
      <c r="A16" s="2"/>
      <c r="B16" s="40">
        <v>43872</v>
      </c>
      <c r="C16" s="36" t="s">
        <v>16</v>
      </c>
      <c r="D16" s="36" t="s">
        <v>28</v>
      </c>
      <c r="E16" s="36" t="s">
        <v>18</v>
      </c>
      <c r="F16" s="36" t="s">
        <v>43</v>
      </c>
      <c r="G16" s="36">
        <v>2944</v>
      </c>
      <c r="H16" s="36">
        <v>0</v>
      </c>
      <c r="I16" s="2"/>
      <c r="J16" s="2"/>
      <c r="K16" s="2"/>
      <c r="L16" s="36">
        <v>1</v>
      </c>
      <c r="M16" s="36" t="s">
        <v>20</v>
      </c>
      <c r="N16" s="36" t="s">
        <v>40</v>
      </c>
      <c r="O16" s="36" t="s">
        <v>41</v>
      </c>
      <c r="P16" s="36" t="s">
        <v>18</v>
      </c>
      <c r="Q16" s="36" t="s">
        <v>45</v>
      </c>
      <c r="R16" s="36">
        <v>2944</v>
      </c>
      <c r="S16" s="36">
        <v>0</v>
      </c>
    </row>
    <row r="17" spans="1:19" ht="15.75" customHeight="1" x14ac:dyDescent="0.2">
      <c r="A17" s="2"/>
      <c r="B17" s="40">
        <v>43872</v>
      </c>
      <c r="C17" s="36" t="s">
        <v>16</v>
      </c>
      <c r="D17" s="36" t="s">
        <v>28</v>
      </c>
      <c r="E17" s="36" t="s">
        <v>18</v>
      </c>
      <c r="F17" s="36" t="s">
        <v>39</v>
      </c>
      <c r="G17" s="36">
        <v>0</v>
      </c>
      <c r="H17" s="36">
        <v>2944</v>
      </c>
      <c r="I17" s="2"/>
      <c r="J17" s="2"/>
      <c r="K17" s="2"/>
      <c r="L17" s="36">
        <v>1</v>
      </c>
      <c r="M17" s="36" t="s">
        <v>20</v>
      </c>
      <c r="N17" s="36" t="s">
        <v>44</v>
      </c>
      <c r="O17" s="36" t="s">
        <v>41</v>
      </c>
      <c r="P17" s="36" t="s">
        <v>18</v>
      </c>
      <c r="Q17" s="36" t="s">
        <v>45</v>
      </c>
      <c r="R17" s="36">
        <v>0</v>
      </c>
      <c r="S17" s="36">
        <v>2944</v>
      </c>
    </row>
    <row r="18" spans="1:19" ht="15.75" customHeight="1" x14ac:dyDescent="0.2">
      <c r="A18" s="2"/>
      <c r="B18" s="40">
        <v>43871</v>
      </c>
      <c r="C18" s="36" t="s">
        <v>16</v>
      </c>
      <c r="D18" s="36" t="s">
        <v>24</v>
      </c>
      <c r="E18" s="36" t="s">
        <v>28</v>
      </c>
      <c r="F18" s="36" t="s">
        <v>19</v>
      </c>
      <c r="G18" s="36">
        <v>7360</v>
      </c>
      <c r="H18" s="36">
        <v>0</v>
      </c>
      <c r="I18" s="2"/>
      <c r="J18" s="2"/>
      <c r="K18" s="2"/>
      <c r="L18" s="36">
        <v>1.1000000000000001</v>
      </c>
      <c r="M18" s="36" t="s">
        <v>20</v>
      </c>
      <c r="N18" s="36" t="s">
        <v>40</v>
      </c>
      <c r="O18" s="36" t="s">
        <v>41</v>
      </c>
      <c r="P18" s="36" t="s">
        <v>18</v>
      </c>
      <c r="Q18" s="36" t="s">
        <v>46</v>
      </c>
      <c r="R18" s="36">
        <v>8096</v>
      </c>
      <c r="S18" s="36">
        <v>0</v>
      </c>
    </row>
    <row r="19" spans="1:19" ht="15.75" customHeight="1" x14ac:dyDescent="0.2">
      <c r="A19" s="2"/>
      <c r="B19" s="40">
        <v>43871</v>
      </c>
      <c r="C19" s="36" t="s">
        <v>16</v>
      </c>
      <c r="D19" s="36" t="s">
        <v>24</v>
      </c>
      <c r="E19" s="36" t="s">
        <v>28</v>
      </c>
      <c r="F19" s="36" t="s">
        <v>47</v>
      </c>
      <c r="G19" s="36">
        <v>0</v>
      </c>
      <c r="H19" s="36">
        <v>7360</v>
      </c>
      <c r="I19" s="2"/>
      <c r="J19" s="2"/>
      <c r="K19" s="2"/>
      <c r="L19" s="36">
        <v>1.1000000000000001</v>
      </c>
      <c r="M19" s="36" t="s">
        <v>20</v>
      </c>
      <c r="N19" s="36" t="s">
        <v>44</v>
      </c>
      <c r="O19" s="36" t="s">
        <v>41</v>
      </c>
      <c r="P19" s="36" t="s">
        <v>18</v>
      </c>
      <c r="Q19" s="36" t="s">
        <v>46</v>
      </c>
      <c r="R19" s="36">
        <v>0</v>
      </c>
      <c r="S19" s="36">
        <v>8096</v>
      </c>
    </row>
    <row r="20" spans="1:19" ht="15.75" customHeight="1" x14ac:dyDescent="0.2">
      <c r="A20" s="2"/>
      <c r="B20" s="40">
        <v>43871</v>
      </c>
      <c r="C20" s="36" t="s">
        <v>16</v>
      </c>
      <c r="D20" s="36" t="s">
        <v>24</v>
      </c>
      <c r="E20" s="36" t="s">
        <v>28</v>
      </c>
      <c r="F20" s="36" t="s">
        <v>47</v>
      </c>
      <c r="G20" s="36">
        <v>7360</v>
      </c>
      <c r="H20" s="36">
        <v>0</v>
      </c>
      <c r="I20" s="2"/>
      <c r="J20" s="2"/>
      <c r="K20" s="2"/>
      <c r="L20" s="36">
        <v>1.5</v>
      </c>
      <c r="M20" s="36" t="s">
        <v>20</v>
      </c>
      <c r="N20" s="36" t="s">
        <v>40</v>
      </c>
      <c r="O20" s="36" t="s">
        <v>41</v>
      </c>
      <c r="P20" s="36" t="s">
        <v>18</v>
      </c>
      <c r="Q20" s="36" t="s">
        <v>48</v>
      </c>
      <c r="R20" s="36">
        <v>11040</v>
      </c>
      <c r="S20" s="36">
        <v>0</v>
      </c>
    </row>
    <row r="21" spans="1:19" ht="15.75" customHeight="1" x14ac:dyDescent="0.2">
      <c r="A21" s="2"/>
      <c r="B21" s="40">
        <v>43871</v>
      </c>
      <c r="C21" s="36" t="s">
        <v>16</v>
      </c>
      <c r="D21" s="36" t="s">
        <v>24</v>
      </c>
      <c r="E21" s="36" t="s">
        <v>28</v>
      </c>
      <c r="F21" s="36" t="s">
        <v>19</v>
      </c>
      <c r="G21" s="36">
        <v>0</v>
      </c>
      <c r="H21" s="36">
        <v>7360</v>
      </c>
      <c r="I21" s="2"/>
      <c r="J21" s="2"/>
      <c r="K21" s="2"/>
      <c r="L21" s="36">
        <v>1.5</v>
      </c>
      <c r="M21" s="36" t="s">
        <v>20</v>
      </c>
      <c r="N21" s="36" t="s">
        <v>44</v>
      </c>
      <c r="O21" s="36" t="s">
        <v>41</v>
      </c>
      <c r="P21" s="36" t="s">
        <v>18</v>
      </c>
      <c r="Q21" s="36" t="s">
        <v>48</v>
      </c>
      <c r="R21" s="36">
        <v>0</v>
      </c>
      <c r="S21" s="36">
        <v>11040</v>
      </c>
    </row>
    <row r="22" spans="1:19" ht="15.75" customHeight="1" x14ac:dyDescent="0.2">
      <c r="A22" s="2"/>
      <c r="B22" s="40">
        <v>43872</v>
      </c>
      <c r="C22" s="36" t="s">
        <v>16</v>
      </c>
      <c r="D22" s="36" t="s">
        <v>28</v>
      </c>
      <c r="E22" s="36" t="s">
        <v>28</v>
      </c>
      <c r="F22" s="36" t="s">
        <v>47</v>
      </c>
      <c r="G22" s="36">
        <v>7360</v>
      </c>
      <c r="H22" s="36">
        <v>0</v>
      </c>
      <c r="I22" s="2"/>
      <c r="J22" s="2"/>
      <c r="K22" s="2"/>
      <c r="L22" s="36">
        <v>2</v>
      </c>
      <c r="M22" s="36" t="s">
        <v>20</v>
      </c>
      <c r="N22" s="36" t="s">
        <v>40</v>
      </c>
      <c r="O22" s="36" t="s">
        <v>41</v>
      </c>
      <c r="P22" s="36" t="s">
        <v>18</v>
      </c>
      <c r="Q22" s="36" t="s">
        <v>49</v>
      </c>
      <c r="R22" s="36">
        <v>14720</v>
      </c>
      <c r="S22" s="36">
        <v>0</v>
      </c>
    </row>
    <row r="23" spans="1:19" ht="15.75" customHeight="1" x14ac:dyDescent="0.2">
      <c r="A23" s="2"/>
      <c r="B23" s="40">
        <v>43872</v>
      </c>
      <c r="C23" s="36" t="s">
        <v>16</v>
      </c>
      <c r="D23" s="36" t="s">
        <v>28</v>
      </c>
      <c r="E23" s="36" t="s">
        <v>28</v>
      </c>
      <c r="F23" s="36" t="s">
        <v>19</v>
      </c>
      <c r="G23" s="36">
        <v>0</v>
      </c>
      <c r="H23" s="36">
        <v>7360</v>
      </c>
      <c r="I23" s="2"/>
      <c r="J23" s="2"/>
      <c r="K23" s="2"/>
      <c r="L23" s="36">
        <v>2</v>
      </c>
      <c r="M23" s="36" t="s">
        <v>20</v>
      </c>
      <c r="N23" s="36" t="s">
        <v>44</v>
      </c>
      <c r="O23" s="36" t="s">
        <v>41</v>
      </c>
      <c r="P23" s="36" t="s">
        <v>18</v>
      </c>
      <c r="Q23" s="36" t="s">
        <v>49</v>
      </c>
      <c r="R23" s="36">
        <v>0</v>
      </c>
      <c r="S23" s="36">
        <v>14720</v>
      </c>
    </row>
    <row r="24" spans="1:19" ht="15.75" customHeight="1" x14ac:dyDescent="0.2">
      <c r="A24" s="2"/>
      <c r="B24" s="40">
        <v>43872</v>
      </c>
      <c r="C24" s="36" t="s">
        <v>16</v>
      </c>
      <c r="D24" s="36" t="s">
        <v>28</v>
      </c>
      <c r="E24" s="36" t="s">
        <v>28</v>
      </c>
      <c r="F24" s="36" t="s">
        <v>19</v>
      </c>
      <c r="G24" s="36">
        <v>7360</v>
      </c>
      <c r="H24" s="36">
        <v>0</v>
      </c>
      <c r="I24" s="2"/>
      <c r="J24" s="2"/>
      <c r="K24" s="2"/>
      <c r="L24" s="36">
        <v>1.5</v>
      </c>
      <c r="M24" s="36" t="s">
        <v>20</v>
      </c>
      <c r="N24" s="36" t="s">
        <v>40</v>
      </c>
      <c r="O24" s="36" t="s">
        <v>41</v>
      </c>
      <c r="P24" s="36" t="s">
        <v>18</v>
      </c>
      <c r="Q24" s="36" t="s">
        <v>50</v>
      </c>
      <c r="R24" s="36">
        <v>11040</v>
      </c>
      <c r="S24" s="36">
        <v>0</v>
      </c>
    </row>
    <row r="25" spans="1:19" ht="15.75" customHeight="1" x14ac:dyDescent="0.2">
      <c r="A25" s="2"/>
      <c r="B25" s="40">
        <v>43872</v>
      </c>
      <c r="C25" s="36" t="s">
        <v>16</v>
      </c>
      <c r="D25" s="36" t="s">
        <v>28</v>
      </c>
      <c r="E25" s="36" t="s">
        <v>28</v>
      </c>
      <c r="F25" s="36" t="s">
        <v>47</v>
      </c>
      <c r="G25" s="36">
        <v>0</v>
      </c>
      <c r="H25" s="36">
        <v>7360</v>
      </c>
      <c r="I25" s="2"/>
      <c r="J25" s="2"/>
      <c r="K25" s="2"/>
      <c r="L25" s="36">
        <v>1.5</v>
      </c>
      <c r="M25" s="36" t="s">
        <v>20</v>
      </c>
      <c r="N25" s="36" t="s">
        <v>44</v>
      </c>
      <c r="O25" s="36" t="s">
        <v>41</v>
      </c>
      <c r="P25" s="36" t="s">
        <v>18</v>
      </c>
      <c r="Q25" s="36" t="s">
        <v>50</v>
      </c>
      <c r="R25" s="36">
        <v>0</v>
      </c>
      <c r="S25" s="36">
        <v>11040</v>
      </c>
    </row>
    <row r="26" spans="1:19" ht="15.75" customHeight="1" x14ac:dyDescent="0.2">
      <c r="A26" s="2"/>
      <c r="B26" s="4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9" ht="15.75" customHeight="1" x14ac:dyDescent="0.2">
      <c r="B27" s="42"/>
    </row>
    <row r="28" spans="1:19" ht="15.75" customHeight="1" x14ac:dyDescent="0.2">
      <c r="B28" s="42"/>
    </row>
    <row r="29" spans="1:19" ht="15.75" customHeight="1" x14ac:dyDescent="0.2"/>
    <row r="30" spans="1:19" ht="15.75" customHeight="1" x14ac:dyDescent="0.2"/>
    <row r="31" spans="1:19" ht="15.75" customHeight="1" x14ac:dyDescent="0.2"/>
    <row r="32" spans="1:1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38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IFERROR(__xludf.DUMMYFUNCTION("""COMPUTED_VALUE"""),"Date")</f>
        <v>Date</v>
      </c>
      <c r="C5" s="21" t="str">
        <f ca="1">IFERROR(__xludf.DUMMYFUNCTION("""COMPUTED_VALUE"""),"Modify Date")</f>
        <v>Modify Date</v>
      </c>
      <c r="D5" s="21" t="str">
        <f ca="1">IFERROR(__xludf.DUMMYFUNCTION("""COMPUTED_VALUE"""),"Entry Date")</f>
        <v>Entry Date</v>
      </c>
      <c r="E5" s="21" t="str">
        <f ca="1">IFERROR(__xludf.DUMMYFUNCTION("""COMPUTED_VALUE"""),"DR")</f>
        <v>DR</v>
      </c>
      <c r="F5" s="22" t="str">
        <f ca="1">IFERROR(__xludf.DUMMYFUNCTION("""COMPUTED_VALUE"""),"CR")</f>
        <v>CR</v>
      </c>
      <c r="G5" s="21" t="str">
        <f ca="1">IFERROR(__xludf.DUMMYFUNCTION("""COMPUTED_VALUE"""),"Fx Rate")</f>
        <v>Fx Rate</v>
      </c>
      <c r="H5" s="21" t="str">
        <f ca="1">IFERROR(__xludf.DUMMYFUNCTION("""COMPUTED_VALUE"""),"FX Conversion Method Operator")</f>
        <v>FX Conversion Method Operator</v>
      </c>
      <c r="I5" s="21" t="str">
        <f ca="1">IFERROR(__xludf.DUMMYFUNCTION("""COMPUTED_VALUE"""),"Account Side")</f>
        <v>Account Side</v>
      </c>
      <c r="J5" s="21" t="str">
        <f ca="1">IFERROR(__xludf.DUMMYFUNCTION("""COMPUTED_VALUE"""),"TransactionSource")</f>
        <v>TransactionSource</v>
      </c>
      <c r="K5" s="21" t="str">
        <f ca="1">IFERROR(__xludf.DUMMYFUNCTION("""COMPUTED_VALUE"""),"Currency")</f>
        <v>Currency</v>
      </c>
      <c r="L5" s="21" t="str">
        <f ca="1">IFERROR(__xludf.DUMMYFUNCTION("""COMPUTED_VALUE"""),"Base Currency")</f>
        <v>Base Currency</v>
      </c>
      <c r="M5" s="21" t="str">
        <f ca="1">IFERROR(__xludf.DUMMYFUNCTION("""COMPUTED_VALUE"""),"Symbol")</f>
        <v>Symbol</v>
      </c>
      <c r="N5" s="21" t="str">
        <f ca="1">IFERROR(__xludf.DUMMYFUNCTION("""COMPUTED_VALUE"""),"Description")</f>
        <v>Description</v>
      </c>
      <c r="O5" s="21" t="str">
        <f ca="1">IFERROR(__xludf.DUMMYFUNCTION("""COMPUTED_VALUE"""),"DR (Base)")</f>
        <v>DR (Base)</v>
      </c>
      <c r="P5" s="21" t="str">
        <f ca="1">IFERROR(__xludf.DUMMYFUNCTION("""COMPUTED_VALUE"""),"CR (Base)")</f>
        <v>CR (Base)</v>
      </c>
      <c r="Q5" s="21" t="str">
        <f ca="1">IFERROR(__xludf.DUMMYFUNCTION("""COMPUTED_VALUE"""),"Cash Sub-Account")</f>
        <v>Cash Sub-Account</v>
      </c>
      <c r="R5" s="21" t="str">
        <f ca="1">IFERROR(__xludf.DUMMYFUNCTION("""COMPUTED_VALUE"""),"Account")</f>
        <v>Account</v>
      </c>
      <c r="S5" s="21" t="str">
        <f ca="1">IFERROR(__xludf.DUMMYFUNCTION("""COMPUTED_VALUE"""),"TaxLotId")</f>
        <v>TaxLotId</v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40">
        <v>43871</v>
      </c>
      <c r="C6" s="2"/>
      <c r="D6" s="6"/>
      <c r="E6" s="36">
        <v>7360</v>
      </c>
      <c r="F6" s="36">
        <v>0</v>
      </c>
      <c r="G6" s="36">
        <v>1.1000000000000001</v>
      </c>
      <c r="H6" s="36" t="s">
        <v>20</v>
      </c>
      <c r="I6" s="36" t="s">
        <v>40</v>
      </c>
      <c r="J6" s="36" t="s">
        <v>51</v>
      </c>
      <c r="K6" s="36" t="s">
        <v>28</v>
      </c>
      <c r="L6" s="36" t="s">
        <v>18</v>
      </c>
      <c r="M6" s="36" t="s">
        <v>24</v>
      </c>
      <c r="N6" s="2"/>
      <c r="O6" s="36">
        <v>8096</v>
      </c>
      <c r="P6" s="36">
        <v>0</v>
      </c>
      <c r="Q6" s="36" t="s">
        <v>52</v>
      </c>
      <c r="R6" s="36" t="s">
        <v>16</v>
      </c>
    </row>
    <row r="7" spans="1:154" ht="15.75" customHeight="1" x14ac:dyDescent="0.2">
      <c r="A7" s="2"/>
      <c r="B7" s="40">
        <v>43871</v>
      </c>
      <c r="C7" s="2"/>
      <c r="D7" s="2"/>
      <c r="E7" s="36">
        <v>0</v>
      </c>
      <c r="F7" s="36">
        <v>7360</v>
      </c>
      <c r="G7" s="36">
        <v>1.1000000000000001</v>
      </c>
      <c r="H7" s="36" t="s">
        <v>20</v>
      </c>
      <c r="I7" s="36" t="s">
        <v>44</v>
      </c>
      <c r="J7" s="36" t="s">
        <v>51</v>
      </c>
      <c r="K7" s="36" t="s">
        <v>28</v>
      </c>
      <c r="L7" s="36" t="s">
        <v>18</v>
      </c>
      <c r="M7" s="36" t="s">
        <v>24</v>
      </c>
      <c r="N7" s="2"/>
      <c r="O7" s="36">
        <v>0</v>
      </c>
      <c r="P7" s="36">
        <v>8096</v>
      </c>
      <c r="Q7" s="36" t="s">
        <v>19</v>
      </c>
      <c r="R7" s="36" t="s">
        <v>16</v>
      </c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53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IFERROR(__xludf.DUMMYFUNCTION("""COMPUTED_VALUE"""),"From")</f>
        <v>From</v>
      </c>
      <c r="E5" s="21" t="str">
        <f ca="1">IFERROR(__xludf.DUMMYFUNCTION("""COMPUTED_VALUE"""),"To")</f>
        <v>To</v>
      </c>
      <c r="F5" s="22" t="str">
        <f ca="1">IFERROR(__xludf.DUMMYFUNCTION("""COMPUTED_VALUE"""),"SettlementDate")</f>
        <v>SettlementDate</v>
      </c>
      <c r="G5" s="21" t="str">
        <f ca="1">IFERROR(__xludf.DUMMYFUNCTION("""COMPUTED_VALUE"""),"TradeDate")</f>
        <v>TradeDate</v>
      </c>
      <c r="H5" s="21" t="str">
        <f ca="1">IFERROR(__xludf.DUMMYFUNCTION("""COMPUTED_VALUE"""),"All")</f>
        <v>All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43"/>
      <c r="C6" s="26" t="s">
        <v>16</v>
      </c>
      <c r="D6" s="27">
        <v>43871</v>
      </c>
      <c r="E6" s="27">
        <v>43872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25" width="14.42578125" customWidth="1"/>
    <col min="26" max="26" width="29.7109375" customWidth="1"/>
    <col min="27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54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IFERROR(__xludf.DUMMYFUNCTION("""COMPUTED_VALUE"""),"Activity Source")</f>
        <v>Activity Source</v>
      </c>
      <c r="D5" s="21" t="str">
        <f ca="1">IFERROR(__xludf.DUMMYFUNCTION("""COMPUTED_VALUE"""),"ActivityType")</f>
        <v>ActivityType</v>
      </c>
      <c r="E5" s="21" t="str">
        <f ca="1">IFERROR(__xludf.DUMMYFUNCTION("""COMPUTED_VALUE"""),"Net Amount(Local)")</f>
        <v>Net Amount(Local)</v>
      </c>
      <c r="F5" s="22" t="str">
        <f ca="1">IFERROR(__xludf.DUMMYFUNCTION("""COMPUTED_VALUE"""),"AUEC Fee1")</f>
        <v>AUEC Fee1</v>
      </c>
      <c r="G5" s="21" t="str">
        <f ca="1">IFERROR(__xludf.DUMMYFUNCTION("""COMPUTED_VALUE"""),"AUEC Fee2")</f>
        <v>AUEC Fee2</v>
      </c>
      <c r="H5" s="21" t="str">
        <f ca="1">IFERROR(__xludf.DUMMYFUNCTION("""COMPUTED_VALUE"""),"Balance Type")</f>
        <v>Balance Type</v>
      </c>
      <c r="I5" s="21" t="str">
        <f ca="1">IFERROR(__xludf.DUMMYFUNCTION("""COMPUTED_VALUE"""),"Clearing Broker Fees")</f>
        <v>Clearing Broker Fees</v>
      </c>
      <c r="J5" s="21" t="str">
        <f ca="1">IFERROR(__xludf.DUMMYFUNCTION("""COMPUTED_VALUE"""),"Commission")</f>
        <v>Commission</v>
      </c>
      <c r="K5" s="21" t="str">
        <f ca="1">IFERROR(__xludf.DUMMYFUNCTION("""COMPUTED_VALUE"""),"Currency")</f>
        <v>Currency</v>
      </c>
      <c r="L5" s="21" t="str">
        <f ca="1">IFERROR(__xludf.DUMMYFUNCTION("""COMPUTED_VALUE"""),"Description")</f>
        <v>Description</v>
      </c>
      <c r="M5" s="21" t="str">
        <f ca="1">IFERROR(__xludf.DUMMYFUNCTION("""COMPUTED_VALUE"""),"Entry Date")</f>
        <v>Entry Date</v>
      </c>
      <c r="N5" s="21" t="str">
        <f ca="1">IFERROR(__xludf.DUMMYFUNCTION("""COMPUTED_VALUE"""),"FX Conversion Method Operator")</f>
        <v>FX Conversion Method Operator</v>
      </c>
      <c r="O5" s="21" t="str">
        <f ca="1">IFERROR(__xludf.DUMMYFUNCTION("""COMPUTED_VALUE"""),"Fx Rate")</f>
        <v>Fx Rate</v>
      </c>
      <c r="P5" s="21" t="str">
        <f ca="1">IFERROR(__xludf.DUMMYFUNCTION("""COMPUTED_VALUE"""),"Lead Currency")</f>
        <v>Lead Currency</v>
      </c>
      <c r="Q5" s="21" t="str">
        <f ca="1">IFERROR(__xludf.DUMMYFUNCTION("""COMPUTED_VALUE"""),"Modify date")</f>
        <v>Modify date</v>
      </c>
      <c r="R5" s="21" t="str">
        <f ca="1">IFERROR(__xludf.DUMMYFUNCTION("""COMPUTED_VALUE"""),"OCC Fee")</f>
        <v>OCC Fee</v>
      </c>
      <c r="S5" s="21" t="str">
        <f ca="1">IFERROR(__xludf.DUMMYFUNCTION("""COMPUTED_VALUE"""),"OptionPremiumAdjustment")</f>
        <v>OptionPremiumAdjustment</v>
      </c>
      <c r="T5" s="23" t="str">
        <f ca="1">IFERROR(__xludf.DUMMYFUNCTION("""COMPUTED_VALUE"""),"ORF Fee")</f>
        <v>ORF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IFERROR(__xludf.DUMMYFUNCTION("""COMPUTED_VALUE"""),"Quantity")</f>
        <v>Quantity</v>
      </c>
      <c r="W5" s="23" t="str">
        <f ca="1">IFERROR(__xludf.DUMMYFUNCTION("""COMPUTED_VALUE"""),"SEC Fee")</f>
        <v>SEC Fee</v>
      </c>
      <c r="X5" s="23" t="str">
        <f ca="1">IFERROR(__xludf.DUMMYFUNCTION("""COMPUTED_VALUE"""),"Settlement Currency")</f>
        <v>Settlement Currency</v>
      </c>
      <c r="Y5" s="23" t="str">
        <f ca="1">IFERROR(__xludf.DUMMYFUNCTION("""COMPUTED_VALUE"""),"Settlement Date")</f>
        <v>Settlement Date</v>
      </c>
      <c r="Z5" s="23" t="str">
        <f ca="1">IFERROR(__xludf.DUMMYFUNCTION("""COMPUTED_VALUE"""),"Soft Commission")</f>
        <v>Soft Commission</v>
      </c>
      <c r="AA5" s="23" t="str">
        <f ca="1">IFERROR(__xludf.DUMMYFUNCTION("""COMPUTED_VALUE"""),"Stamp Duty")</f>
        <v>Stamp Duty</v>
      </c>
      <c r="AB5" s="23" t="str">
        <f ca="1">IFERROR(__xludf.DUMMYFUNCTION("""COMPUTED_VALUE"""),"Symbol")</f>
        <v>Symbol</v>
      </c>
      <c r="AC5" s="23" t="str">
        <f ca="1">IFERROR(__xludf.DUMMYFUNCTION("""COMPUTED_VALUE"""),"Tax On Commissions")</f>
        <v>Tax On Commissions</v>
      </c>
      <c r="AD5" s="23" t="str">
        <f ca="1">IFERROR(__xludf.DUMMYFUNCTION("""COMPUTED_VALUE"""),"Total Commissions")</f>
        <v>Total Commissions</v>
      </c>
      <c r="AE5" s="23" t="str">
        <f ca="1">IFERROR(__xludf.DUMMYFUNCTION("""COMPUTED_VALUE"""),"Trade Date")</f>
        <v>Trade Date</v>
      </c>
      <c r="AF5" s="23" t="str">
        <f ca="1">IFERROR(__xludf.DUMMYFUNCTION("""COMPUTED_VALUE"""),"Transaction Levy")</f>
        <v>Transaction Levy</v>
      </c>
      <c r="AG5" s="23" t="str">
        <f ca="1">IFERROR(__xludf.DUMMYFUNCTION("""COMPUTED_VALUE"""),"Transaction Source")</f>
        <v>Transaction Source</v>
      </c>
      <c r="AH5" s="23" t="str">
        <f ca="1">IFERROR(__xludf.DUMMYFUNCTION("""COMPUTED_VALUE"""),"User")</f>
        <v>User</v>
      </c>
      <c r="AI5" s="23" t="str">
        <f ca="1">IFERROR(__xludf.DUMMYFUNCTION("""COMPUTED_VALUE"""),"Vs Currency")</f>
        <v>Vs Currency</v>
      </c>
      <c r="AJ5" s="23" t="str">
        <f ca="1">IFERROR(__xludf.DUMMYFUNCTION("""COMPUTED_VALUE"""),"SettlCurrencyID")</f>
        <v>SettlCurrencyID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36" t="s">
        <v>16</v>
      </c>
      <c r="C6" s="36" t="s">
        <v>41</v>
      </c>
      <c r="D6" s="36" t="s">
        <v>55</v>
      </c>
      <c r="E6" s="36">
        <v>515</v>
      </c>
      <c r="F6" s="2"/>
      <c r="G6" s="2"/>
      <c r="H6" s="2"/>
      <c r="I6" s="2"/>
      <c r="J6" s="36">
        <v>0</v>
      </c>
      <c r="K6" s="36" t="s">
        <v>28</v>
      </c>
      <c r="L6" s="36" t="s">
        <v>42</v>
      </c>
      <c r="M6" s="2"/>
      <c r="N6" s="36" t="s">
        <v>20</v>
      </c>
      <c r="O6" s="36">
        <v>1.5</v>
      </c>
      <c r="V6" s="36">
        <v>0</v>
      </c>
      <c r="Z6" s="36">
        <v>0</v>
      </c>
      <c r="AB6" s="36" t="s">
        <v>24</v>
      </c>
      <c r="AE6" s="40">
        <v>43871</v>
      </c>
      <c r="AG6" s="36" t="s">
        <v>41</v>
      </c>
    </row>
    <row r="7" spans="1:154" ht="15.75" customHeight="1" x14ac:dyDescent="0.2">
      <c r="A7" s="2"/>
      <c r="B7" s="36" t="s">
        <v>16</v>
      </c>
      <c r="C7" s="36" t="s">
        <v>41</v>
      </c>
      <c r="D7" s="36" t="s">
        <v>55</v>
      </c>
      <c r="E7" s="36">
        <v>2944</v>
      </c>
      <c r="F7" s="2"/>
      <c r="G7" s="2"/>
      <c r="H7" s="2"/>
      <c r="I7" s="2"/>
      <c r="J7" s="36">
        <v>0</v>
      </c>
      <c r="K7" s="36" t="s">
        <v>18</v>
      </c>
      <c r="L7" s="36" t="s">
        <v>42</v>
      </c>
      <c r="M7" s="2"/>
      <c r="N7" s="36" t="s">
        <v>20</v>
      </c>
      <c r="O7" s="36">
        <v>1</v>
      </c>
      <c r="V7" s="36">
        <v>0</v>
      </c>
      <c r="Z7" s="36">
        <v>0</v>
      </c>
      <c r="AB7" s="36" t="s">
        <v>28</v>
      </c>
      <c r="AE7" s="40">
        <v>43871</v>
      </c>
      <c r="AG7" s="36" t="s">
        <v>41</v>
      </c>
    </row>
    <row r="8" spans="1:154" ht="15.75" customHeight="1" x14ac:dyDescent="0.2">
      <c r="A8" s="2"/>
      <c r="B8" s="36" t="s">
        <v>16</v>
      </c>
      <c r="C8" s="36" t="s">
        <v>56</v>
      </c>
      <c r="D8" s="36" t="s">
        <v>57</v>
      </c>
      <c r="E8" s="36">
        <v>500000</v>
      </c>
      <c r="F8" s="2"/>
      <c r="G8" s="2"/>
      <c r="H8" s="2"/>
      <c r="I8" s="2"/>
      <c r="J8" s="36">
        <v>0</v>
      </c>
      <c r="K8" s="36" t="s">
        <v>18</v>
      </c>
      <c r="M8" s="2"/>
      <c r="N8" s="36" t="s">
        <v>20</v>
      </c>
      <c r="O8" s="36">
        <v>1</v>
      </c>
      <c r="V8" s="36">
        <v>0</v>
      </c>
      <c r="Z8" s="36">
        <v>0</v>
      </c>
      <c r="AE8" s="40">
        <v>43871</v>
      </c>
      <c r="AG8" s="36" t="s">
        <v>58</v>
      </c>
    </row>
    <row r="9" spans="1:154" ht="15.75" customHeight="1" x14ac:dyDescent="0.2">
      <c r="A9" s="2"/>
      <c r="B9" s="36" t="s">
        <v>16</v>
      </c>
      <c r="C9" s="36" t="s">
        <v>41</v>
      </c>
      <c r="D9" s="36" t="s">
        <v>59</v>
      </c>
      <c r="E9" s="36">
        <v>7360</v>
      </c>
      <c r="F9" s="2"/>
      <c r="G9" s="2"/>
      <c r="H9" s="2"/>
      <c r="I9" s="2"/>
      <c r="J9" s="36">
        <v>0</v>
      </c>
      <c r="K9" s="36" t="s">
        <v>28</v>
      </c>
      <c r="L9" s="36" t="s">
        <v>46</v>
      </c>
      <c r="M9" s="2"/>
      <c r="N9" s="36" t="s">
        <v>20</v>
      </c>
      <c r="O9" s="36">
        <v>1.1000000000000001</v>
      </c>
      <c r="V9" s="36">
        <v>0</v>
      </c>
      <c r="Z9" s="36">
        <v>0</v>
      </c>
      <c r="AB9" s="36" t="s">
        <v>24</v>
      </c>
      <c r="AE9" s="40">
        <v>43871</v>
      </c>
      <c r="AG9" s="36" t="s">
        <v>41</v>
      </c>
    </row>
    <row r="10" spans="1:154" ht="15.75" customHeight="1" x14ac:dyDescent="0.2">
      <c r="A10" s="2"/>
      <c r="B10" s="36" t="s">
        <v>16</v>
      </c>
      <c r="C10" s="36" t="s">
        <v>41</v>
      </c>
      <c r="D10" s="36" t="s">
        <v>59</v>
      </c>
      <c r="E10" s="36">
        <v>-7360</v>
      </c>
      <c r="F10" s="2"/>
      <c r="G10" s="2"/>
      <c r="H10" s="2"/>
      <c r="I10" s="2"/>
      <c r="J10" s="36">
        <v>0</v>
      </c>
      <c r="K10" s="36" t="s">
        <v>28</v>
      </c>
      <c r="L10" s="36" t="s">
        <v>48</v>
      </c>
      <c r="M10" s="2"/>
      <c r="N10" s="36" t="s">
        <v>20</v>
      </c>
      <c r="O10" s="36">
        <v>1.5</v>
      </c>
      <c r="V10" s="36">
        <v>0</v>
      </c>
      <c r="Z10" s="36">
        <v>0</v>
      </c>
      <c r="AB10" s="36" t="s">
        <v>24</v>
      </c>
      <c r="AE10" s="40">
        <v>43871</v>
      </c>
      <c r="AG10" s="36" t="s">
        <v>41</v>
      </c>
    </row>
    <row r="11" spans="1:154" ht="15.75" customHeight="1" x14ac:dyDescent="0.2">
      <c r="A11" s="2"/>
      <c r="B11" s="36" t="s">
        <v>16</v>
      </c>
      <c r="C11" s="36" t="s">
        <v>51</v>
      </c>
      <c r="D11" s="36" t="s">
        <v>60</v>
      </c>
      <c r="E11" s="36">
        <v>-7360</v>
      </c>
      <c r="F11" s="2"/>
      <c r="G11" s="2"/>
      <c r="H11" s="2"/>
      <c r="I11" s="2"/>
      <c r="J11" s="36">
        <v>2.5</v>
      </c>
      <c r="K11" s="36" t="s">
        <v>28</v>
      </c>
      <c r="L11" s="36" t="s">
        <v>61</v>
      </c>
      <c r="M11" s="2"/>
      <c r="N11" s="36" t="s">
        <v>20</v>
      </c>
      <c r="O11" s="36">
        <v>1.1000000000000001</v>
      </c>
      <c r="V11" s="36">
        <v>105</v>
      </c>
      <c r="Z11" s="36">
        <v>7.5</v>
      </c>
      <c r="AB11" s="36" t="s">
        <v>24</v>
      </c>
      <c r="AE11" s="40">
        <v>43871</v>
      </c>
      <c r="AG11" s="36" t="s">
        <v>51</v>
      </c>
    </row>
    <row r="12" spans="1:154" ht="15.75" customHeight="1" x14ac:dyDescent="0.2">
      <c r="A12" s="2"/>
      <c r="B12" s="36" t="s">
        <v>16</v>
      </c>
      <c r="C12" s="36" t="s">
        <v>41</v>
      </c>
      <c r="D12" s="36" t="s">
        <v>59</v>
      </c>
      <c r="E12" s="36">
        <v>-7360</v>
      </c>
      <c r="F12" s="2"/>
      <c r="G12" s="2"/>
      <c r="H12" s="2"/>
      <c r="I12" s="2"/>
      <c r="J12" s="36">
        <v>0</v>
      </c>
      <c r="K12" s="36" t="s">
        <v>28</v>
      </c>
      <c r="L12" s="36" t="s">
        <v>49</v>
      </c>
      <c r="M12" s="2"/>
      <c r="N12" s="36" t="s">
        <v>20</v>
      </c>
      <c r="O12" s="36">
        <v>2</v>
      </c>
      <c r="V12" s="36">
        <v>0</v>
      </c>
      <c r="Z12" s="36">
        <v>0</v>
      </c>
      <c r="AB12" s="36" t="s">
        <v>28</v>
      </c>
      <c r="AE12" s="40">
        <v>43872</v>
      </c>
      <c r="AG12" s="36" t="s">
        <v>41</v>
      </c>
    </row>
    <row r="13" spans="1:154" ht="15.75" customHeight="1" x14ac:dyDescent="0.2">
      <c r="A13" s="2"/>
      <c r="B13" s="36" t="s">
        <v>16</v>
      </c>
      <c r="C13" s="36" t="s">
        <v>41</v>
      </c>
      <c r="D13" s="36" t="s">
        <v>59</v>
      </c>
      <c r="E13" s="36">
        <v>7360</v>
      </c>
      <c r="F13" s="2"/>
      <c r="G13" s="2"/>
      <c r="H13" s="2"/>
      <c r="I13" s="2"/>
      <c r="J13" s="36">
        <v>0</v>
      </c>
      <c r="K13" s="36" t="s">
        <v>28</v>
      </c>
      <c r="L13" s="36" t="s">
        <v>50</v>
      </c>
      <c r="M13" s="2"/>
      <c r="N13" s="36" t="s">
        <v>20</v>
      </c>
      <c r="O13" s="36">
        <v>1.5</v>
      </c>
      <c r="V13" s="36">
        <v>0</v>
      </c>
      <c r="Z13" s="36">
        <v>0</v>
      </c>
      <c r="AB13" s="36" t="s">
        <v>28</v>
      </c>
      <c r="AE13" s="40">
        <v>43872</v>
      </c>
      <c r="AG13" s="36" t="s">
        <v>41</v>
      </c>
    </row>
    <row r="14" spans="1:154" ht="15.75" customHeight="1" x14ac:dyDescent="0.2">
      <c r="A14" s="2"/>
      <c r="B14" s="36" t="s">
        <v>16</v>
      </c>
      <c r="C14" s="36" t="s">
        <v>41</v>
      </c>
      <c r="D14" s="36" t="s">
        <v>55</v>
      </c>
      <c r="E14" s="36">
        <v>515</v>
      </c>
      <c r="F14" s="2"/>
      <c r="G14" s="2"/>
      <c r="H14" s="2"/>
      <c r="I14" s="2"/>
      <c r="J14" s="36">
        <v>0</v>
      </c>
      <c r="K14" s="36" t="s">
        <v>28</v>
      </c>
      <c r="L14" s="36" t="s">
        <v>42</v>
      </c>
      <c r="M14" s="2"/>
      <c r="N14" s="36" t="s">
        <v>20</v>
      </c>
      <c r="O14" s="36">
        <v>2</v>
      </c>
      <c r="V14" s="36">
        <v>0</v>
      </c>
      <c r="Z14" s="36">
        <v>0</v>
      </c>
      <c r="AB14" s="36" t="s">
        <v>24</v>
      </c>
      <c r="AE14" s="40">
        <v>43872</v>
      </c>
      <c r="AG14" s="36" t="s">
        <v>41</v>
      </c>
    </row>
    <row r="15" spans="1:154" ht="15.75" customHeight="1" x14ac:dyDescent="0.2">
      <c r="A15" s="2"/>
      <c r="B15" s="36" t="s">
        <v>16</v>
      </c>
      <c r="C15" s="36" t="s">
        <v>41</v>
      </c>
      <c r="D15" s="36" t="s">
        <v>55</v>
      </c>
      <c r="E15" s="36">
        <v>6624</v>
      </c>
      <c r="F15" s="2"/>
      <c r="G15" s="2"/>
      <c r="H15" s="2"/>
      <c r="I15" s="2"/>
      <c r="J15" s="36">
        <v>0</v>
      </c>
      <c r="K15" s="36" t="s">
        <v>18</v>
      </c>
      <c r="L15" s="36" t="s">
        <v>42</v>
      </c>
      <c r="M15" s="2"/>
      <c r="N15" s="36" t="s">
        <v>20</v>
      </c>
      <c r="O15" s="36">
        <v>1</v>
      </c>
      <c r="V15" s="36">
        <v>0</v>
      </c>
      <c r="Z15" s="36">
        <v>0</v>
      </c>
      <c r="AB15" s="36" t="s">
        <v>28</v>
      </c>
      <c r="AE15" s="40">
        <v>43872</v>
      </c>
      <c r="AG15" s="36" t="s">
        <v>41</v>
      </c>
    </row>
    <row r="16" spans="1:154" ht="15.75" customHeight="1" x14ac:dyDescent="0.2">
      <c r="A16" s="2"/>
      <c r="B16" s="36" t="s">
        <v>16</v>
      </c>
      <c r="C16" s="36" t="s">
        <v>41</v>
      </c>
      <c r="D16" s="36" t="s">
        <v>55</v>
      </c>
      <c r="E16" s="36">
        <v>-515</v>
      </c>
      <c r="F16" s="2"/>
      <c r="G16" s="2"/>
      <c r="H16" s="2"/>
      <c r="I16" s="2"/>
      <c r="J16" s="36">
        <v>0</v>
      </c>
      <c r="K16" s="36" t="s">
        <v>28</v>
      </c>
      <c r="L16" s="36" t="s">
        <v>45</v>
      </c>
      <c r="M16" s="2"/>
      <c r="N16" s="36" t="s">
        <v>20</v>
      </c>
      <c r="O16" s="36">
        <v>1.5</v>
      </c>
      <c r="V16" s="36">
        <v>0</v>
      </c>
      <c r="Z16" s="36">
        <v>0</v>
      </c>
      <c r="AB16" s="36" t="s">
        <v>24</v>
      </c>
      <c r="AE16" s="40">
        <v>43872</v>
      </c>
      <c r="AG16" s="36" t="s">
        <v>41</v>
      </c>
    </row>
    <row r="17" spans="1:33" ht="15.75" customHeight="1" x14ac:dyDescent="0.2">
      <c r="A17" s="2"/>
      <c r="B17" s="36" t="s">
        <v>16</v>
      </c>
      <c r="C17" s="36" t="s">
        <v>41</v>
      </c>
      <c r="D17" s="36" t="s">
        <v>55</v>
      </c>
      <c r="E17" s="36">
        <v>-2944</v>
      </c>
      <c r="F17" s="2"/>
      <c r="G17" s="2"/>
      <c r="H17" s="2"/>
      <c r="I17" s="2"/>
      <c r="J17" s="36">
        <v>0</v>
      </c>
      <c r="K17" s="36" t="s">
        <v>18</v>
      </c>
      <c r="L17" s="36" t="s">
        <v>45</v>
      </c>
      <c r="M17" s="2"/>
      <c r="N17" s="36" t="s">
        <v>20</v>
      </c>
      <c r="O17" s="36">
        <v>1</v>
      </c>
      <c r="V17" s="36">
        <v>0</v>
      </c>
      <c r="Z17" s="36">
        <v>0</v>
      </c>
      <c r="AB17" s="36" t="s">
        <v>28</v>
      </c>
      <c r="AE17" s="40">
        <v>43872</v>
      </c>
      <c r="AG17" s="36" t="s">
        <v>41</v>
      </c>
    </row>
    <row r="18" spans="1:33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33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33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33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33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33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33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33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33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33" ht="15.75" customHeight="1" x14ac:dyDescent="0.2"/>
    <row r="28" spans="1:33" ht="15.75" customHeight="1" x14ac:dyDescent="0.2"/>
    <row r="29" spans="1:33" ht="15.75" customHeight="1" x14ac:dyDescent="0.2"/>
    <row r="30" spans="1:33" ht="15.75" customHeight="1" x14ac:dyDescent="0.2"/>
    <row r="31" spans="1:33" ht="15.75" customHeight="1" x14ac:dyDescent="0.2"/>
    <row r="32" spans="1:3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62</v>
      </c>
      <c r="D3" s="4" t="s">
        <v>6</v>
      </c>
      <c r="E3" s="16" t="s">
        <v>63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IFERROR(__xludf.DUMMYFUNCTION("IF(C3="""","""",Transpose(IMPORTRANGE('_Settings'!$B$3,C3&amp;""!A4:A1000"")))"),"CorporateAction")</f>
        <v>CorporateAction</v>
      </c>
      <c r="C4" s="18" t="str">
        <f ca="1">IFERROR(__xludf.DUMMYFUNCTION("""COMPUTED_VALUE"""),"CleanUp")</f>
        <v>CleanUp</v>
      </c>
      <c r="D4" s="18" t="str">
        <f ca="1">IFERROR(__xludf.DUMMYFUNCTION("""COMPUTED_VALUE"""),"CashDividend")</f>
        <v>CashDividend</v>
      </c>
      <c r="E4" s="18" t="str">
        <f ca="1">IFERROR(__xludf.DUMMYFUNCTION("""COMPUTED_VALUE"""),"Exchange")</f>
        <v>Exchange</v>
      </c>
      <c r="F4" s="18" t="str">
        <f ca="1">IFERROR(__xludf.DUMMYFUNCTION("""COMPUTED_VALUE"""),"Merger")</f>
        <v>Merger</v>
      </c>
      <c r="G4" s="18" t="str">
        <f ca="1">IFERROR(__xludf.DUMMYFUNCTION("""COMPUTED_VALUE"""),"NameChange")</f>
        <v>NameChange</v>
      </c>
      <c r="H4" s="18" t="str">
        <f ca="1">IFERROR(__xludf.DUMMYFUNCTION("""COMPUTED_VALUE"""),"SpinOff")</f>
        <v>SpinOff</v>
      </c>
      <c r="I4" s="18" t="str">
        <f ca="1">IFERROR(__xludf.DUMMYFUNCTION("""COMPUTED_VALUE"""),"Split")</f>
        <v>Split</v>
      </c>
      <c r="J4" s="18" t="str">
        <f ca="1">IFERROR(__xludf.DUMMYFUNCTION("""COMPUTED_VALUE"""),"StockDividend")</f>
        <v>StockDividend</v>
      </c>
      <c r="K4" s="18" t="str">
        <f ca="1">IFERROR(__xludf.DUMMYFUNCTION("""COMPUTED_VALUE"""),"OpenSpinOff")</f>
        <v>OpenSpinOff</v>
      </c>
      <c r="L4" s="18" t="str">
        <f ca="1">IFERROR(__xludf.DUMMYFUNCTION("""COMPUTED_VALUE"""),"SpinOff")</f>
        <v>SpinOff</v>
      </c>
      <c r="M4" s="18" t="str">
        <f ca="1">IFERROR(__xludf.DUMMYFUNCTION("""COMPUTED_VALUE"""),"VerifySpinOffGrid")</f>
        <v>VerifySpinOffGrid</v>
      </c>
      <c r="N4" s="18" t="str">
        <f ca="1">IFERROR(__xludf.DUMMYFUNCTION("""COMPUTED_VALUE"""),"SaveCorporateAction")</f>
        <v>SaveCorporateAction</v>
      </c>
      <c r="O4" s="18" t="str">
        <f ca="1">IFERROR(__xludf.DUMMYFUNCTION("""COMPUTED_VALUE"""),"VerifyAndSaveCorpAction")</f>
        <v>VerifyAndSaveCorpAction</v>
      </c>
      <c r="P4" s="19" t="str">
        <f ca="1">IFERROR(__xludf.DUMMYFUNCTION("""COMPUTED_VALUE"""),"VerifyAndApplyCorpAction")</f>
        <v>VerifyAndApplyCorpAction</v>
      </c>
      <c r="Q4" s="19" t="str">
        <f ca="1">IFERROR(__xludf.DUMMYFUNCTION("""COMPUTED_VALUE"""),"CorporateAction")</f>
        <v>CorporateAction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IFERROR(__xludf.DUMMYFUNCTION("""COMPUTED_VALUE"""),"Corporate Action")</f>
        <v>Corporate Action</v>
      </c>
      <c r="C5" s="21" t="str">
        <f ca="1">IFERROR(__xludf.DUMMYFUNCTION("""COMPUTED_VALUE"""),"Account Filter")</f>
        <v>Account Filter</v>
      </c>
      <c r="D5" s="21" t="str">
        <f ca="1">IFERROR(__xludf.DUMMYFUNCTION("""COMPUTED_VALUE"""),"Counter Party")</f>
        <v>Counter Party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6" t="s">
        <v>64</v>
      </c>
      <c r="C6" s="26" t="s">
        <v>16</v>
      </c>
      <c r="D6" s="25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62</v>
      </c>
      <c r="D3" s="4" t="s">
        <v>6</v>
      </c>
      <c r="E3" s="16" t="s">
        <v>64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IFERROR(__xludf.DUMMYFUNCTION("IF(C3="""","""",Transpose(IMPORTRANGE('_Settings'!$B$3,C3&amp;""!A4:A1000"")))"),"CorporateAction")</f>
        <v>CorporateAction</v>
      </c>
      <c r="C4" s="18" t="str">
        <f ca="1">IFERROR(__xludf.DUMMYFUNCTION("""COMPUTED_VALUE"""),"CleanUp")</f>
        <v>CleanUp</v>
      </c>
      <c r="D4" s="18" t="str">
        <f ca="1">IFERROR(__xludf.DUMMYFUNCTION("""COMPUTED_VALUE"""),"CashDividend")</f>
        <v>CashDividend</v>
      </c>
      <c r="E4" s="18" t="str">
        <f ca="1">IFERROR(__xludf.DUMMYFUNCTION("""COMPUTED_VALUE"""),"Exchange")</f>
        <v>Exchange</v>
      </c>
      <c r="F4" s="18" t="str">
        <f ca="1">IFERROR(__xludf.DUMMYFUNCTION("""COMPUTED_VALUE"""),"Merger")</f>
        <v>Merger</v>
      </c>
      <c r="G4" s="18" t="str">
        <f ca="1">IFERROR(__xludf.DUMMYFUNCTION("""COMPUTED_VALUE"""),"NameChange")</f>
        <v>NameChange</v>
      </c>
      <c r="H4" s="18" t="str">
        <f ca="1">IFERROR(__xludf.DUMMYFUNCTION("""COMPUTED_VALUE"""),"SpinOff")</f>
        <v>SpinOff</v>
      </c>
      <c r="I4" s="18" t="str">
        <f ca="1">IFERROR(__xludf.DUMMYFUNCTION("""COMPUTED_VALUE"""),"Split")</f>
        <v>Split</v>
      </c>
      <c r="J4" s="18" t="str">
        <f ca="1">IFERROR(__xludf.DUMMYFUNCTION("""COMPUTED_VALUE"""),"StockDividend")</f>
        <v>StockDividend</v>
      </c>
      <c r="K4" s="18" t="str">
        <f ca="1">IFERROR(__xludf.DUMMYFUNCTION("""COMPUTED_VALUE"""),"OpenSpinOff")</f>
        <v>OpenSpinOff</v>
      </c>
      <c r="L4" s="18" t="str">
        <f ca="1">IFERROR(__xludf.DUMMYFUNCTION("""COMPUTED_VALUE"""),"SpinOff")</f>
        <v>SpinOff</v>
      </c>
      <c r="M4" s="18" t="str">
        <f ca="1">IFERROR(__xludf.DUMMYFUNCTION("""COMPUTED_VALUE"""),"VerifySpinOffGrid")</f>
        <v>VerifySpinOffGrid</v>
      </c>
      <c r="N4" s="18" t="str">
        <f ca="1">IFERROR(__xludf.DUMMYFUNCTION("""COMPUTED_VALUE"""),"SaveCorporateAction")</f>
        <v>SaveCorporateAction</v>
      </c>
      <c r="O4" s="18" t="str">
        <f ca="1">IFERROR(__xludf.DUMMYFUNCTION("""COMPUTED_VALUE"""),"VerifyAndSaveCorpAction")</f>
        <v>VerifyAndSaveCorpAction</v>
      </c>
      <c r="P4" s="19" t="str">
        <f ca="1">IFERROR(__xludf.DUMMYFUNCTION("""COMPUTED_VALUE"""),"VerifyAndApplyCorpAction")</f>
        <v>VerifyAndApplyCorpAction</v>
      </c>
      <c r="Q4" s="19" t="str">
        <f ca="1">IFERROR(__xludf.DUMMYFUNCTION("""COMPUTED_VALUE"""),"CorporateAction")</f>
        <v>CorporateAction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IFERROR(__xludf.DUMMYFUNCTION("""COMPUTED_VALUE"""),"Effective Date")</f>
        <v>Effective Date</v>
      </c>
      <c r="C5" s="21" t="str">
        <f ca="1">IFERROR(__xludf.DUMMYFUNCTION("""COMPUTED_VALUE"""),"Company Name")</f>
        <v>Company Name</v>
      </c>
      <c r="D5" s="21" t="str">
        <f ca="1">IFERROR(__xludf.DUMMYFUNCTION("""COMPUTED_VALUE"""),"New Company Name")</f>
        <v>New Company Name</v>
      </c>
      <c r="E5" s="21" t="str">
        <f ca="1">IFERROR(__xludf.DUMMYFUNCTION("""COMPUTED_VALUE"""),"Original Symbol")</f>
        <v>Original Symbol</v>
      </c>
      <c r="F5" s="22" t="str">
        <f ca="1">IFERROR(__xludf.DUMMYFUNCTION("""COMPUTED_VALUE"""),"Symbology")</f>
        <v>Symbology</v>
      </c>
      <c r="G5" s="21" t="str">
        <f ca="1">IFERROR(__xludf.DUMMYFUNCTION("""COMPUTED_VALUE"""),"New Symbol")</f>
        <v>New Symbol</v>
      </c>
      <c r="H5" s="21" t="str">
        <f ca="1">IFERROR(__xludf.DUMMYFUNCTION("""COMPUTED_VALUE"""),"Original Security Qty Ratio")</f>
        <v>Original Security Qty Ratio</v>
      </c>
      <c r="I5" s="21" t="str">
        <f ca="1">IFERROR(__xludf.DUMMYFUNCTION("""COMPUTED_VALUE"""),"New Security Qty Ratio")</f>
        <v>New Security Qty Ratio</v>
      </c>
      <c r="J5" s="21" t="str">
        <f ca="1">IFERROR(__xludf.DUMMYFUNCTION("""COMPUTED_VALUE"""),"Adjustment Factor")</f>
        <v>Adjustment Factor</v>
      </c>
      <c r="K5" s="21" t="str">
        <f ca="1">IFERROR(__xludf.DUMMYFUNCTION("""COMPUTED_VALUE"""),"Fractional Qty PX")</f>
        <v>Fractional Qty PX</v>
      </c>
      <c r="L5" s="21" t="str">
        <f ca="1">IFERROR(__xludf.DUMMYFUNCTION("""COMPUTED_VALUE"""),"Quantity Factor")</f>
        <v>Quantity Factor</v>
      </c>
      <c r="M5" s="21" t="str">
        <f ca="1">IFERROR(__xludf.DUMMYFUNCTION("""COMPUTED_VALUE"""),"Cash in lieu")</f>
        <v>Cash in lieu</v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7">
        <v>43873</v>
      </c>
      <c r="C6" s="28"/>
      <c r="D6" s="25"/>
      <c r="E6" s="26" t="s">
        <v>24</v>
      </c>
      <c r="F6" s="28"/>
      <c r="G6" s="26" t="s">
        <v>66</v>
      </c>
      <c r="H6" s="30">
        <v>1</v>
      </c>
      <c r="I6" s="30">
        <v>0.33</v>
      </c>
      <c r="J6" s="30">
        <v>0.625</v>
      </c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62</v>
      </c>
      <c r="D3" s="4" t="s">
        <v>6</v>
      </c>
      <c r="E3" s="16" t="s">
        <v>65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IFERROR(__xludf.DUMMYFUNCTION("IF(C3="""","""",Transpose(IMPORTRANGE('_Settings'!$B$3,C3&amp;""!A4:A1000"")))"),"CorporateAction")</f>
        <v>CorporateAction</v>
      </c>
      <c r="C4" s="18" t="str">
        <f ca="1">IFERROR(__xludf.DUMMYFUNCTION("""COMPUTED_VALUE"""),"CleanUp")</f>
        <v>CleanUp</v>
      </c>
      <c r="D4" s="18" t="str">
        <f ca="1">IFERROR(__xludf.DUMMYFUNCTION("""COMPUTED_VALUE"""),"CashDividend")</f>
        <v>CashDividend</v>
      </c>
      <c r="E4" s="18" t="str">
        <f ca="1">IFERROR(__xludf.DUMMYFUNCTION("""COMPUTED_VALUE"""),"Exchange")</f>
        <v>Exchange</v>
      </c>
      <c r="F4" s="18" t="str">
        <f ca="1">IFERROR(__xludf.DUMMYFUNCTION("""COMPUTED_VALUE"""),"Merger")</f>
        <v>Merger</v>
      </c>
      <c r="G4" s="18" t="str">
        <f ca="1">IFERROR(__xludf.DUMMYFUNCTION("""COMPUTED_VALUE"""),"NameChange")</f>
        <v>NameChange</v>
      </c>
      <c r="H4" s="18" t="str">
        <f ca="1">IFERROR(__xludf.DUMMYFUNCTION("""COMPUTED_VALUE"""),"SpinOff")</f>
        <v>SpinOff</v>
      </c>
      <c r="I4" s="18" t="str">
        <f ca="1">IFERROR(__xludf.DUMMYFUNCTION("""COMPUTED_VALUE"""),"Split")</f>
        <v>Split</v>
      </c>
      <c r="J4" s="18" t="str">
        <f ca="1">IFERROR(__xludf.DUMMYFUNCTION("""COMPUTED_VALUE"""),"StockDividend")</f>
        <v>StockDividend</v>
      </c>
      <c r="K4" s="18" t="str">
        <f ca="1">IFERROR(__xludf.DUMMYFUNCTION("""COMPUTED_VALUE"""),"OpenSpinOff")</f>
        <v>OpenSpinOff</v>
      </c>
      <c r="L4" s="18" t="str">
        <f ca="1">IFERROR(__xludf.DUMMYFUNCTION("""COMPUTED_VALUE"""),"SpinOff")</f>
        <v>SpinOff</v>
      </c>
      <c r="M4" s="18" t="str">
        <f ca="1">IFERROR(__xludf.DUMMYFUNCTION("""COMPUTED_VALUE"""),"VerifySpinOffGrid")</f>
        <v>VerifySpinOffGrid</v>
      </c>
      <c r="N4" s="18" t="str">
        <f ca="1">IFERROR(__xludf.DUMMYFUNCTION("""COMPUTED_VALUE"""),"SaveCorporateAction")</f>
        <v>SaveCorporateAction</v>
      </c>
      <c r="O4" s="18" t="str">
        <f ca="1">IFERROR(__xludf.DUMMYFUNCTION("""COMPUTED_VALUE"""),"VerifyAndSaveCorpAction")</f>
        <v>VerifyAndSaveCorpAction</v>
      </c>
      <c r="P4" s="19" t="str">
        <f ca="1">IFERROR(__xludf.DUMMYFUNCTION("""COMPUTED_VALUE"""),"VerifyAndApplyCorpAction")</f>
        <v>VerifyAndApplyCorpAction</v>
      </c>
      <c r="Q4" s="19" t="str">
        <f ca="1">IFERROR(__xludf.DUMMYFUNCTION("""COMPUTED_VALUE"""),"CorporateAction")</f>
        <v>CorporateAction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IFERROR(__xludf.DUMMYFUNCTION("""COMPUTED_VALUE"""),"Currency")</f>
        <v>Currency</v>
      </c>
      <c r="D5" s="21" t="str">
        <f ca="1">IFERROR(__xludf.DUMMYFUNCTION("""COMPUTED_VALUE"""),"Side")</f>
        <v>Side</v>
      </c>
      <c r="E5" s="21" t="str">
        <f ca="1">IFERROR(__xludf.DUMMYFUNCTION("""COMPUTED_VALUE"""),"Account")</f>
        <v>Account</v>
      </c>
      <c r="F5" s="22" t="str">
        <f ca="1">IFERROR(__xludf.DUMMYFUNCTION("""COMPUTED_VALUE"""),"Unit Cost")</f>
        <v>Unit Cost</v>
      </c>
      <c r="G5" s="21" t="str">
        <f ca="1">IFERROR(__xludf.DUMMYFUNCTION("""COMPUTED_VALUE"""),"Open Qty")</f>
        <v>Open Qty</v>
      </c>
      <c r="H5" s="21" t="str">
        <f ca="1">IFERROR(__xludf.DUMMYFUNCTION("""COMPUTED_VALUE"""),"Open Total Commission and Fees")</f>
        <v>Open Total Commission and Fees</v>
      </c>
      <c r="I5" s="21" t="str">
        <f ca="1">IFERROR(__xludf.DUMMYFUNCTION("""COMPUTED_VALUE"""),"Trade Date")</f>
        <v>Trade Date</v>
      </c>
      <c r="J5" s="21" t="str">
        <f ca="1">IFERROR(__xludf.DUMMYFUNCTION("""COMPUTED_VALUE"""),"Process Date")</f>
        <v>Process Date</v>
      </c>
      <c r="K5" s="21" t="str">
        <f ca="1">IFERROR(__xludf.DUMMYFUNCTION("""COMPUTED_VALUE"""),"Original Open Date")</f>
        <v>Original Open Date</v>
      </c>
      <c r="L5" s="21" t="str">
        <f ca="1">IFERROR(__xludf.DUMMYFUNCTION("""COMPUTED_VALUE"""),"Settlement Date")</f>
        <v>Settlement Date</v>
      </c>
      <c r="M5" s="21" t="str">
        <f ca="1">IFERROR(__xludf.DUMMYFUNCTION("""COMPUTED_VALUE"""),"Broker")</f>
        <v>Broker</v>
      </c>
      <c r="N5" s="21" t="str">
        <f ca="1">IFERROR(__xludf.DUMMYFUNCTION("""COMPUTED_VALUE"""),"Fx Rate")</f>
        <v>Fx Rate</v>
      </c>
      <c r="O5" s="21" t="str">
        <f ca="1">IFERROR(__xludf.DUMMYFUNCTION("""COMPUTED_VALUE"""),"FX Conversion Operator")</f>
        <v>FX Conversion Operator</v>
      </c>
      <c r="P5" s="21" t="str">
        <f ca="1">IFERROR(__xludf.DUMMYFUNCTION("""COMPUTED_VALUE"""),"Average Price")</f>
        <v>Average Price</v>
      </c>
      <c r="Q5" s="21" t="str">
        <f ca="1">IFERROR(__xludf.DUMMYFUNCTION("""COMPUTED_VALUE"""),"Notional Value (Local)")</f>
        <v>Notional Value (Local)</v>
      </c>
      <c r="R5" s="21" t="str">
        <f ca="1">IFERROR(__xludf.DUMMYFUNCTION("""COMPUTED_VALUE"""),"Notional Value (Base)")</f>
        <v>Notional Value (Base)</v>
      </c>
      <c r="S5" s="21" t="str">
        <f ca="1">IFERROR(__xludf.DUMMYFUNCTION("""COMPUTED_VALUE"""),"Transaction Type")</f>
        <v>Transaction Type</v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36" t="s">
        <v>24</v>
      </c>
      <c r="C6" s="36" t="s">
        <v>28</v>
      </c>
      <c r="D6" s="36" t="s">
        <v>25</v>
      </c>
      <c r="E6" s="36" t="s">
        <v>16</v>
      </c>
      <c r="F6" s="44">
        <v>70</v>
      </c>
      <c r="G6" s="44">
        <v>105</v>
      </c>
      <c r="H6" s="44">
        <v>10</v>
      </c>
      <c r="I6" s="45">
        <v>43871</v>
      </c>
      <c r="J6" s="2"/>
      <c r="K6" s="2"/>
      <c r="L6" s="2"/>
      <c r="M6" s="2"/>
      <c r="N6" s="44">
        <v>1.1000000000000001</v>
      </c>
      <c r="O6" s="36" t="s">
        <v>20</v>
      </c>
      <c r="P6" s="44">
        <v>0</v>
      </c>
      <c r="Q6" s="44">
        <v>7360</v>
      </c>
      <c r="R6" s="44">
        <v>8096</v>
      </c>
      <c r="S6" s="36" t="s">
        <v>25</v>
      </c>
    </row>
    <row r="7" spans="1:154" ht="15.75" customHeight="1" x14ac:dyDescent="0.2">
      <c r="A7" s="2"/>
      <c r="B7" s="36" t="s">
        <v>24</v>
      </c>
      <c r="C7" s="36" t="s">
        <v>28</v>
      </c>
      <c r="D7" s="36" t="s">
        <v>67</v>
      </c>
      <c r="E7" s="36" t="s">
        <v>16</v>
      </c>
      <c r="F7" s="44">
        <v>70.095238095238102</v>
      </c>
      <c r="G7" s="44">
        <v>105</v>
      </c>
      <c r="H7" s="44">
        <v>0</v>
      </c>
      <c r="I7" s="45">
        <v>43873</v>
      </c>
      <c r="J7" s="2"/>
      <c r="K7" s="2"/>
      <c r="L7" s="2"/>
      <c r="M7" s="2"/>
      <c r="N7" s="44">
        <v>1.1000000000000001</v>
      </c>
      <c r="O7" s="36" t="s">
        <v>20</v>
      </c>
      <c r="P7" s="44">
        <v>0</v>
      </c>
      <c r="Q7" s="44">
        <v>7360</v>
      </c>
      <c r="R7" s="44">
        <v>8096</v>
      </c>
      <c r="S7" s="36" t="s">
        <v>67</v>
      </c>
    </row>
    <row r="8" spans="1:154" ht="15.75" customHeight="1" x14ac:dyDescent="0.2">
      <c r="A8" s="2"/>
      <c r="B8" s="36" t="s">
        <v>24</v>
      </c>
      <c r="C8" s="36" t="s">
        <v>28</v>
      </c>
      <c r="D8" s="36" t="s">
        <v>25</v>
      </c>
      <c r="E8" s="36" t="s">
        <v>16</v>
      </c>
      <c r="F8" s="44">
        <v>43.809523809523803</v>
      </c>
      <c r="G8" s="44">
        <v>105</v>
      </c>
      <c r="H8" s="44">
        <v>0</v>
      </c>
      <c r="I8" s="45">
        <v>43873</v>
      </c>
      <c r="J8" s="2"/>
      <c r="K8" s="2"/>
      <c r="L8" s="2"/>
      <c r="M8" s="2"/>
      <c r="N8" s="44">
        <v>1.1000000000000001</v>
      </c>
      <c r="O8" s="36" t="s">
        <v>20</v>
      </c>
      <c r="P8" s="44">
        <v>70</v>
      </c>
      <c r="Q8" s="44">
        <v>4600</v>
      </c>
      <c r="R8" s="44">
        <v>5060</v>
      </c>
      <c r="S8" s="36" t="s">
        <v>25</v>
      </c>
    </row>
    <row r="9" spans="1:154" ht="15.75" customHeight="1" x14ac:dyDescent="0.2">
      <c r="A9" s="2"/>
      <c r="B9" s="36" t="s">
        <v>66</v>
      </c>
      <c r="C9" s="36" t="s">
        <v>28</v>
      </c>
      <c r="D9" s="36" t="s">
        <v>25</v>
      </c>
      <c r="E9" s="36" t="s">
        <v>16</v>
      </c>
      <c r="F9" s="44">
        <v>79.653679653679703</v>
      </c>
      <c r="G9" s="44">
        <v>34.65</v>
      </c>
      <c r="H9" s="44">
        <v>0</v>
      </c>
      <c r="I9" s="45">
        <v>43873</v>
      </c>
      <c r="J9" s="2"/>
      <c r="K9" s="2"/>
      <c r="L9" s="2"/>
      <c r="M9" s="2"/>
      <c r="N9" s="44">
        <v>1.1000000000000001</v>
      </c>
      <c r="O9" s="36" t="s">
        <v>20</v>
      </c>
      <c r="P9" s="44">
        <v>79.653679653679703</v>
      </c>
      <c r="Q9" s="44">
        <v>2760</v>
      </c>
      <c r="R9" s="44">
        <v>3036</v>
      </c>
      <c r="S9" s="36" t="s">
        <v>25</v>
      </c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30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7">
        <v>43873</v>
      </c>
      <c r="C6" s="27">
        <v>43873</v>
      </c>
      <c r="D6" s="25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31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28</v>
      </c>
      <c r="C6" s="6" t="s">
        <v>18</v>
      </c>
      <c r="D6" s="6"/>
      <c r="E6" s="6">
        <v>2.5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32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7">
        <v>43873</v>
      </c>
      <c r="C6" s="27">
        <v>43873</v>
      </c>
      <c r="D6" s="25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29</v>
      </c>
      <c r="D3" s="4" t="s">
        <v>6</v>
      </c>
      <c r="E3" s="16" t="s">
        <v>33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IFERROR(__xludf.DUMMYFUNCTION("""COMPUTED_VALUE"""),"VerifyDailyCash")</f>
        <v>VerifyDailyCash</v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6" t="s">
        <v>24</v>
      </c>
      <c r="C6" s="6">
        <v>80</v>
      </c>
      <c r="D6" s="6"/>
      <c r="E6" s="4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6" t="s">
        <v>66</v>
      </c>
      <c r="C7" s="6">
        <v>100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35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IFERROR(__xludf.DUMMYFUNCTION("""COMPUTED_VALUE"""),"Balances as on date")</f>
        <v>Balances as on date</v>
      </c>
      <c r="E5" s="21" t="str">
        <f ca="1">IFERROR(__xludf.DUMMYFUNCTION("""COMPUTED_VALUE"""),"IsRunRevalOnGetAccountBalances")</f>
        <v>IsRunRevalOnGetAccountBalances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/>
      <c r="C6" s="26" t="s">
        <v>16</v>
      </c>
      <c r="D6" s="27">
        <v>43873</v>
      </c>
      <c r="E6" s="39" t="b">
        <v>1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36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/>
      <c r="C6" s="26" t="s">
        <v>16</v>
      </c>
      <c r="D6" s="27">
        <v>43871</v>
      </c>
      <c r="E6" s="27">
        <v>43873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37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IFERROR(__xludf.DUMMYFUNCTION("""COMPUTED_VALUE"""),"Date")</f>
        <v>Date</v>
      </c>
      <c r="C5" s="21" t="str">
        <f ca="1">IFERROR(__xludf.DUMMYFUNCTION("""COMPUTED_VALUE"""),"Account")</f>
        <v>Account</v>
      </c>
      <c r="D5" s="21" t="str">
        <f ca="1">IFERROR(__xludf.DUMMYFUNCTION("""COMPUTED_VALUE"""),"Symbol")</f>
        <v>Symbol</v>
      </c>
      <c r="E5" s="21" t="str">
        <f ca="1">IFERROR(__xludf.DUMMYFUNCTION("""COMPUTED_VALUE"""),"Currency")</f>
        <v>Currency</v>
      </c>
      <c r="F5" s="22" t="str">
        <f ca="1">IFERROR(__xludf.DUMMYFUNCTION("""COMPUTED_VALUE"""),"Cash Sub-Account")</f>
        <v>Cash Sub-Account</v>
      </c>
      <c r="G5" s="21" t="str">
        <f ca="1">IFERROR(__xludf.DUMMYFUNCTION("""COMPUTED_VALUE"""),"DR")</f>
        <v>DR</v>
      </c>
      <c r="H5" s="21" t="str">
        <f ca="1">IFERROR(__xludf.DUMMYFUNCTION("""COMPUTED_VALUE"""),"CR")</f>
        <v>CR</v>
      </c>
      <c r="I5" s="21" t="str">
        <f ca="1">IFERROR(__xludf.DUMMYFUNCTION("""COMPUTED_VALUE"""),"Modify Date")</f>
        <v>Modify Date</v>
      </c>
      <c r="J5" s="21" t="str">
        <f ca="1">IFERROR(__xludf.DUMMYFUNCTION("""COMPUTED_VALUE"""),"Entry Date")</f>
        <v>Entry Date</v>
      </c>
      <c r="K5" s="21" t="str">
        <f ca="1">IFERROR(__xludf.DUMMYFUNCTION("""COMPUTED_VALUE"""),"User")</f>
        <v>User</v>
      </c>
      <c r="L5" s="21" t="str">
        <f ca="1">IFERROR(__xludf.DUMMYFUNCTION("""COMPUTED_VALUE"""),"Fx Rate")</f>
        <v>Fx Rate</v>
      </c>
      <c r="M5" s="21" t="str">
        <f ca="1">IFERROR(__xludf.DUMMYFUNCTION("""COMPUTED_VALUE"""),"FX Conversion Method Operator")</f>
        <v>FX Conversion Method Operator</v>
      </c>
      <c r="N5" s="21" t="str">
        <f ca="1">IFERROR(__xludf.DUMMYFUNCTION("""COMPUTED_VALUE"""),"Account Side")</f>
        <v>Account Side</v>
      </c>
      <c r="O5" s="21" t="str">
        <f ca="1">IFERROR(__xludf.DUMMYFUNCTION("""COMPUTED_VALUE"""),"TransactionSource")</f>
        <v>TransactionSource</v>
      </c>
      <c r="P5" s="21" t="str">
        <f ca="1">IFERROR(__xludf.DUMMYFUNCTION("""COMPUTED_VALUE"""),"Base Currency")</f>
        <v>Base Currency</v>
      </c>
      <c r="Q5" s="21" t="str">
        <f ca="1">IFERROR(__xludf.DUMMYFUNCTION("""COMPUTED_VALUE"""),"Description")</f>
        <v>Description</v>
      </c>
      <c r="R5" s="21" t="str">
        <f ca="1">IFERROR(__xludf.DUMMYFUNCTION("""COMPUTED_VALUE"""),"DR (Base)")</f>
        <v>DR (Base)</v>
      </c>
      <c r="S5" s="21" t="str">
        <f ca="1">IFERROR(__xludf.DUMMYFUNCTION("""COMPUTED_VALUE"""),"CR (Base)")</f>
        <v>CR (Base)</v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40">
        <v>43871</v>
      </c>
      <c r="C6" s="36" t="s">
        <v>16</v>
      </c>
      <c r="D6" s="36" t="s">
        <v>24</v>
      </c>
      <c r="E6" s="36" t="s">
        <v>28</v>
      </c>
      <c r="F6" s="36" t="s">
        <v>19</v>
      </c>
      <c r="G6" s="36">
        <v>7360</v>
      </c>
      <c r="H6" s="36">
        <v>0</v>
      </c>
      <c r="I6" s="2"/>
      <c r="J6" s="2"/>
      <c r="K6" s="2"/>
      <c r="L6" s="36">
        <v>1.1000000000000001</v>
      </c>
      <c r="M6" s="36" t="s">
        <v>20</v>
      </c>
      <c r="N6" s="36" t="s">
        <v>40</v>
      </c>
      <c r="O6" s="36" t="s">
        <v>41</v>
      </c>
      <c r="P6" s="36" t="s">
        <v>18</v>
      </c>
      <c r="Q6" s="36" t="s">
        <v>46</v>
      </c>
      <c r="R6" s="36">
        <v>8096</v>
      </c>
      <c r="S6" s="36">
        <v>0</v>
      </c>
    </row>
    <row r="7" spans="1:154" ht="15.75" customHeight="1" x14ac:dyDescent="0.2">
      <c r="A7" s="2"/>
      <c r="B7" s="40">
        <v>43871</v>
      </c>
      <c r="C7" s="36" t="s">
        <v>16</v>
      </c>
      <c r="D7" s="36" t="s">
        <v>24</v>
      </c>
      <c r="E7" s="36" t="s">
        <v>28</v>
      </c>
      <c r="F7" s="36" t="s">
        <v>47</v>
      </c>
      <c r="G7" s="36">
        <v>0</v>
      </c>
      <c r="H7" s="36">
        <v>7360</v>
      </c>
      <c r="I7" s="2"/>
      <c r="J7" s="2"/>
      <c r="K7" s="2"/>
      <c r="L7" s="36">
        <v>1.1000000000000001</v>
      </c>
      <c r="M7" s="36" t="s">
        <v>20</v>
      </c>
      <c r="N7" s="36" t="s">
        <v>44</v>
      </c>
      <c r="O7" s="36" t="s">
        <v>41</v>
      </c>
      <c r="P7" s="36" t="s">
        <v>18</v>
      </c>
      <c r="Q7" s="36" t="s">
        <v>46</v>
      </c>
      <c r="R7" s="36">
        <v>0</v>
      </c>
      <c r="S7" s="36">
        <v>8096</v>
      </c>
    </row>
    <row r="8" spans="1:154" ht="15.75" customHeight="1" x14ac:dyDescent="0.2">
      <c r="A8" s="2"/>
      <c r="B8" s="40">
        <v>43871</v>
      </c>
      <c r="C8" s="36" t="s">
        <v>16</v>
      </c>
      <c r="D8" s="36" t="s">
        <v>24</v>
      </c>
      <c r="E8" s="36" t="s">
        <v>28</v>
      </c>
      <c r="F8" s="36" t="s">
        <v>47</v>
      </c>
      <c r="G8" s="36">
        <v>7360</v>
      </c>
      <c r="H8" s="36">
        <v>0</v>
      </c>
      <c r="I8" s="2"/>
      <c r="J8" s="2"/>
      <c r="K8" s="2"/>
      <c r="L8" s="36">
        <v>1.5</v>
      </c>
      <c r="M8" s="36" t="s">
        <v>20</v>
      </c>
      <c r="N8" s="36" t="s">
        <v>40</v>
      </c>
      <c r="O8" s="36" t="s">
        <v>41</v>
      </c>
      <c r="P8" s="36" t="s">
        <v>18</v>
      </c>
      <c r="Q8" s="36" t="s">
        <v>48</v>
      </c>
      <c r="R8" s="36">
        <v>11040</v>
      </c>
      <c r="S8" s="36">
        <v>0</v>
      </c>
    </row>
    <row r="9" spans="1:154" ht="15.75" customHeight="1" x14ac:dyDescent="0.2">
      <c r="A9" s="2"/>
      <c r="B9" s="40">
        <v>43871</v>
      </c>
      <c r="C9" s="36" t="s">
        <v>16</v>
      </c>
      <c r="D9" s="36" t="s">
        <v>24</v>
      </c>
      <c r="E9" s="36" t="s">
        <v>28</v>
      </c>
      <c r="F9" s="36" t="s">
        <v>19</v>
      </c>
      <c r="G9" s="36">
        <v>0</v>
      </c>
      <c r="H9" s="36">
        <v>7360</v>
      </c>
      <c r="I9" s="2"/>
      <c r="J9" s="2"/>
      <c r="K9" s="2"/>
      <c r="L9" s="36">
        <v>1.5</v>
      </c>
      <c r="M9" s="36" t="s">
        <v>20</v>
      </c>
      <c r="N9" s="36" t="s">
        <v>44</v>
      </c>
      <c r="O9" s="36" t="s">
        <v>41</v>
      </c>
      <c r="P9" s="36" t="s">
        <v>18</v>
      </c>
      <c r="Q9" s="36" t="s">
        <v>48</v>
      </c>
      <c r="R9" s="36">
        <v>0</v>
      </c>
      <c r="S9" s="36">
        <v>11040</v>
      </c>
    </row>
    <row r="10" spans="1:154" ht="15.75" customHeight="1" x14ac:dyDescent="0.2">
      <c r="A10" s="2"/>
      <c r="B10" s="40">
        <v>43872</v>
      </c>
      <c r="C10" s="36" t="s">
        <v>16</v>
      </c>
      <c r="D10" s="36" t="s">
        <v>24</v>
      </c>
      <c r="E10" s="36" t="s">
        <v>28</v>
      </c>
      <c r="F10" s="36" t="s">
        <v>39</v>
      </c>
      <c r="G10" s="36">
        <v>515</v>
      </c>
      <c r="H10" s="36">
        <v>0</v>
      </c>
      <c r="I10" s="2"/>
      <c r="J10" s="2"/>
      <c r="K10" s="2"/>
      <c r="L10" s="36">
        <v>2</v>
      </c>
      <c r="M10" s="36" t="s">
        <v>20</v>
      </c>
      <c r="N10" s="36" t="s">
        <v>40</v>
      </c>
      <c r="O10" s="36" t="s">
        <v>41</v>
      </c>
      <c r="P10" s="36" t="s">
        <v>18</v>
      </c>
      <c r="Q10" s="36" t="s">
        <v>42</v>
      </c>
      <c r="R10" s="36">
        <v>1030</v>
      </c>
      <c r="S10" s="36">
        <v>0</v>
      </c>
    </row>
    <row r="11" spans="1:154" ht="15.75" customHeight="1" x14ac:dyDescent="0.2">
      <c r="A11" s="2"/>
      <c r="B11" s="40">
        <v>43872</v>
      </c>
      <c r="C11" s="36" t="s">
        <v>16</v>
      </c>
      <c r="D11" s="36" t="s">
        <v>24</v>
      </c>
      <c r="E11" s="36" t="s">
        <v>28</v>
      </c>
      <c r="F11" s="36" t="s">
        <v>43</v>
      </c>
      <c r="G11" s="36">
        <v>0</v>
      </c>
      <c r="H11" s="36">
        <v>515</v>
      </c>
      <c r="I11" s="2"/>
      <c r="J11" s="2"/>
      <c r="K11" s="2"/>
      <c r="L11" s="36">
        <v>2</v>
      </c>
      <c r="M11" s="36" t="s">
        <v>20</v>
      </c>
      <c r="N11" s="36" t="s">
        <v>44</v>
      </c>
      <c r="O11" s="36" t="s">
        <v>41</v>
      </c>
      <c r="P11" s="36" t="s">
        <v>18</v>
      </c>
      <c r="Q11" s="36" t="s">
        <v>42</v>
      </c>
      <c r="R11" s="36">
        <v>0</v>
      </c>
      <c r="S11" s="36">
        <v>1030</v>
      </c>
    </row>
    <row r="12" spans="1:154" ht="15.75" customHeight="1" x14ac:dyDescent="0.2">
      <c r="A12" s="2"/>
      <c r="B12" s="40">
        <v>43872</v>
      </c>
      <c r="C12" s="36" t="s">
        <v>16</v>
      </c>
      <c r="D12" s="36" t="s">
        <v>28</v>
      </c>
      <c r="E12" s="36" t="s">
        <v>18</v>
      </c>
      <c r="F12" s="36" t="s">
        <v>39</v>
      </c>
      <c r="G12" s="36">
        <v>6624</v>
      </c>
      <c r="H12" s="36">
        <v>0</v>
      </c>
      <c r="I12" s="2"/>
      <c r="J12" s="2"/>
      <c r="K12" s="2"/>
      <c r="L12" s="36">
        <v>1</v>
      </c>
      <c r="M12" s="36" t="s">
        <v>20</v>
      </c>
      <c r="N12" s="36" t="s">
        <v>40</v>
      </c>
      <c r="O12" s="36" t="s">
        <v>41</v>
      </c>
      <c r="P12" s="36" t="s">
        <v>18</v>
      </c>
      <c r="Q12" s="36" t="s">
        <v>42</v>
      </c>
      <c r="R12" s="36">
        <v>6624</v>
      </c>
      <c r="S12" s="36">
        <v>0</v>
      </c>
    </row>
    <row r="13" spans="1:154" ht="15.75" customHeight="1" x14ac:dyDescent="0.2">
      <c r="A13" s="2"/>
      <c r="B13" s="40">
        <v>43872</v>
      </c>
      <c r="C13" s="36" t="s">
        <v>16</v>
      </c>
      <c r="D13" s="36" t="s">
        <v>28</v>
      </c>
      <c r="E13" s="36" t="s">
        <v>18</v>
      </c>
      <c r="F13" s="36" t="s">
        <v>43</v>
      </c>
      <c r="G13" s="36">
        <v>0</v>
      </c>
      <c r="H13" s="36">
        <v>6624</v>
      </c>
      <c r="I13" s="2"/>
      <c r="J13" s="2"/>
      <c r="K13" s="2"/>
      <c r="L13" s="36">
        <v>1</v>
      </c>
      <c r="M13" s="36" t="s">
        <v>20</v>
      </c>
      <c r="N13" s="36" t="s">
        <v>44</v>
      </c>
      <c r="O13" s="36" t="s">
        <v>41</v>
      </c>
      <c r="P13" s="36" t="s">
        <v>18</v>
      </c>
      <c r="Q13" s="36" t="s">
        <v>42</v>
      </c>
      <c r="R13" s="36">
        <v>0</v>
      </c>
      <c r="S13" s="36">
        <v>6624</v>
      </c>
    </row>
    <row r="14" spans="1:154" ht="15.75" customHeight="1" x14ac:dyDescent="0.2">
      <c r="A14" s="2"/>
      <c r="B14" s="40">
        <v>43872</v>
      </c>
      <c r="C14" s="36" t="s">
        <v>16</v>
      </c>
      <c r="D14" s="36" t="s">
        <v>24</v>
      </c>
      <c r="E14" s="36" t="s">
        <v>28</v>
      </c>
      <c r="F14" s="36" t="s">
        <v>43</v>
      </c>
      <c r="G14" s="36">
        <v>515</v>
      </c>
      <c r="H14" s="36">
        <v>0</v>
      </c>
      <c r="I14" s="2"/>
      <c r="J14" s="2"/>
      <c r="K14" s="2"/>
      <c r="L14" s="36">
        <v>1.5</v>
      </c>
      <c r="M14" s="36" t="s">
        <v>20</v>
      </c>
      <c r="N14" s="36" t="s">
        <v>40</v>
      </c>
      <c r="O14" s="36" t="s">
        <v>41</v>
      </c>
      <c r="P14" s="36" t="s">
        <v>18</v>
      </c>
      <c r="Q14" s="36" t="s">
        <v>45</v>
      </c>
      <c r="R14" s="36">
        <v>772.5</v>
      </c>
      <c r="S14" s="36">
        <v>0</v>
      </c>
    </row>
    <row r="15" spans="1:154" ht="15.75" customHeight="1" x14ac:dyDescent="0.2">
      <c r="A15" s="2"/>
      <c r="B15" s="40">
        <v>43872</v>
      </c>
      <c r="C15" s="36" t="s">
        <v>16</v>
      </c>
      <c r="D15" s="36" t="s">
        <v>24</v>
      </c>
      <c r="E15" s="36" t="s">
        <v>28</v>
      </c>
      <c r="F15" s="36" t="s">
        <v>39</v>
      </c>
      <c r="G15" s="36">
        <v>0</v>
      </c>
      <c r="H15" s="36">
        <v>515</v>
      </c>
      <c r="I15" s="2"/>
      <c r="J15" s="2"/>
      <c r="K15" s="2"/>
      <c r="L15" s="36">
        <v>1.5</v>
      </c>
      <c r="M15" s="36" t="s">
        <v>20</v>
      </c>
      <c r="N15" s="36" t="s">
        <v>44</v>
      </c>
      <c r="O15" s="36" t="s">
        <v>41</v>
      </c>
      <c r="P15" s="36" t="s">
        <v>18</v>
      </c>
      <c r="Q15" s="36" t="s">
        <v>45</v>
      </c>
      <c r="R15" s="36">
        <v>0</v>
      </c>
      <c r="S15" s="36">
        <v>772.5</v>
      </c>
    </row>
    <row r="16" spans="1:154" ht="15.75" customHeight="1" x14ac:dyDescent="0.2">
      <c r="A16" s="2"/>
      <c r="B16" s="40">
        <v>43872</v>
      </c>
      <c r="C16" s="36" t="s">
        <v>16</v>
      </c>
      <c r="D16" s="36" t="s">
        <v>28</v>
      </c>
      <c r="E16" s="36" t="s">
        <v>18</v>
      </c>
      <c r="F16" s="36" t="s">
        <v>43</v>
      </c>
      <c r="G16" s="36">
        <v>2944</v>
      </c>
      <c r="H16" s="36">
        <v>0</v>
      </c>
      <c r="I16" s="2"/>
      <c r="J16" s="2"/>
      <c r="K16" s="2"/>
      <c r="L16" s="36">
        <v>1</v>
      </c>
      <c r="M16" s="36" t="s">
        <v>20</v>
      </c>
      <c r="N16" s="36" t="s">
        <v>40</v>
      </c>
      <c r="O16" s="36" t="s">
        <v>41</v>
      </c>
      <c r="P16" s="36" t="s">
        <v>18</v>
      </c>
      <c r="Q16" s="36" t="s">
        <v>45</v>
      </c>
      <c r="R16" s="36">
        <v>2944</v>
      </c>
      <c r="S16" s="36">
        <v>0</v>
      </c>
    </row>
    <row r="17" spans="1:19" ht="15.75" customHeight="1" x14ac:dyDescent="0.2">
      <c r="A17" s="2"/>
      <c r="B17" s="40">
        <v>43872</v>
      </c>
      <c r="C17" s="36" t="s">
        <v>16</v>
      </c>
      <c r="D17" s="36" t="s">
        <v>28</v>
      </c>
      <c r="E17" s="36" t="s">
        <v>18</v>
      </c>
      <c r="F17" s="36" t="s">
        <v>39</v>
      </c>
      <c r="G17" s="36">
        <v>0</v>
      </c>
      <c r="H17" s="36">
        <v>2944</v>
      </c>
      <c r="I17" s="2"/>
      <c r="J17" s="2"/>
      <c r="K17" s="2"/>
      <c r="L17" s="36">
        <v>1</v>
      </c>
      <c r="M17" s="36" t="s">
        <v>20</v>
      </c>
      <c r="N17" s="36" t="s">
        <v>44</v>
      </c>
      <c r="O17" s="36" t="s">
        <v>41</v>
      </c>
      <c r="P17" s="36" t="s">
        <v>18</v>
      </c>
      <c r="Q17" s="36" t="s">
        <v>45</v>
      </c>
      <c r="R17" s="36">
        <v>0</v>
      </c>
      <c r="S17" s="36">
        <v>2944</v>
      </c>
    </row>
    <row r="18" spans="1:19" ht="15.75" customHeight="1" x14ac:dyDescent="0.2">
      <c r="A18" s="2"/>
      <c r="B18" s="40">
        <v>43873</v>
      </c>
      <c r="C18" s="36" t="s">
        <v>16</v>
      </c>
      <c r="D18" s="36" t="s">
        <v>24</v>
      </c>
      <c r="E18" s="36" t="s">
        <v>28</v>
      </c>
      <c r="F18" s="36" t="s">
        <v>39</v>
      </c>
      <c r="G18" s="36">
        <v>3800</v>
      </c>
      <c r="H18" s="36">
        <v>0</v>
      </c>
      <c r="I18" s="2"/>
      <c r="J18" s="2"/>
      <c r="K18" s="2"/>
      <c r="L18" s="36">
        <v>2.5</v>
      </c>
      <c r="M18" s="36" t="s">
        <v>20</v>
      </c>
      <c r="N18" s="36" t="s">
        <v>40</v>
      </c>
      <c r="O18" s="36" t="s">
        <v>41</v>
      </c>
      <c r="P18" s="36" t="s">
        <v>18</v>
      </c>
      <c r="Q18" s="36" t="s">
        <v>42</v>
      </c>
      <c r="R18" s="36">
        <v>9500</v>
      </c>
      <c r="S18" s="36">
        <v>0</v>
      </c>
    </row>
    <row r="19" spans="1:19" ht="15.75" customHeight="1" x14ac:dyDescent="0.2">
      <c r="A19" s="2"/>
      <c r="B19" s="40">
        <v>43873</v>
      </c>
      <c r="C19" s="36" t="s">
        <v>16</v>
      </c>
      <c r="D19" s="36" t="s">
        <v>24</v>
      </c>
      <c r="E19" s="36" t="s">
        <v>28</v>
      </c>
      <c r="F19" s="36" t="s">
        <v>43</v>
      </c>
      <c r="G19" s="36">
        <v>0</v>
      </c>
      <c r="H19" s="36">
        <v>3800</v>
      </c>
      <c r="I19" s="2"/>
      <c r="J19" s="2"/>
      <c r="K19" s="2"/>
      <c r="L19" s="36">
        <v>2.5</v>
      </c>
      <c r="M19" s="36" t="s">
        <v>20</v>
      </c>
      <c r="N19" s="36" t="s">
        <v>44</v>
      </c>
      <c r="O19" s="36" t="s">
        <v>41</v>
      </c>
      <c r="P19" s="36" t="s">
        <v>18</v>
      </c>
      <c r="Q19" s="36" t="s">
        <v>42</v>
      </c>
      <c r="R19" s="36">
        <v>0</v>
      </c>
      <c r="S19" s="36">
        <v>9500</v>
      </c>
    </row>
    <row r="20" spans="1:19" ht="15.75" customHeight="1" x14ac:dyDescent="0.2">
      <c r="A20" s="2"/>
      <c r="B20" s="40">
        <v>43873</v>
      </c>
      <c r="C20" s="36" t="s">
        <v>16</v>
      </c>
      <c r="D20" s="36" t="s">
        <v>28</v>
      </c>
      <c r="E20" s="36" t="s">
        <v>18</v>
      </c>
      <c r="F20" s="36" t="s">
        <v>39</v>
      </c>
      <c r="G20" s="36">
        <v>10304</v>
      </c>
      <c r="H20" s="36">
        <v>0</v>
      </c>
      <c r="I20" s="2"/>
      <c r="J20" s="2"/>
      <c r="K20" s="2"/>
      <c r="L20" s="36">
        <v>1</v>
      </c>
      <c r="M20" s="36" t="s">
        <v>20</v>
      </c>
      <c r="N20" s="36" t="s">
        <v>40</v>
      </c>
      <c r="O20" s="36" t="s">
        <v>41</v>
      </c>
      <c r="P20" s="36" t="s">
        <v>18</v>
      </c>
      <c r="Q20" s="36" t="s">
        <v>42</v>
      </c>
      <c r="R20" s="36">
        <v>10304</v>
      </c>
      <c r="S20" s="36">
        <v>0</v>
      </c>
    </row>
    <row r="21" spans="1:19" ht="15.75" customHeight="1" x14ac:dyDescent="0.2">
      <c r="A21" s="2"/>
      <c r="B21" s="40">
        <v>43873</v>
      </c>
      <c r="C21" s="36" t="s">
        <v>16</v>
      </c>
      <c r="D21" s="36" t="s">
        <v>28</v>
      </c>
      <c r="E21" s="36" t="s">
        <v>18</v>
      </c>
      <c r="F21" s="36" t="s">
        <v>43</v>
      </c>
      <c r="G21" s="36">
        <v>0</v>
      </c>
      <c r="H21" s="36">
        <v>10304</v>
      </c>
      <c r="I21" s="2"/>
      <c r="J21" s="2"/>
      <c r="K21" s="2"/>
      <c r="L21" s="36">
        <v>1</v>
      </c>
      <c r="M21" s="36" t="s">
        <v>20</v>
      </c>
      <c r="N21" s="36" t="s">
        <v>44</v>
      </c>
      <c r="O21" s="36" t="s">
        <v>41</v>
      </c>
      <c r="P21" s="36" t="s">
        <v>18</v>
      </c>
      <c r="Q21" s="36" t="s">
        <v>42</v>
      </c>
      <c r="R21" s="36">
        <v>0</v>
      </c>
      <c r="S21" s="36">
        <v>10304</v>
      </c>
    </row>
    <row r="22" spans="1:19" ht="15.75" customHeight="1" x14ac:dyDescent="0.2">
      <c r="A22" s="2"/>
      <c r="B22" s="40">
        <v>43873</v>
      </c>
      <c r="C22" s="36" t="s">
        <v>16</v>
      </c>
      <c r="D22" s="36" t="s">
        <v>66</v>
      </c>
      <c r="E22" s="36" t="s">
        <v>28</v>
      </c>
      <c r="F22" s="36" t="s">
        <v>39</v>
      </c>
      <c r="G22" s="36">
        <v>705</v>
      </c>
      <c r="H22" s="36">
        <v>0</v>
      </c>
      <c r="I22" s="2"/>
      <c r="J22" s="2"/>
      <c r="K22" s="2"/>
      <c r="L22" s="36">
        <v>2.5</v>
      </c>
      <c r="M22" s="36" t="s">
        <v>20</v>
      </c>
      <c r="N22" s="36" t="s">
        <v>40</v>
      </c>
      <c r="O22" s="36" t="s">
        <v>41</v>
      </c>
      <c r="P22" s="36" t="s">
        <v>18</v>
      </c>
      <c r="Q22" s="36" t="s">
        <v>42</v>
      </c>
      <c r="R22" s="36">
        <v>1762.5</v>
      </c>
      <c r="S22" s="36">
        <v>0</v>
      </c>
    </row>
    <row r="23" spans="1:19" ht="15.75" customHeight="1" x14ac:dyDescent="0.2">
      <c r="A23" s="2"/>
      <c r="B23" s="40">
        <v>43873</v>
      </c>
      <c r="C23" s="36" t="s">
        <v>16</v>
      </c>
      <c r="D23" s="36" t="s">
        <v>66</v>
      </c>
      <c r="E23" s="36" t="s">
        <v>28</v>
      </c>
      <c r="F23" s="36" t="s">
        <v>43</v>
      </c>
      <c r="G23" s="36">
        <v>0</v>
      </c>
      <c r="H23" s="36">
        <v>705</v>
      </c>
      <c r="I23" s="2"/>
      <c r="J23" s="2"/>
      <c r="K23" s="2"/>
      <c r="L23" s="36">
        <v>2.5</v>
      </c>
      <c r="M23" s="36" t="s">
        <v>20</v>
      </c>
      <c r="N23" s="36" t="s">
        <v>44</v>
      </c>
      <c r="O23" s="36" t="s">
        <v>41</v>
      </c>
      <c r="P23" s="36" t="s">
        <v>18</v>
      </c>
      <c r="Q23" s="36" t="s">
        <v>42</v>
      </c>
      <c r="R23" s="36">
        <v>0</v>
      </c>
      <c r="S23" s="36">
        <v>1762.5</v>
      </c>
    </row>
    <row r="24" spans="1:19" ht="15.75" customHeight="1" x14ac:dyDescent="0.2">
      <c r="A24" s="2"/>
      <c r="B24" s="40">
        <v>43873</v>
      </c>
      <c r="C24" s="36" t="s">
        <v>16</v>
      </c>
      <c r="D24" s="36" t="s">
        <v>24</v>
      </c>
      <c r="E24" s="36" t="s">
        <v>28</v>
      </c>
      <c r="F24" s="36" t="s">
        <v>43</v>
      </c>
      <c r="G24" s="36">
        <v>515</v>
      </c>
      <c r="H24" s="36">
        <v>0</v>
      </c>
      <c r="I24" s="2"/>
      <c r="J24" s="2"/>
      <c r="K24" s="2"/>
      <c r="L24" s="36">
        <v>2</v>
      </c>
      <c r="M24" s="36" t="s">
        <v>20</v>
      </c>
      <c r="N24" s="36" t="s">
        <v>40</v>
      </c>
      <c r="O24" s="36" t="s">
        <v>41</v>
      </c>
      <c r="P24" s="36" t="s">
        <v>18</v>
      </c>
      <c r="Q24" s="36" t="s">
        <v>45</v>
      </c>
      <c r="R24" s="36">
        <v>1030</v>
      </c>
      <c r="S24" s="36">
        <v>0</v>
      </c>
    </row>
    <row r="25" spans="1:19" ht="15.75" customHeight="1" x14ac:dyDescent="0.2">
      <c r="A25" s="2"/>
      <c r="B25" s="40">
        <v>43873</v>
      </c>
      <c r="C25" s="36" t="s">
        <v>16</v>
      </c>
      <c r="D25" s="36" t="s">
        <v>24</v>
      </c>
      <c r="E25" s="36" t="s">
        <v>28</v>
      </c>
      <c r="F25" s="36" t="s">
        <v>39</v>
      </c>
      <c r="G25" s="36">
        <v>0</v>
      </c>
      <c r="H25" s="36">
        <v>515</v>
      </c>
      <c r="I25" s="2"/>
      <c r="J25" s="2"/>
      <c r="K25" s="2"/>
      <c r="L25" s="36">
        <v>2</v>
      </c>
      <c r="M25" s="36" t="s">
        <v>20</v>
      </c>
      <c r="N25" s="36" t="s">
        <v>44</v>
      </c>
      <c r="O25" s="36" t="s">
        <v>41</v>
      </c>
      <c r="P25" s="36" t="s">
        <v>18</v>
      </c>
      <c r="Q25" s="36" t="s">
        <v>45</v>
      </c>
      <c r="R25" s="36">
        <v>0</v>
      </c>
      <c r="S25" s="36">
        <v>1030</v>
      </c>
    </row>
    <row r="26" spans="1:19" ht="15.75" customHeight="1" x14ac:dyDescent="0.2">
      <c r="A26" s="2"/>
      <c r="B26" s="40">
        <v>43873</v>
      </c>
      <c r="C26" s="36" t="s">
        <v>16</v>
      </c>
      <c r="D26" s="36" t="s">
        <v>28</v>
      </c>
      <c r="E26" s="36" t="s">
        <v>18</v>
      </c>
      <c r="F26" s="36" t="s">
        <v>43</v>
      </c>
      <c r="G26" s="36">
        <v>6624</v>
      </c>
      <c r="H26" s="36">
        <v>0</v>
      </c>
      <c r="I26" s="2"/>
      <c r="J26" s="2"/>
      <c r="K26" s="2"/>
      <c r="L26" s="36">
        <v>1</v>
      </c>
      <c r="M26" s="36" t="s">
        <v>20</v>
      </c>
      <c r="N26" s="36" t="s">
        <v>40</v>
      </c>
      <c r="O26" s="36" t="s">
        <v>41</v>
      </c>
      <c r="P26" s="36" t="s">
        <v>18</v>
      </c>
      <c r="Q26" s="36" t="s">
        <v>45</v>
      </c>
      <c r="R26" s="36">
        <v>6624</v>
      </c>
      <c r="S26" s="36">
        <v>0</v>
      </c>
    </row>
    <row r="27" spans="1:19" ht="15.75" customHeight="1" x14ac:dyDescent="0.2">
      <c r="B27" s="40">
        <v>43873</v>
      </c>
      <c r="C27" s="36" t="s">
        <v>16</v>
      </c>
      <c r="D27" s="36" t="s">
        <v>28</v>
      </c>
      <c r="E27" s="36" t="s">
        <v>18</v>
      </c>
      <c r="F27" s="36" t="s">
        <v>39</v>
      </c>
      <c r="G27" s="36">
        <v>0</v>
      </c>
      <c r="H27" s="36">
        <v>6624</v>
      </c>
      <c r="L27" s="36">
        <v>1</v>
      </c>
      <c r="M27" s="36" t="s">
        <v>20</v>
      </c>
      <c r="N27" s="36" t="s">
        <v>44</v>
      </c>
      <c r="O27" s="36" t="s">
        <v>41</v>
      </c>
      <c r="P27" s="36" t="s">
        <v>18</v>
      </c>
      <c r="Q27" s="36" t="s">
        <v>45</v>
      </c>
      <c r="R27" s="36">
        <v>0</v>
      </c>
      <c r="S27" s="36">
        <v>6624</v>
      </c>
    </row>
    <row r="28" spans="1:19" ht="15.75" customHeight="1" x14ac:dyDescent="0.2">
      <c r="B28" s="40">
        <v>43871</v>
      </c>
      <c r="C28" s="36" t="s">
        <v>16</v>
      </c>
      <c r="D28" s="36" t="s">
        <v>24</v>
      </c>
      <c r="E28" s="36" t="s">
        <v>28</v>
      </c>
      <c r="F28" s="36" t="s">
        <v>39</v>
      </c>
      <c r="G28" s="36">
        <v>515</v>
      </c>
      <c r="H28" s="36">
        <v>0</v>
      </c>
      <c r="L28" s="36">
        <v>1.5</v>
      </c>
      <c r="M28" s="36" t="s">
        <v>20</v>
      </c>
      <c r="N28" s="36" t="s">
        <v>40</v>
      </c>
      <c r="O28" s="36" t="s">
        <v>41</v>
      </c>
      <c r="P28" s="36" t="s">
        <v>18</v>
      </c>
      <c r="Q28" s="36" t="s">
        <v>42</v>
      </c>
      <c r="R28" s="36">
        <v>772.5</v>
      </c>
      <c r="S28" s="36">
        <v>0</v>
      </c>
    </row>
    <row r="29" spans="1:19" ht="15.75" customHeight="1" x14ac:dyDescent="0.2">
      <c r="B29" s="40">
        <v>43871</v>
      </c>
      <c r="C29" s="36" t="s">
        <v>16</v>
      </c>
      <c r="D29" s="36" t="s">
        <v>24</v>
      </c>
      <c r="E29" s="36" t="s">
        <v>28</v>
      </c>
      <c r="F29" s="36" t="s">
        <v>43</v>
      </c>
      <c r="G29" s="36">
        <v>0</v>
      </c>
      <c r="H29" s="36">
        <v>515</v>
      </c>
      <c r="L29" s="36">
        <v>1.5</v>
      </c>
      <c r="M29" s="36" t="s">
        <v>20</v>
      </c>
      <c r="N29" s="36" t="s">
        <v>44</v>
      </c>
      <c r="O29" s="36" t="s">
        <v>41</v>
      </c>
      <c r="P29" s="36" t="s">
        <v>18</v>
      </c>
      <c r="Q29" s="36" t="s">
        <v>42</v>
      </c>
      <c r="R29" s="36">
        <v>0</v>
      </c>
      <c r="S29" s="36">
        <v>772.5</v>
      </c>
    </row>
    <row r="30" spans="1:19" ht="15.75" customHeight="1" x14ac:dyDescent="0.2">
      <c r="B30" s="40">
        <v>43871</v>
      </c>
      <c r="C30" s="36" t="s">
        <v>16</v>
      </c>
      <c r="D30" s="36" t="s">
        <v>28</v>
      </c>
      <c r="E30" s="36" t="s">
        <v>18</v>
      </c>
      <c r="F30" s="36" t="s">
        <v>39</v>
      </c>
      <c r="G30" s="36">
        <v>2944</v>
      </c>
      <c r="H30" s="36">
        <v>0</v>
      </c>
      <c r="L30" s="36">
        <v>1</v>
      </c>
      <c r="M30" s="36" t="s">
        <v>20</v>
      </c>
      <c r="N30" s="36" t="s">
        <v>40</v>
      </c>
      <c r="O30" s="36" t="s">
        <v>41</v>
      </c>
      <c r="P30" s="36" t="s">
        <v>18</v>
      </c>
      <c r="Q30" s="36" t="s">
        <v>42</v>
      </c>
      <c r="R30" s="36">
        <v>2944</v>
      </c>
      <c r="S30" s="36">
        <v>0</v>
      </c>
    </row>
    <row r="31" spans="1:19" ht="15.75" customHeight="1" x14ac:dyDescent="0.2">
      <c r="B31" s="40">
        <v>43871</v>
      </c>
      <c r="C31" s="36" t="s">
        <v>16</v>
      </c>
      <c r="D31" s="36" t="s">
        <v>28</v>
      </c>
      <c r="E31" s="36" t="s">
        <v>18</v>
      </c>
      <c r="F31" s="36" t="s">
        <v>43</v>
      </c>
      <c r="G31" s="36">
        <v>0</v>
      </c>
      <c r="H31" s="36">
        <v>2944</v>
      </c>
      <c r="L31" s="36">
        <v>1</v>
      </c>
      <c r="M31" s="36" t="s">
        <v>20</v>
      </c>
      <c r="N31" s="36" t="s">
        <v>44</v>
      </c>
      <c r="O31" s="36" t="s">
        <v>41</v>
      </c>
      <c r="P31" s="36" t="s">
        <v>18</v>
      </c>
      <c r="Q31" s="36" t="s">
        <v>42</v>
      </c>
      <c r="R31" s="36">
        <v>0</v>
      </c>
      <c r="S31" s="36">
        <v>2944</v>
      </c>
    </row>
    <row r="32" spans="1:19" ht="15.75" customHeight="1" x14ac:dyDescent="0.2">
      <c r="B32" s="40">
        <v>43872</v>
      </c>
      <c r="C32" s="36" t="s">
        <v>16</v>
      </c>
      <c r="D32" s="36" t="s">
        <v>28</v>
      </c>
      <c r="E32" s="36" t="s">
        <v>28</v>
      </c>
      <c r="F32" s="36" t="s">
        <v>47</v>
      </c>
      <c r="G32" s="36">
        <v>7360</v>
      </c>
      <c r="H32" s="36">
        <v>0</v>
      </c>
      <c r="L32" s="36">
        <v>2</v>
      </c>
      <c r="M32" s="36" t="s">
        <v>20</v>
      </c>
      <c r="N32" s="36" t="s">
        <v>40</v>
      </c>
      <c r="O32" s="36" t="s">
        <v>41</v>
      </c>
      <c r="P32" s="36" t="s">
        <v>18</v>
      </c>
      <c r="Q32" s="36" t="s">
        <v>49</v>
      </c>
      <c r="R32" s="36">
        <v>14720</v>
      </c>
      <c r="S32" s="36">
        <v>0</v>
      </c>
    </row>
    <row r="33" spans="2:19" ht="15.75" customHeight="1" x14ac:dyDescent="0.2">
      <c r="B33" s="40">
        <v>43872</v>
      </c>
      <c r="C33" s="36" t="s">
        <v>16</v>
      </c>
      <c r="D33" s="36" t="s">
        <v>28</v>
      </c>
      <c r="E33" s="36" t="s">
        <v>28</v>
      </c>
      <c r="F33" s="36" t="s">
        <v>19</v>
      </c>
      <c r="G33" s="36">
        <v>0</v>
      </c>
      <c r="H33" s="36">
        <v>7360</v>
      </c>
      <c r="L33" s="36">
        <v>2</v>
      </c>
      <c r="M33" s="36" t="s">
        <v>20</v>
      </c>
      <c r="N33" s="36" t="s">
        <v>44</v>
      </c>
      <c r="O33" s="36" t="s">
        <v>41</v>
      </c>
      <c r="P33" s="36" t="s">
        <v>18</v>
      </c>
      <c r="Q33" s="36" t="s">
        <v>49</v>
      </c>
      <c r="R33" s="36">
        <v>0</v>
      </c>
      <c r="S33" s="36">
        <v>14720</v>
      </c>
    </row>
    <row r="34" spans="2:19" ht="15.75" customHeight="1" x14ac:dyDescent="0.2">
      <c r="B34" s="40">
        <v>43872</v>
      </c>
      <c r="C34" s="36" t="s">
        <v>16</v>
      </c>
      <c r="D34" s="36" t="s">
        <v>28</v>
      </c>
      <c r="E34" s="36" t="s">
        <v>28</v>
      </c>
      <c r="F34" s="36" t="s">
        <v>19</v>
      </c>
      <c r="G34" s="36">
        <v>7360</v>
      </c>
      <c r="H34" s="36">
        <v>0</v>
      </c>
      <c r="L34" s="36">
        <v>1.5</v>
      </c>
      <c r="M34" s="36" t="s">
        <v>20</v>
      </c>
      <c r="N34" s="36" t="s">
        <v>40</v>
      </c>
      <c r="O34" s="36" t="s">
        <v>41</v>
      </c>
      <c r="P34" s="36" t="s">
        <v>18</v>
      </c>
      <c r="Q34" s="36" t="s">
        <v>50</v>
      </c>
      <c r="R34" s="36">
        <v>11040</v>
      </c>
      <c r="S34" s="36">
        <v>0</v>
      </c>
    </row>
    <row r="35" spans="2:19" ht="15.75" customHeight="1" x14ac:dyDescent="0.2">
      <c r="B35" s="40">
        <v>43872</v>
      </c>
      <c r="C35" s="36" t="s">
        <v>16</v>
      </c>
      <c r="D35" s="36" t="s">
        <v>28</v>
      </c>
      <c r="E35" s="36" t="s">
        <v>28</v>
      </c>
      <c r="F35" s="36" t="s">
        <v>47</v>
      </c>
      <c r="G35" s="36">
        <v>0</v>
      </c>
      <c r="H35" s="36">
        <v>7360</v>
      </c>
      <c r="L35" s="36">
        <v>1.5</v>
      </c>
      <c r="M35" s="36" t="s">
        <v>20</v>
      </c>
      <c r="N35" s="36" t="s">
        <v>44</v>
      </c>
      <c r="O35" s="36" t="s">
        <v>41</v>
      </c>
      <c r="P35" s="36" t="s">
        <v>18</v>
      </c>
      <c r="Q35" s="36" t="s">
        <v>50</v>
      </c>
      <c r="R35" s="36">
        <v>0</v>
      </c>
      <c r="S35" s="36">
        <v>11040</v>
      </c>
    </row>
    <row r="36" spans="2:19" ht="15.75" customHeight="1" x14ac:dyDescent="0.2">
      <c r="B36" s="40">
        <v>43873</v>
      </c>
      <c r="C36" s="36" t="s">
        <v>16</v>
      </c>
      <c r="D36" s="36" t="s">
        <v>28</v>
      </c>
      <c r="E36" s="36" t="s">
        <v>28</v>
      </c>
      <c r="F36" s="36" t="s">
        <v>47</v>
      </c>
      <c r="G36" s="36">
        <v>7360</v>
      </c>
      <c r="H36" s="36">
        <v>0</v>
      </c>
      <c r="L36" s="36">
        <v>2.5</v>
      </c>
      <c r="M36" s="36" t="s">
        <v>20</v>
      </c>
      <c r="N36" s="36" t="s">
        <v>40</v>
      </c>
      <c r="O36" s="36" t="s">
        <v>41</v>
      </c>
      <c r="P36" s="36" t="s">
        <v>18</v>
      </c>
      <c r="Q36" s="36" t="s">
        <v>49</v>
      </c>
      <c r="R36" s="36">
        <v>18400</v>
      </c>
      <c r="S36" s="36">
        <v>0</v>
      </c>
    </row>
    <row r="37" spans="2:19" ht="15.75" customHeight="1" x14ac:dyDescent="0.2">
      <c r="B37" s="40">
        <v>43873</v>
      </c>
      <c r="C37" s="36" t="s">
        <v>16</v>
      </c>
      <c r="D37" s="36" t="s">
        <v>28</v>
      </c>
      <c r="E37" s="36" t="s">
        <v>28</v>
      </c>
      <c r="F37" s="36" t="s">
        <v>19</v>
      </c>
      <c r="G37" s="36">
        <v>0</v>
      </c>
      <c r="H37" s="36">
        <v>7360</v>
      </c>
      <c r="L37" s="36">
        <v>2.5</v>
      </c>
      <c r="M37" s="36" t="s">
        <v>20</v>
      </c>
      <c r="N37" s="36" t="s">
        <v>44</v>
      </c>
      <c r="O37" s="36" t="s">
        <v>41</v>
      </c>
      <c r="P37" s="36" t="s">
        <v>18</v>
      </c>
      <c r="Q37" s="36" t="s">
        <v>49</v>
      </c>
      <c r="R37" s="36">
        <v>0</v>
      </c>
      <c r="S37" s="36">
        <v>18400</v>
      </c>
    </row>
    <row r="38" spans="2:19" ht="15.75" customHeight="1" x14ac:dyDescent="0.2">
      <c r="B38" s="40">
        <v>43873</v>
      </c>
      <c r="C38" s="36" t="s">
        <v>16</v>
      </c>
      <c r="D38" s="36" t="s">
        <v>28</v>
      </c>
      <c r="E38" s="36" t="s">
        <v>28</v>
      </c>
      <c r="F38" s="36" t="s">
        <v>19</v>
      </c>
      <c r="G38" s="36">
        <v>7360</v>
      </c>
      <c r="H38" s="36">
        <v>0</v>
      </c>
      <c r="L38" s="36">
        <v>2</v>
      </c>
      <c r="M38" s="36" t="s">
        <v>20</v>
      </c>
      <c r="N38" s="36" t="s">
        <v>40</v>
      </c>
      <c r="O38" s="36" t="s">
        <v>41</v>
      </c>
      <c r="P38" s="36" t="s">
        <v>18</v>
      </c>
      <c r="Q38" s="36" t="s">
        <v>50</v>
      </c>
      <c r="R38" s="36">
        <v>14720</v>
      </c>
      <c r="S38" s="36">
        <v>0</v>
      </c>
    </row>
    <row r="39" spans="2:19" ht="15.75" customHeight="1" x14ac:dyDescent="0.2">
      <c r="B39" s="40">
        <v>43873</v>
      </c>
      <c r="C39" s="36" t="s">
        <v>16</v>
      </c>
      <c r="D39" s="36" t="s">
        <v>28</v>
      </c>
      <c r="E39" s="36" t="s">
        <v>28</v>
      </c>
      <c r="F39" s="36" t="s">
        <v>47</v>
      </c>
      <c r="G39" s="36">
        <v>0</v>
      </c>
      <c r="H39" s="36">
        <v>7360</v>
      </c>
      <c r="L39" s="36">
        <v>2</v>
      </c>
      <c r="M39" s="36" t="s">
        <v>20</v>
      </c>
      <c r="N39" s="36" t="s">
        <v>44</v>
      </c>
      <c r="O39" s="36" t="s">
        <v>41</v>
      </c>
      <c r="P39" s="36" t="s">
        <v>18</v>
      </c>
      <c r="Q39" s="36" t="s">
        <v>50</v>
      </c>
      <c r="R39" s="36">
        <v>0</v>
      </c>
      <c r="S39" s="36">
        <v>14720</v>
      </c>
    </row>
    <row r="40" spans="2:19" ht="15.75" customHeight="1" x14ac:dyDescent="0.2"/>
    <row r="41" spans="2:19" ht="15.75" customHeight="1" x14ac:dyDescent="0.2"/>
    <row r="42" spans="2:19" ht="15.75" customHeight="1" x14ac:dyDescent="0.2"/>
    <row r="43" spans="2:19" ht="15.75" customHeight="1" x14ac:dyDescent="0.2"/>
    <row r="44" spans="2:19" ht="15.75" customHeight="1" x14ac:dyDescent="0.2"/>
    <row r="45" spans="2:19" ht="15.75" customHeight="1" x14ac:dyDescent="0.2"/>
    <row r="46" spans="2:19" ht="15.75" customHeight="1" x14ac:dyDescent="0.2"/>
    <row r="47" spans="2:19" ht="15.75" customHeight="1" x14ac:dyDescent="0.2"/>
    <row r="48" spans="2:1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4"/>
  <sheetViews>
    <sheetView tabSelected="1" workbookViewId="0">
      <selection activeCell="J14" sqref="J14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38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IFERROR(__xludf.DUMMYFUNCTION("""COMPUTED_VALUE"""),"Date")</f>
        <v>Date</v>
      </c>
      <c r="C5" s="21" t="str">
        <f ca="1">IFERROR(__xludf.DUMMYFUNCTION("""COMPUTED_VALUE"""),"Modify Date")</f>
        <v>Modify Date</v>
      </c>
      <c r="D5" s="21" t="str">
        <f ca="1">IFERROR(__xludf.DUMMYFUNCTION("""COMPUTED_VALUE"""),"Entry Date")</f>
        <v>Entry Date</v>
      </c>
      <c r="E5" s="21" t="str">
        <f ca="1">IFERROR(__xludf.DUMMYFUNCTION("""COMPUTED_VALUE"""),"DR")</f>
        <v>DR</v>
      </c>
      <c r="F5" s="22" t="str">
        <f ca="1">IFERROR(__xludf.DUMMYFUNCTION("""COMPUTED_VALUE"""),"CR")</f>
        <v>CR</v>
      </c>
      <c r="G5" s="21" t="str">
        <f ca="1">IFERROR(__xludf.DUMMYFUNCTION("""COMPUTED_VALUE"""),"Fx Rate")</f>
        <v>Fx Rate</v>
      </c>
      <c r="H5" s="21" t="str">
        <f ca="1">IFERROR(__xludf.DUMMYFUNCTION("""COMPUTED_VALUE"""),"FX Conversion Method Operator")</f>
        <v>FX Conversion Method Operator</v>
      </c>
      <c r="I5" s="21" t="str">
        <f ca="1">IFERROR(__xludf.DUMMYFUNCTION("""COMPUTED_VALUE"""),"Account Side")</f>
        <v>Account Side</v>
      </c>
      <c r="J5" s="21" t="str">
        <f ca="1">IFERROR(__xludf.DUMMYFUNCTION("""COMPUTED_VALUE"""),"TransactionSource")</f>
        <v>TransactionSource</v>
      </c>
      <c r="K5" s="21" t="str">
        <f ca="1">IFERROR(__xludf.DUMMYFUNCTION("""COMPUTED_VALUE"""),"Currency")</f>
        <v>Currency</v>
      </c>
      <c r="L5" s="21" t="str">
        <f ca="1">IFERROR(__xludf.DUMMYFUNCTION("""COMPUTED_VALUE"""),"Base Currency")</f>
        <v>Base Currency</v>
      </c>
      <c r="M5" s="21" t="str">
        <f ca="1">IFERROR(__xludf.DUMMYFUNCTION("""COMPUTED_VALUE"""),"Symbol")</f>
        <v>Symbol</v>
      </c>
      <c r="N5" s="21" t="str">
        <f ca="1">IFERROR(__xludf.DUMMYFUNCTION("""COMPUTED_VALUE"""),"Description")</f>
        <v>Description</v>
      </c>
      <c r="O5" s="21" t="str">
        <f ca="1">IFERROR(__xludf.DUMMYFUNCTION("""COMPUTED_VALUE"""),"DR (Base)")</f>
        <v>DR (Base)</v>
      </c>
      <c r="P5" s="21" t="str">
        <f ca="1">IFERROR(__xludf.DUMMYFUNCTION("""COMPUTED_VALUE"""),"CR (Base)")</f>
        <v>CR (Base)</v>
      </c>
      <c r="Q5" s="21" t="str">
        <f ca="1">IFERROR(__xludf.DUMMYFUNCTION("""COMPUTED_VALUE"""),"Cash Sub-Account")</f>
        <v>Cash Sub-Account</v>
      </c>
      <c r="R5" s="21" t="str">
        <f ca="1">IFERROR(__xludf.DUMMYFUNCTION("""COMPUTED_VALUE"""),"Account")</f>
        <v>Account</v>
      </c>
      <c r="S5" s="21" t="str">
        <f ca="1">IFERROR(__xludf.DUMMYFUNCTION("""COMPUTED_VALUE"""),"TaxLotId")</f>
        <v>TaxLotId</v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40">
        <v>43871</v>
      </c>
      <c r="C6" s="2"/>
      <c r="D6" s="6"/>
      <c r="E6" s="36">
        <v>7360</v>
      </c>
      <c r="F6" s="36">
        <v>0</v>
      </c>
      <c r="G6" s="36">
        <v>1.1000000000000001</v>
      </c>
      <c r="H6" s="36" t="s">
        <v>20</v>
      </c>
      <c r="I6" s="36" t="s">
        <v>40</v>
      </c>
      <c r="J6" s="36" t="s">
        <v>51</v>
      </c>
      <c r="K6" s="36" t="s">
        <v>28</v>
      </c>
      <c r="L6" s="36" t="s">
        <v>18</v>
      </c>
      <c r="M6" s="36" t="s">
        <v>24</v>
      </c>
      <c r="N6" s="2"/>
      <c r="O6" s="36">
        <v>8096</v>
      </c>
      <c r="P6" s="36">
        <v>0</v>
      </c>
      <c r="Q6" s="36" t="s">
        <v>52</v>
      </c>
      <c r="R6" s="36" t="s">
        <v>16</v>
      </c>
    </row>
    <row r="7" spans="1:154" ht="15.75" customHeight="1" x14ac:dyDescent="0.2">
      <c r="A7" s="2"/>
      <c r="B7" s="40">
        <v>43871</v>
      </c>
      <c r="C7" s="2"/>
      <c r="D7" s="2"/>
      <c r="E7" s="36">
        <v>0</v>
      </c>
      <c r="F7" s="36">
        <v>7360</v>
      </c>
      <c r="G7" s="36">
        <v>1.1000000000000001</v>
      </c>
      <c r="H7" s="36" t="s">
        <v>20</v>
      </c>
      <c r="I7" s="36" t="s">
        <v>44</v>
      </c>
      <c r="J7" s="36" t="s">
        <v>51</v>
      </c>
      <c r="K7" s="36" t="s">
        <v>28</v>
      </c>
      <c r="L7" s="36" t="s">
        <v>18</v>
      </c>
      <c r="M7" s="36" t="s">
        <v>24</v>
      </c>
      <c r="N7" s="2"/>
      <c r="O7" s="36">
        <v>0</v>
      </c>
      <c r="P7" s="36">
        <v>8096</v>
      </c>
      <c r="Q7" s="36" t="s">
        <v>19</v>
      </c>
      <c r="R7" s="36" t="s">
        <v>16</v>
      </c>
    </row>
    <row r="8" spans="1:154" ht="15.75" customHeight="1" x14ac:dyDescent="0.2">
      <c r="A8" s="2"/>
      <c r="B8" s="40">
        <v>43873</v>
      </c>
      <c r="C8" s="2"/>
      <c r="D8" s="2"/>
      <c r="E8" s="36">
        <v>7360</v>
      </c>
      <c r="F8" s="36">
        <v>0</v>
      </c>
      <c r="G8" s="36">
        <v>1.1000000000000001</v>
      </c>
      <c r="H8" s="36" t="s">
        <v>20</v>
      </c>
      <c r="I8" s="36" t="s">
        <v>40</v>
      </c>
      <c r="J8" s="36" t="s">
        <v>51</v>
      </c>
      <c r="K8" s="36" t="s">
        <v>28</v>
      </c>
      <c r="L8" s="36" t="s">
        <v>18</v>
      </c>
      <c r="M8" s="36" t="s">
        <v>24</v>
      </c>
      <c r="N8" s="2"/>
      <c r="O8" s="36">
        <v>8096</v>
      </c>
      <c r="P8" s="36">
        <v>0</v>
      </c>
      <c r="Q8" s="36" t="s">
        <v>19</v>
      </c>
      <c r="R8" s="36" t="s">
        <v>16</v>
      </c>
    </row>
    <row r="9" spans="1:154" ht="15.75" customHeight="1" x14ac:dyDescent="0.2">
      <c r="A9" s="2"/>
      <c r="B9" s="40">
        <v>43873</v>
      </c>
      <c r="C9" s="2"/>
      <c r="D9" s="2"/>
      <c r="E9" s="36">
        <v>0</v>
      </c>
      <c r="F9" s="36">
        <v>7360</v>
      </c>
      <c r="G9" s="36">
        <v>1.1000000000000001</v>
      </c>
      <c r="H9" s="36" t="s">
        <v>20</v>
      </c>
      <c r="I9" s="36" t="s">
        <v>44</v>
      </c>
      <c r="J9" s="36" t="s">
        <v>51</v>
      </c>
      <c r="K9" s="36" t="s">
        <v>28</v>
      </c>
      <c r="L9" s="36" t="s">
        <v>18</v>
      </c>
      <c r="M9" s="36" t="s">
        <v>24</v>
      </c>
      <c r="N9" s="2"/>
      <c r="O9" s="36">
        <v>0</v>
      </c>
      <c r="P9" s="36">
        <v>8096</v>
      </c>
      <c r="Q9" s="36" t="s">
        <v>52</v>
      </c>
      <c r="R9" s="36" t="s">
        <v>16</v>
      </c>
    </row>
    <row r="10" spans="1:154" ht="15.75" customHeight="1" x14ac:dyDescent="0.2">
      <c r="A10" s="2"/>
      <c r="B10" s="40">
        <v>43873</v>
      </c>
      <c r="C10" s="2"/>
      <c r="D10" s="2"/>
      <c r="E10" s="36">
        <v>2760</v>
      </c>
      <c r="F10" s="36">
        <v>0</v>
      </c>
      <c r="G10" s="36">
        <v>1.1000000000000001</v>
      </c>
      <c r="H10" s="36" t="s">
        <v>20</v>
      </c>
      <c r="I10" s="36" t="s">
        <v>40</v>
      </c>
      <c r="J10" s="36" t="s">
        <v>51</v>
      </c>
      <c r="K10" s="36" t="s">
        <v>28</v>
      </c>
      <c r="L10" s="36" t="s">
        <v>18</v>
      </c>
      <c r="M10" s="36" t="s">
        <v>66</v>
      </c>
      <c r="N10" s="2"/>
      <c r="O10" s="36">
        <v>3036</v>
      </c>
      <c r="P10" s="36">
        <v>0</v>
      </c>
      <c r="Q10" s="36" t="s">
        <v>52</v>
      </c>
      <c r="R10" s="36" t="s">
        <v>16</v>
      </c>
    </row>
    <row r="11" spans="1:154" ht="15.75" customHeight="1" x14ac:dyDescent="0.2">
      <c r="A11" s="2"/>
      <c r="B11" s="40">
        <v>43873</v>
      </c>
      <c r="C11" s="2"/>
      <c r="D11" s="2"/>
      <c r="E11" s="36">
        <v>0</v>
      </c>
      <c r="F11" s="36">
        <v>2760</v>
      </c>
      <c r="G11" s="36">
        <v>1.1000000000000001</v>
      </c>
      <c r="H11" s="36" t="s">
        <v>20</v>
      </c>
      <c r="I11" s="36" t="s">
        <v>44</v>
      </c>
      <c r="J11" s="36" t="s">
        <v>51</v>
      </c>
      <c r="K11" s="36" t="s">
        <v>28</v>
      </c>
      <c r="L11" s="36" t="s">
        <v>18</v>
      </c>
      <c r="M11" s="36" t="s">
        <v>66</v>
      </c>
      <c r="N11" s="2"/>
      <c r="O11" s="36">
        <v>0</v>
      </c>
      <c r="P11" s="36">
        <v>3036</v>
      </c>
      <c r="Q11" s="36" t="s">
        <v>19</v>
      </c>
      <c r="R11" s="36" t="s">
        <v>16</v>
      </c>
    </row>
    <row r="12" spans="1:154" ht="15.75" customHeight="1" x14ac:dyDescent="0.2">
      <c r="A12" s="2"/>
      <c r="B12" s="40">
        <v>43873</v>
      </c>
      <c r="C12" s="2"/>
      <c r="D12" s="2"/>
      <c r="E12" s="36">
        <v>4600</v>
      </c>
      <c r="F12" s="36">
        <v>0</v>
      </c>
      <c r="G12" s="36">
        <v>1.1000000000000001</v>
      </c>
      <c r="H12" s="36" t="s">
        <v>20</v>
      </c>
      <c r="I12" s="36" t="s">
        <v>40</v>
      </c>
      <c r="J12" s="36" t="s">
        <v>51</v>
      </c>
      <c r="K12" s="36" t="s">
        <v>28</v>
      </c>
      <c r="L12" s="36" t="s">
        <v>18</v>
      </c>
      <c r="M12" s="36" t="s">
        <v>24</v>
      </c>
      <c r="N12" s="2"/>
      <c r="O12" s="36">
        <v>5060</v>
      </c>
      <c r="P12" s="36">
        <v>0</v>
      </c>
      <c r="Q12" s="36" t="s">
        <v>52</v>
      </c>
      <c r="R12" s="36" t="s">
        <v>16</v>
      </c>
    </row>
    <row r="13" spans="1:154" ht="15.75" customHeight="1" x14ac:dyDescent="0.2">
      <c r="A13" s="2"/>
      <c r="B13" s="40">
        <v>43873</v>
      </c>
      <c r="C13" s="2"/>
      <c r="D13" s="2"/>
      <c r="E13" s="36">
        <v>0</v>
      </c>
      <c r="F13" s="36">
        <v>4600</v>
      </c>
      <c r="G13" s="36">
        <v>1.1000000000000001</v>
      </c>
      <c r="H13" s="36" t="s">
        <v>20</v>
      </c>
      <c r="I13" s="36" t="s">
        <v>44</v>
      </c>
      <c r="J13" s="36" t="s">
        <v>51</v>
      </c>
      <c r="K13" s="36" t="s">
        <v>28</v>
      </c>
      <c r="L13" s="36" t="s">
        <v>18</v>
      </c>
      <c r="M13" s="36" t="s">
        <v>24</v>
      </c>
      <c r="N13" s="2"/>
      <c r="O13" s="36">
        <v>0</v>
      </c>
      <c r="P13" s="36">
        <v>5060</v>
      </c>
      <c r="Q13" s="36" t="s">
        <v>19</v>
      </c>
      <c r="R13" s="36" t="s">
        <v>16</v>
      </c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/>
    <row r="22" spans="1:15" ht="15.75" customHeight="1" x14ac:dyDescent="0.2"/>
    <row r="23" spans="1:15" ht="15.75" customHeight="1" x14ac:dyDescent="0.2"/>
    <row r="24" spans="1:15" ht="15.75" customHeight="1" x14ac:dyDescent="0.2"/>
    <row r="25" spans="1:15" ht="15.75" customHeight="1" x14ac:dyDescent="0.2"/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53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IFERROR(__xludf.DUMMYFUNCTION("""COMPUTED_VALUE"""),"From")</f>
        <v>From</v>
      </c>
      <c r="E5" s="21" t="str">
        <f ca="1">IFERROR(__xludf.DUMMYFUNCTION("""COMPUTED_VALUE"""),"To")</f>
        <v>To</v>
      </c>
      <c r="F5" s="22" t="str">
        <f ca="1">IFERROR(__xludf.DUMMYFUNCTION("""COMPUTED_VALUE"""),"SettlementDate")</f>
        <v>SettlementDate</v>
      </c>
      <c r="G5" s="21" t="str">
        <f ca="1">IFERROR(__xludf.DUMMYFUNCTION("""COMPUTED_VALUE"""),"TradeDate")</f>
        <v>TradeDate</v>
      </c>
      <c r="H5" s="21" t="str">
        <f ca="1">IFERROR(__xludf.DUMMYFUNCTION("""COMPUTED_VALUE"""),"All")</f>
        <v>All</v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5"/>
      <c r="C6" s="26" t="s">
        <v>16</v>
      </c>
      <c r="D6" s="47">
        <v>43871</v>
      </c>
      <c r="E6" s="47">
        <v>43873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54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IFERROR(__xludf.DUMMYFUNCTION("""COMPUTED_VALUE"""),"VerifyCashTransaction")</f>
        <v>VerifyCashTransaction</v>
      </c>
      <c r="AZ4" s="19" t="str">
        <f ca="1">IFERROR(__xludf.DUMMYFUNCTION("""COMPUTED_VALUE"""),"CalculateDayEndCash")</f>
        <v>CalculateDayEndCash</v>
      </c>
      <c r="BA4" s="19" t="str">
        <f ca="1">IFERROR(__xludf.DUMMYFUNCTION("""COMPUTED_VALUE"""),"CalculateDayEndCash")</f>
        <v>CalculateDayEndCash</v>
      </c>
      <c r="BB4" s="19" t="str">
        <f ca="1">IFERROR(__xludf.DUMMYFUNCTION("""COMPUTED_VALUE"""),"VerifyOpeningBalanceData")</f>
        <v>VerifyOpeningBalanceData</v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IFERROR(__xludf.DUMMYFUNCTION("""COMPUTED_VALUE"""),"Activity Source")</f>
        <v>Activity Source</v>
      </c>
      <c r="D5" s="21" t="str">
        <f ca="1">IFERROR(__xludf.DUMMYFUNCTION("""COMPUTED_VALUE"""),"ActivityType")</f>
        <v>ActivityType</v>
      </c>
      <c r="E5" s="21" t="str">
        <f ca="1">IFERROR(__xludf.DUMMYFUNCTION("""COMPUTED_VALUE"""),"Net Amount(Local)")</f>
        <v>Net Amount(Local)</v>
      </c>
      <c r="F5" s="22" t="str">
        <f ca="1">IFERROR(__xludf.DUMMYFUNCTION("""COMPUTED_VALUE"""),"AUEC Fee1")</f>
        <v>AUEC Fee1</v>
      </c>
      <c r="G5" s="21" t="str">
        <f ca="1">IFERROR(__xludf.DUMMYFUNCTION("""COMPUTED_VALUE"""),"AUEC Fee2")</f>
        <v>AUEC Fee2</v>
      </c>
      <c r="H5" s="21" t="str">
        <f ca="1">IFERROR(__xludf.DUMMYFUNCTION("""COMPUTED_VALUE"""),"Balance Type")</f>
        <v>Balance Type</v>
      </c>
      <c r="I5" s="21" t="str">
        <f ca="1">IFERROR(__xludf.DUMMYFUNCTION("""COMPUTED_VALUE"""),"Clearing Broker Fees")</f>
        <v>Clearing Broker Fees</v>
      </c>
      <c r="J5" s="21" t="str">
        <f ca="1">IFERROR(__xludf.DUMMYFUNCTION("""COMPUTED_VALUE"""),"Commission")</f>
        <v>Commission</v>
      </c>
      <c r="K5" s="21" t="str">
        <f ca="1">IFERROR(__xludf.DUMMYFUNCTION("""COMPUTED_VALUE"""),"Currency")</f>
        <v>Currency</v>
      </c>
      <c r="L5" s="21" t="str">
        <f ca="1">IFERROR(__xludf.DUMMYFUNCTION("""COMPUTED_VALUE"""),"Description")</f>
        <v>Description</v>
      </c>
      <c r="M5" s="21" t="str">
        <f ca="1">IFERROR(__xludf.DUMMYFUNCTION("""COMPUTED_VALUE"""),"Entry Date")</f>
        <v>Entry Date</v>
      </c>
      <c r="N5" s="21" t="str">
        <f ca="1">IFERROR(__xludf.DUMMYFUNCTION("""COMPUTED_VALUE"""),"FX Conversion Method Operator")</f>
        <v>FX Conversion Method Operator</v>
      </c>
      <c r="O5" s="21" t="str">
        <f ca="1">IFERROR(__xludf.DUMMYFUNCTION("""COMPUTED_VALUE"""),"Fx Rate")</f>
        <v>Fx Rate</v>
      </c>
      <c r="P5" s="21" t="str">
        <f ca="1">IFERROR(__xludf.DUMMYFUNCTION("""COMPUTED_VALUE"""),"Lead Currency")</f>
        <v>Lead Currency</v>
      </c>
      <c r="Q5" s="21" t="str">
        <f ca="1">IFERROR(__xludf.DUMMYFUNCTION("""COMPUTED_VALUE"""),"Modify date")</f>
        <v>Modify date</v>
      </c>
      <c r="R5" s="21" t="str">
        <f ca="1">IFERROR(__xludf.DUMMYFUNCTION("""COMPUTED_VALUE"""),"OCC Fee")</f>
        <v>OCC Fee</v>
      </c>
      <c r="S5" s="21" t="str">
        <f ca="1">IFERROR(__xludf.DUMMYFUNCTION("""COMPUTED_VALUE"""),"OptionPremiumAdjustment")</f>
        <v>OptionPremiumAdjustment</v>
      </c>
      <c r="T5" s="23" t="str">
        <f ca="1">IFERROR(__xludf.DUMMYFUNCTION("""COMPUTED_VALUE"""),"ORF Fee")</f>
        <v>ORF Fee</v>
      </c>
      <c r="U5" s="23" t="str">
        <f ca="1">IFERROR(__xludf.DUMMYFUNCTION("""COMPUTED_VALUE"""),"Other Broker Fees")</f>
        <v>Other Broker Fees</v>
      </c>
      <c r="V5" s="23" t="str">
        <f ca="1">IFERROR(__xludf.DUMMYFUNCTION("""COMPUTED_VALUE"""),"Quantity")</f>
        <v>Quantity</v>
      </c>
      <c r="W5" s="23" t="str">
        <f ca="1">IFERROR(__xludf.DUMMYFUNCTION("""COMPUTED_VALUE"""),"SEC Fee")</f>
        <v>SEC Fee</v>
      </c>
      <c r="X5" s="23" t="str">
        <f ca="1">IFERROR(__xludf.DUMMYFUNCTION("""COMPUTED_VALUE"""),"Settlement Currency")</f>
        <v>Settlement Currency</v>
      </c>
      <c r="Y5" s="23" t="str">
        <f ca="1">IFERROR(__xludf.DUMMYFUNCTION("""COMPUTED_VALUE"""),"Settlement Date")</f>
        <v>Settlement Date</v>
      </c>
      <c r="Z5" s="23" t="str">
        <f ca="1">IFERROR(__xludf.DUMMYFUNCTION("""COMPUTED_VALUE"""),"Soft Commission")</f>
        <v>Soft Commission</v>
      </c>
      <c r="AA5" s="23" t="str">
        <f ca="1">IFERROR(__xludf.DUMMYFUNCTION("""COMPUTED_VALUE"""),"Stamp Duty")</f>
        <v>Stamp Duty</v>
      </c>
      <c r="AB5" s="23" t="str">
        <f ca="1">IFERROR(__xludf.DUMMYFUNCTION("""COMPUTED_VALUE"""),"Symbol")</f>
        <v>Symbol</v>
      </c>
      <c r="AC5" s="23" t="str">
        <f ca="1">IFERROR(__xludf.DUMMYFUNCTION("""COMPUTED_VALUE"""),"Tax On Commissions")</f>
        <v>Tax On Commissions</v>
      </c>
      <c r="AD5" s="23" t="str">
        <f ca="1">IFERROR(__xludf.DUMMYFUNCTION("""COMPUTED_VALUE"""),"Total Commissions")</f>
        <v>Total Commissions</v>
      </c>
      <c r="AE5" s="23" t="str">
        <f ca="1">IFERROR(__xludf.DUMMYFUNCTION("""COMPUTED_VALUE"""),"Trade Date")</f>
        <v>Trade Date</v>
      </c>
      <c r="AF5" s="23" t="str">
        <f ca="1">IFERROR(__xludf.DUMMYFUNCTION("""COMPUTED_VALUE"""),"Transaction Levy")</f>
        <v>Transaction Levy</v>
      </c>
      <c r="AG5" s="23" t="str">
        <f ca="1">IFERROR(__xludf.DUMMYFUNCTION("""COMPUTED_VALUE"""),"Transaction Source")</f>
        <v>Transaction Source</v>
      </c>
      <c r="AH5" s="23" t="str">
        <f ca="1">IFERROR(__xludf.DUMMYFUNCTION("""COMPUTED_VALUE"""),"User")</f>
        <v>User</v>
      </c>
      <c r="AI5" s="23" t="str">
        <f ca="1">IFERROR(__xludf.DUMMYFUNCTION("""COMPUTED_VALUE"""),"Vs Currency")</f>
        <v>Vs Currency</v>
      </c>
      <c r="AJ5" s="23" t="str">
        <f ca="1">IFERROR(__xludf.DUMMYFUNCTION("""COMPUTED_VALUE"""),"SettlCurrencyID")</f>
        <v>SettlCurrencyID</v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36" t="s">
        <v>16</v>
      </c>
      <c r="C6" s="36" t="s">
        <v>41</v>
      </c>
      <c r="D6" s="36" t="s">
        <v>55</v>
      </c>
      <c r="E6" s="36">
        <v>515</v>
      </c>
      <c r="F6" s="2"/>
      <c r="G6" s="2"/>
      <c r="H6" s="2"/>
      <c r="I6" s="2"/>
      <c r="J6" s="2"/>
      <c r="K6" s="36" t="s">
        <v>28</v>
      </c>
      <c r="L6" s="36" t="s">
        <v>42</v>
      </c>
      <c r="M6" s="2"/>
      <c r="N6" s="36" t="s">
        <v>20</v>
      </c>
      <c r="O6" s="36">
        <v>1.5</v>
      </c>
      <c r="V6" s="36">
        <v>0</v>
      </c>
      <c r="AB6" s="36" t="s">
        <v>24</v>
      </c>
      <c r="AE6" s="40">
        <v>43871</v>
      </c>
      <c r="AG6" s="36" t="s">
        <v>41</v>
      </c>
    </row>
    <row r="7" spans="1:154" ht="15.75" customHeight="1" x14ac:dyDescent="0.2">
      <c r="A7" s="2"/>
      <c r="B7" s="36" t="s">
        <v>16</v>
      </c>
      <c r="C7" s="36" t="s">
        <v>41</v>
      </c>
      <c r="D7" s="36" t="s">
        <v>55</v>
      </c>
      <c r="E7" s="36">
        <v>2944</v>
      </c>
      <c r="F7" s="2"/>
      <c r="G7" s="2"/>
      <c r="H7" s="2"/>
      <c r="I7" s="2"/>
      <c r="J7" s="2"/>
      <c r="K7" s="36" t="s">
        <v>18</v>
      </c>
      <c r="L7" s="36" t="s">
        <v>42</v>
      </c>
      <c r="M7" s="2"/>
      <c r="N7" s="36" t="s">
        <v>20</v>
      </c>
      <c r="O7" s="36">
        <v>1</v>
      </c>
      <c r="V7" s="36">
        <v>0</v>
      </c>
      <c r="AB7" s="36" t="s">
        <v>28</v>
      </c>
      <c r="AE7" s="40">
        <v>43871</v>
      </c>
      <c r="AG7" s="36" t="s">
        <v>41</v>
      </c>
    </row>
    <row r="8" spans="1:154" ht="15.75" customHeight="1" x14ac:dyDescent="0.2">
      <c r="A8" s="2"/>
      <c r="B8" s="36" t="s">
        <v>16</v>
      </c>
      <c r="C8" s="36" t="s">
        <v>56</v>
      </c>
      <c r="D8" s="36" t="s">
        <v>57</v>
      </c>
      <c r="E8" s="36">
        <v>500000</v>
      </c>
      <c r="F8" s="2"/>
      <c r="G8" s="2"/>
      <c r="H8" s="2"/>
      <c r="I8" s="2"/>
      <c r="J8" s="2"/>
      <c r="K8" s="36" t="s">
        <v>18</v>
      </c>
      <c r="M8" s="2"/>
      <c r="N8" s="36" t="s">
        <v>20</v>
      </c>
      <c r="O8" s="36">
        <v>1</v>
      </c>
      <c r="V8" s="36">
        <v>0</v>
      </c>
      <c r="AE8" s="40">
        <v>43871</v>
      </c>
      <c r="AG8" s="36" t="s">
        <v>58</v>
      </c>
    </row>
    <row r="9" spans="1:154" ht="15.75" customHeight="1" x14ac:dyDescent="0.2">
      <c r="A9" s="2"/>
      <c r="B9" s="36" t="s">
        <v>16</v>
      </c>
      <c r="C9" s="36" t="s">
        <v>41</v>
      </c>
      <c r="D9" s="36" t="s">
        <v>59</v>
      </c>
      <c r="E9" s="36">
        <v>7360</v>
      </c>
      <c r="F9" s="2"/>
      <c r="G9" s="2"/>
      <c r="H9" s="2"/>
      <c r="I9" s="2"/>
      <c r="J9" s="2"/>
      <c r="K9" s="36" t="s">
        <v>28</v>
      </c>
      <c r="L9" s="36" t="s">
        <v>46</v>
      </c>
      <c r="M9" s="2"/>
      <c r="N9" s="36" t="s">
        <v>20</v>
      </c>
      <c r="O9" s="36">
        <v>1.1000000000000001</v>
      </c>
      <c r="V9" s="36">
        <v>0</v>
      </c>
      <c r="AB9" s="36" t="s">
        <v>24</v>
      </c>
      <c r="AE9" s="40">
        <v>43871</v>
      </c>
      <c r="AG9" s="36" t="s">
        <v>41</v>
      </c>
    </row>
    <row r="10" spans="1:154" ht="15.75" customHeight="1" x14ac:dyDescent="0.2">
      <c r="A10" s="2"/>
      <c r="B10" s="36" t="s">
        <v>16</v>
      </c>
      <c r="C10" s="36" t="s">
        <v>41</v>
      </c>
      <c r="D10" s="36" t="s">
        <v>59</v>
      </c>
      <c r="E10" s="36">
        <v>-7360</v>
      </c>
      <c r="F10" s="2"/>
      <c r="G10" s="2"/>
      <c r="H10" s="2"/>
      <c r="I10" s="2"/>
      <c r="J10" s="2"/>
      <c r="K10" s="36" t="s">
        <v>28</v>
      </c>
      <c r="L10" s="36" t="s">
        <v>48</v>
      </c>
      <c r="M10" s="2"/>
      <c r="N10" s="36" t="s">
        <v>20</v>
      </c>
      <c r="O10" s="36">
        <v>1.5</v>
      </c>
      <c r="V10" s="36">
        <v>0</v>
      </c>
      <c r="AB10" s="36" t="s">
        <v>24</v>
      </c>
      <c r="AE10" s="40">
        <v>43871</v>
      </c>
      <c r="AG10" s="36" t="s">
        <v>41</v>
      </c>
    </row>
    <row r="11" spans="1:154" ht="15.75" customHeight="1" x14ac:dyDescent="0.2">
      <c r="A11" s="2"/>
      <c r="B11" s="36" t="s">
        <v>16</v>
      </c>
      <c r="C11" s="36" t="s">
        <v>51</v>
      </c>
      <c r="D11" s="36" t="s">
        <v>60</v>
      </c>
      <c r="E11" s="36">
        <v>-7360</v>
      </c>
      <c r="F11" s="2"/>
      <c r="G11" s="2"/>
      <c r="H11" s="2"/>
      <c r="I11" s="2"/>
      <c r="J11" s="2"/>
      <c r="K11" s="36" t="s">
        <v>28</v>
      </c>
      <c r="L11" s="36" t="s">
        <v>61</v>
      </c>
      <c r="M11" s="2"/>
      <c r="N11" s="36" t="s">
        <v>20</v>
      </c>
      <c r="O11" s="36">
        <v>1.1000000000000001</v>
      </c>
      <c r="V11" s="36">
        <v>105</v>
      </c>
      <c r="AB11" s="36" t="s">
        <v>24</v>
      </c>
      <c r="AE11" s="40">
        <v>43871</v>
      </c>
      <c r="AG11" s="36" t="s">
        <v>51</v>
      </c>
    </row>
    <row r="12" spans="1:154" ht="15.75" customHeight="1" x14ac:dyDescent="0.2">
      <c r="A12" s="2"/>
      <c r="B12" s="36" t="s">
        <v>16</v>
      </c>
      <c r="C12" s="36" t="s">
        <v>41</v>
      </c>
      <c r="D12" s="36" t="s">
        <v>59</v>
      </c>
      <c r="E12" s="36">
        <v>-7360</v>
      </c>
      <c r="F12" s="2"/>
      <c r="G12" s="2"/>
      <c r="H12" s="2"/>
      <c r="I12" s="2"/>
      <c r="J12" s="2"/>
      <c r="K12" s="36" t="s">
        <v>28</v>
      </c>
      <c r="L12" s="36" t="s">
        <v>49</v>
      </c>
      <c r="M12" s="2"/>
      <c r="N12" s="36" t="s">
        <v>20</v>
      </c>
      <c r="O12" s="36">
        <v>2</v>
      </c>
      <c r="V12" s="36">
        <v>0</v>
      </c>
      <c r="AB12" s="36" t="s">
        <v>28</v>
      </c>
      <c r="AE12" s="40">
        <v>43872</v>
      </c>
      <c r="AG12" s="36" t="s">
        <v>41</v>
      </c>
    </row>
    <row r="13" spans="1:154" ht="15.75" customHeight="1" x14ac:dyDescent="0.2">
      <c r="A13" s="2"/>
      <c r="B13" s="36" t="s">
        <v>16</v>
      </c>
      <c r="C13" s="36" t="s">
        <v>41</v>
      </c>
      <c r="D13" s="36" t="s">
        <v>59</v>
      </c>
      <c r="E13" s="36">
        <v>7360</v>
      </c>
      <c r="F13" s="2"/>
      <c r="G13" s="2"/>
      <c r="H13" s="2"/>
      <c r="I13" s="2"/>
      <c r="J13" s="2"/>
      <c r="K13" s="36" t="s">
        <v>28</v>
      </c>
      <c r="L13" s="36" t="s">
        <v>50</v>
      </c>
      <c r="M13" s="2"/>
      <c r="N13" s="36" t="s">
        <v>20</v>
      </c>
      <c r="O13" s="36">
        <v>1.5</v>
      </c>
      <c r="V13" s="36">
        <v>0</v>
      </c>
      <c r="AB13" s="36" t="s">
        <v>28</v>
      </c>
      <c r="AE13" s="40">
        <v>43872</v>
      </c>
      <c r="AG13" s="36" t="s">
        <v>41</v>
      </c>
    </row>
    <row r="14" spans="1:154" ht="15.75" customHeight="1" x14ac:dyDescent="0.2">
      <c r="A14" s="2"/>
      <c r="B14" s="36" t="s">
        <v>16</v>
      </c>
      <c r="C14" s="36" t="s">
        <v>41</v>
      </c>
      <c r="D14" s="36" t="s">
        <v>55</v>
      </c>
      <c r="E14" s="36">
        <v>515</v>
      </c>
      <c r="F14" s="2"/>
      <c r="G14" s="2"/>
      <c r="H14" s="2"/>
      <c r="I14" s="2"/>
      <c r="J14" s="2"/>
      <c r="K14" s="36" t="s">
        <v>28</v>
      </c>
      <c r="L14" s="36" t="s">
        <v>42</v>
      </c>
      <c r="M14" s="2"/>
      <c r="N14" s="36" t="s">
        <v>20</v>
      </c>
      <c r="O14" s="36">
        <v>2</v>
      </c>
      <c r="V14" s="36">
        <v>0</v>
      </c>
      <c r="AB14" s="36" t="s">
        <v>24</v>
      </c>
      <c r="AE14" s="40">
        <v>43872</v>
      </c>
      <c r="AG14" s="36" t="s">
        <v>41</v>
      </c>
    </row>
    <row r="15" spans="1:154" ht="15.75" customHeight="1" x14ac:dyDescent="0.2">
      <c r="A15" s="2"/>
      <c r="B15" s="36" t="s">
        <v>16</v>
      </c>
      <c r="C15" s="36" t="s">
        <v>41</v>
      </c>
      <c r="D15" s="36" t="s">
        <v>55</v>
      </c>
      <c r="E15" s="36">
        <v>6624</v>
      </c>
      <c r="F15" s="2"/>
      <c r="G15" s="2"/>
      <c r="H15" s="2"/>
      <c r="I15" s="2"/>
      <c r="J15" s="2"/>
      <c r="K15" s="36" t="s">
        <v>18</v>
      </c>
      <c r="L15" s="36" t="s">
        <v>42</v>
      </c>
      <c r="M15" s="2"/>
      <c r="N15" s="36" t="s">
        <v>20</v>
      </c>
      <c r="O15" s="36">
        <v>1</v>
      </c>
      <c r="V15" s="36">
        <v>0</v>
      </c>
      <c r="AB15" s="36" t="s">
        <v>28</v>
      </c>
      <c r="AE15" s="40">
        <v>43872</v>
      </c>
      <c r="AG15" s="36" t="s">
        <v>41</v>
      </c>
    </row>
    <row r="16" spans="1:154" ht="15.75" customHeight="1" x14ac:dyDescent="0.2">
      <c r="A16" s="2"/>
      <c r="B16" s="36" t="s">
        <v>16</v>
      </c>
      <c r="C16" s="36" t="s">
        <v>41</v>
      </c>
      <c r="D16" s="36" t="s">
        <v>55</v>
      </c>
      <c r="E16" s="36">
        <v>-515</v>
      </c>
      <c r="F16" s="2"/>
      <c r="G16" s="2"/>
      <c r="H16" s="2"/>
      <c r="I16" s="2"/>
      <c r="J16" s="2"/>
      <c r="K16" s="36" t="s">
        <v>28</v>
      </c>
      <c r="L16" s="36" t="s">
        <v>45</v>
      </c>
      <c r="M16" s="2"/>
      <c r="N16" s="36" t="s">
        <v>20</v>
      </c>
      <c r="O16" s="36">
        <v>1.5</v>
      </c>
      <c r="V16" s="36">
        <v>0</v>
      </c>
      <c r="AB16" s="36" t="s">
        <v>24</v>
      </c>
      <c r="AE16" s="40">
        <v>43872</v>
      </c>
      <c r="AG16" s="36" t="s">
        <v>41</v>
      </c>
    </row>
    <row r="17" spans="1:33" ht="15.75" customHeight="1" x14ac:dyDescent="0.2">
      <c r="A17" s="2"/>
      <c r="B17" s="36" t="s">
        <v>16</v>
      </c>
      <c r="C17" s="36" t="s">
        <v>41</v>
      </c>
      <c r="D17" s="36" t="s">
        <v>55</v>
      </c>
      <c r="E17" s="36">
        <v>-2944</v>
      </c>
      <c r="F17" s="2"/>
      <c r="G17" s="2"/>
      <c r="H17" s="2"/>
      <c r="I17" s="2"/>
      <c r="J17" s="2"/>
      <c r="K17" s="36" t="s">
        <v>18</v>
      </c>
      <c r="L17" s="36" t="s">
        <v>45</v>
      </c>
      <c r="M17" s="2"/>
      <c r="N17" s="36" t="s">
        <v>20</v>
      </c>
      <c r="O17" s="36">
        <v>1</v>
      </c>
      <c r="V17" s="36">
        <v>0</v>
      </c>
      <c r="AB17" s="36" t="s">
        <v>28</v>
      </c>
      <c r="AE17" s="40">
        <v>43872</v>
      </c>
      <c r="AG17" s="36" t="s">
        <v>41</v>
      </c>
    </row>
    <row r="18" spans="1:33" ht="15.75" customHeight="1" x14ac:dyDescent="0.2">
      <c r="A18" s="2"/>
      <c r="B18" s="36" t="s">
        <v>16</v>
      </c>
      <c r="C18" s="36" t="s">
        <v>41</v>
      </c>
      <c r="D18" s="36" t="s">
        <v>55</v>
      </c>
      <c r="E18" s="36">
        <v>3800</v>
      </c>
      <c r="F18" s="2"/>
      <c r="G18" s="2"/>
      <c r="H18" s="2"/>
      <c r="I18" s="2"/>
      <c r="J18" s="2"/>
      <c r="K18" s="36" t="s">
        <v>28</v>
      </c>
      <c r="L18" s="36" t="s">
        <v>42</v>
      </c>
      <c r="M18" s="2"/>
      <c r="N18" s="36" t="s">
        <v>20</v>
      </c>
      <c r="O18" s="36">
        <v>2.5</v>
      </c>
      <c r="V18" s="36">
        <v>0</v>
      </c>
      <c r="AB18" s="36" t="s">
        <v>24</v>
      </c>
      <c r="AE18" s="40">
        <v>43873</v>
      </c>
      <c r="AG18" s="36" t="s">
        <v>41</v>
      </c>
    </row>
    <row r="19" spans="1:33" ht="15.75" customHeight="1" x14ac:dyDescent="0.2">
      <c r="A19" s="2"/>
      <c r="B19" s="36" t="s">
        <v>16</v>
      </c>
      <c r="C19" s="36" t="s">
        <v>41</v>
      </c>
      <c r="D19" s="36" t="s">
        <v>55</v>
      </c>
      <c r="E19" s="36">
        <v>10304</v>
      </c>
      <c r="F19" s="2"/>
      <c r="G19" s="2"/>
      <c r="H19" s="2"/>
      <c r="I19" s="2"/>
      <c r="J19" s="2"/>
      <c r="K19" s="36" t="s">
        <v>18</v>
      </c>
      <c r="L19" s="36" t="s">
        <v>42</v>
      </c>
      <c r="M19" s="2"/>
      <c r="N19" s="36" t="s">
        <v>20</v>
      </c>
      <c r="O19" s="36">
        <v>1</v>
      </c>
      <c r="V19" s="36">
        <v>0</v>
      </c>
      <c r="AB19" s="36" t="s">
        <v>28</v>
      </c>
      <c r="AE19" s="40">
        <v>43873</v>
      </c>
      <c r="AG19" s="36" t="s">
        <v>41</v>
      </c>
    </row>
    <row r="20" spans="1:33" ht="15.75" customHeight="1" x14ac:dyDescent="0.2">
      <c r="A20" s="2"/>
      <c r="B20" s="36" t="s">
        <v>16</v>
      </c>
      <c r="C20" s="36" t="s">
        <v>41</v>
      </c>
      <c r="D20" s="36" t="s">
        <v>55</v>
      </c>
      <c r="E20" s="36">
        <v>705</v>
      </c>
      <c r="F20" s="2"/>
      <c r="G20" s="2"/>
      <c r="H20" s="2"/>
      <c r="I20" s="2"/>
      <c r="J20" s="2"/>
      <c r="K20" s="36" t="s">
        <v>28</v>
      </c>
      <c r="L20" s="36" t="s">
        <v>42</v>
      </c>
      <c r="M20" s="2"/>
      <c r="N20" s="36" t="s">
        <v>20</v>
      </c>
      <c r="O20" s="36">
        <v>2.5</v>
      </c>
      <c r="V20" s="36">
        <v>0</v>
      </c>
      <c r="AB20" s="36" t="s">
        <v>66</v>
      </c>
      <c r="AE20" s="40">
        <v>43873</v>
      </c>
      <c r="AG20" s="36" t="s">
        <v>41</v>
      </c>
    </row>
    <row r="21" spans="1:33" ht="15.75" customHeight="1" x14ac:dyDescent="0.2">
      <c r="A21" s="2"/>
      <c r="B21" s="36" t="s">
        <v>16</v>
      </c>
      <c r="C21" s="36" t="s">
        <v>41</v>
      </c>
      <c r="D21" s="36" t="s">
        <v>55</v>
      </c>
      <c r="E21" s="36">
        <v>-515</v>
      </c>
      <c r="F21" s="2"/>
      <c r="G21" s="2"/>
      <c r="H21" s="2"/>
      <c r="I21" s="2"/>
      <c r="J21" s="2"/>
      <c r="K21" s="36" t="s">
        <v>28</v>
      </c>
      <c r="L21" s="36" t="s">
        <v>45</v>
      </c>
      <c r="M21" s="2"/>
      <c r="N21" s="36" t="s">
        <v>20</v>
      </c>
      <c r="O21" s="36">
        <v>2</v>
      </c>
      <c r="V21" s="36">
        <v>0</v>
      </c>
      <c r="AB21" s="36" t="s">
        <v>24</v>
      </c>
      <c r="AE21" s="40">
        <v>43873</v>
      </c>
      <c r="AG21" s="36" t="s">
        <v>41</v>
      </c>
    </row>
    <row r="22" spans="1:33" ht="15.75" customHeight="1" x14ac:dyDescent="0.2">
      <c r="A22" s="2"/>
      <c r="B22" s="36" t="s">
        <v>16</v>
      </c>
      <c r="C22" s="36" t="s">
        <v>41</v>
      </c>
      <c r="D22" s="36" t="s">
        <v>55</v>
      </c>
      <c r="E22" s="36">
        <v>-6624</v>
      </c>
      <c r="F22" s="2"/>
      <c r="G22" s="2"/>
      <c r="H22" s="2"/>
      <c r="I22" s="2"/>
      <c r="J22" s="2"/>
      <c r="K22" s="36" t="s">
        <v>18</v>
      </c>
      <c r="L22" s="36" t="s">
        <v>45</v>
      </c>
      <c r="M22" s="2"/>
      <c r="N22" s="36" t="s">
        <v>20</v>
      </c>
      <c r="O22" s="36">
        <v>1</v>
      </c>
      <c r="V22" s="36">
        <v>0</v>
      </c>
      <c r="AB22" s="36" t="s">
        <v>28</v>
      </c>
      <c r="AE22" s="40">
        <v>43873</v>
      </c>
      <c r="AG22" s="36" t="s">
        <v>41</v>
      </c>
    </row>
    <row r="23" spans="1:33" ht="15.75" customHeight="1" x14ac:dyDescent="0.2">
      <c r="A23" s="2"/>
      <c r="B23" s="36" t="s">
        <v>16</v>
      </c>
      <c r="C23" s="36" t="s">
        <v>41</v>
      </c>
      <c r="D23" s="36" t="s">
        <v>59</v>
      </c>
      <c r="E23" s="36">
        <v>-7360</v>
      </c>
      <c r="F23" s="2"/>
      <c r="G23" s="2"/>
      <c r="H23" s="2"/>
      <c r="I23" s="2"/>
      <c r="J23" s="2"/>
      <c r="K23" s="36" t="s">
        <v>28</v>
      </c>
      <c r="L23" s="36" t="s">
        <v>49</v>
      </c>
      <c r="M23" s="2"/>
      <c r="N23" s="36" t="s">
        <v>20</v>
      </c>
      <c r="O23" s="36">
        <v>2.5</v>
      </c>
      <c r="V23" s="36">
        <v>0</v>
      </c>
      <c r="AB23" s="36" t="s">
        <v>28</v>
      </c>
      <c r="AE23" s="40">
        <v>43873</v>
      </c>
      <c r="AG23" s="36" t="s">
        <v>41</v>
      </c>
    </row>
    <row r="24" spans="1:33" ht="15.75" customHeight="1" x14ac:dyDescent="0.2">
      <c r="A24" s="2"/>
      <c r="B24" s="36" t="s">
        <v>16</v>
      </c>
      <c r="C24" s="36" t="s">
        <v>41</v>
      </c>
      <c r="D24" s="36" t="s">
        <v>59</v>
      </c>
      <c r="E24" s="36">
        <v>7360</v>
      </c>
      <c r="F24" s="2"/>
      <c r="G24" s="2"/>
      <c r="H24" s="2"/>
      <c r="I24" s="2"/>
      <c r="J24" s="2"/>
      <c r="K24" s="36" t="s">
        <v>28</v>
      </c>
      <c r="L24" s="36" t="s">
        <v>50</v>
      </c>
      <c r="M24" s="2"/>
      <c r="N24" s="36" t="s">
        <v>20</v>
      </c>
      <c r="O24" s="36">
        <v>2</v>
      </c>
      <c r="V24" s="36">
        <v>0</v>
      </c>
      <c r="AB24" s="36" t="s">
        <v>28</v>
      </c>
      <c r="AE24" s="40">
        <v>43873</v>
      </c>
      <c r="AG24" s="36" t="s">
        <v>41</v>
      </c>
    </row>
    <row r="25" spans="1:33" ht="15.75" customHeight="1" x14ac:dyDescent="0.2">
      <c r="A25" s="2"/>
      <c r="B25" s="36" t="s">
        <v>16</v>
      </c>
      <c r="C25" s="36" t="s">
        <v>51</v>
      </c>
      <c r="D25" s="36" t="s">
        <v>60</v>
      </c>
      <c r="E25" s="36">
        <v>7360</v>
      </c>
      <c r="F25" s="2"/>
      <c r="G25" s="2"/>
      <c r="H25" s="2"/>
      <c r="I25" s="2"/>
      <c r="J25" s="2"/>
      <c r="K25" s="36" t="s">
        <v>28</v>
      </c>
      <c r="L25" s="36" t="s">
        <v>61</v>
      </c>
      <c r="M25" s="2"/>
      <c r="N25" s="36" t="s">
        <v>20</v>
      </c>
      <c r="O25" s="36">
        <v>1.1000000000000001</v>
      </c>
      <c r="V25" s="36">
        <v>105</v>
      </c>
      <c r="AB25" s="36" t="s">
        <v>24</v>
      </c>
      <c r="AE25" s="40">
        <v>43873</v>
      </c>
      <c r="AG25" s="36" t="s">
        <v>51</v>
      </c>
    </row>
    <row r="26" spans="1:33" ht="15.75" customHeight="1" x14ac:dyDescent="0.2">
      <c r="A26" s="2"/>
      <c r="B26" s="36" t="s">
        <v>16</v>
      </c>
      <c r="C26" s="36" t="s">
        <v>51</v>
      </c>
      <c r="D26" s="36" t="s">
        <v>60</v>
      </c>
      <c r="E26" s="36">
        <v>-4600</v>
      </c>
      <c r="F26" s="2"/>
      <c r="G26" s="2"/>
      <c r="H26" s="2"/>
      <c r="I26" s="2"/>
      <c r="J26" s="2"/>
      <c r="K26" s="36" t="s">
        <v>28</v>
      </c>
      <c r="L26" s="36" t="s">
        <v>61</v>
      </c>
      <c r="M26" s="2"/>
      <c r="N26" s="36" t="s">
        <v>20</v>
      </c>
      <c r="O26" s="36">
        <v>1.1000000000000001</v>
      </c>
      <c r="V26" s="36">
        <v>105</v>
      </c>
      <c r="AB26" s="36" t="s">
        <v>24</v>
      </c>
      <c r="AE26" s="40">
        <v>43873</v>
      </c>
      <c r="AG26" s="36" t="s">
        <v>51</v>
      </c>
    </row>
    <row r="27" spans="1:33" ht="15.75" customHeight="1" x14ac:dyDescent="0.2">
      <c r="B27" s="36" t="s">
        <v>16</v>
      </c>
      <c r="C27" s="36" t="s">
        <v>51</v>
      </c>
      <c r="D27" s="36" t="s">
        <v>60</v>
      </c>
      <c r="E27" s="36">
        <v>-2760</v>
      </c>
      <c r="K27" s="36" t="s">
        <v>28</v>
      </c>
      <c r="L27" s="36" t="s">
        <v>61</v>
      </c>
      <c r="N27" s="36" t="s">
        <v>20</v>
      </c>
      <c r="O27" s="36">
        <v>1.1000000000000001</v>
      </c>
      <c r="V27" s="36">
        <v>34.65</v>
      </c>
      <c r="AB27" s="36" t="s">
        <v>66</v>
      </c>
      <c r="AE27" s="40">
        <v>43873</v>
      </c>
      <c r="AG27" s="36" t="s">
        <v>51</v>
      </c>
    </row>
    <row r="28" spans="1:33" ht="15.75" customHeight="1" x14ac:dyDescent="0.2"/>
    <row r="29" spans="1:33" ht="15.75" customHeight="1" x14ac:dyDescent="0.2"/>
    <row r="30" spans="1:33" ht="15.75" customHeight="1" x14ac:dyDescent="0.2"/>
    <row r="31" spans="1:33" ht="15.75" customHeight="1" x14ac:dyDescent="0.2"/>
    <row r="32" spans="1:3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68</v>
      </c>
      <c r="D3" s="4" t="s">
        <v>6</v>
      </c>
      <c r="E3" s="16" t="s">
        <v>69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6" t="s">
        <v>71</v>
      </c>
      <c r="C6" s="27">
        <v>43871</v>
      </c>
      <c r="D6" s="27">
        <v>43873</v>
      </c>
      <c r="E6" s="26" t="s">
        <v>16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9" width="14.42578125" customWidth="1"/>
    <col min="20" max="20" width="24" customWidth="1"/>
    <col min="21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68</v>
      </c>
      <c r="D3" s="4" t="s">
        <v>6</v>
      </c>
      <c r="E3" s="16" t="s">
        <v>70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IFERROR(__xludf.DUMMYFUNCTION("""COMPUTED_VALUE"""),"Asset Class")</f>
        <v>Asset Class</v>
      </c>
      <c r="D5" s="21" t="str">
        <f ca="1">IFERROR(__xludf.DUMMYFUNCTION("""COMPUTED_VALUE"""),"AUECID")</f>
        <v>AUECID</v>
      </c>
      <c r="E5" s="21" t="str">
        <f ca="1">IFERROR(__xludf.DUMMYFUNCTION("""COMPUTED_VALUE"""),"ExternalTransId")</f>
        <v>ExternalTransId</v>
      </c>
      <c r="F5" s="22" t="str">
        <f ca="1">IFERROR(__xludf.DUMMYFUNCTION("""COMPUTED_VALUE"""),"IsSwapped")</f>
        <v>IsSwapped</v>
      </c>
      <c r="G5" s="21" t="str">
        <f ca="1">IFERROR(__xludf.DUMMYFUNCTION("""COMPUTED_VALUE"""),"LotId")</f>
        <v>LotId</v>
      </c>
      <c r="H5" s="21" t="str">
        <f ca="1">IFERROR(__xludf.DUMMYFUNCTION("""COMPUTED_VALUE"""),"Net Notional")</f>
        <v>Net Notional</v>
      </c>
      <c r="I5" s="21" t="str">
        <f ca="1">IFERROR(__xludf.DUMMYFUNCTION("""COMPUTED_VALUE"""),"Opening Price")</f>
        <v>Opening Price</v>
      </c>
      <c r="J5" s="21" t="str">
        <f ca="1">IFERROR(__xludf.DUMMYFUNCTION("""COMPUTED_VALUE"""),"Original Purchase Date")</f>
        <v>Original Purchase Date</v>
      </c>
      <c r="K5" s="21" t="str">
        <f ca="1">IFERROR(__xludf.DUMMYFUNCTION("""COMPUTED_VALUE"""),"PositionTag")</f>
        <v>PositionTag</v>
      </c>
      <c r="L5" s="21" t="str">
        <f ca="1">IFERROR(__xludf.DUMMYFUNCTION("""COMPUTED_VALUE"""),"Process Date")</f>
        <v>Process Date</v>
      </c>
      <c r="M5" s="21" t="str">
        <f ca="1">IFERROR(__xludf.DUMMYFUNCTION("""COMPUTED_VALUE"""),"Quantity")</f>
        <v>Quantity</v>
      </c>
      <c r="N5" s="21" t="str">
        <f ca="1">IFERROR(__xludf.DUMMYFUNCTION("""COMPUTED_VALUE"""),"Security Name")</f>
        <v>Security Name</v>
      </c>
      <c r="O5" s="21" t="str">
        <f ca="1">IFERROR(__xludf.DUMMYFUNCTION("""COMPUTED_VALUE"""),"Settlement Currency")</f>
        <v>Settlement Currency</v>
      </c>
      <c r="P5" s="21" t="str">
        <f ca="1">IFERROR(__xludf.DUMMYFUNCTION("""COMPUTED_VALUE"""),"Side")</f>
        <v>Side</v>
      </c>
      <c r="Q5" s="21" t="str">
        <f ca="1">IFERROR(__xludf.DUMMYFUNCTION("""COMPUTED_VALUE"""),"Strategy")</f>
        <v>Strategy</v>
      </c>
      <c r="R5" s="21" t="str">
        <f ca="1">IFERROR(__xludf.DUMMYFUNCTION("""COMPUTED_VALUE"""),"Symbol")</f>
        <v>Symbol</v>
      </c>
      <c r="S5" s="21" t="str">
        <f ca="1">IFERROR(__xludf.DUMMYFUNCTION("""COMPUTED_VALUE"""),"Taxlot ID")</f>
        <v>Taxlot ID</v>
      </c>
      <c r="T5" s="23" t="str">
        <f ca="1">IFERROR(__xludf.DUMMYFUNCTION("""COMPUTED_VALUE"""),"Total Fees and Commission")</f>
        <v>Total Fees and Commission</v>
      </c>
      <c r="U5" s="23" t="str">
        <f ca="1">IFERROR(__xludf.DUMMYFUNCTION("""COMPUTED_VALUE"""),"Trade Date")</f>
        <v>Trade Date</v>
      </c>
      <c r="V5" s="23" t="str">
        <f ca="1">IFERROR(__xludf.DUMMYFUNCTION("""COMPUTED_VALUE"""),"Transaction Type")</f>
        <v>Transaction Type</v>
      </c>
      <c r="W5" s="23" t="str">
        <f ca="1">IFERROR(__xludf.DUMMYFUNCTION("""COMPUTED_VALUE"""),"UnderlyingName")</f>
        <v>UnderlyingName</v>
      </c>
      <c r="X5" s="23" t="str">
        <f ca="1">IFERROR(__xludf.DUMMYFUNCTION("""COMPUTED_VALUE"""),"UnitCost")</f>
        <v>UnitCost</v>
      </c>
      <c r="Y5" s="23" t="str">
        <f ca="1">IFERROR(__xludf.DUMMYFUNCTION("""COMPUTED_VALUE"""),"Unit Cost(Base)")</f>
        <v>Unit Cost(Base)</v>
      </c>
      <c r="Z5" s="23" t="str">
        <f ca="1">IFERROR(__xludf.DUMMYFUNCTION("""COMPUTED_VALUE"""),"AvgPriceBase")</f>
        <v>AvgPriceBase</v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36" t="s">
        <v>16</v>
      </c>
      <c r="C6" s="36" t="s">
        <v>72</v>
      </c>
      <c r="D6" s="6"/>
      <c r="E6" s="46"/>
      <c r="F6" s="2"/>
      <c r="G6" s="2"/>
      <c r="H6" s="44">
        <v>4600</v>
      </c>
      <c r="I6" s="44">
        <v>43.809523810000002</v>
      </c>
      <c r="J6" s="2"/>
      <c r="K6" s="2"/>
      <c r="L6" s="2"/>
      <c r="M6" s="44">
        <v>105</v>
      </c>
      <c r="N6" s="2"/>
      <c r="O6" s="2"/>
      <c r="P6" s="36" t="s">
        <v>25</v>
      </c>
      <c r="R6" s="36" t="s">
        <v>24</v>
      </c>
      <c r="U6" s="45">
        <v>43873</v>
      </c>
      <c r="V6" s="36" t="s">
        <v>25</v>
      </c>
      <c r="W6" s="36" t="s">
        <v>73</v>
      </c>
      <c r="X6" s="36">
        <v>43.809523809523803</v>
      </c>
      <c r="Y6" s="36">
        <v>48.190476190476197</v>
      </c>
      <c r="Z6" s="36">
        <v>48.190476190476197</v>
      </c>
    </row>
    <row r="7" spans="1:154" ht="15.75" customHeight="1" x14ac:dyDescent="0.2">
      <c r="A7" s="2"/>
      <c r="B7" s="36" t="s">
        <v>16</v>
      </c>
      <c r="C7" s="36" t="s">
        <v>72</v>
      </c>
      <c r="D7" s="2"/>
      <c r="E7" s="2"/>
      <c r="F7" s="2"/>
      <c r="G7" s="2"/>
      <c r="H7" s="44">
        <v>2760</v>
      </c>
      <c r="I7" s="44">
        <v>79.653679650000001</v>
      </c>
      <c r="J7" s="2"/>
      <c r="K7" s="2"/>
      <c r="L7" s="2"/>
      <c r="M7" s="44">
        <v>34.65</v>
      </c>
      <c r="N7" s="2"/>
      <c r="O7" s="2"/>
      <c r="P7" s="36" t="s">
        <v>25</v>
      </c>
      <c r="R7" s="36" t="s">
        <v>66</v>
      </c>
      <c r="U7" s="45">
        <v>43873</v>
      </c>
      <c r="V7" s="36" t="s">
        <v>25</v>
      </c>
      <c r="W7" s="36" t="s">
        <v>73</v>
      </c>
      <c r="X7" s="36">
        <v>79.653679653679703</v>
      </c>
      <c r="Y7" s="36">
        <v>87.619047619047706</v>
      </c>
      <c r="Z7" s="36">
        <v>87.619047619047706</v>
      </c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74</v>
      </c>
      <c r="D3" s="4" t="s">
        <v>6</v>
      </c>
      <c r="E3" s="16" t="s">
        <v>75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24"/>
      <c r="B6" s="26" t="s">
        <v>71</v>
      </c>
      <c r="C6" s="27">
        <v>43871</v>
      </c>
      <c r="D6" s="27">
        <v>43873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20" width="14.42578125" customWidth="1"/>
    <col min="21" max="21" width="23.28515625" customWidth="1"/>
    <col min="22" max="56" width="14.42578125" customWidth="1"/>
    <col min="57" max="57" width="25.5703125" customWidth="1"/>
    <col min="58" max="154" width="14.42578125" customWidth="1"/>
  </cols>
  <sheetData>
    <row r="1" spans="1:154" ht="15.75" customHeight="1" x14ac:dyDescent="0.3">
      <c r="A1" s="12"/>
      <c r="B1" s="49" t="s">
        <v>11</v>
      </c>
      <c r="C1" s="50"/>
      <c r="D1" s="50"/>
      <c r="E1" s="50"/>
      <c r="F1" s="50"/>
      <c r="G1" s="50"/>
      <c r="H1" s="5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74</v>
      </c>
      <c r="D3" s="4" t="s">
        <v>6</v>
      </c>
      <c r="E3" s="16" t="s">
        <v>76</v>
      </c>
      <c r="F3" s="4" t="s">
        <v>14</v>
      </c>
      <c r="G3" s="8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 Name")</f>
        <v>Account Name</v>
      </c>
      <c r="C5" s="21" t="str">
        <f ca="1">IFERROR(__xludf.DUMMYFUNCTION("""COMPUTED_VALUE"""),"Accrual Basis")</f>
        <v>Accrual Basis</v>
      </c>
      <c r="D5" s="21" t="str">
        <f ca="1">IFERROR(__xludf.DUMMYFUNCTION("""COMPUTED_VALUE"""),"Accrued Interest")</f>
        <v>Accrued Interest</v>
      </c>
      <c r="E5" s="21" t="str">
        <f ca="1">IFERROR(__xludf.DUMMYFUNCTION("""COMPUTED_VALUE"""),"Allocated Qty")</f>
        <v>Allocated Qty</v>
      </c>
      <c r="F5" s="22" t="str">
        <f ca="1">IFERROR(__xludf.DUMMYFUNCTION("""COMPUTED_VALUE"""),"Allocation Scheme Name")</f>
        <v>Allocation Scheme Name</v>
      </c>
      <c r="G5" s="21" t="str">
        <f ca="1">IFERROR(__xludf.DUMMYFUNCTION("""COMPUTED_VALUE"""),"Asset Category")</f>
        <v>Asset Category</v>
      </c>
      <c r="H5" s="21" t="str">
        <f ca="1">IFERROR(__xludf.DUMMYFUNCTION("""COMPUTED_VALUE"""),"AUEC Fee1")</f>
        <v>AUEC Fee1</v>
      </c>
      <c r="I5" s="21" t="str">
        <f ca="1">IFERROR(__xludf.DUMMYFUNCTION("""COMPUTED_VALUE"""),"AUEC Fee2")</f>
        <v>AUEC Fee2</v>
      </c>
      <c r="J5" s="21" t="str">
        <f ca="1">IFERROR(__xludf.DUMMYFUNCTION("""COMPUTED_VALUE"""),"AUECID")</f>
        <v>AUECID</v>
      </c>
      <c r="K5" s="21" t="str">
        <f ca="1">IFERROR(__xludf.DUMMYFUNCTION("""COMPUTED_VALUE"""),"Avg Price(Base)")</f>
        <v>Avg Price(Base)</v>
      </c>
      <c r="L5" s="21" t="str">
        <f ca="1">IFERROR(__xludf.DUMMYFUNCTION("""COMPUTED_VALUE"""),"Avg Price(Local)")</f>
        <v>Avg Price(Local)</v>
      </c>
      <c r="M5" s="21" t="str">
        <f ca="1">IFERROR(__xludf.DUMMYFUNCTION("""COMPUTED_VALUE"""),"Bloomberg")</f>
        <v>Bloomberg</v>
      </c>
      <c r="N5" s="21" t="str">
        <f ca="1">IFERROR(__xludf.DUMMYFUNCTION("""COMPUTED_VALUE"""),"Bond Type")</f>
        <v>Bond Type</v>
      </c>
      <c r="O5" s="21" t="str">
        <f ca="1">IFERROR(__xludf.DUMMYFUNCTION("""COMPUTED_VALUE"""),"Broker")</f>
        <v>Broker</v>
      </c>
      <c r="P5" s="21" t="str">
        <f ca="1">IFERROR(__xludf.DUMMYFUNCTION("""COMPUTED_VALUE"""),"Change Comment")</f>
        <v>Change Comment</v>
      </c>
      <c r="Q5" s="21" t="str">
        <f ca="1">IFERROR(__xludf.DUMMYFUNCTION("""COMPUTED_VALUE"""),"Change Type")</f>
        <v>Change Type</v>
      </c>
      <c r="R5" s="21" t="str">
        <f ca="1">IFERROR(__xludf.DUMMYFUNCTION("""COMPUTED_VALUE"""),"Clearing Broker Fee")</f>
        <v>Clearing Broker Fee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IFERROR(__xludf.DUMMYFUNCTION("""COMPUTED_VALUE"""),"Exceution Time")</f>
        <v>Exceution Time</v>
      </c>
      <c r="AG5" s="23" t="str">
        <f ca="1">IFERROR(__xludf.DUMMYFUNCTION("""COMPUTED_VALUE"""),"Expiration Date")</f>
        <v>Expiration Date</v>
      </c>
      <c r="AH5" s="23" t="str">
        <f ca="1">IFERROR(__xludf.DUMMYFUNCTION("""COMPUTED_VALUE"""),"FX Conversion Operator")</f>
        <v>FX Conversion Operator</v>
      </c>
      <c r="AI5" s="23" t="str">
        <f ca="1">IFERROR(__xludf.DUMMYFUNCTION("""COMPUTED_VALUE"""),"FX Rate")</f>
        <v>FX Rate</v>
      </c>
      <c r="AJ5" s="23" t="str">
        <f ca="1">IFERROR(__xludf.DUMMYFUNCTION("""COMPUTED_VALUE"""),"Group Status")</f>
        <v>Group Status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IFERROR(__xludf.DUMMYFUNCTION("""COMPUTED_VALUE"""),"IsManualGroup")</f>
        <v>IsManualGroup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IFERROR(__xludf.DUMMYFUNCTION("""COMPUTED_VALUE"""),"Strategy Name")</f>
        <v>Strategy Name</v>
      </c>
      <c r="BT5" s="23" t="str">
        <f ca="1">IFERROR(__xludf.DUMMYFUNCTION("""COMPUTED_VALUE"""),"Symbol")</f>
        <v>Symbol</v>
      </c>
      <c r="BU5" s="23" t="str">
        <f ca="1">IFERROR(__xludf.DUMMYFUNCTION("""COMPUTED_VALUE"""),"Tax On Commissions")</f>
        <v>Tax On Commissions</v>
      </c>
      <c r="BV5" s="23" t="str">
        <f ca="1">IFERROR(__xludf.DUMMYFUNCTION("""COMPUTED_VALUE"""),"Total Commission")</f>
        <v>Total Commission</v>
      </c>
      <c r="BW5" s="23" t="str">
        <f ca="1">IFERROR(__xludf.DUMMYFUNCTION("""COMPUTED_VALUE"""),"Total Commission And Fee")</f>
        <v>Total Commission And Fee</v>
      </c>
      <c r="BX5" s="23" t="str">
        <f ca="1">IFERROR(__xludf.DUMMYFUNCTION("""COMPUTED_VALUE"""),"Total Commission Per Share")</f>
        <v>Total Commission Per Share</v>
      </c>
      <c r="BY5" s="23" t="str">
        <f ca="1">IFERROR(__xludf.DUMMYFUNCTION("""COMPUTED_VALUE"""),"Trade Attribute 1")</f>
        <v>Trade Attribute 1</v>
      </c>
      <c r="BZ5" s="23" t="str">
        <f ca="1">IFERROR(__xludf.DUMMYFUNCTION("""COMPUTED_VALUE"""),"Trade Attribute 2")</f>
        <v>Trade Attribute 2</v>
      </c>
      <c r="CA5" s="23" t="str">
        <f ca="1">IFERROR(__xludf.DUMMYFUNCTION("""COMPUTED_VALUE"""),"Trade Attribute 3")</f>
        <v>Trade Attribute 3</v>
      </c>
      <c r="CB5" s="23" t="str">
        <f ca="1">IFERROR(__xludf.DUMMYFUNCTION("""COMPUTED_VALUE"""),"Trade Attribute 4")</f>
        <v>Trade Attribute 4</v>
      </c>
      <c r="CC5" s="23" t="str">
        <f ca="1">IFERROR(__xludf.DUMMYFUNCTION("""COMPUTED_VALUE"""),"Trade Attribute 5")</f>
        <v>Trade Attribute 5</v>
      </c>
      <c r="CD5" s="23" t="str">
        <f ca="1">IFERROR(__xludf.DUMMYFUNCTION("""COMPUTED_VALUE"""),"Trade Attribute 6")</f>
        <v>Trade Attribute 6</v>
      </c>
      <c r="CE5" s="23" t="str">
        <f ca="1">IFERROR(__xludf.DUMMYFUNCTION("""COMPUTED_VALUE"""),"Trade Date")</f>
        <v>Trade Date</v>
      </c>
      <c r="CF5" s="23" t="str">
        <f ca="1">IFERROR(__xludf.DUMMYFUNCTION("""COMPUTED_VALUE"""),"Trading Account")</f>
        <v>Trading Account</v>
      </c>
      <c r="CG5" s="23" t="str">
        <f ca="1">IFERROR(__xludf.DUMMYFUNCTION("""COMPUTED_VALUE"""),"Transaction Levy")</f>
        <v>Transaction Levy</v>
      </c>
      <c r="CH5" s="23" t="str">
        <f ca="1">IFERROR(__xludf.DUMMYFUNCTION("""COMPUTED_VALUE"""),"Transaction Source")</f>
        <v>Transaction Source</v>
      </c>
      <c r="CI5" s="23" t="str">
        <f ca="1">IFERROR(__xludf.DUMMYFUNCTION("""COMPUTED_VALUE"""),"Transaction Type")</f>
        <v>Transaction Type</v>
      </c>
      <c r="CJ5" s="23" t="str">
        <f ca="1">IFERROR(__xludf.DUMMYFUNCTION("""COMPUTED_VALUE"""),"UnAllocatedQty")</f>
        <v>UnAllocatedQty</v>
      </c>
      <c r="CK5" s="23" t="str">
        <f ca="1">IFERROR(__xludf.DUMMYFUNCTION("""COMPUTED_VALUE"""),"Underlying")</f>
        <v>Underlying</v>
      </c>
      <c r="CL5" s="23" t="str">
        <f ca="1">IFERROR(__xludf.DUMMYFUNCTION("""COMPUTED_VALUE"""),"Underlying Delta")</f>
        <v>Underlying Delta</v>
      </c>
      <c r="CM5" s="23" t="str">
        <f ca="1">IFERROR(__xludf.DUMMYFUNCTION("""COMPUTED_VALUE"""),"Underlying Symbol")</f>
        <v>Underlying Symbol</v>
      </c>
      <c r="CN5" s="23" t="str">
        <f ca="1">IFERROR(__xludf.DUMMYFUNCTION("""COMPUTED_VALUE"""),"User")</f>
        <v>User</v>
      </c>
      <c r="CO5" s="23" t="str">
        <f ca="1">IFERROR(__xludf.DUMMYFUNCTION("""COMPUTED_VALUE"""),"Venue")</f>
        <v>Venue</v>
      </c>
      <c r="CP5" s="23" t="str">
        <f ca="1">IFERROR(__xludf.DUMMYFUNCTION("""COMPUTED_VALUE"""),"Closing Method")</f>
        <v>Closing Method</v>
      </c>
      <c r="CQ5" s="23" t="str">
        <f ca="1">IFERROR(__xludf.DUMMYFUNCTION("""COMPUTED_VALUE"""),"Closing Date")</f>
        <v>Closing Date</v>
      </c>
      <c r="CR5" s="23" t="str">
        <f ca="1">IFERROR(__xludf.DUMMYFUNCTION("""COMPUTED_VALUE"""),"GroupID")</f>
        <v>GroupID</v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6"/>
      <c r="B6" s="36" t="s">
        <v>16</v>
      </c>
      <c r="C6" s="2"/>
      <c r="D6" s="6"/>
      <c r="E6" s="44">
        <v>105</v>
      </c>
      <c r="F6" s="2"/>
      <c r="G6" s="2"/>
      <c r="H6" s="2"/>
      <c r="I6" s="2"/>
      <c r="J6" s="2"/>
      <c r="K6" s="44">
        <v>77</v>
      </c>
      <c r="L6" s="44">
        <v>70</v>
      </c>
      <c r="M6" s="2"/>
      <c r="N6" s="2"/>
      <c r="O6" s="2"/>
      <c r="U6" s="44">
        <v>2.3809523809523801E-2</v>
      </c>
      <c r="AH6" s="36" t="s">
        <v>20</v>
      </c>
      <c r="AI6" s="44">
        <v>1.1000000000000001</v>
      </c>
      <c r="AT6" s="48">
        <v>8096</v>
      </c>
      <c r="AU6" s="48">
        <v>7360</v>
      </c>
      <c r="BE6" s="48">
        <v>8085</v>
      </c>
      <c r="BF6" s="48">
        <v>7350</v>
      </c>
      <c r="BJ6" s="44">
        <v>105</v>
      </c>
      <c r="BM6" s="36" t="s">
        <v>28</v>
      </c>
      <c r="BO6" s="36" t="s">
        <v>25</v>
      </c>
      <c r="BQ6" s="44">
        <v>7.1428571428571397E-2</v>
      </c>
      <c r="BT6" s="36" t="s">
        <v>24</v>
      </c>
      <c r="BV6" s="44">
        <v>10</v>
      </c>
      <c r="BX6" s="36">
        <v>9.5238095238095205E-2</v>
      </c>
      <c r="CE6" s="45">
        <v>43871</v>
      </c>
      <c r="CH6" s="36" t="s">
        <v>22</v>
      </c>
      <c r="CI6" s="36" t="s">
        <v>25</v>
      </c>
    </row>
    <row r="7" spans="1:154" ht="15.75" customHeight="1" x14ac:dyDescent="0.2">
      <c r="A7" s="2"/>
      <c r="B7" s="36" t="s">
        <v>16</v>
      </c>
      <c r="C7" s="2"/>
      <c r="D7" s="2"/>
      <c r="E7" s="44">
        <v>105</v>
      </c>
      <c r="F7" s="2"/>
      <c r="G7" s="2"/>
      <c r="H7" s="2"/>
      <c r="I7" s="2"/>
      <c r="J7" s="2"/>
      <c r="K7" s="44">
        <v>77.104761904761901</v>
      </c>
      <c r="L7" s="44">
        <v>70.095238095238102</v>
      </c>
      <c r="M7" s="2"/>
      <c r="N7" s="2"/>
      <c r="O7" s="2"/>
      <c r="U7" s="44">
        <v>0</v>
      </c>
      <c r="AH7" s="36" t="s">
        <v>20</v>
      </c>
      <c r="AI7" s="44">
        <v>1.1000000000000001</v>
      </c>
      <c r="AT7" s="48">
        <v>8096</v>
      </c>
      <c r="AU7" s="48">
        <v>7360</v>
      </c>
      <c r="BE7" s="48">
        <v>8096</v>
      </c>
      <c r="BF7" s="48">
        <v>7360</v>
      </c>
      <c r="BJ7" s="44">
        <v>105</v>
      </c>
      <c r="BM7" s="36" t="s">
        <v>18</v>
      </c>
      <c r="BO7" s="36" t="s">
        <v>67</v>
      </c>
      <c r="BQ7" s="44">
        <v>0</v>
      </c>
      <c r="BT7" s="36" t="s">
        <v>24</v>
      </c>
      <c r="BV7" s="44">
        <v>0</v>
      </c>
      <c r="BX7" s="44">
        <v>0</v>
      </c>
      <c r="CE7" s="45">
        <v>43873</v>
      </c>
      <c r="CH7" s="36" t="s">
        <v>77</v>
      </c>
      <c r="CI7" s="36" t="s">
        <v>67</v>
      </c>
    </row>
    <row r="8" spans="1:154" ht="15.75" customHeight="1" x14ac:dyDescent="0.2">
      <c r="A8" s="2"/>
      <c r="B8" s="36" t="s">
        <v>16</v>
      </c>
      <c r="C8" s="2"/>
      <c r="D8" s="2"/>
      <c r="E8" s="44">
        <v>105</v>
      </c>
      <c r="F8" s="2"/>
      <c r="G8" s="2"/>
      <c r="H8" s="2"/>
      <c r="I8" s="2"/>
      <c r="J8" s="2"/>
      <c r="K8" s="44">
        <v>48.190476190476197</v>
      </c>
      <c r="L8" s="44">
        <v>43.809523809523803</v>
      </c>
      <c r="M8" s="2"/>
      <c r="N8" s="2"/>
      <c r="O8" s="2"/>
      <c r="U8" s="44">
        <v>0</v>
      </c>
      <c r="AH8" s="36" t="s">
        <v>20</v>
      </c>
      <c r="AI8" s="44">
        <v>1.1000000000000001</v>
      </c>
      <c r="AT8" s="48">
        <v>5060</v>
      </c>
      <c r="AU8" s="48">
        <v>4600</v>
      </c>
      <c r="BE8" s="48">
        <v>5060</v>
      </c>
      <c r="BF8" s="48">
        <v>4600</v>
      </c>
      <c r="BJ8" s="44">
        <v>105</v>
      </c>
      <c r="BM8" s="36" t="s">
        <v>18</v>
      </c>
      <c r="BO8" s="36" t="s">
        <v>25</v>
      </c>
      <c r="BQ8" s="44">
        <v>0</v>
      </c>
      <c r="BT8" s="36" t="s">
        <v>24</v>
      </c>
      <c r="BV8" s="44">
        <v>0</v>
      </c>
      <c r="BX8" s="44">
        <v>0</v>
      </c>
      <c r="CE8" s="45">
        <v>43873</v>
      </c>
      <c r="CH8" s="36" t="s">
        <v>77</v>
      </c>
      <c r="CI8" s="36" t="s">
        <v>25</v>
      </c>
    </row>
    <row r="9" spans="1:154" ht="15.75" customHeight="1" x14ac:dyDescent="0.2">
      <c r="A9" s="2"/>
      <c r="B9" s="36" t="s">
        <v>16</v>
      </c>
      <c r="C9" s="2"/>
      <c r="D9" s="2"/>
      <c r="E9" s="44">
        <v>34.65</v>
      </c>
      <c r="F9" s="2"/>
      <c r="G9" s="2"/>
      <c r="H9" s="2"/>
      <c r="I9" s="2"/>
      <c r="J9" s="2"/>
      <c r="K9" s="44">
        <v>87.619047619047706</v>
      </c>
      <c r="L9" s="44">
        <v>79.653679653679703</v>
      </c>
      <c r="M9" s="2"/>
      <c r="N9" s="2"/>
      <c r="O9" s="2"/>
      <c r="U9" s="44">
        <v>0</v>
      </c>
      <c r="AH9" s="36" t="s">
        <v>20</v>
      </c>
      <c r="AI9" s="44">
        <v>1.1000000000000001</v>
      </c>
      <c r="AT9" s="48">
        <v>3036</v>
      </c>
      <c r="AU9" s="48">
        <v>2760</v>
      </c>
      <c r="BE9" s="48">
        <v>3036</v>
      </c>
      <c r="BF9" s="48">
        <v>2760</v>
      </c>
      <c r="BJ9" s="44">
        <v>34.65</v>
      </c>
      <c r="BM9" s="36" t="s">
        <v>18</v>
      </c>
      <c r="BO9" s="36" t="s">
        <v>25</v>
      </c>
      <c r="BQ9" s="44">
        <v>0</v>
      </c>
      <c r="BT9" s="36" t="s">
        <v>66</v>
      </c>
      <c r="BV9" s="44">
        <v>0</v>
      </c>
      <c r="BX9" s="44">
        <v>0</v>
      </c>
      <c r="CE9" s="45">
        <v>43873</v>
      </c>
      <c r="CH9" s="36" t="s">
        <v>77</v>
      </c>
      <c r="CI9" s="36" t="s">
        <v>25</v>
      </c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_Modules</vt:lpstr>
      <vt:lpstr>_Settings</vt:lpstr>
      <vt:lpstr>_MasterData</vt:lpstr>
      <vt:lpstr>GetNonTradingTransaction</vt:lpstr>
      <vt:lpstr>AddNonTradingTransaction</vt:lpstr>
      <vt:lpstr>CreateDoneAwayOrder</vt:lpstr>
      <vt:lpstr>GetForexConversion</vt:lpstr>
      <vt:lpstr>UpdateForexConversion</vt:lpstr>
      <vt:lpstr>GetMarkPriceData</vt:lpstr>
      <vt:lpstr>UpdateMarkPrice</vt:lpstr>
      <vt:lpstr>GetDayEndCash</vt:lpstr>
      <vt:lpstr>GetAccountBalance</vt:lpstr>
      <vt:lpstr>GetForexConversion1</vt:lpstr>
      <vt:lpstr>UpdateForexConversion1</vt:lpstr>
      <vt:lpstr>GetMarkPriceData1</vt:lpstr>
      <vt:lpstr>UpdateMarkPrice1</vt:lpstr>
      <vt:lpstr>GetDayEndCash1</vt:lpstr>
      <vt:lpstr>GetAccountBalance1</vt:lpstr>
      <vt:lpstr>GetRevaluationData</vt:lpstr>
      <vt:lpstr>VerifyRevaluationData</vt:lpstr>
      <vt:lpstr>VerifyTradingTransaction</vt:lpstr>
      <vt:lpstr>GetActivityData</vt:lpstr>
      <vt:lpstr>VerifyActivity</vt:lpstr>
      <vt:lpstr>OpenSpinOff</vt:lpstr>
      <vt:lpstr>SpinOff</vt:lpstr>
      <vt:lpstr>VerifyAndApplyCorpAction</vt:lpstr>
      <vt:lpstr>GetForexConversion2</vt:lpstr>
      <vt:lpstr>UpdateForexConversion2</vt:lpstr>
      <vt:lpstr>GetMarkPriceData2</vt:lpstr>
      <vt:lpstr>UpdateMarkPrice2</vt:lpstr>
      <vt:lpstr>GetAccountBalance2</vt:lpstr>
      <vt:lpstr>GetRevaluationData1</vt:lpstr>
      <vt:lpstr>VerifyRevaluationData1</vt:lpstr>
      <vt:lpstr>VerifyTradingTransaction1</vt:lpstr>
      <vt:lpstr>GetActivityData1</vt:lpstr>
      <vt:lpstr>VerifyActivity1</vt:lpstr>
      <vt:lpstr>GetDataClosing</vt:lpstr>
      <vt:lpstr>VerifyLongPositionsGrid</vt:lpstr>
      <vt:lpstr>GetDataAllocation</vt:lpstr>
      <vt:lpstr>CheckAllocatedGroups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2020-12-24T15:16:12Z</dcterms:modified>
</cp:coreProperties>
</file>