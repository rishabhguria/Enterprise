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1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Transaction" sheetId="6" r:id="rId6"/>
    <sheet name="SetTTGeneralPreferences1" sheetId="7" r:id="rId7"/>
    <sheet name="ImportSymbol1" sheetId="8" r:id="rId8"/>
    <sheet name="CreateTransaction1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I7" i="9"/>
  <c r="I6" i="9"/>
  <c r="J2" i="9"/>
  <c r="J2" i="8"/>
  <c r="J2" i="7"/>
  <c r="I8" i="6"/>
  <c r="I7" i="6"/>
  <c r="I6" i="6"/>
  <c r="J2" i="6"/>
  <c r="J2" i="5"/>
  <c r="J2" i="4"/>
  <c r="BK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X4" i="12"/>
  <c r="P4" i="12"/>
  <c r="H4" i="12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H5" i="9"/>
  <c r="E4" i="9"/>
  <c r="AA4" i="8"/>
  <c r="S4" i="8"/>
  <c r="K4" i="8"/>
  <c r="C4" i="8"/>
  <c r="A5" i="7"/>
  <c r="H4" i="7"/>
  <c r="D5" i="6"/>
  <c r="W4" i="5"/>
  <c r="O4" i="5"/>
  <c r="G4" i="5"/>
  <c r="E5" i="4"/>
  <c r="L4" i="4"/>
  <c r="D4" i="4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W4" i="12"/>
  <c r="O4" i="12"/>
  <c r="G4" i="12"/>
  <c r="CR5" i="11"/>
  <c r="CJ5" i="11"/>
  <c r="CB5" i="11"/>
  <c r="BT5" i="11"/>
  <c r="BL5" i="11"/>
  <c r="BD5" i="11"/>
  <c r="AV5" i="11"/>
  <c r="AN5" i="11"/>
  <c r="AF5" i="11"/>
  <c r="X5" i="11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G5" i="9"/>
  <c r="D4" i="9"/>
  <c r="Z4" i="8"/>
  <c r="R4" i="8"/>
  <c r="J4" i="8"/>
  <c r="B4" i="8"/>
  <c r="O4" i="7"/>
  <c r="G4" i="7"/>
  <c r="C5" i="6"/>
  <c r="B5" i="5"/>
  <c r="V4" i="5"/>
  <c r="N4" i="5"/>
  <c r="F4" i="5"/>
  <c r="D5" i="4"/>
  <c r="K4" i="4"/>
  <c r="C4" i="4"/>
  <c r="B510" i="1"/>
  <c r="C507" i="1"/>
  <c r="A505" i="1"/>
  <c r="B502" i="1"/>
  <c r="C499" i="1"/>
  <c r="A497" i="1"/>
  <c r="B494" i="1"/>
  <c r="C491" i="1"/>
  <c r="A489" i="1"/>
  <c r="B486" i="1"/>
  <c r="C483" i="1"/>
  <c r="A481" i="1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V4" i="12"/>
  <c r="N4" i="12"/>
  <c r="F4" i="12"/>
  <c r="CQ5" i="11"/>
  <c r="CI5" i="11"/>
  <c r="CA5" i="11"/>
  <c r="BS5" i="11"/>
  <c r="BK5" i="11"/>
  <c r="BC5" i="11"/>
  <c r="AU5" i="11"/>
  <c r="AM5" i="11"/>
  <c r="AE5" i="11"/>
  <c r="W5" i="11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5" i="9"/>
  <c r="C4" i="9"/>
  <c r="Y4" i="8"/>
  <c r="Q4" i="8"/>
  <c r="I4" i="8"/>
  <c r="N4" i="7"/>
  <c r="F4" i="7"/>
  <c r="B5" i="6"/>
  <c r="A5" i="5"/>
  <c r="U4" i="5"/>
  <c r="M4" i="5"/>
  <c r="E4" i="5"/>
  <c r="C5" i="4"/>
  <c r="J4" i="4"/>
  <c r="B4" i="4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U4" i="12"/>
  <c r="M4" i="12"/>
  <c r="E4" i="12"/>
  <c r="CP5" i="11"/>
  <c r="CH5" i="11"/>
  <c r="BZ5" i="11"/>
  <c r="BR5" i="11"/>
  <c r="BJ5" i="11"/>
  <c r="BB5" i="11"/>
  <c r="AT5" i="11"/>
  <c r="AL5" i="11"/>
  <c r="AD5" i="11"/>
  <c r="V5" i="11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5" i="9"/>
  <c r="B4" i="9"/>
  <c r="X4" i="8"/>
  <c r="P4" i="8"/>
  <c r="H4" i="8"/>
  <c r="F5" i="7"/>
  <c r="M4" i="7"/>
  <c r="E4" i="7"/>
  <c r="I5" i="6"/>
  <c r="A5" i="6"/>
  <c r="AB4" i="5"/>
  <c r="T4" i="5"/>
  <c r="L4" i="5"/>
  <c r="D4" i="5"/>
  <c r="B5" i="4"/>
  <c r="I4" i="4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S4" i="12"/>
  <c r="K4" i="12"/>
  <c r="C4" i="12"/>
  <c r="CN5" i="11"/>
  <c r="CF5" i="11"/>
  <c r="BX5" i="11"/>
  <c r="BP5" i="11"/>
  <c r="BH5" i="11"/>
  <c r="AZ5" i="11"/>
  <c r="AR5" i="11"/>
  <c r="AJ5" i="11"/>
  <c r="AB5" i="11"/>
  <c r="T5" i="11"/>
  <c r="L5" i="11"/>
  <c r="D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C5" i="9"/>
  <c r="B5" i="8"/>
  <c r="V4" i="8"/>
  <c r="N4" i="8"/>
  <c r="F4" i="8"/>
  <c r="D5" i="7"/>
  <c r="K4" i="7"/>
  <c r="C4" i="7"/>
  <c r="G5" i="6"/>
  <c r="D4" i="6"/>
  <c r="Z4" i="5"/>
  <c r="R4" i="5"/>
  <c r="J4" i="5"/>
  <c r="B4" i="5"/>
  <c r="O4" i="4"/>
  <c r="G4" i="4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Z4" i="12"/>
  <c r="R4" i="12"/>
  <c r="J4" i="12"/>
  <c r="B4" i="12"/>
  <c r="CM5" i="11"/>
  <c r="CE5" i="11"/>
  <c r="BW5" i="11"/>
  <c r="BO5" i="11"/>
  <c r="BG5" i="11"/>
  <c r="AY5" i="11"/>
  <c r="AQ5" i="11"/>
  <c r="AI5" i="11"/>
  <c r="AA5" i="11"/>
  <c r="S5" i="11"/>
  <c r="K5" i="11"/>
  <c r="C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B5" i="9"/>
  <c r="A5" i="8"/>
  <c r="U4" i="8"/>
  <c r="M4" i="8"/>
  <c r="E4" i="8"/>
  <c r="C5" i="7"/>
  <c r="J4" i="7"/>
  <c r="B4" i="7"/>
  <c r="F5" i="6"/>
  <c r="C4" i="6"/>
  <c r="Y4" i="5"/>
  <c r="Q4" i="5"/>
  <c r="I4" i="5"/>
  <c r="N4" i="4"/>
  <c r="F4" i="4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Y4" i="12"/>
  <c r="Q4" i="12"/>
  <c r="I4" i="12"/>
  <c r="CL5" i="11"/>
  <c r="CD5" i="11"/>
  <c r="BV5" i="11"/>
  <c r="BN5" i="11"/>
  <c r="BF5" i="11"/>
  <c r="AX5" i="11"/>
  <c r="AP5" i="11"/>
  <c r="AH5" i="11"/>
  <c r="Z5" i="11"/>
  <c r="R5" i="11"/>
  <c r="J5" i="11"/>
  <c r="B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I5" i="9"/>
  <c r="A5" i="9"/>
  <c r="AB4" i="8"/>
  <c r="T4" i="8"/>
  <c r="L4" i="8"/>
  <c r="D4" i="8"/>
  <c r="B5" i="7"/>
  <c r="I4" i="7"/>
  <c r="E5" i="6"/>
  <c r="B4" i="6"/>
  <c r="X4" i="5"/>
  <c r="J5" i="12"/>
  <c r="BY5" i="11"/>
  <c r="M5" i="11"/>
  <c r="BR4" i="11"/>
  <c r="F4" i="11"/>
  <c r="CK4" i="10"/>
  <c r="Y4" i="10"/>
  <c r="W4" i="8"/>
  <c r="P4" i="5"/>
  <c r="H4" i="4"/>
  <c r="C505" i="1"/>
  <c r="A495" i="1"/>
  <c r="B484" i="1"/>
  <c r="C475" i="1"/>
  <c r="B468" i="1"/>
  <c r="B461" i="1"/>
  <c r="B454" i="1"/>
  <c r="A447" i="1"/>
  <c r="A440" i="1"/>
  <c r="A433" i="1"/>
  <c r="C426" i="1"/>
  <c r="A423" i="1"/>
  <c r="B419" i="1"/>
  <c r="C415" i="1"/>
  <c r="B412" i="1"/>
  <c r="C408" i="1"/>
  <c r="A405" i="1"/>
  <c r="C401" i="1"/>
  <c r="B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5" i="12"/>
  <c r="BQ5" i="11"/>
  <c r="E5" i="11"/>
  <c r="BJ4" i="11"/>
  <c r="CC4" i="10"/>
  <c r="Q4" i="10"/>
  <c r="O4" i="8"/>
  <c r="K4" i="5"/>
  <c r="E4" i="4"/>
  <c r="A504" i="1"/>
  <c r="B493" i="1"/>
  <c r="C482" i="1"/>
  <c r="C474" i="1"/>
  <c r="C467" i="1"/>
  <c r="B460" i="1"/>
  <c r="B453" i="1"/>
  <c r="B446" i="1"/>
  <c r="A439" i="1"/>
  <c r="A432" i="1"/>
  <c r="A426" i="1"/>
  <c r="B422" i="1"/>
  <c r="C418" i="1"/>
  <c r="B415" i="1"/>
  <c r="C411" i="1"/>
  <c r="A408" i="1"/>
  <c r="C404" i="1"/>
  <c r="A401" i="1"/>
  <c r="A398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T4" i="12"/>
  <c r="BI5" i="11"/>
  <c r="DN4" i="11"/>
  <c r="BB4" i="11"/>
  <c r="P5" i="10"/>
  <c r="BU4" i="10"/>
  <c r="I4" i="10"/>
  <c r="G4" i="8"/>
  <c r="H4" i="5"/>
  <c r="A503" i="1"/>
  <c r="B492" i="1"/>
  <c r="C481" i="1"/>
  <c r="C473" i="1"/>
  <c r="C466" i="1"/>
  <c r="C459" i="1"/>
  <c r="B452" i="1"/>
  <c r="B445" i="1"/>
  <c r="B438" i="1"/>
  <c r="A431" i="1"/>
  <c r="C425" i="1"/>
  <c r="A422" i="1"/>
  <c r="B418" i="1"/>
  <c r="A415" i="1"/>
  <c r="B411" i="1"/>
  <c r="C407" i="1"/>
  <c r="B404" i="1"/>
  <c r="C400" i="1"/>
  <c r="C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L4" i="12"/>
  <c r="BA5" i="11"/>
  <c r="DF4" i="11"/>
  <c r="AT4" i="11"/>
  <c r="H5" i="10"/>
  <c r="BM4" i="10"/>
  <c r="H5" i="6"/>
  <c r="C4" i="5"/>
  <c r="A4" i="3"/>
  <c r="B501" i="1"/>
  <c r="C490" i="1"/>
  <c r="A480" i="1"/>
  <c r="A473" i="1"/>
  <c r="C465" i="1"/>
  <c r="C458" i="1"/>
  <c r="C451" i="1"/>
  <c r="B444" i="1"/>
  <c r="B437" i="1"/>
  <c r="B430" i="1"/>
  <c r="A425" i="1"/>
  <c r="B421" i="1"/>
  <c r="A418" i="1"/>
  <c r="B414" i="1"/>
  <c r="C410" i="1"/>
  <c r="B407" i="1"/>
  <c r="C403" i="1"/>
  <c r="B400" i="1"/>
  <c r="B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D4" i="12"/>
  <c r="AS5" i="11"/>
  <c r="CX4" i="11"/>
  <c r="AL4" i="11"/>
  <c r="DQ4" i="10"/>
  <c r="BE4" i="10"/>
  <c r="E5" i="7"/>
  <c r="E4" i="6"/>
  <c r="A511" i="1"/>
  <c r="B500" i="1"/>
  <c r="C489" i="1"/>
  <c r="A479" i="1"/>
  <c r="A472" i="1"/>
  <c r="A465" i="1"/>
  <c r="C457" i="1"/>
  <c r="C450" i="1"/>
  <c r="C443" i="1"/>
  <c r="B436" i="1"/>
  <c r="B429" i="1"/>
  <c r="C424" i="1"/>
  <c r="A421" i="1"/>
  <c r="C417" i="1"/>
  <c r="A414" i="1"/>
  <c r="B410" i="1"/>
  <c r="A407" i="1"/>
  <c r="B403" i="1"/>
  <c r="A400" i="1"/>
  <c r="A397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AK5" i="11"/>
  <c r="CP4" i="11"/>
  <c r="AD4" i="11"/>
  <c r="DI4" i="10"/>
  <c r="AW4" i="10"/>
  <c r="L4" i="7"/>
  <c r="F5" i="4"/>
  <c r="B509" i="1"/>
  <c r="C498" i="1"/>
  <c r="A488" i="1"/>
  <c r="B478" i="1"/>
  <c r="A471" i="1"/>
  <c r="A464" i="1"/>
  <c r="A457" i="1"/>
  <c r="C449" i="1"/>
  <c r="C442" i="1"/>
  <c r="C435" i="1"/>
  <c r="C428" i="1"/>
  <c r="A424" i="1"/>
  <c r="C420" i="1"/>
  <c r="A417" i="1"/>
  <c r="B413" i="1"/>
  <c r="A410" i="1"/>
  <c r="B406" i="1"/>
  <c r="C402" i="1"/>
  <c r="C399" i="1"/>
  <c r="C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CO5" i="11"/>
  <c r="AC5" i="11"/>
  <c r="CH4" i="11"/>
  <c r="V4" i="11"/>
  <c r="DA4" i="10"/>
  <c r="AO4" i="10"/>
  <c r="D5" i="9"/>
  <c r="D4" i="7"/>
  <c r="AA4" i="5"/>
  <c r="A5" i="4"/>
  <c r="B508" i="1"/>
  <c r="C497" i="1"/>
  <c r="A487" i="1"/>
  <c r="B477" i="1"/>
  <c r="B470" i="1"/>
  <c r="A463" i="1"/>
  <c r="A456" i="1"/>
  <c r="A449" i="1"/>
  <c r="C441" i="1"/>
  <c r="C434" i="1"/>
  <c r="B428" i="1"/>
  <c r="C423" i="1"/>
  <c r="B420" i="1"/>
  <c r="C416" i="1"/>
  <c r="A413" i="1"/>
  <c r="C409" i="1"/>
  <c r="A406" i="1"/>
  <c r="B402" i="1"/>
  <c r="B399" i="1"/>
  <c r="B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G5" i="11"/>
  <c r="U5" i="11"/>
  <c r="BZ4" i="11"/>
  <c r="N4" i="11"/>
  <c r="CS4" i="10"/>
  <c r="AG4" i="10"/>
  <c r="S4" i="5"/>
  <c r="M4" i="4"/>
  <c r="C506" i="1"/>
  <c r="A496" i="1"/>
  <c r="B485" i="1"/>
  <c r="B476" i="1"/>
  <c r="B469" i="1"/>
  <c r="B462" i="1"/>
  <c r="A455" i="1"/>
  <c r="A448" i="1"/>
  <c r="A441" i="1"/>
  <c r="C433" i="1"/>
  <c r="C427" i="1"/>
  <c r="B423" i="1"/>
  <c r="C419" i="1"/>
  <c r="A416" i="1"/>
  <c r="C412" i="1"/>
  <c r="A409" i="1"/>
  <c r="B405" i="1"/>
  <c r="A402" i="1"/>
  <c r="A399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A135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134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</calcChain>
</file>

<file path=xl/sharedStrings.xml><?xml version="1.0" encoding="utf-8"?>
<sst xmlns="http://schemas.openxmlformats.org/spreadsheetml/2006/main" count="219" uniqueCount="68">
  <si>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</si>
  <si>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</si>
  <si>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</si>
  <si>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</si>
  <si>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</si>
  <si>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</si>
  <si>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</si>
  <si>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</si>
  <si>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</si>
  <si>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</si>
  <si>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</si>
  <si>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</si>
  <si>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</si>
  <si>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</si>
  <si>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</si>
  <si>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</si>
  <si>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</si>
  <si>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</si>
  <si>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</si>
  <si>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CreateTransaction</t>
  </si>
  <si>
    <t>GBP/USD</t>
  </si>
  <si>
    <t>Allocation1</t>
  </si>
  <si>
    <t>Buy</t>
  </si>
  <si>
    <t xml:space="preserve"> O:EOG 10D95.00</t>
  </si>
  <si>
    <t>Sell</t>
  </si>
  <si>
    <t>AAPL</t>
  </si>
  <si>
    <t>MSFT</t>
  </si>
  <si>
    <t>Allocation2</t>
  </si>
  <si>
    <t xml:space="preserve"> O:ABM 10D20.00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</si>
  <si>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</si>
  <si>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</si>
  <si>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</si>
  <si>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</si>
  <si>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</si>
  <si>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</si>
  <si>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</si>
  <si>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</si>
  <si>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</si>
  <si>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</si>
  <si>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</si>
  <si>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CreateTransactionUI</t>
  </si>
  <si>
    <t>US</t>
  </si>
  <si>
    <t>EquityOption</t>
  </si>
  <si>
    <t>EOG US 04/17/10 C95 Equity</t>
  </si>
  <si>
    <t>EOG APR 2010 95 CALL</t>
  </si>
  <si>
    <t>OPTS</t>
  </si>
  <si>
    <t>O:EOG 10D95.00</t>
  </si>
  <si>
    <t>EOG</t>
  </si>
  <si>
    <t>FX</t>
  </si>
  <si>
    <t>GBPUSD CURNCY</t>
  </si>
  <si>
    <t>GBP USD SPOT</t>
  </si>
  <si>
    <t>GBP</t>
  </si>
  <si>
    <t>Multiple</t>
  </si>
  <si>
    <t>ABM US 04/17/10 C20 EQUITY</t>
  </si>
  <si>
    <t>ABM APR 2018 20 CALL</t>
  </si>
  <si>
    <t>O:ABM 10D20.00</t>
  </si>
  <si>
    <t>ABM</t>
  </si>
  <si>
    <t>MSFT US EQUITY</t>
  </si>
  <si>
    <t>MICROSOFT INC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</si>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</sst>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4" fontId="5" fillId="0" borderId="0" xfId="0" applyNumberFormat="1" applyFont="1" applyAlignment="1"/>
    <xf numFmtId="4" fontId="14" fillId="0" borderId="0" xfId="0" applyNumberFormat="1" applyFont="1" applyAlignment="1">
      <alignment horizontal="left"/>
    </xf>
    <xf numFmtId="4" fontId="5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left"/>
    </xf>
    <xf numFmtId="4" fontId="2" fillId="0" borderId="0" xfId="0" applyNumberFormat="1" applyFont="1"/>
    <xf numFmtId="4" fontId="2" fillId="0" borderId="0" xfId="0" applyNumberFormat="1" applyFont="1" applyAlignment="1"/>
    <xf numFmtId="3" fontId="5" fillId="0" borderId="0" xfId="0" applyNumberFormat="1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3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6" t="s">
        <v>0</v>
      </c>
      <c r="B1" s="47"/>
      <c r="C1" s="47"/>
      <c r="D1" s="47"/>
      <c r="E1" s="47"/>
      <c r="F1" s="48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9" t="s">
        <v>2</v>
      </c>
      <c r="B1" s="47"/>
      <c r="C1" s="48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6" t="s">
        <v>7</v>
      </c>
      <c r="B1" s="47"/>
      <c r="C1" s="47"/>
      <c r="D1" s="47"/>
      <c r="E1" s="47"/>
      <c r="F1" s="48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IFERROR(__xludf.DUMMYFUNCTION("IF(C3="""","""",Transpose(IMPORTRANGE('_Settings'!$B$3,C3&amp;""!A4:A1000"")))"),"CreateTransaction")</f>
        <v>CreateTransaction</v>
      </c>
      <c r="C4" s="20" t="str">
        <f ca="1">IFERROR(__xludf.DUMMYFUNCTION("""COMPUTED_VALUE"""),"AddNewTransaction")</f>
        <v>AddNewTransaction</v>
      </c>
      <c r="D4" s="20" t="str">
        <f ca="1">IFERROR(__xludf.DUMMYFUNCTION("""COMPUTED_VALUE"""),"SaveTransaction")</f>
        <v>SaveTransaction</v>
      </c>
      <c r="E4" s="20" t="str">
        <f ca="1">IFERROR(__xludf.DUMMYFUNCTION("""COMPUTED_VALUE"""),"CreateTransaction")</f>
        <v>CreateTransaction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IFERROR(__xludf.DUMMYFUNCTION("""COMPUTED_VALUE"""),"Account")</f>
        <v>Account</v>
      </c>
      <c r="D5" s="23" t="str">
        <f ca="1">IFERROR(__xludf.DUMMYFUNCTION("""COMPUTED_VALUE"""),"Side")</f>
        <v>Side</v>
      </c>
      <c r="E5" s="23" t="str">
        <f ca="1">IFERROR(__xludf.DUMMYFUNCTION("""COMPUTED_VALUE"""),"Quantity")</f>
        <v>Quantity</v>
      </c>
      <c r="F5" s="24" t="str">
        <f ca="1">IFERROR(__xludf.DUMMYFUNCTION("""COMPUTED_VALUE"""),"Executed Quantity")</f>
        <v>Executed Quantity</v>
      </c>
      <c r="G5" s="23" t="str">
        <f ca="1">IFERROR(__xludf.DUMMYFUNCTION("""COMPUTED_VALUE"""),"Average Price")</f>
        <v>Average Price</v>
      </c>
      <c r="H5" s="23" t="str">
        <f ca="1">IFERROR(__xludf.DUMMYFUNCTION("""COMPUTED_VALUE"""),"Commission")</f>
        <v>Commission</v>
      </c>
      <c r="I5" s="23" t="str">
        <f ca="1">IFERROR(__xludf.DUMMYFUNCTION("""COMPUTED_VALUE"""),"Trade Date")</f>
        <v>Trade Date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7" t="s">
        <v>20</v>
      </c>
      <c r="C6" s="28" t="s">
        <v>21</v>
      </c>
      <c r="D6" s="27" t="s">
        <v>22</v>
      </c>
      <c r="E6" s="29">
        <v>100</v>
      </c>
      <c r="F6" s="29"/>
      <c r="G6" s="29">
        <v>10</v>
      </c>
      <c r="H6" s="5"/>
      <c r="I6" s="30">
        <f t="shared" ref="I6:I8" ca="1" si="0">TODAY()</f>
        <v>44412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31" t="s">
        <v>23</v>
      </c>
      <c r="C7" s="32" t="s">
        <v>21</v>
      </c>
      <c r="D7" s="32" t="s">
        <v>24</v>
      </c>
      <c r="E7" s="33">
        <v>150</v>
      </c>
      <c r="F7" s="33"/>
      <c r="G7" s="33">
        <v>15</v>
      </c>
      <c r="H7" s="5"/>
      <c r="I7" s="30">
        <f t="shared" ca="1" si="0"/>
        <v>44412</v>
      </c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32" t="s">
        <v>25</v>
      </c>
      <c r="C8" s="32" t="s">
        <v>21</v>
      </c>
      <c r="D8" s="32" t="s">
        <v>22</v>
      </c>
      <c r="E8" s="33">
        <v>200</v>
      </c>
      <c r="F8" s="33"/>
      <c r="G8" s="33">
        <v>20</v>
      </c>
      <c r="H8" s="5"/>
      <c r="I8" s="30">
        <f t="shared" ca="1" si="0"/>
        <v>44412</v>
      </c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24.710937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IFERROR(__xludf.DUMMYFUNCTION("IF(C3="""","""",Transpose(IMPORTRANGE('_Settings'!$B$3,C3&amp;""!A4:A1000"")))"),"CreateTransaction")</f>
        <v>CreateTransaction</v>
      </c>
      <c r="C4" s="20" t="str">
        <f ca="1">IFERROR(__xludf.DUMMYFUNCTION("""COMPUTED_VALUE"""),"AddNewTransaction")</f>
        <v>AddNewTransaction</v>
      </c>
      <c r="D4" s="20" t="str">
        <f ca="1">IFERROR(__xludf.DUMMYFUNCTION("""COMPUTED_VALUE"""),"SaveTransaction")</f>
        <v>SaveTransaction</v>
      </c>
      <c r="E4" s="20" t="str">
        <f ca="1">IFERROR(__xludf.DUMMYFUNCTION("""COMPUTED_VALUE"""),"CreateTransaction")</f>
        <v>CreateTransaction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IFERROR(__xludf.DUMMYFUNCTION("""COMPUTED_VALUE"""),"Account")</f>
        <v>Account</v>
      </c>
      <c r="D5" s="23" t="str">
        <f ca="1">IFERROR(__xludf.DUMMYFUNCTION("""COMPUTED_VALUE"""),"Side")</f>
        <v>Side</v>
      </c>
      <c r="E5" s="23" t="str">
        <f ca="1">IFERROR(__xludf.DUMMYFUNCTION("""COMPUTED_VALUE"""),"Quantity")</f>
        <v>Quantity</v>
      </c>
      <c r="F5" s="24" t="str">
        <f ca="1">IFERROR(__xludf.DUMMYFUNCTION("""COMPUTED_VALUE"""),"Executed Quantity")</f>
        <v>Executed Quantity</v>
      </c>
      <c r="G5" s="23" t="str">
        <f ca="1">IFERROR(__xludf.DUMMYFUNCTION("""COMPUTED_VALUE"""),"Average Price")</f>
        <v>Average Price</v>
      </c>
      <c r="H5" s="23" t="str">
        <f ca="1">IFERROR(__xludf.DUMMYFUNCTION("""COMPUTED_VALUE"""),"Commission")</f>
        <v>Commission</v>
      </c>
      <c r="I5" s="23" t="str">
        <f ca="1">IFERROR(__xludf.DUMMYFUNCTION("""COMPUTED_VALUE"""),"Trade Date")</f>
        <v>Trade Date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4" t="s">
        <v>26</v>
      </c>
      <c r="C6" s="34" t="s">
        <v>27</v>
      </c>
      <c r="D6" s="27" t="s">
        <v>22</v>
      </c>
      <c r="E6" s="29">
        <v>100</v>
      </c>
      <c r="F6" s="29"/>
      <c r="G6" s="29">
        <v>10</v>
      </c>
      <c r="H6" s="5"/>
      <c r="I6" s="30">
        <f t="shared" ref="I6:I7" ca="1" si="0">TODAY()</f>
        <v>44412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31" t="s">
        <v>28</v>
      </c>
      <c r="C7" s="31" t="s">
        <v>27</v>
      </c>
      <c r="D7" s="32" t="s">
        <v>24</v>
      </c>
      <c r="E7" s="33">
        <v>150</v>
      </c>
      <c r="F7" s="33"/>
      <c r="G7" s="33">
        <v>15</v>
      </c>
      <c r="H7" s="5"/>
      <c r="I7" s="30">
        <f t="shared" ca="1" si="0"/>
        <v>44412</v>
      </c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32"/>
      <c r="C8" s="32"/>
      <c r="D8" s="32"/>
      <c r="E8" s="33"/>
      <c r="F8" s="33"/>
      <c r="G8" s="33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29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29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35"/>
      <c r="B6" s="36" t="s">
        <v>21</v>
      </c>
      <c r="C6" s="37"/>
      <c r="D6" s="38">
        <v>0</v>
      </c>
      <c r="E6" s="38">
        <v>200</v>
      </c>
      <c r="F6" s="37"/>
      <c r="G6" s="36" t="s">
        <v>33</v>
      </c>
      <c r="H6" s="38">
        <v>0</v>
      </c>
      <c r="I6" s="38">
        <v>0</v>
      </c>
      <c r="J6" s="38">
        <v>1</v>
      </c>
      <c r="K6" s="38">
        <v>20</v>
      </c>
      <c r="L6" s="38">
        <v>20</v>
      </c>
      <c r="M6" s="36" t="s">
        <v>34</v>
      </c>
      <c r="N6" s="37"/>
      <c r="O6" s="39"/>
      <c r="P6" s="40"/>
      <c r="Q6" s="40"/>
      <c r="R6" s="40"/>
      <c r="S6" s="36" t="s">
        <v>35</v>
      </c>
      <c r="T6" s="38">
        <v>0</v>
      </c>
      <c r="U6" s="38">
        <v>0</v>
      </c>
      <c r="V6" s="36" t="s">
        <v>36</v>
      </c>
      <c r="W6" s="38">
        <v>1</v>
      </c>
      <c r="X6" s="40"/>
      <c r="Y6" s="40"/>
      <c r="Z6" s="36" t="s">
        <v>37</v>
      </c>
      <c r="AA6" s="40"/>
      <c r="AB6" s="38">
        <v>1</v>
      </c>
      <c r="AC6" s="40"/>
      <c r="AD6" s="36" t="s">
        <v>38</v>
      </c>
      <c r="AE6" s="38">
        <v>200</v>
      </c>
      <c r="AF6" s="40"/>
      <c r="AG6" s="40"/>
      <c r="AH6" s="41" t="s">
        <v>39</v>
      </c>
      <c r="AI6" s="38">
        <v>1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38">
        <v>4000</v>
      </c>
      <c r="AU6" s="38">
        <v>4000</v>
      </c>
      <c r="AV6" s="40"/>
      <c r="AW6" s="38">
        <v>0</v>
      </c>
      <c r="AX6" s="40"/>
      <c r="AY6" s="40"/>
      <c r="AZ6" s="38">
        <v>0</v>
      </c>
      <c r="BA6" s="40"/>
      <c r="BB6" s="40"/>
      <c r="BC6" s="40"/>
      <c r="BD6" s="40"/>
      <c r="BE6" s="38">
        <v>4000</v>
      </c>
      <c r="BF6" s="38">
        <v>4000</v>
      </c>
      <c r="BG6" s="40"/>
      <c r="BH6" s="40"/>
      <c r="BI6" s="40"/>
      <c r="BJ6" s="38">
        <v>200</v>
      </c>
      <c r="BK6" s="38">
        <v>0</v>
      </c>
      <c r="BL6" s="40"/>
      <c r="BM6" s="36" t="s">
        <v>37</v>
      </c>
      <c r="BN6" s="40"/>
      <c r="BO6" s="36" t="s">
        <v>22</v>
      </c>
      <c r="BP6" s="38">
        <v>0</v>
      </c>
      <c r="BQ6" s="38">
        <v>0</v>
      </c>
      <c r="BR6" s="40"/>
      <c r="BS6" s="40"/>
      <c r="BT6" s="36" t="s">
        <v>25</v>
      </c>
      <c r="BU6" s="38">
        <v>0</v>
      </c>
      <c r="BV6" s="38">
        <v>0</v>
      </c>
      <c r="BW6" s="38">
        <v>0</v>
      </c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36" t="s">
        <v>40</v>
      </c>
      <c r="CI6" s="36" t="s">
        <v>22</v>
      </c>
      <c r="CJ6" s="40"/>
      <c r="CK6" s="36" t="s">
        <v>41</v>
      </c>
      <c r="CL6" s="38">
        <v>1</v>
      </c>
      <c r="CM6" s="36" t="s">
        <v>25</v>
      </c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spans="1:154" ht="15.75" customHeight="1" x14ac:dyDescent="0.2">
      <c r="A7" s="37"/>
      <c r="B7" s="36" t="s">
        <v>21</v>
      </c>
      <c r="C7" s="37"/>
      <c r="D7" s="38">
        <v>0</v>
      </c>
      <c r="E7" s="38">
        <v>150</v>
      </c>
      <c r="F7" s="37"/>
      <c r="G7" s="36" t="s">
        <v>42</v>
      </c>
      <c r="H7" s="38">
        <v>0</v>
      </c>
      <c r="I7" s="38">
        <v>0</v>
      </c>
      <c r="J7" s="38">
        <v>12</v>
      </c>
      <c r="K7" s="38">
        <v>15</v>
      </c>
      <c r="L7" s="38">
        <v>15</v>
      </c>
      <c r="M7" s="36" t="s">
        <v>43</v>
      </c>
      <c r="N7" s="37"/>
      <c r="O7" s="39"/>
      <c r="P7" s="40"/>
      <c r="Q7" s="40"/>
      <c r="R7" s="40"/>
      <c r="S7" s="36" t="s">
        <v>35</v>
      </c>
      <c r="T7" s="38">
        <v>0</v>
      </c>
      <c r="U7" s="38">
        <v>0</v>
      </c>
      <c r="V7" s="36" t="s">
        <v>44</v>
      </c>
      <c r="W7" s="38">
        <v>100</v>
      </c>
      <c r="X7" s="40"/>
      <c r="Y7" s="40"/>
      <c r="Z7" s="36" t="s">
        <v>37</v>
      </c>
      <c r="AA7" s="40"/>
      <c r="AB7" s="38">
        <v>1</v>
      </c>
      <c r="AC7" s="40"/>
      <c r="AD7" s="36" t="s">
        <v>45</v>
      </c>
      <c r="AE7" s="38">
        <v>150</v>
      </c>
      <c r="AF7" s="40"/>
      <c r="AG7" s="40"/>
      <c r="AH7" s="41" t="s">
        <v>39</v>
      </c>
      <c r="AI7" s="38">
        <v>1</v>
      </c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38">
        <v>225000</v>
      </c>
      <c r="AU7" s="38">
        <v>225000</v>
      </c>
      <c r="AV7" s="40"/>
      <c r="AW7" s="38">
        <v>0</v>
      </c>
      <c r="AX7" s="40"/>
      <c r="AY7" s="40"/>
      <c r="AZ7" s="38">
        <v>0</v>
      </c>
      <c r="BA7" s="40"/>
      <c r="BB7" s="40"/>
      <c r="BC7" s="40"/>
      <c r="BD7" s="40"/>
      <c r="BE7" s="38">
        <v>225000</v>
      </c>
      <c r="BF7" s="38">
        <v>225000</v>
      </c>
      <c r="BG7" s="40"/>
      <c r="BH7" s="40"/>
      <c r="BI7" s="40"/>
      <c r="BJ7" s="38">
        <v>150</v>
      </c>
      <c r="BK7" s="38">
        <v>0</v>
      </c>
      <c r="BL7" s="40"/>
      <c r="BM7" s="36" t="s">
        <v>37</v>
      </c>
      <c r="BN7" s="40"/>
      <c r="BO7" s="36" t="s">
        <v>24</v>
      </c>
      <c r="BP7" s="38">
        <v>0</v>
      </c>
      <c r="BQ7" s="38">
        <v>0</v>
      </c>
      <c r="BR7" s="40"/>
      <c r="BS7" s="40"/>
      <c r="BT7" s="36" t="s">
        <v>46</v>
      </c>
      <c r="BU7" s="38">
        <v>0</v>
      </c>
      <c r="BV7" s="38">
        <v>0</v>
      </c>
      <c r="BW7" s="38">
        <v>0</v>
      </c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36" t="s">
        <v>40</v>
      </c>
      <c r="CI7" s="36" t="s">
        <v>24</v>
      </c>
      <c r="CJ7" s="40"/>
      <c r="CK7" s="36" t="s">
        <v>41</v>
      </c>
      <c r="CL7" s="38">
        <v>1</v>
      </c>
      <c r="CM7" s="36" t="s">
        <v>47</v>
      </c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spans="1:154" ht="15.75" customHeight="1" x14ac:dyDescent="0.2">
      <c r="A8" s="37"/>
      <c r="B8" s="36" t="s">
        <v>21</v>
      </c>
      <c r="C8" s="37"/>
      <c r="D8" s="38">
        <v>0</v>
      </c>
      <c r="E8" s="38">
        <v>100</v>
      </c>
      <c r="F8" s="37"/>
      <c r="G8" s="36" t="s">
        <v>48</v>
      </c>
      <c r="H8" s="38">
        <v>0</v>
      </c>
      <c r="I8" s="38">
        <v>0</v>
      </c>
      <c r="J8" s="38">
        <v>32</v>
      </c>
      <c r="K8" s="38">
        <v>10</v>
      </c>
      <c r="L8" s="38">
        <v>10</v>
      </c>
      <c r="M8" s="36" t="s">
        <v>49</v>
      </c>
      <c r="N8" s="37"/>
      <c r="O8" s="39"/>
      <c r="P8" s="40"/>
      <c r="Q8" s="40"/>
      <c r="R8" s="40"/>
      <c r="S8" s="36" t="s">
        <v>35</v>
      </c>
      <c r="T8" s="38">
        <v>0</v>
      </c>
      <c r="U8" s="38">
        <v>0</v>
      </c>
      <c r="V8" s="36" t="s">
        <v>50</v>
      </c>
      <c r="W8" s="38">
        <v>1</v>
      </c>
      <c r="X8" s="40"/>
      <c r="Y8" s="40"/>
      <c r="Z8" s="36" t="s">
        <v>51</v>
      </c>
      <c r="AA8" s="40"/>
      <c r="AB8" s="38">
        <v>1</v>
      </c>
      <c r="AC8" s="40"/>
      <c r="AD8" s="36" t="s">
        <v>48</v>
      </c>
      <c r="AE8" s="38">
        <v>100</v>
      </c>
      <c r="AF8" s="40"/>
      <c r="AG8" s="40"/>
      <c r="AH8" s="41" t="s">
        <v>39</v>
      </c>
      <c r="AI8" s="38">
        <v>10</v>
      </c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38">
        <v>1000</v>
      </c>
      <c r="AU8" s="38">
        <v>100</v>
      </c>
      <c r="AV8" s="40"/>
      <c r="AW8" s="38">
        <v>0</v>
      </c>
      <c r="AX8" s="40"/>
      <c r="AY8" s="40"/>
      <c r="AZ8" s="38">
        <v>0</v>
      </c>
      <c r="BA8" s="40"/>
      <c r="BB8" s="40"/>
      <c r="BC8" s="40"/>
      <c r="BD8" s="40"/>
      <c r="BE8" s="38">
        <v>1000</v>
      </c>
      <c r="BF8" s="38">
        <v>100</v>
      </c>
      <c r="BG8" s="40"/>
      <c r="BH8" s="40"/>
      <c r="BI8" s="40"/>
      <c r="BJ8" s="38">
        <v>100</v>
      </c>
      <c r="BK8" s="38">
        <v>0</v>
      </c>
      <c r="BL8" s="40"/>
      <c r="BM8" s="36" t="s">
        <v>51</v>
      </c>
      <c r="BN8" s="40"/>
      <c r="BO8" s="36" t="s">
        <v>22</v>
      </c>
      <c r="BP8" s="38">
        <v>0</v>
      </c>
      <c r="BQ8" s="38">
        <v>0</v>
      </c>
      <c r="BR8" s="40"/>
      <c r="BS8" s="40"/>
      <c r="BT8" s="36" t="s">
        <v>20</v>
      </c>
      <c r="BU8" s="38">
        <v>0</v>
      </c>
      <c r="BV8" s="38">
        <v>0</v>
      </c>
      <c r="BW8" s="38">
        <v>0</v>
      </c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36" t="s">
        <v>40</v>
      </c>
      <c r="CI8" s="36" t="s">
        <v>22</v>
      </c>
      <c r="CJ8" s="40"/>
      <c r="CK8" s="36" t="s">
        <v>52</v>
      </c>
      <c r="CL8" s="38">
        <v>1</v>
      </c>
      <c r="CM8" s="36" t="s">
        <v>20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spans="1:154" ht="15.75" customHeight="1" x14ac:dyDescent="0.2">
      <c r="A9" s="5"/>
      <c r="B9" s="36" t="s">
        <v>27</v>
      </c>
      <c r="C9" s="37"/>
      <c r="D9" s="38">
        <v>0</v>
      </c>
      <c r="E9" s="38">
        <v>150</v>
      </c>
      <c r="F9" s="37"/>
      <c r="G9" s="36" t="s">
        <v>42</v>
      </c>
      <c r="H9" s="38">
        <v>0</v>
      </c>
      <c r="I9" s="38">
        <v>0</v>
      </c>
      <c r="J9" s="38">
        <v>12</v>
      </c>
      <c r="K9" s="38">
        <v>15</v>
      </c>
      <c r="L9" s="38">
        <v>15</v>
      </c>
      <c r="M9" s="36" t="s">
        <v>53</v>
      </c>
      <c r="N9" s="37"/>
      <c r="O9" s="39"/>
      <c r="P9" s="40"/>
      <c r="Q9" s="40"/>
      <c r="R9" s="40"/>
      <c r="S9" s="36" t="s">
        <v>35</v>
      </c>
      <c r="T9" s="38">
        <v>0</v>
      </c>
      <c r="U9" s="38">
        <v>0</v>
      </c>
      <c r="V9" s="36" t="s">
        <v>54</v>
      </c>
      <c r="W9" s="38">
        <v>100</v>
      </c>
      <c r="X9" s="40"/>
      <c r="Y9" s="40"/>
      <c r="Z9" s="36" t="s">
        <v>37</v>
      </c>
      <c r="AA9" s="40"/>
      <c r="AB9" s="38">
        <v>1</v>
      </c>
      <c r="AC9" s="40"/>
      <c r="AD9" s="36" t="s">
        <v>45</v>
      </c>
      <c r="AE9" s="38">
        <v>150</v>
      </c>
      <c r="AF9" s="40"/>
      <c r="AG9" s="40"/>
      <c r="AH9" s="41" t="s">
        <v>39</v>
      </c>
      <c r="AI9" s="38">
        <v>1</v>
      </c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38">
        <v>225000</v>
      </c>
      <c r="AU9" s="38">
        <v>225000</v>
      </c>
      <c r="AV9" s="40"/>
      <c r="AW9" s="38">
        <v>0</v>
      </c>
      <c r="AX9" s="40"/>
      <c r="AY9" s="40"/>
      <c r="AZ9" s="38">
        <v>0</v>
      </c>
      <c r="BA9" s="40"/>
      <c r="BB9" s="40"/>
      <c r="BC9" s="40"/>
      <c r="BD9" s="40"/>
      <c r="BE9" s="38">
        <v>225000</v>
      </c>
      <c r="BF9" s="38">
        <v>225000</v>
      </c>
      <c r="BG9" s="40"/>
      <c r="BH9" s="40"/>
      <c r="BI9" s="40"/>
      <c r="BJ9" s="38">
        <v>150</v>
      </c>
      <c r="BK9" s="38">
        <v>0</v>
      </c>
      <c r="BL9" s="40"/>
      <c r="BM9" s="36" t="s">
        <v>37</v>
      </c>
      <c r="BN9" s="40"/>
      <c r="BO9" s="36" t="s">
        <v>24</v>
      </c>
      <c r="BP9" s="38">
        <v>0</v>
      </c>
      <c r="BQ9" s="38">
        <v>0</v>
      </c>
      <c r="BR9" s="40"/>
      <c r="BS9" s="40"/>
      <c r="BT9" s="36" t="s">
        <v>55</v>
      </c>
      <c r="BU9" s="38">
        <v>0</v>
      </c>
      <c r="BV9" s="38">
        <v>0</v>
      </c>
      <c r="BW9" s="38">
        <v>0</v>
      </c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36" t="s">
        <v>40</v>
      </c>
      <c r="CI9" s="36" t="s">
        <v>24</v>
      </c>
      <c r="CJ9" s="40"/>
      <c r="CK9" s="36" t="s">
        <v>41</v>
      </c>
      <c r="CL9" s="38">
        <v>1</v>
      </c>
      <c r="CM9" s="36" t="s">
        <v>56</v>
      </c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</row>
    <row r="10" spans="1:154" ht="15.75" customHeight="1" x14ac:dyDescent="0.2">
      <c r="A10" s="5"/>
      <c r="B10" s="36" t="s">
        <v>27</v>
      </c>
      <c r="C10" s="37"/>
      <c r="D10" s="38">
        <v>0</v>
      </c>
      <c r="E10" s="38">
        <v>100</v>
      </c>
      <c r="F10" s="37"/>
      <c r="G10" s="36" t="s">
        <v>33</v>
      </c>
      <c r="H10" s="38">
        <v>0</v>
      </c>
      <c r="I10" s="38">
        <v>0</v>
      </c>
      <c r="J10" s="38">
        <v>1</v>
      </c>
      <c r="K10" s="38">
        <v>10</v>
      </c>
      <c r="L10" s="38">
        <v>10</v>
      </c>
      <c r="M10" s="36" t="s">
        <v>57</v>
      </c>
      <c r="N10" s="37"/>
      <c r="O10" s="39"/>
      <c r="P10" s="40"/>
      <c r="Q10" s="40"/>
      <c r="R10" s="40"/>
      <c r="S10" s="36" t="s">
        <v>35</v>
      </c>
      <c r="T10" s="38">
        <v>0</v>
      </c>
      <c r="U10" s="38">
        <v>0</v>
      </c>
      <c r="V10" s="36" t="s">
        <v>58</v>
      </c>
      <c r="W10" s="38">
        <v>1</v>
      </c>
      <c r="X10" s="40"/>
      <c r="Y10" s="40"/>
      <c r="Z10" s="36" t="s">
        <v>37</v>
      </c>
      <c r="AA10" s="40"/>
      <c r="AB10" s="38">
        <v>1</v>
      </c>
      <c r="AC10" s="40"/>
      <c r="AD10" s="36" t="s">
        <v>38</v>
      </c>
      <c r="AE10" s="38">
        <v>100</v>
      </c>
      <c r="AF10" s="40"/>
      <c r="AG10" s="40"/>
      <c r="AH10" s="41" t="s">
        <v>39</v>
      </c>
      <c r="AI10" s="38">
        <v>1</v>
      </c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38">
        <v>1000</v>
      </c>
      <c r="AU10" s="38">
        <v>1000</v>
      </c>
      <c r="AV10" s="40"/>
      <c r="AW10" s="38">
        <v>0</v>
      </c>
      <c r="AX10" s="40"/>
      <c r="AY10" s="40"/>
      <c r="AZ10" s="38">
        <v>0</v>
      </c>
      <c r="BA10" s="40"/>
      <c r="BB10" s="40"/>
      <c r="BC10" s="40"/>
      <c r="BD10" s="40"/>
      <c r="BE10" s="38">
        <v>1000</v>
      </c>
      <c r="BF10" s="38">
        <v>1000</v>
      </c>
      <c r="BG10" s="40"/>
      <c r="BH10" s="40"/>
      <c r="BI10" s="40"/>
      <c r="BJ10" s="38">
        <v>100</v>
      </c>
      <c r="BK10" s="38">
        <v>0</v>
      </c>
      <c r="BL10" s="40"/>
      <c r="BM10" s="36" t="s">
        <v>37</v>
      </c>
      <c r="BN10" s="40"/>
      <c r="BO10" s="36" t="s">
        <v>22</v>
      </c>
      <c r="BP10" s="38">
        <v>0</v>
      </c>
      <c r="BQ10" s="38">
        <v>0</v>
      </c>
      <c r="BR10" s="40"/>
      <c r="BS10" s="40"/>
      <c r="BT10" s="36" t="s">
        <v>26</v>
      </c>
      <c r="BU10" s="38">
        <v>0</v>
      </c>
      <c r="BV10" s="38">
        <v>0</v>
      </c>
      <c r="BW10" s="38">
        <v>0</v>
      </c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36" t="s">
        <v>40</v>
      </c>
      <c r="CI10" s="36" t="s">
        <v>22</v>
      </c>
      <c r="CJ10" s="40"/>
      <c r="CK10" s="36" t="s">
        <v>41</v>
      </c>
      <c r="CL10" s="38">
        <v>1</v>
      </c>
      <c r="CM10" s="36" t="s">
        <v>26</v>
      </c>
      <c r="CN10" s="40"/>
      <c r="CO10" s="40"/>
      <c r="CP10" s="40"/>
      <c r="CQ10" s="40"/>
      <c r="CR10" s="40"/>
      <c r="CS10" s="40"/>
      <c r="CT10" s="40"/>
      <c r="CU10" s="40"/>
      <c r="CV10" s="40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46" t="s">
        <v>11</v>
      </c>
      <c r="C1" s="47"/>
      <c r="D1" s="47"/>
      <c r="E1" s="47"/>
      <c r="F1" s="47"/>
      <c r="G1" s="47"/>
      <c r="H1" s="48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59</v>
      </c>
      <c r="D3" s="2" t="s">
        <v>9</v>
      </c>
      <c r="E3" s="18" t="s">
        <v>60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42"/>
      <c r="B6" s="42"/>
      <c r="C6" s="42" t="s">
        <v>25</v>
      </c>
      <c r="D6" s="42">
        <v>200</v>
      </c>
      <c r="E6" s="42" t="s">
        <v>21</v>
      </c>
      <c r="F6" s="42" t="s">
        <v>61</v>
      </c>
      <c r="G6" s="42">
        <v>20</v>
      </c>
      <c r="H6" s="42" t="s">
        <v>62</v>
      </c>
      <c r="I6" s="42">
        <v>0</v>
      </c>
      <c r="J6" s="43"/>
      <c r="K6" s="42">
        <v>0</v>
      </c>
      <c r="L6" s="43"/>
      <c r="M6" s="43"/>
      <c r="N6" s="42">
        <v>-4000</v>
      </c>
      <c r="O6" s="42"/>
      <c r="P6" s="44" t="s">
        <v>63</v>
      </c>
      <c r="Q6" s="44">
        <v>-4000</v>
      </c>
      <c r="R6" s="44"/>
      <c r="S6" s="45"/>
      <c r="T6" s="44" t="s">
        <v>33</v>
      </c>
      <c r="U6" s="44" t="s">
        <v>41</v>
      </c>
      <c r="V6" s="44" t="s">
        <v>38</v>
      </c>
      <c r="W6" s="44" t="s">
        <v>37</v>
      </c>
      <c r="X6" s="45"/>
      <c r="Y6" s="44">
        <v>1</v>
      </c>
      <c r="Z6" s="45"/>
      <c r="AA6" s="45"/>
      <c r="AB6" s="44">
        <v>0</v>
      </c>
      <c r="AC6" s="44">
        <v>0</v>
      </c>
      <c r="AD6" s="44">
        <v>0</v>
      </c>
      <c r="AE6" s="44">
        <v>0</v>
      </c>
      <c r="AF6" s="44">
        <v>200</v>
      </c>
      <c r="AG6" s="44">
        <v>0</v>
      </c>
      <c r="AH6" s="44">
        <v>0</v>
      </c>
      <c r="AI6" s="44">
        <v>0</v>
      </c>
      <c r="AJ6" s="44">
        <v>0</v>
      </c>
      <c r="AK6" s="44">
        <v>-4000</v>
      </c>
      <c r="AL6" s="44">
        <v>1</v>
      </c>
      <c r="AM6" s="44">
        <v>1</v>
      </c>
      <c r="AN6" s="44" t="s">
        <v>22</v>
      </c>
      <c r="AO6" s="45"/>
      <c r="AP6" s="44" t="s">
        <v>64</v>
      </c>
      <c r="AQ6" s="44" t="s">
        <v>25</v>
      </c>
      <c r="AR6" s="44">
        <v>0</v>
      </c>
      <c r="AS6" s="44">
        <v>1</v>
      </c>
      <c r="AT6" s="45"/>
      <c r="AU6" s="45"/>
      <c r="AV6" s="44">
        <v>1</v>
      </c>
      <c r="AW6" s="44">
        <v>-4000</v>
      </c>
      <c r="AX6" s="44">
        <v>0</v>
      </c>
      <c r="AY6" s="44">
        <v>0</v>
      </c>
      <c r="AZ6" s="44">
        <v>0</v>
      </c>
      <c r="BA6" s="44">
        <v>-100</v>
      </c>
      <c r="BB6" s="45"/>
      <c r="BC6" s="44">
        <v>1</v>
      </c>
      <c r="BD6" s="44">
        <v>-4000</v>
      </c>
      <c r="BE6" s="44"/>
      <c r="BF6" s="44"/>
      <c r="BG6" s="44"/>
      <c r="BH6" s="45"/>
      <c r="BI6" s="45"/>
      <c r="BJ6" s="44">
        <v>0</v>
      </c>
      <c r="BK6" s="44">
        <v>0</v>
      </c>
      <c r="BL6" s="44">
        <v>0</v>
      </c>
      <c r="BM6" s="44">
        <v>0</v>
      </c>
      <c r="BN6" s="45"/>
      <c r="BO6" s="44">
        <v>-4000</v>
      </c>
      <c r="BP6" s="44"/>
      <c r="BQ6" s="45"/>
      <c r="BR6" s="45"/>
      <c r="BS6" s="44">
        <v>0</v>
      </c>
      <c r="BT6" s="44">
        <v>0</v>
      </c>
      <c r="BU6" s="44" t="s">
        <v>33</v>
      </c>
      <c r="BV6" s="45"/>
      <c r="BW6" s="44">
        <v>0</v>
      </c>
      <c r="BX6" s="44">
        <v>0</v>
      </c>
      <c r="BY6" s="44">
        <v>0</v>
      </c>
      <c r="BZ6" s="44">
        <v>0</v>
      </c>
      <c r="CA6" s="44">
        <v>0</v>
      </c>
      <c r="CB6" s="45"/>
      <c r="CC6" s="44">
        <v>0</v>
      </c>
      <c r="CD6" s="44">
        <v>-4000</v>
      </c>
      <c r="CE6" s="44">
        <v>0</v>
      </c>
      <c r="CF6" s="44">
        <v>0</v>
      </c>
      <c r="CG6" s="44">
        <v>-4000</v>
      </c>
      <c r="CH6" s="44">
        <v>-100</v>
      </c>
      <c r="CI6" s="44">
        <v>0</v>
      </c>
      <c r="CJ6" s="44">
        <v>0</v>
      </c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</row>
    <row r="7" spans="1:168" ht="15.75" customHeight="1" x14ac:dyDescent="0.2">
      <c r="A7" s="43"/>
      <c r="B7" s="43"/>
      <c r="C7" s="42" t="s">
        <v>46</v>
      </c>
      <c r="D7" s="42">
        <v>-150</v>
      </c>
      <c r="E7" s="42" t="s">
        <v>21</v>
      </c>
      <c r="F7" s="42" t="s">
        <v>61</v>
      </c>
      <c r="G7" s="42">
        <v>15</v>
      </c>
      <c r="H7" s="42" t="s">
        <v>65</v>
      </c>
      <c r="I7" s="42">
        <v>0</v>
      </c>
      <c r="J7" s="43"/>
      <c r="K7" s="42">
        <v>0</v>
      </c>
      <c r="L7" s="43"/>
      <c r="M7" s="43"/>
      <c r="N7" s="42">
        <v>225000</v>
      </c>
      <c r="O7" s="42"/>
      <c r="P7" s="44" t="s">
        <v>63</v>
      </c>
      <c r="Q7" s="44">
        <v>225000</v>
      </c>
      <c r="R7" s="44"/>
      <c r="S7" s="45"/>
      <c r="T7" s="44" t="s">
        <v>42</v>
      </c>
      <c r="U7" s="44" t="s">
        <v>41</v>
      </c>
      <c r="V7" s="44" t="s">
        <v>45</v>
      </c>
      <c r="W7" s="44" t="s">
        <v>37</v>
      </c>
      <c r="X7" s="45"/>
      <c r="Y7" s="44">
        <v>1</v>
      </c>
      <c r="Z7" s="45"/>
      <c r="AA7" s="45"/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44">
        <v>0</v>
      </c>
      <c r="AK7" s="44">
        <v>225000</v>
      </c>
      <c r="AL7" s="44">
        <v>0</v>
      </c>
      <c r="AM7" s="44">
        <v>1</v>
      </c>
      <c r="AN7" s="44" t="s">
        <v>24</v>
      </c>
      <c r="AO7" s="45"/>
      <c r="AP7" s="44" t="s">
        <v>64</v>
      </c>
      <c r="AQ7" s="44" t="s">
        <v>47</v>
      </c>
      <c r="AR7" s="44">
        <v>0</v>
      </c>
      <c r="AS7" s="44">
        <v>-1</v>
      </c>
      <c r="AT7" s="45"/>
      <c r="AU7" s="45"/>
      <c r="AV7" s="44">
        <v>1</v>
      </c>
      <c r="AW7" s="44">
        <v>225000</v>
      </c>
      <c r="AX7" s="44">
        <v>0</v>
      </c>
      <c r="AY7" s="44">
        <v>0</v>
      </c>
      <c r="AZ7" s="44">
        <v>0</v>
      </c>
      <c r="BA7" s="44">
        <v>100</v>
      </c>
      <c r="BB7" s="45"/>
      <c r="BC7" s="44">
        <v>1</v>
      </c>
      <c r="BD7" s="44">
        <v>225000</v>
      </c>
      <c r="BE7" s="44"/>
      <c r="BF7" s="44"/>
      <c r="BG7" s="44"/>
      <c r="BH7" s="45"/>
      <c r="BI7" s="45"/>
      <c r="BJ7" s="44">
        <v>0</v>
      </c>
      <c r="BK7" s="44">
        <v>0</v>
      </c>
      <c r="BL7" s="44">
        <v>0</v>
      </c>
      <c r="BM7" s="44">
        <v>0</v>
      </c>
      <c r="BN7" s="45"/>
      <c r="BO7" s="44">
        <v>225000</v>
      </c>
      <c r="BP7" s="44"/>
      <c r="BQ7" s="45"/>
      <c r="BR7" s="45"/>
      <c r="BS7" s="44">
        <v>0</v>
      </c>
      <c r="BT7" s="44">
        <v>0</v>
      </c>
      <c r="BU7" s="44" t="s">
        <v>66</v>
      </c>
      <c r="BV7" s="45"/>
      <c r="BW7" s="44">
        <v>95</v>
      </c>
      <c r="BX7" s="44">
        <v>0</v>
      </c>
      <c r="BY7" s="44">
        <v>0</v>
      </c>
      <c r="BZ7" s="44">
        <v>0</v>
      </c>
      <c r="CA7" s="44">
        <v>0</v>
      </c>
      <c r="CB7" s="45"/>
      <c r="CC7" s="44">
        <v>0</v>
      </c>
      <c r="CD7" s="44">
        <v>225000</v>
      </c>
      <c r="CE7" s="44">
        <v>0</v>
      </c>
      <c r="CF7" s="44">
        <v>0</v>
      </c>
      <c r="CG7" s="44">
        <v>225000</v>
      </c>
      <c r="CH7" s="44">
        <v>100</v>
      </c>
      <c r="CI7" s="44">
        <v>0</v>
      </c>
      <c r="CJ7" s="44">
        <v>0</v>
      </c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</row>
    <row r="8" spans="1:168" ht="15.75" customHeight="1" x14ac:dyDescent="0.2">
      <c r="A8" s="5"/>
      <c r="B8" s="42"/>
      <c r="C8" s="42" t="s">
        <v>26</v>
      </c>
      <c r="D8" s="42">
        <v>100</v>
      </c>
      <c r="E8" s="42" t="s">
        <v>27</v>
      </c>
      <c r="F8" s="42" t="s">
        <v>67</v>
      </c>
      <c r="G8" s="42">
        <v>10</v>
      </c>
      <c r="H8" s="42" t="s">
        <v>62</v>
      </c>
      <c r="I8" s="42">
        <v>0</v>
      </c>
      <c r="J8" s="43"/>
      <c r="K8" s="42">
        <v>0</v>
      </c>
      <c r="L8" s="43"/>
      <c r="M8" s="43"/>
      <c r="N8" s="42">
        <v>-1000</v>
      </c>
      <c r="O8" s="42"/>
      <c r="P8" s="44" t="s">
        <v>63</v>
      </c>
      <c r="Q8" s="44">
        <v>-1000</v>
      </c>
      <c r="R8" s="44"/>
      <c r="S8" s="45"/>
      <c r="T8" s="44" t="s">
        <v>33</v>
      </c>
      <c r="U8" s="44" t="s">
        <v>41</v>
      </c>
      <c r="V8" s="44" t="s">
        <v>38</v>
      </c>
      <c r="W8" s="44" t="s">
        <v>37</v>
      </c>
      <c r="X8" s="45"/>
      <c r="Y8" s="44">
        <v>1</v>
      </c>
      <c r="Z8" s="45"/>
      <c r="AA8" s="45"/>
      <c r="AB8" s="44">
        <v>0</v>
      </c>
      <c r="AC8" s="44">
        <v>0</v>
      </c>
      <c r="AD8" s="44">
        <v>0</v>
      </c>
      <c r="AE8" s="44">
        <v>0</v>
      </c>
      <c r="AF8" s="44">
        <v>100</v>
      </c>
      <c r="AG8" s="44">
        <v>0</v>
      </c>
      <c r="AH8" s="44">
        <v>0</v>
      </c>
      <c r="AI8" s="44">
        <v>0</v>
      </c>
      <c r="AJ8" s="44">
        <v>0</v>
      </c>
      <c r="AK8" s="44">
        <v>-1000</v>
      </c>
      <c r="AL8" s="44">
        <v>1</v>
      </c>
      <c r="AM8" s="44">
        <v>1</v>
      </c>
      <c r="AN8" s="44" t="s">
        <v>22</v>
      </c>
      <c r="AO8" s="45"/>
      <c r="AP8" s="44" t="s">
        <v>64</v>
      </c>
      <c r="AQ8" s="44" t="s">
        <v>26</v>
      </c>
      <c r="AR8" s="44">
        <v>0</v>
      </c>
      <c r="AS8" s="44">
        <v>1</v>
      </c>
      <c r="AT8" s="45"/>
      <c r="AU8" s="45"/>
      <c r="AV8" s="44">
        <v>1</v>
      </c>
      <c r="AW8" s="44">
        <v>-1000</v>
      </c>
      <c r="AX8" s="44">
        <v>0</v>
      </c>
      <c r="AY8" s="44">
        <v>0</v>
      </c>
      <c r="AZ8" s="44">
        <v>0</v>
      </c>
      <c r="BA8" s="44">
        <v>-100</v>
      </c>
      <c r="BB8" s="45"/>
      <c r="BC8" s="44">
        <v>1</v>
      </c>
      <c r="BD8" s="44">
        <v>-1000</v>
      </c>
      <c r="BE8" s="44"/>
      <c r="BF8" s="44"/>
      <c r="BG8" s="44"/>
      <c r="BH8" s="45"/>
      <c r="BI8" s="45"/>
      <c r="BJ8" s="44">
        <v>0</v>
      </c>
      <c r="BK8" s="44">
        <v>0</v>
      </c>
      <c r="BL8" s="44">
        <v>0</v>
      </c>
      <c r="BM8" s="44">
        <v>0</v>
      </c>
      <c r="BN8" s="45"/>
      <c r="BO8" s="44">
        <v>-1000</v>
      </c>
      <c r="BP8" s="44"/>
      <c r="BQ8" s="45"/>
      <c r="BR8" s="45"/>
      <c r="BS8" s="44">
        <v>0</v>
      </c>
      <c r="BT8" s="44">
        <v>0</v>
      </c>
      <c r="BU8" s="44" t="s">
        <v>33</v>
      </c>
      <c r="BV8" s="45"/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45"/>
      <c r="CC8" s="44">
        <v>0</v>
      </c>
      <c r="CD8" s="44">
        <v>-1000</v>
      </c>
      <c r="CE8" s="44">
        <v>0</v>
      </c>
      <c r="CF8" s="44">
        <v>0</v>
      </c>
      <c r="CG8" s="44">
        <v>-1000</v>
      </c>
      <c r="CH8" s="44">
        <v>-100</v>
      </c>
      <c r="CI8" s="44">
        <v>0</v>
      </c>
      <c r="CJ8" s="44">
        <v>0</v>
      </c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</row>
    <row r="9" spans="1:168" ht="15.75" customHeight="1" x14ac:dyDescent="0.2">
      <c r="A9" s="5"/>
      <c r="B9" s="43"/>
      <c r="C9" s="42" t="s">
        <v>55</v>
      </c>
      <c r="D9" s="42">
        <v>-150</v>
      </c>
      <c r="E9" s="42" t="s">
        <v>27</v>
      </c>
      <c r="F9" s="42" t="s">
        <v>67</v>
      </c>
      <c r="G9" s="42">
        <v>15</v>
      </c>
      <c r="H9" s="42" t="s">
        <v>65</v>
      </c>
      <c r="I9" s="42">
        <v>0</v>
      </c>
      <c r="J9" s="43"/>
      <c r="K9" s="42">
        <v>0</v>
      </c>
      <c r="L9" s="43"/>
      <c r="M9" s="43"/>
      <c r="N9" s="42">
        <v>225000</v>
      </c>
      <c r="O9" s="42"/>
      <c r="P9" s="44" t="s">
        <v>63</v>
      </c>
      <c r="Q9" s="44">
        <v>225000</v>
      </c>
      <c r="R9" s="44"/>
      <c r="S9" s="45"/>
      <c r="T9" s="44" t="s">
        <v>42</v>
      </c>
      <c r="U9" s="44" t="s">
        <v>41</v>
      </c>
      <c r="V9" s="44" t="s">
        <v>45</v>
      </c>
      <c r="W9" s="44" t="s">
        <v>37</v>
      </c>
      <c r="X9" s="45"/>
      <c r="Y9" s="44">
        <v>1</v>
      </c>
      <c r="Z9" s="45"/>
      <c r="AA9" s="45"/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225000</v>
      </c>
      <c r="AL9" s="44">
        <v>0</v>
      </c>
      <c r="AM9" s="44">
        <v>1</v>
      </c>
      <c r="AN9" s="44" t="s">
        <v>24</v>
      </c>
      <c r="AO9" s="45"/>
      <c r="AP9" s="44" t="s">
        <v>64</v>
      </c>
      <c r="AQ9" s="44" t="s">
        <v>56</v>
      </c>
      <c r="AR9" s="44">
        <v>0</v>
      </c>
      <c r="AS9" s="44">
        <v>-1</v>
      </c>
      <c r="AT9" s="45"/>
      <c r="AU9" s="45"/>
      <c r="AV9" s="44">
        <v>1</v>
      </c>
      <c r="AW9" s="44">
        <v>225000</v>
      </c>
      <c r="AX9" s="44">
        <v>0</v>
      </c>
      <c r="AY9" s="44">
        <v>0</v>
      </c>
      <c r="AZ9" s="44">
        <v>0</v>
      </c>
      <c r="BA9" s="44">
        <v>100</v>
      </c>
      <c r="BB9" s="45"/>
      <c r="BC9" s="44">
        <v>1</v>
      </c>
      <c r="BD9" s="44">
        <v>225000</v>
      </c>
      <c r="BE9" s="44"/>
      <c r="BF9" s="44"/>
      <c r="BG9" s="44"/>
      <c r="BH9" s="45"/>
      <c r="BI9" s="45"/>
      <c r="BJ9" s="44">
        <v>0</v>
      </c>
      <c r="BK9" s="44">
        <v>0</v>
      </c>
      <c r="BL9" s="44">
        <v>0</v>
      </c>
      <c r="BM9" s="44">
        <v>0</v>
      </c>
      <c r="BN9" s="45"/>
      <c r="BO9" s="44">
        <v>225000</v>
      </c>
      <c r="BP9" s="44"/>
      <c r="BQ9" s="45"/>
      <c r="BR9" s="45"/>
      <c r="BS9" s="44">
        <v>0</v>
      </c>
      <c r="BT9" s="44">
        <v>0</v>
      </c>
      <c r="BU9" s="44" t="s">
        <v>66</v>
      </c>
      <c r="BV9" s="45"/>
      <c r="BW9" s="44">
        <v>20</v>
      </c>
      <c r="BX9" s="44">
        <v>0</v>
      </c>
      <c r="BY9" s="44">
        <v>0</v>
      </c>
      <c r="BZ9" s="44">
        <v>0</v>
      </c>
      <c r="CA9" s="44">
        <v>0</v>
      </c>
      <c r="CB9" s="45"/>
      <c r="CC9" s="44">
        <v>0</v>
      </c>
      <c r="CD9" s="44">
        <v>225000</v>
      </c>
      <c r="CE9" s="44">
        <v>0</v>
      </c>
      <c r="CF9" s="44">
        <v>0</v>
      </c>
      <c r="CG9" s="44">
        <v>225000</v>
      </c>
      <c r="CH9" s="44">
        <v>100</v>
      </c>
      <c r="CI9" s="44">
        <v>0</v>
      </c>
      <c r="CJ9" s="44">
        <v>0</v>
      </c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SetTTGeneralPreferences</vt:lpstr>
      <vt:lpstr>ImportSymbol</vt:lpstr>
      <vt:lpstr>CreateTransaction</vt:lpstr>
      <vt:lpstr>SetTTGeneralPreferences1</vt:lpstr>
      <vt:lpstr>ImportSymbol1</vt:lpstr>
      <vt:lpstr>CreateTransaction1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2021-08-04T11:10:09Z</dcterms:modified>
</cp:coreProperties>
</file>