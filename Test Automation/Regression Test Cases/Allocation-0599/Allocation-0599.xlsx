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AllocatedGroups1" sheetId="13" r:id="rId15"/>
    <sheet state="visible" name="CreateDoneAwayOrder1" sheetId="14" r:id="rId16"/>
    <sheet state="visible" name="SetGeneralPreferences1" sheetId="15" r:id="rId17"/>
    <sheet state="visible" name="CreateLiveOrder1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AllocatedGroups2" sheetId="20" r:id="rId22"/>
    <sheet state="visible" name="CheckAllocatedGroups3" sheetId="21" r:id="rId23"/>
  </sheets>
  <definedNames/>
  <calcPr/>
</workbook>
</file>

<file path=xl/sharedStrings.xml><?xml version="1.0" encoding="utf-8"?>
<sst xmlns="http://schemas.openxmlformats.org/spreadsheetml/2006/main" count="609" uniqueCount="64">
  <si>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</si>
  <si>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</si>
  <si>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</si>
  <si>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</si>
  <si>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</si>
  <si>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</si>
  <si>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</si>
  <si>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</si>
  <si>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</si>
  <si>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</si>
  <si>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</si>
  <si>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</si>
  <si>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</si>
  <si>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</si>
  <si>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</si>
  <si>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</si>
  <si>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</si>
  <si>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</si>
  <si>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</si>
  <si>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</si>
  <si>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</si>
  <si>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</si>
  <si>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Allocation2</t>
  </si>
  <si>
    <t>Allocation</t>
  </si>
  <si>
    <t>SetGeneralPreferences</t>
  </si>
  <si>
    <t>Pref</t>
  </si>
  <si>
    <t>RunProrata</t>
  </si>
  <si>
    <t>CreateLiveOrder</t>
  </si>
  <si>
    <t>Sell</t>
  </si>
  <si>
    <t>Hello</t>
  </si>
  <si>
    <t>Flat Amount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</si>
  <si>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</si>
  <si>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</si>
  <si>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</si>
  <si>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</si>
  <si>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</si>
  <si>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</si>
  <si>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</si>
  <si>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</si>
  <si>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</si>
  <si>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</si>
  <si>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</si>
  <si>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</si>
  <si>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</si>
  <si>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</si>
  <si>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</si>
  <si>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</si>
  <si>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</si>
  <si>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</si>
  <si>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</si>
  <si>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</si>
  <si>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</si>
  <si>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</si>
  <si>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</si>
  <si>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</si>
  <si>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</si>
  <si>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Manual</t>
  </si>
  <si>
    <t>MSFT</t>
  </si>
  <si>
    <t>Allocation3</t>
  </si>
  <si>
    <t>Allocation4</t>
  </si>
  <si>
    <t>Pref1</t>
  </si>
  <si>
    <t>Notional BPS</t>
  </si>
  <si>
    <t>MSFT US EQUITY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</si>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</sst>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50.0</v>
      </c>
      <c r="E6" s="34">
        <v>50.0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 t="shared" ref="N6:N7" si="1">today()</f>
        <v>45335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2" t="s">
        <v>17</v>
      </c>
      <c r="D7" s="34">
        <v>50.0</v>
      </c>
      <c r="E7" s="34">
        <v>50.0</v>
      </c>
      <c r="F7" s="32" t="s">
        <v>22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>
        <f t="shared" si="1"/>
        <v>45335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25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>today()</f>
        <v>45335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28</v>
      </c>
      <c r="D6" s="33">
        <v>100.0</v>
      </c>
      <c r="E6" s="34">
        <v>100.0</v>
      </c>
      <c r="F6" s="32" t="s">
        <v>25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>today()</f>
        <v>45335</v>
      </c>
      <c r="O6" s="35"/>
      <c r="P6" s="37" t="s">
        <v>29</v>
      </c>
      <c r="Q6" s="35"/>
      <c r="R6" s="37" t="s">
        <v>30</v>
      </c>
      <c r="S6" s="38">
        <v>20.0</v>
      </c>
      <c r="T6" s="37" t="s">
        <v>30</v>
      </c>
      <c r="U6" s="38">
        <v>20.0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6">
        <f>TODAY()-1</f>
        <v>45334</v>
      </c>
      <c r="D6" s="36">
        <f>TODAY()</f>
        <v>45335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10.0</v>
      </c>
      <c r="F6" s="8" t="s">
        <v>25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20.0</v>
      </c>
      <c r="U6">
        <v>2.0</v>
      </c>
      <c r="V6" t="s">
        <v>45</v>
      </c>
      <c r="W6">
        <v>1.0</v>
      </c>
      <c r="X6">
        <v>0.0</v>
      </c>
      <c r="Y6" t="s">
        <v>38</v>
      </c>
      <c r="Z6" t="s">
        <v>46</v>
      </c>
      <c r="AA6" t="s">
        <v>16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1.0</v>
      </c>
      <c r="AJ6" t="s">
        <v>49</v>
      </c>
      <c r="AM6" t="s">
        <v>29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45.9999</v>
      </c>
      <c r="AU6">
        <v>45.9999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20.0</v>
      </c>
      <c r="BQ6">
        <v>2.0</v>
      </c>
      <c r="BR6">
        <v>1.0E-4</v>
      </c>
      <c r="BS6" t="s">
        <v>51</v>
      </c>
      <c r="BT6" t="s">
        <v>16</v>
      </c>
      <c r="BU6">
        <v>3.0</v>
      </c>
      <c r="BV6">
        <v>40.0</v>
      </c>
      <c r="BW6">
        <v>54.0001</v>
      </c>
      <c r="BX6">
        <v>4.0</v>
      </c>
      <c r="CF6" t="s">
        <v>52</v>
      </c>
      <c r="CG6">
        <v>2.0</v>
      </c>
      <c r="CH6" s="9" t="s">
        <v>12</v>
      </c>
      <c r="CI6" t="s">
        <v>28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47</v>
      </c>
      <c r="CP6" t="s">
        <v>55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20.0</v>
      </c>
      <c r="F6" s="8" t="s">
        <v>56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20.0</v>
      </c>
      <c r="U6">
        <v>1.0</v>
      </c>
      <c r="V6" t="s">
        <v>45</v>
      </c>
      <c r="W6">
        <v>1.0</v>
      </c>
      <c r="X6">
        <v>0.0</v>
      </c>
      <c r="Y6" t="s">
        <v>38</v>
      </c>
      <c r="Z6" t="s">
        <v>46</v>
      </c>
      <c r="AA6" t="s">
        <v>16</v>
      </c>
      <c r="AB6">
        <v>1.0</v>
      </c>
      <c r="AD6" t="s">
        <v>47</v>
      </c>
      <c r="AE6">
        <v>20.0</v>
      </c>
      <c r="AF6" t="s">
        <v>38</v>
      </c>
      <c r="AH6" t="s">
        <v>48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145.9999</v>
      </c>
      <c r="AU6">
        <v>145.9999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20.0</v>
      </c>
      <c r="BQ6">
        <v>1.0</v>
      </c>
      <c r="BR6">
        <v>1.0E-4</v>
      </c>
      <c r="BS6" t="s">
        <v>51</v>
      </c>
      <c r="BT6" t="s">
        <v>16</v>
      </c>
      <c r="BU6">
        <v>3.0</v>
      </c>
      <c r="BV6">
        <v>40.0</v>
      </c>
      <c r="BW6">
        <v>54.0001</v>
      </c>
      <c r="BX6">
        <v>2.0</v>
      </c>
      <c r="CF6" t="s">
        <v>52</v>
      </c>
      <c r="CG6">
        <v>2.0</v>
      </c>
      <c r="CH6" s="9" t="s">
        <v>12</v>
      </c>
      <c r="CI6" t="s">
        <v>28</v>
      </c>
      <c r="CJ6">
        <v>0.0</v>
      </c>
      <c r="CK6" t="s">
        <v>53</v>
      </c>
      <c r="CL6">
        <v>1.0</v>
      </c>
      <c r="CM6" t="s">
        <v>16</v>
      </c>
      <c r="CN6" t="s">
        <v>54</v>
      </c>
      <c r="CO6" t="s">
        <v>47</v>
      </c>
      <c r="CP6" t="s">
        <v>55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57</v>
      </c>
      <c r="C6" s="32" t="s">
        <v>17</v>
      </c>
      <c r="D6" s="33">
        <v>50.0</v>
      </c>
      <c r="E6" s="34">
        <v>50.0</v>
      </c>
      <c r="F6" s="42" t="s">
        <v>58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 t="shared" ref="N6:N7" si="1">today()</f>
        <v>45335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2" t="s">
        <v>57</v>
      </c>
      <c r="C7" s="32" t="s">
        <v>17</v>
      </c>
      <c r="D7" s="34">
        <v>50.0</v>
      </c>
      <c r="E7" s="34">
        <v>50.0</v>
      </c>
      <c r="F7" s="42" t="s">
        <v>59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6">
        <f t="shared" si="1"/>
        <v>45335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7" t="s">
        <v>60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57</v>
      </c>
      <c r="C6" s="32" t="s">
        <v>28</v>
      </c>
      <c r="D6" s="33">
        <v>100.0</v>
      </c>
      <c r="E6" s="34">
        <v>100.0</v>
      </c>
      <c r="F6" s="42" t="s">
        <v>60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6">
        <f>today()</f>
        <v>45335</v>
      </c>
      <c r="O6" s="35"/>
      <c r="P6" s="37" t="s">
        <v>29</v>
      </c>
      <c r="Q6" s="35"/>
      <c r="R6" s="37" t="s">
        <v>61</v>
      </c>
      <c r="S6" s="38">
        <v>20.0</v>
      </c>
      <c r="T6" s="37" t="s">
        <v>61</v>
      </c>
      <c r="U6" s="38">
        <v>20.0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57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10.0</v>
      </c>
      <c r="F6" s="8" t="s">
        <v>60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0.2</v>
      </c>
      <c r="U6">
        <v>0.02</v>
      </c>
      <c r="V6" t="s">
        <v>63</v>
      </c>
      <c r="W6">
        <v>1.0</v>
      </c>
      <c r="X6">
        <v>0.0</v>
      </c>
      <c r="Y6" t="s">
        <v>38</v>
      </c>
      <c r="Z6" t="s">
        <v>46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1.0</v>
      </c>
      <c r="AJ6" t="s">
        <v>49</v>
      </c>
      <c r="AM6" s="9" t="s">
        <v>29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85.5999</v>
      </c>
      <c r="AU6">
        <v>85.5999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0.2</v>
      </c>
      <c r="BQ6">
        <v>0.02</v>
      </c>
      <c r="BR6">
        <v>1.0E-4</v>
      </c>
      <c r="BS6" t="s">
        <v>51</v>
      </c>
      <c r="BT6" t="s">
        <v>57</v>
      </c>
      <c r="BU6">
        <v>3.0</v>
      </c>
      <c r="BV6">
        <v>0.4</v>
      </c>
      <c r="BW6">
        <v>14.4001</v>
      </c>
      <c r="BX6">
        <v>0.04</v>
      </c>
      <c r="CF6" t="s">
        <v>52</v>
      </c>
      <c r="CG6">
        <v>2.0</v>
      </c>
      <c r="CH6" s="43" t="s">
        <v>12</v>
      </c>
      <c r="CI6" t="s">
        <v>28</v>
      </c>
      <c r="CJ6">
        <v>0.0</v>
      </c>
      <c r="CK6" t="s">
        <v>53</v>
      </c>
      <c r="CL6">
        <v>1.0</v>
      </c>
      <c r="CM6" t="s">
        <v>57</v>
      </c>
      <c r="CN6" t="s">
        <v>54</v>
      </c>
      <c r="CO6" t="s">
        <v>47</v>
      </c>
      <c r="CP6" t="s">
        <v>55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39</v>
      </c>
      <c r="C6" s="8" t="s">
        <v>40</v>
      </c>
      <c r="D6" s="40">
        <v>0.0</v>
      </c>
      <c r="E6" s="8">
        <v>20.0</v>
      </c>
      <c r="F6" s="8"/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0.4</v>
      </c>
      <c r="U6">
        <v>0.02</v>
      </c>
      <c r="V6" t="s">
        <v>63</v>
      </c>
      <c r="W6">
        <v>1.0</v>
      </c>
      <c r="X6">
        <v>0.0</v>
      </c>
      <c r="Y6" t="s">
        <v>38</v>
      </c>
      <c r="Z6" t="s">
        <v>46</v>
      </c>
      <c r="AB6">
        <v>1.0</v>
      </c>
      <c r="AD6" t="s">
        <v>47</v>
      </c>
      <c r="AE6">
        <v>20.0</v>
      </c>
      <c r="AF6" t="s">
        <v>38</v>
      </c>
      <c r="AH6" t="s">
        <v>48</v>
      </c>
      <c r="AI6">
        <v>1.0</v>
      </c>
      <c r="AJ6" t="s">
        <v>49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185.1999</v>
      </c>
      <c r="AU6">
        <v>185.1999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50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46</v>
      </c>
      <c r="BO6" t="s">
        <v>28</v>
      </c>
      <c r="BP6">
        <v>0.4</v>
      </c>
      <c r="BQ6">
        <v>0.02</v>
      </c>
      <c r="BR6">
        <v>1.0E-4</v>
      </c>
      <c r="BS6" t="s">
        <v>51</v>
      </c>
      <c r="BT6" t="s">
        <v>57</v>
      </c>
      <c r="BU6">
        <v>3.0</v>
      </c>
      <c r="BV6">
        <v>0.8</v>
      </c>
      <c r="BW6">
        <v>14.8001</v>
      </c>
      <c r="BX6">
        <v>0.04</v>
      </c>
      <c r="CF6" t="s">
        <v>52</v>
      </c>
      <c r="CG6">
        <v>2.0</v>
      </c>
      <c r="CH6" s="43" t="s">
        <v>12</v>
      </c>
      <c r="CI6" t="s">
        <v>28</v>
      </c>
      <c r="CJ6">
        <v>0.0</v>
      </c>
      <c r="CK6" t="s">
        <v>53</v>
      </c>
      <c r="CL6">
        <v>1.0</v>
      </c>
      <c r="CM6" t="s">
        <v>57</v>
      </c>
      <c r="CN6" t="s">
        <v>54</v>
      </c>
      <c r="CO6" t="s">
        <v>47</v>
      </c>
      <c r="CP6" t="s">
        <v>55</v>
      </c>
      <c r="CS6" t="s">
        <v>38</v>
      </c>
      <c r="CW6">
        <v>0.0</v>
      </c>
      <c r="CX6" t="s">
        <v>39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