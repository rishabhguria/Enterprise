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alculatePTT" sheetId="4" r:id="rId6"/>
    <sheet state="visible" name="VerifyPTT" sheetId="5" r:id="rId7"/>
    <sheet state="visible" name="VerifyPTTCompliance" sheetId="6" r:id="rId8"/>
    <sheet state="visible" name="CalculatePTT1" sheetId="7" r:id="rId9"/>
    <sheet state="visible" name="VerifyPTT1" sheetId="8" r:id="rId10"/>
    <sheet state="visible" name="VerifyPTTCompliance1" sheetId="9" r:id="rId11"/>
    <sheet state="visible" name="CalculatePTT2" sheetId="10" r:id="rId12"/>
    <sheet state="visible" name="VerifyPTT2" sheetId="11" r:id="rId13"/>
    <sheet state="visible" name="VerifyPTTCompliance2" sheetId="12" r:id="rId14"/>
  </sheets>
  <definedNames/>
  <calcPr/>
</workbook>
</file>

<file path=xl/sharedStrings.xml><?xml version="1.0" encoding="utf-8"?>
<sst xmlns="http://schemas.openxmlformats.org/spreadsheetml/2006/main" count="247" uniqueCount="69">
  <si>
    <t>Modules Info</t>
  </si>
  <si>
    <t>Modules</t>
  </si>
  <si>
    <t>Settings</t>
  </si>
  <si>
    <t>Module Step Setting File</t>
  </si>
  <si>
    <t>1K8ZvVNuTwmBNFJDFZePBBtFSBNuEnt5jA54fLNZWShw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</si>
  <si>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</si>
  <si>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</si>
  <si>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</si>
  <si>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</si>
  <si>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</si>
  <si>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</si>
  <si>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</si>
  <si>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PTT</t>
  </si>
  <si>
    <t>CalculatePTT</t>
  </si>
  <si>
    <t>Data Format</t>
  </si>
  <si>
    <t>Input Format</t>
  </si>
  <si>
    <t>FB</t>
  </si>
  <si>
    <t>Decrease</t>
  </si>
  <si>
    <t>Percentage</t>
  </si>
  <si>
    <t>No</t>
  </si>
  <si>
    <t>Account</t>
  </si>
  <si>
    <t>Allocation1,Allocation3</t>
  </si>
  <si>
    <t>Yes</t>
  </si>
  <si>
    <t>Market</t>
  </si>
  <si>
    <t>VerifyPTT</t>
  </si>
  <si>
    <t>Allocation1</t>
  </si>
  <si>
    <t>57.1444.83</t>
  </si>
  <si>
    <t>SellSell short</t>
  </si>
  <si>
    <t>Allocation3</t>
  </si>
  <si>
    <t>42.8655.17</t>
  </si>
  <si>
    <t>VerifyPTTCompliance</t>
  </si>
  <si>
    <t>Soft Alert</t>
  </si>
  <si>
    <t>Order Side Check</t>
  </si>
  <si>
    <t>Pre-Trade Alerts For OrderSide Violation on Account-Symbol Level</t>
  </si>
  <si>
    <t>Allocation1-FB</t>
  </si>
  <si>
    <t>Order Side: Sell short, Symbol: FB, Account: Allocation1, Quantity before trade: 1,200.00, Order quantity: -44,522.00, Quantity if trade is executed: -43,322.00</t>
  </si>
  <si>
    <t>Allocation3-FB</t>
  </si>
  <si>
    <t>Order Side: Sell short, Symbol: FB, Account: Allocation3, Quantity before trade: 900.00, Order quantity: -54,790.00, Quantity if trade is executed: -53,890.00</t>
  </si>
  <si>
    <t>TradeQuantity100</t>
  </si>
  <si>
    <t>Enter Summary</t>
  </si>
  <si>
    <t>quantity: 900.00, Symbol: FB</t>
  </si>
  <si>
    <t>TradeQuantity1000</t>
  </si>
  <si>
    <t>quantity: 1,200.00, Symbol: FB</t>
  </si>
  <si>
    <t>quantity: 44,522.00, Symbol: FB</t>
  </si>
  <si>
    <t>quantity: 54,790.00, Symbol: FB</t>
  </si>
  <si>
    <t>MasterFund</t>
  </si>
  <si>
    <t>NewMF,NewMF1</t>
  </si>
  <si>
    <t>33.3326.37</t>
  </si>
  <si>
    <t>44.4435.16</t>
  </si>
  <si>
    <t>Allocation2</t>
  </si>
  <si>
    <t>-3000-0.1</t>
  </si>
  <si>
    <t>Buy to Cover</t>
  </si>
  <si>
    <t>Allocation4</t>
  </si>
  <si>
    <t>22.2238.47</t>
  </si>
  <si>
    <t>quantity: 133.00, Symbol: FB</t>
  </si>
  <si>
    <t>quantity: 600.00, Symbol: FB</t>
  </si>
  <si>
    <t>quantity: 56,750.00, Symbol: FB</t>
  </si>
  <si>
    <t>quantity: 42,562.00, Symbol: FB</t>
  </si>
  <si>
    <t>AAPL</t>
  </si>
  <si>
    <t>Allocation1,Allocation2</t>
  </si>
  <si>
    <t>80.9282.44</t>
  </si>
  <si>
    <t>19.0817.56</t>
  </si>
  <si>
    <t>Allocation1-AAPL</t>
  </si>
  <si>
    <t>Order Side: Sell short, Symbol: AAPL, Account: Allocation1, Quantity before trade: 212.00, Order quantity: -45,646.00, Quantity if trade is executed: -45,434.00</t>
  </si>
  <si>
    <t>Allocation2-AAPL</t>
  </si>
  <si>
    <t>Order Side: Sell short, Symbol: AAPL, Account: Allocation2, Quantity before trade: 50.00, Order quantity: -9,723.00, Quantity if trade is executed: -9,673.00</t>
  </si>
  <si>
    <t>quantity: 212.00, Symbol: AAPL</t>
  </si>
  <si>
    <t>quantity: 45,646.00, Symbol: AAPL</t>
  </si>
  <si>
    <t>quantity: 9,723.00, Symbol: AAPL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</si>
</sst>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FFFFFF"/>
      <name val="Calibri"/>
    </font>
  </fonts>
  <fills count="9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35C759"/>
        <bgColor rgb="FF35C759"/>
      </patternFill>
    </fill>
    <fill>
      <patternFill patternType="solid">
        <fgColor rgb="FF24262A"/>
        <bgColor rgb="FF24262A"/>
      </patternFill>
    </fill>
    <fill>
      <patternFill patternType="solid">
        <fgColor rgb="FF1E1F23"/>
        <bgColor rgb="FF1E1F23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383A40"/>
      </left>
      <right style="thin">
        <color rgb="FF383A40"/>
      </right>
      <top style="thin">
        <color rgb="FF383A40"/>
      </top>
      <bottom style="thin">
        <color rgb="FF383A40"/>
      </bottom>
    </border>
  </borders>
  <cellStyleXfs count="1">
    <xf borderId="0" fillId="0" fontId="0" numFmtId="0" applyAlignment="1" applyFont="1"/>
  </cellStyleXfs>
  <cellXfs count="3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5" numFmtId="4" xfId="0" applyAlignment="1" applyFont="1" applyNumberFormat="1">
      <alignment readingOrder="0" shrinkToFit="0" wrapText="0"/>
    </xf>
    <xf borderId="0" fillId="0" fontId="5" numFmtId="0" xfId="0" applyAlignment="1" applyFont="1">
      <alignment horizontal="right" readingOrder="0" shrinkToFit="0" wrapText="0"/>
    </xf>
    <xf borderId="0" fillId="0" fontId="5" numFmtId="0" xfId="0" applyAlignment="1" applyFont="1">
      <alignment horizontal="left" readingOrder="0" shrinkToFit="0" wrapText="0"/>
    </xf>
    <xf borderId="5" fillId="6" fontId="14" numFmtId="0" xfId="0" applyAlignment="1" applyBorder="1" applyFill="1" applyFont="1">
      <alignment readingOrder="0" shrinkToFit="0" vertical="bottom" wrapText="0"/>
    </xf>
    <xf borderId="5" fillId="7" fontId="14" numFmtId="0" xfId="0" applyAlignment="1" applyBorder="1" applyFill="1" applyFont="1">
      <alignment readingOrder="0" shrinkToFit="0" vertical="bottom" wrapText="0"/>
    </xf>
    <xf borderId="5" fillId="7" fontId="14" numFmtId="4" xfId="0" applyAlignment="1" applyBorder="1" applyFont="1" applyNumberFormat="1">
      <alignment readingOrder="0" shrinkToFit="0" vertical="bottom" wrapText="0"/>
    </xf>
    <xf borderId="5" fillId="8" fontId="14" numFmtId="0" xfId="0" applyAlignment="1" applyBorder="1" applyFill="1" applyFont="1">
      <alignment readingOrder="0" shrinkToFit="0" vertical="bottom" wrapText="0"/>
    </xf>
    <xf borderId="5" fillId="8" fontId="14" numFmtId="4" xfId="0" applyAlignment="1" applyBorder="1" applyFont="1" applyNumberForma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4" Type="http://schemas.openxmlformats.org/officeDocument/2006/relationships/worksheet" Target="worksheets/sheet1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>
      <c r="A862" t="str">
        <f>IFERROR(__xludf.DUMMYFUNCTION("""COMPUTED_VALUE"""),"Rebalancer")</f>
        <v>Rebalancer</v>
      </c>
      <c r="B862" t="str">
        <f>IFERROR(__xludf.DUMMYFUNCTION("""COMPUTED_VALUE"""),"AddCustomCashFlow")</f>
        <v>AddCustomCashFlow</v>
      </c>
      <c r="C862" t="str">
        <f>IFERROR(__xludf.DUMMYFUNCTION("""COMPUTED_VALUE"""),"1DUwxSUq_47EK60XmK3LOdCXa1fkWqWJE9bLuGS3ccv412")</f>
        <v>1DUwxSUq_47EK60XmK3LOdCXa1fkWqWJE9bLuGS3ccv412</v>
      </c>
    </row>
    <row r="863" ht="15.75" customHeight="1">
      <c r="A863" t="str">
        <f>IFERROR(__xludf.DUMMYFUNCTION("""COMPUTED_VALUE"""),"Rebalancer")</f>
        <v>Rebalancer</v>
      </c>
      <c r="B863" t="str">
        <f>IFERROR(__xludf.DUMMYFUNCTION("""COMPUTED_VALUE"""),"ActionOnCustomCashFlow")</f>
        <v>ActionOnCustomCashFlow</v>
      </c>
      <c r="C863" t="str">
        <f>IFERROR(__xludf.DUMMYFUNCTION("""COMPUTED_VALUE"""),"1DUwxSUq_47EK60XmK3LOdCXa1fkWqWJE9bLuGS3ccv412")</f>
        <v>1DUwxSUq_47EK60XmK3LOdCXa1fkWqWJE9bLuGS3ccv412</v>
      </c>
    </row>
    <row r="864" ht="15.75" customHeight="1">
      <c r="A864" t="str">
        <f>IFERROR(__xludf.DUMMYFUNCTION("""COMPUTED_VALUE"""),"Rebalancer")</f>
        <v>Rebalancer</v>
      </c>
      <c r="B864" t="str">
        <f>IFERROR(__xludf.DUMMYFUNCTION("""COMPUTED_VALUE"""),"RemoveAllSecurities")</f>
        <v>RemoveAllSecurities</v>
      </c>
      <c r="C864" t="str">
        <f>IFERROR(__xludf.DUMMYFUNCTION("""COMPUTED_VALUE"""),"1DUwxSUq_47EK60XmK3LOdCXa1fkWqWJE9bLuGS3ccv412")</f>
        <v>1DUwxSUq_47EK60XmK3LOdCXa1fkWqWJE9bLuGS3ccv412</v>
      </c>
    </row>
    <row r="865" ht="15.75" customHeight="1">
      <c r="A865" t="str">
        <f>IFERROR(__xludf.DUMMYFUNCTION("""COMPUTED_VALUE"""),"Rebalancer")</f>
        <v>Rebalancer</v>
      </c>
      <c r="B865" t="str">
        <f>IFERROR(__xludf.DUMMYFUNCTION("""COMPUTED_VALUE"""),"RebalanceTradingRules")</f>
        <v>RebalanceTradingRules</v>
      </c>
      <c r="C865" t="str">
        <f>IFERROR(__xludf.DUMMYFUNCTION("""COMPUTED_VALUE"""),"1DUwxSUq_47EK60XmK3LOdCXa1fkWqWJE9bLuGS3ccv412")</f>
        <v>1DUwxSUq_47EK60XmK3LOdCXa1fkWqWJE9bLuGS3ccv412</v>
      </c>
    </row>
    <row r="866" ht="15.75" customHeight="1">
      <c r="A866" t="str">
        <f>IFERROR(__xludf.DUMMYFUNCTION("""COMPUTED_VALUE"""),"Rebalancer")</f>
        <v>Rebalancer</v>
      </c>
      <c r="B866" t="str">
        <f>IFERROR(__xludf.DUMMYFUNCTION("""COMPUTED_VALUE"""),"UpdateRBPreferences")</f>
        <v>UpdateRBPreferences</v>
      </c>
      <c r="C866" t="str">
        <f>IFERROR(__xludf.DUMMYFUNCTION("""COMPUTED_VALUE"""),"1DUwxSUq_47EK60XmK3LOdCXa1fkWqWJE9bLuGS3ccv412")</f>
        <v>1DUwxSUq_47EK60XmK3LOdCXa1fkWqWJE9bLuGS3ccv412</v>
      </c>
    </row>
    <row r="867" ht="15.75" customHeight="1">
      <c r="A867" t="str">
        <f>IFERROR(__xludf.DUMMYFUNCTION("""COMPUTED_VALUE"""),"Rebalancer")</f>
        <v>Rebalancer</v>
      </c>
      <c r="B867" t="str">
        <f>IFERROR(__xludf.DUMMYFUNCTION("""COMPUTED_VALUE"""),"RecalculateNIC")</f>
        <v>RecalculateNIC</v>
      </c>
      <c r="C867" t="str">
        <f>IFERROR(__xludf.DUMMYFUNCTION("""COMPUTED_VALUE"""),"1DUwxSUq_47EK60XmK3LOdCXa1fkWqWJE9bLuGS3ccv412")</f>
        <v>1DUwxSUq_47EK60XmK3LOdCXa1fkWqWJE9bLuGS3ccv412</v>
      </c>
    </row>
    <row r="868" ht="15.75" customHeight="1">
      <c r="A868" t="str">
        <f>IFERROR(__xludf.DUMMYFUNCTION("""COMPUTED_VALUE"""),"Blotter")</f>
        <v>Blotter</v>
      </c>
      <c r="B868" t="str">
        <f>IFERROR(__xludf.DUMMYFUNCTION("""COMPUTED_VALUE"""),"BookAsSwap")</f>
        <v>BookAsSwap</v>
      </c>
      <c r="C868" t="str">
        <f>IFERROR(__xludf.DUMMYFUNCTION("""COMPUTED_VALUE"""),"1tnkP5eD3WH53SXu2O-MWk6774J7b5ihwlD7r9dGtpiY")</f>
        <v>1tnkP5eD3WH53SXu2O-MWk6774J7b5ihwlD7r9dGtpiY</v>
      </c>
    </row>
    <row r="869" ht="15.75" customHeight="1">
      <c r="A869" t="str">
        <f>IFERROR(__xludf.DUMMYFUNCTION("""COMPUTED_VALUE"""),"QTT")</f>
        <v>QTT</v>
      </c>
      <c r="B869" t="str">
        <f>IFERROR(__xludf.DUMMYFUNCTION("""COMPUTED_VALUE"""),"VerifyQTT")</f>
        <v>VerifyQTT</v>
      </c>
      <c r="C869" t="str">
        <f>IFERROR(__xludf.DUMMYFUNCTION("""COMPUTED_VALUE"""),"1bs3VigXRg4VZR5W48lKm11EcEjEpmUCnBNDHffPRbIQ")</f>
        <v>1bs3VigXRg4VZR5W48lKm11EcEjEpmUCnBNDHffPRbIQ</v>
      </c>
    </row>
    <row r="870" ht="15.75" customHeight="1">
      <c r="A870" t="str">
        <f>IFERROR(__xludf.DUMMYFUNCTION("""COMPUTED_VALUE"""),"Rebalancer")</f>
        <v>Rebalancer</v>
      </c>
      <c r="B870" t="str">
        <f>IFERROR(__xludf.DUMMYFUNCTION("""COMPUTED_VALUE"""),"OperationsOnNIC")</f>
        <v>OperationsOnNIC</v>
      </c>
      <c r="C870" t="str">
        <f>IFERROR(__xludf.DUMMYFUNCTION("""COMPUTED_VALUE"""),"1DUwxSUq_47EK60XmK3LOdCXa1fkWqWJE9bLuGS3ccv412")</f>
        <v>1DUwxSUq_47EK60XmK3LOdCXa1fkWqWJE9bLuGS3ccv412</v>
      </c>
    </row>
    <row r="871" ht="15.75" customHeight="1">
      <c r="A871" t="str">
        <f>IFERROR(__xludf.DUMMYFUNCTION("""COMPUTED_VALUE"""),"Rebalancer")</f>
        <v>Rebalancer</v>
      </c>
      <c r="B871" t="str">
        <f>IFERROR(__xludf.DUMMYFUNCTION("""COMPUTED_VALUE"""),"DataPrefGridOperation")</f>
        <v>DataPrefGridOperation</v>
      </c>
      <c r="C871" t="str">
        <f>IFERROR(__xludf.DUMMYFUNCTION("""COMPUTED_VALUE"""),"1DUwxSUq_47EK60XmK3LOdCXa1fkWqWJE9bLuGS3ccv412")</f>
        <v>1DUwxSUq_47EK60XmK3LOdCXa1fkWqWJE9bLuGS3ccv412</v>
      </c>
    </row>
    <row r="872" ht="15.75" customHeight="1">
      <c r="A872" t="str">
        <f>IFERROR(__xludf.DUMMYFUNCTION("""COMPUTED_VALUE"""),"Rebalancer")</f>
        <v>Rebalancer</v>
      </c>
      <c r="B872" t="str">
        <f>IFERROR(__xludf.DUMMYFUNCTION("""COMPUTED_VALUE"""),"VerifyExpanderBarButton")</f>
        <v>VerifyExpanderBarButton</v>
      </c>
      <c r="C872" t="str">
        <f>IFERROR(__xludf.DUMMYFUNCTION("""COMPUTED_VALUE"""),"1DUwxSUq_47EK60XmK3LOdCXa1fkWqWJE9bLuGS3ccv412")</f>
        <v>1DUwxSUq_47EK60XmK3LOdCXa1fkWqWJE9bLuGS3ccv412</v>
      </c>
    </row>
    <row r="873" ht="15.75" customHeight="1">
      <c r="A873" t="str">
        <f>IFERROR(__xludf.DUMMYFUNCTION("""COMPUTED_VALUE"""),"Rebalancer")</f>
        <v>Rebalancer</v>
      </c>
      <c r="B873" t="str">
        <f>IFERROR(__xludf.DUMMYFUNCTION("""COMPUTED_VALUE"""),"RAS")</f>
        <v>RAS</v>
      </c>
      <c r="C873" t="str">
        <f>IFERROR(__xludf.DUMMYFUNCTION("""COMPUTED_VALUE"""),"1DUwxSUq_47EK60XmK3LOdCXa1fkWqWJE9bLuGS3ccv412")</f>
        <v>1DUwxSUq_47EK60XmK3LOdCXa1fkWqWJE9bLuGS3ccv412</v>
      </c>
    </row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 t="str">
        <f>IFERROR(__xludf.DUMMYFUNCTION("""COMPUTED_VALUE"""),"VerifyTradeSummary")</f>
        <v>VerifyTradeSummary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IFERROR(__xludf.DUMMYFUNCTION("""COMPUTED_VALUE"""),"Master Funds")</f>
        <v>Master Funds</v>
      </c>
      <c r="K5" s="28" t="str">
        <f>IFERROR(__xludf.DUMMYFUNCTION("""COMPUTED_VALUE"""),"Round Lots")</f>
        <v>Round Lots</v>
      </c>
      <c r="L5" s="28" t="str">
        <f>IFERROR(__xludf.DUMMYFUNCTION("""COMPUTED_VALUE"""),"Use Custodian Broker")</f>
        <v>Use Custodian Broker</v>
      </c>
      <c r="M5" s="28" t="str">
        <f>IFERROR(__xludf.DUMMYFUNCTION("""COMPUTED_VALUE"""),"Broker")</f>
        <v>Broker</v>
      </c>
      <c r="N5" s="28" t="str">
        <f>IFERROR(__xludf.DUMMYFUNCTION("""COMPUTED_VALUE"""),"Venue")</f>
        <v>Venue</v>
      </c>
      <c r="O5" s="28" t="str">
        <f>IFERROR(__xludf.DUMMYFUNCTION("""COMPUTED_VALUE"""),"TIF")</f>
        <v>TIF</v>
      </c>
      <c r="P5" s="28" t="str">
        <f>IFERROR(__xludf.DUMMYFUNCTION("""COMPUTED_VALUE"""),"Order Type")</f>
        <v>Order Type</v>
      </c>
      <c r="Q5" s="28" t="str">
        <f>IFERROR(__xludf.DUMMYFUNCTION("""COMPUTED_VALUE"""),"Stop")</f>
        <v>Stop</v>
      </c>
      <c r="R5" s="28" t="str">
        <f>IFERROR(__xludf.DUMMYFUNCTION("""COMPUTED_VALUE"""),"Limit")</f>
        <v>Limit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17</v>
      </c>
      <c r="D6" s="13" t="s">
        <v>18</v>
      </c>
      <c r="E6" s="13">
        <v>10.0</v>
      </c>
      <c r="F6" s="13">
        <v>10.0</v>
      </c>
      <c r="G6" s="13" t="s">
        <v>19</v>
      </c>
      <c r="H6" s="13" t="s">
        <v>20</v>
      </c>
      <c r="I6" s="13" t="s">
        <v>21</v>
      </c>
      <c r="J6" s="8"/>
      <c r="K6" s="13" t="s">
        <v>22</v>
      </c>
      <c r="L6" s="8"/>
      <c r="M6" s="8"/>
      <c r="N6" s="8"/>
      <c r="O6" s="8"/>
      <c r="P6" s="9" t="s">
        <v>23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CalculatePTT!$4:$4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 t="str">
        <f>IFERROR(__xludf.DUMMYFUNCTION("""COMPUTED_VALUE"""),"VerifyTradeSummary")</f>
        <v>VerifyTradeSummary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IFERROR(__xludf.DUMMYFUNCTION("""COMPUTED_VALUE"""),"Account NAV")</f>
        <v>Account NAV</v>
      </c>
      <c r="D5" s="28" t="str">
        <f>IFERROR(__xludf.DUMMYFUNCTION("""COMPUTED_VALUE"""),"Starting Position")</f>
        <v>Starting Position</v>
      </c>
      <c r="E5" s="28" t="str">
        <f>IFERROR(__xludf.DUMMYFUNCTION("""COMPUTED_VALUE"""),"Starting Value")</f>
        <v>Starting Value</v>
      </c>
      <c r="F5" s="29" t="str">
        <f>IFERROR(__xludf.DUMMYFUNCTION("""COMPUTED_VALUE"""),"Starting %")</f>
        <v>Starting %</v>
      </c>
      <c r="G5" s="28" t="str">
        <f>IFERROR(__xludf.DUMMYFUNCTION("""COMPUTED_VALUE"""),"% Change")</f>
        <v>% Change</v>
      </c>
      <c r="H5" s="28" t="str">
        <f>IFERROR(__xludf.DUMMYFUNCTION("""COMPUTED_VALUE"""),"Ending %")</f>
        <v>Ending %</v>
      </c>
      <c r="I5" s="28" t="str">
        <f>IFERROR(__xludf.DUMMYFUNCTION("""COMPUTED_VALUE"""),"Trade Quantity")</f>
        <v>Trade Quantity</v>
      </c>
      <c r="J5" s="28" t="str">
        <f>IFERROR(__xludf.DUMMYFUNCTION("""COMPUTED_VALUE"""),"Ending Position")</f>
        <v>Ending Position</v>
      </c>
      <c r="K5" s="28" t="str">
        <f>IFERROR(__xludf.DUMMYFUNCTION("""COMPUTED_VALUE"""),"Ending Value")</f>
        <v>Ending Value</v>
      </c>
      <c r="L5" s="28" t="str">
        <f>IFERROR(__xludf.DUMMYFUNCTION("""COMPUTED_VALUE"""),"% Allocation")</f>
        <v>% Allocation</v>
      </c>
      <c r="M5" s="28" t="str">
        <f>IFERROR(__xludf.DUMMYFUNCTION("""COMPUTED_VALUE"""),"Fx Rate")</f>
        <v>Fx Rate</v>
      </c>
      <c r="N5" s="28" t="str">
        <f>IFERROR(__xludf.DUMMYFUNCTION("""COMPUTED_VALUE"""),"Starting BP")</f>
        <v>Starting BP</v>
      </c>
      <c r="O5" s="28" t="str">
        <f>IFERROR(__xludf.DUMMYFUNCTION("""COMPUTED_VALUE"""),"BP Change")</f>
        <v>BP Change</v>
      </c>
      <c r="P5" s="28" t="str">
        <f>IFERROR(__xludf.DUMMYFUNCTION("""COMPUTED_VALUE"""),"Ending BP")</f>
        <v>Ending BP</v>
      </c>
      <c r="Q5" s="28" t="str">
        <f>IFERROR(__xludf.DUMMYFUNCTION("""COMPUTED_VALUE"""),"MasterFund Name")</f>
        <v>MasterFund Name</v>
      </c>
      <c r="R5" s="28" t="str">
        <f>IFERROR(__xludf.DUMMYFUNCTION("""COMPUTED_VALUE"""),"Order Side")</f>
        <v>Order Side</v>
      </c>
      <c r="S5" s="28" t="str">
        <f>IFERROR(__xludf.DUMMYFUNCTION("""COMPUTED_VALUE"""),"Round Lots")</f>
        <v>Round Lots</v>
      </c>
      <c r="T5" s="30" t="str">
        <f>IFERROR(__xludf.DUMMYFUNCTION("""COMPUTED_VALUE"""),"Verify RoundLots In Input Parameters")</f>
        <v>Verify RoundLots In Input Parameters</v>
      </c>
      <c r="U5" s="30" t="str">
        <f>IFERROR(__xludf.DUMMYFUNCTION("""COMPUTED_VALUE"""),"Change Amt")</f>
        <v>Change Amt</v>
      </c>
      <c r="V5" s="30" t="str">
        <f>IFERROR(__xludf.DUMMYFUNCTION("""COMPUTED_VALUE"""),"Group")</f>
        <v>Group</v>
      </c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25</v>
      </c>
      <c r="C6" s="13">
        <v>4572156.9</v>
      </c>
      <c r="D6" s="13">
        <v>1200.0</v>
      </c>
      <c r="E6" s="13">
        <v>120000.26</v>
      </c>
      <c r="G6" s="13">
        <v>-10.0</v>
      </c>
      <c r="H6" s="13">
        <v>-9.74</v>
      </c>
      <c r="I6" s="13">
        <v>1.20044521E8</v>
      </c>
      <c r="J6" s="13">
        <v>-44521.0</v>
      </c>
      <c r="K6" s="13">
        <v>-445210.0</v>
      </c>
      <c r="L6" s="13" t="s">
        <v>26</v>
      </c>
      <c r="M6" s="8"/>
      <c r="N6" s="8"/>
      <c r="O6" s="8"/>
      <c r="R6" s="9" t="s">
        <v>27</v>
      </c>
    </row>
    <row r="7" ht="15.75" customHeight="1">
      <c r="A7" s="8"/>
      <c r="B7" s="13" t="s">
        <v>28</v>
      </c>
      <c r="C7" s="13">
        <v>5569100.0</v>
      </c>
      <c r="D7" s="13">
        <v>900.0</v>
      </c>
      <c r="E7" s="13">
        <v>90000.16</v>
      </c>
      <c r="G7" s="13">
        <v>-10.0</v>
      </c>
      <c r="H7" s="13">
        <v>-9.84</v>
      </c>
      <c r="I7" s="13">
        <v>9.0054791E7</v>
      </c>
      <c r="J7" s="13">
        <v>-54791.0</v>
      </c>
      <c r="K7" s="13">
        <v>-547910.0</v>
      </c>
      <c r="L7" s="13" t="s">
        <v>29</v>
      </c>
      <c r="M7" s="8"/>
      <c r="N7" s="8"/>
      <c r="O7" s="8"/>
      <c r="R7" s="9" t="s">
        <v>27</v>
      </c>
    </row>
    <row r="8" ht="15.75" customHeight="1">
      <c r="A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VerifyPTT!$4:$4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 t="str">
        <f>IFERROR(__xludf.DUMMYFUNCTION("""COMPUTED_VALUE"""),"VerifyTradeSummary")</f>
        <v>VerifyTradeSummary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IFERROR(__xludf.DUMMYFUNCTION("""COMPUTED_VALUE"""),"Alert Type")</f>
        <v>Alert Type</v>
      </c>
      <c r="C5" s="28" t="str">
        <f>IFERROR(__xludf.DUMMYFUNCTION("""COMPUTED_VALUE"""),"Rule Name")</f>
        <v>Rule Name</v>
      </c>
      <c r="D5" s="28" t="str">
        <f>IFERROR(__xludf.DUMMYFUNCTION("""COMPUTED_VALUE"""),"Description of Rule")</f>
        <v>Description of Rule</v>
      </c>
      <c r="E5" s="28" t="str">
        <f>IFERROR(__xludf.DUMMYFUNCTION("""COMPUTED_VALUE"""),"Dimensions")</f>
        <v>Dimensions</v>
      </c>
      <c r="F5" s="29" t="str">
        <f>IFERROR(__xludf.DUMMYFUNCTION("""COMPUTED_VALUE"""),"Threshold")</f>
        <v>Threshold</v>
      </c>
      <c r="G5" s="28" t="str">
        <f>IFERROR(__xludf.DUMMYFUNCTION("""COMPUTED_VALUE"""),"Actual Result")</f>
        <v>Actual Result</v>
      </c>
      <c r="H5" s="28" t="str">
        <f>IFERROR(__xludf.DUMMYFUNCTION("""COMPUTED_VALUE"""),"Comments")</f>
        <v>Comments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31</v>
      </c>
      <c r="C6" s="13" t="s">
        <v>32</v>
      </c>
      <c r="D6" s="13" t="s">
        <v>33</v>
      </c>
      <c r="E6" s="13" t="s">
        <v>34</v>
      </c>
      <c r="F6" s="31">
        <v>1200.0</v>
      </c>
      <c r="G6" s="31">
        <v>-43322.0</v>
      </c>
      <c r="H6" s="13" t="s">
        <v>35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13" t="s">
        <v>31</v>
      </c>
      <c r="C7" s="13" t="s">
        <v>32</v>
      </c>
      <c r="D7" s="13" t="s">
        <v>33</v>
      </c>
      <c r="E7" s="13" t="s">
        <v>36</v>
      </c>
      <c r="F7" s="13">
        <v>900.0</v>
      </c>
      <c r="G7" s="31">
        <v>-53890.0</v>
      </c>
      <c r="H7" s="13" t="s">
        <v>37</v>
      </c>
      <c r="I7" s="8"/>
      <c r="J7" s="8"/>
      <c r="K7" s="8"/>
      <c r="L7" s="8"/>
      <c r="M7" s="8"/>
      <c r="N7" s="8"/>
      <c r="O7" s="8"/>
    </row>
    <row r="8" ht="15.75" customHeight="1">
      <c r="A8" s="8"/>
      <c r="B8" s="13" t="s">
        <v>31</v>
      </c>
      <c r="C8" s="13" t="s">
        <v>38</v>
      </c>
      <c r="D8" s="13" t="s">
        <v>39</v>
      </c>
      <c r="E8" s="13" t="s">
        <v>16</v>
      </c>
      <c r="F8" s="13">
        <v>100.0</v>
      </c>
      <c r="G8" s="13">
        <v>900.0</v>
      </c>
      <c r="H8" s="13" t="s">
        <v>40</v>
      </c>
      <c r="I8" s="8"/>
      <c r="J8" s="8"/>
      <c r="K8" s="8"/>
      <c r="L8" s="8"/>
      <c r="M8" s="8"/>
      <c r="N8" s="8"/>
      <c r="O8" s="8"/>
    </row>
    <row r="9" ht="15.75" customHeight="1">
      <c r="A9" s="8"/>
      <c r="B9" s="13" t="s">
        <v>31</v>
      </c>
      <c r="C9" s="13" t="s">
        <v>41</v>
      </c>
      <c r="D9" s="13" t="s">
        <v>39</v>
      </c>
      <c r="E9" s="13" t="s">
        <v>16</v>
      </c>
      <c r="F9" s="31">
        <v>1000.0</v>
      </c>
      <c r="G9" s="31">
        <v>1200.0</v>
      </c>
      <c r="H9" s="13" t="s">
        <v>42</v>
      </c>
      <c r="I9" s="8"/>
      <c r="J9" s="8"/>
      <c r="K9" s="8"/>
      <c r="L9" s="8"/>
      <c r="M9" s="8"/>
      <c r="N9" s="8"/>
      <c r="O9" s="8"/>
    </row>
    <row r="10" ht="15.75" customHeight="1">
      <c r="A10" s="8"/>
      <c r="B10" s="13" t="s">
        <v>31</v>
      </c>
      <c r="C10" s="13" t="s">
        <v>38</v>
      </c>
      <c r="D10" s="13" t="s">
        <v>39</v>
      </c>
      <c r="E10" s="13" t="s">
        <v>16</v>
      </c>
      <c r="F10" s="13">
        <v>100.0</v>
      </c>
      <c r="G10" s="31">
        <v>1200.0</v>
      </c>
      <c r="H10" s="13" t="s">
        <v>42</v>
      </c>
      <c r="I10" s="8"/>
      <c r="J10" s="8"/>
      <c r="K10" s="8"/>
      <c r="L10" s="8"/>
      <c r="M10" s="8"/>
      <c r="N10" s="8"/>
      <c r="O10" s="8"/>
    </row>
    <row r="11" ht="15.75" customHeight="1">
      <c r="A11" s="8"/>
      <c r="B11" s="13" t="s">
        <v>31</v>
      </c>
      <c r="C11" s="13" t="s">
        <v>41</v>
      </c>
      <c r="D11" s="13" t="s">
        <v>39</v>
      </c>
      <c r="E11" s="13" t="s">
        <v>16</v>
      </c>
      <c r="F11" s="31">
        <v>1000.0</v>
      </c>
      <c r="G11" s="31">
        <v>44522.0</v>
      </c>
      <c r="H11" s="13" t="s">
        <v>43</v>
      </c>
      <c r="I11" s="8"/>
      <c r="J11" s="8"/>
      <c r="K11" s="8"/>
      <c r="L11" s="8"/>
      <c r="M11" s="8"/>
      <c r="N11" s="8"/>
      <c r="O11" s="8"/>
    </row>
    <row r="12" ht="15.75" customHeight="1">
      <c r="A12" s="8"/>
      <c r="B12" s="13" t="s">
        <v>31</v>
      </c>
      <c r="C12" s="13" t="s">
        <v>38</v>
      </c>
      <c r="D12" s="13" t="s">
        <v>39</v>
      </c>
      <c r="E12" s="13" t="s">
        <v>16</v>
      </c>
      <c r="F12" s="13">
        <v>100.0</v>
      </c>
      <c r="G12" s="31">
        <v>44522.0</v>
      </c>
      <c r="H12" s="13" t="s">
        <v>43</v>
      </c>
      <c r="I12" s="8"/>
      <c r="J12" s="8"/>
      <c r="K12" s="8"/>
      <c r="L12" s="8"/>
      <c r="M12" s="8"/>
      <c r="N12" s="8"/>
      <c r="O12" s="8"/>
    </row>
    <row r="13" ht="15.75" customHeight="1">
      <c r="A13" s="8"/>
      <c r="B13" s="13" t="s">
        <v>31</v>
      </c>
      <c r="C13" s="13" t="s">
        <v>41</v>
      </c>
      <c r="D13" s="13" t="s">
        <v>39</v>
      </c>
      <c r="E13" s="13" t="s">
        <v>16</v>
      </c>
      <c r="F13" s="31">
        <v>1000.0</v>
      </c>
      <c r="G13" s="31">
        <v>54790.0</v>
      </c>
      <c r="H13" s="13" t="s">
        <v>44</v>
      </c>
      <c r="I13" s="8"/>
      <c r="J13" s="8"/>
      <c r="K13" s="8"/>
      <c r="L13" s="8"/>
      <c r="M13" s="8"/>
      <c r="N13" s="8"/>
      <c r="O13" s="8"/>
    </row>
    <row r="14" ht="15.75" customHeight="1">
      <c r="A14" s="8"/>
      <c r="B14" s="13" t="s">
        <v>31</v>
      </c>
      <c r="C14" s="13" t="s">
        <v>38</v>
      </c>
      <c r="D14" s="13" t="s">
        <v>39</v>
      </c>
      <c r="E14" s="13" t="s">
        <v>16</v>
      </c>
      <c r="F14" s="13">
        <v>100.0</v>
      </c>
      <c r="G14" s="31">
        <v>54790.0</v>
      </c>
      <c r="H14" s="13" t="s">
        <v>44</v>
      </c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VerifyPTTCompliance!$4:$4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 t="str">
        <f>IFERROR(__xludf.DUMMYFUNCTION("""COMPUTED_VALUE"""),"VerifyTradeSummary")</f>
        <v>VerifyTradeSummary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IFERROR(__xludf.DUMMYFUNCTION("""COMPUTED_VALUE"""),"Master Funds")</f>
        <v>Master Funds</v>
      </c>
      <c r="K5" s="28" t="str">
        <f>IFERROR(__xludf.DUMMYFUNCTION("""COMPUTED_VALUE"""),"Round Lots")</f>
        <v>Round Lots</v>
      </c>
      <c r="L5" s="28" t="str">
        <f>IFERROR(__xludf.DUMMYFUNCTION("""COMPUTED_VALUE"""),"Use Custodian Broker")</f>
        <v>Use Custodian Broker</v>
      </c>
      <c r="M5" s="28" t="str">
        <f>IFERROR(__xludf.DUMMYFUNCTION("""COMPUTED_VALUE"""),"Broker")</f>
        <v>Broker</v>
      </c>
      <c r="N5" s="28" t="str">
        <f>IFERROR(__xludf.DUMMYFUNCTION("""COMPUTED_VALUE"""),"Venue")</f>
        <v>Venue</v>
      </c>
      <c r="O5" s="28" t="str">
        <f>IFERROR(__xludf.DUMMYFUNCTION("""COMPUTED_VALUE"""),"TIF")</f>
        <v>TIF</v>
      </c>
      <c r="P5" s="28" t="str">
        <f>IFERROR(__xludf.DUMMYFUNCTION("""COMPUTED_VALUE"""),"Order Type")</f>
        <v>Order Type</v>
      </c>
      <c r="Q5" s="28" t="str">
        <f>IFERROR(__xludf.DUMMYFUNCTION("""COMPUTED_VALUE"""),"Stop")</f>
        <v>Stop</v>
      </c>
      <c r="R5" s="28" t="str">
        <f>IFERROR(__xludf.DUMMYFUNCTION("""COMPUTED_VALUE"""),"Limit")</f>
        <v>Limit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17</v>
      </c>
      <c r="D6" s="13" t="s">
        <v>18</v>
      </c>
      <c r="E6" s="13">
        <v>10.0</v>
      </c>
      <c r="F6" s="13">
        <v>10.0</v>
      </c>
      <c r="G6" s="13" t="s">
        <v>19</v>
      </c>
      <c r="H6" s="13" t="s">
        <v>45</v>
      </c>
      <c r="I6" s="13"/>
      <c r="J6" s="13" t="s">
        <v>46</v>
      </c>
      <c r="K6" s="13" t="s">
        <v>22</v>
      </c>
      <c r="L6" s="8"/>
      <c r="M6" s="8"/>
      <c r="N6" s="8"/>
      <c r="O6" s="8"/>
      <c r="P6" s="9" t="s">
        <v>23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CalculatePTT1!$4:$4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 t="str">
        <f>IFERROR(__xludf.DUMMYFUNCTION("""COMPUTED_VALUE"""),"VerifyTradeSummary")</f>
        <v>VerifyTradeSummary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IFERROR(__xludf.DUMMYFUNCTION("""COMPUTED_VALUE"""),"Account NAV")</f>
        <v>Account NAV</v>
      </c>
      <c r="D5" s="28" t="str">
        <f>IFERROR(__xludf.DUMMYFUNCTION("""COMPUTED_VALUE"""),"Starting Position")</f>
        <v>Starting Position</v>
      </c>
      <c r="E5" s="28" t="str">
        <f>IFERROR(__xludf.DUMMYFUNCTION("""COMPUTED_VALUE"""),"Starting Value")</f>
        <v>Starting Value</v>
      </c>
      <c r="F5" s="29" t="str">
        <f>IFERROR(__xludf.DUMMYFUNCTION("""COMPUTED_VALUE"""),"Starting %")</f>
        <v>Starting %</v>
      </c>
      <c r="G5" s="28" t="str">
        <f>IFERROR(__xludf.DUMMYFUNCTION("""COMPUTED_VALUE"""),"% Change")</f>
        <v>% Change</v>
      </c>
      <c r="H5" s="28" t="str">
        <f>IFERROR(__xludf.DUMMYFUNCTION("""COMPUTED_VALUE"""),"Ending %")</f>
        <v>Ending %</v>
      </c>
      <c r="I5" s="28" t="str">
        <f>IFERROR(__xludf.DUMMYFUNCTION("""COMPUTED_VALUE"""),"Trade Quantity")</f>
        <v>Trade Quantity</v>
      </c>
      <c r="J5" s="28" t="str">
        <f>IFERROR(__xludf.DUMMYFUNCTION("""COMPUTED_VALUE"""),"Ending Position")</f>
        <v>Ending Position</v>
      </c>
      <c r="K5" s="28" t="str">
        <f>IFERROR(__xludf.DUMMYFUNCTION("""COMPUTED_VALUE"""),"Ending Value")</f>
        <v>Ending Value</v>
      </c>
      <c r="L5" s="28" t="str">
        <f>IFERROR(__xludf.DUMMYFUNCTION("""COMPUTED_VALUE"""),"% Allocation")</f>
        <v>% Allocation</v>
      </c>
      <c r="M5" s="28" t="str">
        <f>IFERROR(__xludf.DUMMYFUNCTION("""COMPUTED_VALUE"""),"Fx Rate")</f>
        <v>Fx Rate</v>
      </c>
      <c r="N5" s="28" t="str">
        <f>IFERROR(__xludf.DUMMYFUNCTION("""COMPUTED_VALUE"""),"Starting BP")</f>
        <v>Starting BP</v>
      </c>
      <c r="O5" s="28" t="str">
        <f>IFERROR(__xludf.DUMMYFUNCTION("""COMPUTED_VALUE"""),"BP Change")</f>
        <v>BP Change</v>
      </c>
      <c r="P5" s="28" t="str">
        <f>IFERROR(__xludf.DUMMYFUNCTION("""COMPUTED_VALUE"""),"Ending BP")</f>
        <v>Ending BP</v>
      </c>
      <c r="Q5" s="28" t="str">
        <f>IFERROR(__xludf.DUMMYFUNCTION("""COMPUTED_VALUE"""),"MasterFund Name")</f>
        <v>MasterFund Name</v>
      </c>
      <c r="R5" s="28" t="str">
        <f>IFERROR(__xludf.DUMMYFUNCTION("""COMPUTED_VALUE"""),"Order Side")</f>
        <v>Order Side</v>
      </c>
      <c r="S5" s="28" t="str">
        <f>IFERROR(__xludf.DUMMYFUNCTION("""COMPUTED_VALUE"""),"Round Lots")</f>
        <v>Round Lots</v>
      </c>
      <c r="T5" s="30" t="str">
        <f>IFERROR(__xludf.DUMMYFUNCTION("""COMPUTED_VALUE"""),"Verify RoundLots In Input Parameters")</f>
        <v>Verify RoundLots In Input Parameters</v>
      </c>
      <c r="U5" s="30" t="str">
        <f>IFERROR(__xludf.DUMMYFUNCTION("""COMPUTED_VALUE"""),"Change Amt")</f>
        <v>Change Amt</v>
      </c>
      <c r="V5" s="30" t="str">
        <f>IFERROR(__xludf.DUMMYFUNCTION("""COMPUTED_VALUE"""),"Group")</f>
        <v>Group</v>
      </c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28</v>
      </c>
      <c r="C6" s="13">
        <v>5569100.0</v>
      </c>
      <c r="D6" s="13">
        <v>900.0</v>
      </c>
      <c r="E6" s="13">
        <v>90000.09</v>
      </c>
      <c r="F6" s="8"/>
      <c r="G6" s="13">
        <v>-4.29</v>
      </c>
      <c r="H6" s="13">
        <v>-4.2</v>
      </c>
      <c r="I6" s="13">
        <v>9.0042562E7</v>
      </c>
      <c r="J6" s="13">
        <v>-56750.0</v>
      </c>
      <c r="K6" s="13">
        <v>-425620.0</v>
      </c>
      <c r="L6" s="13" t="s">
        <v>47</v>
      </c>
      <c r="M6" s="8"/>
      <c r="N6" s="8"/>
      <c r="O6" s="8"/>
      <c r="R6" s="9" t="s">
        <v>27</v>
      </c>
    </row>
    <row r="7" ht="15.75" customHeight="1">
      <c r="A7" s="8"/>
      <c r="B7" s="13" t="s">
        <v>25</v>
      </c>
      <c r="C7" s="13">
        <v>4572156.9</v>
      </c>
      <c r="D7" s="13">
        <v>1200.0</v>
      </c>
      <c r="E7" s="13">
        <v>120000.12</v>
      </c>
      <c r="F7" s="8"/>
      <c r="G7" s="13">
        <v>-5.71</v>
      </c>
      <c r="H7" s="13">
        <v>-5.6</v>
      </c>
      <c r="I7" s="13">
        <v>1.2005675E8</v>
      </c>
      <c r="J7" s="13">
        <v>-93753.0</v>
      </c>
      <c r="K7" s="13">
        <v>-567500.0</v>
      </c>
      <c r="L7" s="13" t="s">
        <v>48</v>
      </c>
      <c r="M7" s="8"/>
      <c r="N7" s="8"/>
      <c r="O7" s="8"/>
      <c r="R7" s="9" t="s">
        <v>27</v>
      </c>
    </row>
    <row r="8" ht="15.75" customHeight="1">
      <c r="A8" s="8"/>
      <c r="B8" s="13" t="s">
        <v>49</v>
      </c>
      <c r="C8" s="13">
        <v>980150.0</v>
      </c>
      <c r="D8" s="13">
        <v>-300.0</v>
      </c>
      <c r="E8" s="32" t="s">
        <v>50</v>
      </c>
      <c r="F8" s="8"/>
      <c r="G8" s="13">
        <v>-10.0</v>
      </c>
      <c r="H8" s="13">
        <v>-10.1</v>
      </c>
      <c r="I8" s="13">
        <v>31351.0</v>
      </c>
      <c r="J8" s="13">
        <v>-31651.0</v>
      </c>
      <c r="K8" s="13">
        <v>-316510.0</v>
      </c>
      <c r="L8" s="33">
        <v>100.0</v>
      </c>
      <c r="M8" s="8"/>
      <c r="N8" s="8"/>
      <c r="O8" s="8"/>
      <c r="R8" s="9" t="s">
        <v>51</v>
      </c>
    </row>
    <row r="9" ht="15.75" customHeight="1">
      <c r="A9" s="8"/>
      <c r="B9" s="13" t="s">
        <v>52</v>
      </c>
      <c r="C9" s="13">
        <v>2154975.0</v>
      </c>
      <c r="D9" s="13">
        <v>600.0</v>
      </c>
      <c r="E9" s="13">
        <v>60000.19</v>
      </c>
      <c r="F9" s="8"/>
      <c r="G9" s="13">
        <v>-20.0</v>
      </c>
      <c r="H9" s="13">
        <v>-19.81</v>
      </c>
      <c r="I9" s="13">
        <v>6.0062102E7</v>
      </c>
      <c r="J9" s="13">
        <v>-62102.0</v>
      </c>
      <c r="K9" s="13">
        <v>-621020.0</v>
      </c>
      <c r="L9" s="13" t="s">
        <v>53</v>
      </c>
      <c r="M9" s="8"/>
      <c r="N9" s="8"/>
      <c r="O9" s="8"/>
      <c r="R9" s="9" t="s">
        <v>27</v>
      </c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VerifyPTT1!$4:$4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 t="str">
        <f>IFERROR(__xludf.DUMMYFUNCTION("""COMPUTED_VALUE"""),"VerifyTradeSummary")</f>
        <v>VerifyTradeSummary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IFERROR(__xludf.DUMMYFUNCTION("""COMPUTED_VALUE"""),"Alert Type")</f>
        <v>Alert Type</v>
      </c>
      <c r="C5" s="28" t="str">
        <f>IFERROR(__xludf.DUMMYFUNCTION("""COMPUTED_VALUE"""),"Rule Name")</f>
        <v>Rule Name</v>
      </c>
      <c r="D5" s="28" t="str">
        <f>IFERROR(__xludf.DUMMYFUNCTION("""COMPUTED_VALUE"""),"Description of Rule")</f>
        <v>Description of Rule</v>
      </c>
      <c r="E5" s="28" t="str">
        <f>IFERROR(__xludf.DUMMYFUNCTION("""COMPUTED_VALUE"""),"Dimensions")</f>
        <v>Dimensions</v>
      </c>
      <c r="F5" s="29" t="str">
        <f>IFERROR(__xludf.DUMMYFUNCTION("""COMPUTED_VALUE"""),"Threshold")</f>
        <v>Threshold</v>
      </c>
      <c r="G5" s="28" t="str">
        <f>IFERROR(__xludf.DUMMYFUNCTION("""COMPUTED_VALUE"""),"Actual Result")</f>
        <v>Actual Result</v>
      </c>
      <c r="H5" s="28" t="str">
        <f>IFERROR(__xludf.DUMMYFUNCTION("""COMPUTED_VALUE"""),"Comments")</f>
        <v>Comments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4" t="s">
        <v>31</v>
      </c>
      <c r="C6" s="35" t="s">
        <v>38</v>
      </c>
      <c r="D6" s="35" t="s">
        <v>39</v>
      </c>
      <c r="E6" s="35" t="s">
        <v>16</v>
      </c>
      <c r="F6" s="35">
        <v>100.0</v>
      </c>
      <c r="G6" s="36">
        <v>133.0</v>
      </c>
      <c r="H6" s="35" t="s">
        <v>54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34" t="s">
        <v>31</v>
      </c>
      <c r="C7" s="37" t="s">
        <v>38</v>
      </c>
      <c r="D7" s="37" t="s">
        <v>39</v>
      </c>
      <c r="E7" s="37" t="s">
        <v>16</v>
      </c>
      <c r="F7" s="37">
        <v>100.0</v>
      </c>
      <c r="G7" s="38">
        <v>600.0</v>
      </c>
      <c r="H7" s="37" t="s">
        <v>55</v>
      </c>
      <c r="I7" s="8"/>
      <c r="J7" s="8"/>
      <c r="K7" s="8"/>
      <c r="L7" s="8"/>
      <c r="M7" s="8"/>
      <c r="N7" s="8"/>
      <c r="O7" s="8"/>
    </row>
    <row r="8" ht="15.75" customHeight="1">
      <c r="A8" s="8"/>
      <c r="B8" s="34" t="s">
        <v>31</v>
      </c>
      <c r="C8" s="35" t="s">
        <v>38</v>
      </c>
      <c r="D8" s="35" t="s">
        <v>39</v>
      </c>
      <c r="E8" s="35" t="s">
        <v>16</v>
      </c>
      <c r="F8" s="36">
        <v>100.0</v>
      </c>
      <c r="G8" s="36">
        <v>900.0</v>
      </c>
      <c r="H8" s="35" t="s">
        <v>40</v>
      </c>
      <c r="I8" s="8"/>
      <c r="J8" s="8"/>
      <c r="K8" s="8"/>
      <c r="L8" s="8"/>
      <c r="M8" s="8"/>
      <c r="N8" s="8"/>
      <c r="O8" s="8"/>
    </row>
    <row r="9" ht="15.75" customHeight="1">
      <c r="A9" s="8"/>
      <c r="B9" s="34" t="s">
        <v>31</v>
      </c>
      <c r="C9" s="37" t="s">
        <v>41</v>
      </c>
      <c r="D9" s="37" t="s">
        <v>39</v>
      </c>
      <c r="E9" s="37" t="s">
        <v>16</v>
      </c>
      <c r="F9" s="38">
        <v>1000.0</v>
      </c>
      <c r="G9" s="38">
        <v>1200.0</v>
      </c>
      <c r="H9" s="37" t="s">
        <v>42</v>
      </c>
      <c r="I9" s="8"/>
      <c r="J9" s="8"/>
      <c r="K9" s="8"/>
      <c r="L9" s="8"/>
      <c r="M9" s="8"/>
      <c r="N9" s="8"/>
      <c r="O9" s="8"/>
    </row>
    <row r="10" ht="15.75" customHeight="1">
      <c r="A10" s="8"/>
      <c r="B10" s="34" t="s">
        <v>31</v>
      </c>
      <c r="C10" s="35" t="s">
        <v>38</v>
      </c>
      <c r="D10" s="35" t="s">
        <v>39</v>
      </c>
      <c r="E10" s="35" t="s">
        <v>16</v>
      </c>
      <c r="F10" s="36">
        <v>100.0</v>
      </c>
      <c r="G10" s="36">
        <v>1200.0</v>
      </c>
      <c r="H10" s="35" t="s">
        <v>42</v>
      </c>
      <c r="I10" s="8"/>
      <c r="J10" s="8"/>
      <c r="K10" s="8"/>
      <c r="L10" s="8"/>
      <c r="M10" s="8"/>
      <c r="N10" s="8"/>
      <c r="O10" s="8"/>
    </row>
    <row r="11" ht="15.75" customHeight="1">
      <c r="A11" s="8"/>
      <c r="B11" s="34" t="s">
        <v>31</v>
      </c>
      <c r="C11" s="37" t="s">
        <v>41</v>
      </c>
      <c r="D11" s="37" t="s">
        <v>39</v>
      </c>
      <c r="E11" s="37" t="s">
        <v>16</v>
      </c>
      <c r="F11" s="38">
        <v>1000.0</v>
      </c>
      <c r="G11" s="38">
        <v>56750.0</v>
      </c>
      <c r="H11" s="37" t="s">
        <v>56</v>
      </c>
      <c r="I11" s="8"/>
      <c r="J11" s="8"/>
      <c r="K11" s="8"/>
      <c r="L11" s="8"/>
      <c r="M11" s="8"/>
      <c r="N11" s="8"/>
      <c r="O11" s="8"/>
    </row>
    <row r="12" ht="15.75" customHeight="1">
      <c r="A12" s="8"/>
      <c r="B12" s="34" t="s">
        <v>31</v>
      </c>
      <c r="C12" s="35" t="s">
        <v>38</v>
      </c>
      <c r="D12" s="35" t="s">
        <v>39</v>
      </c>
      <c r="E12" s="35" t="s">
        <v>16</v>
      </c>
      <c r="F12" s="36">
        <v>100.0</v>
      </c>
      <c r="G12" s="36">
        <v>56750.0</v>
      </c>
      <c r="H12" s="35" t="s">
        <v>56</v>
      </c>
      <c r="I12" s="8"/>
      <c r="J12" s="8"/>
      <c r="K12" s="8"/>
      <c r="L12" s="8"/>
      <c r="M12" s="8"/>
      <c r="N12" s="8"/>
      <c r="O12" s="8"/>
    </row>
    <row r="13" ht="15.75" customHeight="1">
      <c r="A13" s="8"/>
      <c r="B13" s="34" t="s">
        <v>31</v>
      </c>
      <c r="C13" s="37" t="s">
        <v>41</v>
      </c>
      <c r="D13" s="37" t="s">
        <v>39</v>
      </c>
      <c r="E13" s="37" t="s">
        <v>16</v>
      </c>
      <c r="F13" s="38">
        <v>1000.0</v>
      </c>
      <c r="G13" s="38">
        <v>42562.0</v>
      </c>
      <c r="H13" s="37" t="s">
        <v>57</v>
      </c>
      <c r="I13" s="8"/>
      <c r="J13" s="8"/>
      <c r="K13" s="8"/>
      <c r="L13" s="8"/>
      <c r="M13" s="8"/>
      <c r="N13" s="8"/>
      <c r="O13" s="8"/>
    </row>
    <row r="14" ht="15.75" customHeight="1">
      <c r="A14" s="8"/>
      <c r="B14" s="34" t="s">
        <v>31</v>
      </c>
      <c r="C14" s="35" t="s">
        <v>38</v>
      </c>
      <c r="D14" s="35" t="s">
        <v>39</v>
      </c>
      <c r="E14" s="35" t="s">
        <v>16</v>
      </c>
      <c r="F14" s="35">
        <v>100.0</v>
      </c>
      <c r="G14" s="36">
        <v>42562.0</v>
      </c>
      <c r="H14" s="35" t="s">
        <v>57</v>
      </c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VerifyPTTCompliance1!$4:$4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 t="str">
        <f>IFERROR(__xludf.DUMMYFUNCTION("""COMPUTED_VALUE"""),"VerifyTradeSummary")</f>
        <v>VerifyTradeSummary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IFERROR(__xludf.DUMMYFUNCTION("""COMPUTED_VALUE"""),"Master Funds")</f>
        <v>Master Funds</v>
      </c>
      <c r="K5" s="28" t="str">
        <f>IFERROR(__xludf.DUMMYFUNCTION("""COMPUTED_VALUE"""),"Round Lots")</f>
        <v>Round Lots</v>
      </c>
      <c r="L5" s="28" t="str">
        <f>IFERROR(__xludf.DUMMYFUNCTION("""COMPUTED_VALUE"""),"Use Custodian Broker")</f>
        <v>Use Custodian Broker</v>
      </c>
      <c r="M5" s="28" t="str">
        <f>IFERROR(__xludf.DUMMYFUNCTION("""COMPUTED_VALUE"""),"Broker")</f>
        <v>Broker</v>
      </c>
      <c r="N5" s="28" t="str">
        <f>IFERROR(__xludf.DUMMYFUNCTION("""COMPUTED_VALUE"""),"Venue")</f>
        <v>Venue</v>
      </c>
      <c r="O5" s="28" t="str">
        <f>IFERROR(__xludf.DUMMYFUNCTION("""COMPUTED_VALUE"""),"TIF")</f>
        <v>TIF</v>
      </c>
      <c r="P5" s="28" t="str">
        <f>IFERROR(__xludf.DUMMYFUNCTION("""COMPUTED_VALUE"""),"Order Type")</f>
        <v>Order Type</v>
      </c>
      <c r="Q5" s="28" t="str">
        <f>IFERROR(__xludf.DUMMYFUNCTION("""COMPUTED_VALUE"""),"Stop")</f>
        <v>Stop</v>
      </c>
      <c r="R5" s="28" t="str">
        <f>IFERROR(__xludf.DUMMYFUNCTION("""COMPUTED_VALUE"""),"Limit")</f>
        <v>Limit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58</v>
      </c>
      <c r="C6" s="13" t="s">
        <v>17</v>
      </c>
      <c r="D6" s="13" t="s">
        <v>18</v>
      </c>
      <c r="E6" s="13">
        <v>10.0</v>
      </c>
      <c r="F6" s="13">
        <v>10.0</v>
      </c>
      <c r="G6" s="13" t="s">
        <v>19</v>
      </c>
      <c r="H6" s="13" t="s">
        <v>20</v>
      </c>
      <c r="I6" s="13" t="s">
        <v>59</v>
      </c>
      <c r="J6" s="8"/>
      <c r="K6" s="13" t="s">
        <v>22</v>
      </c>
      <c r="L6" s="8"/>
      <c r="M6" s="8"/>
      <c r="N6" s="8"/>
      <c r="O6" s="8"/>
      <c r="P6" s="9" t="s">
        <v>23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CalculatePTT2!$4:$4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 t="str">
        <f>IFERROR(__xludf.DUMMYFUNCTION("""COMPUTED_VALUE"""),"VerifyTradeSummary")</f>
        <v>VerifyTradeSummary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IFERROR(__xludf.DUMMYFUNCTION("""COMPUTED_VALUE"""),"Account NAV")</f>
        <v>Account NAV</v>
      </c>
      <c r="D5" s="28" t="str">
        <f>IFERROR(__xludf.DUMMYFUNCTION("""COMPUTED_VALUE"""),"Starting Position")</f>
        <v>Starting Position</v>
      </c>
      <c r="E5" s="28" t="str">
        <f>IFERROR(__xludf.DUMMYFUNCTION("""COMPUTED_VALUE"""),"Starting Value")</f>
        <v>Starting Value</v>
      </c>
      <c r="F5" s="29" t="str">
        <f>IFERROR(__xludf.DUMMYFUNCTION("""COMPUTED_VALUE"""),"Starting %")</f>
        <v>Starting %</v>
      </c>
      <c r="G5" s="28" t="str">
        <f>IFERROR(__xludf.DUMMYFUNCTION("""COMPUTED_VALUE"""),"% Change")</f>
        <v>% Change</v>
      </c>
      <c r="H5" s="28" t="str">
        <f>IFERROR(__xludf.DUMMYFUNCTION("""COMPUTED_VALUE"""),"Ending %")</f>
        <v>Ending %</v>
      </c>
      <c r="I5" s="28" t="str">
        <f>IFERROR(__xludf.DUMMYFUNCTION("""COMPUTED_VALUE"""),"Trade Quantity")</f>
        <v>Trade Quantity</v>
      </c>
      <c r="J5" s="28" t="str">
        <f>IFERROR(__xludf.DUMMYFUNCTION("""COMPUTED_VALUE"""),"Ending Position")</f>
        <v>Ending Position</v>
      </c>
      <c r="K5" s="28" t="str">
        <f>IFERROR(__xludf.DUMMYFUNCTION("""COMPUTED_VALUE"""),"Ending Value")</f>
        <v>Ending Value</v>
      </c>
      <c r="L5" s="28" t="str">
        <f>IFERROR(__xludf.DUMMYFUNCTION("""COMPUTED_VALUE"""),"% Allocation")</f>
        <v>% Allocation</v>
      </c>
      <c r="M5" s="28" t="str">
        <f>IFERROR(__xludf.DUMMYFUNCTION("""COMPUTED_VALUE"""),"Fx Rate")</f>
        <v>Fx Rate</v>
      </c>
      <c r="N5" s="28" t="str">
        <f>IFERROR(__xludf.DUMMYFUNCTION("""COMPUTED_VALUE"""),"Starting BP")</f>
        <v>Starting BP</v>
      </c>
      <c r="O5" s="28" t="str">
        <f>IFERROR(__xludf.DUMMYFUNCTION("""COMPUTED_VALUE"""),"BP Change")</f>
        <v>BP Change</v>
      </c>
      <c r="P5" s="28" t="str">
        <f>IFERROR(__xludf.DUMMYFUNCTION("""COMPUTED_VALUE"""),"Ending BP")</f>
        <v>Ending BP</v>
      </c>
      <c r="Q5" s="28" t="str">
        <f>IFERROR(__xludf.DUMMYFUNCTION("""COMPUTED_VALUE"""),"MasterFund Name")</f>
        <v>MasterFund Name</v>
      </c>
      <c r="R5" s="28" t="str">
        <f>IFERROR(__xludf.DUMMYFUNCTION("""COMPUTED_VALUE"""),"Order Side")</f>
        <v>Order Side</v>
      </c>
      <c r="S5" s="28" t="str">
        <f>IFERROR(__xludf.DUMMYFUNCTION("""COMPUTED_VALUE"""),"Round Lots")</f>
        <v>Round Lots</v>
      </c>
      <c r="T5" s="30" t="str">
        <f>IFERROR(__xludf.DUMMYFUNCTION("""COMPUTED_VALUE"""),"Verify RoundLots In Input Parameters")</f>
        <v>Verify RoundLots In Input Parameters</v>
      </c>
      <c r="U5" s="30" t="str">
        <f>IFERROR(__xludf.DUMMYFUNCTION("""COMPUTED_VALUE"""),"Change Amt")</f>
        <v>Change Amt</v>
      </c>
      <c r="V5" s="30" t="str">
        <f>IFERROR(__xludf.DUMMYFUNCTION("""COMPUTED_VALUE"""),"Group")</f>
        <v>Group</v>
      </c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25</v>
      </c>
      <c r="C6" s="13">
        <v>4585640.9</v>
      </c>
      <c r="D6" s="13">
        <v>212.0</v>
      </c>
      <c r="E6" s="13">
        <v>21200.05</v>
      </c>
      <c r="F6" s="8"/>
      <c r="G6" s="13">
        <v>-10.0</v>
      </c>
      <c r="H6" s="13">
        <v>-9.95</v>
      </c>
      <c r="I6" s="13">
        <v>2.1245644E7</v>
      </c>
      <c r="J6" s="13">
        <v>-45644.0</v>
      </c>
      <c r="K6" s="13">
        <v>-456440.0</v>
      </c>
      <c r="L6" s="13" t="s">
        <v>60</v>
      </c>
      <c r="M6" s="8"/>
      <c r="N6" s="8"/>
      <c r="O6" s="8"/>
      <c r="R6" s="9" t="s">
        <v>27</v>
      </c>
    </row>
    <row r="7" ht="15.75" customHeight="1">
      <c r="A7" s="8"/>
      <c r="B7" s="13" t="s">
        <v>49</v>
      </c>
      <c r="C7" s="13">
        <v>977500.0</v>
      </c>
      <c r="D7" s="13">
        <v>50.0</v>
      </c>
      <c r="E7" s="13">
        <v>5000.05</v>
      </c>
      <c r="F7" s="8"/>
      <c r="G7" s="13">
        <v>-10.0</v>
      </c>
      <c r="H7" s="13">
        <v>-9.95</v>
      </c>
      <c r="I7" s="13">
        <v>509725.0</v>
      </c>
      <c r="J7" s="13">
        <v>-9725.0</v>
      </c>
      <c r="K7" s="13">
        <v>-97250.0</v>
      </c>
      <c r="L7" s="13" t="s">
        <v>61</v>
      </c>
      <c r="M7" s="8"/>
      <c r="N7" s="8"/>
      <c r="O7" s="8"/>
      <c r="R7" s="9" t="s">
        <v>27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VerifyPTT2!$4:$4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 t="str">
        <f>IFERROR(__xludf.DUMMYFUNCTION("""COMPUTED_VALUE"""),"VerifyTradeSummary")</f>
        <v>VerifyTradeSummary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IFERROR(__xludf.DUMMYFUNCTION("""COMPUTED_VALUE"""),"Alert Type")</f>
        <v>Alert Type</v>
      </c>
      <c r="C5" s="28" t="str">
        <f>IFERROR(__xludf.DUMMYFUNCTION("""COMPUTED_VALUE"""),"Rule Name")</f>
        <v>Rule Name</v>
      </c>
      <c r="D5" s="28" t="str">
        <f>IFERROR(__xludf.DUMMYFUNCTION("""COMPUTED_VALUE"""),"Description of Rule")</f>
        <v>Description of Rule</v>
      </c>
      <c r="E5" s="28" t="str">
        <f>IFERROR(__xludf.DUMMYFUNCTION("""COMPUTED_VALUE"""),"Dimensions")</f>
        <v>Dimensions</v>
      </c>
      <c r="F5" s="29" t="str">
        <f>IFERROR(__xludf.DUMMYFUNCTION("""COMPUTED_VALUE"""),"Threshold")</f>
        <v>Threshold</v>
      </c>
      <c r="G5" s="28" t="str">
        <f>IFERROR(__xludf.DUMMYFUNCTION("""COMPUTED_VALUE"""),"Actual Result")</f>
        <v>Actual Result</v>
      </c>
      <c r="H5" s="28" t="str">
        <f>IFERROR(__xludf.DUMMYFUNCTION("""COMPUTED_VALUE"""),"Comments")</f>
        <v>Comments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31</v>
      </c>
      <c r="C6" s="13" t="s">
        <v>32</v>
      </c>
      <c r="D6" s="13" t="s">
        <v>33</v>
      </c>
      <c r="E6" s="13" t="s">
        <v>62</v>
      </c>
      <c r="F6" s="13">
        <v>212.0</v>
      </c>
      <c r="G6" s="31">
        <v>-45434.0</v>
      </c>
      <c r="H6" s="13" t="s">
        <v>63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13" t="s">
        <v>31</v>
      </c>
      <c r="C7" s="13" t="s">
        <v>32</v>
      </c>
      <c r="D7" s="13" t="s">
        <v>33</v>
      </c>
      <c r="E7" s="13" t="s">
        <v>64</v>
      </c>
      <c r="F7" s="13">
        <v>50.0</v>
      </c>
      <c r="G7" s="31">
        <v>-9673.0</v>
      </c>
      <c r="H7" s="13" t="s">
        <v>65</v>
      </c>
      <c r="I7" s="8"/>
      <c r="J7" s="8"/>
      <c r="K7" s="8"/>
      <c r="L7" s="8"/>
      <c r="M7" s="8"/>
      <c r="N7" s="8"/>
      <c r="O7" s="8"/>
    </row>
    <row r="8" ht="15.75" customHeight="1">
      <c r="A8" s="8"/>
      <c r="B8" s="13" t="s">
        <v>31</v>
      </c>
      <c r="C8" s="13" t="s">
        <v>38</v>
      </c>
      <c r="D8" s="13" t="s">
        <v>39</v>
      </c>
      <c r="E8" s="13" t="s">
        <v>58</v>
      </c>
      <c r="F8" s="13">
        <v>100.0</v>
      </c>
      <c r="G8" s="13">
        <v>212.0</v>
      </c>
      <c r="H8" s="13" t="s">
        <v>66</v>
      </c>
      <c r="I8" s="8"/>
      <c r="J8" s="8"/>
      <c r="K8" s="8"/>
      <c r="L8" s="8"/>
      <c r="M8" s="8"/>
      <c r="N8" s="8"/>
      <c r="O8" s="8"/>
    </row>
    <row r="9" ht="15.75" customHeight="1">
      <c r="A9" s="8"/>
      <c r="B9" s="13" t="s">
        <v>31</v>
      </c>
      <c r="C9" s="13" t="s">
        <v>41</v>
      </c>
      <c r="D9" s="13" t="s">
        <v>39</v>
      </c>
      <c r="E9" s="13" t="s">
        <v>58</v>
      </c>
      <c r="F9" s="31">
        <v>1000.0</v>
      </c>
      <c r="G9" s="31">
        <v>45646.0</v>
      </c>
      <c r="H9" s="13" t="s">
        <v>67</v>
      </c>
      <c r="I9" s="8"/>
      <c r="J9" s="8"/>
      <c r="K9" s="8"/>
      <c r="L9" s="8"/>
      <c r="M9" s="8"/>
      <c r="N9" s="8"/>
      <c r="O9" s="8"/>
    </row>
    <row r="10" ht="15.75" customHeight="1">
      <c r="A10" s="8"/>
      <c r="B10" s="13" t="s">
        <v>31</v>
      </c>
      <c r="C10" s="13" t="s">
        <v>38</v>
      </c>
      <c r="D10" s="13" t="s">
        <v>39</v>
      </c>
      <c r="E10" s="13" t="s">
        <v>58</v>
      </c>
      <c r="F10" s="13">
        <v>100.0</v>
      </c>
      <c r="G10" s="31">
        <v>45646.0</v>
      </c>
      <c r="H10" s="13" t="s">
        <v>67</v>
      </c>
      <c r="I10" s="8"/>
      <c r="J10" s="8"/>
      <c r="K10" s="8"/>
      <c r="L10" s="8"/>
      <c r="M10" s="8"/>
      <c r="N10" s="8"/>
      <c r="O10" s="8"/>
    </row>
    <row r="11" ht="15.75" customHeight="1">
      <c r="A11" s="8"/>
      <c r="B11" s="13" t="s">
        <v>31</v>
      </c>
      <c r="C11" s="13" t="s">
        <v>41</v>
      </c>
      <c r="D11" s="13" t="s">
        <v>39</v>
      </c>
      <c r="E11" s="13" t="s">
        <v>58</v>
      </c>
      <c r="F11" s="31">
        <v>1000.0</v>
      </c>
      <c r="G11" s="31">
        <v>9723.0</v>
      </c>
      <c r="H11" s="13" t="s">
        <v>68</v>
      </c>
      <c r="I11" s="8"/>
      <c r="J11" s="8"/>
      <c r="K11" s="8"/>
      <c r="L11" s="8"/>
      <c r="M11" s="8"/>
      <c r="N11" s="8"/>
      <c r="O11" s="8"/>
    </row>
    <row r="12" ht="15.75" customHeight="1">
      <c r="A12" s="8"/>
      <c r="B12" s="13" t="s">
        <v>31</v>
      </c>
      <c r="C12" s="13" t="s">
        <v>38</v>
      </c>
      <c r="D12" s="13" t="s">
        <v>39</v>
      </c>
      <c r="E12" s="13" t="s">
        <v>58</v>
      </c>
      <c r="F12" s="13">
        <v>100.0</v>
      </c>
      <c r="G12" s="31">
        <v>9723.0</v>
      </c>
      <c r="H12" s="13" t="s">
        <v>68</v>
      </c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VerifyPTTCompliance2!$4:$4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