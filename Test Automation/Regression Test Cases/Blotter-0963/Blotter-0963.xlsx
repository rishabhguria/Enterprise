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OrVerifyHotButton" sheetId="4" r:id="rId6"/>
    <sheet state="visible" name="CreateHotButtonOnBlotter" sheetId="5" r:id="rId7"/>
    <sheet state="visible" name="FillHBdetailsOnBlotter" sheetId="6" r:id="rId8"/>
    <sheet state="visible" name="EnableOrVerifyHotButton1" sheetId="7" r:id="rId9"/>
    <sheet state="visible" name="CreateHotButtonOnBlotter2" sheetId="8" r:id="rId10"/>
    <sheet state="visible" name="FillHBdetailsOnBlotter2" sheetId="9" r:id="rId11"/>
    <sheet state="visible" name="EnableOrVerifyHotButton2" sheetId="10" r:id="rId12"/>
    <sheet state="visible" name="CreateHotButtonOnBlotter3" sheetId="11" r:id="rId13"/>
    <sheet state="visible" name="FillHBdetailsOnBlotter3" sheetId="12" r:id="rId14"/>
    <sheet state="visible" name="EnableOrVerifyHotButton3" sheetId="13" r:id="rId15"/>
    <sheet state="visible" name="VerifyOrder" sheetId="14" r:id="rId16"/>
    <sheet state="visible" name="CheckAllocatedGroups" sheetId="15" r:id="rId17"/>
    <sheet state="visible" name="CheckPortfolioManagement" sheetId="16" r:id="rId18"/>
    <sheet state="visible" name="CheckSymbolLevelAggregation" sheetId="17" r:id="rId19"/>
  </sheets>
  <definedNames/>
  <calcPr/>
</workbook>
</file>

<file path=xl/sharedStrings.xml><?xml version="1.0" encoding="utf-8"?>
<sst xmlns="http://schemas.openxmlformats.org/spreadsheetml/2006/main" count="238" uniqueCount="69">
  <si>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</si>
  <si>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</si>
  <si>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</si>
  <si>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</si>
  <si>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</si>
  <si>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</si>
  <si>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</si>
  <si>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</si>
  <si>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</si>
  <si>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</si>
  <si>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</si>
  <si>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</si>
  <si>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</si>
  <si>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EnableOrVerifyHotButton</t>
  </si>
  <si>
    <t>Data Format</t>
  </si>
  <si>
    <t>Input Format</t>
  </si>
  <si>
    <t>CreateHotButtonOnBlotter</t>
  </si>
  <si>
    <t>ABC</t>
  </si>
  <si>
    <t>Create New Order</t>
  </si>
  <si>
    <t>No Confirmation</t>
  </si>
  <si>
    <t>Next</t>
  </si>
  <si>
    <t>FillHBdetailsOnBlotter</t>
  </si>
  <si>
    <t>AAPL</t>
  </si>
  <si>
    <t>Allocation1</t>
  </si>
  <si>
    <t>MS</t>
  </si>
  <si>
    <t>NASDAQ</t>
  </si>
  <si>
    <t>Day</t>
  </si>
  <si>
    <t>Market</t>
  </si>
  <si>
    <t>Buy</t>
  </si>
  <si>
    <t>Stage</t>
  </si>
  <si>
    <t>favorite</t>
  </si>
  <si>
    <t>DEF</t>
  </si>
  <si>
    <t>IBM</t>
  </si>
  <si>
    <t>Manual</t>
  </si>
  <si>
    <t>GHI</t>
  </si>
  <si>
    <t>MSFT</t>
  </si>
  <si>
    <t>Live</t>
  </si>
  <si>
    <t>VerifyOrder</t>
  </si>
  <si>
    <t>N.A.</t>
  </si>
  <si>
    <t>AAPL US EQUITY</t>
  </si>
  <si>
    <t>jpearce</t>
  </si>
  <si>
    <t>DefaultNotes</t>
  </si>
  <si>
    <t>Equity</t>
  </si>
  <si>
    <t>New</t>
  </si>
  <si>
    <t>IBM US EQUITY</t>
  </si>
  <si>
    <t>Filled</t>
  </si>
  <si>
    <t>MSFT US EQUITY</t>
  </si>
  <si>
    <t>Allocation</t>
  </si>
  <si>
    <t>CheckAllocatedGroups</t>
  </si>
  <si>
    <t>Actual_365</t>
  </si>
  <si>
    <t>Treasury</t>
  </si>
  <si>
    <t>Open</t>
  </si>
  <si>
    <t>USD</t>
  </si>
  <si>
    <t>NYSE</t>
  </si>
  <si>
    <t>M</t>
  </si>
  <si>
    <t>None</t>
  </si>
  <si>
    <t>InternalOrder</t>
  </si>
  <si>
    <t>Strategy Unallocated</t>
  </si>
  <si>
    <t>GCCAP1</t>
  </si>
  <si>
    <t>US</t>
  </si>
  <si>
    <t>NONE</t>
  </si>
  <si>
    <t>NewMF</t>
  </si>
  <si>
    <t>PortfolioManagement</t>
  </si>
  <si>
    <t>CheckPortfolioManagement</t>
  </si>
  <si>
    <t>Long</t>
  </si>
  <si>
    <t>Undefined</t>
  </si>
  <si>
    <t>FIMAT</t>
  </si>
  <si>
    <t>RTPNL</t>
  </si>
  <si>
    <t>CheckSymbolLevelAggregation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</si>
</sst>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IFERROR(__xludf.DUMMYFUNCTION("""COMPUTED_VALUE"""),"OperationsonClosing")</f>
        <v>OperationsonClosing</v>
      </c>
      <c r="C972" t="str">
        <f>IFERROR(__xludf.DUMMYFUNCTION("""COMPUTED_VALUE"""),"11EX1Ln-BQAtx9NTd9zfcaia52FGNdZENDW2kwMCJ21HQ")</f>
        <v>11EX1Ln-BQAtx9NTd9zfcaia52FGNdZENDW2kwMCJ21HQ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IFERROR(__xludf.DUMMYFUNCTION("""COMPUTED_VALUE"""),"GetClosingData")</f>
        <v>GetClosingData</v>
      </c>
      <c r="C973" t="str">
        <f>IFERROR(__xludf.DUMMYFUNCTION("""COMPUTED_VALUE"""),"11EX1Ln-BQAtx9NTd9zfcaia52FGNdZENDW2kwMCJ20HQ")</f>
        <v>11EX1Ln-BQAtx9NTd9zfcaia52FGNdZENDW2kwMCJ20HQ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IFERROR(__xludf.DUMMYFUNCTION("""COMPUTED_VALUE"""),"WizardOptions")</f>
        <v>WizardOptions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IFERROR(__xludf.DUMMYFUNCTION("""COMPUTED_VALUE"""),"Closing")</f>
        <v>Closing</v>
      </c>
      <c r="B975" t="str">
        <f>IFERROR(__xludf.DUMMYFUNCTION("""COMPUTED_VALUE"""),"ActionOnClosingWiz")</f>
        <v>ActionOnClosingWiz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IFERROR(__xludf.DUMMYFUNCTION("""COMPUTED_VALUE"""),"Allocation")</f>
        <v>Allocation</v>
      </c>
      <c r="B976" t="str">
        <f>IFERROR(__xludf.DUMMYFUNCTION("""COMPUTED_VALUE"""),"VerifyAttRenaming")</f>
        <v>VerifyAttRenaming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IFERROR(__xludf.DUMMYFUNCTION("""COMPUTED_VALUE"""),"NavLock")</f>
        <v>NavLock</v>
      </c>
      <c r="B977" t="str">
        <f>IFERROR(__xludf.DUMMYFUNCTION("""COMPUTED_VALUE"""),"DeleteRowNavLock")</f>
        <v>DeleteRowNavLock</v>
      </c>
      <c r="C977" t="str">
        <f>IFERROR(__xludf.DUMMYFUNCTION("""COMPUTED_VALUE"""),"11EX1Ln-BQAtx9NTd9zfcaia52FGNdZENDW2kwMCJ21HQ")</f>
        <v>11EX1Ln-BQAtx9NTd9zfcaia52FGNdZENDW2kwMCJ21HQ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IFERROR(__xludf.DUMMYFUNCTION("""COMPUTED_VALUE"""),"VerifyLongPositionsGrid")</f>
        <v>VerifyLongPositionsGrid</v>
      </c>
      <c r="C978" t="str">
        <f>IFERROR(__xludf.DUMMYFUNCTION("""COMPUTED_VALUE"""),"11EX1Ln-BQAtx9NTd9zfcaia52FGNdZENDW2kwMCJ14HQ")</f>
        <v>11EX1Ln-BQAtx9NTd9zfcaia52FGNdZENDW2kwMCJ14HQ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IFERROR(__xludf.DUMMYFUNCTION("""COMPUTED_VALUE"""),"VerifyShortPositionsGrid")</f>
        <v>VerifyShortPositionsGrid</v>
      </c>
      <c r="C979" t="str">
        <f>IFERROR(__xludf.DUMMYFUNCTION("""COMPUTED_VALUE"""),"11EX1Ln-BQAtx9NTd9zfcaia52FGNdZENDW2kwMCJ15HQ")</f>
        <v>11EX1Ln-BQAtx9NTd9zfcaia52FGNdZENDW2kwMCJ15HQ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IFERROR(__xludf.DUMMYFUNCTION("""COMPUTED_VALUE"""),"VerifyClosedTrades")</f>
        <v>VerifyClosedTrades</v>
      </c>
      <c r="C980" t="str">
        <f>IFERROR(__xludf.DUMMYFUNCTION("""COMPUTED_VALUE"""),"11EX1Ln-BQAtx9NTd9zfcaia52FGNdZENDW2kwMCJ16HQ")</f>
        <v>11EX1Ln-BQAtx9NTd9zfcaia52FGNdZENDW2kwMCJ16HQ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IFERROR(__xludf.DUMMYFUNCTION("""COMPUTED_VALUE"""),"CloseAmendOprtn")</f>
        <v>CloseAmendOprtn</v>
      </c>
      <c r="C981" t="str">
        <f>IFERROR(__xludf.DUMMYFUNCTION("""COMPUTED_VALUE"""),"11EX1Ln-BQAtx9NTd9zfcaia52FGNdZENDW2kwMCJ17HQ")</f>
        <v>11EX1Ln-BQAtx9NTd9zfcaia52FGNdZENDW2kwMCJ17HQ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IFERROR(__xludf.DUMMYFUNCTION("""COMPUTED_VALUE"""),"ExpSettlOprtn")</f>
        <v>ExpSettlOprtn</v>
      </c>
      <c r="C982" t="str">
        <f>IFERROR(__xludf.DUMMYFUNCTION("""COMPUTED_VALUE"""),"11EX1Ln-BQAtx9NTd9zfcaia52FGNdZENDW2kwMCJ18HQ")</f>
        <v>11EX1Ln-BQAtx9NTd9zfcaia52FGNdZENDW2kwMCJ18HQ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IFERROR(__xludf.DUMMYFUNCTION("""COMPUTED_VALUE"""),"ActionOnExpGrid")</f>
        <v>ActionOnExpGrid</v>
      </c>
      <c r="C983" t="str">
        <f>IFERROR(__xludf.DUMMYFUNCTION("""COMPUTED_VALUE"""),"11EX1Ln-BQAtx9NTd9zfcaia52FGNdZENDW2kwMCJ19HQ")</f>
        <v>11EX1Ln-BQAtx9NTd9zfcaia52FGNdZENDW2kwMCJ19HQ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IFERROR(__xludf.DUMMYFUNCTION("""COMPUTED_VALUE"""),"ActiononIncorrectQty")</f>
        <v>ActiononIncorrectQty</v>
      </c>
      <c r="C984" t="str">
        <f>IFERROR(__xludf.DUMMYFUNCTION("""COMPUTED_VALUE"""),"11EX1Ln-BQAtx9NTd9zfcaia52FGNdZENDW2kwMCJ20HQ")</f>
        <v>11EX1Ln-BQAtx9NTd9zfcaia52FGNdZENDW2kwMCJ20HQ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IFERROR(__xludf.DUMMYFUNCTION("""COMPUTED_VALUE"""),"VerifyIncorrectQty")</f>
        <v>VerifyIncorrectQty</v>
      </c>
      <c r="C985" t="str">
        <f>IFERROR(__xludf.DUMMYFUNCTION("""COMPUTED_VALUE"""),"11EX1Ln-BQAtx9NTd9zfcaia52FGNdZENDW2kwMCJ21HQ")</f>
        <v>11EX1Ln-BQAtx9NTd9zfcaia52FGNdZENDW2kwMCJ21HQ</v>
      </c>
    </row>
    <row r="986" ht="15.75" customHeight="1">
      <c r="A986" t="str">
        <f>IFERROR(__xludf.DUMMYFUNCTION("""COMPUTED_VALUE"""),"Closing")</f>
        <v>Closing</v>
      </c>
      <c r="B986" t="str">
        <f>IFERROR(__xludf.DUMMYFUNCTION("""COMPUTED_VALUE"""),"VerifyOpenTrades")</f>
        <v>VerifyOpenTrades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IFERROR(__xludf.DUMMYFUNCTION("""COMPUTED_VALUE"""),"EditCTGrid")</f>
        <v>EditCTGrid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IFERROR(__xludf.DUMMYFUNCTION("""COMPUTED_VALUE"""),"CreateTransaction")</f>
        <v>CreateTransaction</v>
      </c>
      <c r="B988" t="str">
        <f>IFERROR(__xludf.DUMMYFUNCTION("""COMPUTED_VALUE"""),"ActionOnCT")</f>
        <v>ActionOnCT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IFERROR(__xludf.DUMMYFUNCTION("""COMPUTED_VALUE"""),"Unknown")</f>
        <v>Unknown</v>
      </c>
      <c r="B989" t="str">
        <f>IFERROR(__xludf.DUMMYFUNCTION("""COMPUTED_VALUE"""),"OpenColumnChooser")</f>
        <v>OpenColumnChooser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IFERROR(__xludf.DUMMYFUNCTION("""COMPUTED_VALUE"""),"Closing")</f>
        <v>Closing</v>
      </c>
      <c r="B990" t="str">
        <f>IFERROR(__xludf.DUMMYFUNCTION("""COMPUTED_VALUE"""),"UnExpUnsettOperation")</f>
        <v>UnExpUnsettOperation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17</v>
      </c>
      <c r="C6" s="34" t="s">
        <v>18</v>
      </c>
      <c r="D6" s="33" t="s">
        <v>19</v>
      </c>
      <c r="E6" s="32"/>
      <c r="F6" s="34" t="s">
        <v>20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 t="str">
        <f>IFERROR(__xludf.DUMMYFUNCTION("""COMPUTED_VALUE"""),"Calculation Basis Type")</f>
        <v>Calculation Basis Type</v>
      </c>
      <c r="N5" s="27" t="str">
        <f>IFERROR(__xludf.DUMMYFUNCTION("""COMPUTED_VALUE"""),"Calculation Basis Amount")</f>
        <v>Calculation Basis Amount</v>
      </c>
      <c r="O5" s="27" t="str">
        <f>IFERROR(__xludf.DUMMYFUNCTION("""COMPUTED_VALUE"""),"Calculation ON")</f>
        <v>Calculation ON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22</v>
      </c>
      <c r="C6" s="36">
        <v>100.0</v>
      </c>
      <c r="D6" s="35" t="s">
        <v>23</v>
      </c>
      <c r="E6" s="34" t="s">
        <v>24</v>
      </c>
      <c r="F6" s="34" t="s">
        <v>25</v>
      </c>
      <c r="G6" s="34" t="s">
        <v>26</v>
      </c>
      <c r="H6" s="34" t="s">
        <v>27</v>
      </c>
      <c r="I6" s="34" t="s">
        <v>28</v>
      </c>
      <c r="J6" s="34" t="s">
        <v>29</v>
      </c>
      <c r="K6" s="37" t="b">
        <v>1</v>
      </c>
      <c r="L6" s="34" t="s">
        <v>20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FillHBdetailsOnBlotter!$4:$4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3" t="s">
        <v>17</v>
      </c>
      <c r="E6" s="38" t="b">
        <v>1</v>
      </c>
      <c r="F6" s="33" t="s">
        <v>30</v>
      </c>
      <c r="G6" s="32"/>
      <c r="H6" s="38" t="b">
        <v>1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31</v>
      </c>
      <c r="C6" s="34" t="s">
        <v>18</v>
      </c>
      <c r="D6" s="33" t="s">
        <v>19</v>
      </c>
      <c r="E6" s="32"/>
      <c r="F6" s="34" t="s">
        <v>20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 t="str">
        <f>IFERROR(__xludf.DUMMYFUNCTION("""COMPUTED_VALUE"""),"Calculation Basis Type")</f>
        <v>Calculation Basis Type</v>
      </c>
      <c r="N5" s="27" t="str">
        <f>IFERROR(__xludf.DUMMYFUNCTION("""COMPUTED_VALUE"""),"Calculation Basis Amount")</f>
        <v>Calculation Basis Amount</v>
      </c>
      <c r="O5" s="27" t="str">
        <f>IFERROR(__xludf.DUMMYFUNCTION("""COMPUTED_VALUE"""),"Calculation ON")</f>
        <v>Calculation ON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32</v>
      </c>
      <c r="C6" s="36">
        <v>100.0</v>
      </c>
      <c r="D6" s="35" t="s">
        <v>23</v>
      </c>
      <c r="E6" s="34" t="s">
        <v>24</v>
      </c>
      <c r="F6" s="34" t="s">
        <v>25</v>
      </c>
      <c r="G6" s="34" t="s">
        <v>26</v>
      </c>
      <c r="H6" s="34" t="s">
        <v>27</v>
      </c>
      <c r="I6" s="34" t="s">
        <v>28</v>
      </c>
      <c r="J6" s="33" t="s">
        <v>33</v>
      </c>
      <c r="K6" s="37" t="b">
        <v>1</v>
      </c>
      <c r="L6" s="34" t="s">
        <v>20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FillHBdetailsOnBlotter2!$4:$4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3" t="s">
        <v>31</v>
      </c>
      <c r="E6" s="38" t="b">
        <v>1</v>
      </c>
      <c r="F6" s="33" t="s">
        <v>30</v>
      </c>
      <c r="G6" s="32"/>
      <c r="H6" s="38" t="b">
        <v>1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34</v>
      </c>
      <c r="C6" s="34" t="s">
        <v>18</v>
      </c>
      <c r="D6" s="33" t="s">
        <v>19</v>
      </c>
      <c r="E6" s="32"/>
      <c r="F6" s="34" t="s">
        <v>20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 t="str">
        <f>IFERROR(__xludf.DUMMYFUNCTION("""COMPUTED_VALUE"""),"Calculation Basis Type")</f>
        <v>Calculation Basis Type</v>
      </c>
      <c r="N5" s="27" t="str">
        <f>IFERROR(__xludf.DUMMYFUNCTION("""COMPUTED_VALUE"""),"Calculation Basis Amount")</f>
        <v>Calculation Basis Amount</v>
      </c>
      <c r="O5" s="27" t="str">
        <f>IFERROR(__xludf.DUMMYFUNCTION("""COMPUTED_VALUE"""),"Calculation ON")</f>
        <v>Calculation ON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35</v>
      </c>
      <c r="C6" s="36">
        <v>100.0</v>
      </c>
      <c r="D6" s="35" t="s">
        <v>23</v>
      </c>
      <c r="E6" s="34" t="s">
        <v>24</v>
      </c>
      <c r="F6" s="34" t="s">
        <v>25</v>
      </c>
      <c r="G6" s="34" t="s">
        <v>26</v>
      </c>
      <c r="H6" s="34" t="s">
        <v>27</v>
      </c>
      <c r="I6" s="34" t="s">
        <v>28</v>
      </c>
      <c r="J6" s="33" t="s">
        <v>36</v>
      </c>
      <c r="K6" s="37" t="b">
        <v>1</v>
      </c>
      <c r="L6" s="34" t="s">
        <v>20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3" t="s">
        <v>34</v>
      </c>
      <c r="E6" s="38" t="b">
        <v>1</v>
      </c>
      <c r="F6" s="33" t="s">
        <v>30</v>
      </c>
      <c r="G6" s="32"/>
      <c r="H6" s="38" t="b">
        <v>1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EnableOrVerifyHotButton3!$4:$4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9"/>
      <c r="C6" s="32" t="s">
        <v>38</v>
      </c>
      <c r="D6" s="30"/>
      <c r="E6" s="32" t="s">
        <v>39</v>
      </c>
      <c r="F6" s="32"/>
      <c r="G6" s="40"/>
      <c r="H6" s="32" t="s">
        <v>25</v>
      </c>
      <c r="I6" s="32" t="s">
        <v>40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41"/>
      <c r="X6" s="32"/>
      <c r="Y6" s="32"/>
      <c r="Z6" s="32"/>
      <c r="AA6" s="32"/>
      <c r="AB6" s="32"/>
      <c r="AC6" s="32" t="s">
        <v>41</v>
      </c>
      <c r="AD6" s="32"/>
      <c r="AE6" s="32"/>
      <c r="AF6" s="32"/>
      <c r="AG6" s="41"/>
      <c r="AH6" s="32" t="s">
        <v>42</v>
      </c>
      <c r="AI6" s="32" t="s">
        <v>22</v>
      </c>
      <c r="AJ6" s="32" t="s">
        <v>28</v>
      </c>
      <c r="AK6" s="32" t="s">
        <v>43</v>
      </c>
      <c r="AL6" s="37">
        <v>100.0</v>
      </c>
      <c r="AM6" s="32"/>
      <c r="AN6" s="40"/>
      <c r="AO6" s="32"/>
      <c r="AP6" s="32"/>
      <c r="AQ6" s="32"/>
      <c r="AR6" s="32"/>
      <c r="AS6" s="32" t="s">
        <v>24</v>
      </c>
      <c r="AT6" s="32" t="s">
        <v>23</v>
      </c>
      <c r="AU6" s="32"/>
      <c r="AV6" s="32"/>
      <c r="AW6" s="32"/>
      <c r="AX6" s="32" t="s">
        <v>33</v>
      </c>
      <c r="AY6" s="32"/>
      <c r="AZ6" s="32"/>
      <c r="BA6" s="32" t="s">
        <v>40</v>
      </c>
      <c r="BB6" s="32"/>
      <c r="BC6" s="41"/>
      <c r="BD6" s="32"/>
      <c r="BE6" s="32"/>
      <c r="BF6" s="32"/>
      <c r="BG6" s="32"/>
      <c r="BH6" s="32" t="s">
        <v>26</v>
      </c>
      <c r="BI6" s="32"/>
      <c r="BJ6" s="32"/>
      <c r="BK6" s="32"/>
      <c r="BL6" s="32"/>
      <c r="BM6" s="32"/>
      <c r="BN6" s="41"/>
      <c r="BO6" s="32"/>
      <c r="BP6" s="32"/>
      <c r="BQ6" s="32"/>
      <c r="BR6" s="32"/>
      <c r="BS6" s="32"/>
      <c r="BT6" s="32"/>
      <c r="BU6" s="32"/>
      <c r="BV6" s="41"/>
      <c r="BW6" s="32"/>
      <c r="BX6" s="32"/>
      <c r="BY6" s="32"/>
      <c r="BZ6" s="32"/>
      <c r="CA6" s="32"/>
      <c r="CB6" s="41"/>
      <c r="CC6" s="32"/>
      <c r="CD6" s="32"/>
      <c r="CE6" s="41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41"/>
      <c r="CR6" s="41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41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</row>
    <row r="7" ht="15.75" customHeight="1">
      <c r="A7" s="32"/>
      <c r="B7" s="39"/>
      <c r="C7" s="32" t="s">
        <v>38</v>
      </c>
      <c r="D7" s="32"/>
      <c r="E7" s="32" t="s">
        <v>44</v>
      </c>
      <c r="F7" s="32"/>
      <c r="G7" s="40"/>
      <c r="H7" s="32" t="s">
        <v>25</v>
      </c>
      <c r="I7" s="32" t="s">
        <v>40</v>
      </c>
      <c r="J7" s="32"/>
      <c r="K7" s="41"/>
      <c r="L7" s="41"/>
      <c r="M7" s="32"/>
      <c r="N7" s="32"/>
      <c r="O7" s="32"/>
      <c r="P7" s="32"/>
      <c r="Q7" s="32"/>
      <c r="R7" s="32"/>
      <c r="S7" s="32"/>
      <c r="T7" s="32"/>
      <c r="U7" s="32"/>
      <c r="V7" s="41"/>
      <c r="W7" s="32"/>
      <c r="X7" s="32"/>
      <c r="Y7" s="32"/>
      <c r="Z7" s="32"/>
      <c r="AA7" s="32"/>
      <c r="AB7" s="32"/>
      <c r="AC7" s="32" t="s">
        <v>41</v>
      </c>
      <c r="AD7" s="32"/>
      <c r="AE7" s="32"/>
      <c r="AF7" s="32"/>
      <c r="AG7" s="41"/>
      <c r="AH7" s="32" t="s">
        <v>42</v>
      </c>
      <c r="AI7" s="32" t="s">
        <v>32</v>
      </c>
      <c r="AJ7" s="32" t="s">
        <v>28</v>
      </c>
      <c r="AK7" s="32" t="s">
        <v>45</v>
      </c>
      <c r="AL7" s="37">
        <v>100.0</v>
      </c>
      <c r="AM7" s="32"/>
      <c r="AN7" s="40"/>
      <c r="AO7" s="32"/>
      <c r="AP7" s="32"/>
      <c r="AQ7" s="32"/>
      <c r="AR7" s="32"/>
      <c r="AS7" s="32" t="s">
        <v>24</v>
      </c>
      <c r="AT7" s="32" t="s">
        <v>23</v>
      </c>
      <c r="AU7" s="32"/>
      <c r="AV7" s="32"/>
      <c r="AW7" s="32"/>
      <c r="AX7" s="32" t="s">
        <v>33</v>
      </c>
      <c r="AY7" s="32"/>
      <c r="AZ7" s="32"/>
      <c r="BA7" s="32" t="s">
        <v>40</v>
      </c>
      <c r="BB7" s="32"/>
      <c r="BC7" s="41"/>
      <c r="BD7" s="32"/>
      <c r="BE7" s="32"/>
      <c r="BF7" s="32"/>
      <c r="BG7" s="32"/>
      <c r="BH7" s="32" t="s">
        <v>26</v>
      </c>
      <c r="BI7" s="32"/>
      <c r="BJ7" s="32"/>
      <c r="BK7" s="32"/>
      <c r="BL7" s="32"/>
      <c r="BM7" s="32"/>
      <c r="BN7" s="41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41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41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  <c r="AML7" s="32"/>
    </row>
    <row r="8" ht="15.75" customHeight="1">
      <c r="A8" s="32"/>
      <c r="B8" s="39"/>
      <c r="C8" s="32" t="s">
        <v>38</v>
      </c>
      <c r="D8" s="32"/>
      <c r="E8" s="32" t="s">
        <v>46</v>
      </c>
      <c r="F8" s="32"/>
      <c r="G8" s="40">
        <v>100.0</v>
      </c>
      <c r="H8" s="32" t="s">
        <v>25</v>
      </c>
      <c r="I8" s="32" t="s">
        <v>40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41"/>
      <c r="AH8" s="32" t="s">
        <v>42</v>
      </c>
      <c r="AI8" s="32" t="s">
        <v>35</v>
      </c>
      <c r="AJ8" s="32" t="s">
        <v>28</v>
      </c>
      <c r="AK8" s="32" t="s">
        <v>43</v>
      </c>
      <c r="AL8" s="37">
        <v>100.0</v>
      </c>
      <c r="AM8" s="32"/>
      <c r="AN8" s="40"/>
      <c r="AO8" s="32"/>
      <c r="AP8" s="32"/>
      <c r="AQ8" s="32"/>
      <c r="AR8" s="32"/>
      <c r="AS8" s="32" t="s">
        <v>24</v>
      </c>
      <c r="AT8" s="32" t="s">
        <v>23</v>
      </c>
      <c r="AU8" s="32"/>
      <c r="AV8" s="41"/>
      <c r="AW8" s="32"/>
      <c r="AX8" s="32" t="s">
        <v>33</v>
      </c>
      <c r="AY8" s="32"/>
      <c r="AZ8" s="32"/>
      <c r="BA8" s="32" t="s">
        <v>40</v>
      </c>
      <c r="BB8" s="32"/>
      <c r="BC8" s="32"/>
      <c r="BD8" s="32"/>
      <c r="BE8" s="32"/>
      <c r="BF8" s="32"/>
      <c r="BG8" s="41"/>
      <c r="BH8" s="32" t="s">
        <v>26</v>
      </c>
      <c r="BI8" s="32"/>
      <c r="BJ8" s="32"/>
      <c r="BK8" s="32"/>
      <c r="BL8" s="32"/>
      <c r="BM8" s="32"/>
      <c r="BN8" s="41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41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41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23</v>
      </c>
      <c r="C6" s="32" t="s">
        <v>49</v>
      </c>
      <c r="D6" s="42"/>
      <c r="E6" s="40">
        <v>100.0</v>
      </c>
      <c r="F6" s="32" t="s">
        <v>33</v>
      </c>
      <c r="G6" s="32" t="s">
        <v>42</v>
      </c>
      <c r="H6" s="40"/>
      <c r="I6" s="40"/>
      <c r="J6" s="40">
        <v>15.0</v>
      </c>
      <c r="K6" s="40"/>
      <c r="L6" s="40"/>
      <c r="M6" s="32" t="s">
        <v>44</v>
      </c>
      <c r="N6" s="32" t="s">
        <v>50</v>
      </c>
      <c r="O6" s="32" t="s">
        <v>24</v>
      </c>
      <c r="P6" s="32"/>
      <c r="Q6" s="40">
        <v>3.0</v>
      </c>
      <c r="R6" s="40"/>
      <c r="S6" s="32" t="s">
        <v>51</v>
      </c>
      <c r="T6" s="40"/>
      <c r="U6" s="40"/>
      <c r="V6" s="32" t="s">
        <v>32</v>
      </c>
      <c r="W6" s="39"/>
      <c r="X6" s="40"/>
      <c r="Y6" s="32"/>
      <c r="Z6" s="32" t="s">
        <v>52</v>
      </c>
      <c r="AA6" s="40"/>
      <c r="AB6" s="40"/>
      <c r="AC6" s="32"/>
      <c r="AD6" s="32" t="s">
        <v>53</v>
      </c>
      <c r="AE6" s="40">
        <v>100.0</v>
      </c>
      <c r="AF6" s="32"/>
      <c r="AG6" s="39"/>
      <c r="AH6" s="32" t="s">
        <v>54</v>
      </c>
      <c r="AI6" s="40">
        <v>1.0</v>
      </c>
      <c r="AJ6" s="32" t="s">
        <v>55</v>
      </c>
      <c r="AK6" s="32"/>
      <c r="AL6" s="32"/>
      <c r="AM6" s="32"/>
      <c r="AN6" s="43"/>
      <c r="AO6" s="32"/>
      <c r="AP6" s="43"/>
      <c r="AQ6" s="43"/>
      <c r="AR6" s="43"/>
      <c r="AS6" s="40"/>
      <c r="AT6" s="40"/>
      <c r="AU6" s="40"/>
      <c r="AV6" s="39"/>
      <c r="AW6" s="40"/>
      <c r="AX6" s="40"/>
      <c r="AY6" s="32" t="s">
        <v>27</v>
      </c>
      <c r="AZ6" s="40"/>
      <c r="BA6" s="39"/>
      <c r="BB6" s="32"/>
      <c r="BC6" s="39"/>
      <c r="BD6" s="32" t="s">
        <v>56</v>
      </c>
      <c r="BE6" s="40"/>
      <c r="BF6" s="40"/>
      <c r="BG6" s="39"/>
      <c r="BH6" s="32"/>
      <c r="BI6" s="32"/>
      <c r="BJ6" s="40">
        <v>100.0</v>
      </c>
      <c r="BK6" s="40"/>
      <c r="BL6" s="40"/>
      <c r="BM6" s="32" t="s">
        <v>52</v>
      </c>
      <c r="BN6" s="39"/>
      <c r="BO6" s="32" t="s">
        <v>28</v>
      </c>
      <c r="BP6" s="40"/>
      <c r="BQ6" s="40"/>
      <c r="BR6" s="40"/>
      <c r="BS6" s="32" t="s">
        <v>57</v>
      </c>
      <c r="BT6" s="32" t="s">
        <v>32</v>
      </c>
      <c r="BU6" s="40"/>
      <c r="BV6" s="39"/>
      <c r="BW6" s="40"/>
      <c r="BX6" s="40"/>
      <c r="BY6" s="32"/>
      <c r="BZ6" s="32"/>
      <c r="CA6" s="32"/>
      <c r="CB6" s="41"/>
      <c r="CC6" s="32"/>
      <c r="CD6" s="32"/>
      <c r="CE6" s="39"/>
      <c r="CF6" s="32" t="s">
        <v>58</v>
      </c>
      <c r="CG6" s="40"/>
      <c r="CH6" s="32"/>
      <c r="CI6" s="32" t="s">
        <v>28</v>
      </c>
      <c r="CJ6" s="40"/>
      <c r="CK6" s="32" t="s">
        <v>59</v>
      </c>
      <c r="CL6" s="40">
        <v>1.0</v>
      </c>
      <c r="CM6" s="32" t="s">
        <v>32</v>
      </c>
      <c r="CN6" s="32" t="s">
        <v>40</v>
      </c>
      <c r="CO6" s="32" t="s">
        <v>25</v>
      </c>
      <c r="CP6" s="32" t="s">
        <v>60</v>
      </c>
      <c r="CQ6" s="39"/>
      <c r="CR6" s="39"/>
      <c r="CS6" s="32"/>
      <c r="CT6" s="32"/>
      <c r="CU6" s="32"/>
      <c r="CV6" s="32"/>
      <c r="CW6" s="40"/>
      <c r="CX6" s="32" t="s">
        <v>61</v>
      </c>
      <c r="CY6" s="32"/>
      <c r="CZ6" s="32"/>
      <c r="DA6" s="32"/>
      <c r="DB6" s="32"/>
      <c r="DC6" s="41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32" t="s">
        <v>32</v>
      </c>
      <c r="D6" s="42">
        <v>100.0</v>
      </c>
      <c r="E6" s="32" t="s">
        <v>23</v>
      </c>
      <c r="F6" s="32" t="s">
        <v>61</v>
      </c>
      <c r="G6" s="40">
        <v>0.0</v>
      </c>
      <c r="H6" s="32" t="s">
        <v>64</v>
      </c>
      <c r="I6" s="8"/>
      <c r="J6" s="8"/>
      <c r="K6" s="8"/>
      <c r="L6" s="8"/>
      <c r="M6" s="8"/>
      <c r="N6" s="8"/>
      <c r="O6" s="32" t="s">
        <v>32</v>
      </c>
      <c r="P6" s="32" t="s">
        <v>65</v>
      </c>
      <c r="Q6" s="40">
        <v>0.0</v>
      </c>
      <c r="R6" s="32" t="s">
        <v>66</v>
      </c>
      <c r="S6" s="32" t="s">
        <v>57</v>
      </c>
      <c r="T6" s="32" t="s">
        <v>42</v>
      </c>
      <c r="U6" s="32" t="s">
        <v>59</v>
      </c>
      <c r="V6" s="32" t="s">
        <v>53</v>
      </c>
      <c r="W6" s="32" t="s">
        <v>52</v>
      </c>
      <c r="AN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 t="str">
        <f>IFERROR(__xludf.DUMMYFUNCTION("""COMPUTED_VALUE"""),"Testing Type")</f>
        <v>Testing Type</v>
      </c>
      <c r="R5" s="27" t="str">
        <f>IFERROR(__xludf.DUMMYFUNCTION("""COMPUTED_VALUE"""),"Testing Column")</f>
        <v>Testing Column</v>
      </c>
      <c r="S5" s="27" t="str">
        <f>IFERROR(__xludf.DUMMYFUNCTION("""COMPUTED_VALUE"""),"Testing Col Value")</f>
        <v>Testing Col Value</v>
      </c>
      <c r="T5" s="29" t="str">
        <f>IFERROR(__xludf.DUMMYFUNCTION("""COMPUTED_VALUE"""),"DuplicateCountOnUI")</f>
        <v>DuplicateCountOnUI</v>
      </c>
      <c r="U5" s="29" t="str">
        <f>IFERROR(__xludf.DUMMYFUNCTION("""COMPUTED_VALUE"""),"DuplicateRow")</f>
        <v>DuplicateRow</v>
      </c>
      <c r="V5" s="29" t="str">
        <f>IFERROR(__xludf.DUMMYFUNCTION("""COMPUTED_VALUE"""),"Bloomberg Symbol")</f>
        <v>Bloomberg Symbol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9" t="s">
        <v>32</v>
      </c>
      <c r="D6" s="12">
        <v>100.0</v>
      </c>
      <c r="E6" s="12">
        <v>0.0</v>
      </c>
      <c r="F6" s="12">
        <v>0.0</v>
      </c>
      <c r="G6" s="12">
        <v>0.0</v>
      </c>
      <c r="H6" s="8"/>
      <c r="I6" s="8"/>
      <c r="J6" s="8"/>
      <c r="K6" s="8"/>
      <c r="L6" s="8"/>
      <c r="M6" s="8"/>
      <c r="N6" s="8"/>
      <c r="O6" s="8"/>
      <c r="V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CheckSymbolLevelAggregation!$4:$4</formula1>
    </dataValidation>
  </dataValidations>
  <drawing r:id="rId1"/>
</worksheet>
</file>