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GetDailyCash" sheetId="4" r:id="rId6"/>
    <sheet name="UpdateMultipleDailyCash" sheetId="5" r:id="rId7"/>
    <sheet name="SetGeneralPreferences" sheetId="6" r:id="rId8"/>
    <sheet name="AddMFPreferences" sheetId="7" r:id="rId9"/>
    <sheet name="SetMFPreferencesDefaultRule" sheetId="8" r:id="rId10"/>
    <sheet name="SetMFPrefFundDistribution" sheetId="9" r:id="rId11"/>
    <sheet name="SetMFPrefAccountValues" sheetId="10" r:id="rId12"/>
    <sheet name="SetMFPrefFundDefaultRule" sheetId="11" r:id="rId13"/>
    <sheet name="SetMFPrefGeneralRule" sheetId="12" r:id="rId14"/>
    <sheet name="UpdateGRAccountValue" sheetId="13" r:id="rId15"/>
    <sheet name="UpdateGRDefaultRule" sheetId="14" r:id="rId16"/>
    <sheet name="SetMFPrefAccountValues1" sheetId="15" r:id="rId17"/>
    <sheet name="SetMFPrefFundDefaultRule1" sheetId="16" r:id="rId18"/>
    <sheet name="SetMFPrefGeneralRule1" sheetId="17" r:id="rId19"/>
    <sheet name="CreateDoneAwayOrder" sheetId="18" r:id="rId20"/>
    <sheet name="GetDataAllocation" sheetId="19" r:id="rId21"/>
    <sheet name="SelectUnallocatedGroup" sheetId="20" r:id="rId22"/>
    <sheet name="EnterAllocatePreference" sheetId="21" r:id="rId23"/>
    <sheet name="CheckAllocatedTaxlots" sheetId="22" r:id="rId24"/>
    <sheet name="UpdateGRAccountValue1" sheetId="23" r:id="rId25"/>
    <sheet name="UpdateGRDefaultRule1" sheetId="24" r:id="rId26"/>
  </sheets>
  <calcPr fullCalcOnLoad="1"/>
</workbook>
</file>

<file path=xl/sharedStrings.xml><?xml version="1.0" encoding="utf-8"?>
<sst xmlns="http://schemas.openxmlformats.org/spreadsheetml/2006/main" count="57" uniqueCount="57">
  <si>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</si>
  <si>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</si>
  <si>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</si>
  <si>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</si>
  <si>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</si>
  <si>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</si>
  <si>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</si>
  <si>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</si>
  <si>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</si>
  <si>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</si>
  <si>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</si>
  <si>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</si>
  <si>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</si>
  <si>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</si>
  <si>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</si>
  <si>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</si>
  <si>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</si>
  <si>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</si>
  <si>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</si>
  <si>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</si>
  <si>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</si>
  <si>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</si>
  <si>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Allocation</t>
  </si>
  <si>
    <t>SetGeneralPreferences</t>
  </si>
  <si>
    <t>AddMFPreferences</t>
  </si>
  <si>
    <t>TEST1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</si>
  <si>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</si>
  <si>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</si>
  <si>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</si>
  <si>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</si>
  <si>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</si>
  <si>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</si>
  <si>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SetMFPrefFundDefaultRule</t>
  </si>
  <si>
    <t>Trade Quantity</t>
  </si>
  <si>
    <t>Pro-rata (NAV)</t>
  </si>
  <si>
    <t>Allocation1,Allocation3</t>
  </si>
  <si>
    <t>SetMFPrefGeneralRule</t>
  </si>
  <si>
    <t>Include</t>
  </si>
  <si>
    <t>CMEE</t>
  </si>
  <si>
    <t>Equity</t>
  </si>
  <si>
    <t>Buy to Close</t>
  </si>
  <si>
    <t>UpdateGRAccountValue</t>
  </si>
  <si>
    <t>UpdateGRDefaultRule</t>
  </si>
  <si>
    <t>Account Inception</t>
  </si>
  <si>
    <t>Allocation2,Allocation4</t>
  </si>
  <si>
    <t>TradingTicket</t>
  </si>
  <si>
    <t>CreateDoneAwayOrder</t>
  </si>
  <si>
    <t>AAPL</t>
  </si>
  <si>
    <t>Buy</t>
  </si>
  <si>
    <t>Unallocated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</si>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</sst>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center"/>
    </xf>
    <xf fontId="3" applyFont="1" fillId="0" applyFill="1" borderId="0" applyBorder="1" xfId="0">
      <alignment horizontal="center"/>
    </xf>
    <xf fontId="3" applyFont="1" fillId="0" applyFill="1" borderId="0" applyBorder="1" xfId="0"/>
    <xf fontId="14" applyFont="1" fillId="6" applyFill="1" borderId="0" applyBorder="1" xfId="0"/>
    <xf fontId="5" applyFont="1" fillId="0" applyFill="1" borderId="0" applyBorder="1" xfId="0">
      <alignment horizontal="center"/>
    </xf>
    <xf numFmtId="4" applyNumberFormat="1"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fontId="15" applyFont="1" fillId="0" applyFill="1" borderId="0" applyBorder="1" xfId="0"/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3.5" customHeight="1">
      <c r="A6" s="31"/>
      <c r="B6" s="32">
        <f>TODAY()-1</f>
        <v>45068</v>
      </c>
      <c r="C6" s="32">
        <f>TODAY()</f>
        <v>45069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400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18</v>
      </c>
      <c r="D8" s="35">
        <v>200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21</v>
      </c>
      <c r="C9" s="33" t="s">
        <v>18</v>
      </c>
      <c r="D9" s="35">
        <v>800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7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 t="s">
        <v>27</v>
      </c>
      <c r="D6" s="31"/>
      <c r="E6" s="33"/>
      <c r="F6" s="33" t="s">
        <v>25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29</v>
      </c>
      <c r="D6" s="34">
        <v>50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30</v>
      </c>
      <c r="D7" s="35">
        <v>50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29</v>
      </c>
      <c r="D6" s="31" t="s">
        <v>17</v>
      </c>
      <c r="E6" s="35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29</v>
      </c>
      <c r="D7" s="33" t="s">
        <v>20</v>
      </c>
      <c r="E7" s="35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/>
      <c r="D6" s="31" t="s">
        <v>33</v>
      </c>
      <c r="E6" s="33"/>
      <c r="F6" s="39" t="s">
        <v>34</v>
      </c>
      <c r="G6" s="38" t="s">
        <v>35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29</v>
      </c>
      <c r="D6" s="31" t="s">
        <v>37</v>
      </c>
      <c r="E6" s="33" t="s">
        <v>38</v>
      </c>
      <c r="F6" s="33" t="s">
        <v>37</v>
      </c>
      <c r="G6" s="33" t="s">
        <v>39</v>
      </c>
      <c r="H6" s="33"/>
      <c r="I6" s="33"/>
      <c r="J6" s="33" t="s">
        <v>37</v>
      </c>
      <c r="K6" s="33" t="s">
        <v>40</v>
      </c>
      <c r="L6" s="40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17</v>
      </c>
      <c r="D6" s="34">
        <v>75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20</v>
      </c>
      <c r="D7" s="35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3"/>
      <c r="D6" s="31" t="s">
        <v>43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1" t="s">
        <v>19</v>
      </c>
      <c r="E6" s="35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30</v>
      </c>
      <c r="D7" s="33" t="s">
        <v>21</v>
      </c>
      <c r="E7" s="35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1" t="s">
        <v>33</v>
      </c>
      <c r="E6" s="33"/>
      <c r="F6" s="39" t="s">
        <v>34</v>
      </c>
      <c r="G6" s="38" t="s">
        <v>44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1" t="s">
        <v>37</v>
      </c>
      <c r="E6" s="33" t="s">
        <v>38</v>
      </c>
      <c r="F6" s="33" t="s">
        <v>37</v>
      </c>
      <c r="G6" s="33" t="s">
        <v>39</v>
      </c>
      <c r="H6" s="33"/>
      <c r="I6" s="33"/>
      <c r="J6" s="33" t="s">
        <v>37</v>
      </c>
      <c r="K6" s="33" t="s">
        <v>40</v>
      </c>
      <c r="L6" s="40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47</v>
      </c>
      <c r="C6" s="33" t="s">
        <v>48</v>
      </c>
      <c r="D6" s="34">
        <v>250</v>
      </c>
      <c r="E6" s="33"/>
      <c r="F6" s="33" t="s">
        <v>49</v>
      </c>
      <c r="G6" s="33"/>
      <c r="H6" s="33"/>
      <c r="I6" s="33"/>
      <c r="J6" s="35">
        <v>12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47</v>
      </c>
      <c r="C6" s="33" t="s">
        <v>48</v>
      </c>
      <c r="D6" s="34">
        <v>250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1000.6485644</v>
      </c>
      <c r="C6" s="41">
        <v>1000.6485644</v>
      </c>
      <c r="D6" s="42">
        <v>996</v>
      </c>
      <c r="E6" s="42">
        <v>996</v>
      </c>
      <c r="F6" s="43" t="s">
        <v>55</v>
      </c>
      <c r="G6" s="8"/>
      <c r="H6" s="43" t="s">
        <v>18</v>
      </c>
      <c r="I6" s="8"/>
      <c r="J6" s="8"/>
      <c r="K6" s="8"/>
      <c r="L6" s="8"/>
      <c r="M6" s="8"/>
      <c r="N6" s="8"/>
      <c r="O6" s="43" t="s">
        <v>20</v>
      </c>
      <c r="P6" s="43" t="s">
        <v>56</v>
      </c>
      <c r="Q6" s="42">
        <v>33.20000076</v>
      </c>
      <c r="R6" s="42">
        <v>83</v>
      </c>
    </row>
    <row r="7" ht="15.75" customHeight="1">
      <c r="A7" s="8"/>
      <c r="B7" s="41">
        <v>1000.6485644</v>
      </c>
      <c r="C7" s="41">
        <v>1000.6485644</v>
      </c>
      <c r="D7" s="42">
        <v>996</v>
      </c>
      <c r="E7" s="42">
        <v>996</v>
      </c>
      <c r="F7" s="43" t="s">
        <v>55</v>
      </c>
      <c r="G7" s="8"/>
      <c r="H7" s="43" t="s">
        <v>18</v>
      </c>
      <c r="I7" s="8"/>
      <c r="J7" s="8"/>
      <c r="K7" s="8"/>
      <c r="L7" s="8"/>
      <c r="M7" s="8"/>
      <c r="N7" s="8"/>
      <c r="O7" s="43" t="s">
        <v>21</v>
      </c>
      <c r="P7" s="43" t="s">
        <v>56</v>
      </c>
      <c r="Q7" s="42">
        <v>33.20000076</v>
      </c>
      <c r="R7" s="42">
        <v>83</v>
      </c>
    </row>
    <row r="8" ht="15.75" customHeight="1">
      <c r="A8" s="8"/>
      <c r="B8" s="42">
        <v>506.3522856</v>
      </c>
      <c r="C8" s="42">
        <v>506.3522856</v>
      </c>
      <c r="D8" s="42">
        <v>504</v>
      </c>
      <c r="E8" s="42">
        <v>504</v>
      </c>
      <c r="F8" s="43" t="s">
        <v>55</v>
      </c>
      <c r="G8" s="8"/>
      <c r="H8" s="43" t="s">
        <v>18</v>
      </c>
      <c r="I8" s="8"/>
      <c r="J8" s="8"/>
      <c r="K8" s="8"/>
      <c r="L8" s="8"/>
      <c r="M8" s="8"/>
      <c r="N8" s="8"/>
      <c r="O8" s="43" t="s">
        <v>19</v>
      </c>
      <c r="P8" s="43" t="s">
        <v>56</v>
      </c>
      <c r="Q8" s="42">
        <v>16.79999924</v>
      </c>
      <c r="R8" s="42">
        <v>42</v>
      </c>
    </row>
    <row r="9" ht="15.75" customHeight="1">
      <c r="A9" s="8"/>
      <c r="B9" s="42">
        <v>506.3522856</v>
      </c>
      <c r="C9" s="42">
        <v>506.3522856</v>
      </c>
      <c r="D9" s="42">
        <v>504</v>
      </c>
      <c r="E9" s="42">
        <v>504</v>
      </c>
      <c r="F9" s="43" t="s">
        <v>55</v>
      </c>
      <c r="G9" s="8"/>
      <c r="H9" s="43" t="s">
        <v>18</v>
      </c>
      <c r="I9" s="8"/>
      <c r="J9" s="8"/>
      <c r="K9" s="8"/>
      <c r="L9" s="8"/>
      <c r="M9" s="8"/>
      <c r="N9" s="8"/>
      <c r="O9" s="43" t="s">
        <v>17</v>
      </c>
      <c r="P9" s="43" t="s">
        <v>56</v>
      </c>
      <c r="Q9" s="42">
        <v>16.79999924</v>
      </c>
      <c r="R9" s="42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19</v>
      </c>
      <c r="D6" s="34">
        <v>75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21</v>
      </c>
      <c r="D7" s="35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3"/>
      <c r="D6" s="44" t="s">
        <v>43</v>
      </c>
      <c r="E6" s="33"/>
      <c r="F6" s="33"/>
      <c r="G6" s="33"/>
      <c r="H6" s="33" t="s">
        <v>25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