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8" activeTab="9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VerifyWorkingSubs" sheetId="5" r:id="rId5"/>
    <sheet name="CheckUnallocatedGroups" sheetId="6" r:id="rId6"/>
    <sheet name="SelectUnallocatedGroup" sheetId="7" r:id="rId7"/>
    <sheet name="EnterAllocatePreference" sheetId="8" r:id="rId8"/>
    <sheet name="CheckAllocatedGroups" sheetId="9" r:id="rId9"/>
    <sheet name="CheckPortfolioManagement" sheetId="10" r:id="rId10"/>
    <sheet name="SetGeneralPreferences" sheetId="11" r:id="rId11"/>
    <sheet name="Unallocate" sheetId="12" r:id="rId12"/>
    <sheet name="CheckUnallocatedGroups1" sheetId="13" r:id="rId13"/>
    <sheet name="SelectUnallocatedGroup1" sheetId="14" r:id="rId14"/>
    <sheet name="SelectUnallocatedGroup2" sheetId="15" r:id="rId15"/>
    <sheet name="EditUnallocatedGroupSidePanel" sheetId="16" r:id="rId16"/>
    <sheet name="EnterAllocatePreference1" sheetId="17" r:id="rId17"/>
    <sheet name="CheckAllocatedGroups2" sheetId="18" r:id="rId18"/>
    <sheet name="VerifyOrder" sheetId="19" r:id="rId19"/>
  </sheets>
  <calcPr calcId="145621"/>
</workbook>
</file>

<file path=xl/calcChain.xml><?xml version="1.0" encoding="utf-8"?>
<calcChain xmlns="http://schemas.openxmlformats.org/spreadsheetml/2006/main">
  <c r="J2" i="19" l="1"/>
  <c r="J2" i="18"/>
  <c r="J6" i="17"/>
  <c r="J2" i="17"/>
  <c r="J2" i="16"/>
  <c r="J2" i="15"/>
  <c r="J2" i="14"/>
  <c r="J2" i="13"/>
  <c r="J2" i="12"/>
  <c r="J2" i="11"/>
  <c r="J2" i="10"/>
  <c r="J2" i="9"/>
  <c r="J6" i="8"/>
  <c r="J2" i="8"/>
  <c r="J2" i="7"/>
  <c r="J2" i="6"/>
  <c r="J2" i="5"/>
  <c r="J2" i="4"/>
  <c r="BK5" i="1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U5" i="18"/>
  <c r="EM5" i="18"/>
  <c r="EE5" i="18"/>
  <c r="DW5" i="18"/>
  <c r="DO5" i="18"/>
  <c r="DG5" i="18"/>
  <c r="CY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S4" i="19"/>
  <c r="EK4" i="19"/>
  <c r="EC4" i="19"/>
  <c r="DU4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Q5" i="16"/>
  <c r="EI5" i="16"/>
  <c r="EA5" i="16"/>
  <c r="DS5" i="16"/>
  <c r="DK5" i="16"/>
  <c r="DC5" i="16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G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EP5" i="18"/>
  <c r="CD5" i="18"/>
  <c r="R5" i="18"/>
  <c r="DC4" i="18"/>
  <c r="AQ4" i="18"/>
  <c r="ES5" i="17"/>
  <c r="DZ5" i="17"/>
  <c r="DC5" i="17"/>
  <c r="CG5" i="17"/>
  <c r="BN5" i="17"/>
  <c r="AQ5" i="17"/>
  <c r="U5" i="17"/>
  <c r="B5" i="17"/>
  <c r="EB4" i="17"/>
  <c r="DF4" i="17"/>
  <c r="CM4" i="17"/>
  <c r="BP4" i="17"/>
  <c r="AT4" i="17"/>
  <c r="AA4" i="17"/>
  <c r="D4" i="17"/>
  <c r="EK5" i="16"/>
  <c r="DU5" i="16"/>
  <c r="DE5" i="16"/>
  <c r="CQ5" i="16"/>
  <c r="CE5" i="16"/>
  <c r="BQ5" i="16"/>
  <c r="BF5" i="16"/>
  <c r="AX5" i="16"/>
  <c r="AP5" i="16"/>
  <c r="AH5" i="16"/>
  <c r="Z5" i="16"/>
  <c r="R5" i="16"/>
  <c r="J5" i="16"/>
  <c r="B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EH5" i="18"/>
  <c r="BV5" i="18"/>
  <c r="J5" i="18"/>
  <c r="CU4" i="18"/>
  <c r="AI4" i="18"/>
  <c r="EQ5" i="17"/>
  <c r="DU5" i="17"/>
  <c r="DB5" i="17"/>
  <c r="CE5" i="17"/>
  <c r="BI5" i="17"/>
  <c r="AP5" i="17"/>
  <c r="S5" i="17"/>
  <c r="ET4" i="17"/>
  <c r="EA4" i="17"/>
  <c r="DD4" i="17"/>
  <c r="CH4" i="17"/>
  <c r="BO4" i="17"/>
  <c r="AR4" i="17"/>
  <c r="V4" i="17"/>
  <c r="C4" i="17"/>
  <c r="EJ5" i="16"/>
  <c r="DT5" i="16"/>
  <c r="DD5" i="16"/>
  <c r="CO5" i="16"/>
  <c r="CD5" i="16"/>
  <c r="BP5" i="16"/>
  <c r="BE5" i="16"/>
  <c r="AW5" i="16"/>
  <c r="AO5" i="16"/>
  <c r="AG5" i="16"/>
  <c r="Y5" i="16"/>
  <c r="Q5" i="16"/>
  <c r="I5" i="16"/>
  <c r="A5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DZ5" i="18"/>
  <c r="BN5" i="18"/>
  <c r="B5" i="18"/>
  <c r="CM4" i="18"/>
  <c r="AA4" i="18"/>
  <c r="EP5" i="17"/>
  <c r="DS5" i="17"/>
  <c r="CW5" i="17"/>
  <c r="CD5" i="17"/>
  <c r="BG5" i="17"/>
  <c r="AK5" i="17"/>
  <c r="R5" i="17"/>
  <c r="ER4" i="17"/>
  <c r="DV4" i="17"/>
  <c r="DC4" i="17"/>
  <c r="CF4" i="17"/>
  <c r="BJ4" i="17"/>
  <c r="AQ4" i="17"/>
  <c r="T4" i="17"/>
  <c r="EH5" i="16"/>
  <c r="DR5" i="16"/>
  <c r="DB5" i="16"/>
  <c r="CN5" i="16"/>
  <c r="CA5" i="16"/>
  <c r="BO5" i="16"/>
  <c r="BD5" i="16"/>
  <c r="AV5" i="16"/>
  <c r="AN5" i="16"/>
  <c r="AF5" i="16"/>
  <c r="X5" i="16"/>
  <c r="P5" i="16"/>
  <c r="H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DR5" i="18"/>
  <c r="BF5" i="18"/>
  <c r="EQ4" i="18"/>
  <c r="CE4" i="18"/>
  <c r="S4" i="18"/>
  <c r="EK5" i="17"/>
  <c r="DR5" i="17"/>
  <c r="CU5" i="17"/>
  <c r="BY5" i="17"/>
  <c r="BF5" i="17"/>
  <c r="AI5" i="17"/>
  <c r="M5" i="17"/>
  <c r="EQ4" i="17"/>
  <c r="DT4" i="17"/>
  <c r="CX4" i="17"/>
  <c r="CE4" i="17"/>
  <c r="BH4" i="17"/>
  <c r="AL4" i="17"/>
  <c r="S4" i="17"/>
  <c r="EU5" i="16"/>
  <c r="EE5" i="16"/>
  <c r="DO5" i="16"/>
  <c r="CY5" i="16"/>
  <c r="CM5" i="16"/>
  <c r="BY5" i="16"/>
  <c r="BN5" i="16"/>
  <c r="BC5" i="16"/>
  <c r="AU5" i="16"/>
  <c r="AM5" i="16"/>
  <c r="AE5" i="16"/>
  <c r="W5" i="16"/>
  <c r="O5" i="16"/>
  <c r="G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DJ5" i="18"/>
  <c r="AX5" i="18"/>
  <c r="EI4" i="18"/>
  <c r="BW4" i="18"/>
  <c r="K4" i="18"/>
  <c r="EI5" i="17"/>
  <c r="DM5" i="17"/>
  <c r="CT5" i="17"/>
  <c r="BW5" i="17"/>
  <c r="BA5" i="17"/>
  <c r="AH5" i="17"/>
  <c r="K5" i="17"/>
  <c r="EL4" i="17"/>
  <c r="DS4" i="17"/>
  <c r="CV4" i="17"/>
  <c r="BZ4" i="17"/>
  <c r="BG4" i="17"/>
  <c r="AJ4" i="17"/>
  <c r="N4" i="17"/>
  <c r="ES5" i="16"/>
  <c r="EC5" i="16"/>
  <c r="DM5" i="16"/>
  <c r="CW5" i="16"/>
  <c r="CL5" i="16"/>
  <c r="BX5" i="16"/>
  <c r="BK5" i="16"/>
  <c r="BB5" i="16"/>
  <c r="AT5" i="16"/>
  <c r="AL5" i="16"/>
  <c r="AD5" i="16"/>
  <c r="V5" i="16"/>
  <c r="N5" i="16"/>
  <c r="F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DB5" i="18"/>
  <c r="AP5" i="18"/>
  <c r="EA4" i="18"/>
  <c r="BO4" i="18"/>
  <c r="C4" i="18"/>
  <c r="EH5" i="17"/>
  <c r="DK5" i="17"/>
  <c r="CO5" i="17"/>
  <c r="BV5" i="17"/>
  <c r="AY5" i="17"/>
  <c r="AC5" i="17"/>
  <c r="J5" i="17"/>
  <c r="EJ4" i="17"/>
  <c r="DN4" i="17"/>
  <c r="CU4" i="17"/>
  <c r="BX4" i="17"/>
  <c r="BB4" i="17"/>
  <c r="AI4" i="17"/>
  <c r="L4" i="17"/>
  <c r="ER5" i="16"/>
  <c r="EB5" i="16"/>
  <c r="DL5" i="16"/>
  <c r="CV5" i="16"/>
  <c r="CI5" i="16"/>
  <c r="BW5" i="16"/>
  <c r="BI5" i="16"/>
  <c r="BA5" i="16"/>
  <c r="AS5" i="16"/>
  <c r="AK5" i="16"/>
  <c r="AC5" i="16"/>
  <c r="U5" i="16"/>
  <c r="M5" i="16"/>
  <c r="E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CT5" i="18"/>
  <c r="AH5" i="18"/>
  <c r="DS4" i="18"/>
  <c r="BG4" i="18"/>
  <c r="EC5" i="17"/>
  <c r="DJ5" i="17"/>
  <c r="CM5" i="17"/>
  <c r="BQ5" i="17"/>
  <c r="AX5" i="17"/>
  <c r="AA5" i="17"/>
  <c r="E5" i="17"/>
  <c r="EI4" i="17"/>
  <c r="DL4" i="17"/>
  <c r="CP4" i="17"/>
  <c r="BW4" i="17"/>
  <c r="AZ4" i="17"/>
  <c r="AD4" i="17"/>
  <c r="K4" i="17"/>
  <c r="EP5" i="16"/>
  <c r="DZ5" i="16"/>
  <c r="DJ5" i="16"/>
  <c r="CU5" i="16"/>
  <c r="CG5" i="16"/>
  <c r="BV5" i="16"/>
  <c r="BH5" i="16"/>
  <c r="AZ5" i="16"/>
  <c r="AR5" i="16"/>
  <c r="AJ5" i="16"/>
  <c r="AB5" i="16"/>
  <c r="T5" i="16"/>
  <c r="L5" i="16"/>
  <c r="D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CL5" i="18"/>
  <c r="Z5" i="18"/>
  <c r="DK4" i="18"/>
  <c r="AY4" i="18"/>
  <c r="EA5" i="17"/>
  <c r="DE5" i="17"/>
  <c r="CL5" i="17"/>
  <c r="BO5" i="17"/>
  <c r="AS5" i="17"/>
  <c r="Z5" i="17"/>
  <c r="C5" i="17"/>
  <c r="ED4" i="17"/>
  <c r="DK4" i="17"/>
  <c r="CN4" i="17"/>
  <c r="BR4" i="17"/>
  <c r="AY4" i="17"/>
  <c r="AB4" i="17"/>
  <c r="F4" i="17"/>
  <c r="EM5" i="16"/>
  <c r="DW5" i="16"/>
  <c r="DG5" i="16"/>
  <c r="CT5" i="16"/>
  <c r="CF5" i="16"/>
  <c r="BS5" i="16"/>
  <c r="BG5" i="16"/>
  <c r="AY5" i="16"/>
  <c r="AQ5" i="16"/>
  <c r="AI5" i="16"/>
  <c r="AA5" i="16"/>
  <c r="S5" i="16"/>
  <c r="K5" i="16"/>
  <c r="C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EP5" i="14"/>
  <c r="CD5" i="14"/>
  <c r="R5" i="14"/>
  <c r="DC4" i="14"/>
  <c r="AQ4" i="14"/>
  <c r="J4" i="14"/>
  <c r="B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FM5" i="10"/>
  <c r="FE5" i="10"/>
  <c r="EW5" i="10"/>
  <c r="EO5" i="10"/>
  <c r="EG5" i="10"/>
  <c r="DY5" i="10"/>
  <c r="DQ5" i="10"/>
  <c r="EH5" i="14"/>
  <c r="BV5" i="14"/>
  <c r="J5" i="14"/>
  <c r="CU4" i="14"/>
  <c r="AI4" i="14"/>
  <c r="I4" i="14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FL5" i="10"/>
  <c r="FD5" i="10"/>
  <c r="EV5" i="10"/>
  <c r="EN5" i="10"/>
  <c r="EF5" i="10"/>
  <c r="DX5" i="10"/>
  <c r="DP5" i="10"/>
  <c r="DZ5" i="14"/>
  <c r="BN5" i="14"/>
  <c r="B5" i="14"/>
  <c r="CM4" i="14"/>
  <c r="AA4" i="14"/>
  <c r="H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FK5" i="10"/>
  <c r="FC5" i="10"/>
  <c r="EU5" i="10"/>
  <c r="EM5" i="10"/>
  <c r="EE5" i="10"/>
  <c r="DW5" i="10"/>
  <c r="DR5" i="14"/>
  <c r="BF5" i="14"/>
  <c r="EQ4" i="14"/>
  <c r="CE4" i="14"/>
  <c r="S4" i="14"/>
  <c r="G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FJ5" i="10"/>
  <c r="FB5" i="10"/>
  <c r="ET5" i="10"/>
  <c r="EL5" i="10"/>
  <c r="ED5" i="10"/>
  <c r="DV5" i="10"/>
  <c r="DJ5" i="14"/>
  <c r="AX5" i="14"/>
  <c r="EI4" i="14"/>
  <c r="BW4" i="14"/>
  <c r="N4" i="14"/>
  <c r="F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FI5" i="10"/>
  <c r="FA5" i="10"/>
  <c r="ES5" i="10"/>
  <c r="EK5" i="10"/>
  <c r="EC5" i="10"/>
  <c r="DU5" i="10"/>
  <c r="DB5" i="14"/>
  <c r="AP5" i="14"/>
  <c r="EA4" i="14"/>
  <c r="BO4" i="14"/>
  <c r="M4" i="14"/>
  <c r="E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FH5" i="10"/>
  <c r="EZ5" i="10"/>
  <c r="ER5" i="10"/>
  <c r="EJ5" i="10"/>
  <c r="EB5" i="10"/>
  <c r="CT5" i="14"/>
  <c r="AH5" i="14"/>
  <c r="DS4" i="14"/>
  <c r="BG4" i="14"/>
  <c r="L4" i="14"/>
  <c r="D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FG5" i="10"/>
  <c r="EY5" i="10"/>
  <c r="EQ5" i="10"/>
  <c r="EI5" i="10"/>
  <c r="EA5" i="10"/>
  <c r="DS5" i="10"/>
  <c r="CL5" i="14"/>
  <c r="Z5" i="14"/>
  <c r="DK4" i="14"/>
  <c r="AY4" i="14"/>
  <c r="K4" i="14"/>
  <c r="C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FF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FK4" i="10"/>
  <c r="FC4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S5" i="7"/>
  <c r="EX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FJ4" i="10"/>
  <c r="FB4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EP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FI4" i="10"/>
  <c r="FA4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EH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FH4" i="10"/>
  <c r="EZ4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P5" i="7"/>
  <c r="EH5" i="7"/>
  <c r="DZ5" i="7"/>
  <c r="DR5" i="7"/>
  <c r="DJ5" i="7"/>
  <c r="DB5" i="7"/>
  <c r="CT5" i="7"/>
  <c r="DZ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FG4" i="10"/>
  <c r="EY4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DT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FF4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DR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FM4" i="10"/>
  <c r="FE4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DO5" i="10"/>
  <c r="DG5" i="10"/>
  <c r="CY5" i="10"/>
  <c r="CQ5" i="10"/>
  <c r="CI5" i="10"/>
  <c r="CA5" i="10"/>
  <c r="BS5" i="10"/>
  <c r="BC5" i="10"/>
  <c r="AU5" i="10"/>
  <c r="AM5" i="10"/>
  <c r="AE5" i="10"/>
  <c r="W5" i="10"/>
  <c r="O5" i="10"/>
  <c r="G5" i="10"/>
  <c r="FL4" i="10"/>
  <c r="FD4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EK5" i="7"/>
  <c r="CG5" i="7"/>
  <c r="BA5" i="7"/>
  <c r="AJ5" i="7"/>
  <c r="AA5" i="7"/>
  <c r="S5" i="7"/>
  <c r="K5" i="7"/>
  <c r="C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P4" i="4"/>
  <c r="EH4" i="4"/>
  <c r="DZ4" i="4"/>
  <c r="DR4" i="4"/>
  <c r="DJ4" i="4"/>
  <c r="EC5" i="7"/>
  <c r="CD5" i="7"/>
  <c r="AX5" i="7"/>
  <c r="AH5" i="7"/>
  <c r="Z5" i="7"/>
  <c r="R5" i="7"/>
  <c r="J5" i="7"/>
  <c r="B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W4" i="4"/>
  <c r="EO4" i="4"/>
  <c r="EG4" i="4"/>
  <c r="DY4" i="4"/>
  <c r="DQ4" i="4"/>
  <c r="DI4" i="4"/>
  <c r="DU5" i="7"/>
  <c r="BY5" i="7"/>
  <c r="AS5" i="7"/>
  <c r="AG5" i="7"/>
  <c r="Y5" i="7"/>
  <c r="Q5" i="7"/>
  <c r="I5" i="7"/>
  <c r="A5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V4" i="4"/>
  <c r="EN4" i="4"/>
  <c r="EF4" i="4"/>
  <c r="DX4" i="4"/>
  <c r="DP4" i="4"/>
  <c r="DH4" i="4"/>
  <c r="DM5" i="7"/>
  <c r="BV5" i="7"/>
  <c r="AP5" i="7"/>
  <c r="AF5" i="7"/>
  <c r="X5" i="7"/>
  <c r="P5" i="7"/>
  <c r="H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U4" i="4"/>
  <c r="EM4" i="4"/>
  <c r="EE4" i="4"/>
  <c r="DW4" i="4"/>
  <c r="DO4" i="4"/>
  <c r="DE5" i="7"/>
  <c r="BQ5" i="7"/>
  <c r="AO5" i="7"/>
  <c r="AE5" i="7"/>
  <c r="W5" i="7"/>
  <c r="O5" i="7"/>
  <c r="G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T4" i="4"/>
  <c r="EL4" i="4"/>
  <c r="ED4" i="4"/>
  <c r="DV4" i="4"/>
  <c r="DN4" i="4"/>
  <c r="CW5" i="7"/>
  <c r="BN5" i="7"/>
  <c r="AN5" i="7"/>
  <c r="AD5" i="7"/>
  <c r="V5" i="7"/>
  <c r="N5" i="7"/>
  <c r="F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S4" i="4"/>
  <c r="EK4" i="4"/>
  <c r="EC4" i="4"/>
  <c r="DU4" i="4"/>
  <c r="DM4" i="4"/>
  <c r="DE4" i="4"/>
  <c r="CO5" i="7"/>
  <c r="BI5" i="7"/>
  <c r="AL5" i="7"/>
  <c r="AC5" i="7"/>
  <c r="U5" i="7"/>
  <c r="M5" i="7"/>
  <c r="E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R4" i="4"/>
  <c r="EJ4" i="4"/>
  <c r="EB4" i="4"/>
  <c r="DT4" i="4"/>
  <c r="DL4" i="4"/>
  <c r="CL5" i="7"/>
  <c r="BF5" i="7"/>
  <c r="AK5" i="7"/>
  <c r="AB5" i="7"/>
  <c r="T5" i="7"/>
  <c r="L5" i="7"/>
  <c r="D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Q4" i="4"/>
  <c r="EI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EA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DS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DK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DG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DF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I847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C847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B847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A847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J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I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F337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C337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B337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J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I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F181" i="1"/>
  <c r="B180" i="1"/>
  <c r="B179" i="1"/>
  <c r="C178" i="1"/>
  <c r="E177" i="1"/>
  <c r="F176" i="1"/>
  <c r="G175" i="1"/>
  <c r="I174" i="1"/>
  <c r="J173" i="1"/>
  <c r="K172" i="1"/>
  <c r="A172" i="1"/>
  <c r="B171" i="1"/>
  <c r="C170" i="1"/>
  <c r="E169" i="1"/>
  <c r="F168" i="1"/>
  <c r="G167" i="1"/>
  <c r="J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B181" i="1"/>
  <c r="K179" i="1"/>
  <c r="A179" i="1"/>
  <c r="B178" i="1"/>
  <c r="C177" i="1"/>
  <c r="E176" i="1"/>
  <c r="F175" i="1"/>
  <c r="G174" i="1"/>
  <c r="I173" i="1"/>
  <c r="J172" i="1"/>
  <c r="K171" i="1"/>
  <c r="A171" i="1"/>
  <c r="B170" i="1"/>
  <c r="C169" i="1"/>
  <c r="E168" i="1"/>
  <c r="F167" i="1"/>
  <c r="I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A181" i="1"/>
  <c r="J179" i="1"/>
  <c r="K178" i="1"/>
  <c r="A178" i="1"/>
  <c r="B177" i="1"/>
  <c r="C176" i="1"/>
  <c r="E175" i="1"/>
  <c r="F174" i="1"/>
  <c r="G173" i="1"/>
  <c r="I172" i="1"/>
  <c r="J171" i="1"/>
  <c r="K170" i="1"/>
  <c r="A170" i="1"/>
  <c r="B169" i="1"/>
  <c r="C168" i="1"/>
  <c r="E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J180" i="1"/>
  <c r="I179" i="1"/>
  <c r="J178" i="1"/>
  <c r="K177" i="1"/>
  <c r="A177" i="1"/>
  <c r="B176" i="1"/>
  <c r="C175" i="1"/>
  <c r="E174" i="1"/>
  <c r="F173" i="1"/>
  <c r="G172" i="1"/>
  <c r="I171" i="1"/>
  <c r="J170" i="1"/>
  <c r="K169" i="1"/>
  <c r="A169" i="1"/>
  <c r="B168" i="1"/>
  <c r="C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G180" i="1"/>
  <c r="G179" i="1"/>
  <c r="I178" i="1"/>
  <c r="J177" i="1"/>
  <c r="K176" i="1"/>
  <c r="A176" i="1"/>
  <c r="B175" i="1"/>
  <c r="C174" i="1"/>
  <c r="E173" i="1"/>
  <c r="F172" i="1"/>
  <c r="G171" i="1"/>
  <c r="I170" i="1"/>
  <c r="J169" i="1"/>
  <c r="K168" i="1"/>
  <c r="A168" i="1"/>
  <c r="B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F180" i="1"/>
  <c r="F179" i="1"/>
  <c r="G178" i="1"/>
  <c r="I177" i="1"/>
  <c r="J176" i="1"/>
  <c r="K175" i="1"/>
  <c r="A175" i="1"/>
  <c r="B174" i="1"/>
  <c r="C173" i="1"/>
  <c r="E172" i="1"/>
  <c r="F171" i="1"/>
  <c r="G170" i="1"/>
  <c r="I169" i="1"/>
  <c r="J168" i="1"/>
  <c r="K167" i="1"/>
  <c r="A167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E180" i="1"/>
  <c r="E179" i="1"/>
  <c r="F178" i="1"/>
  <c r="G177" i="1"/>
  <c r="I176" i="1"/>
  <c r="J175" i="1"/>
  <c r="K174" i="1"/>
  <c r="A174" i="1"/>
  <c r="B173" i="1"/>
  <c r="C172" i="1"/>
  <c r="E171" i="1"/>
  <c r="F170" i="1"/>
  <c r="G169" i="1"/>
  <c r="I168" i="1"/>
  <c r="J167" i="1"/>
  <c r="L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C180" i="1"/>
  <c r="C179" i="1"/>
  <c r="E178" i="1"/>
  <c r="F177" i="1"/>
  <c r="G176" i="1"/>
  <c r="I175" i="1"/>
  <c r="J174" i="1"/>
  <c r="K173" i="1"/>
  <c r="A173" i="1"/>
  <c r="B172" i="1"/>
  <c r="C171" i="1"/>
  <c r="E170" i="1"/>
  <c r="F169" i="1"/>
  <c r="G168" i="1"/>
  <c r="I167" i="1"/>
  <c r="K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E8" i="1"/>
  <c r="C7" i="1"/>
  <c r="G6" i="1"/>
  <c r="K5" i="1"/>
  <c r="C5" i="1"/>
  <c r="G4" i="1"/>
  <c r="F4" i="1"/>
  <c r="L6" i="1"/>
  <c r="D4" i="1"/>
  <c r="B6" i="1"/>
  <c r="A4" i="1"/>
  <c r="B8" i="1"/>
  <c r="B7" i="1"/>
  <c r="F6" i="1"/>
  <c r="J5" i="1"/>
  <c r="B5" i="1"/>
  <c r="E4" i="1"/>
  <c r="L4" i="1"/>
  <c r="K4" i="1"/>
  <c r="B4" i="1"/>
  <c r="E5" i="1"/>
  <c r="A8" i="1"/>
  <c r="A7" i="1"/>
  <c r="E6" i="1"/>
  <c r="I5" i="1"/>
  <c r="A5" i="1"/>
  <c r="D6" i="1"/>
  <c r="C4" i="1"/>
  <c r="J4" i="1"/>
  <c r="A6" i="1"/>
  <c r="J7" i="1"/>
  <c r="H5" i="1"/>
  <c r="F5" i="1"/>
  <c r="I4" i="1"/>
  <c r="D5" i="1"/>
  <c r="I7" i="1"/>
  <c r="K6" i="1"/>
  <c r="C6" i="1"/>
  <c r="G5" i="1"/>
  <c r="J6" i="1"/>
  <c r="H6" i="1"/>
  <c r="H4" i="1"/>
  <c r="G7" i="1"/>
  <c r="F7" i="1"/>
  <c r="I6" i="1"/>
  <c r="L5" i="1"/>
  <c r="E7" i="1"/>
</calcChain>
</file>

<file path=xl/sharedStrings.xml><?xml version="1.0" encoding="utf-8"?>
<sst xmlns="http://schemas.openxmlformats.org/spreadsheetml/2006/main" count="207" uniqueCount="45">
  <si>
    <t>Modules Info</t>
  </si>
  <si>
    <t>Modules</t>
  </si>
  <si>
    <t>Settings</t>
  </si>
  <si>
    <t>Module Step Setting File</t>
  </si>
  <si>
    <t>12JGA8V5NgTrTsDZn5CARyqaETD-zrjjkipRXhBacCt0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</si>
  <si>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</si>
  <si>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</si>
  <si>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</si>
  <si>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</si>
  <si>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</si>
  <si>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</si>
  <si>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</si>
  <si>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</si>
  <si>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</si>
  <si>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</si>
  <si>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</si>
  <si>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000250-KOQ</t>
  </si>
  <si>
    <t>Buy</t>
  </si>
  <si>
    <t>Unallocated</t>
  </si>
  <si>
    <t>NSEW</t>
  </si>
  <si>
    <t>NASDAQ</t>
  </si>
  <si>
    <t>MSCOS</t>
  </si>
  <si>
    <t>NYSE</t>
  </si>
  <si>
    <t>Allocation1,Allocation2</t>
  </si>
  <si>
    <t>50,50</t>
  </si>
  <si>
    <t>Blotter</t>
  </si>
  <si>
    <t>VerifyWorkingSubs</t>
  </si>
  <si>
    <t>Filled</t>
  </si>
  <si>
    <t>Market</t>
  </si>
  <si>
    <t>Multiple</t>
  </si>
  <si>
    <t>Allocation</t>
  </si>
  <si>
    <t>CheckUnallocatedGroups</t>
  </si>
  <si>
    <t>SelectUnallocatedGroup</t>
  </si>
  <si>
    <t>EnterAllocatePreference</t>
  </si>
  <si>
    <t>Calculated</t>
  </si>
  <si>
    <t>Prorata</t>
  </si>
  <si>
    <t>CheckAllocatedGroups</t>
  </si>
  <si>
    <t>MS</t>
  </si>
  <si>
    <t>PortfolioManagement</t>
  </si>
  <si>
    <t>CheckPortfolioManagement</t>
  </si>
  <si>
    <t>SetGeneralPreferences</t>
  </si>
  <si>
    <t>Recalculate</t>
  </si>
  <si>
    <t>Unallocate</t>
  </si>
  <si>
    <t>EditUnallocatedGroupSidePanel</t>
  </si>
  <si>
    <t>VerifyOrder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</si>
</sst>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3" fillId="0" borderId="5" xfId="0" applyFont="1" applyBorder="1" applyAlignment="1"/>
    <xf numFmtId="0" fontId="4" fillId="3" borderId="6" xfId="0" applyFont="1" applyFill="1" applyBorder="1" applyAlignment="1"/>
    <xf numFmtId="0" fontId="7" fillId="3" borderId="7" xfId="0" applyFont="1" applyFill="1" applyBorder="1" applyAlignment="1"/>
    <xf numFmtId="0" fontId="3" fillId="3" borderId="7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4" fillId="3" borderId="0" xfId="0" applyFont="1" applyFill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10" fillId="6" borderId="0" xfId="0" applyFont="1" applyFill="1"/>
    <xf numFmtId="14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28" t="s">
        <v>0</v>
      </c>
      <c r="B1" s="29"/>
      <c r="C1" s="29"/>
      <c r="D1" s="29"/>
      <c r="E1" s="29"/>
      <c r="F1" s="3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/>
    <row r="923" spans="1:12" ht="15.75" customHeight="1"/>
    <row r="924" spans="1:12" ht="15.75" customHeight="1"/>
    <row r="925" spans="1:12" ht="15.75" customHeight="1"/>
    <row r="926" spans="1:12" ht="15.75" customHeight="1"/>
    <row r="927" spans="1:12" ht="15.75" customHeight="1"/>
    <row r="928" spans="1:12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31" t="s">
        <v>2</v>
      </c>
      <c r="B1" s="29"/>
      <c r="C1" s="3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"/>
  <sheetViews>
    <sheetView workbookViewId="0"/>
  </sheetViews>
  <sheetFormatPr defaultColWidth="17.28515625" defaultRowHeight="15" customHeight="1"/>
  <sheetData>
    <row r="1" spans="1:6" ht="15" customHeight="1">
      <c r="A1" s="28" t="s">
        <v>7</v>
      </c>
      <c r="B1" s="29"/>
      <c r="C1" s="29"/>
      <c r="D1" s="29"/>
      <c r="E1" s="29"/>
      <c r="F1" s="30"/>
    </row>
    <row r="2" spans="1:6" ht="15" customHeight="1">
      <c r="A2" s="10"/>
      <c r="B2" s="10"/>
      <c r="C2" s="10"/>
      <c r="D2" s="10"/>
      <c r="E2" s="10"/>
      <c r="F2" s="10"/>
    </row>
    <row r="3" spans="1:6" ht="15" customHeight="1">
      <c r="A3" s="11" t="s">
        <v>8</v>
      </c>
      <c r="B3" s="12" t="s">
        <v>9</v>
      </c>
      <c r="C3" s="12" t="s">
        <v>10</v>
      </c>
      <c r="D3" s="13"/>
      <c r="E3" s="13"/>
      <c r="F3" s="13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12</v>
      </c>
      <c r="D3" s="2" t="s">
        <v>9</v>
      </c>
      <c r="E3" s="19" t="s">
        <v>13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tr">
        <f ca="1">IFERROR(__xludf.DUMMYFUNCTION("""COMPUTED_VALUE"""),"EnterDetailsOnTT")</f>
        <v>EnterDetailsOnTT</v>
      </c>
      <c r="D4" s="22" t="str">
        <f ca="1">IFERROR(__xludf.DUMMYFUNCTION("""COMPUTED_VALUE"""),"ValidateSymbolTT")</f>
        <v>ValidateSymbolTT</v>
      </c>
      <c r="E4" s="22" t="str">
        <f ca="1">IFERROR(__xludf.DUMMYFUNCTION("""COMPUTED_VALUE"""),"VerifyDataTT")</f>
        <v>VerifyDataTT</v>
      </c>
      <c r="F4" s="22" t="str">
        <f ca="1">IFERROR(__xludf.DUMMYFUNCTION("""COMPUTED_VALUE"""),"SetUIPreferencesTT")</f>
        <v>SetUIPreferencesTT</v>
      </c>
      <c r="G4" s="22" t="str">
        <f ca="1">IFERROR(__xludf.DUMMYFUNCTION("""COMPUTED_VALUE"""),"SetBrokerWisePreferencesTT")</f>
        <v>SetBrokerWisePreferencesTT</v>
      </c>
      <c r="H4" s="22" t="str">
        <f ca="1">IFERROR(__xludf.DUMMYFUNCTION("""COMPUTED_VALUE"""),"TradeNewSub")</f>
        <v>TradeNewSub</v>
      </c>
      <c r="I4" s="22" t="str">
        <f ca="1">IFERROR(__xludf.DUMMYFUNCTION("""COMPUTED_VALUE"""),"CreateStageOrder")</f>
        <v>CreateStageOrder</v>
      </c>
      <c r="J4" s="22" t="str">
        <f ca="1">IFERROR(__xludf.DUMMYFUNCTION("""COMPUTED_VALUE"""),"CreateReplaceOrder")</f>
        <v>CreateReplaceOrder</v>
      </c>
      <c r="K4" s="22" t="str">
        <f ca="1">IFERROR(__xludf.DUMMYFUNCTION("""COMPUTED_VALUE"""),"SetGeneralPreference")</f>
        <v>SetGeneralPreference</v>
      </c>
      <c r="L4" s="22" t="str">
        <f ca="1">IFERROR(__xludf.DUMMYFUNCTION("""COMPUTED_VALUE"""),"CreateDoneAwayOrder")</f>
        <v>CreateDoneAwayOrder</v>
      </c>
      <c r="M4" s="22" t="str">
        <f ca="1">IFERROR(__xludf.DUMMYFUNCTION("""COMPUTED_VALUE"""),"CreateNewSubOrder")</f>
        <v>CreateNewSubOrder</v>
      </c>
      <c r="N4" s="22" t="str">
        <f ca="1">IFERROR(__xludf.DUMMYFUNCTION("""COMPUTED_VALUE"""),"TradeBloomberg")</f>
        <v>TradeBloomberg</v>
      </c>
      <c r="O4" s="22" t="str">
        <f ca="1">IFERROR(__xludf.DUMMYFUNCTION("""COMPUTED_VALUE"""),"ClickSymbolLookup")</f>
        <v>ClickSymbolLookup</v>
      </c>
      <c r="P4" s="23" t="str">
        <f ca="1">IFERROR(__xludf.DUMMYFUNCTION("""COMPUTED_VALUE"""),"VerifyTT")</f>
        <v>VerifyTT</v>
      </c>
      <c r="Q4" s="23" t="str">
        <f ca="1">IFERROR(__xludf.DUMMYFUNCTION("""COMPUTED_VALUE"""),"CreateLiveOrder")</f>
        <v>CreateLiveOrder</v>
      </c>
      <c r="R4" s="23" t="str">
        <f ca="1">IFERROR(__xludf.DUMMYFUNCTION("""COMPUTED_VALUE"""),"ShowMasterFundOnTT")</f>
        <v>ShowMasterFundOnTT</v>
      </c>
      <c r="S4" s="23" t="str">
        <f ca="1">IFERROR(__xludf.DUMMYFUNCTION("""COMPUTED_VALUE"""),"UpdateMasterFundOnTT")</f>
        <v>UpdateMasterFundOnTT</v>
      </c>
      <c r="T4" s="23" t="str">
        <f ca="1">IFERROR(__xludf.DUMMYFUNCTION("""COMPUTED_VALUE"""),"")</f>
        <v/>
      </c>
      <c r="U4" s="23" t="str">
        <f ca="1">IFERROR(__xludf.DUMMYFUNCTION("""COMPUTED_VALUE"""),"")</f>
        <v/>
      </c>
      <c r="V4" s="23" t="str">
        <f ca="1">IFERROR(__xludf.DUMMYFUNCTION("""COMPUTED_VALUE"""),"")</f>
        <v/>
      </c>
      <c r="W4" s="23" t="str">
        <f ca="1">IFERROR(__xludf.DUMMYFUNCTION("""COMPUTED_VALUE"""),"")</f>
        <v/>
      </c>
      <c r="X4" s="23" t="str">
        <f ca="1">IFERROR(__xludf.DUMMYFUNCTION("""COMPUTED_VALUE"""),"")</f>
        <v/>
      </c>
      <c r="Y4" s="23" t="str">
        <f ca="1">IFERROR(__xludf.DUMMYFUNCTION("""COMPUTED_VALUE"""),"")</f>
        <v/>
      </c>
      <c r="Z4" s="23" t="str">
        <f ca="1">IFERROR(__xludf.DUMMYFUNCTION("""COMPUTED_VALUE"""),"")</f>
        <v/>
      </c>
      <c r="AA4" s="23" t="str">
        <f ca="1">IFERROR(__xludf.DUMMYFUNCTION("""COMPUTED_VALUE"""),"")</f>
        <v/>
      </c>
      <c r="AB4" s="23" t="str">
        <f ca="1">IFERROR(__xludf.DUMMYFUNCTION("""COMPUTED_VALUE"""),"")</f>
        <v/>
      </c>
      <c r="AC4" s="23" t="str">
        <f ca="1">IFERROR(__xludf.DUMMYFUNCTION("""COMPUTED_VALUE"""),"")</f>
        <v/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IFERROR(__xludf.DUMMYFUNCTION("""COMPUTED_VALUE"""),"Symbol")</f>
        <v>Symbol</v>
      </c>
      <c r="C5" s="25" t="str">
        <f ca="1">IFERROR(__xludf.DUMMYFUNCTION("""COMPUTED_VALUE"""),"Order Side")</f>
        <v>Order Side</v>
      </c>
      <c r="D5" s="25" t="str">
        <f ca="1">IFERROR(__xludf.DUMMYFUNCTION("""COMPUTED_VALUE"""),"Quantity")</f>
        <v>Quantity</v>
      </c>
      <c r="E5" s="25" t="str">
        <f ca="1">IFERROR(__xludf.DUMMYFUNCTION("""COMPUTED_VALUE"""),"TargetQuantityIn")</f>
        <v>TargetQuantityIn</v>
      </c>
      <c r="F5" s="25" t="str">
        <f ca="1">IFERROR(__xludf.DUMMYFUNCTION("""COMPUTED_VALUE"""),"AllocationMethod")</f>
        <v>AllocationMethod</v>
      </c>
      <c r="G5" s="25" t="str">
        <f ca="1">IFERROR(__xludf.DUMMYFUNCTION("""COMPUTED_VALUE"""),"Broker")</f>
        <v>Broker</v>
      </c>
      <c r="H5" s="25" t="str">
        <f ca="1">IFERROR(__xludf.DUMMYFUNCTION("""COMPUTED_VALUE"""),"TIF")</f>
        <v>TIF</v>
      </c>
      <c r="I5" s="25" t="str">
        <f ca="1">IFERROR(__xludf.DUMMYFUNCTION("""COMPUTED_VALUE"""),"Order Type")</f>
        <v>Order Type</v>
      </c>
      <c r="J5" s="25" t="str">
        <f ca="1">IFERROR(__xludf.DUMMYFUNCTION("""COMPUTED_VALUE"""),"Price")</f>
        <v>Price</v>
      </c>
      <c r="K5" s="25" t="str">
        <f ca="1">IFERROR(__xludf.DUMMYFUNCTION("""COMPUTED_VALUE"""),"Stop")</f>
        <v>Stop</v>
      </c>
      <c r="L5" s="25" t="str">
        <f ca="1">IFERROR(__xludf.DUMMYFUNCTION("""COMPUTED_VALUE"""),"Limit")</f>
        <v>Limit</v>
      </c>
      <c r="M5" s="25" t="str">
        <f ca="1">IFERROR(__xludf.DUMMYFUNCTION("""COMPUTED_VALUE"""),"Strategy")</f>
        <v>Strategy</v>
      </c>
      <c r="N5" s="25" t="str">
        <f ca="1">IFERROR(__xludf.DUMMYFUNCTION("""COMPUTED_VALUE"""),"Trade Date")</f>
        <v>Trade Date</v>
      </c>
      <c r="O5" s="25" t="str">
        <f ca="1">IFERROR(__xludf.DUMMYFUNCTION("""COMPUTED_VALUE"""),"FxRate")</f>
        <v>FxRate</v>
      </c>
      <c r="P5" s="25" t="str">
        <f ca="1">IFERROR(__xludf.DUMMYFUNCTION("""COMPUTED_VALUE"""),"Notes")</f>
        <v>Notes</v>
      </c>
      <c r="Q5" s="25" t="str">
        <f ca="1">IFERROR(__xludf.DUMMYFUNCTION("""COMPUTED_VALUE"""),"Broker Notes")</f>
        <v>Broker Notes</v>
      </c>
      <c r="R5" s="25" t="str">
        <f ca="1">IFERROR(__xludf.DUMMYFUNCTION("""COMPUTED_VALUE"""),"CommissionBasis")</f>
        <v>CommissionBasis</v>
      </c>
      <c r="S5" s="25" t="str">
        <f ca="1">IFERROR(__xludf.DUMMYFUNCTION("""COMPUTED_VALUE"""),"CommissionRate")</f>
        <v>CommissionRate</v>
      </c>
      <c r="T5" s="26" t="str">
        <f ca="1">IFERROR(__xludf.DUMMYFUNCTION("""COMPUTED_VALUE"""),"SoftBasis")</f>
        <v>SoftBasis</v>
      </c>
      <c r="U5" s="26" t="str">
        <f ca="1">IFERROR(__xludf.DUMMYFUNCTION("""COMPUTED_VALUE"""),"SoftRate")</f>
        <v>SoftRate</v>
      </c>
      <c r="V5" s="26" t="str">
        <f ca="1">IFERROR(__xludf.DUMMYFUNCTION("""COMPUTED_VALUE"""),"TradeAttribute1")</f>
        <v>TradeAttribute1</v>
      </c>
      <c r="W5" s="26" t="str">
        <f ca="1">IFERROR(__xludf.DUMMYFUNCTION("""COMPUTED_VALUE"""),"TradeAttribute2")</f>
        <v>TradeAttribute2</v>
      </c>
      <c r="X5" s="26" t="str">
        <f ca="1">IFERROR(__xludf.DUMMYFUNCTION("""COMPUTED_VALUE"""),"TradeAttribute3")</f>
        <v>TradeAttribute3</v>
      </c>
      <c r="Y5" s="26" t="str">
        <f ca="1">IFERROR(__xludf.DUMMYFUNCTION("""COMPUTED_VALUE"""),"TradeAttribute4")</f>
        <v>TradeAttribute4</v>
      </c>
      <c r="Z5" s="26" t="str">
        <f ca="1">IFERROR(__xludf.DUMMYFUNCTION("""COMPUTED_VALUE"""),"TradeAttribute5")</f>
        <v>TradeAttribute5</v>
      </c>
      <c r="AA5" s="26" t="str">
        <f ca="1">IFERROR(__xludf.DUMMYFUNCTION("""COMPUTED_VALUE"""),"TradeAttribute6")</f>
        <v>TradeAttribute6</v>
      </c>
      <c r="AB5" s="26" t="str">
        <f ca="1">IFERROR(__xludf.DUMMYFUNCTION("""COMPUTED_VALUE"""),"Venue")</f>
        <v>Venue</v>
      </c>
      <c r="AC5" s="26" t="str">
        <f ca="1">IFERROR(__xludf.DUMMYFUNCTION("""COMPUTED_VALUE"""),"ExecutionInstructions")</f>
        <v>ExecutionInstructions</v>
      </c>
      <c r="AD5" s="26" t="str">
        <f ca="1">IFERROR(__xludf.DUMMYFUNCTION("""COMPUTED_VALUE"""),"HandlingInstructions")</f>
        <v>HandlingInstructions</v>
      </c>
      <c r="AE5" s="26" t="str">
        <f ca="1">IFERROR(__xludf.DUMMYFUNCTION("""COMPUTED_VALUE"""),"Trader")</f>
        <v>Trader</v>
      </c>
      <c r="AF5" s="26" t="str">
        <f ca="1">IFERROR(__xludf.DUMMYFUNCTION("""COMPUTED_VALUE"""),"SettlementCurrency")</f>
        <v>SettlementCurrency</v>
      </c>
      <c r="AG5" s="26" t="str">
        <f ca="1">IFERROR(__xludf.DUMMYFUNCTION("""COMPUTED_VALUE"""),"SettlementFXRate")</f>
        <v>SettlementFXRate</v>
      </c>
      <c r="AH5" s="26" t="str">
        <f ca="1">IFERROR(__xludf.DUMMYFUNCTION("""COMPUTED_VALUE"""),"SettlementAmount")</f>
        <v>SettlementAmount</v>
      </c>
      <c r="AI5" s="26" t="str">
        <f ca="1">IFERROR(__xludf.DUMMYFUNCTION("""COMPUTED_VALUE"""),"SettlementFXOperator")</f>
        <v>SettlementFXOperator</v>
      </c>
      <c r="AJ5" s="26" t="str">
        <f ca="1">IFERROR(__xludf.DUMMYFUNCTION("""COMPUTED_VALUE"""),"SettleByBroker")</f>
        <v>SettleByBroker</v>
      </c>
      <c r="AK5" s="26" t="str">
        <f ca="1">IFERROR(__xludf.DUMMYFUNCTION("""COMPUTED_VALUE"""),"Account")</f>
        <v>Account</v>
      </c>
      <c r="AL5" s="26" t="str">
        <f ca="1">IFERROR(__xludf.DUMMYFUNCTION("""COMPUTED_VALUE"""),"Account %")</f>
        <v>Account %</v>
      </c>
      <c r="AM5" s="26" t="str">
        <f ca="1">IFERROR(__xludf.DUMMYFUNCTION("""COMPUTED_VALUE"""),"Deal In")</f>
        <v>Deal In</v>
      </c>
      <c r="AN5" s="26" t="str">
        <f ca="1">IFERROR(__xludf.DUMMYFUNCTION("""COMPUTED_VALUE"""),"ChkBoxBookAsSwap")</f>
        <v>ChkBoxBookAsSwap</v>
      </c>
      <c r="AO5" s="26" t="str">
        <f ca="1">IFERROR(__xludf.DUMMYFUNCTION("""COMPUTED_VALUE"""),"")</f>
        <v/>
      </c>
      <c r="AP5" s="26" t="str">
        <f ca="1">IFERROR(__xludf.DUMMYFUNCTION("""COMPUTED_VALUE"""),"")</f>
        <v/>
      </c>
      <c r="AQ5" s="26" t="str">
        <f ca="1">IFERROR(__xludf.DUMMYFUNCTION("""COMPUTED_VALUE"""),"")</f>
        <v/>
      </c>
      <c r="AR5" s="26" t="str">
        <f ca="1">IFERROR(__xludf.DUMMYFUNCTION("""COMPUTED_VALUE"""),"")</f>
        <v/>
      </c>
      <c r="AS5" s="26" t="str">
        <f ca="1">IFERROR(__xludf.DUMMYFUNCTION("""COMPUTED_VALUE"""),"")</f>
        <v/>
      </c>
      <c r="AT5" s="26" t="str">
        <f ca="1">IFERROR(__xludf.DUMMYFUNCTION("""COMPUTED_VALUE"""),"")</f>
        <v/>
      </c>
      <c r="AU5" s="26" t="str">
        <f ca="1">IFERROR(__xludf.DUMMYFUNCTION("""COMPUTED_VALUE"""),"")</f>
        <v/>
      </c>
      <c r="AV5" s="26" t="str">
        <f ca="1">IFERROR(__xludf.DUMMYFUNCTION("""COMPUTED_VALUE"""),"")</f>
        <v/>
      </c>
      <c r="AW5" s="26" t="str">
        <f ca="1">IFERROR(__xludf.DUMMYFUNCTION("""COMPUTED_VALUE"""),"")</f>
        <v/>
      </c>
      <c r="AX5" s="26" t="str">
        <f ca="1">IFERROR(__xludf.DUMMYFUNCTION("""COMPUTED_VALUE"""),"")</f>
        <v/>
      </c>
      <c r="AY5" s="26" t="str">
        <f ca="1">IFERROR(__xludf.DUMMYFUNCTION("""COMPUTED_VALUE"""),"")</f>
        <v/>
      </c>
      <c r="AZ5" s="26" t="str">
        <f ca="1">IFERROR(__xludf.DUMMYFUNCTION("""COMPUTED_VALUE"""),"")</f>
        <v/>
      </c>
      <c r="BA5" s="26" t="str">
        <f ca="1">IFERROR(__xludf.DUMMYFUNCTION("""COMPUTED_VALUE"""),"")</f>
        <v/>
      </c>
      <c r="BB5" s="26" t="str">
        <f ca="1">IFERROR(__xludf.DUMMYFUNCTION("""COMPUTED_VALUE"""),"")</f>
        <v/>
      </c>
      <c r="BC5" s="26" t="str">
        <f ca="1">IFERROR(__xludf.DUMMYFUNCTION("""COMPUTED_VALUE"""),"")</f>
        <v/>
      </c>
      <c r="BD5" s="26" t="str">
        <f ca="1">IFERROR(__xludf.DUMMYFUNCTION("""COMPUTED_VALUE"""),"")</f>
        <v/>
      </c>
      <c r="BE5" s="26" t="str">
        <f ca="1">IFERROR(__xludf.DUMMYFUNCTION("""COMPUTED_VALUE"""),"")</f>
        <v/>
      </c>
      <c r="BF5" s="26" t="str">
        <f ca="1">IFERROR(__xludf.DUMMYFUNCTION("""COMPUTED_VALUE"""),"")</f>
        <v/>
      </c>
      <c r="BG5" s="26" t="str">
        <f ca="1">IFERROR(__xludf.DUMMYFUNCTION("""COMPUTED_VALUE"""),"")</f>
        <v/>
      </c>
      <c r="BH5" s="26" t="str">
        <f ca="1">IFERROR(__xludf.DUMMYFUNCTION("""COMPUTED_VALUE"""),"")</f>
        <v/>
      </c>
      <c r="BI5" s="26" t="str">
        <f ca="1">IFERROR(__xludf.DUMMYFUNCTION("""COMPUTED_VALUE"""),"")</f>
        <v/>
      </c>
      <c r="BJ5" s="26" t="str">
        <f ca="1">IFERROR(__xludf.DUMMYFUNCTION("""COMPUTED_VALUE"""),"")</f>
        <v/>
      </c>
      <c r="BK5" s="26" t="str">
        <f ca="1">IFERROR(__xludf.DUMMYFUNCTION("""COMPUTED_VALUE"""),"")</f>
        <v/>
      </c>
      <c r="BL5" s="26" t="str">
        <f ca="1">IFERROR(__xludf.DUMMYFUNCTION("""COMPUTED_VALUE"""),"")</f>
        <v/>
      </c>
      <c r="BM5" s="26" t="str">
        <f ca="1">IFERROR(__xludf.DUMMYFUNCTION("""COMPUTED_VALUE"""),"")</f>
        <v/>
      </c>
      <c r="BN5" s="26" t="str">
        <f ca="1">IFERROR(__xludf.DUMMYFUNCTION("""COMPUTED_VALUE"""),"")</f>
        <v/>
      </c>
      <c r="BO5" s="26" t="str">
        <f ca="1">IFERROR(__xludf.DUMMYFUNCTION("""COMPUTED_VALUE"""),"")</f>
        <v/>
      </c>
      <c r="BP5" s="26" t="str">
        <f ca="1">IFERROR(__xludf.DUMMYFUNCTION("""COMPUTED_VALUE"""),"")</f>
        <v/>
      </c>
      <c r="BQ5" s="26" t="str">
        <f ca="1">IFERROR(__xludf.DUMMYFUNCTION("""COMPUTED_VALUE"""),"")</f>
        <v/>
      </c>
      <c r="BR5" s="26" t="str">
        <f ca="1">IFERROR(__xludf.DUMMYFUNCTION("""COMPUTED_VALUE"""),"")</f>
        <v/>
      </c>
      <c r="BS5" s="26" t="str">
        <f ca="1">IFERROR(__xludf.DUMMYFUNCTION("""COMPUTED_VALUE"""),"")</f>
        <v/>
      </c>
      <c r="BT5" s="26" t="str">
        <f ca="1">IFERROR(__xludf.DUMMYFUNCTION("""COMPUTED_VALUE"""),"")</f>
        <v/>
      </c>
      <c r="BU5" s="26" t="str">
        <f ca="1">IFERROR(__xludf.DUMMYFUNCTION("""COMPUTED_VALUE"""),"")</f>
        <v/>
      </c>
      <c r="BV5" s="26" t="str">
        <f ca="1">IFERROR(__xludf.DUMMYFUNCTION("""COMPUTED_VALUE"""),"")</f>
        <v/>
      </c>
      <c r="BW5" s="26" t="str">
        <f ca="1">IFERROR(__xludf.DUMMYFUNCTION("""COMPUTED_VALUE"""),"")</f>
        <v/>
      </c>
      <c r="BX5" s="26" t="str">
        <f ca="1">IFERROR(__xludf.DUMMYFUNCTION("""COMPUTED_VALUE"""),"")</f>
        <v/>
      </c>
      <c r="BY5" s="26" t="str">
        <f ca="1">IFERROR(__xludf.DUMMYFUNCTION("""COMPUTED_VALUE"""),"")</f>
        <v/>
      </c>
      <c r="BZ5" s="26" t="str">
        <f ca="1">IFERROR(__xludf.DUMMYFUNCTION("""COMPUTED_VALUE"""),"")</f>
        <v/>
      </c>
      <c r="CA5" s="26" t="str">
        <f ca="1">IFERROR(__xludf.DUMMYFUNCTION("""COMPUTED_VALUE"""),"")</f>
        <v/>
      </c>
      <c r="CB5" s="26" t="str">
        <f ca="1">IFERROR(__xludf.DUMMYFUNCTION("""COMPUTED_VALUE"""),"")</f>
        <v/>
      </c>
      <c r="CC5" s="26" t="str">
        <f ca="1">IFERROR(__xludf.DUMMYFUNCTION("""COMPUTED_VALUE"""),"")</f>
        <v/>
      </c>
      <c r="CD5" s="26" t="str">
        <f ca="1">IFERROR(__xludf.DUMMYFUNCTION("""COMPUTED_VALUE"""),"")</f>
        <v/>
      </c>
      <c r="CE5" s="26" t="str">
        <f ca="1">IFERROR(__xludf.DUMMYFUNCTION("""COMPUTED_VALUE"""),"")</f>
        <v/>
      </c>
      <c r="CF5" s="26" t="str">
        <f ca="1">IFERROR(__xludf.DUMMYFUNCTION("""COMPUTED_VALUE"""),"")</f>
        <v/>
      </c>
      <c r="CG5" s="26" t="str">
        <f ca="1">IFERROR(__xludf.DUMMYFUNCTION("""COMPUTED_VALUE"""),"")</f>
        <v/>
      </c>
      <c r="CH5" s="26" t="str">
        <f ca="1">IFERROR(__xludf.DUMMYFUNCTION("""COMPUTED_VALUE"""),"")</f>
        <v/>
      </c>
      <c r="CI5" s="26" t="str">
        <f ca="1">IFERROR(__xludf.DUMMYFUNCTION("""COMPUTED_VALUE"""),"")</f>
        <v/>
      </c>
      <c r="CJ5" s="26" t="str">
        <f ca="1">IFERROR(__xludf.DUMMYFUNCTION("""COMPUTED_VALUE"""),"")</f>
        <v/>
      </c>
      <c r="CK5" s="26" t="str">
        <f ca="1">IFERROR(__xludf.DUMMYFUNCTION("""COMPUTED_VALUE"""),"")</f>
        <v/>
      </c>
      <c r="CL5" s="26" t="str">
        <f ca="1">IFERROR(__xludf.DUMMYFUNCTION("""COMPUTED_VALUE"""),"")</f>
        <v/>
      </c>
      <c r="CM5" s="26" t="str">
        <f ca="1">IFERROR(__xludf.DUMMYFUNCTION("""COMPUTED_VALUE"""),"")</f>
        <v/>
      </c>
      <c r="CN5" s="26" t="str">
        <f ca="1">IFERROR(__xludf.DUMMYFUNCTION("""COMPUTED_VALUE"""),"")</f>
        <v/>
      </c>
      <c r="CO5" s="26" t="str">
        <f ca="1">IFERROR(__xludf.DUMMYFUNCTION("""COMPUTED_VALUE"""),"")</f>
        <v/>
      </c>
      <c r="CP5" s="26" t="str">
        <f ca="1">IFERROR(__xludf.DUMMYFUNCTION("""COMPUTED_VALUE"""),"")</f>
        <v/>
      </c>
      <c r="CQ5" s="26" t="str">
        <f ca="1">IFERROR(__xludf.DUMMYFUNCTION("""COMPUTED_VALUE"""),"")</f>
        <v/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16</v>
      </c>
      <c r="C6" s="6" t="s">
        <v>17</v>
      </c>
      <c r="D6" s="6">
        <v>100</v>
      </c>
      <c r="F6" s="6" t="s">
        <v>18</v>
      </c>
      <c r="G6" s="6" t="s">
        <v>19</v>
      </c>
      <c r="J6" s="6">
        <v>10</v>
      </c>
      <c r="R6" s="6"/>
      <c r="S6" s="6"/>
      <c r="T6" s="6"/>
      <c r="U6" s="6"/>
      <c r="AB6" s="6" t="s">
        <v>20</v>
      </c>
    </row>
    <row r="7" spans="1:153" ht="15.75" customHeight="1">
      <c r="A7" s="5"/>
      <c r="B7" s="6" t="s">
        <v>16</v>
      </c>
      <c r="C7" s="7" t="s">
        <v>17</v>
      </c>
      <c r="D7" s="7">
        <v>100</v>
      </c>
      <c r="E7" s="5"/>
      <c r="F7" s="6" t="s">
        <v>18</v>
      </c>
      <c r="G7" s="7" t="s">
        <v>21</v>
      </c>
      <c r="H7" s="5"/>
      <c r="I7" s="5"/>
      <c r="J7" s="6">
        <v>10</v>
      </c>
      <c r="K7" s="5"/>
      <c r="L7" s="5"/>
      <c r="M7" s="5"/>
      <c r="N7" s="5"/>
      <c r="O7" s="5"/>
      <c r="R7" s="6"/>
      <c r="S7" s="6"/>
      <c r="T7" s="6"/>
      <c r="U7" s="6"/>
      <c r="AB7" s="6" t="s">
        <v>22</v>
      </c>
    </row>
    <row r="8" spans="1:153" ht="15.75" customHeight="1">
      <c r="A8" s="5"/>
      <c r="B8" s="6" t="s">
        <v>16</v>
      </c>
      <c r="C8" s="7" t="s">
        <v>17</v>
      </c>
      <c r="D8" s="7">
        <v>200</v>
      </c>
      <c r="E8" s="5"/>
      <c r="F8" s="5"/>
      <c r="G8" s="7"/>
      <c r="H8" s="5"/>
      <c r="I8" s="5"/>
      <c r="J8" s="7">
        <v>10</v>
      </c>
      <c r="K8" s="5"/>
      <c r="L8" s="5"/>
      <c r="M8" s="5"/>
      <c r="N8" s="5"/>
      <c r="O8" s="5"/>
      <c r="AK8" s="6" t="s">
        <v>23</v>
      </c>
      <c r="AL8" s="6" t="s">
        <v>24</v>
      </c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25</v>
      </c>
      <c r="D3" s="2" t="s">
        <v>9</v>
      </c>
      <c r="E3" s="19" t="s">
        <v>26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IFERROR(__xludf.DUMMYFUNCTION("IF(C3="""","""",Transpose(IMPORTRANGE('_Settings'!$B$3,C3&amp;""!A4:A1000"")))"),"ReplaceFillsOnBlotter")</f>
        <v>ReplaceFillsOnBlotter</v>
      </c>
      <c r="C4" s="22" t="str">
        <f ca="1">IFERROR(__xludf.DUMMYFUNCTION("""COMPUTED_VALUE"""),"CheckBlotter")</f>
        <v>CheckBlotter</v>
      </c>
      <c r="D4" s="22" t="str">
        <f ca="1">IFERROR(__xludf.DUMMYFUNCTION("""COMPUTED_VALUE"""),"BlotterFunctionalities")</f>
        <v>BlotterFunctionalities</v>
      </c>
      <c r="E4" s="22" t="str">
        <f ca="1">IFERROR(__xludf.DUMMYFUNCTION("""COMPUTED_VALUE"""),"TransferToUserWorkingSubs")</f>
        <v>TransferToUserWorkingSubs</v>
      </c>
      <c r="F4" s="22" t="str">
        <f ca="1">IFERROR(__xludf.DUMMYFUNCTION("""COMPUTED_VALUE"""),"CancelWorkingSubs")</f>
        <v>CancelWorkingSubs</v>
      </c>
      <c r="G4" s="22" t="str">
        <f ca="1">IFERROR(__xludf.DUMMYFUNCTION("""COMPUTED_VALUE"""),"ReplaceWorkingSubs")</f>
        <v>ReplaceWorkingSubs</v>
      </c>
      <c r="H4" s="22" t="str">
        <f ca="1">IFERROR(__xludf.DUMMYFUNCTION("""COMPUTED_VALUE"""),"ViewAllocationDetailsWorkingSub")</f>
        <v>ViewAllocationDetailsWorkingSub</v>
      </c>
      <c r="I4" s="22" t="str">
        <f ca="1">IFERROR(__xludf.DUMMYFUNCTION("""COMPUTED_VALUE"""),"SelectTradeOnOrderGrid")</f>
        <v>SelectTradeOnOrderGrid</v>
      </c>
      <c r="J4" s="22" t="str">
        <f ca="1">IFERROR(__xludf.DUMMYFUNCTION("""COMPUTED_VALUE"""),"ShowDetailsForAlgoTradeSubOrder")</f>
        <v>ShowDetailsForAlgoTradeSubOrder</v>
      </c>
      <c r="K4" s="22" t="str">
        <f ca="1">IFERROR(__xludf.DUMMYFUNCTION("""COMPUTED_VALUE"""),"SelectTradeOrderBlotter")</f>
        <v>SelectTradeOrderBlotter</v>
      </c>
      <c r="L4" s="22" t="str">
        <f ca="1">IFERROR(__xludf.DUMMYFUNCTION("""COMPUTED_VALUE"""),"AddFillsWorkingSubs")</f>
        <v>AddFillsWorkingSubs</v>
      </c>
      <c r="M4" s="22" t="str">
        <f ca="1">IFERROR(__xludf.DUMMYFUNCTION("""COMPUTED_VALUE"""),"EditAddFillsDetails")</f>
        <v>EditAddFillsDetails</v>
      </c>
      <c r="N4" s="22" t="str">
        <f ca="1">IFERROR(__xludf.DUMMYFUNCTION("""COMPUTED_VALUE"""),"ShowDetailsForAlgoTradeWorkingSubs")</f>
        <v>ShowDetailsForAlgoTradeWorkingSubs</v>
      </c>
      <c r="O4" s="22" t="str">
        <f ca="1">IFERROR(__xludf.DUMMYFUNCTION("""COMPUTED_VALUE"""),"VerifyWorkingSubs")</f>
        <v>VerifyWorkingSubs</v>
      </c>
      <c r="P4" s="23" t="str">
        <f ca="1">IFERROR(__xludf.DUMMYFUNCTION("""COMPUTED_VALUE"""),"TransferToUserOrder")</f>
        <v>TransferToUserOrder</v>
      </c>
      <c r="Q4" s="23" t="str">
        <f ca="1">IFERROR(__xludf.DUMMYFUNCTION("""COMPUTED_VALUE"""),"EditOrder")</f>
        <v>EditOrder</v>
      </c>
      <c r="R4" s="23" t="str">
        <f ca="1">IFERROR(__xludf.DUMMYFUNCTION("""COMPUTED_VALUE"""),"SelectTradeSubOrderBlotter")</f>
        <v>SelectTradeSubOrderBlotter</v>
      </c>
      <c r="S4" s="23" t="str">
        <f ca="1">IFERROR(__xludf.DUMMYFUNCTION("""COMPUTED_VALUE"""),"VerifyOrder")</f>
        <v>VerifyOrder</v>
      </c>
      <c r="T4" s="23" t="str">
        <f ca="1">IFERROR(__xludf.DUMMYFUNCTION("""COMPUTED_VALUE"""),"VerifySubOrder")</f>
        <v>VerifySubOrder</v>
      </c>
      <c r="U4" s="23" t="str">
        <f ca="1">IFERROR(__xludf.DUMMYFUNCTION("""COMPUTED_VALUE"""),"RemoveSelectedOrders")</f>
        <v>RemoveSelectedOrders</v>
      </c>
      <c r="V4" s="23" t="str">
        <f ca="1">IFERROR(__xludf.DUMMYFUNCTION("""COMPUTED_VALUE"""),"CancelAllSelectedSubs")</f>
        <v>CancelAllSelectedSubs</v>
      </c>
      <c r="W4" s="23" t="str">
        <f ca="1">IFERROR(__xludf.DUMMYFUNCTION("""COMPUTED_VALUE"""),"MultiTradingTicket")</f>
        <v>MultiTradingTicket</v>
      </c>
      <c r="X4" s="23" t="str">
        <f ca="1">IFERROR(__xludf.DUMMYFUNCTION("""COMPUTED_VALUE"""),"AuditTrailOrderBlotter")</f>
        <v>AuditTrailOrderBlotter</v>
      </c>
      <c r="Y4" s="23" t="str">
        <f ca="1">IFERROR(__xludf.DUMMYFUNCTION("""COMPUTED_VALUE"""),"TradeNewSubOrder")</f>
        <v>TradeNewSubOrder</v>
      </c>
      <c r="Z4" s="23" t="str">
        <f ca="1">IFERROR(__xludf.DUMMYFUNCTION("""COMPUTED_VALUE"""),"RemoveStageOrder")</f>
        <v>RemoveStageOrder</v>
      </c>
      <c r="AA4" s="23" t="str">
        <f ca="1">IFERROR(__xludf.DUMMYFUNCTION("""COMPUTED_VALUE"""),"TransferToUserSubOrder")</f>
        <v>TransferToUserSubOrder</v>
      </c>
      <c r="AB4" s="23" t="str">
        <f ca="1">IFERROR(__xludf.DUMMYFUNCTION("""COMPUTED_VALUE"""),"DetailsForAlgoTradeOrder")</f>
        <v>DetailsForAlgoTradeOrder</v>
      </c>
      <c r="AC4" s="23" t="str">
        <f ca="1">IFERROR(__xludf.DUMMYFUNCTION("""COMPUTED_VALUE"""),"AddFillsSubOrder")</f>
        <v>AddFillsSubOrder</v>
      </c>
      <c r="AD4" s="23" t="str">
        <f ca="1">IFERROR(__xludf.DUMMYFUNCTION("""COMPUTED_VALUE"""),"ViewAllocationDetailsSubOrder")</f>
        <v>ViewAllocationDetailsSubOrder</v>
      </c>
      <c r="AE4" s="23" t="str">
        <f ca="1">IFERROR(__xludf.DUMMYFUNCTION("""COMPUTED_VALUE"""),"CancelAllSubs")</f>
        <v>CancelAllSubs</v>
      </c>
      <c r="AF4" s="23" t="str">
        <f ca="1">IFERROR(__xludf.DUMMYFUNCTION("""COMPUTED_VALUE"""),"CancelSubOrder")</f>
        <v>CancelSubOrder</v>
      </c>
      <c r="AG4" s="23" t="str">
        <f ca="1">IFERROR(__xludf.DUMMYFUNCTION("""COMPUTED_VALUE"""),"EditStageOrder")</f>
        <v>EditStageOrder</v>
      </c>
      <c r="AH4" s="23" t="str">
        <f ca="1">IFERROR(__xludf.DUMMYFUNCTION("""COMPUTED_VALUE"""),"ReplaceSubOrder")</f>
        <v>ReplaceSubOrder</v>
      </c>
      <c r="AI4" s="23" t="str">
        <f ca="1">IFERROR(__xludf.DUMMYFUNCTION("""COMPUTED_VALUE"""),"SelectTradeWorkingSubsBlotter")</f>
        <v>SelectTradeWorkingSubsBlotter</v>
      </c>
      <c r="AJ4" s="23" t="str">
        <f ca="1">IFERROR(__xludf.DUMMYFUNCTION("""COMPUTED_VALUE"""),"VerifyAlgoDetails")</f>
        <v>VerifyAlgoDetails</v>
      </c>
      <c r="AK4" s="23" t="str">
        <f ca="1">IFERROR(__xludf.DUMMYFUNCTION("""COMPUTED_VALUE"""),"VerifyTransferToUserOrder")</f>
        <v>VerifyTransferToUserOrder</v>
      </c>
      <c r="AL4" s="23" t="str">
        <f ca="1">IFERROR(__xludf.DUMMYFUNCTION("""COMPUTED_VALUE"""),"VerifyTransferToUserSubOdr")</f>
        <v>VerifyTransferToUserSubOdr</v>
      </c>
      <c r="AM4" s="23" t="str">
        <f ca="1">IFERROR(__xludf.DUMMYFUNCTION("""COMPUTED_VALUE"""),"VerifyTransferToUserWorkSub")</f>
        <v>VerifyTransferToUserWorkSub</v>
      </c>
      <c r="AN4" s="23" t="str">
        <f ca="1">IFERROR(__xludf.DUMMYFUNCTION("""COMPUTED_VALUE"""),"SaveLayoutOrderGrid")</f>
        <v>SaveLayoutOrderGrid</v>
      </c>
      <c r="AO4" s="23" t="str">
        <f ca="1">IFERROR(__xludf.DUMMYFUNCTION("""COMPUTED_VALUE"""),"ReplaceStageOrder")</f>
        <v>ReplaceStageOrder</v>
      </c>
      <c r="AP4" s="23" t="str">
        <f ca="1">IFERROR(__xludf.DUMMYFUNCTION("""COMPUTED_VALUE"""),"MultiTradingTicketFromBlotter")</f>
        <v>MultiTradingTicketFromBlotter</v>
      </c>
      <c r="AQ4" s="23" t="str">
        <f ca="1">IFERROR(__xludf.DUMMYFUNCTION("""COMPUTED_VALUE"""),"VerifyViewAllocationDetails")</f>
        <v>VerifyViewAllocationDetails</v>
      </c>
      <c r="AR4" s="23" t="str">
        <f ca="1">IFERROR(__xludf.DUMMYFUNCTION("""COMPUTED_VALUE"""),"GoToAllocation")</f>
        <v>GoToAllocation</v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IFERROR(__xludf.DUMMYFUNCTION("""COMPUTED_VALUE"""),"Symbol")</f>
        <v>Symbol</v>
      </c>
      <c r="C5" s="25" t="str">
        <f ca="1">IFERROR(__xludf.DUMMYFUNCTION("""COMPUTED_VALUE"""),"Side")</f>
        <v>Side</v>
      </c>
      <c r="D5" s="25" t="str">
        <f ca="1">IFERROR(__xludf.DUMMYFUNCTION("""COMPUTED_VALUE"""),"Quantity")</f>
        <v>Quantity</v>
      </c>
      <c r="E5" s="25" t="str">
        <f ca="1">IFERROR(__xludf.DUMMYFUNCTION("""COMPUTED_VALUE"""),"Executed Qty")</f>
        <v>Executed Qty</v>
      </c>
      <c r="F5" s="25" t="str">
        <f ca="1">IFERROR(__xludf.DUMMYFUNCTION("""COMPUTED_VALUE"""),"Unexecuted Qty")</f>
        <v>Unexecuted Qty</v>
      </c>
      <c r="G5" s="25" t="str">
        <f ca="1">IFERROR(__xludf.DUMMYFUNCTION("""COMPUTED_VALUE"""),"Status")</f>
        <v>Status</v>
      </c>
      <c r="H5" s="25" t="str">
        <f ca="1">IFERROR(__xludf.DUMMYFUNCTION("""COMPUTED_VALUE"""),"Last Shares")</f>
        <v>Last Shares</v>
      </c>
      <c r="I5" s="25" t="str">
        <f ca="1">IFERROR(__xludf.DUMMYFUNCTION("""COMPUTED_VALUE"""),"Last Fill Price (Local)")</f>
        <v>Last Fill Price (Local)</v>
      </c>
      <c r="J5" s="25" t="str">
        <f ca="1">IFERROR(__xludf.DUMMYFUNCTION("""COMPUTED_VALUE"""),"Avg Fill Price (Local)")</f>
        <v>Avg Fill Price (Local)</v>
      </c>
      <c r="K5" s="25" t="str">
        <f ca="1">IFERROR(__xludf.DUMMYFUNCTION("""COMPUTED_VALUE"""),"Broker")</f>
        <v>Broker</v>
      </c>
      <c r="L5" s="25" t="str">
        <f ca="1">IFERROR(__xludf.DUMMYFUNCTION("""COMPUTED_VALUE"""),"Account")</f>
        <v>Account</v>
      </c>
      <c r="M5" s="25" t="str">
        <f ca="1">IFERROR(__xludf.DUMMYFUNCTION("""COMPUTED_VALUE"""),"Order Type")</f>
        <v>Order Type</v>
      </c>
      <c r="N5" s="25" t="str">
        <f ca="1">IFERROR(__xludf.DUMMYFUNCTION("""COMPUTED_VALUE"""),"OrderStatus")</f>
        <v>OrderStatus</v>
      </c>
      <c r="O5" s="25" t="str">
        <f ca="1">IFERROR(__xludf.DUMMYFUNCTION("""COMPUTED_VALUE"""),"Avg Fill Price (Base)")</f>
        <v>Avg Fill Price (Base)</v>
      </c>
      <c r="P5" s="25" t="str">
        <f ca="1">IFERROR(__xludf.DUMMYFUNCTION("""COMPUTED_VALUE"""),"Limit Price")</f>
        <v>Limit Price</v>
      </c>
      <c r="Q5" s="25" t="str">
        <f ca="1">IFERROR(__xludf.DUMMYFUNCTION("""COMPUTED_VALUE"""),"Stop Price")</f>
        <v>Stop Price</v>
      </c>
      <c r="R5" s="25" t="str">
        <f ca="1">IFERROR(__xludf.DUMMYFUNCTION("""COMPUTED_VALUE"""),"User")</f>
        <v>User</v>
      </c>
      <c r="S5" s="25" t="str">
        <f ca="1">IFERROR(__xludf.DUMMYFUNCTION("""COMPUTED_VALUE"""),"Bloomberg Symbol")</f>
        <v>Bloomberg Symbol</v>
      </c>
      <c r="T5" s="26" t="str">
        <f ca="1">IFERROR(__xludf.DUMMYFUNCTION("""COMPUTED_VALUE"""),"Algo")</f>
        <v>Algo</v>
      </c>
      <c r="U5" s="26" t="str">
        <f ca="1">IFERROR(__xludf.DUMMYFUNCTION("""COMPUTED_VALUE"""),"Allocation Scheme Name")</f>
        <v>Allocation Scheme Name</v>
      </c>
      <c r="V5" s="26" t="str">
        <f ca="1">IFERROR(__xludf.DUMMYFUNCTION("""COMPUTED_VALUE"""),"Allocation Status")</f>
        <v>Allocation Status</v>
      </c>
      <c r="W5" s="26" t="str">
        <f ca="1">IFERROR(__xludf.DUMMYFUNCTION("""COMPUTED_VALUE"""),"Asset Class")</f>
        <v>Asset Class</v>
      </c>
      <c r="X5" s="26" t="str">
        <f ca="1">IFERROR(__xludf.DUMMYFUNCTION("""COMPUTED_VALUE"""),"FX Conversion Operator")</f>
        <v>FX Conversion Operator</v>
      </c>
      <c r="Y5" s="26" t="str">
        <f ca="1">IFERROR(__xludf.DUMMYFUNCTION("""COMPUTED_VALUE"""),"FX Rate")</f>
        <v>FX Rate</v>
      </c>
      <c r="Z5" s="26" t="str">
        <f ca="1">IFERROR(__xludf.DUMMYFUNCTION("""COMPUTED_VALUE"""),"Imported File Name")</f>
        <v>Imported File Name</v>
      </c>
      <c r="AA5" s="26" t="str">
        <f ca="1">IFERROR(__xludf.DUMMYFUNCTION("""COMPUTED_VALUE"""),"Internal Comments")</f>
        <v>Internal Comments</v>
      </c>
      <c r="AB5" s="26" t="str">
        <f ca="1">IFERROR(__xludf.DUMMYFUNCTION("""COMPUTED_VALUE"""),"Peg")</f>
        <v>Peg</v>
      </c>
      <c r="AC5" s="26" t="str">
        <f ca="1">IFERROR(__xludf.DUMMYFUNCTION("""COMPUTED_VALUE"""),"Principal Amount (Base)")</f>
        <v>Principal Amount (Base)</v>
      </c>
      <c r="AD5" s="26" t="str">
        <f ca="1">IFERROR(__xludf.DUMMYFUNCTION("""COMPUTED_VALUE"""),"Principal Amount (Local)")</f>
        <v>Principal Amount (Local)</v>
      </c>
      <c r="AE5" s="26" t="str">
        <f ca="1">IFERROR(__xludf.DUMMYFUNCTION("""COMPUTED_VALUE"""),"Process Date")</f>
        <v>Process Date</v>
      </c>
      <c r="AF5" s="26" t="str">
        <f ca="1">IFERROR(__xludf.DUMMYFUNCTION("""COMPUTED_VALUE"""),"Put/Call")</f>
        <v>Put/Call</v>
      </c>
      <c r="AG5" s="26" t="str">
        <f ca="1">IFERROR(__xludf.DUMMYFUNCTION("""COMPUTED_VALUE"""),"Settlement Currency")</f>
        <v>Settlement Currency</v>
      </c>
      <c r="AH5" s="26" t="str">
        <f ca="1">IFERROR(__xludf.DUMMYFUNCTION("""COMPUTED_VALUE"""),"Source")</f>
        <v>Source</v>
      </c>
      <c r="AI5" s="26" t="str">
        <f ca="1">IFERROR(__xludf.DUMMYFUNCTION("""COMPUTED_VALUE"""),"Status (With Rollover)")</f>
        <v>Status (With Rollover)</v>
      </c>
      <c r="AJ5" s="26" t="str">
        <f ca="1">IFERROR(__xludf.DUMMYFUNCTION("""COMPUTED_VALUE"""),"Strategy")</f>
        <v>Strategy</v>
      </c>
      <c r="AK5" s="26" t="str">
        <f ca="1">IFERROR(__xludf.DUMMYFUNCTION("""COMPUTED_VALUE"""),"Strike Price")</f>
        <v>Strike Price</v>
      </c>
      <c r="AL5" s="26" t="str">
        <f ca="1">IFERROR(__xludf.DUMMYFUNCTION("""COMPUTED_VALUE"""),"Trade Attribute 1")</f>
        <v>Trade Attribute 1</v>
      </c>
      <c r="AM5" s="26" t="str">
        <f ca="1">IFERROR(__xludf.DUMMYFUNCTION("""COMPUTED_VALUE"""),"Trade Attribute 2")</f>
        <v>Trade Attribute 2</v>
      </c>
      <c r="AN5" s="26" t="str">
        <f ca="1">IFERROR(__xludf.DUMMYFUNCTION("""COMPUTED_VALUE"""),"Trade Attribute 3")</f>
        <v>Trade Attribute 3</v>
      </c>
      <c r="AO5" s="26" t="str">
        <f ca="1">IFERROR(__xludf.DUMMYFUNCTION("""COMPUTED_VALUE"""),"Trade Attribute 4")</f>
        <v>Trade Attribute 4</v>
      </c>
      <c r="AP5" s="26" t="str">
        <f ca="1">IFERROR(__xludf.DUMMYFUNCTION("""COMPUTED_VALUE"""),"Trade Attribute 5")</f>
        <v>Trade Attribute 5</v>
      </c>
      <c r="AQ5" s="26" t="str">
        <f ca="1">IFERROR(__xludf.DUMMYFUNCTION("""COMPUTED_VALUE"""),"Trade Attribute 6")</f>
        <v>Trade Attribute 6</v>
      </c>
      <c r="AR5" s="26" t="str">
        <f ca="1">IFERROR(__xludf.DUMMYFUNCTION("""COMPUTED_VALUE"""),"Trader")</f>
        <v>Trader</v>
      </c>
      <c r="AS5" s="26" t="str">
        <f ca="1">IFERROR(__xludf.DUMMYFUNCTION("""COMPUTED_VALUE"""),"Transaction Time")</f>
        <v>Transaction Time</v>
      </c>
      <c r="AT5" s="26" t="str">
        <f ca="1">IFERROR(__xludf.DUMMYFUNCTION("""COMPUTED_VALUE"""),"Underlying Country")</f>
        <v>Underlying Country</v>
      </c>
      <c r="AU5" s="26" t="str">
        <f ca="1">IFERROR(__xludf.DUMMYFUNCTION("""COMPUTED_VALUE"""),"Underlying Symbol")</f>
        <v>Underlying Symbol</v>
      </c>
      <c r="AV5" s="26" t="str">
        <f ca="1">IFERROR(__xludf.DUMMYFUNCTION("""COMPUTED_VALUE"""),"Venue")</f>
        <v>Venue</v>
      </c>
      <c r="AW5" s="26" t="str">
        <f ca="1">IFERROR(__xludf.DUMMYFUNCTION("""COMPUTED_VALUE"""),"Working Qty")</f>
        <v>Working Qty</v>
      </c>
      <c r="AX5" s="26" t="str">
        <f ca="1">IFERROR(__xludf.DUMMYFUNCTION("""COMPUTED_VALUE"""),"Client")</f>
        <v>Client</v>
      </c>
      <c r="AY5" s="26" t="str">
        <f ca="1">IFERROR(__xludf.DUMMYFUNCTION("""COMPUTED_VALUE"""),"OrderID")</f>
        <v>OrderID</v>
      </c>
      <c r="AZ5" s="26" t="str">
        <f ca="1">IFERROR(__xludf.DUMMYFUNCTION("""COMPUTED_VALUE"""),"ParentClOrderID")</f>
        <v>ParentClOrderID</v>
      </c>
      <c r="BA5" s="26" t="str">
        <f ca="1">IFERROR(__xludf.DUMMYFUNCTION("""COMPUTED_VALUE"""),"Master Fund")</f>
        <v>Master Fund</v>
      </c>
      <c r="BB5" s="26" t="str">
        <f ca="1">IFERROR(__xludf.DUMMYFUNCTION("""COMPUTED_VALUE"""),"")</f>
        <v/>
      </c>
      <c r="BC5" s="26" t="str">
        <f ca="1">IFERROR(__xludf.DUMMYFUNCTION("""COMPUTED_VALUE"""),"")</f>
        <v/>
      </c>
      <c r="BD5" s="26" t="str">
        <f ca="1">IFERROR(__xludf.DUMMYFUNCTION("""COMPUTED_VALUE"""),"")</f>
        <v/>
      </c>
      <c r="BE5" s="26" t="str">
        <f ca="1">IFERROR(__xludf.DUMMYFUNCTION("""COMPUTED_VALUE"""),"")</f>
        <v/>
      </c>
      <c r="BF5" s="26" t="str">
        <f ca="1">IFERROR(__xludf.DUMMYFUNCTION("""COMPUTED_VALUE"""),"")</f>
        <v/>
      </c>
      <c r="BG5" s="26" t="str">
        <f ca="1">IFERROR(__xludf.DUMMYFUNCTION("""COMPUTED_VALUE"""),"")</f>
        <v/>
      </c>
      <c r="BH5" s="26" t="str">
        <f ca="1">IFERROR(__xludf.DUMMYFUNCTION("""COMPUTED_VALUE"""),"")</f>
        <v/>
      </c>
      <c r="BI5" s="26" t="str">
        <f ca="1">IFERROR(__xludf.DUMMYFUNCTION("""COMPUTED_VALUE"""),"")</f>
        <v/>
      </c>
      <c r="BJ5" s="26" t="str">
        <f ca="1">IFERROR(__xludf.DUMMYFUNCTION("""COMPUTED_VALUE"""),"")</f>
        <v/>
      </c>
      <c r="BK5" s="26" t="str">
        <f ca="1">IFERROR(__xludf.DUMMYFUNCTION("""COMPUTED_VALUE"""),"")</f>
        <v/>
      </c>
      <c r="BL5" s="26" t="str">
        <f ca="1">IFERROR(__xludf.DUMMYFUNCTION("""COMPUTED_VALUE"""),"")</f>
        <v/>
      </c>
      <c r="BM5" s="26" t="str">
        <f ca="1">IFERROR(__xludf.DUMMYFUNCTION("""COMPUTED_VALUE"""),"")</f>
        <v/>
      </c>
      <c r="BN5" s="26" t="str">
        <f ca="1">IFERROR(__xludf.DUMMYFUNCTION("""COMPUTED_VALUE"""),"")</f>
        <v/>
      </c>
      <c r="BO5" s="26" t="str">
        <f ca="1">IFERROR(__xludf.DUMMYFUNCTION("""COMPUTED_VALUE"""),"")</f>
        <v/>
      </c>
      <c r="BP5" s="26" t="str">
        <f ca="1">IFERROR(__xludf.DUMMYFUNCTION("""COMPUTED_VALUE"""),"")</f>
        <v/>
      </c>
      <c r="BQ5" s="26" t="str">
        <f ca="1">IFERROR(__xludf.DUMMYFUNCTION("""COMPUTED_VALUE"""),"")</f>
        <v/>
      </c>
      <c r="BR5" s="26" t="str">
        <f ca="1">IFERROR(__xludf.DUMMYFUNCTION("""COMPUTED_VALUE"""),"")</f>
        <v/>
      </c>
      <c r="BS5" s="26" t="str">
        <f ca="1">IFERROR(__xludf.DUMMYFUNCTION("""COMPUTED_VALUE"""),"")</f>
        <v/>
      </c>
      <c r="BT5" s="26" t="str">
        <f ca="1">IFERROR(__xludf.DUMMYFUNCTION("""COMPUTED_VALUE"""),"")</f>
        <v/>
      </c>
      <c r="BU5" s="26" t="str">
        <f ca="1">IFERROR(__xludf.DUMMYFUNCTION("""COMPUTED_VALUE"""),"")</f>
        <v/>
      </c>
      <c r="BV5" s="26" t="str">
        <f ca="1">IFERROR(__xludf.DUMMYFUNCTION("""COMPUTED_VALUE"""),"")</f>
        <v/>
      </c>
      <c r="BW5" s="26" t="str">
        <f ca="1">IFERROR(__xludf.DUMMYFUNCTION("""COMPUTED_VALUE"""),"")</f>
        <v/>
      </c>
      <c r="BX5" s="26" t="str">
        <f ca="1">IFERROR(__xludf.DUMMYFUNCTION("""COMPUTED_VALUE"""),"")</f>
        <v/>
      </c>
      <c r="BY5" s="26" t="str">
        <f ca="1">IFERROR(__xludf.DUMMYFUNCTION("""COMPUTED_VALUE"""),"")</f>
        <v/>
      </c>
      <c r="BZ5" s="26" t="str">
        <f ca="1">IFERROR(__xludf.DUMMYFUNCTION("""COMPUTED_VALUE"""),"")</f>
        <v/>
      </c>
      <c r="CA5" s="26" t="str">
        <f ca="1">IFERROR(__xludf.DUMMYFUNCTION("""COMPUTED_VALUE"""),"")</f>
        <v/>
      </c>
      <c r="CB5" s="26" t="str">
        <f ca="1">IFERROR(__xludf.DUMMYFUNCTION("""COMPUTED_VALUE"""),"")</f>
        <v/>
      </c>
      <c r="CC5" s="26" t="str">
        <f ca="1">IFERROR(__xludf.DUMMYFUNCTION("""COMPUTED_VALUE"""),"")</f>
        <v/>
      </c>
      <c r="CD5" s="26" t="str">
        <f ca="1">IFERROR(__xludf.DUMMYFUNCTION("""COMPUTED_VALUE"""),"")</f>
        <v/>
      </c>
      <c r="CE5" s="26" t="str">
        <f ca="1">IFERROR(__xludf.DUMMYFUNCTION("""COMPUTED_VALUE"""),"")</f>
        <v/>
      </c>
      <c r="CF5" s="26" t="str">
        <f ca="1">IFERROR(__xludf.DUMMYFUNCTION("""COMPUTED_VALUE"""),"")</f>
        <v/>
      </c>
      <c r="CG5" s="26" t="str">
        <f ca="1">IFERROR(__xludf.DUMMYFUNCTION("""COMPUTED_VALUE"""),"")</f>
        <v/>
      </c>
      <c r="CH5" s="26" t="str">
        <f ca="1">IFERROR(__xludf.DUMMYFUNCTION("""COMPUTED_VALUE"""),"")</f>
        <v/>
      </c>
      <c r="CI5" s="26" t="str">
        <f ca="1">IFERROR(__xludf.DUMMYFUNCTION("""COMPUTED_VALUE"""),"")</f>
        <v/>
      </c>
      <c r="CJ5" s="26" t="str">
        <f ca="1">IFERROR(__xludf.DUMMYFUNCTION("""COMPUTED_VALUE"""),"")</f>
        <v/>
      </c>
      <c r="CK5" s="26" t="str">
        <f ca="1">IFERROR(__xludf.DUMMYFUNCTION("""COMPUTED_VALUE"""),"")</f>
        <v/>
      </c>
      <c r="CL5" s="26" t="str">
        <f ca="1">IFERROR(__xludf.DUMMYFUNCTION("""COMPUTED_VALUE"""),"")</f>
        <v/>
      </c>
      <c r="CM5" s="26" t="str">
        <f ca="1">IFERROR(__xludf.DUMMYFUNCTION("""COMPUTED_VALUE"""),"")</f>
        <v/>
      </c>
      <c r="CN5" s="26" t="str">
        <f ca="1">IFERROR(__xludf.DUMMYFUNCTION("""COMPUTED_VALUE"""),"")</f>
        <v/>
      </c>
      <c r="CO5" s="26" t="str">
        <f ca="1">IFERROR(__xludf.DUMMYFUNCTION("""COMPUTED_VALUE"""),"")</f>
        <v/>
      </c>
      <c r="CP5" s="26" t="str">
        <f ca="1">IFERROR(__xludf.DUMMYFUNCTION("""COMPUTED_VALUE"""),"")</f>
        <v/>
      </c>
      <c r="CQ5" s="26" t="str">
        <f ca="1">IFERROR(__xludf.DUMMYFUNCTION("""COMPUTED_VALUE"""),"")</f>
        <v/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16</v>
      </c>
      <c r="C6" s="6" t="s">
        <v>17</v>
      </c>
      <c r="D6" s="6">
        <v>100</v>
      </c>
      <c r="E6" s="6">
        <v>100</v>
      </c>
      <c r="G6" s="6" t="s">
        <v>27</v>
      </c>
      <c r="M6" s="6" t="s">
        <v>28</v>
      </c>
    </row>
    <row r="7" spans="1:153" ht="15.75" customHeight="1">
      <c r="A7" s="5"/>
      <c r="B7" s="6" t="s">
        <v>16</v>
      </c>
      <c r="C7" s="7" t="s">
        <v>17</v>
      </c>
      <c r="D7" s="7">
        <v>100</v>
      </c>
      <c r="E7" s="7">
        <v>100</v>
      </c>
      <c r="F7" s="5"/>
      <c r="G7" s="6" t="s">
        <v>27</v>
      </c>
      <c r="H7" s="5"/>
      <c r="I7" s="5"/>
      <c r="J7" s="5"/>
      <c r="K7" s="5"/>
      <c r="L7" s="5"/>
      <c r="M7" s="6" t="s">
        <v>28</v>
      </c>
      <c r="O7" s="5"/>
    </row>
    <row r="8" spans="1:153" ht="15.75" customHeight="1">
      <c r="A8" s="5"/>
      <c r="B8" s="6" t="s">
        <v>16</v>
      </c>
      <c r="C8" s="7" t="s">
        <v>17</v>
      </c>
      <c r="D8" s="7">
        <v>200</v>
      </c>
      <c r="E8" s="7">
        <v>200</v>
      </c>
      <c r="F8" s="5"/>
      <c r="G8" s="6" t="s">
        <v>27</v>
      </c>
      <c r="H8" s="5"/>
      <c r="I8" s="5"/>
      <c r="J8" s="5"/>
      <c r="K8" s="5"/>
      <c r="L8" s="7" t="s">
        <v>29</v>
      </c>
      <c r="M8" s="6" t="s">
        <v>28</v>
      </c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21" width="14.42578125" customWidth="1"/>
    <col min="22" max="22" width="19.7109375" customWidth="1"/>
    <col min="23" max="73" width="14.42578125" customWidth="1"/>
    <col min="74" max="74" width="15.140625" customWidth="1"/>
    <col min="75" max="75" width="24" customWidth="1"/>
    <col min="76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31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IFERROR(__xludf.DUMMYFUNCTION("""COMPUTED_VALUE"""),"Accrual Basis")</f>
        <v>Accrual Basis</v>
      </c>
      <c r="C5" s="25" t="str">
        <f ca="1">IFERROR(__xludf.DUMMYFUNCTION("""COMPUTED_VALUE"""),"Accrued Interest")</f>
        <v>Accrued Interest</v>
      </c>
      <c r="D5" s="25" t="str">
        <f ca="1">IFERROR(__xludf.DUMMYFUNCTION("""COMPUTED_VALUE"""),"Allocated Qty")</f>
        <v>Allocated Qty</v>
      </c>
      <c r="E5" s="25" t="str">
        <f ca="1">IFERROR(__xludf.DUMMYFUNCTION("""COMPUTED_VALUE"""),"Allocation Scheme Name")</f>
        <v>Allocation Scheme Name</v>
      </c>
      <c r="F5" s="25" t="str">
        <f ca="1">IFERROR(__xludf.DUMMYFUNCTION("""COMPUTED_VALUE"""),"Asset Category")</f>
        <v>Asset Category</v>
      </c>
      <c r="G5" s="25" t="str">
        <f ca="1">IFERROR(__xludf.DUMMYFUNCTION("""COMPUTED_VALUE"""),"AUEC Fee1")</f>
        <v>AUEC Fee1</v>
      </c>
      <c r="H5" s="25" t="str">
        <f ca="1">IFERROR(__xludf.DUMMYFUNCTION("""COMPUTED_VALUE"""),"AUEC Fee2")</f>
        <v>AUEC Fee2</v>
      </c>
      <c r="I5" s="25" t="str">
        <f ca="1">IFERROR(__xludf.DUMMYFUNCTION("""COMPUTED_VALUE"""),"AUECID")</f>
        <v>AUECID</v>
      </c>
      <c r="J5" s="25" t="str">
        <f ca="1">IFERROR(__xludf.DUMMYFUNCTION("""COMPUTED_VALUE"""),"Avg Price(Base)")</f>
        <v>Avg Price(Base)</v>
      </c>
      <c r="K5" s="25" t="str">
        <f ca="1">IFERROR(__xludf.DUMMYFUNCTION("""COMPUTED_VALUE"""),"Avg Price(Local)")</f>
        <v>Avg Price(Local)</v>
      </c>
      <c r="L5" s="25" t="str">
        <f ca="1">IFERROR(__xludf.DUMMYFUNCTION("""COMPUTED_VALUE"""),"Bloomberg")</f>
        <v>Bloomberg</v>
      </c>
      <c r="M5" s="25" t="str">
        <f ca="1">IFERROR(__xludf.DUMMYFUNCTION("""COMPUTED_VALUE"""),"Bond Type")</f>
        <v>Bond Type</v>
      </c>
      <c r="N5" s="25" t="str">
        <f ca="1">IFERROR(__xludf.DUMMYFUNCTION("""COMPUTED_VALUE"""),"Broker")</f>
        <v>Broker</v>
      </c>
      <c r="O5" s="25" t="str">
        <f ca="1">IFERROR(__xludf.DUMMYFUNCTION("""COMPUTED_VALUE"""),"Change Comment")</f>
        <v>Change Comment</v>
      </c>
      <c r="P5" s="25" t="str">
        <f ca="1">IFERROR(__xludf.DUMMYFUNCTION("""COMPUTED_VALUE"""),"Change Type")</f>
        <v>Change Type</v>
      </c>
      <c r="Q5" s="25" t="str">
        <f ca="1">IFERROR(__xludf.DUMMYFUNCTION("""COMPUTED_VALUE"""),"Clearing Broker Fee")</f>
        <v>Clearing Broker Fee</v>
      </c>
      <c r="R5" s="25" t="str">
        <f ca="1">IFERROR(__xludf.DUMMYFUNCTION("""COMPUTED_VALUE"""),"Closing Method")</f>
        <v>Closing Method</v>
      </c>
      <c r="S5" s="25" t="str">
        <f ca="1">IFERROR(__xludf.DUMMYFUNCTION("""COMPUTED_VALUE"""),"Closing Status")</f>
        <v>Closing Status</v>
      </c>
      <c r="T5" s="26" t="str">
        <f ca="1">IFERROR(__xludf.DUMMYFUNCTION("""COMPUTED_VALUE"""),"Commission")</f>
        <v>Commission</v>
      </c>
      <c r="U5" s="26" t="str">
        <f ca="1">IFERROR(__xludf.DUMMYFUNCTION("""COMPUTED_VALUE"""),"Commission Per Share")</f>
        <v>Commission Per Share</v>
      </c>
      <c r="V5" s="26" t="str">
        <f ca="1">IFERROR(__xludf.DUMMYFUNCTION("""COMPUTED_VALUE"""),"Company")</f>
        <v>Company</v>
      </c>
      <c r="W5" s="26" t="str">
        <f ca="1">IFERROR(__xludf.DUMMYFUNCTION("""COMPUTED_VALUE"""),"Contract Multiplier")</f>
        <v>Contract Multiplier</v>
      </c>
      <c r="X5" s="26" t="str">
        <f ca="1">IFERROR(__xludf.DUMMYFUNCTION("""COMPUTED_VALUE"""),"Coupon Rate")</f>
        <v>Coupon Rate</v>
      </c>
      <c r="Y5" s="26" t="str">
        <f ca="1">IFERROR(__xludf.DUMMYFUNCTION("""COMPUTED_VALUE"""),"Cum Qty For Sub Order")</f>
        <v>Cum Qty For Sub Order</v>
      </c>
      <c r="Z5" s="26" t="str">
        <f ca="1">IFERROR(__xludf.DUMMYFUNCTION("""COMPUTED_VALUE"""),"Currency")</f>
        <v>Currency</v>
      </c>
      <c r="AA5" s="26" t="str">
        <f ca="1">IFERROR(__xludf.DUMMYFUNCTION("""COMPUTED_VALUE"""),"Cusip Symbol")</f>
        <v>Cusip Symbol</v>
      </c>
      <c r="AB5" s="26" t="str">
        <f ca="1">IFERROR(__xludf.DUMMYFUNCTION("""COMPUTED_VALUE"""),"Delta")</f>
        <v>Delta</v>
      </c>
      <c r="AC5" s="26" t="str">
        <f ca="1">IFERROR(__xludf.DUMMYFUNCTION("""COMPUTED_VALUE"""),"Description")</f>
        <v>Description</v>
      </c>
      <c r="AD5" s="26" t="str">
        <f ca="1">IFERROR(__xludf.DUMMYFUNCTION("""COMPUTED_VALUE"""),"Exchange")</f>
        <v>Exchange</v>
      </c>
      <c r="AE5" s="26" t="str">
        <f ca="1">IFERROR(__xludf.DUMMYFUNCTION("""COMPUTED_VALUE"""),"Executed Qty")</f>
        <v>Executed Qty</v>
      </c>
      <c r="AF5" s="26" t="str">
        <f ca="1">IFERROR(__xludf.DUMMYFUNCTION("""COMPUTED_VALUE"""),"Execution Time")</f>
        <v>Execution Time</v>
      </c>
      <c r="AG5" s="26" t="str">
        <f ca="1">IFERROR(__xludf.DUMMYFUNCTION("""COMPUTED_VALUE"""),"FX Conversion Operator")</f>
        <v>FX Conversion Operator</v>
      </c>
      <c r="AH5" s="26" t="str">
        <f ca="1">IFERROR(__xludf.DUMMYFUNCTION("""COMPUTED_VALUE"""),"FX Rate")</f>
        <v>FX Rate</v>
      </c>
      <c r="AI5" s="26" t="str">
        <f ca="1">IFERROR(__xludf.DUMMYFUNCTION("""COMPUTED_VALUE"""),"Group Status")</f>
        <v>Group Status</v>
      </c>
      <c r="AJ5" s="26" t="str">
        <f ca="1">IFERROR(__xludf.DUMMYFUNCTION("""COMPUTED_VALUE"""),"GroupID")</f>
        <v>GroupID</v>
      </c>
      <c r="AK5" s="26" t="str">
        <f ca="1">IFERROR(__xludf.DUMMYFUNCTION("""COMPUTED_VALUE"""),"IDCOSymbol")</f>
        <v>IDCOSymbol</v>
      </c>
      <c r="AL5" s="26" t="str">
        <f ca="1">IFERROR(__xludf.DUMMYFUNCTION("""COMPUTED_VALUE"""),"Import File Name")</f>
        <v>Import File Name</v>
      </c>
      <c r="AM5" s="26" t="str">
        <f ca="1">IFERROR(__xludf.DUMMYFUNCTION("""COMPUTED_VALUE"""),"Internal Comments")</f>
        <v>Internal Comments</v>
      </c>
      <c r="AN5" s="26" t="str">
        <f ca="1">IFERROR(__xludf.DUMMYFUNCTION("""COMPUTED_VALUE"""),"IsAnotherTaxlotAttributesUpdated")</f>
        <v>IsAnotherTaxlotAttributesUpdated</v>
      </c>
      <c r="AO5" s="26" t="str">
        <f ca="1">IFERROR(__xludf.DUMMYFUNCTION("""COMPUTED_VALUE"""),"ISIN")</f>
        <v>ISIN</v>
      </c>
      <c r="AP5" s="26" t="str">
        <f ca="1">IFERROR(__xludf.DUMMYFUNCTION("""COMPUTED_VALUE"""),"IsManual Group")</f>
        <v>IsManual Group</v>
      </c>
      <c r="AQ5" s="26" t="str">
        <f ca="1">IFERROR(__xludf.DUMMYFUNCTION("""COMPUTED_VALUE"""),"ISNDF")</f>
        <v>ISNDF</v>
      </c>
      <c r="AR5" s="26" t="str">
        <f ca="1">IFERROR(__xludf.DUMMYFUNCTION("""COMPUTED_VALUE"""),"IsPreAllocated")</f>
        <v>IsPreAllocated</v>
      </c>
      <c r="AS5" s="26" t="str">
        <f ca="1">IFERROR(__xludf.DUMMYFUNCTION("""COMPUTED_VALUE"""),"M2MProfitLoss")</f>
        <v>M2MProfitLoss</v>
      </c>
      <c r="AT5" s="26" t="str">
        <f ca="1">IFERROR(__xludf.DUMMYFUNCTION("""COMPUTED_VALUE"""),"Net Amount( Base)")</f>
        <v>Net Amount( Base)</v>
      </c>
      <c r="AU5" s="26" t="str">
        <f ca="1">IFERROR(__xludf.DUMMYFUNCTION("""COMPUTED_VALUE"""),"Net Amount( Local)")</f>
        <v>Net Amount( Local)</v>
      </c>
      <c r="AV5" s="26" t="str">
        <f ca="1">IFERROR(__xludf.DUMMYFUNCTION("""COMPUTED_VALUE"""),"Nirvana Process Date")</f>
        <v>Nirvana Process Date</v>
      </c>
      <c r="AW5" s="26" t="str">
        <f ca="1">IFERROR(__xludf.DUMMYFUNCTION("""COMPUTED_VALUE"""),"OCC Fee")</f>
        <v>OCC Fee</v>
      </c>
      <c r="AX5" s="26" t="str">
        <f ca="1">IFERROR(__xludf.DUMMYFUNCTION("""COMPUTED_VALUE"""),"Option Premium Adjustment")</f>
        <v>Option Premium Adjustment</v>
      </c>
      <c r="AY5" s="26" t="str">
        <f ca="1">IFERROR(__xludf.DUMMYFUNCTION("""COMPUTED_VALUE"""),"Order Type")</f>
        <v>Order Type</v>
      </c>
      <c r="AZ5" s="26" t="str">
        <f ca="1">IFERROR(__xludf.DUMMYFUNCTION("""COMPUTED_VALUE"""),"ORF Fee")</f>
        <v>ORF Fee</v>
      </c>
      <c r="BA5" s="26" t="str">
        <f ca="1">IFERROR(__xludf.DUMMYFUNCTION("""COMPUTED_VALUE"""),"Original Purchase Date")</f>
        <v>Original Purchase Date</v>
      </c>
      <c r="BB5" s="26" t="str">
        <f ca="1">IFERROR(__xludf.DUMMYFUNCTION("""COMPUTED_VALUE"""),"OSISSymbol")</f>
        <v>OSISSymbol</v>
      </c>
      <c r="BC5" s="26" t="str">
        <f ca="1">IFERROR(__xludf.DUMMYFUNCTION("""COMPUTED_VALUE"""),"Other Broker Fees")</f>
        <v>Other Broker Fees</v>
      </c>
      <c r="BD5" s="26" t="str">
        <f ca="1">IFERROR(__xludf.DUMMYFUNCTION("""COMPUTED_VALUE"""),"Prana Msg Type")</f>
        <v>Prana Msg Type</v>
      </c>
      <c r="BE5" s="26" t="str">
        <f ca="1">IFERROR(__xludf.DUMMYFUNCTION("""COMPUTED_VALUE"""),"Principal Amount( Base)")</f>
        <v>Principal Amount( Base)</v>
      </c>
      <c r="BF5" s="26" t="str">
        <f ca="1">IFERROR(__xludf.DUMMYFUNCTION("""COMPUTED_VALUE"""),"Principal Amount( Local)")</f>
        <v>Principal Amount( Local)</v>
      </c>
      <c r="BG5" s="26" t="str">
        <f ca="1">IFERROR(__xludf.DUMMYFUNCTION("""COMPUTED_VALUE"""),"Process Date")</f>
        <v>Process Date</v>
      </c>
      <c r="BH5" s="26" t="str">
        <f ca="1">IFERROR(__xludf.DUMMYFUNCTION("""COMPUTED_VALUE"""),"Proxy Symbol")</f>
        <v>Proxy Symbol</v>
      </c>
      <c r="BI5" s="26" t="str">
        <f ca="1">IFERROR(__xludf.DUMMYFUNCTION("""COMPUTED_VALUE"""),"Put Or Call")</f>
        <v>Put Or Call</v>
      </c>
      <c r="BJ5" s="26" t="str">
        <f ca="1">IFERROR(__xludf.DUMMYFUNCTION("""COMPUTED_VALUE"""),"Quantity")</f>
        <v>Quantity</v>
      </c>
      <c r="BK5" s="26" t="str">
        <f ca="1">IFERROR(__xludf.DUMMYFUNCTION("""COMPUTED_VALUE"""),"SEC Fee")</f>
        <v>SEC Fee</v>
      </c>
      <c r="BL5" s="26" t="str">
        <f ca="1">IFERROR(__xludf.DUMMYFUNCTION("""COMPUTED_VALUE"""),"Sedol Symbol")</f>
        <v>Sedol Symbol</v>
      </c>
      <c r="BM5" s="26" t="str">
        <f ca="1">IFERROR(__xludf.DUMMYFUNCTION("""COMPUTED_VALUE"""),"Settlement Currency")</f>
        <v>Settlement Currency</v>
      </c>
      <c r="BN5" s="26" t="str">
        <f ca="1">IFERROR(__xludf.DUMMYFUNCTION("""COMPUTED_VALUE"""),"Settlement Date")</f>
        <v>Settlement Date</v>
      </c>
      <c r="BO5" s="26" t="str">
        <f ca="1">IFERROR(__xludf.DUMMYFUNCTION("""COMPUTED_VALUE"""),"Side")</f>
        <v>Side</v>
      </c>
      <c r="BP5" s="26" t="str">
        <f ca="1">IFERROR(__xludf.DUMMYFUNCTION("""COMPUTED_VALUE"""),"Soft Commission")</f>
        <v>Soft Commission</v>
      </c>
      <c r="BQ5" s="26" t="str">
        <f ca="1">IFERROR(__xludf.DUMMYFUNCTION("""COMPUTED_VALUE"""),"Soft Commission Per Share")</f>
        <v>Soft Commission Per Share</v>
      </c>
      <c r="BR5" s="26" t="str">
        <f ca="1">IFERROR(__xludf.DUMMYFUNCTION("""COMPUTED_VALUE"""),"Stamp Duty")</f>
        <v>Stamp Duty</v>
      </c>
      <c r="BS5" s="26" t="str">
        <f ca="1">IFERROR(__xludf.DUMMYFUNCTION("""COMPUTED_VALUE"""),"Symbol")</f>
        <v>Symbol</v>
      </c>
      <c r="BT5" s="26" t="str">
        <f ca="1">IFERROR(__xludf.DUMMYFUNCTION("""COMPUTED_VALUE"""),"Tax On Commissions")</f>
        <v>Tax On Commissions</v>
      </c>
      <c r="BU5" s="26" t="str">
        <f ca="1">IFERROR(__xludf.DUMMYFUNCTION("""COMPUTED_VALUE"""),"Total Commission")</f>
        <v>Total Commission</v>
      </c>
      <c r="BV5" s="26" t="str">
        <f ca="1">IFERROR(__xludf.DUMMYFUNCTION("""COMPUTED_VALUE"""),"Total Commission And Fee")</f>
        <v>Total Commission And Fee</v>
      </c>
      <c r="BW5" s="26" t="str">
        <f ca="1">IFERROR(__xludf.DUMMYFUNCTION("""COMPUTED_VALUE"""),"Total Commission Per Share")</f>
        <v>Total Commission Per Share</v>
      </c>
      <c r="BX5" s="26" t="str">
        <f ca="1">IFERROR(__xludf.DUMMYFUNCTION("""COMPUTED_VALUE"""),"Trade Attribute 1")</f>
        <v>Trade Attribute 1</v>
      </c>
      <c r="BY5" s="26" t="str">
        <f ca="1">IFERROR(__xludf.DUMMYFUNCTION("""COMPUTED_VALUE"""),"Trade Attribute 2")</f>
        <v>Trade Attribute 2</v>
      </c>
      <c r="BZ5" s="26" t="str">
        <f ca="1">IFERROR(__xludf.DUMMYFUNCTION("""COMPUTED_VALUE"""),"Trade Attribute 3")</f>
        <v>Trade Attribute 3</v>
      </c>
      <c r="CA5" s="26" t="str">
        <f ca="1">IFERROR(__xludf.DUMMYFUNCTION("""COMPUTED_VALUE"""),"Trade Attribute 4")</f>
        <v>Trade Attribute 4</v>
      </c>
      <c r="CB5" s="26" t="str">
        <f ca="1">IFERROR(__xludf.DUMMYFUNCTION("""COMPUTED_VALUE"""),"Trade Attribute 5")</f>
        <v>Trade Attribute 5</v>
      </c>
      <c r="CC5" s="26" t="str">
        <f ca="1">IFERROR(__xludf.DUMMYFUNCTION("""COMPUTED_VALUE"""),"Trade Attribute 6")</f>
        <v>Trade Attribute 6</v>
      </c>
      <c r="CD5" s="26" t="str">
        <f ca="1">IFERROR(__xludf.DUMMYFUNCTION("""COMPUTED_VALUE"""),"Trade Date")</f>
        <v>Trade Date</v>
      </c>
      <c r="CE5" s="26" t="str">
        <f ca="1">IFERROR(__xludf.DUMMYFUNCTION("""COMPUTED_VALUE"""),"Trading Account")</f>
        <v>Trading Account</v>
      </c>
      <c r="CF5" s="26" t="str">
        <f ca="1">IFERROR(__xludf.DUMMYFUNCTION("""COMPUTED_VALUE"""),"Transaction Levy")</f>
        <v>Transaction Levy</v>
      </c>
      <c r="CG5" s="26" t="str">
        <f ca="1">IFERROR(__xludf.DUMMYFUNCTION("""COMPUTED_VALUE"""),"Transaction Source")</f>
        <v>Transaction Source</v>
      </c>
      <c r="CH5" s="26" t="str">
        <f ca="1">IFERROR(__xludf.DUMMYFUNCTION("""COMPUTED_VALUE"""),"Transaction Type")</f>
        <v>Transaction Type</v>
      </c>
      <c r="CI5" s="26" t="str">
        <f ca="1">IFERROR(__xludf.DUMMYFUNCTION("""COMPUTED_VALUE"""),"UnAllocatedQty")</f>
        <v>UnAllocatedQty</v>
      </c>
      <c r="CJ5" s="26" t="str">
        <f ca="1">IFERROR(__xludf.DUMMYFUNCTION("""COMPUTED_VALUE"""),"Underlying")</f>
        <v>Underlying</v>
      </c>
      <c r="CK5" s="26" t="str">
        <f ca="1">IFERROR(__xludf.DUMMYFUNCTION("""COMPUTED_VALUE"""),"Underlying Delta")</f>
        <v>Underlying Delta</v>
      </c>
      <c r="CL5" s="26" t="str">
        <f ca="1">IFERROR(__xludf.DUMMYFUNCTION("""COMPUTED_VALUE"""),"Underlying Symbol")</f>
        <v>Underlying Symbol</v>
      </c>
      <c r="CM5" s="26" t="str">
        <f ca="1">IFERROR(__xludf.DUMMYFUNCTION("""COMPUTED_VALUE"""),"User")</f>
        <v>User</v>
      </c>
      <c r="CN5" s="26" t="str">
        <f ca="1">IFERROR(__xludf.DUMMYFUNCTION("""COMPUTED_VALUE"""),"Venue")</f>
        <v>Venue</v>
      </c>
      <c r="CO5" s="26" t="str">
        <f ca="1">IFERROR(__xludf.DUMMYFUNCTION("""COMPUTED_VALUE"""),"Closing Date")</f>
        <v>Closing Date</v>
      </c>
      <c r="CP5" s="26" t="str">
        <f ca="1">IFERROR(__xludf.DUMMYFUNCTION("""COMPUTED_VALUE"""),"Expiration Date")</f>
        <v>Expiration Date</v>
      </c>
      <c r="CQ5" s="26" t="str">
        <f ca="1">IFERROR(__xludf.DUMMYFUNCTION("""COMPUTED_VALUE"""),"Master Fund")</f>
        <v>Master Fund</v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N6" s="6" t="s">
        <v>19</v>
      </c>
      <c r="V6" s="6"/>
      <c r="AE6" s="6">
        <v>100</v>
      </c>
      <c r="BJ6" s="6">
        <v>100</v>
      </c>
      <c r="BO6" s="6" t="s">
        <v>17</v>
      </c>
      <c r="BP6" s="6">
        <v>1000</v>
      </c>
      <c r="BS6" s="6" t="s">
        <v>16</v>
      </c>
      <c r="BW6" s="6"/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 t="s">
        <v>21</v>
      </c>
      <c r="V7" s="6"/>
      <c r="AE7" s="6">
        <v>100</v>
      </c>
      <c r="BJ7" s="6">
        <v>100</v>
      </c>
      <c r="BO7" s="6" t="s">
        <v>17</v>
      </c>
      <c r="BP7" s="6">
        <v>150</v>
      </c>
      <c r="BS7" s="6" t="s">
        <v>16</v>
      </c>
      <c r="BW7" s="6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32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IFERROR(__xludf.DUMMYFUNCTION("""COMPUTED_VALUE"""),"Symbol")</f>
        <v>Symbol</v>
      </c>
      <c r="C5" s="25" t="str">
        <f ca="1">IFERROR(__xludf.DUMMYFUNCTION("""COMPUTED_VALUE"""),"Side")</f>
        <v>Side</v>
      </c>
      <c r="D5" s="25" t="str">
        <f ca="1">IFERROR(__xludf.DUMMYFUNCTION("""COMPUTED_VALUE"""),"Quantity")</f>
        <v>Quantity</v>
      </c>
      <c r="E5" s="25" t="str">
        <f ca="1">IFERROR(__xludf.DUMMYFUNCTION("""COMPUTED_VALUE"""),"Executed Qty")</f>
        <v>Executed Qty</v>
      </c>
      <c r="F5" s="25" t="str">
        <f ca="1">IFERROR(__xludf.DUMMYFUNCTION("""COMPUTED_VALUE"""),"Trade Date")</f>
        <v>Trade Date</v>
      </c>
      <c r="G5" s="25" t="str">
        <f ca="1">IFERROR(__xludf.DUMMYFUNCTION("""COMPUTED_VALUE"""),"Net Amount( Local)")</f>
        <v>Net Amount( Local)</v>
      </c>
      <c r="H5" s="25" t="str">
        <f ca="1">IFERROR(__xludf.DUMMYFUNCTION("""COMPUTED_VALUE"""),"Net Amount( Base)")</f>
        <v>Net Amount( Base)</v>
      </c>
      <c r="I5" s="25" t="str">
        <f ca="1">IFERROR(__xludf.DUMMYFUNCTION("""COMPUTED_VALUE"""),"Principal Amount( Local)")</f>
        <v>Principal Amount( Local)</v>
      </c>
      <c r="J5" s="25" t="str">
        <f ca="1">IFERROR(__xludf.DUMMYFUNCTION("""COMPUTED_VALUE"""),"Transaction Type")</f>
        <v>Transaction Type</v>
      </c>
      <c r="K5" s="25" t="str">
        <f ca="1">IFERROR(__xludf.DUMMYFUNCTION("""COMPUTED_VALUE"""),"Principal Amount( Base)")</f>
        <v>Principal Amount( Base)</v>
      </c>
      <c r="L5" s="25" t="str">
        <f ca="1">IFERROR(__xludf.DUMMYFUNCTION("""COMPUTED_VALUE"""),"Execution Time")</f>
        <v>Execution Time</v>
      </c>
      <c r="M5" s="25" t="str">
        <f ca="1">IFERROR(__xludf.DUMMYFUNCTION("""COMPUTED_VALUE"""),"Trading Account")</f>
        <v>Trading Account</v>
      </c>
      <c r="N5" s="25" t="str">
        <f ca="1">IFERROR(__xludf.DUMMYFUNCTION("""COMPUTED_VALUE"""),"Avg Price(Local)")</f>
        <v>Avg Price(Local)</v>
      </c>
      <c r="O5" s="25" t="str">
        <f ca="1">IFERROR(__xludf.DUMMYFUNCTION("""COMPUTED_VALUE"""),"Avg Price(Base)")</f>
        <v>Avg Price(Base)</v>
      </c>
      <c r="P5" s="25" t="str">
        <f ca="1">IFERROR(__xludf.DUMMYFUNCTION("""COMPUTED_VALUE"""),"Broker")</f>
        <v>Broker</v>
      </c>
      <c r="Q5" s="25" t="str">
        <f ca="1">IFERROR(__xludf.DUMMYFUNCTION("""COMPUTED_VALUE"""),"FX Rate")</f>
        <v>FX Rate</v>
      </c>
      <c r="R5" s="25" t="str">
        <f ca="1">IFERROR(__xludf.DUMMYFUNCTION("""COMPUTED_VALUE"""),"Venue")</f>
        <v>Venue</v>
      </c>
      <c r="S5" s="25" t="str">
        <f ca="1">IFERROR(__xludf.DUMMYFUNCTION("""COMPUTED_VALUE"""),"FX Conversion Operator")</f>
        <v>FX Conversion Operator</v>
      </c>
      <c r="T5" s="26" t="str">
        <f ca="1">IFERROR(__xludf.DUMMYFUNCTION("""COMPUTED_VALUE"""),"User")</f>
        <v>User</v>
      </c>
      <c r="U5" s="26" t="str">
        <f ca="1">IFERROR(__xludf.DUMMYFUNCTION("""COMPUTED_VALUE"""),"Asset Category")</f>
        <v>Asset Category</v>
      </c>
      <c r="V5" s="26" t="str">
        <f ca="1">IFERROR(__xludf.DUMMYFUNCTION("""COMPUTED_VALUE"""),"Settlement Currency")</f>
        <v>Settlement Currency</v>
      </c>
      <c r="W5" s="26" t="str">
        <f ca="1">IFERROR(__xludf.DUMMYFUNCTION("""COMPUTED_VALUE"""),"Commission Per Share")</f>
        <v>Commission Per Share</v>
      </c>
      <c r="X5" s="26" t="str">
        <f ca="1">IFERROR(__xludf.DUMMYFUNCTION("""COMPUTED_VALUE"""),"Soft Commission Per Share")</f>
        <v>Soft Commission Per Share</v>
      </c>
      <c r="Y5" s="26" t="str">
        <f ca="1">IFERROR(__xludf.DUMMYFUNCTION("""COMPUTED_VALUE"""),"Total Commission Per Share")</f>
        <v>Total Commission Per Share</v>
      </c>
      <c r="Z5" s="26" t="str">
        <f ca="1">IFERROR(__xludf.DUMMYFUNCTION("""COMPUTED_VALUE"""),"Change Type")</f>
        <v>Change Type</v>
      </c>
      <c r="AA5" s="26" t="str">
        <f ca="1">IFERROR(__xludf.DUMMYFUNCTION("""COMPUTED_VALUE"""),"Trade Attribute 1")</f>
        <v>Trade Attribute 1</v>
      </c>
      <c r="AB5" s="26" t="str">
        <f ca="1">IFERROR(__xludf.DUMMYFUNCTION("""COMPUTED_VALUE"""),"Trade Attribute 2")</f>
        <v>Trade Attribute 2</v>
      </c>
      <c r="AC5" s="26" t="str">
        <f ca="1">IFERROR(__xludf.DUMMYFUNCTION("""COMPUTED_VALUE"""),"Trade Attribute 3")</f>
        <v>Trade Attribute 3</v>
      </c>
      <c r="AD5" s="26" t="str">
        <f ca="1">IFERROR(__xludf.DUMMYFUNCTION("""COMPUTED_VALUE"""),"Trade Attribute 4")</f>
        <v>Trade Attribute 4</v>
      </c>
      <c r="AE5" s="26" t="str">
        <f ca="1">IFERROR(__xludf.DUMMYFUNCTION("""COMPUTED_VALUE"""),"Trade Attribute 5")</f>
        <v>Trade Attribute 5</v>
      </c>
      <c r="AF5" s="26" t="str">
        <f ca="1">IFERROR(__xludf.DUMMYFUNCTION("""COMPUTED_VALUE"""),"Trade Attribute 6")</f>
        <v>Trade Attribute 6</v>
      </c>
      <c r="AG5" s="26" t="str">
        <f ca="1">IFERROR(__xludf.DUMMYFUNCTION("""COMPUTED_VALUE"""),"IsPreAllocated")</f>
        <v>IsPreAllocated</v>
      </c>
      <c r="AH5" s="26" t="str">
        <f ca="1">IFERROR(__xludf.DUMMYFUNCTION("""COMPUTED_VALUE"""),"IsManual Group")</f>
        <v>IsManual Group</v>
      </c>
      <c r="AI5" s="26" t="str">
        <f ca="1">IFERROR(__xludf.DUMMYFUNCTION("""COMPUTED_VALUE"""),"IsAnotherTaxlotAttributesUpdated")</f>
        <v>IsAnotherTaxlotAttributesUpdated</v>
      </c>
      <c r="AJ5" s="26" t="str">
        <f ca="1">IFERROR(__xludf.DUMMYFUNCTION("""COMPUTED_VALUE"""),"ISNDF")</f>
        <v>ISNDF</v>
      </c>
      <c r="AK5" s="26" t="str">
        <f ca="1">IFERROR(__xludf.DUMMYFUNCTION("""COMPUTED_VALUE"""),"M2MProfitLoss")</f>
        <v>M2MProfitLoss</v>
      </c>
      <c r="AL5" s="26" t="str">
        <f ca="1">IFERROR(__xludf.DUMMYFUNCTION("""COMPUTED_VALUE"""),"Put Or Call")</f>
        <v>Put Or Call</v>
      </c>
      <c r="AM5" s="26" t="str">
        <f ca="1">IFERROR(__xludf.DUMMYFUNCTION("""COMPUTED_VALUE"""),"GroupID")</f>
        <v>GroupID</v>
      </c>
      <c r="AN5" s="26" t="str">
        <f ca="1">IFERROR(__xludf.DUMMYFUNCTION("""COMPUTED_VALUE"""),"UnAllocatedQty")</f>
        <v>UnAllocatedQty</v>
      </c>
      <c r="AO5" s="26" t="str">
        <f ca="1">IFERROR(__xludf.DUMMYFUNCTION("""COMPUTED_VALUE"""),"Allocated Qty")</f>
        <v>Allocated Qty</v>
      </c>
      <c r="AP5" s="26" t="str">
        <f ca="1">IFERROR(__xludf.DUMMYFUNCTION("""COMPUTED_VALUE"""),"Commission")</f>
        <v>Commission</v>
      </c>
      <c r="AQ5" s="26" t="str">
        <f ca="1">IFERROR(__xludf.DUMMYFUNCTION("""COMPUTED_VALUE"""),"Soft Commission")</f>
        <v>Soft Commission</v>
      </c>
      <c r="AR5" s="26" t="str">
        <f ca="1">IFERROR(__xludf.DUMMYFUNCTION("""COMPUTED_VALUE"""),"Other Broker Fees")</f>
        <v>Other Broker Fees</v>
      </c>
      <c r="AS5" s="26" t="str">
        <f ca="1">IFERROR(__xludf.DUMMYFUNCTION("""COMPUTED_VALUE"""),"Clearing Broker Fee")</f>
        <v>Clearing Broker Fee</v>
      </c>
      <c r="AT5" s="26" t="str">
        <f ca="1">IFERROR(__xludf.DUMMYFUNCTION("""COMPUTED_VALUE"""),"Total Commission And Fee")</f>
        <v>Total Commission And Fee</v>
      </c>
      <c r="AU5" s="26" t="str">
        <f ca="1">IFERROR(__xludf.DUMMYFUNCTION("""COMPUTED_VALUE"""),"Transaction Levy")</f>
        <v>Transaction Levy</v>
      </c>
      <c r="AV5" s="26" t="str">
        <f ca="1">IFERROR(__xludf.DUMMYFUNCTION("""COMPUTED_VALUE"""),"Stamp Duty")</f>
        <v>Stamp Duty</v>
      </c>
      <c r="AW5" s="26" t="str">
        <f ca="1">IFERROR(__xludf.DUMMYFUNCTION("""COMPUTED_VALUE"""),"AUEC Fee1")</f>
        <v>AUEC Fee1</v>
      </c>
      <c r="AX5" s="26" t="str">
        <f ca="1">IFERROR(__xludf.DUMMYFUNCTION("""COMPUTED_VALUE"""),"Tax On Commissions")</f>
        <v>Tax On Commissions</v>
      </c>
      <c r="AY5" s="26" t="str">
        <f ca="1">IFERROR(__xludf.DUMMYFUNCTION("""COMPUTED_VALUE"""),"AUEC Fee2")</f>
        <v>AUEC Fee2</v>
      </c>
      <c r="AZ5" s="26" t="str">
        <f ca="1">IFERROR(__xludf.DUMMYFUNCTION("""COMPUTED_VALUE"""),"SEC Fee")</f>
        <v>SEC Fee</v>
      </c>
      <c r="BA5" s="26" t="str">
        <f ca="1">IFERROR(__xludf.DUMMYFUNCTION("""COMPUTED_VALUE"""),"OCC Fee")</f>
        <v>OCC Fee</v>
      </c>
      <c r="BB5" s="26" t="str">
        <f ca="1">IFERROR(__xludf.DUMMYFUNCTION("""COMPUTED_VALUE"""),"ORF Fee")</f>
        <v>ORF Fee</v>
      </c>
      <c r="BC5" s="26" t="str">
        <f ca="1">IFERROR(__xludf.DUMMYFUNCTION("""COMPUTED_VALUE"""),"Option Premium Adjustment")</f>
        <v>Option Premium Adjustment</v>
      </c>
      <c r="BD5" s="26" t="str">
        <f ca="1">IFERROR(__xludf.DUMMYFUNCTION("""COMPUTED_VALUE"""),"Prana Msg Type")</f>
        <v>Prana Msg Type</v>
      </c>
      <c r="BE5" s="26" t="str">
        <f ca="1">IFERROR(__xludf.DUMMYFUNCTION("""COMPUTED_VALUE"""),"Total Commission")</f>
        <v>Total Commission</v>
      </c>
      <c r="BF5" s="26" t="str">
        <f ca="1">IFERROR(__xludf.DUMMYFUNCTION("""COMPUTED_VALUE"""),"Closing Status")</f>
        <v>Closing Status</v>
      </c>
      <c r="BG5" s="26" t="str">
        <f ca="1">IFERROR(__xludf.DUMMYFUNCTION("""COMPUTED_VALUE"""),"Closing Method")</f>
        <v>Closing Method</v>
      </c>
      <c r="BH5" s="26" t="str">
        <f ca="1">IFERROR(__xludf.DUMMYFUNCTION("""COMPUTED_VALUE"""),"Group Status")</f>
        <v>Group Status</v>
      </c>
      <c r="BI5" s="26" t="str">
        <f ca="1">IFERROR(__xludf.DUMMYFUNCTION("""COMPUTED_VALUE"""),"Allocation Scheme Name")</f>
        <v>Allocation Scheme Name</v>
      </c>
      <c r="BJ5" s="26" t="str">
        <f ca="1">IFERROR(__xludf.DUMMYFUNCTION("""COMPUTED_VALUE"""),"Change Comment")</f>
        <v>Change Comment</v>
      </c>
      <c r="BK5" s="26" t="str">
        <f ca="1">IFERROR(__xludf.DUMMYFUNCTION("""COMPUTED_VALUE"""),"Order Type")</f>
        <v>Order Type</v>
      </c>
      <c r="BL5" s="26" t="str">
        <f ca="1">IFERROR(__xludf.DUMMYFUNCTION("""COMPUTED_VALUE"""),"Underlying")</f>
        <v>Underlying</v>
      </c>
      <c r="BM5" s="26" t="str">
        <f ca="1">IFERROR(__xludf.DUMMYFUNCTION("""COMPUTED_VALUE"""),"Exchange")</f>
        <v>Exchange</v>
      </c>
      <c r="BN5" s="26" t="str">
        <f ca="1">IFERROR(__xludf.DUMMYFUNCTION("""COMPUTED_VALUE"""),"Currency")</f>
        <v>Currency</v>
      </c>
      <c r="BO5" s="26" t="str">
        <f ca="1">IFERROR(__xludf.DUMMYFUNCTION("""COMPUTED_VALUE"""),"AUECID")</f>
        <v>AUECID</v>
      </c>
      <c r="BP5" s="26" t="str">
        <f ca="1">IFERROR(__xludf.DUMMYFUNCTION("""COMPUTED_VALUE"""),"Cum Qty For Sub Order")</f>
        <v>Cum Qty For Sub Order</v>
      </c>
      <c r="BQ5" s="26" t="str">
        <f ca="1">IFERROR(__xludf.DUMMYFUNCTION("""COMPUTED_VALUE"""),"Contract Multiplier")</f>
        <v>Contract Multiplier</v>
      </c>
      <c r="BR5" s="26" t="str">
        <f ca="1">IFERROR(__xludf.DUMMYFUNCTION("""COMPUTED_VALUE"""),"Company")</f>
        <v>Company</v>
      </c>
      <c r="BS5" s="26" t="str">
        <f ca="1">IFERROR(__xludf.DUMMYFUNCTION("""COMPUTED_VALUE"""),"Nirvana Process Date")</f>
        <v>Nirvana Process Date</v>
      </c>
      <c r="BT5" s="26" t="str">
        <f ca="1">IFERROR(__xludf.DUMMYFUNCTION("""COMPUTED_VALUE"""),"Process Date")</f>
        <v>Process Date</v>
      </c>
      <c r="BU5" s="26" t="str">
        <f ca="1">IFERROR(__xludf.DUMMYFUNCTION("""COMPUTED_VALUE"""),"Original Purchase Date")</f>
        <v>Original Purchase Date</v>
      </c>
      <c r="BV5" s="26" t="str">
        <f ca="1">IFERROR(__xludf.DUMMYFUNCTION("""COMPUTED_VALUE"""),"Closing Date")</f>
        <v>Closing Date</v>
      </c>
      <c r="BW5" s="26" t="str">
        <f ca="1">IFERROR(__xludf.DUMMYFUNCTION("""COMPUTED_VALUE"""),"Settlement Date")</f>
        <v>Settlement Date</v>
      </c>
      <c r="BX5" s="26" t="str">
        <f ca="1">IFERROR(__xludf.DUMMYFUNCTION("""COMPUTED_VALUE"""),"Expiration Date")</f>
        <v>Expiration Date</v>
      </c>
      <c r="BY5" s="26" t="str">
        <f ca="1">IFERROR(__xludf.DUMMYFUNCTION("""COMPUTED_VALUE"""),"Description")</f>
        <v>Description</v>
      </c>
      <c r="BZ5" s="26" t="str">
        <f ca="1">IFERROR(__xludf.DUMMYFUNCTION("""COMPUTED_VALUE"""),"Underlying Symbol")</f>
        <v>Underlying Symbol</v>
      </c>
      <c r="CA5" s="26" t="str">
        <f ca="1">IFERROR(__xludf.DUMMYFUNCTION("""COMPUTED_VALUE"""),"Accrued Interest")</f>
        <v>Accrued Interest</v>
      </c>
      <c r="CB5" s="26" t="str">
        <f ca="1">IFERROR(__xludf.DUMMYFUNCTION("""COMPUTED_VALUE"""),"Accrual Basis")</f>
        <v>Accrual Basis</v>
      </c>
      <c r="CC5" s="26" t="str">
        <f ca="1">IFERROR(__xludf.DUMMYFUNCTION("""COMPUTED_VALUE"""),"Bond Type")</f>
        <v>Bond Type</v>
      </c>
      <c r="CD5" s="26" t="str">
        <f ca="1">IFERROR(__xludf.DUMMYFUNCTION("""COMPUTED_VALUE"""),"Coupon Rate")</f>
        <v>Coupon Rate</v>
      </c>
      <c r="CE5" s="26" t="str">
        <f ca="1">IFERROR(__xludf.DUMMYFUNCTION("""COMPUTED_VALUE"""),"Delta")</f>
        <v>Delta</v>
      </c>
      <c r="CF5" s="26" t="str">
        <f ca="1">IFERROR(__xludf.DUMMYFUNCTION("""COMPUTED_VALUE"""),"Bloomberg")</f>
        <v>Bloomberg</v>
      </c>
      <c r="CG5" s="26" t="str">
        <f ca="1">IFERROR(__xludf.DUMMYFUNCTION("""COMPUTED_VALUE"""),"Sedol Symbol")</f>
        <v>Sedol Symbol</v>
      </c>
      <c r="CH5" s="26" t="str">
        <f ca="1">IFERROR(__xludf.DUMMYFUNCTION("""COMPUTED_VALUE"""),"Cusip Symbol")</f>
        <v>Cusip Symbol</v>
      </c>
      <c r="CI5" s="26" t="str">
        <f ca="1">IFERROR(__xludf.DUMMYFUNCTION("""COMPUTED_VALUE"""),"ISIN")</f>
        <v>ISIN</v>
      </c>
      <c r="CJ5" s="26" t="str">
        <f ca="1">IFERROR(__xludf.DUMMYFUNCTION("""COMPUTED_VALUE"""),"OSISSymbol")</f>
        <v>OSISSymbol</v>
      </c>
      <c r="CK5" s="26" t="str">
        <f ca="1">IFERROR(__xludf.DUMMYFUNCTION("""COMPUTED_VALUE"""),"IDCOSymbol")</f>
        <v>IDCOSymbol</v>
      </c>
      <c r="CL5" s="26" t="str">
        <f ca="1">IFERROR(__xludf.DUMMYFUNCTION("""COMPUTED_VALUE"""),"Underlying Delta")</f>
        <v>Underlying Delta</v>
      </c>
      <c r="CM5" s="26" t="str">
        <f ca="1">IFERROR(__xludf.DUMMYFUNCTION("""COMPUTED_VALUE"""),"Internal Comments")</f>
        <v>Internal Comments</v>
      </c>
      <c r="CN5" s="26" t="str">
        <f ca="1">IFERROR(__xludf.DUMMYFUNCTION("""COMPUTED_VALUE"""),"Proxy Symbol")</f>
        <v>Proxy Symbol</v>
      </c>
      <c r="CO5" s="26" t="str">
        <f ca="1">IFERROR(__xludf.DUMMYFUNCTION("""COMPUTED_VALUE"""),"Transaction Source")</f>
        <v>Transaction Source</v>
      </c>
      <c r="CP5" s="26" t="str">
        <f ca="1">IFERROR(__xludf.DUMMYFUNCTION("""COMPUTED_VALUE"""),"Import File Name")</f>
        <v>Import File Name</v>
      </c>
      <c r="CQ5" s="26" t="str">
        <f ca="1">IFERROR(__xludf.DUMMYFUNCTION("""COMPUTED_VALUE"""),"Master Fund")</f>
        <v>Master Fund</v>
      </c>
      <c r="CR5" s="26" t="str">
        <f ca="1">IFERROR(__xludf.DUMMYFUNCTION("""COMPUTED_VALUE"""),"Client")</f>
        <v>Client</v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16</v>
      </c>
      <c r="C6" s="6" t="s">
        <v>17</v>
      </c>
      <c r="D6" s="6">
        <v>100</v>
      </c>
      <c r="E6" s="6">
        <v>100</v>
      </c>
      <c r="P6" s="6" t="s">
        <v>19</v>
      </c>
    </row>
    <row r="7" spans="1:153" ht="15.75" customHeight="1">
      <c r="A7" s="5"/>
      <c r="B7" s="7"/>
      <c r="C7" s="7"/>
      <c r="D7" s="7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33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IFERROR(__xludf.DUMMYFUNCTION("""COMPUTED_VALUE"""),"PreferenceType")</f>
        <v>PreferenceType</v>
      </c>
      <c r="C5" s="25" t="str">
        <f ca="1">IFERROR(__xludf.DUMMYFUNCTION("""COMPUTED_VALUE"""),"PreferenceName")</f>
        <v>PreferenceName</v>
      </c>
      <c r="D5" s="25" t="str">
        <f ca="1">IFERROR(__xludf.DUMMYFUNCTION("""COMPUTED_VALUE"""),"PTTPrefNeeded")</f>
        <v>PTTPrefNeeded</v>
      </c>
      <c r="E5" s="25" t="str">
        <f ca="1">IFERROR(__xludf.DUMMYFUNCTION("""COMPUTED_VALUE"""),"IsForceAllocation")</f>
        <v>IsForceAllocation</v>
      </c>
      <c r="F5" s="25" t="str">
        <f ca="1">IFERROR(__xludf.DUMMYFUNCTION("""COMPUTED_VALUE"""),"AllocationMethod")</f>
        <v>AllocationMethod</v>
      </c>
      <c r="G5" s="25" t="str">
        <f ca="1">IFERROR(__xludf.DUMMYFUNCTION("""COMPUTED_VALUE"""),"RemainderAllocationTo")</f>
        <v>RemainderAllocationTo</v>
      </c>
      <c r="H5" s="25" t="str">
        <f ca="1">IFERROR(__xludf.DUMMYFUNCTION("""COMPUTED_VALUE"""),"Target%AsOf")</f>
        <v>Target%AsOf</v>
      </c>
      <c r="I5" s="25" t="str">
        <f ca="1">IFERROR(__xludf.DUMMYFUNCTION("""COMPUTED_VALUE"""),"AccountsForProrata")</f>
        <v>AccountsForProrata</v>
      </c>
      <c r="J5" s="25" t="str">
        <f ca="1">IFERROR(__xludf.DUMMYFUNCTION("""COMPUTED_VALUE"""),"DateUptoDays")</f>
        <v>DateUptoDays</v>
      </c>
      <c r="K5" s="25" t="str">
        <f ca="1">IFERROR(__xludf.DUMMYFUNCTION("""COMPUTED_VALUE"""),"MatchClosingTransactions")</f>
        <v>MatchClosingTransactions</v>
      </c>
      <c r="L5" s="25" t="str">
        <f ca="1">IFERROR(__xludf.DUMMYFUNCTION("""COMPUTED_VALUE"""),"")</f>
        <v/>
      </c>
      <c r="M5" s="25" t="str">
        <f ca="1">IFERROR(__xludf.DUMMYFUNCTION("""COMPUTED_VALUE"""),"")</f>
        <v/>
      </c>
      <c r="N5" s="25" t="str">
        <f ca="1">IFERROR(__xludf.DUMMYFUNCTION("""COMPUTED_VALUE"""),"")</f>
        <v/>
      </c>
      <c r="O5" s="25" t="str">
        <f ca="1">IFERROR(__xludf.DUMMYFUNCTION("""COMPUTED_VALUE"""),"")</f>
        <v/>
      </c>
      <c r="P5" s="25" t="str">
        <f ca="1">IFERROR(__xludf.DUMMYFUNCTION("""COMPUTED_VALUE"""),"")</f>
        <v/>
      </c>
      <c r="Q5" s="25" t="str">
        <f ca="1">IFERROR(__xludf.DUMMYFUNCTION("""COMPUTED_VALUE"""),"")</f>
        <v/>
      </c>
      <c r="R5" s="25" t="str">
        <f ca="1">IFERROR(__xludf.DUMMYFUNCTION("""COMPUTED_VALUE"""),"")</f>
        <v/>
      </c>
      <c r="S5" s="25" t="str">
        <f ca="1">IFERROR(__xludf.DUMMYFUNCTION("""COMPUTED_VALUE"""),"")</f>
        <v/>
      </c>
      <c r="T5" s="26" t="str">
        <f ca="1">IFERROR(__xludf.DUMMYFUNCTION("""COMPUTED_VALUE"""),"")</f>
        <v/>
      </c>
      <c r="U5" s="26" t="str">
        <f ca="1">IFERROR(__xludf.DUMMYFUNCTION("""COMPUTED_VALUE"""),"")</f>
        <v/>
      </c>
      <c r="V5" s="26" t="str">
        <f ca="1">IFERROR(__xludf.DUMMYFUNCTION("""COMPUTED_VALUE"""),"")</f>
        <v/>
      </c>
      <c r="W5" s="26" t="str">
        <f ca="1">IFERROR(__xludf.DUMMYFUNCTION("""COMPUTED_VALUE"""),"")</f>
        <v/>
      </c>
      <c r="X5" s="26" t="str">
        <f ca="1">IFERROR(__xludf.DUMMYFUNCTION("""COMPUTED_VALUE"""),"")</f>
        <v/>
      </c>
      <c r="Y5" s="26" t="str">
        <f ca="1">IFERROR(__xludf.DUMMYFUNCTION("""COMPUTED_VALUE"""),"")</f>
        <v/>
      </c>
      <c r="Z5" s="26" t="str">
        <f ca="1">IFERROR(__xludf.DUMMYFUNCTION("""COMPUTED_VALUE"""),"")</f>
        <v/>
      </c>
      <c r="AA5" s="26" t="str">
        <f ca="1">IFERROR(__xludf.DUMMYFUNCTION("""COMPUTED_VALUE"""),"")</f>
        <v/>
      </c>
      <c r="AB5" s="26" t="str">
        <f ca="1">IFERROR(__xludf.DUMMYFUNCTION("""COMPUTED_VALUE"""),"")</f>
        <v/>
      </c>
      <c r="AC5" s="26" t="str">
        <f ca="1">IFERROR(__xludf.DUMMYFUNCTION("""COMPUTED_VALUE"""),"")</f>
        <v/>
      </c>
      <c r="AD5" s="26" t="str">
        <f ca="1">IFERROR(__xludf.DUMMYFUNCTION("""COMPUTED_VALUE"""),"")</f>
        <v/>
      </c>
      <c r="AE5" s="26" t="str">
        <f ca="1">IFERROR(__xludf.DUMMYFUNCTION("""COMPUTED_VALUE"""),"")</f>
        <v/>
      </c>
      <c r="AF5" s="26" t="str">
        <f ca="1">IFERROR(__xludf.DUMMYFUNCTION("""COMPUTED_VALUE"""),"")</f>
        <v/>
      </c>
      <c r="AG5" s="26" t="str">
        <f ca="1">IFERROR(__xludf.DUMMYFUNCTION("""COMPUTED_VALUE"""),"")</f>
        <v/>
      </c>
      <c r="AH5" s="26" t="str">
        <f ca="1">IFERROR(__xludf.DUMMYFUNCTION("""COMPUTED_VALUE"""),"")</f>
        <v/>
      </c>
      <c r="AI5" s="26" t="str">
        <f ca="1">IFERROR(__xludf.DUMMYFUNCTION("""COMPUTED_VALUE"""),"")</f>
        <v/>
      </c>
      <c r="AJ5" s="26" t="str">
        <f ca="1">IFERROR(__xludf.DUMMYFUNCTION("""COMPUTED_VALUE"""),"")</f>
        <v/>
      </c>
      <c r="AK5" s="26" t="str">
        <f ca="1">IFERROR(__xludf.DUMMYFUNCTION("""COMPUTED_VALUE"""),"")</f>
        <v/>
      </c>
      <c r="AL5" s="26" t="str">
        <f ca="1">IFERROR(__xludf.DUMMYFUNCTION("""COMPUTED_VALUE"""),"")</f>
        <v/>
      </c>
      <c r="AM5" s="26" t="str">
        <f ca="1">IFERROR(__xludf.DUMMYFUNCTION("""COMPUTED_VALUE"""),"")</f>
        <v/>
      </c>
      <c r="AN5" s="26" t="str">
        <f ca="1">IFERROR(__xludf.DUMMYFUNCTION("""COMPUTED_VALUE"""),"")</f>
        <v/>
      </c>
      <c r="AO5" s="26" t="str">
        <f ca="1">IFERROR(__xludf.DUMMYFUNCTION("""COMPUTED_VALUE"""),"")</f>
        <v/>
      </c>
      <c r="AP5" s="26" t="str">
        <f ca="1">IFERROR(__xludf.DUMMYFUNCTION("""COMPUTED_VALUE"""),"")</f>
        <v/>
      </c>
      <c r="AQ5" s="26" t="str">
        <f ca="1">IFERROR(__xludf.DUMMYFUNCTION("""COMPUTED_VALUE"""),"")</f>
        <v/>
      </c>
      <c r="AR5" s="26" t="str">
        <f ca="1">IFERROR(__xludf.DUMMYFUNCTION("""COMPUTED_VALUE"""),"")</f>
        <v/>
      </c>
      <c r="AS5" s="26" t="str">
        <f ca="1">IFERROR(__xludf.DUMMYFUNCTION("""COMPUTED_VALUE"""),"")</f>
        <v/>
      </c>
      <c r="AT5" s="26" t="str">
        <f ca="1">IFERROR(__xludf.DUMMYFUNCTION("""COMPUTED_VALUE"""),"")</f>
        <v/>
      </c>
      <c r="AU5" s="26" t="str">
        <f ca="1">IFERROR(__xludf.DUMMYFUNCTION("""COMPUTED_VALUE"""),"")</f>
        <v/>
      </c>
      <c r="AV5" s="26" t="str">
        <f ca="1">IFERROR(__xludf.DUMMYFUNCTION("""COMPUTED_VALUE"""),"")</f>
        <v/>
      </c>
      <c r="AW5" s="26" t="str">
        <f ca="1">IFERROR(__xludf.DUMMYFUNCTION("""COMPUTED_VALUE"""),"")</f>
        <v/>
      </c>
      <c r="AX5" s="26" t="str">
        <f ca="1">IFERROR(__xludf.DUMMYFUNCTION("""COMPUTED_VALUE"""),"")</f>
        <v/>
      </c>
      <c r="AY5" s="26" t="str">
        <f ca="1">IFERROR(__xludf.DUMMYFUNCTION("""COMPUTED_VALUE"""),"")</f>
        <v/>
      </c>
      <c r="AZ5" s="26" t="str">
        <f ca="1">IFERROR(__xludf.DUMMYFUNCTION("""COMPUTED_VALUE"""),"")</f>
        <v/>
      </c>
      <c r="BA5" s="26" t="str">
        <f ca="1">IFERROR(__xludf.DUMMYFUNCTION("""COMPUTED_VALUE"""),"")</f>
        <v/>
      </c>
      <c r="BB5" s="26" t="str">
        <f ca="1">IFERROR(__xludf.DUMMYFUNCTION("""COMPUTED_VALUE"""),"")</f>
        <v/>
      </c>
      <c r="BC5" s="26" t="str">
        <f ca="1">IFERROR(__xludf.DUMMYFUNCTION("""COMPUTED_VALUE"""),"")</f>
        <v/>
      </c>
      <c r="BD5" s="26" t="str">
        <f ca="1">IFERROR(__xludf.DUMMYFUNCTION("""COMPUTED_VALUE"""),"")</f>
        <v/>
      </c>
      <c r="BE5" s="26" t="str">
        <f ca="1">IFERROR(__xludf.DUMMYFUNCTION("""COMPUTED_VALUE"""),"")</f>
        <v/>
      </c>
      <c r="BF5" s="26" t="str">
        <f ca="1">IFERROR(__xludf.DUMMYFUNCTION("""COMPUTED_VALUE"""),"")</f>
        <v/>
      </c>
      <c r="BG5" s="26" t="str">
        <f ca="1">IFERROR(__xludf.DUMMYFUNCTION("""COMPUTED_VALUE"""),"")</f>
        <v/>
      </c>
      <c r="BH5" s="26" t="str">
        <f ca="1">IFERROR(__xludf.DUMMYFUNCTION("""COMPUTED_VALUE"""),"")</f>
        <v/>
      </c>
      <c r="BI5" s="26" t="str">
        <f ca="1">IFERROR(__xludf.DUMMYFUNCTION("""COMPUTED_VALUE"""),"")</f>
        <v/>
      </c>
      <c r="BJ5" s="26" t="str">
        <f ca="1">IFERROR(__xludf.DUMMYFUNCTION("""COMPUTED_VALUE"""),"")</f>
        <v/>
      </c>
      <c r="BK5" s="26" t="str">
        <f ca="1">IFERROR(__xludf.DUMMYFUNCTION("""COMPUTED_VALUE"""),"")</f>
        <v/>
      </c>
      <c r="BL5" s="26" t="str">
        <f ca="1">IFERROR(__xludf.DUMMYFUNCTION("""COMPUTED_VALUE"""),"")</f>
        <v/>
      </c>
      <c r="BM5" s="26" t="str">
        <f ca="1">IFERROR(__xludf.DUMMYFUNCTION("""COMPUTED_VALUE"""),"")</f>
        <v/>
      </c>
      <c r="BN5" s="26" t="str">
        <f ca="1">IFERROR(__xludf.DUMMYFUNCTION("""COMPUTED_VALUE"""),"")</f>
        <v/>
      </c>
      <c r="BO5" s="26" t="str">
        <f ca="1">IFERROR(__xludf.DUMMYFUNCTION("""COMPUTED_VALUE"""),"")</f>
        <v/>
      </c>
      <c r="BP5" s="26" t="str">
        <f ca="1">IFERROR(__xludf.DUMMYFUNCTION("""COMPUTED_VALUE"""),"")</f>
        <v/>
      </c>
      <c r="BQ5" s="26" t="str">
        <f ca="1">IFERROR(__xludf.DUMMYFUNCTION("""COMPUTED_VALUE"""),"")</f>
        <v/>
      </c>
      <c r="BR5" s="26" t="str">
        <f ca="1">IFERROR(__xludf.DUMMYFUNCTION("""COMPUTED_VALUE"""),"")</f>
        <v/>
      </c>
      <c r="BS5" s="26" t="str">
        <f ca="1">IFERROR(__xludf.DUMMYFUNCTION("""COMPUTED_VALUE"""),"")</f>
        <v/>
      </c>
      <c r="BT5" s="26" t="str">
        <f ca="1">IFERROR(__xludf.DUMMYFUNCTION("""COMPUTED_VALUE"""),"")</f>
        <v/>
      </c>
      <c r="BU5" s="26" t="str">
        <f ca="1">IFERROR(__xludf.DUMMYFUNCTION("""COMPUTED_VALUE"""),"")</f>
        <v/>
      </c>
      <c r="BV5" s="26" t="str">
        <f ca="1">IFERROR(__xludf.DUMMYFUNCTION("""COMPUTED_VALUE"""),"")</f>
        <v/>
      </c>
      <c r="BW5" s="26" t="str">
        <f ca="1">IFERROR(__xludf.DUMMYFUNCTION("""COMPUTED_VALUE"""),"")</f>
        <v/>
      </c>
      <c r="BX5" s="26" t="str">
        <f ca="1">IFERROR(__xludf.DUMMYFUNCTION("""COMPUTED_VALUE"""),"")</f>
        <v/>
      </c>
      <c r="BY5" s="26" t="str">
        <f ca="1">IFERROR(__xludf.DUMMYFUNCTION("""COMPUTED_VALUE"""),"")</f>
        <v/>
      </c>
      <c r="BZ5" s="26" t="str">
        <f ca="1">IFERROR(__xludf.DUMMYFUNCTION("""COMPUTED_VALUE"""),"")</f>
        <v/>
      </c>
      <c r="CA5" s="26" t="str">
        <f ca="1">IFERROR(__xludf.DUMMYFUNCTION("""COMPUTED_VALUE"""),"")</f>
        <v/>
      </c>
      <c r="CB5" s="26" t="str">
        <f ca="1">IFERROR(__xludf.DUMMYFUNCTION("""COMPUTED_VALUE"""),"")</f>
        <v/>
      </c>
      <c r="CC5" s="26" t="str">
        <f ca="1">IFERROR(__xludf.DUMMYFUNCTION("""COMPUTED_VALUE"""),"")</f>
        <v/>
      </c>
      <c r="CD5" s="26" t="str">
        <f ca="1">IFERROR(__xludf.DUMMYFUNCTION("""COMPUTED_VALUE"""),"")</f>
        <v/>
      </c>
      <c r="CE5" s="26" t="str">
        <f ca="1">IFERROR(__xludf.DUMMYFUNCTION("""COMPUTED_VALUE"""),"")</f>
        <v/>
      </c>
      <c r="CF5" s="26" t="str">
        <f ca="1">IFERROR(__xludf.DUMMYFUNCTION("""COMPUTED_VALUE"""),"")</f>
        <v/>
      </c>
      <c r="CG5" s="26" t="str">
        <f ca="1">IFERROR(__xludf.DUMMYFUNCTION("""COMPUTED_VALUE"""),"")</f>
        <v/>
      </c>
      <c r="CH5" s="26" t="str">
        <f ca="1">IFERROR(__xludf.DUMMYFUNCTION("""COMPUTED_VALUE"""),"")</f>
        <v/>
      </c>
      <c r="CI5" s="26" t="str">
        <f ca="1">IFERROR(__xludf.DUMMYFUNCTION("""COMPUTED_VALUE"""),"")</f>
        <v/>
      </c>
      <c r="CJ5" s="26" t="str">
        <f ca="1">IFERROR(__xludf.DUMMYFUNCTION("""COMPUTED_VALUE"""),"")</f>
        <v/>
      </c>
      <c r="CK5" s="26" t="str">
        <f ca="1">IFERROR(__xludf.DUMMYFUNCTION("""COMPUTED_VALUE"""),"")</f>
        <v/>
      </c>
      <c r="CL5" s="26" t="str">
        <f ca="1">IFERROR(__xludf.DUMMYFUNCTION("""COMPUTED_VALUE"""),"")</f>
        <v/>
      </c>
      <c r="CM5" s="26" t="str">
        <f ca="1">IFERROR(__xludf.DUMMYFUNCTION("""COMPUTED_VALUE"""),"")</f>
        <v/>
      </c>
      <c r="CN5" s="26" t="str">
        <f ca="1">IFERROR(__xludf.DUMMYFUNCTION("""COMPUTED_VALUE"""),"")</f>
        <v/>
      </c>
      <c r="CO5" s="26" t="str">
        <f ca="1">IFERROR(__xludf.DUMMYFUNCTION("""COMPUTED_VALUE"""),"")</f>
        <v/>
      </c>
      <c r="CP5" s="26" t="str">
        <f ca="1">IFERROR(__xludf.DUMMYFUNCTION("""COMPUTED_VALUE"""),"")</f>
        <v/>
      </c>
      <c r="CQ5" s="26" t="str">
        <f ca="1">IFERROR(__xludf.DUMMYFUNCTION("""COMPUTED_VALUE"""),"")</f>
        <v/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34</v>
      </c>
      <c r="D6" s="6" t="b">
        <v>0</v>
      </c>
      <c r="F6" s="6"/>
      <c r="G6" s="6"/>
      <c r="H6" s="6" t="s">
        <v>35</v>
      </c>
      <c r="I6" s="6" t="s">
        <v>23</v>
      </c>
      <c r="J6" s="27">
        <f ca="1">TODAY()</f>
        <v>44412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19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22" width="14.42578125" customWidth="1"/>
    <col min="23" max="23" width="24.28515625" customWidth="1"/>
    <col min="24" max="73" width="14.42578125" customWidth="1"/>
    <col min="74" max="74" width="15.140625" customWidth="1"/>
    <col min="75" max="75" width="24" customWidth="1"/>
    <col min="76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36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IFERROR(__xludf.DUMMYFUNCTION("""COMPUTED_VALUE"""),"Account Name")</f>
        <v>Account Name</v>
      </c>
      <c r="C5" s="25" t="str">
        <f ca="1">IFERROR(__xludf.DUMMYFUNCTION("""COMPUTED_VALUE"""),"Accrual Basis")</f>
        <v>Accrual Basis</v>
      </c>
      <c r="D5" s="25" t="str">
        <f ca="1">IFERROR(__xludf.DUMMYFUNCTION("""COMPUTED_VALUE"""),"Accrued Interest")</f>
        <v>Accrued Interest</v>
      </c>
      <c r="E5" s="25" t="str">
        <f ca="1">IFERROR(__xludf.DUMMYFUNCTION("""COMPUTED_VALUE"""),"Allocated Qty")</f>
        <v>Allocated Qty</v>
      </c>
      <c r="F5" s="25" t="str">
        <f ca="1">IFERROR(__xludf.DUMMYFUNCTION("""COMPUTED_VALUE"""),"Allocation Scheme Name")</f>
        <v>Allocation Scheme Name</v>
      </c>
      <c r="G5" s="25" t="str">
        <f ca="1">IFERROR(__xludf.DUMMYFUNCTION("""COMPUTED_VALUE"""),"Asset Category")</f>
        <v>Asset Category</v>
      </c>
      <c r="H5" s="25" t="str">
        <f ca="1">IFERROR(__xludf.DUMMYFUNCTION("""COMPUTED_VALUE"""),"AUEC Fee1")</f>
        <v>AUEC Fee1</v>
      </c>
      <c r="I5" s="25" t="str">
        <f ca="1">IFERROR(__xludf.DUMMYFUNCTION("""COMPUTED_VALUE"""),"AUEC Fee2")</f>
        <v>AUEC Fee2</v>
      </c>
      <c r="J5" s="25" t="str">
        <f ca="1">IFERROR(__xludf.DUMMYFUNCTION("""COMPUTED_VALUE"""),"AUECID")</f>
        <v>AUECID</v>
      </c>
      <c r="K5" s="25" t="str">
        <f ca="1">IFERROR(__xludf.DUMMYFUNCTION("""COMPUTED_VALUE"""),"Avg Price(Base)")</f>
        <v>Avg Price(Base)</v>
      </c>
      <c r="L5" s="25" t="str">
        <f ca="1">IFERROR(__xludf.DUMMYFUNCTION("""COMPUTED_VALUE"""),"Avg Price(Local)")</f>
        <v>Avg Price(Local)</v>
      </c>
      <c r="M5" s="25" t="str">
        <f ca="1">IFERROR(__xludf.DUMMYFUNCTION("""COMPUTED_VALUE"""),"Bloomberg")</f>
        <v>Bloomberg</v>
      </c>
      <c r="N5" s="25" t="str">
        <f ca="1">IFERROR(__xludf.DUMMYFUNCTION("""COMPUTED_VALUE"""),"Bond Type")</f>
        <v>Bond Type</v>
      </c>
      <c r="O5" s="25" t="str">
        <f ca="1">IFERROR(__xludf.DUMMYFUNCTION("""COMPUTED_VALUE"""),"Broker")</f>
        <v>Broker</v>
      </c>
      <c r="P5" s="25" t="str">
        <f ca="1">IFERROR(__xludf.DUMMYFUNCTION("""COMPUTED_VALUE"""),"Change Comment")</f>
        <v>Change Comment</v>
      </c>
      <c r="Q5" s="25" t="str">
        <f ca="1">IFERROR(__xludf.DUMMYFUNCTION("""COMPUTED_VALUE"""),"Change Type")</f>
        <v>Change Type</v>
      </c>
      <c r="R5" s="25" t="str">
        <f ca="1">IFERROR(__xludf.DUMMYFUNCTION("""COMPUTED_VALUE"""),"Clearing Broker Fee")</f>
        <v>Clearing Broker Fee</v>
      </c>
      <c r="S5" s="25" t="str">
        <f ca="1">IFERROR(__xludf.DUMMYFUNCTION("""COMPUTED_VALUE"""),"Closing Status")</f>
        <v>Closing Status</v>
      </c>
      <c r="T5" s="26" t="str">
        <f ca="1">IFERROR(__xludf.DUMMYFUNCTION("""COMPUTED_VALUE"""),"Commission")</f>
        <v>Commission</v>
      </c>
      <c r="U5" s="26" t="str">
        <f ca="1">IFERROR(__xludf.DUMMYFUNCTION("""COMPUTED_VALUE"""),"Commission Per Share")</f>
        <v>Commission Per Share</v>
      </c>
      <c r="V5" s="26" t="str">
        <f ca="1">IFERROR(__xludf.DUMMYFUNCTION("""COMPUTED_VALUE"""),"Company")</f>
        <v>Company</v>
      </c>
      <c r="W5" s="26" t="str">
        <f ca="1">IFERROR(__xludf.DUMMYFUNCTION("""COMPUTED_VALUE"""),"Contract Multiplier")</f>
        <v>Contract Multiplier</v>
      </c>
      <c r="X5" s="26" t="str">
        <f ca="1">IFERROR(__xludf.DUMMYFUNCTION("""COMPUTED_VALUE"""),"Coupon Rate")</f>
        <v>Coupon Rate</v>
      </c>
      <c r="Y5" s="26" t="str">
        <f ca="1">IFERROR(__xludf.DUMMYFUNCTION("""COMPUTED_VALUE"""),"Cum Qty For Sub Order")</f>
        <v>Cum Qty For Sub Order</v>
      </c>
      <c r="Z5" s="26" t="str">
        <f ca="1">IFERROR(__xludf.DUMMYFUNCTION("""COMPUTED_VALUE"""),"Currency")</f>
        <v>Currency</v>
      </c>
      <c r="AA5" s="26" t="str">
        <f ca="1">IFERROR(__xludf.DUMMYFUNCTION("""COMPUTED_VALUE"""),"Cusip Symbol")</f>
        <v>Cusip Symbol</v>
      </c>
      <c r="AB5" s="26" t="str">
        <f ca="1">IFERROR(__xludf.DUMMYFUNCTION("""COMPUTED_VALUE"""),"Delta")</f>
        <v>Delta</v>
      </c>
      <c r="AC5" s="26" t="str">
        <f ca="1">IFERROR(__xludf.DUMMYFUNCTION("""COMPUTED_VALUE"""),"Description")</f>
        <v>Description</v>
      </c>
      <c r="AD5" s="26" t="str">
        <f ca="1">IFERROR(__xludf.DUMMYFUNCTION("""COMPUTED_VALUE"""),"Exchange")</f>
        <v>Exchange</v>
      </c>
      <c r="AE5" s="26" t="str">
        <f ca="1">IFERROR(__xludf.DUMMYFUNCTION("""COMPUTED_VALUE"""),"Executed Qty")</f>
        <v>Executed Qty</v>
      </c>
      <c r="AF5" s="26" t="str">
        <f ca="1">IFERROR(__xludf.DUMMYFUNCTION("""COMPUTED_VALUE"""),"Exceution Time")</f>
        <v>Exceution Time</v>
      </c>
      <c r="AG5" s="26" t="str">
        <f ca="1">IFERROR(__xludf.DUMMYFUNCTION("""COMPUTED_VALUE"""),"Expiration Date")</f>
        <v>Expiration Date</v>
      </c>
      <c r="AH5" s="26" t="str">
        <f ca="1">IFERROR(__xludf.DUMMYFUNCTION("""COMPUTED_VALUE"""),"FX Conversion Operator")</f>
        <v>FX Conversion Operator</v>
      </c>
      <c r="AI5" s="26" t="str">
        <f ca="1">IFERROR(__xludf.DUMMYFUNCTION("""COMPUTED_VALUE"""),"FX Rate")</f>
        <v>FX Rate</v>
      </c>
      <c r="AJ5" s="26" t="str">
        <f ca="1">IFERROR(__xludf.DUMMYFUNCTION("""COMPUTED_VALUE"""),"Group Status")</f>
        <v>Group Status</v>
      </c>
      <c r="AK5" s="26" t="str">
        <f ca="1">IFERROR(__xludf.DUMMYFUNCTION("""COMPUTED_VALUE"""),"IDCOSymbol")</f>
        <v>IDCOSymbol</v>
      </c>
      <c r="AL5" s="26" t="str">
        <f ca="1">IFERROR(__xludf.DUMMYFUNCTION("""COMPUTED_VALUE"""),"Import File Name")</f>
        <v>Import File Name</v>
      </c>
      <c r="AM5" s="26" t="str">
        <f ca="1">IFERROR(__xludf.DUMMYFUNCTION("""COMPUTED_VALUE"""),"Internal Comments")</f>
        <v>Internal Comments</v>
      </c>
      <c r="AN5" s="26" t="str">
        <f ca="1">IFERROR(__xludf.DUMMYFUNCTION("""COMPUTED_VALUE"""),"IsAnotherTaxlotAttributesUpdated")</f>
        <v>IsAnotherTaxlotAttributesUpdated</v>
      </c>
      <c r="AO5" s="26" t="str">
        <f ca="1">IFERROR(__xludf.DUMMYFUNCTION("""COMPUTED_VALUE"""),"ISIN")</f>
        <v>ISIN</v>
      </c>
      <c r="AP5" s="26" t="str">
        <f ca="1">IFERROR(__xludf.DUMMYFUNCTION("""COMPUTED_VALUE"""),"IsManualGroup")</f>
        <v>IsManualGroup</v>
      </c>
      <c r="AQ5" s="26" t="str">
        <f ca="1">IFERROR(__xludf.DUMMYFUNCTION("""COMPUTED_VALUE"""),"ISNDF")</f>
        <v>ISNDF</v>
      </c>
      <c r="AR5" s="26" t="str">
        <f ca="1">IFERROR(__xludf.DUMMYFUNCTION("""COMPUTED_VALUE"""),"IsPreAllocated")</f>
        <v>IsPreAllocated</v>
      </c>
      <c r="AS5" s="26" t="str">
        <f ca="1">IFERROR(__xludf.DUMMYFUNCTION("""COMPUTED_VALUE"""),"M2MProfitLoss")</f>
        <v>M2MProfitLoss</v>
      </c>
      <c r="AT5" s="26" t="str">
        <f ca="1">IFERROR(__xludf.DUMMYFUNCTION("""COMPUTED_VALUE"""),"Net Amount( Base)")</f>
        <v>Net Amount( Base)</v>
      </c>
      <c r="AU5" s="26" t="str">
        <f ca="1">IFERROR(__xludf.DUMMYFUNCTION("""COMPUTED_VALUE"""),"Net Amount( Local)")</f>
        <v>Net Amount( Local)</v>
      </c>
      <c r="AV5" s="26" t="str">
        <f ca="1">IFERROR(__xludf.DUMMYFUNCTION("""COMPUTED_VALUE"""),"Nirvana Process Date")</f>
        <v>Nirvana Process Date</v>
      </c>
      <c r="AW5" s="26" t="str">
        <f ca="1">IFERROR(__xludf.DUMMYFUNCTION("""COMPUTED_VALUE"""),"OCC Fee")</f>
        <v>OCC Fee</v>
      </c>
      <c r="AX5" s="26" t="str">
        <f ca="1">IFERROR(__xludf.DUMMYFUNCTION("""COMPUTED_VALUE"""),"Option Premium Adjustment")</f>
        <v>Option Premium Adjustment</v>
      </c>
      <c r="AY5" s="26" t="str">
        <f ca="1">IFERROR(__xludf.DUMMYFUNCTION("""COMPUTED_VALUE"""),"Order Type")</f>
        <v>Order Type</v>
      </c>
      <c r="AZ5" s="26" t="str">
        <f ca="1">IFERROR(__xludf.DUMMYFUNCTION("""COMPUTED_VALUE"""),"ORF Fee")</f>
        <v>ORF Fee</v>
      </c>
      <c r="BA5" s="26" t="str">
        <f ca="1">IFERROR(__xludf.DUMMYFUNCTION("""COMPUTED_VALUE"""),"Original Purchase Date")</f>
        <v>Original Purchase Date</v>
      </c>
      <c r="BB5" s="26" t="str">
        <f ca="1">IFERROR(__xludf.DUMMYFUNCTION("""COMPUTED_VALUE"""),"OSISSymbol")</f>
        <v>OSISSymbol</v>
      </c>
      <c r="BC5" s="26" t="str">
        <f ca="1">IFERROR(__xludf.DUMMYFUNCTION("""COMPUTED_VALUE"""),"Other Broker Fees")</f>
        <v>Other Broker Fees</v>
      </c>
      <c r="BD5" s="26" t="str">
        <f ca="1">IFERROR(__xludf.DUMMYFUNCTION("""COMPUTED_VALUE"""),"Prana Msg Type")</f>
        <v>Prana Msg Type</v>
      </c>
      <c r="BE5" s="26" t="str">
        <f ca="1">IFERROR(__xludf.DUMMYFUNCTION("""COMPUTED_VALUE"""),"Principal Amount( Base)")</f>
        <v>Principal Amount( Base)</v>
      </c>
      <c r="BF5" s="26" t="str">
        <f ca="1">IFERROR(__xludf.DUMMYFUNCTION("""COMPUTED_VALUE"""),"Principal Amount( Local)")</f>
        <v>Principal Amount( Local)</v>
      </c>
      <c r="BG5" s="26" t="str">
        <f ca="1">IFERROR(__xludf.DUMMYFUNCTION("""COMPUTED_VALUE"""),"Process Date")</f>
        <v>Process Date</v>
      </c>
      <c r="BH5" s="26" t="str">
        <f ca="1">IFERROR(__xludf.DUMMYFUNCTION("""COMPUTED_VALUE"""),"Proxy Symbol")</f>
        <v>Proxy Symbol</v>
      </c>
      <c r="BI5" s="26" t="str">
        <f ca="1">IFERROR(__xludf.DUMMYFUNCTION("""COMPUTED_VALUE"""),"Put Or Call")</f>
        <v>Put Or Call</v>
      </c>
      <c r="BJ5" s="26" t="str">
        <f ca="1">IFERROR(__xludf.DUMMYFUNCTION("""COMPUTED_VALUE"""),"Quantity")</f>
        <v>Quantity</v>
      </c>
      <c r="BK5" s="26" t="str">
        <f ca="1">IFERROR(__xludf.DUMMYFUNCTION("""COMPUTED_VALUE"""),"SEC Fee")</f>
        <v>SEC Fee</v>
      </c>
      <c r="BL5" s="26" t="str">
        <f ca="1">IFERROR(__xludf.DUMMYFUNCTION("""COMPUTED_VALUE"""),"Sedol Symbol")</f>
        <v>Sedol Symbol</v>
      </c>
      <c r="BM5" s="26" t="str">
        <f ca="1">IFERROR(__xludf.DUMMYFUNCTION("""COMPUTED_VALUE"""),"Settlement Currency")</f>
        <v>Settlement Currency</v>
      </c>
      <c r="BN5" s="26" t="str">
        <f ca="1">IFERROR(__xludf.DUMMYFUNCTION("""COMPUTED_VALUE"""),"Settlement Date")</f>
        <v>Settlement Date</v>
      </c>
      <c r="BO5" s="26" t="str">
        <f ca="1">IFERROR(__xludf.DUMMYFUNCTION("""COMPUTED_VALUE"""),"Side")</f>
        <v>Side</v>
      </c>
      <c r="BP5" s="26" t="str">
        <f ca="1">IFERROR(__xludf.DUMMYFUNCTION("""COMPUTED_VALUE"""),"Soft Commission")</f>
        <v>Soft Commission</v>
      </c>
      <c r="BQ5" s="26" t="str">
        <f ca="1">IFERROR(__xludf.DUMMYFUNCTION("""COMPUTED_VALUE"""),"Soft Commission Per Share")</f>
        <v>Soft Commission Per Share</v>
      </c>
      <c r="BR5" s="26" t="str">
        <f ca="1">IFERROR(__xludf.DUMMYFUNCTION("""COMPUTED_VALUE"""),"Stamp Duty")</f>
        <v>Stamp Duty</v>
      </c>
      <c r="BS5" s="26" t="str">
        <f ca="1">IFERROR(__xludf.DUMMYFUNCTION("""COMPUTED_VALUE"""),"Strategy Name")</f>
        <v>Strategy Name</v>
      </c>
      <c r="BT5" s="26" t="str">
        <f ca="1">IFERROR(__xludf.DUMMYFUNCTION("""COMPUTED_VALUE"""),"Symbol")</f>
        <v>Symbol</v>
      </c>
      <c r="BU5" s="26" t="str">
        <f ca="1">IFERROR(__xludf.DUMMYFUNCTION("""COMPUTED_VALUE"""),"Tax On Commissions")</f>
        <v>Tax On Commissions</v>
      </c>
      <c r="BV5" s="26" t="str">
        <f ca="1">IFERROR(__xludf.DUMMYFUNCTION("""COMPUTED_VALUE"""),"Total Commission")</f>
        <v>Total Commission</v>
      </c>
      <c r="BW5" s="26" t="str">
        <f ca="1">IFERROR(__xludf.DUMMYFUNCTION("""COMPUTED_VALUE"""),"Total Commission And Fee")</f>
        <v>Total Commission And Fee</v>
      </c>
      <c r="BX5" s="26" t="str">
        <f ca="1">IFERROR(__xludf.DUMMYFUNCTION("""COMPUTED_VALUE"""),"Total Commission Per Share")</f>
        <v>Total Commission Per Share</v>
      </c>
      <c r="BY5" s="26" t="str">
        <f ca="1">IFERROR(__xludf.DUMMYFUNCTION("""COMPUTED_VALUE"""),"Trade Attribute 1")</f>
        <v>Trade Attribute 1</v>
      </c>
      <c r="BZ5" s="26" t="str">
        <f ca="1">IFERROR(__xludf.DUMMYFUNCTION("""COMPUTED_VALUE"""),"Trade Attribute 2")</f>
        <v>Trade Attribute 2</v>
      </c>
      <c r="CA5" s="26" t="str">
        <f ca="1">IFERROR(__xludf.DUMMYFUNCTION("""COMPUTED_VALUE"""),"Trade Attribute 3")</f>
        <v>Trade Attribute 3</v>
      </c>
      <c r="CB5" s="26" t="str">
        <f ca="1">IFERROR(__xludf.DUMMYFUNCTION("""COMPUTED_VALUE"""),"Trade Attribute 4")</f>
        <v>Trade Attribute 4</v>
      </c>
      <c r="CC5" s="26" t="str">
        <f ca="1">IFERROR(__xludf.DUMMYFUNCTION("""COMPUTED_VALUE"""),"Trade Attribute 5")</f>
        <v>Trade Attribute 5</v>
      </c>
      <c r="CD5" s="26" t="str">
        <f ca="1">IFERROR(__xludf.DUMMYFUNCTION("""COMPUTED_VALUE"""),"Trade Attribute 6")</f>
        <v>Trade Attribute 6</v>
      </c>
      <c r="CE5" s="26" t="str">
        <f ca="1">IFERROR(__xludf.DUMMYFUNCTION("""COMPUTED_VALUE"""),"Trade Date")</f>
        <v>Trade Date</v>
      </c>
      <c r="CF5" s="26" t="str">
        <f ca="1">IFERROR(__xludf.DUMMYFUNCTION("""COMPUTED_VALUE"""),"Trading Account")</f>
        <v>Trading Account</v>
      </c>
      <c r="CG5" s="26" t="str">
        <f ca="1">IFERROR(__xludf.DUMMYFUNCTION("""COMPUTED_VALUE"""),"Transaction Levy")</f>
        <v>Transaction Levy</v>
      </c>
      <c r="CH5" s="26" t="str">
        <f ca="1">IFERROR(__xludf.DUMMYFUNCTION("""COMPUTED_VALUE"""),"Transaction Source")</f>
        <v>Transaction Source</v>
      </c>
      <c r="CI5" s="26" t="str">
        <f ca="1">IFERROR(__xludf.DUMMYFUNCTION("""COMPUTED_VALUE"""),"Transaction Type")</f>
        <v>Transaction Type</v>
      </c>
      <c r="CJ5" s="26" t="str">
        <f ca="1">IFERROR(__xludf.DUMMYFUNCTION("""COMPUTED_VALUE"""),"UnAllocatedQty")</f>
        <v>UnAllocatedQty</v>
      </c>
      <c r="CK5" s="26" t="str">
        <f ca="1">IFERROR(__xludf.DUMMYFUNCTION("""COMPUTED_VALUE"""),"Underlying")</f>
        <v>Underlying</v>
      </c>
      <c r="CL5" s="26" t="str">
        <f ca="1">IFERROR(__xludf.DUMMYFUNCTION("""COMPUTED_VALUE"""),"Underlying Delta")</f>
        <v>Underlying Delta</v>
      </c>
      <c r="CM5" s="26" t="str">
        <f ca="1">IFERROR(__xludf.DUMMYFUNCTION("""COMPUTED_VALUE"""),"Underlying Symbol")</f>
        <v>Underlying Symbol</v>
      </c>
      <c r="CN5" s="26" t="str">
        <f ca="1">IFERROR(__xludf.DUMMYFUNCTION("""COMPUTED_VALUE"""),"User")</f>
        <v>User</v>
      </c>
      <c r="CO5" s="26" t="str">
        <f ca="1">IFERROR(__xludf.DUMMYFUNCTION("""COMPUTED_VALUE"""),"Venue")</f>
        <v>Venue</v>
      </c>
      <c r="CP5" s="26" t="str">
        <f ca="1">IFERROR(__xludf.DUMMYFUNCTION("""COMPUTED_VALUE"""),"Closing Method")</f>
        <v>Closing Method</v>
      </c>
      <c r="CQ5" s="26" t="str">
        <f ca="1">IFERROR(__xludf.DUMMYFUNCTION("""COMPUTED_VALUE"""),"Closing Date")</f>
        <v>Closing Date</v>
      </c>
      <c r="CR5" s="26" t="str">
        <f ca="1">IFERROR(__xludf.DUMMYFUNCTION("""COMPUTED_VALUE"""),"GroupID")</f>
        <v>GroupID</v>
      </c>
      <c r="CS5" s="26" t="str">
        <f ca="1">IFERROR(__xludf.DUMMYFUNCTION("""COMPUTED_VALUE"""),"Client")</f>
        <v>Client</v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7" t="s">
        <v>29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7" t="s">
        <v>37</v>
      </c>
      <c r="AE6" s="6">
        <v>200</v>
      </c>
      <c r="BJ6" s="6">
        <v>200</v>
      </c>
      <c r="BO6" s="6" t="s">
        <v>17</v>
      </c>
      <c r="BT6" s="6" t="s">
        <v>16</v>
      </c>
    </row>
    <row r="7" spans="1:153" ht="15.75" customHeight="1">
      <c r="A7" s="5"/>
      <c r="B7" s="6" t="s">
        <v>29</v>
      </c>
      <c r="O7" s="6" t="s">
        <v>19</v>
      </c>
      <c r="V7" s="6"/>
      <c r="W7" s="6"/>
      <c r="AE7" s="6">
        <v>100</v>
      </c>
      <c r="BJ7" s="6">
        <v>100</v>
      </c>
      <c r="BO7" s="6" t="s">
        <v>17</v>
      </c>
      <c r="BP7" s="6"/>
      <c r="BQ7" s="6"/>
      <c r="BT7" s="6" t="s">
        <v>16</v>
      </c>
    </row>
    <row r="8" spans="1:153" ht="15.75" customHeight="1">
      <c r="A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9"/>
  <sheetViews>
    <sheetView tabSelected="1" topLeftCell="AY1" workbookViewId="0">
      <selection activeCell="BI11" sqref="BI11"/>
    </sheetView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</row>
    <row r="2" spans="1:169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69" ht="15.75" customHeight="1">
      <c r="A3" s="18"/>
      <c r="B3" s="2" t="s">
        <v>8</v>
      </c>
      <c r="C3" s="19" t="s">
        <v>38</v>
      </c>
      <c r="D3" s="2" t="s">
        <v>9</v>
      </c>
      <c r="E3" s="19" t="s">
        <v>39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tr">
        <f ca="1">IFERROR(__xludf.DUMMYFUNCTION("""COMPUTED_VALUE"""),"CheckPortfolioManagement")</f>
        <v>CheckPortfolioManagement</v>
      </c>
      <c r="D4" s="22" t="str">
        <f ca="1">IFERROR(__xludf.DUMMYFUNCTION("""COMPUTED_VALUE"""),"OpenPSTFromPM")</f>
        <v>OpenPSTFromPM</v>
      </c>
      <c r="E4" s="22" t="str">
        <f ca="1">IFERROR(__xludf.DUMMYFUNCTION("""COMPUTED_VALUE"""),"ClosePM")</f>
        <v>ClosePM</v>
      </c>
      <c r="F4" s="22" t="str">
        <f ca="1">IFERROR(__xludf.DUMMYFUNCTION("""COMPUTED_VALUE"""),"FilterPM")</f>
        <v>FilterPM</v>
      </c>
      <c r="G4" s="22" t="str">
        <f ca="1">IFERROR(__xludf.DUMMYFUNCTION("""COMPUTED_VALUE"""),"GroupRowPM")</f>
        <v>GroupRowPM</v>
      </c>
      <c r="H4" s="22" t="str">
        <f ca="1">IFERROR(__xludf.DUMMYFUNCTION("""COMPUTED_VALUE"""),"CheckDashboardWithPM")</f>
        <v>CheckDashboardWithPM</v>
      </c>
      <c r="I4" s="22" t="str">
        <f ca="1">IFERROR(__xludf.DUMMYFUNCTION("""COMPUTED_VALUE"""),"RemoveFilterPM")</f>
        <v>RemoveFilterPM</v>
      </c>
      <c r="J4" s="22" t="str">
        <f ca="1">IFERROR(__xludf.DUMMYFUNCTION("""COMPUTED_VALUE"""),"CheckSummaryRowsPM")</f>
        <v>CheckSummaryRowsPM</v>
      </c>
      <c r="K4" s="22" t="str">
        <f ca="1">IFERROR(__xludf.DUMMYFUNCTION("""COMPUTED_VALUE"""),"OpenPTTFromPM")</f>
        <v>OpenPTTFromPM</v>
      </c>
      <c r="L4" s="22" t="str">
        <f ca="1">IFERROR(__xludf.DUMMYFUNCTION("""COMPUTED_VALUE"""),"OpenCreateTransactionFromPM")</f>
        <v>OpenCreateTransactionFromPM</v>
      </c>
      <c r="M4" s="22" t="str">
        <f ca="1">IFERROR(__xludf.DUMMYFUNCTION("""COMPUTED_VALUE"""),"OpenClosingFromPM")</f>
        <v>OpenClosingFromPM</v>
      </c>
      <c r="N4" s="22" t="str">
        <f ca="1">IFERROR(__xludf.DUMMYFUNCTION("""COMPUTED_VALUE"""),"OpenCorporateActionFromPM")</f>
        <v>OpenCorporateActionFromPM</v>
      </c>
      <c r="O4" s="22" t="str">
        <f ca="1">IFERROR(__xludf.DUMMYFUNCTION("""COMPUTED_VALUE"""),"OpenDailyValuationFromPM")</f>
        <v>OpenDailyValuationFromPM</v>
      </c>
      <c r="P4" s="23" t="str">
        <f ca="1">IFERROR(__xludf.DUMMYFUNCTION("""COMPUTED_VALUE"""),"ClosePositionFromPM")</f>
        <v>ClosePositionFromPM</v>
      </c>
      <c r="Q4" s="23" t="str">
        <f ca="1">IFERROR(__xludf.DUMMYFUNCTION("""COMPUTED_VALUE"""),"ShowSummaryToolFromPM")</f>
        <v>ShowSummaryToolFromPM</v>
      </c>
      <c r="R4" s="23" t="str">
        <f ca="1">IFERROR(__xludf.DUMMYFUNCTION("""COMPUTED_VALUE"""),"HideSummaryToolFromPM")</f>
        <v>HideSummaryToolFromPM</v>
      </c>
      <c r="S4" s="23" t="str">
        <f ca="1">IFERROR(__xludf.DUMMYFUNCTION("""COMPUTED_VALUE"""),"CloseAccountPositionFromPM")</f>
        <v>CloseAccountPositionFromPM</v>
      </c>
      <c r="T4" s="23" t="str">
        <f ca="1">IFERROR(__xludf.DUMMYFUNCTION("""COMPUTED_VALUE"""),"CloseSelectedTaxlotsFromPM")</f>
        <v>CloseSelectedTaxlotsFromPM</v>
      </c>
      <c r="U4" s="23" t="str">
        <f ca="1">IFERROR(__xludf.DUMMYFUNCTION("""COMPUTED_VALUE"""),"ExpandCollapsePM")</f>
        <v>ExpandCollapsePM</v>
      </c>
      <c r="V4" s="23" t="str">
        <f ca="1">IFERROR(__xludf.DUMMYFUNCTION("""COMPUTED_VALUE"""),"AddCustomViewPM")</f>
        <v>AddCustomViewPM</v>
      </c>
      <c r="W4" s="23" t="str">
        <f ca="1">IFERROR(__xludf.DUMMYFUNCTION("""COMPUTED_VALUE"""),"AddCustomViewRightClickPM")</f>
        <v>AddCustomViewRightClickPM</v>
      </c>
      <c r="X4" s="23" t="str">
        <f ca="1">IFERROR(__xludf.DUMMYFUNCTION("""COMPUTED_VALUE"""),"RenameCustomViewPM")</f>
        <v>RenameCustomViewPM</v>
      </c>
      <c r="Y4" s="23" t="str">
        <f ca="1">IFERROR(__xludf.DUMMYFUNCTION("""COMPUTED_VALUE"""),"DeleteCustomViewPM")</f>
        <v>DeleteCustomViewPM</v>
      </c>
      <c r="Z4" s="23" t="str">
        <f ca="1">IFERROR(__xludf.DUMMYFUNCTION("""COMPUTED_VALUE"""),"")</f>
        <v/>
      </c>
      <c r="AA4" s="23" t="str">
        <f ca="1">IFERROR(__xludf.DUMMYFUNCTION("""COMPUTED_VALUE"""),"")</f>
        <v/>
      </c>
      <c r="AB4" s="23" t="str">
        <f ca="1">IFERROR(__xludf.DUMMYFUNCTION("""COMPUTED_VALUE"""),"")</f>
        <v/>
      </c>
      <c r="AC4" s="23" t="str">
        <f ca="1">IFERROR(__xludf.DUMMYFUNCTION("""COMPUTED_VALUE"""),"")</f>
        <v/>
      </c>
      <c r="AD4" s="23" t="str">
        <f ca="1">IFERROR(__xludf.DUMMYFUNCTION("""COMPUTED_VALUE"""),"")</f>
        <v/>
      </c>
      <c r="AE4" s="23" t="str">
        <f ca="1">IFERROR(__xludf.DUMMYFUNCTION("""COMPUTED_VALUE"""),"")</f>
        <v/>
      </c>
      <c r="AF4" s="23" t="str">
        <f ca="1">IFERROR(__xludf.DUMMYFUNCTION("""COMPUTED_VALUE"""),"")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IFERROR(__xludf.DUMMYFUNCTION("""COMPUTED_VALUE"""),"")</f>
        <v/>
      </c>
      <c r="AI4" s="23" t="str">
        <f ca="1">IFERROR(__xludf.DUMMYFUNCTION("""COMPUTED_VALUE"""),"")</f>
        <v/>
      </c>
      <c r="AJ4" s="23" t="str">
        <f ca="1">IFERROR(__xludf.DUMMYFUNCTION("""COMPUTED_VALUE"""),"")</f>
        <v/>
      </c>
      <c r="AK4" s="23" t="str">
        <f ca="1">IFERROR(__xludf.DUMMYFUNCTION("""COMPUTED_VALUE"""),"")</f>
        <v/>
      </c>
      <c r="AL4" s="23" t="str">
        <f ca="1">IFERROR(__xludf.DUMMYFUNCTION("""COMPUTED_VALUE"""),"")</f>
        <v/>
      </c>
      <c r="AM4" s="23" t="str">
        <f ca="1">IFERROR(__xludf.DUMMYFUNCTION("""COMPUTED_VALUE"""),"")</f>
        <v/>
      </c>
      <c r="AN4" s="23" t="str">
        <f ca="1">IFERROR(__xludf.DUMMYFUNCTION("""COMPUTED_VALUE"""),"")</f>
        <v/>
      </c>
      <c r="AO4" s="23" t="str">
        <f ca="1">IFERROR(__xludf.DUMMYFUNCTION("""COMPUTED_VALUE"""),"")</f>
        <v/>
      </c>
      <c r="AP4" s="23" t="str">
        <f ca="1">IFERROR(__xludf.DUMMYFUNCTION("""COMPUTED_VALUE"""),"")</f>
        <v/>
      </c>
      <c r="AQ4" s="23" t="str">
        <f ca="1">IFERROR(__xludf.DUMMYFUNCTION("""COMPUTED_VALUE"""),"")</f>
        <v/>
      </c>
      <c r="AR4" s="23" t="str">
        <f ca="1">IFERROR(__xludf.DUMMYFUNCTION("""COMPUTED_VALUE"""),"")</f>
        <v/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  <c r="EX4" s="23" t="str">
        <f ca="1">IFERROR(__xludf.DUMMYFUNCTION("""COMPUTED_VALUE"""),"")</f>
        <v/>
      </c>
      <c r="EY4" s="23" t="str">
        <f ca="1">IFERROR(__xludf.DUMMYFUNCTION("""COMPUTED_VALUE"""),"")</f>
        <v/>
      </c>
      <c r="EZ4" s="23" t="str">
        <f ca="1">IFERROR(__xludf.DUMMYFUNCTION("""COMPUTED_VALUE"""),"")</f>
        <v/>
      </c>
      <c r="FA4" s="23" t="str">
        <f ca="1">IFERROR(__xludf.DUMMYFUNCTION("""COMPUTED_VALUE"""),"")</f>
        <v/>
      </c>
      <c r="FB4" s="23" t="str">
        <f ca="1">IFERROR(__xludf.DUMMYFUNCTION("""COMPUTED_VALUE"""),"")</f>
        <v/>
      </c>
      <c r="FC4" s="23" t="str">
        <f ca="1">IFERROR(__xludf.DUMMYFUNCTION("""COMPUTED_VALUE"""),"")</f>
        <v/>
      </c>
      <c r="FD4" s="23" t="str">
        <f ca="1">IFERROR(__xludf.DUMMYFUNCTION("""COMPUTED_VALUE"""),"")</f>
        <v/>
      </c>
      <c r="FE4" s="23" t="str">
        <f ca="1">IFERROR(__xludf.DUMMYFUNCTION("""COMPUTED_VALUE"""),"")</f>
        <v/>
      </c>
      <c r="FF4" s="23" t="str">
        <f ca="1">IFERROR(__xludf.DUMMYFUNCTION("""COMPUTED_VALUE"""),"")</f>
        <v/>
      </c>
      <c r="FG4" s="23" t="str">
        <f ca="1">IFERROR(__xludf.DUMMYFUNCTION("""COMPUTED_VALUE"""),"")</f>
        <v/>
      </c>
      <c r="FH4" s="23" t="str">
        <f ca="1">IFERROR(__xludf.DUMMYFUNCTION("""COMPUTED_VALUE"""),"")</f>
        <v/>
      </c>
      <c r="FI4" s="23" t="str">
        <f ca="1">IFERROR(__xludf.DUMMYFUNCTION("""COMPUTED_VALUE"""),"")</f>
        <v/>
      </c>
      <c r="FJ4" s="23" t="str">
        <f ca="1">IFERROR(__xludf.DUMMYFUNCTION("""COMPUTED_VALUE"""),"")</f>
        <v/>
      </c>
      <c r="FK4" s="23" t="str">
        <f ca="1">IFERROR(__xludf.DUMMYFUNCTION("""COMPUTED_VALUE"""),"")</f>
        <v/>
      </c>
      <c r="FL4" s="23" t="str">
        <f ca="1">IFERROR(__xludf.DUMMYFUNCTION("""COMPUTED_VALUE"""),"")</f>
        <v/>
      </c>
      <c r="FM4" s="23" t="str">
        <f ca="1">IFERROR(__xludf.DUMMYFUNCTION("""COMPUTED_VALUE"""),"")</f>
        <v/>
      </c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IFERROR(__xludf.DUMMYFUNCTION("""COMPUTED_VALUE"""),"Trade Date")</f>
        <v>Trade Date</v>
      </c>
      <c r="C5" s="25" t="str">
        <f ca="1">IFERROR(__xludf.DUMMYFUNCTION("""COMPUTED_VALUE"""),"Symbol")</f>
        <v>Symbol</v>
      </c>
      <c r="D5" s="25" t="str">
        <f ca="1">IFERROR(__xludf.DUMMYFUNCTION("""COMPUTED_VALUE"""),"Position")</f>
        <v>Position</v>
      </c>
      <c r="E5" s="25" t="str">
        <f ca="1">IFERROR(__xludf.DUMMYFUNCTION("""COMPUTED_VALUE"""),"Account")</f>
        <v>Account</v>
      </c>
      <c r="F5" s="25" t="str">
        <f ca="1">IFERROR(__xludf.DUMMYFUNCTION("""COMPUTED_VALUE"""),"MasterFund")</f>
        <v>MasterFund</v>
      </c>
      <c r="G5" s="25" t="str">
        <f ca="1">IFERROR(__xludf.DUMMYFUNCTION("""COMPUTED_VALUE"""),"Cost Basis")</f>
        <v>Cost Basis</v>
      </c>
      <c r="H5" s="25" t="str">
        <f ca="1">IFERROR(__xludf.DUMMYFUNCTION("""COMPUTED_VALUE"""),"Position Side")</f>
        <v>Position Side</v>
      </c>
      <c r="I5" s="25" t="str">
        <f ca="1">IFERROR(__xludf.DUMMYFUNCTION("""COMPUTED_VALUE"""),"Market Value (Base)")</f>
        <v>Market Value (Base)</v>
      </c>
      <c r="J5" s="25" t="str">
        <f ca="1">IFERROR(__xludf.DUMMYFUNCTION("""COMPUTED_VALUE"""),"% Day P&amp;L (Gross MV)")</f>
        <v>% Day P&amp;L (Gross MV)</v>
      </c>
      <c r="K5" s="25" t="str">
        <f ca="1">IFERROR(__xludf.DUMMYFUNCTION("""COMPUTED_VALUE"""),"Net Exposure (Base)")</f>
        <v>Net Exposure (Base)</v>
      </c>
      <c r="L5" s="25" t="str">
        <f ca="1">IFERROR(__xludf.DUMMYFUNCTION("""COMPUTED_VALUE"""),"Beta Adj. Gross Exposure (Base)")</f>
        <v>Beta Adj. Gross Exposure (Base)</v>
      </c>
      <c r="M5" s="25" t="str">
        <f ca="1">IFERROR(__xludf.DUMMYFUNCTION("""COMPUTED_VALUE"""),"Beta Adj. Gross Exposure (Underlying) (Base)")</f>
        <v>Beta Adj. Gross Exposure (Underlying) (Base)</v>
      </c>
      <c r="N5" s="25" t="str">
        <f ca="1">IFERROR(__xludf.DUMMYFUNCTION("""COMPUTED_VALUE"""),"Day P&amp;L (Base)")</f>
        <v>Day P&amp;L (Base)</v>
      </c>
      <c r="O5" s="25" t="str">
        <f ca="1">IFERROR(__xludf.DUMMYFUNCTION("""COMPUTED_VALUE"""),"Security Name")</f>
        <v>Security Name</v>
      </c>
      <c r="P5" s="25" t="str">
        <f ca="1">IFERROR(__xludf.DUMMYFUNCTION("""COMPUTED_VALUE"""),"Closing Mark")</f>
        <v>Closing Mark</v>
      </c>
      <c r="Q5" s="25" t="str">
        <f ca="1">IFERROR(__xludf.DUMMYFUNCTION("""COMPUTED_VALUE"""),"Cost Basis P&amp;L (Base)")</f>
        <v>Cost Basis P&amp;L (Base)</v>
      </c>
      <c r="R5" s="25" t="str">
        <f ca="1">IFERROR(__xludf.DUMMYFUNCTION("""COMPUTED_VALUE"""),"Prime Broker")</f>
        <v>Prime Broker</v>
      </c>
      <c r="S5" s="25" t="str">
        <f ca="1">IFERROR(__xludf.DUMMYFUNCTION("""COMPUTED_VALUE"""),"Strategy")</f>
        <v>Strategy</v>
      </c>
      <c r="T5" s="26" t="str">
        <f ca="1">IFERROR(__xludf.DUMMYFUNCTION("""COMPUTED_VALUE"""),"Asset Class")</f>
        <v>Asset Class</v>
      </c>
      <c r="U5" s="26" t="str">
        <f ca="1">IFERROR(__xludf.DUMMYFUNCTION("""COMPUTED_VALUE"""),"Underlying")</f>
        <v>Underlying</v>
      </c>
      <c r="V5" s="26" t="str">
        <f ca="1">IFERROR(__xludf.DUMMYFUNCTION("""COMPUTED_VALUE"""),"Exchange")</f>
        <v>Exchange</v>
      </c>
      <c r="W5" s="26" t="str">
        <f ca="1">IFERROR(__xludf.DUMMYFUNCTION("""COMPUTED_VALUE"""),"Trade Currency")</f>
        <v>Trade Currency</v>
      </c>
      <c r="X5" s="26" t="str">
        <f ca="1">IFERROR(__xludf.DUMMYFUNCTION("""COMPUTED_VALUE"""),"Multiplier")</f>
        <v>Multiplier</v>
      </c>
      <c r="Y5" s="26" t="str">
        <f ca="1">IFERROR(__xludf.DUMMYFUNCTION("""COMPUTED_VALUE"""),"FX Rate")</f>
        <v>FX Rate</v>
      </c>
      <c r="Z5" s="26" t="str">
        <f ca="1">IFERROR(__xludf.DUMMYFUNCTION("""COMPUTED_VALUE"""),"Vs Currency")</f>
        <v>Vs Currency</v>
      </c>
      <c r="AA5" s="26" t="str">
        <f ca="1">IFERROR(__xludf.DUMMYFUNCTION("""COMPUTED_VALUE"""),"Lead Currency")</f>
        <v>Lead Currency</v>
      </c>
      <c r="AB5" s="26" t="str">
        <f ca="1">IFERROR(__xludf.DUMMYFUNCTION("""COMPUTED_VALUE"""),"Dividend Yield (%)")</f>
        <v>Dividend Yield (%)</v>
      </c>
      <c r="AC5" s="26" t="str">
        <f ca="1">IFERROR(__xludf.DUMMYFUNCTION("""COMPUTED_VALUE"""),"% Change")</f>
        <v>% Change</v>
      </c>
      <c r="AD5" s="26" t="str">
        <f ca="1">IFERROR(__xludf.DUMMYFUNCTION("""COMPUTED_VALUE"""),"Net Exposure (Local)")</f>
        <v>Net Exposure (Local)</v>
      </c>
      <c r="AE5" s="26" t="str">
        <f ca="1">IFERROR(__xludf.DUMMYFUNCTION("""COMPUTED_VALUE"""),"Exposure (Local)")</f>
        <v>Exposure (Local)</v>
      </c>
      <c r="AF5" s="26" t="str">
        <f ca="1">IFERROR(__xludf.DUMMYFUNCTION("""COMPUTED_VALUE"""),"Delta Adj. Position")</f>
        <v>Delta Adj. Position</v>
      </c>
      <c r="AG5" s="26" t="str">
        <f ca="1">IFERROR(__xludf.DUMMYFUNCTION("""COMPUTED_VALUE"""),"Exposure (Base)")</f>
        <v>Exposure (Base)</v>
      </c>
      <c r="AH5" s="26" t="str">
        <f ca="1">IFERROR(__xludf.DUMMYFUNCTION("""COMPUTED_VALUE"""),"Beta Adj. Exposure (Local)")</f>
        <v>Beta Adj. Exposure (Local)</v>
      </c>
      <c r="AI5" s="26" t="str">
        <f ca="1">IFERROR(__xludf.DUMMYFUNCTION("""COMPUTED_VALUE"""),"Beta Adj. Exposure (Base)")</f>
        <v>Beta Adj. Exposure (Base)</v>
      </c>
      <c r="AJ5" s="26" t="str">
        <f ca="1">IFERROR(__xludf.DUMMYFUNCTION("""COMPUTED_VALUE"""),"Exposure (BP)(Base)")</f>
        <v>Exposure (BP)(Base)</v>
      </c>
      <c r="AK5" s="26" t="str">
        <f ca="1">IFERROR(__xludf.DUMMYFUNCTION("""COMPUTED_VALUE"""),"Day P&amp;L (Local)")</f>
        <v>Day P&amp;L (Local)</v>
      </c>
      <c r="AL5" s="26" t="str">
        <f ca="1">IFERROR(__xludf.DUMMYFUNCTION("""COMPUTED_VALUE"""),"Delta")</f>
        <v>Delta</v>
      </c>
      <c r="AM5" s="26" t="str">
        <f ca="1">IFERROR(__xludf.DUMMYFUNCTION("""COMPUTED_VALUE"""),"Leveraged Factor")</f>
        <v>Leveraged Factor</v>
      </c>
      <c r="AN5" s="26" t="str">
        <f ca="1">IFERROR(__xludf.DUMMYFUNCTION("""COMPUTED_VALUE"""),"Order Side")</f>
        <v>Order Side</v>
      </c>
      <c r="AO5" s="26" t="str">
        <f ca="1">IFERROR(__xludf.DUMMYFUNCTION("""COMPUTED_VALUE"""),"Master Strategy")</f>
        <v>Master Strategy</v>
      </c>
      <c r="AP5" s="26" t="str">
        <f ca="1">IFERROR(__xludf.DUMMYFUNCTION("""COMPUTED_VALUE"""),"Transaction Side")</f>
        <v>Transaction Side</v>
      </c>
      <c r="AQ5" s="26" t="str">
        <f ca="1">IFERROR(__xludf.DUMMYFUNCTION("""COMPUTED_VALUE"""),"Underlying Symbol")</f>
        <v>Underlying Symbol</v>
      </c>
      <c r="AR5" s="26" t="str">
        <f ca="1">IFERROR(__xludf.DUMMYFUNCTION("""COMPUTED_VALUE"""),"Underlying Price")</f>
        <v>Underlying Price</v>
      </c>
      <c r="AS5" s="26" t="str">
        <f ca="1">IFERROR(__xludf.DUMMYFUNCTION("""COMPUTED_VALUE"""),"Side Multiplier")</f>
        <v>Side Multiplier</v>
      </c>
      <c r="AT5" s="26" t="str">
        <f ca="1">IFERROR(__xludf.DUMMYFUNCTION("""COMPUTED_VALUE"""),"Description")</f>
        <v>Description</v>
      </c>
      <c r="AU5" s="26" t="str">
        <f ca="1">IFERROR(__xludf.DUMMYFUNCTION("""COMPUTED_VALUE"""),"Internal Comments")</f>
        <v>Internal Comments</v>
      </c>
      <c r="AV5" s="26" t="str">
        <f ca="1">IFERROR(__xludf.DUMMYFUNCTION("""COMPUTED_VALUE"""),"FX Rate On Trade Date")</f>
        <v>FX Rate On Trade Date</v>
      </c>
      <c r="AW5" s="26" t="str">
        <f ca="1">IFERROR(__xludf.DUMMYFUNCTION("""COMPUTED_VALUE"""),"Cost Basis P&amp;L (Local)")</f>
        <v>Cost Basis P&amp;L (Local)</v>
      </c>
      <c r="AX5" s="26" t="str">
        <f ca="1">IFERROR(__xludf.DUMMYFUNCTION("""COMPUTED_VALUE"""),"Day Interest")</f>
        <v>Day Interest</v>
      </c>
      <c r="AY5" s="26" t="str">
        <f ca="1">IFERROR(__xludf.DUMMYFUNCTION("""COMPUTED_VALUE"""),"Total Interest")</f>
        <v>Total Interest</v>
      </c>
      <c r="AZ5" s="26" t="str">
        <f ca="1">IFERROR(__xludf.DUMMYFUNCTION("""COMPUTED_VALUE"""),"Market Value (Local)")</f>
        <v>Market Value (Local)</v>
      </c>
      <c r="BA5" s="26" t="str">
        <f ca="1">IFERROR(__xludf.DUMMYFUNCTION("""COMPUTED_VALUE"""),"% Gain/Loss Day")</f>
        <v>% Gain/Loss Day</v>
      </c>
      <c r="BB5" s="26" t="str">
        <f ca="1">IFERROR(__xludf.DUMMYFUNCTION("""COMPUTED_VALUE"""),"Update Time (Last Price)")</f>
        <v>Update Time (Last Price)</v>
      </c>
      <c r="BC5" s="26" t="str">
        <f ca="1">IFERROR(__xludf.DUMMYFUNCTION("""COMPUTED_VALUE"""),"Beta")</f>
        <v>Beta</v>
      </c>
      <c r="BD5" s="26" t="str">
        <f ca="1">IFERROR(__xludf.DUMMYFUNCTION("""COMPUTED_VALUE"""),"Cash Impact (Local)")</f>
        <v>Cash Impact (Local)</v>
      </c>
      <c r="BE5" s="26" t="str">
        <f ca="1">IFERROR(__xludf.DUMMYFUNCTION("""COMPUTED_VALUE"""),"User Asset")</f>
        <v>User Asset</v>
      </c>
      <c r="BF5" s="26" t="str">
        <f ca="1">IFERROR(__xludf.DUMMYFUNCTION("""COMPUTED_VALUE"""),"Security Type")</f>
        <v>Security Type</v>
      </c>
      <c r="BG5" s="26" t="str">
        <f ca="1">IFERROR(__xludf.DUMMYFUNCTION("""COMPUTED_VALUE"""),"Sector")</f>
        <v>Sector</v>
      </c>
      <c r="BH5" s="26" t="str">
        <f ca="1">IFERROR(__xludf.DUMMYFUNCTION("""COMPUTED_VALUE"""),"Sub Sector")</f>
        <v>Sub Sector</v>
      </c>
      <c r="BI5" s="26" t="str">
        <f ca="1">IFERROR(__xludf.DUMMYFUNCTION("""COMPUTED_VALUE"""),"Country")</f>
        <v>Country</v>
      </c>
      <c r="BJ5" s="26" t="str">
        <f ca="1">IFERROR(__xludf.DUMMYFUNCTION("""COMPUTED_VALUE"""),"Market Cap")</f>
        <v>Market Cap</v>
      </c>
      <c r="BK5" s="26" t="str">
        <f ca="1">IFERROR(__xludf.DUMMYFUNCTION("""COMPUTED_VALUE"""),"Shares Outstanding (MM)")</f>
        <v>Shares Outstanding (MM)</v>
      </c>
      <c r="BL5" s="26" t="str">
        <f ca="1">IFERROR(__xludf.DUMMYFUNCTION("""COMPUTED_VALUE"""),"Avg Volume 20 Day")</f>
        <v>Avg Volume 20 Day</v>
      </c>
      <c r="BM5" s="26" t="str">
        <f ca="1">IFERROR(__xludf.DUMMYFUNCTION("""COMPUTED_VALUE"""),"% Avg Volume (Delta Adj.)")</f>
        <v>% Avg Volume (Delta Adj.)</v>
      </c>
      <c r="BN5" s="26" t="str">
        <f ca="1">IFERROR(__xludf.DUMMYFUNCTION("""COMPUTED_VALUE"""),"Ex Dividend Date")</f>
        <v>Ex Dividend Date</v>
      </c>
      <c r="BO5" s="26" t="str">
        <f ca="1">IFERROR(__xludf.DUMMYFUNCTION("""COMPUTED_VALUE"""),"Cash Impact (Base)")</f>
        <v>Cash Impact (Base)</v>
      </c>
      <c r="BP5" s="26" t="str">
        <f ca="1">IFERROR(__xludf.DUMMYFUNCTION("""COMPUTED_VALUE"""),"Volatility (%)")</f>
        <v>Volatility (%)</v>
      </c>
      <c r="BQ5" s="26" t="str">
        <f ca="1">IFERROR(__xludf.DUMMYFUNCTION("""COMPUTED_VALUE"""),"User")</f>
        <v>User</v>
      </c>
      <c r="BR5" s="26" t="str">
        <f ca="1">IFERROR(__xludf.DUMMYFUNCTION("""COMPUTED_VALUE"""),"Broker")</f>
        <v>Broker</v>
      </c>
      <c r="BS5" s="26" t="str">
        <f ca="1">IFERROR(__xludf.DUMMYFUNCTION("""COMPUTED_VALUE"""),"Earned Dividend (Local)")</f>
        <v>Earned Dividend (Local)</v>
      </c>
      <c r="BT5" s="26" t="str">
        <f ca="1">IFERROR(__xludf.DUMMYFUNCTION("""COMPUTED_VALUE"""),"Earned Dividend (Base)")</f>
        <v>Earned Dividend (Base)</v>
      </c>
      <c r="BU5" s="26" t="str">
        <f ca="1">IFERROR(__xludf.DUMMYFUNCTION("""COMPUTED_VALUE"""),"Put/Call")</f>
        <v>Put/Call</v>
      </c>
      <c r="BV5" s="26" t="str">
        <f ca="1">IFERROR(__xludf.DUMMYFUNCTION("""COMPUTED_VALUE"""),"Expiration Date")</f>
        <v>Expiration Date</v>
      </c>
      <c r="BW5" s="26" t="str">
        <f ca="1">IFERROR(__xludf.DUMMYFUNCTION("""COMPUTED_VALUE"""),"Strike Price")</f>
        <v>Strike Price</v>
      </c>
      <c r="BX5" s="26" t="str">
        <f ca="1">IFERROR(__xludf.DUMMYFUNCTION("""COMPUTED_VALUE"""),"Gross Exposure (Base)")</f>
        <v>Gross Exposure (Base)</v>
      </c>
      <c r="BY5" s="26" t="str">
        <f ca="1">IFERROR(__xludf.DUMMYFUNCTION("""COMPUTED_VALUE"""),"Gross Market Value (Base)")</f>
        <v>Gross Market Value (Base)</v>
      </c>
      <c r="BZ5" s="26" t="str">
        <f ca="1">IFERROR(__xludf.DUMMYFUNCTION("""COMPUTED_VALUE"""),"Px Selected Feed (Local)")</f>
        <v>Px Selected Feed (Local)</v>
      </c>
      <c r="CA5" s="26" t="str">
        <f ca="1">IFERROR(__xludf.DUMMYFUNCTION("""COMPUTED_VALUE"""),"Px Selected Feed (Base)")</f>
        <v>Px Selected Feed (Base)</v>
      </c>
      <c r="CB5" s="26" t="str">
        <f ca="1">IFERROR(__xludf.DUMMYFUNCTION("""COMPUTED_VALUE"""),"Settlement Date")</f>
        <v>Settlement Date</v>
      </c>
      <c r="CC5" s="26" t="str">
        <f ca="1">IFERROR(__xludf.DUMMYFUNCTION("""COMPUTED_VALUE"""),"% Avg Volume")</f>
        <v>% Avg Volume</v>
      </c>
      <c r="CD5" s="26" t="str">
        <f ca="1">IFERROR(__xludf.DUMMYFUNCTION("""COMPUTED_VALUE"""),"Day P&amp;L (Base)(Price Gain)")</f>
        <v>Day P&amp;L (Base)(Price Gain)</v>
      </c>
      <c r="CE5" s="26" t="str">
        <f ca="1">IFERROR(__xludf.DUMMYFUNCTION("""COMPUTED_VALUE"""),"Day P&amp;L (Base)(FX Gain)")</f>
        <v>Day P&amp;L (Base)(FX Gain)</v>
      </c>
      <c r="CF5" s="26" t="str">
        <f ca="1">IFERROR(__xludf.DUMMYFUNCTION("""COMPUTED_VALUE"""),"Cost Basis P&amp;L (Base)(FX Gain)")</f>
        <v>Cost Basis P&amp;L (Base)(FX Gain)</v>
      </c>
      <c r="CG5" s="26" t="str">
        <f ca="1">IFERROR(__xludf.DUMMYFUNCTION("""COMPUTED_VALUE"""),"Cost Basis P&amp;L (Base)(Price Gain)")</f>
        <v>Cost Basis P&amp;L (Base)(Price Gain)</v>
      </c>
      <c r="CH5" s="26" t="str">
        <f ca="1">IFERROR(__xludf.DUMMYFUNCTION("""COMPUTED_VALUE"""),"% Gain/Loss Cost")</f>
        <v>% Gain/Loss Cost</v>
      </c>
      <c r="CI5" s="26" t="str">
        <f ca="1">IFERROR(__xludf.DUMMYFUNCTION("""COMPUTED_VALUE"""),"Underlying Value (Options)")</f>
        <v>Underlying Value (Options)</v>
      </c>
      <c r="CJ5" s="26" t="str">
        <f ca="1">IFERROR(__xludf.DUMMYFUNCTION("""COMPUTED_VALUE"""),"Avg Volume 20 Day (Underlying Symbol)")</f>
        <v>Avg Volume 20 Day (Underlying Symbol)</v>
      </c>
      <c r="CK5" s="26" t="str">
        <f ca="1">IFERROR(__xludf.DUMMYFUNCTION("""COMPUTED_VALUE"""),"IsStaleData")</f>
        <v>IsStaleData</v>
      </c>
      <c r="CL5" s="26" t="str">
        <f ca="1">IFERROR(__xludf.DUMMYFUNCTION("""COMPUTED_VALUE"""),"IDCO")</f>
        <v>IDCO</v>
      </c>
      <c r="CM5" s="26" t="str">
        <f ca="1">IFERROR(__xludf.DUMMYFUNCTION("""COMPUTED_VALUE"""),"OSI")</f>
        <v>OSI</v>
      </c>
      <c r="CN5" s="26" t="str">
        <f ca="1">IFERROR(__xludf.DUMMYFUNCTION("""COMPUTED_VALUE"""),"SEDOL")</f>
        <v>SEDOL</v>
      </c>
      <c r="CO5" s="26" t="str">
        <f ca="1">IFERROR(__xludf.DUMMYFUNCTION("""COMPUTED_VALUE"""),"CUSIP")</f>
        <v>CUSIP</v>
      </c>
      <c r="CP5" s="26" t="str">
        <f ca="1">IFERROR(__xludf.DUMMYFUNCTION("""COMPUTED_VALUE"""),"Bloomberg")</f>
        <v>Bloomberg</v>
      </c>
      <c r="CQ5" s="26" t="str">
        <f ca="1">IFERROR(__xludf.DUMMYFUNCTION("""COMPUTED_VALUE"""),"ISIN")</f>
        <v>ISIN</v>
      </c>
      <c r="CR5" s="26" t="str">
        <f ca="1">IFERROR(__xludf.DUMMYFUNCTION("""COMPUTED_VALUE"""),"Start Trade Date")</f>
        <v>Start Trade Date</v>
      </c>
      <c r="CS5" s="26" t="str">
        <f ca="1">IFERROR(__xludf.DUMMYFUNCTION("""COMPUTED_VALUE"""),"Cost Basis (Break Even)")</f>
        <v>Cost Basis (Break Even)</v>
      </c>
      <c r="CT5" s="26" t="str">
        <f ca="1">IFERROR(__xludf.DUMMYFUNCTION("""COMPUTED_VALUE"""),"Trade Attribute 3")</f>
        <v>Trade Attribute 3</v>
      </c>
      <c r="CU5" s="26" t="str">
        <f ca="1">IFERROR(__xludf.DUMMYFUNCTION("""COMPUTED_VALUE"""),"Trade Attribute 4")</f>
        <v>Trade Attribute 4</v>
      </c>
      <c r="CV5" s="26" t="str">
        <f ca="1">IFERROR(__xludf.DUMMYFUNCTION("""COMPUTED_VALUE"""),"Trade Attribute 5")</f>
        <v>Trade Attribute 5</v>
      </c>
      <c r="CW5" s="26" t="str">
        <f ca="1">IFERROR(__xludf.DUMMYFUNCTION("""COMPUTED_VALUE"""),"Trade Attribute 6")</f>
        <v>Trade Attribute 6</v>
      </c>
      <c r="CX5" s="26" t="str">
        <f ca="1">IFERROR(__xludf.DUMMYFUNCTION("""COMPUTED_VALUE"""),"Proxy Symbol")</f>
        <v>Proxy Symbol</v>
      </c>
      <c r="CY5" s="26" t="str">
        <f ca="1">IFERROR(__xludf.DUMMYFUNCTION("""COMPUTED_VALUE"""),"Pricing Source")</f>
        <v>Pricing Source</v>
      </c>
      <c r="CZ5" s="26" t="str">
        <f ca="1">IFERROR(__xludf.DUMMYFUNCTION("""COMPUTED_VALUE"""),"Delta Source")</f>
        <v>Delta Source</v>
      </c>
      <c r="DA5" s="26" t="str">
        <f ca="1">IFERROR(__xludf.DUMMYFUNCTION("""COMPUTED_VALUE"""),"Gross Exposure (Local)")</f>
        <v>Gross Exposure (Local)</v>
      </c>
      <c r="DB5" s="26" t="str">
        <f ca="1">IFERROR(__xludf.DUMMYFUNCTION("""COMPUTED_VALUE"""),"% Day P&amp;L (Net MV)")</f>
        <v>% Day P&amp;L (Net MV)</v>
      </c>
      <c r="DC5" s="26" t="str">
        <f ca="1">IFERROR(__xludf.DUMMYFUNCTION("""COMPUTED_VALUE"""),"Expiration Month")</f>
        <v>Expiration Month</v>
      </c>
      <c r="DD5" s="26" t="str">
        <f ca="1">IFERROR(__xludf.DUMMYFUNCTION("""COMPUTED_VALUE"""),"Delta Adj. Position (LME)")</f>
        <v>Delta Adj. Position (LME)</v>
      </c>
      <c r="DE5" s="26" t="str">
        <f ca="1">IFERROR(__xludf.DUMMYFUNCTION("""COMPUTED_VALUE"""),"Premium")</f>
        <v>Premium</v>
      </c>
      <c r="DF5" s="26" t="str">
        <f ca="1">IFERROR(__xludf.DUMMYFUNCTION("""COMPUTED_VALUE"""),"Premium $")</f>
        <v>Premium $</v>
      </c>
      <c r="DG5" s="26" t="str">
        <f ca="1">IFERROR(__xludf.DUMMYFUNCTION("""COMPUTED_VALUE"""),"Forward Points")</f>
        <v>Forward Points</v>
      </c>
      <c r="DH5" s="26" t="str">
        <f ca="1">IFERROR(__xludf.DUMMYFUNCTION("""COMPUTED_VALUE"""),"Closing Mark (Underlying)")</f>
        <v>Closing Mark (Underlying)</v>
      </c>
      <c r="DI5" s="26" t="str">
        <f ca="1">IFERROR(__xludf.DUMMYFUNCTION("""COMPUTED_VALUE"""),"% Change (Underlying Price)")</f>
        <v>% Change (Underlying Price)</v>
      </c>
      <c r="DJ5" s="26" t="str">
        <f ca="1">IFERROR(__xludf.DUMMYFUNCTION("""COMPUTED_VALUE"""),"Transaction Type")</f>
        <v>Transaction Type</v>
      </c>
      <c r="DK5" s="26" t="str">
        <f ca="1">IFERROR(__xludf.DUMMYFUNCTION("""COMPUTED_VALUE"""),"Closing Market Value (Local)")</f>
        <v>Closing Market Value (Local)</v>
      </c>
      <c r="DL5" s="26" t="str">
        <f ca="1">IFERROR(__xludf.DUMMYFUNCTION("""COMPUTED_VALUE"""),"Closing Market Value (Base)")</f>
        <v>Closing Market Value (Base)</v>
      </c>
      <c r="DM5" s="26" t="str">
        <f ca="1">IFERROR(__xludf.DUMMYFUNCTION("""COMPUTED_VALUE"""),"Closing FX Rate")</f>
        <v>Closing FX Rate</v>
      </c>
      <c r="DN5" s="26" t="str">
        <f ca="1">IFERROR(__xludf.DUMMYFUNCTION("""COMPUTED_VALUE"""),"Change In Underlying Price")</f>
        <v>Change In Underlying Price</v>
      </c>
      <c r="DO5" s="26" t="str">
        <f ca="1">IFERROR(__xludf.DUMMYFUNCTION("""COMPUTED_VALUE"""),"RIC")</f>
        <v>RIC</v>
      </c>
      <c r="DP5" s="26" t="str">
        <f ca="1">IFERROR(__xludf.DUMMYFUNCTION("""COMPUTED_VALUE"""),"Position Side Exposure (Boxed)")</f>
        <v>Position Side Exposure (Boxed)</v>
      </c>
      <c r="DQ5" s="26" t="str">
        <f ca="1">IFERROR(__xludf.DUMMYFUNCTION("""COMPUTED_VALUE"""),"Analyst")</f>
        <v>Analyst</v>
      </c>
      <c r="DR5" s="26" t="str">
        <f ca="1">IFERROR(__xludf.DUMMYFUNCTION("""COMPUTED_VALUE"""),"Country Of Risk")</f>
        <v>Country Of Risk</v>
      </c>
      <c r="DS5" s="26" t="str">
        <f ca="1">IFERROR(__xludf.DUMMYFUNCTION("""COMPUTED_VALUE"""),"Custom UDA1")</f>
        <v>Custom UDA1</v>
      </c>
      <c r="DT5" s="26" t="str">
        <f ca="1">IFERROR(__xludf.DUMMYFUNCTION("""COMPUTED_VALUE"""),"Custom UDA2")</f>
        <v>Custom UDA2</v>
      </c>
      <c r="DU5" s="26" t="str">
        <f ca="1">IFERROR(__xludf.DUMMYFUNCTION("""COMPUTED_VALUE"""),"Custom UDA3")</f>
        <v>Custom UDA3</v>
      </c>
      <c r="DV5" s="26" t="str">
        <f ca="1">IFERROR(__xludf.DUMMYFUNCTION("""COMPUTED_VALUE"""),"Custom UDA4")</f>
        <v>Custom UDA4</v>
      </c>
      <c r="DW5" s="26" t="str">
        <f ca="1">IFERROR(__xludf.DUMMYFUNCTION("""COMPUTED_VALUE"""),"Custom UDA5")</f>
        <v>Custom UDA5</v>
      </c>
      <c r="DX5" s="26" t="str">
        <f ca="1">IFERROR(__xludf.DUMMYFUNCTION("""COMPUTED_VALUE"""),"Custom UDA6")</f>
        <v>Custom UDA6</v>
      </c>
      <c r="DY5" s="26" t="str">
        <f ca="1">IFERROR(__xludf.DUMMYFUNCTION("""COMPUTED_VALUE"""),"Custom UDA7")</f>
        <v>Custom UDA7</v>
      </c>
      <c r="DZ5" s="26" t="str">
        <f ca="1">IFERROR(__xludf.DUMMYFUNCTION("""COMPUTED_VALUE"""),"Issuer")</f>
        <v>Issuer</v>
      </c>
      <c r="EA5" s="26" t="str">
        <f ca="1">IFERROR(__xludf.DUMMYFUNCTION("""COMPUTED_VALUE"""),"Liquid Tag")</f>
        <v>Liquid Tag</v>
      </c>
      <c r="EB5" s="26" t="str">
        <f ca="1">IFERROR(__xludf.DUMMYFUNCTION("""COMPUTED_VALUE"""),"Market Cap UDA")</f>
        <v>Market Cap UDA</v>
      </c>
      <c r="EC5" s="26" t="str">
        <f ca="1">IFERROR(__xludf.DUMMYFUNCTION("""COMPUTED_VALUE"""),"Region")</f>
        <v>Region</v>
      </c>
      <c r="ED5" s="26" t="str">
        <f ca="1">IFERROR(__xludf.DUMMYFUNCTION("""COMPUTED_VALUE"""),"Risk Currency")</f>
        <v>Risk Currency</v>
      </c>
      <c r="EE5" s="26" t="str">
        <f ca="1">IFERROR(__xludf.DUMMYFUNCTION("""COMPUTED_VALUE"""),"UCITS Eligible Tag")</f>
        <v>UCITS Eligible Tag</v>
      </c>
      <c r="EF5" s="26" t="str">
        <f ca="1">IFERROR(__xludf.DUMMYFUNCTION("""COMPUTED_VALUE"""),"FX Rate (Display)")</f>
        <v>FX Rate (Display)</v>
      </c>
      <c r="EG5" s="26" t="str">
        <f ca="1">IFERROR(__xludf.DUMMYFUNCTION("""COMPUTED_VALUE"""),"% Net Exposure (Base)")</f>
        <v>% Net Exposure (Base)</v>
      </c>
      <c r="EH5" s="26" t="str">
        <f ca="1">IFERROR(__xludf.DUMMYFUNCTION("""COMPUTED_VALUE"""),"% Gross Exposure (Base)")</f>
        <v>% Gross Exposure (Base)</v>
      </c>
      <c r="EI5" s="26" t="str">
        <f ca="1">IFERROR(__xludf.DUMMYFUNCTION("""COMPUTED_VALUE"""),"% Exposure (Base)")</f>
        <v>% Exposure (Base)</v>
      </c>
      <c r="EJ5" s="26" t="str">
        <f ca="1">IFERROR(__xludf.DUMMYFUNCTION("""COMPUTED_VALUE"""),"% Gross Exposure (Underlying) (Base)")</f>
        <v>% Gross Exposure (Underlying) (Base)</v>
      </c>
      <c r="EK5" s="26" t="str">
        <f ca="1">IFERROR(__xludf.DUMMYFUNCTION("""COMPUTED_VALUE"""),"% Beta Adj. Gross Exposure (Base)")</f>
        <v>% Beta Adj. Gross Exposure (Base)</v>
      </c>
      <c r="EL5" s="26" t="str">
        <f ca="1">IFERROR(__xludf.DUMMYFUNCTION("""COMPUTED_VALUE"""),"Position Side Exposure (Underlying)")</f>
        <v>Position Side Exposure (Underlying)</v>
      </c>
      <c r="EM5" s="26" t="str">
        <f ca="1">IFERROR(__xludf.DUMMYFUNCTION("""COMPUTED_VALUE"""),"Gross Exposure (Underlying) (Base)")</f>
        <v>Gross Exposure (Underlying) (Base)</v>
      </c>
      <c r="EN5" s="26" t="str">
        <f ca="1">IFERROR(__xludf.DUMMYFUNCTION("""COMPUTED_VALUE"""),"Gross Exposure (Underlying)")</f>
        <v>Gross Exposure (Underlying)</v>
      </c>
      <c r="EO5" s="26" t="str">
        <f ca="1">IFERROR(__xludf.DUMMYFUNCTION("""COMPUTED_VALUE"""),"Day Return")</f>
        <v>Day Return</v>
      </c>
      <c r="EP5" s="26" t="str">
        <f ca="1">IFERROR(__xludf.DUMMYFUNCTION("""COMPUTED_VALUE"""),"Start of Day NAV")</f>
        <v>Start of Day NAV</v>
      </c>
      <c r="EQ5" s="26" t="str">
        <f ca="1">IFERROR(__xludf.DUMMYFUNCTION("""COMPUTED_VALUE"""),"% Gross Market Value (Base)")</f>
        <v>% Gross Market Value (Base)</v>
      </c>
      <c r="ER5" s="26" t="str">
        <f ca="1">IFERROR(__xludf.DUMMYFUNCTION("""COMPUTED_VALUE"""),"Beta Adj. Gross Exposure (Underlying) (Local)")</f>
        <v>Beta Adj. Gross Exposure (Underlying) (Local)</v>
      </c>
      <c r="ES5" s="26" t="str">
        <f ca="1">IFERROR(__xludf.DUMMYFUNCTION("""COMPUTED_VALUE"""),"NAV")</f>
        <v>NAV</v>
      </c>
      <c r="ET5" s="26" t="str">
        <f ca="1">IFERROR(__xludf.DUMMYFUNCTION("""COMPUTED_VALUE"""),"% P&amp;L Contribution")</f>
        <v>% P&amp;L Contribution</v>
      </c>
      <c r="EU5" s="26" t="str">
        <f ca="1">IFERROR(__xludf.DUMMYFUNCTION("""COMPUTED_VALUE"""),"% Net Market Value (Base)")</f>
        <v>% Net Market Value (Base)</v>
      </c>
      <c r="EV5" s="26" t="str">
        <f ca="1">IFERROR(__xludf.DUMMYFUNCTION("""COMPUTED_VALUE"""),"Position Side Exposure")</f>
        <v>Position Side Exposure</v>
      </c>
      <c r="EW5" s="26" t="str">
        <f ca="1">IFERROR(__xludf.DUMMYFUNCTION("""COMPUTED_VALUE"""),"NAV (Touch)")</f>
        <v>NAV (Touch)</v>
      </c>
      <c r="EX5" s="26" t="str">
        <f ca="1">IFERROR(__xludf.DUMMYFUNCTION("""COMPUTED_VALUE"""),"IgnorePropertyChangeEvents")</f>
        <v>IgnorePropertyChangeEvents</v>
      </c>
      <c r="EY5" s="26" t="str">
        <f ca="1">IFERROR(__xludf.DUMMYFUNCTION("""COMPUTED_VALUE"""),"Trade Attribute 1")</f>
        <v>Trade Attribute 1</v>
      </c>
      <c r="EZ5" s="26" t="str">
        <f ca="1">IFERROR(__xludf.DUMMYFUNCTION("""COMPUTED_VALUE"""),"Trade Attribute 2")</f>
        <v>Trade Attribute 2</v>
      </c>
      <c r="FA5" s="26" t="str">
        <f ca="1">IFERROR(__xludf.DUMMYFUNCTION("""COMPUTED_VALUE"""),"Client")</f>
        <v>Client</v>
      </c>
      <c r="FB5" s="26" t="str">
        <f ca="1">IFERROR(__xludf.DUMMYFUNCTION("""COMPUTED_VALUE"""),"")</f>
        <v/>
      </c>
      <c r="FC5" s="26" t="str">
        <f ca="1">IFERROR(__xludf.DUMMYFUNCTION("""COMPUTED_VALUE"""),"")</f>
        <v/>
      </c>
      <c r="FD5" s="26" t="str">
        <f ca="1">IFERROR(__xludf.DUMMYFUNCTION("""COMPUTED_VALUE"""),"")</f>
        <v/>
      </c>
      <c r="FE5" s="26" t="str">
        <f ca="1">IFERROR(__xludf.DUMMYFUNCTION("""COMPUTED_VALUE"""),"")</f>
        <v/>
      </c>
      <c r="FF5" s="26" t="str">
        <f ca="1">IFERROR(__xludf.DUMMYFUNCTION("""COMPUTED_VALUE"""),"")</f>
        <v/>
      </c>
      <c r="FG5" s="26" t="str">
        <f ca="1">IFERROR(__xludf.DUMMYFUNCTION("""COMPUTED_VALUE"""),"")</f>
        <v/>
      </c>
      <c r="FH5" s="26" t="str">
        <f ca="1">IFERROR(__xludf.DUMMYFUNCTION("""COMPUTED_VALUE"""),"")</f>
        <v/>
      </c>
      <c r="FI5" s="26" t="str">
        <f ca="1">IFERROR(__xludf.DUMMYFUNCTION("""COMPUTED_VALUE"""),"")</f>
        <v/>
      </c>
      <c r="FJ5" s="26" t="str">
        <f ca="1">IFERROR(__xludf.DUMMYFUNCTION("""COMPUTED_VALUE"""),"")</f>
        <v/>
      </c>
      <c r="FK5" s="26" t="str">
        <f ca="1">IFERROR(__xludf.DUMMYFUNCTION("""COMPUTED_VALUE"""),"")</f>
        <v/>
      </c>
      <c r="FL5" s="26" t="str">
        <f ca="1">IFERROR(__xludf.DUMMYFUNCTION("""COMPUTED_VALUE"""),"")</f>
        <v/>
      </c>
      <c r="FM5" s="26" t="str">
        <f ca="1">IFERROR(__xludf.DUMMYFUNCTION("""COMPUTED_VALUE"""),"")</f>
        <v/>
      </c>
    </row>
    <row r="6" spans="1:169" ht="15.75" customHeight="1">
      <c r="A6" s="5"/>
      <c r="C6" s="6" t="s">
        <v>16</v>
      </c>
      <c r="E6" s="6" t="s">
        <v>29</v>
      </c>
      <c r="H6" s="6" t="s">
        <v>17</v>
      </c>
    </row>
    <row r="7" spans="1:169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9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9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9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9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9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9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9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9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2" width="15.42578125" customWidth="1"/>
    <col min="3" max="3" width="20.42578125" customWidth="1"/>
    <col min="4" max="8" width="14.42578125" customWidth="1"/>
    <col min="9" max="9" width="18.140625" customWidth="1"/>
    <col min="10" max="11" width="17.42578125" customWidth="1"/>
    <col min="12" max="17" width="14.42578125" customWidth="1"/>
    <col min="18" max="18" width="27.5703125" customWidth="1"/>
    <col min="19" max="19" width="32.5703125" customWidth="1"/>
    <col min="20" max="20" width="30" customWidth="1"/>
    <col min="21" max="21" width="31.5703125" customWidth="1"/>
    <col min="2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40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IFERROR(__xludf.DUMMYFUNCTION("""COMPUTED_VALUE"""),"ValidateCheckSide")</f>
        <v>ValidateCheckSide</v>
      </c>
      <c r="C5" s="25" t="str">
        <f ca="1">IFERROR(__xludf.DUMMYFUNCTION("""COMPUTED_VALUE"""),"DisabledChecksideAssets")</f>
        <v>DisabledChecksideAssets</v>
      </c>
      <c r="D5" s="25" t="str">
        <f ca="1">IFERROR(__xludf.DUMMYFUNCTION("""COMPUTED_VALUE"""),"PrecisionValue")</f>
        <v>PrecisionValue</v>
      </c>
      <c r="E5" s="25" t="str">
        <f ca="1">IFERROR(__xludf.DUMMYFUNCTION("""COMPUTED_VALUE"""),"UseCommissionInNetAmount")</f>
        <v>UseCommissionInNetAmount</v>
      </c>
      <c r="F5" s="25" t="str">
        <f ca="1">IFERROR(__xludf.DUMMYFUNCTION("""COMPUTED_VALUE"""),"SaveWithoutState")</f>
        <v>SaveWithoutState</v>
      </c>
      <c r="G5" s="25" t="str">
        <f ca="1">IFERROR(__xludf.DUMMYFUNCTION("""COMPUTED_VALUE"""),"SaveWithState")</f>
        <v>SaveWithState</v>
      </c>
      <c r="H5" s="25" t="str">
        <f ca="1">IFERROR(__xludf.DUMMYFUNCTION("""COMPUTED_VALUE"""),"ClearQuantities")</f>
        <v>ClearQuantities</v>
      </c>
      <c r="I5" s="25" t="str">
        <f ca="1">IFERROR(__xludf.DUMMYFUNCTION("""COMPUTED_VALUE"""),"ReapplyAllocation")</f>
        <v>ReapplyAllocation</v>
      </c>
      <c r="J5" s="25" t="str">
        <f ca="1">IFERROR(__xludf.DUMMYFUNCTION("""COMPUTED_VALUE"""),"DefaultAllocation")</f>
        <v>DefaultAllocation</v>
      </c>
      <c r="K5" s="25" t="str">
        <f ca="1">IFERROR(__xludf.DUMMYFUNCTION("""COMPUTED_VALUE"""),"IsCustomPreference")</f>
        <v>IsCustomPreference</v>
      </c>
      <c r="L5" s="25" t="str">
        <f ca="1">IFERROR(__xludf.DUMMYFUNCTION("""COMPUTED_VALUE"""),"AllocationMethod")</f>
        <v>AllocationMethod</v>
      </c>
      <c r="M5" s="25" t="str">
        <f ca="1">IFERROR(__xludf.DUMMYFUNCTION("""COMPUTED_VALUE"""),"RemainderAllocationTo")</f>
        <v>RemainderAllocationTo</v>
      </c>
      <c r="N5" s="25" t="str">
        <f ca="1">IFERROR(__xludf.DUMMYFUNCTION("""COMPUTED_VALUE"""),"Target%AsOf")</f>
        <v>Target%AsOf</v>
      </c>
      <c r="O5" s="25" t="str">
        <f ca="1">IFERROR(__xludf.DUMMYFUNCTION("""COMPUTED_VALUE"""),"ProrataAccounts")</f>
        <v>ProrataAccounts</v>
      </c>
      <c r="P5" s="25" t="str">
        <f ca="1">IFERROR(__xludf.DUMMYFUNCTION("""COMPUTED_VALUE"""),"DateUptoDays")</f>
        <v>DateUptoDays</v>
      </c>
      <c r="Q5" s="25" t="str">
        <f ca="1">IFERROR(__xludf.DUMMYFUNCTION("""COMPUTED_VALUE"""),"MatchClosing")</f>
        <v>MatchClosing</v>
      </c>
      <c r="R5" s="25" t="str">
        <f ca="1">IFERROR(__xludf.DUMMYFUNCTION("""COMPUTED_VALUE"""),"CommissionAlertOnBrokerChange")</f>
        <v>CommissionAlertOnBrokerChange</v>
      </c>
      <c r="S5" s="25" t="str">
        <f ca="1">IFERROR(__xludf.DUMMYFUNCTION("""COMPUTED_VALUE"""),"RecalculateCommissionOnBrokerChange")</f>
        <v>RecalculateCommissionOnBrokerChange</v>
      </c>
      <c r="T5" s="26" t="str">
        <f ca="1">IFERROR(__xludf.DUMMYFUNCTION("""COMPUTED_VALUE"""),"CommissionAlertOnAllocation")</f>
        <v>CommissionAlertOnAllocation</v>
      </c>
      <c r="U5" s="26" t="str">
        <f ca="1">IFERROR(__xludf.DUMMYFUNCTION("""COMPUTED_VALUE"""),"RecalculateCommissionOnAllocation")</f>
        <v>RecalculateCommissionOnAllocation</v>
      </c>
      <c r="V5" s="26" t="str">
        <f ca="1">IFERROR(__xludf.DUMMYFUNCTION("""COMPUTED_VALUE"""),"EnableMasterFund")</f>
        <v>EnableMasterFund</v>
      </c>
      <c r="W5" s="26" t="str">
        <f ca="1">IFERROR(__xludf.DUMMYFUNCTION("""COMPUTED_VALUE"""),"1MasterFund/1Symbol")</f>
        <v>1MasterFund/1Symbol</v>
      </c>
      <c r="X5" s="26" t="str">
        <f ca="1">IFERROR(__xludf.DUMMYFUNCTION("""COMPUTED_VALUE"""),"ProrataSchemeName")</f>
        <v>ProrataSchemeName</v>
      </c>
      <c r="Y5" s="26" t="str">
        <f ca="1">IFERROR(__xludf.DUMMYFUNCTION("""COMPUTED_VALUE"""),"ProrataAllocationSchemeBasis")</f>
        <v>ProrataAllocationSchemeBasis</v>
      </c>
      <c r="Z5" s="26" t="str">
        <f ca="1">IFERROR(__xludf.DUMMYFUNCTION("""COMPUTED_VALUE"""),"ShowAdvancedProrataUI")</f>
        <v>ShowAdvancedProrataUI</v>
      </c>
      <c r="AA5" s="26" t="str">
        <f ca="1">IFERROR(__xludf.DUMMYFUNCTION("""COMPUTED_VALUE"""),"")</f>
        <v/>
      </c>
      <c r="AB5" s="26" t="str">
        <f ca="1">IFERROR(__xludf.DUMMYFUNCTION("""COMPUTED_VALUE"""),"")</f>
        <v/>
      </c>
      <c r="AC5" s="26" t="str">
        <f ca="1">IFERROR(__xludf.DUMMYFUNCTION("""COMPUTED_VALUE"""),"")</f>
        <v/>
      </c>
      <c r="AD5" s="26" t="str">
        <f ca="1">IFERROR(__xludf.DUMMYFUNCTION("""COMPUTED_VALUE"""),"")</f>
        <v/>
      </c>
      <c r="AE5" s="26" t="str">
        <f ca="1">IFERROR(__xludf.DUMMYFUNCTION("""COMPUTED_VALUE"""),"")</f>
        <v/>
      </c>
      <c r="AF5" s="26" t="str">
        <f ca="1">IFERROR(__xludf.DUMMYFUNCTION("""COMPUTED_VALUE"""),"")</f>
        <v/>
      </c>
      <c r="AG5" s="26" t="str">
        <f ca="1">IFERROR(__xludf.DUMMYFUNCTION("""COMPUTED_VALUE"""),"")</f>
        <v/>
      </c>
      <c r="AH5" s="26" t="str">
        <f ca="1">IFERROR(__xludf.DUMMYFUNCTION("""COMPUTED_VALUE"""),"")</f>
        <v/>
      </c>
      <c r="AI5" s="26" t="str">
        <f ca="1">IFERROR(__xludf.DUMMYFUNCTION("""COMPUTED_VALUE"""),"")</f>
        <v/>
      </c>
      <c r="AJ5" s="26" t="str">
        <f ca="1">IFERROR(__xludf.DUMMYFUNCTION("""COMPUTED_VALUE"""),"")</f>
        <v/>
      </c>
      <c r="AK5" s="26" t="str">
        <f ca="1">IFERROR(__xludf.DUMMYFUNCTION("""COMPUTED_VALUE"""),"")</f>
        <v/>
      </c>
      <c r="AL5" s="26" t="str">
        <f ca="1">IFERROR(__xludf.DUMMYFUNCTION("""COMPUTED_VALUE"""),"")</f>
        <v/>
      </c>
      <c r="AM5" s="26" t="str">
        <f ca="1">IFERROR(__xludf.DUMMYFUNCTION("""COMPUTED_VALUE"""),"")</f>
        <v/>
      </c>
      <c r="AN5" s="26" t="str">
        <f ca="1">IFERROR(__xludf.DUMMYFUNCTION("""COMPUTED_VALUE"""),"")</f>
        <v/>
      </c>
      <c r="AO5" s="26" t="str">
        <f ca="1">IFERROR(__xludf.DUMMYFUNCTION("""COMPUTED_VALUE"""),"")</f>
        <v/>
      </c>
      <c r="AP5" s="26" t="str">
        <f ca="1">IFERROR(__xludf.DUMMYFUNCTION("""COMPUTED_VALUE"""),"")</f>
        <v/>
      </c>
      <c r="AQ5" s="26" t="str">
        <f ca="1">IFERROR(__xludf.DUMMYFUNCTION("""COMPUTED_VALUE"""),"")</f>
        <v/>
      </c>
      <c r="AR5" s="26" t="str">
        <f ca="1">IFERROR(__xludf.DUMMYFUNCTION("""COMPUTED_VALUE"""),"")</f>
        <v/>
      </c>
      <c r="AS5" s="26" t="str">
        <f ca="1">IFERROR(__xludf.DUMMYFUNCTION("""COMPUTED_VALUE"""),"")</f>
        <v/>
      </c>
      <c r="AT5" s="26" t="str">
        <f ca="1">IFERROR(__xludf.DUMMYFUNCTION("""COMPUTED_VALUE"""),"")</f>
        <v/>
      </c>
      <c r="AU5" s="26" t="str">
        <f ca="1">IFERROR(__xludf.DUMMYFUNCTION("""COMPUTED_VALUE"""),"")</f>
        <v/>
      </c>
      <c r="AV5" s="26" t="str">
        <f ca="1">IFERROR(__xludf.DUMMYFUNCTION("""COMPUTED_VALUE"""),"")</f>
        <v/>
      </c>
      <c r="AW5" s="26" t="str">
        <f ca="1">IFERROR(__xludf.DUMMYFUNCTION("""COMPUTED_VALUE"""),"")</f>
        <v/>
      </c>
      <c r="AX5" s="26" t="str">
        <f ca="1">IFERROR(__xludf.DUMMYFUNCTION("""COMPUTED_VALUE"""),"")</f>
        <v/>
      </c>
      <c r="AY5" s="26" t="str">
        <f ca="1">IFERROR(__xludf.DUMMYFUNCTION("""COMPUTED_VALUE"""),"")</f>
        <v/>
      </c>
      <c r="AZ5" s="26" t="str">
        <f ca="1">IFERROR(__xludf.DUMMYFUNCTION("""COMPUTED_VALUE"""),"")</f>
        <v/>
      </c>
      <c r="BA5" s="26" t="str">
        <f ca="1">IFERROR(__xludf.DUMMYFUNCTION("""COMPUTED_VALUE"""),"")</f>
        <v/>
      </c>
      <c r="BB5" s="26" t="str">
        <f ca="1">IFERROR(__xludf.DUMMYFUNCTION("""COMPUTED_VALUE"""),"")</f>
        <v/>
      </c>
      <c r="BC5" s="26" t="str">
        <f ca="1">IFERROR(__xludf.DUMMYFUNCTION("""COMPUTED_VALUE"""),"")</f>
        <v/>
      </c>
      <c r="BD5" s="26" t="str">
        <f ca="1">IFERROR(__xludf.DUMMYFUNCTION("""COMPUTED_VALUE"""),"")</f>
        <v/>
      </c>
      <c r="BE5" s="26" t="str">
        <f ca="1">IFERROR(__xludf.DUMMYFUNCTION("""COMPUTED_VALUE"""),"")</f>
        <v/>
      </c>
      <c r="BF5" s="26" t="str">
        <f ca="1">IFERROR(__xludf.DUMMYFUNCTION("""COMPUTED_VALUE"""),"")</f>
        <v/>
      </c>
      <c r="BG5" s="26" t="str">
        <f ca="1">IFERROR(__xludf.DUMMYFUNCTION("""COMPUTED_VALUE"""),"")</f>
        <v/>
      </c>
      <c r="BH5" s="26" t="str">
        <f ca="1">IFERROR(__xludf.DUMMYFUNCTION("""COMPUTED_VALUE"""),"")</f>
        <v/>
      </c>
      <c r="BI5" s="26" t="str">
        <f ca="1">IFERROR(__xludf.DUMMYFUNCTION("""COMPUTED_VALUE"""),"")</f>
        <v/>
      </c>
      <c r="BJ5" s="26" t="str">
        <f ca="1">IFERROR(__xludf.DUMMYFUNCTION("""COMPUTED_VALUE"""),"")</f>
        <v/>
      </c>
      <c r="BK5" s="26" t="str">
        <f ca="1">IFERROR(__xludf.DUMMYFUNCTION("""COMPUTED_VALUE"""),"")</f>
        <v/>
      </c>
      <c r="BL5" s="26" t="str">
        <f ca="1">IFERROR(__xludf.DUMMYFUNCTION("""COMPUTED_VALUE"""),"")</f>
        <v/>
      </c>
      <c r="BM5" s="26" t="str">
        <f ca="1">IFERROR(__xludf.DUMMYFUNCTION("""COMPUTED_VALUE"""),"")</f>
        <v/>
      </c>
      <c r="BN5" s="26" t="str">
        <f ca="1">IFERROR(__xludf.DUMMYFUNCTION("""COMPUTED_VALUE"""),"")</f>
        <v/>
      </c>
      <c r="BO5" s="26" t="str">
        <f ca="1">IFERROR(__xludf.DUMMYFUNCTION("""COMPUTED_VALUE"""),"")</f>
        <v/>
      </c>
      <c r="BP5" s="26" t="str">
        <f ca="1">IFERROR(__xludf.DUMMYFUNCTION("""COMPUTED_VALUE"""),"")</f>
        <v/>
      </c>
      <c r="BQ5" s="26" t="str">
        <f ca="1">IFERROR(__xludf.DUMMYFUNCTION("""COMPUTED_VALUE"""),"")</f>
        <v/>
      </c>
      <c r="BR5" s="26" t="str">
        <f ca="1">IFERROR(__xludf.DUMMYFUNCTION("""COMPUTED_VALUE"""),"")</f>
        <v/>
      </c>
      <c r="BS5" s="26" t="str">
        <f ca="1">IFERROR(__xludf.DUMMYFUNCTION("""COMPUTED_VALUE"""),"")</f>
        <v/>
      </c>
      <c r="BT5" s="26" t="str">
        <f ca="1">IFERROR(__xludf.DUMMYFUNCTION("""COMPUTED_VALUE"""),"")</f>
        <v/>
      </c>
      <c r="BU5" s="26" t="str">
        <f ca="1">IFERROR(__xludf.DUMMYFUNCTION("""COMPUTED_VALUE"""),"")</f>
        <v/>
      </c>
      <c r="BV5" s="26" t="str">
        <f ca="1">IFERROR(__xludf.DUMMYFUNCTION("""COMPUTED_VALUE"""),"")</f>
        <v/>
      </c>
      <c r="BW5" s="26" t="str">
        <f ca="1">IFERROR(__xludf.DUMMYFUNCTION("""COMPUTED_VALUE"""),"")</f>
        <v/>
      </c>
      <c r="BX5" s="26" t="str">
        <f ca="1">IFERROR(__xludf.DUMMYFUNCTION("""COMPUTED_VALUE"""),"")</f>
        <v/>
      </c>
      <c r="BY5" s="26" t="str">
        <f ca="1">IFERROR(__xludf.DUMMYFUNCTION("""COMPUTED_VALUE"""),"")</f>
        <v/>
      </c>
      <c r="BZ5" s="26" t="str">
        <f ca="1">IFERROR(__xludf.DUMMYFUNCTION("""COMPUTED_VALUE"""),"")</f>
        <v/>
      </c>
      <c r="CA5" s="26" t="str">
        <f ca="1">IFERROR(__xludf.DUMMYFUNCTION("""COMPUTED_VALUE"""),"")</f>
        <v/>
      </c>
      <c r="CB5" s="26" t="str">
        <f ca="1">IFERROR(__xludf.DUMMYFUNCTION("""COMPUTED_VALUE"""),"")</f>
        <v/>
      </c>
      <c r="CC5" s="26" t="str">
        <f ca="1">IFERROR(__xludf.DUMMYFUNCTION("""COMPUTED_VALUE"""),"")</f>
        <v/>
      </c>
      <c r="CD5" s="26" t="str">
        <f ca="1">IFERROR(__xludf.DUMMYFUNCTION("""COMPUTED_VALUE"""),"")</f>
        <v/>
      </c>
      <c r="CE5" s="26" t="str">
        <f ca="1">IFERROR(__xludf.DUMMYFUNCTION("""COMPUTED_VALUE"""),"")</f>
        <v/>
      </c>
      <c r="CF5" s="26" t="str">
        <f ca="1">IFERROR(__xludf.DUMMYFUNCTION("""COMPUTED_VALUE"""),"")</f>
        <v/>
      </c>
      <c r="CG5" s="26" t="str">
        <f ca="1">IFERROR(__xludf.DUMMYFUNCTION("""COMPUTED_VALUE"""),"")</f>
        <v/>
      </c>
      <c r="CH5" s="26" t="str">
        <f ca="1">IFERROR(__xludf.DUMMYFUNCTION("""COMPUTED_VALUE"""),"")</f>
        <v/>
      </c>
      <c r="CI5" s="26" t="str">
        <f ca="1">IFERROR(__xludf.DUMMYFUNCTION("""COMPUTED_VALUE"""),"")</f>
        <v/>
      </c>
      <c r="CJ5" s="26" t="str">
        <f ca="1">IFERROR(__xludf.DUMMYFUNCTION("""COMPUTED_VALUE"""),"")</f>
        <v/>
      </c>
      <c r="CK5" s="26" t="str">
        <f ca="1">IFERROR(__xludf.DUMMYFUNCTION("""COMPUTED_VALUE"""),"")</f>
        <v/>
      </c>
      <c r="CL5" s="26" t="str">
        <f ca="1">IFERROR(__xludf.DUMMYFUNCTION("""COMPUTED_VALUE"""),"")</f>
        <v/>
      </c>
      <c r="CM5" s="26" t="str">
        <f ca="1">IFERROR(__xludf.DUMMYFUNCTION("""COMPUTED_VALUE"""),"")</f>
        <v/>
      </c>
      <c r="CN5" s="26" t="str">
        <f ca="1">IFERROR(__xludf.DUMMYFUNCTION("""COMPUTED_VALUE"""),"")</f>
        <v/>
      </c>
      <c r="CO5" s="26" t="str">
        <f ca="1">IFERROR(__xludf.DUMMYFUNCTION("""COMPUTED_VALUE"""),"")</f>
        <v/>
      </c>
      <c r="CP5" s="26" t="str">
        <f ca="1">IFERROR(__xludf.DUMMYFUNCTION("""COMPUTED_VALUE"""),"")</f>
        <v/>
      </c>
      <c r="CQ5" s="26" t="str">
        <f ca="1">IFERROR(__xludf.DUMMYFUNCTION("""COMPUTED_VALUE"""),"")</f>
        <v/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R6" s="6" t="b">
        <v>1</v>
      </c>
      <c r="S6" s="6" t="s">
        <v>41</v>
      </c>
      <c r="T6" s="6" t="b">
        <v>1</v>
      </c>
      <c r="U6" s="6" t="s">
        <v>41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19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42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IFERROR(__xludf.DUMMYFUNCTION("""COMPUTED_VALUE"""),"Symbol")</f>
        <v>Symbol</v>
      </c>
      <c r="C5" s="25" t="str">
        <f ca="1">IFERROR(__xludf.DUMMYFUNCTION("""COMPUTED_VALUE"""),"Quantity")</f>
        <v>Quantity</v>
      </c>
      <c r="D5" s="25" t="str">
        <f ca="1">IFERROR(__xludf.DUMMYFUNCTION("""COMPUTED_VALUE"""),"Trade Date")</f>
        <v>Trade Date</v>
      </c>
      <c r="E5" s="25" t="str">
        <f ca="1">IFERROR(__xludf.DUMMYFUNCTION("""COMPUTED_VALUE"""),"Account Name")</f>
        <v>Account Name</v>
      </c>
      <c r="F5" s="25" t="str">
        <f ca="1">IFERROR(__xludf.DUMMYFUNCTION("""COMPUTED_VALUE"""),"Side")</f>
        <v>Side</v>
      </c>
      <c r="G5" s="25" t="str">
        <f ca="1">IFERROR(__xludf.DUMMYFUNCTION("""COMPUTED_VALUE"""),"Group Status")</f>
        <v>Group Status</v>
      </c>
      <c r="H5" s="25" t="str">
        <f ca="1">IFERROR(__xludf.DUMMYFUNCTION("""COMPUTED_VALUE"""),"Avg Price( Base)")</f>
        <v>Avg Price( Base)</v>
      </c>
      <c r="I5" s="25" t="str">
        <f ca="1">IFERROR(__xludf.DUMMYFUNCTION("""COMPUTED_VALUE"""),"Execution Time")</f>
        <v>Execution Time</v>
      </c>
      <c r="J5" s="25" t="str">
        <f ca="1">IFERROR(__xludf.DUMMYFUNCTION("""COMPUTED_VALUE"""),"Trade Attribute 1")</f>
        <v>Trade Attribute 1</v>
      </c>
      <c r="K5" s="25" t="str">
        <f ca="1">IFERROR(__xludf.DUMMYFUNCTION("""COMPUTED_VALUE"""),"Avg Price(Local)")</f>
        <v>Avg Price(Local)</v>
      </c>
      <c r="L5" s="25" t="str">
        <f ca="1">IFERROR(__xludf.DUMMYFUNCTION("""COMPUTED_VALUE"""),"Trade Attribute 2")</f>
        <v>Trade Attribute 2</v>
      </c>
      <c r="M5" s="25" t="str">
        <f ca="1">IFERROR(__xludf.DUMMYFUNCTION("""COMPUTED_VALUE"""),"Accrued Interest")</f>
        <v>Accrued Interest</v>
      </c>
      <c r="N5" s="25" t="str">
        <f ca="1">IFERROR(__xludf.DUMMYFUNCTION("""COMPUTED_VALUE"""),"Commission")</f>
        <v>Commission</v>
      </c>
      <c r="O5" s="25" t="str">
        <f ca="1">IFERROR(__xludf.DUMMYFUNCTION("""COMPUTED_VALUE"""),"Soft Commission")</f>
        <v>Soft Commission</v>
      </c>
      <c r="P5" s="25" t="str">
        <f ca="1">IFERROR(__xludf.DUMMYFUNCTION("""COMPUTED_VALUE"""),"Broker")</f>
        <v>Broker</v>
      </c>
      <c r="Q5" s="25" t="str">
        <f ca="1">IFERROR(__xludf.DUMMYFUNCTION("""COMPUTED_VALUE"""),"Transaction Type")</f>
        <v>Transaction Type</v>
      </c>
      <c r="R5" s="25" t="str">
        <f ca="1">IFERROR(__xludf.DUMMYFUNCTION("""COMPUTED_VALUE"""),"AUEC Fee1")</f>
        <v>AUEC Fee1</v>
      </c>
      <c r="S5" s="25" t="str">
        <f ca="1">IFERROR(__xludf.DUMMYFUNCTION("""COMPUTED_VALUE"""),"AUEC Fee2")</f>
        <v>AUEC Fee2</v>
      </c>
      <c r="T5" s="26" t="str">
        <f ca="1">IFERROR(__xludf.DUMMYFUNCTION("""COMPUTED_VALUE"""),"Clearing Broker Fee")</f>
        <v>Clearing Broker Fee</v>
      </c>
      <c r="U5" s="26" t="str">
        <f ca="1">IFERROR(__xludf.DUMMYFUNCTION("""COMPUTED_VALUE"""),"Other Broker Fees")</f>
        <v>Other Broker Fees</v>
      </c>
      <c r="V5" s="26" t="str">
        <f ca="1">IFERROR(__xludf.DUMMYFUNCTION("""COMPUTED_VALUE"""),"OCC Fee")</f>
        <v>OCC Fee</v>
      </c>
      <c r="W5" s="26" t="str">
        <f ca="1">IFERROR(__xludf.DUMMYFUNCTION("""COMPUTED_VALUE"""),"SEC Fee")</f>
        <v>SEC Fee</v>
      </c>
      <c r="X5" s="26" t="str">
        <f ca="1">IFERROR(__xludf.DUMMYFUNCTION("""COMPUTED_VALUE"""),"ORF Fee")</f>
        <v>ORF Fee</v>
      </c>
      <c r="Y5" s="26" t="str">
        <f ca="1">IFERROR(__xludf.DUMMYFUNCTION("""COMPUTED_VALUE"""),"IsPreAllocated")</f>
        <v>IsPreAllocated</v>
      </c>
      <c r="Z5" s="26" t="str">
        <f ca="1">IFERROR(__xludf.DUMMYFUNCTION("""COMPUTED_VALUE"""),"Stamp Duty")</f>
        <v>Stamp Duty</v>
      </c>
      <c r="AA5" s="26" t="str">
        <f ca="1">IFERROR(__xludf.DUMMYFUNCTION("""COMPUTED_VALUE"""),"IsManual Group")</f>
        <v>IsManual Group</v>
      </c>
      <c r="AB5" s="26" t="str">
        <f ca="1">IFERROR(__xludf.DUMMYFUNCTION("""COMPUTED_VALUE"""),"Tax On Commissions")</f>
        <v>Tax On Commissions</v>
      </c>
      <c r="AC5" s="26" t="str">
        <f ca="1">IFERROR(__xludf.DUMMYFUNCTION("""COMPUTED_VALUE"""),"IsAnotherTaxlotAttributesUpdated")</f>
        <v>IsAnotherTaxlotAttributesUpdated</v>
      </c>
      <c r="AD5" s="26" t="str">
        <f ca="1">IFERROR(__xludf.DUMMYFUNCTION("""COMPUTED_VALUE"""),"ISNDF")</f>
        <v>ISNDF</v>
      </c>
      <c r="AE5" s="26" t="str">
        <f ca="1">IFERROR(__xludf.DUMMYFUNCTION("""COMPUTED_VALUE"""),"Transaction Levy")</f>
        <v>Transaction Levy</v>
      </c>
      <c r="AF5" s="26" t="str">
        <f ca="1">IFERROR(__xludf.DUMMYFUNCTION("""COMPUTED_VALUE"""),"Description")</f>
        <v>Description</v>
      </c>
      <c r="AG5" s="26" t="str">
        <f ca="1">IFERROR(__xludf.DUMMYFUNCTION("""COMPUTED_VALUE"""),"GroupID")</f>
        <v>GroupID</v>
      </c>
      <c r="AH5" s="26" t="str">
        <f ca="1">IFERROR(__xludf.DUMMYFUNCTION("""COMPUTED_VALUE"""),"Internal Comments")</f>
        <v>Internal Comments</v>
      </c>
      <c r="AI5" s="26" t="str">
        <f ca="1">IFERROR(__xludf.DUMMYFUNCTION("""COMPUTED_VALUE"""),"M2MProfitLoss")</f>
        <v>M2MProfitLoss</v>
      </c>
      <c r="AJ5" s="26" t="str">
        <f ca="1">IFERROR(__xludf.DUMMYFUNCTION("""COMPUTED_VALUE"""),"FX Rate")</f>
        <v>FX Rate</v>
      </c>
      <c r="AK5" s="26" t="str">
        <f ca="1">IFERROR(__xludf.DUMMYFUNCTION("""COMPUTED_VALUE"""),"FX Conversion Operator")</f>
        <v>FX Conversion Operator</v>
      </c>
      <c r="AL5" s="26" t="str">
        <f ca="1">IFERROR(__xludf.DUMMYFUNCTION("""COMPUTED_VALUE"""),"Trade Attribute 3")</f>
        <v>Trade Attribute 3</v>
      </c>
      <c r="AM5" s="26" t="str">
        <f ca="1">IFERROR(__xludf.DUMMYFUNCTION("""COMPUTED_VALUE"""),"Trade Attribute 4")</f>
        <v>Trade Attribute 4</v>
      </c>
      <c r="AN5" s="26" t="str">
        <f ca="1">IFERROR(__xludf.DUMMYFUNCTION("""COMPUTED_VALUE"""),"Trade Attribute 5")</f>
        <v>Trade Attribute 5</v>
      </c>
      <c r="AO5" s="26" t="str">
        <f ca="1">IFERROR(__xludf.DUMMYFUNCTION("""COMPUTED_VALUE"""),"Trade Attribute 6")</f>
        <v>Trade Attribute 6</v>
      </c>
      <c r="AP5" s="26" t="str">
        <f ca="1">IFERROR(__xludf.DUMMYFUNCTION("""COMPUTED_VALUE"""),"Put Or Call")</f>
        <v>Put Or Call</v>
      </c>
      <c r="AQ5" s="26" t="str">
        <f ca="1">IFERROR(__xludf.DUMMYFUNCTION("""COMPUTED_VALUE"""),"Allocated Qty")</f>
        <v>Allocated Qty</v>
      </c>
      <c r="AR5" s="26" t="str">
        <f ca="1">IFERROR(__xludf.DUMMYFUNCTION("""COMPUTED_VALUE"""),"Total Commission And Fee")</f>
        <v>Total Commission And Fee</v>
      </c>
      <c r="AS5" s="26" t="str">
        <f ca="1">IFERROR(__xludf.DUMMYFUNCTION("""COMPUTED_VALUE"""),"Executed Qty")</f>
        <v>Executed Qty</v>
      </c>
      <c r="AT5" s="26" t="str">
        <f ca="1">IFERROR(__xludf.DUMMYFUNCTION("""COMPUTED_VALUE"""),"Net Amount( Local)")</f>
        <v>Net Amount( Local)</v>
      </c>
      <c r="AU5" s="26" t="str">
        <f ca="1">IFERROR(__xludf.DUMMYFUNCTION("""COMPUTED_VALUE"""),"Net Amount( Base)")</f>
        <v>Net Amount( Base)</v>
      </c>
      <c r="AV5" s="26" t="str">
        <f ca="1">IFERROR(__xludf.DUMMYFUNCTION("""COMPUTED_VALUE"""),"UnAllocatedQty")</f>
        <v>UnAllocatedQty</v>
      </c>
      <c r="AW5" s="26" t="str">
        <f ca="1">IFERROR(__xludf.DUMMYFUNCTION("""COMPUTED_VALUE"""),"Option Premium Adjustment")</f>
        <v>Option Premium Adjustment</v>
      </c>
      <c r="AX5" s="26" t="str">
        <f ca="1">IFERROR(__xludf.DUMMYFUNCTION("""COMPUTED_VALUE"""),"Principal Amount( Local)")</f>
        <v>Principal Amount( Local)</v>
      </c>
      <c r="AY5" s="26" t="str">
        <f ca="1">IFERROR(__xludf.DUMMYFUNCTION("""COMPUTED_VALUE"""),"Principal Amount( Base)")</f>
        <v>Principal Amount( Base)</v>
      </c>
      <c r="AZ5" s="26" t="str">
        <f ca="1">IFERROR(__xludf.DUMMYFUNCTION("""COMPUTED_VALUE"""),"Settlement Currency")</f>
        <v>Settlement Currency</v>
      </c>
      <c r="BA5" s="26" t="str">
        <f ca="1">IFERROR(__xludf.DUMMYFUNCTION("""COMPUTED_VALUE"""),"User")</f>
        <v>User</v>
      </c>
      <c r="BB5" s="26" t="str">
        <f ca="1">IFERROR(__xludf.DUMMYFUNCTION("""COMPUTED_VALUE"""),"Asset Category")</f>
        <v>Asset Category</v>
      </c>
      <c r="BC5" s="26" t="str">
        <f ca="1">IFERROR(__xludf.DUMMYFUNCTION("""COMPUTED_VALUE"""),"Change Type")</f>
        <v>Change Type</v>
      </c>
      <c r="BD5" s="26" t="str">
        <f ca="1">IFERROR(__xludf.DUMMYFUNCTION("""COMPUTED_VALUE"""),"Strategy Name")</f>
        <v>Strategy Name</v>
      </c>
      <c r="BE5" s="26" t="str">
        <f ca="1">IFERROR(__xludf.DUMMYFUNCTION("""COMPUTED_VALUE"""),"Prana Msg Type")</f>
        <v>Prana Msg Type</v>
      </c>
      <c r="BF5" s="26" t="str">
        <f ca="1">IFERROR(__xludf.DUMMYFUNCTION("""COMPUTED_VALUE"""),"Total Commission")</f>
        <v>Total Commission</v>
      </c>
      <c r="BG5" s="26" t="str">
        <f ca="1">IFERROR(__xludf.DUMMYFUNCTION("""COMPUTED_VALUE"""),"Commission Per Share")</f>
        <v>Commission Per Share</v>
      </c>
      <c r="BH5" s="26" t="str">
        <f ca="1">IFERROR(__xludf.DUMMYFUNCTION("""COMPUTED_VALUE"""),"Soft Commission Per Share")</f>
        <v>Soft Commission Per Share</v>
      </c>
      <c r="BI5" s="26" t="str">
        <f ca="1">IFERROR(__xludf.DUMMYFUNCTION("""COMPUTED_VALUE"""),"Total Commission Per Share")</f>
        <v>Total Commission Per Share</v>
      </c>
      <c r="BJ5" s="26" t="str">
        <f ca="1">IFERROR(__xludf.DUMMYFUNCTION("""COMPUTED_VALUE"""),"Closing Status")</f>
        <v>Closing Status</v>
      </c>
      <c r="BK5" s="26" t="str">
        <f ca="1">IFERROR(__xludf.DUMMYFUNCTION("""COMPUTED_VALUE"""),"Closing Method")</f>
        <v>Closing Method</v>
      </c>
      <c r="BL5" s="26" t="str">
        <f ca="1">IFERROR(__xludf.DUMMYFUNCTION("""COMPUTED_VALUE"""),"Allocation Scheme Name")</f>
        <v>Allocation Scheme Name</v>
      </c>
      <c r="BM5" s="26" t="str">
        <f ca="1">IFERROR(__xludf.DUMMYFUNCTION("""COMPUTED_VALUE"""),"Change Comment")</f>
        <v>Change Comment</v>
      </c>
      <c r="BN5" s="26" t="str">
        <f ca="1">IFERROR(__xludf.DUMMYFUNCTION("""COMPUTED_VALUE"""),"Order Type")</f>
        <v>Order Type</v>
      </c>
      <c r="BO5" s="26" t="str">
        <f ca="1">IFERROR(__xludf.DUMMYFUNCTION("""COMPUTED_VALUE"""),"Underlying")</f>
        <v>Underlying</v>
      </c>
      <c r="BP5" s="26" t="str">
        <f ca="1">IFERROR(__xludf.DUMMYFUNCTION("""COMPUTED_VALUE"""),"Exchange")</f>
        <v>Exchange</v>
      </c>
      <c r="BQ5" s="26" t="str">
        <f ca="1">IFERROR(__xludf.DUMMYFUNCTION("""COMPUTED_VALUE"""),"Currency")</f>
        <v>Currency</v>
      </c>
      <c r="BR5" s="26" t="str">
        <f ca="1">IFERROR(__xludf.DUMMYFUNCTION("""COMPUTED_VALUE"""),"AUECID")</f>
        <v>AUECID</v>
      </c>
      <c r="BS5" s="26" t="str">
        <f ca="1">IFERROR(__xludf.DUMMYFUNCTION("""COMPUTED_VALUE"""),"Trading Account")</f>
        <v>Trading Account</v>
      </c>
      <c r="BT5" s="26" t="str">
        <f ca="1">IFERROR(__xludf.DUMMYFUNCTION("""COMPUTED_VALUE"""),"Venue")</f>
        <v>Venue</v>
      </c>
      <c r="BU5" s="26" t="str">
        <f ca="1">IFERROR(__xludf.DUMMYFUNCTION("""COMPUTED_VALUE"""),"Cum Qty For Sub Order")</f>
        <v>Cum Qty For Sub Order</v>
      </c>
      <c r="BV5" s="26" t="str">
        <f ca="1">IFERROR(__xludf.DUMMYFUNCTION("""COMPUTED_VALUE"""),"Contract Multiplier")</f>
        <v>Contract Multiplier</v>
      </c>
      <c r="BW5" s="26" t="str">
        <f ca="1">IFERROR(__xludf.DUMMYFUNCTION("""COMPUTED_VALUE"""),"Company")</f>
        <v>Company</v>
      </c>
      <c r="BX5" s="26" t="str">
        <f ca="1">IFERROR(__xludf.DUMMYFUNCTION("""COMPUTED_VALUE"""),"Nirvana Process Date")</f>
        <v>Nirvana Process Date</v>
      </c>
      <c r="BY5" s="26" t="str">
        <f ca="1">IFERROR(__xludf.DUMMYFUNCTION("""COMPUTED_VALUE"""),"Process Date")</f>
        <v>Process Date</v>
      </c>
      <c r="BZ5" s="26" t="str">
        <f ca="1">IFERROR(__xludf.DUMMYFUNCTION("""COMPUTED_VALUE"""),"Original Purchase Date")</f>
        <v>Original Purchase Date</v>
      </c>
      <c r="CA5" s="26" t="str">
        <f ca="1">IFERROR(__xludf.DUMMYFUNCTION("""COMPUTED_VALUE"""),"Closing Date")</f>
        <v>Closing Date</v>
      </c>
      <c r="CB5" s="26" t="str">
        <f ca="1">IFERROR(__xludf.DUMMYFUNCTION("""COMPUTED_VALUE"""),"Settlement Date")</f>
        <v>Settlement Date</v>
      </c>
      <c r="CC5" s="26" t="str">
        <f ca="1">IFERROR(__xludf.DUMMYFUNCTION("""COMPUTED_VALUE"""),"Expiration Date")</f>
        <v>Expiration Date</v>
      </c>
      <c r="CD5" s="26" t="str">
        <f ca="1">IFERROR(__xludf.DUMMYFUNCTION("""COMPUTED_VALUE"""),"Underlying Symbol")</f>
        <v>Underlying Symbol</v>
      </c>
      <c r="CE5" s="26" t="str">
        <f ca="1">IFERROR(__xludf.DUMMYFUNCTION("""COMPUTED_VALUE"""),"Accrual Basis")</f>
        <v>Accrual Basis</v>
      </c>
      <c r="CF5" s="26" t="str">
        <f ca="1">IFERROR(__xludf.DUMMYFUNCTION("""COMPUTED_VALUE"""),"Bond Type")</f>
        <v>Bond Type</v>
      </c>
      <c r="CG5" s="26" t="str">
        <f ca="1">IFERROR(__xludf.DUMMYFUNCTION("""COMPUTED_VALUE"""),"Coupon Rate")</f>
        <v>Coupon Rate</v>
      </c>
      <c r="CH5" s="26" t="str">
        <f ca="1">IFERROR(__xludf.DUMMYFUNCTION("""COMPUTED_VALUE"""),"Delta")</f>
        <v>Delta</v>
      </c>
      <c r="CI5" s="26" t="str">
        <f ca="1">IFERROR(__xludf.DUMMYFUNCTION("""COMPUTED_VALUE"""),"Bloomberg")</f>
        <v>Bloomberg</v>
      </c>
      <c r="CJ5" s="26" t="str">
        <f ca="1">IFERROR(__xludf.DUMMYFUNCTION("""COMPUTED_VALUE"""),"Sedol Symbol")</f>
        <v>Sedol Symbol</v>
      </c>
      <c r="CK5" s="26" t="str">
        <f ca="1">IFERROR(__xludf.DUMMYFUNCTION("""COMPUTED_VALUE"""),"Cusip Symbol")</f>
        <v>Cusip Symbol</v>
      </c>
      <c r="CL5" s="26" t="str">
        <f ca="1">IFERROR(__xludf.DUMMYFUNCTION("""COMPUTED_VALUE"""),"ISIN")</f>
        <v>ISIN</v>
      </c>
      <c r="CM5" s="26" t="str">
        <f ca="1">IFERROR(__xludf.DUMMYFUNCTION("""COMPUTED_VALUE"""),"OSISSymbol")</f>
        <v>OSISSymbol</v>
      </c>
      <c r="CN5" s="26" t="str">
        <f ca="1">IFERROR(__xludf.DUMMYFUNCTION("""COMPUTED_VALUE"""),"IDCOSymbol")</f>
        <v>IDCOSymbol</v>
      </c>
      <c r="CO5" s="26" t="str">
        <f ca="1">IFERROR(__xludf.DUMMYFUNCTION("""COMPUTED_VALUE"""),"Underlying Delta")</f>
        <v>Underlying Delta</v>
      </c>
      <c r="CP5" s="26" t="str">
        <f ca="1">IFERROR(__xludf.DUMMYFUNCTION("""COMPUTED_VALUE"""),"Proxy Symbol")</f>
        <v>Proxy Symbol</v>
      </c>
      <c r="CQ5" s="26" t="str">
        <f ca="1">IFERROR(__xludf.DUMMYFUNCTION("""COMPUTED_VALUE"""),"Transaction Source")</f>
        <v>Transaction Source</v>
      </c>
      <c r="CR5" s="26" t="str">
        <f ca="1">IFERROR(__xludf.DUMMYFUNCTION("""COMPUTED_VALUE"""),"Import File Name")</f>
        <v>Import File Name</v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16</v>
      </c>
      <c r="C6" s="6">
        <v>100</v>
      </c>
      <c r="P6" s="6" t="s">
        <v>19</v>
      </c>
      <c r="AS6" s="6">
        <v>100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19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31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IFERROR(__xludf.DUMMYFUNCTION("""COMPUTED_VALUE"""),"Accrual Basis")</f>
        <v>Accrual Basis</v>
      </c>
      <c r="C5" s="25" t="str">
        <f ca="1">IFERROR(__xludf.DUMMYFUNCTION("""COMPUTED_VALUE"""),"Accrued Interest")</f>
        <v>Accrued Interest</v>
      </c>
      <c r="D5" s="25" t="str">
        <f ca="1">IFERROR(__xludf.DUMMYFUNCTION("""COMPUTED_VALUE"""),"Allocated Qty")</f>
        <v>Allocated Qty</v>
      </c>
      <c r="E5" s="25" t="str">
        <f ca="1">IFERROR(__xludf.DUMMYFUNCTION("""COMPUTED_VALUE"""),"Allocation Scheme Name")</f>
        <v>Allocation Scheme Name</v>
      </c>
      <c r="F5" s="25" t="str">
        <f ca="1">IFERROR(__xludf.DUMMYFUNCTION("""COMPUTED_VALUE"""),"Asset Category")</f>
        <v>Asset Category</v>
      </c>
      <c r="G5" s="25" t="str">
        <f ca="1">IFERROR(__xludf.DUMMYFUNCTION("""COMPUTED_VALUE"""),"AUEC Fee1")</f>
        <v>AUEC Fee1</v>
      </c>
      <c r="H5" s="25" t="str">
        <f ca="1">IFERROR(__xludf.DUMMYFUNCTION("""COMPUTED_VALUE"""),"AUEC Fee2")</f>
        <v>AUEC Fee2</v>
      </c>
      <c r="I5" s="25" t="str">
        <f ca="1">IFERROR(__xludf.DUMMYFUNCTION("""COMPUTED_VALUE"""),"AUECID")</f>
        <v>AUECID</v>
      </c>
      <c r="J5" s="25" t="str">
        <f ca="1">IFERROR(__xludf.DUMMYFUNCTION("""COMPUTED_VALUE"""),"Avg Price(Base)")</f>
        <v>Avg Price(Base)</v>
      </c>
      <c r="K5" s="25" t="str">
        <f ca="1">IFERROR(__xludf.DUMMYFUNCTION("""COMPUTED_VALUE"""),"Avg Price(Local)")</f>
        <v>Avg Price(Local)</v>
      </c>
      <c r="L5" s="25" t="str">
        <f ca="1">IFERROR(__xludf.DUMMYFUNCTION("""COMPUTED_VALUE"""),"Bloomberg")</f>
        <v>Bloomberg</v>
      </c>
      <c r="M5" s="25" t="str">
        <f ca="1">IFERROR(__xludf.DUMMYFUNCTION("""COMPUTED_VALUE"""),"Bond Type")</f>
        <v>Bond Type</v>
      </c>
      <c r="N5" s="25" t="str">
        <f ca="1">IFERROR(__xludf.DUMMYFUNCTION("""COMPUTED_VALUE"""),"Broker")</f>
        <v>Broker</v>
      </c>
      <c r="O5" s="25" t="str">
        <f ca="1">IFERROR(__xludf.DUMMYFUNCTION("""COMPUTED_VALUE"""),"Change Comment")</f>
        <v>Change Comment</v>
      </c>
      <c r="P5" s="25" t="str">
        <f ca="1">IFERROR(__xludf.DUMMYFUNCTION("""COMPUTED_VALUE"""),"Change Type")</f>
        <v>Change Type</v>
      </c>
      <c r="Q5" s="25" t="str">
        <f ca="1">IFERROR(__xludf.DUMMYFUNCTION("""COMPUTED_VALUE"""),"Clearing Broker Fee")</f>
        <v>Clearing Broker Fee</v>
      </c>
      <c r="R5" s="25" t="str">
        <f ca="1">IFERROR(__xludf.DUMMYFUNCTION("""COMPUTED_VALUE"""),"Closing Method")</f>
        <v>Closing Method</v>
      </c>
      <c r="S5" s="25" t="str">
        <f ca="1">IFERROR(__xludf.DUMMYFUNCTION("""COMPUTED_VALUE"""),"Closing Status")</f>
        <v>Closing Status</v>
      </c>
      <c r="T5" s="26" t="str">
        <f ca="1">IFERROR(__xludf.DUMMYFUNCTION("""COMPUTED_VALUE"""),"Commission")</f>
        <v>Commission</v>
      </c>
      <c r="U5" s="26" t="str">
        <f ca="1">IFERROR(__xludf.DUMMYFUNCTION("""COMPUTED_VALUE"""),"Commission Per Share")</f>
        <v>Commission Per Share</v>
      </c>
      <c r="V5" s="26" t="str">
        <f ca="1">IFERROR(__xludf.DUMMYFUNCTION("""COMPUTED_VALUE"""),"Company")</f>
        <v>Company</v>
      </c>
      <c r="W5" s="26" t="str">
        <f ca="1">IFERROR(__xludf.DUMMYFUNCTION("""COMPUTED_VALUE"""),"Contract Multiplier")</f>
        <v>Contract Multiplier</v>
      </c>
      <c r="X5" s="26" t="str">
        <f ca="1">IFERROR(__xludf.DUMMYFUNCTION("""COMPUTED_VALUE"""),"Coupon Rate")</f>
        <v>Coupon Rate</v>
      </c>
      <c r="Y5" s="26" t="str">
        <f ca="1">IFERROR(__xludf.DUMMYFUNCTION("""COMPUTED_VALUE"""),"Cum Qty For Sub Order")</f>
        <v>Cum Qty For Sub Order</v>
      </c>
      <c r="Z5" s="26" t="str">
        <f ca="1">IFERROR(__xludf.DUMMYFUNCTION("""COMPUTED_VALUE"""),"Currency")</f>
        <v>Currency</v>
      </c>
      <c r="AA5" s="26" t="str">
        <f ca="1">IFERROR(__xludf.DUMMYFUNCTION("""COMPUTED_VALUE"""),"Cusip Symbol")</f>
        <v>Cusip Symbol</v>
      </c>
      <c r="AB5" s="26" t="str">
        <f ca="1">IFERROR(__xludf.DUMMYFUNCTION("""COMPUTED_VALUE"""),"Delta")</f>
        <v>Delta</v>
      </c>
      <c r="AC5" s="26" t="str">
        <f ca="1">IFERROR(__xludf.DUMMYFUNCTION("""COMPUTED_VALUE"""),"Description")</f>
        <v>Description</v>
      </c>
      <c r="AD5" s="26" t="str">
        <f ca="1">IFERROR(__xludf.DUMMYFUNCTION("""COMPUTED_VALUE"""),"Exchange")</f>
        <v>Exchange</v>
      </c>
      <c r="AE5" s="26" t="str">
        <f ca="1">IFERROR(__xludf.DUMMYFUNCTION("""COMPUTED_VALUE"""),"Executed Qty")</f>
        <v>Executed Qty</v>
      </c>
      <c r="AF5" s="26" t="str">
        <f ca="1">IFERROR(__xludf.DUMMYFUNCTION("""COMPUTED_VALUE"""),"Execution Time")</f>
        <v>Execution Time</v>
      </c>
      <c r="AG5" s="26" t="str">
        <f ca="1">IFERROR(__xludf.DUMMYFUNCTION("""COMPUTED_VALUE"""),"FX Conversion Operator")</f>
        <v>FX Conversion Operator</v>
      </c>
      <c r="AH5" s="26" t="str">
        <f ca="1">IFERROR(__xludf.DUMMYFUNCTION("""COMPUTED_VALUE"""),"FX Rate")</f>
        <v>FX Rate</v>
      </c>
      <c r="AI5" s="26" t="str">
        <f ca="1">IFERROR(__xludf.DUMMYFUNCTION("""COMPUTED_VALUE"""),"Group Status")</f>
        <v>Group Status</v>
      </c>
      <c r="AJ5" s="26" t="str">
        <f ca="1">IFERROR(__xludf.DUMMYFUNCTION("""COMPUTED_VALUE"""),"GroupID")</f>
        <v>GroupID</v>
      </c>
      <c r="AK5" s="26" t="str">
        <f ca="1">IFERROR(__xludf.DUMMYFUNCTION("""COMPUTED_VALUE"""),"IDCOSymbol")</f>
        <v>IDCOSymbol</v>
      </c>
      <c r="AL5" s="26" t="str">
        <f ca="1">IFERROR(__xludf.DUMMYFUNCTION("""COMPUTED_VALUE"""),"Import File Name")</f>
        <v>Import File Name</v>
      </c>
      <c r="AM5" s="26" t="str">
        <f ca="1">IFERROR(__xludf.DUMMYFUNCTION("""COMPUTED_VALUE"""),"Internal Comments")</f>
        <v>Internal Comments</v>
      </c>
      <c r="AN5" s="26" t="str">
        <f ca="1">IFERROR(__xludf.DUMMYFUNCTION("""COMPUTED_VALUE"""),"IsAnotherTaxlotAttributesUpdated")</f>
        <v>IsAnotherTaxlotAttributesUpdated</v>
      </c>
      <c r="AO5" s="26" t="str">
        <f ca="1">IFERROR(__xludf.DUMMYFUNCTION("""COMPUTED_VALUE"""),"ISIN")</f>
        <v>ISIN</v>
      </c>
      <c r="AP5" s="26" t="str">
        <f ca="1">IFERROR(__xludf.DUMMYFUNCTION("""COMPUTED_VALUE"""),"IsManual Group")</f>
        <v>IsManual Group</v>
      </c>
      <c r="AQ5" s="26" t="str">
        <f ca="1">IFERROR(__xludf.DUMMYFUNCTION("""COMPUTED_VALUE"""),"ISNDF")</f>
        <v>ISNDF</v>
      </c>
      <c r="AR5" s="26" t="str">
        <f ca="1">IFERROR(__xludf.DUMMYFUNCTION("""COMPUTED_VALUE"""),"IsPreAllocated")</f>
        <v>IsPreAllocated</v>
      </c>
      <c r="AS5" s="26" t="str">
        <f ca="1">IFERROR(__xludf.DUMMYFUNCTION("""COMPUTED_VALUE"""),"M2MProfitLoss")</f>
        <v>M2MProfitLoss</v>
      </c>
      <c r="AT5" s="26" t="str">
        <f ca="1">IFERROR(__xludf.DUMMYFUNCTION("""COMPUTED_VALUE"""),"Net Amount( Base)")</f>
        <v>Net Amount( Base)</v>
      </c>
      <c r="AU5" s="26" t="str">
        <f ca="1">IFERROR(__xludf.DUMMYFUNCTION("""COMPUTED_VALUE"""),"Net Amount( Local)")</f>
        <v>Net Amount( Local)</v>
      </c>
      <c r="AV5" s="26" t="str">
        <f ca="1">IFERROR(__xludf.DUMMYFUNCTION("""COMPUTED_VALUE"""),"Nirvana Process Date")</f>
        <v>Nirvana Process Date</v>
      </c>
      <c r="AW5" s="26" t="str">
        <f ca="1">IFERROR(__xludf.DUMMYFUNCTION("""COMPUTED_VALUE"""),"OCC Fee")</f>
        <v>OCC Fee</v>
      </c>
      <c r="AX5" s="26" t="str">
        <f ca="1">IFERROR(__xludf.DUMMYFUNCTION("""COMPUTED_VALUE"""),"Option Premium Adjustment")</f>
        <v>Option Premium Adjustment</v>
      </c>
      <c r="AY5" s="26" t="str">
        <f ca="1">IFERROR(__xludf.DUMMYFUNCTION("""COMPUTED_VALUE"""),"Order Type")</f>
        <v>Order Type</v>
      </c>
      <c r="AZ5" s="26" t="str">
        <f ca="1">IFERROR(__xludf.DUMMYFUNCTION("""COMPUTED_VALUE"""),"ORF Fee")</f>
        <v>ORF Fee</v>
      </c>
      <c r="BA5" s="26" t="str">
        <f ca="1">IFERROR(__xludf.DUMMYFUNCTION("""COMPUTED_VALUE"""),"Original Purchase Date")</f>
        <v>Original Purchase Date</v>
      </c>
      <c r="BB5" s="26" t="str">
        <f ca="1">IFERROR(__xludf.DUMMYFUNCTION("""COMPUTED_VALUE"""),"OSISSymbol")</f>
        <v>OSISSymbol</v>
      </c>
      <c r="BC5" s="26" t="str">
        <f ca="1">IFERROR(__xludf.DUMMYFUNCTION("""COMPUTED_VALUE"""),"Other Broker Fees")</f>
        <v>Other Broker Fees</v>
      </c>
      <c r="BD5" s="26" t="str">
        <f ca="1">IFERROR(__xludf.DUMMYFUNCTION("""COMPUTED_VALUE"""),"Prana Msg Type")</f>
        <v>Prana Msg Type</v>
      </c>
      <c r="BE5" s="26" t="str">
        <f ca="1">IFERROR(__xludf.DUMMYFUNCTION("""COMPUTED_VALUE"""),"Principal Amount( Base)")</f>
        <v>Principal Amount( Base)</v>
      </c>
      <c r="BF5" s="26" t="str">
        <f ca="1">IFERROR(__xludf.DUMMYFUNCTION("""COMPUTED_VALUE"""),"Principal Amount( Local)")</f>
        <v>Principal Amount( Local)</v>
      </c>
      <c r="BG5" s="26" t="str">
        <f ca="1">IFERROR(__xludf.DUMMYFUNCTION("""COMPUTED_VALUE"""),"Process Date")</f>
        <v>Process Date</v>
      </c>
      <c r="BH5" s="26" t="str">
        <f ca="1">IFERROR(__xludf.DUMMYFUNCTION("""COMPUTED_VALUE"""),"Proxy Symbol")</f>
        <v>Proxy Symbol</v>
      </c>
      <c r="BI5" s="26" t="str">
        <f ca="1">IFERROR(__xludf.DUMMYFUNCTION("""COMPUTED_VALUE"""),"Put Or Call")</f>
        <v>Put Or Call</v>
      </c>
      <c r="BJ5" s="26" t="str">
        <f ca="1">IFERROR(__xludf.DUMMYFUNCTION("""COMPUTED_VALUE"""),"Quantity")</f>
        <v>Quantity</v>
      </c>
      <c r="BK5" s="26" t="str">
        <f ca="1">IFERROR(__xludf.DUMMYFUNCTION("""COMPUTED_VALUE"""),"SEC Fee")</f>
        <v>SEC Fee</v>
      </c>
      <c r="BL5" s="26" t="str">
        <f ca="1">IFERROR(__xludf.DUMMYFUNCTION("""COMPUTED_VALUE"""),"Sedol Symbol")</f>
        <v>Sedol Symbol</v>
      </c>
      <c r="BM5" s="26" t="str">
        <f ca="1">IFERROR(__xludf.DUMMYFUNCTION("""COMPUTED_VALUE"""),"Settlement Currency")</f>
        <v>Settlement Currency</v>
      </c>
      <c r="BN5" s="26" t="str">
        <f ca="1">IFERROR(__xludf.DUMMYFUNCTION("""COMPUTED_VALUE"""),"Settlement Date")</f>
        <v>Settlement Date</v>
      </c>
      <c r="BO5" s="26" t="str">
        <f ca="1">IFERROR(__xludf.DUMMYFUNCTION("""COMPUTED_VALUE"""),"Side")</f>
        <v>Side</v>
      </c>
      <c r="BP5" s="26" t="str">
        <f ca="1">IFERROR(__xludf.DUMMYFUNCTION("""COMPUTED_VALUE"""),"Soft Commission")</f>
        <v>Soft Commission</v>
      </c>
      <c r="BQ5" s="26" t="str">
        <f ca="1">IFERROR(__xludf.DUMMYFUNCTION("""COMPUTED_VALUE"""),"Soft Commission Per Share")</f>
        <v>Soft Commission Per Share</v>
      </c>
      <c r="BR5" s="26" t="str">
        <f ca="1">IFERROR(__xludf.DUMMYFUNCTION("""COMPUTED_VALUE"""),"Stamp Duty")</f>
        <v>Stamp Duty</v>
      </c>
      <c r="BS5" s="26" t="str">
        <f ca="1">IFERROR(__xludf.DUMMYFUNCTION("""COMPUTED_VALUE"""),"Symbol")</f>
        <v>Symbol</v>
      </c>
      <c r="BT5" s="26" t="str">
        <f ca="1">IFERROR(__xludf.DUMMYFUNCTION("""COMPUTED_VALUE"""),"Tax On Commissions")</f>
        <v>Tax On Commissions</v>
      </c>
      <c r="BU5" s="26" t="str">
        <f ca="1">IFERROR(__xludf.DUMMYFUNCTION("""COMPUTED_VALUE"""),"Total Commission")</f>
        <v>Total Commission</v>
      </c>
      <c r="BV5" s="26" t="str">
        <f ca="1">IFERROR(__xludf.DUMMYFUNCTION("""COMPUTED_VALUE"""),"Total Commission And Fee")</f>
        <v>Total Commission And Fee</v>
      </c>
      <c r="BW5" s="26" t="str">
        <f ca="1">IFERROR(__xludf.DUMMYFUNCTION("""COMPUTED_VALUE"""),"Total Commission Per Share")</f>
        <v>Total Commission Per Share</v>
      </c>
      <c r="BX5" s="26" t="str">
        <f ca="1">IFERROR(__xludf.DUMMYFUNCTION("""COMPUTED_VALUE"""),"Trade Attribute 1")</f>
        <v>Trade Attribute 1</v>
      </c>
      <c r="BY5" s="26" t="str">
        <f ca="1">IFERROR(__xludf.DUMMYFUNCTION("""COMPUTED_VALUE"""),"Trade Attribute 2")</f>
        <v>Trade Attribute 2</v>
      </c>
      <c r="BZ5" s="26" t="str">
        <f ca="1">IFERROR(__xludf.DUMMYFUNCTION("""COMPUTED_VALUE"""),"Trade Attribute 3")</f>
        <v>Trade Attribute 3</v>
      </c>
      <c r="CA5" s="26" t="str">
        <f ca="1">IFERROR(__xludf.DUMMYFUNCTION("""COMPUTED_VALUE"""),"Trade Attribute 4")</f>
        <v>Trade Attribute 4</v>
      </c>
      <c r="CB5" s="26" t="str">
        <f ca="1">IFERROR(__xludf.DUMMYFUNCTION("""COMPUTED_VALUE"""),"Trade Attribute 5")</f>
        <v>Trade Attribute 5</v>
      </c>
      <c r="CC5" s="26" t="str">
        <f ca="1">IFERROR(__xludf.DUMMYFUNCTION("""COMPUTED_VALUE"""),"Trade Attribute 6")</f>
        <v>Trade Attribute 6</v>
      </c>
      <c r="CD5" s="26" t="str">
        <f ca="1">IFERROR(__xludf.DUMMYFUNCTION("""COMPUTED_VALUE"""),"Trade Date")</f>
        <v>Trade Date</v>
      </c>
      <c r="CE5" s="26" t="str">
        <f ca="1">IFERROR(__xludf.DUMMYFUNCTION("""COMPUTED_VALUE"""),"Trading Account")</f>
        <v>Trading Account</v>
      </c>
      <c r="CF5" s="26" t="str">
        <f ca="1">IFERROR(__xludf.DUMMYFUNCTION("""COMPUTED_VALUE"""),"Transaction Levy")</f>
        <v>Transaction Levy</v>
      </c>
      <c r="CG5" s="26" t="str">
        <f ca="1">IFERROR(__xludf.DUMMYFUNCTION("""COMPUTED_VALUE"""),"Transaction Source")</f>
        <v>Transaction Source</v>
      </c>
      <c r="CH5" s="26" t="str">
        <f ca="1">IFERROR(__xludf.DUMMYFUNCTION("""COMPUTED_VALUE"""),"Transaction Type")</f>
        <v>Transaction Type</v>
      </c>
      <c r="CI5" s="26" t="str">
        <f ca="1">IFERROR(__xludf.DUMMYFUNCTION("""COMPUTED_VALUE"""),"UnAllocatedQty")</f>
        <v>UnAllocatedQty</v>
      </c>
      <c r="CJ5" s="26" t="str">
        <f ca="1">IFERROR(__xludf.DUMMYFUNCTION("""COMPUTED_VALUE"""),"Underlying")</f>
        <v>Underlying</v>
      </c>
      <c r="CK5" s="26" t="str">
        <f ca="1">IFERROR(__xludf.DUMMYFUNCTION("""COMPUTED_VALUE"""),"Underlying Delta")</f>
        <v>Underlying Delta</v>
      </c>
      <c r="CL5" s="26" t="str">
        <f ca="1">IFERROR(__xludf.DUMMYFUNCTION("""COMPUTED_VALUE"""),"Underlying Symbol")</f>
        <v>Underlying Symbol</v>
      </c>
      <c r="CM5" s="26" t="str">
        <f ca="1">IFERROR(__xludf.DUMMYFUNCTION("""COMPUTED_VALUE"""),"User")</f>
        <v>User</v>
      </c>
      <c r="CN5" s="26" t="str">
        <f ca="1">IFERROR(__xludf.DUMMYFUNCTION("""COMPUTED_VALUE"""),"Venue")</f>
        <v>Venue</v>
      </c>
      <c r="CO5" s="26" t="str">
        <f ca="1">IFERROR(__xludf.DUMMYFUNCTION("""COMPUTED_VALUE"""),"Closing Date")</f>
        <v>Closing Date</v>
      </c>
      <c r="CP5" s="26" t="str">
        <f ca="1">IFERROR(__xludf.DUMMYFUNCTION("""COMPUTED_VALUE"""),"Expiration Date")</f>
        <v>Expiration Date</v>
      </c>
      <c r="CQ5" s="26" t="str">
        <f ca="1">IFERROR(__xludf.DUMMYFUNCTION("""COMPUTED_VALUE"""),"Master Fund")</f>
        <v>Master Fund</v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N6" s="6" t="s">
        <v>19</v>
      </c>
      <c r="AE6" s="6">
        <v>100</v>
      </c>
      <c r="BJ6" s="6">
        <v>100</v>
      </c>
      <c r="BO6" s="6" t="s">
        <v>17</v>
      </c>
      <c r="BS6" s="6" t="s">
        <v>16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32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IFERROR(__xludf.DUMMYFUNCTION("""COMPUTED_VALUE"""),"Symbol")</f>
        <v>Symbol</v>
      </c>
      <c r="C5" s="25" t="str">
        <f ca="1">IFERROR(__xludf.DUMMYFUNCTION("""COMPUTED_VALUE"""),"Side")</f>
        <v>Side</v>
      </c>
      <c r="D5" s="25" t="str">
        <f ca="1">IFERROR(__xludf.DUMMYFUNCTION("""COMPUTED_VALUE"""),"Quantity")</f>
        <v>Quantity</v>
      </c>
      <c r="E5" s="25" t="str">
        <f ca="1">IFERROR(__xludf.DUMMYFUNCTION("""COMPUTED_VALUE"""),"Executed Qty")</f>
        <v>Executed Qty</v>
      </c>
      <c r="F5" s="25" t="str">
        <f ca="1">IFERROR(__xludf.DUMMYFUNCTION("""COMPUTED_VALUE"""),"Trade Date")</f>
        <v>Trade Date</v>
      </c>
      <c r="G5" s="25" t="str">
        <f ca="1">IFERROR(__xludf.DUMMYFUNCTION("""COMPUTED_VALUE"""),"Net Amount( Local)")</f>
        <v>Net Amount( Local)</v>
      </c>
      <c r="H5" s="25" t="str">
        <f ca="1">IFERROR(__xludf.DUMMYFUNCTION("""COMPUTED_VALUE"""),"Net Amount( Base)")</f>
        <v>Net Amount( Base)</v>
      </c>
      <c r="I5" s="25" t="str">
        <f ca="1">IFERROR(__xludf.DUMMYFUNCTION("""COMPUTED_VALUE"""),"Principal Amount( Local)")</f>
        <v>Principal Amount( Local)</v>
      </c>
      <c r="J5" s="25" t="str">
        <f ca="1">IFERROR(__xludf.DUMMYFUNCTION("""COMPUTED_VALUE"""),"Transaction Type")</f>
        <v>Transaction Type</v>
      </c>
      <c r="K5" s="25" t="str">
        <f ca="1">IFERROR(__xludf.DUMMYFUNCTION("""COMPUTED_VALUE"""),"Principal Amount( Base)")</f>
        <v>Principal Amount( Base)</v>
      </c>
      <c r="L5" s="25" t="str">
        <f ca="1">IFERROR(__xludf.DUMMYFUNCTION("""COMPUTED_VALUE"""),"Execution Time")</f>
        <v>Execution Time</v>
      </c>
      <c r="M5" s="25" t="str">
        <f ca="1">IFERROR(__xludf.DUMMYFUNCTION("""COMPUTED_VALUE"""),"Trading Account")</f>
        <v>Trading Account</v>
      </c>
      <c r="N5" s="25" t="str">
        <f ca="1">IFERROR(__xludf.DUMMYFUNCTION("""COMPUTED_VALUE"""),"Avg Price(Local)")</f>
        <v>Avg Price(Local)</v>
      </c>
      <c r="O5" s="25" t="str">
        <f ca="1">IFERROR(__xludf.DUMMYFUNCTION("""COMPUTED_VALUE"""),"Avg Price(Base)")</f>
        <v>Avg Price(Base)</v>
      </c>
      <c r="P5" s="25" t="str">
        <f ca="1">IFERROR(__xludf.DUMMYFUNCTION("""COMPUTED_VALUE"""),"Broker")</f>
        <v>Broker</v>
      </c>
      <c r="Q5" s="25" t="str">
        <f ca="1">IFERROR(__xludf.DUMMYFUNCTION("""COMPUTED_VALUE"""),"FX Rate")</f>
        <v>FX Rate</v>
      </c>
      <c r="R5" s="25" t="str">
        <f ca="1">IFERROR(__xludf.DUMMYFUNCTION("""COMPUTED_VALUE"""),"Venue")</f>
        <v>Venue</v>
      </c>
      <c r="S5" s="25" t="str">
        <f ca="1">IFERROR(__xludf.DUMMYFUNCTION("""COMPUTED_VALUE"""),"FX Conversion Operator")</f>
        <v>FX Conversion Operator</v>
      </c>
      <c r="T5" s="26" t="str">
        <f ca="1">IFERROR(__xludf.DUMMYFUNCTION("""COMPUTED_VALUE"""),"User")</f>
        <v>User</v>
      </c>
      <c r="U5" s="26" t="str">
        <f ca="1">IFERROR(__xludf.DUMMYFUNCTION("""COMPUTED_VALUE"""),"Asset Category")</f>
        <v>Asset Category</v>
      </c>
      <c r="V5" s="26" t="str">
        <f ca="1">IFERROR(__xludf.DUMMYFUNCTION("""COMPUTED_VALUE"""),"Settlement Currency")</f>
        <v>Settlement Currency</v>
      </c>
      <c r="W5" s="26" t="str">
        <f ca="1">IFERROR(__xludf.DUMMYFUNCTION("""COMPUTED_VALUE"""),"Commission Per Share")</f>
        <v>Commission Per Share</v>
      </c>
      <c r="X5" s="26" t="str">
        <f ca="1">IFERROR(__xludf.DUMMYFUNCTION("""COMPUTED_VALUE"""),"Soft Commission Per Share")</f>
        <v>Soft Commission Per Share</v>
      </c>
      <c r="Y5" s="26" t="str">
        <f ca="1">IFERROR(__xludf.DUMMYFUNCTION("""COMPUTED_VALUE"""),"Total Commission Per Share")</f>
        <v>Total Commission Per Share</v>
      </c>
      <c r="Z5" s="26" t="str">
        <f ca="1">IFERROR(__xludf.DUMMYFUNCTION("""COMPUTED_VALUE"""),"Change Type")</f>
        <v>Change Type</v>
      </c>
      <c r="AA5" s="26" t="str">
        <f ca="1">IFERROR(__xludf.DUMMYFUNCTION("""COMPUTED_VALUE"""),"Trade Attribute 1")</f>
        <v>Trade Attribute 1</v>
      </c>
      <c r="AB5" s="26" t="str">
        <f ca="1">IFERROR(__xludf.DUMMYFUNCTION("""COMPUTED_VALUE"""),"Trade Attribute 2")</f>
        <v>Trade Attribute 2</v>
      </c>
      <c r="AC5" s="26" t="str">
        <f ca="1">IFERROR(__xludf.DUMMYFUNCTION("""COMPUTED_VALUE"""),"Trade Attribute 3")</f>
        <v>Trade Attribute 3</v>
      </c>
      <c r="AD5" s="26" t="str">
        <f ca="1">IFERROR(__xludf.DUMMYFUNCTION("""COMPUTED_VALUE"""),"Trade Attribute 4")</f>
        <v>Trade Attribute 4</v>
      </c>
      <c r="AE5" s="26" t="str">
        <f ca="1">IFERROR(__xludf.DUMMYFUNCTION("""COMPUTED_VALUE"""),"Trade Attribute 5")</f>
        <v>Trade Attribute 5</v>
      </c>
      <c r="AF5" s="26" t="str">
        <f ca="1">IFERROR(__xludf.DUMMYFUNCTION("""COMPUTED_VALUE"""),"Trade Attribute 6")</f>
        <v>Trade Attribute 6</v>
      </c>
      <c r="AG5" s="26" t="str">
        <f ca="1">IFERROR(__xludf.DUMMYFUNCTION("""COMPUTED_VALUE"""),"IsPreAllocated")</f>
        <v>IsPreAllocated</v>
      </c>
      <c r="AH5" s="26" t="str">
        <f ca="1">IFERROR(__xludf.DUMMYFUNCTION("""COMPUTED_VALUE"""),"IsManual Group")</f>
        <v>IsManual Group</v>
      </c>
      <c r="AI5" s="26" t="str">
        <f ca="1">IFERROR(__xludf.DUMMYFUNCTION("""COMPUTED_VALUE"""),"IsAnotherTaxlotAttributesUpdated")</f>
        <v>IsAnotherTaxlotAttributesUpdated</v>
      </c>
      <c r="AJ5" s="26" t="str">
        <f ca="1">IFERROR(__xludf.DUMMYFUNCTION("""COMPUTED_VALUE"""),"ISNDF")</f>
        <v>ISNDF</v>
      </c>
      <c r="AK5" s="26" t="str">
        <f ca="1">IFERROR(__xludf.DUMMYFUNCTION("""COMPUTED_VALUE"""),"M2MProfitLoss")</f>
        <v>M2MProfitLoss</v>
      </c>
      <c r="AL5" s="26" t="str">
        <f ca="1">IFERROR(__xludf.DUMMYFUNCTION("""COMPUTED_VALUE"""),"Put Or Call")</f>
        <v>Put Or Call</v>
      </c>
      <c r="AM5" s="26" t="str">
        <f ca="1">IFERROR(__xludf.DUMMYFUNCTION("""COMPUTED_VALUE"""),"GroupID")</f>
        <v>GroupID</v>
      </c>
      <c r="AN5" s="26" t="str">
        <f ca="1">IFERROR(__xludf.DUMMYFUNCTION("""COMPUTED_VALUE"""),"UnAllocatedQty")</f>
        <v>UnAllocatedQty</v>
      </c>
      <c r="AO5" s="26" t="str">
        <f ca="1">IFERROR(__xludf.DUMMYFUNCTION("""COMPUTED_VALUE"""),"Allocated Qty")</f>
        <v>Allocated Qty</v>
      </c>
      <c r="AP5" s="26" t="str">
        <f ca="1">IFERROR(__xludf.DUMMYFUNCTION("""COMPUTED_VALUE"""),"Commission")</f>
        <v>Commission</v>
      </c>
      <c r="AQ5" s="26" t="str">
        <f ca="1">IFERROR(__xludf.DUMMYFUNCTION("""COMPUTED_VALUE"""),"Soft Commission")</f>
        <v>Soft Commission</v>
      </c>
      <c r="AR5" s="26" t="str">
        <f ca="1">IFERROR(__xludf.DUMMYFUNCTION("""COMPUTED_VALUE"""),"Other Broker Fees")</f>
        <v>Other Broker Fees</v>
      </c>
      <c r="AS5" s="26" t="str">
        <f ca="1">IFERROR(__xludf.DUMMYFUNCTION("""COMPUTED_VALUE"""),"Clearing Broker Fee")</f>
        <v>Clearing Broker Fee</v>
      </c>
      <c r="AT5" s="26" t="str">
        <f ca="1">IFERROR(__xludf.DUMMYFUNCTION("""COMPUTED_VALUE"""),"Total Commission And Fee")</f>
        <v>Total Commission And Fee</v>
      </c>
      <c r="AU5" s="26" t="str">
        <f ca="1">IFERROR(__xludf.DUMMYFUNCTION("""COMPUTED_VALUE"""),"Transaction Levy")</f>
        <v>Transaction Levy</v>
      </c>
      <c r="AV5" s="26" t="str">
        <f ca="1">IFERROR(__xludf.DUMMYFUNCTION("""COMPUTED_VALUE"""),"Stamp Duty")</f>
        <v>Stamp Duty</v>
      </c>
      <c r="AW5" s="26" t="str">
        <f ca="1">IFERROR(__xludf.DUMMYFUNCTION("""COMPUTED_VALUE"""),"AUEC Fee1")</f>
        <v>AUEC Fee1</v>
      </c>
      <c r="AX5" s="26" t="str">
        <f ca="1">IFERROR(__xludf.DUMMYFUNCTION("""COMPUTED_VALUE"""),"Tax On Commissions")</f>
        <v>Tax On Commissions</v>
      </c>
      <c r="AY5" s="26" t="str">
        <f ca="1">IFERROR(__xludf.DUMMYFUNCTION("""COMPUTED_VALUE"""),"AUEC Fee2")</f>
        <v>AUEC Fee2</v>
      </c>
      <c r="AZ5" s="26" t="str">
        <f ca="1">IFERROR(__xludf.DUMMYFUNCTION("""COMPUTED_VALUE"""),"SEC Fee")</f>
        <v>SEC Fee</v>
      </c>
      <c r="BA5" s="26" t="str">
        <f ca="1">IFERROR(__xludf.DUMMYFUNCTION("""COMPUTED_VALUE"""),"OCC Fee")</f>
        <v>OCC Fee</v>
      </c>
      <c r="BB5" s="26" t="str">
        <f ca="1">IFERROR(__xludf.DUMMYFUNCTION("""COMPUTED_VALUE"""),"ORF Fee")</f>
        <v>ORF Fee</v>
      </c>
      <c r="BC5" s="26" t="str">
        <f ca="1">IFERROR(__xludf.DUMMYFUNCTION("""COMPUTED_VALUE"""),"Option Premium Adjustment")</f>
        <v>Option Premium Adjustment</v>
      </c>
      <c r="BD5" s="26" t="str">
        <f ca="1">IFERROR(__xludf.DUMMYFUNCTION("""COMPUTED_VALUE"""),"Prana Msg Type")</f>
        <v>Prana Msg Type</v>
      </c>
      <c r="BE5" s="26" t="str">
        <f ca="1">IFERROR(__xludf.DUMMYFUNCTION("""COMPUTED_VALUE"""),"Total Commission")</f>
        <v>Total Commission</v>
      </c>
      <c r="BF5" s="26" t="str">
        <f ca="1">IFERROR(__xludf.DUMMYFUNCTION("""COMPUTED_VALUE"""),"Closing Status")</f>
        <v>Closing Status</v>
      </c>
      <c r="BG5" s="26" t="str">
        <f ca="1">IFERROR(__xludf.DUMMYFUNCTION("""COMPUTED_VALUE"""),"Closing Method")</f>
        <v>Closing Method</v>
      </c>
      <c r="BH5" s="26" t="str">
        <f ca="1">IFERROR(__xludf.DUMMYFUNCTION("""COMPUTED_VALUE"""),"Group Status")</f>
        <v>Group Status</v>
      </c>
      <c r="BI5" s="26" t="str">
        <f ca="1">IFERROR(__xludf.DUMMYFUNCTION("""COMPUTED_VALUE"""),"Allocation Scheme Name")</f>
        <v>Allocation Scheme Name</v>
      </c>
      <c r="BJ5" s="26" t="str">
        <f ca="1">IFERROR(__xludf.DUMMYFUNCTION("""COMPUTED_VALUE"""),"Change Comment")</f>
        <v>Change Comment</v>
      </c>
      <c r="BK5" s="26" t="str">
        <f ca="1">IFERROR(__xludf.DUMMYFUNCTION("""COMPUTED_VALUE"""),"Order Type")</f>
        <v>Order Type</v>
      </c>
      <c r="BL5" s="26" t="str">
        <f ca="1">IFERROR(__xludf.DUMMYFUNCTION("""COMPUTED_VALUE"""),"Underlying")</f>
        <v>Underlying</v>
      </c>
      <c r="BM5" s="26" t="str">
        <f ca="1">IFERROR(__xludf.DUMMYFUNCTION("""COMPUTED_VALUE"""),"Exchange")</f>
        <v>Exchange</v>
      </c>
      <c r="BN5" s="26" t="str">
        <f ca="1">IFERROR(__xludf.DUMMYFUNCTION("""COMPUTED_VALUE"""),"Currency")</f>
        <v>Currency</v>
      </c>
      <c r="BO5" s="26" t="str">
        <f ca="1">IFERROR(__xludf.DUMMYFUNCTION("""COMPUTED_VALUE"""),"AUECID")</f>
        <v>AUECID</v>
      </c>
      <c r="BP5" s="26" t="str">
        <f ca="1">IFERROR(__xludf.DUMMYFUNCTION("""COMPUTED_VALUE"""),"Cum Qty For Sub Order")</f>
        <v>Cum Qty For Sub Order</v>
      </c>
      <c r="BQ5" s="26" t="str">
        <f ca="1">IFERROR(__xludf.DUMMYFUNCTION("""COMPUTED_VALUE"""),"Contract Multiplier")</f>
        <v>Contract Multiplier</v>
      </c>
      <c r="BR5" s="26" t="str">
        <f ca="1">IFERROR(__xludf.DUMMYFUNCTION("""COMPUTED_VALUE"""),"Company")</f>
        <v>Company</v>
      </c>
      <c r="BS5" s="26" t="str">
        <f ca="1">IFERROR(__xludf.DUMMYFUNCTION("""COMPUTED_VALUE"""),"Nirvana Process Date")</f>
        <v>Nirvana Process Date</v>
      </c>
      <c r="BT5" s="26" t="str">
        <f ca="1">IFERROR(__xludf.DUMMYFUNCTION("""COMPUTED_VALUE"""),"Process Date")</f>
        <v>Process Date</v>
      </c>
      <c r="BU5" s="26" t="str">
        <f ca="1">IFERROR(__xludf.DUMMYFUNCTION("""COMPUTED_VALUE"""),"Original Purchase Date")</f>
        <v>Original Purchase Date</v>
      </c>
      <c r="BV5" s="26" t="str">
        <f ca="1">IFERROR(__xludf.DUMMYFUNCTION("""COMPUTED_VALUE"""),"Closing Date")</f>
        <v>Closing Date</v>
      </c>
      <c r="BW5" s="26" t="str">
        <f ca="1">IFERROR(__xludf.DUMMYFUNCTION("""COMPUTED_VALUE"""),"Settlement Date")</f>
        <v>Settlement Date</v>
      </c>
      <c r="BX5" s="26" t="str">
        <f ca="1">IFERROR(__xludf.DUMMYFUNCTION("""COMPUTED_VALUE"""),"Expiration Date")</f>
        <v>Expiration Date</v>
      </c>
      <c r="BY5" s="26" t="str">
        <f ca="1">IFERROR(__xludf.DUMMYFUNCTION("""COMPUTED_VALUE"""),"Description")</f>
        <v>Description</v>
      </c>
      <c r="BZ5" s="26" t="str">
        <f ca="1">IFERROR(__xludf.DUMMYFUNCTION("""COMPUTED_VALUE"""),"Underlying Symbol")</f>
        <v>Underlying Symbol</v>
      </c>
      <c r="CA5" s="26" t="str">
        <f ca="1">IFERROR(__xludf.DUMMYFUNCTION("""COMPUTED_VALUE"""),"Accrued Interest")</f>
        <v>Accrued Interest</v>
      </c>
      <c r="CB5" s="26" t="str">
        <f ca="1">IFERROR(__xludf.DUMMYFUNCTION("""COMPUTED_VALUE"""),"Accrual Basis")</f>
        <v>Accrual Basis</v>
      </c>
      <c r="CC5" s="26" t="str">
        <f ca="1">IFERROR(__xludf.DUMMYFUNCTION("""COMPUTED_VALUE"""),"Bond Type")</f>
        <v>Bond Type</v>
      </c>
      <c r="CD5" s="26" t="str">
        <f ca="1">IFERROR(__xludf.DUMMYFUNCTION("""COMPUTED_VALUE"""),"Coupon Rate")</f>
        <v>Coupon Rate</v>
      </c>
      <c r="CE5" s="26" t="str">
        <f ca="1">IFERROR(__xludf.DUMMYFUNCTION("""COMPUTED_VALUE"""),"Delta")</f>
        <v>Delta</v>
      </c>
      <c r="CF5" s="26" t="str">
        <f ca="1">IFERROR(__xludf.DUMMYFUNCTION("""COMPUTED_VALUE"""),"Bloomberg")</f>
        <v>Bloomberg</v>
      </c>
      <c r="CG5" s="26" t="str">
        <f ca="1">IFERROR(__xludf.DUMMYFUNCTION("""COMPUTED_VALUE"""),"Sedol Symbol")</f>
        <v>Sedol Symbol</v>
      </c>
      <c r="CH5" s="26" t="str">
        <f ca="1">IFERROR(__xludf.DUMMYFUNCTION("""COMPUTED_VALUE"""),"Cusip Symbol")</f>
        <v>Cusip Symbol</v>
      </c>
      <c r="CI5" s="26" t="str">
        <f ca="1">IFERROR(__xludf.DUMMYFUNCTION("""COMPUTED_VALUE"""),"ISIN")</f>
        <v>ISIN</v>
      </c>
      <c r="CJ5" s="26" t="str">
        <f ca="1">IFERROR(__xludf.DUMMYFUNCTION("""COMPUTED_VALUE"""),"OSISSymbol")</f>
        <v>OSISSymbol</v>
      </c>
      <c r="CK5" s="26" t="str">
        <f ca="1">IFERROR(__xludf.DUMMYFUNCTION("""COMPUTED_VALUE"""),"IDCOSymbol")</f>
        <v>IDCOSymbol</v>
      </c>
      <c r="CL5" s="26" t="str">
        <f ca="1">IFERROR(__xludf.DUMMYFUNCTION("""COMPUTED_VALUE"""),"Underlying Delta")</f>
        <v>Underlying Delta</v>
      </c>
      <c r="CM5" s="26" t="str">
        <f ca="1">IFERROR(__xludf.DUMMYFUNCTION("""COMPUTED_VALUE"""),"Internal Comments")</f>
        <v>Internal Comments</v>
      </c>
      <c r="CN5" s="26" t="str">
        <f ca="1">IFERROR(__xludf.DUMMYFUNCTION("""COMPUTED_VALUE"""),"Proxy Symbol")</f>
        <v>Proxy Symbol</v>
      </c>
      <c r="CO5" s="26" t="str">
        <f ca="1">IFERROR(__xludf.DUMMYFUNCTION("""COMPUTED_VALUE"""),"Transaction Source")</f>
        <v>Transaction Source</v>
      </c>
      <c r="CP5" s="26" t="str">
        <f ca="1">IFERROR(__xludf.DUMMYFUNCTION("""COMPUTED_VALUE"""),"Import File Name")</f>
        <v>Import File Name</v>
      </c>
      <c r="CQ5" s="26" t="str">
        <f ca="1">IFERROR(__xludf.DUMMYFUNCTION("""COMPUTED_VALUE"""),"Master Fund")</f>
        <v>Master Fund</v>
      </c>
      <c r="CR5" s="26" t="str">
        <f ca="1">IFERROR(__xludf.DUMMYFUNCTION("""COMPUTED_VALUE"""),"Client")</f>
        <v>Client</v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16</v>
      </c>
      <c r="C6" s="6" t="s">
        <v>17</v>
      </c>
      <c r="D6" s="6">
        <v>100</v>
      </c>
      <c r="E6" s="6">
        <v>100</v>
      </c>
      <c r="P6" s="6" t="s">
        <v>19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32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IFERROR(__xludf.DUMMYFUNCTION("""COMPUTED_VALUE"""),"Symbol")</f>
        <v>Symbol</v>
      </c>
      <c r="C5" s="25" t="str">
        <f ca="1">IFERROR(__xludf.DUMMYFUNCTION("""COMPUTED_VALUE"""),"Side")</f>
        <v>Side</v>
      </c>
      <c r="D5" s="25" t="str">
        <f ca="1">IFERROR(__xludf.DUMMYFUNCTION("""COMPUTED_VALUE"""),"Quantity")</f>
        <v>Quantity</v>
      </c>
      <c r="E5" s="25" t="str">
        <f ca="1">IFERROR(__xludf.DUMMYFUNCTION("""COMPUTED_VALUE"""),"Executed Qty")</f>
        <v>Executed Qty</v>
      </c>
      <c r="F5" s="25" t="str">
        <f ca="1">IFERROR(__xludf.DUMMYFUNCTION("""COMPUTED_VALUE"""),"Trade Date")</f>
        <v>Trade Date</v>
      </c>
      <c r="G5" s="25" t="str">
        <f ca="1">IFERROR(__xludf.DUMMYFUNCTION("""COMPUTED_VALUE"""),"Net Amount( Local)")</f>
        <v>Net Amount( Local)</v>
      </c>
      <c r="H5" s="25" t="str">
        <f ca="1">IFERROR(__xludf.DUMMYFUNCTION("""COMPUTED_VALUE"""),"Net Amount( Base)")</f>
        <v>Net Amount( Base)</v>
      </c>
      <c r="I5" s="25" t="str">
        <f ca="1">IFERROR(__xludf.DUMMYFUNCTION("""COMPUTED_VALUE"""),"Principal Amount( Local)")</f>
        <v>Principal Amount( Local)</v>
      </c>
      <c r="J5" s="25" t="str">
        <f ca="1">IFERROR(__xludf.DUMMYFUNCTION("""COMPUTED_VALUE"""),"Transaction Type")</f>
        <v>Transaction Type</v>
      </c>
      <c r="K5" s="25" t="str">
        <f ca="1">IFERROR(__xludf.DUMMYFUNCTION("""COMPUTED_VALUE"""),"Principal Amount( Base)")</f>
        <v>Principal Amount( Base)</v>
      </c>
      <c r="L5" s="25" t="str">
        <f ca="1">IFERROR(__xludf.DUMMYFUNCTION("""COMPUTED_VALUE"""),"Execution Time")</f>
        <v>Execution Time</v>
      </c>
      <c r="M5" s="25" t="str">
        <f ca="1">IFERROR(__xludf.DUMMYFUNCTION("""COMPUTED_VALUE"""),"Trading Account")</f>
        <v>Trading Account</v>
      </c>
      <c r="N5" s="25" t="str">
        <f ca="1">IFERROR(__xludf.DUMMYFUNCTION("""COMPUTED_VALUE"""),"Avg Price(Local)")</f>
        <v>Avg Price(Local)</v>
      </c>
      <c r="O5" s="25" t="str">
        <f ca="1">IFERROR(__xludf.DUMMYFUNCTION("""COMPUTED_VALUE"""),"Avg Price(Base)")</f>
        <v>Avg Price(Base)</v>
      </c>
      <c r="P5" s="25" t="str">
        <f ca="1">IFERROR(__xludf.DUMMYFUNCTION("""COMPUTED_VALUE"""),"Broker")</f>
        <v>Broker</v>
      </c>
      <c r="Q5" s="25" t="str">
        <f ca="1">IFERROR(__xludf.DUMMYFUNCTION("""COMPUTED_VALUE"""),"FX Rate")</f>
        <v>FX Rate</v>
      </c>
      <c r="R5" s="25" t="str">
        <f ca="1">IFERROR(__xludf.DUMMYFUNCTION("""COMPUTED_VALUE"""),"Venue")</f>
        <v>Venue</v>
      </c>
      <c r="S5" s="25" t="str">
        <f ca="1">IFERROR(__xludf.DUMMYFUNCTION("""COMPUTED_VALUE"""),"FX Conversion Operator")</f>
        <v>FX Conversion Operator</v>
      </c>
      <c r="T5" s="26" t="str">
        <f ca="1">IFERROR(__xludf.DUMMYFUNCTION("""COMPUTED_VALUE"""),"User")</f>
        <v>User</v>
      </c>
      <c r="U5" s="26" t="str">
        <f ca="1">IFERROR(__xludf.DUMMYFUNCTION("""COMPUTED_VALUE"""),"Asset Category")</f>
        <v>Asset Category</v>
      </c>
      <c r="V5" s="26" t="str">
        <f ca="1">IFERROR(__xludf.DUMMYFUNCTION("""COMPUTED_VALUE"""),"Settlement Currency")</f>
        <v>Settlement Currency</v>
      </c>
      <c r="W5" s="26" t="str">
        <f ca="1">IFERROR(__xludf.DUMMYFUNCTION("""COMPUTED_VALUE"""),"Commission Per Share")</f>
        <v>Commission Per Share</v>
      </c>
      <c r="X5" s="26" t="str">
        <f ca="1">IFERROR(__xludf.DUMMYFUNCTION("""COMPUTED_VALUE"""),"Soft Commission Per Share")</f>
        <v>Soft Commission Per Share</v>
      </c>
      <c r="Y5" s="26" t="str">
        <f ca="1">IFERROR(__xludf.DUMMYFUNCTION("""COMPUTED_VALUE"""),"Total Commission Per Share")</f>
        <v>Total Commission Per Share</v>
      </c>
      <c r="Z5" s="26" t="str">
        <f ca="1">IFERROR(__xludf.DUMMYFUNCTION("""COMPUTED_VALUE"""),"Change Type")</f>
        <v>Change Type</v>
      </c>
      <c r="AA5" s="26" t="str">
        <f ca="1">IFERROR(__xludf.DUMMYFUNCTION("""COMPUTED_VALUE"""),"Trade Attribute 1")</f>
        <v>Trade Attribute 1</v>
      </c>
      <c r="AB5" s="26" t="str">
        <f ca="1">IFERROR(__xludf.DUMMYFUNCTION("""COMPUTED_VALUE"""),"Trade Attribute 2")</f>
        <v>Trade Attribute 2</v>
      </c>
      <c r="AC5" s="26" t="str">
        <f ca="1">IFERROR(__xludf.DUMMYFUNCTION("""COMPUTED_VALUE"""),"Trade Attribute 3")</f>
        <v>Trade Attribute 3</v>
      </c>
      <c r="AD5" s="26" t="str">
        <f ca="1">IFERROR(__xludf.DUMMYFUNCTION("""COMPUTED_VALUE"""),"Trade Attribute 4")</f>
        <v>Trade Attribute 4</v>
      </c>
      <c r="AE5" s="26" t="str">
        <f ca="1">IFERROR(__xludf.DUMMYFUNCTION("""COMPUTED_VALUE"""),"Trade Attribute 5")</f>
        <v>Trade Attribute 5</v>
      </c>
      <c r="AF5" s="26" t="str">
        <f ca="1">IFERROR(__xludf.DUMMYFUNCTION("""COMPUTED_VALUE"""),"Trade Attribute 6")</f>
        <v>Trade Attribute 6</v>
      </c>
      <c r="AG5" s="26" t="str">
        <f ca="1">IFERROR(__xludf.DUMMYFUNCTION("""COMPUTED_VALUE"""),"IsPreAllocated")</f>
        <v>IsPreAllocated</v>
      </c>
      <c r="AH5" s="26" t="str">
        <f ca="1">IFERROR(__xludf.DUMMYFUNCTION("""COMPUTED_VALUE"""),"IsManual Group")</f>
        <v>IsManual Group</v>
      </c>
      <c r="AI5" s="26" t="str">
        <f ca="1">IFERROR(__xludf.DUMMYFUNCTION("""COMPUTED_VALUE"""),"IsAnotherTaxlotAttributesUpdated")</f>
        <v>IsAnotherTaxlotAttributesUpdated</v>
      </c>
      <c r="AJ5" s="26" t="str">
        <f ca="1">IFERROR(__xludf.DUMMYFUNCTION("""COMPUTED_VALUE"""),"ISNDF")</f>
        <v>ISNDF</v>
      </c>
      <c r="AK5" s="26" t="str">
        <f ca="1">IFERROR(__xludf.DUMMYFUNCTION("""COMPUTED_VALUE"""),"M2MProfitLoss")</f>
        <v>M2MProfitLoss</v>
      </c>
      <c r="AL5" s="26" t="str">
        <f ca="1">IFERROR(__xludf.DUMMYFUNCTION("""COMPUTED_VALUE"""),"Put Or Call")</f>
        <v>Put Or Call</v>
      </c>
      <c r="AM5" s="26" t="str">
        <f ca="1">IFERROR(__xludf.DUMMYFUNCTION("""COMPUTED_VALUE"""),"GroupID")</f>
        <v>GroupID</v>
      </c>
      <c r="AN5" s="26" t="str">
        <f ca="1">IFERROR(__xludf.DUMMYFUNCTION("""COMPUTED_VALUE"""),"UnAllocatedQty")</f>
        <v>UnAllocatedQty</v>
      </c>
      <c r="AO5" s="26" t="str">
        <f ca="1">IFERROR(__xludf.DUMMYFUNCTION("""COMPUTED_VALUE"""),"Allocated Qty")</f>
        <v>Allocated Qty</v>
      </c>
      <c r="AP5" s="26" t="str">
        <f ca="1">IFERROR(__xludf.DUMMYFUNCTION("""COMPUTED_VALUE"""),"Commission")</f>
        <v>Commission</v>
      </c>
      <c r="AQ5" s="26" t="str">
        <f ca="1">IFERROR(__xludf.DUMMYFUNCTION("""COMPUTED_VALUE"""),"Soft Commission")</f>
        <v>Soft Commission</v>
      </c>
      <c r="AR5" s="26" t="str">
        <f ca="1">IFERROR(__xludf.DUMMYFUNCTION("""COMPUTED_VALUE"""),"Other Broker Fees")</f>
        <v>Other Broker Fees</v>
      </c>
      <c r="AS5" s="26" t="str">
        <f ca="1">IFERROR(__xludf.DUMMYFUNCTION("""COMPUTED_VALUE"""),"Clearing Broker Fee")</f>
        <v>Clearing Broker Fee</v>
      </c>
      <c r="AT5" s="26" t="str">
        <f ca="1">IFERROR(__xludf.DUMMYFUNCTION("""COMPUTED_VALUE"""),"Total Commission And Fee")</f>
        <v>Total Commission And Fee</v>
      </c>
      <c r="AU5" s="26" t="str">
        <f ca="1">IFERROR(__xludf.DUMMYFUNCTION("""COMPUTED_VALUE"""),"Transaction Levy")</f>
        <v>Transaction Levy</v>
      </c>
      <c r="AV5" s="26" t="str">
        <f ca="1">IFERROR(__xludf.DUMMYFUNCTION("""COMPUTED_VALUE"""),"Stamp Duty")</f>
        <v>Stamp Duty</v>
      </c>
      <c r="AW5" s="26" t="str">
        <f ca="1">IFERROR(__xludf.DUMMYFUNCTION("""COMPUTED_VALUE"""),"AUEC Fee1")</f>
        <v>AUEC Fee1</v>
      </c>
      <c r="AX5" s="26" t="str">
        <f ca="1">IFERROR(__xludf.DUMMYFUNCTION("""COMPUTED_VALUE"""),"Tax On Commissions")</f>
        <v>Tax On Commissions</v>
      </c>
      <c r="AY5" s="26" t="str">
        <f ca="1">IFERROR(__xludf.DUMMYFUNCTION("""COMPUTED_VALUE"""),"AUEC Fee2")</f>
        <v>AUEC Fee2</v>
      </c>
      <c r="AZ5" s="26" t="str">
        <f ca="1">IFERROR(__xludf.DUMMYFUNCTION("""COMPUTED_VALUE"""),"SEC Fee")</f>
        <v>SEC Fee</v>
      </c>
      <c r="BA5" s="26" t="str">
        <f ca="1">IFERROR(__xludf.DUMMYFUNCTION("""COMPUTED_VALUE"""),"OCC Fee")</f>
        <v>OCC Fee</v>
      </c>
      <c r="BB5" s="26" t="str">
        <f ca="1">IFERROR(__xludf.DUMMYFUNCTION("""COMPUTED_VALUE"""),"ORF Fee")</f>
        <v>ORF Fee</v>
      </c>
      <c r="BC5" s="26" t="str">
        <f ca="1">IFERROR(__xludf.DUMMYFUNCTION("""COMPUTED_VALUE"""),"Option Premium Adjustment")</f>
        <v>Option Premium Adjustment</v>
      </c>
      <c r="BD5" s="26" t="str">
        <f ca="1">IFERROR(__xludf.DUMMYFUNCTION("""COMPUTED_VALUE"""),"Prana Msg Type")</f>
        <v>Prana Msg Type</v>
      </c>
      <c r="BE5" s="26" t="str">
        <f ca="1">IFERROR(__xludf.DUMMYFUNCTION("""COMPUTED_VALUE"""),"Total Commission")</f>
        <v>Total Commission</v>
      </c>
      <c r="BF5" s="26" t="str">
        <f ca="1">IFERROR(__xludf.DUMMYFUNCTION("""COMPUTED_VALUE"""),"Closing Status")</f>
        <v>Closing Status</v>
      </c>
      <c r="BG5" s="26" t="str">
        <f ca="1">IFERROR(__xludf.DUMMYFUNCTION("""COMPUTED_VALUE"""),"Closing Method")</f>
        <v>Closing Method</v>
      </c>
      <c r="BH5" s="26" t="str">
        <f ca="1">IFERROR(__xludf.DUMMYFUNCTION("""COMPUTED_VALUE"""),"Group Status")</f>
        <v>Group Status</v>
      </c>
      <c r="BI5" s="26" t="str">
        <f ca="1">IFERROR(__xludf.DUMMYFUNCTION("""COMPUTED_VALUE"""),"Allocation Scheme Name")</f>
        <v>Allocation Scheme Name</v>
      </c>
      <c r="BJ5" s="26" t="str">
        <f ca="1">IFERROR(__xludf.DUMMYFUNCTION("""COMPUTED_VALUE"""),"Change Comment")</f>
        <v>Change Comment</v>
      </c>
      <c r="BK5" s="26" t="str">
        <f ca="1">IFERROR(__xludf.DUMMYFUNCTION("""COMPUTED_VALUE"""),"Order Type")</f>
        <v>Order Type</v>
      </c>
      <c r="BL5" s="26" t="str">
        <f ca="1">IFERROR(__xludf.DUMMYFUNCTION("""COMPUTED_VALUE"""),"Underlying")</f>
        <v>Underlying</v>
      </c>
      <c r="BM5" s="26" t="str">
        <f ca="1">IFERROR(__xludf.DUMMYFUNCTION("""COMPUTED_VALUE"""),"Exchange")</f>
        <v>Exchange</v>
      </c>
      <c r="BN5" s="26" t="str">
        <f ca="1">IFERROR(__xludf.DUMMYFUNCTION("""COMPUTED_VALUE"""),"Currency")</f>
        <v>Currency</v>
      </c>
      <c r="BO5" s="26" t="str">
        <f ca="1">IFERROR(__xludf.DUMMYFUNCTION("""COMPUTED_VALUE"""),"AUECID")</f>
        <v>AUECID</v>
      </c>
      <c r="BP5" s="26" t="str">
        <f ca="1">IFERROR(__xludf.DUMMYFUNCTION("""COMPUTED_VALUE"""),"Cum Qty For Sub Order")</f>
        <v>Cum Qty For Sub Order</v>
      </c>
      <c r="BQ5" s="26" t="str">
        <f ca="1">IFERROR(__xludf.DUMMYFUNCTION("""COMPUTED_VALUE"""),"Contract Multiplier")</f>
        <v>Contract Multiplier</v>
      </c>
      <c r="BR5" s="26" t="str">
        <f ca="1">IFERROR(__xludf.DUMMYFUNCTION("""COMPUTED_VALUE"""),"Company")</f>
        <v>Company</v>
      </c>
      <c r="BS5" s="26" t="str">
        <f ca="1">IFERROR(__xludf.DUMMYFUNCTION("""COMPUTED_VALUE"""),"Nirvana Process Date")</f>
        <v>Nirvana Process Date</v>
      </c>
      <c r="BT5" s="26" t="str">
        <f ca="1">IFERROR(__xludf.DUMMYFUNCTION("""COMPUTED_VALUE"""),"Process Date")</f>
        <v>Process Date</v>
      </c>
      <c r="BU5" s="26" t="str">
        <f ca="1">IFERROR(__xludf.DUMMYFUNCTION("""COMPUTED_VALUE"""),"Original Purchase Date")</f>
        <v>Original Purchase Date</v>
      </c>
      <c r="BV5" s="26" t="str">
        <f ca="1">IFERROR(__xludf.DUMMYFUNCTION("""COMPUTED_VALUE"""),"Closing Date")</f>
        <v>Closing Date</v>
      </c>
      <c r="BW5" s="26" t="str">
        <f ca="1">IFERROR(__xludf.DUMMYFUNCTION("""COMPUTED_VALUE"""),"Settlement Date")</f>
        <v>Settlement Date</v>
      </c>
      <c r="BX5" s="26" t="str">
        <f ca="1">IFERROR(__xludf.DUMMYFUNCTION("""COMPUTED_VALUE"""),"Expiration Date")</f>
        <v>Expiration Date</v>
      </c>
      <c r="BY5" s="26" t="str">
        <f ca="1">IFERROR(__xludf.DUMMYFUNCTION("""COMPUTED_VALUE"""),"Description")</f>
        <v>Description</v>
      </c>
      <c r="BZ5" s="26" t="str">
        <f ca="1">IFERROR(__xludf.DUMMYFUNCTION("""COMPUTED_VALUE"""),"Underlying Symbol")</f>
        <v>Underlying Symbol</v>
      </c>
      <c r="CA5" s="26" t="str">
        <f ca="1">IFERROR(__xludf.DUMMYFUNCTION("""COMPUTED_VALUE"""),"Accrued Interest")</f>
        <v>Accrued Interest</v>
      </c>
      <c r="CB5" s="26" t="str">
        <f ca="1">IFERROR(__xludf.DUMMYFUNCTION("""COMPUTED_VALUE"""),"Accrual Basis")</f>
        <v>Accrual Basis</v>
      </c>
      <c r="CC5" s="26" t="str">
        <f ca="1">IFERROR(__xludf.DUMMYFUNCTION("""COMPUTED_VALUE"""),"Bond Type")</f>
        <v>Bond Type</v>
      </c>
      <c r="CD5" s="26" t="str">
        <f ca="1">IFERROR(__xludf.DUMMYFUNCTION("""COMPUTED_VALUE"""),"Coupon Rate")</f>
        <v>Coupon Rate</v>
      </c>
      <c r="CE5" s="26" t="str">
        <f ca="1">IFERROR(__xludf.DUMMYFUNCTION("""COMPUTED_VALUE"""),"Delta")</f>
        <v>Delta</v>
      </c>
      <c r="CF5" s="26" t="str">
        <f ca="1">IFERROR(__xludf.DUMMYFUNCTION("""COMPUTED_VALUE"""),"Bloomberg")</f>
        <v>Bloomberg</v>
      </c>
      <c r="CG5" s="26" t="str">
        <f ca="1">IFERROR(__xludf.DUMMYFUNCTION("""COMPUTED_VALUE"""),"Sedol Symbol")</f>
        <v>Sedol Symbol</v>
      </c>
      <c r="CH5" s="26" t="str">
        <f ca="1">IFERROR(__xludf.DUMMYFUNCTION("""COMPUTED_VALUE"""),"Cusip Symbol")</f>
        <v>Cusip Symbol</v>
      </c>
      <c r="CI5" s="26" t="str">
        <f ca="1">IFERROR(__xludf.DUMMYFUNCTION("""COMPUTED_VALUE"""),"ISIN")</f>
        <v>ISIN</v>
      </c>
      <c r="CJ5" s="26" t="str">
        <f ca="1">IFERROR(__xludf.DUMMYFUNCTION("""COMPUTED_VALUE"""),"OSISSymbol")</f>
        <v>OSISSymbol</v>
      </c>
      <c r="CK5" s="26" t="str">
        <f ca="1">IFERROR(__xludf.DUMMYFUNCTION("""COMPUTED_VALUE"""),"IDCOSymbol")</f>
        <v>IDCOSymbol</v>
      </c>
      <c r="CL5" s="26" t="str">
        <f ca="1">IFERROR(__xludf.DUMMYFUNCTION("""COMPUTED_VALUE"""),"Underlying Delta")</f>
        <v>Underlying Delta</v>
      </c>
      <c r="CM5" s="26" t="str">
        <f ca="1">IFERROR(__xludf.DUMMYFUNCTION("""COMPUTED_VALUE"""),"Internal Comments")</f>
        <v>Internal Comments</v>
      </c>
      <c r="CN5" s="26" t="str">
        <f ca="1">IFERROR(__xludf.DUMMYFUNCTION("""COMPUTED_VALUE"""),"Proxy Symbol")</f>
        <v>Proxy Symbol</v>
      </c>
      <c r="CO5" s="26" t="str">
        <f ca="1">IFERROR(__xludf.DUMMYFUNCTION("""COMPUTED_VALUE"""),"Transaction Source")</f>
        <v>Transaction Source</v>
      </c>
      <c r="CP5" s="26" t="str">
        <f ca="1">IFERROR(__xludf.DUMMYFUNCTION("""COMPUTED_VALUE"""),"Import File Name")</f>
        <v>Import File Name</v>
      </c>
      <c r="CQ5" s="26" t="str">
        <f ca="1">IFERROR(__xludf.DUMMYFUNCTION("""COMPUTED_VALUE"""),"Master Fund")</f>
        <v>Master Fund</v>
      </c>
      <c r="CR5" s="26" t="str">
        <f ca="1">IFERROR(__xludf.DUMMYFUNCTION("""COMPUTED_VALUE"""),"Client")</f>
        <v>Client</v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16</v>
      </c>
      <c r="C6" s="6" t="s">
        <v>17</v>
      </c>
      <c r="D6" s="6">
        <v>100</v>
      </c>
      <c r="E6" s="6">
        <v>100</v>
      </c>
      <c r="P6" s="6" t="s">
        <v>21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43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IFERROR(__xludf.DUMMYFUNCTION("""COMPUTED_VALUE"""),"ExecutedQty")</f>
        <v>ExecutedQty</v>
      </c>
      <c r="C5" s="25" t="str">
        <f ca="1">IFERROR(__xludf.DUMMYFUNCTION("""COMPUTED_VALUE"""),"AvgPrice")</f>
        <v>AvgPrice</v>
      </c>
      <c r="D5" s="25" t="str">
        <f ca="1">IFERROR(__xludf.DUMMYFUNCTION("""COMPUTED_VALUE"""),"Side")</f>
        <v>Side</v>
      </c>
      <c r="E5" s="25" t="str">
        <f ca="1">IFERROR(__xludf.DUMMYFUNCTION("""COMPUTED_VALUE"""),"TradeDate")</f>
        <v>TradeDate</v>
      </c>
      <c r="F5" s="25" t="str">
        <f ca="1">IFERROR(__xludf.DUMMYFUNCTION("""COMPUTED_VALUE"""),"ProcessDate")</f>
        <v>ProcessDate</v>
      </c>
      <c r="G5" s="25" t="str">
        <f ca="1">IFERROR(__xludf.DUMMYFUNCTION("""COMPUTED_VALUE"""),"OriginalPurchaseDate")</f>
        <v>OriginalPurchaseDate</v>
      </c>
      <c r="H5" s="25" t="str">
        <f ca="1">IFERROR(__xludf.DUMMYFUNCTION("""COMPUTED_VALUE"""),"SettlementDate")</f>
        <v>SettlementDate</v>
      </c>
      <c r="I5" s="25" t="str">
        <f ca="1">IFERROR(__xludf.DUMMYFUNCTION("""COMPUTED_VALUE"""),"Commission")</f>
        <v>Commission</v>
      </c>
      <c r="J5" s="25" t="str">
        <f ca="1">IFERROR(__xludf.DUMMYFUNCTION("""COMPUTED_VALUE"""),"SoftCommission")</f>
        <v>SoftCommission</v>
      </c>
      <c r="K5" s="25" t="str">
        <f ca="1">IFERROR(__xludf.DUMMYFUNCTION("""COMPUTED_VALUE"""),"OtherBrokerFees")</f>
        <v>OtherBrokerFees</v>
      </c>
      <c r="L5" s="25" t="str">
        <f ca="1">IFERROR(__xludf.DUMMYFUNCTION("""COMPUTED_VALUE"""),"ClearingBrokerFees")</f>
        <v>ClearingBrokerFees</v>
      </c>
      <c r="M5" s="25" t="str">
        <f ca="1">IFERROR(__xludf.DUMMYFUNCTION("""COMPUTED_VALUE"""),"StampDuty")</f>
        <v>StampDuty</v>
      </c>
      <c r="N5" s="25" t="str">
        <f ca="1">IFERROR(__xludf.DUMMYFUNCTION("""COMPUTED_VALUE"""),"TransactionLevy")</f>
        <v>TransactionLevy</v>
      </c>
      <c r="O5" s="25" t="str">
        <f ca="1">IFERROR(__xludf.DUMMYFUNCTION("""COMPUTED_VALUE"""),"AUECFee1")</f>
        <v>AUECFee1</v>
      </c>
      <c r="P5" s="25" t="str">
        <f ca="1">IFERROR(__xludf.DUMMYFUNCTION("""COMPUTED_VALUE"""),"TaxOnCommissions")</f>
        <v>TaxOnCommissions</v>
      </c>
      <c r="Q5" s="25" t="str">
        <f ca="1">IFERROR(__xludf.DUMMYFUNCTION("""COMPUTED_VALUE"""),"AUECFee2")</f>
        <v>AUECFee2</v>
      </c>
      <c r="R5" s="25" t="str">
        <f ca="1">IFERROR(__xludf.DUMMYFUNCTION("""COMPUTED_VALUE"""),"SecFee")</f>
        <v>SecFee</v>
      </c>
      <c r="S5" s="25" t="str">
        <f ca="1">IFERROR(__xludf.DUMMYFUNCTION("""COMPUTED_VALUE"""),"OccFee")</f>
        <v>OccFee</v>
      </c>
      <c r="T5" s="26" t="str">
        <f ca="1">IFERROR(__xludf.DUMMYFUNCTION("""COMPUTED_VALUE"""),"OrfFee")</f>
        <v>OrfFee</v>
      </c>
      <c r="U5" s="26" t="str">
        <f ca="1">IFERROR(__xludf.DUMMYFUNCTION("""COMPUTED_VALUE"""),"Broker")</f>
        <v>Broker</v>
      </c>
      <c r="V5" s="26" t="str">
        <f ca="1">IFERROR(__xludf.DUMMYFUNCTION("""COMPUTED_VALUE"""),"Venue")</f>
        <v>Venue</v>
      </c>
      <c r="W5" s="26" t="str">
        <f ca="1">IFERROR(__xludf.DUMMYFUNCTION("""COMPUTED_VALUE"""),"Description")</f>
        <v>Description</v>
      </c>
      <c r="X5" s="26" t="str">
        <f ca="1">IFERROR(__xludf.DUMMYFUNCTION("""COMPUTED_VALUE"""),"InternalComments")</f>
        <v>InternalComments</v>
      </c>
      <c r="Y5" s="26" t="str">
        <f ca="1">IFERROR(__xludf.DUMMYFUNCTION("""COMPUTED_VALUE"""),"FXRate")</f>
        <v>FXRate</v>
      </c>
      <c r="Z5" s="26" t="str">
        <f ca="1">IFERROR(__xludf.DUMMYFUNCTION("""COMPUTED_VALUE"""),"FxConvOperator")</f>
        <v>FxConvOperator</v>
      </c>
      <c r="AA5" s="26" t="str">
        <f ca="1">IFERROR(__xludf.DUMMYFUNCTION("""COMPUTED_VALUE"""),"AccruedInterest")</f>
        <v>AccruedInterest</v>
      </c>
      <c r="AB5" s="26" t="str">
        <f ca="1">IFERROR(__xludf.DUMMYFUNCTION("""COMPUTED_VALUE"""),"TradeAttribute1")</f>
        <v>TradeAttribute1</v>
      </c>
      <c r="AC5" s="26" t="str">
        <f ca="1">IFERROR(__xludf.DUMMYFUNCTION("""COMPUTED_VALUE"""),"TradeAttribute2")</f>
        <v>TradeAttribute2</v>
      </c>
      <c r="AD5" s="26" t="str">
        <f ca="1">IFERROR(__xludf.DUMMYFUNCTION("""COMPUTED_VALUE"""),"TradeAttribute3")</f>
        <v>TradeAttribute3</v>
      </c>
      <c r="AE5" s="26" t="str">
        <f ca="1">IFERROR(__xludf.DUMMYFUNCTION("""COMPUTED_VALUE"""),"TradeAttribute4")</f>
        <v>TradeAttribute4</v>
      </c>
      <c r="AF5" s="26" t="str">
        <f ca="1">IFERROR(__xludf.DUMMYFUNCTION("""COMPUTED_VALUE"""),"TradeAttribute5")</f>
        <v>TradeAttribute5</v>
      </c>
      <c r="AG5" s="26" t="str">
        <f ca="1">IFERROR(__xludf.DUMMYFUNCTION("""COMPUTED_VALUE"""),"TradeAttribute6")</f>
        <v>TradeAttribute6</v>
      </c>
      <c r="AH5" s="26" t="str">
        <f ca="1">IFERROR(__xludf.DUMMYFUNCTION("""COMPUTED_VALUE"""),"")</f>
        <v/>
      </c>
      <c r="AI5" s="26" t="str">
        <f ca="1">IFERROR(__xludf.DUMMYFUNCTION("""COMPUTED_VALUE"""),"")</f>
        <v/>
      </c>
      <c r="AJ5" s="26" t="str">
        <f ca="1">IFERROR(__xludf.DUMMYFUNCTION("""COMPUTED_VALUE"""),"")</f>
        <v/>
      </c>
      <c r="AK5" s="26" t="str">
        <f ca="1">IFERROR(__xludf.DUMMYFUNCTION("""COMPUTED_VALUE"""),"")</f>
        <v/>
      </c>
      <c r="AL5" s="26" t="str">
        <f ca="1">IFERROR(__xludf.DUMMYFUNCTION("""COMPUTED_VALUE"""),"")</f>
        <v/>
      </c>
      <c r="AM5" s="26" t="str">
        <f ca="1">IFERROR(__xludf.DUMMYFUNCTION("""COMPUTED_VALUE"""),"")</f>
        <v/>
      </c>
      <c r="AN5" s="26" t="str">
        <f ca="1">IFERROR(__xludf.DUMMYFUNCTION("""COMPUTED_VALUE"""),"")</f>
        <v/>
      </c>
      <c r="AO5" s="26" t="str">
        <f ca="1">IFERROR(__xludf.DUMMYFUNCTION("""COMPUTED_VALUE"""),"")</f>
        <v/>
      </c>
      <c r="AP5" s="26" t="str">
        <f ca="1">IFERROR(__xludf.DUMMYFUNCTION("""COMPUTED_VALUE"""),"")</f>
        <v/>
      </c>
      <c r="AQ5" s="26" t="str">
        <f ca="1">IFERROR(__xludf.DUMMYFUNCTION("""COMPUTED_VALUE"""),"")</f>
        <v/>
      </c>
      <c r="AR5" s="26" t="str">
        <f ca="1">IFERROR(__xludf.DUMMYFUNCTION("""COMPUTED_VALUE"""),"")</f>
        <v/>
      </c>
      <c r="AS5" s="26" t="str">
        <f ca="1">IFERROR(__xludf.DUMMYFUNCTION("""COMPUTED_VALUE"""),"")</f>
        <v/>
      </c>
      <c r="AT5" s="26" t="str">
        <f ca="1">IFERROR(__xludf.DUMMYFUNCTION("""COMPUTED_VALUE"""),"")</f>
        <v/>
      </c>
      <c r="AU5" s="26" t="str">
        <f ca="1">IFERROR(__xludf.DUMMYFUNCTION("""COMPUTED_VALUE"""),"")</f>
        <v/>
      </c>
      <c r="AV5" s="26" t="str">
        <f ca="1">IFERROR(__xludf.DUMMYFUNCTION("""COMPUTED_VALUE"""),"")</f>
        <v/>
      </c>
      <c r="AW5" s="26" t="str">
        <f ca="1">IFERROR(__xludf.DUMMYFUNCTION("""COMPUTED_VALUE"""),"")</f>
        <v/>
      </c>
      <c r="AX5" s="26" t="str">
        <f ca="1">IFERROR(__xludf.DUMMYFUNCTION("""COMPUTED_VALUE"""),"")</f>
        <v/>
      </c>
      <c r="AY5" s="26" t="str">
        <f ca="1">IFERROR(__xludf.DUMMYFUNCTION("""COMPUTED_VALUE"""),"")</f>
        <v/>
      </c>
      <c r="AZ5" s="26" t="str">
        <f ca="1">IFERROR(__xludf.DUMMYFUNCTION("""COMPUTED_VALUE"""),"")</f>
        <v/>
      </c>
      <c r="BA5" s="26" t="str">
        <f ca="1">IFERROR(__xludf.DUMMYFUNCTION("""COMPUTED_VALUE"""),"")</f>
        <v/>
      </c>
      <c r="BB5" s="26" t="str">
        <f ca="1">IFERROR(__xludf.DUMMYFUNCTION("""COMPUTED_VALUE"""),"")</f>
        <v/>
      </c>
      <c r="BC5" s="26" t="str">
        <f ca="1">IFERROR(__xludf.DUMMYFUNCTION("""COMPUTED_VALUE"""),"")</f>
        <v/>
      </c>
      <c r="BD5" s="26" t="str">
        <f ca="1">IFERROR(__xludf.DUMMYFUNCTION("""COMPUTED_VALUE"""),"")</f>
        <v/>
      </c>
      <c r="BE5" s="26" t="str">
        <f ca="1">IFERROR(__xludf.DUMMYFUNCTION("""COMPUTED_VALUE"""),"")</f>
        <v/>
      </c>
      <c r="BF5" s="26" t="str">
        <f ca="1">IFERROR(__xludf.DUMMYFUNCTION("""COMPUTED_VALUE"""),"")</f>
        <v/>
      </c>
      <c r="BG5" s="26" t="str">
        <f ca="1">IFERROR(__xludf.DUMMYFUNCTION("""COMPUTED_VALUE"""),"")</f>
        <v/>
      </c>
      <c r="BH5" s="26" t="str">
        <f ca="1">IFERROR(__xludf.DUMMYFUNCTION("""COMPUTED_VALUE"""),"")</f>
        <v/>
      </c>
      <c r="BI5" s="26" t="str">
        <f ca="1">IFERROR(__xludf.DUMMYFUNCTION("""COMPUTED_VALUE"""),"")</f>
        <v/>
      </c>
      <c r="BJ5" s="26" t="str">
        <f ca="1">IFERROR(__xludf.DUMMYFUNCTION("""COMPUTED_VALUE"""),"")</f>
        <v/>
      </c>
      <c r="BK5" s="26" t="str">
        <f ca="1">IFERROR(__xludf.DUMMYFUNCTION("""COMPUTED_VALUE"""),"")</f>
        <v/>
      </c>
      <c r="BL5" s="26" t="str">
        <f ca="1">IFERROR(__xludf.DUMMYFUNCTION("""COMPUTED_VALUE"""),"")</f>
        <v/>
      </c>
      <c r="BM5" s="26" t="str">
        <f ca="1">IFERROR(__xludf.DUMMYFUNCTION("""COMPUTED_VALUE"""),"")</f>
        <v/>
      </c>
      <c r="BN5" s="26" t="str">
        <f ca="1">IFERROR(__xludf.DUMMYFUNCTION("""COMPUTED_VALUE"""),"")</f>
        <v/>
      </c>
      <c r="BO5" s="26" t="str">
        <f ca="1">IFERROR(__xludf.DUMMYFUNCTION("""COMPUTED_VALUE"""),"")</f>
        <v/>
      </c>
      <c r="BP5" s="26" t="str">
        <f ca="1">IFERROR(__xludf.DUMMYFUNCTION("""COMPUTED_VALUE"""),"")</f>
        <v/>
      </c>
      <c r="BQ5" s="26" t="str">
        <f ca="1">IFERROR(__xludf.DUMMYFUNCTION("""COMPUTED_VALUE"""),"")</f>
        <v/>
      </c>
      <c r="BR5" s="26" t="str">
        <f ca="1">IFERROR(__xludf.DUMMYFUNCTION("""COMPUTED_VALUE"""),"")</f>
        <v/>
      </c>
      <c r="BS5" s="26" t="str">
        <f ca="1">IFERROR(__xludf.DUMMYFUNCTION("""COMPUTED_VALUE"""),"")</f>
        <v/>
      </c>
      <c r="BT5" s="26" t="str">
        <f ca="1">IFERROR(__xludf.DUMMYFUNCTION("""COMPUTED_VALUE"""),"")</f>
        <v/>
      </c>
      <c r="BU5" s="26" t="str">
        <f ca="1">IFERROR(__xludf.DUMMYFUNCTION("""COMPUTED_VALUE"""),"")</f>
        <v/>
      </c>
      <c r="BV5" s="26" t="str">
        <f ca="1">IFERROR(__xludf.DUMMYFUNCTION("""COMPUTED_VALUE"""),"")</f>
        <v/>
      </c>
      <c r="BW5" s="26" t="str">
        <f ca="1">IFERROR(__xludf.DUMMYFUNCTION("""COMPUTED_VALUE"""),"")</f>
        <v/>
      </c>
      <c r="BX5" s="26" t="str">
        <f ca="1">IFERROR(__xludf.DUMMYFUNCTION("""COMPUTED_VALUE"""),"")</f>
        <v/>
      </c>
      <c r="BY5" s="26" t="str">
        <f ca="1">IFERROR(__xludf.DUMMYFUNCTION("""COMPUTED_VALUE"""),"")</f>
        <v/>
      </c>
      <c r="BZ5" s="26" t="str">
        <f ca="1">IFERROR(__xludf.DUMMYFUNCTION("""COMPUTED_VALUE"""),"")</f>
        <v/>
      </c>
      <c r="CA5" s="26" t="str">
        <f ca="1">IFERROR(__xludf.DUMMYFUNCTION("""COMPUTED_VALUE"""),"")</f>
        <v/>
      </c>
      <c r="CB5" s="26" t="str">
        <f ca="1">IFERROR(__xludf.DUMMYFUNCTION("""COMPUTED_VALUE"""),"")</f>
        <v/>
      </c>
      <c r="CC5" s="26" t="str">
        <f ca="1">IFERROR(__xludf.DUMMYFUNCTION("""COMPUTED_VALUE"""),"")</f>
        <v/>
      </c>
      <c r="CD5" s="26" t="str">
        <f ca="1">IFERROR(__xludf.DUMMYFUNCTION("""COMPUTED_VALUE"""),"")</f>
        <v/>
      </c>
      <c r="CE5" s="26" t="str">
        <f ca="1">IFERROR(__xludf.DUMMYFUNCTION("""COMPUTED_VALUE"""),"")</f>
        <v/>
      </c>
      <c r="CF5" s="26" t="str">
        <f ca="1">IFERROR(__xludf.DUMMYFUNCTION("""COMPUTED_VALUE"""),"")</f>
        <v/>
      </c>
      <c r="CG5" s="26" t="str">
        <f ca="1">IFERROR(__xludf.DUMMYFUNCTION("""COMPUTED_VALUE"""),"")</f>
        <v/>
      </c>
      <c r="CH5" s="26" t="str">
        <f ca="1">IFERROR(__xludf.DUMMYFUNCTION("""COMPUTED_VALUE"""),"")</f>
        <v/>
      </c>
      <c r="CI5" s="26" t="str">
        <f ca="1">IFERROR(__xludf.DUMMYFUNCTION("""COMPUTED_VALUE"""),"")</f>
        <v/>
      </c>
      <c r="CJ5" s="26" t="str">
        <f ca="1">IFERROR(__xludf.DUMMYFUNCTION("""COMPUTED_VALUE"""),"")</f>
        <v/>
      </c>
      <c r="CK5" s="26" t="str">
        <f ca="1">IFERROR(__xludf.DUMMYFUNCTION("""COMPUTED_VALUE"""),"")</f>
        <v/>
      </c>
      <c r="CL5" s="26" t="str">
        <f ca="1">IFERROR(__xludf.DUMMYFUNCTION("""COMPUTED_VALUE"""),"")</f>
        <v/>
      </c>
      <c r="CM5" s="26" t="str">
        <f ca="1">IFERROR(__xludf.DUMMYFUNCTION("""COMPUTED_VALUE"""),"")</f>
        <v/>
      </c>
      <c r="CN5" s="26" t="str">
        <f ca="1">IFERROR(__xludf.DUMMYFUNCTION("""COMPUTED_VALUE"""),"")</f>
        <v/>
      </c>
      <c r="CO5" s="26" t="str">
        <f ca="1">IFERROR(__xludf.DUMMYFUNCTION("""COMPUTED_VALUE"""),"")</f>
        <v/>
      </c>
      <c r="CP5" s="26" t="str">
        <f ca="1">IFERROR(__xludf.DUMMYFUNCTION("""COMPUTED_VALUE"""),"")</f>
        <v/>
      </c>
      <c r="CQ5" s="26" t="str">
        <f ca="1">IFERROR(__xludf.DUMMYFUNCTION("""COMPUTED_VALUE"""),"")</f>
        <v/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U6" s="6" t="s">
        <v>21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33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IFERROR(__xludf.DUMMYFUNCTION("""COMPUTED_VALUE"""),"PreferenceType")</f>
        <v>PreferenceType</v>
      </c>
      <c r="C5" s="25" t="str">
        <f ca="1">IFERROR(__xludf.DUMMYFUNCTION("""COMPUTED_VALUE"""),"PreferenceName")</f>
        <v>PreferenceName</v>
      </c>
      <c r="D5" s="25" t="str">
        <f ca="1">IFERROR(__xludf.DUMMYFUNCTION("""COMPUTED_VALUE"""),"PTTPrefNeeded")</f>
        <v>PTTPrefNeeded</v>
      </c>
      <c r="E5" s="25" t="str">
        <f ca="1">IFERROR(__xludf.DUMMYFUNCTION("""COMPUTED_VALUE"""),"IsForceAllocation")</f>
        <v>IsForceAllocation</v>
      </c>
      <c r="F5" s="25" t="str">
        <f ca="1">IFERROR(__xludf.DUMMYFUNCTION("""COMPUTED_VALUE"""),"AllocationMethod")</f>
        <v>AllocationMethod</v>
      </c>
      <c r="G5" s="25" t="str">
        <f ca="1">IFERROR(__xludf.DUMMYFUNCTION("""COMPUTED_VALUE"""),"RemainderAllocationTo")</f>
        <v>RemainderAllocationTo</v>
      </c>
      <c r="H5" s="25" t="str">
        <f ca="1">IFERROR(__xludf.DUMMYFUNCTION("""COMPUTED_VALUE"""),"Target%AsOf")</f>
        <v>Target%AsOf</v>
      </c>
      <c r="I5" s="25" t="str">
        <f ca="1">IFERROR(__xludf.DUMMYFUNCTION("""COMPUTED_VALUE"""),"AccountsForProrata")</f>
        <v>AccountsForProrata</v>
      </c>
      <c r="J5" s="25" t="str">
        <f ca="1">IFERROR(__xludf.DUMMYFUNCTION("""COMPUTED_VALUE"""),"DateUptoDays")</f>
        <v>DateUptoDays</v>
      </c>
      <c r="K5" s="25" t="str">
        <f ca="1">IFERROR(__xludf.DUMMYFUNCTION("""COMPUTED_VALUE"""),"MatchClosingTransactions")</f>
        <v>MatchClosingTransactions</v>
      </c>
      <c r="L5" s="25" t="str">
        <f ca="1">IFERROR(__xludf.DUMMYFUNCTION("""COMPUTED_VALUE"""),"")</f>
        <v/>
      </c>
      <c r="M5" s="25" t="str">
        <f ca="1">IFERROR(__xludf.DUMMYFUNCTION("""COMPUTED_VALUE"""),"")</f>
        <v/>
      </c>
      <c r="N5" s="25" t="str">
        <f ca="1">IFERROR(__xludf.DUMMYFUNCTION("""COMPUTED_VALUE"""),"")</f>
        <v/>
      </c>
      <c r="O5" s="25" t="str">
        <f ca="1">IFERROR(__xludf.DUMMYFUNCTION("""COMPUTED_VALUE"""),"")</f>
        <v/>
      </c>
      <c r="P5" s="25" t="str">
        <f ca="1">IFERROR(__xludf.DUMMYFUNCTION("""COMPUTED_VALUE"""),"")</f>
        <v/>
      </c>
      <c r="Q5" s="25" t="str">
        <f ca="1">IFERROR(__xludf.DUMMYFUNCTION("""COMPUTED_VALUE"""),"")</f>
        <v/>
      </c>
      <c r="R5" s="25" t="str">
        <f ca="1">IFERROR(__xludf.DUMMYFUNCTION("""COMPUTED_VALUE"""),"")</f>
        <v/>
      </c>
      <c r="S5" s="25" t="str">
        <f ca="1">IFERROR(__xludf.DUMMYFUNCTION("""COMPUTED_VALUE"""),"")</f>
        <v/>
      </c>
      <c r="T5" s="26" t="str">
        <f ca="1">IFERROR(__xludf.DUMMYFUNCTION("""COMPUTED_VALUE"""),"")</f>
        <v/>
      </c>
      <c r="U5" s="26" t="str">
        <f ca="1">IFERROR(__xludf.DUMMYFUNCTION("""COMPUTED_VALUE"""),"")</f>
        <v/>
      </c>
      <c r="V5" s="26" t="str">
        <f ca="1">IFERROR(__xludf.DUMMYFUNCTION("""COMPUTED_VALUE"""),"")</f>
        <v/>
      </c>
      <c r="W5" s="26" t="str">
        <f ca="1">IFERROR(__xludf.DUMMYFUNCTION("""COMPUTED_VALUE"""),"")</f>
        <v/>
      </c>
      <c r="X5" s="26" t="str">
        <f ca="1">IFERROR(__xludf.DUMMYFUNCTION("""COMPUTED_VALUE"""),"")</f>
        <v/>
      </c>
      <c r="Y5" s="26" t="str">
        <f ca="1">IFERROR(__xludf.DUMMYFUNCTION("""COMPUTED_VALUE"""),"")</f>
        <v/>
      </c>
      <c r="Z5" s="26" t="str">
        <f ca="1">IFERROR(__xludf.DUMMYFUNCTION("""COMPUTED_VALUE"""),"")</f>
        <v/>
      </c>
      <c r="AA5" s="26" t="str">
        <f ca="1">IFERROR(__xludf.DUMMYFUNCTION("""COMPUTED_VALUE"""),"")</f>
        <v/>
      </c>
      <c r="AB5" s="26" t="str">
        <f ca="1">IFERROR(__xludf.DUMMYFUNCTION("""COMPUTED_VALUE"""),"")</f>
        <v/>
      </c>
      <c r="AC5" s="26" t="str">
        <f ca="1">IFERROR(__xludf.DUMMYFUNCTION("""COMPUTED_VALUE"""),"")</f>
        <v/>
      </c>
      <c r="AD5" s="26" t="str">
        <f ca="1">IFERROR(__xludf.DUMMYFUNCTION("""COMPUTED_VALUE"""),"")</f>
        <v/>
      </c>
      <c r="AE5" s="26" t="str">
        <f ca="1">IFERROR(__xludf.DUMMYFUNCTION("""COMPUTED_VALUE"""),"")</f>
        <v/>
      </c>
      <c r="AF5" s="26" t="str">
        <f ca="1">IFERROR(__xludf.DUMMYFUNCTION("""COMPUTED_VALUE"""),"")</f>
        <v/>
      </c>
      <c r="AG5" s="26" t="str">
        <f ca="1">IFERROR(__xludf.DUMMYFUNCTION("""COMPUTED_VALUE"""),"")</f>
        <v/>
      </c>
      <c r="AH5" s="26" t="str">
        <f ca="1">IFERROR(__xludf.DUMMYFUNCTION("""COMPUTED_VALUE"""),"")</f>
        <v/>
      </c>
      <c r="AI5" s="26" t="str">
        <f ca="1">IFERROR(__xludf.DUMMYFUNCTION("""COMPUTED_VALUE"""),"")</f>
        <v/>
      </c>
      <c r="AJ5" s="26" t="str">
        <f ca="1">IFERROR(__xludf.DUMMYFUNCTION("""COMPUTED_VALUE"""),"")</f>
        <v/>
      </c>
      <c r="AK5" s="26" t="str">
        <f ca="1">IFERROR(__xludf.DUMMYFUNCTION("""COMPUTED_VALUE"""),"")</f>
        <v/>
      </c>
      <c r="AL5" s="26" t="str">
        <f ca="1">IFERROR(__xludf.DUMMYFUNCTION("""COMPUTED_VALUE"""),"")</f>
        <v/>
      </c>
      <c r="AM5" s="26" t="str">
        <f ca="1">IFERROR(__xludf.DUMMYFUNCTION("""COMPUTED_VALUE"""),"")</f>
        <v/>
      </c>
      <c r="AN5" s="26" t="str">
        <f ca="1">IFERROR(__xludf.DUMMYFUNCTION("""COMPUTED_VALUE"""),"")</f>
        <v/>
      </c>
      <c r="AO5" s="26" t="str">
        <f ca="1">IFERROR(__xludf.DUMMYFUNCTION("""COMPUTED_VALUE"""),"")</f>
        <v/>
      </c>
      <c r="AP5" s="26" t="str">
        <f ca="1">IFERROR(__xludf.DUMMYFUNCTION("""COMPUTED_VALUE"""),"")</f>
        <v/>
      </c>
      <c r="AQ5" s="26" t="str">
        <f ca="1">IFERROR(__xludf.DUMMYFUNCTION("""COMPUTED_VALUE"""),"")</f>
        <v/>
      </c>
      <c r="AR5" s="26" t="str">
        <f ca="1">IFERROR(__xludf.DUMMYFUNCTION("""COMPUTED_VALUE"""),"")</f>
        <v/>
      </c>
      <c r="AS5" s="26" t="str">
        <f ca="1">IFERROR(__xludf.DUMMYFUNCTION("""COMPUTED_VALUE"""),"")</f>
        <v/>
      </c>
      <c r="AT5" s="26" t="str">
        <f ca="1">IFERROR(__xludf.DUMMYFUNCTION("""COMPUTED_VALUE"""),"")</f>
        <v/>
      </c>
      <c r="AU5" s="26" t="str">
        <f ca="1">IFERROR(__xludf.DUMMYFUNCTION("""COMPUTED_VALUE"""),"")</f>
        <v/>
      </c>
      <c r="AV5" s="26" t="str">
        <f ca="1">IFERROR(__xludf.DUMMYFUNCTION("""COMPUTED_VALUE"""),"")</f>
        <v/>
      </c>
      <c r="AW5" s="26" t="str">
        <f ca="1">IFERROR(__xludf.DUMMYFUNCTION("""COMPUTED_VALUE"""),"")</f>
        <v/>
      </c>
      <c r="AX5" s="26" t="str">
        <f ca="1">IFERROR(__xludf.DUMMYFUNCTION("""COMPUTED_VALUE"""),"")</f>
        <v/>
      </c>
      <c r="AY5" s="26" t="str">
        <f ca="1">IFERROR(__xludf.DUMMYFUNCTION("""COMPUTED_VALUE"""),"")</f>
        <v/>
      </c>
      <c r="AZ5" s="26" t="str">
        <f ca="1">IFERROR(__xludf.DUMMYFUNCTION("""COMPUTED_VALUE"""),"")</f>
        <v/>
      </c>
      <c r="BA5" s="26" t="str">
        <f ca="1">IFERROR(__xludf.DUMMYFUNCTION("""COMPUTED_VALUE"""),"")</f>
        <v/>
      </c>
      <c r="BB5" s="26" t="str">
        <f ca="1">IFERROR(__xludf.DUMMYFUNCTION("""COMPUTED_VALUE"""),"")</f>
        <v/>
      </c>
      <c r="BC5" s="26" t="str">
        <f ca="1">IFERROR(__xludf.DUMMYFUNCTION("""COMPUTED_VALUE"""),"")</f>
        <v/>
      </c>
      <c r="BD5" s="26" t="str">
        <f ca="1">IFERROR(__xludf.DUMMYFUNCTION("""COMPUTED_VALUE"""),"")</f>
        <v/>
      </c>
      <c r="BE5" s="26" t="str">
        <f ca="1">IFERROR(__xludf.DUMMYFUNCTION("""COMPUTED_VALUE"""),"")</f>
        <v/>
      </c>
      <c r="BF5" s="26" t="str">
        <f ca="1">IFERROR(__xludf.DUMMYFUNCTION("""COMPUTED_VALUE"""),"")</f>
        <v/>
      </c>
      <c r="BG5" s="26" t="str">
        <f ca="1">IFERROR(__xludf.DUMMYFUNCTION("""COMPUTED_VALUE"""),"")</f>
        <v/>
      </c>
      <c r="BH5" s="26" t="str">
        <f ca="1">IFERROR(__xludf.DUMMYFUNCTION("""COMPUTED_VALUE"""),"")</f>
        <v/>
      </c>
      <c r="BI5" s="26" t="str">
        <f ca="1">IFERROR(__xludf.DUMMYFUNCTION("""COMPUTED_VALUE"""),"")</f>
        <v/>
      </c>
      <c r="BJ5" s="26" t="str">
        <f ca="1">IFERROR(__xludf.DUMMYFUNCTION("""COMPUTED_VALUE"""),"")</f>
        <v/>
      </c>
      <c r="BK5" s="26" t="str">
        <f ca="1">IFERROR(__xludf.DUMMYFUNCTION("""COMPUTED_VALUE"""),"")</f>
        <v/>
      </c>
      <c r="BL5" s="26" t="str">
        <f ca="1">IFERROR(__xludf.DUMMYFUNCTION("""COMPUTED_VALUE"""),"")</f>
        <v/>
      </c>
      <c r="BM5" s="26" t="str">
        <f ca="1">IFERROR(__xludf.DUMMYFUNCTION("""COMPUTED_VALUE"""),"")</f>
        <v/>
      </c>
      <c r="BN5" s="26" t="str">
        <f ca="1">IFERROR(__xludf.DUMMYFUNCTION("""COMPUTED_VALUE"""),"")</f>
        <v/>
      </c>
      <c r="BO5" s="26" t="str">
        <f ca="1">IFERROR(__xludf.DUMMYFUNCTION("""COMPUTED_VALUE"""),"")</f>
        <v/>
      </c>
      <c r="BP5" s="26" t="str">
        <f ca="1">IFERROR(__xludf.DUMMYFUNCTION("""COMPUTED_VALUE"""),"")</f>
        <v/>
      </c>
      <c r="BQ5" s="26" t="str">
        <f ca="1">IFERROR(__xludf.DUMMYFUNCTION("""COMPUTED_VALUE"""),"")</f>
        <v/>
      </c>
      <c r="BR5" s="26" t="str">
        <f ca="1">IFERROR(__xludf.DUMMYFUNCTION("""COMPUTED_VALUE"""),"")</f>
        <v/>
      </c>
      <c r="BS5" s="26" t="str">
        <f ca="1">IFERROR(__xludf.DUMMYFUNCTION("""COMPUTED_VALUE"""),"")</f>
        <v/>
      </c>
      <c r="BT5" s="26" t="str">
        <f ca="1">IFERROR(__xludf.DUMMYFUNCTION("""COMPUTED_VALUE"""),"")</f>
        <v/>
      </c>
      <c r="BU5" s="26" t="str">
        <f ca="1">IFERROR(__xludf.DUMMYFUNCTION("""COMPUTED_VALUE"""),"")</f>
        <v/>
      </c>
      <c r="BV5" s="26" t="str">
        <f ca="1">IFERROR(__xludf.DUMMYFUNCTION("""COMPUTED_VALUE"""),"")</f>
        <v/>
      </c>
      <c r="BW5" s="26" t="str">
        <f ca="1">IFERROR(__xludf.DUMMYFUNCTION("""COMPUTED_VALUE"""),"")</f>
        <v/>
      </c>
      <c r="BX5" s="26" t="str">
        <f ca="1">IFERROR(__xludf.DUMMYFUNCTION("""COMPUTED_VALUE"""),"")</f>
        <v/>
      </c>
      <c r="BY5" s="26" t="str">
        <f ca="1">IFERROR(__xludf.DUMMYFUNCTION("""COMPUTED_VALUE"""),"")</f>
        <v/>
      </c>
      <c r="BZ5" s="26" t="str">
        <f ca="1">IFERROR(__xludf.DUMMYFUNCTION("""COMPUTED_VALUE"""),"")</f>
        <v/>
      </c>
      <c r="CA5" s="26" t="str">
        <f ca="1">IFERROR(__xludf.DUMMYFUNCTION("""COMPUTED_VALUE"""),"")</f>
        <v/>
      </c>
      <c r="CB5" s="26" t="str">
        <f ca="1">IFERROR(__xludf.DUMMYFUNCTION("""COMPUTED_VALUE"""),"")</f>
        <v/>
      </c>
      <c r="CC5" s="26" t="str">
        <f ca="1">IFERROR(__xludf.DUMMYFUNCTION("""COMPUTED_VALUE"""),"")</f>
        <v/>
      </c>
      <c r="CD5" s="26" t="str">
        <f ca="1">IFERROR(__xludf.DUMMYFUNCTION("""COMPUTED_VALUE"""),"")</f>
        <v/>
      </c>
      <c r="CE5" s="26" t="str">
        <f ca="1">IFERROR(__xludf.DUMMYFUNCTION("""COMPUTED_VALUE"""),"")</f>
        <v/>
      </c>
      <c r="CF5" s="26" t="str">
        <f ca="1">IFERROR(__xludf.DUMMYFUNCTION("""COMPUTED_VALUE"""),"")</f>
        <v/>
      </c>
      <c r="CG5" s="26" t="str">
        <f ca="1">IFERROR(__xludf.DUMMYFUNCTION("""COMPUTED_VALUE"""),"")</f>
        <v/>
      </c>
      <c r="CH5" s="26" t="str">
        <f ca="1">IFERROR(__xludf.DUMMYFUNCTION("""COMPUTED_VALUE"""),"")</f>
        <v/>
      </c>
      <c r="CI5" s="26" t="str">
        <f ca="1">IFERROR(__xludf.DUMMYFUNCTION("""COMPUTED_VALUE"""),"")</f>
        <v/>
      </c>
      <c r="CJ5" s="26" t="str">
        <f ca="1">IFERROR(__xludf.DUMMYFUNCTION("""COMPUTED_VALUE"""),"")</f>
        <v/>
      </c>
      <c r="CK5" s="26" t="str">
        <f ca="1">IFERROR(__xludf.DUMMYFUNCTION("""COMPUTED_VALUE"""),"")</f>
        <v/>
      </c>
      <c r="CL5" s="26" t="str">
        <f ca="1">IFERROR(__xludf.DUMMYFUNCTION("""COMPUTED_VALUE"""),"")</f>
        <v/>
      </c>
      <c r="CM5" s="26" t="str">
        <f ca="1">IFERROR(__xludf.DUMMYFUNCTION("""COMPUTED_VALUE"""),"")</f>
        <v/>
      </c>
      <c r="CN5" s="26" t="str">
        <f ca="1">IFERROR(__xludf.DUMMYFUNCTION("""COMPUTED_VALUE"""),"")</f>
        <v/>
      </c>
      <c r="CO5" s="26" t="str">
        <f ca="1">IFERROR(__xludf.DUMMYFUNCTION("""COMPUTED_VALUE"""),"")</f>
        <v/>
      </c>
      <c r="CP5" s="26" t="str">
        <f ca="1">IFERROR(__xludf.DUMMYFUNCTION("""COMPUTED_VALUE"""),"")</f>
        <v/>
      </c>
      <c r="CQ5" s="26" t="str">
        <f ca="1">IFERROR(__xludf.DUMMYFUNCTION("""COMPUTED_VALUE"""),"")</f>
        <v/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34</v>
      </c>
      <c r="D6" s="6" t="b">
        <v>0</v>
      </c>
      <c r="F6" s="6"/>
      <c r="G6" s="6"/>
      <c r="H6" s="6" t="s">
        <v>35</v>
      </c>
      <c r="I6" s="6" t="s">
        <v>23</v>
      </c>
      <c r="J6" s="27">
        <f ca="1">TODAY()</f>
        <v>44412</v>
      </c>
    </row>
    <row r="7" spans="1:153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73" width="14.42578125" customWidth="1"/>
    <col min="74" max="74" width="17.5703125" customWidth="1"/>
    <col min="75" max="75" width="22.5703125" customWidth="1"/>
    <col min="76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30</v>
      </c>
      <c r="D3" s="2" t="s">
        <v>9</v>
      </c>
      <c r="E3" s="19" t="s">
        <v>36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tr">
        <f ca="1">IFERROR(__xludf.DUMMYFUNCTION("""COMPUTED_VALUE"""),"CheckAllocatedGroups")</f>
        <v>CheckAllocatedGroups</v>
      </c>
      <c r="D4" s="22" t="str">
        <f ca="1">IFERROR(__xludf.DUMMYFUNCTION("""COMPUTED_VALUE"""),"Unallocate")</f>
        <v>Unallocate</v>
      </c>
      <c r="E4" s="22" t="str">
        <f ca="1">IFERROR(__xludf.DUMMYFUNCTION("""COMPUTED_VALUE"""),"GetDataAllocation")</f>
        <v>GetDataAllocation</v>
      </c>
      <c r="F4" s="22" t="str">
        <f ca="1">IFERROR(__xludf.DUMMYFUNCTION("""COMPUTED_VALUE"""),"SelectAllocatedGroup")</f>
        <v>SelectAllocatedGroup</v>
      </c>
      <c r="G4" s="22" t="str">
        <f ca="1">IFERROR(__xludf.DUMMYFUNCTION("""COMPUTED_VALUE"""),"EditTradesAllocated")</f>
        <v>EditTradesAllocated</v>
      </c>
      <c r="H4" s="22" t="str">
        <f ca="1">IFERROR(__xludf.DUMMYFUNCTION("""COMPUTED_VALUE"""),"EditTradesUnallocated")</f>
        <v>EditTradesUnallocated</v>
      </c>
      <c r="I4" s="22" t="str">
        <f ca="1">IFERROR(__xludf.DUMMYFUNCTION("""COMPUTED_VALUE"""),"Reallocate")</f>
        <v>Reallocate</v>
      </c>
      <c r="J4" s="22" t="str">
        <f ca="1">IFERROR(__xludf.DUMMYFUNCTION("""COMPUTED_VALUE"""),"EditUnallocatedGroupSidePanel")</f>
        <v>EditUnallocatedGroupSidePanel</v>
      </c>
      <c r="K4" s="22" t="str">
        <f ca="1">IFERROR(__xludf.DUMMYFUNCTION("""COMPUTED_VALUE"""),"TradeAttributeBulkChange")</f>
        <v>TradeAttributeBulkChange</v>
      </c>
      <c r="L4" s="22" t="str">
        <f ca="1">IFERROR(__xludf.DUMMYFUNCTION("""COMPUTED_VALUE"""),"ApplyBulkUpdateOnGroups")</f>
        <v>ApplyBulkUpdateOnGroups</v>
      </c>
      <c r="M4" s="22" t="str">
        <f ca="1">IFERROR(__xludf.DUMMYFUNCTION("""COMPUTED_VALUE"""),"ApplyPrefetchFilters")</f>
        <v>ApplyPrefetchFilters</v>
      </c>
      <c r="N4" s="22" t="str">
        <f ca="1">IFERROR(__xludf.DUMMYFUNCTION("""COMPUTED_VALUE"""),"GeneralPreferencesDefaultRule")</f>
        <v>GeneralPreferencesDefaultRule</v>
      </c>
      <c r="O4" s="22" t="str">
        <f ca="1">IFERROR(__xludf.DUMMYFUNCTION("""COMPUTED_VALUE"""),"GeneralPrefCompanyUserWise")</f>
        <v>GeneralPrefCompanyUserWise</v>
      </c>
      <c r="P4" s="23" t="str">
        <f ca="1">IFERROR(__xludf.DUMMYFUNCTION("""COMPUTED_VALUE"""),"RenameTradeAttributes")</f>
        <v>RenameTradeAttributes</v>
      </c>
      <c r="Q4" s="23" t="str">
        <f ca="1">IFERROR(__xludf.DUMMYFUNCTION("""COMPUTED_VALUE"""),"SetGroupingRules")</f>
        <v>SetGroupingRules</v>
      </c>
      <c r="R4" s="23" t="str">
        <f ca="1">IFERROR(__xludf.DUMMYFUNCTION("""COMPUTED_VALUE"""),"SetMasterFundRatio")</f>
        <v>SetMasterFundRatio</v>
      </c>
      <c r="S4" s="23" t="str">
        <f ca="1">IFERROR(__xludf.DUMMYFUNCTION("""COMPUTED_VALUE"""),"CheckFixedPreference")</f>
        <v>CheckFixedPreference</v>
      </c>
      <c r="T4" s="23" t="str">
        <f ca="1">IFERROR(__xludf.DUMMYFUNCTION("""COMPUTED_VALUE"""),"GetFixedPreference")</f>
        <v>GetFixedPreference</v>
      </c>
      <c r="U4" s="23" t="str">
        <f ca="1">IFERROR(__xludf.DUMMYFUNCTION("""COMPUTED_VALUE"""),"AddCalculatedPreferences")</f>
        <v>AddCalculatedPreferences</v>
      </c>
      <c r="V4" s="23" t="str">
        <f ca="1">IFERROR(__xludf.DUMMYFUNCTION("""COMPUTED_VALUE"""),"BulkChangeCalculatedPreferences")</f>
        <v>BulkChangeCalculatedPreferences</v>
      </c>
      <c r="W4" s="23" t="str">
        <f ca="1">IFERROR(__xludf.DUMMYFUNCTION("""COMPUTED_VALUE"""),"DeleteCalculatedPreferences")</f>
        <v>DeleteCalculatedPreferences</v>
      </c>
      <c r="X4" s="23" t="str">
        <f ca="1">IFERROR(__xludf.DUMMYFUNCTION("""COMPUTED_VALUE"""),"RenameCalculatedPreferences")</f>
        <v>RenameCalculatedPreferences</v>
      </c>
      <c r="Y4" s="23" t="str">
        <f ca="1">IFERROR(__xludf.DUMMYFUNCTION("""COMPUTED_VALUE"""),"CopyCalculatedPreferences")</f>
        <v>CopyCalculatedPreferences</v>
      </c>
      <c r="Z4" s="23" t="str">
        <f ca="1">IFERROR(__xludf.DUMMYFUNCTION("""COMPUTED_VALUE"""),"RunAutoGroup")</f>
        <v>RunAutoGroup</v>
      </c>
      <c r="AA4" s="23" t="str">
        <f ca="1">IFERROR(__xludf.DUMMYFUNCTION("""COMPUTED_VALUE"""),"BookOrUpdateSwap")</f>
        <v>BookOrUpdateSwap</v>
      </c>
      <c r="AB4" s="23" t="str">
        <f ca="1">IFERROR(__xludf.DUMMYFUNCTION("""COMPUTED_VALUE"""),"RunProrata")</f>
        <v>RunProrata</v>
      </c>
      <c r="AC4" s="23" t="str">
        <f ca="1">IFERROR(__xludf.DUMMYFUNCTION("""COMPUTED_VALUE"""),"SetDefaultRuleCalculatedPref")</f>
        <v>SetDefaultRuleCalculatedPref</v>
      </c>
      <c r="AD4" s="23" t="str">
        <f ca="1">IFERROR(__xludf.DUMMYFUNCTION("""COMPUTED_VALUE"""),"SetAccountValueCalculatedPref")</f>
        <v>SetAccountValueCalculatedPref</v>
      </c>
      <c r="AE4" s="23" t="str">
        <f ca="1">IFERROR(__xludf.DUMMYFUNCTION("""COMPUTED_VALUE"""),"TradeAttributeBulkChangeGroups")</f>
        <v>TradeAttributeBulkChangeGroups</v>
      </c>
      <c r="AF4" s="23" t="str">
        <f ca="1">IFERROR(__xludf.DUMMYFUNCTION("""COMPUTED_VALUE"""),"TradeAttributeBulkChangeTaxlots")</f>
        <v>TradeAttributeBulkChangeTaxlots</v>
      </c>
      <c r="AG4" s="23" t="str">
        <f ca="1">IFERROR(__xludf.DUMMYFUNCTION("""COMPUTED_VALUE"""),"AddCalculatedPreferenceToolbar")</f>
        <v>AddCalculatedPreferenceToolbar</v>
      </c>
      <c r="AH4" s="23" t="str">
        <f ca="1">IFERROR(__xludf.DUMMYFUNCTION("""COMPUTED_VALUE"""),"SetStrategyValueCalculatedPref")</f>
        <v>SetStrategyValueCalculatedPref</v>
      </c>
      <c r="AI4" s="23" t="str">
        <f ca="1">IFERROR(__xludf.DUMMYFUNCTION("""COMPUTED_VALUE"""),"ApplyBulkUpdateOnTaxlots")</f>
        <v>ApplyBulkUpdateOnTaxlots</v>
      </c>
      <c r="AJ4" s="23" t="str">
        <f ca="1">IFERROR(__xludf.DUMMYFUNCTION("""COMPUTED_VALUE"""),"CommissionBulkChangeOnGroups")</f>
        <v>CommissionBulkChangeOnGroups</v>
      </c>
      <c r="AK4" s="23" t="str">
        <f ca="1">IFERROR(__xludf.DUMMYFUNCTION("""COMPUTED_VALUE"""),"CommissionBulkChangeOnTaxlots")</f>
        <v>CommissionBulkChangeOnTaxlots</v>
      </c>
      <c r="AL4" s="23" t="str">
        <f ca="1">IFERROR(__xludf.DUMMYFUNCTION("""COMPUTED_VALUE"""),"SelectUnallocatedGroup")</f>
        <v>SelectUnallocatedGroup</v>
      </c>
      <c r="AM4" s="23" t="str">
        <f ca="1">IFERROR(__xludf.DUMMYFUNCTION("""COMPUTED_VALUE"""),"EnterAccountValuesToAllocate")</f>
        <v>EnterAccountValuesToAllocate</v>
      </c>
      <c r="AN4" s="23" t="str">
        <f ca="1">IFERROR(__xludf.DUMMYFUNCTION("""COMPUTED_VALUE"""),"EnterAllocatePreference")</f>
        <v>EnterAllocatePreference</v>
      </c>
      <c r="AO4" s="23" t="str">
        <f ca="1">IFERROR(__xludf.DUMMYFUNCTION("""COMPUTED_VALUE"""),"EnterStrategyValuesToAllocate")</f>
        <v>EnterStrategyValuesToAllocate</v>
      </c>
      <c r="AP4" s="23" t="str">
        <f ca="1">IFERROR(__xludf.DUMMYFUNCTION("""COMPUTED_VALUE"""),"CopyCalculatedPreferenceToolbar")</f>
        <v>CopyCalculatedPreferenceToolbar</v>
      </c>
      <c r="AQ4" s="23" t="str">
        <f ca="1">IFERROR(__xludf.DUMMYFUNCTION("""COMPUTED_VALUE"""),"SetGeneralRuleCalculatedPref")</f>
        <v>SetGeneralRuleCalculatedPref</v>
      </c>
      <c r="AR4" s="23" t="str">
        <f ca="1">IFERROR(__xludf.DUMMYFUNCTION("""COMPUTED_VALUE"""),"ExportAllCalculatedPreferences")</f>
        <v>ExportAllCalculatedPreferences</v>
      </c>
      <c r="AS4" s="23" t="str">
        <f ca="1">IFERROR(__xludf.DUMMYFUNCTION("""COMPUTED_VALUE"""),"SaveCalculatedPreferences")</f>
        <v>SaveCalculatedPreferences</v>
      </c>
      <c r="AT4" s="23" t="str">
        <f ca="1">IFERROR(__xludf.DUMMYFUNCTION("""COMPUTED_VALUE"""),"CloseCalculatedPreferences")</f>
        <v>CloseCalculatedPreferences</v>
      </c>
      <c r="AU4" s="23" t="str">
        <f ca="1">IFERROR(__xludf.DUMMYFUNCTION("""COMPUTED_VALUE"""),"ExportCalculatedPreference")</f>
        <v>ExportCalculatedPreference</v>
      </c>
      <c r="AV4" s="23" t="str">
        <f ca="1">IFERROR(__xludf.DUMMYFUNCTION("""COMPUTED_VALUE"""),"ImportCalculatedPreferences")</f>
        <v>ImportCalculatedPreferences</v>
      </c>
      <c r="AW4" s="23" t="str">
        <f ca="1">IFERROR(__xludf.DUMMYFUNCTION("""COMPUTED_VALUE"""),"OpenAuditTrailUnallocatedGroup")</f>
        <v>OpenAuditTrailUnallocatedGroup</v>
      </c>
      <c r="AX4" s="23" t="str">
        <f ca="1">IFERROR(__xludf.DUMMYFUNCTION("""COMPUTED_VALUE"""),"DeleteCalculatedPreferencesTool")</f>
        <v>DeleteCalculatedPreferencesTool</v>
      </c>
      <c r="AY4" s="23" t="str">
        <f ca="1">IFERROR(__xludf.DUMMYFUNCTION("""COMPUTED_VALUE"""),"ImportCalculatedPreferencesTool")</f>
        <v>ImportCalculatedPreferencesTool</v>
      </c>
      <c r="AZ4" s="23" t="str">
        <f ca="1">IFERROR(__xludf.DUMMYFUNCTION("""COMPUTED_VALUE"""),"ExportAllCalculatedPreferTool")</f>
        <v>ExportAllCalculatedPreferTool</v>
      </c>
      <c r="BA4" s="23" t="str">
        <f ca="1">IFERROR(__xludf.DUMMYFUNCTION("""COMPUTED_VALUE"""),"OpenAuditTrailAllocatedGroup")</f>
        <v>OpenAuditTrailAllocatedGroup</v>
      </c>
      <c r="BB4" s="23" t="str">
        <f ca="1">IFERROR(__xludf.DUMMYFUNCTION("""COMPUTED_VALUE"""),"OpenSymbolLookupUnallocateGroup")</f>
        <v>OpenSymbolLookupUnallocateGroup</v>
      </c>
      <c r="BC4" s="23" t="str">
        <f ca="1">IFERROR(__xludf.DUMMYFUNCTION("""COMPUTED_VALUE"""),"OpenSymbolLookupAllocatedGroup")</f>
        <v>OpenSymbolLookupAllocatedGroup</v>
      </c>
      <c r="BD4" s="23" t="str">
        <f ca="1">IFERROR(__xludf.DUMMYFUNCTION("""COMPUTED_VALUE"""),"DeleteFixedPreference")</f>
        <v>DeleteFixedPreference</v>
      </c>
      <c r="BE4" s="23" t="str">
        <f ca="1">IFERROR(__xludf.DUMMYFUNCTION("""COMPUTED_VALUE"""),"EditAllocatedGroupSidePanel")</f>
        <v>EditAllocatedGroupSidePanel</v>
      </c>
      <c r="BF4" s="23" t="str">
        <f ca="1">IFERROR(__xludf.DUMMYFUNCTION("""COMPUTED_VALUE"""),"CheckUnallocatedGroups")</f>
        <v>CheckUnallocatedGroups</v>
      </c>
      <c r="BG4" s="23" t="str">
        <f ca="1">IFERROR(__xludf.DUMMYFUNCTION("""COMPUTED_VALUE"""),"SetGeneralPreferences")</f>
        <v>SetGeneralPreferences</v>
      </c>
      <c r="BH4" s="23" t="str">
        <f ca="1">IFERROR(__xludf.DUMMYFUNCTION("""COMPUTED_VALUE"""),"GroupTrades")</f>
        <v>GroupTrades</v>
      </c>
      <c r="BI4" s="23" t="str">
        <f ca="1">IFERROR(__xludf.DUMMYFUNCTION("""COMPUTED_VALUE"""),"UngroupTrades")</f>
        <v>UngroupTrades</v>
      </c>
      <c r="BJ4" s="23" t="str">
        <f ca="1">IFERROR(__xludf.DUMMYFUNCTION("""COMPUTED_VALUE"""),"DeleteGroup")</f>
        <v>DeleteGroup</v>
      </c>
      <c r="BK4" s="23" t="str">
        <f ca="1">IFERROR(__xludf.DUMMYFUNCTION("""COMPUTED_VALUE"""),"CloseOrder")</f>
        <v>CloseOrder</v>
      </c>
      <c r="BL4" s="23" t="str">
        <f ca="1">IFERROR(__xludf.DUMMYFUNCTION("""COMPUTED_VALUE"""),"Unallocate")</f>
        <v>Unallocate</v>
      </c>
      <c r="BM4" s="23" t="str">
        <f ca="1">IFERROR(__xludf.DUMMYFUNCTION("""COMPUTED_VALUE"""),"CloseAllocation")</f>
        <v>CloseAllocation</v>
      </c>
      <c r="BN4" s="23" t="str">
        <f ca="1">IFERROR(__xludf.DUMMYFUNCTION("""COMPUTED_VALUE"""),"UpdateGRAccountValue")</f>
        <v>UpdateGRAccountValue</v>
      </c>
      <c r="BO4" s="23" t="str">
        <f ca="1">IFERROR(__xludf.DUMMYFUNCTION("""COMPUTED_VALUE"""),"UpdateGRStrategyValue")</f>
        <v>UpdateGRStrategyValue</v>
      </c>
      <c r="BP4" s="23" t="str">
        <f ca="1">IFERROR(__xludf.DUMMYFUNCTION("""COMPUTED_VALUE"""),"UpdateGRDefaultRule")</f>
        <v>UpdateGRDefaultRule</v>
      </c>
      <c r="BQ4" s="23" t="str">
        <f ca="1">IFERROR(__xludf.DUMMYFUNCTION("""COMPUTED_VALUE"""),"UpdateGeneralRulePref")</f>
        <v>UpdateGeneralRulePref</v>
      </c>
      <c r="BR4" s="23" t="str">
        <f ca="1">IFERROR(__xludf.DUMMYFUNCTION("""COMPUTED_VALUE"""),"ModifyGRPreferenceValues")</f>
        <v>ModifyGRPreferenceValues</v>
      </c>
      <c r="BS4" s="23" t="str">
        <f ca="1">IFERROR(__xludf.DUMMYFUNCTION("""COMPUTED_VALUE"""),"AddMFPreferences")</f>
        <v>AddMFPreferences</v>
      </c>
      <c r="BT4" s="23" t="str">
        <f ca="1">IFERROR(__xludf.DUMMYFUNCTION("""COMPUTED_VALUE"""),"AddMFPreferenceToolbar")</f>
        <v>AddMFPreferenceToolbar</v>
      </c>
      <c r="BU4" s="23" t="str">
        <f ca="1">IFERROR(__xludf.DUMMYFUNCTION("""COMPUTED_VALUE"""),"DeleteMFPreferences")</f>
        <v>DeleteMFPreferences</v>
      </c>
      <c r="BV4" s="23" t="str">
        <f ca="1">IFERROR(__xludf.DUMMYFUNCTION("""COMPUTED_VALUE"""),"DeleteMFPreferenceToolbar")</f>
        <v>DeleteMFPreferenceToolbar</v>
      </c>
      <c r="BW4" s="23" t="str">
        <f ca="1">IFERROR(__xludf.DUMMYFUNCTION("""COMPUTED_VALUE"""),"RenameMFPreferences")</f>
        <v>RenameMFPreferences</v>
      </c>
      <c r="BX4" s="23" t="str">
        <f ca="1">IFERROR(__xludf.DUMMYFUNCTION("""COMPUTED_VALUE"""),"SaveCloseMFPreference")</f>
        <v>SaveCloseMFPreference</v>
      </c>
      <c r="BY4" s="23" t="str">
        <f ca="1">IFERROR(__xludf.DUMMYFUNCTION("""COMPUTED_VALUE"""),"SetMFPrefAccountValues")</f>
        <v>SetMFPrefAccountValues</v>
      </c>
      <c r="BZ4" s="23" t="str">
        <f ca="1">IFERROR(__xludf.DUMMYFUNCTION("""COMPUTED_VALUE"""),"ModifyMFPrefGeneralRuleValues")</f>
        <v>ModifyMFPrefGeneralRuleValues</v>
      </c>
      <c r="CA4" s="23" t="str">
        <f ca="1">IFERROR(__xludf.DUMMYFUNCTION("""COMPUTED_VALUE"""),"SetMFPrefStrategyValues")</f>
        <v>SetMFPrefStrategyValues</v>
      </c>
      <c r="CB4" s="23" t="str">
        <f ca="1">IFERROR(__xludf.DUMMYFUNCTION("""COMPUTED_VALUE"""),"SetMFPrefGeneralRule")</f>
        <v>SetMFPrefGeneralRule</v>
      </c>
      <c r="CC4" s="23" t="str">
        <f ca="1">IFERROR(__xludf.DUMMYFUNCTION("""COMPUTED_VALUE"""),"SetMFPrefFundDistribution")</f>
        <v>SetMFPrefFundDistribution</v>
      </c>
      <c r="CD4" s="23" t="str">
        <f ca="1">IFERROR(__xludf.DUMMYFUNCTION("""COMPUTED_VALUE"""),"SetMFPreferencesDefaultRule")</f>
        <v>SetMFPreferencesDefaultRule</v>
      </c>
      <c r="CE4" s="23" t="str">
        <f ca="1">IFERROR(__xludf.DUMMYFUNCTION("""COMPUTED_VALUE"""),"SetMFPrefFundDefaultRule")</f>
        <v>SetMFPrefFundDefaultRule</v>
      </c>
      <c r="CF4" s="23" t="str">
        <f ca="1">IFERROR(__xludf.DUMMYFUNCTION("""COMPUTED_VALUE"""),"ClearPrefetchFilters")</f>
        <v>ClearPrefetchFilters</v>
      </c>
      <c r="CG4" s="23" t="str">
        <f ca="1">IFERROR(__xludf.DUMMYFUNCTION("""COMPUTED_VALUE"""),"ExpandCollapseAllUnallocated")</f>
        <v>ExpandCollapseAllUnallocated</v>
      </c>
      <c r="CH4" s="23" t="str">
        <f ca="1">IFERROR(__xludf.DUMMYFUNCTION("""COMPUTED_VALUE"""),"ExpandCollapseAllAllocated")</f>
        <v>ExpandCollapseAllAllocated</v>
      </c>
      <c r="CI4" s="23" t="str">
        <f ca="1">IFERROR(__xludf.DUMMYFUNCTION("""COMPUTED_VALUE"""),"GenerateCashTransaction")</f>
        <v>GenerateCashTransaction</v>
      </c>
      <c r="CJ4" s="23" t="str">
        <f ca="1">IFERROR(__xludf.DUMMYFUNCTION("""COMPUTED_VALUE"""),"SaveAllocation")</f>
        <v>SaveAllocation</v>
      </c>
      <c r="CK4" s="23" t="str">
        <f ca="1">IFERROR(__xludf.DUMMYFUNCTION("""COMPUTED_VALUE"""),"UnallocateWithOutSave")</f>
        <v>UnallocateWithOutSave</v>
      </c>
      <c r="CL4" s="23" t="str">
        <f ca="1">IFERROR(__xludf.DUMMYFUNCTION("""COMPUTED_VALUE"""),"EditUnallocatedGrid")</f>
        <v>EditUnallocatedGrid</v>
      </c>
      <c r="CM4" s="23" t="str">
        <f ca="1">IFERROR(__xludf.DUMMYFUNCTION("""COMPUTED_VALUE"""),"EditAllocatedGrid")</f>
        <v>EditAllocatedGrid</v>
      </c>
      <c r="CN4" s="23" t="str">
        <f ca="1">IFERROR(__xludf.DUMMYFUNCTION("""COMPUTED_VALUE"""),"SaveLayoutAllocatedGrid")</f>
        <v>SaveLayoutAllocatedGrid</v>
      </c>
      <c r="CO4" s="23" t="str">
        <f ca="1">IFERROR(__xludf.DUMMYFUNCTION("""COMPUTED_VALUE"""),"SaveLayoutUnallocatedGrid")</f>
        <v>SaveLayoutUnallocatedGrid</v>
      </c>
      <c r="CP4" s="23" t="str">
        <f ca="1">IFERROR(__xludf.DUMMYFUNCTION("""COMPUTED_VALUE"""),"SaveLayoutAllocationUI")</f>
        <v>SaveLayoutAllocationUI</v>
      </c>
      <c r="CQ4" s="23" t="str">
        <f ca="1">IFERROR(__xludf.DUMMYFUNCTION("""COMPUTED_VALUE"""),"ClearFiltersAllocatedGrid")</f>
        <v>ClearFiltersAllocatedGrid</v>
      </c>
      <c r="CR4" s="23" t="str">
        <f ca="1">IFERROR(__xludf.DUMMYFUNCTION("""COMPUTED_VALUE"""),"ClearFiltersUnallocatedGrid")</f>
        <v>ClearFiltersUnallocatedGrid</v>
      </c>
      <c r="CS4" s="23" t="str">
        <f ca="1">IFERROR(__xludf.DUMMYFUNCTION("""COMPUTED_VALUE"""),"VerifyLayoutAllocatedGrid")</f>
        <v>VerifyLayoutAllocatedGrid</v>
      </c>
      <c r="CT4" s="23" t="str">
        <f ca="1">IFERROR(__xludf.DUMMYFUNCTION("""COMPUTED_VALUE"""),"VerifyLayoutUnallocatedGrid")</f>
        <v>VerifyLayoutUnallocatedGrid</v>
      </c>
      <c r="CU4" s="23" t="str">
        <f ca="1">IFERROR(__xludf.DUMMYFUNCTION("""COMPUTED_VALUE"""),"CleanUp")</f>
        <v>CleanUp</v>
      </c>
      <c r="CV4" s="23" t="str">
        <f ca="1">IFERROR(__xludf.DUMMYFUNCTION("""COMPUTED_VALUE"""),"CheckAllocatedTaxlots")</f>
        <v>CheckAllocatedTaxlots</v>
      </c>
      <c r="CW4" s="23" t="str">
        <f ca="1">IFERROR(__xludf.DUMMYFUNCTION("""COMPUTED_VALUE"""),"CopyCalculatedPreferenceToolbar")</f>
        <v>CopyCalculatedPreferenceToolbar</v>
      </c>
      <c r="CX4" s="23" t="str">
        <f ca="1">IFERROR(__xludf.DUMMYFUNCTION("""COMPUTED_VALUE"""),"CloseOrder")</f>
        <v>CloseOrder</v>
      </c>
      <c r="CY4" s="23" t="str">
        <f ca="1">IFERROR(__xludf.DUMMYFUNCTION("""COMPUTED_VALUE"""),"DisableChecksideForAsset")</f>
        <v>DisableChecksideForAsset</v>
      </c>
      <c r="CZ4" s="23" t="str">
        <f ca="1">IFERROR(__xludf.DUMMYFUNCTION("""COMPUTED_VALUE"""),"DisableChecksideForAccount")</f>
        <v>DisableChecksideForAccount</v>
      </c>
      <c r="DA4" s="23" t="str">
        <f ca="1">IFERROR(__xludf.DUMMYFUNCTION("""COMPUTED_VALUE"""),"DisableChecksideForCounterParty")</f>
        <v>DisableChecksideForCounterParty</v>
      </c>
      <c r="DB4" s="23" t="str">
        <f ca="1">IFERROR(__xludf.DUMMYFUNCTION("""COMPUTED_VALUE"""),"DisableCheckside")</f>
        <v>DisableCheckside</v>
      </c>
      <c r="DC4" s="23" t="str">
        <f ca="1">IFERROR(__xludf.DUMMYFUNCTION("""COMPUTED_VALUE"""),"ApplyMasterFundFilter")</f>
        <v>ApplyMasterFundFilter</v>
      </c>
      <c r="DD4" s="23" t="str">
        <f ca="1">IFERROR(__xludf.DUMMYFUNCTION("""COMPUTED_VALUE"""),"ShowMasterFundOnTT")</f>
        <v>ShowMasterFundOnTT</v>
      </c>
      <c r="DE4" s="23" t="str">
        <f ca="1">IFERROR(__xludf.DUMMYFUNCTION("""COMPUTED_VALUE"""),"ShowMasterFundAsClient")</f>
        <v>ShowMasterFundAsClient</v>
      </c>
      <c r="DF4" s="23" t="str">
        <f ca="1">IFERROR(__xludf.DUMMYFUNCTION("""COMPUTED_VALUE"""),"SetBrokerAccountMapping")</f>
        <v>SetBrokerAccountMapping</v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IFERROR(__xludf.DUMMYFUNCTION("""COMPUTED_VALUE"""),"Account Name")</f>
        <v>Account Name</v>
      </c>
      <c r="C5" s="25" t="str">
        <f ca="1">IFERROR(__xludf.DUMMYFUNCTION("""COMPUTED_VALUE"""),"Accrual Basis")</f>
        <v>Accrual Basis</v>
      </c>
      <c r="D5" s="25" t="str">
        <f ca="1">IFERROR(__xludf.DUMMYFUNCTION("""COMPUTED_VALUE"""),"Accrued Interest")</f>
        <v>Accrued Interest</v>
      </c>
      <c r="E5" s="25" t="str">
        <f ca="1">IFERROR(__xludf.DUMMYFUNCTION("""COMPUTED_VALUE"""),"Allocated Qty")</f>
        <v>Allocated Qty</v>
      </c>
      <c r="F5" s="25" t="str">
        <f ca="1">IFERROR(__xludf.DUMMYFUNCTION("""COMPUTED_VALUE"""),"Allocation Scheme Name")</f>
        <v>Allocation Scheme Name</v>
      </c>
      <c r="G5" s="25" t="str">
        <f ca="1">IFERROR(__xludf.DUMMYFUNCTION("""COMPUTED_VALUE"""),"Asset Category")</f>
        <v>Asset Category</v>
      </c>
      <c r="H5" s="25" t="str">
        <f ca="1">IFERROR(__xludf.DUMMYFUNCTION("""COMPUTED_VALUE"""),"AUEC Fee1")</f>
        <v>AUEC Fee1</v>
      </c>
      <c r="I5" s="25" t="str">
        <f ca="1">IFERROR(__xludf.DUMMYFUNCTION("""COMPUTED_VALUE"""),"AUEC Fee2")</f>
        <v>AUEC Fee2</v>
      </c>
      <c r="J5" s="25" t="str">
        <f ca="1">IFERROR(__xludf.DUMMYFUNCTION("""COMPUTED_VALUE"""),"AUECID")</f>
        <v>AUECID</v>
      </c>
      <c r="K5" s="25" t="str">
        <f ca="1">IFERROR(__xludf.DUMMYFUNCTION("""COMPUTED_VALUE"""),"Avg Price(Base)")</f>
        <v>Avg Price(Base)</v>
      </c>
      <c r="L5" s="25" t="str">
        <f ca="1">IFERROR(__xludf.DUMMYFUNCTION("""COMPUTED_VALUE"""),"Avg Price(Local)")</f>
        <v>Avg Price(Local)</v>
      </c>
      <c r="M5" s="25" t="str">
        <f ca="1">IFERROR(__xludf.DUMMYFUNCTION("""COMPUTED_VALUE"""),"Bloomberg")</f>
        <v>Bloomberg</v>
      </c>
      <c r="N5" s="25" t="str">
        <f ca="1">IFERROR(__xludf.DUMMYFUNCTION("""COMPUTED_VALUE"""),"Bond Type")</f>
        <v>Bond Type</v>
      </c>
      <c r="O5" s="25" t="str">
        <f ca="1">IFERROR(__xludf.DUMMYFUNCTION("""COMPUTED_VALUE"""),"Broker")</f>
        <v>Broker</v>
      </c>
      <c r="P5" s="25" t="str">
        <f ca="1">IFERROR(__xludf.DUMMYFUNCTION("""COMPUTED_VALUE"""),"Change Comment")</f>
        <v>Change Comment</v>
      </c>
      <c r="Q5" s="25" t="str">
        <f ca="1">IFERROR(__xludf.DUMMYFUNCTION("""COMPUTED_VALUE"""),"Change Type")</f>
        <v>Change Type</v>
      </c>
      <c r="R5" s="25" t="str">
        <f ca="1">IFERROR(__xludf.DUMMYFUNCTION("""COMPUTED_VALUE"""),"Clearing Broker Fee")</f>
        <v>Clearing Broker Fee</v>
      </c>
      <c r="S5" s="25" t="str">
        <f ca="1">IFERROR(__xludf.DUMMYFUNCTION("""COMPUTED_VALUE"""),"Closing Status")</f>
        <v>Closing Status</v>
      </c>
      <c r="T5" s="26" t="str">
        <f ca="1">IFERROR(__xludf.DUMMYFUNCTION("""COMPUTED_VALUE"""),"Commission")</f>
        <v>Commission</v>
      </c>
      <c r="U5" s="26" t="str">
        <f ca="1">IFERROR(__xludf.DUMMYFUNCTION("""COMPUTED_VALUE"""),"Commission Per Share")</f>
        <v>Commission Per Share</v>
      </c>
      <c r="V5" s="26" t="str">
        <f ca="1">IFERROR(__xludf.DUMMYFUNCTION("""COMPUTED_VALUE"""),"Company")</f>
        <v>Company</v>
      </c>
      <c r="W5" s="26" t="str">
        <f ca="1">IFERROR(__xludf.DUMMYFUNCTION("""COMPUTED_VALUE"""),"Contract Multiplier")</f>
        <v>Contract Multiplier</v>
      </c>
      <c r="X5" s="26" t="str">
        <f ca="1">IFERROR(__xludf.DUMMYFUNCTION("""COMPUTED_VALUE"""),"Coupon Rate")</f>
        <v>Coupon Rate</v>
      </c>
      <c r="Y5" s="26" t="str">
        <f ca="1">IFERROR(__xludf.DUMMYFUNCTION("""COMPUTED_VALUE"""),"Cum Qty For Sub Order")</f>
        <v>Cum Qty For Sub Order</v>
      </c>
      <c r="Z5" s="26" t="str">
        <f ca="1">IFERROR(__xludf.DUMMYFUNCTION("""COMPUTED_VALUE"""),"Currency")</f>
        <v>Currency</v>
      </c>
      <c r="AA5" s="26" t="str">
        <f ca="1">IFERROR(__xludf.DUMMYFUNCTION("""COMPUTED_VALUE"""),"Cusip Symbol")</f>
        <v>Cusip Symbol</v>
      </c>
      <c r="AB5" s="26" t="str">
        <f ca="1">IFERROR(__xludf.DUMMYFUNCTION("""COMPUTED_VALUE"""),"Delta")</f>
        <v>Delta</v>
      </c>
      <c r="AC5" s="26" t="str">
        <f ca="1">IFERROR(__xludf.DUMMYFUNCTION("""COMPUTED_VALUE"""),"Description")</f>
        <v>Description</v>
      </c>
      <c r="AD5" s="26" t="str">
        <f ca="1">IFERROR(__xludf.DUMMYFUNCTION("""COMPUTED_VALUE"""),"Exchange")</f>
        <v>Exchange</v>
      </c>
      <c r="AE5" s="26" t="str">
        <f ca="1">IFERROR(__xludf.DUMMYFUNCTION("""COMPUTED_VALUE"""),"Executed Qty")</f>
        <v>Executed Qty</v>
      </c>
      <c r="AF5" s="26" t="str">
        <f ca="1">IFERROR(__xludf.DUMMYFUNCTION("""COMPUTED_VALUE"""),"Exceution Time")</f>
        <v>Exceution Time</v>
      </c>
      <c r="AG5" s="26" t="str">
        <f ca="1">IFERROR(__xludf.DUMMYFUNCTION("""COMPUTED_VALUE"""),"Expiration Date")</f>
        <v>Expiration Date</v>
      </c>
      <c r="AH5" s="26" t="str">
        <f ca="1">IFERROR(__xludf.DUMMYFUNCTION("""COMPUTED_VALUE"""),"FX Conversion Operator")</f>
        <v>FX Conversion Operator</v>
      </c>
      <c r="AI5" s="26" t="str">
        <f ca="1">IFERROR(__xludf.DUMMYFUNCTION("""COMPUTED_VALUE"""),"FX Rate")</f>
        <v>FX Rate</v>
      </c>
      <c r="AJ5" s="26" t="str">
        <f ca="1">IFERROR(__xludf.DUMMYFUNCTION("""COMPUTED_VALUE"""),"Group Status")</f>
        <v>Group Status</v>
      </c>
      <c r="AK5" s="26" t="str">
        <f ca="1">IFERROR(__xludf.DUMMYFUNCTION("""COMPUTED_VALUE"""),"IDCOSymbol")</f>
        <v>IDCOSymbol</v>
      </c>
      <c r="AL5" s="26" t="str">
        <f ca="1">IFERROR(__xludf.DUMMYFUNCTION("""COMPUTED_VALUE"""),"Import File Name")</f>
        <v>Import File Name</v>
      </c>
      <c r="AM5" s="26" t="str">
        <f ca="1">IFERROR(__xludf.DUMMYFUNCTION("""COMPUTED_VALUE"""),"Internal Comments")</f>
        <v>Internal Comments</v>
      </c>
      <c r="AN5" s="26" t="str">
        <f ca="1">IFERROR(__xludf.DUMMYFUNCTION("""COMPUTED_VALUE"""),"IsAnotherTaxlotAttributesUpdated")</f>
        <v>IsAnotherTaxlotAttributesUpdated</v>
      </c>
      <c r="AO5" s="26" t="str">
        <f ca="1">IFERROR(__xludf.DUMMYFUNCTION("""COMPUTED_VALUE"""),"ISIN")</f>
        <v>ISIN</v>
      </c>
      <c r="AP5" s="26" t="str">
        <f ca="1">IFERROR(__xludf.DUMMYFUNCTION("""COMPUTED_VALUE"""),"IsManualGroup")</f>
        <v>IsManualGroup</v>
      </c>
      <c r="AQ5" s="26" t="str">
        <f ca="1">IFERROR(__xludf.DUMMYFUNCTION("""COMPUTED_VALUE"""),"ISNDF")</f>
        <v>ISNDF</v>
      </c>
      <c r="AR5" s="26" t="str">
        <f ca="1">IFERROR(__xludf.DUMMYFUNCTION("""COMPUTED_VALUE"""),"IsPreAllocated")</f>
        <v>IsPreAllocated</v>
      </c>
      <c r="AS5" s="26" t="str">
        <f ca="1">IFERROR(__xludf.DUMMYFUNCTION("""COMPUTED_VALUE"""),"M2MProfitLoss")</f>
        <v>M2MProfitLoss</v>
      </c>
      <c r="AT5" s="26" t="str">
        <f ca="1">IFERROR(__xludf.DUMMYFUNCTION("""COMPUTED_VALUE"""),"Net Amount( Base)")</f>
        <v>Net Amount( Base)</v>
      </c>
      <c r="AU5" s="26" t="str">
        <f ca="1">IFERROR(__xludf.DUMMYFUNCTION("""COMPUTED_VALUE"""),"Net Amount( Local)")</f>
        <v>Net Amount( Local)</v>
      </c>
      <c r="AV5" s="26" t="str">
        <f ca="1">IFERROR(__xludf.DUMMYFUNCTION("""COMPUTED_VALUE"""),"Nirvana Process Date")</f>
        <v>Nirvana Process Date</v>
      </c>
      <c r="AW5" s="26" t="str">
        <f ca="1">IFERROR(__xludf.DUMMYFUNCTION("""COMPUTED_VALUE"""),"OCC Fee")</f>
        <v>OCC Fee</v>
      </c>
      <c r="AX5" s="26" t="str">
        <f ca="1">IFERROR(__xludf.DUMMYFUNCTION("""COMPUTED_VALUE"""),"Option Premium Adjustment")</f>
        <v>Option Premium Adjustment</v>
      </c>
      <c r="AY5" s="26" t="str">
        <f ca="1">IFERROR(__xludf.DUMMYFUNCTION("""COMPUTED_VALUE"""),"Order Type")</f>
        <v>Order Type</v>
      </c>
      <c r="AZ5" s="26" t="str">
        <f ca="1">IFERROR(__xludf.DUMMYFUNCTION("""COMPUTED_VALUE"""),"ORF Fee")</f>
        <v>ORF Fee</v>
      </c>
      <c r="BA5" s="26" t="str">
        <f ca="1">IFERROR(__xludf.DUMMYFUNCTION("""COMPUTED_VALUE"""),"Original Purchase Date")</f>
        <v>Original Purchase Date</v>
      </c>
      <c r="BB5" s="26" t="str">
        <f ca="1">IFERROR(__xludf.DUMMYFUNCTION("""COMPUTED_VALUE"""),"OSISSymbol")</f>
        <v>OSISSymbol</v>
      </c>
      <c r="BC5" s="26" t="str">
        <f ca="1">IFERROR(__xludf.DUMMYFUNCTION("""COMPUTED_VALUE"""),"Other Broker Fees")</f>
        <v>Other Broker Fees</v>
      </c>
      <c r="BD5" s="26" t="str">
        <f ca="1">IFERROR(__xludf.DUMMYFUNCTION("""COMPUTED_VALUE"""),"Prana Msg Type")</f>
        <v>Prana Msg Type</v>
      </c>
      <c r="BE5" s="26" t="str">
        <f ca="1">IFERROR(__xludf.DUMMYFUNCTION("""COMPUTED_VALUE"""),"Principal Amount( Base)")</f>
        <v>Principal Amount( Base)</v>
      </c>
      <c r="BF5" s="26" t="str">
        <f ca="1">IFERROR(__xludf.DUMMYFUNCTION("""COMPUTED_VALUE"""),"Principal Amount( Local)")</f>
        <v>Principal Amount( Local)</v>
      </c>
      <c r="BG5" s="26" t="str">
        <f ca="1">IFERROR(__xludf.DUMMYFUNCTION("""COMPUTED_VALUE"""),"Process Date")</f>
        <v>Process Date</v>
      </c>
      <c r="BH5" s="26" t="str">
        <f ca="1">IFERROR(__xludf.DUMMYFUNCTION("""COMPUTED_VALUE"""),"Proxy Symbol")</f>
        <v>Proxy Symbol</v>
      </c>
      <c r="BI5" s="26" t="str">
        <f ca="1">IFERROR(__xludf.DUMMYFUNCTION("""COMPUTED_VALUE"""),"Put Or Call")</f>
        <v>Put Or Call</v>
      </c>
      <c r="BJ5" s="26" t="str">
        <f ca="1">IFERROR(__xludf.DUMMYFUNCTION("""COMPUTED_VALUE"""),"Quantity")</f>
        <v>Quantity</v>
      </c>
      <c r="BK5" s="26" t="str">
        <f ca="1">IFERROR(__xludf.DUMMYFUNCTION("""COMPUTED_VALUE"""),"SEC Fee")</f>
        <v>SEC Fee</v>
      </c>
      <c r="BL5" s="26" t="str">
        <f ca="1">IFERROR(__xludf.DUMMYFUNCTION("""COMPUTED_VALUE"""),"Sedol Symbol")</f>
        <v>Sedol Symbol</v>
      </c>
      <c r="BM5" s="26" t="str">
        <f ca="1">IFERROR(__xludf.DUMMYFUNCTION("""COMPUTED_VALUE"""),"Settlement Currency")</f>
        <v>Settlement Currency</v>
      </c>
      <c r="BN5" s="26" t="str">
        <f ca="1">IFERROR(__xludf.DUMMYFUNCTION("""COMPUTED_VALUE"""),"Settlement Date")</f>
        <v>Settlement Date</v>
      </c>
      <c r="BO5" s="26" t="str">
        <f ca="1">IFERROR(__xludf.DUMMYFUNCTION("""COMPUTED_VALUE"""),"Side")</f>
        <v>Side</v>
      </c>
      <c r="BP5" s="26" t="str">
        <f ca="1">IFERROR(__xludf.DUMMYFUNCTION("""COMPUTED_VALUE"""),"Soft Commission")</f>
        <v>Soft Commission</v>
      </c>
      <c r="BQ5" s="26" t="str">
        <f ca="1">IFERROR(__xludf.DUMMYFUNCTION("""COMPUTED_VALUE"""),"Soft Commission Per Share")</f>
        <v>Soft Commission Per Share</v>
      </c>
      <c r="BR5" s="26" t="str">
        <f ca="1">IFERROR(__xludf.DUMMYFUNCTION("""COMPUTED_VALUE"""),"Stamp Duty")</f>
        <v>Stamp Duty</v>
      </c>
      <c r="BS5" s="26" t="str">
        <f ca="1">IFERROR(__xludf.DUMMYFUNCTION("""COMPUTED_VALUE"""),"Strategy Name")</f>
        <v>Strategy Name</v>
      </c>
      <c r="BT5" s="26" t="str">
        <f ca="1">IFERROR(__xludf.DUMMYFUNCTION("""COMPUTED_VALUE"""),"Symbol")</f>
        <v>Symbol</v>
      </c>
      <c r="BU5" s="26" t="str">
        <f ca="1">IFERROR(__xludf.DUMMYFUNCTION("""COMPUTED_VALUE"""),"Tax On Commissions")</f>
        <v>Tax On Commissions</v>
      </c>
      <c r="BV5" s="26" t="str">
        <f ca="1">IFERROR(__xludf.DUMMYFUNCTION("""COMPUTED_VALUE"""),"Total Commission")</f>
        <v>Total Commission</v>
      </c>
      <c r="BW5" s="26" t="str">
        <f ca="1">IFERROR(__xludf.DUMMYFUNCTION("""COMPUTED_VALUE"""),"Total Commission And Fee")</f>
        <v>Total Commission And Fee</v>
      </c>
      <c r="BX5" s="26" t="str">
        <f ca="1">IFERROR(__xludf.DUMMYFUNCTION("""COMPUTED_VALUE"""),"Total Commission Per Share")</f>
        <v>Total Commission Per Share</v>
      </c>
      <c r="BY5" s="26" t="str">
        <f ca="1">IFERROR(__xludf.DUMMYFUNCTION("""COMPUTED_VALUE"""),"Trade Attribute 1")</f>
        <v>Trade Attribute 1</v>
      </c>
      <c r="BZ5" s="26" t="str">
        <f ca="1">IFERROR(__xludf.DUMMYFUNCTION("""COMPUTED_VALUE"""),"Trade Attribute 2")</f>
        <v>Trade Attribute 2</v>
      </c>
      <c r="CA5" s="26" t="str">
        <f ca="1">IFERROR(__xludf.DUMMYFUNCTION("""COMPUTED_VALUE"""),"Trade Attribute 3")</f>
        <v>Trade Attribute 3</v>
      </c>
      <c r="CB5" s="26" t="str">
        <f ca="1">IFERROR(__xludf.DUMMYFUNCTION("""COMPUTED_VALUE"""),"Trade Attribute 4")</f>
        <v>Trade Attribute 4</v>
      </c>
      <c r="CC5" s="26" t="str">
        <f ca="1">IFERROR(__xludf.DUMMYFUNCTION("""COMPUTED_VALUE"""),"Trade Attribute 5")</f>
        <v>Trade Attribute 5</v>
      </c>
      <c r="CD5" s="26" t="str">
        <f ca="1">IFERROR(__xludf.DUMMYFUNCTION("""COMPUTED_VALUE"""),"Trade Attribute 6")</f>
        <v>Trade Attribute 6</v>
      </c>
      <c r="CE5" s="26" t="str">
        <f ca="1">IFERROR(__xludf.DUMMYFUNCTION("""COMPUTED_VALUE"""),"Trade Date")</f>
        <v>Trade Date</v>
      </c>
      <c r="CF5" s="26" t="str">
        <f ca="1">IFERROR(__xludf.DUMMYFUNCTION("""COMPUTED_VALUE"""),"Trading Account")</f>
        <v>Trading Account</v>
      </c>
      <c r="CG5" s="26" t="str">
        <f ca="1">IFERROR(__xludf.DUMMYFUNCTION("""COMPUTED_VALUE"""),"Transaction Levy")</f>
        <v>Transaction Levy</v>
      </c>
      <c r="CH5" s="26" t="str">
        <f ca="1">IFERROR(__xludf.DUMMYFUNCTION("""COMPUTED_VALUE"""),"Transaction Source")</f>
        <v>Transaction Source</v>
      </c>
      <c r="CI5" s="26" t="str">
        <f ca="1">IFERROR(__xludf.DUMMYFUNCTION("""COMPUTED_VALUE"""),"Transaction Type")</f>
        <v>Transaction Type</v>
      </c>
      <c r="CJ5" s="26" t="str">
        <f ca="1">IFERROR(__xludf.DUMMYFUNCTION("""COMPUTED_VALUE"""),"UnAllocatedQty")</f>
        <v>UnAllocatedQty</v>
      </c>
      <c r="CK5" s="26" t="str">
        <f ca="1">IFERROR(__xludf.DUMMYFUNCTION("""COMPUTED_VALUE"""),"Underlying")</f>
        <v>Underlying</v>
      </c>
      <c r="CL5" s="26" t="str">
        <f ca="1">IFERROR(__xludf.DUMMYFUNCTION("""COMPUTED_VALUE"""),"Underlying Delta")</f>
        <v>Underlying Delta</v>
      </c>
      <c r="CM5" s="26" t="str">
        <f ca="1">IFERROR(__xludf.DUMMYFUNCTION("""COMPUTED_VALUE"""),"Underlying Symbol")</f>
        <v>Underlying Symbol</v>
      </c>
      <c r="CN5" s="26" t="str">
        <f ca="1">IFERROR(__xludf.DUMMYFUNCTION("""COMPUTED_VALUE"""),"User")</f>
        <v>User</v>
      </c>
      <c r="CO5" s="26" t="str">
        <f ca="1">IFERROR(__xludf.DUMMYFUNCTION("""COMPUTED_VALUE"""),"Venue")</f>
        <v>Venue</v>
      </c>
      <c r="CP5" s="26" t="str">
        <f ca="1">IFERROR(__xludf.DUMMYFUNCTION("""COMPUTED_VALUE"""),"Closing Method")</f>
        <v>Closing Method</v>
      </c>
      <c r="CQ5" s="26" t="str">
        <f ca="1">IFERROR(__xludf.DUMMYFUNCTION("""COMPUTED_VALUE"""),"Closing Date")</f>
        <v>Closing Date</v>
      </c>
      <c r="CR5" s="26" t="str">
        <f ca="1">IFERROR(__xludf.DUMMYFUNCTION("""COMPUTED_VALUE"""),"GroupID")</f>
        <v>GroupID</v>
      </c>
      <c r="CS5" s="26" t="str">
        <f ca="1">IFERROR(__xludf.DUMMYFUNCTION("""COMPUTED_VALUE"""),"Client")</f>
        <v>Client</v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B6" s="6" t="s">
        <v>29</v>
      </c>
      <c r="O6" s="6" t="s">
        <v>21</v>
      </c>
      <c r="V6" s="6"/>
      <c r="W6" s="6"/>
      <c r="AE6" s="6">
        <v>100</v>
      </c>
      <c r="BJ6" s="6">
        <v>100</v>
      </c>
      <c r="BK6" s="6"/>
      <c r="BO6" s="6" t="s">
        <v>17</v>
      </c>
      <c r="BP6" s="6"/>
      <c r="BQ6" s="6"/>
      <c r="BT6" s="6" t="s">
        <v>16</v>
      </c>
    </row>
    <row r="7" spans="1:153" ht="15.75" customHeight="1">
      <c r="A7" s="5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3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28" t="s">
        <v>11</v>
      </c>
      <c r="C1" s="29"/>
      <c r="D1" s="29"/>
      <c r="E1" s="29"/>
      <c r="F1" s="29"/>
      <c r="G1" s="29"/>
      <c r="H1" s="30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7"/>
      <c r="L2" s="5"/>
      <c r="M2" s="5"/>
      <c r="N2" s="5"/>
      <c r="O2" s="5"/>
    </row>
    <row r="3" spans="1:153" ht="15.75" customHeight="1">
      <c r="A3" s="18"/>
      <c r="B3" s="2" t="s">
        <v>8</v>
      </c>
      <c r="C3" s="19" t="s">
        <v>25</v>
      </c>
      <c r="D3" s="2" t="s">
        <v>9</v>
      </c>
      <c r="E3" s="19" t="s">
        <v>44</v>
      </c>
      <c r="F3" s="2" t="s">
        <v>14</v>
      </c>
      <c r="G3" s="20" t="s">
        <v>15</v>
      </c>
      <c r="H3" s="2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IFERROR(__xludf.DUMMYFUNCTION("IF(C3="""","""",Transpose(IMPORTRANGE('_Settings'!$B$3,C3&amp;""!A4:A1000"")))"),"ReplaceFillsOnBlotter")</f>
        <v>ReplaceFillsOnBlotter</v>
      </c>
      <c r="C4" s="22" t="str">
        <f ca="1">IFERROR(__xludf.DUMMYFUNCTION("""COMPUTED_VALUE"""),"CheckBlotter")</f>
        <v>CheckBlotter</v>
      </c>
      <c r="D4" s="22" t="str">
        <f ca="1">IFERROR(__xludf.DUMMYFUNCTION("""COMPUTED_VALUE"""),"BlotterFunctionalities")</f>
        <v>BlotterFunctionalities</v>
      </c>
      <c r="E4" s="22" t="str">
        <f ca="1">IFERROR(__xludf.DUMMYFUNCTION("""COMPUTED_VALUE"""),"TransferToUserWorkingSubs")</f>
        <v>TransferToUserWorkingSubs</v>
      </c>
      <c r="F4" s="22" t="str">
        <f ca="1">IFERROR(__xludf.DUMMYFUNCTION("""COMPUTED_VALUE"""),"CancelWorkingSubs")</f>
        <v>CancelWorkingSubs</v>
      </c>
      <c r="G4" s="22" t="str">
        <f ca="1">IFERROR(__xludf.DUMMYFUNCTION("""COMPUTED_VALUE"""),"ReplaceWorkingSubs")</f>
        <v>ReplaceWorkingSubs</v>
      </c>
      <c r="H4" s="22" t="str">
        <f ca="1">IFERROR(__xludf.DUMMYFUNCTION("""COMPUTED_VALUE"""),"ViewAllocationDetailsWorkingSub")</f>
        <v>ViewAllocationDetailsWorkingSub</v>
      </c>
      <c r="I4" s="22" t="str">
        <f ca="1">IFERROR(__xludf.DUMMYFUNCTION("""COMPUTED_VALUE"""),"SelectTradeOnOrderGrid")</f>
        <v>SelectTradeOnOrderGrid</v>
      </c>
      <c r="J4" s="22" t="str">
        <f ca="1">IFERROR(__xludf.DUMMYFUNCTION("""COMPUTED_VALUE"""),"ShowDetailsForAlgoTradeSubOrder")</f>
        <v>ShowDetailsForAlgoTradeSubOrder</v>
      </c>
      <c r="K4" s="22" t="str">
        <f ca="1">IFERROR(__xludf.DUMMYFUNCTION("""COMPUTED_VALUE"""),"SelectTradeOrderBlotter")</f>
        <v>SelectTradeOrderBlotter</v>
      </c>
      <c r="L4" s="22" t="str">
        <f ca="1">IFERROR(__xludf.DUMMYFUNCTION("""COMPUTED_VALUE"""),"AddFillsWorkingSubs")</f>
        <v>AddFillsWorkingSubs</v>
      </c>
      <c r="M4" s="22" t="str">
        <f ca="1">IFERROR(__xludf.DUMMYFUNCTION("""COMPUTED_VALUE"""),"EditAddFillsDetails")</f>
        <v>EditAddFillsDetails</v>
      </c>
      <c r="N4" s="22" t="str">
        <f ca="1">IFERROR(__xludf.DUMMYFUNCTION("""COMPUTED_VALUE"""),"ShowDetailsForAlgoTradeWorkingSubs")</f>
        <v>ShowDetailsForAlgoTradeWorkingSubs</v>
      </c>
      <c r="O4" s="22" t="str">
        <f ca="1">IFERROR(__xludf.DUMMYFUNCTION("""COMPUTED_VALUE"""),"VerifyWorkingSubs")</f>
        <v>VerifyWorkingSubs</v>
      </c>
      <c r="P4" s="23" t="str">
        <f ca="1">IFERROR(__xludf.DUMMYFUNCTION("""COMPUTED_VALUE"""),"TransferToUserOrder")</f>
        <v>TransferToUserOrder</v>
      </c>
      <c r="Q4" s="23" t="str">
        <f ca="1">IFERROR(__xludf.DUMMYFUNCTION("""COMPUTED_VALUE"""),"EditOrder")</f>
        <v>EditOrder</v>
      </c>
      <c r="R4" s="23" t="str">
        <f ca="1">IFERROR(__xludf.DUMMYFUNCTION("""COMPUTED_VALUE"""),"SelectTradeSubOrderBlotter")</f>
        <v>SelectTradeSubOrderBlotter</v>
      </c>
      <c r="S4" s="23" t="str">
        <f ca="1">IFERROR(__xludf.DUMMYFUNCTION("""COMPUTED_VALUE"""),"VerifyOrder")</f>
        <v>VerifyOrder</v>
      </c>
      <c r="T4" s="23" t="str">
        <f ca="1">IFERROR(__xludf.DUMMYFUNCTION("""COMPUTED_VALUE"""),"VerifySubOrder")</f>
        <v>VerifySubOrder</v>
      </c>
      <c r="U4" s="23" t="str">
        <f ca="1">IFERROR(__xludf.DUMMYFUNCTION("""COMPUTED_VALUE"""),"RemoveSelectedOrders")</f>
        <v>RemoveSelectedOrders</v>
      </c>
      <c r="V4" s="23" t="str">
        <f ca="1">IFERROR(__xludf.DUMMYFUNCTION("""COMPUTED_VALUE"""),"CancelAllSelectedSubs")</f>
        <v>CancelAllSelectedSubs</v>
      </c>
      <c r="W4" s="23" t="str">
        <f ca="1">IFERROR(__xludf.DUMMYFUNCTION("""COMPUTED_VALUE"""),"MultiTradingTicket")</f>
        <v>MultiTradingTicket</v>
      </c>
      <c r="X4" s="23" t="str">
        <f ca="1">IFERROR(__xludf.DUMMYFUNCTION("""COMPUTED_VALUE"""),"AuditTrailOrderBlotter")</f>
        <v>AuditTrailOrderBlotter</v>
      </c>
      <c r="Y4" s="23" t="str">
        <f ca="1">IFERROR(__xludf.DUMMYFUNCTION("""COMPUTED_VALUE"""),"TradeNewSubOrder")</f>
        <v>TradeNewSubOrder</v>
      </c>
      <c r="Z4" s="23" t="str">
        <f ca="1">IFERROR(__xludf.DUMMYFUNCTION("""COMPUTED_VALUE"""),"RemoveStageOrder")</f>
        <v>RemoveStageOrder</v>
      </c>
      <c r="AA4" s="23" t="str">
        <f ca="1">IFERROR(__xludf.DUMMYFUNCTION("""COMPUTED_VALUE"""),"TransferToUserSubOrder")</f>
        <v>TransferToUserSubOrder</v>
      </c>
      <c r="AB4" s="23" t="str">
        <f ca="1">IFERROR(__xludf.DUMMYFUNCTION("""COMPUTED_VALUE"""),"DetailsForAlgoTradeOrder")</f>
        <v>DetailsForAlgoTradeOrder</v>
      </c>
      <c r="AC4" s="23" t="str">
        <f ca="1">IFERROR(__xludf.DUMMYFUNCTION("""COMPUTED_VALUE"""),"AddFillsSubOrder")</f>
        <v>AddFillsSubOrder</v>
      </c>
      <c r="AD4" s="23" t="str">
        <f ca="1">IFERROR(__xludf.DUMMYFUNCTION("""COMPUTED_VALUE"""),"ViewAllocationDetailsSubOrder")</f>
        <v>ViewAllocationDetailsSubOrder</v>
      </c>
      <c r="AE4" s="23" t="str">
        <f ca="1">IFERROR(__xludf.DUMMYFUNCTION("""COMPUTED_VALUE"""),"CancelAllSubs")</f>
        <v>CancelAllSubs</v>
      </c>
      <c r="AF4" s="23" t="str">
        <f ca="1">IFERROR(__xludf.DUMMYFUNCTION("""COMPUTED_VALUE"""),"CancelSubOrder")</f>
        <v>CancelSubOrder</v>
      </c>
      <c r="AG4" s="23" t="str">
        <f ca="1">IFERROR(__xludf.DUMMYFUNCTION("""COMPUTED_VALUE"""),"EditStageOrder")</f>
        <v>EditStageOrder</v>
      </c>
      <c r="AH4" s="23" t="str">
        <f ca="1">IFERROR(__xludf.DUMMYFUNCTION("""COMPUTED_VALUE"""),"ReplaceSubOrder")</f>
        <v>ReplaceSubOrder</v>
      </c>
      <c r="AI4" s="23" t="str">
        <f ca="1">IFERROR(__xludf.DUMMYFUNCTION("""COMPUTED_VALUE"""),"SelectTradeWorkingSubsBlotter")</f>
        <v>SelectTradeWorkingSubsBlotter</v>
      </c>
      <c r="AJ4" s="23" t="str">
        <f ca="1">IFERROR(__xludf.DUMMYFUNCTION("""COMPUTED_VALUE"""),"VerifyAlgoDetails")</f>
        <v>VerifyAlgoDetails</v>
      </c>
      <c r="AK4" s="23" t="str">
        <f ca="1">IFERROR(__xludf.DUMMYFUNCTION("""COMPUTED_VALUE"""),"VerifyTransferToUserOrder")</f>
        <v>VerifyTransferToUserOrder</v>
      </c>
      <c r="AL4" s="23" t="str">
        <f ca="1">IFERROR(__xludf.DUMMYFUNCTION("""COMPUTED_VALUE"""),"VerifyTransferToUserSubOdr")</f>
        <v>VerifyTransferToUserSubOdr</v>
      </c>
      <c r="AM4" s="23" t="str">
        <f ca="1">IFERROR(__xludf.DUMMYFUNCTION("""COMPUTED_VALUE"""),"VerifyTransferToUserWorkSub")</f>
        <v>VerifyTransferToUserWorkSub</v>
      </c>
      <c r="AN4" s="23" t="str">
        <f ca="1">IFERROR(__xludf.DUMMYFUNCTION("""COMPUTED_VALUE"""),"SaveLayoutOrderGrid")</f>
        <v>SaveLayoutOrderGrid</v>
      </c>
      <c r="AO4" s="23" t="str">
        <f ca="1">IFERROR(__xludf.DUMMYFUNCTION("""COMPUTED_VALUE"""),"ReplaceStageOrder")</f>
        <v>ReplaceStageOrder</v>
      </c>
      <c r="AP4" s="23" t="str">
        <f ca="1">IFERROR(__xludf.DUMMYFUNCTION("""COMPUTED_VALUE"""),"MultiTradingTicketFromBlotter")</f>
        <v>MultiTradingTicketFromBlotter</v>
      </c>
      <c r="AQ4" s="23" t="str">
        <f ca="1">IFERROR(__xludf.DUMMYFUNCTION("""COMPUTED_VALUE"""),"VerifyViewAllocationDetails")</f>
        <v>VerifyViewAllocationDetails</v>
      </c>
      <c r="AR4" s="23" t="str">
        <f ca="1">IFERROR(__xludf.DUMMYFUNCTION("""COMPUTED_VALUE"""),"GoToAllocation")</f>
        <v>GoToAllocation</v>
      </c>
      <c r="AS4" s="23" t="str">
        <f ca="1">IFERROR(__xludf.DUMMYFUNCTION("""COMPUTED_VALUE"""),"")</f>
        <v/>
      </c>
      <c r="AT4" s="23" t="str">
        <f ca="1">IFERROR(__xludf.DUMMYFUNCTION("""COMPUTED_VALUE"""),"")</f>
        <v/>
      </c>
      <c r="AU4" s="23" t="str">
        <f ca="1">IFERROR(__xludf.DUMMYFUNCTION("""COMPUTED_VALUE"""),"")</f>
        <v/>
      </c>
      <c r="AV4" s="23" t="str">
        <f ca="1">IFERROR(__xludf.DUMMYFUNCTION("""COMPUTED_VALUE"""),"")</f>
        <v/>
      </c>
      <c r="AW4" s="23" t="str">
        <f ca="1">IFERROR(__xludf.DUMMYFUNCTION("""COMPUTED_VALUE"""),"")</f>
        <v/>
      </c>
      <c r="AX4" s="23" t="str">
        <f ca="1">IFERROR(__xludf.DUMMYFUNCTION("""COMPUTED_VALUE"""),"")</f>
        <v/>
      </c>
      <c r="AY4" s="23" t="str">
        <f ca="1">IFERROR(__xludf.DUMMYFUNCTION("""COMPUTED_VALUE"""),"")</f>
        <v/>
      </c>
      <c r="AZ4" s="23" t="str">
        <f ca="1">IFERROR(__xludf.DUMMYFUNCTION("""COMPUTED_VALUE"""),"")</f>
        <v/>
      </c>
      <c r="BA4" s="23" t="str">
        <f ca="1">IFERROR(__xludf.DUMMYFUNCTION("""COMPUTED_VALUE"""),"")</f>
        <v/>
      </c>
      <c r="BB4" s="23" t="str">
        <f ca="1">IFERROR(__xludf.DUMMYFUNCTION("""COMPUTED_VALUE"""),"")</f>
        <v/>
      </c>
      <c r="BC4" s="23" t="str">
        <f ca="1">IFERROR(__xludf.DUMMYFUNCTION("""COMPUTED_VALUE"""),"")</f>
        <v/>
      </c>
      <c r="BD4" s="23" t="str">
        <f ca="1">IFERROR(__xludf.DUMMYFUNCTION("""COMPUTED_VALUE"""),"")</f>
        <v/>
      </c>
      <c r="BE4" s="23" t="str">
        <f ca="1">IFERROR(__xludf.DUMMYFUNCTION("""COMPUTED_VALUE"""),"")</f>
        <v/>
      </c>
      <c r="BF4" s="23" t="str">
        <f ca="1">IFERROR(__xludf.DUMMYFUNCTION("""COMPUTED_VALUE"""),"")</f>
        <v/>
      </c>
      <c r="BG4" s="23" t="str">
        <f ca="1">IFERROR(__xludf.DUMMYFUNCTION("""COMPUTED_VALUE"""),"")</f>
        <v/>
      </c>
      <c r="BH4" s="23" t="str">
        <f ca="1">IFERROR(__xludf.DUMMYFUNCTION("""COMPUTED_VALUE"""),"")</f>
        <v/>
      </c>
      <c r="BI4" s="23" t="str">
        <f ca="1">IFERROR(__xludf.DUMMYFUNCTION("""COMPUTED_VALUE"""),"")</f>
        <v/>
      </c>
      <c r="BJ4" s="23" t="str">
        <f ca="1">IFERROR(__xludf.DUMMYFUNCTION("""COMPUTED_VALUE"""),"")</f>
        <v/>
      </c>
      <c r="BK4" s="23" t="str">
        <f ca="1">IFERROR(__xludf.DUMMYFUNCTION("""COMPUTED_VALUE"""),"")</f>
        <v/>
      </c>
      <c r="BL4" s="23" t="str">
        <f ca="1">IFERROR(__xludf.DUMMYFUNCTION("""COMPUTED_VALUE"""),"")</f>
        <v/>
      </c>
      <c r="BM4" s="23" t="str">
        <f ca="1">IFERROR(__xludf.DUMMYFUNCTION("""COMPUTED_VALUE"""),"")</f>
        <v/>
      </c>
      <c r="BN4" s="23" t="str">
        <f ca="1">IFERROR(__xludf.DUMMYFUNCTION("""COMPUTED_VALUE"""),"")</f>
        <v/>
      </c>
      <c r="BO4" s="23" t="str">
        <f ca="1">IFERROR(__xludf.DUMMYFUNCTION("""COMPUTED_VALUE"""),"")</f>
        <v/>
      </c>
      <c r="BP4" s="23" t="str">
        <f ca="1">IFERROR(__xludf.DUMMYFUNCTION("""COMPUTED_VALUE"""),"")</f>
        <v/>
      </c>
      <c r="BQ4" s="23" t="str">
        <f ca="1">IFERROR(__xludf.DUMMYFUNCTION("""COMPUTED_VALUE"""),"")</f>
        <v/>
      </c>
      <c r="BR4" s="23" t="str">
        <f ca="1">IFERROR(__xludf.DUMMYFUNCTION("""COMPUTED_VALUE"""),"")</f>
        <v/>
      </c>
      <c r="BS4" s="23" t="str">
        <f ca="1">IFERROR(__xludf.DUMMYFUNCTION("""COMPUTED_VALUE"""),"")</f>
        <v/>
      </c>
      <c r="BT4" s="23" t="str">
        <f ca="1">IFERROR(__xludf.DUMMYFUNCTION("""COMPUTED_VALUE"""),"")</f>
        <v/>
      </c>
      <c r="BU4" s="23" t="str">
        <f ca="1">IFERROR(__xludf.DUMMYFUNCTION("""COMPUTED_VALUE"""),"")</f>
        <v/>
      </c>
      <c r="BV4" s="23" t="str">
        <f ca="1">IFERROR(__xludf.DUMMYFUNCTION("""COMPUTED_VALUE"""),"")</f>
        <v/>
      </c>
      <c r="BW4" s="23" t="str">
        <f ca="1">IFERROR(__xludf.DUMMYFUNCTION("""COMPUTED_VALUE"""),"")</f>
        <v/>
      </c>
      <c r="BX4" s="23" t="str">
        <f ca="1">IFERROR(__xludf.DUMMYFUNCTION("""COMPUTED_VALUE"""),"")</f>
        <v/>
      </c>
      <c r="BY4" s="23" t="str">
        <f ca="1">IFERROR(__xludf.DUMMYFUNCTION("""COMPUTED_VALUE"""),"")</f>
        <v/>
      </c>
      <c r="BZ4" s="23" t="str">
        <f ca="1">IFERROR(__xludf.DUMMYFUNCTION("""COMPUTED_VALUE"""),"")</f>
        <v/>
      </c>
      <c r="CA4" s="23" t="str">
        <f ca="1">IFERROR(__xludf.DUMMYFUNCTION("""COMPUTED_VALUE"""),"")</f>
        <v/>
      </c>
      <c r="CB4" s="23" t="str">
        <f ca="1">IFERROR(__xludf.DUMMYFUNCTION("""COMPUTED_VALUE"""),"")</f>
        <v/>
      </c>
      <c r="CC4" s="23" t="str">
        <f ca="1">IFERROR(__xludf.DUMMYFUNCTION("""COMPUTED_VALUE"""),"")</f>
        <v/>
      </c>
      <c r="CD4" s="23" t="str">
        <f ca="1">IFERROR(__xludf.DUMMYFUNCTION("""COMPUTED_VALUE"""),"")</f>
        <v/>
      </c>
      <c r="CE4" s="23" t="str">
        <f ca="1">IFERROR(__xludf.DUMMYFUNCTION("""COMPUTED_VALUE"""),"")</f>
        <v/>
      </c>
      <c r="CF4" s="23" t="str">
        <f ca="1">IFERROR(__xludf.DUMMYFUNCTION("""COMPUTED_VALUE"""),"")</f>
        <v/>
      </c>
      <c r="CG4" s="23" t="str">
        <f ca="1">IFERROR(__xludf.DUMMYFUNCTION("""COMPUTED_VALUE"""),"")</f>
        <v/>
      </c>
      <c r="CH4" s="23" t="str">
        <f ca="1">IFERROR(__xludf.DUMMYFUNCTION("""COMPUTED_VALUE"""),"")</f>
        <v/>
      </c>
      <c r="CI4" s="23" t="str">
        <f ca="1">IFERROR(__xludf.DUMMYFUNCTION("""COMPUTED_VALUE"""),"")</f>
        <v/>
      </c>
      <c r="CJ4" s="23" t="str">
        <f ca="1">IFERROR(__xludf.DUMMYFUNCTION("""COMPUTED_VALUE"""),"")</f>
        <v/>
      </c>
      <c r="CK4" s="23" t="str">
        <f ca="1">IFERROR(__xludf.DUMMYFUNCTION("""COMPUTED_VALUE"""),"")</f>
        <v/>
      </c>
      <c r="CL4" s="23" t="str">
        <f ca="1">IFERROR(__xludf.DUMMYFUNCTION("""COMPUTED_VALUE"""),"")</f>
        <v/>
      </c>
      <c r="CM4" s="23" t="str">
        <f ca="1">IFERROR(__xludf.DUMMYFUNCTION("""COMPUTED_VALUE"""),"")</f>
        <v/>
      </c>
      <c r="CN4" s="23" t="str">
        <f ca="1">IFERROR(__xludf.DUMMYFUNCTION("""COMPUTED_VALUE"""),"")</f>
        <v/>
      </c>
      <c r="CO4" s="23" t="str">
        <f ca="1">IFERROR(__xludf.DUMMYFUNCTION("""COMPUTED_VALUE"""),"")</f>
        <v/>
      </c>
      <c r="CP4" s="23" t="str">
        <f ca="1">IFERROR(__xludf.DUMMYFUNCTION("""COMPUTED_VALUE"""),"")</f>
        <v/>
      </c>
      <c r="CQ4" s="23" t="str">
        <f ca="1">IFERROR(__xludf.DUMMYFUNCTION("""COMPUTED_VALUE"""),"")</f>
        <v/>
      </c>
      <c r="CR4" s="23" t="str">
        <f ca="1">IFERROR(__xludf.DUMMYFUNCTION("""COMPUTED_VALUE"""),"")</f>
        <v/>
      </c>
      <c r="CS4" s="23" t="str">
        <f ca="1">IFERROR(__xludf.DUMMYFUNCTION("""COMPUTED_VALUE"""),"")</f>
        <v/>
      </c>
      <c r="CT4" s="23" t="str">
        <f ca="1">IFERROR(__xludf.DUMMYFUNCTION("""COMPUTED_VALUE"""),"")</f>
        <v/>
      </c>
      <c r="CU4" s="23" t="str">
        <f ca="1">IFERROR(__xludf.DUMMYFUNCTION("""COMPUTED_VALUE"""),"")</f>
        <v/>
      </c>
      <c r="CV4" s="23" t="str">
        <f ca="1">IFERROR(__xludf.DUMMYFUNCTION("""COMPUTED_VALUE"""),"")</f>
        <v/>
      </c>
      <c r="CW4" s="23" t="str">
        <f ca="1">IFERROR(__xludf.DUMMYFUNCTION("""COMPUTED_VALUE"""),"")</f>
        <v/>
      </c>
      <c r="CX4" s="23" t="str">
        <f ca="1">IFERROR(__xludf.DUMMYFUNCTION("""COMPUTED_VALUE"""),"")</f>
        <v/>
      </c>
      <c r="CY4" s="23" t="str">
        <f ca="1">IFERROR(__xludf.DUMMYFUNCTION("""COMPUTED_VALUE"""),"")</f>
        <v/>
      </c>
      <c r="CZ4" s="23" t="str">
        <f ca="1">IFERROR(__xludf.DUMMYFUNCTION("""COMPUTED_VALUE"""),"")</f>
        <v/>
      </c>
      <c r="DA4" s="23" t="str">
        <f ca="1">IFERROR(__xludf.DUMMYFUNCTION("""COMPUTED_VALUE"""),"")</f>
        <v/>
      </c>
      <c r="DB4" s="23" t="str">
        <f ca="1">IFERROR(__xludf.DUMMYFUNCTION("""COMPUTED_VALUE"""),"")</f>
        <v/>
      </c>
      <c r="DC4" s="23" t="str">
        <f ca="1">IFERROR(__xludf.DUMMYFUNCTION("""COMPUTED_VALUE"""),"")</f>
        <v/>
      </c>
      <c r="DD4" s="23" t="str">
        <f ca="1">IFERROR(__xludf.DUMMYFUNCTION("""COMPUTED_VALUE"""),"")</f>
        <v/>
      </c>
      <c r="DE4" s="23" t="str">
        <f ca="1">IFERROR(__xludf.DUMMYFUNCTION("""COMPUTED_VALUE"""),"")</f>
        <v/>
      </c>
      <c r="DF4" s="23" t="str">
        <f ca="1">IFERROR(__xludf.DUMMYFUNCTION("""COMPUTED_VALUE"""),"")</f>
        <v/>
      </c>
      <c r="DG4" s="23" t="str">
        <f ca="1">IFERROR(__xludf.DUMMYFUNCTION("""COMPUTED_VALUE"""),"")</f>
        <v/>
      </c>
      <c r="DH4" s="23" t="str">
        <f ca="1">IFERROR(__xludf.DUMMYFUNCTION("""COMPUTED_VALUE"""),"")</f>
        <v/>
      </c>
      <c r="DI4" s="23" t="str">
        <f ca="1">IFERROR(__xludf.DUMMYFUNCTION("""COMPUTED_VALUE"""),"")</f>
        <v/>
      </c>
      <c r="DJ4" s="23" t="str">
        <f ca="1">IFERROR(__xludf.DUMMYFUNCTION("""COMPUTED_VALUE"""),"")</f>
        <v/>
      </c>
      <c r="DK4" s="23" t="str">
        <f ca="1">IFERROR(__xludf.DUMMYFUNCTION("""COMPUTED_VALUE"""),"")</f>
        <v/>
      </c>
      <c r="DL4" s="23" t="str">
        <f ca="1">IFERROR(__xludf.DUMMYFUNCTION("""COMPUTED_VALUE"""),"")</f>
        <v/>
      </c>
      <c r="DM4" s="23" t="str">
        <f ca="1">IFERROR(__xludf.DUMMYFUNCTION("""COMPUTED_VALUE"""),"")</f>
        <v/>
      </c>
      <c r="DN4" s="23" t="str">
        <f ca="1">IFERROR(__xludf.DUMMYFUNCTION("""COMPUTED_VALUE"""),"")</f>
        <v/>
      </c>
      <c r="DO4" s="23" t="str">
        <f ca="1">IFERROR(__xludf.DUMMYFUNCTION("""COMPUTED_VALUE"""),"")</f>
        <v/>
      </c>
      <c r="DP4" s="23" t="str">
        <f ca="1">IFERROR(__xludf.DUMMYFUNCTION("""COMPUTED_VALUE"""),"")</f>
        <v/>
      </c>
      <c r="DQ4" s="23" t="str">
        <f ca="1">IFERROR(__xludf.DUMMYFUNCTION("""COMPUTED_VALUE"""),"")</f>
        <v/>
      </c>
      <c r="DR4" s="23" t="str">
        <f ca="1">IFERROR(__xludf.DUMMYFUNCTION("""COMPUTED_VALUE"""),"")</f>
        <v/>
      </c>
      <c r="DS4" s="23" t="str">
        <f ca="1">IFERROR(__xludf.DUMMYFUNCTION("""COMPUTED_VALUE"""),"")</f>
        <v/>
      </c>
      <c r="DT4" s="23" t="str">
        <f ca="1">IFERROR(__xludf.DUMMYFUNCTION("""COMPUTED_VALUE"""),"")</f>
        <v/>
      </c>
      <c r="DU4" s="23" t="str">
        <f ca="1">IFERROR(__xludf.DUMMYFUNCTION("""COMPUTED_VALUE"""),"")</f>
        <v/>
      </c>
      <c r="DV4" s="23" t="str">
        <f ca="1">IFERROR(__xludf.DUMMYFUNCTION("""COMPUTED_VALUE"""),"")</f>
        <v/>
      </c>
      <c r="DW4" s="23" t="str">
        <f ca="1">IFERROR(__xludf.DUMMYFUNCTION("""COMPUTED_VALUE"""),"")</f>
        <v/>
      </c>
      <c r="DX4" s="23" t="str">
        <f ca="1">IFERROR(__xludf.DUMMYFUNCTION("""COMPUTED_VALUE"""),"")</f>
        <v/>
      </c>
      <c r="DY4" s="23" t="str">
        <f ca="1">IFERROR(__xludf.DUMMYFUNCTION("""COMPUTED_VALUE"""),"")</f>
        <v/>
      </c>
      <c r="DZ4" s="23" t="str">
        <f ca="1">IFERROR(__xludf.DUMMYFUNCTION("""COMPUTED_VALUE"""),"")</f>
        <v/>
      </c>
      <c r="EA4" s="23" t="str">
        <f ca="1">IFERROR(__xludf.DUMMYFUNCTION("""COMPUTED_VALUE"""),"")</f>
        <v/>
      </c>
      <c r="EB4" s="23" t="str">
        <f ca="1">IFERROR(__xludf.DUMMYFUNCTION("""COMPUTED_VALUE"""),"")</f>
        <v/>
      </c>
      <c r="EC4" s="23" t="str">
        <f ca="1">IFERROR(__xludf.DUMMYFUNCTION("""COMPUTED_VALUE"""),"")</f>
        <v/>
      </c>
      <c r="ED4" s="23" t="str">
        <f ca="1">IFERROR(__xludf.DUMMYFUNCTION("""COMPUTED_VALUE"""),"")</f>
        <v/>
      </c>
      <c r="EE4" s="23" t="str">
        <f ca="1">IFERROR(__xludf.DUMMYFUNCTION("""COMPUTED_VALUE"""),"")</f>
        <v/>
      </c>
      <c r="EF4" s="23" t="str">
        <f ca="1">IFERROR(__xludf.DUMMYFUNCTION("""COMPUTED_VALUE"""),"")</f>
        <v/>
      </c>
      <c r="EG4" s="23" t="str">
        <f ca="1">IFERROR(__xludf.DUMMYFUNCTION("""COMPUTED_VALUE"""),"")</f>
        <v/>
      </c>
      <c r="EH4" s="23" t="str">
        <f ca="1">IFERROR(__xludf.DUMMYFUNCTION("""COMPUTED_VALUE"""),"")</f>
        <v/>
      </c>
      <c r="EI4" s="23" t="str">
        <f ca="1">IFERROR(__xludf.DUMMYFUNCTION("""COMPUTED_VALUE"""),"")</f>
        <v/>
      </c>
      <c r="EJ4" s="23" t="str">
        <f ca="1">IFERROR(__xludf.DUMMYFUNCTION("""COMPUTED_VALUE"""),"")</f>
        <v/>
      </c>
      <c r="EK4" s="23" t="str">
        <f ca="1">IFERROR(__xludf.DUMMYFUNCTION("""COMPUTED_VALUE"""),"")</f>
        <v/>
      </c>
      <c r="EL4" s="23" t="str">
        <f ca="1">IFERROR(__xludf.DUMMYFUNCTION("""COMPUTED_VALUE"""),"")</f>
        <v/>
      </c>
      <c r="EM4" s="23" t="str">
        <f ca="1">IFERROR(__xludf.DUMMYFUNCTION("""COMPUTED_VALUE"""),"")</f>
        <v/>
      </c>
      <c r="EN4" s="23" t="str">
        <f ca="1">IFERROR(__xludf.DUMMYFUNCTION("""COMPUTED_VALUE"""),"")</f>
        <v/>
      </c>
      <c r="EO4" s="23" t="str">
        <f ca="1">IFERROR(__xludf.DUMMYFUNCTION("""COMPUTED_VALUE"""),"")</f>
        <v/>
      </c>
      <c r="EP4" s="23" t="str">
        <f ca="1">IFERROR(__xludf.DUMMYFUNCTION("""COMPUTED_VALUE"""),"")</f>
        <v/>
      </c>
      <c r="EQ4" s="23" t="str">
        <f ca="1">IFERROR(__xludf.DUMMYFUNCTION("""COMPUTED_VALUE"""),"")</f>
        <v/>
      </c>
      <c r="ER4" s="23" t="str">
        <f ca="1">IFERROR(__xludf.DUMMYFUNCTION("""COMPUTED_VALUE"""),"")</f>
        <v/>
      </c>
      <c r="ES4" s="23" t="str">
        <f ca="1">IFERROR(__xludf.DUMMYFUNCTION("""COMPUTED_VALUE"""),"")</f>
        <v/>
      </c>
      <c r="ET4" s="23" t="str">
        <f ca="1">IFERROR(__xludf.DUMMYFUNCTION("""COMPUTED_VALUE"""),"")</f>
        <v/>
      </c>
      <c r="EU4" s="23" t="str">
        <f ca="1">IFERROR(__xludf.DUMMYFUNCTION("""COMPUTED_VALUE"""),"")</f>
        <v/>
      </c>
      <c r="EV4" s="23" t="str">
        <f ca="1">IFERROR(__xludf.DUMMYFUNCTION("""COMPUTED_VALUE"""),"")</f>
        <v/>
      </c>
      <c r="EW4" s="23" t="str">
        <f ca="1">IFERROR(__xludf.DUMMYFUNCTION("""COMPUTED_VALUE"""),"")</f>
        <v/>
      </c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tr">
        <f ca="1">IFERROR(__xludf.DUMMYFUNCTION("""COMPUTED_VALUE"""),"Transaction Time")</f>
        <v>Transaction Time</v>
      </c>
      <c r="C5" s="25" t="str">
        <f ca="1">IFERROR(__xludf.DUMMYFUNCTION("""COMPUTED_VALUE"""),"Algo")</f>
        <v>Algo</v>
      </c>
      <c r="D5" s="25" t="str">
        <f ca="1">IFERROR(__xludf.DUMMYFUNCTION("""COMPUTED_VALUE"""),"Avg Fill Price (Base)")</f>
        <v>Avg Fill Price (Base)</v>
      </c>
      <c r="E5" s="25" t="str">
        <f ca="1">IFERROR(__xludf.DUMMYFUNCTION("""COMPUTED_VALUE"""),"Bloomberg Symbol")</f>
        <v>Bloomberg Symbol</v>
      </c>
      <c r="F5" s="25" t="str">
        <f ca="1">IFERROR(__xludf.DUMMYFUNCTION("""COMPUTED_VALUE"""),"Limit Price")</f>
        <v>Limit Price</v>
      </c>
      <c r="G5" s="25" t="str">
        <f ca="1">IFERROR(__xludf.DUMMYFUNCTION("""COMPUTED_VALUE"""),"Working Qty")</f>
        <v>Working Qty</v>
      </c>
      <c r="H5" s="25" t="str">
        <f ca="1">IFERROR(__xludf.DUMMYFUNCTION("""COMPUTED_VALUE"""),"Venue")</f>
        <v>Venue</v>
      </c>
      <c r="I5" s="25" t="str">
        <f ca="1">IFERROR(__xludf.DUMMYFUNCTION("""COMPUTED_VALUE"""),"User")</f>
        <v>User</v>
      </c>
      <c r="J5" s="25" t="str">
        <f ca="1">IFERROR(__xludf.DUMMYFUNCTION("""COMPUTED_VALUE"""),"Underlying Symbol")</f>
        <v>Underlying Symbol</v>
      </c>
      <c r="K5" s="25" t="str">
        <f ca="1">IFERROR(__xludf.DUMMYFUNCTION("""COMPUTED_VALUE"""),"Underlying Country")</f>
        <v>Underlying Country</v>
      </c>
      <c r="L5" s="25" t="str">
        <f ca="1">IFERROR(__xludf.DUMMYFUNCTION("""COMPUTED_VALUE"""),"Trader")</f>
        <v>Trader</v>
      </c>
      <c r="M5" s="25" t="str">
        <f ca="1">IFERROR(__xludf.DUMMYFUNCTION("""COMPUTED_VALUE"""),"Trade Attribute 6")</f>
        <v>Trade Attribute 6</v>
      </c>
      <c r="N5" s="25" t="str">
        <f ca="1">IFERROR(__xludf.DUMMYFUNCTION("""COMPUTED_VALUE"""),"Trade Attribute 5")</f>
        <v>Trade Attribute 5</v>
      </c>
      <c r="O5" s="25" t="str">
        <f ca="1">IFERROR(__xludf.DUMMYFUNCTION("""COMPUTED_VALUE"""),"Trade Attribute 4")</f>
        <v>Trade Attribute 4</v>
      </c>
      <c r="P5" s="25" t="str">
        <f ca="1">IFERROR(__xludf.DUMMYFUNCTION("""COMPUTED_VALUE"""),"Trade Attribute 3")</f>
        <v>Trade Attribute 3</v>
      </c>
      <c r="Q5" s="25" t="str">
        <f ca="1">IFERROR(__xludf.DUMMYFUNCTION("""COMPUTED_VALUE"""),"Trade Attribute 1")</f>
        <v>Trade Attribute 1</v>
      </c>
      <c r="R5" s="25" t="str">
        <f ca="1">IFERROR(__xludf.DUMMYFUNCTION("""COMPUTED_VALUE"""),"Trade Attribute 2")</f>
        <v>Trade Attribute 2</v>
      </c>
      <c r="S5" s="25" t="str">
        <f ca="1">IFERROR(__xludf.DUMMYFUNCTION("""COMPUTED_VALUE"""),"Strike Price")</f>
        <v>Strike Price</v>
      </c>
      <c r="T5" s="26" t="str">
        <f ca="1">IFERROR(__xludf.DUMMYFUNCTION("""COMPUTED_VALUE"""),"Stop Price")</f>
        <v>Stop Price</v>
      </c>
      <c r="U5" s="26" t="str">
        <f ca="1">IFERROR(__xludf.DUMMYFUNCTION("""COMPUTED_VALUE"""),"Settlement Currency")</f>
        <v>Settlement Currency</v>
      </c>
      <c r="V5" s="26" t="str">
        <f ca="1">IFERROR(__xludf.DUMMYFUNCTION("""COMPUTED_VALUE"""),"Put/Call")</f>
        <v>Put/Call</v>
      </c>
      <c r="W5" s="26" t="str">
        <f ca="1">IFERROR(__xludf.DUMMYFUNCTION("""COMPUTED_VALUE"""),"Process Date")</f>
        <v>Process Date</v>
      </c>
      <c r="X5" s="26" t="str">
        <f ca="1">IFERROR(__xludf.DUMMYFUNCTION("""COMPUTED_VALUE"""),"Peg")</f>
        <v>Peg</v>
      </c>
      <c r="Y5" s="26" t="str">
        <f ca="1">IFERROR(__xludf.DUMMYFUNCTION("""COMPUTED_VALUE"""),"ParentClOrderID")</f>
        <v>ParentClOrderID</v>
      </c>
      <c r="Z5" s="26" t="str">
        <f ca="1">IFERROR(__xludf.DUMMYFUNCTION("""COMPUTED_VALUE"""),"OrderID")</f>
        <v>OrderID</v>
      </c>
      <c r="AA5" s="26" t="str">
        <f ca="1">IFERROR(__xludf.DUMMYFUNCTION("""COMPUTED_VALUE"""),"Master Fund")</f>
        <v>Master Fund</v>
      </c>
      <c r="AB5" s="26" t="str">
        <f ca="1">IFERROR(__xludf.DUMMYFUNCTION("""COMPUTED_VALUE"""),"Last Shares")</f>
        <v>Last Shares</v>
      </c>
      <c r="AC5" s="26" t="str">
        <f ca="1">IFERROR(__xludf.DUMMYFUNCTION("""COMPUTED_VALUE"""),"Internal Comments")</f>
        <v>Internal Comments</v>
      </c>
      <c r="AD5" s="26" t="str">
        <f ca="1">IFERROR(__xludf.DUMMYFUNCTION("""COMPUTED_VALUE"""),"FX Rate")</f>
        <v>FX Rate</v>
      </c>
      <c r="AE5" s="26" t="str">
        <f ca="1">IFERROR(__xludf.DUMMYFUNCTION("""COMPUTED_VALUE"""),"Imported File Name")</f>
        <v>Imported File Name</v>
      </c>
      <c r="AF5" s="26" t="str">
        <f ca="1">IFERROR(__xludf.DUMMYFUNCTION("""COMPUTED_VALUE"""),"FX Conversion Operator")</f>
        <v>FX Conversion Operator</v>
      </c>
      <c r="AG5" s="26" t="str">
        <f ca="1">IFERROR(__xludf.DUMMYFUNCTION("""COMPUTED_VALUE"""),"Day Average Price")</f>
        <v>Day Average Price</v>
      </c>
      <c r="AH5" s="26" t="str">
        <f ca="1">IFERROR(__xludf.DUMMYFUNCTION("""COMPUTED_VALUE"""),"Asset Class")</f>
        <v>Asset Class</v>
      </c>
      <c r="AI5" s="26" t="str">
        <f ca="1">IFERROR(__xludf.DUMMYFUNCTION("""COMPUTED_VALUE"""),"Symbol")</f>
        <v>Symbol</v>
      </c>
      <c r="AJ5" s="26" t="str">
        <f ca="1">IFERROR(__xludf.DUMMYFUNCTION("""COMPUTED_VALUE"""),"Side")</f>
        <v>Side</v>
      </c>
      <c r="AK5" s="26" t="str">
        <f ca="1">IFERROR(__xludf.DUMMYFUNCTION("""COMPUTED_VALUE"""),"Status")</f>
        <v>Status</v>
      </c>
      <c r="AL5" s="26" t="str">
        <f ca="1">IFERROR(__xludf.DUMMYFUNCTION("""COMPUTED_VALUE"""),"Target Qty")</f>
        <v>Target Qty</v>
      </c>
      <c r="AM5" s="26" t="str">
        <f ca="1">IFERROR(__xludf.DUMMYFUNCTION("""COMPUTED_VALUE"""),"Total Executed Qty")</f>
        <v>Total Executed Qty</v>
      </c>
      <c r="AN5" s="26" t="str">
        <f ca="1">IFERROR(__xludf.DUMMYFUNCTION("""COMPUTED_VALUE"""),"% Executed")</f>
        <v>% Executed</v>
      </c>
      <c r="AO5" s="26" t="str">
        <f ca="1">IFERROR(__xludf.DUMMYFUNCTION("""COMPUTED_VALUE"""),"Day Executed Qty")</f>
        <v>Day Executed Qty</v>
      </c>
      <c r="AP5" s="26" t="str">
        <f ca="1">IFERROR(__xludf.DUMMYFUNCTION("""COMPUTED_VALUE"""),"Uncommitted Qty")</f>
        <v>Uncommitted Qty</v>
      </c>
      <c r="AQ5" s="26" t="str">
        <f ca="1">IFERROR(__xludf.DUMMYFUNCTION("""COMPUTED_VALUE"""),"Last Fill Price (Local)")</f>
        <v>Last Fill Price (Local)</v>
      </c>
      <c r="AR5" s="26" t="str">
        <f ca="1">IFERROR(__xludf.DUMMYFUNCTION("""COMPUTED_VALUE"""),"Avg Fill Price (Local)")</f>
        <v>Avg Fill Price (Local)</v>
      </c>
      <c r="AS5" s="26" t="str">
        <f ca="1">IFERROR(__xludf.DUMMYFUNCTION("""COMPUTED_VALUE"""),"Broker")</f>
        <v>Broker</v>
      </c>
      <c r="AT5" s="26" t="str">
        <f ca="1">IFERROR(__xludf.DUMMYFUNCTION("""COMPUTED_VALUE"""),"Account")</f>
        <v>Account</v>
      </c>
      <c r="AU5" s="26" t="str">
        <f ca="1">IFERROR(__xludf.DUMMYFUNCTION("""COMPUTED_VALUE"""),"Order Type")</f>
        <v>Order Type</v>
      </c>
      <c r="AV5" s="26" t="str">
        <f ca="1">IFERROR(__xludf.DUMMYFUNCTION("""COMPUTED_VALUE"""),"Principal Amount (Local)")</f>
        <v>Principal Amount (Local)</v>
      </c>
      <c r="AW5" s="26" t="str">
        <f ca="1">IFERROR(__xludf.DUMMYFUNCTION("""COMPUTED_VALUE"""),"Principal Amount (Base)")</f>
        <v>Principal Amount (Base)</v>
      </c>
      <c r="AX5" s="26" t="str">
        <f ca="1">IFERROR(__xludf.DUMMYFUNCTION("""COMPUTED_VALUE"""),"Allocation Scheme Name")</f>
        <v>Allocation Scheme Name</v>
      </c>
      <c r="AY5" s="26" t="str">
        <f ca="1">IFERROR(__xludf.DUMMYFUNCTION("""COMPUTED_VALUE"""),"")</f>
        <v/>
      </c>
      <c r="AZ5" s="26" t="str">
        <f ca="1">IFERROR(__xludf.DUMMYFUNCTION("""COMPUTED_VALUE"""),"")</f>
        <v/>
      </c>
      <c r="BA5" s="26" t="str">
        <f ca="1">IFERROR(__xludf.DUMMYFUNCTION("""COMPUTED_VALUE"""),"")</f>
        <v/>
      </c>
      <c r="BB5" s="26" t="str">
        <f ca="1">IFERROR(__xludf.DUMMYFUNCTION("""COMPUTED_VALUE"""),"")</f>
        <v/>
      </c>
      <c r="BC5" s="26" t="str">
        <f ca="1">IFERROR(__xludf.DUMMYFUNCTION("""COMPUTED_VALUE"""),"")</f>
        <v/>
      </c>
      <c r="BD5" s="26" t="str">
        <f ca="1">IFERROR(__xludf.DUMMYFUNCTION("""COMPUTED_VALUE"""),"")</f>
        <v/>
      </c>
      <c r="BE5" s="26" t="str">
        <f ca="1">IFERROR(__xludf.DUMMYFUNCTION("""COMPUTED_VALUE"""),"")</f>
        <v/>
      </c>
      <c r="BF5" s="26" t="str">
        <f ca="1">IFERROR(__xludf.DUMMYFUNCTION("""COMPUTED_VALUE"""),"")</f>
        <v/>
      </c>
      <c r="BG5" s="26" t="str">
        <f ca="1">IFERROR(__xludf.DUMMYFUNCTION("""COMPUTED_VALUE"""),"")</f>
        <v/>
      </c>
      <c r="BH5" s="26" t="str">
        <f ca="1">IFERROR(__xludf.DUMMYFUNCTION("""COMPUTED_VALUE"""),"")</f>
        <v/>
      </c>
      <c r="BI5" s="26" t="str">
        <f ca="1">IFERROR(__xludf.DUMMYFUNCTION("""COMPUTED_VALUE"""),"")</f>
        <v/>
      </c>
      <c r="BJ5" s="26" t="str">
        <f ca="1">IFERROR(__xludf.DUMMYFUNCTION("""COMPUTED_VALUE"""),"")</f>
        <v/>
      </c>
      <c r="BK5" s="26" t="str">
        <f ca="1">IFERROR(__xludf.DUMMYFUNCTION("""COMPUTED_VALUE"""),"")</f>
        <v/>
      </c>
      <c r="BL5" s="26" t="str">
        <f ca="1">IFERROR(__xludf.DUMMYFUNCTION("""COMPUTED_VALUE"""),"")</f>
        <v/>
      </c>
      <c r="BM5" s="26" t="str">
        <f ca="1">IFERROR(__xludf.DUMMYFUNCTION("""COMPUTED_VALUE"""),"")</f>
        <v/>
      </c>
      <c r="BN5" s="26" t="str">
        <f ca="1">IFERROR(__xludf.DUMMYFUNCTION("""COMPUTED_VALUE"""),"")</f>
        <v/>
      </c>
      <c r="BO5" s="26" t="str">
        <f ca="1">IFERROR(__xludf.DUMMYFUNCTION("""COMPUTED_VALUE"""),"")</f>
        <v/>
      </c>
      <c r="BP5" s="26" t="str">
        <f ca="1">IFERROR(__xludf.DUMMYFUNCTION("""COMPUTED_VALUE"""),"")</f>
        <v/>
      </c>
      <c r="BQ5" s="26" t="str">
        <f ca="1">IFERROR(__xludf.DUMMYFUNCTION("""COMPUTED_VALUE"""),"")</f>
        <v/>
      </c>
      <c r="BR5" s="26" t="str">
        <f ca="1">IFERROR(__xludf.DUMMYFUNCTION("""COMPUTED_VALUE"""),"")</f>
        <v/>
      </c>
      <c r="BS5" s="26" t="str">
        <f ca="1">IFERROR(__xludf.DUMMYFUNCTION("""COMPUTED_VALUE"""),"")</f>
        <v/>
      </c>
      <c r="BT5" s="26" t="str">
        <f ca="1">IFERROR(__xludf.DUMMYFUNCTION("""COMPUTED_VALUE"""),"")</f>
        <v/>
      </c>
      <c r="BU5" s="26" t="str">
        <f ca="1">IFERROR(__xludf.DUMMYFUNCTION("""COMPUTED_VALUE"""),"")</f>
        <v/>
      </c>
      <c r="BV5" s="26" t="str">
        <f ca="1">IFERROR(__xludf.DUMMYFUNCTION("""COMPUTED_VALUE"""),"")</f>
        <v/>
      </c>
      <c r="BW5" s="26" t="str">
        <f ca="1">IFERROR(__xludf.DUMMYFUNCTION("""COMPUTED_VALUE"""),"")</f>
        <v/>
      </c>
      <c r="BX5" s="26" t="str">
        <f ca="1">IFERROR(__xludf.DUMMYFUNCTION("""COMPUTED_VALUE"""),"")</f>
        <v/>
      </c>
      <c r="BY5" s="26" t="str">
        <f ca="1">IFERROR(__xludf.DUMMYFUNCTION("""COMPUTED_VALUE"""),"")</f>
        <v/>
      </c>
      <c r="BZ5" s="26" t="str">
        <f ca="1">IFERROR(__xludf.DUMMYFUNCTION("""COMPUTED_VALUE"""),"")</f>
        <v/>
      </c>
      <c r="CA5" s="26" t="str">
        <f ca="1">IFERROR(__xludf.DUMMYFUNCTION("""COMPUTED_VALUE"""),"")</f>
        <v/>
      </c>
      <c r="CB5" s="26" t="str">
        <f ca="1">IFERROR(__xludf.DUMMYFUNCTION("""COMPUTED_VALUE"""),"")</f>
        <v/>
      </c>
      <c r="CC5" s="26" t="str">
        <f ca="1">IFERROR(__xludf.DUMMYFUNCTION("""COMPUTED_VALUE"""),"")</f>
        <v/>
      </c>
      <c r="CD5" s="26" t="str">
        <f ca="1">IFERROR(__xludf.DUMMYFUNCTION("""COMPUTED_VALUE"""),"")</f>
        <v/>
      </c>
      <c r="CE5" s="26" t="str">
        <f ca="1">IFERROR(__xludf.DUMMYFUNCTION("""COMPUTED_VALUE"""),"")</f>
        <v/>
      </c>
      <c r="CF5" s="26" t="str">
        <f ca="1">IFERROR(__xludf.DUMMYFUNCTION("""COMPUTED_VALUE"""),"")</f>
        <v/>
      </c>
      <c r="CG5" s="26" t="str">
        <f ca="1">IFERROR(__xludf.DUMMYFUNCTION("""COMPUTED_VALUE"""),"")</f>
        <v/>
      </c>
      <c r="CH5" s="26" t="str">
        <f ca="1">IFERROR(__xludf.DUMMYFUNCTION("""COMPUTED_VALUE"""),"")</f>
        <v/>
      </c>
      <c r="CI5" s="26" t="str">
        <f ca="1">IFERROR(__xludf.DUMMYFUNCTION("""COMPUTED_VALUE"""),"")</f>
        <v/>
      </c>
      <c r="CJ5" s="26" t="str">
        <f ca="1">IFERROR(__xludf.DUMMYFUNCTION("""COMPUTED_VALUE"""),"")</f>
        <v/>
      </c>
      <c r="CK5" s="26" t="str">
        <f ca="1">IFERROR(__xludf.DUMMYFUNCTION("""COMPUTED_VALUE"""),"")</f>
        <v/>
      </c>
      <c r="CL5" s="26" t="str">
        <f ca="1">IFERROR(__xludf.DUMMYFUNCTION("""COMPUTED_VALUE"""),"")</f>
        <v/>
      </c>
      <c r="CM5" s="26" t="str">
        <f ca="1">IFERROR(__xludf.DUMMYFUNCTION("""COMPUTED_VALUE"""),"")</f>
        <v/>
      </c>
      <c r="CN5" s="26" t="str">
        <f ca="1">IFERROR(__xludf.DUMMYFUNCTION("""COMPUTED_VALUE"""),"")</f>
        <v/>
      </c>
      <c r="CO5" s="26" t="str">
        <f ca="1">IFERROR(__xludf.DUMMYFUNCTION("""COMPUTED_VALUE"""),"")</f>
        <v/>
      </c>
      <c r="CP5" s="26" t="str">
        <f ca="1">IFERROR(__xludf.DUMMYFUNCTION("""COMPUTED_VALUE"""),"")</f>
        <v/>
      </c>
      <c r="CQ5" s="26" t="str">
        <f ca="1">IFERROR(__xludf.DUMMYFUNCTION("""COMPUTED_VALUE"""),"")</f>
        <v/>
      </c>
      <c r="CR5" s="26" t="str">
        <f ca="1">IFERROR(__xludf.DUMMYFUNCTION("""COMPUTED_VALUE"""),"")</f>
        <v/>
      </c>
      <c r="CS5" s="26" t="str">
        <f ca="1">IFERROR(__xludf.DUMMYFUNCTION("""COMPUTED_VALUE"""),"")</f>
        <v/>
      </c>
      <c r="CT5" s="26" t="str">
        <f ca="1">IFERROR(__xludf.DUMMYFUNCTION("""COMPUTED_VALUE"""),"")</f>
        <v/>
      </c>
      <c r="CU5" s="26" t="str">
        <f ca="1">IFERROR(__xludf.DUMMYFUNCTION("""COMPUTED_VALUE"""),"")</f>
        <v/>
      </c>
      <c r="CV5" s="26" t="str">
        <f ca="1">IFERROR(__xludf.DUMMYFUNCTION("""COMPUTED_VALUE"""),"")</f>
        <v/>
      </c>
      <c r="CW5" s="26" t="str">
        <f ca="1">IFERROR(__xludf.DUMMYFUNCTION("""COMPUTED_VALUE"""),"")</f>
        <v/>
      </c>
      <c r="CX5" s="26" t="str">
        <f ca="1">IFERROR(__xludf.DUMMYFUNCTION("""COMPUTED_VALUE"""),"")</f>
        <v/>
      </c>
      <c r="CY5" s="26" t="str">
        <f ca="1">IFERROR(__xludf.DUMMYFUNCTION("""COMPUTED_VALUE"""),"")</f>
        <v/>
      </c>
      <c r="CZ5" s="26" t="str">
        <f ca="1">IFERROR(__xludf.DUMMYFUNCTION("""COMPUTED_VALUE"""),"")</f>
        <v/>
      </c>
      <c r="DA5" s="26" t="str">
        <f ca="1">IFERROR(__xludf.DUMMYFUNCTION("""COMPUTED_VALUE"""),"")</f>
        <v/>
      </c>
      <c r="DB5" s="26" t="str">
        <f ca="1">IFERROR(__xludf.DUMMYFUNCTION("""COMPUTED_VALUE"""),"")</f>
        <v/>
      </c>
      <c r="DC5" s="26" t="str">
        <f ca="1">IFERROR(__xludf.DUMMYFUNCTION("""COMPUTED_VALUE"""),"")</f>
        <v/>
      </c>
      <c r="DD5" s="26" t="str">
        <f ca="1">IFERROR(__xludf.DUMMYFUNCTION("""COMPUTED_VALUE"""),"")</f>
        <v/>
      </c>
      <c r="DE5" s="26" t="str">
        <f ca="1">IFERROR(__xludf.DUMMYFUNCTION("""COMPUTED_VALUE"""),"")</f>
        <v/>
      </c>
      <c r="DF5" s="26" t="str">
        <f ca="1">IFERROR(__xludf.DUMMYFUNCTION("""COMPUTED_VALUE"""),"")</f>
        <v/>
      </c>
      <c r="DG5" s="26" t="str">
        <f ca="1">IFERROR(__xludf.DUMMYFUNCTION("""COMPUTED_VALUE"""),"")</f>
        <v/>
      </c>
      <c r="DH5" s="26" t="str">
        <f ca="1">IFERROR(__xludf.DUMMYFUNCTION("""COMPUTED_VALUE"""),"")</f>
        <v/>
      </c>
      <c r="DI5" s="26" t="str">
        <f ca="1">IFERROR(__xludf.DUMMYFUNCTION("""COMPUTED_VALUE"""),"")</f>
        <v/>
      </c>
      <c r="DJ5" s="26" t="str">
        <f ca="1">IFERROR(__xludf.DUMMYFUNCTION("""COMPUTED_VALUE"""),"")</f>
        <v/>
      </c>
      <c r="DK5" s="26" t="str">
        <f ca="1">IFERROR(__xludf.DUMMYFUNCTION("""COMPUTED_VALUE"""),"")</f>
        <v/>
      </c>
      <c r="DL5" s="26" t="str">
        <f ca="1">IFERROR(__xludf.DUMMYFUNCTION("""COMPUTED_VALUE"""),"")</f>
        <v/>
      </c>
      <c r="DM5" s="26" t="str">
        <f ca="1">IFERROR(__xludf.DUMMYFUNCTION("""COMPUTED_VALUE"""),"")</f>
        <v/>
      </c>
      <c r="DN5" s="26" t="str">
        <f ca="1">IFERROR(__xludf.DUMMYFUNCTION("""COMPUTED_VALUE"""),"")</f>
        <v/>
      </c>
      <c r="DO5" s="26" t="str">
        <f ca="1">IFERROR(__xludf.DUMMYFUNCTION("""COMPUTED_VALUE"""),"")</f>
        <v/>
      </c>
      <c r="DP5" s="26" t="str">
        <f ca="1">IFERROR(__xludf.DUMMYFUNCTION("""COMPUTED_VALUE"""),"")</f>
        <v/>
      </c>
      <c r="DQ5" s="26" t="str">
        <f ca="1">IFERROR(__xludf.DUMMYFUNCTION("""COMPUTED_VALUE"""),"")</f>
        <v/>
      </c>
      <c r="DR5" s="26" t="str">
        <f ca="1">IFERROR(__xludf.DUMMYFUNCTION("""COMPUTED_VALUE"""),"")</f>
        <v/>
      </c>
      <c r="DS5" s="26" t="str">
        <f ca="1">IFERROR(__xludf.DUMMYFUNCTION("""COMPUTED_VALUE"""),"")</f>
        <v/>
      </c>
      <c r="DT5" s="26" t="str">
        <f ca="1">IFERROR(__xludf.DUMMYFUNCTION("""COMPUTED_VALUE"""),"")</f>
        <v/>
      </c>
      <c r="DU5" s="26" t="str">
        <f ca="1">IFERROR(__xludf.DUMMYFUNCTION("""COMPUTED_VALUE"""),"")</f>
        <v/>
      </c>
      <c r="DV5" s="26" t="str">
        <f ca="1">IFERROR(__xludf.DUMMYFUNCTION("""COMPUTED_VALUE"""),"")</f>
        <v/>
      </c>
      <c r="DW5" s="26" t="str">
        <f ca="1">IFERROR(__xludf.DUMMYFUNCTION("""COMPUTED_VALUE"""),"")</f>
        <v/>
      </c>
      <c r="DX5" s="26" t="str">
        <f ca="1">IFERROR(__xludf.DUMMYFUNCTION("""COMPUTED_VALUE"""),"")</f>
        <v/>
      </c>
      <c r="DY5" s="26" t="str">
        <f ca="1">IFERROR(__xludf.DUMMYFUNCTION("""COMPUTED_VALUE"""),"")</f>
        <v/>
      </c>
      <c r="DZ5" s="26" t="str">
        <f ca="1">IFERROR(__xludf.DUMMYFUNCTION("""COMPUTED_VALUE"""),"")</f>
        <v/>
      </c>
      <c r="EA5" s="26" t="str">
        <f ca="1">IFERROR(__xludf.DUMMYFUNCTION("""COMPUTED_VALUE"""),"")</f>
        <v/>
      </c>
      <c r="EB5" s="26" t="str">
        <f ca="1">IFERROR(__xludf.DUMMYFUNCTION("""COMPUTED_VALUE"""),"")</f>
        <v/>
      </c>
      <c r="EC5" s="26" t="str">
        <f ca="1">IFERROR(__xludf.DUMMYFUNCTION("""COMPUTED_VALUE"""),"")</f>
        <v/>
      </c>
      <c r="ED5" s="26" t="str">
        <f ca="1">IFERROR(__xludf.DUMMYFUNCTION("""COMPUTED_VALUE"""),"")</f>
        <v/>
      </c>
      <c r="EE5" s="26" t="str">
        <f ca="1">IFERROR(__xludf.DUMMYFUNCTION("""COMPUTED_VALUE"""),"")</f>
        <v/>
      </c>
      <c r="EF5" s="26" t="str">
        <f ca="1">IFERROR(__xludf.DUMMYFUNCTION("""COMPUTED_VALUE"""),"")</f>
        <v/>
      </c>
      <c r="EG5" s="26" t="str">
        <f ca="1">IFERROR(__xludf.DUMMYFUNCTION("""COMPUTED_VALUE"""),"")</f>
        <v/>
      </c>
      <c r="EH5" s="26" t="str">
        <f ca="1">IFERROR(__xludf.DUMMYFUNCTION("""COMPUTED_VALUE"""),"")</f>
        <v/>
      </c>
      <c r="EI5" s="26" t="str">
        <f ca="1">IFERROR(__xludf.DUMMYFUNCTION("""COMPUTED_VALUE"""),"")</f>
        <v/>
      </c>
      <c r="EJ5" s="26" t="str">
        <f ca="1">IFERROR(__xludf.DUMMYFUNCTION("""COMPUTED_VALUE"""),"")</f>
        <v/>
      </c>
      <c r="EK5" s="26" t="str">
        <f ca="1">IFERROR(__xludf.DUMMYFUNCTION("""COMPUTED_VALUE"""),"")</f>
        <v/>
      </c>
      <c r="EL5" s="26" t="str">
        <f ca="1">IFERROR(__xludf.DUMMYFUNCTION("""COMPUTED_VALUE"""),"")</f>
        <v/>
      </c>
      <c r="EM5" s="26" t="str">
        <f ca="1">IFERROR(__xludf.DUMMYFUNCTION("""COMPUTED_VALUE"""),"")</f>
        <v/>
      </c>
      <c r="EN5" s="26" t="str">
        <f ca="1">IFERROR(__xludf.DUMMYFUNCTION("""COMPUTED_VALUE"""),"")</f>
        <v/>
      </c>
      <c r="EO5" s="26" t="str">
        <f ca="1">IFERROR(__xludf.DUMMYFUNCTION("""COMPUTED_VALUE"""),"")</f>
        <v/>
      </c>
      <c r="EP5" s="26" t="str">
        <f ca="1">IFERROR(__xludf.DUMMYFUNCTION("""COMPUTED_VALUE"""),"")</f>
        <v/>
      </c>
      <c r="EQ5" s="26" t="str">
        <f ca="1">IFERROR(__xludf.DUMMYFUNCTION("""COMPUTED_VALUE"""),"")</f>
        <v/>
      </c>
      <c r="ER5" s="26" t="str">
        <f ca="1">IFERROR(__xludf.DUMMYFUNCTION("""COMPUTED_VALUE"""),"")</f>
        <v/>
      </c>
      <c r="ES5" s="26" t="str">
        <f ca="1">IFERROR(__xludf.DUMMYFUNCTION("""COMPUTED_VALUE"""),"")</f>
        <v/>
      </c>
      <c r="ET5" s="26" t="str">
        <f ca="1">IFERROR(__xludf.DUMMYFUNCTION("""COMPUTED_VALUE"""),"")</f>
        <v/>
      </c>
      <c r="EU5" s="26" t="str">
        <f ca="1">IFERROR(__xludf.DUMMYFUNCTION("""COMPUTED_VALUE"""),"")</f>
        <v/>
      </c>
      <c r="EV5" s="26" t="str">
        <f ca="1">IFERROR(__xludf.DUMMYFUNCTION("""COMPUTED_VALUE"""),"")</f>
        <v/>
      </c>
      <c r="EW5" s="26" t="str">
        <f ca="1">IFERROR(__xludf.DUMMYFUNCTION("""COMPUTED_VALUE"""),"")</f>
        <v/>
      </c>
    </row>
    <row r="6" spans="1:153" ht="15.75" customHeight="1">
      <c r="A6" s="5"/>
      <c r="H6" s="6"/>
      <c r="AI6" s="6" t="s">
        <v>16</v>
      </c>
      <c r="AJ6" s="6" t="s">
        <v>17</v>
      </c>
      <c r="AK6" s="6" t="s">
        <v>27</v>
      </c>
      <c r="AL6" s="6">
        <v>100</v>
      </c>
      <c r="AM6" s="6">
        <v>100</v>
      </c>
      <c r="AU6" s="6" t="s">
        <v>28</v>
      </c>
    </row>
    <row r="7" spans="1:153" ht="15.75" customHeight="1">
      <c r="A7" s="5"/>
      <c r="B7" s="5"/>
      <c r="G7" s="5"/>
      <c r="H7" s="6"/>
      <c r="I7" s="5"/>
      <c r="J7" s="5"/>
      <c r="K7" s="5"/>
      <c r="L7" s="5"/>
      <c r="M7" s="5"/>
      <c r="O7" s="5"/>
      <c r="AI7" s="6" t="s">
        <v>16</v>
      </c>
      <c r="AJ7" s="7" t="s">
        <v>17</v>
      </c>
      <c r="AK7" s="6" t="s">
        <v>27</v>
      </c>
      <c r="AL7" s="7">
        <v>100</v>
      </c>
      <c r="AM7" s="7">
        <v>100</v>
      </c>
      <c r="AU7" s="6" t="s">
        <v>28</v>
      </c>
    </row>
    <row r="8" spans="1:153" ht="15.75" customHeight="1">
      <c r="A8" s="5"/>
      <c r="B8" s="5"/>
      <c r="G8" s="5"/>
      <c r="H8" s="6"/>
      <c r="I8" s="5"/>
      <c r="J8" s="5"/>
      <c r="K8" s="5"/>
      <c r="L8" s="5"/>
      <c r="M8" s="7"/>
      <c r="O8" s="5"/>
      <c r="AI8" s="6" t="s">
        <v>16</v>
      </c>
      <c r="AJ8" s="7" t="s">
        <v>17</v>
      </c>
      <c r="AK8" s="6" t="s">
        <v>27</v>
      </c>
      <c r="AL8" s="7">
        <v>200</v>
      </c>
      <c r="AM8" s="7">
        <v>200</v>
      </c>
      <c r="AT8" s="6" t="s">
        <v>29</v>
      </c>
      <c r="AU8" s="6" t="s">
        <v>28</v>
      </c>
    </row>
    <row r="9" spans="1:153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3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3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3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3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3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3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CreateDoneAwayOrder</vt:lpstr>
      <vt:lpstr>VerifyWorkingSubs</vt:lpstr>
      <vt:lpstr>CheckUnallocatedGroups</vt:lpstr>
      <vt:lpstr>SelectUnallocatedGroup</vt:lpstr>
      <vt:lpstr>EnterAllocatePreference</vt:lpstr>
      <vt:lpstr>CheckAllocatedGroups</vt:lpstr>
      <vt:lpstr>CheckPortfolioManagement</vt:lpstr>
      <vt:lpstr>SetGeneralPreferences</vt:lpstr>
      <vt:lpstr>Unallocate</vt:lpstr>
      <vt:lpstr>CheckUnallocatedGroups1</vt:lpstr>
      <vt:lpstr>SelectUnallocatedGroup1</vt:lpstr>
      <vt:lpstr>SelectUnallocatedGroup2</vt:lpstr>
      <vt:lpstr>EditUnallocatedGroupSidePanel</vt:lpstr>
      <vt:lpstr>EnterAllocatePreference1</vt:lpstr>
      <vt:lpstr>CheckAllocatedGroups2</vt:lpstr>
      <vt:lpstr>VerifyOrder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2021-08-04T10:18:15Z</dcterms:modified>
</cp:coreProperties>
</file>