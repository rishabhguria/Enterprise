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LiveOrder" sheetId="4" r:id="rId6"/>
    <sheet state="visible" name="AcknowledgeTrade" sheetId="5" r:id="rId7"/>
    <sheet state="visible" name="ExecuteTrade" sheetId="6" r:id="rId8"/>
    <sheet state="visible" name="SelectTrade1" sheetId="7" r:id="rId9"/>
    <sheet state="visible" name="AcknowledgeTrade1" sheetId="8" r:id="rId10"/>
    <sheet state="visible" name="ExecuteTrade1" sheetId="9" r:id="rId11"/>
    <sheet state="visible" name="SelectTradeOnOrderGrid" sheetId="10" r:id="rId12"/>
    <sheet state="visible" name="GroupTrades" sheetId="11" r:id="rId13"/>
    <sheet state="visible" name="VerifyAllocationWindow" sheetId="12" r:id="rId14"/>
    <sheet state="visible" name="SelectTrade" sheetId="13" r:id="rId15"/>
    <sheet state="visible" name="ReplaceSubOrder" sheetId="14" r:id="rId16"/>
    <sheet state="visible" name="VerifyAllocationWindow1" sheetId="15" r:id="rId17"/>
    <sheet state="visible" name="CreateReplaceOrder" sheetId="16" r:id="rId18"/>
    <sheet state="visible" name="SelectTradeOnOrderGrid1" sheetId="17" r:id="rId19"/>
  </sheets>
  <definedNames/>
  <calcPr/>
</workbook>
</file>

<file path=xl/sharedStrings.xml><?xml version="1.0" encoding="utf-8"?>
<sst xmlns="http://schemas.openxmlformats.org/spreadsheetml/2006/main" count="131" uniqueCount="33">
  <si>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</si>
  <si>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</si>
  <si>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</si>
  <si>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</si>
  <si>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</si>
  <si>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</si>
  <si>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</si>
  <si>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</si>
  <si>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</si>
  <si>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</si>
  <si>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</si>
  <si>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</si>
  <si>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</si>
  <si>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CreateLiveOrder</t>
  </si>
  <si>
    <t>Data Format</t>
  </si>
  <si>
    <t>Input Format</t>
  </si>
  <si>
    <t>AAPL</t>
  </si>
  <si>
    <t>Unallocated</t>
  </si>
  <si>
    <t>Simulator</t>
  </si>
  <si>
    <t>AcknowledgeTrade</t>
  </si>
  <si>
    <t>ExecuteTrade</t>
  </si>
  <si>
    <t>SelectTrade</t>
  </si>
  <si>
    <t>Blotter</t>
  </si>
  <si>
    <t>SelectTradeOnOrderGrid</t>
  </si>
  <si>
    <t>PartiallyFilled</t>
  </si>
  <si>
    <t>Allocation</t>
  </si>
  <si>
    <t>GroupTrades</t>
  </si>
  <si>
    <t>VerifyAllocationWindow</t>
  </si>
  <si>
    <t>Buy</t>
  </si>
  <si>
    <t>MS</t>
  </si>
  <si>
    <t>ReplaceSubOrder</t>
  </si>
  <si>
    <t>CreateReplaceOrder</t>
  </si>
  <si>
    <t>Filled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</si>
</sst>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IFERROR(__xludf.DUMMYFUNCTION("""COMPUTED_VALUE"""),"SharesOutstandingPopUpQty")</f>
        <v>SharesOutstandingPopUpQty</v>
      </c>
      <c r="AQ5" s="29" t="str">
        <f>IFERROR(__xludf.DUMMYFUNCTION("""COMPUTED_VALUE"""),"SharesOutstandingPopUp")</f>
        <v>SharesOutstandingPopUp</v>
      </c>
      <c r="AR5" s="29" t="str">
        <f>IFERROR(__xludf.DUMMYFUNCTION("""COMPUTED_VALUE"""),"ResAllowedListPopUp")</f>
        <v>ResAllowedListPopUp</v>
      </c>
      <c r="AS5" s="29" t="str">
        <f>IFERROR(__xludf.DUMMYFUNCTION("""COMPUTED_VALUE"""),"ChkBoxBookAsSwap")</f>
        <v>ChkBoxBookAsSwap</v>
      </c>
      <c r="AT5" s="29" t="str">
        <f>IFERROR(__xludf.DUMMYFUNCTION("""COMPUTED_VALUE"""),"Interest Rate")</f>
        <v>Interest Rate</v>
      </c>
      <c r="AU5" s="29" t="str">
        <f>IFERROR(__xludf.DUMMYFUNCTION("""COMPUTED_VALUE"""),"OrderPendingNewPopup")</f>
        <v>OrderPendingNewPopup</v>
      </c>
      <c r="AV5" s="29" t="str">
        <f>IFERROR(__xludf.DUMMYFUNCTION("""COMPUTED_VALUE"""),"Master Funds")</f>
        <v>Master Funds</v>
      </c>
      <c r="AW5" s="29" t="str">
        <f>IFERROR(__xludf.DUMMYFUNCTION("""COMPUTED_VALUE"""),"Allow Duplicate Trade")</f>
        <v>Allow Duplicate Trade</v>
      </c>
      <c r="AX5" s="29" t="str">
        <f>IFERROR(__xludf.DUMMYFUNCTION("""COMPUTED_VALUE"""),"TRVAccountName")</f>
        <v>TRVAccountName</v>
      </c>
      <c r="AY5" s="29" t="str">
        <f>IFERROR(__xludf.DUMMYFUNCTION("""COMPUTED_VALUE"""),"TRVTradeQuantity")</f>
        <v>TRVTradeQuantity</v>
      </c>
      <c r="AZ5" s="29" t="str">
        <f>IFERROR(__xludf.DUMMYFUNCTION("""COMPUTED_VALUE"""),"TRVCurrentPosition")</f>
        <v>TRVCurrentPosition</v>
      </c>
      <c r="BA5" s="29" t="str">
        <f>IFERROR(__xludf.DUMMYFUNCTION("""COMPUTED_VALUE"""),"TRVNav")</f>
        <v>TRVNav</v>
      </c>
      <c r="BB5" s="29" t="str">
        <f>IFERROR(__xludf.DUMMYFUNCTION("""COMPUTED_VALUE"""),"SendClickOnNO")</f>
        <v>SendClickOnNO</v>
      </c>
      <c r="BC5" s="29" t="str">
        <f>IFERROR(__xludf.DUMMYFUNCTION("""COMPUTED_VALUE"""),"PendingApprovalPopUp")</f>
        <v>PendingApprovalPopUp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/>
      <c r="D6" s="33">
        <v>100.0</v>
      </c>
      <c r="E6" s="32"/>
      <c r="F6" s="34" t="s">
        <v>17</v>
      </c>
      <c r="G6" s="32"/>
      <c r="H6" s="32"/>
      <c r="I6" s="32"/>
      <c r="J6" s="35">
        <v>2.0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4" t="s">
        <v>16</v>
      </c>
      <c r="C7" s="32"/>
      <c r="D7" s="35">
        <v>200.0</v>
      </c>
      <c r="E7" s="32"/>
      <c r="F7" s="34" t="s">
        <v>17</v>
      </c>
      <c r="G7" s="32"/>
      <c r="H7" s="32"/>
      <c r="I7" s="32"/>
      <c r="J7" s="35">
        <v>2.0</v>
      </c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/>
      <c r="C6" s="34" t="s">
        <v>16</v>
      </c>
      <c r="D6" s="30"/>
      <c r="E6" s="32"/>
      <c r="F6" s="32"/>
      <c r="G6" s="35">
        <v>100.0</v>
      </c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2.0</v>
      </c>
      <c r="C6" s="12">
        <v>50.0</v>
      </c>
      <c r="D6" s="12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/>
      <c r="C6" s="34" t="s">
        <v>16</v>
      </c>
      <c r="D6" s="30"/>
      <c r="E6" s="32"/>
      <c r="F6" s="32"/>
      <c r="G6" s="37">
        <v>200.0</v>
      </c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/>
      <c r="C6" s="34" t="s">
        <v>16</v>
      </c>
      <c r="D6" s="30"/>
      <c r="E6" s="32"/>
      <c r="F6" s="32"/>
      <c r="G6" s="37">
        <v>200.0</v>
      </c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2.0</v>
      </c>
      <c r="C6" s="12">
        <v>200.0</v>
      </c>
      <c r="D6" s="12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ExecuteTrade1!$4:$4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2"/>
      <c r="D6" s="31" t="s">
        <v>16</v>
      </c>
      <c r="E6" s="32"/>
      <c r="F6" s="32"/>
      <c r="G6" s="34" t="s">
        <v>24</v>
      </c>
      <c r="H6" s="35">
        <v>100.0</v>
      </c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IFERROR(__xludf.DUMMYFUNCTION("""COMPUTED_VALUE"""),"Side")</f>
        <v>Side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8"/>
      <c r="D6" s="12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GroupTrades!$4:$4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IFERROR(__xludf.DUMMYFUNCTION("""COMPUTED_VALUE"""),"Side")</f>
        <v>Side</v>
      </c>
      <c r="D5" s="27" t="str">
        <f>IFERROR(__xludf.DUMMYFUNCTION("""COMPUTED_VALUE"""),"Broker")</f>
        <v>Broker</v>
      </c>
      <c r="E5" s="27" t="str">
        <f>IFERROR(__xludf.DUMMYFUNCTION("""COMPUTED_VALUE"""),"Quantity")</f>
        <v>Quantity</v>
      </c>
      <c r="F5" s="28" t="str">
        <f>IFERROR(__xludf.DUMMYFUNCTION("""COMPUTED_VALUE"""),"Avg Price")</f>
        <v>Avg Price</v>
      </c>
      <c r="G5" s="27" t="str">
        <f>IFERROR(__xludf.DUMMYFUNCTION("""COMPUTED_VALUE"""),"% Unexecuted Qty")</f>
        <v>% Unexecuted Qty</v>
      </c>
      <c r="H5" s="27" t="str">
        <f>IFERROR(__xludf.DUMMYFUNCTION("""COMPUTED_VALUE"""),"Unexecuted Qty")</f>
        <v>Unexecuted Qty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4" t="s">
        <v>28</v>
      </c>
      <c r="D6" s="31" t="s">
        <v>29</v>
      </c>
      <c r="E6" s="35">
        <v>300.0</v>
      </c>
      <c r="F6" s="35">
        <v>2.0</v>
      </c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VerifyAllocationWindow!$4:$4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16</v>
      </c>
      <c r="D6" s="12"/>
      <c r="E6" s="36"/>
      <c r="F6" s="8"/>
      <c r="G6" s="12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6"/>
      <c r="F6" s="8"/>
      <c r="G6" s="8"/>
      <c r="H6" s="8"/>
      <c r="I6" s="8"/>
      <c r="J6" s="8"/>
      <c r="K6" s="8"/>
      <c r="L6" s="8"/>
      <c r="M6" s="8"/>
      <c r="N6" s="8"/>
      <c r="O6" s="8"/>
      <c r="AJ6" s="9" t="s">
        <v>16</v>
      </c>
      <c r="AK6" s="9" t="s">
        <v>28</v>
      </c>
      <c r="AL6" s="9" t="s">
        <v>24</v>
      </c>
      <c r="AM6" s="9">
        <v>100.0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IFERROR(__xludf.DUMMYFUNCTION("""COMPUTED_VALUE"""),"Side")</f>
        <v>Side</v>
      </c>
      <c r="D5" s="27" t="str">
        <f>IFERROR(__xludf.DUMMYFUNCTION("""COMPUTED_VALUE"""),"Broker")</f>
        <v>Broker</v>
      </c>
      <c r="E5" s="27" t="str">
        <f>IFERROR(__xludf.DUMMYFUNCTION("""COMPUTED_VALUE"""),"Quantity")</f>
        <v>Quantity</v>
      </c>
      <c r="F5" s="28" t="str">
        <f>IFERROR(__xludf.DUMMYFUNCTION("""COMPUTED_VALUE"""),"Avg Price")</f>
        <v>Avg Price</v>
      </c>
      <c r="G5" s="27" t="str">
        <f>IFERROR(__xludf.DUMMYFUNCTION("""COMPUTED_VALUE"""),"% Unexecuted Qty")</f>
        <v>% Unexecuted Qty</v>
      </c>
      <c r="H5" s="27" t="str">
        <f>IFERROR(__xludf.DUMMYFUNCTION("""COMPUTED_VALUE"""),"Unexecuted Qty")</f>
        <v>Unexecuted Qty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4" t="s">
        <v>28</v>
      </c>
      <c r="D6" s="31" t="s">
        <v>29</v>
      </c>
      <c r="E6" s="37">
        <v>350.0</v>
      </c>
      <c r="F6" s="35">
        <v>2.0</v>
      </c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VerifyAllocationWindow1!$4:$4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IFERROR(__xludf.DUMMYFUNCTION("""COMPUTED_VALUE"""),"MasterFund")</f>
        <v>MasterFund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IFERROR(__xludf.DUMMYFUNCTION("""COMPUTED_VALUE"""),"SharesOutstandingPopUp")</f>
        <v>SharesOutstandingPopUp</v>
      </c>
      <c r="AQ5" s="29" t="str">
        <f>IFERROR(__xludf.DUMMYFUNCTION("""COMPUTED_VALUE"""),"Interest Rate")</f>
        <v>Interest Rate</v>
      </c>
      <c r="AR5" s="29" t="str">
        <f>IFERROR(__xludf.DUMMYFUNCTION("""COMPUTED_VALUE"""),"SelectAlgoStrategy")</f>
        <v>SelectAlgoStrategy</v>
      </c>
      <c r="AS5" s="29" t="str">
        <f>IFERROR(__xludf.DUMMYFUNCTION("""COMPUTED_VALUE"""),"ClearOldCA")</f>
        <v>ClearOldCA</v>
      </c>
      <c r="AT5" s="29" t="str">
        <f>IFERROR(__xludf.DUMMYFUNCTION("""COMPUTED_VALUE"""),"TRVAccountName")</f>
        <v>TRVAccountName</v>
      </c>
      <c r="AU5" s="29" t="str">
        <f>IFERROR(__xludf.DUMMYFUNCTION("""COMPUTED_VALUE"""),"TRVTradeQuantity")</f>
        <v>TRVTradeQuantity</v>
      </c>
      <c r="AV5" s="29" t="str">
        <f>IFERROR(__xludf.DUMMYFUNCTION("""COMPUTED_VALUE"""),"TRVCurrentPosition")</f>
        <v>TRVCurrentPosition</v>
      </c>
      <c r="AW5" s="29" t="str">
        <f>IFERROR(__xludf.DUMMYFUNCTION("""COMPUTED_VALUE"""),"TRVNav")</f>
        <v>TRVNav</v>
      </c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>
        <v>150.0</v>
      </c>
      <c r="E6" s="36"/>
      <c r="F6" s="8"/>
      <c r="G6" s="8"/>
      <c r="H6" s="8"/>
      <c r="I6" s="8"/>
      <c r="J6" s="12">
        <v>2.0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CreateReplaceOrder!$4:$4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2"/>
      <c r="D6" s="31" t="s">
        <v>16</v>
      </c>
      <c r="E6" s="32"/>
      <c r="F6" s="32"/>
      <c r="G6" s="38" t="s">
        <v>32</v>
      </c>
      <c r="H6" s="37">
        <v>200.0</v>
      </c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