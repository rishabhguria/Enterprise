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PricingInput" sheetId="5" r:id="rId7"/>
    <sheet state="visible" name="GetDailyCash" sheetId="6" r:id="rId8"/>
    <sheet state="visible" name="UpdateMultipleDailyCash" sheetId="7" r:id="rId9"/>
    <sheet state="visible" name="SetComplianceAlert" sheetId="8" r:id="rId10"/>
    <sheet state="visible" name="SetCompliancePermission" sheetId="9" r:id="rId11"/>
    <sheet state="visible" name="RestartReleasesAndServices" sheetId="10" r:id="rId12"/>
    <sheet state="visible" name="TradePTT" sheetId="11" r:id="rId13"/>
    <sheet state="visible" name="CustomOrderTT" sheetId="12" r:id="rId14"/>
    <sheet state="visible" name="LoginClient" sheetId="13" r:id="rId15"/>
    <sheet state="visible" name="ApproveorRejectpendingapproval" sheetId="14" r:id="rId16"/>
    <sheet state="visible" name="LoginClient1" sheetId="15" r:id="rId17"/>
    <sheet state="visible" name="SelectTradeOnOrderGrid" sheetId="16" r:id="rId18"/>
    <sheet state="visible" name="TradeNewSubOrder" sheetId="17" r:id="rId19"/>
    <sheet state="visible" name="CustomOrderTT1" sheetId="18" r:id="rId20"/>
    <sheet state="visible" name="ReplaceSubOrder" sheetId="19" r:id="rId21"/>
    <sheet state="visible" name="CustomOrderTT2" sheetId="20" r:id="rId22"/>
    <sheet state="visible" name="SelectTrade" sheetId="21" r:id="rId23"/>
    <sheet state="visible" name="AcknowledgeTrade" sheetId="22" r:id="rId24"/>
    <sheet state="visible" name="ExecuteTrade" sheetId="23" r:id="rId25"/>
    <sheet state="visible" name="VerifyAlertHistory" sheetId="24" r:id="rId26"/>
    <sheet state="visible" name="GetDataFromAuditTrail" sheetId="25" r:id="rId27"/>
    <sheet state="visible" name="VerifyAuditTrail" sheetId="26" r:id="rId28"/>
    <sheet state="visible" name="CheckAllocatedGroups" sheetId="27" r:id="rId29"/>
    <sheet state="visible" name="CheckPortfolioManagement" sheetId="28" r:id="rId30"/>
  </sheets>
  <definedNames/>
  <calcPr/>
</workbook>
</file>

<file path=xl/sharedStrings.xml><?xml version="1.0" encoding="utf-8"?>
<sst xmlns="http://schemas.openxmlformats.org/spreadsheetml/2006/main" count="195" uniqueCount="54">
  <si>
    <t>Modules Info</t>
  </si>
  <si>
    <t>Modules</t>
  </si>
  <si>
    <t>Settings</t>
  </si>
  <si>
    <t>Module Step Setting File</t>
  </si>
  <si>
    <t>1FzWTLghJOFjrGmCEN5rFkuzctvHiAo4TNjRi7fOzwlg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</si>
  <si>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</si>
  <si>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</si>
  <si>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</si>
  <si>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</si>
  <si>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</si>
  <si>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</si>
  <si>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</si>
  <si>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</si>
  <si>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</si>
  <si>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</si>
  <si>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</si>
  <si>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AAPL</t>
  </si>
  <si>
    <t>Buy</t>
  </si>
  <si>
    <t>Yes</t>
  </si>
  <si>
    <t>PricingInput</t>
  </si>
  <si>
    <t>DailyValuation</t>
  </si>
  <si>
    <t>GetDailyCash</t>
  </si>
  <si>
    <t>UpdateMultipleDailyCash</t>
  </si>
  <si>
    <t>Allocation1</t>
  </si>
  <si>
    <t>USD</t>
  </si>
  <si>
    <t>Admin</t>
  </si>
  <si>
    <t>SetComplianceAlert</t>
  </si>
  <si>
    <t>SetCompliancePermission</t>
  </si>
  <si>
    <t>TradeQuantity100</t>
  </si>
  <si>
    <t>REQUIRES APPROVAL</t>
  </si>
  <si>
    <t>Compliance</t>
  </si>
  <si>
    <t>RestartReleasesAndServices</t>
  </si>
  <si>
    <t>PTT</t>
  </si>
  <si>
    <t>TradePTT</t>
  </si>
  <si>
    <t>CustomOrderTT</t>
  </si>
  <si>
    <t>PranaClient</t>
  </si>
  <si>
    <t>LoginClient</t>
  </si>
  <si>
    <t>ApproveorRejectpendingapproval</t>
  </si>
  <si>
    <t>Blotter</t>
  </si>
  <si>
    <t>SelectTradeOnOrderGrid</t>
  </si>
  <si>
    <t>TradeNewSubOrder</t>
  </si>
  <si>
    <t>ReplaceSubOrder</t>
  </si>
  <si>
    <t>Simulator</t>
  </si>
  <si>
    <t>SelectTrade</t>
  </si>
  <si>
    <t>AcknowledgeTrade</t>
  </si>
  <si>
    <t>ExecuteTrade</t>
  </si>
  <si>
    <t>VerifyAlertHistory</t>
  </si>
  <si>
    <t>AuditTrail</t>
  </si>
  <si>
    <t>GetDataFromAuditTrail</t>
  </si>
  <si>
    <t>VerifyAuditTrail</t>
  </si>
  <si>
    <t>Allocation</t>
  </si>
  <si>
    <t>CheckAllocatedGroups</t>
  </si>
  <si>
    <t>PortfolioManagement</t>
  </si>
  <si>
    <t>CheckPortfolioManagement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</si>
</sst>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b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3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5" numFmtId="0" xfId="0" applyAlignment="1" applyFont="1">
      <alignment readingOrder="0" shrinkToFit="0" wrapText="0"/>
    </xf>
    <xf borderId="0" fillId="0" fontId="5" numFmtId="14" xfId="0" applyAlignment="1" applyFont="1" applyNumberFormat="1">
      <alignment readingOrder="0" shrinkToFit="0" wrapText="0"/>
    </xf>
    <xf borderId="0" fillId="0" fontId="5" numFmtId="14" xfId="0" applyAlignment="1" applyFont="1" applyNumberFormat="1">
      <alignment shrinkToFit="0" wrapText="0"/>
    </xf>
    <xf borderId="0" fillId="0" fontId="5" numFmtId="0" xfId="0" applyAlignment="1" applyFont="1">
      <alignment vertical="bottom"/>
    </xf>
    <xf borderId="5" fillId="0" fontId="3" numFmtId="0" xfId="0" applyAlignment="1" applyBorder="1" applyFont="1">
      <alignment vertical="bottom"/>
    </xf>
    <xf borderId="0" fillId="0" fontId="5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22" Type="http://schemas.openxmlformats.org/officeDocument/2006/relationships/worksheet" Target="worksheets/sheet20.xml"/><Relationship Id="rId21" Type="http://schemas.openxmlformats.org/officeDocument/2006/relationships/worksheet" Target="worksheets/sheet19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6" Type="http://schemas.openxmlformats.org/officeDocument/2006/relationships/worksheet" Target="worksheets/sheet24.xml"/><Relationship Id="rId25" Type="http://schemas.openxmlformats.org/officeDocument/2006/relationships/worksheet" Target="worksheets/sheet23.xml"/><Relationship Id="rId28" Type="http://schemas.openxmlformats.org/officeDocument/2006/relationships/worksheet" Target="worksheets/sheet26.xml"/><Relationship Id="rId27" Type="http://schemas.openxmlformats.org/officeDocument/2006/relationships/worksheet" Target="worksheets/sheet25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29" Type="http://schemas.openxmlformats.org/officeDocument/2006/relationships/worksheet" Target="worksheets/sheet27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30" Type="http://schemas.openxmlformats.org/officeDocument/2006/relationships/worksheet" Target="worksheets/sheet28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20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20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20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20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20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20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20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20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20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20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20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20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20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20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20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20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20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20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20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20.png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20.png"/></Relationships>
</file>

<file path=xl/drawings/_rels/drawing2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20.png"/></Relationships>
</file>

<file path=xl/drawings/_rels/drawing2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20.png"/></Relationships>
</file>

<file path=xl/drawings/_rels/drawing2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20.png"/></Relationships>
</file>

<file path=xl/drawings/_rels/drawing2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20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IFERROR(__xludf.DUMMYFUNCTION("""COMPUTED_VALUE"""),"17hQQja2JxgHYc91C7e_NxNoHLA89SiPSSBCEIFHCoTk")</f>
        <v>17hQQja2JxgHYc91C7e_NxNoHLA89SiPSSBCEIFHCoTk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IFERROR(__xludf.DUMMYFUNCTION("""COMPUTED_VALUE"""),"1Yw4tQ35sAxNJda9xoHyKAOkv1uUSL6Lyjkb7t2gRWzU")</f>
        <v>1Yw4tQ35sAxNJda9xoHyKAOkv1uUSL6Lyjkb7t2gRWzU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IFERROR(__xludf.DUMMYFUNCTION("""COMPUTED_VALUE"""),"1RWrzEP7tKvSTkC1z87RsjU_EZslvD2btXJuTWRIwRLU")</f>
        <v>1RWrzEP7tKvSTkC1z87RsjU_EZslvD2btXJuTWRIwRLU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IFERROR(__xludf.DUMMYFUNCTION("""COMPUTED_VALUE"""),"1XzjmPmpB7IMcyzPSsbgmFfzjE_zIKdjrk0mUoMFhNZc")</f>
        <v>1XzjmPmpB7IMcyzPSsbgmFfzjE_zIKdjrk0mUoMFhNZc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>
      <c r="A868" t="str">
        <f>IFERROR(__xludf.DUMMYFUNCTION("""COMPUTED_VALUE"""),"Blotter")</f>
        <v>Blotter</v>
      </c>
      <c r="B868" t="str">
        <f>IFERROR(__xludf.DUMMYFUNCTION("""COMPUTED_VALUE"""),"BookAsSwap")</f>
        <v>BookAsSwap</v>
      </c>
      <c r="C868" t="str">
        <f>IFERROR(__xludf.DUMMYFUNCTION("""COMPUTED_VALUE"""),"1tnkP5eD3WH53SXu2O-MWk6774J7b5ihwlD7r9dGtpiY")</f>
        <v>1tnkP5eD3WH53SXu2O-MWk6774J7b5ihwlD7r9dGtpiY</v>
      </c>
    </row>
    <row r="869" ht="15.75" customHeight="1">
      <c r="A869" t="str">
        <f>IFERROR(__xludf.DUMMYFUNCTION("""COMPUTED_VALUE"""),"QTT")</f>
        <v>QTT</v>
      </c>
      <c r="B869" t="str">
        <f>IFERROR(__xludf.DUMMYFUNCTION("""COMPUTED_VALUE"""),"VerifyQTT")</f>
        <v>VerifyQTT</v>
      </c>
      <c r="C869" t="str">
        <f>IFERROR(__xludf.DUMMYFUNCTION("""COMPUTED_VALUE"""),"1bs3VigXRg4VZR5W48lKm11EcEjEpmUCnBNDHffPRbIQ")</f>
        <v>1bs3VigXRg4VZR5W48lKm11EcEjEpmUCnBNDHffPRbIQ</v>
      </c>
    </row>
    <row r="870" ht="15.75" customHeight="1">
      <c r="A870" t="str">
        <f>IFERROR(__xludf.DUMMYFUNCTION("""COMPUTED_VALUE"""),"Rebalancer")</f>
        <v>Rebalancer</v>
      </c>
      <c r="B870" t="str">
        <f>IFERROR(__xludf.DUMMYFUNCTION("""COMPUTED_VALUE"""),"OperationsOnNIC")</f>
        <v>OperationsOnNIC</v>
      </c>
      <c r="C870" t="str">
        <f>IFERROR(__xludf.DUMMYFUNCTION("""COMPUTED_VALUE"""),"1DUwxSUq_47EK60XmK3LOdCXa1fkWqWJE9bLuGS3ccv412")</f>
        <v>1DUwxSUq_47EK60XmK3LOdCXa1fkWqWJE9bLuGS3ccv412</v>
      </c>
    </row>
    <row r="871" ht="15.75" customHeight="1">
      <c r="A871" t="str">
        <f>IFERROR(__xludf.DUMMYFUNCTION("""COMPUTED_VALUE"""),"Rebalancer")</f>
        <v>Rebalancer</v>
      </c>
      <c r="B871" t="str">
        <f>IFERROR(__xludf.DUMMYFUNCTION("""COMPUTED_VALUE"""),"DataPrefGridOperation")</f>
        <v>DataPrefGridOperation</v>
      </c>
      <c r="C871" t="str">
        <f>IFERROR(__xludf.DUMMYFUNCTION("""COMPUTED_VALUE"""),"1DUwxSUq_47EK60XmK3LOdCXa1fkWqWJE9bLuGS3ccv412")</f>
        <v>1DUwxSUq_47EK60XmK3LOdCXa1fkWqWJE9bLuGS3ccv412</v>
      </c>
    </row>
    <row r="872" ht="15.75" customHeight="1">
      <c r="A872" t="str">
        <f>IFERROR(__xludf.DUMMYFUNCTION("""COMPUTED_VALUE"""),"Rebalancer")</f>
        <v>Rebalancer</v>
      </c>
      <c r="B872" t="str">
        <f>IFERROR(__xludf.DUMMYFUNCTION("""COMPUTED_VALUE"""),"VerifyExpanderBarButton")</f>
        <v>VerifyExpanderBarButton</v>
      </c>
      <c r="C872" t="str">
        <f>IFERROR(__xludf.DUMMYFUNCTION("""COMPUTED_VALUE"""),"1DUwxSUq_47EK60XmK3LOdCXa1fkWqWJE9bLuGS3ccv412")</f>
        <v>1DUwxSUq_47EK60XmK3LOdCXa1fkWqWJE9bLuGS3ccv412</v>
      </c>
    </row>
    <row r="873" ht="15.75" customHeight="1">
      <c r="A873" t="str">
        <f>IFERROR(__xludf.DUMMYFUNCTION("""COMPUTED_VALUE"""),"Rebalancer")</f>
        <v>Rebalancer</v>
      </c>
      <c r="B873" t="str">
        <f>IFERROR(__xludf.DUMMYFUNCTION("""COMPUTED_VALUE"""),"RAS")</f>
        <v>RAS</v>
      </c>
      <c r="C873" t="str">
        <f>IFERROR(__xludf.DUMMYFUNCTION("""COMPUTED_VALUE"""),"1DUwxSUq_47EK60XmK3LOdCXa1fkWqWJE9bLuGS3ccv412")</f>
        <v>1DUwxSUq_47EK60XmK3LOdCXa1fkWqWJE9bLuGS3ccv412</v>
      </c>
    </row>
    <row r="874" ht="15.75" customHeight="1">
      <c r="A874" t="str">
        <f>IFERROR(__xludf.DUMMYFUNCTION("""COMPUTED_VALUE"""),"Blotter")</f>
        <v>Blotter</v>
      </c>
      <c r="B874" t="str">
        <f>IFERROR(__xludf.DUMMYFUNCTION("""COMPUTED_VALUE"""),"ActionOnFloatingWindow")</f>
        <v>ActionOnFloatingWindow</v>
      </c>
      <c r="C874" t="str">
        <f>IFERROR(__xludf.DUMMYFUNCTION("""COMPUTED_VALUE"""),"1tFNUPT3PXgCKRnnehGwo6OF7EhLu13UJ8Elfq83HArE")</f>
        <v>1tFNUPT3PXgCKRnnehGwo6OF7EhLu13UJ8Elfq83HArE</v>
      </c>
    </row>
    <row r="875" ht="15.75" customHeight="1">
      <c r="A875" t="str">
        <f>IFERROR(__xludf.DUMMYFUNCTION("""COMPUTED_VALUE"""),"PTT")</f>
        <v>PTT</v>
      </c>
      <c r="B875" t="str">
        <f>IFERROR(__xludf.DUMMYFUNCTION("""COMPUTED_VALUE"""),"PTTDashBoard")</f>
        <v>PTTDashBoard</v>
      </c>
      <c r="C875" t="str">
        <f>IFERROR(__xludf.DUMMYFUNCTION("""COMPUTED_VALUE"""),"1DUwxSUq_47EK60XmK3LOdCXa1fkWqWJE9bLuGS3ccv412")</f>
        <v>1DUwxSUq_47EK60XmK3LOdCXa1fkWqWJE9bLuGS3ccv412</v>
      </c>
    </row>
    <row r="876" ht="15.75" customHeight="1">
      <c r="A876" t="str">
        <f>IFERROR(__xludf.DUMMYFUNCTION("""COMPUTED_VALUE"""),"OpenFin")</f>
        <v>OpenFin</v>
      </c>
      <c r="B876" t="str">
        <f>IFERROR(__xludf.DUMMYFUNCTION("""COMPUTED_VALUE"""),"LockUnlockModule")</f>
        <v>LockUnlockModule</v>
      </c>
      <c r="C876" t="str">
        <f>IFERROR(__xludf.DUMMYFUNCTION("""COMPUTED_VALUE"""),"179D0kPRO8f_KLxd7hs6seM9XGxpL-u1rhIhNgFVePsQ")</f>
        <v>179D0kPRO8f_KLxd7hs6seM9XGxpL-u1rhIhNgFVePsQ</v>
      </c>
    </row>
    <row r="877" ht="15.75" customHeight="1">
      <c r="A877" t="str">
        <f>IFERROR(__xludf.DUMMYFUNCTION("""COMPUTED_VALUE"""),"OpenFin")</f>
        <v>OpenFin</v>
      </c>
      <c r="B877" t="str">
        <f>IFERROR(__xludf.DUMMYFUNCTION("""COMPUTED_VALUE"""),"OpenModuleFromDock")</f>
        <v>OpenModuleFromDock</v>
      </c>
      <c r="C877" t="str">
        <f>IFERROR(__xludf.DUMMYFUNCTION("""COMPUTED_VALUE"""),"1IdmD7l42pWNjFNVt_7UwbOO7y5tDxaXr7tE60c9ETLw")</f>
        <v>1IdmD7l42pWNjFNVt_7UwbOO7y5tDxaXr7tE60c9ETLw</v>
      </c>
    </row>
    <row r="878" ht="15.75" customHeight="1">
      <c r="A878" t="str">
        <f>IFERROR(__xludf.DUMMYFUNCTION("""COMPUTED_VALUE"""),"Rebalancer")</f>
        <v>Rebalancer</v>
      </c>
      <c r="B878" t="str">
        <f>IFERROR(__xludf.DUMMYFUNCTION("""COMPUTED_VALUE"""),"VerifyCFI")</f>
        <v>VerifyCFI</v>
      </c>
      <c r="C878" t="str">
        <f>IFERROR(__xludf.DUMMYFUNCTION("""COMPUTED_VALUE"""),"1DUwxSUq_47EK60XmK3LOdCXa1fkWqWJE9bLuGS3ccv412")</f>
        <v>1DUwxSUq_47EK60XmK3LOdCXa1fkWqWJE9bLuGS3ccv412</v>
      </c>
    </row>
    <row r="879" ht="15.75" customHeight="1">
      <c r="A879" t="str">
        <f>IFERROR(__xludf.DUMMYFUNCTION("""COMPUTED_VALUE"""),"Blotter")</f>
        <v>Blotter</v>
      </c>
      <c r="B879" t="str">
        <f>IFERROR(__xludf.DUMMYFUNCTION("""COMPUTED_VALUE"""),"EnableOrVerifyHotButton")</f>
        <v>EnableOrVerifyHotButton</v>
      </c>
      <c r="C879" t="str">
        <f>IFERROR(__xludf.DUMMYFUNCTION("""COMPUTED_VALUE"""),"1wa8x9d9kPOHEp49mT2DEW0cyjjOClvAgixk1H2w-Tos")</f>
        <v>1wa8x9d9kPOHEp49mT2DEW0cyjjOClvAgixk1H2w-Tos</v>
      </c>
    </row>
    <row r="880" ht="15.75" customHeight="1">
      <c r="A880" t="str">
        <f>IFERROR(__xludf.DUMMYFUNCTION("""COMPUTED_VALUE"""),"TradeServer")</f>
        <v>TradeServer</v>
      </c>
      <c r="B880" t="str">
        <f>IFERROR(__xludf.DUMMYFUNCTION("""COMPUTED_VALUE"""),"RestartServerOnly")</f>
        <v>RestartServerOnly</v>
      </c>
      <c r="C880" t="str">
        <f>IFERROR(__xludf.DUMMYFUNCTION("""COMPUTED_VALUE"""),"Undefined")</f>
        <v>Undefined</v>
      </c>
    </row>
    <row r="881" ht="15.75" customHeight="1">
      <c r="A881" t="str">
        <f>IFERROR(__xludf.DUMMYFUNCTION("""COMPUTED_VALUE"""),"Rebalancer")</f>
        <v>Rebalancer</v>
      </c>
      <c r="B881" t="str">
        <f>IFERROR(__xludf.DUMMYFUNCTION("""COMPUTED_VALUE"""),"ActionOnCFI")</f>
        <v>ActionOnCFI</v>
      </c>
      <c r="C881" t="str">
        <f>IFERROR(__xludf.DUMMYFUNCTION("""COMPUTED_VALUE"""),"1DUwxSUq_47EK60XmK3LOdCXa1fkWqWJE9bLuGS3ccv412")</f>
        <v>1DUwxSUq_47EK60XmK3LOdCXa1fkWqWJE9bLuGS3ccv412</v>
      </c>
    </row>
    <row r="882" ht="15.75" customHeight="1">
      <c r="A882" t="str">
        <f>IFERROR(__xludf.DUMMYFUNCTION("""COMPUTED_VALUE"""),"Rebalancer")</f>
        <v>Rebalancer</v>
      </c>
      <c r="B882" t="str">
        <f>IFERROR(__xludf.DUMMYFUNCTION("""COMPUTED_VALUE"""),"VerifyCFI")</f>
        <v>VerifyCFI</v>
      </c>
      <c r="C882" t="str">
        <f>IFERROR(__xludf.DUMMYFUNCTION("""COMPUTED_VALUE"""),"1DUwxSUq_47EK60XmK3LOdCXa1fkWqWJE9bLuGS3ccv412")</f>
        <v>1DUwxSUq_47EK60XmK3LOdCXa1fkWqWJE9bLuGS3ccv412</v>
      </c>
    </row>
    <row r="883" ht="15.75" customHeight="1">
      <c r="A883" t="str">
        <f>IFERROR(__xludf.DUMMYFUNCTION("""COMPUTED_VALUE"""),"Rebalancer")</f>
        <v>Rebalancer</v>
      </c>
      <c r="B883" t="str">
        <f>IFERROR(__xludf.DUMMYFUNCTION("""COMPUTED_VALUE"""),"VerifyDelRASGrid")</f>
        <v>VerifyDelRASGrid</v>
      </c>
      <c r="C883" t="str">
        <f>IFERROR(__xludf.DUMMYFUNCTION("""COMPUTED_VALUE"""),"1DUwxSUq_47EK60XmK3LOdCXa1fkWqWJE9bLuGS3ccv412")</f>
        <v>1DUwxSUq_47EK60XmK3LOdCXa1fkWqWJE9bLuGS3ccv412</v>
      </c>
    </row>
    <row r="884" ht="15.75" customHeight="1">
      <c r="A884" t="str">
        <f>IFERROR(__xludf.DUMMYFUNCTION("""COMPUTED_VALUE"""),"Allocation")</f>
        <v>Allocation</v>
      </c>
      <c r="B884" t="str">
        <f>IFERROR(__xludf.DUMMYFUNCTION("""COMPUTED_VALUE"""),"ActionOnUPW")</f>
        <v>ActionOnUPW</v>
      </c>
      <c r="C884" t="str">
        <f>IFERROR(__xludf.DUMMYFUNCTION("""COMPUTED_VALUE"""),"1DUwxSUq_47EK60XmK3LOdCXa1fkWqWJE9bLuGS3ccv413")</f>
        <v>1DUwxSUq_47EK60XmK3LOdCXa1fkWqWJE9bLuGS3ccv413</v>
      </c>
    </row>
    <row r="885" ht="15.75" customHeight="1">
      <c r="A885" t="str">
        <f>IFERROR(__xludf.DUMMYFUNCTION("""COMPUTED_VALUE"""),"Allocation")</f>
        <v>Allocation</v>
      </c>
      <c r="B885" t="str">
        <f>IFERROR(__xludf.DUMMYFUNCTION("""COMPUTED_VALUE"""),"DefaultRuleUPW")</f>
        <v>DefaultRuleUPW</v>
      </c>
      <c r="C885" t="str">
        <f>IFERROR(__xludf.DUMMYFUNCTION("""COMPUTED_VALUE"""),"1DUwxSUq_47EK60XmK3LOdCXa1fkWqWJE9bLuGS3ccv414")</f>
        <v>1DUwxSUq_47EK60XmK3LOdCXa1fkWqWJE9bLuGS3ccv414</v>
      </c>
    </row>
    <row r="886" ht="15.75" customHeight="1">
      <c r="A886" t="str">
        <f>IFERROR(__xludf.DUMMYFUNCTION("""COMPUTED_VALUE"""),"Allocation")</f>
        <v>Allocation</v>
      </c>
      <c r="B886" t="str">
        <f>IFERROR(__xludf.DUMMYFUNCTION("""COMPUTED_VALUE"""),"AccountStrategyUPW")</f>
        <v>AccountStrategyUPW</v>
      </c>
      <c r="C886" t="str">
        <f>IFERROR(__xludf.DUMMYFUNCTION("""COMPUTED_VALUE"""),"1DUwxSUq_47EK60XmK3LOdCXa1fkWqWJE9bLuGS3ccv415")</f>
        <v>1DUwxSUq_47EK60XmK3LOdCXa1fkWqWJE9bLuGS3ccv415</v>
      </c>
    </row>
    <row r="887" ht="15.75" customHeight="1">
      <c r="A887" t="str">
        <f>IFERROR(__xludf.DUMMYFUNCTION("""COMPUTED_VALUE"""),"Allocation")</f>
        <v>Allocation</v>
      </c>
      <c r="B887" t="str">
        <f>IFERROR(__xludf.DUMMYFUNCTION("""COMPUTED_VALUE"""),"ActionOnCalPref")</f>
        <v>ActionOnCalPref</v>
      </c>
      <c r="C887" t="str">
        <f>IFERROR(__xludf.DUMMYFUNCTION("""COMPUTED_VALUE"""),"1DUwxSUq_47EK60XmK3LOdCXa1fkWqWJE9bLuGS3ccv416")</f>
        <v>1DUwxSUq_47EK60XmK3LOdCXa1fkWqWJE9bLuGS3ccv416</v>
      </c>
    </row>
    <row r="888" ht="15.75" customHeight="1">
      <c r="A888" t="str">
        <f>IFERROR(__xludf.DUMMYFUNCTION("""COMPUTED_VALUE"""),"Allocation")</f>
        <v>Allocation</v>
      </c>
      <c r="B888" t="str">
        <f>IFERROR(__xludf.DUMMYFUNCTION("""COMPUTED_VALUE"""),"SetMFDefaultRule")</f>
        <v>SetMFDefaultRule</v>
      </c>
      <c r="C888" t="str">
        <f>IFERROR(__xludf.DUMMYFUNCTION("""COMPUTED_VALUE"""),"1DUwxSUq_47EK60XmK3LOdCXa1fkWqWJE9bLuGS3ccv417")</f>
        <v>1DUwxSUq_47EK60XmK3LOdCXa1fkWqWJE9bLuGS3ccv417</v>
      </c>
    </row>
    <row r="889" ht="15.75" customHeight="1">
      <c r="A889" t="str">
        <f>IFERROR(__xludf.DUMMYFUNCTION("""COMPUTED_VALUE"""),"Allocation")</f>
        <v>Allocation</v>
      </c>
      <c r="B889" t="str">
        <f>IFERROR(__xludf.DUMMYFUNCTION("""COMPUTED_VALUE"""),"ActionOnPrefWindow")</f>
        <v>ActionOnPrefWindow</v>
      </c>
      <c r="C889" t="str">
        <f>IFERROR(__xludf.DUMMYFUNCTION("""COMPUTED_VALUE"""),"1DUwxSUq_47EK60XmK3LOdCXa1fkWqWJE9bLuGS3ccv418")</f>
        <v>1DUwxSUq_47EK60XmK3LOdCXa1fkWqWJE9bLuGS3ccv418</v>
      </c>
    </row>
    <row r="890" ht="15.75" customHeight="1">
      <c r="A890" t="str">
        <f>IFERROR(__xludf.DUMMYFUNCTION("""COMPUTED_VALUE"""),"Allocation")</f>
        <v>Allocation</v>
      </c>
      <c r="B890" t="str">
        <f>IFERROR(__xludf.DUMMYFUNCTION("""COMPUTED_VALUE"""),"GetFixedPrefScheme")</f>
        <v>GetFixedPrefScheme</v>
      </c>
      <c r="C890" t="str">
        <f>IFERROR(__xludf.DUMMYFUNCTION("""COMPUTED_VALUE"""),"1DUwxSUq_47EK60XmK3LOdCXa1fkWqWJE9bLuGS3ccv419")</f>
        <v>1DUwxSUq_47EK60XmK3LOdCXa1fkWqWJE9bLuGS3ccv419</v>
      </c>
    </row>
    <row r="891" ht="15.75" customHeight="1">
      <c r="A891" t="str">
        <f>IFERROR(__xludf.DUMMYFUNCTION("""COMPUTED_VALUE"""),"Allocation")</f>
        <v>Allocation</v>
      </c>
      <c r="B891" t="str">
        <f>IFERROR(__xludf.DUMMYFUNCTION("""COMPUTED_VALUE"""),"VerifyFixedPref")</f>
        <v>VerifyFixedPref</v>
      </c>
      <c r="C891" t="str">
        <f>IFERROR(__xludf.DUMMYFUNCTION("""COMPUTED_VALUE"""),"1DUwxSUq_47EK60XmK3LOdCXa1fkWqWJE9bLuGS3ccv420")</f>
        <v>1DUwxSUq_47EK60XmK3LOdCXa1fkWqWJE9bLuGS3ccv420</v>
      </c>
    </row>
    <row r="892" ht="15.75" customHeight="1">
      <c r="A892" t="str">
        <f>IFERROR(__xludf.DUMMYFUNCTION("""COMPUTED_VALUE"""),"Allocation")</f>
        <v>Allocation</v>
      </c>
      <c r="B892" t="str">
        <f>IFERROR(__xludf.DUMMYFUNCTION("""COMPUTED_VALUE"""),"ActionOnToolBar")</f>
        <v>ActionOnToolBar</v>
      </c>
      <c r="C892" t="str">
        <f>IFERROR(__xludf.DUMMYFUNCTION("""COMPUTED_VALUE"""),"1DUwxSUq_47EK60XmK3LOdCXa1fkWqWJE9bLuGS3ccv421")</f>
        <v>1DUwxSUq_47EK60XmK3LOdCXa1fkWqWJE9bLuGS3ccv421</v>
      </c>
    </row>
    <row r="893" ht="15.75" customHeight="1">
      <c r="A893" t="str">
        <f>IFERROR(__xludf.DUMMYFUNCTION("""COMPUTED_VALUE"""),"Rebalancer")</f>
        <v>Rebalancer</v>
      </c>
      <c r="B893" t="str">
        <f>IFERROR(__xludf.DUMMYFUNCTION("""COMPUTED_VALUE"""),"VerifyCustomGroupModel")</f>
        <v>VerifyCustomGroupModel</v>
      </c>
      <c r="C893" t="str">
        <f>IFERROR(__xludf.DUMMYFUNCTION("""COMPUTED_VALUE"""),"1DUwxSUq_47EK60XmK3LOdCXa1fkWqWJE9bLuGS3ccv422")</f>
        <v>1DUwxSUq_47EK60XmK3LOdCXa1fkWqWJE9bLuGS3ccv422</v>
      </c>
    </row>
    <row r="894" ht="15.75" customHeight="1">
      <c r="A894" t="str">
        <f>IFERROR(__xludf.DUMMYFUNCTION("""COMPUTED_VALUE"""),"Blotter")</f>
        <v>Blotter</v>
      </c>
      <c r="B894" t="str">
        <f>IFERROR(__xludf.DUMMYFUNCTION("""COMPUTED_VALUE"""),"VerifyFilterUiRC")</f>
        <v>VerifyFilterUiRC</v>
      </c>
      <c r="C894" t="str">
        <f>IFERROR(__xludf.DUMMYFUNCTION("""COMPUTED_VALUE"""),"1QQZEZqPXfPnxfNID2a3__xw8RnEAn77igg5Q32S3Sm0")</f>
        <v>1QQZEZqPXfPnxfNID2a3__xw8RnEAn77igg5Q32S3Sm0</v>
      </c>
    </row>
    <row r="895" ht="15.75" customHeight="1">
      <c r="A895" t="str">
        <f>IFERROR(__xludf.DUMMYFUNCTION("""COMPUTED_VALUE"""),"TradingTicket")</f>
        <v>TradingTicket</v>
      </c>
      <c r="B895" t="str">
        <f>IFERROR(__xludf.DUMMYFUNCTION("""COMPUTED_VALUE"""),"SymbolSuggestionVerify")</f>
        <v>SymbolSuggestionVerify</v>
      </c>
      <c r="C895" t="str">
        <f>IFERROR(__xludf.DUMMYFUNCTION("""COMPUTED_VALUE"""),"14aTeLjmUbS-nhaQwjtZAMGxdQ5DS6UsBjE5OTWN-LQU")</f>
        <v>14aTeLjmUbS-nhaQwjtZAMGxdQ5DS6UsBjE5OTWN-LQU</v>
      </c>
    </row>
    <row r="896" ht="15.75" customHeight="1">
      <c r="A896" t="str">
        <f>IFERROR(__xludf.DUMMYFUNCTION("""COMPUTED_VALUE"""),"PreferencesMain")</f>
        <v>PreferencesMain</v>
      </c>
      <c r="B896" t="str">
        <f>IFERROR(__xludf.DUMMYFUNCTION("""COMPUTED_VALUE"""),"UpdatePTTPref")</f>
        <v>UpdatePTTPref</v>
      </c>
      <c r="C896" t="str">
        <f>IFERROR(__xludf.DUMMYFUNCTION("""COMPUTED_VALUE"""),"14aTeLjmUbS-nhaQwjtZAMGxdQ5DS6UsBjE5OTWN-LQU")</f>
        <v>14aTeLjmUbS-nhaQwjtZAMGxdQ5DS6UsBjE5OTWN-LQU</v>
      </c>
    </row>
    <row r="897" ht="15.75" customHeight="1">
      <c r="A897" t="str">
        <f>IFERROR(__xludf.DUMMYFUNCTION("""COMPUTED_VALUE"""),"PreferencesMain")</f>
        <v>PreferencesMain</v>
      </c>
      <c r="B897" t="str">
        <f>IFERROR(__xludf.DUMMYFUNCTION("""COMPUTED_VALUE"""),"ActionOnPreferencesMain")</f>
        <v>ActionOnPreferencesMain</v>
      </c>
      <c r="C897" t="str">
        <f>IFERROR(__xludf.DUMMYFUNCTION("""COMPUTED_VALUE"""),"14aTeLjmUbS-nhaQwjtZAMGxdQ5DS6UsBjE5OTWN-LQU")</f>
        <v>14aTeLjmUbS-nhaQwjtZAMGxdQ5DS6UsBjE5OTWN-LQU</v>
      </c>
    </row>
    <row r="898" ht="15.75" customHeight="1">
      <c r="A898" t="str">
        <f>IFERROR(__xludf.DUMMYFUNCTION("""COMPUTED_VALUE"""),"PreferencesMain")</f>
        <v>PreferencesMain</v>
      </c>
      <c r="B898" t="str">
        <f>IFERROR(__xludf.DUMMYFUNCTION("""COMPUTED_VALUE"""),"VerifyUpdategrdAccountFactor")</f>
        <v>VerifyUpdategrdAccountFactor</v>
      </c>
      <c r="C898" t="str">
        <f>IFERROR(__xludf.DUMMYFUNCTION("""COMPUTED_VALUE"""),"14aTeLjmUbS-nhaQwjtZAMGxdQ5DS6UsBjE5OTWN-LQU")</f>
        <v>14aTeLjmUbS-nhaQwjtZAMGxdQ5DS6UsBjE5OTWN-LQU</v>
      </c>
    </row>
    <row r="899" ht="15.75" customHeight="1">
      <c r="A899" t="str">
        <f>IFERROR(__xludf.DUMMYFUNCTION("""COMPUTED_VALUE"""),"PreferencesMain")</f>
        <v>PreferencesMain</v>
      </c>
      <c r="B899" t="str">
        <f>IFERROR(__xludf.DUMMYFUNCTION("""COMPUTED_VALUE"""),"VerifyUpdategrdMFA")</f>
        <v>VerifyUpdategrdMFA</v>
      </c>
      <c r="C899" t="str">
        <f>IFERROR(__xludf.DUMMYFUNCTION("""COMPUTED_VALUE"""),"14aTeLjmUbS-nhaQwjtZAMGxdQ5DS6UsBjE5OTWN-LQU")</f>
        <v>14aTeLjmUbS-nhaQwjtZAMGxdQ5DS6UsBjE5OTWN-LQU</v>
      </c>
    </row>
    <row r="900" ht="15.75" customHeight="1">
      <c r="A900" t="str">
        <f>IFERROR(__xludf.DUMMYFUNCTION("""COMPUTED_VALUE"""),"PreferencesMain")</f>
        <v>PreferencesMain</v>
      </c>
      <c r="B900" t="str">
        <f>IFERROR(__xludf.DUMMYFUNCTION("""COMPUTED_VALUE"""),"SwitchTabMFA")</f>
        <v>SwitchTabMFA</v>
      </c>
      <c r="C900" t="str">
        <f>IFERROR(__xludf.DUMMYFUNCTION("""COMPUTED_VALUE"""),"14aTeLjmUbS-nhaQwjtZAMGxdQ5DS6UsBjE5OTWN-LQU")</f>
        <v>14aTeLjmUbS-nhaQwjtZAMGxdQ5DS6UsBjE5OTWN-LQU</v>
      </c>
    </row>
    <row r="901" ht="15.75" customHeight="1">
      <c r="A901" t="str">
        <f>IFERROR(__xludf.DUMMYFUNCTION("""COMPUTED_VALUE"""),"PreferencesMain")</f>
        <v>PreferencesMain</v>
      </c>
      <c r="B901" t="str">
        <f>IFERROR(__xludf.DUMMYFUNCTION("""COMPUTED_VALUE"""),"UpdateBlotterPref")</f>
        <v>UpdateBlotterPref</v>
      </c>
      <c r="C901" t="str">
        <f>IFERROR(__xludf.DUMMYFUNCTION("""COMPUTED_VALUE"""),"14aTeLjmUbS-nhaQwjtZAMGxdQ5DS6UsBjE5OTWN-LQU")</f>
        <v>14aTeLjmUbS-nhaQwjtZAMGxdQ5DS6UsBjE5OTWN-LQU</v>
      </c>
    </row>
    <row r="902" ht="15.75" customHeight="1">
      <c r="A902" t="str">
        <f>IFERROR(__xludf.DUMMYFUNCTION("""COMPUTED_VALUE"""),"PreferencesMain")</f>
        <v>PreferencesMain</v>
      </c>
      <c r="B902" t="str">
        <f>IFERROR(__xludf.DUMMYFUNCTION("""COMPUTED_VALUE"""),"UpdatePMPref")</f>
        <v>UpdatePMPref</v>
      </c>
      <c r="C902" t="str">
        <f>IFERROR(__xludf.DUMMYFUNCTION("""COMPUTED_VALUE"""),"14aTeLjmUbS-nhaQwjtZAMGxdQ5DS6UsBjE5OTWN-LQU")</f>
        <v>14aTeLjmUbS-nhaQwjtZAMGxdQ5DS6UsBjE5OTWN-LQU</v>
      </c>
    </row>
    <row r="903" ht="15.75" customHeight="1">
      <c r="A903" t="str">
        <f>IFERROR(__xludf.DUMMYFUNCTION("""COMPUTED_VALUE"""),"PreferencesMain")</f>
        <v>PreferencesMain</v>
      </c>
      <c r="B903" t="str">
        <f>IFERROR(__xludf.DUMMYFUNCTION("""COMPUTED_VALUE"""),"UpdateGenPref")</f>
        <v>UpdateGenPref</v>
      </c>
      <c r="C903" t="str">
        <f>IFERROR(__xludf.DUMMYFUNCTION("""COMPUTED_VALUE"""),"14aTeLjmUbS-nhaQwjtZAMGxdQ5DS6UsBjE5OTWN-LQU")</f>
        <v>14aTeLjmUbS-nhaQwjtZAMGxdQ5DS6UsBjE5OTWN-LQU</v>
      </c>
    </row>
    <row r="904" ht="15.75" customHeight="1">
      <c r="A904" t="str">
        <f>IFERROR(__xludf.DUMMYFUNCTION("""COMPUTED_VALUE"""),"PreferencesMain")</f>
        <v>PreferencesMain</v>
      </c>
      <c r="B904" t="str">
        <f>IFERROR(__xludf.DUMMYFUNCTION("""COMPUTED_VALUE"""),"VerifyUpdateAssetSide")</f>
        <v>VerifyUpdateAssetSide</v>
      </c>
      <c r="C904" t="str">
        <f>IFERROR(__xludf.DUMMYFUNCTION("""COMPUTED_VALUE"""),"14aTeLjmUbS-nhaQwjtZAMGxdQ5DS6UsBjE5OTWN-LQU")</f>
        <v>14aTeLjmUbS-nhaQwjtZAMGxdQ5DS6UsBjE5OTWN-LQU</v>
      </c>
    </row>
    <row r="905" ht="15.75" customHeight="1">
      <c r="A905" t="str">
        <f>IFERROR(__xludf.DUMMYFUNCTION("""COMPUTED_VALUE"""),"PreferencesMain")</f>
        <v>PreferencesMain</v>
      </c>
      <c r="B905" t="str">
        <f>IFERROR(__xludf.DUMMYFUNCTION("""COMPUTED_VALUE"""),"SwicthTabPref")</f>
        <v>SwicthTabPref</v>
      </c>
      <c r="C905" t="str">
        <f>IFERROR(__xludf.DUMMYFUNCTION("""COMPUTED_VALUE"""),"14aTeLjmUbS-nhaQwjtZAMGxdQ5DS6UsBjE5OTWN-LQU")</f>
        <v>14aTeLjmUbS-nhaQwjtZAMGxdQ5DS6UsBjE5OTWN-LQU</v>
      </c>
    </row>
    <row r="906" ht="15.75" customHeight="1">
      <c r="A906" t="str">
        <f>IFERROR(__xludf.DUMMYFUNCTION("""COMPUTED_VALUE"""),"PreferencesMain")</f>
        <v>PreferencesMain</v>
      </c>
      <c r="B906" t="str">
        <f>IFERROR(__xludf.DUMMYFUNCTION("""COMPUTED_VALUE"""),"TTDefaultSelection")</f>
        <v>TTDefaultSelection</v>
      </c>
      <c r="C906" t="str">
        <f>IFERROR(__xludf.DUMMYFUNCTION("""COMPUTED_VALUE"""),"14aTeLjmUbS-nhaQwjtZAMGxdQ5DS6UsBjE5OTWN-LQU")</f>
        <v>14aTeLjmUbS-nhaQwjtZAMGxdQ5DS6UsBjE5OTWN-LQU</v>
      </c>
    </row>
    <row r="907" ht="15.75" customHeight="1">
      <c r="A907" t="str">
        <f>IFERROR(__xludf.DUMMYFUNCTION("""COMPUTED_VALUE"""),"PreferencesMain")</f>
        <v>PreferencesMain</v>
      </c>
      <c r="B907" t="str">
        <f>IFERROR(__xludf.DUMMYFUNCTION("""COMPUTED_VALUE"""),"TTNumSelection")</f>
        <v>TTNumSelection</v>
      </c>
      <c r="C907" t="str">
        <f>IFERROR(__xludf.DUMMYFUNCTION("""COMPUTED_VALUE"""),"14aTeLjmUbS-nhaQwjtZAMGxdQ5DS6UsBjE5OTWN-LQU")</f>
        <v>14aTeLjmUbS-nhaQwjtZAMGxdQ5DS6UsBjE5OTWN-LQU</v>
      </c>
    </row>
    <row r="908" ht="15.75" customHeight="1">
      <c r="A908" t="str">
        <f>IFERROR(__xludf.DUMMYFUNCTION("""COMPUTED_VALUE"""),"PreferencesMain")</f>
        <v>PreferencesMain</v>
      </c>
      <c r="B908" t="str">
        <f>IFERROR(__xludf.DUMMYFUNCTION("""COMPUTED_VALUE"""),"TTConfirmationPopUps")</f>
        <v>TTConfirmationPopUps</v>
      </c>
      <c r="C908" t="str">
        <f>IFERROR(__xludf.DUMMYFUNCTION("""COMPUTED_VALUE"""),"14aTeLjmUbS-nhaQwjtZAMGxdQ5DS6UsBjE5OTWN-LQU")</f>
        <v>14aTeLjmUbS-nhaQwjtZAMGxdQ5DS6UsBjE5OTWN-LQU</v>
      </c>
    </row>
    <row r="909" ht="15.75" customHeight="1">
      <c r="A909" t="str">
        <f>IFERROR(__xludf.DUMMYFUNCTION("""COMPUTED_VALUE"""),"PreferencesMain")</f>
        <v>PreferencesMain</v>
      </c>
      <c r="B909" t="str">
        <f>IFERROR(__xludf.DUMMYFUNCTION("""COMPUTED_VALUE"""),"VerifyUpdateBrokerPref")</f>
        <v>VerifyUpdateBrokerPref</v>
      </c>
      <c r="C909" t="str">
        <f>IFERROR(__xludf.DUMMYFUNCTION("""COMPUTED_VALUE"""),"14aTeLjmUbS-nhaQwjtZAMGxdQ5DS6UsBjE5OTWN-LQU")</f>
        <v>14aTeLjmUbS-nhaQwjtZAMGxdQ5DS6UsBjE5OTWN-LQU</v>
      </c>
    </row>
    <row r="910" ht="15.75" customHeight="1">
      <c r="A910" t="str">
        <f>IFERROR(__xludf.DUMMYFUNCTION("""COMPUTED_VALUE"""),"PreferencesMain")</f>
        <v>PreferencesMain</v>
      </c>
      <c r="B910" t="str">
        <f>IFERROR(__xludf.DUMMYFUNCTION("""COMPUTED_VALUE"""),"TTGeneralPref")</f>
        <v>TTGeneralPref</v>
      </c>
      <c r="C910" t="str">
        <f>IFERROR(__xludf.DUMMYFUNCTION("""COMPUTED_VALUE"""),"14aTeLjmUbS-nhaQwjtZAMGxdQ5DS6UsBjE5OTWN-LQU")</f>
        <v>14aTeLjmUbS-nhaQwjtZAMGxdQ5DS6UsBjE5OTWN-LQU</v>
      </c>
    </row>
    <row r="911" ht="15.75" customHeight="1">
      <c r="A911" t="str">
        <f>IFERROR(__xludf.DUMMYFUNCTION("""COMPUTED_VALUE"""),"PreferencesMain")</f>
        <v>PreferencesMain</v>
      </c>
      <c r="B911" t="str">
        <f>IFERROR(__xludf.DUMMYFUNCTION("""COMPUTED_VALUE"""),"UpdateClosingPref")</f>
        <v>UpdateClosingPref</v>
      </c>
      <c r="C911" t="str">
        <f>IFERROR(__xludf.DUMMYFUNCTION("""COMPUTED_VALUE"""),"14aTeLjmUbS-nhaQwjtZAMGxdQ5DS6UsBjE5OTWN-LQU")</f>
        <v>14aTeLjmUbS-nhaQwjtZAMGxdQ5DS6UsBjE5OTWN-LQU</v>
      </c>
    </row>
    <row r="912" ht="15.75" customHeight="1">
      <c r="A912" t="str">
        <f>IFERROR(__xludf.DUMMYFUNCTION("""COMPUTED_VALUE"""),"Allocation")</f>
        <v>Allocation</v>
      </c>
      <c r="B912" t="str">
        <f>IFERROR(__xludf.DUMMYFUNCTION("""COMPUTED_VALUE"""),"VerifyEditAttRenaming")</f>
        <v>VerifyEditAttRenaming</v>
      </c>
      <c r="C912" t="str">
        <f>IFERROR(__xludf.DUMMYFUNCTION("""COMPUTED_VALUE"""),"14aTeLjmUbS-nhaQwjtZAMGxdQ5DS6UsBjE5OTWN-LQU")</f>
        <v>14aTeLjmUbS-nhaQwjtZAMGxdQ5DS6UsBjE5OTWN-LQU</v>
      </c>
    </row>
    <row r="913" ht="15.75" customHeight="1">
      <c r="A913" t="str">
        <f>IFERROR(__xludf.DUMMYFUNCTION("""COMPUTED_VALUE"""),"Rebalancer")</f>
        <v>Rebalancer</v>
      </c>
      <c r="B913" t="str">
        <f>IFERROR(__xludf.DUMMYFUNCTION("""COMPUTED_VALUE"""),"VerifyTradeList")</f>
        <v>VerifyTradeList</v>
      </c>
      <c r="C913" t="str">
        <f>IFERROR(__xludf.DUMMYFUNCTION("""COMPUTED_VALUE"""),"14aTeLjmUbS-nhaQwjtZAMGxdQ5DS6UsBjE5OTWN-LQU")</f>
        <v>14aTeLjmUbS-nhaQwjtZAMGxdQ5DS6UsBjE5OTWN-LQU</v>
      </c>
    </row>
    <row r="914" ht="15.75" customHeight="1">
      <c r="A914" t="str">
        <f>IFERROR(__xludf.DUMMYFUNCTION("""COMPUTED_VALUE"""),"TradingTicket")</f>
        <v>TradingTicket</v>
      </c>
      <c r="B914" t="str">
        <f>IFERROR(__xludf.DUMMYFUNCTION("""COMPUTED_VALUE"""),"TTMainControls")</f>
        <v>TTMainControls</v>
      </c>
      <c r="C914" t="str">
        <f>IFERROR(__xludf.DUMMYFUNCTION("""COMPUTED_VALUE"""),"1DUwxSUq_47EK60XmK3LOdCXa1fkWqWJE9bLuGS3ccv412")</f>
        <v>1DUwxSUq_47EK60XmK3LOdCXa1fkWqWJE9bLuGS3ccv412</v>
      </c>
    </row>
    <row r="915" ht="15.75" customHeight="1">
      <c r="A915" t="str">
        <f>IFERROR(__xludf.DUMMYFUNCTION("""COMPUTED_VALUE"""),"TradingTicket")</f>
        <v>TradingTicket</v>
      </c>
      <c r="B915" t="str">
        <f>IFERROR(__xludf.DUMMYFUNCTION("""COMPUTED_VALUE"""),"VerifySymStrip")</f>
        <v>VerifySymStrip</v>
      </c>
      <c r="C915" t="str">
        <f>IFERROR(__xludf.DUMMYFUNCTION("""COMPUTED_VALUE"""),"1DUwxSUq_47EK60XmK3LOdCXa1fkWqWJE9bLuGS3ccv412")</f>
        <v>1DUwxSUq_47EK60XmK3LOdCXa1fkWqWJE9bLuGS3ccv412</v>
      </c>
    </row>
    <row r="916" ht="15.75" customHeight="1">
      <c r="A916" t="str">
        <f>IFERROR(__xludf.DUMMYFUNCTION("""COMPUTED_VALUE"""),"TradingTicket")</f>
        <v>TradingTicket</v>
      </c>
      <c r="B916" t="str">
        <f>IFERROR(__xludf.DUMMYFUNCTION("""COMPUTED_VALUE"""),"TTBottomTab")</f>
        <v>TTBottomTab</v>
      </c>
      <c r="C916" t="str">
        <f>IFERROR(__xludf.DUMMYFUNCTION("""COMPUTED_VALUE"""),"1DUwxSUq_47EK60XmK3LOdCXa1fkWqWJE9bLuGS3ccv412")</f>
        <v>1DUwxSUq_47EK60XmK3LOdCXa1fkWqWJE9bLuGS3ccv412</v>
      </c>
    </row>
    <row r="917" ht="15.75" customHeight="1">
      <c r="A917" t="str">
        <f>IFERROR(__xludf.DUMMYFUNCTION("""COMPUTED_VALUE"""),"TradingTicket")</f>
        <v>TradingTicket</v>
      </c>
      <c r="B917" t="str">
        <f>IFERROR(__xludf.DUMMYFUNCTION("""COMPUTED_VALUE"""),"TTBottomSwap")</f>
        <v>TTBottomSwap</v>
      </c>
      <c r="C917" t="str">
        <f>IFERROR(__xludf.DUMMYFUNCTION("""COMPUTED_VALUE"""),"1DUwxSUq_47EK60XmK3LOdCXa1fkWqWJE9bLuGS3ccv412")</f>
        <v>1DUwxSUq_47EK60XmK3LOdCXa1fkWqWJE9bLuGS3ccv412</v>
      </c>
    </row>
    <row r="918" ht="15.75" customHeight="1">
      <c r="A918" t="str">
        <f>IFERROR(__xludf.DUMMYFUNCTION("""COMPUTED_VALUE"""),"Blotter")</f>
        <v>Blotter</v>
      </c>
      <c r="B918" t="str">
        <f>IFERROR(__xludf.DUMMYFUNCTION("""COMPUTED_VALUE"""),"CreateHotButtonOnBlotter")</f>
        <v>CreateHotButtonOnBlotter</v>
      </c>
      <c r="C918" t="str">
        <f>IFERROR(__xludf.DUMMYFUNCTION("""COMPUTED_VALUE"""),"1Yu7Fb6AjhUP8b-KuRJvgAwq8TykNK6BDh9F0Xpf12Ek")</f>
        <v>1Yu7Fb6AjhUP8b-KuRJvgAwq8TykNK6BDh9F0Xpf12Ek</v>
      </c>
    </row>
    <row r="919" ht="15.75" customHeight="1">
      <c r="A919" t="str">
        <f>IFERROR(__xludf.DUMMYFUNCTION("""COMPUTED_VALUE"""),"Blotter")</f>
        <v>Blotter</v>
      </c>
      <c r="B919" t="str">
        <f>IFERROR(__xludf.DUMMYFUNCTION("""COMPUTED_VALUE"""),"FillHBdetailsOnBlotter")</f>
        <v>FillHBdetailsOnBlotter</v>
      </c>
      <c r="C919" t="str">
        <f>IFERROR(__xludf.DUMMYFUNCTION("""COMPUTED_VALUE"""),"13Isj5c5k8kObxI-GBT6Ir9VBOz_46lzhwVxXXVP8jQU")</f>
        <v>13Isj5c5k8kObxI-GBT6Ir9VBOz_46lzhwVxXXVP8jQU</v>
      </c>
    </row>
    <row r="920" ht="15.75" customHeight="1">
      <c r="A920" t="str">
        <f>IFERROR(__xludf.DUMMYFUNCTION("""COMPUTED_VALUE"""),"TradingTicket")</f>
        <v>TradingTicket</v>
      </c>
      <c r="B920" t="str">
        <f>IFERROR(__xludf.DUMMYFUNCTION("""COMPUTED_VALUE"""),"EditAuecWindow")</f>
        <v>EditAuecWindow</v>
      </c>
      <c r="C920" t="str">
        <f>IFERROR(__xludf.DUMMYFUNCTION("""COMPUTED_VALUE"""),"1ottlNphVbp0AC-UFd-HlDpCLwOA2yWO1pN6eR3ML7vA")</f>
        <v>1ottlNphVbp0AC-UFd-HlDpCLwOA2yWO1pN6eR3ML7vA</v>
      </c>
    </row>
    <row r="921" ht="15.75" customHeight="1">
      <c r="A921" t="str">
        <f>IFERROR(__xludf.DUMMYFUNCTION("""COMPUTED_VALUE"""),"TradingTicket")</f>
        <v>TradingTicket</v>
      </c>
      <c r="B921" t="str">
        <f>IFERROR(__xludf.DUMMYFUNCTION("""COMPUTED_VALUE"""),"VerifyBrokerSummary")</f>
        <v>VerifyBrokerSummary</v>
      </c>
      <c r="C921" t="str">
        <f>IFERROR(__xludf.DUMMYFUNCTION("""COMPUTED_VALUE"""),"11hMxlfIQYwM8vPN2h--IGp7O02EDFbvJ4CSvjSfGsMY")</f>
        <v>11hMxlfIQYwM8vPN2h--IGp7O02EDFbvJ4CSvjSfGsMY</v>
      </c>
    </row>
    <row r="922" ht="15.75" customHeight="1">
      <c r="A922" t="str">
        <f>IFERROR(__xludf.DUMMYFUNCTION("""COMPUTED_VALUE"""),"QTT")</f>
        <v>QTT</v>
      </c>
      <c r="B922" t="str">
        <f>IFERROR(__xludf.DUMMYFUNCTION("""COMPUTED_VALUE"""),"EditAuecWindowQTT")</f>
        <v>EditAuecWindowQTT</v>
      </c>
      <c r="C922" t="str">
        <f>IFERROR(__xludf.DUMMYFUNCTION("""COMPUTED_VALUE"""),"1oI_WY3xKQgSjp5JN67BMHtm3zazX5ZiMATISa2ssGB0")</f>
        <v>1oI_WY3xKQgSjp5JN67BMHtm3zazX5ZiMATISa2ssGB0</v>
      </c>
    </row>
    <row r="923" ht="15.75" customHeight="1">
      <c r="A923" t="str">
        <f>IFERROR(__xludf.DUMMYFUNCTION("""COMPUTED_VALUE"""),"QTT")</f>
        <v>QTT</v>
      </c>
      <c r="B923" t="str">
        <f>IFERROR(__xludf.DUMMYFUNCTION("""COMPUTED_VALUE"""),"VerifyBrokerSummaryQTT")</f>
        <v>VerifyBrokerSummaryQTT</v>
      </c>
      <c r="C923" t="str">
        <f>IFERROR(__xludf.DUMMYFUNCTION("""COMPUTED_VALUE"""),"1O6-eqYsZqtvYR6DOH7UM2_Jwpq9pB9uyZvgh5vEhVAI")</f>
        <v>1O6-eqYsZqtvYR6DOH7UM2_Jwpq9pB9uyZvgh5vEhVAI</v>
      </c>
    </row>
    <row r="924" ht="15.75" customHeight="1">
      <c r="A924" t="str">
        <f>IFERROR(__xludf.DUMMYFUNCTION("""COMPUTED_VALUE"""),"QTT")</f>
        <v>QTT</v>
      </c>
      <c r="B924" t="str">
        <f>IFERROR(__xludf.DUMMYFUNCTION("""COMPUTED_VALUE"""),"SaveQTThotKey")</f>
        <v>SaveQTThotKey</v>
      </c>
      <c r="C924" t="str">
        <f>IFERROR(__xludf.DUMMYFUNCTION("""COMPUTED_VALUE"""),"Undefined")</f>
        <v>Undefined</v>
      </c>
    </row>
    <row r="925" ht="15.75" customHeight="1">
      <c r="A925" t="str">
        <f>IFERROR(__xludf.DUMMYFUNCTION("""COMPUTED_VALUE"""),"Blotter")</f>
        <v>Blotter</v>
      </c>
      <c r="B925" t="str">
        <f>IFERROR(__xludf.DUMMYFUNCTION("""COMPUTED_VALUE"""),"BlotterColumnChooser")</f>
        <v>BlotterColumnChooser</v>
      </c>
      <c r="C925" t="str">
        <f>IFERROR(__xludf.DUMMYFUNCTION("""COMPUTED_VALUE"""),"12428TbyucuJDD3KuN7QG-GyRYI3gcoyDNKTQ2UpgGMQ")</f>
        <v>12428TbyucuJDD3KuN7QG-GyRYI3gcoyDNKTQ2UpgGMQ</v>
      </c>
    </row>
    <row r="926" ht="15.75" customHeight="1">
      <c r="A926" t="str">
        <f>IFERROR(__xludf.DUMMYFUNCTION("""COMPUTED_VALUE"""),"RTPNL")</f>
        <v>RTPNL</v>
      </c>
      <c r="B926" t="str">
        <f>IFERROR(__xludf.DUMMYFUNCTION("""COMPUTED_VALUE"""),"CreateGroupingWidget")</f>
        <v>CreateGroupingWidget</v>
      </c>
      <c r="C926" t="str">
        <f>IFERROR(__xludf.DUMMYFUNCTION("""COMPUTED_VALUE"""),"1ctXhgvJgrqqe8ees0907Up0TKq9pCEhinMlZnRGqKdY")</f>
        <v>1ctXhgvJgrqqe8ees0907Up0TKq9pCEhinMlZnRGqKdY</v>
      </c>
    </row>
    <row r="927" ht="15.75" customHeight="1">
      <c r="A927" t="str">
        <f>IFERROR(__xludf.DUMMYFUNCTION("""COMPUTED_VALUE"""),"RTPNL")</f>
        <v>RTPNL</v>
      </c>
      <c r="B927" t="str">
        <f>IFERROR(__xludf.DUMMYFUNCTION("""COMPUTED_VALUE"""),"CheckGroupingWidget")</f>
        <v>CheckGroupingWidget</v>
      </c>
      <c r="C927" t="str">
        <f>IFERROR(__xludf.DUMMYFUNCTION("""COMPUTED_VALUE"""),"16mimyUFzQ0Ojogh0t4Evjy-tjzAJ67xgIrWeTNmBdw0")</f>
        <v>16mimyUFzQ0Ojogh0t4Evjy-tjzAJ67xgIrWeTNmBdw0</v>
      </c>
    </row>
    <row r="928" ht="15.75" customHeight="1">
      <c r="A928" t="str">
        <f>IFERROR(__xludf.DUMMYFUNCTION("""COMPUTED_VALUE"""),"TradingTicket")</f>
        <v>TradingTicket</v>
      </c>
      <c r="B928" t="str">
        <f>IFERROR(__xludf.DUMMYFUNCTION("""COMPUTED_VALUE"""),"QTTHamburg")</f>
        <v>QTTHamburg</v>
      </c>
      <c r="C928" t="str">
        <f>IFERROR(__xludf.DUMMYFUNCTION("""COMPUTED_VALUE"""),"1pdXDcLRWAl2b2L88lHCntj01OLBjVHaNAdGG8OHa4hA")</f>
        <v>1pdXDcLRWAl2b2L88lHCntj01OLBjVHaNAdGG8OHa4hA</v>
      </c>
    </row>
    <row r="929" ht="15.75" customHeight="1">
      <c r="A929" t="str">
        <f>IFERROR(__xludf.DUMMYFUNCTION("""COMPUTED_VALUE"""),"RTPNL")</f>
        <v>RTPNL</v>
      </c>
      <c r="B929" t="str">
        <f>IFERROR(__xludf.DUMMYFUNCTION("""COMPUTED_VALUE"""),"VerifyL1L2PanelRTPNL")</f>
        <v>VerifyL1L2PanelRTPNL</v>
      </c>
      <c r="C929" t="str">
        <f>IFERROR(__xludf.DUMMYFUNCTION("""COMPUTED_VALUE"""),"1cQo_rX9O9XHFILj0ICV1GAU_RdtTKYlclT20jg9G7hg")</f>
        <v>1cQo_rX9O9XHFILj0ICV1GAU_RdtTKYlclT20jg9G7hg</v>
      </c>
    </row>
    <row r="930" ht="15.75" customHeight="1">
      <c r="A930" t="str">
        <f>IFERROR(__xludf.DUMMYFUNCTION("""COMPUTED_VALUE"""),"Blotter")</f>
        <v>Blotter</v>
      </c>
      <c r="B930" t="str">
        <f>IFERROR(__xludf.DUMMYFUNCTION("""COMPUTED_VALUE"""),"CaptureHotButtonDetails")</f>
        <v>CaptureHotButtonDetails</v>
      </c>
      <c r="C930" t="str">
        <f>IFERROR(__xludf.DUMMYFUNCTION("""COMPUTED_VALUE"""),"16Dail-EoPWyIhwRzxyvr-EY1IE8jJTUQDarvGnXioxI")</f>
        <v>16Dail-EoPWyIhwRzxyvr-EY1IE8jJTUQDarvGnXioxI</v>
      </c>
    </row>
    <row r="931" ht="15.75" customHeight="1">
      <c r="A931" t="str">
        <f>IFERROR(__xludf.DUMMYFUNCTION("""COMPUTED_VALUE"""),"SymbolLookup")</f>
        <v>SymbolLookup</v>
      </c>
      <c r="B931" t="str">
        <f>IFERROR(__xludf.DUMMYFUNCTION("""COMPUTED_VALUE"""),"EditSMGrid")</f>
        <v>EditSMGrid</v>
      </c>
      <c r="C931" t="str">
        <f>IFERROR(__xludf.DUMMYFUNCTION("""COMPUTED_VALUE"""),"14aTeLjmUbS-nhaQwjtZAMGxdQ5DS6UsBjE5OTWN-LQU")</f>
        <v>14aTeLjmUbS-nhaQwjtZAMGxdQ5DS6UsBjE5OTWN-LQU</v>
      </c>
    </row>
    <row r="932" ht="15.75" customHeight="1">
      <c r="A932" t="str">
        <f>IFERROR(__xludf.DUMMYFUNCTION("""COMPUTED_VALUE"""),"QTT")</f>
        <v>QTT</v>
      </c>
      <c r="B932" t="str">
        <f>IFERROR(__xludf.DUMMYFUNCTION("""COMPUTED_VALUE"""),"EditQuickPreference")</f>
        <v>EditQuickPreference</v>
      </c>
      <c r="C932" t="str">
        <f>IFERROR(__xludf.DUMMYFUNCTION("""COMPUTED_VALUE"""),"133vNW3loXmIKhcuaiCwGIGXOULCttZuJZtPfA4s37vw")</f>
        <v>133vNW3loXmIKhcuaiCwGIGXOULCttZuJZtPfA4s37vw</v>
      </c>
    </row>
    <row r="933" ht="15.75" customHeight="1">
      <c r="A933" t="str">
        <f>IFERROR(__xludf.DUMMYFUNCTION("""COMPUTED_VALUE"""),"Blotter")</f>
        <v>Blotter</v>
      </c>
      <c r="B933" t="str">
        <f>IFERROR(__xludf.DUMMYFUNCTION("""COMPUTED_VALUE"""),"RightClickActionVerification")</f>
        <v>RightClickActionVerification</v>
      </c>
      <c r="C933" t="str">
        <f>IFERROR(__xludf.DUMMYFUNCTION("""COMPUTED_VALUE"""),"11EX1Ln-BQAtx9NTd9zfcaia52FGNdZENDW2kwMCJ8HQ")</f>
        <v>11EX1Ln-BQAtx9NTd9zfcaia52FGNdZENDW2kwMCJ8HQ</v>
      </c>
    </row>
    <row r="934" ht="15.75" customHeight="1">
      <c r="A934" t="str">
        <f>IFERROR(__xludf.DUMMYFUNCTION("""COMPUTED_VALUE"""),"SymbolLookup")</f>
        <v>SymbolLookup</v>
      </c>
      <c r="B934" t="str">
        <f>IFERROR(__xludf.DUMMYFUNCTION("""COMPUTED_VALUE"""),"PageOneDetails")</f>
        <v>PageOneDetails</v>
      </c>
      <c r="C934" t="str">
        <f>IFERROR(__xludf.DUMMYFUNCTION("""COMPUTED_VALUE"""),"11EX1Ln-BQAtx9NTd9zfcaia52FGNdZENDW2kwMCJ8HQ")</f>
        <v>11EX1Ln-BQAtx9NTd9zfcaia52FGNdZENDW2kwMCJ8HQ</v>
      </c>
    </row>
    <row r="935" ht="15.75" customHeight="1">
      <c r="A935" t="str">
        <f>IFERROR(__xludf.DUMMYFUNCTION("""COMPUTED_VALUE"""),"SymbolLookup")</f>
        <v>SymbolLookup</v>
      </c>
      <c r="B935" t="str">
        <f>IFERROR(__xludf.DUMMYFUNCTION("""COMPUTED_VALUE"""),"ActionOnSI")</f>
        <v>ActionOnSI</v>
      </c>
      <c r="C935" t="str">
        <f>IFERROR(__xludf.DUMMYFUNCTION("""COMPUTED_VALUE"""),"11EX1Ln-BQAtx9NTd9zfcaia52FGNdZENDW2kwMCJ8HQ")</f>
        <v>11EX1Ln-BQAtx9NTd9zfcaia52FGNdZENDW2kwMCJ8HQ</v>
      </c>
    </row>
    <row r="936" ht="15.75" customHeight="1">
      <c r="A936" t="str">
        <f>IFERROR(__xludf.DUMMYFUNCTION("""COMPUTED_VALUE"""),"SymbolLookup")</f>
        <v>SymbolLookup</v>
      </c>
      <c r="B936" t="str">
        <f>IFERROR(__xludf.DUMMYFUNCTION("""COMPUTED_VALUE"""),"PageTwoDetails")</f>
        <v>PageTwoDetails</v>
      </c>
      <c r="C936" t="str">
        <f>IFERROR(__xludf.DUMMYFUNCTION("""COMPUTED_VALUE"""),"11EX1Ln-BQAtx9NTd9zfcaia52FGNdZENDW2kwMCJ8HQ")</f>
        <v>11EX1Ln-BQAtx9NTd9zfcaia52FGNdZENDW2kwMCJ8HQ</v>
      </c>
    </row>
    <row r="937" ht="15.75" customHeight="1">
      <c r="A937" t="str">
        <f>IFERROR(__xludf.DUMMYFUNCTION("""COMPUTED_VALUE"""),"SymbolLookup")</f>
        <v>SymbolLookup</v>
      </c>
      <c r="B937" t="str">
        <f>IFERROR(__xludf.DUMMYFUNCTION("""COMPUTED_VALUE"""),"ActiononSMPane")</f>
        <v>ActiononSMPane</v>
      </c>
      <c r="C937" t="str">
        <f>IFERROR(__xludf.DUMMYFUNCTION("""COMPUTED_VALUE"""),"11EX1Ln-BQAtx9NTd9zfcaia52FGNdZENDW2kwMCJ8HQ")</f>
        <v>11EX1Ln-BQAtx9NTd9zfcaia52FGNdZENDW2kwMCJ8HQ</v>
      </c>
    </row>
    <row r="938" ht="15.75" customHeight="1">
      <c r="A938" t="str">
        <f>IFERROR(__xludf.DUMMYFUNCTION("""COMPUTED_VALUE"""),"SymbolLookup")</f>
        <v>SymbolLookup</v>
      </c>
      <c r="B938" t="str">
        <f>IFERROR(__xludf.DUMMYFUNCTION("""COMPUTED_VALUE"""),"PageThreeDetails")</f>
        <v>PageThreeDetails</v>
      </c>
      <c r="C938" t="str">
        <f>IFERROR(__xludf.DUMMYFUNCTION("""COMPUTED_VALUE"""),"11EX1Ln-BQAtx9NTd9zfcaia52FGNdZENDW2kwMCJ8HQ")</f>
        <v>11EX1Ln-BQAtx9NTd9zfcaia52FGNdZENDW2kwMCJ8HQ</v>
      </c>
    </row>
    <row r="939" ht="15.75" customHeight="1">
      <c r="A939" t="str">
        <f>IFERROR(__xludf.DUMMYFUNCTION("""COMPUTED_VALUE"""),"SymbolLookup")</f>
        <v>SymbolLookup</v>
      </c>
      <c r="B939" t="str">
        <f>IFERROR(__xludf.DUMMYFUNCTION("""COMPUTED_VALUE"""),"VerifySMGrid")</f>
        <v>VerifySMGrid</v>
      </c>
      <c r="C939" t="str">
        <f>IFERROR(__xludf.DUMMYFUNCTION("""COMPUTED_VALUE"""),"11EX1Ln-BQAtx9NTd9zfcaia52FGNdZENDW2kwMCJ8HQ")</f>
        <v>11EX1Ln-BQAtx9NTd9zfcaia52FGNdZENDW2kwMCJ8HQ</v>
      </c>
    </row>
    <row r="940" ht="15.75" customHeight="1">
      <c r="A940" t="str">
        <f>IFERROR(__xludf.DUMMYFUNCTION("""COMPUTED_VALUE"""),"SymbolLookup")</f>
        <v>SymbolLookup</v>
      </c>
      <c r="B940" t="str">
        <f>IFERROR(__xludf.DUMMYFUNCTION("""COMPUTED_VALUE"""),"PageFourDetails")</f>
        <v>PageFourDetails</v>
      </c>
      <c r="C940" t="str">
        <f>IFERROR(__xludf.DUMMYFUNCTION("""COMPUTED_VALUE"""),"11EX1Ln-BQAtx9NTd9zfcaia52FGNdZENDW2kwMCJ8HQ")</f>
        <v>11EX1Ln-BQAtx9NTd9zfcaia52FGNdZENDW2kwMCJ8HQ</v>
      </c>
    </row>
    <row r="941" ht="15.75" customHeight="1">
      <c r="A941" t="str">
        <f>IFERROR(__xludf.DUMMYFUNCTION("""COMPUTED_VALUE"""),"Admin")</f>
        <v>Admin</v>
      </c>
      <c r="B941" t="str">
        <f>IFERROR(__xludf.DUMMYFUNCTION("""COMPUTED_VALUE"""),"ChangeDate")</f>
        <v>ChangeDate</v>
      </c>
      <c r="C941" t="str">
        <f>IFERROR(__xludf.DUMMYFUNCTION("""COMPUTED_VALUE"""),"1P5fd0ftHTs8WR6XF70cltzN5BPur7V01OcYEMpPEMVE")</f>
        <v>1P5fd0ftHTs8WR6XF70cltzN5BPur7V01OcYEMpPEMVE</v>
      </c>
    </row>
    <row r="942" ht="15.75" customHeight="1">
      <c r="A942" t="str">
        <f>IFERROR(__xludf.DUMMYFUNCTION("""COMPUTED_VALUE"""),"Simulator")</f>
        <v>Simulator</v>
      </c>
      <c r="B942" t="str">
        <f>IFERROR(__xludf.DUMMYFUNCTION("""COMPUTED_VALUE"""),"NewAcknowledgeTrade")</f>
        <v>NewAcknowledgeTrade</v>
      </c>
      <c r="C942" t="str">
        <f>IFERROR(__xludf.DUMMYFUNCTION("""COMPUTED_VALUE"""),"1H8R-FdslnMhiBZjAanQN5V9z26E47VjoaeJWQdGZ2pU")</f>
        <v>1H8R-FdslnMhiBZjAanQN5V9z26E47VjoaeJWQdGZ2pU</v>
      </c>
    </row>
    <row r="943" ht="15.75" customHeight="1">
      <c r="A943" t="str">
        <f>IFERROR(__xludf.DUMMYFUNCTION("""COMPUTED_VALUE"""),"Allocation")</f>
        <v>Allocation</v>
      </c>
      <c r="B943" t="str">
        <f>IFERROR(__xludf.DUMMYFUNCTION("""COMPUTED_VALUE"""),"ActionOnToolBar")</f>
        <v>ActionOnToolBar</v>
      </c>
      <c r="C943" t="str">
        <f>IFERROR(__xludf.DUMMYFUNCTION("""COMPUTED_VALUE"""),"11EX1Ln-BQAtx9NTd9zfcaia52FGNdZENDW2kwMCJ8HQ")</f>
        <v>11EX1Ln-BQAtx9NTd9zfcaia52FGNdZENDW2kwMCJ8HQ</v>
      </c>
    </row>
    <row r="944" ht="15.75" customHeight="1">
      <c r="A944" t="str">
        <f>IFERROR(__xludf.DUMMYFUNCTION("""COMPUTED_VALUE"""),"Allocation")</f>
        <v>Allocation</v>
      </c>
      <c r="B944" t="str">
        <f>IFERROR(__xludf.DUMMYFUNCTION("""COMPUTED_VALUE"""),"AutoGrpRules")</f>
        <v>AutoGrpRules</v>
      </c>
      <c r="C944" t="str">
        <f>IFERROR(__xludf.DUMMYFUNCTION("""COMPUTED_VALUE"""),"11EX1Ln-BQAtx9NTd9zfcaia52FGNdZENDW2kwMCJ8HQ")</f>
        <v>11EX1Ln-BQAtx9NTd9zfcaia52FGNdZENDW2kwMCJ8HQ</v>
      </c>
    </row>
    <row r="945" ht="15.75" customHeight="1">
      <c r="A945" t="str">
        <f>IFERROR(__xludf.DUMMYFUNCTION("""COMPUTED_VALUE"""),"Allocation")</f>
        <v>Allocation</v>
      </c>
      <c r="B945" t="str">
        <f>IFERROR(__xludf.DUMMYFUNCTION("""COMPUTED_VALUE"""),"VerifyToggleStateTA")</f>
        <v>VerifyToggleStateTA</v>
      </c>
      <c r="C945" t="str">
        <f>IFERROR(__xludf.DUMMYFUNCTION("""COMPUTED_VALUE"""),"11EX1Ln-BQAtx9NTd9zfcaia52FGNdZENDW2kwMCJ8HQ")</f>
        <v>11EX1Ln-BQAtx9NTd9zfcaia52FGNdZENDW2kwMCJ8HQ</v>
      </c>
    </row>
    <row r="946" ht="15.75" customHeight="1">
      <c r="A946" t="str">
        <f>IFERROR(__xludf.DUMMYFUNCTION("""COMPUTED_VALUE"""),"Expnl")</f>
        <v>Expnl</v>
      </c>
      <c r="B946" t="str">
        <f>IFERROR(__xludf.DUMMYFUNCTION("""COMPUTED_VALUE"""),"RefreshExpnlUi")</f>
        <v>RefreshExpnlUi</v>
      </c>
      <c r="C946" t="str">
        <f>IFERROR(__xludf.DUMMYFUNCTION("""COMPUTED_VALUE"""),"Undefined")</f>
        <v>Undefined</v>
      </c>
    </row>
    <row r="947" ht="15.75" customHeight="1">
      <c r="A947" t="str">
        <f>IFERROR(__xludf.DUMMYFUNCTION("""COMPUTED_VALUE"""),"Allocation")</f>
        <v>Allocation</v>
      </c>
      <c r="B947" t="str">
        <f>IFERROR(__xludf.DUMMYFUNCTION("""COMPUTED_VALUE"""),"ActiononAGP")</f>
        <v>ActiononAGP</v>
      </c>
      <c r="C947" t="str">
        <f>IFERROR(__xludf.DUMMYFUNCTION("""COMPUTED_VALUE"""),"11EX1Ln-BQAtx9NTd9zfcaia52FGNdZENDW2kwMCJ8HQ")</f>
        <v>11EX1Ln-BQAtx9NTd9zfcaia52FGNdZENDW2kwMCJ8HQ</v>
      </c>
    </row>
    <row r="948" ht="15.75" customHeight="1">
      <c r="A948" t="str">
        <f>IFERROR(__xludf.DUMMYFUNCTION("""COMPUTED_VALUE"""),"Allocation")</f>
        <v>Allocation</v>
      </c>
      <c r="B948" t="str">
        <f>IFERROR(__xludf.DUMMYFUNCTION("""COMPUTED_VALUE"""),"AttBulkChng")</f>
        <v>AttBulkChng</v>
      </c>
      <c r="C948" t="str">
        <f>IFERROR(__xludf.DUMMYFUNCTION("""COMPUTED_VALUE"""),"11EX1Ln-BQAtx9NTd9zfcaia52FGNdZENDW2kwMCJ8HQ")</f>
        <v>11EX1Ln-BQAtx9NTd9zfcaia52FGNdZENDW2kwMCJ8HQ</v>
      </c>
    </row>
    <row r="949" ht="15.75" customHeight="1">
      <c r="A949" t="str">
        <f>IFERROR(__xludf.DUMMYFUNCTION("""COMPUTED_VALUE"""),"Allocation")</f>
        <v>Allocation</v>
      </c>
      <c r="B949" t="str">
        <f>IFERROR(__xludf.DUMMYFUNCTION("""COMPUTED_VALUE"""),"AttBulkChngTwo")</f>
        <v>AttBulkChngTwo</v>
      </c>
      <c r="C949" t="str">
        <f>IFERROR(__xludf.DUMMYFUNCTION("""COMPUTED_VALUE"""),"11EX1Ln-BQAtx9NTd9zfcaia52FGNdZENDW2kwMCJ8HQ")</f>
        <v>11EX1Ln-BQAtx9NTd9zfcaia52FGNdZENDW2kwMCJ8HQ</v>
      </c>
    </row>
    <row r="950" ht="15.75" customHeight="1">
      <c r="A950" t="str">
        <f>IFERROR(__xludf.DUMMYFUNCTION("""COMPUTED_VALUE"""),"Login")</f>
        <v>Login</v>
      </c>
      <c r="B950" t="str">
        <f>IFERROR(__xludf.DUMMYFUNCTION("""COMPUTED_VALUE"""),"Login")</f>
        <v>Login</v>
      </c>
      <c r="C950" t="str">
        <f>IFERROR(__xludf.DUMMYFUNCTION("""COMPUTED_VALUE"""),"1uy63r2XjpUIBlAUk-lXKJTr-PpvpP6wxvLlLDzoM-Ic")</f>
        <v>1uy63r2XjpUIBlAUk-lXKJTr-PpvpP6wxvLlLDzoM-Ic</v>
      </c>
    </row>
    <row r="951" ht="15.75" customHeight="1">
      <c r="A951" t="str">
        <f>IFERROR(__xludf.DUMMYFUNCTION("""COMPUTED_VALUE"""),"Simulator")</f>
        <v>Simulator</v>
      </c>
      <c r="B951" t="str">
        <f>IFERROR(__xludf.DUMMYFUNCTION("""COMPUTED_VALUE"""),"VerifyRowAllFixLogs")</f>
        <v>VerifyRowAllFixLogs</v>
      </c>
      <c r="C951" t="str">
        <f>IFERROR(__xludf.DUMMYFUNCTION("""COMPUTED_VALUE"""),"1_W_DB1rnbV-zXf1aqv8VkPNpTGPIckmD7s5z0ncm4ho")</f>
        <v>1_W_DB1rnbV-zXf1aqv8VkPNpTGPIckmD7s5z0ncm4ho</v>
      </c>
    </row>
    <row r="952" ht="15.75" customHeight="1">
      <c r="A952" t="str">
        <f>IFERROR(__xludf.DUMMYFUNCTION("""COMPUTED_VALUE"""),"Blotter")</f>
        <v>Blotter</v>
      </c>
      <c r="B952" t="str">
        <f>IFERROR(__xludf.DUMMYFUNCTION("""COMPUTED_VALUE"""),"ManageHotButton")</f>
        <v>ManageHotButton</v>
      </c>
      <c r="C952" t="str">
        <f>IFERROR(__xludf.DUMMYFUNCTION("""COMPUTED_VALUE"""),"1kQpkPRi_1u4R3VazjhiilbOI8OkiiHRY2wfgByau1YY")</f>
        <v>1kQpkPRi_1u4R3VazjhiilbOI8OkiiHRY2wfgByau1YY</v>
      </c>
    </row>
    <row r="953" ht="15.75" customHeight="1">
      <c r="A953" t="str">
        <f>IFERROR(__xludf.DUMMYFUNCTION("""COMPUTED_VALUE"""),"Simulator")</f>
        <v>Simulator</v>
      </c>
      <c r="B953" t="str">
        <f>IFERROR(__xludf.DUMMYFUNCTION("""COMPUTED_VALUE"""),"ClearAllFixLogs")</f>
        <v>ClearAllFixLogs</v>
      </c>
    </row>
    <row r="954" ht="15.75" customHeight="1">
      <c r="A954" t="str">
        <f>IFERROR(__xludf.DUMMYFUNCTION("""COMPUTED_VALUE"""),"PranaClient")</f>
        <v>PranaClient</v>
      </c>
      <c r="B954" t="str">
        <f>IFERROR(__xludf.DUMMYFUNCTION("""COMPUTED_VALUE"""),"UpdateLiveExcelSheetForRTPNL")</f>
        <v>UpdateLiveExcelSheetForRTPNL</v>
      </c>
    </row>
    <row r="955" ht="15.75" customHeight="1">
      <c r="A955" t="str">
        <f>IFERROR(__xludf.DUMMYFUNCTION("""COMPUTED_VALUE"""),"OpenFin")</f>
        <v>OpenFin</v>
      </c>
      <c r="B955" t="str">
        <f>IFERROR(__xludf.DUMMYFUNCTION("""COMPUTED_VALUE"""),"SavePageRTPNL")</f>
        <v>SavePageRTPNL</v>
      </c>
      <c r="C955" t="str">
        <f>IFERROR(__xludf.DUMMYFUNCTION("""COMPUTED_VALUE"""),"1YqhSG4yXo70SfhUq3fYD9CKf-eg44IFJ37IZh4WLI84")</f>
        <v>1YqhSG4yXo70SfhUq3fYD9CKf-eg44IFJ37IZh4WLI84</v>
      </c>
    </row>
    <row r="956" ht="15.75" customHeight="1">
      <c r="A956" t="str">
        <f>IFERROR(__xludf.DUMMYFUNCTION("""COMPUTED_VALUE"""),"RTPNL")</f>
        <v>RTPNL</v>
      </c>
      <c r="B956" t="str">
        <f>IFERROR(__xludf.DUMMYFUNCTION("""COMPUTED_VALUE"""),"VerifyGridThroughLiveExcel")</f>
        <v>VerifyGridThroughLiveExcel</v>
      </c>
      <c r="C956" t="str">
        <f>IFERROR(__xludf.DUMMYFUNCTION("""COMPUTED_VALUE"""),"1cCUw9lchUCKgHeNcwCDXybCOZXIeN4O0zRhkTZCVDUg")</f>
        <v>1cCUw9lchUCKgHeNcwCDXybCOZXIeN4O0zRhkTZCVDUg</v>
      </c>
    </row>
    <row r="957" ht="15.75" customHeight="1">
      <c r="A957" t="str">
        <f>IFERROR(__xludf.DUMMYFUNCTION("""COMPUTED_VALUE"""),"OpenFin")</f>
        <v>OpenFin</v>
      </c>
      <c r="B957" t="str">
        <f>IFERROR(__xludf.DUMMYFUNCTION("""COMPUTED_VALUE"""),"VerifyToastMessage")</f>
        <v>VerifyToastMessage</v>
      </c>
      <c r="C957" t="str">
        <f>IFERROR(__xludf.DUMMYFUNCTION("""COMPUTED_VALUE"""),"1DYn70fZ-UJ9bocMMWUWIW2IVfXlF5TRVuLedi7Y_LNk")</f>
        <v>1DYn70fZ-UJ9bocMMWUWIW2IVfXlF5TRVuLedi7Y_LNk</v>
      </c>
    </row>
    <row r="958" ht="15.75" customHeight="1">
      <c r="A958" t="str">
        <f>IFERROR(__xludf.DUMMYFUNCTION("""COMPUTED_VALUE"""),"NavLock")</f>
        <v>NavLock</v>
      </c>
      <c r="B958" t="str">
        <f>IFERROR(__xludf.DUMMYFUNCTION("""COMPUTED_VALUE"""),"VerifyNavLockGrid")</f>
        <v>VerifyNavLockGrid</v>
      </c>
      <c r="C958" t="str">
        <f>IFERROR(__xludf.DUMMYFUNCTION("""COMPUTED_VALUE"""),"11EX1Ln-BQAtx9NTd9zfcaia52FGNdZENDW2kwMCJ8HQ")</f>
        <v>11EX1Ln-BQAtx9NTd9zfcaia52FGNdZENDW2kwMCJ8HQ</v>
      </c>
    </row>
    <row r="959" ht="15.75" customHeight="1">
      <c r="A959" t="str">
        <f>IFERROR(__xludf.DUMMYFUNCTION("""COMPUTED_VALUE"""),"RTPNL")</f>
        <v>RTPNL</v>
      </c>
      <c r="B959" t="str">
        <f>IFERROR(__xludf.DUMMYFUNCTION("""COMPUTED_VALUE"""),"ApplyColumnFilter")</f>
        <v>ApplyColumnFilter</v>
      </c>
      <c r="C959" t="str">
        <f>IFERROR(__xludf.DUMMYFUNCTION("""COMPUTED_VALUE"""),"1N9Nn6t5kuoUpj5sQRZwukYuXz8skh2F7E53j1Um1W1A")</f>
        <v>1N9Nn6t5kuoUpj5sQRZwukYuXz8skh2F7E53j1Um1W1A</v>
      </c>
    </row>
    <row r="960" ht="15.75" customHeight="1">
      <c r="A960" t="str">
        <f>IFERROR(__xludf.DUMMYFUNCTION("""COMPUTED_VALUE"""),"Closing")</f>
        <v>Closing</v>
      </c>
      <c r="B960" t="str">
        <f>IFERROR(__xludf.DUMMYFUNCTION("""COMPUTED_VALUE"""),"GetClosingData")</f>
        <v>GetClosingData</v>
      </c>
      <c r="C960" t="str">
        <f>IFERROR(__xludf.DUMMYFUNCTION("""COMPUTED_VALUE"""),"11EX1Ln-BQAtx9NTd9zfcaia52FGNdZENDW2kwMCJ9HQ")</f>
        <v>11EX1Ln-BQAtx9NTd9zfcaia52FGNdZENDW2kwMCJ9HQ</v>
      </c>
    </row>
    <row r="961" ht="15.75" customHeight="1">
      <c r="A961" t="str">
        <f>IFERROR(__xludf.DUMMYFUNCTION("""COMPUTED_VALUE"""),"Closing")</f>
        <v>Closing</v>
      </c>
      <c r="B961" t="str">
        <f>IFERROR(__xludf.DUMMYFUNCTION("""COMPUTED_VALUE"""),"CloseAmendOprtn")</f>
        <v>CloseAmendOprtn</v>
      </c>
      <c r="C961" t="str">
        <f>IFERROR(__xludf.DUMMYFUNCTION("""COMPUTED_VALUE"""),"11EX1Ln-BQAtx9NTd9zfcaia52FGNdZENDW2kwMCJ10HQ")</f>
        <v>11EX1Ln-BQAtx9NTd9zfcaia52FGNdZENDW2kwMCJ10HQ</v>
      </c>
    </row>
    <row r="962" ht="15.75" customHeight="1">
      <c r="A962" t="str">
        <f>IFERROR(__xludf.DUMMYFUNCTION("""COMPUTED_VALUE"""),"Closing")</f>
        <v>Closing</v>
      </c>
      <c r="B962" t="str">
        <f>IFERROR(__xludf.DUMMYFUNCTION("""COMPUTED_VALUE"""),"ExpSettlOprtn")</f>
        <v>ExpSettlOprtn</v>
      </c>
      <c r="C962" t="str">
        <f>IFERROR(__xludf.DUMMYFUNCTION("""COMPUTED_VALUE"""),"11EX1Ln-BQAtx9NTd9zfcaia52FGNdZENDW2kwMCJ11HQ")</f>
        <v>11EX1Ln-BQAtx9NTd9zfcaia52FGNdZENDW2kwMCJ11HQ</v>
      </c>
    </row>
    <row r="963" ht="15.75" customHeight="1">
      <c r="A963" t="str">
        <f>IFERROR(__xludf.DUMMYFUNCTION("""COMPUTED_VALUE"""),"Closing")</f>
        <v>Closing</v>
      </c>
      <c r="B963" t="str">
        <f>IFERROR(__xludf.DUMMYFUNCTION("""COMPUTED_VALUE"""),"CloseOrderOprtn")</f>
        <v>CloseOrderOprtn</v>
      </c>
      <c r="C963" t="str">
        <f>IFERROR(__xludf.DUMMYFUNCTION("""COMPUTED_VALUE"""),"11EX1Ln-BQAtx9NTd9zfcaia52FGNdZENDW2kwMCJ12HQ")</f>
        <v>11EX1Ln-BQAtx9NTd9zfcaia52FGNdZENDW2kwMCJ12HQ</v>
      </c>
    </row>
    <row r="964" ht="15.75" customHeight="1">
      <c r="A964" t="str">
        <f>IFERROR(__xludf.DUMMYFUNCTION("""COMPUTED_VALUE"""),"Closing")</f>
        <v>Closing</v>
      </c>
      <c r="B964" t="str">
        <f>IFERROR(__xludf.DUMMYFUNCTION("""COMPUTED_VALUE"""),"SelectgrdCloseTrades")</f>
        <v>SelectgrdCloseTrades</v>
      </c>
      <c r="C964" t="str">
        <f>IFERROR(__xludf.DUMMYFUNCTION("""COMPUTED_VALUE"""),"11EX1Ln-BQAtx9NTd9zfcaia52FGNdZENDW2kwMCJ13HQ")</f>
        <v>11EX1Ln-BQAtx9NTd9zfcaia52FGNdZENDW2kwMCJ13HQ</v>
      </c>
    </row>
    <row r="965" ht="15.75" customHeight="1">
      <c r="A965" t="str">
        <f>IFERROR(__xludf.DUMMYFUNCTION("""COMPUTED_VALUE"""),"Closing")</f>
        <v>Closing</v>
      </c>
      <c r="B965" t="str">
        <f>IFERROR(__xludf.DUMMYFUNCTION("""COMPUTED_VALUE"""),"SelectgrdLongTrades")</f>
        <v>SelectgrdLongTrades</v>
      </c>
      <c r="C965" t="str">
        <f>IFERROR(__xludf.DUMMYFUNCTION("""COMPUTED_VALUE"""),"11EX1Ln-BQAtx9NTd9zfcaia52FGNdZENDW2kwMCJ14HQ")</f>
        <v>11EX1Ln-BQAtx9NTd9zfcaia52FGNdZENDW2kwMCJ14HQ</v>
      </c>
    </row>
    <row r="966" ht="15.75" customHeight="1">
      <c r="A966" t="str">
        <f>IFERROR(__xludf.DUMMYFUNCTION("""COMPUTED_VALUE"""),"Closing")</f>
        <v>Closing</v>
      </c>
      <c r="B966" t="str">
        <f>IFERROR(__xludf.DUMMYFUNCTION("""COMPUTED_VALUE"""),"SelectgrdShortTrades")</f>
        <v>SelectgrdShortTrades</v>
      </c>
      <c r="C966" t="str">
        <f>IFERROR(__xludf.DUMMYFUNCTION("""COMPUTED_VALUE"""),"11EX1Ln-BQAtx9NTd9zfcaia52FGNdZENDW2kwMCJ15HQ")</f>
        <v>11EX1Ln-BQAtx9NTd9zfcaia52FGNdZENDW2kwMCJ15HQ</v>
      </c>
    </row>
    <row r="967" ht="15.75" customHeight="1">
      <c r="A967" t="str">
        <f>IFERROR(__xludf.DUMMYFUNCTION("""COMPUTED_VALUE"""),"Closing")</f>
        <v>Closing</v>
      </c>
      <c r="B967" t="str">
        <f>IFERROR(__xludf.DUMMYFUNCTION("""COMPUTED_VALUE"""),"SelectgrdNetPositionTrades")</f>
        <v>SelectgrdNetPositionTrades</v>
      </c>
      <c r="C967" t="str">
        <f>IFERROR(__xludf.DUMMYFUNCTION("""COMPUTED_VALUE"""),"11EX1Ln-BQAtx9NTd9zfcaia52FGNdZENDW2kwMCJ16HQ")</f>
        <v>11EX1Ln-BQAtx9NTd9zfcaia52FGNdZENDW2kwMCJ16HQ</v>
      </c>
    </row>
    <row r="968" ht="15.75" customHeight="1">
      <c r="A968" t="str">
        <f>IFERROR(__xludf.DUMMYFUNCTION("""COMPUTED_VALUE"""),"Closing")</f>
        <v>Closing</v>
      </c>
      <c r="B968" t="str">
        <f>IFERROR(__xludf.DUMMYFUNCTION("""COMPUTED_VALUE"""),"SelectgrdUnexpiredTrades")</f>
        <v>SelectgrdUnexpiredTrades</v>
      </c>
      <c r="C968" t="str">
        <f>IFERROR(__xludf.DUMMYFUNCTION("""COMPUTED_VALUE"""),"11EX1Ln-BQAtx9NTd9zfcaia52FGNdZENDW2kwMCJ17HQ")</f>
        <v>11EX1Ln-BQAtx9NTd9zfcaia52FGNdZENDW2kwMCJ17HQ</v>
      </c>
    </row>
    <row r="969" ht="15.75" customHeight="1">
      <c r="A969" t="str">
        <f>IFERROR(__xludf.DUMMYFUNCTION("""COMPUTED_VALUE"""),"Closing")</f>
        <v>Closing</v>
      </c>
      <c r="B969" t="str">
        <f>IFERROR(__xludf.DUMMYFUNCTION("""COMPUTED_VALUE"""),"SelectgrdCPTrades")</f>
        <v>SelectgrdCPTrades</v>
      </c>
      <c r="C969" t="str">
        <f>IFERROR(__xludf.DUMMYFUNCTION("""COMPUTED_VALUE"""),"11EX1Ln-BQAtx9NTd9zfcaia52FGNdZENDW2kwMCJ18HQ")</f>
        <v>11EX1Ln-BQAtx9NTd9zfcaia52FGNdZENDW2kwMCJ18HQ</v>
      </c>
    </row>
    <row r="970" ht="15.75" customHeight="1">
      <c r="A970" t="str">
        <f>IFERROR(__xludf.DUMMYFUNCTION("""COMPUTED_VALUE"""),"Closing")</f>
        <v>Closing</v>
      </c>
      <c r="B970" t="str">
        <f>IFERROR(__xludf.DUMMYFUNCTION("""COMPUTED_VALUE"""),"SelectgrdExpiredTrades")</f>
        <v>SelectgrdExpiredTrades</v>
      </c>
      <c r="C970" t="str">
        <f>IFERROR(__xludf.DUMMYFUNCTION("""COMPUTED_VALUE"""),"11EX1Ln-BQAtx9NTd9zfcaia52FGNdZENDW2kwMCJ19HQ")</f>
        <v>11EX1Ln-BQAtx9NTd9zfcaia52FGNdZENDW2kwMCJ19HQ</v>
      </c>
    </row>
    <row r="971" ht="15.75" customHeight="1">
      <c r="A971" t="str">
        <f>IFERROR(__xludf.DUMMYFUNCTION("""COMPUTED_VALUE"""),"Closing")</f>
        <v>Closing</v>
      </c>
      <c r="B971" t="str">
        <f>IFERROR(__xludf.DUMMYFUNCTION("""COMPUTED_VALUE"""),"SelectgrdOpenTrades")</f>
        <v>SelectgrdOpenTrades</v>
      </c>
      <c r="C971" t="str">
        <f>IFERROR(__xludf.DUMMYFUNCTION("""COMPUTED_VALUE"""),"11EX1Ln-BQAtx9NTd9zfcaia52FGNdZENDW2kwMCJ20HQ")</f>
        <v>11EX1Ln-BQAtx9NTd9zfcaia52FGNdZENDW2kwMCJ20HQ</v>
      </c>
    </row>
    <row r="972" ht="15.75" customHeight="1">
      <c r="A972" t="str">
        <f>IFERROR(__xludf.DUMMYFUNCTION("""COMPUTED_VALUE"""),"Closing")</f>
        <v>Closing</v>
      </c>
      <c r="B972" t="str">
        <f>IFERROR(__xludf.DUMMYFUNCTION("""COMPUTED_VALUE"""),"GetClosingData")</f>
        <v>GetClosingData</v>
      </c>
      <c r="C972" t="str">
        <f>IFERROR(__xludf.DUMMYFUNCTION("""COMPUTED_VALUE"""),"11EX1Ln-BQAtx9NTd9zfcaia52FGNdZENDW2kwMCJ20HQ")</f>
        <v>11EX1Ln-BQAtx9NTd9zfcaia52FGNdZENDW2kwMCJ20HQ</v>
      </c>
    </row>
    <row r="973" ht="15.75" customHeight="1">
      <c r="A973" t="str">
        <f>IFERROR(__xludf.DUMMYFUNCTION("""COMPUTED_VALUE"""),"Closing")</f>
        <v>Closing</v>
      </c>
      <c r="B973" t="str">
        <f>IFERROR(__xludf.DUMMYFUNCTION("""COMPUTED_VALUE"""),"WizardOptions")</f>
        <v>WizardOptions</v>
      </c>
      <c r="C973" t="str">
        <f>IFERROR(__xludf.DUMMYFUNCTION("""COMPUTED_VALUE"""),"11EX1Ln-BQAtx9NTd9zfcaia52FGNdZENDW2kwMCJ21HQ")</f>
        <v>11EX1Ln-BQAtx9NTd9zfcaia52FGNdZENDW2kwMCJ21HQ</v>
      </c>
    </row>
    <row r="974" ht="15.75" customHeight="1">
      <c r="A974" t="str">
        <f>IFERROR(__xludf.DUMMYFUNCTION("""COMPUTED_VALUE"""),"Closing")</f>
        <v>Closing</v>
      </c>
      <c r="B974" t="str">
        <f>IFERROR(__xludf.DUMMYFUNCTION("""COMPUTED_VALUE"""),"ActionOnClosingWiz")</f>
        <v>ActionOnClosingWiz</v>
      </c>
      <c r="C974" t="str">
        <f>IFERROR(__xludf.DUMMYFUNCTION("""COMPUTED_VALUE"""),"11EX1Ln-BQAtx9NTd9zfcaia52FGNdZENDW2kwMCJ21HQ")</f>
        <v>11EX1Ln-BQAtx9NTd9zfcaia52FGNdZENDW2kwMCJ21HQ</v>
      </c>
    </row>
    <row r="975" ht="15.75" customHeight="1">
      <c r="A975" t="str">
        <f>IFERROR(__xludf.DUMMYFUNCTION("""COMPUTED_VALUE"""),"Allocation")</f>
        <v>Allocation</v>
      </c>
      <c r="B975" t="str">
        <f>IFERROR(__xludf.DUMMYFUNCTION("""COMPUTED_VALUE"""),"VerifyAttRenaming")</f>
        <v>VerifyAttRenaming</v>
      </c>
      <c r="C975" t="str">
        <f>IFERROR(__xludf.DUMMYFUNCTION("""COMPUTED_VALUE"""),"11EX1Ln-BQAtx9NTd9zfcaia52FGNdZENDW2kwMCJ21HQ")</f>
        <v>11EX1Ln-BQAtx9NTd9zfcaia52FGNdZENDW2kwMCJ21HQ</v>
      </c>
    </row>
    <row r="976" ht="15.75" customHeight="1">
      <c r="A976" t="str">
        <f>IFERROR(__xludf.DUMMYFUNCTION("""COMPUTED_VALUE"""),"NavLock")</f>
        <v>NavLock</v>
      </c>
      <c r="B976" t="str">
        <f>IFERROR(__xludf.DUMMYFUNCTION("""COMPUTED_VALUE"""),"DeleteRowNavLock")</f>
        <v>DeleteRowNavLock</v>
      </c>
      <c r="C976" t="str">
        <f>IFERROR(__xludf.DUMMYFUNCTION("""COMPUTED_VALUE"""),"11EX1Ln-BQAtx9NTd9zfcaia52FGNdZENDW2kwMCJ21HQ")</f>
        <v>11EX1Ln-BQAtx9NTd9zfcaia52FGNdZENDW2kwMCJ21HQ</v>
      </c>
    </row>
    <row r="977" ht="15.75" customHeight="1">
      <c r="A977" t="str">
        <f>IFERROR(__xludf.DUMMYFUNCTION("""COMPUTED_VALUE"""),"Closing")</f>
        <v>Closing</v>
      </c>
      <c r="B977" t="str">
        <f>IFERROR(__xludf.DUMMYFUNCTION("""COMPUTED_VALUE"""),"VerifyLongPositionsGrid")</f>
        <v>VerifyLongPositionsGrid</v>
      </c>
      <c r="C977" t="str">
        <f>IFERROR(__xludf.DUMMYFUNCTION("""COMPUTED_VALUE"""),"11EX1Ln-BQAtx9NTd9zfcaia52FGNdZENDW2kwMCJ14HQ")</f>
        <v>11EX1Ln-BQAtx9NTd9zfcaia52FGNdZENDW2kwMCJ14HQ</v>
      </c>
    </row>
    <row r="978" ht="15.75" customHeight="1">
      <c r="A978" t="str">
        <f>IFERROR(__xludf.DUMMYFUNCTION("""COMPUTED_VALUE"""),"Closing")</f>
        <v>Closing</v>
      </c>
      <c r="B978" t="str">
        <f>IFERROR(__xludf.DUMMYFUNCTION("""COMPUTED_VALUE"""),"VerifyShortPositionsGrid")</f>
        <v>VerifyShortPositionsGrid</v>
      </c>
      <c r="C978" t="str">
        <f>IFERROR(__xludf.DUMMYFUNCTION("""COMPUTED_VALUE"""),"11EX1Ln-BQAtx9NTd9zfcaia52FGNdZENDW2kwMCJ15HQ")</f>
        <v>11EX1Ln-BQAtx9NTd9zfcaia52FGNdZENDW2kwMCJ15HQ</v>
      </c>
    </row>
    <row r="979" ht="15.75" customHeight="1">
      <c r="A979" t="str">
        <f>IFERROR(__xludf.DUMMYFUNCTION("""COMPUTED_VALUE"""),"Closing")</f>
        <v>Closing</v>
      </c>
      <c r="B979" t="str">
        <f>IFERROR(__xludf.DUMMYFUNCTION("""COMPUTED_VALUE"""),"VerifyClosedTrades")</f>
        <v>VerifyClosedTrades</v>
      </c>
      <c r="C979" t="str">
        <f>IFERROR(__xludf.DUMMYFUNCTION("""COMPUTED_VALUE"""),"11EX1Ln-BQAtx9NTd9zfcaia52FGNdZENDW2kwMCJ16HQ")</f>
        <v>11EX1Ln-BQAtx9NTd9zfcaia52FGNdZENDW2kwMCJ16HQ</v>
      </c>
    </row>
    <row r="980" ht="15.75" customHeight="1">
      <c r="A980" t="str">
        <f>IFERROR(__xludf.DUMMYFUNCTION("""COMPUTED_VALUE"""),"Closing")</f>
        <v>Closing</v>
      </c>
      <c r="B980" t="str">
        <f>IFERROR(__xludf.DUMMYFUNCTION("""COMPUTED_VALUE"""),"CloseAmendOprtn")</f>
        <v>CloseAmendOprtn</v>
      </c>
      <c r="C980" t="str">
        <f>IFERROR(__xludf.DUMMYFUNCTION("""COMPUTED_VALUE"""),"11EX1Ln-BQAtx9NTd9zfcaia52FGNdZENDW2kwMCJ17HQ")</f>
        <v>11EX1Ln-BQAtx9NTd9zfcaia52FGNdZENDW2kwMCJ17HQ</v>
      </c>
    </row>
    <row r="981" ht="15.75" customHeight="1">
      <c r="A981" t="str">
        <f>IFERROR(__xludf.DUMMYFUNCTION("""COMPUTED_VALUE"""),"Closing")</f>
        <v>Closing</v>
      </c>
      <c r="B981" t="str">
        <f>IFERROR(__xludf.DUMMYFUNCTION("""COMPUTED_VALUE"""),"ExpSettlOprtn")</f>
        <v>ExpSettlOprtn</v>
      </c>
      <c r="C981" t="str">
        <f>IFERROR(__xludf.DUMMYFUNCTION("""COMPUTED_VALUE"""),"11EX1Ln-BQAtx9NTd9zfcaia52FGNdZENDW2kwMCJ18HQ")</f>
        <v>11EX1Ln-BQAtx9NTd9zfcaia52FGNdZENDW2kwMCJ18HQ</v>
      </c>
    </row>
    <row r="982" ht="15.75" customHeight="1">
      <c r="A982" t="str">
        <f>IFERROR(__xludf.DUMMYFUNCTION("""COMPUTED_VALUE"""),"Closing")</f>
        <v>Closing</v>
      </c>
      <c r="B982" t="str">
        <f>IFERROR(__xludf.DUMMYFUNCTION("""COMPUTED_VALUE"""),"ActionOnExpGrid")</f>
        <v>ActionOnExpGrid</v>
      </c>
      <c r="C982" t="str">
        <f>IFERROR(__xludf.DUMMYFUNCTION("""COMPUTED_VALUE"""),"11EX1Ln-BQAtx9NTd9zfcaia52FGNdZENDW2kwMCJ19HQ")</f>
        <v>11EX1Ln-BQAtx9NTd9zfcaia52FGNdZENDW2kwMCJ19HQ</v>
      </c>
    </row>
    <row r="983" ht="15.75" customHeight="1">
      <c r="A983" t="str">
        <f>IFERROR(__xludf.DUMMYFUNCTION("""COMPUTED_VALUE"""),"Closing")</f>
        <v>Closing</v>
      </c>
      <c r="B983" t="str">
        <f>IFERROR(__xludf.DUMMYFUNCTION("""COMPUTED_VALUE"""),"ActiononIncorrectQty")</f>
        <v>ActiononIncorrectQty</v>
      </c>
      <c r="C983" t="str">
        <f>IFERROR(__xludf.DUMMYFUNCTION("""COMPUTED_VALUE"""),"11EX1Ln-BQAtx9NTd9zfcaia52FGNdZENDW2kwMCJ20HQ")</f>
        <v>11EX1Ln-BQAtx9NTd9zfcaia52FGNdZENDW2kwMCJ20HQ</v>
      </c>
    </row>
    <row r="984" ht="15.75" customHeight="1">
      <c r="A984" t="str">
        <f>IFERROR(__xludf.DUMMYFUNCTION("""COMPUTED_VALUE"""),"Closing")</f>
        <v>Closing</v>
      </c>
      <c r="B984" t="str">
        <f>IFERROR(__xludf.DUMMYFUNCTION("""COMPUTED_VALUE"""),"VerifyIncorrectQty")</f>
        <v>VerifyIncorrectQty</v>
      </c>
      <c r="C984" t="str">
        <f>IFERROR(__xludf.DUMMYFUNCTION("""COMPUTED_VALUE"""),"11EX1Ln-BQAtx9NTd9zfcaia52FGNdZENDW2kwMCJ21HQ")</f>
        <v>11EX1Ln-BQAtx9NTd9zfcaia52FGNdZENDW2kwMCJ21HQ</v>
      </c>
    </row>
    <row r="985" ht="15.75" customHeight="1">
      <c r="A985" t="str">
        <f>IFERROR(__xludf.DUMMYFUNCTION("""COMPUTED_VALUE"""),"Closing")</f>
        <v>Closing</v>
      </c>
      <c r="B985" t="str">
        <f>IFERROR(__xludf.DUMMYFUNCTION("""COMPUTED_VALUE"""),"VerifyOpenTrades")</f>
        <v>VerifyOpenTrades</v>
      </c>
      <c r="C985" t="str">
        <f>IFERROR(__xludf.DUMMYFUNCTION("""COMPUTED_VALUE"""),"11EX1Ln-BQAtx9NTd9zfcaia52FGNdZENDW2kwMCJ20HQ")</f>
        <v>11EX1Ln-BQAtx9NTd9zfcaia52FGNdZENDW2kwMCJ20HQ</v>
      </c>
    </row>
    <row r="986" ht="15.75" customHeight="1">
      <c r="A986" t="str">
        <f>IFERROR(__xludf.DUMMYFUNCTION("""COMPUTED_VALUE"""),"CreateTransaction")</f>
        <v>CreateTransaction</v>
      </c>
      <c r="B986" t="str">
        <f>IFERROR(__xludf.DUMMYFUNCTION("""COMPUTED_VALUE"""),"EditCTGrid")</f>
        <v>EditCTGrid</v>
      </c>
      <c r="C986" t="str">
        <f>IFERROR(__xludf.DUMMYFUNCTION("""COMPUTED_VALUE"""),"11EX1Ln-BQAtx9NTd9zfcaia52FGNdZENDW2kwMCJ20HQ")</f>
        <v>11EX1Ln-BQAtx9NTd9zfcaia52FGNdZENDW2kwMCJ20HQ</v>
      </c>
    </row>
    <row r="987" ht="15.75" customHeight="1">
      <c r="A987" t="str">
        <f>IFERROR(__xludf.DUMMYFUNCTION("""COMPUTED_VALUE"""),"CreateTransaction")</f>
        <v>CreateTransaction</v>
      </c>
      <c r="B987" t="str">
        <f>IFERROR(__xludf.DUMMYFUNCTION("""COMPUTED_VALUE"""),"ActionOnCT")</f>
        <v>ActionOnCT</v>
      </c>
      <c r="C987" t="str">
        <f>IFERROR(__xludf.DUMMYFUNCTION("""COMPUTED_VALUE"""),"11EX1Ln-BQAtx9NTd9zfcaia52FGNdZENDW2kwMCJ20HQ")</f>
        <v>11EX1Ln-BQAtx9NTd9zfcaia52FGNdZENDW2kwMCJ20HQ</v>
      </c>
    </row>
    <row r="988" ht="15.75" customHeight="1">
      <c r="A988" t="str">
        <f>IFERROR(__xludf.DUMMYFUNCTION("""COMPUTED_VALUE"""),"Unknown")</f>
        <v>Unknown</v>
      </c>
      <c r="B988" t="str">
        <f>IFERROR(__xludf.DUMMYFUNCTION("""COMPUTED_VALUE"""),"OpenColumnChooser")</f>
        <v>OpenColumnChooser</v>
      </c>
      <c r="C988" t="str">
        <f>IFERROR(__xludf.DUMMYFUNCTION("""COMPUTED_VALUE"""),"11EX1Ln-BQAtx9NTd9zfcaia52FGNdZENDW2kwMCJ20HQ")</f>
        <v>11EX1Ln-BQAtx9NTd9zfcaia52FGNdZENDW2kwMCJ20HQ</v>
      </c>
    </row>
    <row r="989" ht="15.75" customHeight="1">
      <c r="A989" t="str">
        <f>IFERROR(__xludf.DUMMYFUNCTION("""COMPUTED_VALUE"""),"Closing")</f>
        <v>Closing</v>
      </c>
      <c r="B989" t="str">
        <f>IFERROR(__xludf.DUMMYFUNCTION("""COMPUTED_VALUE"""),"UnExpUnsettOperation")</f>
        <v>UnExpUnsettOperation</v>
      </c>
      <c r="C989" t="str">
        <f>IFERROR(__xludf.DUMMYFUNCTION("""COMPUTED_VALUE"""),"11EX1Ln-BQAtx9NTd9zfcaia52FGNdZENDW2kwMCJ20HQ")</f>
        <v>11EX1Ln-BQAtx9NTd9zfcaia52FGNdZENDW2kwMCJ20HQ</v>
      </c>
    </row>
    <row r="990" ht="15.75" customHeight="1">
      <c r="A990" t="str">
        <f>IFERROR(__xludf.DUMMYFUNCTION("""COMPUTED_VALUE"""),"NavLock")</f>
        <v>NavLock</v>
      </c>
      <c r="B990" t="str">
        <f>IFERROR(__xludf.DUMMYFUNCTION("""COMPUTED_VALUE"""),"ActiononNavLock")</f>
        <v>ActiononNavLock</v>
      </c>
      <c r="C990" t="str">
        <f>IFERROR(__xludf.DUMMYFUNCTION("""COMPUTED_VALUE"""),"11EX1Ln-BQAtx9NTd9zfcaia52FGNdZENDW2kwMCJ20HQ")</f>
        <v>11EX1Ln-BQAtx9NTd9zfcaia52FGNdZENDW2kwMCJ20HQ</v>
      </c>
    </row>
    <row r="991" ht="15.75" customHeight="1">
      <c r="A991" t="str">
        <f>IFERROR(__xludf.DUMMYFUNCTION("""COMPUTED_VALUE"""),"Allocation")</f>
        <v>Allocation</v>
      </c>
      <c r="B991" t="str">
        <f>IFERROR(__xludf.DUMMYFUNCTION("""COMPUTED_VALUE"""),"ActiononFixPref")</f>
        <v>ActiononFixPref</v>
      </c>
      <c r="C991" t="str">
        <f>IFERROR(__xludf.DUMMYFUNCTION("""COMPUTED_VALUE"""),"11EX1Ln-BQAtx9NTd9zfcaia52FGNdZENDW2kwMCJ20HQ")</f>
        <v>11EX1Ln-BQAtx9NTd9zfcaia52FGNdZENDW2kwMCJ20HQ</v>
      </c>
    </row>
    <row r="992" ht="15.75" customHeight="1">
      <c r="A992" t="str">
        <f>IFERROR(__xludf.DUMMYFUNCTION("""COMPUTED_VALUE"""),"Blotter")</f>
        <v>Blotter</v>
      </c>
      <c r="B992" t="str">
        <f>IFERROR(__xludf.DUMMYFUNCTION("""COMPUTED_VALUE"""),"SelectWorkSubsOnBlotter")</f>
        <v>SelectWorkSubsOnBlotter</v>
      </c>
      <c r="C992" t="str">
        <f>IFERROR(__xludf.DUMMYFUNCTION("""COMPUTED_VALUE"""),"11EX1Ln-BQAtx9NTd9zfcaia52FGNdZENDW2kwMCJ20HQ")</f>
        <v>11EX1Ln-BQAtx9NTd9zfcaia52FGNdZENDW2kwMCJ20HQ</v>
      </c>
    </row>
    <row r="993" ht="15.75" customHeight="1">
      <c r="A993" t="str">
        <f>IFERROR(__xludf.DUMMYFUNCTION("""COMPUTED_VALUE"""),"Closing")</f>
        <v>Closing</v>
      </c>
      <c r="B993" t="str">
        <f>IFERROR(__xludf.DUMMYFUNCTION("""COMPUTED_VALUE"""),"VerifyAccountUnexpired")</f>
        <v>VerifyAccountUnexpired</v>
      </c>
      <c r="C993" t="str">
        <f>IFERROR(__xludf.DUMMYFUNCTION("""COMPUTED_VALUE"""),"11EX1Ln-BQAtx9NTd9zfcaia52FGNdZENDW2kwMCJ20HQ")</f>
        <v>11EX1Ln-BQAtx9NTd9zfcaia52FGNdZENDW2kwMCJ20HQ</v>
      </c>
    </row>
    <row r="994" ht="15.75" customHeight="1">
      <c r="A994" t="str">
        <f>IFERROR(__xludf.DUMMYFUNCTION("""COMPUTED_VALUE"""),"PortfolioManagement")</f>
        <v>PortfolioManagement</v>
      </c>
      <c r="B994" t="str">
        <f>IFERROR(__xludf.DUMMYFUNCTION("""COMPUTED_VALUE"""),"ToolBarActiononPM")</f>
        <v>ToolBarActiononPM</v>
      </c>
      <c r="C994" t="str">
        <f>IFERROR(__xludf.DUMMYFUNCTION("""COMPUTED_VALUE"""),"11EX1Ln-BQAtx9NTd9zfcaia52FGNdZENDW2kwMCJ20HQ")</f>
        <v>11EX1Ln-BQAtx9NTd9zfcaia52FGNdZENDW2kwMCJ20HQ</v>
      </c>
    </row>
    <row r="995" ht="15.75" customHeight="1">
      <c r="A995" t="str">
        <f>IFERROR(__xludf.DUMMYFUNCTION("""COMPUTED_VALUE"""),"Allocation")</f>
        <v>Allocation</v>
      </c>
      <c r="B995" t="str">
        <f>IFERROR(__xludf.DUMMYFUNCTION("""COMPUTED_VALUE"""),"EditAttRenaming")</f>
        <v>EditAttRenaming</v>
      </c>
      <c r="C995" t="str">
        <f>IFERROR(__xludf.DUMMYFUNCTION("""COMPUTED_VALUE"""),"14aTeLjmUbS-nhaQwjtZAMGxdQ5DS6UsBjE5OTWN-LQU")</f>
        <v>14aTeLjmUbS-nhaQwjtZAMGxdQ5DS6UsBjE5OTWN-LQU</v>
      </c>
    </row>
    <row r="996" ht="15.75" customHeight="1">
      <c r="A996" t="str">
        <f>IFERROR(__xludf.DUMMYFUNCTION("""COMPUTED_VALUE"""),"Unknown")</f>
        <v>Unknown</v>
      </c>
      <c r="B996" t="str">
        <f>IFERROR(__xludf.DUMMYFUNCTION("""COMPUTED_VALUE"""),"ActiononColumnChooser")</f>
        <v>ActiononColumnChooser</v>
      </c>
      <c r="C996" t="str">
        <f>IFERROR(__xludf.DUMMYFUNCTION("""COMPUTED_VALUE"""),"14aTeLjmUbS-nhaQwjtZAMGxdQ5DS6UsBjE5OTWN-LQU")</f>
        <v>14aTeLjmUbS-nhaQwjtZAMGxdQ5DS6UsBjE5OTWN-LQU</v>
      </c>
    </row>
    <row r="997" ht="15.75" customHeight="1">
      <c r="A997" t="str">
        <f>IFERROR(__xludf.DUMMYFUNCTION("""COMPUTED_VALUE"""),"Unknown")</f>
        <v>Unknown</v>
      </c>
      <c r="B997" t="str">
        <f>IFERROR(__xludf.DUMMYFUNCTION("""COMPUTED_VALUE"""),"VerifyColumnChooser")</f>
        <v>VerifyColumnChooser</v>
      </c>
      <c r="C997" t="str">
        <f>IFERROR(__xludf.DUMMYFUNCTION("""COMPUTED_VALUE"""),"14aTeLjmUbS-nhaQwjtZAMGxdQ5DS6UsBjE5OTWN-LQU")</f>
        <v>14aTeLjmUbS-nhaQwjtZAMGxdQ5DS6UsBjE5OTWN-LQU</v>
      </c>
    </row>
    <row r="998" ht="15.75" customHeight="1">
      <c r="A998" t="str">
        <f>IFERROR(__xludf.DUMMYFUNCTION("""COMPUTED_VALUE"""),"Unknown")</f>
        <v>Unknown</v>
      </c>
      <c r="B998" t="str">
        <f>IFERROR(__xludf.DUMMYFUNCTION("""COMPUTED_VALUE"""),"EditColumnChooser")</f>
        <v>EditColumnChooser</v>
      </c>
      <c r="C998" t="str">
        <f>IFERROR(__xludf.DUMMYFUNCTION("""COMPUTED_VALUE"""),"14aTeLjmUbS-nhaQwjtZAMGxdQ5DS6UsBjE5OTWN-LQU")</f>
        <v>14aTeLjmUbS-nhaQwjtZAMGxdQ5DS6UsBjE5OTWN-LQU</v>
      </c>
    </row>
    <row r="999" ht="15.75" customHeight="1">
      <c r="A999" t="str">
        <f>IFERROR(__xludf.DUMMYFUNCTION("""COMPUTED_VALUE"""),"Unknown")</f>
        <v>Unknown</v>
      </c>
      <c r="B999" t="str">
        <f>IFERROR(__xludf.DUMMYFUNCTION("""COMPUTED_VALUE"""),"OpenColumnChooser")</f>
        <v>OpenColumnChooser</v>
      </c>
      <c r="C999" t="str">
        <f>IFERROR(__xludf.DUMMYFUNCTION("""COMPUTED_VALUE"""),"14aTeLjmUbS-nhaQwjtZAMGxdQ5DS6UsBjE5OTWN-LQU")</f>
        <v>14aTeLjmUbS-nhaQwjtZAMGxdQ5DS6UsBjE5OTWN-LQU</v>
      </c>
    </row>
    <row r="1000" ht="15.75" customHeight="1">
      <c r="A1000" t="str">
        <f>IFERROR(__xludf.DUMMYFUNCTION("""COMPUTED_VALUE"""),"TradingTicket")</f>
        <v>TradingTicket</v>
      </c>
      <c r="B1000" t="str">
        <f>IFERROR(__xludf.DUMMYFUNCTION("""COMPUTED_VALUE"""),"UpdateTTCA")</f>
        <v>UpdateTTCA</v>
      </c>
      <c r="C1000" t="str">
        <f>IFERROR(__xludf.DUMMYFUNCTION("""COMPUTED_VALUE"""),"14aTeLjmUbS-nhaQwjtZAMGxdQ5DS6UsBjE5OTWN-LQU")</f>
        <v>14aTeLjmUbS-nhaQwjtZAMGxdQ5DS6UsBjE5OTWN-LQU</v>
      </c>
    </row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 t="str">
        <f>IFERROR(__xludf.DUMMYFUNCTION("""COMPUTED_VALUE"""),"VerifyPopupAlignment")</f>
        <v>VerifyPopupAlignment</v>
      </c>
      <c r="BC4" s="26" t="str">
        <f>IFERROR(__xludf.DUMMYFUNCTION("""COMPUTED_VALUE"""),"SelectET")</f>
        <v>SelectET</v>
      </c>
      <c r="BD4" s="26" t="str">
        <f>IFERROR(__xludf.DUMMYFUNCTION("""COMPUTED_VALUE"""),"SymbolSuggestionVerify")</f>
        <v>SymbolSuggestionVerify</v>
      </c>
      <c r="BE4" s="26" t="str">
        <f>IFERROR(__xludf.DUMMYFUNCTION("""COMPUTED_VALUE"""),"EditAuecWindow")</f>
        <v>EditAuecWindow</v>
      </c>
      <c r="BF4" s="26" t="str">
        <f>IFERROR(__xludf.DUMMYFUNCTION("""COMPUTED_VALUE"""),"VerifyBrokerSummary")</f>
        <v>VerifyBrokerSummary</v>
      </c>
      <c r="BG4" s="26" t="str">
        <f>IFERROR(__xludf.DUMMYFUNCTION("""COMPUTED_VALUE"""),"QTTHamburg")</f>
        <v>QTTHamburg</v>
      </c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 t="str">
        <f>IFERROR(__xludf.DUMMYFUNCTION("""COMPUTED_VALUE"""),"DoneAwayClickOnNO")</f>
        <v>DoneAwayClickOnNO</v>
      </c>
      <c r="BF5" s="30" t="str">
        <f>IFERROR(__xludf.DUMMYFUNCTION("""COMPUTED_VALUE"""),"HotbuttonQty")</f>
        <v>HotbuttonQty</v>
      </c>
      <c r="BG5" s="30" t="str">
        <f>IFERROR(__xludf.DUMMYFUNCTION("""COMPUTED_VALUE"""),"HotButtonPrice")</f>
        <v>HotButtonPrice</v>
      </c>
      <c r="BH5" s="30" t="str">
        <f>IFERROR(__xludf.DUMMYFUNCTION("""COMPUTED_VALUE"""),"HotButtonLimit")</f>
        <v>HotButtonLimit</v>
      </c>
      <c r="BI5" s="30" t="str">
        <f>IFERROR(__xludf.DUMMYFUNCTION("""COMPUTED_VALUE"""),"HotButtonStop")</f>
        <v>HotButtonStop</v>
      </c>
      <c r="BJ5" s="30" t="str">
        <f>IFERROR(__xludf.DUMMYFUNCTION("""COMPUTED_VALUE"""),"Broker PadLock")</f>
        <v>Broker PadLock</v>
      </c>
      <c r="BK5" s="30" t="str">
        <f>IFERROR(__xludf.DUMMYFUNCTION("""COMPUTED_VALUE"""),"TradeBy")</f>
        <v>TradeBy</v>
      </c>
      <c r="BL5" s="30" t="str">
        <f>IFERROR(__xludf.DUMMYFUNCTION("""COMPUTED_VALUE"""),"PendingApprovalPopUp")</f>
        <v>PendingApprovalPopUp</v>
      </c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17</v>
      </c>
      <c r="D6" s="13">
        <v>1000.0</v>
      </c>
      <c r="E6" s="31"/>
      <c r="F6" s="8"/>
      <c r="G6" s="8"/>
      <c r="H6" s="8"/>
      <c r="I6" s="8"/>
      <c r="J6" s="13">
        <v>2.0</v>
      </c>
      <c r="K6" s="8"/>
      <c r="L6" s="8"/>
      <c r="M6" s="8"/>
      <c r="N6" s="8"/>
      <c r="O6" s="8"/>
      <c r="AQ6" s="9" t="s">
        <v>18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19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IFERROR(__xludf.DUMMYFUNCTION("""COMPUTED_VALUE"""),"EODTPreferences")</f>
        <v>EODTPreferences</v>
      </c>
      <c r="E4" s="25" t="str">
        <f>IFERROR(__xludf.DUMMYFUNCTION("""COMPUTED_VALUE"""),"LiveData")</f>
        <v>LiveData</v>
      </c>
      <c r="F4" s="25" t="str">
        <f>IFERROR(__xludf.DUMMYFUNCTION("""COMPUTED_VALUE"""),"UncheckDividendYield")</f>
        <v>UncheckDividendYield</v>
      </c>
      <c r="G4" s="25" t="str">
        <f>IFERROR(__xludf.DUMMYFUNCTION("""COMPUTED_VALUE"""),"VerifyPINavLockPopup")</f>
        <v>VerifyPINavLockPopup</v>
      </c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>
        <v>2.0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IFERROR(__xludf.DUMMYFUNCTION("""COMPUTED_VALUE"""),"UpdateMultipleDailyCash")</f>
        <v>UpdateMultipleDailyCash</v>
      </c>
      <c r="E4" s="25" t="str">
        <f>IFERROR(__xludf.DUMMYFUNCTION("""COMPUTED_VALUE"""),"UpdateForexConversion")</f>
        <v>UpdateForexConversion</v>
      </c>
      <c r="F4" s="25" t="str">
        <f>IFERROR(__xludf.DUMMYFUNCTION("""COMPUTED_VALUE"""),"UpdateMarkPrice")</f>
        <v>UpdateMarkPrice</v>
      </c>
      <c r="G4" s="25" t="str">
        <f>IFERROR(__xludf.DUMMYFUNCTION("""COMPUTED_VALUE"""),"CleanUp")</f>
        <v>CleanUp</v>
      </c>
      <c r="H4" s="25" t="str">
        <f>IFERROR(__xludf.DUMMYFUNCTION("""COMPUTED_VALUE"""),"GetMarkPriceData")</f>
        <v>GetMarkPriceData</v>
      </c>
      <c r="I4" s="25" t="str">
        <f>IFERROR(__xludf.DUMMYFUNCTION("""COMPUTED_VALUE"""),"GetForwardPoints")</f>
        <v>GetForwardPoints</v>
      </c>
      <c r="J4" s="25" t="str">
        <f>IFERROR(__xludf.DUMMYFUNCTION("""COMPUTED_VALUE"""),"UpdateForwardPoints")</f>
        <v>UpdateForwardPoints</v>
      </c>
      <c r="K4" s="25" t="str">
        <f>IFERROR(__xludf.DUMMYFUNCTION("""COMPUTED_VALUE"""),"GetForexConversion")</f>
        <v>GetForexConversion</v>
      </c>
      <c r="L4" s="25" t="str">
        <f>IFERROR(__xludf.DUMMYFUNCTION("""COMPUTED_VALUE"""),"DeleteNAV")</f>
        <v>DeleteNAV</v>
      </c>
      <c r="M4" s="25" t="str">
        <f>IFERROR(__xludf.DUMMYFUNCTION("""COMPUTED_VALUE"""),"GetDailyCash")</f>
        <v>GetDailyCash</v>
      </c>
      <c r="N4" s="25" t="str">
        <f>IFERROR(__xludf.DUMMYFUNCTION("""COMPUTED_VALUE"""),"GetDailyBeta")</f>
        <v>GetDailyBeta</v>
      </c>
      <c r="O4" s="25" t="str">
        <f>IFERROR(__xludf.DUMMYFUNCTION("""COMPUTED_VALUE"""),"GetDailyVolatility")</f>
        <v>GetDailyVolatility</v>
      </c>
      <c r="P4" s="26" t="str">
        <f>IFERROR(__xludf.DUMMYFUNCTION("""COMPUTED_VALUE"""),"GetDailyDividendYield")</f>
        <v>GetDailyDividendYield</v>
      </c>
      <c r="Q4" s="26" t="str">
        <f>IFERROR(__xludf.DUMMYFUNCTION("""COMPUTED_VALUE"""),"GetDailyTradingVolume")</f>
        <v>GetDailyTradingVolume</v>
      </c>
      <c r="R4" s="26" t="str">
        <f>IFERROR(__xludf.DUMMYFUNCTION("""COMPUTED_VALUE"""),"GetDailyOutstandings")</f>
        <v>GetDailyOutstandings</v>
      </c>
      <c r="S4" s="26" t="str">
        <f>IFERROR(__xludf.DUMMYFUNCTION("""COMPUTED_VALUE"""),"GetDailyDelta")</f>
        <v>GetDailyDelta</v>
      </c>
      <c r="T4" s="26" t="str">
        <f>IFERROR(__xludf.DUMMYFUNCTION("""COMPUTED_VALUE"""),"UpdateDailyVolatility")</f>
        <v>UpdateDailyVolatility</v>
      </c>
      <c r="U4" s="26" t="str">
        <f>IFERROR(__xludf.DUMMYFUNCTION("""COMPUTED_VALUE"""),"UpdateDividendYield")</f>
        <v>UpdateDividendYield</v>
      </c>
      <c r="V4" s="26" t="str">
        <f>IFERROR(__xludf.DUMMYFUNCTION("""COMPUTED_VALUE"""),"UpdateTradingVolume")</f>
        <v>UpdateTradingVolume</v>
      </c>
      <c r="W4" s="26" t="str">
        <f>IFERROR(__xludf.DUMMYFUNCTION("""COMPUTED_VALUE"""),"UpdateDailyDelta")</f>
        <v>UpdateDailyDelta</v>
      </c>
      <c r="X4" s="26" t="str">
        <f>IFERROR(__xludf.DUMMYFUNCTION("""COMPUTED_VALUE"""),"UpdateDailyOutstandings")</f>
        <v>UpdateDailyOutstandings</v>
      </c>
      <c r="Y4" s="26" t="str">
        <f>IFERROR(__xludf.DUMMYFUNCTION("""COMPUTED_VALUE"""),"UpdateBeta")</f>
        <v>UpdateBeta</v>
      </c>
      <c r="Z4" s="26" t="str">
        <f>IFERROR(__xludf.DUMMYFUNCTION("""COMPUTED_VALUE"""),"UpdateNAV")</f>
        <v>UpdateNAV</v>
      </c>
      <c r="AA4" s="26" t="str">
        <f>IFERROR(__xludf.DUMMYFUNCTION("""COMPUTED_VALUE"""),"UpdateDailyCash")</f>
        <v>UpdateDailyCash</v>
      </c>
      <c r="AB4" s="26" t="str">
        <f>IFERROR(__xludf.DUMMYFUNCTION("""COMPUTED_VALUE"""),"UpdateDailyCreditLimt")</f>
        <v>UpdateDailyCreditLimt</v>
      </c>
      <c r="AC4" s="26" t="str">
        <f>IFERROR(__xludf.DUMMYFUNCTION("""COMPUTED_VALUE"""),"RemoveDailyCreditLimit")</f>
        <v>RemoveDailyCreditLimit</v>
      </c>
      <c r="AD4" s="26" t="str">
        <f>IFERROR(__xludf.DUMMYFUNCTION("""COMPUTED_VALUE"""),"RemoveDailyCash")</f>
        <v>RemoveDailyCash</v>
      </c>
      <c r="AE4" s="26" t="str">
        <f>IFERROR(__xludf.DUMMYFUNCTION("""COMPUTED_VALUE"""),"RemoveNAV")</f>
        <v>RemoveNAV</v>
      </c>
      <c r="AF4" s="26" t="str">
        <f>IFERROR(__xludf.DUMMYFUNCTION("""COMPUTED_VALUE"""),"UpdateForexConversionMonthly")</f>
        <v>UpdateForexConversionMonthly</v>
      </c>
      <c r="AG4" s="26" t="str">
        <f>IFERROR(__xludf.DUMMYFUNCTION("""COMPUTED_VALUE"""),"UpdateMarkPriceMonthly")</f>
        <v>UpdateMarkPriceMonthly</v>
      </c>
      <c r="AH4" s="26" t="str">
        <f>IFERROR(__xludf.DUMMYFUNCTION("""COMPUTED_VALUE"""),"VerifyDailyCash")</f>
        <v>VerifyDailyCash</v>
      </c>
      <c r="AI4" s="26" t="str">
        <f>IFERROR(__xludf.DUMMYFUNCTION("""COMPUTED_VALUE"""),"EnableBlankMarkPrices")</f>
        <v>EnableBlankMarkPrices</v>
      </c>
      <c r="AJ4" s="26" t="str">
        <f>IFERROR(__xludf.DUMMYFUNCTION("""COMPUTED_VALUE"""),"UpateSymbolBlankMP")</f>
        <v>UpateSymbolBlankMP</v>
      </c>
      <c r="AK4" s="26" t="str">
        <f>IFERROR(__xludf.DUMMYFUNCTION("""COMPUTED_VALUE"""),"UpdateBlankMP")</f>
        <v>UpdateBlankMP</v>
      </c>
      <c r="AL4" s="26" t="str">
        <f>IFERROR(__xludf.DUMMYFUNCTION("""COMPUTED_VALUE"""),"FilterBlankMP")</f>
        <v>FilterBlankMP</v>
      </c>
      <c r="AM4" s="26" t="str">
        <f>IFERROR(__xludf.DUMMYFUNCTION("""COMPUTED_VALUE"""),"VerifyDVNavLockPopup")</f>
        <v>VerifyDVNavLockPopup</v>
      </c>
      <c r="AN4" s="26" t="str">
        <f>IFERROR(__xludf.DUMMYFUNCTION("""COMPUTED_VALUE"""),"SelectDateAtMPFC")</f>
        <v>SelectDateAtMPFC</v>
      </c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From")</f>
        <v>Copy From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2">
        <f>today()-1</f>
        <v>45859</v>
      </c>
      <c r="C6" s="33">
        <f>today()</f>
        <v>45860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GetDailyCash!$4:$4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IFERROR(__xludf.DUMMYFUNCTION("""COMPUTED_VALUE"""),"UpdateMultipleDailyCash")</f>
        <v>UpdateMultipleDailyCash</v>
      </c>
      <c r="E4" s="25" t="str">
        <f>IFERROR(__xludf.DUMMYFUNCTION("""COMPUTED_VALUE"""),"UpdateForexConversion")</f>
        <v>UpdateForexConversion</v>
      </c>
      <c r="F4" s="25" t="str">
        <f>IFERROR(__xludf.DUMMYFUNCTION("""COMPUTED_VALUE"""),"UpdateMarkPrice")</f>
        <v>UpdateMarkPrice</v>
      </c>
      <c r="G4" s="25" t="str">
        <f>IFERROR(__xludf.DUMMYFUNCTION("""COMPUTED_VALUE"""),"CleanUp")</f>
        <v>CleanUp</v>
      </c>
      <c r="H4" s="25" t="str">
        <f>IFERROR(__xludf.DUMMYFUNCTION("""COMPUTED_VALUE"""),"GetMarkPriceData")</f>
        <v>GetMarkPriceData</v>
      </c>
      <c r="I4" s="25" t="str">
        <f>IFERROR(__xludf.DUMMYFUNCTION("""COMPUTED_VALUE"""),"GetForwardPoints")</f>
        <v>GetForwardPoints</v>
      </c>
      <c r="J4" s="25" t="str">
        <f>IFERROR(__xludf.DUMMYFUNCTION("""COMPUTED_VALUE"""),"UpdateForwardPoints")</f>
        <v>UpdateForwardPoints</v>
      </c>
      <c r="K4" s="25" t="str">
        <f>IFERROR(__xludf.DUMMYFUNCTION("""COMPUTED_VALUE"""),"GetForexConversion")</f>
        <v>GetForexConversion</v>
      </c>
      <c r="L4" s="25" t="str">
        <f>IFERROR(__xludf.DUMMYFUNCTION("""COMPUTED_VALUE"""),"DeleteNAV")</f>
        <v>DeleteNAV</v>
      </c>
      <c r="M4" s="25" t="str">
        <f>IFERROR(__xludf.DUMMYFUNCTION("""COMPUTED_VALUE"""),"GetDailyCash")</f>
        <v>GetDailyCash</v>
      </c>
      <c r="N4" s="25" t="str">
        <f>IFERROR(__xludf.DUMMYFUNCTION("""COMPUTED_VALUE"""),"GetDailyBeta")</f>
        <v>GetDailyBeta</v>
      </c>
      <c r="O4" s="25" t="str">
        <f>IFERROR(__xludf.DUMMYFUNCTION("""COMPUTED_VALUE"""),"GetDailyVolatility")</f>
        <v>GetDailyVolatility</v>
      </c>
      <c r="P4" s="26" t="str">
        <f>IFERROR(__xludf.DUMMYFUNCTION("""COMPUTED_VALUE"""),"GetDailyDividendYield")</f>
        <v>GetDailyDividendYield</v>
      </c>
      <c r="Q4" s="26" t="str">
        <f>IFERROR(__xludf.DUMMYFUNCTION("""COMPUTED_VALUE"""),"GetDailyTradingVolume")</f>
        <v>GetDailyTradingVolume</v>
      </c>
      <c r="R4" s="26" t="str">
        <f>IFERROR(__xludf.DUMMYFUNCTION("""COMPUTED_VALUE"""),"GetDailyOutstandings")</f>
        <v>GetDailyOutstandings</v>
      </c>
      <c r="S4" s="26" t="str">
        <f>IFERROR(__xludf.DUMMYFUNCTION("""COMPUTED_VALUE"""),"GetDailyDelta")</f>
        <v>GetDailyDelta</v>
      </c>
      <c r="T4" s="26" t="str">
        <f>IFERROR(__xludf.DUMMYFUNCTION("""COMPUTED_VALUE"""),"UpdateDailyVolatility")</f>
        <v>UpdateDailyVolatility</v>
      </c>
      <c r="U4" s="26" t="str">
        <f>IFERROR(__xludf.DUMMYFUNCTION("""COMPUTED_VALUE"""),"UpdateDividendYield")</f>
        <v>UpdateDividendYield</v>
      </c>
      <c r="V4" s="26" t="str">
        <f>IFERROR(__xludf.DUMMYFUNCTION("""COMPUTED_VALUE"""),"UpdateTradingVolume")</f>
        <v>UpdateTradingVolume</v>
      </c>
      <c r="W4" s="26" t="str">
        <f>IFERROR(__xludf.DUMMYFUNCTION("""COMPUTED_VALUE"""),"UpdateDailyDelta")</f>
        <v>UpdateDailyDelta</v>
      </c>
      <c r="X4" s="26" t="str">
        <f>IFERROR(__xludf.DUMMYFUNCTION("""COMPUTED_VALUE"""),"UpdateDailyOutstandings")</f>
        <v>UpdateDailyOutstandings</v>
      </c>
      <c r="Y4" s="26" t="str">
        <f>IFERROR(__xludf.DUMMYFUNCTION("""COMPUTED_VALUE"""),"UpdateBeta")</f>
        <v>UpdateBeta</v>
      </c>
      <c r="Z4" s="26" t="str">
        <f>IFERROR(__xludf.DUMMYFUNCTION("""COMPUTED_VALUE"""),"UpdateNAV")</f>
        <v>UpdateNAV</v>
      </c>
      <c r="AA4" s="26" t="str">
        <f>IFERROR(__xludf.DUMMYFUNCTION("""COMPUTED_VALUE"""),"UpdateDailyCash")</f>
        <v>UpdateDailyCash</v>
      </c>
      <c r="AB4" s="26" t="str">
        <f>IFERROR(__xludf.DUMMYFUNCTION("""COMPUTED_VALUE"""),"UpdateDailyCreditLimt")</f>
        <v>UpdateDailyCreditLimt</v>
      </c>
      <c r="AC4" s="26" t="str">
        <f>IFERROR(__xludf.DUMMYFUNCTION("""COMPUTED_VALUE"""),"RemoveDailyCreditLimit")</f>
        <v>RemoveDailyCreditLimit</v>
      </c>
      <c r="AD4" s="26" t="str">
        <f>IFERROR(__xludf.DUMMYFUNCTION("""COMPUTED_VALUE"""),"RemoveDailyCash")</f>
        <v>RemoveDailyCash</v>
      </c>
      <c r="AE4" s="26" t="str">
        <f>IFERROR(__xludf.DUMMYFUNCTION("""COMPUTED_VALUE"""),"RemoveNAV")</f>
        <v>RemoveNAV</v>
      </c>
      <c r="AF4" s="26" t="str">
        <f>IFERROR(__xludf.DUMMYFUNCTION("""COMPUTED_VALUE"""),"UpdateForexConversionMonthly")</f>
        <v>UpdateForexConversionMonthly</v>
      </c>
      <c r="AG4" s="26" t="str">
        <f>IFERROR(__xludf.DUMMYFUNCTION("""COMPUTED_VALUE"""),"UpdateMarkPriceMonthly")</f>
        <v>UpdateMarkPriceMonthly</v>
      </c>
      <c r="AH4" s="26" t="str">
        <f>IFERROR(__xludf.DUMMYFUNCTION("""COMPUTED_VALUE"""),"VerifyDailyCash")</f>
        <v>VerifyDailyCash</v>
      </c>
      <c r="AI4" s="26" t="str">
        <f>IFERROR(__xludf.DUMMYFUNCTION("""COMPUTED_VALUE"""),"EnableBlankMarkPrices")</f>
        <v>EnableBlankMarkPrices</v>
      </c>
      <c r="AJ4" s="26" t="str">
        <f>IFERROR(__xludf.DUMMYFUNCTION("""COMPUTED_VALUE"""),"UpateSymbolBlankMP")</f>
        <v>UpateSymbolBlankMP</v>
      </c>
      <c r="AK4" s="26" t="str">
        <f>IFERROR(__xludf.DUMMYFUNCTION("""COMPUTED_VALUE"""),"UpdateBlankMP")</f>
        <v>UpdateBlankMP</v>
      </c>
      <c r="AL4" s="26" t="str">
        <f>IFERROR(__xludf.DUMMYFUNCTION("""COMPUTED_VALUE"""),"FilterBlankMP")</f>
        <v>FilterBlankMP</v>
      </c>
      <c r="AM4" s="26" t="str">
        <f>IFERROR(__xludf.DUMMYFUNCTION("""COMPUTED_VALUE"""),"VerifyDVNavLockPopup")</f>
        <v>VerifyDVNavLockPopup</v>
      </c>
      <c r="AN4" s="26" t="str">
        <f>IFERROR(__xludf.DUMMYFUNCTION("""COMPUTED_VALUE"""),"SelectDateAtMPFC")</f>
        <v>SelectDateAtMPFC</v>
      </c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IFERROR(__xludf.DUMMYFUNCTION("""COMPUTED_VALUE"""),"Local Currency")</f>
        <v>Local Currency</v>
      </c>
      <c r="D5" s="28" t="str">
        <f>IFERROR(__xludf.DUMMYFUNCTION("""COMPUTED_VALUE"""),"Cash Value Local")</f>
        <v>Cash Value Local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23</v>
      </c>
      <c r="C6" s="13" t="s">
        <v>24</v>
      </c>
      <c r="D6" s="13">
        <v>100000.0</v>
      </c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UpdateMultipleDailyCash!$4:$4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IFERROR(__xludf.DUMMYFUNCTION("IF(C3="""","""",Transpose(IMPORTRANGE('_Settings'!$B$3,C3&amp;""!A4:A1000"")))"),"SetTTUIPreferences")</f>
        <v>SetTTUIPreferences</v>
      </c>
      <c r="C4" s="25" t="str">
        <f>IFERROR(__xludf.DUMMYFUNCTION("""COMPUTED_VALUE"""),"TTPermissionLevel")</f>
        <v>TTPermissionLevel</v>
      </c>
      <c r="D4" s="25" t="str">
        <f>IFERROR(__xludf.DUMMYFUNCTION("""COMPUTED_VALUE"""),"SetCheckSide")</f>
        <v>SetCheckSide</v>
      </c>
      <c r="E4" s="25" t="str">
        <f>IFERROR(__xludf.DUMMYFUNCTION("""COMPUTED_VALUE"""),"SetRollover")</f>
        <v>SetRollover</v>
      </c>
      <c r="F4" s="25" t="str">
        <f>IFERROR(__xludf.DUMMYFUNCTION("""COMPUTED_VALUE"""),"SetActive")</f>
        <v>SetActive</v>
      </c>
      <c r="G4" s="25" t="str">
        <f>IFERROR(__xludf.DUMMYFUNCTION("""COMPUTED_VALUE"""),"SetThirdPartyFormat")</f>
        <v>SetThirdPartyFormat</v>
      </c>
      <c r="H4" s="25" t="str">
        <f>IFERROR(__xludf.DUMMYFUNCTION("""COMPUTED_VALUE"""),"UpdateRoundLot")</f>
        <v>UpdateRoundLot</v>
      </c>
      <c r="I4" s="25" t="str">
        <f>IFERROR(__xludf.DUMMYFUNCTION("""COMPUTED_VALUE"""),"SetTradingComplianceRules")</f>
        <v>SetTradingComplianceRules</v>
      </c>
      <c r="J4" s="25" t="str">
        <f>IFERROR(__xludf.DUMMYFUNCTION("""COMPUTED_VALUE"""),"EnableBreakdownRealizedPNL")</f>
        <v>EnableBreakdownRealizedPNL</v>
      </c>
      <c r="K4" s="25" t="str">
        <f>IFERROR(__xludf.DUMMYFUNCTION("""COMPUTED_VALUE"""),"SetTTGeneralPreferences")</f>
        <v>SetTTGeneralPreferences</v>
      </c>
      <c r="L4" s="25" t="str">
        <f>IFERROR(__xludf.DUMMYFUNCTION("""COMPUTED_VALUE"""),"SetDollarAmountPermission")</f>
        <v>SetDollarAmountPermission</v>
      </c>
      <c r="M4" s="25" t="str">
        <f>IFERROR(__xludf.DUMMYFUNCTION("""COMPUTED_VALUE"""),"EnableDisableModule")</f>
        <v>EnableDisableModule</v>
      </c>
      <c r="N4" s="25" t="str">
        <f>IFERROR(__xludf.DUMMYFUNCTION("""COMPUTED_VALUE"""),"IsImportOverrideOnShortLocate")</f>
        <v>IsImportOverrideOnShortLocate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IFERROR(__xludf.DUMMYFUNCTION("""COMPUTED_VALUE"""),"SetComplianceAlert")</f>
        <v>SetComplianceAlert</v>
      </c>
      <c r="Q4" s="26" t="str">
        <f>IFERROR(__xludf.DUMMYFUNCTION("""COMPUTED_VALUE"""),"UpdateExpirationDate")</f>
        <v>UpdateExpirationDate</v>
      </c>
      <c r="R4" s="26" t="str">
        <f>IFERROR(__xludf.DUMMYFUNCTION("""COMPUTED_VALUE"""),"RenameMasterStrategy")</f>
        <v>RenameMasterStrategy</v>
      </c>
      <c r="S4" s="26" t="str">
        <f>IFERROR(__xludf.DUMMYFUNCTION("""COMPUTED_VALUE"""),"SetTTUIAdminPreferences")</f>
        <v>SetTTUIAdminPreferences</v>
      </c>
      <c r="T4" s="26" t="str">
        <f>IFERROR(__xludf.DUMMYFUNCTION("""COMPUTED_VALUE"""),"UpdateSecFee")</f>
        <v>UpdateSecFee</v>
      </c>
      <c r="U4" s="26" t="str">
        <f>IFERROR(__xludf.DUMMYFUNCTION("""COMPUTED_VALUE"""),"UpdateFee")</f>
        <v>UpdateFee</v>
      </c>
      <c r="V4" s="26" t="str">
        <f>IFERROR(__xludf.DUMMYFUNCTION("""COMPUTED_VALUE"""),"RevertingSMSharesOutValue")</f>
        <v>RevertingSMSharesOutValue</v>
      </c>
      <c r="W4" s="26" t="str">
        <f>IFERROR(__xludf.DUMMYFUNCTION("""COMPUTED_VALUE"""),"RestartSQL")</f>
        <v>RestartSQL</v>
      </c>
      <c r="X4" s="26" t="str">
        <f>IFERROR(__xludf.DUMMYFUNCTION("""COMPUTED_VALUE"""),"TradeAuditCleanUp")</f>
        <v>TradeAuditCleanUp</v>
      </c>
      <c r="Y4" s="26" t="str">
        <f>IFERROR(__xludf.DUMMYFUNCTION("""COMPUTED_VALUE"""),"DeleteSymbolFromSM")</f>
        <v>DeleteSymbolFromSM</v>
      </c>
      <c r="Z4" s="26" t="str">
        <f>IFERROR(__xludf.DUMMYFUNCTION("""COMPUTED_VALUE"""),"SetCompliancePermission")</f>
        <v>SetCompliancePermission</v>
      </c>
      <c r="AA4" s="26" t="str">
        <f>IFERROR(__xludf.DUMMYFUNCTION("""COMPUTED_VALUE"""),"SetMasterFundOnTT")</f>
        <v>SetMasterFundOnTT</v>
      </c>
      <c r="AB4" s="26" t="str">
        <f>IFERROR(__xludf.DUMMYFUNCTION("""COMPUTED_VALUE"""),"SetMarketDataProvider")</f>
        <v>SetMarketDataProvider</v>
      </c>
      <c r="AC4" s="26" t="str">
        <f>IFERROR(__xludf.DUMMYFUNCTION("""COMPUTED_VALUE"""),"SetAllocationPreferences")</f>
        <v>SetAllocationPreferences</v>
      </c>
      <c r="AD4" s="26" t="str">
        <f>IFERROR(__xludf.DUMMYFUNCTION("""COMPUTED_VALUE"""),"SetRegularCompliancePermission")</f>
        <v>SetRegularCompliancePermission</v>
      </c>
      <c r="AE4" s="26" t="str">
        <f>IFERROR(__xludf.DUMMYFUNCTION("""COMPUTED_VALUE"""),"SetCommissionRule")</f>
        <v>SetCommissionRule</v>
      </c>
      <c r="AF4" s="26" t="str">
        <f>IFERROR(__xludf.DUMMYFUNCTION("""COMPUTED_VALUE"""),"SetPreTradeCompliancePermission")</f>
        <v>SetPreTradeCompliancePermission</v>
      </c>
      <c r="AG4" s="26" t="str">
        <f>IFERROR(__xludf.DUMMYFUNCTION("""COMPUTED_VALUE"""),"SetAuecExecutingBroker")</f>
        <v>SetAuecExecutingBroker</v>
      </c>
      <c r="AH4" s="26" t="str">
        <f>IFERROR(__xludf.DUMMYFUNCTION("""COMPUTED_VALUE"""),"SetAlgoBroker")</f>
        <v>SetAlgoBroker</v>
      </c>
      <c r="AI4" s="26" t="str">
        <f>IFERROR(__xludf.DUMMYFUNCTION("""COMPUTED_VALUE"""),"EnableAutoGroupingAllocation")</f>
        <v>EnableAutoGroupingAllocation</v>
      </c>
      <c r="AJ4" s="26" t="str">
        <f>IFERROR(__xludf.DUMMYFUNCTION("""COMPUTED_VALUE"""),"ConfigUpdater")</f>
        <v>ConfigUpdater</v>
      </c>
      <c r="AK4" s="26" t="str">
        <f>IFERROR(__xludf.DUMMYFUNCTION("""COMPUTED_VALUE"""),"AccountPermission")</f>
        <v>AccountPermission</v>
      </c>
      <c r="AL4" s="26" t="str">
        <f>IFERROR(__xludf.DUMMYFUNCTION("""COMPUTED_VALUE"""),"BasketPermission")</f>
        <v>BasketPermission</v>
      </c>
      <c r="AM4" s="26" t="str">
        <f>IFERROR(__xludf.DUMMYFUNCTION("""COMPUTED_VALUE"""),"ChangeDate")</f>
        <v>ChangeDate</v>
      </c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IFERROR(__xludf.DUMMYFUNCTION("""COMPUTED_VALUE"""),"ImportExportPath")</f>
        <v>ImportExportPath</v>
      </c>
      <c r="C5" s="28" t="str">
        <f>IFERROR(__xludf.DUMMYFUNCTION("""COMPUTED_VALUE"""),"PrePostCrossImport")</f>
        <v>PrePostCrossImport</v>
      </c>
      <c r="D5" s="28" t="str">
        <f>IFERROR(__xludf.DUMMYFUNCTION("""COMPUTED_VALUE"""),"InMarket")</f>
        <v>InMarket</v>
      </c>
      <c r="E5" s="28" t="str">
        <f>IFERROR(__xludf.DUMMYFUNCTION("""COMPUTED_VALUE"""),"InStage")</f>
        <v>InStage</v>
      </c>
      <c r="F5" s="29" t="str">
        <f>IFERROR(__xludf.DUMMYFUNCTION("""COMPUTED_VALUE"""),"PostInMarket")</f>
        <v>PostInMarket</v>
      </c>
      <c r="G5" s="28" t="str">
        <f>IFERROR(__xludf.DUMMYFUNCTION("""COMPUTED_VALUE"""),"PostInStage")</f>
        <v>PostInStage</v>
      </c>
      <c r="H5" s="28" t="str">
        <f>IFERROR(__xludf.DUMMYFUNCTION("""COMPUTED_VALUE"""),"BlockTradeOnComplianceFaliure")</f>
        <v>BlockTradeOnComplianceFaliure</v>
      </c>
      <c r="I5" s="28" t="str">
        <f>IFERROR(__xludf.DUMMYFUNCTION("""COMPUTED_VALUE"""),"StageValueFromField")</f>
        <v>StageValueFromField</v>
      </c>
      <c r="J5" s="28" t="str">
        <f>IFERROR(__xludf.DUMMYFUNCTION("""COMPUTED_VALUE"""),"StageValueFromFieldString")</f>
        <v>StageValueFromFieldString</v>
      </c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 t="b">
        <v>1</v>
      </c>
      <c r="E6" s="13" t="b">
        <v>1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SetComplianceAlert!$4:$4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2" width="14.25"/>
    <col customWidth="1" min="3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IFERROR(__xludf.DUMMYFUNCTION("IF(C3="""","""",Transpose(IMPORTRANGE('_Settings'!$B$3,C3&amp;""!A4:A1000"")))"),"SetTTUIPreferences")</f>
        <v>SetTTUIPreferences</v>
      </c>
      <c r="C4" s="25" t="str">
        <f>IFERROR(__xludf.DUMMYFUNCTION("""COMPUTED_VALUE"""),"TTPermissionLevel")</f>
        <v>TTPermissionLevel</v>
      </c>
      <c r="D4" s="25" t="str">
        <f>IFERROR(__xludf.DUMMYFUNCTION("""COMPUTED_VALUE"""),"SetCheckSide")</f>
        <v>SetCheckSide</v>
      </c>
      <c r="E4" s="25" t="str">
        <f>IFERROR(__xludf.DUMMYFUNCTION("""COMPUTED_VALUE"""),"SetRollover")</f>
        <v>SetRollover</v>
      </c>
      <c r="F4" s="25" t="str">
        <f>IFERROR(__xludf.DUMMYFUNCTION("""COMPUTED_VALUE"""),"SetActive")</f>
        <v>SetActive</v>
      </c>
      <c r="G4" s="25" t="str">
        <f>IFERROR(__xludf.DUMMYFUNCTION("""COMPUTED_VALUE"""),"SetThirdPartyFormat")</f>
        <v>SetThirdPartyFormat</v>
      </c>
      <c r="H4" s="25" t="str">
        <f>IFERROR(__xludf.DUMMYFUNCTION("""COMPUTED_VALUE"""),"UpdateRoundLot")</f>
        <v>UpdateRoundLot</v>
      </c>
      <c r="I4" s="25" t="str">
        <f>IFERROR(__xludf.DUMMYFUNCTION("""COMPUTED_VALUE"""),"SetTradingComplianceRules")</f>
        <v>SetTradingComplianceRules</v>
      </c>
      <c r="J4" s="25" t="str">
        <f>IFERROR(__xludf.DUMMYFUNCTION("""COMPUTED_VALUE"""),"EnableBreakdownRealizedPNL")</f>
        <v>EnableBreakdownRealizedPNL</v>
      </c>
      <c r="K4" s="25" t="str">
        <f>IFERROR(__xludf.DUMMYFUNCTION("""COMPUTED_VALUE"""),"SetTTGeneralPreferences")</f>
        <v>SetTTGeneralPreferences</v>
      </c>
      <c r="L4" s="25" t="str">
        <f>IFERROR(__xludf.DUMMYFUNCTION("""COMPUTED_VALUE"""),"SetDollarAmountPermission")</f>
        <v>SetDollarAmountPermission</v>
      </c>
      <c r="M4" s="25" t="str">
        <f>IFERROR(__xludf.DUMMYFUNCTION("""COMPUTED_VALUE"""),"EnableDisableModule")</f>
        <v>EnableDisableModule</v>
      </c>
      <c r="N4" s="25" t="str">
        <f>IFERROR(__xludf.DUMMYFUNCTION("""COMPUTED_VALUE"""),"IsImportOverrideOnShortLocate")</f>
        <v>IsImportOverrideOnShortLocate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IFERROR(__xludf.DUMMYFUNCTION("""COMPUTED_VALUE"""),"SetComplianceAlert")</f>
        <v>SetComplianceAlert</v>
      </c>
      <c r="Q4" s="26" t="str">
        <f>IFERROR(__xludf.DUMMYFUNCTION("""COMPUTED_VALUE"""),"UpdateExpirationDate")</f>
        <v>UpdateExpirationDate</v>
      </c>
      <c r="R4" s="26" t="str">
        <f>IFERROR(__xludf.DUMMYFUNCTION("""COMPUTED_VALUE"""),"RenameMasterStrategy")</f>
        <v>RenameMasterStrategy</v>
      </c>
      <c r="S4" s="26" t="str">
        <f>IFERROR(__xludf.DUMMYFUNCTION("""COMPUTED_VALUE"""),"SetTTUIAdminPreferences")</f>
        <v>SetTTUIAdminPreferences</v>
      </c>
      <c r="T4" s="26" t="str">
        <f>IFERROR(__xludf.DUMMYFUNCTION("""COMPUTED_VALUE"""),"UpdateSecFee")</f>
        <v>UpdateSecFee</v>
      </c>
      <c r="U4" s="26" t="str">
        <f>IFERROR(__xludf.DUMMYFUNCTION("""COMPUTED_VALUE"""),"UpdateFee")</f>
        <v>UpdateFee</v>
      </c>
      <c r="V4" s="26" t="str">
        <f>IFERROR(__xludf.DUMMYFUNCTION("""COMPUTED_VALUE"""),"RevertingSMSharesOutValue")</f>
        <v>RevertingSMSharesOutValue</v>
      </c>
      <c r="W4" s="26" t="str">
        <f>IFERROR(__xludf.DUMMYFUNCTION("""COMPUTED_VALUE"""),"RestartSQL")</f>
        <v>RestartSQL</v>
      </c>
      <c r="X4" s="26" t="str">
        <f>IFERROR(__xludf.DUMMYFUNCTION("""COMPUTED_VALUE"""),"TradeAuditCleanUp")</f>
        <v>TradeAuditCleanUp</v>
      </c>
      <c r="Y4" s="26" t="str">
        <f>IFERROR(__xludf.DUMMYFUNCTION("""COMPUTED_VALUE"""),"DeleteSymbolFromSM")</f>
        <v>DeleteSymbolFromSM</v>
      </c>
      <c r="Z4" s="26" t="str">
        <f>IFERROR(__xludf.DUMMYFUNCTION("""COMPUTED_VALUE"""),"SetCompliancePermission")</f>
        <v>SetCompliancePermission</v>
      </c>
      <c r="AA4" s="26" t="str">
        <f>IFERROR(__xludf.DUMMYFUNCTION("""COMPUTED_VALUE"""),"SetMasterFundOnTT")</f>
        <v>SetMasterFundOnTT</v>
      </c>
      <c r="AB4" s="26" t="str">
        <f>IFERROR(__xludf.DUMMYFUNCTION("""COMPUTED_VALUE"""),"SetMarketDataProvider")</f>
        <v>SetMarketDataProvider</v>
      </c>
      <c r="AC4" s="26" t="str">
        <f>IFERROR(__xludf.DUMMYFUNCTION("""COMPUTED_VALUE"""),"SetAllocationPreferences")</f>
        <v>SetAllocationPreferences</v>
      </c>
      <c r="AD4" s="26" t="str">
        <f>IFERROR(__xludf.DUMMYFUNCTION("""COMPUTED_VALUE"""),"SetRegularCompliancePermission")</f>
        <v>SetRegularCompliancePermission</v>
      </c>
      <c r="AE4" s="26" t="str">
        <f>IFERROR(__xludf.DUMMYFUNCTION("""COMPUTED_VALUE"""),"SetCommissionRule")</f>
        <v>SetCommissionRule</v>
      </c>
      <c r="AF4" s="26" t="str">
        <f>IFERROR(__xludf.DUMMYFUNCTION("""COMPUTED_VALUE"""),"SetPreTradeCompliancePermission")</f>
        <v>SetPreTradeCompliancePermission</v>
      </c>
      <c r="AG4" s="26" t="str">
        <f>IFERROR(__xludf.DUMMYFUNCTION("""COMPUTED_VALUE"""),"SetAuecExecutingBroker")</f>
        <v>SetAuecExecutingBroker</v>
      </c>
      <c r="AH4" s="26" t="str">
        <f>IFERROR(__xludf.DUMMYFUNCTION("""COMPUTED_VALUE"""),"SetAlgoBroker")</f>
        <v>SetAlgoBroker</v>
      </c>
      <c r="AI4" s="26" t="str">
        <f>IFERROR(__xludf.DUMMYFUNCTION("""COMPUTED_VALUE"""),"EnableAutoGroupingAllocation")</f>
        <v>EnableAutoGroupingAllocation</v>
      </c>
      <c r="AJ4" s="26" t="str">
        <f>IFERROR(__xludf.DUMMYFUNCTION("""COMPUTED_VALUE"""),"ConfigUpdater")</f>
        <v>ConfigUpdater</v>
      </c>
      <c r="AK4" s="26" t="str">
        <f>IFERROR(__xludf.DUMMYFUNCTION("""COMPUTED_VALUE"""),"AccountPermission")</f>
        <v>AccountPermission</v>
      </c>
      <c r="AL4" s="26" t="str">
        <f>IFERROR(__xludf.DUMMYFUNCTION("""COMPUTED_VALUE"""),"BasketPermission")</f>
        <v>BasketPermission</v>
      </c>
      <c r="AM4" s="26" t="str">
        <f>IFERROR(__xludf.DUMMYFUNCTION("""COMPUTED_VALUE"""),"ChangeDate")</f>
        <v>ChangeDate</v>
      </c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IFERROR(__xludf.DUMMYFUNCTION("""COMPUTED_VALUE"""),"Rule Name")</f>
        <v>Rule Name</v>
      </c>
      <c r="C5" s="28" t="str">
        <f>IFERROR(__xludf.DUMMYFUNCTION("""COMPUTED_VALUE"""),"Alert Type Permission")</f>
        <v>Alert Type Permission</v>
      </c>
      <c r="D5" s="28" t="str">
        <f>IFERROR(__xludf.DUMMYFUNCTION("""COMPUTED_VALUE"""),"UserID")</f>
        <v>UserID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4" t="s">
        <v>28</v>
      </c>
      <c r="C6" s="35" t="s">
        <v>29</v>
      </c>
      <c r="D6" s="36">
        <v>17.0</v>
      </c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SetCompliancePermission!$4:$4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IFERROR(__xludf.DUMMYFUNCTION("""COMPUTED_VALUE"""),"RestartRuleMediator")</f>
        <v>RestartRuleMediator</v>
      </c>
      <c r="AL4" s="26" t="str">
        <f>IFERROR(__xludf.DUMMYFUNCTION("""COMPUTED_VALUE"""),"VerifyAggAccountSymbolWithNav")</f>
        <v>VerifyAggAccountSymbolWithNav</v>
      </c>
      <c r="AM4" s="26" t="str">
        <f>IFERROR(__xludf.DUMMYFUNCTION("""COMPUTED_VALUE"""),"ApproveorRejectpendingapproval")</f>
        <v>ApproveorRejectpendingapproval</v>
      </c>
      <c r="AN4" s="26" t="str">
        <f>IFERROR(__xludf.DUMMYFUNCTION("""COMPUTED_VALUE"""),"VerifyAlertHistory")</f>
        <v>VerifyAlertHistory</v>
      </c>
      <c r="AO4" s="26" t="str">
        <f>IFERROR(__xludf.DUMMYFUNCTION("""COMPUTED_VALUE"""),"EditInterceptorFile")</f>
        <v>EditInterceptorFile</v>
      </c>
      <c r="AP4" s="26" t="str">
        <f>IFERROR(__xludf.DUMMYFUNCTION("""COMPUTED_VALUE"""),"ReplaceInterceptorFile")</f>
        <v>ReplaceInterceptorFile</v>
      </c>
      <c r="AQ4" s="26" t="str">
        <f>IFERROR(__xludf.DUMMYFUNCTION("""COMPUTED_VALUE"""),"RestartReleasesAndServices")</f>
        <v>RestartReleasesAndServices</v>
      </c>
      <c r="AR4" s="26" t="str">
        <f>IFERROR(__xludf.DUMMYFUNCTION("""COMPUTED_VALUE"""),"GetEmail")</f>
        <v>GetEmail</v>
      </c>
      <c r="AS4" s="26" t="str">
        <f>IFERROR(__xludf.DUMMYFUNCTION("""COMPUTED_VALUE"""),"EnableDisableRule")</f>
        <v>EnableDisableRule</v>
      </c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IFERROR(__xludf.DUMMYFUNCTION("""COMPUTED_VALUE"""),"Restart Basket")</f>
        <v>Restart Basket</v>
      </c>
      <c r="C5" s="28" t="str">
        <f>IFERROR(__xludf.DUMMYFUNCTION("""COMPUTED_VALUE"""),"DontShutSimulator")</f>
        <v>DontShutSimulator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18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RestartReleasesAndServices!$4:$4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32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 t="str">
        <f>IFERROR(__xludf.DUMMYFUNCTION("""COMPUTED_VALUE"""),"VerifyTradeSummary")</f>
        <v>VerifyTradeSummary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IFERROR(__xludf.DUMMYFUNCTION("""COMPUTED_VALUE"""),"MTT POP UP?")</f>
        <v>MTT POP UP?</v>
      </c>
      <c r="K5" s="28" t="str">
        <f>IFERROR(__xludf.DUMMYFUNCTION("""COMPUTED_VALUE"""),"Use Custodian Broker")</f>
        <v>Use Custodian Broker</v>
      </c>
      <c r="L5" s="28" t="str">
        <f>IFERROR(__xludf.DUMMYFUNCTION("""COMPUTED_VALUE"""),"Round Lots")</f>
        <v>Round Lots</v>
      </c>
      <c r="M5" s="28" t="str">
        <f>IFERROR(__xludf.DUMMYFUNCTION("""COMPUTED_VALUE"""),"Broker")</f>
        <v>Broker</v>
      </c>
      <c r="N5" s="28" t="str">
        <f>IFERROR(__xludf.DUMMYFUNCTION("""COMPUTED_VALUE"""),"Venue")</f>
        <v>Venue</v>
      </c>
      <c r="O5" s="28" t="str">
        <f>IFERROR(__xludf.DUMMYFUNCTION("""COMPUTED_VALUE"""),"TIF")</f>
        <v>TIF</v>
      </c>
      <c r="P5" s="28" t="str">
        <f>IFERROR(__xludf.DUMMYFUNCTION("""COMPUTED_VALUE"""),"Order Type")</f>
        <v>Order Type</v>
      </c>
      <c r="Q5" s="28" t="str">
        <f>IFERROR(__xludf.DUMMYFUNCTION("""COMPUTED_VALUE"""),"Stop")</f>
        <v>Stop</v>
      </c>
      <c r="R5" s="28" t="str">
        <f>IFERROR(__xludf.DUMMYFUNCTION("""COMPUTED_VALUE"""),"Limit")</f>
        <v>Limit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TradePTT!$4:$4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 t="str">
        <f>IFERROR(__xludf.DUMMYFUNCTION("""COMPUTED_VALUE"""),"VerifyPopupAlignment")</f>
        <v>VerifyPopupAlignment</v>
      </c>
      <c r="BC4" s="26" t="str">
        <f>IFERROR(__xludf.DUMMYFUNCTION("""COMPUTED_VALUE"""),"SelectET")</f>
        <v>SelectET</v>
      </c>
      <c r="BD4" s="26" t="str">
        <f>IFERROR(__xludf.DUMMYFUNCTION("""COMPUTED_VALUE"""),"SymbolSuggestionVerify")</f>
        <v>SymbolSuggestionVerify</v>
      </c>
      <c r="BE4" s="26" t="str">
        <f>IFERROR(__xludf.DUMMYFUNCTION("""COMPUTED_VALUE"""),"EditAuecWindow")</f>
        <v>EditAuecWindow</v>
      </c>
      <c r="BF4" s="26" t="str">
        <f>IFERROR(__xludf.DUMMYFUNCTION("""COMPUTED_VALUE"""),"VerifyBrokerSummary")</f>
        <v>VerifyBrokerSummary</v>
      </c>
      <c r="BG4" s="26" t="str">
        <f>IFERROR(__xludf.DUMMYFUNCTION("""COMPUTED_VALUE"""),"QTTHamburg")</f>
        <v>QTTHamburg</v>
      </c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IFERROR(__xludf.DUMMYFUNCTION("""COMPUTED_VALUE"""),"Price")</f>
        <v>Price</v>
      </c>
      <c r="E5" s="28" t="str">
        <f>IFERROR(__xludf.DUMMYFUNCTION("""COMPUTED_VALUE"""),"Order type button")</f>
        <v>Order type button</v>
      </c>
      <c r="F5" s="29" t="str">
        <f>IFERROR(__xludf.DUMMYFUNCTION("""COMPUTED_VALUE"""),"SharesOutstandingPopUp")</f>
        <v>SharesOutstandingPopUp</v>
      </c>
      <c r="G5" s="28" t="str">
        <f>IFERROR(__xludf.DUMMYFUNCTION("""COMPUTED_VALUE"""),"TT_Open")</f>
        <v>TT_Open</v>
      </c>
      <c r="H5" s="28" t="str">
        <f>IFERROR(__xludf.DUMMYFUNCTION("""COMPUTED_VALUE"""),"SharesOutstandingPopUpQty")</f>
        <v>SharesOutstandingPopUpQty</v>
      </c>
      <c r="I5" s="28" t="str">
        <f>IFERROR(__xludf.DUMMYFUNCTION("""COMPUTED_VALUE"""),"AllocationMethod")</f>
        <v>AllocationMethod</v>
      </c>
      <c r="J5" s="28" t="str">
        <f>IFERROR(__xludf.DUMMYFUNCTION("""COMPUTED_VALUE"""),"Order Side")</f>
        <v>Order Side</v>
      </c>
      <c r="K5" s="28" t="str">
        <f>IFERROR(__xludf.DUMMYFUNCTION("""COMPUTED_VALUE"""),"DB_Check")</f>
        <v>DB_Check</v>
      </c>
      <c r="L5" s="28" t="str">
        <f>IFERROR(__xludf.DUMMYFUNCTION("""COMPUTED_VALUE"""),"CommissionBasis")</f>
        <v>CommissionBasis</v>
      </c>
      <c r="M5" s="28" t="str">
        <f>IFERROR(__xludf.DUMMYFUNCTION("""COMPUTED_VALUE"""),"CommissionRate")</f>
        <v>CommissionRate</v>
      </c>
      <c r="N5" s="28" t="str">
        <f>IFERROR(__xludf.DUMMYFUNCTION("""COMPUTED_VALUE"""),"SoftBasis")</f>
        <v>SoftBasis</v>
      </c>
      <c r="O5" s="28" t="str">
        <f>IFERROR(__xludf.DUMMYFUNCTION("""COMPUTED_VALUE"""),"SoftRate")</f>
        <v>SoftRate</v>
      </c>
      <c r="P5" s="28" t="str">
        <f>IFERROR(__xludf.DUMMYFUNCTION("""COMPUTED_VALUE"""),"Account")</f>
        <v>Account</v>
      </c>
      <c r="Q5" s="28" t="str">
        <f>IFERROR(__xludf.DUMMYFUNCTION("""COMPUTED_VALUE"""),"Account %")</f>
        <v>Account %</v>
      </c>
      <c r="R5" s="28" t="str">
        <f>IFERROR(__xludf.DUMMYFUNCTION("""COMPUTED_VALUE"""),"VerifySuggestions")</f>
        <v>VerifySuggestions</v>
      </c>
      <c r="S5" s="28" t="str">
        <f>IFERROR(__xludf.DUMMYFUNCTION("""COMPUTED_VALUE"""),"SymbolToPickFromSuggesstions")</f>
        <v>SymbolToPickFromSuggesstions</v>
      </c>
      <c r="T5" s="30" t="str">
        <f>IFERROR(__xludf.DUMMYFUNCTION("""COMPUTED_VALUE"""),"TypedSymbolAvailableOnSuggestion")</f>
        <v>TypedSymbolAvailableOnSuggestion</v>
      </c>
      <c r="U5" s="30" t="str">
        <f>IFERROR(__xludf.DUMMYFUNCTION("""COMPUTED_VALUE"""),"TIF")</f>
        <v>TIF</v>
      </c>
      <c r="V5" s="30" t="str">
        <f>IFERROR(__xludf.DUMMYFUNCTION("""COMPUTED_VALUE"""),"Order Type")</f>
        <v>Order Type</v>
      </c>
      <c r="W5" s="30" t="str">
        <f>IFERROR(__xludf.DUMMYFUNCTION("""COMPUTED_VALUE"""),"Stop")</f>
        <v>Stop</v>
      </c>
      <c r="X5" s="30" t="str">
        <f>IFERROR(__xludf.DUMMYFUNCTION("""COMPUTED_VALUE"""),"Limit")</f>
        <v>Limit</v>
      </c>
      <c r="Y5" s="30" t="str">
        <f>IFERROR(__xludf.DUMMYFUNCTION("""COMPUTED_VALUE"""),"Expiration Date")</f>
        <v>Expiration Date</v>
      </c>
      <c r="Z5" s="30" t="str">
        <f>IFERROR(__xludf.DUMMYFUNCTION("""COMPUTED_VALUE"""),"Trade Date")</f>
        <v>Trade Date</v>
      </c>
      <c r="AA5" s="30" t="str">
        <f>IFERROR(__xludf.DUMMYFUNCTION("""COMPUTED_VALUE"""),"Broker")</f>
        <v>Broker</v>
      </c>
      <c r="AB5" s="30" t="str">
        <f>IFERROR(__xludf.DUMMYFUNCTION("""COMPUTED_VALUE"""),"Padlock Visiblity")</f>
        <v>Padlock Visiblity</v>
      </c>
      <c r="AC5" s="30" t="str">
        <f>IFERROR(__xludf.DUMMYFUNCTION("""COMPUTED_VALUE"""),"Padlock Unlock")</f>
        <v>Padlock Unlock</v>
      </c>
      <c r="AD5" s="30" t="str">
        <f>IFERROR(__xludf.DUMMYFUNCTION("""COMPUTED_VALUE"""),"Venue")</f>
        <v>Venue</v>
      </c>
      <c r="AE5" s="30" t="str">
        <f>IFERROR(__xludf.DUMMYFUNCTION("""COMPUTED_VALUE"""),"Fx Rate")</f>
        <v>Fx Rate</v>
      </c>
      <c r="AF5" s="30" t="str">
        <f>IFERROR(__xludf.DUMMYFUNCTION("""COMPUTED_VALUE"""),"Fx Operator")</f>
        <v>Fx Operator</v>
      </c>
      <c r="AG5" s="30" t="str">
        <f>IFERROR(__xludf.DUMMYFUNCTION("""COMPUTED_VALUE"""),"PendingApprovalPopUp")</f>
        <v>PendingApprovalPopUp</v>
      </c>
      <c r="AH5" s="30" t="str">
        <f>IFERROR(__xludf.DUMMYFUNCTION("""COMPUTED_VALUE"""),"TradeBy")</f>
        <v>TradeBy</v>
      </c>
      <c r="AI5" s="30" t="str">
        <f>IFERROR(__xludf.DUMMYFUNCTION("""COMPUTED_VALUE"""),"BookAsSwap")</f>
        <v>BookAsSwap</v>
      </c>
      <c r="AJ5" s="30" t="str">
        <f>IFERROR(__xludf.DUMMYFUNCTION("""COMPUTED_VALUE"""),"RoundLot")</f>
        <v>RoundLot</v>
      </c>
      <c r="AK5" s="30" t="str">
        <f>IFERROR(__xludf.DUMMYFUNCTION("""COMPUTED_VALUE"""),"Increment")</f>
        <v>Increment</v>
      </c>
      <c r="AL5" s="30" t="str">
        <f>IFERROR(__xludf.DUMMYFUNCTION("""COMPUTED_VALUE"""),"Decrement")</f>
        <v>Decrement</v>
      </c>
      <c r="AM5" s="30" t="str">
        <f>IFERROR(__xludf.DUMMYFUNCTION("""COMPUTED_VALUE"""),"Trade Attribute 01")</f>
        <v>Trade Attribute 01</v>
      </c>
      <c r="AN5" s="30" t="str">
        <f>IFERROR(__xludf.DUMMYFUNCTION("""COMPUTED_VALUE"""),"Trade Attribute 02")</f>
        <v>Trade Attribute 02</v>
      </c>
      <c r="AO5" s="30" t="str">
        <f>IFERROR(__xludf.DUMMYFUNCTION("""COMPUTED_VALUE"""),"Trade Attribute 03")</f>
        <v>Trade Attribute 03</v>
      </c>
      <c r="AP5" s="30" t="str">
        <f>IFERROR(__xludf.DUMMYFUNCTION("""COMPUTED_VALUE"""),"Trade Attribute 04")</f>
        <v>Trade Attribute 04</v>
      </c>
      <c r="AQ5" s="30" t="str">
        <f>IFERROR(__xludf.DUMMYFUNCTION("""COMPUTED_VALUE"""),"Trade Attribute 05")</f>
        <v>Trade Attribute 05</v>
      </c>
      <c r="AR5" s="30" t="str">
        <f>IFERROR(__xludf.DUMMYFUNCTION("""COMPUTED_VALUE"""),"Trade Attribute 06")</f>
        <v>Trade Attribute 06</v>
      </c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CustomOrderTT!$4:$4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35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IFERROR(__xludf.DUMMYFUNCTION("IF(C3="""","""",Transpose(IMPORTRANGE('_Settings'!$B$3,C3&amp;""!A4:A1000"")))"),"RestartClient")</f>
        <v>RestartClient</v>
      </c>
      <c r="C4" s="25" t="str">
        <f>IFERROR(__xludf.DUMMYFUNCTION("""COMPUTED_VALUE"""),"UpdateClientConfig")</f>
        <v>UpdateClientConfig</v>
      </c>
      <c r="D4" s="25" t="str">
        <f>IFERROR(__xludf.DUMMYFUNCTION("""COMPUTED_VALUE"""),"PranaClient")</f>
        <v>PranaClient</v>
      </c>
      <c r="E4" s="25" t="str">
        <f>IFERROR(__xludf.DUMMYFUNCTION("""COMPUTED_VALUE"""),"CompareXML")</f>
        <v>CompareXML</v>
      </c>
      <c r="F4" s="25" t="str">
        <f>IFERROR(__xludf.DUMMYFUNCTION("""COMPUTED_VALUE"""),"LoginClient")</f>
        <v>LoginClient</v>
      </c>
      <c r="G4" s="25" t="str">
        <f>IFERROR(__xludf.DUMMYFUNCTION("""COMPUTED_VALUE"""),"DbPicker")</f>
        <v>DbPicker</v>
      </c>
      <c r="H4" s="25" t="str">
        <f>IFERROR(__xludf.DUMMYFUNCTION("""COMPUTED_VALUE"""),"RunPortfolio")</f>
        <v>RunPortfolio</v>
      </c>
      <c r="I4" s="25" t="str">
        <f>IFERROR(__xludf.DUMMYFUNCTION("""COMPUTED_VALUE"""),"MoveFile")</f>
        <v>MoveFile</v>
      </c>
      <c r="J4" s="25" t="str">
        <f>IFERROR(__xludf.DUMMYFUNCTION("""COMPUTED_VALUE"""),"UpdateLiveExcelSheetForRTPNL")</f>
        <v>UpdateLiveExcelSheetForRTPNL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IFERROR(__xludf.DUMMYFUNCTION("""COMPUTED_VALUE"""),"LoginUserName")</f>
        <v>LoginUserName</v>
      </c>
      <c r="C5" s="28" t="str">
        <f>IFERROR(__xludf.DUMMYFUNCTION("""COMPUTED_VALUE"""),"LoginPassword")</f>
        <v>LoginPassword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LoginClient!$4:$4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IFERROR(__xludf.DUMMYFUNCTION("""COMPUTED_VALUE"""),"RestartRuleMediator")</f>
        <v>RestartRuleMediator</v>
      </c>
      <c r="AL4" s="26" t="str">
        <f>IFERROR(__xludf.DUMMYFUNCTION("""COMPUTED_VALUE"""),"VerifyAggAccountSymbolWithNav")</f>
        <v>VerifyAggAccountSymbolWithNav</v>
      </c>
      <c r="AM4" s="26" t="str">
        <f>IFERROR(__xludf.DUMMYFUNCTION("""COMPUTED_VALUE"""),"ApproveorRejectpendingapproval")</f>
        <v>ApproveorRejectpendingapproval</v>
      </c>
      <c r="AN4" s="26" t="str">
        <f>IFERROR(__xludf.DUMMYFUNCTION("""COMPUTED_VALUE"""),"VerifyAlertHistory")</f>
        <v>VerifyAlertHistory</v>
      </c>
      <c r="AO4" s="26" t="str">
        <f>IFERROR(__xludf.DUMMYFUNCTION("""COMPUTED_VALUE"""),"EditInterceptorFile")</f>
        <v>EditInterceptorFile</v>
      </c>
      <c r="AP4" s="26" t="str">
        <f>IFERROR(__xludf.DUMMYFUNCTION("""COMPUTED_VALUE"""),"ReplaceInterceptorFile")</f>
        <v>ReplaceInterceptorFile</v>
      </c>
      <c r="AQ4" s="26" t="str">
        <f>IFERROR(__xludf.DUMMYFUNCTION("""COMPUTED_VALUE"""),"RestartReleasesAndServices")</f>
        <v>RestartReleasesAndServices</v>
      </c>
      <c r="AR4" s="26" t="str">
        <f>IFERROR(__xludf.DUMMYFUNCTION("""COMPUTED_VALUE"""),"GetEmail")</f>
        <v>GetEmail</v>
      </c>
      <c r="AS4" s="26" t="str">
        <f>IFERROR(__xludf.DUMMYFUNCTION("""COMPUTED_VALUE"""),"EnableDisableRule")</f>
        <v>EnableDisableRule</v>
      </c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IFERROR(__xludf.DUMMYFUNCTION("""COMPUTED_VALUE"""),"Symbols")</f>
        <v>Symbols</v>
      </c>
      <c r="D5" s="28" t="str">
        <f>IFERROR(__xludf.DUMMYFUNCTION("""COMPUTED_VALUE"""),"Trade Origination")</f>
        <v>Trade Origination</v>
      </c>
      <c r="E5" s="28" t="str">
        <f>IFERROR(__xludf.DUMMYFUNCTION("""COMPUTED_VALUE"""),"Trader")</f>
        <v>Trader</v>
      </c>
      <c r="F5" s="29" t="str">
        <f>IFERROR(__xludf.DUMMYFUNCTION("""COMPUTED_VALUE"""),"Trade Details")</f>
        <v>Trade Details</v>
      </c>
      <c r="G5" s="28" t="str">
        <f>IFERROR(__xludf.DUMMYFUNCTION("""COMPUTED_VALUE"""),"Trade Notes")</f>
        <v>Trade Notes</v>
      </c>
      <c r="H5" s="28" t="str">
        <f>IFERROR(__xludf.DUMMYFUNCTION("""COMPUTED_VALUE"""),"Compliance Officer Notes")</f>
        <v>Compliance Officer Notes</v>
      </c>
      <c r="I5" s="28" t="str">
        <f>IFERROR(__xludf.DUMMYFUNCTION("""COMPUTED_VALUE"""),"User Name")</f>
        <v>User Name</v>
      </c>
      <c r="J5" s="28" t="str">
        <f>IFERROR(__xludf.DUMMYFUNCTION("""COMPUTED_VALUE"""),"Trade Price")</f>
        <v>Trade Price</v>
      </c>
      <c r="K5" s="28" t="str">
        <f>IFERROR(__xludf.DUMMYFUNCTION("""COMPUTED_VALUE"""),"Basket Name")</f>
        <v>Basket Name</v>
      </c>
      <c r="L5" s="28" t="str">
        <f>IFERROR(__xludf.DUMMYFUNCTION("""COMPUTED_VALUE"""),"Quantity")</f>
        <v>Quantity</v>
      </c>
      <c r="M5" s="28" t="str">
        <f>IFERROR(__xludf.DUMMYFUNCTION("""COMPUTED_VALUE"""),"Broker")</f>
        <v>Broker</v>
      </c>
      <c r="N5" s="28" t="str">
        <f>IFERROR(__xludf.DUMMYFUNCTION("""COMPUTED_VALUE"""),"Status")</f>
        <v>Status</v>
      </c>
      <c r="O5" s="28" t="str">
        <f>IFERROR(__xludf.DUMMYFUNCTION("""COMPUTED_VALUE"""),"Order Side")</f>
        <v>Order Side</v>
      </c>
      <c r="P5" s="28" t="str">
        <f>IFERROR(__xludf.DUMMYFUNCTION("""COMPUTED_VALUE"""),"ApproveorRejectAll")</f>
        <v>ApproveorRejectAll</v>
      </c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ApproveorRejectpendingapproval!$4:$4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35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IFERROR(__xludf.DUMMYFUNCTION("IF(C3="""","""",Transpose(IMPORTRANGE('_Settings'!$B$3,C3&amp;""!A4:A1000"")))"),"RestartClient")</f>
        <v>RestartClient</v>
      </c>
      <c r="C4" s="25" t="str">
        <f>IFERROR(__xludf.DUMMYFUNCTION("""COMPUTED_VALUE"""),"UpdateClientConfig")</f>
        <v>UpdateClientConfig</v>
      </c>
      <c r="D4" s="25" t="str">
        <f>IFERROR(__xludf.DUMMYFUNCTION("""COMPUTED_VALUE"""),"PranaClient")</f>
        <v>PranaClient</v>
      </c>
      <c r="E4" s="25" t="str">
        <f>IFERROR(__xludf.DUMMYFUNCTION("""COMPUTED_VALUE"""),"CompareXML")</f>
        <v>CompareXML</v>
      </c>
      <c r="F4" s="25" t="str">
        <f>IFERROR(__xludf.DUMMYFUNCTION("""COMPUTED_VALUE"""),"LoginClient")</f>
        <v>LoginClient</v>
      </c>
      <c r="G4" s="25" t="str">
        <f>IFERROR(__xludf.DUMMYFUNCTION("""COMPUTED_VALUE"""),"DbPicker")</f>
        <v>DbPicker</v>
      </c>
      <c r="H4" s="25" t="str">
        <f>IFERROR(__xludf.DUMMYFUNCTION("""COMPUTED_VALUE"""),"RunPortfolio")</f>
        <v>RunPortfolio</v>
      </c>
      <c r="I4" s="25" t="str">
        <f>IFERROR(__xludf.DUMMYFUNCTION("""COMPUTED_VALUE"""),"MoveFile")</f>
        <v>MoveFile</v>
      </c>
      <c r="J4" s="25" t="str">
        <f>IFERROR(__xludf.DUMMYFUNCTION("""COMPUTED_VALUE"""),"UpdateLiveExcelSheetForRTPNL")</f>
        <v>UpdateLiveExcelSheetForRTPNL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IFERROR(__xludf.DUMMYFUNCTION("""COMPUTED_VALUE"""),"LoginUserName")</f>
        <v>LoginUserName</v>
      </c>
      <c r="C5" s="28" t="str">
        <f>IFERROR(__xludf.DUMMYFUNCTION("""COMPUTED_VALUE"""),"LoginPassword")</f>
        <v>LoginPassword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LoginClient1!$4:$4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38</v>
      </c>
      <c r="D3" s="5" t="s">
        <v>9</v>
      </c>
      <c r="E3" s="23" t="s">
        <v>39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 t="str">
        <f>IFERROR(__xludf.DUMMYFUNCTION("""COMPUTED_VALUE"""),"ActionOnFloatingWindow")</f>
        <v>ActionOnFloatingWindow</v>
      </c>
      <c r="DA4" s="26" t="str">
        <f>IFERROR(__xludf.DUMMYFUNCTION("""COMPUTED_VALUE"""),"EnableOrVerifyHotButton")</f>
        <v>EnableOrVerifyHotButton</v>
      </c>
      <c r="DB4" s="26" t="str">
        <f>IFERROR(__xludf.DUMMYFUNCTION("""COMPUTED_VALUE"""),"VerifyFilterUiRC")</f>
        <v>VerifyFilterUiRC</v>
      </c>
      <c r="DC4" s="26" t="str">
        <f>IFERROR(__xludf.DUMMYFUNCTION("""COMPUTED_VALUE"""),"CreateHotButtonOnBlotter")</f>
        <v>CreateHotButtonOnBlotter</v>
      </c>
      <c r="DD4" s="26" t="str">
        <f>IFERROR(__xludf.DUMMYFUNCTION("""COMPUTED_VALUE"""),"FillHBdetailsOnBlotter")</f>
        <v>FillHBdetailsOnBlotter</v>
      </c>
      <c r="DE4" s="26" t="str">
        <f>IFERROR(__xludf.DUMMYFUNCTION("""COMPUTED_VALUE"""),"BlotterColumnChooser")</f>
        <v>BlotterColumnChooser</v>
      </c>
      <c r="DF4" s="26" t="str">
        <f>IFERROR(__xludf.DUMMYFUNCTION("""COMPUTED_VALUE"""),"CaptureHotButtonDetails")</f>
        <v>CaptureHotButtonDetails</v>
      </c>
      <c r="DG4" s="26" t="str">
        <f>IFERROR(__xludf.DUMMYFUNCTION("""COMPUTED_VALUE"""),"RightClickActionVerification")</f>
        <v>RightClickActionVerification</v>
      </c>
      <c r="DH4" s="26" t="str">
        <f>IFERROR(__xludf.DUMMYFUNCTION("""COMPUTED_VALUE"""),"ManageHotButton")</f>
        <v>ManageHotButton</v>
      </c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IFERROR(__xludf.DUMMYFUNCTION("""COMPUTED_VALUE"""),"CheckBox")</f>
        <v>CheckBox</v>
      </c>
      <c r="BB5" s="30" t="str">
        <f>IFERROR(__xludf.DUMMYFUNCTION("""COMPUTED_VALUE"""),"Action on toolbar")</f>
        <v>Action on toolbar</v>
      </c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SelectTradeOnOrderGrid!$4:$4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38</v>
      </c>
      <c r="D3" s="5" t="s">
        <v>9</v>
      </c>
      <c r="E3" s="23" t="s">
        <v>40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 t="str">
        <f>IFERROR(__xludf.DUMMYFUNCTION("""COMPUTED_VALUE"""),"ActionOnFloatingWindow")</f>
        <v>ActionOnFloatingWindow</v>
      </c>
      <c r="DA4" s="26" t="str">
        <f>IFERROR(__xludf.DUMMYFUNCTION("""COMPUTED_VALUE"""),"EnableOrVerifyHotButton")</f>
        <v>EnableOrVerifyHotButton</v>
      </c>
      <c r="DB4" s="26" t="str">
        <f>IFERROR(__xludf.DUMMYFUNCTION("""COMPUTED_VALUE"""),"VerifyFilterUiRC")</f>
        <v>VerifyFilterUiRC</v>
      </c>
      <c r="DC4" s="26" t="str">
        <f>IFERROR(__xludf.DUMMYFUNCTION("""COMPUTED_VALUE"""),"CreateHotButtonOnBlotter")</f>
        <v>CreateHotButtonOnBlotter</v>
      </c>
      <c r="DD4" s="26" t="str">
        <f>IFERROR(__xludf.DUMMYFUNCTION("""COMPUTED_VALUE"""),"FillHBdetailsOnBlotter")</f>
        <v>FillHBdetailsOnBlotter</v>
      </c>
      <c r="DE4" s="26" t="str">
        <f>IFERROR(__xludf.DUMMYFUNCTION("""COMPUTED_VALUE"""),"BlotterColumnChooser")</f>
        <v>BlotterColumnChooser</v>
      </c>
      <c r="DF4" s="26" t="str">
        <f>IFERROR(__xludf.DUMMYFUNCTION("""COMPUTED_VALUE"""),"CaptureHotButtonDetails")</f>
        <v>CaptureHotButtonDetails</v>
      </c>
      <c r="DG4" s="26" t="str">
        <f>IFERROR(__xludf.DUMMYFUNCTION("""COMPUTED_VALUE"""),"RightClickActionVerification")</f>
        <v>RightClickActionVerification</v>
      </c>
      <c r="DH4" s="26" t="str">
        <f>IFERROR(__xludf.DUMMYFUNCTION("""COMPUTED_VALUE"""),"ManageHotButton")</f>
        <v>ManageHotButton</v>
      </c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IFERROR(__xludf.DUMMYFUNCTION("""COMPUTED_VALUE"""),"Status (With Rollover)")</f>
        <v>Status (With Rollover)</v>
      </c>
      <c r="AZ5" s="30" t="str">
        <f>IFERROR(__xludf.DUMMYFUNCTION("""COMPUTED_VALUE"""),"Start of Day Qty")</f>
        <v>Start of Day Qty</v>
      </c>
      <c r="BA5" s="30" t="str">
        <f>IFERROR(__xludf.DUMMYFUNCTION("""COMPUTED_VALUE"""),"Leaves")</f>
        <v>Leaves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TradeNewSubOrder!$4:$4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 t="str">
        <f>IFERROR(__xludf.DUMMYFUNCTION("""COMPUTED_VALUE"""),"VerifyPopupAlignment")</f>
        <v>VerifyPopupAlignment</v>
      </c>
      <c r="BC4" s="26" t="str">
        <f>IFERROR(__xludf.DUMMYFUNCTION("""COMPUTED_VALUE"""),"SelectET")</f>
        <v>SelectET</v>
      </c>
      <c r="BD4" s="26" t="str">
        <f>IFERROR(__xludf.DUMMYFUNCTION("""COMPUTED_VALUE"""),"SymbolSuggestionVerify")</f>
        <v>SymbolSuggestionVerify</v>
      </c>
      <c r="BE4" s="26" t="str">
        <f>IFERROR(__xludf.DUMMYFUNCTION("""COMPUTED_VALUE"""),"EditAuecWindow")</f>
        <v>EditAuecWindow</v>
      </c>
      <c r="BF4" s="26" t="str">
        <f>IFERROR(__xludf.DUMMYFUNCTION("""COMPUTED_VALUE"""),"VerifyBrokerSummary")</f>
        <v>VerifyBrokerSummary</v>
      </c>
      <c r="BG4" s="26" t="str">
        <f>IFERROR(__xludf.DUMMYFUNCTION("""COMPUTED_VALUE"""),"QTTHamburg")</f>
        <v>QTTHamburg</v>
      </c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IFERROR(__xludf.DUMMYFUNCTION("""COMPUTED_VALUE"""),"Price")</f>
        <v>Price</v>
      </c>
      <c r="E5" s="28" t="str">
        <f>IFERROR(__xludf.DUMMYFUNCTION("""COMPUTED_VALUE"""),"Order type button")</f>
        <v>Order type button</v>
      </c>
      <c r="F5" s="29" t="str">
        <f>IFERROR(__xludf.DUMMYFUNCTION("""COMPUTED_VALUE"""),"SharesOutstandingPopUp")</f>
        <v>SharesOutstandingPopUp</v>
      </c>
      <c r="G5" s="28" t="str">
        <f>IFERROR(__xludf.DUMMYFUNCTION("""COMPUTED_VALUE"""),"TT_Open")</f>
        <v>TT_Open</v>
      </c>
      <c r="H5" s="28" t="str">
        <f>IFERROR(__xludf.DUMMYFUNCTION("""COMPUTED_VALUE"""),"SharesOutstandingPopUpQty")</f>
        <v>SharesOutstandingPopUpQty</v>
      </c>
      <c r="I5" s="28" t="str">
        <f>IFERROR(__xludf.DUMMYFUNCTION("""COMPUTED_VALUE"""),"AllocationMethod")</f>
        <v>AllocationMethod</v>
      </c>
      <c r="J5" s="28" t="str">
        <f>IFERROR(__xludf.DUMMYFUNCTION("""COMPUTED_VALUE"""),"Order Side")</f>
        <v>Order Side</v>
      </c>
      <c r="K5" s="28" t="str">
        <f>IFERROR(__xludf.DUMMYFUNCTION("""COMPUTED_VALUE"""),"DB_Check")</f>
        <v>DB_Check</v>
      </c>
      <c r="L5" s="28" t="str">
        <f>IFERROR(__xludf.DUMMYFUNCTION("""COMPUTED_VALUE"""),"CommissionBasis")</f>
        <v>CommissionBasis</v>
      </c>
      <c r="M5" s="28" t="str">
        <f>IFERROR(__xludf.DUMMYFUNCTION("""COMPUTED_VALUE"""),"CommissionRate")</f>
        <v>CommissionRate</v>
      </c>
      <c r="N5" s="28" t="str">
        <f>IFERROR(__xludf.DUMMYFUNCTION("""COMPUTED_VALUE"""),"SoftBasis")</f>
        <v>SoftBasis</v>
      </c>
      <c r="O5" s="28" t="str">
        <f>IFERROR(__xludf.DUMMYFUNCTION("""COMPUTED_VALUE"""),"SoftRate")</f>
        <v>SoftRate</v>
      </c>
      <c r="P5" s="28" t="str">
        <f>IFERROR(__xludf.DUMMYFUNCTION("""COMPUTED_VALUE"""),"Account")</f>
        <v>Account</v>
      </c>
      <c r="Q5" s="28" t="str">
        <f>IFERROR(__xludf.DUMMYFUNCTION("""COMPUTED_VALUE"""),"Account %")</f>
        <v>Account %</v>
      </c>
      <c r="R5" s="28" t="str">
        <f>IFERROR(__xludf.DUMMYFUNCTION("""COMPUTED_VALUE"""),"VerifySuggestions")</f>
        <v>VerifySuggestions</v>
      </c>
      <c r="S5" s="28" t="str">
        <f>IFERROR(__xludf.DUMMYFUNCTION("""COMPUTED_VALUE"""),"SymbolToPickFromSuggesstions")</f>
        <v>SymbolToPickFromSuggesstions</v>
      </c>
      <c r="T5" s="30" t="str">
        <f>IFERROR(__xludf.DUMMYFUNCTION("""COMPUTED_VALUE"""),"TypedSymbolAvailableOnSuggestion")</f>
        <v>TypedSymbolAvailableOnSuggestion</v>
      </c>
      <c r="U5" s="30" t="str">
        <f>IFERROR(__xludf.DUMMYFUNCTION("""COMPUTED_VALUE"""),"TIF")</f>
        <v>TIF</v>
      </c>
      <c r="V5" s="30" t="str">
        <f>IFERROR(__xludf.DUMMYFUNCTION("""COMPUTED_VALUE"""),"Order Type")</f>
        <v>Order Type</v>
      </c>
      <c r="W5" s="30" t="str">
        <f>IFERROR(__xludf.DUMMYFUNCTION("""COMPUTED_VALUE"""),"Stop")</f>
        <v>Stop</v>
      </c>
      <c r="X5" s="30" t="str">
        <f>IFERROR(__xludf.DUMMYFUNCTION("""COMPUTED_VALUE"""),"Limit")</f>
        <v>Limit</v>
      </c>
      <c r="Y5" s="30" t="str">
        <f>IFERROR(__xludf.DUMMYFUNCTION("""COMPUTED_VALUE"""),"Expiration Date")</f>
        <v>Expiration Date</v>
      </c>
      <c r="Z5" s="30" t="str">
        <f>IFERROR(__xludf.DUMMYFUNCTION("""COMPUTED_VALUE"""),"Trade Date")</f>
        <v>Trade Date</v>
      </c>
      <c r="AA5" s="30" t="str">
        <f>IFERROR(__xludf.DUMMYFUNCTION("""COMPUTED_VALUE"""),"Broker")</f>
        <v>Broker</v>
      </c>
      <c r="AB5" s="30" t="str">
        <f>IFERROR(__xludf.DUMMYFUNCTION("""COMPUTED_VALUE"""),"Padlock Visiblity")</f>
        <v>Padlock Visiblity</v>
      </c>
      <c r="AC5" s="30" t="str">
        <f>IFERROR(__xludf.DUMMYFUNCTION("""COMPUTED_VALUE"""),"Padlock Unlock")</f>
        <v>Padlock Unlock</v>
      </c>
      <c r="AD5" s="30" t="str">
        <f>IFERROR(__xludf.DUMMYFUNCTION("""COMPUTED_VALUE"""),"Venue")</f>
        <v>Venue</v>
      </c>
      <c r="AE5" s="30" t="str">
        <f>IFERROR(__xludf.DUMMYFUNCTION("""COMPUTED_VALUE"""),"Fx Rate")</f>
        <v>Fx Rate</v>
      </c>
      <c r="AF5" s="30" t="str">
        <f>IFERROR(__xludf.DUMMYFUNCTION("""COMPUTED_VALUE"""),"Fx Operator")</f>
        <v>Fx Operator</v>
      </c>
      <c r="AG5" s="30" t="str">
        <f>IFERROR(__xludf.DUMMYFUNCTION("""COMPUTED_VALUE"""),"PendingApprovalPopUp")</f>
        <v>PendingApprovalPopUp</v>
      </c>
      <c r="AH5" s="30" t="str">
        <f>IFERROR(__xludf.DUMMYFUNCTION("""COMPUTED_VALUE"""),"TradeBy")</f>
        <v>TradeBy</v>
      </c>
      <c r="AI5" s="30" t="str">
        <f>IFERROR(__xludf.DUMMYFUNCTION("""COMPUTED_VALUE"""),"BookAsSwap")</f>
        <v>BookAsSwap</v>
      </c>
      <c r="AJ5" s="30" t="str">
        <f>IFERROR(__xludf.DUMMYFUNCTION("""COMPUTED_VALUE"""),"RoundLot")</f>
        <v>RoundLot</v>
      </c>
      <c r="AK5" s="30" t="str">
        <f>IFERROR(__xludf.DUMMYFUNCTION("""COMPUTED_VALUE"""),"Increment")</f>
        <v>Increment</v>
      </c>
      <c r="AL5" s="30" t="str">
        <f>IFERROR(__xludf.DUMMYFUNCTION("""COMPUTED_VALUE"""),"Decrement")</f>
        <v>Decrement</v>
      </c>
      <c r="AM5" s="30" t="str">
        <f>IFERROR(__xludf.DUMMYFUNCTION("""COMPUTED_VALUE"""),"Trade Attribute 01")</f>
        <v>Trade Attribute 01</v>
      </c>
      <c r="AN5" s="30" t="str">
        <f>IFERROR(__xludf.DUMMYFUNCTION("""COMPUTED_VALUE"""),"Trade Attribute 02")</f>
        <v>Trade Attribute 02</v>
      </c>
      <c r="AO5" s="30" t="str">
        <f>IFERROR(__xludf.DUMMYFUNCTION("""COMPUTED_VALUE"""),"Trade Attribute 03")</f>
        <v>Trade Attribute 03</v>
      </c>
      <c r="AP5" s="30" t="str">
        <f>IFERROR(__xludf.DUMMYFUNCTION("""COMPUTED_VALUE"""),"Trade Attribute 04")</f>
        <v>Trade Attribute 04</v>
      </c>
      <c r="AQ5" s="30" t="str">
        <f>IFERROR(__xludf.DUMMYFUNCTION("""COMPUTED_VALUE"""),"Trade Attribute 05")</f>
        <v>Trade Attribute 05</v>
      </c>
      <c r="AR5" s="30" t="str">
        <f>IFERROR(__xludf.DUMMYFUNCTION("""COMPUTED_VALUE"""),"Trade Attribute 06")</f>
        <v>Trade Attribute 06</v>
      </c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CustomOrderTT1!$4:$4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38</v>
      </c>
      <c r="D3" s="5" t="s">
        <v>9</v>
      </c>
      <c r="E3" s="23" t="s">
        <v>41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 t="str">
        <f>IFERROR(__xludf.DUMMYFUNCTION("""COMPUTED_VALUE"""),"ActionOnFloatingWindow")</f>
        <v>ActionOnFloatingWindow</v>
      </c>
      <c r="DA4" s="26" t="str">
        <f>IFERROR(__xludf.DUMMYFUNCTION("""COMPUTED_VALUE"""),"EnableOrVerifyHotButton")</f>
        <v>EnableOrVerifyHotButton</v>
      </c>
      <c r="DB4" s="26" t="str">
        <f>IFERROR(__xludf.DUMMYFUNCTION("""COMPUTED_VALUE"""),"VerifyFilterUiRC")</f>
        <v>VerifyFilterUiRC</v>
      </c>
      <c r="DC4" s="26" t="str">
        <f>IFERROR(__xludf.DUMMYFUNCTION("""COMPUTED_VALUE"""),"CreateHotButtonOnBlotter")</f>
        <v>CreateHotButtonOnBlotter</v>
      </c>
      <c r="DD4" s="26" t="str">
        <f>IFERROR(__xludf.DUMMYFUNCTION("""COMPUTED_VALUE"""),"FillHBdetailsOnBlotter")</f>
        <v>FillHBdetailsOnBlotter</v>
      </c>
      <c r="DE4" s="26" t="str">
        <f>IFERROR(__xludf.DUMMYFUNCTION("""COMPUTED_VALUE"""),"BlotterColumnChooser")</f>
        <v>BlotterColumnChooser</v>
      </c>
      <c r="DF4" s="26" t="str">
        <f>IFERROR(__xludf.DUMMYFUNCTION("""COMPUTED_VALUE"""),"CaptureHotButtonDetails")</f>
        <v>CaptureHotButtonDetails</v>
      </c>
      <c r="DG4" s="26" t="str">
        <f>IFERROR(__xludf.DUMMYFUNCTION("""COMPUTED_VALUE"""),"RightClickActionVerification")</f>
        <v>RightClickActionVerification</v>
      </c>
      <c r="DH4" s="26" t="str">
        <f>IFERROR(__xludf.DUMMYFUNCTION("""COMPUTED_VALUE"""),"ManageHotButton")</f>
        <v>ManageHotButton</v>
      </c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1")</f>
        <v>Trade Attribute 1</v>
      </c>
      <c r="N5" s="28" t="str">
        <f>IFERROR(__xludf.DUMMYFUNCTION("""COMPUTED_VALUE"""),"Trade Attribute 2")</f>
        <v>Trade Attribute 2</v>
      </c>
      <c r="O5" s="28" t="str">
        <f>IFERROR(__xludf.DUMMYFUNCTION("""COMPUTED_VALUE"""),"Trade Attribute 3")</f>
        <v>Trade Attribute 3</v>
      </c>
      <c r="P5" s="28" t="str">
        <f>IFERROR(__xludf.DUMMYFUNCTION("""COMPUTED_VALUE"""),"Trade Attribute 4")</f>
        <v>Trade Attribute 4</v>
      </c>
      <c r="Q5" s="28" t="str">
        <f>IFERROR(__xludf.DUMMYFUNCTION("""COMPUTED_VALUE"""),"Trade Attribute 5")</f>
        <v>Trade Attribute 5</v>
      </c>
      <c r="R5" s="28" t="str">
        <f>IFERROR(__xludf.DUMMYFUNCTION("""COMPUTED_VALUE"""),"Trade Attribute 6")</f>
        <v>Trade Attribute 6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FxRate Operator")</f>
        <v>Settlement FxRate Operator</v>
      </c>
      <c r="V5" s="30" t="str">
        <f>IFERROR(__xludf.DUMMYFUNCTION("""COMPUTED_VALUE"""),"Settlement Currency")</f>
        <v>Settlement Currency</v>
      </c>
      <c r="W5" s="30" t="str">
        <f>IFERROR(__xludf.DUMMYFUNCTION("""COMPUTED_VALUE"""),"Put/Call")</f>
        <v>Put/Call</v>
      </c>
      <c r="X5" s="30" t="str">
        <f>IFERROR(__xludf.DUMMYFUNCTION("""COMPUTED_VALUE"""),"Process Date")</f>
        <v>Process Date</v>
      </c>
      <c r="Y5" s="30" t="str">
        <f>IFERROR(__xludf.DUMMYFUNCTION("""COMPUTED_VALUE"""),"Peg")</f>
        <v>Peg</v>
      </c>
      <c r="Z5" s="30" t="str">
        <f>IFERROR(__xludf.DUMMYFUNCTION("""COMPUTED_VALUE"""),"ParentClOrderID")</f>
        <v>ParentClOrderID</v>
      </c>
      <c r="AA5" s="30" t="str">
        <f>IFERROR(__xludf.DUMMYFUNCTION("""COMPUTED_VALUE"""),"OrderID")</f>
        <v>OrderID</v>
      </c>
      <c r="AB5" s="30" t="str">
        <f>IFERROR(__xludf.DUMMYFUNCTION("""COMPUTED_VALUE"""),"Master Fund")</f>
        <v>Master Fund</v>
      </c>
      <c r="AC5" s="30" t="str">
        <f>IFERROR(__xludf.DUMMYFUNCTION("""COMPUTED_VALUE"""),"Last Shares")</f>
        <v>Last Shares</v>
      </c>
      <c r="AD5" s="30" t="str">
        <f>IFERROR(__xludf.DUMMYFUNCTION("""COMPUTED_VALUE"""),"Internal Comments")</f>
        <v>Internal Comments</v>
      </c>
      <c r="AE5" s="30" t="str">
        <f>IFERROR(__xludf.DUMMYFUNCTION("""COMPUTED_VALUE"""),"FX Rate")</f>
        <v>FX Rate</v>
      </c>
      <c r="AF5" s="30" t="str">
        <f>IFERROR(__xludf.DUMMYFUNCTION("""COMPUTED_VALUE"""),"Imported File Name")</f>
        <v>Imported File Name</v>
      </c>
      <c r="AG5" s="30" t="str">
        <f>IFERROR(__xludf.DUMMYFUNCTION("""COMPUTED_VALUE"""),"FX Conversion Operator")</f>
        <v>FX Conversion Operator</v>
      </c>
      <c r="AH5" s="30" t="str">
        <f>IFERROR(__xludf.DUMMYFUNCTION("""COMPUTED_VALUE"""),"Day Average Price")</f>
        <v>Day Average Price</v>
      </c>
      <c r="AI5" s="30" t="str">
        <f>IFERROR(__xludf.DUMMYFUNCTION("""COMPUTED_VALUE"""),"Asset Class")</f>
        <v>Asset Class</v>
      </c>
      <c r="AJ5" s="30" t="str">
        <f>IFERROR(__xludf.DUMMYFUNCTION("""COMPUTED_VALUE"""),"Symbol")</f>
        <v>Symbol</v>
      </c>
      <c r="AK5" s="30" t="str">
        <f>IFERROR(__xludf.DUMMYFUNCTION("""COMPUTED_VALUE"""),"Side")</f>
        <v>Side</v>
      </c>
      <c r="AL5" s="30" t="str">
        <f>IFERROR(__xludf.DUMMYFUNCTION("""COMPUTED_VALUE"""),"Status")</f>
        <v>Status</v>
      </c>
      <c r="AM5" s="30" t="str">
        <f>IFERROR(__xludf.DUMMYFUNCTION("""COMPUTED_VALUE"""),"Quantity")</f>
        <v>Quantity</v>
      </c>
      <c r="AN5" s="30" t="str">
        <f>IFERROR(__xludf.DUMMYFUNCTION("""COMPUTED_VALUE"""),"Executed Qty")</f>
        <v>Executed Qty</v>
      </c>
      <c r="AO5" s="30" t="str">
        <f>IFERROR(__xludf.DUMMYFUNCTION("""COMPUTED_VALUE"""),"% Executed")</f>
        <v>% Executed</v>
      </c>
      <c r="AP5" s="30" t="str">
        <f>IFERROR(__xludf.DUMMYFUNCTION("""COMPUTED_VALUE"""),"Day Executed Qty")</f>
        <v>Day Executed Qty</v>
      </c>
      <c r="AQ5" s="30" t="str">
        <f>IFERROR(__xludf.DUMMYFUNCTION("""COMPUTED_VALUE"""),"Remaining Qty")</f>
        <v>Remaining Qty</v>
      </c>
      <c r="AR5" s="30" t="str">
        <f>IFERROR(__xludf.DUMMYFUNCTION("""COMPUTED_VALUE"""),"Last Fill Price (Local)")</f>
        <v>Last Fill Price (Local)</v>
      </c>
      <c r="AS5" s="30" t="str">
        <f>IFERROR(__xludf.DUMMYFUNCTION("""COMPUTED_VALUE"""),"Avg Fill Price (Local)")</f>
        <v>Avg Fill Price (Local)</v>
      </c>
      <c r="AT5" s="30" t="str">
        <f>IFERROR(__xludf.DUMMYFUNCTION("""COMPUTED_VALUE"""),"Broker")</f>
        <v>Broker</v>
      </c>
      <c r="AU5" s="30" t="str">
        <f>IFERROR(__xludf.DUMMYFUNCTION("""COMPUTED_VALUE"""),"Account")</f>
        <v>Account</v>
      </c>
      <c r="AV5" s="30" t="str">
        <f>IFERROR(__xludf.DUMMYFUNCTION("""COMPUTED_VALUE"""),"Order Type")</f>
        <v>Order Type</v>
      </c>
      <c r="AW5" s="30" t="str">
        <f>IFERROR(__xludf.DUMMYFUNCTION("""COMPUTED_VALUE"""),"Principal Amount (Local)")</f>
        <v>Principal Amount (Local)</v>
      </c>
      <c r="AX5" s="30" t="str">
        <f>IFERROR(__xludf.DUMMYFUNCTION("""COMPUTED_VALUE"""),"Principal Amount (Base)")</f>
        <v>Principal Amount (Base)</v>
      </c>
      <c r="AY5" s="30" t="str">
        <f>IFERROR(__xludf.DUMMYFUNCTION("""COMPUTED_VALUE"""),"Settlement FxRate")</f>
        <v>Settlement FxRate</v>
      </c>
      <c r="AZ5" s="30" t="str">
        <f>IFERROR(__xludf.DUMMYFUNCTION("""COMPUTED_VALUE"""),"Settlement Price")</f>
        <v>Settlement Price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ReplaceSubOrder!$4:$4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 t="str">
        <f>IFERROR(__xludf.DUMMYFUNCTION("""COMPUTED_VALUE"""),"VerifyPopupAlignment")</f>
        <v>VerifyPopupAlignment</v>
      </c>
      <c r="BC4" s="26" t="str">
        <f>IFERROR(__xludf.DUMMYFUNCTION("""COMPUTED_VALUE"""),"SelectET")</f>
        <v>SelectET</v>
      </c>
      <c r="BD4" s="26" t="str">
        <f>IFERROR(__xludf.DUMMYFUNCTION("""COMPUTED_VALUE"""),"SymbolSuggestionVerify")</f>
        <v>SymbolSuggestionVerify</v>
      </c>
      <c r="BE4" s="26" t="str">
        <f>IFERROR(__xludf.DUMMYFUNCTION("""COMPUTED_VALUE"""),"EditAuecWindow")</f>
        <v>EditAuecWindow</v>
      </c>
      <c r="BF4" s="26" t="str">
        <f>IFERROR(__xludf.DUMMYFUNCTION("""COMPUTED_VALUE"""),"VerifyBrokerSummary")</f>
        <v>VerifyBrokerSummary</v>
      </c>
      <c r="BG4" s="26" t="str">
        <f>IFERROR(__xludf.DUMMYFUNCTION("""COMPUTED_VALUE"""),"QTTHamburg")</f>
        <v>QTTHamburg</v>
      </c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IFERROR(__xludf.DUMMYFUNCTION("""COMPUTED_VALUE"""),"Price")</f>
        <v>Price</v>
      </c>
      <c r="E5" s="28" t="str">
        <f>IFERROR(__xludf.DUMMYFUNCTION("""COMPUTED_VALUE"""),"Order type button")</f>
        <v>Order type button</v>
      </c>
      <c r="F5" s="29" t="str">
        <f>IFERROR(__xludf.DUMMYFUNCTION("""COMPUTED_VALUE"""),"SharesOutstandingPopUp")</f>
        <v>SharesOutstandingPopUp</v>
      </c>
      <c r="G5" s="28" t="str">
        <f>IFERROR(__xludf.DUMMYFUNCTION("""COMPUTED_VALUE"""),"TT_Open")</f>
        <v>TT_Open</v>
      </c>
      <c r="H5" s="28" t="str">
        <f>IFERROR(__xludf.DUMMYFUNCTION("""COMPUTED_VALUE"""),"SharesOutstandingPopUpQty")</f>
        <v>SharesOutstandingPopUpQty</v>
      </c>
      <c r="I5" s="28" t="str">
        <f>IFERROR(__xludf.DUMMYFUNCTION("""COMPUTED_VALUE"""),"AllocationMethod")</f>
        <v>AllocationMethod</v>
      </c>
      <c r="J5" s="28" t="str">
        <f>IFERROR(__xludf.DUMMYFUNCTION("""COMPUTED_VALUE"""),"Order Side")</f>
        <v>Order Side</v>
      </c>
      <c r="K5" s="28" t="str">
        <f>IFERROR(__xludf.DUMMYFUNCTION("""COMPUTED_VALUE"""),"DB_Check")</f>
        <v>DB_Check</v>
      </c>
      <c r="L5" s="28" t="str">
        <f>IFERROR(__xludf.DUMMYFUNCTION("""COMPUTED_VALUE"""),"CommissionBasis")</f>
        <v>CommissionBasis</v>
      </c>
      <c r="M5" s="28" t="str">
        <f>IFERROR(__xludf.DUMMYFUNCTION("""COMPUTED_VALUE"""),"CommissionRate")</f>
        <v>CommissionRate</v>
      </c>
      <c r="N5" s="28" t="str">
        <f>IFERROR(__xludf.DUMMYFUNCTION("""COMPUTED_VALUE"""),"SoftBasis")</f>
        <v>SoftBasis</v>
      </c>
      <c r="O5" s="28" t="str">
        <f>IFERROR(__xludf.DUMMYFUNCTION("""COMPUTED_VALUE"""),"SoftRate")</f>
        <v>SoftRate</v>
      </c>
      <c r="P5" s="28" t="str">
        <f>IFERROR(__xludf.DUMMYFUNCTION("""COMPUTED_VALUE"""),"Account")</f>
        <v>Account</v>
      </c>
      <c r="Q5" s="28" t="str">
        <f>IFERROR(__xludf.DUMMYFUNCTION("""COMPUTED_VALUE"""),"Account %")</f>
        <v>Account %</v>
      </c>
      <c r="R5" s="28" t="str">
        <f>IFERROR(__xludf.DUMMYFUNCTION("""COMPUTED_VALUE"""),"VerifySuggestions")</f>
        <v>VerifySuggestions</v>
      </c>
      <c r="S5" s="28" t="str">
        <f>IFERROR(__xludf.DUMMYFUNCTION("""COMPUTED_VALUE"""),"SymbolToPickFromSuggesstions")</f>
        <v>SymbolToPickFromSuggesstions</v>
      </c>
      <c r="T5" s="30" t="str">
        <f>IFERROR(__xludf.DUMMYFUNCTION("""COMPUTED_VALUE"""),"TypedSymbolAvailableOnSuggestion")</f>
        <v>TypedSymbolAvailableOnSuggestion</v>
      </c>
      <c r="U5" s="30" t="str">
        <f>IFERROR(__xludf.DUMMYFUNCTION("""COMPUTED_VALUE"""),"TIF")</f>
        <v>TIF</v>
      </c>
      <c r="V5" s="30" t="str">
        <f>IFERROR(__xludf.DUMMYFUNCTION("""COMPUTED_VALUE"""),"Order Type")</f>
        <v>Order Type</v>
      </c>
      <c r="W5" s="30" t="str">
        <f>IFERROR(__xludf.DUMMYFUNCTION("""COMPUTED_VALUE"""),"Stop")</f>
        <v>Stop</v>
      </c>
      <c r="X5" s="30" t="str">
        <f>IFERROR(__xludf.DUMMYFUNCTION("""COMPUTED_VALUE"""),"Limit")</f>
        <v>Limit</v>
      </c>
      <c r="Y5" s="30" t="str">
        <f>IFERROR(__xludf.DUMMYFUNCTION("""COMPUTED_VALUE"""),"Expiration Date")</f>
        <v>Expiration Date</v>
      </c>
      <c r="Z5" s="30" t="str">
        <f>IFERROR(__xludf.DUMMYFUNCTION("""COMPUTED_VALUE"""),"Trade Date")</f>
        <v>Trade Date</v>
      </c>
      <c r="AA5" s="30" t="str">
        <f>IFERROR(__xludf.DUMMYFUNCTION("""COMPUTED_VALUE"""),"Broker")</f>
        <v>Broker</v>
      </c>
      <c r="AB5" s="30" t="str">
        <f>IFERROR(__xludf.DUMMYFUNCTION("""COMPUTED_VALUE"""),"Padlock Visiblity")</f>
        <v>Padlock Visiblity</v>
      </c>
      <c r="AC5" s="30" t="str">
        <f>IFERROR(__xludf.DUMMYFUNCTION("""COMPUTED_VALUE"""),"Padlock Unlock")</f>
        <v>Padlock Unlock</v>
      </c>
      <c r="AD5" s="30" t="str">
        <f>IFERROR(__xludf.DUMMYFUNCTION("""COMPUTED_VALUE"""),"Venue")</f>
        <v>Venue</v>
      </c>
      <c r="AE5" s="30" t="str">
        <f>IFERROR(__xludf.DUMMYFUNCTION("""COMPUTED_VALUE"""),"Fx Rate")</f>
        <v>Fx Rate</v>
      </c>
      <c r="AF5" s="30" t="str">
        <f>IFERROR(__xludf.DUMMYFUNCTION("""COMPUTED_VALUE"""),"Fx Operator")</f>
        <v>Fx Operator</v>
      </c>
      <c r="AG5" s="30" t="str">
        <f>IFERROR(__xludf.DUMMYFUNCTION("""COMPUTED_VALUE"""),"PendingApprovalPopUp")</f>
        <v>PendingApprovalPopUp</v>
      </c>
      <c r="AH5" s="30" t="str">
        <f>IFERROR(__xludf.DUMMYFUNCTION("""COMPUTED_VALUE"""),"TradeBy")</f>
        <v>TradeBy</v>
      </c>
      <c r="AI5" s="30" t="str">
        <f>IFERROR(__xludf.DUMMYFUNCTION("""COMPUTED_VALUE"""),"BookAsSwap")</f>
        <v>BookAsSwap</v>
      </c>
      <c r="AJ5" s="30" t="str">
        <f>IFERROR(__xludf.DUMMYFUNCTION("""COMPUTED_VALUE"""),"RoundLot")</f>
        <v>RoundLot</v>
      </c>
      <c r="AK5" s="30" t="str">
        <f>IFERROR(__xludf.DUMMYFUNCTION("""COMPUTED_VALUE"""),"Increment")</f>
        <v>Increment</v>
      </c>
      <c r="AL5" s="30" t="str">
        <f>IFERROR(__xludf.DUMMYFUNCTION("""COMPUTED_VALUE"""),"Decrement")</f>
        <v>Decrement</v>
      </c>
      <c r="AM5" s="30" t="str">
        <f>IFERROR(__xludf.DUMMYFUNCTION("""COMPUTED_VALUE"""),"Trade Attribute 01")</f>
        <v>Trade Attribute 01</v>
      </c>
      <c r="AN5" s="30" t="str">
        <f>IFERROR(__xludf.DUMMYFUNCTION("""COMPUTED_VALUE"""),"Trade Attribute 02")</f>
        <v>Trade Attribute 02</v>
      </c>
      <c r="AO5" s="30" t="str">
        <f>IFERROR(__xludf.DUMMYFUNCTION("""COMPUTED_VALUE"""),"Trade Attribute 03")</f>
        <v>Trade Attribute 03</v>
      </c>
      <c r="AP5" s="30" t="str">
        <f>IFERROR(__xludf.DUMMYFUNCTION("""COMPUTED_VALUE"""),"Trade Attribute 04")</f>
        <v>Trade Attribute 04</v>
      </c>
      <c r="AQ5" s="30" t="str">
        <f>IFERROR(__xludf.DUMMYFUNCTION("""COMPUTED_VALUE"""),"Trade Attribute 05")</f>
        <v>Trade Attribute 05</v>
      </c>
      <c r="AR5" s="30" t="str">
        <f>IFERROR(__xludf.DUMMYFUNCTION("""COMPUTED_VALUE"""),"Trade Attribute 06")</f>
        <v>Trade Attribute 06</v>
      </c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CustomOrderTT2!$4:$4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42</v>
      </c>
      <c r="D3" s="5" t="s">
        <v>9</v>
      </c>
      <c r="E3" s="23" t="s">
        <v>43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 t="str">
        <f>IFERROR(__xludf.DUMMYFUNCTION("""COMPUTED_VALUE"""),"NewAcknowledgeTrade")</f>
        <v>NewAcknowledgeTrade</v>
      </c>
      <c r="P4" s="26" t="str">
        <f>IFERROR(__xludf.DUMMYFUNCTION("""COMPUTED_VALUE"""),"VerifyRowAllFixLogs")</f>
        <v>VerifyRowAllFixLogs</v>
      </c>
      <c r="Q4" s="26" t="str">
        <f>IFERROR(__xludf.DUMMYFUNCTION("""COMPUTED_VALUE"""),"ClearAllFixLogs")</f>
        <v>ClearAllFixLogs</v>
      </c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42</v>
      </c>
      <c r="D3" s="5" t="s">
        <v>9</v>
      </c>
      <c r="E3" s="23" t="s">
        <v>44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 t="str">
        <f>IFERROR(__xludf.DUMMYFUNCTION("""COMPUTED_VALUE"""),"NewAcknowledgeTrade")</f>
        <v>NewAcknowledgeTrade</v>
      </c>
      <c r="P4" s="26" t="str">
        <f>IFERROR(__xludf.DUMMYFUNCTION("""COMPUTED_VALUE"""),"VerifyRowAllFixLogs")</f>
        <v>VerifyRowAllFixLogs</v>
      </c>
      <c r="Q4" s="26" t="str">
        <f>IFERROR(__xludf.DUMMYFUNCTION("""COMPUTED_VALUE"""),"ClearAllFixLogs")</f>
        <v>ClearAllFixLogs</v>
      </c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AcknowledgeTrade!$4:$4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42</v>
      </c>
      <c r="D3" s="5" t="s">
        <v>9</v>
      </c>
      <c r="E3" s="23" t="s">
        <v>45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 t="str">
        <f>IFERROR(__xludf.DUMMYFUNCTION("""COMPUTED_VALUE"""),"NewAcknowledgeTrade")</f>
        <v>NewAcknowledgeTrade</v>
      </c>
      <c r="P4" s="26" t="str">
        <f>IFERROR(__xludf.DUMMYFUNCTION("""COMPUTED_VALUE"""),"VerifyRowAllFixLogs")</f>
        <v>VerifyRowAllFixLogs</v>
      </c>
      <c r="Q4" s="26" t="str">
        <f>IFERROR(__xludf.DUMMYFUNCTION("""COMPUTED_VALUE"""),"ClearAllFixLogs")</f>
        <v>ClearAllFixLogs</v>
      </c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IFERROR(__xludf.DUMMYFUNCTION("""COMPUTED_VALUE"""),"Price")</f>
        <v>Price</v>
      </c>
      <c r="C5" s="28" t="str">
        <f>IFERROR(__xludf.DUMMYFUNCTION("""COMPUTED_VALUE"""),"Shares")</f>
        <v>Shares</v>
      </c>
      <c r="D5" s="28" t="str">
        <f>IFERROR(__xludf.DUMMYFUNCTION("""COMPUTED_VALUE"""),"ClearAllPrice")</f>
        <v>ClearAllPrice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ExecuteTrade!$4:$4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46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IFERROR(__xludf.DUMMYFUNCTION("""COMPUTED_VALUE"""),"RestartRuleMediator")</f>
        <v>RestartRuleMediator</v>
      </c>
      <c r="AL4" s="26" t="str">
        <f>IFERROR(__xludf.DUMMYFUNCTION("""COMPUTED_VALUE"""),"VerifyAggAccountSymbolWithNav")</f>
        <v>VerifyAggAccountSymbolWithNav</v>
      </c>
      <c r="AM4" s="26" t="str">
        <f>IFERROR(__xludf.DUMMYFUNCTION("""COMPUTED_VALUE"""),"ApproveorRejectpendingapproval")</f>
        <v>ApproveorRejectpendingapproval</v>
      </c>
      <c r="AN4" s="26" t="str">
        <f>IFERROR(__xludf.DUMMYFUNCTION("""COMPUTED_VALUE"""),"VerifyAlertHistory")</f>
        <v>VerifyAlertHistory</v>
      </c>
      <c r="AO4" s="26" t="str">
        <f>IFERROR(__xludf.DUMMYFUNCTION("""COMPUTED_VALUE"""),"EditInterceptorFile")</f>
        <v>EditInterceptorFile</v>
      </c>
      <c r="AP4" s="26" t="str">
        <f>IFERROR(__xludf.DUMMYFUNCTION("""COMPUTED_VALUE"""),"ReplaceInterceptorFile")</f>
        <v>ReplaceInterceptorFile</v>
      </c>
      <c r="AQ4" s="26" t="str">
        <f>IFERROR(__xludf.DUMMYFUNCTION("""COMPUTED_VALUE"""),"RestartReleasesAndServices")</f>
        <v>RestartReleasesAndServices</v>
      </c>
      <c r="AR4" s="26" t="str">
        <f>IFERROR(__xludf.DUMMYFUNCTION("""COMPUTED_VALUE"""),"GetEmail")</f>
        <v>GetEmail</v>
      </c>
      <c r="AS4" s="26" t="str">
        <f>IFERROR(__xludf.DUMMYFUNCTION("""COMPUTED_VALUE"""),"EnableDisableRule")</f>
        <v>EnableDisableRule</v>
      </c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IFERROR(__xludf.DUMMYFUNCTION("""COMPUTED_VALUE"""),"Name")</f>
        <v>Name</v>
      </c>
      <c r="C5" s="28" t="str">
        <f>IFERROR(__xludf.DUMMYFUNCTION("""COMPUTED_VALUE"""),"User Name")</f>
        <v>User Name</v>
      </c>
      <c r="D5" s="28" t="str">
        <f>IFERROR(__xludf.DUMMYFUNCTION("""COMPUTED_VALUE"""),"Rule Type")</f>
        <v>Rule Type</v>
      </c>
      <c r="E5" s="28" t="str">
        <f>IFERROR(__xludf.DUMMYFUNCTION("""COMPUTED_VALUE"""),"Summary")</f>
        <v>Summary</v>
      </c>
      <c r="F5" s="29" t="str">
        <f>IFERROR(__xludf.DUMMYFUNCTION("""COMPUTED_VALUE"""),"Compression Level")</f>
        <v>Compression Level</v>
      </c>
      <c r="G5" s="28" t="str">
        <f>IFERROR(__xludf.DUMMYFUNCTION("""COMPUTED_VALUE"""),"Parameters")</f>
        <v>Parameters</v>
      </c>
      <c r="H5" s="28" t="str">
        <f>IFERROR(__xludf.DUMMYFUNCTION("""COMPUTED_VALUE"""),"Validation Time")</f>
        <v>Validation Time</v>
      </c>
      <c r="I5" s="28" t="str">
        <f>IFERROR(__xludf.DUMMYFUNCTION("""COMPUTED_VALUE"""),"OrderId")</f>
        <v>OrderId</v>
      </c>
      <c r="J5" s="28" t="str">
        <f>IFERROR(__xludf.DUMMYFUNCTION("""COMPUTED_VALUE"""),"Status")</f>
        <v>Status</v>
      </c>
      <c r="K5" s="28" t="str">
        <f>IFERROR(__xludf.DUMMYFUNCTION("""COMPUTED_VALUE"""),"Description")</f>
        <v>Description</v>
      </c>
      <c r="L5" s="28" t="str">
        <f>IFERROR(__xludf.DUMMYFUNCTION("""COMPUTED_VALUE"""),"Dimension")</f>
        <v>Dimension</v>
      </c>
      <c r="M5" s="28" t="str">
        <f>IFERROR(__xludf.DUMMYFUNCTION("""COMPUTED_VALUE"""),"Rule Deleted")</f>
        <v>Rule Deleted</v>
      </c>
      <c r="N5" s="28" t="str">
        <f>IFERROR(__xludf.DUMMYFUNCTION("""COMPUTED_VALUE"""),"PreTrade Type")</f>
        <v>PreTrade Type</v>
      </c>
      <c r="O5" s="28" t="str">
        <f>IFERROR(__xludf.DUMMYFUNCTION("""COMPUTED_VALUE"""),"Compliance Officer Notes")</f>
        <v>Compliance Officer Notes</v>
      </c>
      <c r="P5" s="28" t="str">
        <f>IFERROR(__xludf.DUMMYFUNCTION("""COMPUTED_VALUE"""),"User Notes")</f>
        <v>User Notes</v>
      </c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VerifyAlertHistory!$4:$4</formula1>
    </dataValidation>
  </dataValidation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47</v>
      </c>
      <c r="D3" s="5" t="s">
        <v>9</v>
      </c>
      <c r="E3" s="23" t="s">
        <v>48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IFERROR(__xludf.DUMMYFUNCTION("IF(C3="""","""",Transpose(IMPORTRANGE('_Settings'!$B$3,C3&amp;""!A4:A1000"")))"),"GetDataFromAuditTrail")</f>
        <v>GetDataFromAuditTrail</v>
      </c>
      <c r="C4" s="25" t="str">
        <f>IFERROR(__xludf.DUMMYFUNCTION("""COMPUTED_VALUE"""),"VerifyAuditTrail")</f>
        <v>VerifyAuditTrail</v>
      </c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IFERROR(__xludf.DUMMYFUNCTION("""COMPUTED_VALUE"""),"FromDate")</f>
        <v>FromDate</v>
      </c>
      <c r="C5" s="28" t="str">
        <f>IFERROR(__xludf.DUMMYFUNCTION("""COMPUTED_VALUE"""),"ToDate")</f>
        <v>ToDate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GetDataFromAuditTrail!$4:$4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47</v>
      </c>
      <c r="D3" s="5" t="s">
        <v>9</v>
      </c>
      <c r="E3" s="23" t="s">
        <v>49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IFERROR(__xludf.DUMMYFUNCTION("IF(C3="""","""",Transpose(IMPORTRANGE('_Settings'!$B$3,C3&amp;""!A4:A1000"")))"),"GetDataFromAuditTrail")</f>
        <v>GetDataFromAuditTrail</v>
      </c>
      <c r="C4" s="25" t="str">
        <f>IFERROR(__xludf.DUMMYFUNCTION("""COMPUTED_VALUE"""),"VerifyAuditTrail")</f>
        <v>VerifyAuditTrail</v>
      </c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IFERROR(__xludf.DUMMYFUNCTION("""COMPUTED_VALUE"""),"Action Time (UTC)")</f>
        <v>Action Time (UTC)</v>
      </c>
      <c r="C5" s="28" t="str">
        <f>IFERROR(__xludf.DUMMYFUNCTION("""COMPUTED_VALUE"""),"Symbol")</f>
        <v>Symbol</v>
      </c>
      <c r="D5" s="28" t="str">
        <f>IFERROR(__xludf.DUMMYFUNCTION("""COMPUTED_VALUE"""),"Order Side")</f>
        <v>Order Side</v>
      </c>
      <c r="E5" s="28" t="str">
        <f>IFERROR(__xludf.DUMMYFUNCTION("""COMPUTED_VALUE"""),"Account Name")</f>
        <v>Account Name</v>
      </c>
      <c r="F5" s="29" t="str">
        <f>IFERROR(__xludf.DUMMYFUNCTION("""COMPUTED_VALUE"""),"Action")</f>
        <v>Action</v>
      </c>
      <c r="G5" s="28" t="str">
        <f>IFERROR(__xludf.DUMMYFUNCTION("""COMPUTED_VALUE"""),"Original Value")</f>
        <v>Original Value</v>
      </c>
      <c r="H5" s="28" t="str">
        <f>IFERROR(__xludf.DUMMYFUNCTION("""COMPUTED_VALUE"""),"New Value")</f>
        <v>New Value</v>
      </c>
      <c r="I5" s="28" t="str">
        <f>IFERROR(__xludf.DUMMYFUNCTION("""COMPUTED_VALUE"""),"Comment")</f>
        <v>Comment</v>
      </c>
      <c r="J5" s="28" t="str">
        <f>IFERROR(__xludf.DUMMYFUNCTION("""COMPUTED_VALUE"""),"Company User")</f>
        <v>Company User</v>
      </c>
      <c r="K5" s="28" t="str">
        <f>IFERROR(__xludf.DUMMYFUNCTION("""COMPUTED_VALUE"""),"TaxlotId")</f>
        <v>TaxlotId</v>
      </c>
      <c r="L5" s="28" t="str">
        <f>IFERROR(__xludf.DUMMYFUNCTION("""COMPUTED_VALUE"""),"GroupId")</f>
        <v>GroupId</v>
      </c>
      <c r="M5" s="28" t="str">
        <f>IFERROR(__xludf.DUMMYFUNCTION("""COMPUTED_VALUE"""),"Action Time")</f>
        <v>Action Time</v>
      </c>
      <c r="N5" s="28" t="str">
        <f>IFERROR(__xludf.DUMMYFUNCTION("""COMPUTED_VALUE"""),"ParentOrderId")</f>
        <v>ParentOrderId</v>
      </c>
      <c r="O5" s="28" t="str">
        <f>IFERROR(__xludf.DUMMYFUNCTION("""COMPUTED_VALUE"""),"OrderId")</f>
        <v>OrderId</v>
      </c>
      <c r="P5" s="28" t="str">
        <f>IFERROR(__xludf.DUMMYFUNCTION("""COMPUTED_VALUE"""),"Source")</f>
        <v>Source</v>
      </c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VerifyAuditTrail!$4:$4</formula1>
    </dataValidation>
  </dataValidations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50</v>
      </c>
      <c r="D3" s="5" t="s">
        <v>9</v>
      </c>
      <c r="E3" s="23" t="s">
        <v>51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 t="str">
        <f>IFERROR(__xludf.DUMMYFUNCTION("""COMPUTED_VALUE"""),"OperationsonAllocation")</f>
        <v>OperationsonAllocation</v>
      </c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 t="str">
        <f>IFERROR(__xludf.DUMMYFUNCTION("""COMPUTED_VALUE"""),"Borrower Id")</f>
        <v>Borrower Id</v>
      </c>
      <c r="CW5" s="30" t="str">
        <f>IFERROR(__xludf.DUMMYFUNCTION("""COMPUTED_VALUE"""),"Borrow Rate(%)")</f>
        <v>Borrow Rate(%)</v>
      </c>
      <c r="CX5" s="30" t="str">
        <f>IFERROR(__xludf.DUMMYFUNCTION("""COMPUTED_VALUE"""),"Master Fund")</f>
        <v>Master Fund</v>
      </c>
      <c r="CY5" s="30" t="str">
        <f>IFERROR(__xludf.DUMMYFUNCTION("""COMPUTED_VALUE"""),"MandatoryColumn")</f>
        <v>MandatoryColumn</v>
      </c>
      <c r="CZ5" s="30" t="str">
        <f>IFERROR(__xludf.DUMMYFUNCTION("""COMPUTED_VALUE"""),"Testing Type")</f>
        <v>Testing Type</v>
      </c>
      <c r="DA5" s="30" t="str">
        <f>IFERROR(__xludf.DUMMYFUNCTION("""COMPUTED_VALUE"""),"Testing Column")</f>
        <v>Testing Column</v>
      </c>
      <c r="DB5" s="30" t="str">
        <f>IFERROR(__xludf.DUMMYFUNCTION("""COMPUTED_VALUE"""),"Testing Col Value")</f>
        <v>Testing Col Value</v>
      </c>
      <c r="DC5" s="30" t="str">
        <f>IFERROR(__xludf.DUMMYFUNCTION("""COMPUTED_VALUE"""),"DuplicateRow")</f>
        <v>DuplicateRow</v>
      </c>
      <c r="DD5" s="30" t="str">
        <f>IFERROR(__xludf.DUMMYFUNCTION("""COMPUTED_VALUE"""),"DuplicateCountOnUI")</f>
        <v>DuplicateCountOnUI</v>
      </c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CheckAllocatedGroups!$4:$4</formula1>
    </dataValidation>
  </dataValidations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89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52</v>
      </c>
      <c r="D3" s="5" t="s">
        <v>9</v>
      </c>
      <c r="E3" s="23" t="s">
        <v>53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IFERROR(__xludf.DUMMYFUNCTION("""COMPUTED_VALUE"""),"ClosePM")</f>
        <v>ClosePM</v>
      </c>
      <c r="G4" s="25" t="str">
        <f>IFERROR(__xludf.DUMMYFUNCTION("""COMPUTED_VALUE"""),"FilterPM")</f>
        <v>FilterPM</v>
      </c>
      <c r="H4" s="25" t="str">
        <f>IFERROR(__xludf.DUMMYFUNCTION("""COMPUTED_VALUE"""),"GroupRowPM")</f>
        <v>GroupRowPM</v>
      </c>
      <c r="I4" s="25" t="str">
        <f>IFERROR(__xludf.DUMMYFUNCTION("""COMPUTED_VALUE"""),"CheckDashboardWithPM")</f>
        <v>CheckDashboardWithPM</v>
      </c>
      <c r="J4" s="25" t="str">
        <f>IFERROR(__xludf.DUMMYFUNCTION("""COMPUTED_VALUE"""),"RemoveFilterPM")</f>
        <v>RemoveFilterPM</v>
      </c>
      <c r="K4" s="25" t="str">
        <f>IFERROR(__xludf.DUMMYFUNCTION("""COMPUTED_VALUE"""),"CheckSummaryRowsPM")</f>
        <v>CheckSummaryRowsPM</v>
      </c>
      <c r="L4" s="25" t="str">
        <f>IFERROR(__xludf.DUMMYFUNCTION("""COMPUTED_VALUE"""),"OpenPTTFromPM")</f>
        <v>OpenPTTFromPM</v>
      </c>
      <c r="M4" s="25" t="str">
        <f>IFERROR(__xludf.DUMMYFUNCTION("""COMPUTED_VALUE"""),"OpenClosingFromPM")</f>
        <v>OpenClosingFromPM</v>
      </c>
      <c r="N4" s="25" t="str">
        <f>IFERROR(__xludf.DUMMYFUNCTION("""COMPUTED_VALUE"""),"OpenCorporateActionFromPM")</f>
        <v>OpenCorporateActionFromPM</v>
      </c>
      <c r="O4" s="25" t="str">
        <f>IFERROR(__xludf.DUMMYFUNCTION("""COMPUTED_VALUE"""),"OpenDailyValuationFromPM")</f>
        <v>OpenDailyValuationFromPM</v>
      </c>
      <c r="P4" s="26" t="str">
        <f>IFERROR(__xludf.DUMMYFUNCTION("""COMPUTED_VALUE"""),"ClosePositionFromPM")</f>
        <v>ClosePositionFromPM</v>
      </c>
      <c r="Q4" s="26" t="str">
        <f>IFERROR(__xludf.DUMMYFUNCTION("""COMPUTED_VALUE"""),"ShowSummaryToolFromPM")</f>
        <v>ShowSummaryToolFromPM</v>
      </c>
      <c r="R4" s="26" t="str">
        <f>IFERROR(__xludf.DUMMYFUNCTION("""COMPUTED_VALUE"""),"HideSummaryToolFromPM")</f>
        <v>HideSummaryToolFromPM</v>
      </c>
      <c r="S4" s="26" t="str">
        <f>IFERROR(__xludf.DUMMYFUNCTION("""COMPUTED_VALUE"""),"CloseAccountPositionFromPM")</f>
        <v>CloseAccountPositionFromPM</v>
      </c>
      <c r="T4" s="26" t="str">
        <f>IFERROR(__xludf.DUMMYFUNCTION("""COMPUTED_VALUE"""),"CloseSelectedTaxlotsFromPM")</f>
        <v>CloseSelectedTaxlotsFromPM</v>
      </c>
      <c r="U4" s="26" t="str">
        <f>IFERROR(__xludf.DUMMYFUNCTION("""COMPUTED_VALUE"""),"ExpandCollapsePM")</f>
        <v>ExpandCollapsePM</v>
      </c>
      <c r="V4" s="26" t="str">
        <f>IFERROR(__xludf.DUMMYFUNCTION("""COMPUTED_VALUE"""),"AddCustomViewPM")</f>
        <v>AddCustomViewPM</v>
      </c>
      <c r="W4" s="26" t="str">
        <f>IFERROR(__xludf.DUMMYFUNCTION("""COMPUTED_VALUE"""),"AddCustomViewRightClickPM")</f>
        <v>AddCustomViewRightClickPM</v>
      </c>
      <c r="X4" s="26" t="str">
        <f>IFERROR(__xludf.DUMMYFUNCTION("""COMPUTED_VALUE"""),"RenameCustomViewPM")</f>
        <v>RenameCustomViewPM</v>
      </c>
      <c r="Y4" s="26" t="str">
        <f>IFERROR(__xludf.DUMMYFUNCTION("""COMPUTED_VALUE"""),"DeleteCustomViewPM")</f>
        <v>DeleteCustomViewPM</v>
      </c>
      <c r="Z4" s="26" t="str">
        <f>IFERROR(__xludf.DUMMYFUNCTION("""COMPUTED_VALUE"""),"OpenCreateTransactionFromPM")</f>
        <v>OpenCreateTransactionFromPM</v>
      </c>
      <c r="AA4" s="26" t="str">
        <f>IFERROR(__xludf.DUMMYFUNCTION("""COMPUTED_VALUE"""),"RemoveGroupingFromPM")</f>
        <v>RemoveGroupingFromPM</v>
      </c>
      <c r="AB4" s="26" t="str">
        <f>IFERROR(__xludf.DUMMYFUNCTION("""COMPUTED_VALUE"""),"IncreasePositionFromPM")</f>
        <v>IncreasePositionFromPM</v>
      </c>
      <c r="AC4" s="26" t="str">
        <f>IFERROR(__xludf.DUMMYFUNCTION("""COMPUTED_VALUE"""),"SortAndVerifyPM")</f>
        <v>SortAndVerifyPM</v>
      </c>
      <c r="AD4" s="26" t="str">
        <f>IFERROR(__xludf.DUMMYFUNCTION("""COMPUTED_VALUE"""),"OpenPIFromPM")</f>
        <v>OpenPIFromPM</v>
      </c>
      <c r="AE4" s="26" t="str">
        <f>IFERROR(__xludf.DUMMYFUNCTION("""COMPUTED_VALUE"""),"ViewSettings")</f>
        <v>ViewSettings</v>
      </c>
      <c r="AF4" s="26" t="str">
        <f>IFERROR(__xludf.DUMMYFUNCTION("""COMPUTED_VALUE"""),"SaveLayoutPM")</f>
        <v>SaveLayoutPM</v>
      </c>
      <c r="AG4" s="26" t="str">
        <f>IFERROR(__xludf.DUMMYFUNCTION("""COMPUTED_VALUE"""),"SaveLayoutPM")</f>
        <v>SaveLayoutPM</v>
      </c>
      <c r="AH4" s="26" t="str">
        <f>IFERROR(__xludf.DUMMYFUNCTION("""COMPUTED_VALUE"""),"CustomView")</f>
        <v>CustomView</v>
      </c>
      <c r="AI4" s="26" t="str">
        <f>IFERROR(__xludf.DUMMYFUNCTION("""COMPUTED_VALUE"""),"OpenCustomView")</f>
        <v>OpenCustomView</v>
      </c>
      <c r="AJ4" s="26" t="str">
        <f>IFERROR(__xludf.DUMMYFUNCTION("""COMPUTED_VALUE"""),"CheckSummaryRowsPM")</f>
        <v>CheckSummaryRowsPM</v>
      </c>
      <c r="AK4" s="26" t="str">
        <f>IFERROR(__xludf.DUMMYFUNCTION("""COMPUTED_VALUE"""),"CheckCustomViewRowSummary")</f>
        <v>CheckCustomViewRowSummary</v>
      </c>
      <c r="AL4" s="26" t="str">
        <f>IFERROR(__xludf.DUMMYFUNCTION("""COMPUTED_VALUE"""),"GroupRowCustomView")</f>
        <v>GroupRowCustomView</v>
      </c>
      <c r="AM4" s="26" t="str">
        <f>IFERROR(__xludf.DUMMYFUNCTION("""COMPUTED_VALUE"""),"CheckCustomViewRowSummary")</f>
        <v>CheckCustomViewRowSummary</v>
      </c>
      <c r="AN4" s="26" t="str">
        <f>IFERROR(__xludf.DUMMYFUNCTION("""COMPUTED_VALUE"""),"OpenTaxlotDetails")</f>
        <v>OpenTaxlotDetails</v>
      </c>
      <c r="AO4" s="26" t="str">
        <f>IFERROR(__xludf.DUMMYFUNCTION("""COMPUTED_VALUE"""),"CheckTaxlotDetails")</f>
        <v>CheckTaxlotDetails</v>
      </c>
      <c r="AP4" s="26" t="str">
        <f>IFERROR(__xludf.DUMMYFUNCTION("""COMPUTED_VALUE"""),"SelectTradeOnPM")</f>
        <v>SelectTradeOnPM</v>
      </c>
      <c r="AQ4" s="26" t="str">
        <f>IFERROR(__xludf.DUMMYFUNCTION("""COMPUTED_VALUE"""),"OperationsonPM")</f>
        <v>OperationsonPM</v>
      </c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 t="str">
        <f>IFERROR(__xludf.DUMMYFUNCTION("""COMPUTED_VALUE"""),"ACTIV Symbol")</f>
        <v>ACTIV Symbol</v>
      </c>
      <c r="FK5" s="30" t="str">
        <f>IFERROR(__xludf.DUMMYFUNCTION("""COMPUTED_VALUE"""),"IsAccountBlank")</f>
        <v>IsAccountBlank</v>
      </c>
      <c r="FL5" s="30" t="str">
        <f>IFERROR(__xludf.DUMMYFUNCTION("""COMPUTED_VALUE"""),"MandatoryColumn")</f>
        <v>MandatoryColumn</v>
      </c>
      <c r="FM5" s="30" t="str">
        <f>IFERROR(__xludf.DUMMYFUNCTION("""COMPUTED_VALUE"""),"Px Last")</f>
        <v>Px Last</v>
      </c>
      <c r="FN5" s="30" t="str">
        <f>IFERROR(__xludf.DUMMYFUNCTION("""COMPUTED_VALUE"""),"Px Ask")</f>
        <v>Px Ask</v>
      </c>
      <c r="FO5" s="30" t="str">
        <f>IFERROR(__xludf.DUMMYFUNCTION("""COMPUTED_VALUE"""),"Px Bid")</f>
        <v>Px Bid</v>
      </c>
      <c r="FP5" s="30" t="str">
        <f>IFERROR(__xludf.DUMMYFUNCTION("""COMPUTED_VALUE"""),"Px Mid")</f>
        <v>Px Mid</v>
      </c>
      <c r="FQ5" s="30" t="str">
        <f>IFERROR(__xludf.DUMMYFUNCTION("""COMPUTED_VALUE"""),"Closing Price")</f>
        <v>Closing Price</v>
      </c>
      <c r="FR5" s="30" t="str">
        <f>IFERROR(__xludf.DUMMYFUNCTION("""COMPUTED_VALUE"""),"Total Volume")</f>
        <v>Total Volume</v>
      </c>
      <c r="FS5" s="30" t="str">
        <f>IFERROR(__xludf.DUMMYFUNCTION("""COMPUTED_VALUE"""),"Custom UDA8")</f>
        <v>Custom UDA8</v>
      </c>
      <c r="FT5" s="30" t="str">
        <f>IFERROR(__xludf.DUMMYFUNCTION("""COMPUTED_VALUE"""),"Custom UDA9")</f>
        <v>Custom UDA9</v>
      </c>
      <c r="FU5" s="30" t="str">
        <f>IFERROR(__xludf.DUMMYFUNCTION("""COMPUTED_VALUE"""),"Custom UDA10")</f>
        <v>Custom UDA10</v>
      </c>
      <c r="FV5" s="30" t="str">
        <f>IFERROR(__xludf.DUMMYFUNCTION("""COMPUTED_VALUE"""),"Custom UDA11")</f>
        <v>Custom UDA11</v>
      </c>
      <c r="FW5" s="30" t="str">
        <f>IFERROR(__xludf.DUMMYFUNCTION("""COMPUTED_VALUE"""),"Custom UDA12")</f>
        <v>Custom UDA12</v>
      </c>
      <c r="FX5" s="30"/>
      <c r="FY5" s="30"/>
      <c r="FZ5" s="30"/>
      <c r="GA5" s="30"/>
      <c r="GB5" s="30"/>
      <c r="GC5" s="30"/>
      <c r="GD5" s="30"/>
      <c r="GE5" s="30"/>
      <c r="GF5" s="30"/>
      <c r="GG5" s="30"/>
    </row>
    <row r="6" ht="15.75" customHeight="1">
      <c r="A6" s="13"/>
      <c r="B6" s="13"/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