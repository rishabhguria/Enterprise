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GetAccountBalance" sheetId="18" r:id="rId20"/>
    <sheet state="visible" name="AddCashTransaction" sheetId="19" r:id="rId21"/>
    <sheet state="visible" name="FetchAccountPositions" sheetId="20" r:id="rId22"/>
    <sheet state="visible" name="RunRebalance" sheetId="21" r:id="rId23"/>
    <sheet state="visible" name="AddCash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  <sheet state="visible" name="UpdateExpnlConfig1" sheetId="30" r:id="rId32"/>
    <sheet state="visible" name="GetDailyCash1" sheetId="31" r:id="rId33"/>
    <sheet state="visible" name="UpdateDailyCash1" sheetId="32" r:id="rId34"/>
    <sheet state="visible" name="UpdateMultipleDailyCash" sheetId="33" r:id="rId35"/>
  </sheets>
  <definedNames/>
  <calcPr/>
</workbook>
</file>

<file path=xl/sharedStrings.xml><?xml version="1.0" encoding="utf-8"?>
<sst xmlns="http://schemas.openxmlformats.org/spreadsheetml/2006/main" count="681" uniqueCount="134">
  <si>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</si>
  <si>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</si>
  <si>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</si>
  <si>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</si>
  <si>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</si>
  <si>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</si>
  <si>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</si>
  <si>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</si>
  <si>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</si>
  <si>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</si>
  <si>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</si>
  <si>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</si>
  <si>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</si>
  <si>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</si>
  <si>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</si>
  <si>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</si>
  <si>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</si>
  <si>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</si>
  <si>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</si>
  <si>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</si>
  <si>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</si>
  <si>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</si>
  <si>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</si>
  <si>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</si>
  <si>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</si>
  <si>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</si>
  <si>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</si>
  <si>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</si>
  <si>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</si>
  <si>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</si>
  <si>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</si>
  <si>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</si>
  <si>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</si>
  <si>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</si>
  <si>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</si>
  <si>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</si>
  <si>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</si>
  <si>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</si>
  <si>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</si>
  <si>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</si>
  <si>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</si>
  <si>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</si>
  <si>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</si>
  <si>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</si>
  <si>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</si>
  <si>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</si>
  <si>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</si>
  <si>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</si>
  <si>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</si>
  <si>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</si>
  <si>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</si>
  <si>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</si>
  <si>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GetAccountBalance</t>
  </si>
  <si>
    <t>AddCashTransaction</t>
  </si>
  <si>
    <t>DividendIncome</t>
  </si>
  <si>
    <t>Rebalancer</t>
  </si>
  <si>
    <t>FetchAccountPositions</t>
  </si>
  <si>
    <t>NewMF</t>
  </si>
  <si>
    <t>Previous Day's Positions</t>
  </si>
  <si>
    <t>Account</t>
  </si>
  <si>
    <t>Positions</t>
  </si>
  <si>
    <t>RunRebalance</t>
  </si>
  <si>
    <t>Round Down</t>
  </si>
  <si>
    <t>AddCash</t>
  </si>
  <si>
    <t>Impact NAV</t>
  </si>
  <si>
    <t>None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</si>
  <si>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</si>
  <si>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</si>
  <si>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</si>
  <si>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</si>
  <si>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</si>
  <si>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74.00, avgPrice: 10.00, selectedFeedPrice: 10.00, netMarketValueBase: 740.00, netExposureLocal: 740.00, Symbol: DBLSX</t>
  </si>
  <si>
    <t>quantity: 74.00, avgPrice: 10.00, selectedFeedPrice: 10.00, netMarketValueBase: 616.6667, netExposureLocal: 740.00, Symbol: FRU-TC</t>
  </si>
  <si>
    <t>quantity: 74.00, avgPrice: 10.00, selectedFeedPrice: 10.00, netMarketValueBase: 7.40, netExposureLocal: 7.40, Symbol: 123456789</t>
  </si>
  <si>
    <t>quantity: 74.00, avgPrice: 10.00, selectedFeedPrice: 10.00, netMarketValueBase: 740.00, netExposureLocal: 740.00, Symbol: AAPL</t>
  </si>
  <si>
    <t>quantity: 74.00, avgPrice: 10.00, selectedFeedPrice: 10.00, netMarketValueBase: 740.00, netExposureLocal: 740.00, Symbol: MSFT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</si>
  <si>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</si>
  <si>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</si>
  <si>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Allocation1-MSFT</t>
  </si>
  <si>
    <t>quantity: 274.00, dayPnLBase: 0.00, dayPnLLocal: 0.00, netMarketValueBase: 2,540.00, netMarketValueLocal: 2,540.00, selectedFeedPrice: 10.00, accountNav: 524,946.0372, AccountShortName: Allocation1, Symbol: MSFT</t>
  </si>
  <si>
    <t>Allocation1-AAPL</t>
  </si>
  <si>
    <t>quantity: 274.00, dayPnLBase: 0.00, dayPnLLocal: 0.00, netMarketValueBase: 2,740.00, netMarketValueLocal: 2,740.00, selectedFeedPrice: 10.00, accountNav: 524,946.0372, AccountShortName: Allocation1, Symbol: AAPL</t>
  </si>
  <si>
    <t>Allocation1-123456789</t>
  </si>
  <si>
    <t>quantity: 274.00, dayPnLBase: 0.00, dayPnLLocal: 0.00, netMarketValueBase: 27.40, netMarketValueLocal: 27.40, selectedFeedPrice: 10.00, accountNav: 524,946.0372, AccountShortName: Allocation1, Symbol: 123456789</t>
  </si>
  <si>
    <t>Allocation1-DBLSX</t>
  </si>
  <si>
    <t>quantity: 274.00, dayPnLBase: 0.00, dayPnLLocal: 0.00, netMarketValueBase: 2,740.00, netMarketValueLocal: 2,740.00, selectedFeedPrice: 10.00, accountNav: 524,946.0372, AccountShortName: Allocation1, Symbol: DBLSX</t>
  </si>
  <si>
    <t>Allocation1-FRU-TC</t>
  </si>
  <si>
    <t>quantity: 274.00, dayPnLBase: -0.00, dayPnLLocal: 0.00, netMarketValueBase: 2,283.3333, netMarketValueLocal: 2,740.00, selectedFeedPrice: 10.00, accountNav: 524,946.0372,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</si>
  <si>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</si>
  <si>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</si>
  <si>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NewMF-MSFT</t>
  </si>
  <si>
    <t>quantity: 274.00, dayPnLBase: 0.00, dayPnLLocal: 0.00, netMarketValueBase: 2,540.00, netMarketValueLocal: 2,540.00, selectedFeedPrice: 10.00, masterFundNav: 648,286.6667, MasterFundName: NewMF, Symbol: MSFT</t>
  </si>
  <si>
    <t>NewMF-AAPL</t>
  </si>
  <si>
    <t>quantity: 274.00, dayPnLBase: 0.00, dayPnLLocal: 0.00, netMarketValueBase: 2,740.00, netMarketValueLocal: 2,740.00, selectedFeedPrice: 10.00, masterFundNav: 648,286.6667, MasterFundName: NewMF, Symbol: AAPL</t>
  </si>
  <si>
    <t>NewMF-123456789</t>
  </si>
  <si>
    <t>quantity: 274.00, dayPnLBase: 0.00, dayPnLLocal: 0.00, netMarketValueBase: 27.40, netMarketValueLocal: 27.40, selectedFeedPrice: 10.00, masterFundNav: 648,286.6667, MasterFundName: NewMF, Symbol: 123456789</t>
  </si>
  <si>
    <t>NewMF-DBLSX</t>
  </si>
  <si>
    <t>quantity: 274.00, dayPnLBase: 0.00, dayPnLLocal: 0.00, netMarketValueBase: 2,740.00, netMarketValueLocal: 2,740.00, selectedFeedPrice: 10.00, masterFundNav: 648,286.6667, MasterFundName: NewMF, Symbol: DBLSX</t>
  </si>
  <si>
    <t>NewMF-FRU-TC</t>
  </si>
  <si>
    <t>quantity: 274.00, dayPnLBase: -0.00, dayPnLLocal: 0.00, netMarketValueBase: 2,283.3333, netMarketValueLocal: 2,740.00, selectedFeedPrice: 10.00, masterFundNav: 648,286.6667,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</si>
  <si>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</si>
  <si>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</si>
  <si>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274.00, selectedFeedPrice: 10.00, netMarketValueBase: 2,540.00, netMarketValueLocal: 2,540.00, Symbol: MSFT</t>
  </si>
  <si>
    <t>quantity: 274.00, selectedFeedPrice: 10.00, netMarketValueBase: 2,740.00, netMarketValueLocal: 2,740.00, Symbol: AAPL</t>
  </si>
  <si>
    <t>quantity: 274.00, selectedFeedPrice: 10.00, netMarketValueBase: 27.40, netMarketValueLocal: 27.40, Symbol: 123456789</t>
  </si>
  <si>
    <t>quantity: 274.00, selectedFeedPrice: 10.00, netMarketValueBase: 2,740.00, netMarketValueLocal: 2,740.00, Symbol: DBLSX</t>
  </si>
  <si>
    <t>quantity: 274.00, selectedFeedPrice: 10.00, netMarketValueBase: 2,283.3333, netMarketValueLocal: 2,740.00, Symbol: FRU-TC</t>
  </si>
  <si>
    <t>SendToStagingExport</t>
  </si>
  <si>
    <t>No</t>
  </si>
  <si>
    <t>Real-Time Positions</t>
  </si>
  <si>
    <t>quantity: 77.00, avgPrice: 20.00, selectedFeedPrice: 20.00, netMarketValueBase: 1,283.3333, netExposureLocal: 1,540.00, Symbol: FRU-TC</t>
  </si>
  <si>
    <t>quantity: 77.00, avgPrice: 20.00, selectedFeedPrice: 20.00, netMarketValueBase: 15.40, netExposureLocal: 15.40, Symbol: 123456789</t>
  </si>
  <si>
    <t>quantity: 77.00, avgPrice: 20.00, selectedFeedPrice: 20.00, netMarketValueBase: 1,540.00, netExposureLocal: 1,540.00, Symbol: DBLSX</t>
  </si>
  <si>
    <t>quantity: 16.00, avgPrice: 20.00, selectedFeedPrice: 20.00, netMarketValueBase: 320.00, netExposureLocal: 320.00, Symbol: AAPL</t>
  </si>
  <si>
    <t>quantity: 77.00, avgPrice: 20.00, selectedFeedPrice: 20.00, netMarketValueBase: 1,540.00, netExposureLocal: 1,540.00, Symbol: MSFT</t>
  </si>
  <si>
    <t>quantity: 77.00, avgPrice: 20.00, selectedFeedPrice: 20.00, netMarketValueBase: 1,540.00, netExposureLocal: 1,540.00, Symbol: AAPL</t>
  </si>
  <si>
    <t>quantity: 377.00, dayPnLBase: 1,000.00, dayPnLLocal: 1,000.00, netMarketValueBase: 7,540.00, netMarketValueLocal: 7,540.00, selectedFeedPrice: 20.00, accountNav: 788,186.4712, AccountShortName: Allocation1, Symbol: AAPL</t>
  </si>
  <si>
    <t>quantity: 377.00, dayPnLBase: 10.00, dayPnLLocal: 10.00, netMarketValueBase: 75.40, netMarketValueLocal: 75.40, selectedFeedPrice: 20.00, accountNav: 788,186.4712, AccountShortName: Allocation1, Symbol: 123456789</t>
  </si>
  <si>
    <t>quantity: 377.00, dayPnLBase: 1,000.00, dayPnLLocal: 1,000.00, netMarketValueBase: 7,540.00, netMarketValueLocal: 7,540.00, selectedFeedPrice: 20.00, accountNav: 788,186.4712, AccountShortName: Allocation1, Symbol: DBLSX</t>
  </si>
  <si>
    <t>quantity: 377.00, dayPnLBase: 1,000.00, dayPnLLocal: 1,000.00, netMarketValueBase: 7,340.00, netMarketValueLocal: 7,340.00, selectedFeedPrice: 20.00, accountNav: 788,186.4712, AccountShortName: Allocation1, Symbol: MSFT</t>
  </si>
  <si>
    <t>quantity: 377.00, dayPnLBase: 833.3333, dayPnLLocal: 1,000.00, netMarketValueBase: 6,283.3333, netMarketValueLocal: 7,540.00, selectedFeedPrice: 20.00, accountNav: 788,186.4712, AccountShortName: Allocation1, Symbol: FRU-TC</t>
  </si>
  <si>
    <t>Allocation3-AAPL</t>
  </si>
  <si>
    <t>quantity: 116.00, dayPnLBase: 1,800.00, dayPnLLocal: 1,800.00, netMarketValueBase: 2,320.00, netMarketValueLocal: 2,320.00, selectedFeedPrice: 20.00, accountNav: 118,786.8622, AccountShortName: Allocation3, Symbol: AAPL</t>
  </si>
  <si>
    <t>quantity: 377.00, dayPnLBase: 10.00, dayPnLLocal: 10.00, netMarketValueBase: 75.40, netMarketValueLocal: 75.40, selectedFeedPrice: 20.00, masterFundNav: 906,973.3333, MasterFundName: NewMF, Symbol: 123456789</t>
  </si>
  <si>
    <t>quantity: 377.00, dayPnLBase: 1,000.00, dayPnLLocal: 1,000.00, netMarketValueBase: 7,540.00, netMarketValueLocal: 7,540.00, selectedFeedPrice: 20.00, masterFundNav: 906,973.3333, MasterFundName: NewMF, Symbol: DBLSX</t>
  </si>
  <si>
    <t>quantity: 377.00, dayPnLBase: 1,000.00, dayPnLLocal: 1,000.00, netMarketValueBase: 7,340.00, netMarketValueLocal: 7,340.00, selectedFeedPrice: 20.00, masterFundNav: 906,973.3333, MasterFundName: NewMF, Symbol: MSFT</t>
  </si>
  <si>
    <t>quantity: 377.00, dayPnLBase: 833.3333, dayPnLLocal: 1,000.00, netMarketValueBase: 6,283.3333, netMarketValueLocal: 7,540.00, selectedFeedPrice: 20.00, masterFundNav: 906,973.3333, MasterFundName: NewMF, Symbol: FRU-TC</t>
  </si>
  <si>
    <t>quantity: 493.00, dayPnLBase: 2,800.00, dayPnLLocal: 2,800.00, netMarketValueBase: 9,860.00, netMarketValueLocal: 9,860.00, selectedFeedPrice: 20.00, masterFundNav: 906,973.3333, MasterFundName: NewMF, Symbol: AAPL</t>
  </si>
  <si>
    <t>quantity: 493.00, selectedFeedPrice: 20.00, netMarketValueBase: 9,860.00, netMarketValueLocal: 9,860.00, Symbol: AAPL</t>
  </si>
  <si>
    <t>quantity: 377.00, selectedFeedPrice: 20.00, netMarketValueBase: 75.40, netMarketValueLocal: 75.40, Symbol: 123456789</t>
  </si>
  <si>
    <t>quantity: 377.00, selectedFeedPrice: 20.00, netMarketValueBase: 7,540.00, netMarketValueLocal: 7,540.00, Symbol: DBLSX</t>
  </si>
  <si>
    <t>quantity: 377.00, selectedFeedPrice: 20.00, netMarketValueBase: 7,340.00, netMarketValueLocal: 7,340.00, Symbol: MSFT</t>
  </si>
  <si>
    <t>quantity: 377.00, selectedFeedPrice: 20.00, netMarketValueBase: 6,283.3333, netMarketValueLocal: 7,540.00, Symbol: FRU-TC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</si>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</sst>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  <font>
      <sz val="8.0"/>
      <name val="Calibri"/>
    </font>
    <font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C0C0C0"/>
        <bgColor rgb="FFC0C0C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164" xfId="0" applyAlignment="1" applyFill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4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4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5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9" fillId="7" fontId="15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ill="1" applyFont="1">
      <alignment horizontal="left" readingOrder="0" shrinkToFit="0" vertical="top" wrapText="0"/>
    </xf>
    <xf borderId="10" fillId="6" fontId="17" numFmtId="0" xfId="0" applyAlignment="1" applyBorder="1" applyFont="1">
      <alignment horizontal="left" vertical="top"/>
    </xf>
    <xf borderId="9" fillId="9" fontId="16" numFmtId="0" xfId="0" applyAlignment="1" applyBorder="1" applyFill="1" applyFont="1">
      <alignment horizontal="left" readingOrder="0" shrinkToFit="0" vertical="top" wrapText="0"/>
    </xf>
    <xf borderId="10" fillId="10" fontId="17" numFmtId="0" xfId="0" applyAlignment="1" applyBorder="1" applyFill="1" applyFont="1">
      <alignment horizontal="left" vertical="top"/>
    </xf>
    <xf borderId="9" fillId="9" fontId="18" numFmtId="0" xfId="0" applyAlignment="1" applyBorder="1" applyFont="1">
      <alignment horizontal="left" readingOrder="0" shrinkToFit="0" vertical="top" wrapText="0"/>
    </xf>
    <xf borderId="0" fillId="0" fontId="5" numFmtId="3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20</v>
      </c>
      <c r="C6" s="31" t="s">
        <v>21</v>
      </c>
      <c r="D6" s="34">
        <v>100.0</v>
      </c>
      <c r="E6" s="33"/>
      <c r="F6" s="31" t="s">
        <v>22</v>
      </c>
      <c r="G6" s="33"/>
      <c r="H6" s="33"/>
      <c r="I6" s="33"/>
      <c r="J6" s="34">
        <v>10.0</v>
      </c>
      <c r="K6" s="33"/>
      <c r="L6" s="33"/>
      <c r="M6" s="33"/>
      <c r="N6" s="35">
        <f>TODAY()-28</f>
        <v>45826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6" t="s">
        <v>21</v>
      </c>
      <c r="D7" s="37">
        <v>100.0</v>
      </c>
      <c r="E7" s="36"/>
      <c r="F7" s="36" t="s">
        <v>25</v>
      </c>
      <c r="G7" s="36"/>
      <c r="H7" s="36"/>
      <c r="I7" s="36"/>
      <c r="J7" s="37">
        <v>2.0</v>
      </c>
      <c r="K7" s="36"/>
      <c r="L7" s="36"/>
      <c r="M7" s="36"/>
      <c r="N7" s="38">
        <f t="shared" ref="N7:N20" si="1">TODAY()-1</f>
        <v>45853</v>
      </c>
      <c r="O7" s="36"/>
      <c r="P7" s="36"/>
      <c r="Q7" s="36"/>
      <c r="R7" s="36"/>
      <c r="S7" s="36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23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9"/>
      <c r="B8" s="40" t="s">
        <v>26</v>
      </c>
      <c r="C8" s="40" t="s">
        <v>21</v>
      </c>
      <c r="D8" s="41">
        <v>100.0</v>
      </c>
      <c r="E8" s="40"/>
      <c r="F8" s="40" t="s">
        <v>25</v>
      </c>
      <c r="G8" s="40"/>
      <c r="H8" s="40"/>
      <c r="I8" s="40"/>
      <c r="J8" s="41">
        <v>2.0</v>
      </c>
      <c r="K8" s="40"/>
      <c r="L8" s="40"/>
      <c r="M8" s="40"/>
      <c r="N8" s="42">
        <f t="shared" si="1"/>
        <v>45853</v>
      </c>
      <c r="O8" s="40"/>
      <c r="P8" s="40"/>
      <c r="Q8" s="40"/>
      <c r="R8" s="40"/>
      <c r="S8" s="40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23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9"/>
      <c r="B9" s="40" t="s">
        <v>27</v>
      </c>
      <c r="C9" s="40" t="s">
        <v>21</v>
      </c>
      <c r="D9" s="41">
        <v>100.0</v>
      </c>
      <c r="E9" s="40"/>
      <c r="F9" s="40" t="s">
        <v>25</v>
      </c>
      <c r="G9" s="40"/>
      <c r="H9" s="40"/>
      <c r="I9" s="40"/>
      <c r="J9" s="41">
        <v>2.0</v>
      </c>
      <c r="K9" s="40"/>
      <c r="L9" s="40"/>
      <c r="M9" s="40"/>
      <c r="N9" s="42">
        <f t="shared" si="1"/>
        <v>45853</v>
      </c>
      <c r="O9" s="40"/>
      <c r="P9" s="40"/>
      <c r="Q9" s="40"/>
      <c r="R9" s="40"/>
      <c r="S9" s="40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23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9"/>
      <c r="B10" s="40" t="s">
        <v>28</v>
      </c>
      <c r="C10" s="40" t="s">
        <v>21</v>
      </c>
      <c r="D10" s="41">
        <v>100.0</v>
      </c>
      <c r="E10" s="40"/>
      <c r="F10" s="40" t="s">
        <v>25</v>
      </c>
      <c r="G10" s="40"/>
      <c r="H10" s="40"/>
      <c r="I10" s="40"/>
      <c r="J10" s="41">
        <v>2.0</v>
      </c>
      <c r="K10" s="40"/>
      <c r="L10" s="40"/>
      <c r="M10" s="40"/>
      <c r="N10" s="42">
        <f t="shared" si="1"/>
        <v>45853</v>
      </c>
      <c r="O10" s="40"/>
      <c r="P10" s="40"/>
      <c r="Q10" s="40"/>
      <c r="R10" s="40"/>
      <c r="S10" s="40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23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9"/>
      <c r="B11" s="40" t="s">
        <v>29</v>
      </c>
      <c r="C11" s="40" t="s">
        <v>21</v>
      </c>
      <c r="D11" s="41">
        <v>100.0</v>
      </c>
      <c r="E11" s="40"/>
      <c r="F11" s="40" t="s">
        <v>25</v>
      </c>
      <c r="G11" s="40"/>
      <c r="H11" s="40"/>
      <c r="I11" s="40"/>
      <c r="J11" s="41">
        <v>2.0</v>
      </c>
      <c r="K11" s="40"/>
      <c r="L11" s="40"/>
      <c r="M11" s="40"/>
      <c r="N11" s="42">
        <f t="shared" si="1"/>
        <v>45853</v>
      </c>
      <c r="O11" s="40"/>
      <c r="P11" s="40"/>
      <c r="Q11" s="40"/>
      <c r="R11" s="40"/>
      <c r="S11" s="40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23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9"/>
      <c r="B12" s="40" t="s">
        <v>30</v>
      </c>
      <c r="C12" s="40" t="s">
        <v>21</v>
      </c>
      <c r="D12" s="41">
        <v>100.0</v>
      </c>
      <c r="E12" s="40"/>
      <c r="F12" s="40" t="s">
        <v>25</v>
      </c>
      <c r="G12" s="40"/>
      <c r="H12" s="40"/>
      <c r="I12" s="40"/>
      <c r="J12" s="41">
        <v>2.0</v>
      </c>
      <c r="K12" s="40"/>
      <c r="L12" s="40"/>
      <c r="M12" s="40"/>
      <c r="N12" s="42">
        <f t="shared" si="1"/>
        <v>45853</v>
      </c>
      <c r="O12" s="40"/>
      <c r="P12" s="40"/>
      <c r="Q12" s="40"/>
      <c r="R12" s="40"/>
      <c r="S12" s="40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23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9"/>
      <c r="B13" s="43">
        <v>1.23456789E8</v>
      </c>
      <c r="C13" s="40" t="s">
        <v>21</v>
      </c>
      <c r="D13" s="41">
        <v>100.0</v>
      </c>
      <c r="E13" s="40"/>
      <c r="F13" s="40" t="s">
        <v>25</v>
      </c>
      <c r="G13" s="40"/>
      <c r="H13" s="40"/>
      <c r="I13" s="40"/>
      <c r="J13" s="41">
        <v>2.0</v>
      </c>
      <c r="K13" s="40"/>
      <c r="L13" s="40"/>
      <c r="M13" s="40"/>
      <c r="N13" s="42">
        <f t="shared" si="1"/>
        <v>45853</v>
      </c>
      <c r="O13" s="40"/>
      <c r="P13" s="40"/>
      <c r="Q13" s="40"/>
      <c r="R13" s="40"/>
      <c r="S13" s="40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23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9"/>
      <c r="B14" s="40" t="s">
        <v>24</v>
      </c>
      <c r="C14" s="40" t="s">
        <v>21</v>
      </c>
      <c r="D14" s="41">
        <v>100.0</v>
      </c>
      <c r="E14" s="43">
        <v>0.0</v>
      </c>
      <c r="F14" s="40" t="s">
        <v>25</v>
      </c>
      <c r="G14" s="40"/>
      <c r="H14" s="40"/>
      <c r="I14" s="40"/>
      <c r="J14" s="41">
        <v>2.0</v>
      </c>
      <c r="K14" s="40"/>
      <c r="L14" s="40"/>
      <c r="M14" s="40"/>
      <c r="N14" s="42">
        <f t="shared" si="1"/>
        <v>45853</v>
      </c>
      <c r="O14" s="40"/>
      <c r="P14" s="40"/>
      <c r="Q14" s="40"/>
      <c r="R14" s="40"/>
      <c r="S14" s="40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23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9"/>
      <c r="B15" s="40" t="s">
        <v>26</v>
      </c>
      <c r="C15" s="40" t="s">
        <v>21</v>
      </c>
      <c r="D15" s="41">
        <v>100.0</v>
      </c>
      <c r="E15" s="43">
        <v>0.0</v>
      </c>
      <c r="F15" s="40" t="s">
        <v>25</v>
      </c>
      <c r="G15" s="40"/>
      <c r="H15" s="40"/>
      <c r="I15" s="40"/>
      <c r="J15" s="41">
        <v>2.0</v>
      </c>
      <c r="K15" s="40"/>
      <c r="L15" s="40"/>
      <c r="M15" s="40"/>
      <c r="N15" s="42">
        <f t="shared" si="1"/>
        <v>45853</v>
      </c>
      <c r="O15" s="40"/>
      <c r="P15" s="40"/>
      <c r="Q15" s="40"/>
      <c r="R15" s="40"/>
      <c r="S15" s="40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23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9"/>
      <c r="B16" s="40" t="s">
        <v>27</v>
      </c>
      <c r="C16" s="40" t="s">
        <v>21</v>
      </c>
      <c r="D16" s="41">
        <v>100.0</v>
      </c>
      <c r="E16" s="43">
        <v>0.0</v>
      </c>
      <c r="F16" s="40" t="s">
        <v>25</v>
      </c>
      <c r="G16" s="40"/>
      <c r="H16" s="40"/>
      <c r="I16" s="40"/>
      <c r="J16" s="41">
        <v>2.0</v>
      </c>
      <c r="K16" s="40"/>
      <c r="L16" s="40"/>
      <c r="M16" s="40"/>
      <c r="N16" s="42">
        <f t="shared" si="1"/>
        <v>45853</v>
      </c>
      <c r="O16" s="40"/>
      <c r="P16" s="40"/>
      <c r="Q16" s="40"/>
      <c r="R16" s="40"/>
      <c r="S16" s="40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23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9"/>
      <c r="B17" s="40" t="s">
        <v>28</v>
      </c>
      <c r="C17" s="40" t="s">
        <v>21</v>
      </c>
      <c r="D17" s="41">
        <v>100.0</v>
      </c>
      <c r="E17" s="43">
        <v>0.0</v>
      </c>
      <c r="F17" s="40" t="s">
        <v>25</v>
      </c>
      <c r="G17" s="40"/>
      <c r="H17" s="40"/>
      <c r="I17" s="40"/>
      <c r="J17" s="41">
        <v>2.0</v>
      </c>
      <c r="K17" s="40"/>
      <c r="L17" s="40"/>
      <c r="M17" s="40"/>
      <c r="N17" s="42">
        <f t="shared" si="1"/>
        <v>45853</v>
      </c>
      <c r="O17" s="40"/>
      <c r="P17" s="40"/>
      <c r="Q17" s="40"/>
      <c r="R17" s="40"/>
      <c r="S17" s="40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23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9"/>
      <c r="B18" s="40" t="s">
        <v>29</v>
      </c>
      <c r="C18" s="40" t="s">
        <v>21</v>
      </c>
      <c r="D18" s="41">
        <v>100.0</v>
      </c>
      <c r="E18" s="43">
        <v>0.0</v>
      </c>
      <c r="F18" s="40" t="s">
        <v>25</v>
      </c>
      <c r="G18" s="40"/>
      <c r="H18" s="40"/>
      <c r="I18" s="40"/>
      <c r="J18" s="41">
        <v>2.0</v>
      </c>
      <c r="K18" s="40"/>
      <c r="L18" s="40"/>
      <c r="M18" s="40"/>
      <c r="N18" s="42">
        <f t="shared" si="1"/>
        <v>45853</v>
      </c>
      <c r="O18" s="40"/>
      <c r="P18" s="40"/>
      <c r="Q18" s="40"/>
      <c r="R18" s="40"/>
      <c r="S18" s="40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23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9"/>
      <c r="B19" s="40" t="s">
        <v>30</v>
      </c>
      <c r="C19" s="40" t="s">
        <v>21</v>
      </c>
      <c r="D19" s="41">
        <v>100.0</v>
      </c>
      <c r="E19" s="43">
        <v>0.0</v>
      </c>
      <c r="F19" s="40" t="s">
        <v>25</v>
      </c>
      <c r="G19" s="40"/>
      <c r="H19" s="40"/>
      <c r="I19" s="40"/>
      <c r="J19" s="41">
        <v>2.0</v>
      </c>
      <c r="K19" s="40"/>
      <c r="L19" s="40"/>
      <c r="M19" s="40"/>
      <c r="N19" s="42">
        <f t="shared" si="1"/>
        <v>45853</v>
      </c>
      <c r="O19" s="40"/>
      <c r="P19" s="40"/>
      <c r="Q19" s="40"/>
      <c r="R19" s="40"/>
      <c r="S19" s="40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23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9"/>
      <c r="B20" s="43">
        <v>1.23456789E8</v>
      </c>
      <c r="C20" s="40" t="s">
        <v>21</v>
      </c>
      <c r="D20" s="41">
        <v>100.0</v>
      </c>
      <c r="E20" s="43">
        <v>0.0</v>
      </c>
      <c r="F20" s="40" t="s">
        <v>25</v>
      </c>
      <c r="G20" s="40"/>
      <c r="H20" s="40"/>
      <c r="I20" s="40"/>
      <c r="J20" s="41">
        <v>2.0</v>
      </c>
      <c r="K20" s="40"/>
      <c r="L20" s="40"/>
      <c r="M20" s="40"/>
      <c r="N20" s="42">
        <f t="shared" si="1"/>
        <v>45853</v>
      </c>
      <c r="O20" s="40"/>
      <c r="P20" s="40"/>
      <c r="Q20" s="40"/>
      <c r="R20" s="40"/>
      <c r="S20" s="40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9"/>
      <c r="B21" s="44" t="s">
        <v>24</v>
      </c>
      <c r="C21" s="44" t="s">
        <v>21</v>
      </c>
      <c r="D21" s="41">
        <v>100.0</v>
      </c>
      <c r="E21" s="40"/>
      <c r="F21" s="44" t="s">
        <v>31</v>
      </c>
      <c r="G21" s="40"/>
      <c r="H21" s="40"/>
      <c r="I21" s="40"/>
      <c r="J21" s="41">
        <v>2.0</v>
      </c>
      <c r="K21" s="40"/>
      <c r="L21" s="40"/>
      <c r="M21" s="40"/>
      <c r="N21" s="40"/>
      <c r="O21" s="40"/>
      <c r="P21" s="40"/>
      <c r="Q21" s="40"/>
      <c r="R21" s="40"/>
      <c r="S21" s="40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 t="s">
        <v>23</v>
      </c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24</v>
      </c>
      <c r="C6" s="36" t="s">
        <v>21</v>
      </c>
      <c r="D6" s="37">
        <v>100.0</v>
      </c>
      <c r="E6" s="36"/>
      <c r="F6" s="36" t="s">
        <v>25</v>
      </c>
      <c r="G6" s="36"/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ht="15.75" customHeight="1">
      <c r="A7" s="8"/>
      <c r="B7" s="45" t="s">
        <v>26</v>
      </c>
      <c r="C7" s="40" t="s">
        <v>21</v>
      </c>
      <c r="D7" s="41">
        <v>100.0</v>
      </c>
      <c r="E7" s="40"/>
      <c r="F7" s="40" t="s">
        <v>25</v>
      </c>
      <c r="G7" s="40"/>
      <c r="H7" s="40"/>
      <c r="I7" s="40"/>
      <c r="J7" s="41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</row>
    <row r="8" ht="15.75" customHeight="1">
      <c r="A8" s="8"/>
      <c r="B8" s="45" t="s">
        <v>27</v>
      </c>
      <c r="C8" s="40" t="s">
        <v>21</v>
      </c>
      <c r="D8" s="41">
        <v>100.0</v>
      </c>
      <c r="E8" s="40"/>
      <c r="F8" s="40" t="s">
        <v>25</v>
      </c>
      <c r="G8" s="40"/>
      <c r="H8" s="40"/>
      <c r="I8" s="40"/>
      <c r="J8" s="41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</row>
    <row r="9" ht="15.75" customHeight="1">
      <c r="A9" s="8"/>
      <c r="B9" s="45" t="s">
        <v>28</v>
      </c>
      <c r="C9" s="40" t="s">
        <v>21</v>
      </c>
      <c r="D9" s="41">
        <v>100.0</v>
      </c>
      <c r="E9" s="40"/>
      <c r="F9" s="40" t="s">
        <v>25</v>
      </c>
      <c r="G9" s="40"/>
      <c r="H9" s="40"/>
      <c r="I9" s="40"/>
      <c r="J9" s="41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</row>
    <row r="10" ht="15.75" customHeight="1">
      <c r="A10" s="8"/>
      <c r="B10" s="45" t="s">
        <v>29</v>
      </c>
      <c r="C10" s="40" t="s">
        <v>21</v>
      </c>
      <c r="D10" s="41">
        <v>100.0</v>
      </c>
      <c r="E10" s="40"/>
      <c r="F10" s="40" t="s">
        <v>25</v>
      </c>
      <c r="G10" s="40"/>
      <c r="H10" s="40"/>
      <c r="I10" s="40"/>
      <c r="J10" s="41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</row>
    <row r="11" ht="15.75" customHeight="1">
      <c r="A11" s="8"/>
      <c r="B11" s="45" t="s">
        <v>30</v>
      </c>
      <c r="C11" s="40" t="s">
        <v>21</v>
      </c>
      <c r="D11" s="41">
        <v>100.0</v>
      </c>
      <c r="E11" s="40"/>
      <c r="F11" s="40" t="s">
        <v>25</v>
      </c>
      <c r="G11" s="40"/>
      <c r="H11" s="40"/>
      <c r="I11" s="40"/>
      <c r="J11" s="41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</row>
    <row r="12" ht="15.75" customHeight="1">
      <c r="A12" s="8"/>
      <c r="B12" s="46">
        <v>1.23456789E8</v>
      </c>
      <c r="C12" s="40" t="s">
        <v>21</v>
      </c>
      <c r="D12" s="41">
        <v>100.0</v>
      </c>
      <c r="E12" s="40"/>
      <c r="F12" s="40" t="s">
        <v>25</v>
      </c>
      <c r="G12" s="40"/>
      <c r="H12" s="40"/>
      <c r="I12" s="40"/>
      <c r="J12" s="41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</row>
    <row r="13" ht="15.75" customHeight="1">
      <c r="A13" s="8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</row>
    <row r="14" ht="15.75" customHeight="1">
      <c r="A14" s="8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</row>
    <row r="15" ht="15.75" customHeight="1">
      <c r="A15" s="8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</row>
    <row r="16" ht="15.75" customHeight="1">
      <c r="A16" s="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</row>
    <row r="17" ht="15.75" customHeight="1">
      <c r="A17" s="8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35</v>
      </c>
      <c r="C6" s="47">
        <f>today()-1</f>
        <v>45853</v>
      </c>
      <c r="D6" s="47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27</v>
      </c>
      <c r="C6" s="37">
        <v>100.0</v>
      </c>
      <c r="D6" s="36"/>
      <c r="E6" s="36" t="s">
        <v>25</v>
      </c>
      <c r="F6" s="36" t="s">
        <v>21</v>
      </c>
      <c r="G6" s="36"/>
      <c r="H6" s="37">
        <v>2.0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/>
      <c r="C6" s="49">
        <v>0.0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24</v>
      </c>
      <c r="C6" s="37">
        <v>20.0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26</v>
      </c>
      <c r="C7" s="34">
        <v>20.0</v>
      </c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27</v>
      </c>
      <c r="C8" s="34">
        <v>20.0</v>
      </c>
      <c r="D8" s="3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28</v>
      </c>
      <c r="C9" s="34">
        <v>20.0</v>
      </c>
      <c r="D9" s="3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29</v>
      </c>
      <c r="C10" s="34">
        <v>20.0</v>
      </c>
      <c r="D10" s="3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30</v>
      </c>
      <c r="C11" s="34">
        <v>20.0</v>
      </c>
      <c r="D11" s="3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1.23456789E8</v>
      </c>
      <c r="C12" s="34">
        <v>20.0</v>
      </c>
      <c r="D12" s="3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34">
        <v>20.0</v>
      </c>
      <c r="D13" s="3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>
        <f t="shared" ref="B6:C6" si="1">today()-1</f>
        <v>45853</v>
      </c>
      <c r="C6" s="4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1.23456789E8</v>
      </c>
      <c r="C6" s="37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26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27</v>
      </c>
      <c r="C8" s="3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28</v>
      </c>
      <c r="C9" s="34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29</v>
      </c>
      <c r="C10" s="34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30</v>
      </c>
      <c r="C11" s="34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24</v>
      </c>
      <c r="C12" s="34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39</v>
      </c>
      <c r="C13" s="34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>
        <f t="shared" ref="B6:C6" si="1">today()-1</f>
        <v>45853</v>
      </c>
      <c r="C6" s="4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8" t="s">
        <v>45</v>
      </c>
      <c r="C6" s="48" t="s">
        <v>46</v>
      </c>
      <c r="D6" s="36" t="s">
        <v>47</v>
      </c>
      <c r="E6" s="37">
        <v>1.2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>
        <f t="shared" ref="B6:C6" si="1">today()-1</f>
        <v>45853</v>
      </c>
      <c r="C6" s="4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2" t="s">
        <v>25</v>
      </c>
      <c r="C6" s="48" t="s">
        <v>45</v>
      </c>
      <c r="D6" s="37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3" t="s">
        <v>31</v>
      </c>
      <c r="C7" s="48" t="s">
        <v>45</v>
      </c>
      <c r="D7" s="37">
        <v>100000.0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6" t="s">
        <v>25</v>
      </c>
      <c r="C6" s="36"/>
      <c r="D6" s="47">
        <f>today()-3</f>
        <v>45851</v>
      </c>
      <c r="E6" s="47">
        <f>today()+1</f>
        <v>45855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6"/>
      <c r="C6" s="36" t="s">
        <v>25</v>
      </c>
      <c r="D6" s="47">
        <f>today()</f>
        <v>45854</v>
      </c>
      <c r="E6" s="54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/>
      <c r="C6" s="36" t="s">
        <v>54</v>
      </c>
      <c r="D6" s="36" t="s">
        <v>24</v>
      </c>
      <c r="E6" s="36"/>
      <c r="F6" s="36" t="s">
        <v>25</v>
      </c>
      <c r="G6" s="36" t="s">
        <v>45</v>
      </c>
      <c r="H6" s="55">
        <v>100000.0</v>
      </c>
      <c r="I6" s="56">
        <f>today()-2</f>
        <v>45852</v>
      </c>
      <c r="J6" s="56">
        <f>today()+8</f>
        <v>45862</v>
      </c>
      <c r="K6" s="56"/>
      <c r="L6" s="5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7" t="s">
        <v>57</v>
      </c>
      <c r="C6" s="36" t="s">
        <v>58</v>
      </c>
      <c r="D6" s="36" t="s">
        <v>59</v>
      </c>
      <c r="E6" s="36" t="s">
        <v>60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 t="s">
        <v>62</v>
      </c>
      <c r="C6" s="36"/>
      <c r="D6" s="36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v>100000.0</v>
      </c>
      <c r="C6" s="36" t="s">
        <v>64</v>
      </c>
      <c r="D6" s="36" t="s">
        <v>65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5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67</v>
      </c>
      <c r="C6" s="60" t="s">
        <v>68</v>
      </c>
      <c r="D6" s="60" t="s">
        <v>69</v>
      </c>
      <c r="E6" s="60" t="s">
        <v>28</v>
      </c>
      <c r="F6" s="60" t="s">
        <v>70</v>
      </c>
      <c r="G6" s="60" t="s">
        <v>70</v>
      </c>
      <c r="H6" s="60" t="s">
        <v>71</v>
      </c>
      <c r="I6" s="61"/>
      <c r="J6" s="8"/>
      <c r="K6" s="8"/>
      <c r="L6" s="8"/>
      <c r="M6" s="8"/>
      <c r="N6" s="8"/>
      <c r="O6" s="8"/>
    </row>
    <row r="7" ht="15.75" customHeight="1">
      <c r="A7" s="8"/>
      <c r="B7" s="59" t="s">
        <v>67</v>
      </c>
      <c r="C7" s="62" t="s">
        <v>68</v>
      </c>
      <c r="D7" s="62" t="s">
        <v>69</v>
      </c>
      <c r="E7" s="62" t="s">
        <v>26</v>
      </c>
      <c r="F7" s="62" t="s">
        <v>70</v>
      </c>
      <c r="G7" s="62" t="s">
        <v>70</v>
      </c>
      <c r="H7" s="62" t="s">
        <v>72</v>
      </c>
      <c r="I7" s="63"/>
      <c r="J7" s="8"/>
      <c r="K7" s="8"/>
      <c r="L7" s="8"/>
      <c r="M7" s="8"/>
      <c r="N7" s="8"/>
      <c r="O7" s="8"/>
    </row>
    <row r="8" ht="15.75" customHeight="1">
      <c r="A8" s="8"/>
      <c r="B8" s="59" t="s">
        <v>67</v>
      </c>
      <c r="C8" s="60" t="s">
        <v>68</v>
      </c>
      <c r="D8" s="60" t="s">
        <v>69</v>
      </c>
      <c r="E8" s="60">
        <v>1.23456789E8</v>
      </c>
      <c r="F8" s="60" t="s">
        <v>70</v>
      </c>
      <c r="G8" s="60" t="s">
        <v>70</v>
      </c>
      <c r="H8" s="60" t="s">
        <v>73</v>
      </c>
      <c r="I8" s="61"/>
      <c r="J8" s="8"/>
      <c r="K8" s="8"/>
      <c r="L8" s="8"/>
      <c r="M8" s="8"/>
      <c r="N8" s="8"/>
      <c r="O8" s="8"/>
    </row>
    <row r="9" ht="15.75" customHeight="1">
      <c r="A9" s="8"/>
      <c r="B9" s="59" t="s">
        <v>67</v>
      </c>
      <c r="C9" s="62" t="s">
        <v>68</v>
      </c>
      <c r="D9" s="62" t="s">
        <v>69</v>
      </c>
      <c r="E9" s="62" t="s">
        <v>24</v>
      </c>
      <c r="F9" s="62" t="s">
        <v>70</v>
      </c>
      <c r="G9" s="62" t="s">
        <v>70</v>
      </c>
      <c r="H9" s="62" t="s">
        <v>74</v>
      </c>
      <c r="I9" s="63"/>
      <c r="J9" s="8"/>
      <c r="K9" s="8"/>
      <c r="L9" s="8"/>
      <c r="M9" s="8"/>
      <c r="N9" s="8"/>
      <c r="O9" s="8"/>
    </row>
    <row r="10" ht="15.75" customHeight="1">
      <c r="A10" s="8"/>
      <c r="B10" s="59" t="s">
        <v>67</v>
      </c>
      <c r="C10" s="60" t="s">
        <v>68</v>
      </c>
      <c r="D10" s="60" t="s">
        <v>69</v>
      </c>
      <c r="E10" s="60" t="s">
        <v>27</v>
      </c>
      <c r="F10" s="60" t="s">
        <v>70</v>
      </c>
      <c r="G10" s="60" t="s">
        <v>70</v>
      </c>
      <c r="H10" s="60" t="s">
        <v>75</v>
      </c>
      <c r="I10" s="61"/>
      <c r="J10" s="8"/>
      <c r="K10" s="8"/>
      <c r="L10" s="8"/>
      <c r="M10" s="8"/>
      <c r="N10" s="8"/>
      <c r="O10" s="8"/>
    </row>
    <row r="11" ht="15.75" customHeight="1">
      <c r="A11" s="8"/>
      <c r="B11" s="59" t="s">
        <v>67</v>
      </c>
      <c r="C11" s="62" t="s">
        <v>76</v>
      </c>
      <c r="D11" s="62" t="s">
        <v>77</v>
      </c>
      <c r="E11" s="62" t="s">
        <v>78</v>
      </c>
      <c r="F11" s="62" t="s">
        <v>70</v>
      </c>
      <c r="G11" s="62" t="s">
        <v>70</v>
      </c>
      <c r="H11" s="62" t="s">
        <v>79</v>
      </c>
      <c r="I11" s="63"/>
      <c r="J11" s="8"/>
      <c r="K11" s="8"/>
      <c r="L11" s="8"/>
      <c r="M11" s="8"/>
      <c r="N11" s="8"/>
      <c r="O11" s="8"/>
    </row>
    <row r="12" ht="15.75" customHeight="1">
      <c r="A12" s="8"/>
      <c r="B12" s="59" t="s">
        <v>67</v>
      </c>
      <c r="C12" s="60" t="s">
        <v>76</v>
      </c>
      <c r="D12" s="60" t="s">
        <v>77</v>
      </c>
      <c r="E12" s="60" t="s">
        <v>80</v>
      </c>
      <c r="F12" s="60" t="s">
        <v>70</v>
      </c>
      <c r="G12" s="60" t="s">
        <v>70</v>
      </c>
      <c r="H12" s="60" t="s">
        <v>81</v>
      </c>
      <c r="I12" s="61"/>
      <c r="J12" s="8"/>
      <c r="K12" s="8"/>
      <c r="L12" s="8"/>
      <c r="M12" s="8"/>
      <c r="N12" s="8"/>
      <c r="O12" s="8"/>
    </row>
    <row r="13" ht="15.75" customHeight="1">
      <c r="A13" s="8"/>
      <c r="B13" s="59" t="s">
        <v>67</v>
      </c>
      <c r="C13" s="62" t="s">
        <v>76</v>
      </c>
      <c r="D13" s="62" t="s">
        <v>77</v>
      </c>
      <c r="E13" s="62" t="s">
        <v>82</v>
      </c>
      <c r="F13" s="62" t="s">
        <v>70</v>
      </c>
      <c r="G13" s="62" t="s">
        <v>70</v>
      </c>
      <c r="H13" s="62" t="s">
        <v>83</v>
      </c>
      <c r="I13" s="63"/>
      <c r="J13" s="8"/>
      <c r="K13" s="8"/>
      <c r="L13" s="8"/>
      <c r="M13" s="8"/>
      <c r="N13" s="8"/>
      <c r="O13" s="8"/>
    </row>
    <row r="14" ht="15.75" customHeight="1">
      <c r="A14" s="8"/>
      <c r="B14" s="59" t="s">
        <v>67</v>
      </c>
      <c r="C14" s="60" t="s">
        <v>76</v>
      </c>
      <c r="D14" s="60" t="s">
        <v>77</v>
      </c>
      <c r="E14" s="60" t="s">
        <v>84</v>
      </c>
      <c r="F14" s="60" t="s">
        <v>70</v>
      </c>
      <c r="G14" s="60" t="s">
        <v>70</v>
      </c>
      <c r="H14" s="60" t="s">
        <v>85</v>
      </c>
      <c r="I14" s="61"/>
      <c r="J14" s="8"/>
      <c r="K14" s="8"/>
      <c r="L14" s="8"/>
      <c r="M14" s="8"/>
      <c r="N14" s="8"/>
      <c r="O14" s="8"/>
    </row>
    <row r="15" ht="15.75" customHeight="1">
      <c r="A15" s="8"/>
      <c r="B15" s="59" t="s">
        <v>67</v>
      </c>
      <c r="C15" s="62" t="s">
        <v>76</v>
      </c>
      <c r="D15" s="62" t="s">
        <v>77</v>
      </c>
      <c r="E15" s="62" t="s">
        <v>86</v>
      </c>
      <c r="F15" s="62" t="s">
        <v>70</v>
      </c>
      <c r="G15" s="62" t="s">
        <v>70</v>
      </c>
      <c r="H15" s="64" t="s">
        <v>87</v>
      </c>
      <c r="I15" s="63"/>
      <c r="J15" s="8"/>
      <c r="K15" s="8"/>
      <c r="L15" s="8"/>
      <c r="M15" s="8"/>
      <c r="N15" s="8"/>
      <c r="O15" s="8"/>
    </row>
    <row r="16" ht="15.75" customHeight="1">
      <c r="A16" s="8"/>
      <c r="B16" s="59" t="s">
        <v>67</v>
      </c>
      <c r="C16" s="60" t="s">
        <v>88</v>
      </c>
      <c r="D16" s="60" t="s">
        <v>89</v>
      </c>
      <c r="E16" s="60" t="s">
        <v>90</v>
      </c>
      <c r="F16" s="60" t="s">
        <v>70</v>
      </c>
      <c r="G16" s="60" t="s">
        <v>70</v>
      </c>
      <c r="H16" s="60" t="s">
        <v>91</v>
      </c>
      <c r="I16" s="61"/>
      <c r="J16" s="8"/>
      <c r="K16" s="8"/>
      <c r="L16" s="8"/>
      <c r="M16" s="8"/>
      <c r="N16" s="8"/>
      <c r="O16" s="8"/>
    </row>
    <row r="17" ht="15.75" customHeight="1">
      <c r="A17" s="8"/>
      <c r="B17" s="59" t="s">
        <v>67</v>
      </c>
      <c r="C17" s="62" t="s">
        <v>88</v>
      </c>
      <c r="D17" s="62" t="s">
        <v>89</v>
      </c>
      <c r="E17" s="62" t="s">
        <v>92</v>
      </c>
      <c r="F17" s="62" t="s">
        <v>70</v>
      </c>
      <c r="G17" s="62" t="s">
        <v>70</v>
      </c>
      <c r="H17" s="62" t="s">
        <v>93</v>
      </c>
      <c r="I17" s="63"/>
      <c r="J17" s="8"/>
      <c r="K17" s="8"/>
      <c r="L17" s="8"/>
      <c r="M17" s="8"/>
      <c r="N17" s="8"/>
      <c r="O17" s="8"/>
    </row>
    <row r="18" ht="15.75" customHeight="1">
      <c r="A18" s="8"/>
      <c r="B18" s="59" t="s">
        <v>67</v>
      </c>
      <c r="C18" s="60" t="s">
        <v>88</v>
      </c>
      <c r="D18" s="60" t="s">
        <v>89</v>
      </c>
      <c r="E18" s="60" t="s">
        <v>94</v>
      </c>
      <c r="F18" s="60" t="s">
        <v>70</v>
      </c>
      <c r="G18" s="60" t="s">
        <v>70</v>
      </c>
      <c r="H18" s="60" t="s">
        <v>95</v>
      </c>
      <c r="I18" s="61"/>
      <c r="J18" s="8"/>
      <c r="K18" s="8"/>
      <c r="L18" s="8"/>
      <c r="M18" s="8"/>
      <c r="N18" s="8"/>
      <c r="O18" s="8"/>
    </row>
    <row r="19" ht="15.75" customHeight="1">
      <c r="A19" s="8"/>
      <c r="B19" s="59" t="s">
        <v>67</v>
      </c>
      <c r="C19" s="62" t="s">
        <v>88</v>
      </c>
      <c r="D19" s="62" t="s">
        <v>89</v>
      </c>
      <c r="E19" s="62" t="s">
        <v>96</v>
      </c>
      <c r="F19" s="62" t="s">
        <v>70</v>
      </c>
      <c r="G19" s="62" t="s">
        <v>70</v>
      </c>
      <c r="H19" s="62" t="s">
        <v>97</v>
      </c>
      <c r="I19" s="63"/>
      <c r="J19" s="8"/>
      <c r="K19" s="8"/>
      <c r="L19" s="8"/>
      <c r="M19" s="8"/>
      <c r="N19" s="8"/>
      <c r="O19" s="8"/>
    </row>
    <row r="20" ht="15.75" customHeight="1">
      <c r="A20" s="8"/>
      <c r="B20" s="59" t="s">
        <v>67</v>
      </c>
      <c r="C20" s="60" t="s">
        <v>88</v>
      </c>
      <c r="D20" s="60" t="s">
        <v>89</v>
      </c>
      <c r="E20" s="60" t="s">
        <v>98</v>
      </c>
      <c r="F20" s="60" t="s">
        <v>70</v>
      </c>
      <c r="G20" s="60" t="s">
        <v>70</v>
      </c>
      <c r="H20" s="60" t="s">
        <v>99</v>
      </c>
      <c r="I20" s="61"/>
      <c r="J20" s="8"/>
      <c r="K20" s="8"/>
      <c r="L20" s="8"/>
      <c r="M20" s="8"/>
      <c r="N20" s="8"/>
      <c r="O20" s="8"/>
    </row>
    <row r="21" ht="15.75" customHeight="1">
      <c r="A21" s="8"/>
      <c r="B21" s="59" t="s">
        <v>67</v>
      </c>
      <c r="C21" s="62" t="s">
        <v>100</v>
      </c>
      <c r="D21" s="62" t="s">
        <v>101</v>
      </c>
      <c r="E21" s="62" t="s">
        <v>27</v>
      </c>
      <c r="F21" s="62" t="s">
        <v>70</v>
      </c>
      <c r="G21" s="62" t="s">
        <v>70</v>
      </c>
      <c r="H21" s="62" t="s">
        <v>102</v>
      </c>
      <c r="I21" s="63"/>
      <c r="J21" s="8"/>
      <c r="K21" s="8"/>
      <c r="L21" s="8"/>
      <c r="M21" s="8"/>
      <c r="N21" s="8"/>
      <c r="O21" s="8"/>
    </row>
    <row r="22" ht="15.75" customHeight="1">
      <c r="A22" s="8"/>
      <c r="B22" s="59" t="s">
        <v>67</v>
      </c>
      <c r="C22" s="60" t="s">
        <v>100</v>
      </c>
      <c r="D22" s="60" t="s">
        <v>101</v>
      </c>
      <c r="E22" s="60" t="s">
        <v>24</v>
      </c>
      <c r="F22" s="60" t="s">
        <v>70</v>
      </c>
      <c r="G22" s="60" t="s">
        <v>70</v>
      </c>
      <c r="H22" s="60" t="s">
        <v>103</v>
      </c>
      <c r="I22" s="61"/>
      <c r="J22" s="8"/>
      <c r="K22" s="8"/>
      <c r="L22" s="8"/>
      <c r="M22" s="8"/>
      <c r="N22" s="8"/>
      <c r="O22" s="8"/>
    </row>
    <row r="23" ht="15.75" customHeight="1">
      <c r="A23" s="8"/>
      <c r="B23" s="59" t="s">
        <v>67</v>
      </c>
      <c r="C23" s="62" t="s">
        <v>100</v>
      </c>
      <c r="D23" s="62" t="s">
        <v>101</v>
      </c>
      <c r="E23" s="62">
        <v>1.23456789E8</v>
      </c>
      <c r="F23" s="62" t="s">
        <v>70</v>
      </c>
      <c r="G23" s="62" t="s">
        <v>70</v>
      </c>
      <c r="H23" s="62" t="s">
        <v>104</v>
      </c>
      <c r="I23" s="63"/>
      <c r="J23" s="8"/>
      <c r="K23" s="8"/>
      <c r="L23" s="8"/>
      <c r="M23" s="8"/>
      <c r="N23" s="8"/>
      <c r="O23" s="8"/>
    </row>
    <row r="24" ht="15.75" customHeight="1">
      <c r="A24" s="8"/>
      <c r="B24" s="59" t="s">
        <v>67</v>
      </c>
      <c r="C24" s="60" t="s">
        <v>100</v>
      </c>
      <c r="D24" s="60" t="s">
        <v>101</v>
      </c>
      <c r="E24" s="60" t="s">
        <v>28</v>
      </c>
      <c r="F24" s="60" t="s">
        <v>70</v>
      </c>
      <c r="G24" s="60" t="s">
        <v>70</v>
      </c>
      <c r="H24" s="60" t="s">
        <v>105</v>
      </c>
      <c r="I24" s="61"/>
      <c r="J24" s="8"/>
      <c r="K24" s="8"/>
      <c r="L24" s="8"/>
      <c r="M24" s="8"/>
      <c r="N24" s="8"/>
      <c r="O24" s="8"/>
    </row>
    <row r="25" ht="15.75" customHeight="1">
      <c r="A25" s="8"/>
      <c r="B25" s="59" t="s">
        <v>67</v>
      </c>
      <c r="C25" s="62" t="s">
        <v>100</v>
      </c>
      <c r="D25" s="62" t="s">
        <v>101</v>
      </c>
      <c r="E25" s="62" t="s">
        <v>26</v>
      </c>
      <c r="F25" s="62" t="s">
        <v>70</v>
      </c>
      <c r="G25" s="62" t="s">
        <v>70</v>
      </c>
      <c r="H25" s="62" t="s">
        <v>106</v>
      </c>
      <c r="I25" s="63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 t="s">
        <v>24</v>
      </c>
      <c r="E6" s="13">
        <v>74.0</v>
      </c>
      <c r="F6" s="13">
        <v>10.0</v>
      </c>
      <c r="G6" s="13">
        <v>740.0</v>
      </c>
      <c r="H6" s="8"/>
      <c r="I6" s="13" t="s">
        <v>108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26</v>
      </c>
      <c r="E7" s="13">
        <v>74.0</v>
      </c>
      <c r="F7" s="13">
        <v>10.0</v>
      </c>
      <c r="G7" s="13">
        <v>617.0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27</v>
      </c>
      <c r="E8" s="13">
        <v>74.0</v>
      </c>
      <c r="F8" s="13">
        <v>10.0</v>
      </c>
      <c r="G8" s="13">
        <v>740.0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 t="s">
        <v>28</v>
      </c>
      <c r="E9" s="13">
        <v>74.0</v>
      </c>
      <c r="F9" s="13">
        <v>10.0</v>
      </c>
      <c r="G9" s="13">
        <v>740.0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>
        <v>1.23456789E8</v>
      </c>
      <c r="E10" s="13">
        <v>74.0</v>
      </c>
      <c r="F10" s="13">
        <v>10.0</v>
      </c>
      <c r="G10" s="13">
        <v>7.0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57</v>
      </c>
      <c r="C6" s="36" t="s">
        <v>109</v>
      </c>
      <c r="D6" s="36" t="s">
        <v>59</v>
      </c>
      <c r="E6" s="36" t="s">
        <v>60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v>100000.0</v>
      </c>
      <c r="C6" s="36" t="s">
        <v>64</v>
      </c>
      <c r="D6" s="36" t="s">
        <v>65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8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67</v>
      </c>
      <c r="C6" s="60" t="s">
        <v>68</v>
      </c>
      <c r="D6" s="60" t="s">
        <v>69</v>
      </c>
      <c r="E6" s="60" t="s">
        <v>26</v>
      </c>
      <c r="F6" s="60" t="s">
        <v>70</v>
      </c>
      <c r="G6" s="60" t="s">
        <v>70</v>
      </c>
      <c r="H6" s="60" t="s">
        <v>110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59" t="s">
        <v>67</v>
      </c>
      <c r="C7" s="62" t="s">
        <v>68</v>
      </c>
      <c r="D7" s="62" t="s">
        <v>69</v>
      </c>
      <c r="E7" s="62">
        <v>1.23456789E8</v>
      </c>
      <c r="F7" s="62" t="s">
        <v>70</v>
      </c>
      <c r="G7" s="62" t="s">
        <v>70</v>
      </c>
      <c r="H7" s="62" t="s">
        <v>111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9" t="s">
        <v>67</v>
      </c>
      <c r="C8" s="60" t="s">
        <v>68</v>
      </c>
      <c r="D8" s="60" t="s">
        <v>69</v>
      </c>
      <c r="E8" s="60" t="s">
        <v>28</v>
      </c>
      <c r="F8" s="60" t="s">
        <v>70</v>
      </c>
      <c r="G8" s="60" t="s">
        <v>70</v>
      </c>
      <c r="H8" s="60" t="s">
        <v>112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9" t="s">
        <v>67</v>
      </c>
      <c r="C9" s="62" t="s">
        <v>68</v>
      </c>
      <c r="D9" s="62" t="s">
        <v>69</v>
      </c>
      <c r="E9" s="62" t="s">
        <v>24</v>
      </c>
      <c r="F9" s="62" t="s">
        <v>70</v>
      </c>
      <c r="G9" s="62" t="s">
        <v>70</v>
      </c>
      <c r="H9" s="62" t="s">
        <v>113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59" t="s">
        <v>67</v>
      </c>
      <c r="C10" s="60" t="s">
        <v>68</v>
      </c>
      <c r="D10" s="60" t="s">
        <v>69</v>
      </c>
      <c r="E10" s="60" t="s">
        <v>27</v>
      </c>
      <c r="F10" s="60" t="s">
        <v>70</v>
      </c>
      <c r="G10" s="60" t="s">
        <v>70</v>
      </c>
      <c r="H10" s="60" t="s">
        <v>114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59" t="s">
        <v>67</v>
      </c>
      <c r="C11" s="62" t="s">
        <v>68</v>
      </c>
      <c r="D11" s="62" t="s">
        <v>69</v>
      </c>
      <c r="E11" s="62" t="s">
        <v>24</v>
      </c>
      <c r="F11" s="62" t="s">
        <v>70</v>
      </c>
      <c r="G11" s="62" t="s">
        <v>70</v>
      </c>
      <c r="H11" s="62" t="s">
        <v>115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59" t="s">
        <v>67</v>
      </c>
      <c r="C12" s="60" t="s">
        <v>76</v>
      </c>
      <c r="D12" s="60" t="s">
        <v>77</v>
      </c>
      <c r="E12" s="60" t="s">
        <v>80</v>
      </c>
      <c r="F12" s="60" t="s">
        <v>70</v>
      </c>
      <c r="G12" s="60" t="s">
        <v>70</v>
      </c>
      <c r="H12" s="60" t="s">
        <v>116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59" t="s">
        <v>67</v>
      </c>
      <c r="C13" s="62" t="s">
        <v>76</v>
      </c>
      <c r="D13" s="62" t="s">
        <v>77</v>
      </c>
      <c r="E13" s="62" t="s">
        <v>82</v>
      </c>
      <c r="F13" s="62" t="s">
        <v>70</v>
      </c>
      <c r="G13" s="62" t="s">
        <v>70</v>
      </c>
      <c r="H13" s="62" t="s">
        <v>117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59" t="s">
        <v>67</v>
      </c>
      <c r="C14" s="60" t="s">
        <v>76</v>
      </c>
      <c r="D14" s="60" t="s">
        <v>77</v>
      </c>
      <c r="E14" s="60" t="s">
        <v>84</v>
      </c>
      <c r="F14" s="60" t="s">
        <v>70</v>
      </c>
      <c r="G14" s="60" t="s">
        <v>70</v>
      </c>
      <c r="H14" s="60" t="s">
        <v>118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59" t="s">
        <v>67</v>
      </c>
      <c r="C15" s="62" t="s">
        <v>76</v>
      </c>
      <c r="D15" s="62" t="s">
        <v>77</v>
      </c>
      <c r="E15" s="62" t="s">
        <v>78</v>
      </c>
      <c r="F15" s="62" t="s">
        <v>70</v>
      </c>
      <c r="G15" s="62" t="s">
        <v>70</v>
      </c>
      <c r="H15" s="62" t="s">
        <v>119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59" t="s">
        <v>67</v>
      </c>
      <c r="C16" s="60" t="s">
        <v>76</v>
      </c>
      <c r="D16" s="60" t="s">
        <v>77</v>
      </c>
      <c r="E16" s="60" t="s">
        <v>86</v>
      </c>
      <c r="F16" s="60" t="s">
        <v>70</v>
      </c>
      <c r="G16" s="60" t="s">
        <v>70</v>
      </c>
      <c r="H16" s="60" t="s">
        <v>120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59" t="s">
        <v>67</v>
      </c>
      <c r="C17" s="62" t="s">
        <v>76</v>
      </c>
      <c r="D17" s="62" t="s">
        <v>77</v>
      </c>
      <c r="E17" s="62" t="s">
        <v>121</v>
      </c>
      <c r="F17" s="62" t="s">
        <v>70</v>
      </c>
      <c r="G17" s="62" t="s">
        <v>70</v>
      </c>
      <c r="H17" s="62" t="s">
        <v>122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59" t="s">
        <v>67</v>
      </c>
      <c r="C18" s="60" t="s">
        <v>88</v>
      </c>
      <c r="D18" s="60" t="s">
        <v>89</v>
      </c>
      <c r="E18" s="60" t="s">
        <v>94</v>
      </c>
      <c r="F18" s="60" t="s">
        <v>70</v>
      </c>
      <c r="G18" s="60" t="s">
        <v>70</v>
      </c>
      <c r="H18" s="60" t="s">
        <v>123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59" t="s">
        <v>67</v>
      </c>
      <c r="C19" s="62" t="s">
        <v>88</v>
      </c>
      <c r="D19" s="62" t="s">
        <v>89</v>
      </c>
      <c r="E19" s="62" t="s">
        <v>96</v>
      </c>
      <c r="F19" s="62" t="s">
        <v>70</v>
      </c>
      <c r="G19" s="62" t="s">
        <v>70</v>
      </c>
      <c r="H19" s="62" t="s">
        <v>124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59" t="s">
        <v>67</v>
      </c>
      <c r="C20" s="60" t="s">
        <v>88</v>
      </c>
      <c r="D20" s="60" t="s">
        <v>89</v>
      </c>
      <c r="E20" s="60" t="s">
        <v>90</v>
      </c>
      <c r="F20" s="60" t="s">
        <v>70</v>
      </c>
      <c r="G20" s="60" t="s">
        <v>70</v>
      </c>
      <c r="H20" s="60" t="s">
        <v>125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59" t="s">
        <v>67</v>
      </c>
      <c r="C21" s="62" t="s">
        <v>88</v>
      </c>
      <c r="D21" s="62" t="s">
        <v>89</v>
      </c>
      <c r="E21" s="62" t="s">
        <v>98</v>
      </c>
      <c r="F21" s="62" t="s">
        <v>70</v>
      </c>
      <c r="G21" s="62" t="s">
        <v>70</v>
      </c>
      <c r="H21" s="62" t="s">
        <v>126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59" t="s">
        <v>67</v>
      </c>
      <c r="C22" s="60" t="s">
        <v>88</v>
      </c>
      <c r="D22" s="60" t="s">
        <v>89</v>
      </c>
      <c r="E22" s="60" t="s">
        <v>92</v>
      </c>
      <c r="F22" s="60" t="s">
        <v>70</v>
      </c>
      <c r="G22" s="60" t="s">
        <v>70</v>
      </c>
      <c r="H22" s="60" t="s">
        <v>127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59" t="s">
        <v>67</v>
      </c>
      <c r="C23" s="62" t="s">
        <v>100</v>
      </c>
      <c r="D23" s="62" t="s">
        <v>101</v>
      </c>
      <c r="E23" s="62" t="s">
        <v>24</v>
      </c>
      <c r="F23" s="62" t="s">
        <v>70</v>
      </c>
      <c r="G23" s="62" t="s">
        <v>70</v>
      </c>
      <c r="H23" s="62" t="s">
        <v>128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59" t="s">
        <v>67</v>
      </c>
      <c r="C24" s="60" t="s">
        <v>100</v>
      </c>
      <c r="D24" s="60" t="s">
        <v>101</v>
      </c>
      <c r="E24" s="60">
        <v>1.23456789E8</v>
      </c>
      <c r="F24" s="60" t="s">
        <v>70</v>
      </c>
      <c r="G24" s="60" t="s">
        <v>70</v>
      </c>
      <c r="H24" s="60" t="s">
        <v>129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59" t="s">
        <v>67</v>
      </c>
      <c r="C25" s="62" t="s">
        <v>100</v>
      </c>
      <c r="D25" s="62" t="s">
        <v>101</v>
      </c>
      <c r="E25" s="62" t="s">
        <v>28</v>
      </c>
      <c r="F25" s="62" t="s">
        <v>70</v>
      </c>
      <c r="G25" s="62" t="s">
        <v>70</v>
      </c>
      <c r="H25" s="62" t="s">
        <v>130</v>
      </c>
      <c r="I25" s="8"/>
      <c r="J25" s="8"/>
      <c r="K25" s="8"/>
      <c r="L25" s="8"/>
      <c r="M25" s="8"/>
      <c r="N25" s="8"/>
      <c r="O25" s="8"/>
    </row>
    <row r="26" ht="15.75" customHeight="1">
      <c r="B26" s="59" t="s">
        <v>67</v>
      </c>
      <c r="C26" s="60" t="s">
        <v>100</v>
      </c>
      <c r="D26" s="60" t="s">
        <v>101</v>
      </c>
      <c r="E26" s="60" t="s">
        <v>27</v>
      </c>
      <c r="F26" s="60" t="s">
        <v>70</v>
      </c>
      <c r="G26" s="60" t="s">
        <v>70</v>
      </c>
      <c r="H26" s="60" t="s">
        <v>131</v>
      </c>
    </row>
    <row r="27" ht="15.75" customHeight="1">
      <c r="B27" s="59" t="s">
        <v>67</v>
      </c>
      <c r="C27" s="62" t="s">
        <v>100</v>
      </c>
      <c r="D27" s="62" t="s">
        <v>101</v>
      </c>
      <c r="E27" s="62" t="s">
        <v>26</v>
      </c>
      <c r="F27" s="62" t="s">
        <v>70</v>
      </c>
      <c r="G27" s="62" t="s">
        <v>70</v>
      </c>
      <c r="H27" s="62" t="s">
        <v>132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21</v>
      </c>
      <c r="D6" s="13" t="s">
        <v>24</v>
      </c>
      <c r="E6" s="13">
        <v>77.0</v>
      </c>
      <c r="F6" s="13">
        <v>20.0</v>
      </c>
      <c r="G6" s="65">
        <v>1540.0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 t="s">
        <v>26</v>
      </c>
      <c r="E7" s="13">
        <v>77.0</v>
      </c>
      <c r="F7" s="13">
        <v>20.0</v>
      </c>
      <c r="G7" s="65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21</v>
      </c>
      <c r="D8" s="13" t="s">
        <v>27</v>
      </c>
      <c r="E8" s="13">
        <v>77.0</v>
      </c>
      <c r="F8" s="13">
        <v>20.0</v>
      </c>
      <c r="G8" s="65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21</v>
      </c>
      <c r="D9" s="13" t="s">
        <v>28</v>
      </c>
      <c r="E9" s="13">
        <v>77.0</v>
      </c>
      <c r="F9" s="13">
        <v>20.0</v>
      </c>
      <c r="G9" s="65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21</v>
      </c>
      <c r="D10" s="13">
        <v>1.23456789E8</v>
      </c>
      <c r="E10" s="13">
        <v>77.0</v>
      </c>
      <c r="F10" s="13">
        <v>20.0</v>
      </c>
      <c r="G10" s="65">
        <v>15.0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21</v>
      </c>
      <c r="D11" s="13" t="s">
        <v>24</v>
      </c>
      <c r="E11" s="13">
        <v>16.0</v>
      </c>
      <c r="F11" s="13">
        <v>20.0</v>
      </c>
      <c r="G11" s="13">
        <v>320.0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>
        <f t="shared" ref="B6:C6" si="1">today()-1</f>
        <v>45853</v>
      </c>
      <c r="C6" s="47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31</v>
      </c>
      <c r="C6" s="31" t="s">
        <v>45</v>
      </c>
      <c r="D6" s="34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133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67" t="s">
        <v>25</v>
      </c>
      <c r="C6" s="48" t="s">
        <v>45</v>
      </c>
      <c r="D6" s="68">
        <v>100000.0</v>
      </c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2" t="s">
        <v>31</v>
      </c>
      <c r="C7" s="44" t="s">
        <v>45</v>
      </c>
      <c r="D7" s="41">
        <v>100000.0</v>
      </c>
      <c r="E7" s="40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