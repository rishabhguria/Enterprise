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CheckAllocatedGroups" sheetId="6" r:id="rId8"/>
    <sheet state="visible" name="CheckAllocatedTaxlots" sheetId="7" r:id="rId9"/>
    <sheet state="visible" name="SelectAllocatedGroup" sheetId="8" r:id="rId10"/>
    <sheet state="visible" name="CommissionBulkChangeOnGroups" sheetId="9" r:id="rId11"/>
    <sheet state="visible" name="CheckAllocatedGroups1" sheetId="10" r:id="rId12"/>
    <sheet state="visible" name="CheckAllocatedTaxlots1" sheetId="11" r:id="rId13"/>
  </sheets>
  <definedNames/>
  <calcPr/>
</workbook>
</file>

<file path=xl/sharedStrings.xml><?xml version="1.0" encoding="utf-8"?>
<sst xmlns="http://schemas.openxmlformats.org/spreadsheetml/2006/main" count="563" uniqueCount="53">
  <si>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</si>
  <si>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</si>
  <si>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</si>
  <si>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</si>
  <si>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</si>
  <si>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</si>
  <si>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</si>
  <si>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</si>
  <si>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</si>
  <si>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</si>
  <si>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</si>
  <si>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</si>
  <si>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</si>
  <si>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</si>
  <si>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</si>
  <si>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</si>
  <si>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O:AAPL 13A500.00</t>
  </si>
  <si>
    <t>Buy to Open</t>
  </si>
  <si>
    <t>Commision1</t>
  </si>
  <si>
    <t>Flat Amount</t>
  </si>
  <si>
    <t>Allocation</t>
  </si>
  <si>
    <t>GetDataAllocation</t>
  </si>
  <si>
    <t>Historical</t>
  </si>
  <si>
    <t>CheckAllocatedGroups</t>
  </si>
  <si>
    <t/>
  </si>
  <si>
    <t>Actual_365</t>
  </si>
  <si>
    <t>Manual</t>
  </si>
  <si>
    <t>EquityOption</t>
  </si>
  <si>
    <t>Treasury</t>
  </si>
  <si>
    <t>MS</t>
  </si>
  <si>
    <t>Open</t>
  </si>
  <si>
    <t>USD</t>
  </si>
  <si>
    <t>BrokerNotes</t>
  </si>
  <si>
    <t>OPTS</t>
  </si>
  <si>
    <t>M</t>
  </si>
  <si>
    <t>None</t>
  </si>
  <si>
    <t>DefaultNotes</t>
  </si>
  <si>
    <t>Market</t>
  </si>
  <si>
    <t>InternalOrder</t>
  </si>
  <si>
    <t>C</t>
  </si>
  <si>
    <t>Strategy Unallocated</t>
  </si>
  <si>
    <t>GCCAP1</t>
  </si>
  <si>
    <t>BuytoOpen</t>
  </si>
  <si>
    <t>US</t>
  </si>
  <si>
    <t>AAPL</t>
  </si>
  <si>
    <t>jpearce</t>
  </si>
  <si>
    <t>NASDAQ</t>
  </si>
  <si>
    <t>NONE</t>
  </si>
  <si>
    <t>CheckAllocatedTaxlots</t>
  </si>
  <si>
    <t>SelectAllocatedGroup</t>
  </si>
  <si>
    <t>CommissionBulkChangeOnGroups</t>
  </si>
  <si>
    <t>Select</t>
  </si>
  <si>
    <t>Option1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</si>
</sst>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4" numFmtId="164" xfId="0" applyAlignment="1" applyFill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10.0</v>
      </c>
      <c r="E6" s="32"/>
      <c r="F6" s="34" t="s">
        <v>18</v>
      </c>
      <c r="G6" s="32"/>
      <c r="H6" s="32"/>
      <c r="I6" s="32"/>
      <c r="J6" s="35">
        <v>10.0</v>
      </c>
      <c r="K6" s="32"/>
      <c r="L6" s="32"/>
      <c r="M6" s="32"/>
      <c r="N6" s="36">
        <f>today()-1</f>
        <v>45176</v>
      </c>
      <c r="O6" s="32"/>
      <c r="P6" s="32"/>
      <c r="Q6" s="32"/>
      <c r="R6" s="37" t="s">
        <v>19</v>
      </c>
      <c r="S6" s="37">
        <v>10.0</v>
      </c>
      <c r="T6" s="37" t="s">
        <v>19</v>
      </c>
      <c r="U6" s="37">
        <v>10.0</v>
      </c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38">
        <f>today()-1</f>
        <v>45176</v>
      </c>
      <c r="D6" s="39">
        <f>today()</f>
        <v>45177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24</v>
      </c>
      <c r="B6" s="41" t="s">
        <v>18</v>
      </c>
      <c r="C6" s="8" t="s">
        <v>25</v>
      </c>
      <c r="D6" s="41">
        <v>0.0</v>
      </c>
      <c r="E6" s="8">
        <v>10.0</v>
      </c>
      <c r="F6" s="8" t="s">
        <v>26</v>
      </c>
      <c r="G6" s="8" t="s">
        <v>27</v>
      </c>
      <c r="H6" s="8">
        <v>0.0</v>
      </c>
      <c r="I6" s="8">
        <v>0.0</v>
      </c>
      <c r="J6" s="8">
        <v>12.0</v>
      </c>
      <c r="K6" s="8">
        <v>10.0</v>
      </c>
      <c r="L6" s="8">
        <v>10.0</v>
      </c>
      <c r="M6" s="8"/>
      <c r="N6" s="8" t="s">
        <v>28</v>
      </c>
      <c r="O6" s="8" t="s">
        <v>29</v>
      </c>
      <c r="Q6">
        <v>3.0</v>
      </c>
      <c r="R6">
        <v>0.3</v>
      </c>
      <c r="S6" t="s">
        <v>30</v>
      </c>
      <c r="T6">
        <v>10.0</v>
      </c>
      <c r="U6">
        <v>1.0</v>
      </c>
      <c r="W6">
        <v>100.0</v>
      </c>
      <c r="X6">
        <v>0.0</v>
      </c>
      <c r="Y6" t="s">
        <v>24</v>
      </c>
      <c r="Z6" t="s">
        <v>31</v>
      </c>
      <c r="AA6">
        <v>1.0</v>
      </c>
      <c r="AB6">
        <v>1.0</v>
      </c>
      <c r="AC6" t="s">
        <v>32</v>
      </c>
      <c r="AD6" t="s">
        <v>33</v>
      </c>
      <c r="AE6">
        <v>10.0</v>
      </c>
      <c r="AF6" t="s">
        <v>24</v>
      </c>
      <c r="AH6" t="s">
        <v>34</v>
      </c>
      <c r="AI6">
        <v>1.0</v>
      </c>
      <c r="AJ6" t="s">
        <v>35</v>
      </c>
      <c r="AM6" t="s">
        <v>36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10020.85</v>
      </c>
      <c r="AU6">
        <v>10020.85</v>
      </c>
      <c r="AW6">
        <v>0.0</v>
      </c>
      <c r="AX6">
        <v>0.0</v>
      </c>
      <c r="AY6" t="s">
        <v>37</v>
      </c>
      <c r="AZ6">
        <v>0.0</v>
      </c>
      <c r="BC6">
        <v>0.55</v>
      </c>
      <c r="BD6" t="s">
        <v>38</v>
      </c>
      <c r="BE6">
        <v>10000.0</v>
      </c>
      <c r="BF6">
        <v>10000.0</v>
      </c>
      <c r="BI6" t="s">
        <v>39</v>
      </c>
      <c r="BJ6">
        <v>10.0</v>
      </c>
      <c r="BK6">
        <v>0.0</v>
      </c>
      <c r="BL6" t="s">
        <v>24</v>
      </c>
      <c r="BM6" t="s">
        <v>31</v>
      </c>
      <c r="BO6" t="s">
        <v>17</v>
      </c>
      <c r="BP6">
        <v>10.0</v>
      </c>
      <c r="BQ6">
        <v>1.0</v>
      </c>
      <c r="BR6">
        <v>0.0</v>
      </c>
      <c r="BS6" t="s">
        <v>40</v>
      </c>
      <c r="BT6" t="s">
        <v>16</v>
      </c>
      <c r="BU6">
        <v>0.0</v>
      </c>
      <c r="BV6">
        <v>20.0</v>
      </c>
      <c r="BW6">
        <v>20.85</v>
      </c>
      <c r="BX6">
        <v>2.0</v>
      </c>
      <c r="CF6" t="s">
        <v>41</v>
      </c>
      <c r="CG6">
        <v>0.0</v>
      </c>
      <c r="CH6" t="s">
        <v>12</v>
      </c>
      <c r="CI6" t="s">
        <v>42</v>
      </c>
      <c r="CJ6">
        <v>0.0</v>
      </c>
      <c r="CK6" t="s">
        <v>43</v>
      </c>
      <c r="CL6">
        <v>1.0</v>
      </c>
      <c r="CM6" t="s">
        <v>44</v>
      </c>
      <c r="CN6" t="s">
        <v>45</v>
      </c>
      <c r="CO6" t="s">
        <v>46</v>
      </c>
      <c r="CP6" t="s">
        <v>47</v>
      </c>
      <c r="CS6" t="s">
        <v>24</v>
      </c>
      <c r="CV6" t="s">
        <v>24</v>
      </c>
      <c r="CW6" t="s">
        <v>24</v>
      </c>
      <c r="CX6" t="s">
        <v>24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24</v>
      </c>
      <c r="B6" s="41">
        <v>10020.85</v>
      </c>
      <c r="C6" s="8">
        <v>10020.85</v>
      </c>
      <c r="D6" s="41">
        <v>10000.0</v>
      </c>
      <c r="E6" s="8">
        <v>10000.0</v>
      </c>
      <c r="F6" s="8" t="s">
        <v>34</v>
      </c>
      <c r="G6" s="8"/>
      <c r="H6" s="8" t="s">
        <v>31</v>
      </c>
      <c r="I6" s="8"/>
      <c r="J6" s="8"/>
      <c r="K6" s="8"/>
      <c r="L6" s="8"/>
      <c r="M6" s="8"/>
      <c r="N6" s="8"/>
      <c r="O6" s="8" t="s">
        <v>18</v>
      </c>
      <c r="P6" t="s">
        <v>40</v>
      </c>
      <c r="Q6">
        <v>100.0</v>
      </c>
      <c r="R6">
        <v>10.0</v>
      </c>
      <c r="S6">
        <v>10.0</v>
      </c>
      <c r="T6">
        <v>10.0</v>
      </c>
      <c r="U6">
        <v>0.55</v>
      </c>
      <c r="V6">
        <v>0.3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 t="s">
        <v>30</v>
      </c>
      <c r="AI6">
        <v>10.0</v>
      </c>
      <c r="AJ6">
        <v>0.0</v>
      </c>
      <c r="AK6">
        <v>1.0</v>
      </c>
      <c r="AL6">
        <v>3.0</v>
      </c>
      <c r="AM6" t="s">
        <v>24</v>
      </c>
      <c r="AN6" t="s">
        <v>24</v>
      </c>
      <c r="AO6" t="s">
        <v>24</v>
      </c>
      <c r="AP6" t="s">
        <v>24</v>
      </c>
      <c r="AQ6" t="s">
        <v>24</v>
      </c>
      <c r="AR6" t="s">
        <v>24</v>
      </c>
      <c r="AS6" t="s">
        <v>24</v>
      </c>
      <c r="AT6" t="s">
        <v>24</v>
      </c>
      <c r="AU6" t="s">
        <v>24</v>
      </c>
      <c r="AV6" t="s">
        <v>24</v>
      </c>
      <c r="AW6" t="s">
        <v>24</v>
      </c>
      <c r="AX6" t="s">
        <v>24</v>
      </c>
      <c r="AY6" t="s">
        <v>24</v>
      </c>
      <c r="AZ6" t="s">
        <v>24</v>
      </c>
      <c r="BA6" t="s">
        <v>24</v>
      </c>
      <c r="BB6" t="s">
        <v>24</v>
      </c>
      <c r="BC6" t="s">
        <v>24</v>
      </c>
      <c r="BD6" t="s">
        <v>24</v>
      </c>
      <c r="BE6" t="s">
        <v>24</v>
      </c>
      <c r="BF6" t="s">
        <v>24</v>
      </c>
      <c r="BG6" t="s">
        <v>24</v>
      </c>
      <c r="BH6" t="s">
        <v>24</v>
      </c>
      <c r="BI6" t="s">
        <v>24</v>
      </c>
      <c r="BJ6" t="s">
        <v>24</v>
      </c>
      <c r="BK6" t="s">
        <v>24</v>
      </c>
      <c r="BL6" t="s">
        <v>24</v>
      </c>
      <c r="BM6" t="s">
        <v>24</v>
      </c>
      <c r="BN6" t="s">
        <v>24</v>
      </c>
      <c r="BO6" t="s">
        <v>24</v>
      </c>
      <c r="BP6" t="s">
        <v>24</v>
      </c>
      <c r="BQ6" t="s">
        <v>24</v>
      </c>
      <c r="BR6" t="s">
        <v>24</v>
      </c>
      <c r="BS6" t="s">
        <v>24</v>
      </c>
      <c r="BT6" t="s">
        <v>24</v>
      </c>
      <c r="BU6" t="s">
        <v>24</v>
      </c>
      <c r="BV6" t="s">
        <v>24</v>
      </c>
      <c r="BW6" t="s">
        <v>24</v>
      </c>
      <c r="BX6" t="s">
        <v>24</v>
      </c>
      <c r="BY6" t="s">
        <v>24</v>
      </c>
      <c r="BZ6" t="s">
        <v>24</v>
      </c>
      <c r="CA6" t="s">
        <v>24</v>
      </c>
      <c r="CB6" t="s">
        <v>24</v>
      </c>
      <c r="CC6" t="s">
        <v>24</v>
      </c>
      <c r="CD6" t="s">
        <v>24</v>
      </c>
      <c r="CE6" t="s">
        <v>24</v>
      </c>
      <c r="CF6" t="s">
        <v>24</v>
      </c>
      <c r="CG6" t="s">
        <v>24</v>
      </c>
      <c r="CH6" t="s">
        <v>24</v>
      </c>
      <c r="CI6" t="s">
        <v>24</v>
      </c>
      <c r="CJ6" t="s">
        <v>24</v>
      </c>
      <c r="CK6" t="s">
        <v>24</v>
      </c>
      <c r="CL6" t="s">
        <v>24</v>
      </c>
      <c r="CM6" t="s">
        <v>24</v>
      </c>
      <c r="CN6" t="s">
        <v>24</v>
      </c>
      <c r="CO6" t="s">
        <v>24</v>
      </c>
      <c r="CP6" t="s">
        <v>24</v>
      </c>
      <c r="CQ6" t="s">
        <v>24</v>
      </c>
      <c r="CR6" t="s">
        <v>24</v>
      </c>
      <c r="CS6" t="s">
        <v>24</v>
      </c>
      <c r="CT6" t="s">
        <v>24</v>
      </c>
      <c r="CU6" t="s">
        <v>24</v>
      </c>
      <c r="CV6" t="s">
        <v>24</v>
      </c>
      <c r="CW6" t="s">
        <v>24</v>
      </c>
      <c r="CX6" t="s">
        <v>24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>
        <v>10.0</v>
      </c>
      <c r="D6" s="13"/>
      <c r="E6" s="41" t="s">
        <v>18</v>
      </c>
      <c r="F6" s="32" t="s">
        <v>17</v>
      </c>
      <c r="G6" s="8"/>
      <c r="H6" s="13">
        <v>10.0</v>
      </c>
      <c r="I6" s="8"/>
      <c r="J6" s="8"/>
      <c r="K6" s="13">
        <v>10.0</v>
      </c>
      <c r="L6" s="8"/>
      <c r="M6" s="8"/>
      <c r="N6" s="8"/>
      <c r="O6" s="8"/>
      <c r="P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IFERROR(__xludf.DUMMYFUNCTION("""COMPUTED_VALUE"""),"Use/Select/Specify")</f>
        <v>Use/Select/Specify</v>
      </c>
      <c r="C5" s="28" t="str">
        <f>IFERROR(__xludf.DUMMYFUNCTION("""COMPUTED_VALUE"""),"CommissionRule")</f>
        <v>CommissionRule</v>
      </c>
      <c r="D5" s="28" t="str">
        <f>IFERROR(__xludf.DUMMYFUNCTION("""COMPUTED_VALUE"""),"Commission")</f>
        <v>Commission</v>
      </c>
      <c r="E5" s="28" t="str">
        <f>IFERROR(__xludf.DUMMYFUNCTION("""COMPUTED_VALUE"""),"CommissionValue")</f>
        <v>CommissionValue</v>
      </c>
      <c r="F5" s="29" t="str">
        <f>IFERROR(__xludf.DUMMYFUNCTION("""COMPUTED_VALUE"""),"SoftCommission")</f>
        <v>SoftCommission</v>
      </c>
      <c r="G5" s="28" t="str">
        <f>IFERROR(__xludf.DUMMYFUNCTION("""COMPUTED_VALUE"""),"SoftCommissionValue")</f>
        <v>SoftCommissionValue</v>
      </c>
      <c r="H5" s="28" t="str">
        <f>IFERROR(__xludf.DUMMYFUNCTION("""COMPUTED_VALUE"""),"OtherBrokerFees")</f>
        <v>OtherBrokerFees</v>
      </c>
      <c r="I5" s="28" t="str">
        <f>IFERROR(__xludf.DUMMYFUNCTION("""COMPUTED_VALUE"""),"OtherBrokerFeesValue")</f>
        <v>OtherBrokerFeesValue</v>
      </c>
      <c r="J5" s="28" t="str">
        <f>IFERROR(__xludf.DUMMYFUNCTION("""COMPUTED_VALUE"""),"ClearingBrokerFees")</f>
        <v>ClearingBrokerFees</v>
      </c>
      <c r="K5" s="28" t="str">
        <f>IFERROR(__xludf.DUMMYFUNCTION("""COMPUTED_VALUE"""),"ClearingBrokerFeesValue")</f>
        <v>ClearingBrokerFeesValue</v>
      </c>
      <c r="L5" s="28" t="str">
        <f>IFERROR(__xludf.DUMMYFUNCTION("""COMPUTED_VALUE"""),"TransactionLevy")</f>
        <v>TransactionLevy</v>
      </c>
      <c r="M5" s="28" t="str">
        <f>IFERROR(__xludf.DUMMYFUNCTION("""COMPUTED_VALUE"""),"TransactionLevyValue")</f>
        <v>TransactionLevyValue</v>
      </c>
      <c r="N5" s="28" t="str">
        <f>IFERROR(__xludf.DUMMYFUNCTION("""COMPUTED_VALUE"""),"TaxOnCommission")</f>
        <v>TaxOnCommission</v>
      </c>
      <c r="O5" s="28" t="str">
        <f>IFERROR(__xludf.DUMMYFUNCTION("""COMPUTED_VALUE"""),"TaxOnCommissionValue")</f>
        <v>TaxOnCommissionValue</v>
      </c>
      <c r="P5" s="28" t="str">
        <f>IFERROR(__xludf.DUMMYFUNCTION("""COMPUTED_VALUE"""),"StampDuty")</f>
        <v>StampDuty</v>
      </c>
      <c r="Q5" s="28" t="str">
        <f>IFERROR(__xludf.DUMMYFUNCTION("""COMPUTED_VALUE"""),"StampDutyValue")</f>
        <v>StampDutyValue</v>
      </c>
      <c r="R5" s="28" t="str">
        <f>IFERROR(__xludf.DUMMYFUNCTION("""COMPUTED_VALUE"""),"AUECFee1")</f>
        <v>AUECFee1</v>
      </c>
      <c r="S5" s="28" t="str">
        <f>IFERROR(__xludf.DUMMYFUNCTION("""COMPUTED_VALUE"""),"AUECFee1Value")</f>
        <v>AUECFee1Value</v>
      </c>
      <c r="T5" s="30" t="str">
        <f>IFERROR(__xludf.DUMMYFUNCTION("""COMPUTED_VALUE"""),"AUECFee2")</f>
        <v>AUECFee2</v>
      </c>
      <c r="U5" s="30" t="str">
        <f>IFERROR(__xludf.DUMMYFUNCTION("""COMPUTED_VALUE"""),"AUECFee2Value")</f>
        <v>AUECFee2Value</v>
      </c>
      <c r="V5" s="30" t="str">
        <f>IFERROR(__xludf.DUMMYFUNCTION("""COMPUTED_VALUE"""),"SECFee")</f>
        <v>SECFee</v>
      </c>
      <c r="W5" s="30" t="str">
        <f>IFERROR(__xludf.DUMMYFUNCTION("""COMPUTED_VALUE"""),"SECFeeValue")</f>
        <v>SECFeeValue</v>
      </c>
      <c r="X5" s="30" t="str">
        <f>IFERROR(__xludf.DUMMYFUNCTION("""COMPUTED_VALUE"""),"OCCFee")</f>
        <v>OCCFee</v>
      </c>
      <c r="Y5" s="30" t="str">
        <f>IFERROR(__xludf.DUMMYFUNCTION("""COMPUTED_VALUE"""),"OCCFeeValue")</f>
        <v>OCCFeeValue</v>
      </c>
      <c r="Z5" s="30" t="str">
        <f>IFERROR(__xludf.DUMMYFUNCTION("""COMPUTED_VALUE"""),"ORFFee")</f>
        <v>ORFFee</v>
      </c>
      <c r="AA5" s="30" t="str">
        <f>IFERROR(__xludf.DUMMYFUNCTION("""COMPUTED_VALUE"""),"ORFFeeValue")</f>
        <v>ORFFeeValue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13" t="s">
        <v>52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CommissionBulkChangeOnGroups!$4:$4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24</v>
      </c>
      <c r="B6" s="41" t="s">
        <v>18</v>
      </c>
      <c r="C6" s="8" t="s">
        <v>25</v>
      </c>
      <c r="D6" s="41">
        <v>0.0</v>
      </c>
      <c r="E6" s="8">
        <v>10.0</v>
      </c>
      <c r="F6" s="8" t="s">
        <v>26</v>
      </c>
      <c r="G6" s="8" t="s">
        <v>27</v>
      </c>
      <c r="H6" s="8">
        <v>0.0</v>
      </c>
      <c r="I6" s="8">
        <v>0.0</v>
      </c>
      <c r="J6" s="8">
        <v>12.0</v>
      </c>
      <c r="K6" s="8">
        <v>10.0</v>
      </c>
      <c r="L6" s="8">
        <v>10.0</v>
      </c>
      <c r="M6" s="8"/>
      <c r="N6" s="8" t="s">
        <v>28</v>
      </c>
      <c r="O6" s="8" t="s">
        <v>29</v>
      </c>
      <c r="Q6">
        <v>3.0</v>
      </c>
      <c r="R6">
        <v>0.3</v>
      </c>
      <c r="S6" t="s">
        <v>30</v>
      </c>
      <c r="T6">
        <v>10.0</v>
      </c>
      <c r="U6">
        <v>1.0</v>
      </c>
      <c r="W6">
        <v>100.0</v>
      </c>
      <c r="X6">
        <v>0.0</v>
      </c>
      <c r="Y6" t="s">
        <v>24</v>
      </c>
      <c r="Z6" t="s">
        <v>31</v>
      </c>
      <c r="AA6">
        <v>1.0</v>
      </c>
      <c r="AB6">
        <v>1.0</v>
      </c>
      <c r="AC6" t="s">
        <v>32</v>
      </c>
      <c r="AD6" t="s">
        <v>33</v>
      </c>
      <c r="AE6">
        <v>10.0</v>
      </c>
      <c r="AF6" t="s">
        <v>24</v>
      </c>
      <c r="AH6" t="s">
        <v>34</v>
      </c>
      <c r="AI6">
        <v>1.0</v>
      </c>
      <c r="AJ6" t="s">
        <v>35</v>
      </c>
      <c r="AM6" t="s">
        <v>36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10020.85</v>
      </c>
      <c r="AU6">
        <v>10020.85</v>
      </c>
      <c r="AW6">
        <v>0.0</v>
      </c>
      <c r="AX6">
        <v>0.0</v>
      </c>
      <c r="AY6" t="s">
        <v>37</v>
      </c>
      <c r="AZ6">
        <v>0.0</v>
      </c>
      <c r="BC6">
        <v>0.55</v>
      </c>
      <c r="BD6" t="s">
        <v>38</v>
      </c>
      <c r="BE6">
        <v>10000.0</v>
      </c>
      <c r="BF6">
        <v>10000.0</v>
      </c>
      <c r="BI6" t="s">
        <v>39</v>
      </c>
      <c r="BJ6">
        <v>10.0</v>
      </c>
      <c r="BK6">
        <v>0.0</v>
      </c>
      <c r="BL6" t="s">
        <v>24</v>
      </c>
      <c r="BM6" t="s">
        <v>31</v>
      </c>
      <c r="BO6" t="s">
        <v>17</v>
      </c>
      <c r="BP6">
        <v>10.0</v>
      </c>
      <c r="BQ6">
        <v>1.0</v>
      </c>
      <c r="BR6">
        <v>0.0</v>
      </c>
      <c r="BS6" t="s">
        <v>40</v>
      </c>
      <c r="BT6" t="s">
        <v>16</v>
      </c>
      <c r="BU6">
        <v>0.0</v>
      </c>
      <c r="BV6">
        <v>20.0</v>
      </c>
      <c r="BW6">
        <v>20.85</v>
      </c>
      <c r="BX6">
        <v>2.0</v>
      </c>
      <c r="CF6" t="s">
        <v>41</v>
      </c>
      <c r="CG6">
        <v>0.0</v>
      </c>
      <c r="CH6" t="s">
        <v>12</v>
      </c>
      <c r="CI6" t="s">
        <v>42</v>
      </c>
      <c r="CJ6">
        <v>0.0</v>
      </c>
      <c r="CK6" t="s">
        <v>43</v>
      </c>
      <c r="CL6">
        <v>1.0</v>
      </c>
      <c r="CM6" t="s">
        <v>44</v>
      </c>
      <c r="CN6" t="s">
        <v>45</v>
      </c>
      <c r="CO6" t="s">
        <v>46</v>
      </c>
      <c r="CP6" t="s">
        <v>47</v>
      </c>
      <c r="CS6" t="s">
        <v>24</v>
      </c>
      <c r="CV6" t="s">
        <v>24</v>
      </c>
      <c r="CW6" t="s">
        <v>24</v>
      </c>
      <c r="CX6" t="s">
        <v>24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24</v>
      </c>
      <c r="B6" s="41">
        <v>10020.85</v>
      </c>
      <c r="C6" s="8">
        <v>10020.85</v>
      </c>
      <c r="D6" s="41">
        <v>10000.0</v>
      </c>
      <c r="E6" s="8">
        <v>10000.0</v>
      </c>
      <c r="F6" s="8" t="s">
        <v>34</v>
      </c>
      <c r="G6" s="8"/>
      <c r="H6" s="8" t="s">
        <v>31</v>
      </c>
      <c r="I6" s="8"/>
      <c r="J6" s="8"/>
      <c r="K6" s="8"/>
      <c r="L6" s="8"/>
      <c r="M6" s="8"/>
      <c r="N6" s="8"/>
      <c r="O6" s="8" t="s">
        <v>18</v>
      </c>
      <c r="P6" t="s">
        <v>40</v>
      </c>
      <c r="Q6">
        <v>100.0</v>
      </c>
      <c r="R6">
        <v>10.0</v>
      </c>
      <c r="S6">
        <v>10.0</v>
      </c>
      <c r="T6">
        <v>10.0</v>
      </c>
      <c r="U6">
        <v>0.55</v>
      </c>
      <c r="V6">
        <v>0.3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 t="s">
        <v>30</v>
      </c>
      <c r="AI6">
        <v>10.0</v>
      </c>
      <c r="AJ6">
        <v>0.0</v>
      </c>
      <c r="AK6">
        <v>1.0</v>
      </c>
      <c r="AL6">
        <v>3.0</v>
      </c>
      <c r="AM6" t="s">
        <v>24</v>
      </c>
      <c r="AN6" t="s">
        <v>24</v>
      </c>
      <c r="AO6" t="s">
        <v>24</v>
      </c>
      <c r="AP6" t="s">
        <v>24</v>
      </c>
      <c r="AQ6" t="s">
        <v>24</v>
      </c>
      <c r="AR6" t="s">
        <v>24</v>
      </c>
      <c r="AS6" t="s">
        <v>24</v>
      </c>
      <c r="AT6" t="s">
        <v>24</v>
      </c>
      <c r="AU6" t="s">
        <v>24</v>
      </c>
      <c r="AV6" t="s">
        <v>24</v>
      </c>
      <c r="AW6" t="s">
        <v>24</v>
      </c>
      <c r="AX6" t="s">
        <v>24</v>
      </c>
      <c r="AY6" t="s">
        <v>24</v>
      </c>
      <c r="AZ6" t="s">
        <v>24</v>
      </c>
      <c r="BA6" t="s">
        <v>24</v>
      </c>
      <c r="BB6" t="s">
        <v>24</v>
      </c>
      <c r="BC6" t="s">
        <v>24</v>
      </c>
      <c r="BD6" t="s">
        <v>24</v>
      </c>
      <c r="BE6" t="s">
        <v>24</v>
      </c>
      <c r="BF6" t="s">
        <v>24</v>
      </c>
      <c r="BG6" t="s">
        <v>24</v>
      </c>
      <c r="BH6" t="s">
        <v>24</v>
      </c>
      <c r="BI6" t="s">
        <v>24</v>
      </c>
      <c r="BJ6" t="s">
        <v>24</v>
      </c>
      <c r="BK6" t="s">
        <v>24</v>
      </c>
      <c r="BL6" t="s">
        <v>24</v>
      </c>
      <c r="BM6" t="s">
        <v>24</v>
      </c>
      <c r="BN6" t="s">
        <v>24</v>
      </c>
      <c r="BO6" t="s">
        <v>24</v>
      </c>
      <c r="BP6" t="s">
        <v>24</v>
      </c>
      <c r="BQ6" t="s">
        <v>24</v>
      </c>
      <c r="BR6" t="s">
        <v>24</v>
      </c>
      <c r="BS6" t="s">
        <v>24</v>
      </c>
      <c r="BT6" t="s">
        <v>24</v>
      </c>
      <c r="BU6" t="s">
        <v>24</v>
      </c>
      <c r="BV6" t="s">
        <v>24</v>
      </c>
      <c r="BW6" t="s">
        <v>24</v>
      </c>
      <c r="BX6" t="s">
        <v>24</v>
      </c>
      <c r="BY6" t="s">
        <v>24</v>
      </c>
      <c r="BZ6" t="s">
        <v>24</v>
      </c>
      <c r="CA6" t="s">
        <v>24</v>
      </c>
      <c r="CB6" t="s">
        <v>24</v>
      </c>
      <c r="CC6" t="s">
        <v>24</v>
      </c>
      <c r="CD6" t="s">
        <v>24</v>
      </c>
      <c r="CE6" t="s">
        <v>24</v>
      </c>
      <c r="CF6" t="s">
        <v>24</v>
      </c>
      <c r="CG6" t="s">
        <v>24</v>
      </c>
      <c r="CH6" t="s">
        <v>24</v>
      </c>
      <c r="CI6" t="s">
        <v>24</v>
      </c>
      <c r="CJ6" t="s">
        <v>24</v>
      </c>
      <c r="CK6" t="s">
        <v>24</v>
      </c>
      <c r="CL6" t="s">
        <v>24</v>
      </c>
      <c r="CM6" t="s">
        <v>24</v>
      </c>
      <c r="CN6" t="s">
        <v>24</v>
      </c>
      <c r="CO6" t="s">
        <v>24</v>
      </c>
      <c r="CP6" t="s">
        <v>24</v>
      </c>
      <c r="CQ6" t="s">
        <v>24</v>
      </c>
      <c r="CR6" t="s">
        <v>24</v>
      </c>
      <c r="CS6" t="s">
        <v>24</v>
      </c>
      <c r="CT6" t="s">
        <v>24</v>
      </c>
      <c r="CU6" t="s">
        <v>24</v>
      </c>
      <c r="CV6" t="s">
        <v>24</v>
      </c>
      <c r="CW6" t="s">
        <v>24</v>
      </c>
      <c r="CX6" t="s">
        <v>24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CheckAllocatedTaxlots1!$4:$4</formula1>
    </dataValidation>
  </dataValidations>
  <drawing r:id="rId1"/>
</worksheet>
</file>