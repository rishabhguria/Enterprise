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<sst xmlns="http://schemas.openxmlformats.org/spreadsheetml/2006/main" count="238" uniqueCount="68">
  <si>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</si>
  <si>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</si>
  <si>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</si>
  <si>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</si>
  <si>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</si>
  <si>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</si>
  <si>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</si>
  <si>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</si>
  <si>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</si>
  <si>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</si>
  <si>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</si>
  <si>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</si>
  <si>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</si>
  <si>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</si>
  <si>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</si>
  <si>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</si>
  <si>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</si>
  <si>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</si>
  <si>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</si>
  <si>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</si>
  <si>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FIFO</t>
  </si>
  <si>
    <t>TradingTicket</t>
  </si>
  <si>
    <t>CreateDoneAwayOrder</t>
  </si>
  <si>
    <t>O:AAPL 23E90.00D1</t>
  </si>
  <si>
    <t>Buy to Open</t>
  </si>
  <si>
    <t>O:AAPL 23Q110.00D1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</si>
  <si>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</si>
  <si>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</si>
  <si>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</si>
  <si>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</si>
  <si>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</si>
  <si>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</si>
  <si>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</si>
  <si>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</si>
  <si>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</si>
  <si>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</si>
  <si>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</si>
  <si>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</si>
  <si>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</si>
  <si>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</si>
  <si>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</si>
  <si>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</si>
  <si>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Closed</t>
  </si>
  <si>
    <t>USD</t>
  </si>
  <si>
    <t>OPTS</t>
  </si>
  <si>
    <t>M</t>
  </si>
  <si>
    <t>BuytoOpen</t>
  </si>
  <si>
    <t>US</t>
  </si>
  <si>
    <t>NONE</t>
  </si>
  <si>
    <t>Sell to Close</t>
  </si>
  <si>
    <t>Exercise</t>
  </si>
  <si>
    <t>Equity</t>
  </si>
  <si>
    <t>Open</t>
  </si>
  <si>
    <t>NASDAQ</t>
  </si>
  <si>
    <t>D</t>
  </si>
  <si>
    <t>Sell short</t>
  </si>
  <si>
    <t>Buy</t>
  </si>
  <si>
    <t>PortfolioManagement</t>
  </si>
  <si>
    <t>CheckPortfolioManagement</t>
  </si>
  <si>
    <t>NewMF</t>
  </si>
  <si>
    <t>Short</t>
  </si>
  <si>
    <t>FIMAT</t>
  </si>
  <si>
    <t>Strategy Unallocated</t>
  </si>
  <si>
    <t>New Hedge</t>
  </si>
  <si>
    <t>Small Cap</t>
  </si>
  <si>
    <t>Undefined</t>
  </si>
  <si>
    <t>jpearce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</si>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</sst>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6">
        <v>10.0</v>
      </c>
      <c r="E6" s="34"/>
      <c r="F6" s="34"/>
      <c r="G6" s="34"/>
      <c r="H6" s="34"/>
      <c r="I6" s="34"/>
      <c r="J6" s="37">
        <v>10.0</v>
      </c>
      <c r="K6" s="34"/>
      <c r="L6" s="34"/>
      <c r="M6" s="34"/>
      <c r="N6" s="38">
        <f t="shared" ref="N6:N7" si="1">TODAY()-8</f>
        <v>45126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9" t="s">
        <v>24</v>
      </c>
      <c r="D7" s="37">
        <v>10.0</v>
      </c>
      <c r="E7" s="34"/>
      <c r="F7" s="34"/>
      <c r="G7" s="34"/>
      <c r="H7" s="34"/>
      <c r="I7" s="34"/>
      <c r="J7" s="37">
        <v>10.0</v>
      </c>
      <c r="K7" s="34"/>
      <c r="L7" s="34"/>
      <c r="M7" s="34"/>
      <c r="N7" s="38">
        <f t="shared" si="1"/>
        <v>45126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45133</v>
      </c>
      <c r="C6" s="32">
        <f>TODAY()</f>
        <v>45134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40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31</v>
      </c>
      <c r="C6" s="38" t="s">
        <v>32</v>
      </c>
      <c r="D6" s="38">
        <f>TODAY()</f>
        <v>45134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/>
      <c r="D6" s="31"/>
      <c r="E6" s="34" t="s">
        <v>35</v>
      </c>
      <c r="F6" s="34"/>
      <c r="G6" s="34"/>
      <c r="H6" s="34"/>
      <c r="I6" s="37">
        <v>10.0</v>
      </c>
      <c r="J6" s="34"/>
      <c r="K6" s="34" t="s">
        <v>36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3" t="s">
        <v>24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23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34</v>
      </c>
      <c r="C7" s="34"/>
      <c r="D7" s="34"/>
      <c r="E7" s="34" t="s">
        <v>35</v>
      </c>
      <c r="F7" s="34"/>
      <c r="G7" s="34"/>
      <c r="H7" s="34"/>
      <c r="I7" s="37">
        <v>10.0</v>
      </c>
      <c r="J7" s="34"/>
      <c r="K7" s="34" t="s">
        <v>36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3" t="s">
        <v>24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25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31</v>
      </c>
      <c r="C6" s="38" t="s">
        <v>32</v>
      </c>
      <c r="D6" s="38">
        <f>TODAY()</f>
        <v>45134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34</v>
      </c>
      <c r="C6" s="8"/>
      <c r="D6" s="13"/>
      <c r="E6" s="46">
        <v>10.0</v>
      </c>
      <c r="F6" s="45" t="s">
        <v>41</v>
      </c>
      <c r="G6" s="45" t="s">
        <v>35</v>
      </c>
      <c r="H6" s="8"/>
      <c r="I6" s="8"/>
      <c r="J6" s="8"/>
      <c r="K6" s="46">
        <v>10.0</v>
      </c>
      <c r="L6" s="46">
        <v>10.0</v>
      </c>
      <c r="M6" s="8"/>
      <c r="N6" s="8"/>
      <c r="O6" s="45" t="s">
        <v>36</v>
      </c>
      <c r="S6" s="45" t="s">
        <v>42</v>
      </c>
      <c r="V6" s="45"/>
      <c r="Z6" s="45" t="s">
        <v>43</v>
      </c>
      <c r="AD6" s="45" t="s">
        <v>44</v>
      </c>
      <c r="AE6" s="46">
        <v>10.0</v>
      </c>
      <c r="AH6" s="45" t="s">
        <v>45</v>
      </c>
      <c r="AI6" s="46">
        <v>1.0</v>
      </c>
      <c r="AJ6" s="45"/>
      <c r="AP6" s="45"/>
      <c r="AR6" s="45" t="b">
        <v>1</v>
      </c>
      <c r="AT6" s="47">
        <v>10000.0</v>
      </c>
      <c r="AU6" s="47">
        <v>10000.0</v>
      </c>
      <c r="BE6" s="47">
        <v>10000.0</v>
      </c>
      <c r="BF6" s="47">
        <v>10000.0</v>
      </c>
      <c r="BJ6" s="46">
        <v>10.0</v>
      </c>
      <c r="BM6" s="45" t="s">
        <v>43</v>
      </c>
      <c r="BO6" s="45" t="s">
        <v>24</v>
      </c>
      <c r="BT6" s="45" t="s">
        <v>23</v>
      </c>
      <c r="BW6" s="46"/>
      <c r="CI6" s="45" t="s">
        <v>46</v>
      </c>
      <c r="CJ6" s="46">
        <v>0.0</v>
      </c>
      <c r="CK6" s="45" t="s">
        <v>47</v>
      </c>
      <c r="CM6" s="45" t="s">
        <v>29</v>
      </c>
      <c r="CP6" s="45" t="s">
        <v>48</v>
      </c>
    </row>
    <row r="7" ht="15.75" customHeight="1">
      <c r="A7" s="8"/>
      <c r="B7" s="45" t="s">
        <v>34</v>
      </c>
      <c r="C7" s="8"/>
      <c r="D7" s="8"/>
      <c r="E7" s="47">
        <v>10.0</v>
      </c>
      <c r="F7" s="45" t="s">
        <v>41</v>
      </c>
      <c r="G7" s="45" t="s">
        <v>35</v>
      </c>
      <c r="H7" s="8"/>
      <c r="I7" s="8"/>
      <c r="J7" s="8"/>
      <c r="K7" s="46">
        <v>0.0</v>
      </c>
      <c r="L7" s="46">
        <v>0.0</v>
      </c>
      <c r="M7" s="8"/>
      <c r="N7" s="8"/>
      <c r="O7" s="45" t="s">
        <v>36</v>
      </c>
      <c r="S7" s="45" t="s">
        <v>42</v>
      </c>
      <c r="V7" s="45"/>
      <c r="Z7" s="45" t="s">
        <v>43</v>
      </c>
      <c r="AD7" s="45" t="s">
        <v>44</v>
      </c>
      <c r="AE7" s="47">
        <v>10.0</v>
      </c>
      <c r="AH7" s="45" t="s">
        <v>45</v>
      </c>
      <c r="AI7" s="46">
        <v>1.0</v>
      </c>
      <c r="AJ7" s="45"/>
      <c r="AP7" s="45"/>
      <c r="AR7" s="45" t="b">
        <v>1</v>
      </c>
      <c r="AT7" s="47">
        <v>10000.0</v>
      </c>
      <c r="AU7" s="47">
        <v>10000.0</v>
      </c>
      <c r="BE7" s="47">
        <v>0.0</v>
      </c>
      <c r="BF7" s="47">
        <v>0.0</v>
      </c>
      <c r="BJ7" s="47">
        <v>10.0</v>
      </c>
      <c r="BM7" s="45" t="s">
        <v>43</v>
      </c>
      <c r="BO7" s="45" t="s">
        <v>49</v>
      </c>
      <c r="BT7" s="45" t="s">
        <v>23</v>
      </c>
      <c r="BW7" s="47"/>
      <c r="CI7" s="45" t="s">
        <v>50</v>
      </c>
      <c r="CJ7" s="46">
        <v>0.0</v>
      </c>
      <c r="CK7" s="45" t="s">
        <v>47</v>
      </c>
      <c r="CM7" s="45" t="s">
        <v>29</v>
      </c>
      <c r="CP7" s="45" t="s">
        <v>48</v>
      </c>
    </row>
    <row r="8" ht="15.75" customHeight="1">
      <c r="A8" s="8"/>
      <c r="B8" s="45" t="s">
        <v>34</v>
      </c>
      <c r="C8" s="8"/>
      <c r="D8" s="8"/>
      <c r="E8" s="47">
        <v>1000.0</v>
      </c>
      <c r="F8" s="45" t="s">
        <v>41</v>
      </c>
      <c r="G8" s="45" t="s">
        <v>51</v>
      </c>
      <c r="H8" s="8"/>
      <c r="I8" s="8"/>
      <c r="J8" s="8"/>
      <c r="K8" s="46">
        <v>110.0</v>
      </c>
      <c r="L8" s="46">
        <v>110.0</v>
      </c>
      <c r="M8" s="8"/>
      <c r="N8" s="8"/>
      <c r="O8" s="45" t="s">
        <v>36</v>
      </c>
      <c r="S8" s="45" t="s">
        <v>52</v>
      </c>
      <c r="V8" s="45"/>
      <c r="Z8" s="45" t="s">
        <v>43</v>
      </c>
      <c r="AD8" s="45" t="s">
        <v>53</v>
      </c>
      <c r="AE8" s="47">
        <v>1000.0</v>
      </c>
      <c r="AH8" s="45" t="s">
        <v>54</v>
      </c>
      <c r="AI8" s="46">
        <v>1.0</v>
      </c>
      <c r="AJ8" s="45"/>
      <c r="AP8" s="45"/>
      <c r="AR8" s="45" t="b">
        <v>1</v>
      </c>
      <c r="AT8" s="47">
        <v>100000.0</v>
      </c>
      <c r="AU8" s="47">
        <v>100000.0</v>
      </c>
      <c r="BE8" s="47">
        <v>110000.0</v>
      </c>
      <c r="BF8" s="47">
        <v>110000.0</v>
      </c>
      <c r="BJ8" s="47">
        <v>1000.0</v>
      </c>
      <c r="BM8" s="45" t="s">
        <v>43</v>
      </c>
      <c r="BO8" s="45" t="s">
        <v>55</v>
      </c>
      <c r="BT8" s="45" t="s">
        <v>29</v>
      </c>
      <c r="BW8" s="47"/>
      <c r="CI8" s="45" t="s">
        <v>50</v>
      </c>
      <c r="CJ8" s="46">
        <v>0.0</v>
      </c>
      <c r="CK8" s="45" t="s">
        <v>47</v>
      </c>
      <c r="CM8" s="45" t="s">
        <v>29</v>
      </c>
      <c r="CP8" s="45" t="s">
        <v>48</v>
      </c>
    </row>
    <row r="9" ht="15.75" customHeight="1">
      <c r="A9" s="8"/>
      <c r="B9" s="45" t="s">
        <v>34</v>
      </c>
      <c r="C9" s="8"/>
      <c r="D9" s="8"/>
      <c r="E9" s="46">
        <v>10.0</v>
      </c>
      <c r="F9" s="45" t="s">
        <v>41</v>
      </c>
      <c r="G9" s="45" t="s">
        <v>35</v>
      </c>
      <c r="H9" s="8"/>
      <c r="I9" s="8"/>
      <c r="J9" s="8"/>
      <c r="K9" s="46">
        <v>0.0</v>
      </c>
      <c r="L9" s="46">
        <v>0.0</v>
      </c>
      <c r="M9" s="8"/>
      <c r="N9" s="8"/>
      <c r="O9" s="45" t="s">
        <v>36</v>
      </c>
      <c r="S9" s="45" t="s">
        <v>42</v>
      </c>
      <c r="V9" s="45"/>
      <c r="Z9" s="45" t="s">
        <v>43</v>
      </c>
      <c r="AD9" s="45" t="s">
        <v>44</v>
      </c>
      <c r="AE9" s="46">
        <v>10.0</v>
      </c>
      <c r="AH9" s="45" t="s">
        <v>45</v>
      </c>
      <c r="AI9" s="46">
        <v>1.0</v>
      </c>
      <c r="AJ9" s="45"/>
      <c r="AP9" s="45"/>
      <c r="AR9" s="45" t="b">
        <v>1</v>
      </c>
      <c r="AT9" s="47">
        <v>10000.0</v>
      </c>
      <c r="AU9" s="47">
        <v>10000.0</v>
      </c>
      <c r="BE9" s="46">
        <v>0.0</v>
      </c>
      <c r="BF9" s="46">
        <v>0.0</v>
      </c>
      <c r="BJ9" s="46">
        <v>10.0</v>
      </c>
      <c r="BM9" s="45" t="s">
        <v>43</v>
      </c>
      <c r="BO9" s="45" t="s">
        <v>49</v>
      </c>
      <c r="BT9" s="45" t="s">
        <v>25</v>
      </c>
      <c r="BW9" s="47"/>
      <c r="CI9" s="45" t="s">
        <v>50</v>
      </c>
      <c r="CJ9" s="46">
        <v>0.0</v>
      </c>
      <c r="CK9" s="45" t="s">
        <v>47</v>
      </c>
      <c r="CM9" s="45" t="s">
        <v>29</v>
      </c>
      <c r="CP9" s="45" t="s">
        <v>48</v>
      </c>
    </row>
    <row r="10" ht="15.75" customHeight="1">
      <c r="A10" s="8"/>
      <c r="B10" s="45" t="s">
        <v>34</v>
      </c>
      <c r="C10" s="8"/>
      <c r="D10" s="8"/>
      <c r="E10" s="47">
        <v>1000.0</v>
      </c>
      <c r="F10" s="45" t="s">
        <v>41</v>
      </c>
      <c r="G10" s="45" t="s">
        <v>51</v>
      </c>
      <c r="H10" s="8"/>
      <c r="I10" s="8"/>
      <c r="J10" s="8"/>
      <c r="K10" s="46">
        <v>90.0</v>
      </c>
      <c r="L10" s="46">
        <v>90.0</v>
      </c>
      <c r="M10" s="8"/>
      <c r="N10" s="8"/>
      <c r="O10" s="45" t="s">
        <v>36</v>
      </c>
      <c r="S10" s="45" t="s">
        <v>52</v>
      </c>
      <c r="V10" s="45"/>
      <c r="Z10" s="45" t="s">
        <v>43</v>
      </c>
      <c r="AD10" s="45" t="s">
        <v>53</v>
      </c>
      <c r="AE10" s="47">
        <v>1000.0</v>
      </c>
      <c r="AH10" s="45" t="s">
        <v>54</v>
      </c>
      <c r="AI10" s="46">
        <v>1.0</v>
      </c>
      <c r="AJ10" s="45"/>
      <c r="AP10" s="45"/>
      <c r="AR10" s="45" t="b">
        <v>1</v>
      </c>
      <c r="AT10" s="47">
        <v>100000.0</v>
      </c>
      <c r="AU10" s="47">
        <v>100000.0</v>
      </c>
      <c r="BE10" s="47">
        <v>90000.0</v>
      </c>
      <c r="BF10" s="47">
        <v>90000.0</v>
      </c>
      <c r="BJ10" s="47">
        <v>1000.0</v>
      </c>
      <c r="BM10" s="45" t="s">
        <v>43</v>
      </c>
      <c r="BO10" s="45" t="s">
        <v>56</v>
      </c>
      <c r="BT10" s="45" t="s">
        <v>29</v>
      </c>
      <c r="BW10" s="46"/>
      <c r="CI10" s="45" t="s">
        <v>50</v>
      </c>
      <c r="CJ10" s="46">
        <v>0.0</v>
      </c>
      <c r="CK10" s="45" t="s">
        <v>47</v>
      </c>
      <c r="CM10" s="45" t="s">
        <v>29</v>
      </c>
      <c r="CP10" s="45" t="s">
        <v>48</v>
      </c>
    </row>
    <row r="11" ht="15.75" customHeight="1">
      <c r="A11" s="8"/>
      <c r="B11" s="45" t="s">
        <v>34</v>
      </c>
      <c r="C11" s="8"/>
      <c r="D11" s="8"/>
      <c r="E11" s="46">
        <v>10.0</v>
      </c>
      <c r="F11" s="45" t="s">
        <v>41</v>
      </c>
      <c r="G11" s="45" t="s">
        <v>35</v>
      </c>
      <c r="H11" s="8"/>
      <c r="I11" s="8"/>
      <c r="J11" s="8"/>
      <c r="K11" s="46">
        <v>10.0</v>
      </c>
      <c r="L11" s="46">
        <v>10.0</v>
      </c>
      <c r="M11" s="8"/>
      <c r="N11" s="8"/>
      <c r="O11" s="45" t="s">
        <v>36</v>
      </c>
      <c r="S11" s="45" t="s">
        <v>42</v>
      </c>
      <c r="V11" s="45"/>
      <c r="Z11" s="45" t="s">
        <v>43</v>
      </c>
      <c r="AD11" s="45" t="s">
        <v>44</v>
      </c>
      <c r="AE11" s="46">
        <v>10.0</v>
      </c>
      <c r="AH11" s="45" t="s">
        <v>45</v>
      </c>
      <c r="AI11" s="46">
        <v>1.0</v>
      </c>
      <c r="AJ11" s="45"/>
      <c r="AP11" s="45"/>
      <c r="AR11" s="45" t="b">
        <v>1</v>
      </c>
      <c r="AT11" s="47">
        <v>10000.0</v>
      </c>
      <c r="AU11" s="47">
        <v>10000.0</v>
      </c>
      <c r="BE11" s="47">
        <v>10000.0</v>
      </c>
      <c r="BF11" s="47">
        <v>10000.0</v>
      </c>
      <c r="BJ11" s="46">
        <v>10.0</v>
      </c>
      <c r="BM11" s="45" t="s">
        <v>43</v>
      </c>
      <c r="BO11" s="45" t="s">
        <v>24</v>
      </c>
      <c r="BT11" s="45" t="s">
        <v>25</v>
      </c>
      <c r="BW11" s="47"/>
      <c r="CI11" s="45" t="s">
        <v>46</v>
      </c>
      <c r="CJ11" s="46">
        <v>0.0</v>
      </c>
      <c r="CK11" s="45" t="s">
        <v>47</v>
      </c>
      <c r="CM11" s="45" t="s">
        <v>29</v>
      </c>
      <c r="CP11" s="45" t="s">
        <v>48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R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29</v>
      </c>
      <c r="D6" s="49">
        <v>-1000.0</v>
      </c>
      <c r="E6" s="45" t="s">
        <v>34</v>
      </c>
      <c r="F6" s="45" t="s">
        <v>59</v>
      </c>
      <c r="G6" s="46">
        <v>110.0</v>
      </c>
      <c r="H6" s="45" t="s">
        <v>60</v>
      </c>
      <c r="I6" s="8"/>
      <c r="J6" s="8"/>
      <c r="K6" s="8"/>
      <c r="L6" s="8"/>
      <c r="M6" s="8"/>
      <c r="N6" s="8"/>
      <c r="O6" s="45"/>
      <c r="P6" s="46">
        <v>100.0</v>
      </c>
      <c r="R6" s="45" t="s">
        <v>61</v>
      </c>
      <c r="S6" s="45" t="s">
        <v>62</v>
      </c>
      <c r="T6" s="45" t="s">
        <v>51</v>
      </c>
      <c r="U6" s="45" t="s">
        <v>47</v>
      </c>
      <c r="V6" s="45" t="s">
        <v>53</v>
      </c>
      <c r="W6" s="45" t="s">
        <v>43</v>
      </c>
      <c r="Y6" s="9">
        <v>1.0</v>
      </c>
      <c r="AN6" s="45" t="s">
        <v>55</v>
      </c>
      <c r="AP6" s="45" t="s">
        <v>60</v>
      </c>
      <c r="AQ6" s="45" t="s">
        <v>29</v>
      </c>
      <c r="BC6" s="46">
        <v>1.0</v>
      </c>
      <c r="BD6" s="46">
        <v>0.0</v>
      </c>
      <c r="BE6" s="45" t="s">
        <v>51</v>
      </c>
      <c r="BF6" s="45" t="s">
        <v>63</v>
      </c>
      <c r="BG6" s="45" t="s">
        <v>64</v>
      </c>
      <c r="BH6" s="45" t="s">
        <v>65</v>
      </c>
      <c r="BO6" s="46">
        <v>0.0</v>
      </c>
      <c r="BP6" s="46">
        <v>0.0</v>
      </c>
      <c r="BQ6" s="45" t="s">
        <v>66</v>
      </c>
      <c r="BR6" s="45" t="s">
        <v>36</v>
      </c>
      <c r="BS6" s="46">
        <v>0.0</v>
      </c>
      <c r="BT6" s="46">
        <v>0.0</v>
      </c>
    </row>
    <row r="7" ht="15.75" customHeight="1">
      <c r="A7" s="8"/>
      <c r="B7" s="8"/>
      <c r="C7" s="45" t="s">
        <v>29</v>
      </c>
      <c r="D7" s="49">
        <v>1000.0</v>
      </c>
      <c r="E7" s="45" t="s">
        <v>34</v>
      </c>
      <c r="F7" s="45" t="s">
        <v>59</v>
      </c>
      <c r="G7" s="46">
        <v>90.0</v>
      </c>
      <c r="H7" s="45" t="s">
        <v>60</v>
      </c>
      <c r="I7" s="8"/>
      <c r="J7" s="8"/>
      <c r="K7" s="8"/>
      <c r="L7" s="8"/>
      <c r="M7" s="8"/>
      <c r="N7" s="8"/>
      <c r="O7" s="45"/>
      <c r="P7" s="46">
        <v>100.0</v>
      </c>
      <c r="R7" s="45" t="s">
        <v>61</v>
      </c>
      <c r="S7" s="45" t="s">
        <v>62</v>
      </c>
      <c r="T7" s="45" t="s">
        <v>51</v>
      </c>
      <c r="U7" s="45" t="s">
        <v>47</v>
      </c>
      <c r="V7" s="45" t="s">
        <v>53</v>
      </c>
      <c r="W7" s="45" t="s">
        <v>43</v>
      </c>
      <c r="Y7" s="9">
        <v>1.0</v>
      </c>
      <c r="AN7" s="45" t="s">
        <v>56</v>
      </c>
      <c r="AP7" s="45" t="s">
        <v>67</v>
      </c>
      <c r="AQ7" s="45" t="s">
        <v>29</v>
      </c>
      <c r="BC7" s="46">
        <v>1.0</v>
      </c>
      <c r="BD7" s="46">
        <v>0.0</v>
      </c>
      <c r="BE7" s="45" t="s">
        <v>51</v>
      </c>
      <c r="BF7" s="45" t="s">
        <v>63</v>
      </c>
      <c r="BG7" s="45" t="s">
        <v>64</v>
      </c>
      <c r="BH7" s="45" t="s">
        <v>65</v>
      </c>
      <c r="BO7" s="46">
        <v>0.0</v>
      </c>
      <c r="BP7" s="46">
        <v>0.0</v>
      </c>
      <c r="BQ7" s="45" t="s">
        <v>66</v>
      </c>
      <c r="BR7" s="45" t="s">
        <v>36</v>
      </c>
      <c r="BS7" s="46">
        <v>0.0</v>
      </c>
      <c r="BT7" s="46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