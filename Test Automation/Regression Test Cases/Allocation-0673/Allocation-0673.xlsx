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CreateDoneAwayOrder1" sheetId="8" r:id="rId10"/>
    <sheet state="visible" name="SelectAllocatedGroup" sheetId="9" r:id="rId11"/>
    <sheet state="visible" name="EditAllocatedGridTaxlot" sheetId="10" r:id="rId12"/>
    <sheet state="visible" name="Unallocate" sheetId="11" r:id="rId13"/>
    <sheet state="visible" name="CheckAllocatedTaxlots" sheetId="12" r:id="rId14"/>
    <sheet state="visible" name="GetDataAllocation" sheetId="13" r:id="rId15"/>
  </sheets>
  <definedNames/>
  <calcPr/>
</workbook>
</file>

<file path=xl/sharedStrings.xml><?xml version="1.0" encoding="utf-8"?>
<sst xmlns="http://schemas.openxmlformats.org/spreadsheetml/2006/main" count="113" uniqueCount="38">
  <si>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</si>
  <si>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</si>
  <si>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</si>
  <si>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</si>
  <si>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</si>
  <si>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</si>
  <si>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</si>
  <si>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</si>
  <si>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</si>
  <si>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</si>
  <si>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</si>
  <si>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</si>
  <si>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</si>
  <si>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</si>
  <si>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</si>
  <si>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</si>
  <si>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Toggle</t>
  </si>
  <si>
    <t>SetAccountValueCalculatedPref</t>
  </si>
  <si>
    <t>Allocation1</t>
  </si>
  <si>
    <t>Allocation2</t>
  </si>
  <si>
    <t>Allocation3</t>
  </si>
  <si>
    <t>Allocation4</t>
  </si>
  <si>
    <t>Allocation5</t>
  </si>
  <si>
    <t>SetDefaultRuleCalculatedPref</t>
  </si>
  <si>
    <t>Trade Quantity</t>
  </si>
  <si>
    <t>Current Preference</t>
  </si>
  <si>
    <t>TradingTicket</t>
  </si>
  <si>
    <t>CreateDoneAwayOrder</t>
  </si>
  <si>
    <t>GLE-LON</t>
  </si>
  <si>
    <t>Buy</t>
  </si>
  <si>
    <t>FRU-TC</t>
  </si>
  <si>
    <t>SAP</t>
  </si>
  <si>
    <t>SelectAllocatedGroup</t>
  </si>
  <si>
    <t>EditAllocatedGridTaxlot</t>
  </si>
  <si>
    <t>Unallocate</t>
  </si>
  <si>
    <t>CheckAllocatedTaxlots</t>
  </si>
  <si>
    <t>GetDataAllocation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</si>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</sst>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20.0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19</v>
      </c>
      <c r="D7" s="13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 t="s">
        <v>20</v>
      </c>
      <c r="D8" s="13">
        <v>20.0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16</v>
      </c>
      <c r="C9" s="13" t="s">
        <v>21</v>
      </c>
      <c r="D9" s="13">
        <v>20.0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16</v>
      </c>
      <c r="C10" s="13" t="s">
        <v>22</v>
      </c>
      <c r="D10" s="13">
        <v>20.0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24</v>
      </c>
      <c r="C6" s="33"/>
      <c r="D6" s="32" t="s">
        <v>25</v>
      </c>
      <c r="E6" s="33"/>
      <c r="F6" s="33"/>
      <c r="G6" s="34" t="b">
        <v>0</v>
      </c>
      <c r="H6" s="9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2" t="s">
        <v>28</v>
      </c>
      <c r="C6" s="36" t="s">
        <v>29</v>
      </c>
      <c r="D6" s="37">
        <v>400.0</v>
      </c>
      <c r="E6" s="33"/>
      <c r="F6" s="9" t="s">
        <v>16</v>
      </c>
      <c r="G6" s="33"/>
      <c r="H6" s="33"/>
      <c r="I6" s="33"/>
      <c r="J6" s="38">
        <v>100.0</v>
      </c>
      <c r="K6" s="33"/>
      <c r="L6" s="33"/>
      <c r="M6" s="33"/>
      <c r="N6" s="39">
        <f>TODAY()-100</f>
        <v>45529</v>
      </c>
      <c r="O6" s="35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5"/>
      <c r="B7" s="32" t="s">
        <v>30</v>
      </c>
      <c r="C7" s="36" t="s">
        <v>29</v>
      </c>
      <c r="D7" s="37">
        <v>400.0</v>
      </c>
      <c r="E7" s="33"/>
      <c r="F7" s="40" t="s">
        <v>16</v>
      </c>
      <c r="G7" s="33"/>
      <c r="H7" s="33"/>
      <c r="I7" s="33"/>
      <c r="J7" s="38">
        <v>100.0</v>
      </c>
      <c r="K7" s="33"/>
      <c r="L7" s="33"/>
      <c r="M7" s="33"/>
      <c r="N7" s="33"/>
      <c r="O7" s="41">
        <v>2.0</v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6" t="s">
        <v>31</v>
      </c>
      <c r="C6" s="36" t="s">
        <v>29</v>
      </c>
      <c r="D6" s="38">
        <v>400.0</v>
      </c>
      <c r="E6" s="33"/>
      <c r="F6" s="9" t="s">
        <v>16</v>
      </c>
      <c r="G6" s="33"/>
      <c r="H6" s="33"/>
      <c r="I6" s="33"/>
      <c r="J6" s="38">
        <v>100.0</v>
      </c>
      <c r="K6" s="33"/>
      <c r="L6" s="33"/>
      <c r="M6" s="33"/>
      <c r="N6" s="39">
        <f>TODAY()-100</f>
        <v>45529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 t="s">
        <v>30</v>
      </c>
      <c r="C7" s="36" t="s">
        <v>29</v>
      </c>
      <c r="D7" s="38">
        <v>400.0</v>
      </c>
      <c r="E7" s="33"/>
      <c r="F7" s="9" t="s">
        <v>16</v>
      </c>
      <c r="G7" s="33"/>
      <c r="H7" s="33"/>
      <c r="I7" s="33"/>
      <c r="J7" s="38">
        <v>100.0</v>
      </c>
      <c r="K7" s="33"/>
      <c r="L7" s="33"/>
      <c r="M7" s="33"/>
      <c r="N7" s="33"/>
      <c r="O7" s="41">
        <v>2.0</v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30</v>
      </c>
      <c r="C6" s="38">
        <v>400.0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/>
      <c r="C7" s="3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IFERROR(__xludf.DUMMYFUNCTION("""COMPUTED_VALUE"""),"Accured Interest")</f>
        <v>Accured Interest</v>
      </c>
      <c r="C5" s="28" t="str">
        <f>IFERROR(__xludf.DUMMYFUNCTION("""COMPUTED_VALUE"""),"Broker")</f>
        <v>Broker</v>
      </c>
      <c r="D5" s="28" t="str">
        <f>IFERROR(__xludf.DUMMYFUNCTION("""COMPUTED_VALUE"""),"Transaction Type")</f>
        <v>Transaction Type</v>
      </c>
      <c r="E5" s="28" t="str">
        <f>IFERROR(__xludf.DUMMYFUNCTION("""COMPUTED_VALUE"""),"Trade Attribute 1")</f>
        <v>Trade Attribute 1</v>
      </c>
      <c r="F5" s="29" t="str">
        <f>IFERROR(__xludf.DUMMYFUNCTION("""COMPUTED_VALUE"""),"Trade Attribute 2")</f>
        <v>Trade Attribute 2</v>
      </c>
      <c r="G5" s="28" t="str">
        <f>IFERROR(__xludf.DUMMYFUNCTION("""COMPUTED_VALUE"""),"Trade Attribute 3")</f>
        <v>Trade Attribute 3</v>
      </c>
      <c r="H5" s="28" t="str">
        <f>IFERROR(__xludf.DUMMYFUNCTION("""COMPUTED_VALUE"""),"Trade Attribute 4")</f>
        <v>Trade Attribute 4</v>
      </c>
      <c r="I5" s="28" t="str">
        <f>IFERROR(__xludf.DUMMYFUNCTION("""COMPUTED_VALUE"""),"Trade Attribute 5")</f>
        <v>Trade Attribute 5</v>
      </c>
      <c r="J5" s="28" t="str">
        <f>IFERROR(__xludf.DUMMYFUNCTION("""COMPUTED_VALUE"""),"Trade Attribute 6")</f>
        <v>Trade Attribute 6</v>
      </c>
      <c r="K5" s="28" t="str">
        <f>IFERROR(__xludf.DUMMYFUNCTION("""COMPUTED_VALUE"""),"Commission")</f>
        <v>Commission</v>
      </c>
      <c r="L5" s="28" t="str">
        <f>IFERROR(__xludf.DUMMYFUNCTION("""COMPUTED_VALUE"""),"Soft Commission")</f>
        <v>Soft Commission</v>
      </c>
      <c r="M5" s="28" t="str">
        <f>IFERROR(__xludf.DUMMYFUNCTION("""COMPUTED_VALUE"""),"Other Broker Fees")</f>
        <v>Other Broker Fees</v>
      </c>
      <c r="N5" s="28" t="str">
        <f>IFERROR(__xludf.DUMMYFUNCTION("""COMPUTED_VALUE"""),"Clearing Broker Fee")</f>
        <v>Clearing Broker Fee</v>
      </c>
      <c r="O5" s="28" t="str">
        <f>IFERROR(__xludf.DUMMYFUNCTION("""COMPUTED_VALUE"""),"Stamp Duty")</f>
        <v>Stamp Duty</v>
      </c>
      <c r="P5" s="28" t="str">
        <f>IFERROR(__xludf.DUMMYFUNCTION("""COMPUTED_VALUE"""),"AUEC Fee1")</f>
        <v>AUEC Fee1</v>
      </c>
      <c r="Q5" s="28" t="str">
        <f>IFERROR(__xludf.DUMMYFUNCTION("""COMPUTED_VALUE"""),"Tax On Commissions")</f>
        <v>Tax On Commissions</v>
      </c>
      <c r="R5" s="28" t="str">
        <f>IFERROR(__xludf.DUMMYFUNCTION("""COMPUTED_VALUE"""),"AUEC Fee2")</f>
        <v>AUEC Fee2</v>
      </c>
      <c r="S5" s="28" t="str">
        <f>IFERROR(__xludf.DUMMYFUNCTION("""COMPUTED_VALUE"""),"SEC Fee")</f>
        <v>SEC Fee</v>
      </c>
      <c r="T5" s="30" t="str">
        <f>IFERROR(__xludf.DUMMYFUNCTION("""COMPUTED_VALUE"""),"OCC Fee")</f>
        <v>OCC Fee</v>
      </c>
      <c r="U5" s="30" t="str">
        <f>IFERROR(__xludf.DUMMYFUNCTION("""COMPUTED_VALUE"""),"ORF Fee")</f>
        <v>ORF Fee</v>
      </c>
      <c r="V5" s="30" t="str">
        <f>IFERROR(__xludf.DUMMYFUNCTION("""COMPUTED_VALUE"""),"Option Premium Adjustment")</f>
        <v>Option Premium Adjustment</v>
      </c>
      <c r="W5" s="30" t="str">
        <f>IFERROR(__xludf.DUMMYFUNCTION("""COMPUTED_VALUE"""),"Change Comment")</f>
        <v>Change Comment</v>
      </c>
      <c r="X5" s="30" t="str">
        <f>IFERROR(__xludf.DUMMYFUNCTION("""COMPUTED_VALUE"""),"Avg Price(Local)")</f>
        <v>Avg Price(Local)</v>
      </c>
      <c r="Y5" s="30" t="str">
        <f>IFERROR(__xludf.DUMMYFUNCTION("""COMPUTED_VALUE"""),"Nirvana Process Date")</f>
        <v>Nirvana Process Date</v>
      </c>
      <c r="Z5" s="30" t="str">
        <f>IFERROR(__xludf.DUMMYFUNCTION("""COMPUTED_VALUE"""),"Closing Date")</f>
        <v>Closing Date</v>
      </c>
      <c r="AA5" s="30" t="str">
        <f>IFERROR(__xludf.DUMMYFUNCTION("""COMPUTED_VALUE"""),"Description")</f>
        <v>Description</v>
      </c>
      <c r="AB5" s="30" t="str">
        <f>IFERROR(__xludf.DUMMYFUNCTION("""COMPUTED_VALUE"""),"Coupon Rate")</f>
        <v>Coupon Rate</v>
      </c>
      <c r="AC5" s="30" t="str">
        <f>IFERROR(__xludf.DUMMYFUNCTION("""COMPUTED_VALUE"""),"Delta")</f>
        <v>Delta</v>
      </c>
      <c r="AD5" s="30" t="str">
        <f>IFERROR(__xludf.DUMMYFUNCTION("""COMPUTED_VALUE"""),"Symbol")</f>
        <v>Symbol</v>
      </c>
      <c r="AE5" s="30" t="str">
        <f>IFERROR(__xludf.DUMMYFUNCTION("""COMPUTED_VALUE"""),"Quantity")</f>
        <v>Quantity</v>
      </c>
      <c r="AF5" s="30" t="str">
        <f>IFERROR(__xludf.DUMMYFUNCTION("""COMPUTED_VALUE"""),"Avg Price(Base)")</f>
        <v>Avg Price(Base)</v>
      </c>
      <c r="AG5" s="30" t="str">
        <f>IFERROR(__xludf.DUMMYFUNCTION("""COMPUTED_VALUE"""),"Account Name")</f>
        <v>Account Name</v>
      </c>
      <c r="AH5" s="30" t="str">
        <f>IFERROR(__xludf.DUMMYFUNCTION("""COMPUTED_VALUE"""),"Lot ID")</f>
        <v>Lot ID</v>
      </c>
      <c r="AI5" s="30" t="str">
        <f>IFERROR(__xludf.DUMMYFUNCTION("""COMPUTED_VALUE"""),"External Transaction ID")</f>
        <v>External Transaction ID</v>
      </c>
      <c r="AJ5" s="30" t="str">
        <f>IFERROR(__xludf.DUMMYFUNCTION("""COMPUTED_VALUE"""),"FXRate")</f>
        <v>FXRate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3"/>
      <c r="D6" s="35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 t="s">
        <v>30</v>
      </c>
      <c r="AE6" s="42">
        <v>80.0</v>
      </c>
      <c r="AF6" s="43">
        <v>50.0</v>
      </c>
      <c r="AG6" s="33" t="s">
        <v>20</v>
      </c>
      <c r="AH6" s="33"/>
      <c r="AI6" s="33"/>
      <c r="AJ6" s="43">
        <v>4.0</v>
      </c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EditAllocatedGridTaxlot!$4:$4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30</v>
      </c>
      <c r="C6" s="41">
        <v>400.0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/>
      <c r="C7" s="3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3"/>
      <c r="D6" s="35"/>
      <c r="E6" s="33"/>
      <c r="F6" s="33"/>
      <c r="G6" s="33"/>
      <c r="H6" s="33"/>
      <c r="I6" s="33"/>
      <c r="J6" s="33"/>
      <c r="K6" s="33"/>
      <c r="L6" s="33"/>
      <c r="M6" s="33"/>
      <c r="N6" s="33"/>
      <c r="O6" s="36" t="s">
        <v>20</v>
      </c>
      <c r="P6" s="33"/>
      <c r="Q6" s="33"/>
      <c r="R6" s="42">
        <v>80.0</v>
      </c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43">
        <v>4.0</v>
      </c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