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EditOrder" sheetId="10" r:id="rId12"/>
    <sheet state="visible" name="CreateReplaceOrder" sheetId="11" r:id="rId13"/>
    <sheet state="visible" name="EditOrder1" sheetId="12" r:id="rId14"/>
    <sheet state="visible" name="CreateReplaceOrder1" sheetId="13" r:id="rId15"/>
    <sheet state="visible" name="CreateComplianceOrder2" sheetId="14" r:id="rId16"/>
    <sheet state="visible" name="VerifyComplianceOrder" sheetId="15" r:id="rId17"/>
    <sheet state="visible" name="CreateNewSubLiveOrder1" sheetId="16" r:id="rId18"/>
    <sheet state="visible" name="TradeNewSubOrder1" sheetId="17" r:id="rId19"/>
    <sheet state="visible" name="CreateNewSubLiveOrder2" sheetId="18" r:id="rId20"/>
    <sheet state="visible" name="SelectTrade1" sheetId="19" r:id="rId21"/>
    <sheet state="visible" name="AcknowledgeTrade1" sheetId="20" r:id="rId22"/>
    <sheet state="visible" name="CreateStageOrder1" sheetId="21" r:id="rId23"/>
    <sheet state="visible" name="SelectTrade2" sheetId="22" r:id="rId24"/>
    <sheet state="visible" name="AcknowledgeTrade2" sheetId="23" r:id="rId25"/>
    <sheet state="visible" name="SelectTradeOnOrderGrid" sheetId="24" r:id="rId26"/>
    <sheet state="visible" name="CancelSubOrder" sheetId="25" r:id="rId27"/>
    <sheet state="visible" name="EditOrder3" sheetId="26" r:id="rId28"/>
    <sheet state="visible" name="CreateComplianceOrder3" sheetId="27" r:id="rId29"/>
    <sheet state="visible" name="VerifyComplianceOrder1" sheetId="28" r:id="rId30"/>
    <sheet state="visible" name="EditOrder2" sheetId="29" r:id="rId31"/>
  </sheets>
  <definedNames/>
  <calcPr/>
</workbook>
</file>

<file path=xl/sharedStrings.xml><?xml version="1.0" encoding="utf-8"?>
<sst xmlns="http://schemas.openxmlformats.org/spreadsheetml/2006/main" count="261" uniqueCount="42">
  <si>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</si>
  <si>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</si>
  <si>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</si>
  <si>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</si>
  <si>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</si>
  <si>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</si>
  <si>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</si>
  <si>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</si>
  <si>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</si>
  <si>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</si>
  <si>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</si>
  <si>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</si>
  <si>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</si>
  <si>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</si>
  <si>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</si>
  <si>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</si>
  <si>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</si>
  <si>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</si>
  <si>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Blotter</t>
  </si>
  <si>
    <t>TradeNewSubOrder</t>
  </si>
  <si>
    <t>New</t>
  </si>
  <si>
    <t>CreateNewSubLiveOrder</t>
  </si>
  <si>
    <t>Yes</t>
  </si>
  <si>
    <t>Simulator</t>
  </si>
  <si>
    <t>SelectTrade</t>
  </si>
  <si>
    <t>AcknowledgeTrade</t>
  </si>
  <si>
    <t>ExecuteTrade</t>
  </si>
  <si>
    <t>EditOrder</t>
  </si>
  <si>
    <t>CreateReplaceOrder</t>
  </si>
  <si>
    <t>CreateComplianceOrder</t>
  </si>
  <si>
    <t>Replace</t>
  </si>
  <si>
    <t>VerifyComplianceOrder</t>
  </si>
  <si>
    <t>Soft</t>
  </si>
  <si>
    <t>Staging</t>
  </si>
  <si>
    <t>Enter Summary</t>
  </si>
  <si>
    <t>Allocation1-MSFT</t>
  </si>
  <si>
    <t>quantity: 2,600.00, AccountShortName: Allocation1, Symbol: MSFT</t>
  </si>
  <si>
    <t>GOOG</t>
  </si>
  <si>
    <t>SelectTradeOnOrderGrid</t>
  </si>
  <si>
    <t>CancelSubOrder</t>
  </si>
  <si>
    <t>Allocation1-GOOG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</si>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</sst>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535353"/>
      </lef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vertical="top"/>
    </xf>
    <xf borderId="6" fillId="7" fontId="15" numFmtId="0" xfId="0" applyAlignment="1" applyBorder="1" applyFill="1" applyFont="1">
      <alignment readingOrder="0" vertical="top"/>
    </xf>
    <xf borderId="6" fillId="7" fontId="16" numFmtId="0" xfId="0" applyAlignment="1" applyBorder="1" applyFont="1">
      <alignment vertical="top"/>
    </xf>
    <xf borderId="6" fillId="7" fontId="15" numFmtId="0" xfId="0" applyAlignment="1" applyBorder="1" applyFont="1">
      <alignment vertical="top"/>
    </xf>
    <xf borderId="6" fillId="7" fontId="16" numFmtId="0" xfId="0" applyAlignment="1" applyBorder="1" applyFont="1">
      <alignment horizontal="right" vertical="top"/>
    </xf>
    <xf borderId="7" fillId="0" fontId="5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2000.0</v>
      </c>
      <c r="E6" s="35"/>
      <c r="F6" s="35"/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7" t="s">
        <v>20</v>
      </c>
      <c r="AL6" s="38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2200.0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2400.0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O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2600.0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CreateComplianceOrder2!$4:$4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0"/>
      <c r="B6" s="41" t="s">
        <v>32</v>
      </c>
      <c r="C6" s="42" t="s">
        <v>33</v>
      </c>
      <c r="D6" s="43" t="s">
        <v>34</v>
      </c>
      <c r="E6" s="44" t="s">
        <v>35</v>
      </c>
      <c r="F6" s="45">
        <v>2500.0</v>
      </c>
      <c r="G6" s="13">
        <v>2600.0</v>
      </c>
      <c r="H6" s="13" t="s">
        <v>36</v>
      </c>
      <c r="I6" s="35"/>
      <c r="J6" s="35"/>
      <c r="K6" s="33" t="s">
        <v>22</v>
      </c>
      <c r="L6" s="35"/>
      <c r="M6" s="9" t="s">
        <v>30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>
        <v>1000.0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37</v>
      </c>
      <c r="AJ6" s="32" t="s">
        <v>17</v>
      </c>
      <c r="AL6" s="34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>
        <v>500.0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S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37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37</v>
      </c>
      <c r="D6" s="13"/>
      <c r="E6" s="39"/>
      <c r="F6" s="8"/>
      <c r="G6" s="13">
        <v>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>
        <v>2000.0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37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37</v>
      </c>
      <c r="D6" s="13"/>
      <c r="E6" s="39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37</v>
      </c>
      <c r="E6" s="39"/>
      <c r="F6" s="13" t="s">
        <v>17</v>
      </c>
      <c r="G6" s="8"/>
      <c r="H6" s="13">
        <v>2000.0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17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17</v>
      </c>
      <c r="AL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 t="str">
        <f>IFERROR(__xludf.DUMMYFUNCTION("""COMPUTED_VALUE"""),"EditOrder")</f>
        <v>EditOrder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13" t="s">
        <v>17</v>
      </c>
      <c r="D6" s="13">
        <v>2800.0</v>
      </c>
      <c r="E6" s="39"/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X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IFERROR(__xludf.DUMMYFUNCTION("""COMPUTED_VALUE"""),"MergeTT")</f>
        <v>MergeTT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 t="s">
        <v>32</v>
      </c>
      <c r="C6" s="33" t="s">
        <v>33</v>
      </c>
      <c r="D6" s="32" t="s">
        <v>34</v>
      </c>
      <c r="E6" s="33" t="s">
        <v>40</v>
      </c>
      <c r="F6" s="36">
        <v>2500.0</v>
      </c>
      <c r="G6" s="36">
        <v>2800.0</v>
      </c>
      <c r="H6" s="35"/>
      <c r="I6" s="35"/>
      <c r="J6" s="35"/>
      <c r="K6" s="33" t="s">
        <v>22</v>
      </c>
      <c r="L6" s="35"/>
      <c r="M6" s="35" t="s">
        <v>30</v>
      </c>
      <c r="N6" s="35"/>
      <c r="O6" s="8"/>
    </row>
    <row r="7" ht="15.75" customHeight="1">
      <c r="A7" s="8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IFERROR(__xludf.DUMMYFUNCTION("""COMPUTED_VALUE"""),"CustomTabActions")</f>
        <v>CustomTabActions</v>
      </c>
      <c r="CI4" s="26" t="str">
        <f>IFERROR(__xludf.DUMMYFUNCTION("""COMPUTED_VALUE"""),"VerifyAllocationWindow")</f>
        <v>VerifyAllocationWindow</v>
      </c>
      <c r="CJ4" s="26" t="str">
        <f>IFERROR(__xludf.DUMMYFUNCTION("""COMPUTED_VALUE"""),"RightClickOperations")</f>
        <v>RightClickOperations</v>
      </c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7" t="s">
        <v>41</v>
      </c>
      <c r="AL6" s="47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