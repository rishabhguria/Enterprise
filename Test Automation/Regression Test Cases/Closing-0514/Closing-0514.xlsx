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SelectCreateTransactions" sheetId="11" r:id="rId13"/>
    <sheet state="visible" name="EditClosingTransactions" sheetId="12" r:id="rId14"/>
    <sheet state="visible" name="SelectCreateTransactions1" sheetId="13" r:id="rId15"/>
    <sheet state="visible" name="EditClosingTransactions1" sheetId="14" r:id="rId16"/>
    <sheet state="visible" name="GetDataAllocation" sheetId="15" r:id="rId17"/>
    <sheet state="visible" name="CheckAllocatedGroups" sheetId="16" r:id="rId18"/>
    <sheet state="visible" name="CheckAllocatedTaxlot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<sst xmlns="http://schemas.openxmlformats.org/spreadsheetml/2006/main" count="347" uniqueCount="71">
  <si>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</si>
  <si>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</si>
  <si>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</si>
  <si>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</si>
  <si>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</si>
  <si>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</si>
  <si>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</si>
  <si>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</si>
  <si>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</si>
  <si>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</si>
  <si>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</si>
  <si>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</si>
  <si>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</si>
  <si>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</si>
  <si>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</si>
  <si>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</si>
  <si>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</si>
  <si>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</si>
  <si>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</si>
  <si>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</si>
  <si>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</si>
  <si>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MS</t>
  </si>
  <si>
    <t>O:AAPL 23F100.00D5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</si>
  <si>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</si>
  <si>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</si>
  <si>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</si>
  <si>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</si>
  <si>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</si>
  <si>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</si>
  <si>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</si>
  <si>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</si>
  <si>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</si>
  <si>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ExerciseAssignmentWithOutSave</t>
  </si>
  <si>
    <t>SelectCreateTransactions</t>
  </si>
  <si>
    <t>Equity</t>
  </si>
  <si>
    <t>Buy to Close</t>
  </si>
  <si>
    <t>Strategy Unallocated</t>
  </si>
  <si>
    <t>EditClosingTransactions</t>
  </si>
  <si>
    <t>Buy</t>
  </si>
  <si>
    <t>Allocation</t>
  </si>
  <si>
    <t>GetDataAllocation</t>
  </si>
  <si>
    <t>CheckAllocatedGroups</t>
  </si>
  <si>
    <t>Manual</t>
  </si>
  <si>
    <t>USD</t>
  </si>
  <si>
    <t>OPTS</t>
  </si>
  <si>
    <t>M</t>
  </si>
  <si>
    <t>IsExercised</t>
  </si>
  <si>
    <t>O:AAPL 23J100.00D6</t>
  </si>
  <si>
    <t>BuytoOpen</t>
  </si>
  <si>
    <t>US</t>
  </si>
  <si>
    <t>Sell to Close</t>
  </si>
  <si>
    <t>Exercise</t>
  </si>
  <si>
    <t>NASDAQ</t>
  </si>
  <si>
    <t>None</t>
  </si>
  <si>
    <t>SellShort</t>
  </si>
  <si>
    <t>Exercise/Assign - Manually Modified</t>
  </si>
  <si>
    <t>D</t>
  </si>
  <si>
    <t>CheckAllocatedTaxlots</t>
  </si>
  <si>
    <t>Closed</t>
  </si>
  <si>
    <t>Open</t>
  </si>
  <si>
    <t>PortfolioManagement</t>
  </si>
  <si>
    <t>CheckPortfolioManagement</t>
  </si>
  <si>
    <t>NewMF</t>
  </si>
  <si>
    <t>Long</t>
  </si>
  <si>
    <t>FIMAT</t>
  </si>
  <si>
    <t>Short</t>
  </si>
  <si>
    <t>New Hedge</t>
  </si>
  <si>
    <t>Small Cap</t>
  </si>
  <si>
    <t>jpearce</t>
  </si>
  <si>
    <t>Equity Call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</si>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</sst>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4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35">
        <f t="shared" ref="N6:N7" si="1">today()-10</f>
        <v>45846</v>
      </c>
      <c r="O6" s="8"/>
    </row>
    <row r="7" ht="15.75" customHeight="1">
      <c r="A7" s="8"/>
      <c r="B7" s="9" t="s">
        <v>22</v>
      </c>
      <c r="C7" s="13" t="s">
        <v>23</v>
      </c>
      <c r="D7" s="13">
        <v>10.0</v>
      </c>
      <c r="E7" s="8"/>
      <c r="F7" s="13" t="s">
        <v>20</v>
      </c>
      <c r="G7" s="13" t="s">
        <v>21</v>
      </c>
      <c r="H7" s="8"/>
      <c r="I7" s="8"/>
      <c r="J7" s="13">
        <v>10.0</v>
      </c>
      <c r="K7" s="8"/>
      <c r="L7" s="8"/>
      <c r="M7" s="8"/>
      <c r="N7" s="35">
        <f t="shared" si="1"/>
        <v>45846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45855</v>
      </c>
      <c r="C6" s="36">
        <f>today()</f>
        <v>45856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120.0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8" t="s">
        <v>29</v>
      </c>
      <c r="D6" s="38">
        <f>TODAY()</f>
        <v>45856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32" t="s">
        <v>31</v>
      </c>
      <c r="F6" s="8"/>
      <c r="G6" s="8"/>
      <c r="H6" s="8"/>
      <c r="I6" s="13">
        <v>10.0</v>
      </c>
      <c r="J6" s="8"/>
      <c r="K6" s="13" t="s">
        <v>21</v>
      </c>
      <c r="L6" s="8"/>
      <c r="M6" s="8"/>
      <c r="N6" s="8"/>
      <c r="O6" s="8"/>
      <c r="AQ6" s="39">
        <v>10.0</v>
      </c>
      <c r="BV6" s="13" t="s">
        <v>23</v>
      </c>
      <c r="DH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ExerciseAssignmentWithOutSave!$4:$4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 t="s">
        <v>34</v>
      </c>
      <c r="F6" s="8"/>
      <c r="G6" s="8"/>
      <c r="H6" s="8"/>
      <c r="I6" s="8"/>
      <c r="J6" s="8"/>
      <c r="K6" s="8"/>
      <c r="L6" s="13" t="s">
        <v>21</v>
      </c>
      <c r="M6" s="8"/>
      <c r="N6" s="8"/>
      <c r="O6" s="8"/>
      <c r="AO6" s="9" t="s">
        <v>35</v>
      </c>
      <c r="AW6" s="9">
        <v>100.0</v>
      </c>
      <c r="BJ6" s="9" t="s">
        <v>36</v>
      </c>
      <c r="BL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SelectCreateTransactions!$4:$4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W6" s="9" t="s">
        <v>38</v>
      </c>
      <c r="AC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EditClosingTransactions!$4:$4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 t="s">
        <v>34</v>
      </c>
      <c r="F6" s="8"/>
      <c r="G6" s="8"/>
      <c r="H6" s="8"/>
      <c r="I6" s="8"/>
      <c r="J6" s="8"/>
      <c r="K6" s="8"/>
      <c r="L6" s="13" t="s">
        <v>21</v>
      </c>
      <c r="M6" s="8"/>
      <c r="N6" s="8"/>
      <c r="O6" s="8"/>
      <c r="AO6" s="9" t="s">
        <v>38</v>
      </c>
      <c r="AW6" s="9">
        <v>900.0</v>
      </c>
      <c r="BJ6" s="9" t="s">
        <v>36</v>
      </c>
      <c r="BL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SelectCreateTransactions1!$4:$4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C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EditClosingTransactions1!$4:$4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8" t="s">
        <v>29</v>
      </c>
      <c r="D6" s="38">
        <f>TODAY()</f>
        <v>45856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20</v>
      </c>
      <c r="C6" s="8"/>
      <c r="D6" s="13"/>
      <c r="E6" s="41">
        <v>10.0</v>
      </c>
      <c r="F6" s="40" t="s">
        <v>42</v>
      </c>
      <c r="G6" s="40" t="s">
        <v>31</v>
      </c>
      <c r="H6" s="41">
        <v>0.0</v>
      </c>
      <c r="I6" s="41">
        <v>0.0</v>
      </c>
      <c r="J6" s="41">
        <v>12.0</v>
      </c>
      <c r="K6" s="41">
        <v>10.0</v>
      </c>
      <c r="L6" s="41">
        <v>10.0</v>
      </c>
      <c r="M6" s="40"/>
      <c r="N6" s="40"/>
      <c r="O6" s="40" t="s">
        <v>21</v>
      </c>
      <c r="Z6" s="40" t="s">
        <v>43</v>
      </c>
      <c r="AD6" s="40" t="s">
        <v>44</v>
      </c>
      <c r="AE6" s="41">
        <v>10.0</v>
      </c>
      <c r="AH6" s="40" t="s">
        <v>45</v>
      </c>
      <c r="AI6" s="41">
        <v>1.0</v>
      </c>
      <c r="AJ6" s="40" t="s">
        <v>46</v>
      </c>
      <c r="AT6" s="42">
        <v>10000.0</v>
      </c>
      <c r="AU6" s="42">
        <v>10000.0</v>
      </c>
      <c r="BE6" s="42">
        <v>10000.0</v>
      </c>
      <c r="BF6" s="42">
        <v>10000.0</v>
      </c>
      <c r="BJ6" s="41">
        <v>10.0</v>
      </c>
      <c r="BM6" s="40" t="s">
        <v>43</v>
      </c>
      <c r="BO6" s="40" t="s">
        <v>23</v>
      </c>
      <c r="BS6" s="40" t="s">
        <v>36</v>
      </c>
      <c r="BT6" s="40" t="s">
        <v>47</v>
      </c>
      <c r="BW6" s="41">
        <v>0.0</v>
      </c>
      <c r="CG6" s="41">
        <v>0.0</v>
      </c>
      <c r="CH6" s="40" t="s">
        <v>16</v>
      </c>
      <c r="CI6" s="40" t="s">
        <v>48</v>
      </c>
      <c r="CJ6" s="41">
        <v>0.0</v>
      </c>
      <c r="CK6" s="40" t="s">
        <v>49</v>
      </c>
      <c r="CL6" s="41">
        <v>1.0</v>
      </c>
      <c r="CM6" s="40" t="s">
        <v>18</v>
      </c>
    </row>
    <row r="7" ht="15.75" customHeight="1">
      <c r="A7" s="8"/>
      <c r="B7" s="40" t="s">
        <v>20</v>
      </c>
      <c r="C7" s="8"/>
      <c r="D7" s="8"/>
      <c r="E7" s="41">
        <v>10.0</v>
      </c>
      <c r="F7" s="40" t="s">
        <v>42</v>
      </c>
      <c r="G7" s="40" t="s">
        <v>31</v>
      </c>
      <c r="H7" s="41">
        <v>0.0</v>
      </c>
      <c r="I7" s="41">
        <v>0.0</v>
      </c>
      <c r="J7" s="41">
        <v>12.0</v>
      </c>
      <c r="K7" s="41">
        <v>0.0</v>
      </c>
      <c r="L7" s="41">
        <v>0.0</v>
      </c>
      <c r="M7" s="43"/>
      <c r="N7" s="40"/>
      <c r="O7" s="40" t="s">
        <v>21</v>
      </c>
      <c r="Z7" s="40" t="s">
        <v>43</v>
      </c>
      <c r="AD7" s="40" t="s">
        <v>44</v>
      </c>
      <c r="AE7" s="41">
        <v>10.0</v>
      </c>
      <c r="AH7" s="40" t="s">
        <v>45</v>
      </c>
      <c r="AI7" s="41">
        <v>1.0</v>
      </c>
      <c r="AJ7" s="40" t="s">
        <v>46</v>
      </c>
      <c r="AT7" s="42">
        <v>10000.0</v>
      </c>
      <c r="AU7" s="42">
        <v>10000.0</v>
      </c>
      <c r="BE7" s="41">
        <v>0.0</v>
      </c>
      <c r="BF7" s="41">
        <v>0.0</v>
      </c>
      <c r="BJ7" s="41">
        <v>10.0</v>
      </c>
      <c r="BM7" s="40" t="s">
        <v>43</v>
      </c>
      <c r="BO7" s="40" t="s">
        <v>50</v>
      </c>
      <c r="BS7" s="40" t="s">
        <v>36</v>
      </c>
      <c r="BT7" s="40" t="s">
        <v>47</v>
      </c>
      <c r="BW7" s="42">
        <v>-10000.0</v>
      </c>
      <c r="CG7" s="41">
        <v>0.0</v>
      </c>
      <c r="CH7" s="40" t="s">
        <v>12</v>
      </c>
      <c r="CI7" s="40" t="s">
        <v>51</v>
      </c>
      <c r="CJ7" s="41">
        <v>0.0</v>
      </c>
      <c r="CK7" s="40" t="s">
        <v>49</v>
      </c>
      <c r="CL7" s="41">
        <v>1.0</v>
      </c>
      <c r="CM7" s="40" t="s">
        <v>18</v>
      </c>
    </row>
    <row r="8" ht="15.75" customHeight="1">
      <c r="A8" s="8"/>
      <c r="B8" s="40" t="s">
        <v>20</v>
      </c>
      <c r="C8" s="8"/>
      <c r="D8" s="8"/>
      <c r="E8" s="41">
        <v>100.0</v>
      </c>
      <c r="F8" s="40" t="s">
        <v>42</v>
      </c>
      <c r="G8" s="40" t="s">
        <v>34</v>
      </c>
      <c r="H8" s="41">
        <v>4.0</v>
      </c>
      <c r="I8" s="41">
        <v>5.0</v>
      </c>
      <c r="J8" s="41">
        <v>1.0</v>
      </c>
      <c r="K8" s="41">
        <v>10.0</v>
      </c>
      <c r="L8" s="41">
        <v>10.0</v>
      </c>
      <c r="M8" s="43"/>
      <c r="N8" s="40"/>
      <c r="O8" s="40" t="s">
        <v>21</v>
      </c>
      <c r="Z8" s="40" t="s">
        <v>43</v>
      </c>
      <c r="AD8" s="40" t="s">
        <v>52</v>
      </c>
      <c r="AE8" s="41">
        <v>100.0</v>
      </c>
      <c r="AH8" s="40" t="s">
        <v>45</v>
      </c>
      <c r="AI8" s="41">
        <v>1.0</v>
      </c>
      <c r="AJ8" s="40" t="s">
        <v>53</v>
      </c>
      <c r="AT8" s="42">
        <v>985.9994</v>
      </c>
      <c r="AU8" s="42">
        <v>985.9994</v>
      </c>
      <c r="BE8" s="42">
        <v>1000.0</v>
      </c>
      <c r="BF8" s="42">
        <v>1000.0</v>
      </c>
      <c r="BJ8" s="41">
        <v>100.0</v>
      </c>
      <c r="BM8" s="40" t="s">
        <v>43</v>
      </c>
      <c r="BO8" s="40" t="s">
        <v>19</v>
      </c>
      <c r="BS8" s="40" t="s">
        <v>36</v>
      </c>
      <c r="BT8" s="40" t="s">
        <v>18</v>
      </c>
      <c r="BW8" s="41">
        <v>14.0006</v>
      </c>
      <c r="CG8" s="41">
        <v>2.0</v>
      </c>
      <c r="CH8" s="40" t="s">
        <v>16</v>
      </c>
      <c r="CI8" s="40" t="s">
        <v>54</v>
      </c>
      <c r="CJ8" s="41">
        <v>0.0</v>
      </c>
      <c r="CK8" s="40" t="s">
        <v>49</v>
      </c>
      <c r="CL8" s="41">
        <v>1.0</v>
      </c>
      <c r="CM8" s="40" t="s">
        <v>18</v>
      </c>
    </row>
    <row r="9" ht="15.75" customHeight="1">
      <c r="A9" s="8"/>
      <c r="B9" s="40" t="s">
        <v>20</v>
      </c>
      <c r="C9" s="8"/>
      <c r="D9" s="8"/>
      <c r="E9" s="41">
        <v>400.0</v>
      </c>
      <c r="F9" s="40" t="s">
        <v>42</v>
      </c>
      <c r="G9" s="40" t="s">
        <v>34</v>
      </c>
      <c r="H9" s="41">
        <v>0.0</v>
      </c>
      <c r="I9" s="41">
        <v>0.0</v>
      </c>
      <c r="J9" s="41">
        <v>1.0</v>
      </c>
      <c r="K9" s="41">
        <v>100.0</v>
      </c>
      <c r="L9" s="41">
        <v>100.0</v>
      </c>
      <c r="M9" s="40"/>
      <c r="N9" s="40"/>
      <c r="O9" s="40" t="s">
        <v>21</v>
      </c>
      <c r="Z9" s="40" t="s">
        <v>43</v>
      </c>
      <c r="AD9" s="40" t="s">
        <v>52</v>
      </c>
      <c r="AE9" s="41">
        <v>400.0</v>
      </c>
      <c r="AH9" s="40" t="s">
        <v>45</v>
      </c>
      <c r="AI9" s="41">
        <v>1.0</v>
      </c>
      <c r="AJ9" s="40" t="s">
        <v>55</v>
      </c>
      <c r="AT9" s="42">
        <v>44000.0</v>
      </c>
      <c r="AU9" s="42">
        <v>44000.0</v>
      </c>
      <c r="BE9" s="42">
        <v>40000.0</v>
      </c>
      <c r="BF9" s="42">
        <v>40000.0</v>
      </c>
      <c r="BJ9" s="41">
        <v>400.0</v>
      </c>
      <c r="BM9" s="40" t="s">
        <v>43</v>
      </c>
      <c r="BO9" s="40" t="s">
        <v>38</v>
      </c>
      <c r="BS9" s="40" t="s">
        <v>36</v>
      </c>
      <c r="BT9" s="40" t="s">
        <v>18</v>
      </c>
      <c r="BW9" s="42">
        <v>4000.0</v>
      </c>
      <c r="CG9" s="41">
        <v>0.0</v>
      </c>
      <c r="CH9" s="40" t="s">
        <v>12</v>
      </c>
      <c r="CI9" s="40" t="s">
        <v>51</v>
      </c>
      <c r="CJ9" s="41">
        <v>0.0</v>
      </c>
      <c r="CK9" s="40" t="s">
        <v>49</v>
      </c>
      <c r="CL9" s="41">
        <v>1.0</v>
      </c>
      <c r="CM9" s="40" t="s">
        <v>18</v>
      </c>
    </row>
    <row r="10" ht="15.75" customHeight="1">
      <c r="A10" s="8"/>
      <c r="B10" s="40" t="s">
        <v>20</v>
      </c>
      <c r="C10" s="8"/>
      <c r="D10" s="8"/>
      <c r="E10" s="41">
        <v>600.0</v>
      </c>
      <c r="F10" s="40" t="s">
        <v>42</v>
      </c>
      <c r="G10" s="40" t="s">
        <v>34</v>
      </c>
      <c r="H10" s="41">
        <v>0.0</v>
      </c>
      <c r="I10" s="41">
        <v>0.0</v>
      </c>
      <c r="J10" s="41">
        <v>1.0</v>
      </c>
      <c r="K10" s="41">
        <v>100.0</v>
      </c>
      <c r="L10" s="41">
        <v>100.0</v>
      </c>
      <c r="M10" s="40"/>
      <c r="N10" s="40"/>
      <c r="O10" s="40" t="s">
        <v>21</v>
      </c>
      <c r="Z10" s="40" t="s">
        <v>43</v>
      </c>
      <c r="AD10" s="40" t="s">
        <v>52</v>
      </c>
      <c r="AE10" s="41">
        <v>600.0</v>
      </c>
      <c r="AH10" s="40" t="s">
        <v>56</v>
      </c>
      <c r="AI10" s="41">
        <v>1.0</v>
      </c>
      <c r="AJ10" s="40" t="s">
        <v>55</v>
      </c>
      <c r="AT10" s="42">
        <v>66000.0</v>
      </c>
      <c r="AU10" s="42">
        <v>66000.0</v>
      </c>
      <c r="BE10" s="42">
        <v>60000.0</v>
      </c>
      <c r="BF10" s="42">
        <v>60000.0</v>
      </c>
      <c r="BJ10" s="41">
        <v>600.0</v>
      </c>
      <c r="BM10" s="40" t="s">
        <v>43</v>
      </c>
      <c r="BO10" s="40" t="s">
        <v>38</v>
      </c>
      <c r="BS10" s="40" t="s">
        <v>36</v>
      </c>
      <c r="BT10" s="40" t="s">
        <v>18</v>
      </c>
      <c r="BW10" s="42">
        <v>6000.0</v>
      </c>
      <c r="CG10" s="41">
        <v>0.0</v>
      </c>
      <c r="CH10" s="40" t="s">
        <v>12</v>
      </c>
      <c r="CI10" s="40" t="s">
        <v>51</v>
      </c>
      <c r="CJ10" s="41">
        <v>0.0</v>
      </c>
      <c r="CK10" s="40" t="s">
        <v>49</v>
      </c>
      <c r="CL10" s="41">
        <v>1.0</v>
      </c>
      <c r="CM10" s="40" t="s">
        <v>18</v>
      </c>
    </row>
    <row r="11" ht="15.75" customHeight="1">
      <c r="A11" s="8"/>
      <c r="B11" s="40"/>
      <c r="C11" s="8"/>
      <c r="D11" s="8"/>
      <c r="E11" s="41"/>
      <c r="F11" s="8"/>
      <c r="G11" s="8"/>
      <c r="H11" s="8"/>
      <c r="I11" s="8"/>
      <c r="J11" s="41"/>
      <c r="K11" s="41"/>
      <c r="L11" s="41"/>
      <c r="M11" s="8"/>
      <c r="N11" s="8"/>
      <c r="O11" s="8"/>
      <c r="Z11" s="40"/>
      <c r="AE11" s="41"/>
      <c r="AI11" s="41"/>
      <c r="AJ11" s="40"/>
      <c r="BJ11" s="41"/>
      <c r="BM11" s="40"/>
      <c r="BO11" s="40"/>
      <c r="BT11" s="40"/>
      <c r="CM11" s="40"/>
    </row>
    <row r="12" ht="15.75" customHeight="1">
      <c r="A12" s="8"/>
      <c r="B12" s="40"/>
      <c r="C12" s="8"/>
      <c r="D12" s="8"/>
      <c r="E12" s="41"/>
      <c r="F12" s="8"/>
      <c r="G12" s="8"/>
      <c r="H12" s="8"/>
      <c r="I12" s="8"/>
      <c r="J12" s="41"/>
      <c r="K12" s="41"/>
      <c r="L12" s="41"/>
      <c r="M12" s="8"/>
      <c r="N12" s="8"/>
      <c r="O12" s="8"/>
      <c r="Z12" s="40"/>
      <c r="AE12" s="41"/>
      <c r="AI12" s="41"/>
      <c r="AJ12" s="40"/>
      <c r="BJ12" s="41"/>
      <c r="BM12" s="40"/>
      <c r="BO12" s="40"/>
      <c r="BT12" s="40"/>
      <c r="CM12" s="40"/>
    </row>
    <row r="13" ht="15.75" customHeight="1">
      <c r="A13" s="8"/>
      <c r="B13" s="4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10000.0</v>
      </c>
      <c r="C6" s="42">
        <v>10000.0</v>
      </c>
      <c r="D6" s="42">
        <v>10000.0</v>
      </c>
      <c r="E6" s="42">
        <v>10000.0</v>
      </c>
      <c r="F6" s="40" t="s">
        <v>45</v>
      </c>
      <c r="G6" s="8"/>
      <c r="H6" s="40" t="s">
        <v>43</v>
      </c>
      <c r="I6" s="8"/>
      <c r="J6" s="8"/>
      <c r="K6" s="8"/>
      <c r="L6" s="8"/>
      <c r="M6" s="8"/>
      <c r="N6" s="8"/>
      <c r="O6" s="40" t="s">
        <v>20</v>
      </c>
      <c r="P6" s="40" t="s">
        <v>36</v>
      </c>
      <c r="Q6" s="41">
        <v>100.0</v>
      </c>
      <c r="R6" s="41">
        <v>10.0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0.0</v>
      </c>
      <c r="Z6" s="41">
        <v>0.0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58</v>
      </c>
      <c r="AG6" s="43"/>
      <c r="AH6" s="43"/>
      <c r="AI6" s="41">
        <v>10.0</v>
      </c>
      <c r="AJ6" s="41">
        <v>0.0</v>
      </c>
      <c r="AK6" s="41">
        <v>1.0</v>
      </c>
      <c r="AL6" s="41">
        <v>3.0</v>
      </c>
      <c r="AM6" s="43"/>
    </row>
    <row r="7" ht="15.75" customHeight="1">
      <c r="A7" s="8"/>
      <c r="B7" s="42">
        <v>0.0</v>
      </c>
      <c r="C7" s="42">
        <v>0.0</v>
      </c>
      <c r="D7" s="42">
        <v>0.0</v>
      </c>
      <c r="E7" s="42">
        <v>0.0</v>
      </c>
      <c r="F7" s="40" t="s">
        <v>45</v>
      </c>
      <c r="G7" s="8"/>
      <c r="H7" s="40" t="s">
        <v>43</v>
      </c>
      <c r="I7" s="8"/>
      <c r="J7" s="8"/>
      <c r="K7" s="8"/>
      <c r="L7" s="8"/>
      <c r="M7" s="8"/>
      <c r="N7" s="8"/>
      <c r="O7" s="40" t="s">
        <v>20</v>
      </c>
      <c r="P7" s="40" t="s">
        <v>36</v>
      </c>
      <c r="Q7" s="41">
        <v>100.0</v>
      </c>
      <c r="R7" s="41">
        <v>10.0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58</v>
      </c>
      <c r="AG7" s="43"/>
      <c r="AH7" s="43"/>
      <c r="AI7" s="41">
        <v>0.0</v>
      </c>
      <c r="AJ7" s="41">
        <v>0.0</v>
      </c>
      <c r="AK7" s="41">
        <v>1.0</v>
      </c>
      <c r="AL7" s="41">
        <v>3.0</v>
      </c>
      <c r="AM7" s="43"/>
    </row>
    <row r="8" ht="15.75" customHeight="1">
      <c r="A8" s="8"/>
      <c r="B8" s="42">
        <v>985.9994</v>
      </c>
      <c r="C8" s="42">
        <v>985.9994</v>
      </c>
      <c r="D8" s="42">
        <v>1000.0</v>
      </c>
      <c r="E8" s="42">
        <v>1000.0</v>
      </c>
      <c r="F8" s="40" t="s">
        <v>45</v>
      </c>
      <c r="G8" s="8"/>
      <c r="H8" s="40" t="s">
        <v>43</v>
      </c>
      <c r="I8" s="8"/>
      <c r="J8" s="8"/>
      <c r="K8" s="8"/>
      <c r="L8" s="8"/>
      <c r="M8" s="8"/>
      <c r="N8" s="8"/>
      <c r="O8" s="40" t="s">
        <v>20</v>
      </c>
      <c r="P8" s="40" t="s">
        <v>36</v>
      </c>
      <c r="Q8" s="41">
        <v>100.0</v>
      </c>
      <c r="R8" s="41">
        <v>100.0</v>
      </c>
      <c r="S8" s="41">
        <v>0.0</v>
      </c>
      <c r="T8" s="41">
        <v>0.0</v>
      </c>
      <c r="U8" s="41">
        <v>0.0</v>
      </c>
      <c r="V8" s="41">
        <v>0.0</v>
      </c>
      <c r="W8" s="41">
        <v>6.0E-4</v>
      </c>
      <c r="X8" s="41">
        <v>2.0</v>
      </c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0" t="s">
        <v>59</v>
      </c>
      <c r="AG8" s="43"/>
      <c r="AH8" s="43"/>
      <c r="AI8" s="41">
        <v>10.0</v>
      </c>
      <c r="AJ8" s="41">
        <v>0.0</v>
      </c>
      <c r="AK8" s="41">
        <v>1.0</v>
      </c>
      <c r="AL8" s="41">
        <v>3.0</v>
      </c>
      <c r="AM8" s="43"/>
    </row>
    <row r="9" ht="15.75" customHeight="1">
      <c r="A9" s="8"/>
      <c r="B9" s="42">
        <v>40000.0</v>
      </c>
      <c r="C9" s="42">
        <v>40000.0</v>
      </c>
      <c r="D9" s="42">
        <v>40000.0</v>
      </c>
      <c r="E9" s="42">
        <v>40000.0</v>
      </c>
      <c r="F9" s="40" t="s">
        <v>45</v>
      </c>
      <c r="G9" s="8"/>
      <c r="H9" s="40" t="s">
        <v>43</v>
      </c>
      <c r="I9" s="8"/>
      <c r="J9" s="8"/>
      <c r="K9" s="8"/>
      <c r="L9" s="8"/>
      <c r="M9" s="8"/>
      <c r="N9" s="8"/>
      <c r="O9" s="40" t="s">
        <v>20</v>
      </c>
      <c r="P9" s="40" t="s">
        <v>36</v>
      </c>
      <c r="Q9" s="41">
        <v>100.0</v>
      </c>
      <c r="R9" s="41">
        <v>400.0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0.0</v>
      </c>
      <c r="Z9" s="41">
        <v>0.0</v>
      </c>
      <c r="AA9" s="41">
        <v>0.0</v>
      </c>
      <c r="AB9" s="41">
        <v>0.0</v>
      </c>
      <c r="AC9" s="41">
        <v>0.0</v>
      </c>
      <c r="AD9" s="41">
        <v>0.0</v>
      </c>
      <c r="AE9" s="41">
        <v>0.0</v>
      </c>
      <c r="AF9" s="40" t="s">
        <v>59</v>
      </c>
      <c r="AG9" s="43"/>
      <c r="AH9" s="43"/>
      <c r="AI9" s="41">
        <v>100.0</v>
      </c>
      <c r="AJ9" s="41">
        <v>0.0</v>
      </c>
      <c r="AK9" s="41">
        <v>1.0</v>
      </c>
      <c r="AL9" s="41">
        <v>3.0</v>
      </c>
      <c r="AM9" s="43"/>
    </row>
    <row r="10" ht="15.75" customHeight="1">
      <c r="A10" s="8"/>
      <c r="B10" s="42">
        <v>60000.0</v>
      </c>
      <c r="C10" s="42">
        <v>60000.0</v>
      </c>
      <c r="D10" s="42">
        <v>60000.0</v>
      </c>
      <c r="E10" s="42">
        <v>60000.0</v>
      </c>
      <c r="F10" s="40" t="s">
        <v>56</v>
      </c>
      <c r="G10" s="8"/>
      <c r="H10" s="40" t="s">
        <v>43</v>
      </c>
      <c r="I10" s="8"/>
      <c r="J10" s="8"/>
      <c r="K10" s="8"/>
      <c r="L10" s="8"/>
      <c r="M10" s="8"/>
      <c r="N10" s="8"/>
      <c r="O10" s="40" t="s">
        <v>20</v>
      </c>
      <c r="P10" s="40" t="s">
        <v>36</v>
      </c>
      <c r="Q10" s="41">
        <v>100.0</v>
      </c>
      <c r="R10" s="41">
        <v>600.0</v>
      </c>
      <c r="S10" s="41">
        <v>0.0</v>
      </c>
      <c r="T10" s="41">
        <v>0.0</v>
      </c>
      <c r="U10" s="41">
        <v>0.0</v>
      </c>
      <c r="V10" s="41">
        <v>0.0</v>
      </c>
      <c r="W10" s="41">
        <v>0.0</v>
      </c>
      <c r="X10" s="41">
        <v>0.0</v>
      </c>
      <c r="Y10" s="41">
        <v>0.0</v>
      </c>
      <c r="Z10" s="41">
        <v>0.0</v>
      </c>
      <c r="AA10" s="41">
        <v>0.0</v>
      </c>
      <c r="AB10" s="41">
        <v>0.0</v>
      </c>
      <c r="AC10" s="41">
        <v>0.0</v>
      </c>
      <c r="AD10" s="41">
        <v>0.0</v>
      </c>
      <c r="AE10" s="41">
        <v>0.0</v>
      </c>
      <c r="AF10" s="40" t="s">
        <v>59</v>
      </c>
      <c r="AG10" s="43"/>
      <c r="AH10" s="43"/>
      <c r="AI10" s="41">
        <v>100.0</v>
      </c>
      <c r="AJ10" s="41">
        <v>0.0</v>
      </c>
      <c r="AK10" s="41">
        <v>1.0</v>
      </c>
      <c r="AL10" s="41">
        <v>3.0</v>
      </c>
      <c r="AM10" s="43"/>
    </row>
    <row r="11" ht="15.75" customHeight="1">
      <c r="A11" s="8"/>
      <c r="B11" s="42"/>
      <c r="C11" s="42"/>
      <c r="D11" s="42"/>
      <c r="E11" s="42"/>
      <c r="F11" s="40"/>
      <c r="G11" s="8"/>
      <c r="H11" s="40"/>
      <c r="I11" s="8"/>
      <c r="J11" s="8"/>
      <c r="K11" s="8"/>
      <c r="L11" s="8"/>
      <c r="M11" s="8"/>
      <c r="N11" s="8"/>
      <c r="O11" s="44"/>
      <c r="P11" s="44"/>
      <c r="Q11" s="44"/>
      <c r="R11" s="44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4"/>
      <c r="AJ11" s="44"/>
      <c r="AK11" s="44"/>
      <c r="AL11" s="44"/>
      <c r="AM11" s="43"/>
    </row>
    <row r="12" ht="15.75" customHeight="1">
      <c r="A12" s="8"/>
      <c r="B12" s="42"/>
      <c r="C12" s="42"/>
      <c r="D12" s="42"/>
      <c r="E12" s="42"/>
      <c r="F12" s="40"/>
      <c r="G12" s="8"/>
      <c r="H12" s="40"/>
      <c r="I12" s="8"/>
      <c r="J12" s="8"/>
      <c r="K12" s="8"/>
      <c r="L12" s="8"/>
      <c r="M12" s="8"/>
      <c r="N12" s="8"/>
      <c r="O12" s="40"/>
      <c r="P12" s="40"/>
      <c r="Q12" s="41"/>
      <c r="R12" s="41"/>
      <c r="AI12" s="41"/>
      <c r="AJ12" s="41"/>
      <c r="AK12" s="41"/>
      <c r="AL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0" t="s">
        <v>18</v>
      </c>
      <c r="D6" s="41">
        <v>-100.0</v>
      </c>
      <c r="E6" s="40" t="s">
        <v>20</v>
      </c>
      <c r="F6" s="40" t="s">
        <v>62</v>
      </c>
      <c r="G6" s="41">
        <v>10.0</v>
      </c>
      <c r="H6" s="40" t="s">
        <v>63</v>
      </c>
      <c r="J6" s="8"/>
      <c r="K6" s="8"/>
      <c r="L6" s="8"/>
      <c r="M6" s="8"/>
      <c r="N6" s="8"/>
      <c r="O6" s="8"/>
      <c r="R6" s="40" t="s">
        <v>64</v>
      </c>
      <c r="S6" s="40" t="s">
        <v>36</v>
      </c>
      <c r="T6" s="40" t="s">
        <v>34</v>
      </c>
      <c r="U6" s="45" t="s">
        <v>49</v>
      </c>
      <c r="V6" s="40" t="s">
        <v>52</v>
      </c>
      <c r="W6" s="40" t="s">
        <v>43</v>
      </c>
      <c r="X6" s="41">
        <v>1.0</v>
      </c>
      <c r="Y6" s="41">
        <v>1.0</v>
      </c>
      <c r="AK6" s="46">
        <v>12000.0</v>
      </c>
      <c r="AN6" s="40" t="s">
        <v>19</v>
      </c>
      <c r="AO6" s="40" t="s">
        <v>65</v>
      </c>
      <c r="AQ6" s="40" t="s">
        <v>18</v>
      </c>
      <c r="AW6" s="46">
        <v>1000.0</v>
      </c>
      <c r="BE6" s="40" t="s">
        <v>34</v>
      </c>
      <c r="BF6" s="40" t="s">
        <v>66</v>
      </c>
      <c r="BG6" s="40" t="s">
        <v>67</v>
      </c>
      <c r="BQ6" s="40" t="s">
        <v>68</v>
      </c>
      <c r="BR6" s="40" t="s">
        <v>21</v>
      </c>
      <c r="CD6" s="46">
        <v>12000.0</v>
      </c>
      <c r="DJ6" s="40" t="s">
        <v>19</v>
      </c>
      <c r="EP6" s="46">
        <v>-12000.0</v>
      </c>
      <c r="ES6" s="46">
        <v>-110000.0</v>
      </c>
      <c r="EW6" s="46">
        <v>-110000.0</v>
      </c>
    </row>
    <row r="7" ht="15.75" customHeight="1">
      <c r="A7" s="8"/>
      <c r="B7" s="8"/>
      <c r="C7" s="40" t="s">
        <v>47</v>
      </c>
      <c r="D7" s="41">
        <v>10.0</v>
      </c>
      <c r="E7" s="40" t="s">
        <v>20</v>
      </c>
      <c r="F7" s="40" t="s">
        <v>62</v>
      </c>
      <c r="G7" s="41">
        <v>10.0</v>
      </c>
      <c r="H7" s="40" t="s">
        <v>63</v>
      </c>
      <c r="J7" s="8"/>
      <c r="K7" s="8"/>
      <c r="L7" s="8"/>
      <c r="M7" s="8"/>
      <c r="N7" s="8"/>
      <c r="O7" s="8"/>
      <c r="R7" s="40" t="s">
        <v>64</v>
      </c>
      <c r="S7" s="40" t="s">
        <v>36</v>
      </c>
      <c r="T7" s="40" t="s">
        <v>31</v>
      </c>
      <c r="U7" s="45" t="s">
        <v>49</v>
      </c>
      <c r="V7" s="40" t="s">
        <v>44</v>
      </c>
      <c r="W7" s="40" t="s">
        <v>43</v>
      </c>
      <c r="X7" s="41">
        <v>100.0</v>
      </c>
      <c r="Y7" s="41">
        <v>1.0</v>
      </c>
      <c r="AK7" s="46">
        <v>-10000.0</v>
      </c>
      <c r="AN7" s="40" t="s">
        <v>23</v>
      </c>
      <c r="AO7" s="40" t="s">
        <v>63</v>
      </c>
      <c r="AQ7" s="40" t="s">
        <v>18</v>
      </c>
      <c r="AW7" s="46">
        <v>-10000.0</v>
      </c>
      <c r="BE7" s="40" t="s">
        <v>69</v>
      </c>
      <c r="BF7" s="40" t="s">
        <v>70</v>
      </c>
      <c r="BG7" s="40" t="s">
        <v>70</v>
      </c>
      <c r="BQ7" s="40" t="s">
        <v>68</v>
      </c>
      <c r="BR7" s="40" t="s">
        <v>21</v>
      </c>
      <c r="CD7" s="46">
        <v>-10000.0</v>
      </c>
      <c r="DJ7" s="40" t="s">
        <v>23</v>
      </c>
      <c r="EP7" s="46">
        <v>-12000.0</v>
      </c>
      <c r="ES7" s="46">
        <v>-110000.0</v>
      </c>
      <c r="EW7" s="46">
        <v>-110000.0</v>
      </c>
    </row>
    <row r="8" ht="15.75" customHeight="1">
      <c r="A8" s="8"/>
      <c r="B8" s="8"/>
      <c r="C8" s="40" t="s">
        <v>47</v>
      </c>
      <c r="D8" s="41">
        <v>-10.0</v>
      </c>
      <c r="E8" s="40" t="s">
        <v>20</v>
      </c>
      <c r="F8" s="40" t="s">
        <v>62</v>
      </c>
      <c r="G8" s="41">
        <v>0.0</v>
      </c>
      <c r="H8" s="40" t="s">
        <v>63</v>
      </c>
      <c r="J8" s="8"/>
      <c r="K8" s="8"/>
      <c r="L8" s="8"/>
      <c r="M8" s="8"/>
      <c r="N8" s="8"/>
      <c r="O8" s="8"/>
      <c r="R8" s="40" t="s">
        <v>64</v>
      </c>
      <c r="S8" s="40" t="s">
        <v>36</v>
      </c>
      <c r="T8" s="40" t="s">
        <v>31</v>
      </c>
      <c r="U8" s="40" t="s">
        <v>49</v>
      </c>
      <c r="V8" s="40" t="s">
        <v>44</v>
      </c>
      <c r="W8" s="40" t="s">
        <v>43</v>
      </c>
      <c r="X8" s="41">
        <v>100.0</v>
      </c>
      <c r="Y8" s="41">
        <v>1.0</v>
      </c>
      <c r="AK8" s="41">
        <v>0.0</v>
      </c>
      <c r="AN8" s="40" t="s">
        <v>50</v>
      </c>
      <c r="AO8" s="40" t="s">
        <v>63</v>
      </c>
      <c r="AQ8" s="40" t="s">
        <v>18</v>
      </c>
      <c r="AW8" s="41">
        <v>0.0</v>
      </c>
      <c r="BE8" s="40" t="s">
        <v>69</v>
      </c>
      <c r="BF8" s="40" t="s">
        <v>70</v>
      </c>
      <c r="BG8" s="40" t="s">
        <v>70</v>
      </c>
      <c r="BQ8" s="40" t="s">
        <v>68</v>
      </c>
      <c r="BR8" s="40" t="s">
        <v>21</v>
      </c>
      <c r="CD8" s="41">
        <v>0.0</v>
      </c>
      <c r="DJ8" s="40" t="s">
        <v>51</v>
      </c>
      <c r="EP8" s="46">
        <v>-12000.0</v>
      </c>
      <c r="ES8" s="46">
        <v>-110000.0</v>
      </c>
      <c r="EW8" s="46">
        <v>-110000.0</v>
      </c>
    </row>
    <row r="9" ht="15.75" customHeight="1">
      <c r="A9" s="8"/>
      <c r="B9" s="8"/>
      <c r="C9" s="40" t="s">
        <v>18</v>
      </c>
      <c r="D9" s="41">
        <v>600.0</v>
      </c>
      <c r="E9" s="40" t="s">
        <v>20</v>
      </c>
      <c r="F9" s="40" t="s">
        <v>62</v>
      </c>
      <c r="G9" s="41">
        <v>100.0</v>
      </c>
      <c r="H9" s="40" t="s">
        <v>63</v>
      </c>
      <c r="I9" s="8"/>
      <c r="J9" s="8"/>
      <c r="K9" s="8"/>
      <c r="L9" s="8"/>
      <c r="M9" s="8"/>
      <c r="N9" s="8"/>
      <c r="O9" s="8"/>
      <c r="R9" s="40" t="s">
        <v>64</v>
      </c>
      <c r="S9" s="40" t="s">
        <v>36</v>
      </c>
      <c r="T9" s="40" t="s">
        <v>34</v>
      </c>
      <c r="U9" s="45" t="s">
        <v>49</v>
      </c>
      <c r="V9" s="40" t="s">
        <v>52</v>
      </c>
      <c r="W9" s="40" t="s">
        <v>43</v>
      </c>
      <c r="X9" s="41">
        <v>1.0</v>
      </c>
      <c r="Y9" s="41">
        <v>1.0</v>
      </c>
      <c r="AK9" s="46">
        <v>-60000.0</v>
      </c>
      <c r="AN9" s="40" t="s">
        <v>38</v>
      </c>
      <c r="AO9" s="40" t="s">
        <v>63</v>
      </c>
      <c r="AQ9" s="40" t="s">
        <v>18</v>
      </c>
      <c r="AW9" s="46">
        <v>-60000.0</v>
      </c>
      <c r="BE9" s="40" t="s">
        <v>34</v>
      </c>
      <c r="BF9" s="40" t="s">
        <v>66</v>
      </c>
      <c r="BG9" s="40" t="s">
        <v>67</v>
      </c>
      <c r="BQ9" s="40" t="s">
        <v>68</v>
      </c>
      <c r="BR9" s="40" t="s">
        <v>21</v>
      </c>
      <c r="CD9" s="46">
        <v>-60000.0</v>
      </c>
      <c r="DJ9" s="40" t="s">
        <v>51</v>
      </c>
      <c r="EP9" s="46">
        <v>-12000.0</v>
      </c>
      <c r="ES9" s="46">
        <v>-110000.0</v>
      </c>
      <c r="EW9" s="46">
        <v>-110000.0</v>
      </c>
    </row>
    <row r="10" ht="15.75" customHeight="1">
      <c r="A10" s="8"/>
      <c r="B10" s="8"/>
      <c r="C10" s="40" t="s">
        <v>18</v>
      </c>
      <c r="D10" s="41">
        <v>400.0</v>
      </c>
      <c r="E10" s="40" t="s">
        <v>20</v>
      </c>
      <c r="F10" s="40" t="s">
        <v>62</v>
      </c>
      <c r="G10" s="41">
        <v>100.0</v>
      </c>
      <c r="H10" s="40" t="s">
        <v>63</v>
      </c>
      <c r="I10" s="8"/>
      <c r="J10" s="8"/>
      <c r="K10" s="8"/>
      <c r="L10" s="8"/>
      <c r="M10" s="8"/>
      <c r="N10" s="8"/>
      <c r="O10" s="8"/>
      <c r="R10" s="40" t="s">
        <v>64</v>
      </c>
      <c r="S10" s="40" t="s">
        <v>36</v>
      </c>
      <c r="T10" s="40" t="s">
        <v>34</v>
      </c>
      <c r="U10" s="45" t="s">
        <v>49</v>
      </c>
      <c r="V10" s="40" t="s">
        <v>52</v>
      </c>
      <c r="W10" s="40" t="s">
        <v>43</v>
      </c>
      <c r="X10" s="41">
        <v>1.0</v>
      </c>
      <c r="Y10" s="41">
        <v>1.0</v>
      </c>
      <c r="AK10" s="46">
        <v>-40000.0</v>
      </c>
      <c r="AN10" s="40" t="s">
        <v>38</v>
      </c>
      <c r="AO10" s="40" t="s">
        <v>63</v>
      </c>
      <c r="AQ10" s="40" t="s">
        <v>18</v>
      </c>
      <c r="AW10" s="46">
        <v>-40000.0</v>
      </c>
      <c r="BE10" s="40" t="s">
        <v>34</v>
      </c>
      <c r="BF10" s="40" t="s">
        <v>66</v>
      </c>
      <c r="BG10" s="40" t="s">
        <v>67</v>
      </c>
      <c r="BQ10" s="40" t="s">
        <v>68</v>
      </c>
      <c r="BR10" s="40" t="s">
        <v>21</v>
      </c>
      <c r="CD10" s="46">
        <v>-40000.0</v>
      </c>
      <c r="DJ10" s="40" t="s">
        <v>51</v>
      </c>
      <c r="EP10" s="46">
        <v>-12000.0</v>
      </c>
      <c r="ES10" s="46">
        <v>-110000.0</v>
      </c>
      <c r="EW10" s="46">
        <v>-110000.0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V11" s="43"/>
      <c r="W11" s="43"/>
      <c r="X11" s="43"/>
      <c r="Y11" s="43"/>
      <c r="AO11" s="43"/>
      <c r="AP11" s="43"/>
      <c r="AW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