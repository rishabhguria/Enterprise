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FundDistribution" sheetId="9" r:id="rId11"/>
    <sheet state="visible" name="SetMFPrefAccountValues" sheetId="10" r:id="rId12"/>
    <sheet state="visible" name="SetMFPrefFundDefaultRule" sheetId="11" r:id="rId13"/>
    <sheet state="visible" name="SetMFPrefGeneralRule" sheetId="12" r:id="rId14"/>
    <sheet state="visible" name="UpdateGRAccountValue" sheetId="13" r:id="rId15"/>
    <sheet state="visible" name="UpdateGRDefaultRule" sheetId="14" r:id="rId16"/>
    <sheet state="visible" name="SetMFPrefAccountValues1" sheetId="15" r:id="rId17"/>
    <sheet state="visible" name="SetMFPrefFundDefaultRule1" sheetId="16" r:id="rId18"/>
    <sheet state="visible" name="SetMFPrefGeneralRule1" sheetId="17" r:id="rId19"/>
    <sheet state="visible" name="UpdateGRAccountValue1" sheetId="18" r:id="rId20"/>
    <sheet state="visible" name="UpdateGRDefaultRule1" sheetId="19" r:id="rId21"/>
    <sheet state="visible" name="CreateDoneAwayOrder" sheetId="20" r:id="rId22"/>
    <sheet state="visible" name="GetDataAllocation" sheetId="21" r:id="rId23"/>
    <sheet state="visible" name="SelectUnallocatedGroup" sheetId="22" r:id="rId24"/>
    <sheet state="visible" name="EnterAllocatePreference" sheetId="23" r:id="rId25"/>
    <sheet state="visible" name="CheckAllocatedTaxlots" sheetId="24" r:id="rId26"/>
  </sheets>
  <definedNames/>
  <calcPr/>
</workbook>
</file>

<file path=xl/sharedStrings.xml><?xml version="1.0" encoding="utf-8"?>
<sst xmlns="http://schemas.openxmlformats.org/spreadsheetml/2006/main" count="254" uniqueCount="60">
  <si>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</si>
  <si>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</si>
  <si>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</si>
  <si>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</si>
  <si>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</si>
  <si>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</si>
  <si>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</si>
  <si>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</si>
  <si>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</si>
  <si>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</si>
  <si>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</si>
  <si>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</si>
  <si>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</si>
  <si>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</si>
  <si>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</si>
  <si>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</si>
  <si>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</si>
  <si>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</si>
  <si>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</si>
  <si>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</si>
  <si>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</si>
  <si>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</si>
  <si>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</si>
  <si>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SetGeneralPreferences</t>
  </si>
  <si>
    <t>AddMFPreferences</t>
  </si>
  <si>
    <t>TEST1</t>
  </si>
  <si>
    <t>SetMFPreferencesDefaultRule</t>
  </si>
  <si>
    <t>Current Preference</t>
  </si>
  <si>
    <t>SetMFPrefFundDistribution</t>
  </si>
  <si>
    <t>NewMF</t>
  </si>
  <si>
    <t>NewMF1</t>
  </si>
  <si>
    <t>SetMFPrefAccountValues</t>
  </si>
  <si>
    <t>SetMFPrefFundDefaultRule</t>
  </si>
  <si>
    <t>Trade Quantity</t>
  </si>
  <si>
    <t>Pro-rata (NAV)</t>
  </si>
  <si>
    <t>Allocation3,Allocation1</t>
  </si>
  <si>
    <t>SetMFPrefGeneralRule</t>
  </si>
  <si>
    <t>Include</t>
  </si>
  <si>
    <t>CMEE</t>
  </si>
  <si>
    <t>Equity</t>
  </si>
  <si>
    <t>Buy to Close</t>
  </si>
  <si>
    <t>UpdateGRAccountValue</t>
  </si>
  <si>
    <t>UpdateGRDefaultRule</t>
  </si>
  <si>
    <t>Account Inception</t>
  </si>
  <si>
    <t>Allocation2,Allocation4</t>
  </si>
  <si>
    <t>TradingTicket</t>
  </si>
  <si>
    <t>CreateDoneAwayOrder</t>
  </si>
  <si>
    <t>AAPL</t>
  </si>
  <si>
    <t>Buy</t>
  </si>
  <si>
    <t>Unallocated</t>
  </si>
  <si>
    <t>MS</t>
  </si>
  <si>
    <t>CAT</t>
  </si>
  <si>
    <t>Sell</t>
  </si>
  <si>
    <t>GetDataAllocation</t>
  </si>
  <si>
    <t>Current</t>
  </si>
  <si>
    <t>SelectUnallocatedGroup</t>
  </si>
  <si>
    <t>EnterAllocatePreference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</si>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</sst>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>TODAY()-1</f>
        <v>45061</v>
      </c>
      <c r="C6" s="31">
        <f>TODAY()</f>
        <v>45062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33">
        <v>100.0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34">
        <v>200.0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20</v>
      </c>
      <c r="C8" s="13" t="s">
        <v>18</v>
      </c>
      <c r="D8" s="34">
        <v>400.0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3" t="s">
        <v>21</v>
      </c>
      <c r="C9" s="13" t="s">
        <v>18</v>
      </c>
      <c r="D9" s="34">
        <v>800.0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V6" s="9" t="b">
        <v>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AddMFPreferences!$4:$4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IFERROR(__xludf.DUMMYFUNCTION("""COMPUTED_VALUE"""),"RemainderAllocationTo")</f>
        <v>RemainderAllocationTo</v>
      </c>
      <c r="C5" s="28" t="str">
        <f>IFERROR(__xludf.DUMMYFUNCTION("""COMPUTED_VALUE"""),"Target%AsOf")</f>
        <v>Target%AsOf</v>
      </c>
      <c r="D5" s="28" t="str">
        <f>IFERROR(__xludf.DUMMYFUNCTION("""COMPUTED_VALUE"""),"ProrataAccounts")</f>
        <v>ProrataAccounts</v>
      </c>
      <c r="E5" s="28" t="str">
        <f>IFERROR(__xludf.DUMMYFUNCTION("""COMPUTED_VALUE"""),"DateUptoDays")</f>
        <v>DateUptoDays</v>
      </c>
      <c r="F5" s="29" t="str">
        <f>IFERROR(__xludf.DUMMYFUNCTION("""COMPUTED_VALUE"""),"PreferenceName")</f>
        <v>PreferenceName</v>
      </c>
      <c r="G5" s="28" t="str">
        <f>IFERROR(__xludf.DUMMYFUNCTION("""COMPUTED_VALUE"""),"MatchClosingTransaction")</f>
        <v>MatchClosingTransaction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27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IFERROR(__xludf.DUMMYFUNCTION("""COMPUTED_VALUE"""),"MasterFundName")</f>
        <v>MasterFundName</v>
      </c>
      <c r="D5" s="28" t="str">
        <f>IFERROR(__xludf.DUMMYFUNCTION("""COMPUTED_VALUE"""),"TargetPercentage")</f>
        <v>TargetPercentage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>
        <v>50.0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30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SetMFPrefFundDistribution!$4:$4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 t="s">
        <v>17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29</v>
      </c>
      <c r="D7" s="13" t="s">
        <v>20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D6" s="35" t="s">
        <v>33</v>
      </c>
      <c r="E6" s="32"/>
      <c r="F6" s="13" t="s">
        <v>34</v>
      </c>
      <c r="G6" s="13" t="s">
        <v>35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29</v>
      </c>
      <c r="D6" s="13" t="s">
        <v>37</v>
      </c>
      <c r="E6" s="13" t="s">
        <v>38</v>
      </c>
      <c r="F6" s="13" t="s">
        <v>37</v>
      </c>
      <c r="G6" s="13" t="s">
        <v>39</v>
      </c>
      <c r="H6" s="8"/>
      <c r="I6" s="8"/>
      <c r="J6" s="13" t="s">
        <v>37</v>
      </c>
      <c r="K6" s="13" t="s">
        <v>40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17</v>
      </c>
      <c r="D6" s="13">
        <v>75.0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20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UpdateGRAccountValue!$4:$4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 t="s">
        <v>43</v>
      </c>
      <c r="E6" s="32"/>
      <c r="F6" s="8"/>
      <c r="G6" s="8"/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IFERROR(__xludf.DUMMYFUNCTION("""COMPUTED_VALUE"""),"AccountName")</f>
        <v>AccountName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30</v>
      </c>
      <c r="D6" s="13" t="s">
        <v>19</v>
      </c>
      <c r="E6" s="13">
        <v>50.0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30</v>
      </c>
      <c r="D7" s="13" t="s">
        <v>21</v>
      </c>
      <c r="E7" s="13">
        <v>50.0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SetMFPrefAccountValues1!$4:$4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IFERROR(__xludf.DUMMYFUNCTION("""COMPUTED_VALUE"""),"AllocationMethod")</f>
        <v>AllocationMethod</v>
      </c>
      <c r="E5" s="28" t="str">
        <f>IFERROR(__xludf.DUMMYFUNCTION("""COMPUTED_VALUE"""),"RemainderAllocationTo")</f>
        <v>RemainderAllocationTo</v>
      </c>
      <c r="F5" s="29" t="str">
        <f>IFERROR(__xludf.DUMMYFUNCTION("""COMPUTED_VALUE"""),"Target%AsOf")</f>
        <v>Target%AsOf</v>
      </c>
      <c r="G5" s="28" t="str">
        <f>IFERROR(__xludf.DUMMYFUNCTION("""COMPUTED_VALUE"""),"ProrataAccounts")</f>
        <v>ProrataAccounts</v>
      </c>
      <c r="H5" s="28" t="str">
        <f>IFERROR(__xludf.DUMMYFUNCTION("""COMPUTED_VALUE"""),"DateUptoDays")</f>
        <v>DateUptoDays</v>
      </c>
      <c r="I5" s="28" t="str">
        <f>IFERROR(__xludf.DUMMYFUNCTION("""COMPUTED_VALUE"""),"MatchClosingTransactions")</f>
        <v>MatchClosingTransactions</v>
      </c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/>
      <c r="D6" s="35" t="s">
        <v>33</v>
      </c>
      <c r="E6" s="32"/>
      <c r="F6" s="13" t="s">
        <v>34</v>
      </c>
      <c r="G6" s="13" t="s">
        <v>44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SetMFPrefFundDefaultRule1!$4:$4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IFERROR(__xludf.DUMMYFUNCTION("""COMPUTED_VALUE"""),"MasterFund")</f>
        <v>MasterFund</v>
      </c>
      <c r="D5" s="28" t="str">
        <f>IFERROR(__xludf.DUMMYFUNCTION("""COMPUTED_VALUE"""),"Exchange Selector")</f>
        <v>Exchange Selector</v>
      </c>
      <c r="E5" s="28" t="str">
        <f>IFERROR(__xludf.DUMMYFUNCTION("""COMPUTED_VALUE"""),"Exchange List")</f>
        <v>Exchange List</v>
      </c>
      <c r="F5" s="29" t="str">
        <f>IFERROR(__xludf.DUMMYFUNCTION("""COMPUTED_VALUE"""),"Asset Selector")</f>
        <v>Asset Selector</v>
      </c>
      <c r="G5" s="28" t="str">
        <f>IFERROR(__xludf.DUMMYFUNCTION("""COMPUTED_VALUE"""),"Asset List")</f>
        <v>Asset List</v>
      </c>
      <c r="H5" s="28" t="str">
        <f>IFERROR(__xludf.DUMMYFUNCTION("""COMPUTED_VALUE"""),"PR Selector")</f>
        <v>PR Selector</v>
      </c>
      <c r="I5" s="28" t="str">
        <f>IFERROR(__xludf.DUMMYFUNCTION("""COMPUTED_VALUE"""),"PR List")</f>
        <v>PR List</v>
      </c>
      <c r="J5" s="28" t="str">
        <f>IFERROR(__xludf.DUMMYFUNCTION("""COMPUTED_VALUE"""),"Order Side Selector")</f>
        <v>Order Side Selector</v>
      </c>
      <c r="K5" s="28" t="str">
        <f>IFERROR(__xludf.DUMMYFUNCTION("""COMPUTED_VALUE"""),"Order Side List")</f>
        <v>Order Side List</v>
      </c>
      <c r="L5" s="28" t="str">
        <f>IFERROR(__xludf.DUMMYFUNCTION("""COMPUTED_VALUE"""),"Update Preference")</f>
        <v>Update Preference</v>
      </c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30</v>
      </c>
      <c r="D6" s="13" t="s">
        <v>37</v>
      </c>
      <c r="E6" s="13" t="s">
        <v>38</v>
      </c>
      <c r="F6" s="13" t="s">
        <v>37</v>
      </c>
      <c r="G6" s="13" t="s">
        <v>39</v>
      </c>
      <c r="H6" s="8"/>
      <c r="I6" s="8"/>
      <c r="J6" s="13" t="s">
        <v>37</v>
      </c>
      <c r="K6" s="13" t="s">
        <v>40</v>
      </c>
      <c r="L6" s="13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SetMFPrefGeneralRule1!$4:$4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19</v>
      </c>
      <c r="D6" s="13">
        <v>75.0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25</v>
      </c>
      <c r="C7" s="13" t="s">
        <v>21</v>
      </c>
      <c r="D7" s="13">
        <v>25.0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UpdateGRAccountValue1!$4:$4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8"/>
      <c r="D6" s="13" t="s">
        <v>43</v>
      </c>
      <c r="E6" s="32"/>
      <c r="F6" s="8"/>
      <c r="G6" s="8"/>
      <c r="H6" s="13" t="s">
        <v>25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45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48</v>
      </c>
      <c r="D6" s="13">
        <v>250.0</v>
      </c>
      <c r="E6" s="32"/>
      <c r="F6" s="13" t="s">
        <v>49</v>
      </c>
      <c r="G6" s="13" t="s">
        <v>50</v>
      </c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51</v>
      </c>
      <c r="C7" s="13" t="s">
        <v>52</v>
      </c>
      <c r="D7" s="13">
        <v>63.0</v>
      </c>
      <c r="E7" s="8"/>
      <c r="F7" s="13" t="s">
        <v>49</v>
      </c>
      <c r="G7" s="13" t="s">
        <v>50</v>
      </c>
      <c r="H7" s="8"/>
      <c r="I7" s="8"/>
      <c r="J7" s="13">
        <v>11.0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47</v>
      </c>
      <c r="C6" s="13" t="s">
        <v>48</v>
      </c>
      <c r="D6" s="13">
        <v>250.0</v>
      </c>
      <c r="E6" s="13">
        <v>250.0</v>
      </c>
      <c r="F6" s="8"/>
      <c r="G6" s="8"/>
      <c r="H6" s="8"/>
      <c r="I6" s="8"/>
      <c r="J6" s="8"/>
      <c r="K6" s="8"/>
      <c r="L6" s="8"/>
      <c r="M6" s="8"/>
      <c r="N6" s="13">
        <v>12.0</v>
      </c>
      <c r="O6" s="13">
        <v>12.0</v>
      </c>
      <c r="P6" s="9" t="s">
        <v>50</v>
      </c>
    </row>
    <row r="7" ht="15.75" customHeight="1">
      <c r="A7" s="8"/>
      <c r="B7" s="13" t="s">
        <v>51</v>
      </c>
      <c r="C7" s="13" t="s">
        <v>52</v>
      </c>
      <c r="D7" s="13">
        <v>63.0</v>
      </c>
      <c r="E7" s="13">
        <v>63.0</v>
      </c>
      <c r="F7" s="8"/>
      <c r="G7" s="8"/>
      <c r="H7" s="8"/>
      <c r="I7" s="8"/>
      <c r="J7" s="8"/>
      <c r="K7" s="8"/>
      <c r="L7" s="8"/>
      <c r="M7" s="8"/>
      <c r="N7" s="13">
        <v>11.0</v>
      </c>
      <c r="O7" s="13">
        <v>11.0</v>
      </c>
      <c r="P7" s="9" t="s">
        <v>50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25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57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6">
        <v>1205.60068</v>
      </c>
      <c r="C6" s="36">
        <v>1205.60068</v>
      </c>
      <c r="D6" s="36">
        <v>1200.0</v>
      </c>
      <c r="E6" s="36">
        <v>1200.0</v>
      </c>
      <c r="F6" s="37" t="s">
        <v>58</v>
      </c>
      <c r="G6" s="8"/>
      <c r="H6" s="37" t="s">
        <v>18</v>
      </c>
      <c r="I6" s="8"/>
      <c r="J6" s="8"/>
      <c r="K6" s="8"/>
      <c r="L6" s="8"/>
      <c r="M6" s="8"/>
      <c r="N6" s="8"/>
      <c r="O6" s="37" t="s">
        <v>20</v>
      </c>
      <c r="P6" s="37" t="s">
        <v>59</v>
      </c>
      <c r="Q6" s="38">
        <v>40.0</v>
      </c>
      <c r="R6" s="38">
        <v>100.0</v>
      </c>
      <c r="AI6" s="38">
        <v>12.0</v>
      </c>
      <c r="AJ6" s="38"/>
      <c r="AK6" s="38">
        <v>1.0</v>
      </c>
      <c r="AL6" s="38">
        <v>3.0</v>
      </c>
    </row>
    <row r="7" ht="15.75" customHeight="1">
      <c r="A7" s="8"/>
      <c r="B7" s="36">
        <v>1205.60068</v>
      </c>
      <c r="C7" s="36">
        <v>1205.60068</v>
      </c>
      <c r="D7" s="36">
        <v>1200.0</v>
      </c>
      <c r="E7" s="36">
        <v>1200.0</v>
      </c>
      <c r="F7" s="37" t="s">
        <v>58</v>
      </c>
      <c r="G7" s="8"/>
      <c r="H7" s="37" t="s">
        <v>18</v>
      </c>
      <c r="I7" s="8"/>
      <c r="J7" s="8"/>
      <c r="K7" s="8"/>
      <c r="L7" s="8"/>
      <c r="M7" s="8"/>
      <c r="N7" s="8"/>
      <c r="O7" s="37" t="s">
        <v>21</v>
      </c>
      <c r="P7" s="37" t="s">
        <v>59</v>
      </c>
      <c r="Q7" s="38">
        <v>40.0</v>
      </c>
      <c r="R7" s="38">
        <v>100.0</v>
      </c>
      <c r="AI7" s="38">
        <v>12.0</v>
      </c>
      <c r="AJ7" s="38"/>
      <c r="AK7" s="38">
        <v>1.0</v>
      </c>
      <c r="AL7" s="38">
        <v>3.0</v>
      </c>
    </row>
    <row r="8" ht="15.75" customHeight="1">
      <c r="A8" s="8"/>
      <c r="B8" s="38">
        <v>301.40017</v>
      </c>
      <c r="C8" s="38">
        <v>301.40017</v>
      </c>
      <c r="D8" s="38">
        <v>300.0</v>
      </c>
      <c r="E8" s="38">
        <v>300.0</v>
      </c>
      <c r="F8" s="37" t="s">
        <v>58</v>
      </c>
      <c r="G8" s="8"/>
      <c r="H8" s="37" t="s">
        <v>18</v>
      </c>
      <c r="I8" s="8"/>
      <c r="J8" s="8"/>
      <c r="K8" s="8"/>
      <c r="L8" s="8"/>
      <c r="M8" s="8"/>
      <c r="N8" s="8"/>
      <c r="O8" s="37" t="s">
        <v>19</v>
      </c>
      <c r="P8" s="37" t="s">
        <v>59</v>
      </c>
      <c r="Q8" s="38">
        <v>10.0</v>
      </c>
      <c r="R8" s="38">
        <v>25.0</v>
      </c>
      <c r="AI8" s="38">
        <v>12.0</v>
      </c>
      <c r="AJ8" s="38"/>
      <c r="AK8" s="38">
        <v>1.0</v>
      </c>
      <c r="AL8" s="38">
        <v>3.0</v>
      </c>
    </row>
    <row r="9" ht="15.75" customHeight="1">
      <c r="A9" s="8"/>
      <c r="B9" s="38">
        <v>301.40017</v>
      </c>
      <c r="C9" s="38">
        <v>301.40017</v>
      </c>
      <c r="D9" s="38">
        <v>300.0</v>
      </c>
      <c r="E9" s="38">
        <v>300.0</v>
      </c>
      <c r="F9" s="37" t="s">
        <v>58</v>
      </c>
      <c r="G9" s="8"/>
      <c r="H9" s="37" t="s">
        <v>18</v>
      </c>
      <c r="I9" s="8"/>
      <c r="J9" s="8"/>
      <c r="K9" s="8"/>
      <c r="L9" s="8"/>
      <c r="M9" s="8"/>
      <c r="N9" s="8"/>
      <c r="O9" s="37" t="s">
        <v>17</v>
      </c>
      <c r="P9" s="37" t="s">
        <v>59</v>
      </c>
      <c r="Q9" s="38">
        <v>10.0</v>
      </c>
      <c r="R9" s="38">
        <v>25.0</v>
      </c>
      <c r="AI9" s="38">
        <v>12.0</v>
      </c>
      <c r="AJ9" s="38"/>
      <c r="AK9" s="38">
        <v>1.0</v>
      </c>
      <c r="AL9" s="38">
        <v>3.0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39"/>
      <c r="AJ10" s="39"/>
      <c r="AK10" s="39"/>
      <c r="AL10" s="39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