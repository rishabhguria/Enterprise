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SymbolLookup" sheetId="4" r:id="rId6"/>
    <sheet state="visible" name="UpdateUDA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DailyCash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TradeNewSubOrder" sheetId="13" r:id="rId15"/>
    <sheet state="visible" name="CreateNewSub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<sst xmlns="http://schemas.openxmlformats.org/spreadsheetml/2006/main" count="151" uniqueCount="48">
  <si>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</si>
  <si>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</si>
  <si>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</si>
  <si>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</si>
  <si>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</si>
  <si>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</si>
  <si>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</si>
  <si>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</si>
  <si>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</si>
  <si>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</si>
  <si>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</si>
  <si>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</si>
  <si>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SymbolLookup</t>
  </si>
  <si>
    <t>GetDataSymbolLookup</t>
  </si>
  <si>
    <t>Data Format</t>
  </si>
  <si>
    <t>Input Format</t>
  </si>
  <si>
    <t>AAPL</t>
  </si>
  <si>
    <t>Exact</t>
  </si>
  <si>
    <t>UpdateUDA</t>
  </si>
  <si>
    <t>Yes</t>
  </si>
  <si>
    <t>aaPL</t>
  </si>
  <si>
    <t>TradingTicket</t>
  </si>
  <si>
    <t>CreateDoneAwayOrder</t>
  </si>
  <si>
    <t>Buy</t>
  </si>
  <si>
    <t>Allocation1</t>
  </si>
  <si>
    <t>PricingInput</t>
  </si>
  <si>
    <t>DailyValuation</t>
  </si>
  <si>
    <t>GetDailyCash</t>
  </si>
  <si>
    <t>UpdateDailyCash</t>
  </si>
  <si>
    <t>USD</t>
  </si>
  <si>
    <t>PTT</t>
  </si>
  <si>
    <t>CalculatePTT</t>
  </si>
  <si>
    <t>Increase</t>
  </si>
  <si>
    <t>Percentage</t>
  </si>
  <si>
    <t>No</t>
  </si>
  <si>
    <t>Account</t>
  </si>
  <si>
    <t>VerifyPTT</t>
  </si>
  <si>
    <t>CreateOrderPTT</t>
  </si>
  <si>
    <t>Blotter</t>
  </si>
  <si>
    <t>TradeNewSubOrder</t>
  </si>
  <si>
    <t>New</t>
  </si>
  <si>
    <t>CreateNewSubOrder</t>
  </si>
  <si>
    <t>Allocation</t>
  </si>
  <si>
    <t>GetDataAllocation</t>
  </si>
  <si>
    <t>Historical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</si>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</sst>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4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16</v>
      </c>
      <c r="D6" s="34" t="s">
        <v>17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 t="str">
        <f>IFERROR(__xludf.DUMMYFUNCTION("""COMPUTED_VALUE"""),"AllowCamelCase")</f>
        <v>AllowCamelCase</v>
      </c>
      <c r="K5" s="28" t="str">
        <f>IFERROR(__xludf.DUMMYFUNCTION("""COMPUTED_VALUE"""),"ACTIV Symbol")</f>
        <v>ACTIV Symbol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13" t="s">
        <v>19</v>
      </c>
      <c r="K6" s="13" t="s">
        <v>20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5" t="s">
        <v>23</v>
      </c>
      <c r="D6" s="37">
        <v>100.0</v>
      </c>
      <c r="E6" s="38">
        <v>100.0</v>
      </c>
      <c r="F6" s="35"/>
      <c r="G6" s="35"/>
      <c r="H6" s="35"/>
      <c r="I6" s="35"/>
      <c r="J6" s="38">
        <v>10.0</v>
      </c>
      <c r="K6" s="35"/>
      <c r="L6" s="35"/>
      <c r="M6" s="35"/>
      <c r="N6" s="39">
        <f>today()</f>
        <v>44909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24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15.0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</f>
        <v>44909</v>
      </c>
      <c r="C6" s="41">
        <f t="shared" si="1"/>
        <v>44909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29</v>
      </c>
      <c r="D6" s="13">
        <v>10000.0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2" t="s">
        <v>32</v>
      </c>
      <c r="D6" s="31" t="s">
        <v>33</v>
      </c>
      <c r="E6" s="38">
        <v>10.0</v>
      </c>
      <c r="F6" s="35"/>
      <c r="G6" s="35" t="s">
        <v>34</v>
      </c>
      <c r="H6" s="42" t="s">
        <v>35</v>
      </c>
      <c r="I6" s="42" t="s">
        <v>24</v>
      </c>
      <c r="J6" s="35"/>
      <c r="K6" s="43" t="s">
        <v>34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500.0</v>
      </c>
      <c r="D6" s="13">
        <v>100.0</v>
      </c>
      <c r="E6" s="13"/>
      <c r="F6" s="13"/>
      <c r="G6" s="8"/>
      <c r="H6" s="8"/>
      <c r="I6" s="13">
        <v>3.0</v>
      </c>
      <c r="J6" s="13">
        <v>103.0</v>
      </c>
      <c r="K6" s="13">
        <v>1545.0</v>
      </c>
      <c r="L6" s="13"/>
      <c r="M6" s="13"/>
      <c r="N6" s="8"/>
      <c r="O6" s="8"/>
      <c r="R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42" t="s">
        <v>32</v>
      </c>
      <c r="D6" s="31" t="s">
        <v>33</v>
      </c>
      <c r="E6" s="38">
        <v>10.0</v>
      </c>
      <c r="F6" s="35"/>
      <c r="G6" s="35" t="s">
        <v>34</v>
      </c>
      <c r="H6" s="42" t="s">
        <v>35</v>
      </c>
      <c r="I6" s="42" t="s">
        <v>24</v>
      </c>
      <c r="J6" s="35"/>
      <c r="L6" s="35"/>
      <c r="M6" s="43" t="s">
        <v>34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23</v>
      </c>
      <c r="AK6" s="9" t="s">
        <v>40</v>
      </c>
      <c r="AL6" s="13">
        <v>3.0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41">
        <f t="shared" ref="C6:D6" si="1">today()</f>
        <v>44909</v>
      </c>
      <c r="D6" s="40">
        <f t="shared" si="1"/>
        <v>44909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23</v>
      </c>
      <c r="BT6" s="9" t="s">
        <v>16</v>
      </c>
      <c r="C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13" t="s">
        <v>16</v>
      </c>
      <c r="D6" s="13"/>
      <c r="E6" s="1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23</v>
      </c>
      <c r="FJ6" s="9" t="s">
        <v>20</v>
      </c>
    </row>
    <row r="7" ht="15.75" customHeight="1">
      <c r="A7" s="8"/>
      <c r="B7" s="8"/>
      <c r="C7" s="13"/>
      <c r="D7" s="8"/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