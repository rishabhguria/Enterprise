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AllocatedGroups" sheetId="5" r:id="rId7"/>
    <sheet state="visible" name="ManualClosing" sheetId="6" r:id="rId8"/>
    <sheet state="visible" name="CheckAllocatedGroups1" sheetId="7" r:id="rId9"/>
    <sheet state="visible" name="SelectAllocatedGroup" sheetId="8" r:id="rId10"/>
    <sheet state="visible" name="VerifyClosedTrades" sheetId="9" r:id="rId11"/>
    <sheet state="visible" name="ManualClosing2" sheetId="10" r:id="rId12"/>
    <sheet state="visible" name="ManualClosing3" sheetId="11" r:id="rId13"/>
    <sheet state="visible" name="ManualClosing4" sheetId="12" r:id="rId14"/>
    <sheet state="visible" name="EditAllocatedGroupSidePanel" sheetId="13" r:id="rId15"/>
  </sheets>
  <definedNames/>
  <calcPr/>
</workbook>
</file>

<file path=xl/sharedStrings.xml><?xml version="1.0" encoding="utf-8"?>
<sst xmlns="http://schemas.openxmlformats.org/spreadsheetml/2006/main" count="241" uniqueCount="36">
  <si>
    <t>Modules Info</t>
  </si>
  <si>
    <t>Modules</t>
  </si>
  <si>
    <t>Master Data Info</t>
  </si>
  <si>
    <t>Settings</t>
  </si>
  <si>
    <t>Module</t>
  </si>
  <si>
    <t>Module Step Setting File</t>
  </si>
  <si>
    <t>1sG6uB28jAaiyaldDeMtbboQN41jJ2tAmE2rg6U9qH5o</t>
  </si>
  <si>
    <t>Step</t>
  </si>
  <si>
    <t>Master Data Settings File</t>
  </si>
  <si>
    <t>1hEhI9rg16D4Xvfk19pDaFUFF78jjfIG29BBaNg8kT0A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</si>
  <si>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</si>
  <si>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</si>
  <si>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</si>
  <si>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</si>
  <si>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</si>
  <si>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</si>
  <si>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</si>
  <si>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</si>
  <si>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</si>
  <si>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</t>
  </si>
  <si>
    <t>O:ABM 10D20.00</t>
  </si>
  <si>
    <t>Buy to Open</t>
  </si>
  <si>
    <t>BP H9</t>
  </si>
  <si>
    <t>BP U3C1240</t>
  </si>
  <si>
    <t>Sell to Close</t>
  </si>
  <si>
    <t>Allocation</t>
  </si>
  <si>
    <t>CheckAllocatedGroups</t>
  </si>
  <si>
    <t>Equity</t>
  </si>
  <si>
    <t>EquityOption</t>
  </si>
  <si>
    <t>Future</t>
  </si>
  <si>
    <t>FutureOption</t>
  </si>
  <si>
    <t>Closing</t>
  </si>
  <si>
    <t>ManualClosing</t>
  </si>
  <si>
    <t>SelectAllocatedGroup</t>
  </si>
  <si>
    <t>VerifyClosedTrades</t>
  </si>
  <si>
    <t>EditAllocatedGroupSidePanel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</si>
</sst>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14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6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IFERROR(__xludf.DUMMYFUNCTION("""COMPUTED_VALUE"""),"1ASulLlGAl--JRs7NVIiQ-6Q2Y2P3o7Y40cokKmMg-UA")</f>
        <v>1ASulLlGAl--JRs7NVIiQ-6Q2Y2P3o7Y40cokKmMg-UA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IFERROR(__xludf.DUMMYFUNCTION("""COMPUTED_VALUE"""),"153rAtnJuNh4UK26GjSOxUSjAHcOxzWv7CRGvmhrIJRs")</f>
        <v>153rAtnJuNh4UK26GjSOxUSjAHcOxzWv7CRGvmhrIJRs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IFERROR(__xludf.DUMMYFUNCTION("""COMPUTED_VALUE"""),"14c4GsPTH5D3eyeeKaMiqJQXOT6OiyIKnC2Ey2f-mzXU")</f>
        <v>14c4GsPTH5D3eyeeKaMiqJQXOT6OiyIKnC2Ey2f-mzXU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IFERROR(__xludf.DUMMYFUNCTION("""COMPUTED_VALUE"""),"1FoqTScZHaIaLmwoImnVY7WWuCKEwJNYw8_jsXiT_wz4")</f>
        <v>1FoqTScZHaIaLmwoImnVY7WWuCKEwJNYw8_jsXiT_wz4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IFERROR(__xludf.DUMMYFUNCTION("""COMPUTED_VALUE"""),"1nx-Ntcckcf-w1Yr5yyOw4Vmcr4UsalakHe-CHaRihg0")</f>
        <v>1nx-Ntcckcf-w1Yr5yyOw4Vmcr4UsalakHe-CHaRihg0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IFERROR(__xludf.DUMMYFUNCTION("""COMPUTED_VALUE"""),"1aOr-_cYT21IfJctqcBB50iQOXfB0qUo9bBesL3tt_2o")</f>
        <v>1aOr-_cYT21IfJctqcBB50iQOXfB0qUo9bBesL3tt_2o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IFERROR(__xludf.DUMMYFUNCTION("""COMPUTED_VALUE"""),"1NSNUZ7aVjKq-fJWvjMKU9f1Hhbf0UmIY3RQLFu0_U94")</f>
        <v>1NSNUZ7aVjKq-fJWvjMKU9f1Hhbf0UmIY3RQLFu0_U94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IFERROR(__xludf.DUMMYFUNCTION("""COMPUTED_VALUE"""),"1qcpgHRQFZbpv-NnW8K-CvX_auKXD5UD0KzrBvuBL6yQ")</f>
        <v>1qcpgHRQFZbpv-NnW8K-CvX_auKXD5UD0KzrBvuBL6yQ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IFERROR(__xludf.DUMMYFUNCTION("""COMPUTED_VALUE"""),"1AcxAZQwu6HAEJMCMK3bk08quIeXstZWKnCNeDGuqkgc")</f>
        <v>1AcxAZQwu6HAEJMCMK3bk08quIeXstZWKnCNeDGuqkgc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IFERROR(__xludf.DUMMYFUNCTION("""COMPUTED_VALUE"""),"1VLF0uNJJlumCyBscfuDhTN1tOv-0IRCkYlwfDU8GczQ")</f>
        <v>1VLF0uNJJlumCyBscfuDhTN1tOv-0IRCkYlwfDU8GczQ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IFERROR(__xludf.DUMMYFUNCTION("""COMPUTED_VALUE"""),"1_8MIcc2OK_ojl_V4NIwMLs9H7qkQkwyq9sDf1PpIqc8")</f>
        <v>1_8MIcc2OK_ojl_V4NIwMLs9H7qkQkwyq9sDf1PpIqc8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IFERROR(__xludf.DUMMYFUNCTION("""COMPUTED_VALUE"""),"1tN1tbsnXiVRytGN-WCzTnGTmfRxY2nBklQk3AQSJo2c")</f>
        <v>1tN1tbsnXiVRytGN-WCzTnGTmfRxY2nBklQk3AQSJo2c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IFERROR(__xludf.DUMMYFUNCTION("""COMPUTED_VALUE"""),"1VRRuQCPazoSKAv27NBzQzv_Yw_Kgakw-yyKn6w1zhKU")</f>
        <v>1VRRuQCPazoSKAv27NBzQzv_Yw_Kgakw-yyKn6w1zhKU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IFERROR(__xludf.DUMMYFUNCTION("""COMPUTED_VALUE"""),"1fGo94nf55bWXddEMlTwX902cb1V6cWr9GHWYy_sZ8IU")</f>
        <v>1fGo94nf55bWXddEMlTwX902cb1V6cWr9GHWYy_sZ8IU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IFERROR(__xludf.DUMMYFUNCTION("""COMPUTED_VALUE"""),"1rOMKu0Ez7NdxjtZC05lRrPUSa0tkOQSvbOhxjuijMsU")</f>
        <v>1rOMKu0Ez7NdxjtZC05lRrPUSa0tkOQSvbOhxjuijMsU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IFERROR(__xludf.DUMMYFUNCTION("""COMPUTED_VALUE"""),"1yBi-hp0jcYIFB6ymnlQIlx-pUUkfcjJU7Ap0azBbNcE")</f>
        <v>1yBi-hp0jcYIFB6ymnlQIlx-pUUkfcjJU7Ap0azBbNcE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IFERROR(__xludf.DUMMYFUNCTION("""COMPUTED_VALUE"""),"1x5iUjYB72ZJ35IOvQ_JQkWHV-d1FlgKY3bIxxTpk-f0")</f>
        <v>1x5iUjYB72ZJ35IOvQ_JQkWHV-d1FlgKY3bIxxTpk-f0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IFERROR(__xludf.DUMMYFUNCTION("""COMPUTED_VALUE"""),"1Li5RKULV7Lc2MLczTkVbzq0oDYcFGfTlBUO9__NoODc")</f>
        <v>1Li5RKULV7Lc2MLczTkVbzq0oDYcFGfTlBUO9__NoODc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IFERROR(__xludf.DUMMYFUNCTION("""COMPUTED_VALUE"""),"1vnIE6mL0eHSchRF1qTlJ2JL_Ylu6hiC6uOXpzq7M0BQ")</f>
        <v>1vnIE6mL0eHSchRF1qTlJ2JL_Ylu6hiC6uOXpzq7M0BQ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IFERROR(__xludf.DUMMYFUNCTION("""COMPUTED_VALUE"""),"1KCMHfIqMprTfc21JY7-_BuJZCbNmjdI-pAMs1UtHRgM")</f>
        <v>1KCMHfIqMprTfc21JY7-_BuJZCbNmjdI-pAMs1UtHRgM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IFERROR(__xludf.DUMMYFUNCTION("""COMPUTED_VALUE"""),"1tRgcAtzRVDm6tX53uSpBOxZNBYm4sTcJiDaR4fxdfwY")</f>
        <v>1tRgcAtzRVDm6tX53uSpBOxZNBYm4sTcJiDaR4fxdfwY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IFERROR(__xludf.DUMMYFUNCTION("""COMPUTED_VALUE"""),"12DQ8VFmnoIi6USj-pAupggGf1Uakm-iIEO9IboOJPds")</f>
        <v>12DQ8VFmnoIi6USj-pAupggGf1Uakm-iIEO9IboOJPds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IFERROR(__xludf.DUMMYFUNCTION("""COMPUTED_VALUE"""),"1EinrxkfbLK2Tdj1nGXu4y1H2zmS6g6G85Hm0vYSOHlA")</f>
        <v>1EinrxkfbLK2Tdj1nGXu4y1H2zmS6g6G85Hm0vYSOHlA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IFERROR(__xludf.DUMMYFUNCTION("""COMPUTED_VALUE"""),"1qeUVChEAj0eKA7tNZsUWM4FcqW347Jcsk_tvw1-FP3s")</f>
        <v>1qeUVChEAj0eKA7tNZsUWM4FcqW347Jcsk_tvw1-FP3s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IFERROR(__xludf.DUMMYFUNCTION("""COMPUTED_VALUE"""),"1aVxYFzFjJM4FVvXjfioQc67hI5XgzzCTHLg8f7lbJhU")</f>
        <v>1aVxYFzFjJM4FVvXjfioQc67hI5XgzzCTHLg8f7lbJhU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IFERROR(__xludf.DUMMYFUNCTION("""COMPUTED_VALUE"""),"1Fe8M8KnrsIcnAobjXa43I9IzXKCnB39xCSYterKkeEc")</f>
        <v>1Fe8M8KnrsIcnAobjXa43I9IzXKCnB39xCSYterKkeEc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IFERROR(__xludf.DUMMYFUNCTION("""COMPUTED_VALUE"""),"1qJHd_QH5ht3ZzeFZbKiVeEOBmlpAshwV72N701B28uk")</f>
        <v>1qJHd_QH5ht3ZzeFZbKiVeEOBmlpAshwV72N701B28uk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3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5</v>
      </c>
      <c r="B3" s="12" t="s">
        <v>6</v>
      </c>
      <c r="C3" s="8"/>
    </row>
    <row r="4" ht="15.75" customHeight="1">
      <c r="A4" s="11" t="s">
        <v>8</v>
      </c>
      <c r="B4" s="12" t="s">
        <v>9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4</v>
      </c>
      <c r="B3" s="13" t="s">
        <v>7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1b5S4Xpp4fgZ1ez6cK92QFnVBylqz8jhwxdAyEvwDqUI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13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12" t="s">
        <v>16</v>
      </c>
      <c r="C6" s="12" t="s">
        <v>17</v>
      </c>
      <c r="D6" s="12">
        <v>900.0</v>
      </c>
      <c r="E6" s="8"/>
      <c r="F6" s="12" t="s">
        <v>18</v>
      </c>
      <c r="G6" s="8"/>
      <c r="H6" s="8"/>
      <c r="I6" s="8"/>
      <c r="J6" s="12">
        <v>99.0</v>
      </c>
      <c r="K6" s="8"/>
      <c r="L6" s="8"/>
      <c r="M6" s="8"/>
      <c r="N6" s="29">
        <f t="shared" ref="N6:N7" si="1">today()</f>
        <v>43753</v>
      </c>
      <c r="O6" s="8"/>
    </row>
    <row r="7" ht="15.75" customHeight="1">
      <c r="A7" s="8"/>
      <c r="B7" s="12" t="s">
        <v>16</v>
      </c>
      <c r="C7" s="12" t="s">
        <v>19</v>
      </c>
      <c r="D7" s="12">
        <v>900.0</v>
      </c>
      <c r="E7" s="8"/>
      <c r="F7" s="12" t="s">
        <v>18</v>
      </c>
      <c r="G7" s="8"/>
      <c r="H7" s="8"/>
      <c r="I7" s="8"/>
      <c r="J7" s="12">
        <v>88.0</v>
      </c>
      <c r="K7" s="8"/>
      <c r="L7" s="8"/>
      <c r="M7" s="8"/>
      <c r="N7" s="29">
        <f t="shared" si="1"/>
        <v>43753</v>
      </c>
      <c r="O7" s="8"/>
    </row>
    <row r="8" ht="15.75" customHeight="1">
      <c r="A8" s="8"/>
      <c r="B8" s="12" t="s">
        <v>20</v>
      </c>
      <c r="C8" s="12" t="s">
        <v>21</v>
      </c>
      <c r="D8" s="12">
        <v>1000.0</v>
      </c>
      <c r="E8" s="8"/>
      <c r="F8" s="12" t="s">
        <v>18</v>
      </c>
      <c r="G8" s="8"/>
      <c r="H8" s="8"/>
      <c r="I8" s="8"/>
      <c r="J8" s="12">
        <v>41.0</v>
      </c>
      <c r="K8" s="8"/>
      <c r="L8" s="8"/>
      <c r="M8" s="8"/>
      <c r="N8" s="29">
        <f t="shared" ref="N8:N13" si="2">Today()</f>
        <v>43753</v>
      </c>
      <c r="O8" s="8"/>
    </row>
    <row r="9" ht="15.75" customHeight="1">
      <c r="A9" s="8"/>
      <c r="B9" s="12" t="s">
        <v>22</v>
      </c>
      <c r="C9" s="12" t="s">
        <v>17</v>
      </c>
      <c r="D9" s="12">
        <v>2000.0</v>
      </c>
      <c r="E9" s="8"/>
      <c r="F9" s="12" t="s">
        <v>18</v>
      </c>
      <c r="G9" s="8"/>
      <c r="H9" s="8"/>
      <c r="I9" s="8"/>
      <c r="J9" s="12">
        <v>56.0</v>
      </c>
      <c r="K9" s="8"/>
      <c r="L9" s="8"/>
      <c r="M9" s="8"/>
      <c r="N9" s="29">
        <f t="shared" si="2"/>
        <v>43753</v>
      </c>
      <c r="O9" s="8"/>
    </row>
    <row r="10" ht="15.75" customHeight="1">
      <c r="A10" s="8"/>
      <c r="B10" s="12" t="s">
        <v>23</v>
      </c>
      <c r="C10" s="12" t="s">
        <v>21</v>
      </c>
      <c r="D10" s="12">
        <v>1500.0</v>
      </c>
      <c r="E10" s="8"/>
      <c r="F10" s="12" t="s">
        <v>18</v>
      </c>
      <c r="G10" s="8"/>
      <c r="H10" s="8"/>
      <c r="I10" s="8"/>
      <c r="J10" s="12">
        <v>66.0</v>
      </c>
      <c r="K10" s="8"/>
      <c r="L10" s="8"/>
      <c r="M10" s="8"/>
      <c r="N10" s="29">
        <f t="shared" si="2"/>
        <v>43753</v>
      </c>
      <c r="O10" s="8"/>
    </row>
    <row r="11" ht="15.75" customHeight="1">
      <c r="A11" s="8"/>
      <c r="B11" s="12" t="s">
        <v>20</v>
      </c>
      <c r="C11" s="12" t="s">
        <v>24</v>
      </c>
      <c r="D11" s="12">
        <v>1000.0</v>
      </c>
      <c r="E11" s="8"/>
      <c r="F11" s="12" t="s">
        <v>18</v>
      </c>
      <c r="G11" s="8"/>
      <c r="H11" s="8"/>
      <c r="I11" s="8"/>
      <c r="J11" s="12">
        <v>55.0</v>
      </c>
      <c r="K11" s="8"/>
      <c r="L11" s="8"/>
      <c r="M11" s="8"/>
      <c r="N11" s="29">
        <f t="shared" si="2"/>
        <v>43753</v>
      </c>
      <c r="O11" s="8"/>
    </row>
    <row r="12" ht="15.75" customHeight="1">
      <c r="A12" s="8"/>
      <c r="B12" s="12" t="s">
        <v>22</v>
      </c>
      <c r="C12" s="12" t="s">
        <v>19</v>
      </c>
      <c r="D12" s="12">
        <v>2000.0</v>
      </c>
      <c r="E12" s="8"/>
      <c r="F12" s="12" t="s">
        <v>18</v>
      </c>
      <c r="G12" s="8"/>
      <c r="H12" s="8"/>
      <c r="I12" s="8"/>
      <c r="J12" s="12">
        <v>45.0</v>
      </c>
      <c r="K12" s="8"/>
      <c r="L12" s="8"/>
      <c r="M12" s="8"/>
      <c r="N12" s="29">
        <f t="shared" si="2"/>
        <v>43753</v>
      </c>
      <c r="O12" s="8"/>
    </row>
    <row r="13" ht="15.75" customHeight="1">
      <c r="A13" s="8"/>
      <c r="B13" s="12" t="s">
        <v>23</v>
      </c>
      <c r="C13" s="12" t="s">
        <v>24</v>
      </c>
      <c r="D13" s="12">
        <v>1500.0</v>
      </c>
      <c r="E13" s="8"/>
      <c r="F13" s="12" t="s">
        <v>18</v>
      </c>
      <c r="G13" s="8"/>
      <c r="H13" s="8"/>
      <c r="I13" s="8"/>
      <c r="J13" s="12">
        <v>66.0</v>
      </c>
      <c r="K13" s="8"/>
      <c r="L13" s="8"/>
      <c r="M13" s="8"/>
      <c r="N13" s="29">
        <f t="shared" si="2"/>
        <v>43753</v>
      </c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25</v>
      </c>
      <c r="D3" s="5" t="s">
        <v>7</v>
      </c>
      <c r="E3" s="21" t="s">
        <v>26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12" t="s">
        <v>18</v>
      </c>
      <c r="C6" s="8"/>
      <c r="D6" s="8"/>
      <c r="E6" s="8"/>
      <c r="F6" s="8"/>
      <c r="G6" s="12" t="s">
        <v>27</v>
      </c>
      <c r="H6" s="8"/>
      <c r="I6" s="8"/>
      <c r="J6" s="8"/>
      <c r="K6" s="8"/>
      <c r="L6" s="8"/>
      <c r="M6" s="8"/>
      <c r="N6" s="8"/>
      <c r="O6" s="8"/>
      <c r="T6" s="30">
        <v>0.0</v>
      </c>
      <c r="BJ6" s="30">
        <v>900.0</v>
      </c>
      <c r="BO6" s="30" t="s">
        <v>17</v>
      </c>
      <c r="BT6" s="30" t="s">
        <v>16</v>
      </c>
    </row>
    <row r="7" ht="15.75" customHeight="1">
      <c r="A7" s="8"/>
      <c r="B7" s="12" t="s">
        <v>18</v>
      </c>
      <c r="C7" s="8"/>
      <c r="D7" s="8"/>
      <c r="E7" s="8"/>
      <c r="F7" s="8"/>
      <c r="G7" s="12" t="s">
        <v>27</v>
      </c>
      <c r="H7" s="8"/>
      <c r="I7" s="8"/>
      <c r="J7" s="8"/>
      <c r="K7" s="8"/>
      <c r="L7" s="8"/>
      <c r="M7" s="8"/>
      <c r="N7" s="8"/>
      <c r="O7" s="8"/>
      <c r="T7" s="30">
        <v>0.0</v>
      </c>
      <c r="BJ7" s="30">
        <v>900.0</v>
      </c>
      <c r="BO7" s="30" t="s">
        <v>19</v>
      </c>
      <c r="BT7" s="30" t="s">
        <v>16</v>
      </c>
    </row>
    <row r="8" ht="15.75" customHeight="1">
      <c r="A8" s="8"/>
      <c r="B8" s="12" t="s">
        <v>18</v>
      </c>
      <c r="C8" s="8"/>
      <c r="D8" s="8"/>
      <c r="E8" s="8"/>
      <c r="F8" s="8"/>
      <c r="G8" s="12" t="s">
        <v>28</v>
      </c>
      <c r="H8" s="8"/>
      <c r="I8" s="8"/>
      <c r="J8" s="8"/>
      <c r="K8" s="8"/>
      <c r="L8" s="8"/>
      <c r="M8" s="8"/>
      <c r="N8" s="8"/>
      <c r="O8" s="8"/>
      <c r="T8" s="30">
        <v>0.0</v>
      </c>
      <c r="BJ8" s="30">
        <v>1000.0</v>
      </c>
      <c r="BO8" s="30" t="s">
        <v>21</v>
      </c>
      <c r="BT8" s="30" t="s">
        <v>20</v>
      </c>
    </row>
    <row r="9" ht="15.75" customHeight="1">
      <c r="A9" s="8"/>
      <c r="B9" s="12" t="s">
        <v>18</v>
      </c>
      <c r="C9" s="8"/>
      <c r="D9" s="8"/>
      <c r="E9" s="8"/>
      <c r="F9" s="8"/>
      <c r="G9" s="12" t="s">
        <v>29</v>
      </c>
      <c r="H9" s="8"/>
      <c r="I9" s="8"/>
      <c r="J9" s="8"/>
      <c r="K9" s="8"/>
      <c r="L9" s="8"/>
      <c r="M9" s="8"/>
      <c r="N9" s="8"/>
      <c r="O9" s="8"/>
      <c r="T9" s="30">
        <v>0.0</v>
      </c>
      <c r="BJ9" s="30">
        <v>2000.0</v>
      </c>
      <c r="BO9" s="30" t="s">
        <v>17</v>
      </c>
      <c r="BT9" s="30" t="s">
        <v>22</v>
      </c>
    </row>
    <row r="10" ht="15.75" customHeight="1">
      <c r="A10" s="8"/>
      <c r="B10" s="12" t="s">
        <v>18</v>
      </c>
      <c r="C10" s="8"/>
      <c r="D10" s="8"/>
      <c r="E10" s="8"/>
      <c r="F10" s="8"/>
      <c r="G10" s="12" t="s">
        <v>30</v>
      </c>
      <c r="H10" s="8"/>
      <c r="I10" s="8"/>
      <c r="J10" s="8"/>
      <c r="K10" s="8"/>
      <c r="L10" s="8"/>
      <c r="M10" s="8"/>
      <c r="N10" s="8"/>
      <c r="O10" s="8"/>
      <c r="T10" s="30">
        <v>0.0</v>
      </c>
      <c r="BJ10" s="30">
        <v>1500.0</v>
      </c>
      <c r="BO10" s="30" t="s">
        <v>21</v>
      </c>
      <c r="BT10" s="30" t="s">
        <v>23</v>
      </c>
    </row>
    <row r="11" ht="15.75" customHeight="1">
      <c r="A11" s="8"/>
      <c r="B11" s="12" t="s">
        <v>18</v>
      </c>
      <c r="C11" s="8"/>
      <c r="D11" s="8"/>
      <c r="E11" s="8"/>
      <c r="F11" s="8"/>
      <c r="G11" s="12" t="s">
        <v>28</v>
      </c>
      <c r="H11" s="8"/>
      <c r="I11" s="8"/>
      <c r="J11" s="8"/>
      <c r="K11" s="8"/>
      <c r="L11" s="8"/>
      <c r="M11" s="8"/>
      <c r="N11" s="8"/>
      <c r="O11" s="8"/>
      <c r="T11" s="30">
        <v>0.0</v>
      </c>
      <c r="BJ11" s="30">
        <v>1000.0</v>
      </c>
      <c r="BO11" s="30" t="s">
        <v>24</v>
      </c>
      <c r="BT11" s="30" t="s">
        <v>20</v>
      </c>
    </row>
    <row r="12" ht="15.75" customHeight="1">
      <c r="A12" s="8"/>
      <c r="B12" s="12" t="s">
        <v>18</v>
      </c>
      <c r="C12" s="8"/>
      <c r="D12" s="8"/>
      <c r="E12" s="8"/>
      <c r="F12" s="8"/>
      <c r="G12" s="12" t="s">
        <v>29</v>
      </c>
      <c r="H12" s="8"/>
      <c r="I12" s="8"/>
      <c r="J12" s="8"/>
      <c r="K12" s="8"/>
      <c r="L12" s="8"/>
      <c r="M12" s="8"/>
      <c r="N12" s="8"/>
      <c r="O12" s="8"/>
      <c r="T12" s="30">
        <v>0.0</v>
      </c>
      <c r="BJ12" s="30">
        <v>2000.0</v>
      </c>
      <c r="BO12" s="30" t="s">
        <v>19</v>
      </c>
      <c r="BT12" s="30" t="s">
        <v>22</v>
      </c>
    </row>
    <row r="13" ht="15.75" customHeight="1">
      <c r="A13" s="8"/>
      <c r="B13" s="12" t="s">
        <v>18</v>
      </c>
      <c r="C13" s="8"/>
      <c r="D13" s="8"/>
      <c r="E13" s="8"/>
      <c r="F13" s="8"/>
      <c r="G13" s="12" t="s">
        <v>30</v>
      </c>
      <c r="H13" s="8"/>
      <c r="I13" s="8"/>
      <c r="J13" s="8"/>
      <c r="K13" s="8"/>
      <c r="L13" s="8"/>
      <c r="M13" s="8"/>
      <c r="N13" s="8"/>
      <c r="O13" s="8"/>
      <c r="T13" s="30">
        <v>0.0</v>
      </c>
      <c r="BJ13" s="30">
        <v>1500.0</v>
      </c>
      <c r="BO13" s="30" t="s">
        <v>24</v>
      </c>
      <c r="BT13" s="30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31</v>
      </c>
      <c r="D3" s="5" t="s">
        <v>7</v>
      </c>
      <c r="E3" s="21" t="s">
        <v>32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b">
        <v>0</v>
      </c>
      <c r="C6" s="32" t="b">
        <v>1</v>
      </c>
      <c r="D6" s="33" t="s">
        <v>18</v>
      </c>
      <c r="E6" s="33" t="s">
        <v>27</v>
      </c>
      <c r="F6" s="33"/>
      <c r="G6" s="33"/>
      <c r="H6" s="33"/>
      <c r="I6" s="34"/>
      <c r="J6" s="33"/>
      <c r="K6" s="33"/>
      <c r="L6" s="33"/>
      <c r="M6" s="33"/>
      <c r="N6" s="33"/>
      <c r="O6" s="35">
        <v>900.0</v>
      </c>
      <c r="P6" s="33"/>
      <c r="Q6" s="33"/>
      <c r="R6" s="33"/>
      <c r="S6" s="33"/>
      <c r="T6" s="31"/>
      <c r="U6" s="31"/>
      <c r="V6" s="31" t="s">
        <v>17</v>
      </c>
      <c r="W6" s="31"/>
      <c r="X6" s="36" t="s">
        <v>16</v>
      </c>
      <c r="Y6" s="31"/>
      <c r="Z6" s="31"/>
      <c r="AA6" s="31"/>
      <c r="AB6" s="31"/>
      <c r="AC6" s="31"/>
      <c r="AD6" s="31"/>
      <c r="AE6" s="31" t="s">
        <v>18</v>
      </c>
      <c r="AF6" s="31" t="s">
        <v>27</v>
      </c>
      <c r="AG6" s="31"/>
      <c r="AH6" s="31"/>
      <c r="AI6" s="31"/>
      <c r="AJ6" s="31"/>
      <c r="AK6" s="31"/>
      <c r="AL6" s="31"/>
      <c r="AM6" s="31"/>
      <c r="AN6" s="31"/>
      <c r="AO6" s="31"/>
      <c r="AP6" s="37">
        <v>900.0</v>
      </c>
      <c r="AQ6" s="31"/>
      <c r="AR6" s="31"/>
      <c r="AS6" s="31"/>
      <c r="AT6" s="31"/>
      <c r="AU6" s="31"/>
      <c r="AV6" s="31"/>
      <c r="AW6" s="31" t="s">
        <v>19</v>
      </c>
      <c r="AX6" s="31"/>
      <c r="AY6" s="36" t="s">
        <v>16</v>
      </c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25</v>
      </c>
      <c r="D3" s="5" t="s">
        <v>7</v>
      </c>
      <c r="E3" s="21" t="s">
        <v>26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12" t="s">
        <v>18</v>
      </c>
      <c r="C6" s="8"/>
      <c r="D6" s="8"/>
      <c r="E6" s="8"/>
      <c r="F6" s="8"/>
      <c r="G6" s="38" t="s">
        <v>27</v>
      </c>
      <c r="H6" s="8"/>
      <c r="I6" s="8"/>
      <c r="J6" s="8"/>
      <c r="K6" s="8"/>
      <c r="L6" s="8"/>
      <c r="M6" s="8"/>
      <c r="N6" s="8"/>
      <c r="O6" s="8"/>
      <c r="T6" s="30">
        <v>0.0</v>
      </c>
      <c r="BJ6" s="39">
        <v>900.0</v>
      </c>
      <c r="BO6" s="30" t="s">
        <v>17</v>
      </c>
      <c r="BT6" s="30" t="s">
        <v>16</v>
      </c>
    </row>
    <row r="7" ht="15.75" customHeight="1">
      <c r="A7" s="8"/>
      <c r="B7" s="12" t="s">
        <v>18</v>
      </c>
      <c r="C7" s="8"/>
      <c r="D7" s="8"/>
      <c r="E7" s="8"/>
      <c r="F7" s="8"/>
      <c r="G7" s="40" t="s">
        <v>27</v>
      </c>
      <c r="H7" s="8"/>
      <c r="I7" s="8"/>
      <c r="J7" s="8"/>
      <c r="K7" s="8"/>
      <c r="L7" s="8"/>
      <c r="M7" s="8"/>
      <c r="N7" s="8"/>
      <c r="O7" s="8"/>
      <c r="T7" s="30">
        <v>0.0</v>
      </c>
      <c r="BJ7" s="39">
        <v>900.0</v>
      </c>
      <c r="BO7" s="30" t="s">
        <v>19</v>
      </c>
      <c r="BT7" s="30" t="s">
        <v>16</v>
      </c>
    </row>
    <row r="8" ht="15.75" customHeight="1">
      <c r="A8" s="8"/>
      <c r="B8" s="12" t="s">
        <v>18</v>
      </c>
      <c r="C8" s="8"/>
      <c r="D8" s="8"/>
      <c r="E8" s="8"/>
      <c r="F8" s="8"/>
      <c r="G8" s="40" t="s">
        <v>28</v>
      </c>
      <c r="H8" s="8"/>
      <c r="I8" s="8"/>
      <c r="J8" s="8"/>
      <c r="K8" s="8"/>
      <c r="L8" s="8"/>
      <c r="M8" s="8"/>
      <c r="N8" s="8"/>
      <c r="O8" s="8"/>
      <c r="T8" s="30">
        <v>0.0</v>
      </c>
      <c r="BJ8" s="39">
        <v>1000.0</v>
      </c>
      <c r="BO8" s="31" t="s">
        <v>21</v>
      </c>
      <c r="BT8" s="41" t="s">
        <v>20</v>
      </c>
    </row>
    <row r="9" ht="15.75" customHeight="1">
      <c r="A9" s="8"/>
      <c r="B9" s="12" t="s">
        <v>18</v>
      </c>
      <c r="C9" s="8"/>
      <c r="D9" s="8"/>
      <c r="E9" s="8"/>
      <c r="F9" s="8"/>
      <c r="G9" s="40" t="s">
        <v>29</v>
      </c>
      <c r="H9" s="8"/>
      <c r="I9" s="8"/>
      <c r="J9" s="8"/>
      <c r="K9" s="8"/>
      <c r="L9" s="8"/>
      <c r="M9" s="8"/>
      <c r="N9" s="8"/>
      <c r="O9" s="8"/>
      <c r="T9" s="30">
        <v>0.0</v>
      </c>
      <c r="BJ9" s="39">
        <v>2000.0</v>
      </c>
      <c r="BO9" s="31" t="s">
        <v>17</v>
      </c>
      <c r="BT9" s="31" t="s">
        <v>22</v>
      </c>
    </row>
    <row r="10" ht="15.75" customHeight="1">
      <c r="A10" s="8"/>
      <c r="B10" s="12" t="s">
        <v>18</v>
      </c>
      <c r="C10" s="8"/>
      <c r="D10" s="8"/>
      <c r="E10" s="8"/>
      <c r="F10" s="8"/>
      <c r="G10" s="40" t="s">
        <v>30</v>
      </c>
      <c r="H10" s="8"/>
      <c r="I10" s="8"/>
      <c r="J10" s="8"/>
      <c r="K10" s="8"/>
      <c r="L10" s="8"/>
      <c r="M10" s="8"/>
      <c r="N10" s="8"/>
      <c r="O10" s="8"/>
      <c r="T10" s="30">
        <v>0.0</v>
      </c>
      <c r="BJ10" s="39">
        <v>1500.0</v>
      </c>
      <c r="BO10" s="31" t="s">
        <v>21</v>
      </c>
      <c r="BT10" s="31" t="s">
        <v>23</v>
      </c>
    </row>
    <row r="11" ht="15.75" customHeight="1">
      <c r="A11" s="8"/>
      <c r="B11" s="12" t="s">
        <v>18</v>
      </c>
      <c r="C11" s="8"/>
      <c r="D11" s="8"/>
      <c r="E11" s="8"/>
      <c r="F11" s="8"/>
      <c r="G11" s="40" t="s">
        <v>28</v>
      </c>
      <c r="H11" s="8"/>
      <c r="I11" s="8"/>
      <c r="J11" s="8"/>
      <c r="K11" s="8"/>
      <c r="L11" s="8"/>
      <c r="M11" s="8"/>
      <c r="N11" s="8"/>
      <c r="O11" s="8"/>
      <c r="T11" s="30">
        <v>0.0</v>
      </c>
      <c r="BJ11" s="39">
        <v>1000.0</v>
      </c>
      <c r="BO11" s="31" t="s">
        <v>24</v>
      </c>
      <c r="BT11" s="41" t="s">
        <v>20</v>
      </c>
    </row>
    <row r="12" ht="15.75" customHeight="1">
      <c r="A12" s="8"/>
      <c r="B12" s="12" t="s">
        <v>18</v>
      </c>
      <c r="C12" s="8"/>
      <c r="D12" s="8"/>
      <c r="E12" s="8"/>
      <c r="F12" s="8"/>
      <c r="G12" s="40" t="s">
        <v>29</v>
      </c>
      <c r="H12" s="8"/>
      <c r="I12" s="8"/>
      <c r="J12" s="8"/>
      <c r="K12" s="8"/>
      <c r="L12" s="8"/>
      <c r="M12" s="8"/>
      <c r="N12" s="8"/>
      <c r="O12" s="8"/>
      <c r="T12" s="30">
        <v>0.0</v>
      </c>
      <c r="BJ12" s="39">
        <v>2000.0</v>
      </c>
      <c r="BO12" s="31" t="s">
        <v>19</v>
      </c>
      <c r="BT12" s="31" t="s">
        <v>22</v>
      </c>
    </row>
    <row r="13" ht="15.75" customHeight="1">
      <c r="A13" s="8"/>
      <c r="B13" s="12" t="s">
        <v>18</v>
      </c>
      <c r="C13" s="8"/>
      <c r="D13" s="8"/>
      <c r="E13" s="8"/>
      <c r="F13" s="8"/>
      <c r="G13" s="40" t="s">
        <v>30</v>
      </c>
      <c r="H13" s="8"/>
      <c r="I13" s="8"/>
      <c r="J13" s="8"/>
      <c r="K13" s="8"/>
      <c r="L13" s="8"/>
      <c r="M13" s="8"/>
      <c r="N13" s="8"/>
      <c r="O13" s="8"/>
      <c r="T13" s="30">
        <v>60.0</v>
      </c>
      <c r="BJ13" s="39">
        <v>1500.0</v>
      </c>
      <c r="BO13" s="31" t="s">
        <v>24</v>
      </c>
      <c r="BT13" s="31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1-RJhOo2E5PhyqaiMEjsPi8RpfYBuiSqE9fj_-bRpkKw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25</v>
      </c>
      <c r="D3" s="5" t="s">
        <v>7</v>
      </c>
      <c r="E3" s="21" t="s">
        <v>33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12" t="s">
        <v>16</v>
      </c>
      <c r="C6" s="12">
        <v>900.0</v>
      </c>
      <c r="D6" s="8"/>
      <c r="E6" s="12" t="s">
        <v>18</v>
      </c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900.0</v>
      </c>
      <c r="D7" s="8"/>
      <c r="E7" s="12" t="s">
        <v>18</v>
      </c>
      <c r="F7" s="12" t="s">
        <v>19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>
        <v>1000.0</v>
      </c>
      <c r="D8" s="8"/>
      <c r="E8" s="12" t="s">
        <v>18</v>
      </c>
      <c r="F8" s="12" t="s">
        <v>21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>
        <v>2000.0</v>
      </c>
      <c r="D9" s="8"/>
      <c r="E9" s="12" t="s">
        <v>18</v>
      </c>
      <c r="F9" s="12" t="s">
        <v>17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23</v>
      </c>
      <c r="C10" s="12">
        <v>1500.0</v>
      </c>
      <c r="D10" s="8"/>
      <c r="E10" s="12" t="s">
        <v>18</v>
      </c>
      <c r="F10" s="12" t="s">
        <v>21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20</v>
      </c>
      <c r="C11" s="12">
        <v>1000.0</v>
      </c>
      <c r="D11" s="8"/>
      <c r="E11" s="12" t="s">
        <v>18</v>
      </c>
      <c r="F11" s="12" t="s">
        <v>24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22</v>
      </c>
      <c r="C12" s="12">
        <v>2000.0</v>
      </c>
      <c r="D12" s="8"/>
      <c r="E12" s="12" t="s">
        <v>18</v>
      </c>
      <c r="F12" s="12" t="s">
        <v>19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23</v>
      </c>
      <c r="C13" s="12">
        <v>1500.0</v>
      </c>
      <c r="D13" s="8"/>
      <c r="E13" s="12" t="s">
        <v>18</v>
      </c>
      <c r="F13" s="12" t="s">
        <v>24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31</v>
      </c>
      <c r="D3" s="5" t="s">
        <v>7</v>
      </c>
      <c r="E3" s="21" t="s">
        <v>34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8"/>
      <c r="D6" s="12" t="s">
        <v>18</v>
      </c>
      <c r="E6" s="8"/>
      <c r="F6" s="8"/>
      <c r="G6" s="12" t="s">
        <v>27</v>
      </c>
      <c r="H6" s="12" t="s">
        <v>16</v>
      </c>
      <c r="I6" s="8"/>
      <c r="J6" s="8"/>
      <c r="K6" s="8"/>
      <c r="L6" s="8"/>
      <c r="M6" s="8"/>
      <c r="N6" s="8"/>
      <c r="O6" s="8"/>
      <c r="Q6" s="30" t="s">
        <v>19</v>
      </c>
    </row>
    <row r="7" ht="15.75" customHeight="1">
      <c r="A7" s="8"/>
      <c r="B7" s="8"/>
      <c r="C7" s="8"/>
      <c r="D7" s="12" t="s">
        <v>18</v>
      </c>
      <c r="E7" s="8"/>
      <c r="F7" s="8"/>
      <c r="G7" s="12" t="s">
        <v>28</v>
      </c>
      <c r="H7" s="12" t="s">
        <v>20</v>
      </c>
      <c r="I7" s="8"/>
      <c r="J7" s="8"/>
      <c r="K7" s="8"/>
      <c r="L7" s="8"/>
      <c r="M7" s="8"/>
      <c r="N7" s="8"/>
      <c r="O7" s="8"/>
      <c r="Q7" s="30" t="s">
        <v>24</v>
      </c>
    </row>
    <row r="8" ht="15.75" customHeight="1">
      <c r="A8" s="8"/>
      <c r="B8" s="8"/>
      <c r="C8" s="8"/>
      <c r="D8" s="12" t="s">
        <v>18</v>
      </c>
      <c r="E8" s="8"/>
      <c r="F8" s="8"/>
      <c r="G8" s="12" t="s">
        <v>29</v>
      </c>
      <c r="H8" s="12" t="s">
        <v>22</v>
      </c>
      <c r="I8" s="8"/>
      <c r="J8" s="8"/>
      <c r="K8" s="8"/>
      <c r="L8" s="8"/>
      <c r="M8" s="8"/>
      <c r="N8" s="8"/>
      <c r="O8" s="8"/>
      <c r="Q8" s="30" t="s">
        <v>19</v>
      </c>
    </row>
    <row r="9" ht="15.75" customHeight="1">
      <c r="A9" s="8"/>
      <c r="B9" s="8"/>
      <c r="C9" s="8"/>
      <c r="D9" s="12" t="s">
        <v>18</v>
      </c>
      <c r="E9" s="8"/>
      <c r="F9" s="8"/>
      <c r="G9" s="12" t="s">
        <v>30</v>
      </c>
      <c r="H9" s="12" t="s">
        <v>23</v>
      </c>
      <c r="I9" s="8"/>
      <c r="J9" s="8"/>
      <c r="K9" s="8"/>
      <c r="L9" s="8"/>
      <c r="M9" s="8"/>
      <c r="N9" s="8"/>
      <c r="O9" s="8"/>
      <c r="Q9" s="30" t="s">
        <v>24</v>
      </c>
    </row>
    <row r="10" ht="15.75" customHeight="1">
      <c r="A10" s="8"/>
      <c r="B10" s="8"/>
      <c r="C10" s="8"/>
      <c r="D10" s="1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12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12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12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31</v>
      </c>
      <c r="D3" s="5" t="s">
        <v>7</v>
      </c>
      <c r="E3" s="21" t="s">
        <v>32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12" t="b">
        <v>0</v>
      </c>
      <c r="C6" s="12" t="b">
        <v>1</v>
      </c>
      <c r="D6" s="12" t="s">
        <v>18</v>
      </c>
      <c r="E6" s="12" t="s">
        <v>28</v>
      </c>
      <c r="F6" s="8"/>
      <c r="G6" s="8"/>
      <c r="H6" s="8"/>
      <c r="I6" s="8"/>
      <c r="J6" s="8"/>
      <c r="K6" s="8"/>
      <c r="L6" s="8"/>
      <c r="M6" s="8"/>
      <c r="N6" s="8"/>
      <c r="O6" s="12">
        <v>1000.0</v>
      </c>
      <c r="V6" s="30" t="s">
        <v>21</v>
      </c>
      <c r="X6" s="30" t="s">
        <v>20</v>
      </c>
      <c r="AE6" s="36" t="s">
        <v>18</v>
      </c>
      <c r="AF6" s="30" t="s">
        <v>28</v>
      </c>
      <c r="AP6" s="30">
        <v>1000.0</v>
      </c>
      <c r="AW6" s="30" t="s">
        <v>24</v>
      </c>
      <c r="AY6" s="30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31</v>
      </c>
      <c r="D3" s="5" t="s">
        <v>7</v>
      </c>
      <c r="E3" s="21" t="s">
        <v>32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42" t="b">
        <v>0</v>
      </c>
      <c r="C6" s="42" t="b">
        <v>1</v>
      </c>
      <c r="D6" s="40" t="s">
        <v>18</v>
      </c>
      <c r="E6" s="40" t="s">
        <v>29</v>
      </c>
      <c r="F6" s="31"/>
      <c r="G6" s="31"/>
      <c r="H6" s="31"/>
      <c r="I6" s="31"/>
      <c r="J6" s="31"/>
      <c r="K6" s="31"/>
      <c r="L6" s="31"/>
      <c r="M6" s="31"/>
      <c r="N6" s="31"/>
      <c r="O6" s="43">
        <v>2000.0</v>
      </c>
      <c r="P6" s="31"/>
      <c r="Q6" s="31"/>
      <c r="R6" s="31"/>
      <c r="S6" s="31"/>
      <c r="T6" s="31"/>
      <c r="U6" s="31"/>
      <c r="V6" s="31" t="s">
        <v>17</v>
      </c>
      <c r="W6" s="31"/>
      <c r="X6" s="31" t="s">
        <v>22</v>
      </c>
      <c r="Y6" s="31"/>
      <c r="Z6" s="31"/>
      <c r="AA6" s="31"/>
      <c r="AB6" s="31"/>
      <c r="AC6" s="31"/>
      <c r="AD6" s="31"/>
      <c r="AE6" s="31" t="s">
        <v>18</v>
      </c>
      <c r="AF6" s="31" t="s">
        <v>29</v>
      </c>
      <c r="AG6" s="31"/>
      <c r="AH6" s="31"/>
      <c r="AI6" s="31"/>
      <c r="AJ6" s="31"/>
      <c r="AK6" s="31"/>
      <c r="AL6" s="31"/>
      <c r="AM6" s="31"/>
      <c r="AN6" s="31"/>
      <c r="AO6" s="31"/>
      <c r="AP6" s="39">
        <v>2000.0</v>
      </c>
      <c r="AQ6" s="31"/>
      <c r="AR6" s="31"/>
      <c r="AS6" s="31"/>
      <c r="AT6" s="31"/>
      <c r="AU6" s="31"/>
      <c r="AV6" s="31"/>
      <c r="AW6" s="31" t="s">
        <v>19</v>
      </c>
      <c r="AX6" s="31"/>
      <c r="AY6" s="31" t="s">
        <v>22</v>
      </c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31</v>
      </c>
      <c r="D3" s="5" t="s">
        <v>7</v>
      </c>
      <c r="E3" s="21" t="s">
        <v>32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42" t="b">
        <v>0</v>
      </c>
      <c r="C6" s="42" t="b">
        <v>1</v>
      </c>
      <c r="D6" s="40" t="s">
        <v>18</v>
      </c>
      <c r="E6" s="40" t="s">
        <v>30</v>
      </c>
      <c r="F6" s="31"/>
      <c r="G6" s="31"/>
      <c r="H6" s="31"/>
      <c r="I6" s="31"/>
      <c r="J6" s="31"/>
      <c r="K6" s="31"/>
      <c r="L6" s="31"/>
      <c r="M6" s="31"/>
      <c r="N6" s="31"/>
      <c r="O6" s="43">
        <v>1500.0</v>
      </c>
      <c r="P6" s="31"/>
      <c r="Q6" s="31"/>
      <c r="R6" s="31"/>
      <c r="S6" s="31"/>
      <c r="T6" s="31"/>
      <c r="U6" s="31"/>
      <c r="V6" s="31" t="s">
        <v>21</v>
      </c>
      <c r="W6" s="31"/>
      <c r="X6" s="31" t="s">
        <v>23</v>
      </c>
      <c r="Y6" s="31"/>
      <c r="Z6" s="31"/>
      <c r="AA6" s="31"/>
      <c r="AB6" s="31"/>
      <c r="AC6" s="31"/>
      <c r="AD6" s="31"/>
      <c r="AE6" s="31" t="s">
        <v>18</v>
      </c>
      <c r="AF6" s="31" t="s">
        <v>30</v>
      </c>
      <c r="AG6" s="31"/>
      <c r="AH6" s="31"/>
      <c r="AI6" s="31"/>
      <c r="AJ6" s="31"/>
      <c r="AK6" s="31"/>
      <c r="AL6" s="31"/>
      <c r="AM6" s="31"/>
      <c r="AN6" s="31"/>
      <c r="AO6" s="31"/>
      <c r="AP6" s="39">
        <v>1500.0</v>
      </c>
      <c r="AQ6" s="31"/>
      <c r="AR6" s="31"/>
      <c r="AS6" s="31"/>
      <c r="AT6" s="31"/>
      <c r="AU6" s="31"/>
      <c r="AV6" s="31"/>
      <c r="AW6" s="31" t="s">
        <v>24</v>
      </c>
      <c r="AX6" s="31"/>
      <c r="AY6" s="31" t="s">
        <v>23</v>
      </c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ManualClosing4!$4:$4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4</v>
      </c>
      <c r="C3" s="21" t="s">
        <v>25</v>
      </c>
      <c r="D3" s="5" t="s">
        <v>7</v>
      </c>
      <c r="E3" s="21" t="s">
        <v>35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IFERROR(__xludf.DUMMYFUNCTION("""COMPUTED_VALUE"""),"AvgPrice")</f>
        <v>AvgPrice</v>
      </c>
      <c r="C5" s="26" t="str">
        <f>IFERROR(__xludf.DUMMYFUNCTION("""COMPUTED_VALUE"""),"Commission")</f>
        <v>Commission</v>
      </c>
      <c r="D5" s="26" t="str">
        <f>IFERROR(__xludf.DUMMYFUNCTION("""COMPUTED_VALUE"""),"SoftCommission")</f>
        <v>SoftCommission</v>
      </c>
      <c r="E5" s="26" t="str">
        <f>IFERROR(__xludf.DUMMYFUNCTION("""COMPUTED_VALUE"""),"OtherBrokerFees")</f>
        <v>OtherBrokerFees</v>
      </c>
      <c r="F5" s="27" t="str">
        <f>IFERROR(__xludf.DUMMYFUNCTION("""COMPUTED_VALUE"""),"ClearingBrokerFees")</f>
        <v>ClearingBrokerFees</v>
      </c>
      <c r="G5" s="26" t="str">
        <f>IFERROR(__xludf.DUMMYFUNCTION("""COMPUTED_VALUE"""),"StampDuty")</f>
        <v>StampDuty</v>
      </c>
      <c r="H5" s="26" t="str">
        <f>IFERROR(__xludf.DUMMYFUNCTION("""COMPUTED_VALUE"""),"TransactionLevy")</f>
        <v>TransactionLevy</v>
      </c>
      <c r="I5" s="26" t="str">
        <f>IFERROR(__xludf.DUMMYFUNCTION("""COMPUTED_VALUE"""),"AUECFee1")</f>
        <v>AUECFee1</v>
      </c>
      <c r="J5" s="26" t="str">
        <f>IFERROR(__xludf.DUMMYFUNCTION("""COMPUTED_VALUE"""),"TaxOnCommissions")</f>
        <v>TaxOnCommissions</v>
      </c>
      <c r="K5" s="26" t="str">
        <f>IFERROR(__xludf.DUMMYFUNCTION("""COMPUTED_VALUE"""),"AUECFee2")</f>
        <v>AUECFee2</v>
      </c>
      <c r="L5" s="26" t="str">
        <f>IFERROR(__xludf.DUMMYFUNCTION("""COMPUTED_VALUE"""),"SecFee")</f>
        <v>SecFee</v>
      </c>
      <c r="M5" s="26" t="str">
        <f>IFERROR(__xludf.DUMMYFUNCTION("""COMPUTED_VALUE"""),"OccFee")</f>
        <v>OccFee</v>
      </c>
      <c r="N5" s="26" t="str">
        <f>IFERROR(__xludf.DUMMYFUNCTION("""COMPUTED_VALUE"""),"OrfFee")</f>
        <v>OrfFee</v>
      </c>
      <c r="O5" s="26" t="str">
        <f>IFERROR(__xludf.DUMMYFUNCTION("""COMPUTED_VALUE"""),"Broker")</f>
        <v>Broker</v>
      </c>
      <c r="P5" s="26" t="str">
        <f>IFERROR(__xludf.DUMMYFUNCTION("""COMPUTED_VALUE"""),"Venue")</f>
        <v>Venue</v>
      </c>
      <c r="Q5" s="26" t="str">
        <f>IFERROR(__xludf.DUMMYFUNCTION("""COMPUTED_VALUE"""),"Description")</f>
        <v>Description</v>
      </c>
      <c r="R5" s="26" t="str">
        <f>IFERROR(__xludf.DUMMYFUNCTION("""COMPUTED_VALUE"""),"InternalComments")</f>
        <v>InternalComments</v>
      </c>
      <c r="S5" s="26" t="str">
        <f>IFERROR(__xludf.DUMMYFUNCTION("""COMPUTED_VALUE"""),"FXRate")</f>
        <v>FXRate</v>
      </c>
      <c r="T5" s="28" t="str">
        <f>IFERROR(__xludf.DUMMYFUNCTION("""COMPUTED_VALUE"""),"FxConvOperator")</f>
        <v>FxConvOperator</v>
      </c>
      <c r="U5" s="28" t="str">
        <f>IFERROR(__xludf.DUMMYFUNCTION("""COMPUTED_VALUE"""),"AccruedInterest")</f>
        <v>AccruedInterest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12">
        <v>60.0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1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1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1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1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