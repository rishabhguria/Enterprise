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GetDataAllocation" sheetId="12" r:id="rId14"/>
    <sheet state="visible" name="CheckAllocatedGroups" sheetId="13" r:id="rId15"/>
    <sheet state="visible" name="Unallocate" sheetId="14" r:id="rId16"/>
    <sheet state="visible" name="SelectUnallocatedGroup" sheetId="15" r:id="rId17"/>
    <sheet state="visible" name="EnterCustomAllocatePreference" sheetId="16" r:id="rId18"/>
    <sheet state="visible" name="EnterAccountValuesToAllocate" sheetId="17" r:id="rId19"/>
    <sheet state="visible" name="CheckAllocatedGroups1" sheetId="18" r:id="rId20"/>
    <sheet state="visible" name="GetDataClosing" sheetId="19" r:id="rId21"/>
    <sheet state="visible" name="VerifyLongPositionsGrid" sheetId="20" r:id="rId22"/>
  </sheets>
  <definedNames/>
  <calcPr/>
</workbook>
</file>

<file path=xl/sharedStrings.xml><?xml version="1.0" encoding="utf-8"?>
<sst xmlns="http://schemas.openxmlformats.org/spreadsheetml/2006/main" count="226" uniqueCount="55">
  <si>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</si>
  <si>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</si>
  <si>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</si>
  <si>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</si>
  <si>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</si>
  <si>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</si>
  <si>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</si>
  <si>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</si>
  <si>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</si>
  <si>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</si>
  <si>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</si>
  <si>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</si>
  <si>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</si>
  <si>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</si>
  <si>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</si>
  <si>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</si>
  <si>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</si>
  <si>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</si>
  <si>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</si>
  <si>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</si>
  <si>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</si>
  <si>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</si>
  <si>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</si>
  <si>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</si>
  <si>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Allocation1,Allocation3</t>
  </si>
  <si>
    <t>50,50</t>
  </si>
  <si>
    <t>PricingInput</t>
  </si>
  <si>
    <t>PTT</t>
  </si>
  <si>
    <t>CalculatePTT</t>
  </si>
  <si>
    <t>Increase</t>
  </si>
  <si>
    <t>Percentage</t>
  </si>
  <si>
    <t>No</t>
  </si>
  <si>
    <t>Account</t>
  </si>
  <si>
    <t>VerifyPTT</t>
  </si>
  <si>
    <t>TradePTT</t>
  </si>
  <si>
    <t>Allocation</t>
  </si>
  <si>
    <t>GetDataAllocation</t>
  </si>
  <si>
    <t xml:space="preserve">Current </t>
  </si>
  <si>
    <t>CheckAllocatedGroups</t>
  </si>
  <si>
    <t>Multiple</t>
  </si>
  <si>
    <t>MS</t>
  </si>
  <si>
    <t>Open</t>
  </si>
  <si>
    <t>NASDAQ</t>
  </si>
  <si>
    <t>M</t>
  </si>
  <si>
    <t>US</t>
  </si>
  <si>
    <t>Unallocate</t>
  </si>
  <si>
    <t>SelectUnallocatedGroup</t>
  </si>
  <si>
    <t>EnterCustomAllocatePreference</t>
  </si>
  <si>
    <t>Calculated</t>
  </si>
  <si>
    <t>EnterAccountValuesToAllocate</t>
  </si>
  <si>
    <t>Closing</t>
  </si>
  <si>
    <t>GetDataClosing</t>
  </si>
  <si>
    <t>Current</t>
  </si>
  <si>
    <t>VerifyLongPositionsGrid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</si>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</sst>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1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vertical="bottom"/>
    </xf>
    <xf borderId="5" fillId="0" fontId="13" numFmtId="164" xfId="0" applyAlignment="1" applyBorder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5" fillId="0" fontId="5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13" numFmtId="0" xfId="0" applyAlignment="1" applyFont="1">
      <alignment readingOrder="0" shrinkToFit="0" wrapText="0"/>
    </xf>
    <xf borderId="0" fillId="0" fontId="13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IFERROR(__xludf.DUMMYFUNCTION("""COMPUTED_VALUE"""),"SetDefaultSymbology")</f>
        <v>SetDefaultSymbology</v>
      </c>
      <c r="C453" t="str">
        <f>IFERROR(__xludf.DUMMYFUNCTION("""COMPUTED_VALUE"""),"1b7zlTIVQjL2vZc0hUNmY0Nj3YpQi8BtYcWMr8_hvABw")</f>
        <v>1b7zlTIVQjL2vZc0hUNmY0Nj3YpQi8BtYcWMr8_hvABw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IFERROR(__xludf.DUMMYFUNCTION("""COMPUTED_VALUE"""),"EnterCustomAllocatePreference")</f>
        <v>EnterCustomAllocatePreference</v>
      </c>
      <c r="C454" t="str">
        <f>IFERROR(__xludf.DUMMYFUNCTION("""COMPUTED_VALUE"""),"1eNnQSyrPr_L4TcV7izBj89sySDQaYK6gNqNVbd2ChKE")</f>
        <v>1eNnQSyrPr_L4TcV7izBj89sySDQaYK6gNqNVbd2ChKE</v>
      </c>
    </row>
    <row r="455" ht="15.75" customHeight="1">
      <c r="A455" t="str">
        <f>IFERROR(__xludf.DUMMYFUNCTION("""COMPUTED_VALUE"""),"PTT")</f>
        <v>PTT</v>
      </c>
      <c r="B455" t="str">
        <f>IFERROR(__xludf.DUMMYFUNCTION("""COMPUTED_VALUE"""),"EditPTTAccountLevelWPF")</f>
        <v>EditPTTAccountLevelWPF</v>
      </c>
      <c r="C455" t="str">
        <f>IFERROR(__xludf.DUMMYFUNCTION("""COMPUTED_VALUE"""),"1lkoB4yg9KAzhNswvpJ9xWcz4YPaysGRGQuXBp7wigzQ")</f>
        <v>1lkoB4yg9KAzhNswvpJ9xWcz4YPaysGRGQuXBp7wigzQ</v>
      </c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44096</v>
      </c>
      <c r="C6" s="31">
        <f t="shared" si="1"/>
        <v>44096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2" t="s">
        <v>18</v>
      </c>
      <c r="D6" s="34">
        <v>40000.0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18</v>
      </c>
      <c r="D7" s="35">
        <v>40000.0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2" t="s">
        <v>23</v>
      </c>
      <c r="D6" s="34">
        <v>100.0</v>
      </c>
      <c r="E6" s="36">
        <v>100.0</v>
      </c>
      <c r="F6" s="32"/>
      <c r="G6" s="32"/>
      <c r="H6" s="32"/>
      <c r="I6" s="32"/>
      <c r="J6" s="36">
        <v>20.0</v>
      </c>
      <c r="K6" s="32"/>
      <c r="L6" s="32"/>
      <c r="M6" s="32"/>
      <c r="N6" s="31">
        <f>TODAY()</f>
        <v>44097</v>
      </c>
      <c r="O6" s="36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24</v>
      </c>
      <c r="AL6" s="33" t="s">
        <v>25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6">
        <v>20.0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22</v>
      </c>
      <c r="C6" s="38" t="s">
        <v>29</v>
      </c>
      <c r="D6" s="39" t="s">
        <v>30</v>
      </c>
      <c r="E6" s="36">
        <v>5.0</v>
      </c>
      <c r="F6" s="32"/>
      <c r="G6" s="38" t="s">
        <v>31</v>
      </c>
      <c r="H6" s="38" t="s">
        <v>32</v>
      </c>
      <c r="I6" s="40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41" t="s">
        <v>17</v>
      </c>
      <c r="C6" s="42">
        <v>40000.0</v>
      </c>
      <c r="D6" s="43">
        <v>50.0</v>
      </c>
      <c r="E6" s="42">
        <v>1000.0</v>
      </c>
      <c r="F6" s="42">
        <v>2.5</v>
      </c>
      <c r="G6" s="42">
        <v>5.0</v>
      </c>
      <c r="H6" s="42">
        <v>7.5</v>
      </c>
      <c r="I6" s="42">
        <v>100.0</v>
      </c>
      <c r="J6" s="42">
        <v>150.0</v>
      </c>
      <c r="K6" s="42">
        <v>3000.0</v>
      </c>
      <c r="L6" s="42">
        <v>50.0</v>
      </c>
      <c r="M6" s="42">
        <v>1.0</v>
      </c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4" t="s">
        <v>19</v>
      </c>
      <c r="C7" s="45">
        <v>40000.0</v>
      </c>
      <c r="D7" s="45">
        <v>50.0</v>
      </c>
      <c r="E7" s="45">
        <v>1000.0</v>
      </c>
      <c r="F7" s="45">
        <v>2.5</v>
      </c>
      <c r="G7" s="45">
        <v>5.0</v>
      </c>
      <c r="H7" s="45">
        <v>7.5</v>
      </c>
      <c r="I7" s="45">
        <v>100.0</v>
      </c>
      <c r="J7" s="45">
        <v>150.0</v>
      </c>
      <c r="K7" s="45">
        <v>3000.0</v>
      </c>
      <c r="L7" s="45">
        <v>50.0</v>
      </c>
      <c r="M7" s="45">
        <v>1.0</v>
      </c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22</v>
      </c>
      <c r="C6" s="38" t="s">
        <v>29</v>
      </c>
      <c r="D6" s="39" t="s">
        <v>30</v>
      </c>
      <c r="E6" s="36">
        <v>5.0</v>
      </c>
      <c r="F6" s="32"/>
      <c r="G6" s="38" t="s">
        <v>31</v>
      </c>
      <c r="H6" s="38" t="s">
        <v>32</v>
      </c>
      <c r="I6" s="40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37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41" t="s">
        <v>39</v>
      </c>
      <c r="C6" s="32"/>
      <c r="D6" s="30"/>
      <c r="E6" s="42">
        <v>100.0</v>
      </c>
      <c r="F6" s="32"/>
      <c r="G6" s="32"/>
      <c r="H6" s="32"/>
      <c r="I6" s="32"/>
      <c r="J6" s="32"/>
      <c r="K6" s="42">
        <v>20.0</v>
      </c>
      <c r="L6" s="42">
        <v>20.0</v>
      </c>
      <c r="M6" s="32"/>
      <c r="N6" s="32"/>
      <c r="O6" s="32" t="s">
        <v>40</v>
      </c>
      <c r="P6" s="32"/>
      <c r="Q6" s="32"/>
      <c r="R6" s="32"/>
      <c r="S6" s="47" t="s">
        <v>41</v>
      </c>
      <c r="T6" s="33"/>
      <c r="U6" s="33"/>
      <c r="V6" s="33"/>
      <c r="W6" s="33"/>
      <c r="X6" s="33"/>
      <c r="Y6" s="33"/>
      <c r="Z6" s="44" t="s">
        <v>18</v>
      </c>
      <c r="AA6" s="33"/>
      <c r="AB6" s="33"/>
      <c r="AC6" s="33"/>
      <c r="AD6" s="44" t="s">
        <v>42</v>
      </c>
      <c r="AE6" s="45">
        <v>100.0</v>
      </c>
      <c r="AF6" s="33"/>
      <c r="AG6" s="33"/>
      <c r="AH6" s="33" t="s">
        <v>43</v>
      </c>
      <c r="AI6" s="48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49">
        <v>2014.0011</v>
      </c>
      <c r="AU6" s="49">
        <v>2014.0011</v>
      </c>
      <c r="AV6" s="33"/>
      <c r="AW6" s="33"/>
      <c r="AX6" s="33"/>
      <c r="AY6" s="33"/>
      <c r="AZ6" s="33"/>
      <c r="BA6" s="33"/>
      <c r="BB6" s="33"/>
      <c r="BC6" s="33"/>
      <c r="BD6" s="33"/>
      <c r="BE6" s="49">
        <v>2000.0</v>
      </c>
      <c r="BF6" s="49">
        <v>2000.0</v>
      </c>
      <c r="BG6" s="33"/>
      <c r="BH6" s="33"/>
      <c r="BI6" s="33"/>
      <c r="BJ6" s="45">
        <v>100.0</v>
      </c>
      <c r="BK6" s="33"/>
      <c r="BL6" s="33"/>
      <c r="BM6" s="33" t="s">
        <v>18</v>
      </c>
      <c r="BN6" s="33"/>
      <c r="BO6" s="33" t="s">
        <v>23</v>
      </c>
      <c r="BP6" s="33"/>
      <c r="BQ6" s="33"/>
      <c r="BR6" s="33"/>
      <c r="BS6" s="33"/>
      <c r="BT6" s="33" t="s">
        <v>22</v>
      </c>
      <c r="BU6" s="33"/>
      <c r="BV6" s="33"/>
      <c r="BW6" s="45">
        <v>14.0011</v>
      </c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44" t="s">
        <v>20</v>
      </c>
      <c r="CI6" s="44" t="s">
        <v>23</v>
      </c>
      <c r="CJ6" s="33"/>
      <c r="CK6" s="44" t="s">
        <v>44</v>
      </c>
      <c r="CL6" s="33"/>
      <c r="CM6" s="44" t="s">
        <v>22</v>
      </c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4" t="s">
        <v>39</v>
      </c>
      <c r="C7" s="33"/>
      <c r="D7" s="33"/>
      <c r="E7" s="45">
        <v>200.0</v>
      </c>
      <c r="F7" s="33"/>
      <c r="G7" s="33"/>
      <c r="H7" s="33"/>
      <c r="I7" s="33"/>
      <c r="J7" s="33"/>
      <c r="K7" s="45">
        <v>20.0</v>
      </c>
      <c r="L7" s="45">
        <v>20.0</v>
      </c>
      <c r="M7" s="33"/>
      <c r="N7" s="33"/>
      <c r="O7" s="33" t="s">
        <v>40</v>
      </c>
      <c r="P7" s="33"/>
      <c r="Q7" s="33"/>
      <c r="R7" s="33"/>
      <c r="S7" s="44" t="s">
        <v>41</v>
      </c>
      <c r="T7" s="33"/>
      <c r="U7" s="33"/>
      <c r="V7" s="33"/>
      <c r="W7" s="33"/>
      <c r="X7" s="33"/>
      <c r="Y7" s="33"/>
      <c r="Z7" s="44" t="s">
        <v>18</v>
      </c>
      <c r="AA7" s="33"/>
      <c r="AB7" s="33"/>
      <c r="AC7" s="33"/>
      <c r="AD7" s="44" t="s">
        <v>42</v>
      </c>
      <c r="AE7" s="45">
        <v>200.0</v>
      </c>
      <c r="AF7" s="33"/>
      <c r="AG7" s="33"/>
      <c r="AH7" s="33" t="s">
        <v>43</v>
      </c>
      <c r="AI7" s="48">
        <v>1.0</v>
      </c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49">
        <v>4014.0022</v>
      </c>
      <c r="AU7" s="49">
        <v>4014.0022</v>
      </c>
      <c r="AV7" s="33"/>
      <c r="AW7" s="33"/>
      <c r="AX7" s="33"/>
      <c r="AY7" s="33"/>
      <c r="AZ7" s="33"/>
      <c r="BA7" s="33"/>
      <c r="BB7" s="33"/>
      <c r="BC7" s="33"/>
      <c r="BD7" s="33"/>
      <c r="BE7" s="49">
        <v>4000.0</v>
      </c>
      <c r="BF7" s="49">
        <v>4000.0</v>
      </c>
      <c r="BG7" s="33"/>
      <c r="BH7" s="33"/>
      <c r="BI7" s="33"/>
      <c r="BJ7" s="45">
        <v>200.0</v>
      </c>
      <c r="BK7" s="33"/>
      <c r="BL7" s="33"/>
      <c r="BM7" s="33" t="s">
        <v>18</v>
      </c>
      <c r="BN7" s="33"/>
      <c r="BO7" s="33" t="s">
        <v>23</v>
      </c>
      <c r="BP7" s="33"/>
      <c r="BQ7" s="33"/>
      <c r="BR7" s="33"/>
      <c r="BS7" s="33"/>
      <c r="BT7" s="33" t="s">
        <v>22</v>
      </c>
      <c r="BU7" s="33"/>
      <c r="BV7" s="33"/>
      <c r="BW7" s="45">
        <v>14.0022</v>
      </c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44" t="s">
        <v>27</v>
      </c>
      <c r="CI7" s="44" t="s">
        <v>23</v>
      </c>
      <c r="CJ7" s="33"/>
      <c r="CK7" s="44" t="s">
        <v>44</v>
      </c>
      <c r="CL7" s="33"/>
      <c r="CM7" s="44" t="s">
        <v>22</v>
      </c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 Base)")</f>
        <v>Avg Price( 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22</v>
      </c>
      <c r="C6" s="42">
        <v>100.0</v>
      </c>
      <c r="D6" s="50">
        <f>Today()</f>
        <v>44097</v>
      </c>
      <c r="E6" s="47" t="s">
        <v>39</v>
      </c>
      <c r="F6" s="32" t="s">
        <v>23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5"/>
      <c r="AR6" s="33"/>
      <c r="AS6" s="45"/>
      <c r="AT6" s="51"/>
      <c r="AU6" s="51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44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22</v>
      </c>
      <c r="C6" s="32" t="s">
        <v>23</v>
      </c>
      <c r="D6" s="43">
        <v>100.0</v>
      </c>
      <c r="E6" s="42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 t="str">
        <f>IFERROR(__xludf.DUMMYFUNCTION("""COMPUTED_VALUE"""),"Custom")</f>
        <v>Custom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48</v>
      </c>
      <c r="C6" s="32"/>
      <c r="D6" s="30"/>
      <c r="E6" s="32"/>
      <c r="F6" s="32"/>
      <c r="G6" s="32"/>
      <c r="H6" s="32"/>
      <c r="I6" s="32"/>
      <c r="J6" s="32"/>
      <c r="K6" s="32"/>
      <c r="L6" s="52" t="b">
        <v>1</v>
      </c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EnterCustomAllocatePreference!$4:$4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17</v>
      </c>
      <c r="C6" s="53">
        <v>60.0</v>
      </c>
      <c r="D6" s="5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55">
        <v>40.0</v>
      </c>
      <c r="D7" s="56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7" t="s">
        <v>39</v>
      </c>
      <c r="C6" s="8"/>
      <c r="D6" s="11"/>
      <c r="E6" s="58">
        <v>100.0</v>
      </c>
      <c r="F6" s="8"/>
      <c r="G6" s="8"/>
      <c r="H6" s="8"/>
      <c r="I6" s="8"/>
      <c r="J6" s="8"/>
      <c r="K6" s="58">
        <v>20.0</v>
      </c>
      <c r="L6" s="58">
        <v>20.0</v>
      </c>
      <c r="M6" s="8"/>
      <c r="N6" s="8"/>
      <c r="O6" s="38" t="s">
        <v>40</v>
      </c>
      <c r="S6" s="47" t="s">
        <v>41</v>
      </c>
      <c r="Z6" s="44" t="s">
        <v>18</v>
      </c>
      <c r="AD6" s="44" t="s">
        <v>42</v>
      </c>
      <c r="AE6" s="45">
        <v>100.0</v>
      </c>
      <c r="AF6" s="33"/>
      <c r="AG6" s="33"/>
      <c r="AH6" s="33" t="s">
        <v>43</v>
      </c>
      <c r="AI6" s="48">
        <v>1.0</v>
      </c>
      <c r="AT6" s="59">
        <v>2014.0011</v>
      </c>
      <c r="AU6" s="59">
        <v>2014.0011</v>
      </c>
      <c r="BE6" s="59">
        <v>2000.0</v>
      </c>
      <c r="BF6" s="59">
        <v>2000.0</v>
      </c>
      <c r="BJ6" s="45">
        <v>100.0</v>
      </c>
      <c r="BM6" s="33" t="s">
        <v>18</v>
      </c>
      <c r="BN6" s="33"/>
      <c r="BO6" s="33" t="s">
        <v>23</v>
      </c>
      <c r="BP6" s="33"/>
      <c r="BQ6" s="33"/>
      <c r="BR6" s="33"/>
      <c r="BS6" s="33"/>
      <c r="BT6" s="33" t="s">
        <v>22</v>
      </c>
      <c r="BW6" s="58">
        <v>14.0011</v>
      </c>
      <c r="CH6" s="57" t="s">
        <v>20</v>
      </c>
      <c r="CI6" s="44" t="s">
        <v>23</v>
      </c>
      <c r="CJ6" s="33"/>
      <c r="CK6" s="44" t="s">
        <v>44</v>
      </c>
      <c r="CL6" s="33"/>
      <c r="CM6" s="44" t="s">
        <v>22</v>
      </c>
    </row>
    <row r="7" ht="15.75" customHeight="1">
      <c r="A7" s="8"/>
      <c r="B7" s="57" t="s">
        <v>39</v>
      </c>
      <c r="C7" s="8"/>
      <c r="D7" s="8"/>
      <c r="E7" s="58">
        <v>200.0</v>
      </c>
      <c r="F7" s="8"/>
      <c r="G7" s="8"/>
      <c r="H7" s="8"/>
      <c r="I7" s="8"/>
      <c r="J7" s="8"/>
      <c r="K7" s="58">
        <v>20.0</v>
      </c>
      <c r="L7" s="58">
        <v>20.0</v>
      </c>
      <c r="M7" s="8"/>
      <c r="N7" s="8"/>
      <c r="O7" s="60" t="s">
        <v>40</v>
      </c>
      <c r="S7" s="44" t="s">
        <v>41</v>
      </c>
      <c r="Z7" s="44" t="s">
        <v>18</v>
      </c>
      <c r="AD7" s="44" t="s">
        <v>42</v>
      </c>
      <c r="AE7" s="45">
        <v>200.0</v>
      </c>
      <c r="AF7" s="33"/>
      <c r="AG7" s="33"/>
      <c r="AH7" s="33" t="s">
        <v>43</v>
      </c>
      <c r="AI7" s="48">
        <v>1.0</v>
      </c>
      <c r="AT7" s="59">
        <v>4014.0022</v>
      </c>
      <c r="AU7" s="59">
        <v>4014.0022</v>
      </c>
      <c r="BE7" s="59">
        <v>4000.0</v>
      </c>
      <c r="BF7" s="59">
        <v>4000.0</v>
      </c>
      <c r="BJ7" s="45">
        <v>200.0</v>
      </c>
      <c r="BM7" s="33" t="s">
        <v>18</v>
      </c>
      <c r="BN7" s="33"/>
      <c r="BO7" s="33" t="s">
        <v>23</v>
      </c>
      <c r="BP7" s="33"/>
      <c r="BQ7" s="33"/>
      <c r="BR7" s="33"/>
      <c r="BS7" s="33"/>
      <c r="BT7" s="33" t="s">
        <v>22</v>
      </c>
      <c r="BW7" s="58">
        <v>14.0022</v>
      </c>
      <c r="CH7" s="57" t="s">
        <v>27</v>
      </c>
      <c r="CI7" s="44" t="s">
        <v>23</v>
      </c>
      <c r="CJ7" s="33"/>
      <c r="CK7" s="44" t="s">
        <v>44</v>
      </c>
      <c r="CL7" s="33"/>
      <c r="CM7" s="44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52</v>
      </c>
      <c r="C6" s="8"/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 t="s">
        <v>19</v>
      </c>
      <c r="C6" s="61" t="s">
        <v>54</v>
      </c>
      <c r="D6" s="11"/>
      <c r="E6" s="46"/>
      <c r="F6" s="8"/>
      <c r="G6" s="8"/>
      <c r="H6" s="62"/>
      <c r="I6" s="62">
        <v>20.0</v>
      </c>
      <c r="J6" s="8"/>
      <c r="K6" s="8"/>
      <c r="L6" s="8"/>
      <c r="M6" s="62">
        <v>50.0</v>
      </c>
      <c r="N6" s="8"/>
      <c r="O6" s="8"/>
      <c r="P6" s="47" t="s">
        <v>23</v>
      </c>
      <c r="R6" s="47" t="s">
        <v>22</v>
      </c>
      <c r="T6" s="62"/>
      <c r="V6" s="47" t="s">
        <v>23</v>
      </c>
      <c r="Y6" s="62"/>
      <c r="Z6" s="9">
        <v>20.0</v>
      </c>
    </row>
    <row r="7" ht="15.75" customHeight="1">
      <c r="A7" s="8"/>
      <c r="B7" s="61" t="s">
        <v>17</v>
      </c>
      <c r="C7" s="61" t="s">
        <v>54</v>
      </c>
      <c r="D7" s="8"/>
      <c r="E7" s="8"/>
      <c r="F7" s="8"/>
      <c r="G7" s="8"/>
      <c r="H7" s="62"/>
      <c r="I7" s="62">
        <v>20.0</v>
      </c>
      <c r="J7" s="8"/>
      <c r="K7" s="8"/>
      <c r="L7" s="8"/>
      <c r="M7" s="62">
        <v>50.0</v>
      </c>
      <c r="N7" s="8"/>
      <c r="O7" s="8"/>
      <c r="P7" s="44" t="s">
        <v>23</v>
      </c>
      <c r="R7" s="44" t="s">
        <v>22</v>
      </c>
      <c r="T7" s="62"/>
      <c r="V7" s="44" t="s">
        <v>23</v>
      </c>
      <c r="Y7" s="62"/>
      <c r="Z7" s="9">
        <v>20.0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