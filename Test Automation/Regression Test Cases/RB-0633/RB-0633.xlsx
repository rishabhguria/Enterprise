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PricingInput" sheetId="5" r:id="rId7"/>
    <sheet state="visible" name="GetDailyCash" sheetId="6" r:id="rId8"/>
    <sheet state="visible" name="UpdateMultipleDailyCash" sheetId="7" r:id="rId9"/>
    <sheet state="visible" name="FetchAccountPositions" sheetId="8" r:id="rId10"/>
    <sheet state="visible" name="AddCash" sheetId="9" r:id="rId11"/>
    <sheet state="visible" name="RunRebalance" sheetId="10" r:id="rId12"/>
    <sheet state="visible" name="SendtoStaging" sheetId="11" r:id="rId13"/>
    <sheet state="visible" name="TradeNewSubOrder" sheetId="12" r:id="rId14"/>
    <sheet state="visible" name="CreateDoneAwayOrder" sheetId="13" r:id="rId15"/>
    <sheet state="visible" name="SetRollover" sheetId="14" r:id="rId16"/>
    <sheet state="visible" name="VerifyRollover" sheetId="15" r:id="rId17"/>
  </sheets>
  <definedNames/>
  <calcPr/>
</workbook>
</file>

<file path=xl/sharedStrings.xml><?xml version="1.0" encoding="utf-8"?>
<sst xmlns="http://schemas.openxmlformats.org/spreadsheetml/2006/main" count="127" uniqueCount="49">
  <si>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</si>
  <si>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</si>
  <si>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</si>
  <si>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</si>
  <si>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</si>
  <si>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</si>
  <si>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</si>
  <si>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</si>
  <si>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</si>
  <si>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</si>
  <si>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</si>
  <si>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</si>
  <si>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</si>
  <si>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</si>
  <si>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</si>
  <si>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</si>
  <si>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SAP</t>
  </si>
  <si>
    <t>DoneAway</t>
  </si>
  <si>
    <t>Buy</t>
  </si>
  <si>
    <t>PricingInput</t>
  </si>
  <si>
    <t>DailyValuation</t>
  </si>
  <si>
    <t>GetDailyCash</t>
  </si>
  <si>
    <t>UpdateMultipleDailyCash</t>
  </si>
  <si>
    <t>Allocation1</t>
  </si>
  <si>
    <t>USD</t>
  </si>
  <si>
    <t>Rebalancer</t>
  </si>
  <si>
    <t>FetchAccountPositions</t>
  </si>
  <si>
    <t>AddCash</t>
  </si>
  <si>
    <t>RunRebalance</t>
  </si>
  <si>
    <t>Nearest Round Off</t>
  </si>
  <si>
    <t>SendtoStaging</t>
  </si>
  <si>
    <t>Blotter</t>
  </si>
  <si>
    <t>TradeNewSubOrder</t>
  </si>
  <si>
    <t>CreateDoneAwayOrder</t>
  </si>
  <si>
    <t>Admin</t>
  </si>
  <si>
    <t>SetRollover</t>
  </si>
  <si>
    <t>Equity</t>
  </si>
  <si>
    <t>US</t>
  </si>
  <si>
    <t>NYSE</t>
  </si>
  <si>
    <t>Right Now</t>
  </si>
  <si>
    <t>VerifyRollover</t>
  </si>
  <si>
    <t>NASDAQ</t>
  </si>
  <si>
    <t>NewMF</t>
  </si>
  <si>
    <t>M</t>
  </si>
  <si>
    <t>PartiallyFilled</t>
  </si>
  <si>
    <t>MS</t>
  </si>
  <si>
    <t>Market</t>
  </si>
  <si>
    <t>Manual</t>
  </si>
  <si>
    <t>RollOver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</si>
</sst>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14" xfId="0" applyAlignment="1" applyFont="1" applyNumberFormat="1">
      <alignment horizontal="right" vertical="bottom"/>
    </xf>
    <xf borderId="0" fillId="0" fontId="5" numFmtId="14" xfId="0" applyAlignment="1" applyFont="1" applyNumberFormat="1">
      <alignment horizontal="right" vertical="bottom"/>
    </xf>
    <xf borderId="0" fillId="0" fontId="14" numFmtId="0" xfId="0" applyAlignment="1" applyFont="1">
      <alignment vertical="bottom"/>
    </xf>
    <xf borderId="0" fillId="0" fontId="14" numFmtId="0" xfId="0" applyAlignment="1" applyFont="1">
      <alignment vertical="bottom"/>
    </xf>
    <xf borderId="4" fillId="5" fontId="4" numFmtId="49" xfId="0" applyAlignment="1" applyBorder="1" applyFont="1" applyNumberFormat="1">
      <alignment shrinkToFit="0" wrapText="0"/>
    </xf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IFERROR(__xludf.DUMMYFUNCTION("""COMPUTED_VALUE"""),"Trade Attribute 01")</f>
        <v>Trade Attribute 01</v>
      </c>
      <c r="AN5" s="30" t="str">
        <f>IFERROR(__xludf.DUMMYFUNCTION("""COMPUTED_VALUE"""),"Trade Attribute 02")</f>
        <v>Trade Attribute 02</v>
      </c>
      <c r="AO5" s="30" t="str">
        <f>IFERROR(__xludf.DUMMYFUNCTION("""COMPUTED_VALUE"""),"Trade Attribute 03")</f>
        <v>Trade Attribute 03</v>
      </c>
      <c r="AP5" s="30" t="str">
        <f>IFERROR(__xludf.DUMMYFUNCTION("""COMPUTED_VALUE"""),"Trade Attribute 04")</f>
        <v>Trade Attribute 04</v>
      </c>
      <c r="AQ5" s="30" t="str">
        <f>IFERROR(__xludf.DUMMYFUNCTION("""COMPUTED_VALUE"""),"Trade Attribute 05")</f>
        <v>Trade Attribute 05</v>
      </c>
      <c r="AR5" s="30" t="str">
        <f>IFERROR(__xludf.DUMMYFUNCTION("""COMPUTED_VALUE"""),"Trade Attribute 06")</f>
        <v>Trade Attribute 06</v>
      </c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>
        <v>100.0</v>
      </c>
      <c r="D6" s="34">
        <v>10.0</v>
      </c>
      <c r="E6" s="35" t="s">
        <v>17</v>
      </c>
      <c r="F6" s="36"/>
      <c r="G6" s="36"/>
      <c r="H6" s="36"/>
      <c r="I6" s="36"/>
      <c r="J6" s="35" t="s">
        <v>18</v>
      </c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7">
        <f>TODAY()-1</f>
        <v>45826</v>
      </c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 t="str">
        <f>IFERROR(__xludf.DUMMYFUNCTION("""COMPUTED_VALUE"""),"VerifyPINavLockPopup")</f>
        <v>VerifyPINavLockPopup</v>
      </c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>
        <v>10.0</v>
      </c>
      <c r="D6" s="31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 t="str">
        <f>IFERROR(__xludf.DUMMYFUNCTION("""COMPUTED_VALUE"""),"VerifyDVNavLockPopup")</f>
        <v>VerifyDVNavLockPopup</v>
      </c>
      <c r="AN4" s="26" t="str">
        <f>IFERROR(__xludf.DUMMYFUNCTION("""COMPUTED_VALUE"""),"SelectDateAtMPFC")</f>
        <v>SelectDateAtMPFC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8">
        <f>today()-1</f>
        <v>45826</v>
      </c>
      <c r="C6" s="38">
        <f>TODAY()</f>
        <v>45827</v>
      </c>
      <c r="D6" s="31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 t="str">
        <f>IFERROR(__xludf.DUMMYFUNCTION("""COMPUTED_VALUE"""),"VerifyDVNavLockPopup")</f>
        <v>VerifyDVNavLockPopup</v>
      </c>
      <c r="AN4" s="26" t="str">
        <f>IFERROR(__xludf.DUMMYFUNCTION("""COMPUTED_VALUE"""),"SelectDateAtMPFC")</f>
        <v>SelectDateAtMPFC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23</v>
      </c>
      <c r="C6" s="35" t="s">
        <v>24</v>
      </c>
      <c r="D6" s="34">
        <v>50000.0</v>
      </c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 t="str">
        <f>IFERROR(__xludf.DUMMYFUNCTION("""COMPUTED_VALUE"""),"AddNewModelPortfolio")</f>
        <v>AddNewModelPortfolio</v>
      </c>
      <c r="AE4" s="26" t="str">
        <f>IFERROR(__xludf.DUMMYFUNCTION("""COMPUTED_VALUE"""),"VerifyBuySellList")</f>
        <v>VerifyBuySellList</v>
      </c>
      <c r="AF4" s="26" t="str">
        <f>IFERROR(__xludf.DUMMYFUNCTION("""COMPUTED_VALUE"""),"CreateOrViewModelPortfolio")</f>
        <v>CreateOrViewModelPortfolio</v>
      </c>
      <c r="AG4" s="26" t="str">
        <f>IFERROR(__xludf.DUMMYFUNCTION("""COMPUTED_VALUE"""),"VerifyModelPortfolio")</f>
        <v>VerifyModelPortfolio</v>
      </c>
      <c r="AH4" s="26" t="str">
        <f>IFERROR(__xludf.DUMMYFUNCTION("""COMPUTED_VALUE"""),"VerifyTradeListSummary")</f>
        <v>VerifyTradeListSummary</v>
      </c>
      <c r="AI4" s="26" t="str">
        <f>IFERROR(__xludf.DUMMYFUNCTION("""COMPUTED_VALUE"""),"ActionOnTBSListSummary")</f>
        <v>ActionOnTBSListSummary</v>
      </c>
      <c r="AJ4" s="26" t="str">
        <f>IFERROR(__xludf.DUMMYFUNCTION("""COMPUTED_VALUE"""),"VerifyTLOSideSummary")</f>
        <v>VerifyTLOSideSummary</v>
      </c>
      <c r="AK4" s="26" t="str">
        <f>IFERROR(__xludf.DUMMYFUNCTION("""COMPUTED_VALUE"""),"SelectAndVerifyTradeList")</f>
        <v>SelectAndVerifyTradeList</v>
      </c>
      <c r="AL4" s="26" t="str">
        <f>IFERROR(__xludf.DUMMYFUNCTION("""COMPUTED_VALUE"""),"ActionOnTradeBuySellListView")</f>
        <v>ActionOnTradeBuySellListView</v>
      </c>
      <c r="AM4" s="26" t="str">
        <f>IFERROR(__xludf.DUMMYFUNCTION("""COMPUTED_VALUE"""),"ImportOnRB")</f>
        <v>ImportOnRB</v>
      </c>
      <c r="AN4" s="26" t="str">
        <f>IFERROR(__xludf.DUMMYFUNCTION("""COMPUTED_VALUE"""),"VerifyImportGridRBForInvalidSec")</f>
        <v>VerifyImportGridRBForInvalidSec</v>
      </c>
      <c r="AO4" s="26" t="str">
        <f>IFERROR(__xludf.DUMMYFUNCTION("""COMPUTED_VALUE"""),"VerifyImportGridRBForValidSec")</f>
        <v>VerifyImportGridRBForValidSec</v>
      </c>
      <c r="AP4" s="26" t="str">
        <f>IFERROR(__xludf.DUMMYFUNCTION("""COMPUTED_VALUE"""),"ActionOnRSAImportGrid")</f>
        <v>ActionOnRSAImportGrid</v>
      </c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23</v>
      </c>
      <c r="C6" s="36"/>
      <c r="D6" s="31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FetchAccountPositions!$4:$4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 t="str">
        <f>IFERROR(__xludf.DUMMYFUNCTION("""COMPUTED_VALUE"""),"AddNewModelPortfolio")</f>
        <v>AddNewModelPortfolio</v>
      </c>
      <c r="AE4" s="26" t="str">
        <f>IFERROR(__xludf.DUMMYFUNCTION("""COMPUTED_VALUE"""),"VerifyBuySellList")</f>
        <v>VerifyBuySellList</v>
      </c>
      <c r="AF4" s="26" t="str">
        <f>IFERROR(__xludf.DUMMYFUNCTION("""COMPUTED_VALUE"""),"CreateOrViewModelPortfolio")</f>
        <v>CreateOrViewModelPortfolio</v>
      </c>
      <c r="AG4" s="26" t="str">
        <f>IFERROR(__xludf.DUMMYFUNCTION("""COMPUTED_VALUE"""),"VerifyModelPortfolio")</f>
        <v>VerifyModelPortfolio</v>
      </c>
      <c r="AH4" s="26" t="str">
        <f>IFERROR(__xludf.DUMMYFUNCTION("""COMPUTED_VALUE"""),"VerifyTradeListSummary")</f>
        <v>VerifyTradeListSummary</v>
      </c>
      <c r="AI4" s="26" t="str">
        <f>IFERROR(__xludf.DUMMYFUNCTION("""COMPUTED_VALUE"""),"ActionOnTBSListSummary")</f>
        <v>ActionOnTBSListSummary</v>
      </c>
      <c r="AJ4" s="26" t="str">
        <f>IFERROR(__xludf.DUMMYFUNCTION("""COMPUTED_VALUE"""),"VerifyTLOSideSummary")</f>
        <v>VerifyTLOSideSummary</v>
      </c>
      <c r="AK4" s="26" t="str">
        <f>IFERROR(__xludf.DUMMYFUNCTION("""COMPUTED_VALUE"""),"SelectAndVerifyTradeList")</f>
        <v>SelectAndVerifyTradeList</v>
      </c>
      <c r="AL4" s="26" t="str">
        <f>IFERROR(__xludf.DUMMYFUNCTION("""COMPUTED_VALUE"""),"ActionOnTradeBuySellListView")</f>
        <v>ActionOnTradeBuySellListView</v>
      </c>
      <c r="AM4" s="26" t="str">
        <f>IFERROR(__xludf.DUMMYFUNCTION("""COMPUTED_VALUE"""),"ImportOnRB")</f>
        <v>ImportOnRB</v>
      </c>
      <c r="AN4" s="26" t="str">
        <f>IFERROR(__xludf.DUMMYFUNCTION("""COMPUTED_VALUE"""),"VerifyImportGridRBForInvalidSec")</f>
        <v>VerifyImportGridRBForInvalidSec</v>
      </c>
      <c r="AO4" s="26" t="str">
        <f>IFERROR(__xludf.DUMMYFUNCTION("""COMPUTED_VALUE"""),"VerifyImportGridRBForValidSec")</f>
        <v>VerifyImportGridRBForValidSec</v>
      </c>
      <c r="AP4" s="26" t="str">
        <f>IFERROR(__xludf.DUMMYFUNCTION("""COMPUTED_VALUE"""),"ActionOnRSAImportGrid")</f>
        <v>ActionOnRSAImportGrid</v>
      </c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IFERROR(__xludf.DUMMYFUNCTION("""COMPUTED_VALUE"""),"Cash Flow(USD)")</f>
        <v>Cash Flow(USD)</v>
      </c>
      <c r="C5" s="28" t="str">
        <f>IFERROR(__xludf.DUMMYFUNCTION("""COMPUTED_VALUE"""),"Cash Flow Impact on NAV")</f>
        <v>Cash Flow Impact on NAV</v>
      </c>
      <c r="D5" s="28" t="str">
        <f>IFERROR(__xludf.DUMMYFUNCTION("""COMPUTED_VALUE"""),"Select Model")</f>
        <v>Select Model</v>
      </c>
      <c r="E5" s="28" t="str">
        <f>IFERROR(__xludf.DUMMYFUNCTION("""COMPUTED_VALUE"""),"Custom Cash Flow")</f>
        <v>Custom Cash Flow</v>
      </c>
      <c r="F5" s="29" t="str">
        <f>IFERROR(__xludf.DUMMYFUNCTION("""COMPUTED_VALUE"""),"MasterFund Groups")</f>
        <v>MasterFund Groups</v>
      </c>
      <c r="G5" s="28" t="str">
        <f>IFERROR(__xludf.DUMMYFUNCTION("""COMPUTED_VALUE"""),"Accounts")</f>
        <v>Accounts</v>
      </c>
      <c r="H5" s="28" t="str">
        <f>IFERROR(__xludf.DUMMYFUNCTION("""COMPUTED_VALUE"""),"Cash Flow Account Wise")</f>
        <v>Cash Flow Account Wise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>
        <v>5000.0</v>
      </c>
      <c r="C6" s="36"/>
      <c r="D6" s="31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 t="str">
        <f>IFERROR(__xludf.DUMMYFUNCTION("""COMPUTED_VALUE"""),"AddNewModelPortfolio")</f>
        <v>AddNewModelPortfolio</v>
      </c>
      <c r="AE4" s="26" t="str">
        <f>IFERROR(__xludf.DUMMYFUNCTION("""COMPUTED_VALUE"""),"VerifyBuySellList")</f>
        <v>VerifyBuySellList</v>
      </c>
      <c r="AF4" s="26" t="str">
        <f>IFERROR(__xludf.DUMMYFUNCTION("""COMPUTED_VALUE"""),"CreateOrViewModelPortfolio")</f>
        <v>CreateOrViewModelPortfolio</v>
      </c>
      <c r="AG4" s="26" t="str">
        <f>IFERROR(__xludf.DUMMYFUNCTION("""COMPUTED_VALUE"""),"VerifyModelPortfolio")</f>
        <v>VerifyModelPortfolio</v>
      </c>
      <c r="AH4" s="26" t="str">
        <f>IFERROR(__xludf.DUMMYFUNCTION("""COMPUTED_VALUE"""),"VerifyTradeListSummary")</f>
        <v>VerifyTradeListSummary</v>
      </c>
      <c r="AI4" s="26" t="str">
        <f>IFERROR(__xludf.DUMMYFUNCTION("""COMPUTED_VALUE"""),"ActionOnTBSListSummary")</f>
        <v>ActionOnTBSListSummary</v>
      </c>
      <c r="AJ4" s="26" t="str">
        <f>IFERROR(__xludf.DUMMYFUNCTION("""COMPUTED_VALUE"""),"VerifyTLOSideSummary")</f>
        <v>VerifyTLOSideSummary</v>
      </c>
      <c r="AK4" s="26" t="str">
        <f>IFERROR(__xludf.DUMMYFUNCTION("""COMPUTED_VALUE"""),"SelectAndVerifyTradeList")</f>
        <v>SelectAndVerifyTradeList</v>
      </c>
      <c r="AL4" s="26" t="str">
        <f>IFERROR(__xludf.DUMMYFUNCTION("""COMPUTED_VALUE"""),"ActionOnTradeBuySellListView")</f>
        <v>ActionOnTradeBuySellListView</v>
      </c>
      <c r="AM4" s="26" t="str">
        <f>IFERROR(__xludf.DUMMYFUNCTION("""COMPUTED_VALUE"""),"ImportOnRB")</f>
        <v>ImportOnRB</v>
      </c>
      <c r="AN4" s="26" t="str">
        <f>IFERROR(__xludf.DUMMYFUNCTION("""COMPUTED_VALUE"""),"VerifyImportGridRBForInvalidSec")</f>
        <v>VerifyImportGridRBForInvalidSec</v>
      </c>
      <c r="AO4" s="26" t="str">
        <f>IFERROR(__xludf.DUMMYFUNCTION("""COMPUTED_VALUE"""),"VerifyImportGridRBForValidSec")</f>
        <v>VerifyImportGridRBForValidSec</v>
      </c>
      <c r="AP4" s="26" t="str">
        <f>IFERROR(__xludf.DUMMYFUNCTION("""COMPUTED_VALUE"""),"ActionOnRSAImportGrid")</f>
        <v>ActionOnRSAImportGrid</v>
      </c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 t="str">
        <f>IFERROR(__xludf.DUMMYFUNCTION("""COMPUTED_VALUE"""),"AllowNegCash")</f>
        <v>AllowNegCash</v>
      </c>
      <c r="F5" s="29" t="str">
        <f>IFERROR(__xludf.DUMMYFUNCTION("""COMPUTED_VALUE"""),"SellToRaiseCash")</f>
        <v>SellToRaiseCash</v>
      </c>
      <c r="G5" s="28" t="str">
        <f>IFERROR(__xludf.DUMMYFUNCTION("""COMPUTED_VALUE"""),"VerifyPopupCashValue")</f>
        <v>VerifyPopupCashValue</v>
      </c>
      <c r="H5" s="28" t="str">
        <f>IFERROR(__xludf.DUMMYFUNCTION("""COMPUTED_VALUE"""),"AllowPopup")</f>
        <v>AllowPopup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29</v>
      </c>
      <c r="C6" s="36"/>
      <c r="D6" s="31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 t="str">
        <f>IFERROR(__xludf.DUMMYFUNCTION("""COMPUTED_VALUE"""),"AddNewModelPortfolio")</f>
        <v>AddNewModelPortfolio</v>
      </c>
      <c r="AE4" s="26" t="str">
        <f>IFERROR(__xludf.DUMMYFUNCTION("""COMPUTED_VALUE"""),"VerifyBuySellList")</f>
        <v>VerifyBuySellList</v>
      </c>
      <c r="AF4" s="26" t="str">
        <f>IFERROR(__xludf.DUMMYFUNCTION("""COMPUTED_VALUE"""),"CreateOrViewModelPortfolio")</f>
        <v>CreateOrViewModelPortfolio</v>
      </c>
      <c r="AG4" s="26" t="str">
        <f>IFERROR(__xludf.DUMMYFUNCTION("""COMPUTED_VALUE"""),"VerifyModelPortfolio")</f>
        <v>VerifyModelPortfolio</v>
      </c>
      <c r="AH4" s="26" t="str">
        <f>IFERROR(__xludf.DUMMYFUNCTION("""COMPUTED_VALUE"""),"VerifyTradeListSummary")</f>
        <v>VerifyTradeListSummary</v>
      </c>
      <c r="AI4" s="26" t="str">
        <f>IFERROR(__xludf.DUMMYFUNCTION("""COMPUTED_VALUE"""),"ActionOnTBSListSummary")</f>
        <v>ActionOnTBSListSummary</v>
      </c>
      <c r="AJ4" s="26" t="str">
        <f>IFERROR(__xludf.DUMMYFUNCTION("""COMPUTED_VALUE"""),"VerifyTLOSideSummary")</f>
        <v>VerifyTLOSideSummary</v>
      </c>
      <c r="AK4" s="26" t="str">
        <f>IFERROR(__xludf.DUMMYFUNCTION("""COMPUTED_VALUE"""),"SelectAndVerifyTradeList")</f>
        <v>SelectAndVerifyTradeList</v>
      </c>
      <c r="AL4" s="26" t="str">
        <f>IFERROR(__xludf.DUMMYFUNCTION("""COMPUTED_VALUE"""),"ActionOnTradeBuySellListView")</f>
        <v>ActionOnTradeBuySellListView</v>
      </c>
      <c r="AM4" s="26" t="str">
        <f>IFERROR(__xludf.DUMMYFUNCTION("""COMPUTED_VALUE"""),"ImportOnRB")</f>
        <v>ImportOnRB</v>
      </c>
      <c r="AN4" s="26" t="str">
        <f>IFERROR(__xludf.DUMMYFUNCTION("""COMPUTED_VALUE"""),"VerifyImportGridRBForInvalidSec")</f>
        <v>VerifyImportGridRBForInvalidSec</v>
      </c>
      <c r="AO4" s="26" t="str">
        <f>IFERROR(__xludf.DUMMYFUNCTION("""COMPUTED_VALUE"""),"VerifyImportGridRBForValidSec")</f>
        <v>VerifyImportGridRBForValidSec</v>
      </c>
      <c r="AP4" s="26" t="str">
        <f>IFERROR(__xludf.DUMMYFUNCTION("""COMPUTED_VALUE"""),"ActionOnRSAImportGrid")</f>
        <v>ActionOnRSAImportGrid</v>
      </c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IFERROR(__xludf.DUMMYFUNCTION("""COMPUTED_VALUE"""),"Side")</f>
        <v>Side</v>
      </c>
      <c r="D5" s="28" t="str">
        <f>IFERROR(__xludf.DUMMYFUNCTION("""COMPUTED_VALUE"""),"Symbol")</f>
        <v>Symbol</v>
      </c>
      <c r="E5" s="28" t="str">
        <f>IFERROR(__xludf.DUMMYFUNCTION("""COMPUTED_VALUE"""),"Quantity")</f>
        <v>Quantity</v>
      </c>
      <c r="F5" s="29" t="str">
        <f>IFERROR(__xludf.DUMMYFUNCTION("""COMPUTED_VALUE"""),"Price (Local)")</f>
        <v>Price (Local)</v>
      </c>
      <c r="G5" s="28" t="str">
        <f>IFERROR(__xludf.DUMMYFUNCTION("""COMPUTED_VALUE"""),"Buy/Sell Value (Base)")</f>
        <v>Buy/Sell Value (Base)</v>
      </c>
      <c r="H5" s="28" t="str">
        <f>IFERROR(__xludf.DUMMYFUNCTION("""COMPUTED_VALUE"""),"Comments")</f>
        <v>Comments</v>
      </c>
      <c r="I5" s="28" t="str">
        <f>IFERROR(__xludf.DUMMYFUNCTION("""COMPUTED_VALUE"""),"SendToStaging")</f>
        <v>SendToStaging</v>
      </c>
      <c r="J5" s="28" t="str">
        <f>IFERROR(__xludf.DUMMYFUNCTION("""COMPUTED_VALUE"""),"Use Custodian Broker")</f>
        <v>Use Custodian Broker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9" t="s">
        <v>23</v>
      </c>
      <c r="C6" s="40" t="s">
        <v>18</v>
      </c>
      <c r="D6" s="32" t="s">
        <v>16</v>
      </c>
      <c r="E6" s="33">
        <v>10.0</v>
      </c>
      <c r="F6" s="33">
        <v>10.0</v>
      </c>
      <c r="G6" s="33">
        <v>100.0</v>
      </c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SendtoStaging!$4:$4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6"/>
      <c r="D6" s="31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2" t="s">
        <v>16</v>
      </c>
      <c r="AJ6" s="36" t="s">
        <v>18</v>
      </c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 t="str">
        <f>IFERROR(__xludf.DUMMYFUNCTION("""COMPUTED_VALUE"""),"HotbuttonQty")</f>
        <v>HotbuttonQty</v>
      </c>
      <c r="BG5" s="30" t="str">
        <f>IFERROR(__xludf.DUMMYFUNCTION("""COMPUTED_VALUE"""),"HotButtonPrice")</f>
        <v>HotButtonPrice</v>
      </c>
      <c r="BH5" s="30" t="str">
        <f>IFERROR(__xludf.DUMMYFUNCTION("""COMPUTED_VALUE"""),"HotButtonLimit")</f>
        <v>HotButtonLimit</v>
      </c>
      <c r="BI5" s="30" t="str">
        <f>IFERROR(__xludf.DUMMYFUNCTION("""COMPUTED_VALUE"""),"HotButtonStop")</f>
        <v>HotButtonStop</v>
      </c>
      <c r="BJ5" s="30" t="str">
        <f>IFERROR(__xludf.DUMMYFUNCTION("""COMPUTED_VALUE"""),"Broker PadLock")</f>
        <v>Broker PadLock</v>
      </c>
      <c r="BK5" s="30" t="str">
        <f>IFERROR(__xludf.DUMMYFUNCTION("""COMPUTED_VALUE"""),"TradeBy")</f>
        <v>TradeBy</v>
      </c>
      <c r="BL5" s="30" t="str">
        <f>IFERROR(__xludf.DUMMYFUNCTION("""COMPUTED_VALUE"""),"PendingApprovalPopUp")</f>
        <v>PendingApprovalPopUp</v>
      </c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5" t="s">
        <v>18</v>
      </c>
      <c r="D6" s="34">
        <v>10.0</v>
      </c>
      <c r="E6" s="33">
        <v>5.0</v>
      </c>
      <c r="F6" s="36"/>
      <c r="G6" s="36"/>
      <c r="H6" s="36"/>
      <c r="I6" s="36"/>
      <c r="J6" s="33">
        <v>10.0</v>
      </c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 t="str">
        <f>IFERROR(__xludf.DUMMYFUNCTION("""COMPUTED_VALUE"""),"SetCommissionRule")</f>
        <v>SetCommissionRule</v>
      </c>
      <c r="AF4" s="26" t="str">
        <f>IFERROR(__xludf.DUMMYFUNCTION("""COMPUTED_VALUE"""),"SetPreTradeCompliancePermission")</f>
        <v>SetPreTradeCompliancePermission</v>
      </c>
      <c r="AG4" s="26" t="str">
        <f>IFERROR(__xludf.DUMMYFUNCTION("""COMPUTED_VALUE"""),"SetAuecExecutingBroker")</f>
        <v>SetAuecExecutingBroker</v>
      </c>
      <c r="AH4" s="26" t="str">
        <f>IFERROR(__xludf.DUMMYFUNCTION("""COMPUTED_VALUE"""),"SetAlgoBroker")</f>
        <v>SetAlgoBroker</v>
      </c>
      <c r="AI4" s="26" t="str">
        <f>IFERROR(__xludf.DUMMYFUNCTION("""COMPUTED_VALUE"""),"EnableAutoGroupingAllocation")</f>
        <v>EnableAutoGroupingAllocation</v>
      </c>
      <c r="AJ4" s="26" t="str">
        <f>IFERROR(__xludf.DUMMYFUNCTION("""COMPUTED_VALUE"""),"ConfigUpdater")</f>
        <v>ConfigUpdater</v>
      </c>
      <c r="AK4" s="26" t="str">
        <f>IFERROR(__xludf.DUMMYFUNCTION("""COMPUTED_VALUE"""),"AccountPermission")</f>
        <v>AccountPermission</v>
      </c>
      <c r="AL4" s="26" t="str">
        <f>IFERROR(__xludf.DUMMYFUNCTION("""COMPUTED_VALUE"""),"BasketPermission")</f>
        <v>BasketPermission</v>
      </c>
      <c r="AM4" s="26" t="str">
        <f>IFERROR(__xludf.DUMMYFUNCTION("""COMPUTED_VALUE"""),"ChangeDate")</f>
        <v>ChangeDate</v>
      </c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IFERROR(__xludf.DUMMYFUNCTION("""COMPUTED_VALUE"""),"AssetName")</f>
        <v>AssetName</v>
      </c>
      <c r="C5" s="28" t="str">
        <f>IFERROR(__xludf.DUMMYFUNCTION("""COMPUTED_VALUE"""),"UnderLyingName")</f>
        <v>UnderLyingName</v>
      </c>
      <c r="D5" s="28" t="str">
        <f>IFERROR(__xludf.DUMMYFUNCTION("""COMPUTED_VALUE"""),"DisplayName")</f>
        <v>DisplayName</v>
      </c>
      <c r="E5" s="41" t="str">
        <f>IFERROR(__xludf.DUMMYFUNCTION("""COMPUTED_VALUE"""),"ClearanceTime")</f>
        <v>ClearanceTime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36</v>
      </c>
      <c r="C6" s="35" t="s">
        <v>37</v>
      </c>
      <c r="D6" s="32" t="s">
        <v>38</v>
      </c>
      <c r="E6" s="32" t="s">
        <v>39</v>
      </c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SetRollover!$4:$4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2")</f>
        <v>Trade Attribute 2</v>
      </c>
      <c r="R5" s="28" t="str">
        <f>IFERROR(__xludf.DUMMYFUNCTION("""COMPUTED_VALUE"""),"Trade Attribute 1")</f>
        <v>Trade Attribute 1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IFERROR(__xludf.DUMMYFUNCTION("""COMPUTED_VALUE"""),"Day Executed Qty")</f>
        <v>Day Executed Qty</v>
      </c>
      <c r="AO5" s="30" t="str">
        <f>IFERROR(__xludf.DUMMYFUNCTION("""COMPUTED_VALUE"""),"Last Fill Price (Local)")</f>
        <v>Last Fill Price (Local)</v>
      </c>
      <c r="AP5" s="30" t="str">
        <f>IFERROR(__xludf.DUMMYFUNCTION("""COMPUTED_VALUE"""),"Avg Fill Price (Local)")</f>
        <v>Avg Fill Price (Local)</v>
      </c>
      <c r="AQ5" s="30" t="str">
        <f>IFERROR(__xludf.DUMMYFUNCTION("""COMPUTED_VALUE"""),"Broker")</f>
        <v>Broker</v>
      </c>
      <c r="AR5" s="30" t="str">
        <f>IFERROR(__xludf.DUMMYFUNCTION("""COMPUTED_VALUE"""),"Account")</f>
        <v>Account</v>
      </c>
      <c r="AS5" s="30" t="str">
        <f>IFERROR(__xludf.DUMMYFUNCTION("""COMPUTED_VALUE"""),"Order Type")</f>
        <v>Order Type</v>
      </c>
      <c r="AT5" s="30" t="str">
        <f>IFERROR(__xludf.DUMMYFUNCTION("""COMPUTED_VALUE"""),"Principal Amount (Local)")</f>
        <v>Principal Amount (Local)</v>
      </c>
      <c r="AU5" s="30" t="str">
        <f>IFERROR(__xludf.DUMMYFUNCTION("""COMPUTED_VALUE"""),"Principal Amount (Base)")</f>
        <v>Principal Amount (Base)</v>
      </c>
      <c r="AV5" s="30" t="str">
        <f>IFERROR(__xludf.DUMMYFUNCTION("""COMPUTED_VALUE"""),"Allocation Scheme Name")</f>
        <v>Allocation Scheme Name</v>
      </c>
      <c r="AW5" s="30" t="str">
        <f>IFERROR(__xludf.DUMMYFUNCTION("""COMPUTED_VALUE"""),"Status (With Rollover)")</f>
        <v>Status (With Rollover)</v>
      </c>
      <c r="AX5" s="30" t="str">
        <f>IFERROR(__xludf.DUMMYFUNCTION("""COMPUTED_VALUE"""),"Unexecuted Qty")</f>
        <v>Unexecuted Qty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10.0</v>
      </c>
      <c r="E6" s="42"/>
      <c r="F6" s="8"/>
      <c r="G6" s="13"/>
      <c r="H6" s="13" t="s">
        <v>41</v>
      </c>
      <c r="I6" s="13"/>
      <c r="K6" s="13" t="s">
        <v>37</v>
      </c>
      <c r="L6" s="8"/>
      <c r="M6" s="8"/>
      <c r="N6" s="8"/>
      <c r="O6" s="8"/>
      <c r="AA6" s="9" t="s">
        <v>42</v>
      </c>
      <c r="AD6" s="9">
        <v>1.0</v>
      </c>
      <c r="AF6" s="9" t="s">
        <v>43</v>
      </c>
      <c r="AG6" s="9">
        <v>10.0</v>
      </c>
      <c r="AH6" s="9" t="s">
        <v>36</v>
      </c>
      <c r="AI6" s="9" t="s">
        <v>16</v>
      </c>
      <c r="AJ6" s="9" t="s">
        <v>18</v>
      </c>
      <c r="AK6" s="9" t="s">
        <v>44</v>
      </c>
      <c r="AL6" s="9">
        <v>10.0</v>
      </c>
      <c r="AM6" s="9">
        <v>5.0</v>
      </c>
      <c r="AN6" s="9">
        <v>5.0</v>
      </c>
      <c r="AP6" s="9">
        <v>10.0</v>
      </c>
      <c r="AQ6" s="9" t="s">
        <v>45</v>
      </c>
      <c r="AR6" s="9" t="s">
        <v>23</v>
      </c>
      <c r="AS6" s="9" t="s">
        <v>46</v>
      </c>
      <c r="AT6" s="9">
        <v>50.0</v>
      </c>
      <c r="AU6" s="9">
        <v>50.0</v>
      </c>
      <c r="AV6" s="9" t="s">
        <v>47</v>
      </c>
      <c r="AW6" s="9" t="s">
        <v>48</v>
      </c>
      <c r="AX6" s="9">
        <v>5.0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VerifyRollover!$4:$4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