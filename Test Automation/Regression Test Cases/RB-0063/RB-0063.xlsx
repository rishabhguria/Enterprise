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LockandUnlockGridData" sheetId="12" r:id="rId14"/>
    <sheet state="visible" name="VerifyGridData" sheetId="13" r:id="rId15"/>
    <sheet state="visible" name="SendtoStaging" sheetId="14" r:id="rId16"/>
  </sheets>
  <definedNames/>
  <calcPr/>
</workbook>
</file>

<file path=xl/sharedStrings.xml><?xml version="1.0" encoding="utf-8"?>
<sst xmlns="http://schemas.openxmlformats.org/spreadsheetml/2006/main" count="150" uniqueCount="49">
  <si>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</si>
  <si>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</si>
  <si>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</si>
  <si>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</si>
  <si>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</si>
  <si>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</si>
  <si>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</si>
  <si>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</si>
  <si>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</si>
  <si>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</si>
  <si>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</si>
  <si>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</si>
  <si>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</si>
  <si>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</si>
  <si>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</si>
  <si>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</si>
  <si>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</si>
  <si>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</si>
  <si>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</si>
  <si>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</si>
  <si>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</si>
  <si>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</si>
  <si>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</si>
  <si>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</si>
  <si>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</si>
  <si>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</si>
  <si>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</si>
  <si>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</si>
  <si>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</si>
  <si>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</si>
  <si>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</si>
  <si>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</si>
  <si>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</si>
  <si>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</si>
  <si>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</si>
  <si>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</si>
  <si>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</si>
  <si>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</si>
  <si>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</si>
  <si>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Round Down</t>
  </si>
  <si>
    <t>LockandUnlockGridData</t>
  </si>
  <si>
    <t>Cash</t>
  </si>
  <si>
    <t>VerifyGridData</t>
  </si>
  <si>
    <t>Equity</t>
  </si>
  <si>
    <t>Long</t>
  </si>
  <si>
    <t>Short</t>
  </si>
  <si>
    <t>Accruals</t>
  </si>
  <si>
    <t>SendtoStaging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</si>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</sst>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16</v>
      </c>
      <c r="C6" s="38" t="s">
        <v>22</v>
      </c>
      <c r="D6" s="39">
        <v>600.0</v>
      </c>
      <c r="E6" s="38"/>
      <c r="F6" s="38"/>
      <c r="G6" s="38"/>
      <c r="H6" s="38"/>
      <c r="I6" s="38"/>
      <c r="J6" s="32">
        <v>10.0</v>
      </c>
      <c r="K6" s="38"/>
      <c r="L6" s="38"/>
      <c r="M6" s="38"/>
      <c r="N6" s="40">
        <f t="shared" ref="N6:N9" si="1">today()-1</f>
        <v>44795</v>
      </c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17</v>
      </c>
      <c r="C7" s="41" t="s">
        <v>22</v>
      </c>
      <c r="D7" s="35">
        <v>100.0</v>
      </c>
      <c r="E7" s="41"/>
      <c r="F7" s="41"/>
      <c r="G7" s="41"/>
      <c r="H7" s="41"/>
      <c r="I7" s="41"/>
      <c r="J7" s="35">
        <v>10.0</v>
      </c>
      <c r="K7" s="41"/>
      <c r="L7" s="41"/>
      <c r="M7" s="41"/>
      <c r="N7" s="42">
        <f t="shared" si="1"/>
        <v>44795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 t="s">
        <v>18</v>
      </c>
      <c r="C8" s="41" t="s">
        <v>23</v>
      </c>
      <c r="D8" s="35">
        <v>100.0</v>
      </c>
      <c r="E8" s="41"/>
      <c r="F8" s="41"/>
      <c r="G8" s="41"/>
      <c r="H8" s="41"/>
      <c r="I8" s="41"/>
      <c r="J8" s="35">
        <v>10.0</v>
      </c>
      <c r="K8" s="41"/>
      <c r="L8" s="41"/>
      <c r="M8" s="41"/>
      <c r="N8" s="42">
        <f t="shared" si="1"/>
        <v>44795</v>
      </c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 t="s">
        <v>19</v>
      </c>
      <c r="C9" s="41" t="s">
        <v>22</v>
      </c>
      <c r="D9" s="35">
        <v>600.0</v>
      </c>
      <c r="E9" s="41"/>
      <c r="F9" s="41"/>
      <c r="G9" s="41"/>
      <c r="H9" s="41"/>
      <c r="I9" s="41"/>
      <c r="J9" s="35">
        <v>10.0</v>
      </c>
      <c r="K9" s="41"/>
      <c r="L9" s="41"/>
      <c r="M9" s="41"/>
      <c r="N9" s="42">
        <f t="shared" si="1"/>
        <v>44795</v>
      </c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194.32</v>
      </c>
      <c r="D6" s="31"/>
      <c r="E6" s="38"/>
      <c r="F6" s="3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94.51</v>
      </c>
      <c r="D7" s="41"/>
      <c r="E7" s="41"/>
      <c r="F7" s="41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36.48</v>
      </c>
      <c r="D8" s="41"/>
      <c r="E8" s="41"/>
      <c r="F8" s="41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6.56</v>
      </c>
      <c r="D9" s="41"/>
      <c r="E9" s="41"/>
      <c r="F9" s="41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 t="shared" ref="B6:C6" si="1">today()-1</f>
        <v>44795</v>
      </c>
      <c r="C6" s="40">
        <f t="shared" si="1"/>
        <v>44795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28</v>
      </c>
      <c r="C6" s="38" t="s">
        <v>29</v>
      </c>
      <c r="D6" s="39">
        <v>40000.0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28</v>
      </c>
      <c r="C6" s="38" t="s">
        <v>32</v>
      </c>
      <c r="D6" s="37" t="s">
        <v>33</v>
      </c>
      <c r="E6" s="38" t="s">
        <v>34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9">
        <v>16633.0</v>
      </c>
      <c r="C6" s="43" t="s">
        <v>36</v>
      </c>
      <c r="D6" s="37" t="s">
        <v>37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39</v>
      </c>
      <c r="C6" s="38"/>
      <c r="D6" s="44" t="b">
        <v>1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/>
      <c r="C6" s="45" t="s">
        <v>28</v>
      </c>
      <c r="D6" s="46" t="s">
        <v>16</v>
      </c>
      <c r="E6" s="38"/>
      <c r="F6" s="45"/>
      <c r="G6" s="38">
        <v>194.32</v>
      </c>
      <c r="H6" s="45"/>
      <c r="I6" s="38"/>
      <c r="J6" s="38"/>
      <c r="K6" s="47">
        <v>600.0</v>
      </c>
      <c r="L6" s="38">
        <v>116592.0</v>
      </c>
      <c r="M6" s="38"/>
      <c r="N6" s="38"/>
      <c r="O6" s="38">
        <v>600.0</v>
      </c>
      <c r="P6" s="38"/>
      <c r="Q6" s="38">
        <v>116592.0</v>
      </c>
      <c r="R6" s="45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38"/>
      <c r="B7" s="38"/>
      <c r="C7" s="45" t="s">
        <v>28</v>
      </c>
      <c r="D7" s="45" t="s">
        <v>41</v>
      </c>
      <c r="E7" s="38"/>
      <c r="F7" s="45"/>
      <c r="G7" s="48">
        <v>1.0</v>
      </c>
      <c r="H7" s="45"/>
      <c r="I7" s="38"/>
      <c r="J7" s="38"/>
      <c r="K7" s="47">
        <v>40000.0</v>
      </c>
      <c r="L7" s="47">
        <v>40000.0</v>
      </c>
      <c r="M7" s="38"/>
      <c r="N7" s="38"/>
      <c r="O7" s="38"/>
      <c r="P7" s="38"/>
      <c r="Q7" s="38"/>
      <c r="R7" s="45"/>
      <c r="S7" s="38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28</v>
      </c>
      <c r="D6" s="46" t="s">
        <v>17</v>
      </c>
      <c r="E6" s="45" t="s">
        <v>43</v>
      </c>
      <c r="F6" s="45" t="s">
        <v>44</v>
      </c>
      <c r="G6" s="47">
        <v>94.51</v>
      </c>
      <c r="H6" s="47">
        <v>94.51</v>
      </c>
      <c r="I6" s="47">
        <v>1.0</v>
      </c>
      <c r="J6" s="47"/>
      <c r="K6" s="47">
        <v>100.0</v>
      </c>
      <c r="L6" s="47">
        <v>9451.0</v>
      </c>
      <c r="M6" s="47">
        <v>9451.0</v>
      </c>
      <c r="N6" s="8"/>
      <c r="O6" s="49">
        <v>270.0</v>
      </c>
      <c r="P6" s="49">
        <v>25517.7</v>
      </c>
      <c r="Q6" s="49">
        <v>25517.7</v>
      </c>
      <c r="R6" s="49">
        <v>170.0</v>
      </c>
      <c r="S6" s="50">
        <v>16067.0</v>
      </c>
    </row>
    <row r="7" ht="15.75" customHeight="1">
      <c r="A7" s="8"/>
      <c r="B7" s="8"/>
      <c r="C7" s="51" t="s">
        <v>28</v>
      </c>
      <c r="D7" s="51" t="s">
        <v>16</v>
      </c>
      <c r="E7" s="51" t="s">
        <v>43</v>
      </c>
      <c r="F7" s="51" t="s">
        <v>44</v>
      </c>
      <c r="G7" s="52">
        <v>194.32</v>
      </c>
      <c r="H7" s="52">
        <v>194.32</v>
      </c>
      <c r="I7" s="52">
        <v>1.0</v>
      </c>
      <c r="J7" s="52"/>
      <c r="K7" s="52">
        <v>600.0</v>
      </c>
      <c r="L7" s="52">
        <v>116592.0</v>
      </c>
      <c r="M7" s="52">
        <v>116592.0</v>
      </c>
      <c r="N7" s="8"/>
      <c r="O7" s="49">
        <v>600.0</v>
      </c>
      <c r="P7" s="49">
        <v>116592.0</v>
      </c>
      <c r="Q7" s="49">
        <v>116592.0</v>
      </c>
      <c r="R7" s="49">
        <v>0.0</v>
      </c>
      <c r="S7" s="49">
        <v>0.0</v>
      </c>
    </row>
    <row r="8" ht="15.75" customHeight="1">
      <c r="A8" s="8"/>
      <c r="B8" s="8"/>
      <c r="C8" s="51" t="s">
        <v>28</v>
      </c>
      <c r="D8" s="51" t="s">
        <v>19</v>
      </c>
      <c r="E8" s="51" t="s">
        <v>43</v>
      </c>
      <c r="F8" s="51" t="s">
        <v>44</v>
      </c>
      <c r="G8" s="52">
        <v>6.56</v>
      </c>
      <c r="H8" s="52">
        <v>6.56</v>
      </c>
      <c r="I8" s="52">
        <v>1.0</v>
      </c>
      <c r="J8" s="52"/>
      <c r="K8" s="52">
        <v>600.0</v>
      </c>
      <c r="L8" s="52">
        <v>3936.0</v>
      </c>
      <c r="M8" s="52">
        <v>3936.0</v>
      </c>
      <c r="N8" s="8"/>
      <c r="O8" s="49">
        <v>1624.0</v>
      </c>
      <c r="P8" s="49">
        <v>10653.44</v>
      </c>
      <c r="Q8" s="49">
        <v>10653.44</v>
      </c>
      <c r="R8" s="49">
        <v>1024.0</v>
      </c>
      <c r="S8" s="50">
        <v>6717.0</v>
      </c>
    </row>
    <row r="9" ht="15.75" customHeight="1">
      <c r="A9" s="8"/>
      <c r="B9" s="8"/>
      <c r="C9" s="51" t="s">
        <v>28</v>
      </c>
      <c r="D9" s="51" t="s">
        <v>18</v>
      </c>
      <c r="E9" s="51" t="s">
        <v>43</v>
      </c>
      <c r="F9" s="51" t="s">
        <v>45</v>
      </c>
      <c r="G9" s="52">
        <v>36.48</v>
      </c>
      <c r="H9" s="52">
        <v>36.48</v>
      </c>
      <c r="I9" s="52">
        <v>1.0</v>
      </c>
      <c r="J9" s="52"/>
      <c r="K9" s="52">
        <v>100.0</v>
      </c>
      <c r="L9" s="52">
        <v>-3648.0</v>
      </c>
      <c r="M9" s="52">
        <v>-3648.0</v>
      </c>
      <c r="N9" s="8"/>
      <c r="O9" s="49">
        <v>270.0</v>
      </c>
      <c r="P9" s="49">
        <v>-9849.6</v>
      </c>
      <c r="Q9" s="49">
        <v>-9849.6</v>
      </c>
      <c r="R9" s="49">
        <v>170.0</v>
      </c>
      <c r="S9" s="50">
        <v>-6202.0</v>
      </c>
    </row>
    <row r="10" ht="15.75" customHeight="1">
      <c r="A10" s="8"/>
      <c r="B10" s="8"/>
      <c r="C10" s="51" t="s">
        <v>28</v>
      </c>
      <c r="D10" s="51" t="s">
        <v>46</v>
      </c>
      <c r="E10" s="51" t="s">
        <v>46</v>
      </c>
      <c r="F10" s="51" t="s">
        <v>44</v>
      </c>
      <c r="G10" s="52">
        <v>1.0</v>
      </c>
      <c r="H10" s="52">
        <v>1.0</v>
      </c>
      <c r="I10" s="52">
        <v>1.0</v>
      </c>
      <c r="J10" s="52"/>
      <c r="K10" s="52">
        <v>0.0</v>
      </c>
      <c r="L10" s="52">
        <v>0.0</v>
      </c>
      <c r="M10" s="52">
        <v>0.0</v>
      </c>
      <c r="N10" s="8"/>
      <c r="O10" s="49">
        <v>0.0</v>
      </c>
      <c r="P10" s="49">
        <v>0.0</v>
      </c>
      <c r="Q10" s="49">
        <v>0.0</v>
      </c>
      <c r="R10" s="49">
        <v>0.0</v>
      </c>
      <c r="S10" s="49">
        <v>0.0</v>
      </c>
    </row>
    <row r="11" ht="15.75" customHeight="1">
      <c r="A11" s="8"/>
      <c r="B11" s="8"/>
      <c r="C11" s="51" t="s">
        <v>28</v>
      </c>
      <c r="D11" s="51" t="s">
        <v>41</v>
      </c>
      <c r="E11" s="51" t="s">
        <v>41</v>
      </c>
      <c r="F11" s="51" t="s">
        <v>44</v>
      </c>
      <c r="G11" s="52">
        <v>1.0</v>
      </c>
      <c r="H11" s="52">
        <v>1.0</v>
      </c>
      <c r="I11" s="52">
        <v>1.0</v>
      </c>
      <c r="J11" s="52"/>
      <c r="K11" s="52">
        <v>40000.0</v>
      </c>
      <c r="L11" s="52">
        <v>40000.0</v>
      </c>
      <c r="M11" s="52">
        <v>40000.0</v>
      </c>
      <c r="N11" s="8"/>
      <c r="O11" s="49">
        <v>23417.0</v>
      </c>
      <c r="P11" s="49">
        <v>23417.0</v>
      </c>
      <c r="Q11" s="49">
        <v>23417.0</v>
      </c>
      <c r="R11" s="49">
        <v>-16583.0</v>
      </c>
      <c r="S11" s="50">
        <v>-16583.0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3" t="s">
        <v>28</v>
      </c>
      <c r="C6" s="53" t="s">
        <v>22</v>
      </c>
      <c r="D6" s="53" t="s">
        <v>17</v>
      </c>
      <c r="E6" s="49">
        <v>170.0</v>
      </c>
      <c r="F6" s="50">
        <v>94.51</v>
      </c>
      <c r="G6" s="50">
        <v>16067.0</v>
      </c>
      <c r="H6" s="54"/>
      <c r="I6" s="8"/>
      <c r="J6" s="8"/>
      <c r="K6" s="8"/>
      <c r="L6" s="8"/>
      <c r="M6" s="8"/>
      <c r="N6" s="8"/>
      <c r="O6" s="8"/>
    </row>
    <row r="7" ht="15.75" customHeight="1">
      <c r="A7" s="53"/>
      <c r="B7" s="53" t="s">
        <v>28</v>
      </c>
      <c r="C7" s="53" t="s">
        <v>22</v>
      </c>
      <c r="D7" s="53" t="s">
        <v>19</v>
      </c>
      <c r="E7" s="49">
        <v>1024.0</v>
      </c>
      <c r="F7" s="50">
        <v>6.56</v>
      </c>
      <c r="G7" s="50">
        <v>6717.0</v>
      </c>
      <c r="H7" s="54"/>
      <c r="I7" s="8"/>
      <c r="J7" s="8"/>
      <c r="K7" s="8"/>
      <c r="L7" s="8"/>
      <c r="M7" s="8"/>
      <c r="N7" s="8"/>
      <c r="O7" s="8"/>
    </row>
    <row r="8" ht="15.75" customHeight="1">
      <c r="A8" s="53"/>
      <c r="B8" s="53" t="s">
        <v>28</v>
      </c>
      <c r="C8" s="53" t="s">
        <v>48</v>
      </c>
      <c r="D8" s="53" t="s">
        <v>18</v>
      </c>
      <c r="E8" s="49">
        <v>170.0</v>
      </c>
      <c r="F8" s="50">
        <v>36.48</v>
      </c>
      <c r="G8" s="50">
        <v>-6202.0</v>
      </c>
      <c r="H8" s="54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