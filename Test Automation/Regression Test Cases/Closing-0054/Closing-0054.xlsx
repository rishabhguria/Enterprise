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shSettlementAtCost" sheetId="4" r:id="rId6"/>
    <sheet state="visible" name="VerifyExpiredSettledGrid" sheetId="5" r:id="rId7"/>
    <sheet state="visible" name="CreateTransaction1" sheetId="6" r:id="rId8"/>
    <sheet state="visible" name="SelectTradeUnexpiredUnsettled" sheetId="7" r:id="rId9"/>
    <sheet state="visible" name="CreateTransaction" sheetId="8" r:id="rId10"/>
    <sheet state="visible" name="SaveTransaction" sheetId="9" r:id="rId11"/>
    <sheet state="visible" name="Copy of Data" sheetId="10" r:id="rId12"/>
    <sheet state="visible" name="Copy of Data 1" sheetId="11" r:id="rId13"/>
    <sheet state="visible" name="ClosingCleanUp" sheetId="12" r:id="rId14"/>
  </sheets>
  <definedNames/>
  <calcPr/>
</workbook>
</file>

<file path=xl/sharedStrings.xml><?xml version="1.0" encoding="utf-8"?>
<sst xmlns="http://schemas.openxmlformats.org/spreadsheetml/2006/main" count="93" uniqueCount="27">
  <si>
    <t>Modules Info</t>
  </si>
  <si>
    <t>Master Data Info</t>
  </si>
  <si>
    <t>Settings</t>
  </si>
  <si>
    <t>Module</t>
  </si>
  <si>
    <t>Modules</t>
  </si>
  <si>
    <t>Module Step Setting File</t>
  </si>
  <si>
    <t>Step</t>
  </si>
  <si>
    <t>1bjzFzn7sq_aNk1B-5bCREqf7Fqdi4GeZC91op3sddBc</t>
  </si>
  <si>
    <t>Master Data Settings File</t>
  </si>
  <si>
    <t>1Nt_rf5DtgjbN9Ag4AMMlUkZYROxKZLH5m54YOl7tRT0</t>
  </si>
  <si>
    <t>Master Data Sheet</t>
  </si>
  <si>
    <t>Data</t>
  </si>
  <si>
    <t>Closing</t>
  </si>
  <si>
    <t>CashSettlementAtCost</t>
  </si>
  <si>
    <t>Data Format</t>
  </si>
  <si>
    <t>Input Format</t>
  </si>
  <si>
    <t>VerifyExpiredSettledGrid</t>
  </si>
  <si>
    <t>Allocation1</t>
  </si>
  <si>
    <t>FX</t>
  </si>
  <si>
    <t>USD/NOK</t>
  </si>
  <si>
    <t>CreateTransaction</t>
  </si>
  <si>
    <t>Buy</t>
  </si>
  <si>
    <t>SelectTradeUnexpiredUnsettled</t>
  </si>
  <si>
    <t>CreateDoneAwayOrder</t>
  </si>
  <si>
    <t>msft</t>
  </si>
  <si>
    <t>buy</t>
  </si>
  <si>
    <t>TradingTicket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</si>
</sst>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9" numFmtId="0" xfId="0" applyFont="1"/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4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IFERROR(__xludf.DUMMYFUNCTION("""COMPUTED_VALUE"""),"Rebalancer")</f>
        <v>Rebalancer</v>
      </c>
      <c r="B409" t="str">
        <f>IFERROR(__xludf.DUMMYFUNCTION("""COMPUTED_VALUE"""),"ClearCalculations")</f>
        <v>ClearCalculations</v>
      </c>
      <c r="C409" t="str">
        <f>IFERROR(__xludf.DUMMYFUNCTION("""COMPUTED_VALUE"""),"1pQy7yDMWL8pTAYmkyQd-37O6NjL8-HJsxUSDe_0vr3Y")</f>
        <v>1pQy7yDMWL8pTAYmkyQd-37O6NjL8-HJsxUSDe_0vr3Y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IFERROR(__xludf.DUMMYFUNCTION("""COMPUTED_VALUE"""),"Rebalancer")</f>
        <v>Rebalancer</v>
      </c>
      <c r="B410" t="str">
        <f>IFERROR(__xludf.DUMMYFUNCTION("""COMPUTED_VALUE"""),"ModifyRebalance")</f>
        <v>ModifyRebalance</v>
      </c>
      <c r="C410" t="str">
        <f>IFERROR(__xludf.DUMMYFUNCTION("""COMPUTED_VALUE"""),"1PL-GKbx6oOTs--yRdzkUeclt9Wvb6f5jt4XN1oEGIZk")</f>
        <v>1PL-GKbx6oOTs--yRdzkUeclt9Wvb6f5jt4XN1oEGIZk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0" t="s">
        <v>7</v>
      </c>
      <c r="C3" s="7"/>
    </row>
    <row r="4" ht="15.75" customHeight="1">
      <c r="A4" s="8" t="s">
        <v>8</v>
      </c>
      <c r="B4" s="10" t="s">
        <v>9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1" t="s">
        <v>6</v>
      </c>
      <c r="C3" s="11" t="s">
        <v>10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29">
        <f>Today()</f>
        <v>43668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CashSettlementAtCost!$4:$4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16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17</v>
      </c>
      <c r="C6" s="10" t="s">
        <v>18</v>
      </c>
      <c r="D6" s="7"/>
      <c r="E6" s="7"/>
      <c r="F6" s="7"/>
      <c r="G6" s="10">
        <v>100.25</v>
      </c>
      <c r="H6" s="7"/>
      <c r="I6" s="7"/>
      <c r="J6" s="7"/>
      <c r="K6" s="7"/>
      <c r="L6" s="7"/>
      <c r="M6" s="7"/>
      <c r="N6" s="7"/>
      <c r="O6" s="7"/>
      <c r="AB6" s="30" t="s">
        <v>19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IFERROR(__xludf.DUMMYFUNCTION("IF(C3="""","""",Transpose(IMPORTRANGE('_Settings'!$B$3,C3&amp;""!A4:A1000"")))"),"CreateTransaction")</f>
        <v>CreateTransaction</v>
      </c>
      <c r="C4" s="23" t="str">
        <f>IFERROR(__xludf.DUMMYFUNCTION("""COMPUTED_VALUE"""),"AddNewTransaction")</f>
        <v>AddNewTransaction</v>
      </c>
      <c r="D4" s="23" t="str">
        <f>IFERROR(__xludf.DUMMYFUNCTION("""COMPUTED_VALUE"""),"SaveTransaction")</f>
        <v>SaveTransaction</v>
      </c>
      <c r="E4" s="23" t="str">
        <f>IFERROR(__xludf.DUMMYFUNCTION("""COMPUTED_VALUE"""),"")</f>
        <v/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IFERROR(__xludf.DUMMYFUNCTION("""COMPUTED_VALUE"""),"Account")</f>
        <v>Account</v>
      </c>
      <c r="D5" s="26" t="str">
        <f>IFERROR(__xludf.DUMMYFUNCTION("""COMPUTED_VALUE"""),"Side")</f>
        <v>Side</v>
      </c>
      <c r="E5" s="26" t="str">
        <f>IFERROR(__xludf.DUMMYFUNCTION("""COMPUTED_VALUE"""),"Quantity")</f>
        <v>Quantity</v>
      </c>
      <c r="F5" s="27" t="str">
        <f>IFERROR(__xludf.DUMMYFUNCTION("""COMPUTED_VALUE"""),"Executed Quantity")</f>
        <v>Executed Quantity</v>
      </c>
      <c r="G5" s="26" t="str">
        <f>IFERROR(__xludf.DUMMYFUNCTION("""COMPUTED_VALUE"""),"Average Price")</f>
        <v>Average Price</v>
      </c>
      <c r="H5" s="26" t="str">
        <f>IFERROR(__xludf.DUMMYFUNCTION("""COMPUTED_VALUE"""),"Commission")</f>
        <v>Commission</v>
      </c>
      <c r="I5" s="26" t="str">
        <f>IFERROR(__xludf.DUMMYFUNCTION("""COMPUTED_VALUE"""),"Trade Date")</f>
        <v>Trade Date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19</v>
      </c>
      <c r="C6" s="10" t="s">
        <v>17</v>
      </c>
      <c r="D6" s="10" t="s">
        <v>21</v>
      </c>
      <c r="E6" s="10">
        <v>100.25</v>
      </c>
      <c r="F6" s="10">
        <v>100.25</v>
      </c>
      <c r="G6" s="10">
        <v>15.0</v>
      </c>
      <c r="H6" s="10">
        <v>0.0</v>
      </c>
      <c r="I6" s="29">
        <f>Today()</f>
        <v>43668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22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17</v>
      </c>
      <c r="C6" s="7"/>
      <c r="D6" s="7"/>
      <c r="E6" s="10" t="s">
        <v>18</v>
      </c>
      <c r="F6" s="7"/>
      <c r="G6" s="7"/>
      <c r="H6" s="7"/>
      <c r="I6" s="10">
        <v>15.0</v>
      </c>
      <c r="J6" s="7"/>
      <c r="K6" s="7"/>
      <c r="L6" s="7"/>
      <c r="M6" s="7"/>
      <c r="N6" s="7"/>
      <c r="O6" s="7"/>
      <c r="DH6" s="30" t="s">
        <v>19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IFERROR(__xludf.DUMMYFUNCTION("IF(C3="""","""",Transpose(IMPORTRANGE('_Settings'!$B$3,C3&amp;""!A4:A1000"")))"),"CreateTransaction")</f>
        <v>CreateTransaction</v>
      </c>
      <c r="C4" s="23" t="str">
        <f>IFERROR(__xludf.DUMMYFUNCTION("""COMPUTED_VALUE"""),"AddNewTransaction")</f>
        <v>AddNewTransaction</v>
      </c>
      <c r="D4" s="23" t="str">
        <f>IFERROR(__xludf.DUMMYFUNCTION("""COMPUTED_VALUE"""),"SaveTransaction")</f>
        <v>SaveTransaction</v>
      </c>
      <c r="E4" s="23" t="str">
        <f>IFERROR(__xludf.DUMMYFUNCTION("""COMPUTED_VALUE"""),"")</f>
        <v/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IFERROR(__xludf.DUMMYFUNCTION("TRANSPOSE(IMPORTRANGE(VLOOKUP($E$3,IMPORTRANGE('_Settings'!$B$3,$C$3&amp;""!A4:B1000""),2,FALSE),$G$3&amp;""!A4:A1000""))"),"#N/A")</f>
        <v>#N/A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0"/>
      <c r="B6" s="10" t="s">
        <v>24</v>
      </c>
      <c r="C6" s="7"/>
      <c r="D6" s="10" t="s">
        <v>25</v>
      </c>
      <c r="E6" s="3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IFERROR(__xludf.DUMMYFUNCTION("IF(C3="""","""",Transpose(IMPORTRANGE('_Settings'!$B$3,C3&amp;""!A4:A1000"")))"),"CreateTransaction")</f>
        <v>CreateTransaction</v>
      </c>
      <c r="C4" s="23" t="str">
        <f>IFERROR(__xludf.DUMMYFUNCTION("""COMPUTED_VALUE"""),"AddNewTransaction")</f>
        <v>AddNewTransaction</v>
      </c>
      <c r="D4" s="23" t="str">
        <f>IFERROR(__xludf.DUMMYFUNCTION("""COMPUTED_VALUE"""),"SaveTransaction")</f>
        <v>SaveTransaction</v>
      </c>
      <c r="E4" s="23" t="str">
        <f>IFERROR(__xludf.DUMMYFUNCTION("""COMPUTED_VALUE"""),"")</f>
        <v/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IFERROR(__xludf.DUMMYFUNCTION("TRANSPOSE(IMPORTRANGE(VLOOKUP($E$3,IMPORTRANGE('_Settings'!$B$3,$C$3&amp;""!A4:B1000""),2,FALSE),$G$3&amp;""!A4:A1000""))"),"#N/A")</f>
        <v>#N/A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0"/>
      <c r="B6" s="10" t="s">
        <v>24</v>
      </c>
      <c r="C6" s="7"/>
      <c r="D6" s="10" t="s">
        <v>25</v>
      </c>
      <c r="E6" s="3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SaveTransaction!$4:$4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26</v>
      </c>
      <c r="D3" s="9" t="s">
        <v>6</v>
      </c>
      <c r="E3" s="21" t="s">
        <v>23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0"/>
      <c r="B6" s="10" t="s">
        <v>24</v>
      </c>
      <c r="C6" s="7"/>
      <c r="D6" s="10" t="s">
        <v>25</v>
      </c>
      <c r="E6" s="3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26</v>
      </c>
      <c r="D3" s="9" t="s">
        <v>6</v>
      </c>
      <c r="E3" s="21" t="s">
        <v>23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0"/>
      <c r="B6" s="10" t="s">
        <v>24</v>
      </c>
      <c r="C6" s="7"/>
      <c r="D6" s="10" t="s">
        <v>25</v>
      </c>
      <c r="E6" s="3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IFERROR(__xludf.DUMMYFUNCTION("TRANSPOSE(IMPORTRANGE(VLOOKUP($E$3,IMPORTRANGE('_Settings'!$B$3,$C$3&amp;""!A4:B1000""),2,FALSE),$G$3&amp;""!A4:A1000""))"),"#N/A")</f>
        <v>#N/A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0"/>
      <c r="B6" s="10" t="s">
        <v>24</v>
      </c>
      <c r="C6" s="7"/>
      <c r="D6" s="10" t="s">
        <v>25</v>
      </c>
      <c r="E6" s="3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ClosingCleanUp!$4:$4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