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ustomOrderTT" sheetId="5" r:id="rId7"/>
    <sheet state="visible" name="TransferToUserOrder" sheetId="6" r:id="rId8"/>
    <sheet state="visible" name="LoginClient" sheetId="7" r:id="rId9"/>
    <sheet state="visible" name="ApproveorRejectpendingapproval" sheetId="8" r:id="rId10"/>
    <sheet state="visible" name="ApproveorRejectpendingapproval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<sst xmlns="http://schemas.openxmlformats.org/spreadsheetml/2006/main" count="110" uniqueCount="44">
  <si>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</si>
  <si>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</si>
  <si>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</si>
  <si>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</si>
  <si>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</si>
  <si>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</si>
  <si>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</si>
  <si>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</si>
  <si>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</si>
  <si>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</si>
  <si>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</si>
  <si>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</si>
  <si>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</si>
  <si>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</si>
  <si>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</si>
  <si>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</si>
  <si>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</si>
  <si>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</si>
  <si>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TradingTicket</t>
  </si>
  <si>
    <t>CustomOrderTT</t>
  </si>
  <si>
    <t>AAPL</t>
  </si>
  <si>
    <t>Send</t>
  </si>
  <si>
    <t>Buy</t>
  </si>
  <si>
    <t>Good Till Date</t>
  </si>
  <si>
    <t>Limit</t>
  </si>
  <si>
    <t>No</t>
  </si>
  <si>
    <t>GTC</t>
  </si>
  <si>
    <t>Blotter</t>
  </si>
  <si>
    <t>TransferToUserOrder</t>
  </si>
  <si>
    <t>New</t>
  </si>
  <si>
    <t>jgulbrandsen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</si>
  <si>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</si>
  <si>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</si>
  <si>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</si>
  <si>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</si>
  <si>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</si>
  <si>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</si>
  <si>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</si>
  <si>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Reject</t>
  </si>
  <si>
    <t>VerifyOrder</t>
  </si>
  <si>
    <t>AAPL US EQUITY</t>
  </si>
  <si>
    <t>MS</t>
  </si>
  <si>
    <t>Allocation1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</si>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</sst>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Segoe UI"/>
    </font>
    <font>
      <color rgb="FF000000"/>
      <name val="Arial"/>
    </font>
    <font>
      <b/>
      <sz val="9.0"/>
      <color rgb="FF000000"/>
      <name val="Segoe U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7" fillId="0" fontId="3" numFmtId="164" xfId="0" applyAlignment="1" applyBorder="1" applyFont="1" applyNumberFormat="1">
      <alignment vertical="bottom"/>
    </xf>
    <xf borderId="8" fillId="6" fontId="14" numFmtId="0" xfId="0" applyAlignment="1" applyBorder="1" applyFill="1" applyFont="1">
      <alignment horizontal="right" readingOrder="0" vertical="top"/>
    </xf>
    <xf borderId="8" fillId="6" fontId="15" numFmtId="0" xfId="0" applyAlignment="1" applyBorder="1" applyFont="1">
      <alignment horizontal="right" vertical="top"/>
    </xf>
    <xf borderId="8" fillId="6" fontId="3" numFmtId="0" xfId="0" applyAlignment="1" applyBorder="1" applyFont="1">
      <alignment vertical="top"/>
    </xf>
    <xf borderId="0" fillId="0" fontId="16" numFmtId="0" xfId="0" applyAlignment="1" applyFont="1">
      <alignment vertical="bottom"/>
    </xf>
    <xf borderId="8" fillId="6" fontId="17" numFmtId="0" xfId="0" applyAlignment="1" applyBorder="1" applyFont="1">
      <alignment horizontal="right" vertical="top"/>
    </xf>
    <xf borderId="8" fillId="6" fontId="14" numFmtId="0" xfId="0" applyAlignment="1" applyBorder="1" applyFont="1">
      <alignment horizontal="right" vertical="top"/>
    </xf>
    <xf borderId="9" fillId="7" fontId="18" numFmtId="0" xfId="0" applyAlignment="1" applyBorder="1" applyFill="1" applyFont="1">
      <alignment horizontal="right" readingOrder="0" shrinkToFit="0" vertical="top" wrapText="0"/>
    </xf>
    <xf borderId="9" fillId="7" fontId="19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20</v>
      </c>
      <c r="C6" s="34">
        <v>1000.0</v>
      </c>
      <c r="D6" s="36">
        <v>100.0</v>
      </c>
      <c r="E6" s="35" t="s">
        <v>21</v>
      </c>
      <c r="F6" s="31"/>
      <c r="G6" s="31"/>
      <c r="H6" s="31"/>
      <c r="I6" s="31"/>
      <c r="J6" s="35" t="s">
        <v>22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 t="s">
        <v>23</v>
      </c>
      <c r="V6" s="31" t="s">
        <v>24</v>
      </c>
      <c r="W6" s="31"/>
      <c r="X6" s="36">
        <v>100.0</v>
      </c>
      <c r="Y6" s="37">
        <f>today()+2</f>
        <v>45710</v>
      </c>
      <c r="Z6" s="37">
        <f t="shared" ref="Z6:Z7" si="1">today()</f>
        <v>45708</v>
      </c>
      <c r="AA6" s="31"/>
      <c r="AB6" s="31"/>
      <c r="AC6" s="31"/>
      <c r="AD6" s="31"/>
      <c r="AE6" s="31"/>
      <c r="AF6" s="31"/>
      <c r="AG6" s="31" t="s">
        <v>25</v>
      </c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8" t="s">
        <v>20</v>
      </c>
      <c r="C7" s="39">
        <v>2000.0</v>
      </c>
      <c r="D7" s="36">
        <v>100.0</v>
      </c>
      <c r="E7" s="35" t="s">
        <v>21</v>
      </c>
      <c r="F7" s="31"/>
      <c r="G7" s="31"/>
      <c r="H7" s="31"/>
      <c r="I7" s="31"/>
      <c r="J7" s="35" t="s">
        <v>22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 t="s">
        <v>26</v>
      </c>
      <c r="V7" s="31" t="s">
        <v>24</v>
      </c>
      <c r="W7" s="31"/>
      <c r="X7" s="36">
        <v>100.0</v>
      </c>
      <c r="Y7" s="31"/>
      <c r="Z7" s="37">
        <f t="shared" si="1"/>
        <v>45708</v>
      </c>
      <c r="AA7" s="31"/>
      <c r="AB7" s="31"/>
      <c r="AC7" s="31"/>
      <c r="AD7" s="31"/>
      <c r="AE7" s="31"/>
      <c r="AF7" s="31"/>
      <c r="AG7" s="31" t="s">
        <v>25</v>
      </c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0" t="s">
        <v>20</v>
      </c>
      <c r="AJ6" s="31" t="s">
        <v>22</v>
      </c>
      <c r="AK6" s="31" t="s">
        <v>29</v>
      </c>
      <c r="AL6" s="40">
        <v>1000.0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30</v>
      </c>
      <c r="AY6" s="31"/>
      <c r="AZ6" s="31" t="s">
        <v>31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20</v>
      </c>
      <c r="AJ7" s="31" t="s">
        <v>22</v>
      </c>
      <c r="AK7" s="31" t="s">
        <v>29</v>
      </c>
      <c r="AL7" s="40">
        <v>2000.0</v>
      </c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 t="s">
        <v>30</v>
      </c>
      <c r="AY7" s="31"/>
      <c r="AZ7" s="31" t="s">
        <v>31</v>
      </c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34</v>
      </c>
      <c r="C6" s="35" t="s">
        <v>35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/>
      <c r="C6" s="42" t="s">
        <v>20</v>
      </c>
      <c r="D6" s="43"/>
      <c r="E6" s="43"/>
      <c r="F6" s="44"/>
      <c r="G6" s="43"/>
      <c r="H6" s="44"/>
      <c r="I6" s="45"/>
      <c r="J6" s="44"/>
      <c r="K6" s="44"/>
      <c r="L6" s="42"/>
      <c r="M6" s="43"/>
      <c r="N6" s="46"/>
      <c r="O6" s="43"/>
      <c r="P6" s="40" t="s">
        <v>38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/>
      <c r="C6" s="47" t="s">
        <v>20</v>
      </c>
      <c r="D6" s="43"/>
      <c r="E6" s="43"/>
      <c r="F6" s="44"/>
      <c r="G6" s="43"/>
      <c r="H6" s="44"/>
      <c r="I6" s="45"/>
      <c r="J6" s="44"/>
      <c r="K6" s="44"/>
      <c r="L6" s="42"/>
      <c r="M6" s="43"/>
      <c r="N6" s="46"/>
      <c r="O6" s="43"/>
      <c r="P6" s="40" t="s">
        <v>38</v>
      </c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48" t="s">
        <v>40</v>
      </c>
      <c r="F6" s="8"/>
      <c r="G6" s="8"/>
      <c r="H6" s="8"/>
      <c r="I6" s="48" t="s">
        <v>30</v>
      </c>
      <c r="J6" s="48" t="s">
        <v>20</v>
      </c>
      <c r="K6" s="8"/>
      <c r="L6" s="8"/>
      <c r="M6" s="8"/>
      <c r="N6" s="8"/>
      <c r="O6" s="8"/>
      <c r="AI6" s="48" t="s">
        <v>20</v>
      </c>
      <c r="AJ6" s="48" t="s">
        <v>22</v>
      </c>
      <c r="AK6" s="48" t="s">
        <v>29</v>
      </c>
      <c r="AL6" s="48">
        <v>1000.0</v>
      </c>
      <c r="AS6" s="48" t="s">
        <v>41</v>
      </c>
      <c r="AT6" s="48" t="s">
        <v>42</v>
      </c>
      <c r="AU6" s="48" t="s">
        <v>24</v>
      </c>
      <c r="BA6" s="48" t="s">
        <v>43</v>
      </c>
    </row>
    <row r="7" ht="15.75" customHeight="1">
      <c r="A7" s="8"/>
      <c r="B7" s="8"/>
      <c r="C7" s="8"/>
      <c r="D7" s="8"/>
      <c r="E7" s="48" t="s">
        <v>40</v>
      </c>
      <c r="F7" s="8"/>
      <c r="G7" s="8"/>
      <c r="H7" s="8"/>
      <c r="I7" s="48" t="s">
        <v>30</v>
      </c>
      <c r="J7" s="48" t="s">
        <v>20</v>
      </c>
      <c r="K7" s="8"/>
      <c r="L7" s="8"/>
      <c r="M7" s="8"/>
      <c r="N7" s="8"/>
      <c r="O7" s="8"/>
      <c r="AI7" s="48" t="s">
        <v>20</v>
      </c>
      <c r="AJ7" s="48" t="s">
        <v>22</v>
      </c>
      <c r="AK7" s="48" t="s">
        <v>29</v>
      </c>
      <c r="AL7" s="49">
        <v>2000.0</v>
      </c>
      <c r="AS7" s="48" t="s">
        <v>41</v>
      </c>
      <c r="AT7" s="48" t="s">
        <v>42</v>
      </c>
      <c r="AU7" s="48" t="s">
        <v>24</v>
      </c>
      <c r="BA7" s="48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