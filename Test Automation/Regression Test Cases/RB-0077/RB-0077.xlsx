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RebalanceGrid" sheetId="4" r:id="rId6"/>
  </sheets>
  <definedNames/>
  <calcPr/>
</workbook>
</file>

<file path=xl/sharedStrings.xml><?xml version="1.0" encoding="utf-8"?>
<sst xmlns="http://schemas.openxmlformats.org/spreadsheetml/2006/main" count="19" uniqueCount="17">
  <si>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</si>
  <si>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</si>
  <si>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</si>
  <si>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</si>
  <si>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</si>
  <si>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</si>
  <si>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</si>
  <si>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</si>
  <si>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</si>
  <si>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</si>
  <si>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</si>
  <si>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</si>
  <si>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Rebalancer</t>
  </si>
  <si>
    <t>EditRebalanceGrid</t>
  </si>
  <si>
    <t>Data Format</t>
  </si>
  <si>
    <t>Input Format</t>
  </si>
  <si>
    <t>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</si>
</sst>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IFERROR(__xludf.DUMMYFUNCTION("""COMPUTED_VALUE"""),"Asset")</f>
        <v>Asset</v>
      </c>
      <c r="E5" s="28" t="str">
        <f>IFERROR(__xludf.DUMMYFUNCTION("""COMPUTED_VALUE"""),"Side")</f>
        <v>Side</v>
      </c>
      <c r="F5" s="29" t="str">
        <f>IFERROR(__xludf.DUMMYFUNCTION("""COMPUTED_VALUE"""),"Price (Local)")</f>
        <v>Price (Local)</v>
      </c>
      <c r="G5" s="28" t="str">
        <f>IFERROR(__xludf.DUMMYFUNCTION("""COMPUTED_VALUE"""),"Price Base")</f>
        <v>Price Base</v>
      </c>
      <c r="H5" s="28" t="str">
        <f>IFERROR(__xludf.DUMMYFUNCTION("""COMPUTED_VALUE"""),"FX Rate")</f>
        <v>FX Rate</v>
      </c>
      <c r="I5" s="28" t="str">
        <f>IFERROR(__xludf.DUMMYFUNCTION("""COMPUTED_VALUE"""),"Current %")</f>
        <v>Current %</v>
      </c>
      <c r="J5" s="28" t="str">
        <f>IFERROR(__xludf.DUMMYFUNCTION("""COMPUTED_VALUE"""),"Current Position")</f>
        <v>Current Position</v>
      </c>
      <c r="K5" s="28" t="str">
        <f>IFERROR(__xludf.DUMMYFUNCTION("""COMPUTED_VALUE"""),"Current Market Value (Local)")</f>
        <v>Current Market Value (Local)</v>
      </c>
      <c r="L5" s="28" t="str">
        <f>IFERROR(__xludf.DUMMYFUNCTION("""COMPUTED_VALUE"""),"Current Market Value")</f>
        <v>Current Market Value</v>
      </c>
      <c r="M5" s="28" t="str">
        <f>IFERROR(__xludf.DUMMYFUNCTION("""COMPUTED_VALUE"""),"Target %")</f>
        <v>Target %</v>
      </c>
      <c r="N5" s="28" t="str">
        <f>IFERROR(__xludf.DUMMYFUNCTION("""COMPUTED_VALUE"""),"Target Position")</f>
        <v>Target Position</v>
      </c>
      <c r="O5" s="28" t="str">
        <f>IFERROR(__xludf.DUMMYFUNCTION("""COMPUTED_VALUE"""),"Target Market Value (Local)")</f>
        <v>Target Market Value (Local)</v>
      </c>
      <c r="P5" s="28" t="str">
        <f>IFERROR(__xludf.DUMMYFUNCTION("""COMPUTED_VALUE"""),"Target Market Value")</f>
        <v>Target Market Value</v>
      </c>
      <c r="Q5" s="28" t="str">
        <f>IFERROR(__xludf.DUMMYFUNCTION("""COMPUTED_VALUE"""),"Buy/Sell Qty")</f>
        <v>Buy/Sell Qty</v>
      </c>
      <c r="R5" s="28" t="str">
        <f>IFERROR(__xludf.DUMMYFUNCTION("""COMPUTED_VALUE"""),"Buy/Sell Value")</f>
        <v>Buy/Sell Value</v>
      </c>
      <c r="S5" s="28" t="str">
        <f>IFERROR(__xludf.DUMMYFUNCTION("""COMPUTED_VALUE"""),"Sector")</f>
        <v>Sector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31"/>
      <c r="F6" s="8"/>
      <c r="G6" s="13">
        <v>94.51</v>
      </c>
      <c r="H6" s="8"/>
      <c r="I6" s="8"/>
      <c r="J6" s="13">
        <v>100.0</v>
      </c>
      <c r="K6" s="8"/>
      <c r="L6" s="8"/>
      <c r="M6" s="13">
        <v>80.0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EditRebalanceGrid!$4:$4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