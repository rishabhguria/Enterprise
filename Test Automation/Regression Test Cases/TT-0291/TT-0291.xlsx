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VerifyOrder" sheetId="6" r:id="rId8"/>
  </sheets>
  <definedNames/>
  <calcPr/>
</workbook>
</file>

<file path=xl/sharedStrings.xml><?xml version="1.0" encoding="utf-8"?>
<sst xmlns="http://schemas.openxmlformats.org/spreadsheetml/2006/main" count="43" uniqueCount="27">
  <si>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</si>
  <si>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</si>
  <si>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</si>
  <si>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</si>
  <si>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</si>
  <si>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</si>
  <si>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</si>
  <si>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</si>
  <si>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</si>
  <si>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</si>
  <si>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</si>
  <si>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</si>
  <si>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</si>
  <si>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</si>
  <si>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</si>
  <si>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</si>
  <si>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MasterFund</t>
  </si>
  <si>
    <t>AbsoluteAmount</t>
  </si>
  <si>
    <t>TradingTicket</t>
  </si>
  <si>
    <t>CreateDoneAwayOrder</t>
  </si>
  <si>
    <t>AAPL</t>
  </si>
  <si>
    <t>Buy</t>
  </si>
  <si>
    <t>Allocation1</t>
  </si>
  <si>
    <t>MS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</si>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</sst>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>
      <c r="A634" t="str">
        <f>IFERROR(__xludf.DUMMYFUNCTION("""COMPUTED_VALUE"""),"TradingTicket")</f>
        <v>TradingTicket</v>
      </c>
      <c r="B634" t="str">
        <f>IFERROR(__xludf.DUMMYFUNCTION("""COMPUTED_VALUE"""),"VerifyCustomAllocationonTT")</f>
        <v>VerifyCustomAllocationonTT</v>
      </c>
      <c r="C634" t="str">
        <f>IFERROR(__xludf.DUMMYFUNCTION("""COMPUTED_VALUE"""),"10ici7f6_wpSFiwpn22nHeSOFsZ1dU_pzk6nMLQKHIRY")</f>
        <v>10ici7f6_wpSFiwpn22nHeSOFsZ1dU_pzk6nMLQKHIRY</v>
      </c>
    </row>
    <row r="635" ht="15.75" customHeight="1">
      <c r="A635" t="str">
        <f>IFERROR(__xludf.DUMMYFUNCTION("""COMPUTED_VALUE"""),"Blotter")</f>
        <v>Blotter</v>
      </c>
      <c r="B635" t="str">
        <f>IFERROR(__xludf.DUMMYFUNCTION("""COMPUTED_VALUE"""),"ReAllocateFromBlotterByAllocate")</f>
        <v>ReAllocateFromBlotterByAllocate</v>
      </c>
      <c r="C635" t="str">
        <f>IFERROR(__xludf.DUMMYFUNCTION("""COMPUTED_VALUE"""),"1RA-PKK7Kzfl_fgl03zAC8sp1VOE9HjaY5EL7ItkPBK4")</f>
        <v>1RA-PKK7Kzfl_fgl03zAC8sp1VOE9HjaY5EL7ItkPBK4</v>
      </c>
    </row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3" t="b">
        <v>1</v>
      </c>
      <c r="E6" s="32"/>
      <c r="F6" s="32"/>
      <c r="G6" s="32"/>
      <c r="H6" s="34">
        <v>1800.56</v>
      </c>
      <c r="I6" s="32"/>
      <c r="J6" s="32"/>
      <c r="K6" s="32" t="s">
        <v>16</v>
      </c>
      <c r="L6" s="32" t="s">
        <v>17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2" t="s">
        <v>21</v>
      </c>
      <c r="D6" s="35">
        <v>1700.0</v>
      </c>
      <c r="E6" s="35">
        <v>1700.0</v>
      </c>
      <c r="F6" s="32" t="s">
        <v>22</v>
      </c>
      <c r="G6" s="32" t="s">
        <v>23</v>
      </c>
      <c r="H6" s="32"/>
      <c r="I6" s="32"/>
      <c r="J6" s="34">
        <v>1.0</v>
      </c>
      <c r="K6" s="32"/>
      <c r="L6" s="32"/>
      <c r="M6" s="32"/>
      <c r="N6" s="36">
        <f>today()</f>
        <v>44999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IFERROR(__xludf.DUMMYFUNCTION("""COMPUTED_VALUE"""),"AllocateFromBlotter")</f>
        <v>AllocateFromBlotter</v>
      </c>
      <c r="BT4" s="26" t="str">
        <f>IFERROR(__xludf.DUMMYFUNCTION("""COMPUTED_VALUE"""),"ReAllocateFromBlotterUsingAllocate")</f>
        <v>ReAllocateFromBlotterUsingAllocate</v>
      </c>
      <c r="BU4" s="26" t="str">
        <f>IFERROR(__xludf.DUMMYFUNCTION("""COMPUTED_VALUE"""),"ReAllocateFromBlotterByAllocate")</f>
        <v>ReAllocateFromBlotterByAllocate</v>
      </c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20</v>
      </c>
      <c r="AJ6" s="32" t="s">
        <v>21</v>
      </c>
      <c r="AK6" s="32" t="s">
        <v>26</v>
      </c>
      <c r="AL6" s="37">
        <v>1700.0</v>
      </c>
      <c r="AM6" s="37">
        <v>1700.0</v>
      </c>
      <c r="AN6" s="38">
        <v>100.0</v>
      </c>
      <c r="AO6" s="32"/>
      <c r="AP6" s="32"/>
      <c r="AQ6" s="32"/>
      <c r="AR6" s="32"/>
      <c r="AS6" s="32" t="s">
        <v>23</v>
      </c>
      <c r="AT6" s="32" t="s">
        <v>22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