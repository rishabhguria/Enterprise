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alculatePTT" sheetId="4" r:id="rId6"/>
    <sheet state="visible" name="VerifyTT" sheetId="5" r:id="rId7"/>
    <sheet state="visible" name="CalculatePTT1" sheetId="6" r:id="rId8"/>
    <sheet state="visible" name="VerifyTT1" sheetId="7" r:id="rId9"/>
    <sheet state="visible" name="CalculatePTT2" sheetId="8" r:id="rId10"/>
    <sheet state="visible" name="VerifyTT2" sheetId="9" r:id="rId11"/>
    <sheet state="visible" name="CalculatePTT3" sheetId="10" r:id="rId12"/>
    <sheet state="visible" name="CalculatePTT4" sheetId="11" r:id="rId13"/>
    <sheet state="visible" name="CalculatePTT5" sheetId="12" r:id="rId14"/>
    <sheet state="visible" name="CalculatePTT6" sheetId="13" r:id="rId15"/>
    <sheet state="visible" name="VerifyTT3" sheetId="14" r:id="rId16"/>
    <sheet state="visible" name="CalculatePTT7" sheetId="15" r:id="rId17"/>
    <sheet state="visible" name="VerifyTT4" sheetId="16" r:id="rId18"/>
    <sheet state="visible" name="CalculatePTT8" sheetId="17" r:id="rId19"/>
    <sheet state="visible" name="VerifyTT5" sheetId="18" r:id="rId20"/>
    <sheet state="visible" name="CalculatePTT9" sheetId="19" r:id="rId21"/>
    <sheet state="visible" name="VerifyTT6" sheetId="20" r:id="rId22"/>
    <sheet state="visible" name="CalculatePTT10" sheetId="21" r:id="rId23"/>
    <sheet state="visible" name="VerifyTT7" sheetId="22" r:id="rId24"/>
  </sheets>
  <definedNames/>
  <calcPr/>
</workbook>
</file>

<file path=xl/sharedStrings.xml><?xml version="1.0" encoding="utf-8"?>
<sst xmlns="http://schemas.openxmlformats.org/spreadsheetml/2006/main" count="221" uniqueCount="26">
  <si>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</si>
  <si>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</si>
  <si>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</si>
  <si>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</si>
  <si>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</si>
  <si>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</si>
  <si>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</si>
  <si>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</si>
  <si>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</si>
  <si>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</si>
  <si>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</si>
  <si>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</si>
  <si>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PTT</t>
  </si>
  <si>
    <t>CalculatePTT</t>
  </si>
  <si>
    <t>Data Format</t>
  </si>
  <si>
    <t>Input Format</t>
  </si>
  <si>
    <t>AAPL</t>
  </si>
  <si>
    <t>Increase</t>
  </si>
  <si>
    <t>Basis Point</t>
  </si>
  <si>
    <t>No</t>
  </si>
  <si>
    <t>Account</t>
  </si>
  <si>
    <t>Allocation1</t>
  </si>
  <si>
    <t>TradingTicket</t>
  </si>
  <si>
    <t>VerifyTT</t>
  </si>
  <si>
    <t>Decrease</t>
  </si>
  <si>
    <t>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</si>
</sst>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3" numFmtId="0" xfId="0" applyAlignment="1" applyFont="1">
      <alignment vertical="bottom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6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IFERROR(__xludf.DUMMYFUNCTION("""COMPUTED_VALUE"""),"ActionOnCFI")</f>
        <v>ActionOnCFI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IFERROR(__xludf.DUMMYFUNCTION("""COMPUTED_VALUE"""),"Rebalancer")</f>
        <v>Rebalancer</v>
      </c>
      <c r="B879" t="str">
        <f>IFERROR(__xludf.DUMMYFUNCTION("""COMPUTED_VALUE"""),"VerifyCFI")</f>
        <v>VerifyCFI</v>
      </c>
      <c r="C879" t="str">
        <f>IFERROR(__xludf.DUMMYFUNCTION("""COMPUTED_VALUE"""),"1DUwxSUq_47EK60XmK3LOdCXa1fkWqWJE9bLuGS3ccv412")</f>
        <v>1DUwxSUq_47EK60XmK3LOdCXa1fkWqWJE9bLuGS3ccv412</v>
      </c>
    </row>
    <row r="880" ht="15.75" customHeight="1">
      <c r="A880" t="str">
        <f>IFERROR(__xludf.DUMMYFUNCTION("""COMPUTED_VALUE"""),"Blotter")</f>
        <v>Blotter</v>
      </c>
      <c r="B880" t="str">
        <f>IFERROR(__xludf.DUMMYFUNCTION("""COMPUTED_VALUE"""),"EnableOrVerifyHotButton")</f>
        <v>EnableOrVerifyHotButton</v>
      </c>
      <c r="C880" t="str">
        <f>IFERROR(__xludf.DUMMYFUNCTION("""COMPUTED_VALUE"""),"1wa8x9d9kPOHEp49mT2DEW0cyjjOClvAgixk1H2w-Tos")</f>
        <v>1wa8x9d9kPOHEp49mT2DEW0cyjjOClvAgixk1H2w-Tos</v>
      </c>
    </row>
    <row r="881" ht="15.75" customHeight="1">
      <c r="A881" t="str">
        <f>IFERROR(__xludf.DUMMYFUNCTION("""COMPUTED_VALUE"""),"TradeServer")</f>
        <v>TradeServer</v>
      </c>
      <c r="B881" t="str">
        <f>IFERROR(__xludf.DUMMYFUNCTION("""COMPUTED_VALUE"""),"RestartServerOnly")</f>
        <v>RestartServerOnly</v>
      </c>
      <c r="C881" t="str">
        <f>IFERROR(__xludf.DUMMYFUNCTION("""COMPUTED_VALUE"""),"Undefined")</f>
        <v>Undefined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IFERROR(__xludf.DUMMYFUNCTION("""COMPUTED_VALUE"""),"ActionOnCFI")</f>
        <v>ActionOnCFI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IFERROR(__xludf.DUMMYFUNCTION("""COMPUTED_VALUE"""),"VerifyCFI")</f>
        <v>VerifyCFI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IFERROR(__xludf.DUMMYFUNCTION("""COMPUTED_VALUE"""),"Rebalancer")</f>
        <v>Rebalancer</v>
      </c>
      <c r="B884" t="str">
        <f>IFERROR(__xludf.DUMMYFUNCTION("""COMPUTED_VALUE"""),"VerifyDelRASGrid")</f>
        <v>VerifyDelRASGrid</v>
      </c>
      <c r="C884" t="str">
        <f>IFERROR(__xludf.DUMMYFUNCTION("""COMPUTED_VALUE"""),"1DUwxSUq_47EK60XmK3LOdCXa1fkWqWJE9bLuGS3ccv412")</f>
        <v>1DUwxSUq_47EK60XmK3LOdCXa1fkWqWJE9bLuGS3ccv412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IFERROR(__xludf.DUMMYFUNCTION("""COMPUTED_VALUE"""),"ActionOnUPW")</f>
        <v>ActionOnUPW</v>
      </c>
      <c r="C885" t="str">
        <f>IFERROR(__xludf.DUMMYFUNCTION("""COMPUTED_VALUE"""),"1DUwxSUq_47EK60XmK3LOdCXa1fkWqWJE9bLuGS3ccv413")</f>
        <v>1DUwxSUq_47EK60XmK3LOdCXa1fkWqWJE9bLuGS3ccv413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IFERROR(__xludf.DUMMYFUNCTION("""COMPUTED_VALUE"""),"DefaultRuleUPW")</f>
        <v>DefaultRuleUPW</v>
      </c>
      <c r="C886" t="str">
        <f>IFERROR(__xludf.DUMMYFUNCTION("""COMPUTED_VALUE"""),"1DUwxSUq_47EK60XmK3LOdCXa1fkWqWJE9bLuGS3ccv414")</f>
        <v>1DUwxSUq_47EK60XmK3LOdCXa1fkWqWJE9bLuGS3ccv414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IFERROR(__xludf.DUMMYFUNCTION("""COMPUTED_VALUE"""),"AccountStrategyUPW")</f>
        <v>AccountStrategyUPW</v>
      </c>
      <c r="C887" t="str">
        <f>IFERROR(__xludf.DUMMYFUNCTION("""COMPUTED_VALUE"""),"1DUwxSUq_47EK60XmK3LOdCXa1fkWqWJE9bLuGS3ccv415")</f>
        <v>1DUwxSUq_47EK60XmK3LOdCXa1fkWqWJE9bLuGS3ccv415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IFERROR(__xludf.DUMMYFUNCTION("""COMPUTED_VALUE"""),"ActionOnCalPref")</f>
        <v>ActionOnCalPref</v>
      </c>
      <c r="C888" t="str">
        <f>IFERROR(__xludf.DUMMYFUNCTION("""COMPUTED_VALUE"""),"1DUwxSUq_47EK60XmK3LOdCXa1fkWqWJE9bLuGS3ccv416")</f>
        <v>1DUwxSUq_47EK60XmK3LOdCXa1fkWqWJE9bLuGS3ccv416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IFERROR(__xludf.DUMMYFUNCTION("""COMPUTED_VALUE"""),"SetMFDefaultRule")</f>
        <v>SetMFDefaultRule</v>
      </c>
      <c r="C889" t="str">
        <f>IFERROR(__xludf.DUMMYFUNCTION("""COMPUTED_VALUE"""),"1DUwxSUq_47EK60XmK3LOdCXa1fkWqWJE9bLuGS3ccv417")</f>
        <v>1DUwxSUq_47EK60XmK3LOdCXa1fkWqWJE9bLuGS3ccv417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IFERROR(__xludf.DUMMYFUNCTION("""COMPUTED_VALUE"""),"ActionOnPrefWindow")</f>
        <v>ActionOnPrefWindow</v>
      </c>
      <c r="C890" t="str">
        <f>IFERROR(__xludf.DUMMYFUNCTION("""COMPUTED_VALUE"""),"1DUwxSUq_47EK60XmK3LOdCXa1fkWqWJE9bLuGS3ccv418")</f>
        <v>1DUwxSUq_47EK60XmK3LOdCXa1fkWqWJE9bLuGS3ccv418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IFERROR(__xludf.DUMMYFUNCTION("""COMPUTED_VALUE"""),"GetFixedPrefScheme")</f>
        <v>GetFixedPrefScheme</v>
      </c>
      <c r="C891" t="str">
        <f>IFERROR(__xludf.DUMMYFUNCTION("""COMPUTED_VALUE"""),"1DUwxSUq_47EK60XmK3LOdCXa1fkWqWJE9bLuGS3ccv419")</f>
        <v>1DUwxSUq_47EK60XmK3LOdCXa1fkWqWJE9bLuGS3ccv419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IFERROR(__xludf.DUMMYFUNCTION("""COMPUTED_VALUE"""),"VerifyFixedPref")</f>
        <v>VerifyFixedPref</v>
      </c>
      <c r="C892" t="str">
        <f>IFERROR(__xludf.DUMMYFUNCTION("""COMPUTED_VALUE"""),"1DUwxSUq_47EK60XmK3LOdCXa1fkWqWJE9bLuGS3ccv420")</f>
        <v>1DUwxSUq_47EK60XmK3LOdCXa1fkWqWJE9bLuGS3ccv420</v>
      </c>
    </row>
    <row r="893" ht="15.75" customHeight="1">
      <c r="A893" t="str">
        <f>IFERROR(__xludf.DUMMYFUNCTION("""COMPUTED_VALUE"""),"Allocation")</f>
        <v>Allocation</v>
      </c>
      <c r="B893" t="str">
        <f>IFERROR(__xludf.DUMMYFUNCTION("""COMPUTED_VALUE"""),"ActionOnToolBar")</f>
        <v>ActionOnToolBar</v>
      </c>
      <c r="C893" t="str">
        <f>IFERROR(__xludf.DUMMYFUNCTION("""COMPUTED_VALUE"""),"1DUwxSUq_47EK60XmK3LOdCXa1fkWqWJE9bLuGS3ccv421")</f>
        <v>1DUwxSUq_47EK60XmK3LOdCXa1fkWqWJE9bLuGS3ccv421</v>
      </c>
    </row>
    <row r="894" ht="15.75" customHeight="1">
      <c r="A894" t="str">
        <f>IFERROR(__xludf.DUMMYFUNCTION("""COMPUTED_VALUE"""),"Rebalancer")</f>
        <v>Rebalancer</v>
      </c>
      <c r="B894" t="str">
        <f>IFERROR(__xludf.DUMMYFUNCTION("""COMPUTED_VALUE"""),"VerifyCustomGroupModel")</f>
        <v>VerifyCustomGroupModel</v>
      </c>
      <c r="C894" t="str">
        <f>IFERROR(__xludf.DUMMYFUNCTION("""COMPUTED_VALUE"""),"1DUwxSUq_47EK60XmK3LOdCXa1fkWqWJE9bLuGS3ccv422")</f>
        <v>1DUwxSUq_47EK60XmK3LOdCXa1fkWqWJE9bLuGS3ccv422</v>
      </c>
    </row>
    <row r="895" ht="15.75" customHeight="1">
      <c r="A895" t="str">
        <f>IFERROR(__xludf.DUMMYFUNCTION("""COMPUTED_VALUE"""),"Blotter")</f>
        <v>Blotter</v>
      </c>
      <c r="B895" t="str">
        <f>IFERROR(__xludf.DUMMYFUNCTION("""COMPUTED_VALUE"""),"VerifyFilterUiRC")</f>
        <v>VerifyFilterUiRC</v>
      </c>
      <c r="C895" t="str">
        <f>IFERROR(__xludf.DUMMYFUNCTION("""COMPUTED_VALUE"""),"1QQZEZqPXfPnxfNID2a3__xw8RnEAn77igg5Q32S3Sm0")</f>
        <v>1QQZEZqPXfPnxfNID2a3__xw8RnEAn77igg5Q32S3Sm0</v>
      </c>
    </row>
    <row r="896" ht="15.75" customHeight="1">
      <c r="A896" t="str">
        <f>IFERROR(__xludf.DUMMYFUNCTION("""COMPUTED_VALUE"""),"TradingTicket")</f>
        <v>TradingTicket</v>
      </c>
      <c r="B896" t="str">
        <f>IFERROR(__xludf.DUMMYFUNCTION("""COMPUTED_VALUE"""),"SymbolSuggestionVerify")</f>
        <v>SymbolSuggestionVerify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IFERROR(__xludf.DUMMYFUNCTION("""COMPUTED_VALUE"""),"UpdatePTTPref")</f>
        <v>UpdatePTTPref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IFERROR(__xludf.DUMMYFUNCTION("""COMPUTED_VALUE"""),"ActionOnPreferencesMain")</f>
        <v>ActionOnPreferencesMain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IFERROR(__xludf.DUMMYFUNCTION("""COMPUTED_VALUE"""),"VerifyUpdategrdAccountFactor")</f>
        <v>VerifyUpdategrdAccountFactor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IFERROR(__xludf.DUMMYFUNCTION("""COMPUTED_VALUE"""),"VerifyUpdategrdMFA")</f>
        <v>VerifyUpdategrdMFA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IFERROR(__xludf.DUMMYFUNCTION("""COMPUTED_VALUE"""),"SwitchTabMFA")</f>
        <v>SwitchTabMFA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IFERROR(__xludf.DUMMYFUNCTION("""COMPUTED_VALUE"""),"UpdateBlotterPref")</f>
        <v>UpdateBlotterPref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IFERROR(__xludf.DUMMYFUNCTION("""COMPUTED_VALUE"""),"UpdatePMPref")</f>
        <v>UpdatePMPref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IFERROR(__xludf.DUMMYFUNCTION("""COMPUTED_VALUE"""),"UpdateGenPref")</f>
        <v>UpdateGenPref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IFERROR(__xludf.DUMMYFUNCTION("""COMPUTED_VALUE"""),"VerifyUpdateAssetSide")</f>
        <v>VerifyUpdateAssetSide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IFERROR(__xludf.DUMMYFUNCTION("""COMPUTED_VALUE"""),"SwicthTabPref")</f>
        <v>SwicthTabPref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IFERROR(__xludf.DUMMYFUNCTION("""COMPUTED_VALUE"""),"TTDefaultSelection")</f>
        <v>TTDefaultSelection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IFERROR(__xludf.DUMMYFUNCTION("""COMPUTED_VALUE"""),"TTNumSelection")</f>
        <v>TTNumSelection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IFERROR(__xludf.DUMMYFUNCTION("""COMPUTED_VALUE"""),"TTConfirmationPopUps")</f>
        <v>TTConfirmationPopUps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IFERROR(__xludf.DUMMYFUNCTION("""COMPUTED_VALUE"""),"VerifyUpdateBrokerPref")</f>
        <v>VerifyUpdateBrokerPref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IFERROR(__xludf.DUMMYFUNCTION("""COMPUTED_VALUE"""),"TTGeneralPref")</f>
        <v>TTGeneralPref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IFERROR(__xludf.DUMMYFUNCTION("""COMPUTED_VALUE"""),"PreferencesMain")</f>
        <v>PreferencesMain</v>
      </c>
      <c r="B912" t="str">
        <f>IFERROR(__xludf.DUMMYFUNCTION("""COMPUTED_VALUE"""),"UpdateClosingPref")</f>
        <v>UpdateClosingPref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IFERROR(__xludf.DUMMYFUNCTION("""COMPUTED_VALUE"""),"Allocation")</f>
        <v>Allocation</v>
      </c>
      <c r="B913" t="str">
        <f>IFERROR(__xludf.DUMMYFUNCTION("""COMPUTED_VALUE"""),"VerifyEditAttRenaming")</f>
        <v>VerifyEditAttRenaming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IFERROR(__xludf.DUMMYFUNCTION("""COMPUTED_VALUE"""),"Rebalancer")</f>
        <v>Rebalancer</v>
      </c>
      <c r="B914" t="str">
        <f>IFERROR(__xludf.DUMMYFUNCTION("""COMPUTED_VALUE"""),"VerifyTradeList")</f>
        <v>VerifyTradeList</v>
      </c>
      <c r="C914" t="str">
        <f>IFERROR(__xludf.DUMMYFUNCTION("""COMPUTED_VALUE"""),"14aTeLjmUbS-nhaQwjtZAMGxdQ5DS6UsBjE5OTWN-LQU")</f>
        <v>14aTeLjmUbS-nhaQwjtZAMGxdQ5DS6UsBjE5OTWN-LQU</v>
      </c>
    </row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1"/>
      <c r="B6" s="31" t="s">
        <v>16</v>
      </c>
      <c r="C6" s="32" t="s">
        <v>17</v>
      </c>
      <c r="D6" s="31" t="s">
        <v>18</v>
      </c>
      <c r="E6" s="33">
        <v>5.0</v>
      </c>
      <c r="F6" s="34">
        <v>10.0</v>
      </c>
      <c r="G6" s="32" t="s">
        <v>19</v>
      </c>
      <c r="H6" s="32" t="s">
        <v>20</v>
      </c>
      <c r="I6" s="32" t="s">
        <v>21</v>
      </c>
      <c r="J6" s="35"/>
      <c r="K6" s="32" t="s">
        <v>19</v>
      </c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IFERROR(__xludf.DUMMYFUNCTION("""COMPUTED_VALUE"""),"MasterFund")</f>
        <v>MasterFund</v>
      </c>
      <c r="AG5" s="30" t="str">
        <f>IFERROR(__xludf.DUMMYFUNCTION("""COMPUTED_VALUE"""),"RoundLotStrip")</f>
        <v>RoundLotStrip</v>
      </c>
      <c r="AH5" s="30" t="str">
        <f>IFERROR(__xludf.DUMMYFUNCTION("""COMPUTED_VALUE"""),"Round Lots")</f>
        <v>Round Lots</v>
      </c>
      <c r="AI5" s="30" t="str">
        <f>IFERROR(__xludf.DUMMYFUNCTION("""COMPUTED_VALUE"""),"Button_Status")</f>
        <v>Button_Status</v>
      </c>
      <c r="AJ5" s="30" t="str">
        <f>IFERROR(__xludf.DUMMYFUNCTION("""COMPUTED_VALUE"""),"Position")</f>
        <v>Position</v>
      </c>
      <c r="AK5" s="30" t="str">
        <f>IFERROR(__xludf.DUMMYFUNCTION("""COMPUTED_VALUE"""),"Symbol Name")</f>
        <v>Symbol Name</v>
      </c>
      <c r="AL5" s="30" t="str">
        <f>IFERROR(__xludf.DUMMYFUNCTION("""COMPUTED_VALUE"""),"Last")</f>
        <v>Last</v>
      </c>
      <c r="AM5" s="30" t="str">
        <f>IFERROR(__xludf.DUMMYFUNCTION("""COMPUTED_VALUE"""),"Change")</f>
        <v>Change</v>
      </c>
      <c r="AN5" s="30" t="str">
        <f>IFERROR(__xludf.DUMMYFUNCTION("""COMPUTED_VALUE"""),"Bid")</f>
        <v>Bid</v>
      </c>
      <c r="AO5" s="30" t="str">
        <f>IFERROR(__xludf.DUMMYFUNCTION("""COMPUTED_VALUE"""),"Ask")</f>
        <v>Ask</v>
      </c>
      <c r="AP5" s="30" t="str">
        <f>IFERROR(__xludf.DUMMYFUNCTION("""COMPUTED_VALUE"""),"Notional(Base)")</f>
        <v>Notional(Base)</v>
      </c>
      <c r="AQ5" s="30" t="str">
        <f>IFERROR(__xludf.DUMMYFUNCTION("""COMPUTED_VALUE"""),"Notional(Local)")</f>
        <v>Notional(Local)</v>
      </c>
      <c r="AR5" s="30" t="str">
        <f>IFERROR(__xludf.DUMMYFUNCTION("""COMPUTED_VALUE"""),"Exposure")</f>
        <v>Exposure</v>
      </c>
      <c r="AS5" s="30" t="str">
        <f>IFERROR(__xludf.DUMMYFUNCTION("""COMPUTED_VALUE"""),"Day P&amp;L")</f>
        <v>Day P&amp;L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5.0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1"/>
      <c r="B6" s="31" t="s">
        <v>16</v>
      </c>
      <c r="C6" s="32" t="s">
        <v>17</v>
      </c>
      <c r="D6" s="31" t="s">
        <v>18</v>
      </c>
      <c r="E6" s="33">
        <v>25.0</v>
      </c>
      <c r="F6" s="34">
        <v>10.0</v>
      </c>
      <c r="G6" s="32" t="s">
        <v>19</v>
      </c>
      <c r="H6" s="32" t="s">
        <v>20</v>
      </c>
      <c r="I6" s="32" t="s">
        <v>21</v>
      </c>
      <c r="J6" s="35"/>
      <c r="K6" s="32" t="s">
        <v>19</v>
      </c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IFERROR(__xludf.DUMMYFUNCTION("""COMPUTED_VALUE"""),"MasterFund")</f>
        <v>MasterFund</v>
      </c>
      <c r="AG5" s="30" t="str">
        <f>IFERROR(__xludf.DUMMYFUNCTION("""COMPUTED_VALUE"""),"RoundLotStrip")</f>
        <v>RoundLotStrip</v>
      </c>
      <c r="AH5" s="30" t="str">
        <f>IFERROR(__xludf.DUMMYFUNCTION("""COMPUTED_VALUE"""),"Round Lots")</f>
        <v>Round Lots</v>
      </c>
      <c r="AI5" s="30" t="str">
        <f>IFERROR(__xludf.DUMMYFUNCTION("""COMPUTED_VALUE"""),"Button_Status")</f>
        <v>Button_Status</v>
      </c>
      <c r="AJ5" s="30" t="str">
        <f>IFERROR(__xludf.DUMMYFUNCTION("""COMPUTED_VALUE"""),"Position")</f>
        <v>Position</v>
      </c>
      <c r="AK5" s="30" t="str">
        <f>IFERROR(__xludf.DUMMYFUNCTION("""COMPUTED_VALUE"""),"Symbol Name")</f>
        <v>Symbol Name</v>
      </c>
      <c r="AL5" s="30" t="str">
        <f>IFERROR(__xludf.DUMMYFUNCTION("""COMPUTED_VALUE"""),"Last")</f>
        <v>Last</v>
      </c>
      <c r="AM5" s="30" t="str">
        <f>IFERROR(__xludf.DUMMYFUNCTION("""COMPUTED_VALUE"""),"Change")</f>
        <v>Change</v>
      </c>
      <c r="AN5" s="30" t="str">
        <f>IFERROR(__xludf.DUMMYFUNCTION("""COMPUTED_VALUE"""),"Bid")</f>
        <v>Bid</v>
      </c>
      <c r="AO5" s="30" t="str">
        <f>IFERROR(__xludf.DUMMYFUNCTION("""COMPUTED_VALUE"""),"Ask")</f>
        <v>Ask</v>
      </c>
      <c r="AP5" s="30" t="str">
        <f>IFERROR(__xludf.DUMMYFUNCTION("""COMPUTED_VALUE"""),"Notional(Base)")</f>
        <v>Notional(Base)</v>
      </c>
      <c r="AQ5" s="30" t="str">
        <f>IFERROR(__xludf.DUMMYFUNCTION("""COMPUTED_VALUE"""),"Notional(Local)")</f>
        <v>Notional(Local)</v>
      </c>
      <c r="AR5" s="30" t="str">
        <f>IFERROR(__xludf.DUMMYFUNCTION("""COMPUTED_VALUE"""),"Exposure")</f>
        <v>Exposure</v>
      </c>
      <c r="AS5" s="30" t="str">
        <f>IFERROR(__xludf.DUMMYFUNCTION("""COMPUTED_VALUE"""),"Day P&amp;L")</f>
        <v>Day P&amp;L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25.0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1"/>
      <c r="B6" s="31" t="s">
        <v>16</v>
      </c>
      <c r="C6" s="32" t="s">
        <v>17</v>
      </c>
      <c r="D6" s="31" t="s">
        <v>18</v>
      </c>
      <c r="E6" s="33">
        <v>1.0</v>
      </c>
      <c r="F6" s="34">
        <v>10.0</v>
      </c>
      <c r="G6" s="32" t="s">
        <v>19</v>
      </c>
      <c r="H6" s="32" t="s">
        <v>20</v>
      </c>
      <c r="I6" s="32" t="s">
        <v>21</v>
      </c>
      <c r="J6" s="35"/>
      <c r="K6" s="32" t="s">
        <v>19</v>
      </c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CalculatePTT2!$4:$4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IFERROR(__xludf.DUMMYFUNCTION("""COMPUTED_VALUE"""),"MasterFund")</f>
        <v>MasterFund</v>
      </c>
      <c r="AG5" s="30" t="str">
        <f>IFERROR(__xludf.DUMMYFUNCTION("""COMPUTED_VALUE"""),"RoundLotStrip")</f>
        <v>RoundLotStrip</v>
      </c>
      <c r="AH5" s="30" t="str">
        <f>IFERROR(__xludf.DUMMYFUNCTION("""COMPUTED_VALUE"""),"Round Lots")</f>
        <v>Round Lots</v>
      </c>
      <c r="AI5" s="30" t="str">
        <f>IFERROR(__xludf.DUMMYFUNCTION("""COMPUTED_VALUE"""),"Button_Status")</f>
        <v>Button_Status</v>
      </c>
      <c r="AJ5" s="30" t="str">
        <f>IFERROR(__xludf.DUMMYFUNCTION("""COMPUTED_VALUE"""),"Position")</f>
        <v>Position</v>
      </c>
      <c r="AK5" s="30" t="str">
        <f>IFERROR(__xludf.DUMMYFUNCTION("""COMPUTED_VALUE"""),"Symbol Name")</f>
        <v>Symbol Name</v>
      </c>
      <c r="AL5" s="30" t="str">
        <f>IFERROR(__xludf.DUMMYFUNCTION("""COMPUTED_VALUE"""),"Last")</f>
        <v>Last</v>
      </c>
      <c r="AM5" s="30" t="str">
        <f>IFERROR(__xludf.DUMMYFUNCTION("""COMPUTED_VALUE"""),"Change")</f>
        <v>Change</v>
      </c>
      <c r="AN5" s="30" t="str">
        <f>IFERROR(__xludf.DUMMYFUNCTION("""COMPUTED_VALUE"""),"Bid")</f>
        <v>Bid</v>
      </c>
      <c r="AO5" s="30" t="str">
        <f>IFERROR(__xludf.DUMMYFUNCTION("""COMPUTED_VALUE"""),"Ask")</f>
        <v>Ask</v>
      </c>
      <c r="AP5" s="30" t="str">
        <f>IFERROR(__xludf.DUMMYFUNCTION("""COMPUTED_VALUE"""),"Notional(Base)")</f>
        <v>Notional(Base)</v>
      </c>
      <c r="AQ5" s="30" t="str">
        <f>IFERROR(__xludf.DUMMYFUNCTION("""COMPUTED_VALUE"""),"Notional(Local)")</f>
        <v>Notional(Local)</v>
      </c>
      <c r="AR5" s="30" t="str">
        <f>IFERROR(__xludf.DUMMYFUNCTION("""COMPUTED_VALUE"""),"Exposure")</f>
        <v>Exposure</v>
      </c>
      <c r="AS5" s="30" t="str">
        <f>IFERROR(__xludf.DUMMYFUNCTION("""COMPUTED_VALUE"""),"Day P&amp;L")</f>
        <v>Day P&amp;L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1.0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VerifyTT2!$4:$4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1"/>
      <c r="B6" s="31" t="s">
        <v>16</v>
      </c>
      <c r="C6" s="32" t="s">
        <v>24</v>
      </c>
      <c r="D6" s="31" t="s">
        <v>18</v>
      </c>
      <c r="E6" s="33">
        <v>5.0</v>
      </c>
      <c r="F6" s="34">
        <v>10.0</v>
      </c>
      <c r="G6" s="32" t="s">
        <v>19</v>
      </c>
      <c r="H6" s="32" t="s">
        <v>20</v>
      </c>
      <c r="I6" s="32" t="s">
        <v>21</v>
      </c>
      <c r="J6" s="35"/>
      <c r="K6" s="32" t="s">
        <v>19</v>
      </c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1"/>
      <c r="B6" s="31" t="s">
        <v>16</v>
      </c>
      <c r="C6" s="32" t="s">
        <v>24</v>
      </c>
      <c r="D6" s="31" t="s">
        <v>18</v>
      </c>
      <c r="E6" s="33">
        <v>25.0</v>
      </c>
      <c r="F6" s="34">
        <v>10.0</v>
      </c>
      <c r="G6" s="32" t="s">
        <v>19</v>
      </c>
      <c r="H6" s="32" t="s">
        <v>20</v>
      </c>
      <c r="I6" s="32" t="s">
        <v>21</v>
      </c>
      <c r="J6" s="35"/>
      <c r="K6" s="32" t="s">
        <v>19</v>
      </c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CalculatePTT4!$4:$4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1"/>
      <c r="B6" s="31" t="s">
        <v>16</v>
      </c>
      <c r="C6" s="32" t="s">
        <v>24</v>
      </c>
      <c r="D6" s="31" t="s">
        <v>18</v>
      </c>
      <c r="E6" s="33">
        <v>1.0</v>
      </c>
      <c r="F6" s="34">
        <v>10.0</v>
      </c>
      <c r="G6" s="32" t="s">
        <v>19</v>
      </c>
      <c r="H6" s="32" t="s">
        <v>20</v>
      </c>
      <c r="I6" s="32" t="s">
        <v>21</v>
      </c>
      <c r="J6" s="35"/>
      <c r="K6" s="32" t="s">
        <v>19</v>
      </c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1"/>
      <c r="B6" s="31" t="s">
        <v>16</v>
      </c>
      <c r="C6" s="37" t="s">
        <v>25</v>
      </c>
      <c r="D6" s="31" t="s">
        <v>18</v>
      </c>
      <c r="E6" s="33">
        <v>-3000.0</v>
      </c>
      <c r="F6" s="34">
        <v>10.0</v>
      </c>
      <c r="G6" s="32" t="s">
        <v>19</v>
      </c>
      <c r="H6" s="32" t="s">
        <v>20</v>
      </c>
      <c r="I6" s="32" t="s">
        <v>21</v>
      </c>
      <c r="J6" s="35"/>
      <c r="K6" s="32" t="s">
        <v>19</v>
      </c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CalculatePTT6!$4:$4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IFERROR(__xludf.DUMMYFUNCTION("""COMPUTED_VALUE"""),"MasterFund")</f>
        <v>MasterFund</v>
      </c>
      <c r="AG5" s="30" t="str">
        <f>IFERROR(__xludf.DUMMYFUNCTION("""COMPUTED_VALUE"""),"RoundLotStrip")</f>
        <v>RoundLotStrip</v>
      </c>
      <c r="AH5" s="30" t="str">
        <f>IFERROR(__xludf.DUMMYFUNCTION("""COMPUTED_VALUE"""),"Round Lots")</f>
        <v>Round Lots</v>
      </c>
      <c r="AI5" s="30" t="str">
        <f>IFERROR(__xludf.DUMMYFUNCTION("""COMPUTED_VALUE"""),"Button_Status")</f>
        <v>Button_Status</v>
      </c>
      <c r="AJ5" s="30" t="str">
        <f>IFERROR(__xludf.DUMMYFUNCTION("""COMPUTED_VALUE"""),"Position")</f>
        <v>Position</v>
      </c>
      <c r="AK5" s="30" t="str">
        <f>IFERROR(__xludf.DUMMYFUNCTION("""COMPUTED_VALUE"""),"Symbol Name")</f>
        <v>Symbol Name</v>
      </c>
      <c r="AL5" s="30" t="str">
        <f>IFERROR(__xludf.DUMMYFUNCTION("""COMPUTED_VALUE"""),"Last")</f>
        <v>Last</v>
      </c>
      <c r="AM5" s="30" t="str">
        <f>IFERROR(__xludf.DUMMYFUNCTION("""COMPUTED_VALUE"""),"Change")</f>
        <v>Change</v>
      </c>
      <c r="AN5" s="30" t="str">
        <f>IFERROR(__xludf.DUMMYFUNCTION("""COMPUTED_VALUE"""),"Bid")</f>
        <v>Bid</v>
      </c>
      <c r="AO5" s="30" t="str">
        <f>IFERROR(__xludf.DUMMYFUNCTION("""COMPUTED_VALUE"""),"Ask")</f>
        <v>Ask</v>
      </c>
      <c r="AP5" s="30" t="str">
        <f>IFERROR(__xludf.DUMMYFUNCTION("""COMPUTED_VALUE"""),"Notional(Base)")</f>
        <v>Notional(Base)</v>
      </c>
      <c r="AQ5" s="30" t="str">
        <f>IFERROR(__xludf.DUMMYFUNCTION("""COMPUTED_VALUE"""),"Notional(Local)")</f>
        <v>Notional(Local)</v>
      </c>
      <c r="AR5" s="30" t="str">
        <f>IFERROR(__xludf.DUMMYFUNCTION("""COMPUTED_VALUE"""),"Exposure")</f>
        <v>Exposure</v>
      </c>
      <c r="AS5" s="30" t="str">
        <f>IFERROR(__xludf.DUMMYFUNCTION("""COMPUTED_VALUE"""),"Day P&amp;L")</f>
        <v>Day P&amp;L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-3000.0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VerifyTT3!$4:$4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1"/>
      <c r="B6" s="31" t="s">
        <v>16</v>
      </c>
      <c r="C6" s="37" t="s">
        <v>25</v>
      </c>
      <c r="D6" s="31" t="s">
        <v>18</v>
      </c>
      <c r="E6" s="33">
        <v>-2000.0</v>
      </c>
      <c r="F6" s="34">
        <v>10.0</v>
      </c>
      <c r="G6" s="32" t="s">
        <v>19</v>
      </c>
      <c r="H6" s="32" t="s">
        <v>20</v>
      </c>
      <c r="I6" s="32" t="s">
        <v>21</v>
      </c>
      <c r="J6" s="35"/>
      <c r="K6" s="32" t="s">
        <v>19</v>
      </c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CalculatePTT7!$4:$4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IFERROR(__xludf.DUMMYFUNCTION("""COMPUTED_VALUE"""),"MasterFund")</f>
        <v>MasterFund</v>
      </c>
      <c r="AG5" s="30" t="str">
        <f>IFERROR(__xludf.DUMMYFUNCTION("""COMPUTED_VALUE"""),"RoundLotStrip")</f>
        <v>RoundLotStrip</v>
      </c>
      <c r="AH5" s="30" t="str">
        <f>IFERROR(__xludf.DUMMYFUNCTION("""COMPUTED_VALUE"""),"Round Lots")</f>
        <v>Round Lots</v>
      </c>
      <c r="AI5" s="30" t="str">
        <f>IFERROR(__xludf.DUMMYFUNCTION("""COMPUTED_VALUE"""),"Button_Status")</f>
        <v>Button_Status</v>
      </c>
      <c r="AJ5" s="30" t="str">
        <f>IFERROR(__xludf.DUMMYFUNCTION("""COMPUTED_VALUE"""),"Position")</f>
        <v>Position</v>
      </c>
      <c r="AK5" s="30" t="str">
        <f>IFERROR(__xludf.DUMMYFUNCTION("""COMPUTED_VALUE"""),"Symbol Name")</f>
        <v>Symbol Name</v>
      </c>
      <c r="AL5" s="30" t="str">
        <f>IFERROR(__xludf.DUMMYFUNCTION("""COMPUTED_VALUE"""),"Last")</f>
        <v>Last</v>
      </c>
      <c r="AM5" s="30" t="str">
        <f>IFERROR(__xludf.DUMMYFUNCTION("""COMPUTED_VALUE"""),"Change")</f>
        <v>Change</v>
      </c>
      <c r="AN5" s="30" t="str">
        <f>IFERROR(__xludf.DUMMYFUNCTION("""COMPUTED_VALUE"""),"Bid")</f>
        <v>Bid</v>
      </c>
      <c r="AO5" s="30" t="str">
        <f>IFERROR(__xludf.DUMMYFUNCTION("""COMPUTED_VALUE"""),"Ask")</f>
        <v>Ask</v>
      </c>
      <c r="AP5" s="30" t="str">
        <f>IFERROR(__xludf.DUMMYFUNCTION("""COMPUTED_VALUE"""),"Notional(Base)")</f>
        <v>Notional(Base)</v>
      </c>
      <c r="AQ5" s="30" t="str">
        <f>IFERROR(__xludf.DUMMYFUNCTION("""COMPUTED_VALUE"""),"Notional(Local)")</f>
        <v>Notional(Local)</v>
      </c>
      <c r="AR5" s="30" t="str">
        <f>IFERROR(__xludf.DUMMYFUNCTION("""COMPUTED_VALUE"""),"Exposure")</f>
        <v>Exposure</v>
      </c>
      <c r="AS5" s="30" t="str">
        <f>IFERROR(__xludf.DUMMYFUNCTION("""COMPUTED_VALUE"""),"Day P&amp;L")</f>
        <v>Day P&amp;L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-2000.0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VerifyTT4!$4:$4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1"/>
      <c r="B6" s="31" t="s">
        <v>16</v>
      </c>
      <c r="C6" s="37" t="s">
        <v>25</v>
      </c>
      <c r="D6" s="31" t="s">
        <v>18</v>
      </c>
      <c r="E6" s="33">
        <v>-10000.0</v>
      </c>
      <c r="F6" s="34">
        <v>10.0</v>
      </c>
      <c r="G6" s="32" t="s">
        <v>19</v>
      </c>
      <c r="H6" s="32" t="s">
        <v>20</v>
      </c>
      <c r="I6" s="32" t="s">
        <v>21</v>
      </c>
      <c r="J6" s="35"/>
      <c r="K6" s="32" t="s">
        <v>19</v>
      </c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CalculatePTT8!$4:$4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IFERROR(__xludf.DUMMYFUNCTION("""COMPUTED_VALUE"""),"MasterFund")</f>
        <v>MasterFund</v>
      </c>
      <c r="AG5" s="30" t="str">
        <f>IFERROR(__xludf.DUMMYFUNCTION("""COMPUTED_VALUE"""),"RoundLotStrip")</f>
        <v>RoundLotStrip</v>
      </c>
      <c r="AH5" s="30" t="str">
        <f>IFERROR(__xludf.DUMMYFUNCTION("""COMPUTED_VALUE"""),"Round Lots")</f>
        <v>Round Lots</v>
      </c>
      <c r="AI5" s="30" t="str">
        <f>IFERROR(__xludf.DUMMYFUNCTION("""COMPUTED_VALUE"""),"Button_Status")</f>
        <v>Button_Status</v>
      </c>
      <c r="AJ5" s="30" t="str">
        <f>IFERROR(__xludf.DUMMYFUNCTION("""COMPUTED_VALUE"""),"Position")</f>
        <v>Position</v>
      </c>
      <c r="AK5" s="30" t="str">
        <f>IFERROR(__xludf.DUMMYFUNCTION("""COMPUTED_VALUE"""),"Symbol Name")</f>
        <v>Symbol Name</v>
      </c>
      <c r="AL5" s="30" t="str">
        <f>IFERROR(__xludf.DUMMYFUNCTION("""COMPUTED_VALUE"""),"Last")</f>
        <v>Last</v>
      </c>
      <c r="AM5" s="30" t="str">
        <f>IFERROR(__xludf.DUMMYFUNCTION("""COMPUTED_VALUE"""),"Change")</f>
        <v>Change</v>
      </c>
      <c r="AN5" s="30" t="str">
        <f>IFERROR(__xludf.DUMMYFUNCTION("""COMPUTED_VALUE"""),"Bid")</f>
        <v>Bid</v>
      </c>
      <c r="AO5" s="30" t="str">
        <f>IFERROR(__xludf.DUMMYFUNCTION("""COMPUTED_VALUE"""),"Ask")</f>
        <v>Ask</v>
      </c>
      <c r="AP5" s="30" t="str">
        <f>IFERROR(__xludf.DUMMYFUNCTION("""COMPUTED_VALUE"""),"Notional(Base)")</f>
        <v>Notional(Base)</v>
      </c>
      <c r="AQ5" s="30" t="str">
        <f>IFERROR(__xludf.DUMMYFUNCTION("""COMPUTED_VALUE"""),"Notional(Local)")</f>
        <v>Notional(Local)</v>
      </c>
      <c r="AR5" s="30" t="str">
        <f>IFERROR(__xludf.DUMMYFUNCTION("""COMPUTED_VALUE"""),"Exposure")</f>
        <v>Exposure</v>
      </c>
      <c r="AS5" s="30" t="str">
        <f>IFERROR(__xludf.DUMMYFUNCTION("""COMPUTED_VALUE"""),"Day P&amp;L")</f>
        <v>Day P&amp;L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-10000.0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VerifyTT5!$4:$4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1"/>
      <c r="B6" s="31" t="s">
        <v>16</v>
      </c>
      <c r="C6" s="37" t="s">
        <v>25</v>
      </c>
      <c r="D6" s="31" t="s">
        <v>18</v>
      </c>
      <c r="E6" s="33">
        <v>0.0</v>
      </c>
      <c r="F6" s="34">
        <v>10.0</v>
      </c>
      <c r="G6" s="32" t="s">
        <v>19</v>
      </c>
      <c r="H6" s="32" t="s">
        <v>20</v>
      </c>
      <c r="I6" s="32" t="s">
        <v>21</v>
      </c>
      <c r="J6" s="35"/>
      <c r="K6" s="32" t="s">
        <v>19</v>
      </c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CalculatePTT9!$4:$4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IFERROR(__xludf.DUMMYFUNCTION("""COMPUTED_VALUE"""),"MasterFund")</f>
        <v>MasterFund</v>
      </c>
      <c r="AG5" s="30" t="str">
        <f>IFERROR(__xludf.DUMMYFUNCTION("""COMPUTED_VALUE"""),"RoundLotStrip")</f>
        <v>RoundLotStrip</v>
      </c>
      <c r="AH5" s="30" t="str">
        <f>IFERROR(__xludf.DUMMYFUNCTION("""COMPUTED_VALUE"""),"Round Lots")</f>
        <v>Round Lots</v>
      </c>
      <c r="AI5" s="30" t="str">
        <f>IFERROR(__xludf.DUMMYFUNCTION("""COMPUTED_VALUE"""),"Button_Status")</f>
        <v>Button_Status</v>
      </c>
      <c r="AJ5" s="30" t="str">
        <f>IFERROR(__xludf.DUMMYFUNCTION("""COMPUTED_VALUE"""),"Position")</f>
        <v>Position</v>
      </c>
      <c r="AK5" s="30" t="str">
        <f>IFERROR(__xludf.DUMMYFUNCTION("""COMPUTED_VALUE"""),"Symbol Name")</f>
        <v>Symbol Name</v>
      </c>
      <c r="AL5" s="30" t="str">
        <f>IFERROR(__xludf.DUMMYFUNCTION("""COMPUTED_VALUE"""),"Last")</f>
        <v>Last</v>
      </c>
      <c r="AM5" s="30" t="str">
        <f>IFERROR(__xludf.DUMMYFUNCTION("""COMPUTED_VALUE"""),"Change")</f>
        <v>Change</v>
      </c>
      <c r="AN5" s="30" t="str">
        <f>IFERROR(__xludf.DUMMYFUNCTION("""COMPUTED_VALUE"""),"Bid")</f>
        <v>Bid</v>
      </c>
      <c r="AO5" s="30" t="str">
        <f>IFERROR(__xludf.DUMMYFUNCTION("""COMPUTED_VALUE"""),"Ask")</f>
        <v>Ask</v>
      </c>
      <c r="AP5" s="30" t="str">
        <f>IFERROR(__xludf.DUMMYFUNCTION("""COMPUTED_VALUE"""),"Notional(Base)")</f>
        <v>Notional(Base)</v>
      </c>
      <c r="AQ5" s="30" t="str">
        <f>IFERROR(__xludf.DUMMYFUNCTION("""COMPUTED_VALUE"""),"Notional(Local)")</f>
        <v>Notional(Local)</v>
      </c>
      <c r="AR5" s="30" t="str">
        <f>IFERROR(__xludf.DUMMYFUNCTION("""COMPUTED_VALUE"""),"Exposure")</f>
        <v>Exposure</v>
      </c>
      <c r="AS5" s="30" t="str">
        <f>IFERROR(__xludf.DUMMYFUNCTION("""COMPUTED_VALUE"""),"Day P&amp;L")</f>
        <v>Day P&amp;L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0.0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VerifyTT6!$4:$4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1"/>
      <c r="B6" s="31" t="s">
        <v>16</v>
      </c>
      <c r="C6" s="37" t="s">
        <v>25</v>
      </c>
      <c r="D6" s="31" t="s">
        <v>18</v>
      </c>
      <c r="E6" s="33">
        <v>30000.0</v>
      </c>
      <c r="F6" s="34">
        <v>10.0</v>
      </c>
      <c r="G6" s="32" t="s">
        <v>19</v>
      </c>
      <c r="H6" s="32" t="s">
        <v>20</v>
      </c>
      <c r="I6" s="32" t="s">
        <v>21</v>
      </c>
      <c r="J6" s="35"/>
      <c r="K6" s="32" t="s">
        <v>19</v>
      </c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CalculatePTT10!$4:$4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IFERROR(__xludf.DUMMYFUNCTION("""COMPUTED_VALUE"""),"MasterFund")</f>
        <v>MasterFund</v>
      </c>
      <c r="AG5" s="30" t="str">
        <f>IFERROR(__xludf.DUMMYFUNCTION("""COMPUTED_VALUE"""),"RoundLotStrip")</f>
        <v>RoundLotStrip</v>
      </c>
      <c r="AH5" s="30" t="str">
        <f>IFERROR(__xludf.DUMMYFUNCTION("""COMPUTED_VALUE"""),"Round Lots")</f>
        <v>Round Lots</v>
      </c>
      <c r="AI5" s="30" t="str">
        <f>IFERROR(__xludf.DUMMYFUNCTION("""COMPUTED_VALUE"""),"Button_Status")</f>
        <v>Button_Status</v>
      </c>
      <c r="AJ5" s="30" t="str">
        <f>IFERROR(__xludf.DUMMYFUNCTION("""COMPUTED_VALUE"""),"Position")</f>
        <v>Position</v>
      </c>
      <c r="AK5" s="30" t="str">
        <f>IFERROR(__xludf.DUMMYFUNCTION("""COMPUTED_VALUE"""),"Symbol Name")</f>
        <v>Symbol Name</v>
      </c>
      <c r="AL5" s="30" t="str">
        <f>IFERROR(__xludf.DUMMYFUNCTION("""COMPUTED_VALUE"""),"Last")</f>
        <v>Last</v>
      </c>
      <c r="AM5" s="30" t="str">
        <f>IFERROR(__xludf.DUMMYFUNCTION("""COMPUTED_VALUE"""),"Change")</f>
        <v>Change</v>
      </c>
      <c r="AN5" s="30" t="str">
        <f>IFERROR(__xludf.DUMMYFUNCTION("""COMPUTED_VALUE"""),"Bid")</f>
        <v>Bid</v>
      </c>
      <c r="AO5" s="30" t="str">
        <f>IFERROR(__xludf.DUMMYFUNCTION("""COMPUTED_VALUE"""),"Ask")</f>
        <v>Ask</v>
      </c>
      <c r="AP5" s="30" t="str">
        <f>IFERROR(__xludf.DUMMYFUNCTION("""COMPUTED_VALUE"""),"Notional(Base)")</f>
        <v>Notional(Base)</v>
      </c>
      <c r="AQ5" s="30" t="str">
        <f>IFERROR(__xludf.DUMMYFUNCTION("""COMPUTED_VALUE"""),"Notional(Local)")</f>
        <v>Notional(Local)</v>
      </c>
      <c r="AR5" s="30" t="str">
        <f>IFERROR(__xludf.DUMMYFUNCTION("""COMPUTED_VALUE"""),"Exposure")</f>
        <v>Exposure</v>
      </c>
      <c r="AS5" s="30" t="str">
        <f>IFERROR(__xludf.DUMMYFUNCTION("""COMPUTED_VALUE"""),"Day P&amp;L")</f>
        <v>Day P&amp;L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30000.0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VerifyTT7!$4:$4</formula1>
    </dataValidation>
  </dataValidations>
  <drawing r:id="rId1"/>
</worksheet>
</file>