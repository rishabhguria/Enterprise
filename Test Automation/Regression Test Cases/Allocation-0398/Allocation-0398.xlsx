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SetGeneralPreferences" sheetId="6" r:id="rId8"/>
    <sheet state="visible" name="AddMFPreferences" sheetId="7" r:id="rId9"/>
    <sheet state="visible" name="SetMFPreferencesDefaultRule" sheetId="8" r:id="rId10"/>
    <sheet state="visible" name="SetMFPrefFundDefaultRule" sheetId="9" r:id="rId11"/>
    <sheet state="visible" name="CreateDoneAwayOrder" sheetId="10" r:id="rId12"/>
    <sheet state="visible" name="PricingInput" sheetId="11" r:id="rId13"/>
    <sheet state="visible" name="GetDataAllocation" sheetId="12" r:id="rId14"/>
    <sheet state="visible" name="SelectUnallocatedGroup" sheetId="13" r:id="rId15"/>
    <sheet state="visible" name="EnterAllocatePreference" sheetId="14" r:id="rId16"/>
    <sheet state="visible" name="CreateDoneAwayOrder1" sheetId="15" r:id="rId17"/>
    <sheet state="visible" name="SetMFPrefFundDefaultRule1" sheetId="16" r:id="rId18"/>
    <sheet state="visible" name="CheckAllocatedTaxlots" sheetId="17" r:id="rId19"/>
    <sheet state="visible" name="SetMFPrefAccountValues" sheetId="18" r:id="rId20"/>
    <sheet state="visible" name="SetMFPrefAccountValues1" sheetId="19" r:id="rId21"/>
    <sheet state="visible" name="SetMFPrefGeneralRule" sheetId="20" r:id="rId22"/>
    <sheet state="visible" name="SetMFPrefGeneralRule1" sheetId="21" r:id="rId23"/>
  </sheets>
  <definedNames/>
  <calcPr/>
</workbook>
</file>

<file path=xl/sharedStrings.xml><?xml version="1.0" encoding="utf-8"?>
<sst xmlns="http://schemas.openxmlformats.org/spreadsheetml/2006/main" count="209" uniqueCount="52">
  <si>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</si>
  <si>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</si>
  <si>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</si>
  <si>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</si>
  <si>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</si>
  <si>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</si>
  <si>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</si>
  <si>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</si>
  <si>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</si>
  <si>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</si>
  <si>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</si>
  <si>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</si>
  <si>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</si>
  <si>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</si>
  <si>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</si>
  <si>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</si>
  <si>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</si>
  <si>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</si>
  <si>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</si>
  <si>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Allocation3</t>
  </si>
  <si>
    <t>Allocation2</t>
  </si>
  <si>
    <t>Allocation4</t>
  </si>
  <si>
    <t>Allocation</t>
  </si>
  <si>
    <t>SetGeneralPreferences</t>
  </si>
  <si>
    <t>AddMFPreferences</t>
  </si>
  <si>
    <t>TEST1</t>
  </si>
  <si>
    <t>SetMFPreferencesDefaultRule</t>
  </si>
  <si>
    <t>Leveling</t>
  </si>
  <si>
    <t>NewMF,NewMF1</t>
  </si>
  <si>
    <t>SetMFPrefFundDefaultRule</t>
  </si>
  <si>
    <t>Fair Pricing</t>
  </si>
  <si>
    <t>Account Inception</t>
  </si>
  <si>
    <t>TradingTicket</t>
  </si>
  <si>
    <t>CreateDoneAwayOrder</t>
  </si>
  <si>
    <t>MSFT</t>
  </si>
  <si>
    <t>Sell</t>
  </si>
  <si>
    <t>PricingInput</t>
  </si>
  <si>
    <t>GetDataAllocation</t>
  </si>
  <si>
    <t>CURRENT</t>
  </si>
  <si>
    <t>SelectUnallocatedGroup</t>
  </si>
  <si>
    <t>Buy to Close</t>
  </si>
  <si>
    <t>EnterAllocatePreference</t>
  </si>
  <si>
    <t>Unallocated</t>
  </si>
  <si>
    <t>CheckAllocatedTaxlots</t>
  </si>
  <si>
    <t>M</t>
  </si>
  <si>
    <t>SetMFPrefAccountValues</t>
  </si>
  <si>
    <t>NewMF</t>
  </si>
  <si>
    <t>NewMF1</t>
  </si>
  <si>
    <t>SetMFPrefGeneralRule</t>
  </si>
  <si>
    <t>Include</t>
  </si>
  <si>
    <t>CDNX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</si>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</sst>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0" fillId="4" fontId="14" numFmtId="0" xfId="0" applyAlignment="1" applyFont="1">
      <alignment horizontal="left" readingOrder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4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>TODAY()-1</f>
        <v>45159</v>
      </c>
      <c r="C6" s="31">
        <f>TODAY()</f>
        <v>45160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17</v>
      </c>
      <c r="C6" s="33" t="s">
        <v>18</v>
      </c>
      <c r="D6" s="34">
        <v>10400.0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5" t="s">
        <v>18</v>
      </c>
      <c r="D7" s="34">
        <v>15800.0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20</v>
      </c>
      <c r="C8" s="35" t="s">
        <v>18</v>
      </c>
      <c r="D8" s="34">
        <v>8600.0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5" t="s">
        <v>21</v>
      </c>
      <c r="C9" s="35" t="s">
        <v>18</v>
      </c>
      <c r="D9" s="34">
        <v>13400.0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b">
        <v>1</v>
      </c>
      <c r="C6" s="35"/>
      <c r="D6" s="36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8" t="b">
        <v>1</v>
      </c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35" t="s">
        <v>27</v>
      </c>
      <c r="D6" s="39" t="s">
        <v>28</v>
      </c>
      <c r="E6" s="35"/>
      <c r="F6" s="35" t="s">
        <v>25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25</v>
      </c>
      <c r="C6" s="35"/>
      <c r="D6" s="40" t="s">
        <v>30</v>
      </c>
      <c r="E6" s="36" t="s">
        <v>17</v>
      </c>
      <c r="F6" s="40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35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34</v>
      </c>
      <c r="C6" s="41" t="s">
        <v>35</v>
      </c>
      <c r="D6" s="34">
        <v>400.0</v>
      </c>
      <c r="E6" s="35"/>
      <c r="F6" s="35" t="s">
        <v>17</v>
      </c>
      <c r="G6" s="35"/>
      <c r="H6" s="35"/>
      <c r="I6" s="35"/>
      <c r="J6" s="42">
        <v>1.0</v>
      </c>
      <c r="K6" s="35"/>
      <c r="L6" s="35"/>
      <c r="M6" s="35"/>
      <c r="N6" s="31">
        <f t="shared" ref="N6:N9" si="1">TODAY()-1</f>
        <v>45159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34</v>
      </c>
      <c r="C7" s="41" t="s">
        <v>35</v>
      </c>
      <c r="D7" s="42">
        <v>800.0</v>
      </c>
      <c r="E7" s="35"/>
      <c r="F7" s="43" t="s">
        <v>19</v>
      </c>
      <c r="G7" s="35"/>
      <c r="H7" s="35"/>
      <c r="I7" s="35"/>
      <c r="J7" s="42">
        <v>1.0</v>
      </c>
      <c r="K7" s="35"/>
      <c r="L7" s="35"/>
      <c r="M7" s="35"/>
      <c r="N7" s="31">
        <f t="shared" si="1"/>
        <v>45159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34</v>
      </c>
      <c r="C8" s="41" t="s">
        <v>35</v>
      </c>
      <c r="D8" s="42">
        <v>600.0</v>
      </c>
      <c r="E8" s="35"/>
      <c r="F8" s="43" t="s">
        <v>20</v>
      </c>
      <c r="G8" s="35"/>
      <c r="H8" s="35"/>
      <c r="I8" s="35"/>
      <c r="J8" s="42">
        <v>1.0</v>
      </c>
      <c r="K8" s="35"/>
      <c r="L8" s="35"/>
      <c r="M8" s="35"/>
      <c r="N8" s="31">
        <f t="shared" si="1"/>
        <v>45159</v>
      </c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 t="s">
        <v>34</v>
      </c>
      <c r="C9" s="41" t="s">
        <v>35</v>
      </c>
      <c r="D9" s="42">
        <v>1400.0</v>
      </c>
      <c r="E9" s="35"/>
      <c r="F9" s="35" t="s">
        <v>21</v>
      </c>
      <c r="G9" s="35"/>
      <c r="H9" s="35"/>
      <c r="I9" s="35"/>
      <c r="J9" s="42">
        <v>1.0</v>
      </c>
      <c r="K9" s="35"/>
      <c r="L9" s="35"/>
      <c r="M9" s="35"/>
      <c r="N9" s="31">
        <f t="shared" si="1"/>
        <v>45159</v>
      </c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34</v>
      </c>
      <c r="C6" s="42">
        <v>1.0</v>
      </c>
      <c r="D6" s="36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34</v>
      </c>
      <c r="C6" s="43" t="s">
        <v>40</v>
      </c>
      <c r="D6" s="34">
        <v>125.0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25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34</v>
      </c>
      <c r="C6" s="43" t="s">
        <v>40</v>
      </c>
      <c r="D6" s="42">
        <v>125.0</v>
      </c>
      <c r="E6" s="35"/>
      <c r="F6" s="35" t="s">
        <v>42</v>
      </c>
      <c r="G6" s="35"/>
      <c r="H6" s="35"/>
      <c r="I6" s="35"/>
      <c r="J6" s="42">
        <v>11.0</v>
      </c>
      <c r="K6" s="35"/>
      <c r="L6" s="35"/>
      <c r="M6" s="35"/>
      <c r="N6" s="31">
        <f>TODAY()</f>
        <v>45160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25</v>
      </c>
      <c r="C6" s="43"/>
      <c r="D6" s="40" t="s">
        <v>30</v>
      </c>
      <c r="E6" s="36" t="s">
        <v>20</v>
      </c>
      <c r="F6" s="40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4">
        <v>1088.9766272</v>
      </c>
      <c r="C6" s="44">
        <v>1088.9766272</v>
      </c>
      <c r="D6" s="44">
        <v>1078.0</v>
      </c>
      <c r="E6" s="44">
        <v>1078.0</v>
      </c>
      <c r="F6" s="35" t="s">
        <v>44</v>
      </c>
      <c r="G6" s="35"/>
      <c r="H6" s="35"/>
      <c r="I6" s="35"/>
      <c r="J6" s="35"/>
      <c r="K6" s="35"/>
      <c r="L6" s="35"/>
      <c r="M6" s="35"/>
      <c r="N6" s="35"/>
      <c r="O6" s="35" t="s">
        <v>21</v>
      </c>
      <c r="P6" s="35"/>
      <c r="Q6" s="35"/>
      <c r="R6" s="45">
        <v>98.0</v>
      </c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2">
        <v>300.0241728</v>
      </c>
      <c r="C7" s="42">
        <v>300.0241728</v>
      </c>
      <c r="D7" s="42">
        <v>297.0</v>
      </c>
      <c r="E7" s="42">
        <v>297.0</v>
      </c>
      <c r="F7" s="35" t="s">
        <v>44</v>
      </c>
      <c r="G7" s="35"/>
      <c r="H7" s="35"/>
      <c r="I7" s="35"/>
      <c r="J7" s="35"/>
      <c r="K7" s="35"/>
      <c r="L7" s="35"/>
      <c r="M7" s="35"/>
      <c r="N7" s="35"/>
      <c r="O7" s="35" t="s">
        <v>20</v>
      </c>
      <c r="P7" s="35"/>
      <c r="Q7" s="35"/>
      <c r="R7" s="45">
        <v>27.0</v>
      </c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25</v>
      </c>
      <c r="C6" s="35" t="s">
        <v>46</v>
      </c>
      <c r="D6" s="36" t="s">
        <v>17</v>
      </c>
      <c r="E6" s="42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25</v>
      </c>
      <c r="C7" s="35" t="s">
        <v>46</v>
      </c>
      <c r="D7" s="35" t="s">
        <v>19</v>
      </c>
      <c r="E7" s="42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25</v>
      </c>
      <c r="C6" s="8" t="s">
        <v>47</v>
      </c>
      <c r="D6" s="46" t="s">
        <v>20</v>
      </c>
      <c r="E6" s="8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 t="s">
        <v>25</v>
      </c>
      <c r="C7" s="8" t="s">
        <v>47</v>
      </c>
      <c r="D7" s="8" t="s">
        <v>21</v>
      </c>
      <c r="E7" s="8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25</v>
      </c>
      <c r="C6" s="35" t="s">
        <v>46</v>
      </c>
      <c r="D6" s="36" t="s">
        <v>49</v>
      </c>
      <c r="E6" s="35" t="s">
        <v>50</v>
      </c>
      <c r="F6" s="35" t="s">
        <v>49</v>
      </c>
      <c r="G6" s="35" t="s">
        <v>51</v>
      </c>
      <c r="H6" s="35"/>
      <c r="I6" s="35"/>
      <c r="J6" s="35" t="s">
        <v>49</v>
      </c>
      <c r="K6" s="47" t="s">
        <v>40</v>
      </c>
      <c r="L6" s="37" t="b">
        <v>0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SetMFPrefGeneralRule!$4:$4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25</v>
      </c>
      <c r="C6" s="35" t="s">
        <v>47</v>
      </c>
      <c r="D6" s="36" t="s">
        <v>49</v>
      </c>
      <c r="E6" s="35" t="s">
        <v>50</v>
      </c>
      <c r="F6" s="35" t="s">
        <v>49</v>
      </c>
      <c r="G6" s="35" t="s">
        <v>51</v>
      </c>
      <c r="H6" s="35"/>
      <c r="I6" s="35"/>
      <c r="J6" s="35" t="s">
        <v>49</v>
      </c>
      <c r="K6" s="47" t="s">
        <v>40</v>
      </c>
      <c r="L6" s="37" t="b">
        <v>0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SetMFPrefGeneralRule1!$4:$4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