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30" yWindow="390" windowWidth="19800" windowHeight="9135" firstSheet="16" activeTab="16"/>
  </bookViews>
  <sheets>
    <sheet name="_Modules" sheetId="1" r:id="rId1"/>
    <sheet name="_Settings" sheetId="2" r:id="rId2"/>
    <sheet name="_MasterData" sheetId="3" state="hidden" r:id="rId3"/>
    <sheet name="CreateDoneAwayOrder" sheetId="4" r:id="rId4"/>
    <sheet name="GetDailyCash" sheetId="5" r:id="rId5"/>
    <sheet name="UpdateDailyCash" sheetId="6" r:id="rId6"/>
    <sheet name="PricingInput" sheetId="7" r:id="rId7"/>
    <sheet name="TradePTT" sheetId="8" r:id="rId8"/>
    <sheet name="CreateDoneAwayOrderPTT" sheetId="9" r:id="rId9"/>
    <sheet name="Unallocate" sheetId="10" r:id="rId10"/>
    <sheet name="SelectUnallocatedGroup" sheetId="11" r:id="rId11"/>
    <sheet name="EnterAllocatePreference" sheetId="12" r:id="rId12"/>
    <sheet name="CheckAllocatedGroups" sheetId="13" r:id="rId13"/>
    <sheet name="CheckUnallocatedGroups" sheetId="14" r:id="rId14"/>
    <sheet name="GetDataAllocation" sheetId="15" r:id="rId15"/>
    <sheet name="GetDataClosing" sheetId="16" r:id="rId16"/>
    <sheet name="VerifyLongPositionsGrid" sheetId="17" r:id="rId17"/>
    <sheet name="VerifyShortPositionsGrid" sheetId="18" r:id="rId18"/>
    <sheet name="GetActivityData" sheetId="19" r:id="rId19"/>
    <sheet name="VerifyActivity" sheetId="20" r:id="rId20"/>
    <sheet name="CheckPortfolioManagement" sheetId="21" r:id="rId21"/>
  </sheets>
  <calcPr calcId="145621"/>
</workbook>
</file>

<file path=xl/calcChain.xml><?xml version="1.0" encoding="utf-8"?>
<calcChain xmlns="http://schemas.openxmlformats.org/spreadsheetml/2006/main">
  <c r="J2" i="21" l="1"/>
  <c r="J2" i="20"/>
  <c r="E6" i="19"/>
  <c r="D6" i="19"/>
  <c r="J2" i="19"/>
  <c r="J2" i="18"/>
  <c r="J2" i="17"/>
  <c r="J2" i="16"/>
  <c r="J2" i="15"/>
  <c r="J2" i="14"/>
  <c r="J2" i="13"/>
  <c r="J2" i="12"/>
  <c r="J2" i="11"/>
  <c r="J2" i="10"/>
  <c r="J2" i="9"/>
  <c r="J2" i="8"/>
  <c r="J2" i="7"/>
  <c r="J2" i="6"/>
  <c r="C6" i="5"/>
  <c r="B6" i="5"/>
  <c r="J2" i="5"/>
  <c r="J2" i="4"/>
  <c r="A5" i="20"/>
  <c r="A5" i="18"/>
  <c r="A5" i="15"/>
  <c r="A5" i="17"/>
  <c r="A5" i="6"/>
  <c r="A5" i="16"/>
  <c r="B4" i="12"/>
  <c r="B4" i="11"/>
  <c r="A5" i="7"/>
  <c r="A5" i="19"/>
  <c r="A5" i="5"/>
  <c r="B4" i="14"/>
  <c r="A5" i="13"/>
  <c r="A4" i="3"/>
  <c r="A5" i="12"/>
  <c r="B4" i="6"/>
  <c r="B4" i="20"/>
  <c r="A5" i="14"/>
  <c r="A5" i="10"/>
  <c r="B4" i="18"/>
  <c r="B4" i="5"/>
  <c r="B4" i="9"/>
  <c r="B4" i="19"/>
  <c r="A4" i="1"/>
  <c r="B4" i="10"/>
  <c r="A5" i="4"/>
  <c r="A5" i="9"/>
  <c r="A5" i="8"/>
  <c r="B4" i="16"/>
  <c r="B4" i="15"/>
  <c r="B4" i="8"/>
  <c r="B4" i="17"/>
  <c r="A5" i="21"/>
  <c r="B4" i="21"/>
  <c r="A5" i="11"/>
  <c r="B4" i="13"/>
  <c r="B4" i="7"/>
  <c r="B4" i="4"/>
</calcChain>
</file>

<file path=xl/sharedStrings.xml><?xml version="1.0" encoding="utf-8"?>
<sst xmlns="http://schemas.openxmlformats.org/spreadsheetml/2006/main" count="2901" uniqueCount="978">
  <si>
    <t>Master Data Info</t>
  </si>
  <si>
    <t>Modules Info</t>
  </si>
  <si>
    <t>Settings</t>
  </si>
  <si>
    <t>Module</t>
  </si>
  <si>
    <t>Step</t>
  </si>
  <si>
    <t>Master Data Sheet</t>
  </si>
  <si>
    <t>Modules</t>
  </si>
  <si>
    <t>Module Step Setting File</t>
  </si>
  <si>
    <t>1jzmqcGUKrtaw2eG0h9EmAVqiksOTc5tCg2fjw0rnduM</t>
  </si>
  <si>
    <t>Master Data Settings File</t>
  </si>
  <si>
    <t>Allocate</t>
  </si>
  <si>
    <t>undefined</t>
  </si>
  <si>
    <t>1EGvQ4gQZof5ChEr7TLuvC_9b1eGAQgRVRtrGCIOSzkc</t>
  </si>
  <si>
    <t>Allocation</t>
  </si>
  <si>
    <t>CheckAllocatedGroups</t>
  </si>
  <si>
    <t>1L-ZLJ-WUi30_f-lOlKY8keIuba5MrxrSFg61cuw6a1Q</t>
  </si>
  <si>
    <t>Unallocate</t>
  </si>
  <si>
    <t>1EwSV_9D5NTEl2PEpL_Jt7zJTHUPrALTb8OtSzPCvCyw</t>
  </si>
  <si>
    <t>GetDataAllocation</t>
  </si>
  <si>
    <t>1DppyOA5Ydn7_wREefqS5OXdf-FB0aeezazxO7l_KkPI</t>
  </si>
  <si>
    <t>SelectAllocatedGroup</t>
  </si>
  <si>
    <t>EditTradesAllocated</t>
  </si>
  <si>
    <t>1mZVDHa5HAPBlU7A7Qt_dcTY5NCi1wrh46jO_Kvm6p0Y</t>
  </si>
  <si>
    <t>EditTradesUnallocated</t>
  </si>
  <si>
    <t>11fJBWY-Z4X4pAJ10BZMvanCBUxCez87FACI3SN4oHhc</t>
  </si>
  <si>
    <t>Reallocate</t>
  </si>
  <si>
    <t>Blotter</t>
  </si>
  <si>
    <t>ReplaceFillsOnBlotter</t>
  </si>
  <si>
    <t>CheckBlotter</t>
  </si>
  <si>
    <t>1gCNoZk41UU6qYClK-xpR_ek0RFJSoyNo2GYPM85gGKU</t>
  </si>
  <si>
    <t>GeneralLedger</t>
  </si>
  <si>
    <t>GetDataCash</t>
  </si>
  <si>
    <t>1mrbqxvNyXyDjk1XgAgEZXuSeTqc593taxDqDOV7hZqA</t>
  </si>
  <si>
    <t>EnterCashDividends</t>
  </si>
  <si>
    <t>1OE2eAPH4pnVoDKHq07XJnAWdqq3B53-Vz_fU3XSLsOo</t>
  </si>
  <si>
    <t>EnterNonTradingTransaction</t>
  </si>
  <si>
    <t>1zgBoPmpmJ5_Bxh0JLfP4NSXfDAdqPOOnRDY40vNAJdc</t>
  </si>
  <si>
    <t>VerifyCash</t>
  </si>
  <si>
    <t>1n0r94uozYoa1mcmrxW_NIxO_M3WLd8Ph_n_xUUMdHkY</t>
  </si>
  <si>
    <t>VerifyActivity</t>
  </si>
  <si>
    <t>1D58ZOzb8nMwwYFW_fgBRw9bIgKCNgz4NAUjOFPI3ttg</t>
  </si>
  <si>
    <t>VerifyTradingTransaction</t>
  </si>
  <si>
    <t>1sb5hLWphJMJ2xTKTRNOJjvQEU_0qrIRbZDT1iG8x6NQ</t>
  </si>
  <si>
    <t>VerifyRevaluationData</t>
  </si>
  <si>
    <t>1lEzEveo6PgW6NVJdwJVDWChZaDlt6_1d0yWGRisG41s</t>
  </si>
  <si>
    <t>CorporateAction</t>
  </si>
  <si>
    <t>13QRlt6FtrzEz4ck-_pvtQDoShnPxNGhvatv13pX2HhY</t>
  </si>
  <si>
    <t>CreateTransaction</t>
  </si>
  <si>
    <t>1U3AznbtrREGBESvlk0BE41sHVstNQMXBv0rz7n6hmV4</t>
  </si>
  <si>
    <t>DailyValuation</t>
  </si>
  <si>
    <t>UpdateBeta</t>
  </si>
  <si>
    <t>1CNXkbQ3clbbk2GA1D_o7mwbOXh3TyoxE-Yi_zMNFThE</t>
  </si>
  <si>
    <t>UpdateDailyCash</t>
  </si>
  <si>
    <t>1MJQnzJKtIwrFYxgQuyxiDRTHx2AlxPGsZAP8b3EZ-cU</t>
  </si>
  <si>
    <t>UpdateForexConversion</t>
  </si>
  <si>
    <t>1vWjOmgJTnkrrDe2RU7RrXFM8W1oU4UaYst8SzDg0euw</t>
  </si>
  <si>
    <t>UpdateMarkPrice</t>
  </si>
  <si>
    <t>1imSp2lI_j9rl6xDk0XwhbDSdSXaQMcClNz2DL64EnRQ</t>
  </si>
  <si>
    <t>Import</t>
  </si>
  <si>
    <t>1Xklp_ORwWwTAkPZs6ToZiboljE1DKFIy1dYbB7Nwxeo</t>
  </si>
  <si>
    <t>PortfolioManagement</t>
  </si>
  <si>
    <t>CheckDashboardPM</t>
  </si>
  <si>
    <t>1tcLtA2gXel0_UrZscgrHA-N6e3zlvl4sVWWwXiieBKM</t>
  </si>
  <si>
    <t>CheckPortfolioManagement</t>
  </si>
  <si>
    <t>1jlosuMTU29KTyjeAFTYmrHWlAB6CEC0jii0qlD9TRcg</t>
  </si>
  <si>
    <t>PricingInput</t>
  </si>
  <si>
    <t>11KHhNm8RLohP-VpaLwq6rsmNz-2i7xntRhrQfYhRAx0</t>
  </si>
  <si>
    <t>UpdateSharesOutstanding</t>
  </si>
  <si>
    <t>1PdT_XD2ygw4JJVdYoIs50QvPcsEABM_VLcTPHeNoHJU</t>
  </si>
  <si>
    <t>SymbolLookup</t>
  </si>
  <si>
    <t>13wntx9WqAX9N4c95BRL3KcR6jNRx1TksT8NNSQYGV5c</t>
  </si>
  <si>
    <t>SymbolLookupFromTT</t>
  </si>
  <si>
    <t>1U-r-NVGWjcDrLtmbBe4q_z4ma0nFn5vURm5UbooCaAA</t>
  </si>
  <si>
    <t>UpdateUDA</t>
  </si>
  <si>
    <t>1vsm2_YSBXZi8OIpiN28kenbceEgqL9S7LNdggQFZp-o</t>
  </si>
  <si>
    <t>GetSymbol</t>
  </si>
  <si>
    <t>113l9CuPjrKrbaEU9Db_hlEefld2T603Eq3eXUpMHNaM</t>
  </si>
  <si>
    <t>GetDataSymbolLookup</t>
  </si>
  <si>
    <t>1yJlJ8t2fOgKGapX0rgaYkmU7Zi6rbVVUg7Uf7FIlO4Q</t>
  </si>
  <si>
    <t>ThirdParty</t>
  </si>
  <si>
    <t>GenerateThirdParty</t>
  </si>
  <si>
    <t>11aPQm5cFlA1YwP3O-0mfffeOGhmKLYgbmghxoqj2q8I</t>
  </si>
  <si>
    <t>SendThirdParty</t>
  </si>
  <si>
    <t>ViewThirdParty</t>
  </si>
  <si>
    <t>18MunnjI6F6pGC4IrIRW93UX7vDQwHVlZ5DEKtmkdFvc</t>
  </si>
  <si>
    <t>SelectThirdPartyName</t>
  </si>
  <si>
    <t>1AP_eEIfJxa8QgI8xhkMF8GtLKIeYfSvgmNUasy6dreI</t>
  </si>
  <si>
    <t>VerifyThirdPartyData</t>
  </si>
  <si>
    <t>1opm71t3M4oXpxf2RI-Wuz5z1QHqCp9TEgfuQ7oCz0xE</t>
  </si>
  <si>
    <t>CleanUp</t>
  </si>
  <si>
    <t>Undefined</t>
  </si>
  <si>
    <t>1yKfXi9Wrs1Z4oWJsyv_fS1XRU8t9Yc-BFO3yg6BGs1Y</t>
  </si>
  <si>
    <t>PST</t>
  </si>
  <si>
    <t>RunPST</t>
  </si>
  <si>
    <t>1VSQ6IwJ4pezpKTqar_XWSclLe91q9Lw6AY0M8NXUTj0</t>
  </si>
  <si>
    <t>PSTInputData</t>
  </si>
  <si>
    <t>17sM4xgxOodsEuKRSioVHgcwwUZaK_tJ1_6boyqEd7mc</t>
  </si>
  <si>
    <t>PSTVerifyData</t>
  </si>
  <si>
    <t>1oCS116PeoESDNYOzRheZAT8u0oP96ZUB99b_67ABYTk</t>
  </si>
  <si>
    <t>PSTFunctionalities</t>
  </si>
  <si>
    <t>1Cf1DK3hqJJb1S41GFHX0VAwht7BlnNs3d6pKcZLg114</t>
  </si>
  <si>
    <t>OpenPSTFromPM</t>
  </si>
  <si>
    <t>1TGYvqBYODHc-1ufnvWIsaSwNe9a8CCDyfc2v9fQbGUw</t>
  </si>
  <si>
    <t>TradingTicket</t>
  </si>
  <si>
    <t>OpenTTFromPST</t>
  </si>
  <si>
    <t>1nYsi0pqkbKZQdUU_eEcsrweTr-dTC-7LyuUJGvKUPQs</t>
  </si>
  <si>
    <t>CashDividend</t>
  </si>
  <si>
    <t>1MjQXzaxtVJpQLOfCep7bwM0mNuXW47QReePoc9FFHFk</t>
  </si>
  <si>
    <t>Exchange</t>
  </si>
  <si>
    <t>1vpxqkZJuj6Mtf8YwDIqBA5rFSNWc5VGqudg_Zroan5E</t>
  </si>
  <si>
    <t>Merger</t>
  </si>
  <si>
    <t>1PeWBKsBJVUG8AL27NGtn6RUIv-YDUvFOmabPMiqupxU</t>
  </si>
  <si>
    <t>NameChange</t>
  </si>
  <si>
    <t>16r5wRvyWMTQo2sCc8goWi_bvWmnbkNZSSxKMCk4p3LE</t>
  </si>
  <si>
    <t>SpinOff</t>
  </si>
  <si>
    <t>1jBlBEIEYhFzCIVXiahDvEpL7ruX1JQVPWSe5dZTpofI</t>
  </si>
  <si>
    <t>Split</t>
  </si>
  <si>
    <t>1omFpHI-v68Lp3Rwx-zsOlom4SmkeuobtvSnjS46PTHA</t>
  </si>
  <si>
    <t>StockDividend</t>
  </si>
  <si>
    <t>1hhW3ty6WkC49bwzN9ZpbSOrhuVnIl5_Ghc-XqPZXLE4</t>
  </si>
  <si>
    <t>EnterDetailsOnTT</t>
  </si>
  <si>
    <t>EditUnallocatedGroupSidePanel</t>
  </si>
  <si>
    <t>1Puf64dq5ArnkHl5MlqGRRth_X5FbZocMeUJmAAGWbeg</t>
  </si>
  <si>
    <t>TradeAttributeBulkChange</t>
  </si>
  <si>
    <t>1FHCcAAJpF959fSJbB_7tvdDUyYjVTPYFyD3lsZJ7nlI</t>
  </si>
  <si>
    <t>ApplyBulkUpdateOnGroups</t>
  </si>
  <si>
    <t>1V-rPEaxXkWvTaBI6kLSr4VNZVhPEETddej7HOqEWOGM</t>
  </si>
  <si>
    <t>ApplyPrefetchFilters</t>
  </si>
  <si>
    <t>1DDIAGBrqMcuD1mwWkYSyWI3otIoTwAaE-KDgmvvISbY</t>
  </si>
  <si>
    <t>GeneralPreferencesDefaultRule</t>
  </si>
  <si>
    <t>1R4ZJCGf_1PDcFbYLXVkxL4TCg4DUhFFr0tCr4YYqpbs</t>
  </si>
  <si>
    <t>GeneralPrefCompanyUserWise</t>
  </si>
  <si>
    <t>10vB8vLD1WkONjnUNgE7Ms7WI8t3sKQL8r8cvEkoz3AE</t>
  </si>
  <si>
    <t>RenameTradeAttributes</t>
  </si>
  <si>
    <t>13BXj4Pwa21SO29BZgDmyqO2qu8LoYR2rp0VfriKezE4</t>
  </si>
  <si>
    <t>SetGroupingRules</t>
  </si>
  <si>
    <t>1B3UaAguEgzNwXr2kbF8QRjzhSIm3hLCRgAGz-uVEQOc</t>
  </si>
  <si>
    <t>SetMasterFundRatio</t>
  </si>
  <si>
    <t>1sA2_WarReWKLs7XI77Mi-BkKd0Q0Afg_3ekw7ZjNtJM</t>
  </si>
  <si>
    <t>CheckFixedPreference</t>
  </si>
  <si>
    <t>1RKMY4bMKW_KvkyXPZnZeJ65fazXFtp9pss2lYCD1WYQ</t>
  </si>
  <si>
    <t>GetFixedPreference</t>
  </si>
  <si>
    <t>1acNtWzG4Dc6ixrD44RlZ6CXt_Xll_0I8E2p7Nkf41Cs</t>
  </si>
  <si>
    <t>AddCalculatedPreferences</t>
  </si>
  <si>
    <t>1_7Rld-D6klFadVYAkdL8163CArB78e6jyYn4BpByrtY</t>
  </si>
  <si>
    <t>BulkChangeCalculatedPreferences</t>
  </si>
  <si>
    <t>1IAN5eO_bWsM1qPTaF8ZvDX7rGJsgAumTpgJSEf0PfTg</t>
  </si>
  <si>
    <t>DeleteCalculatedPreferences</t>
  </si>
  <si>
    <t>1Sgq2gs7Uts4qFupNg3sWWfGJqkiWAzJdW_NYsJYu65Q</t>
  </si>
  <si>
    <t>RenameCalculatedPreferences</t>
  </si>
  <si>
    <t>1P67nI_HSB1JtSTm5xYUkH42bjWLYdhyC-RrnDPxbjuM</t>
  </si>
  <si>
    <t>CopyCalculatedPreferences</t>
  </si>
  <si>
    <t>1pkhYcn3cSnx1J-iJbc8n2zy2qcrU8YzrPTyRwBRf8wY</t>
  </si>
  <si>
    <t>RunAutoGroup</t>
  </si>
  <si>
    <t>10T7ohLq87eEvrPHwSWb1TlvLJJymDRv_dtGjtvUvN-s</t>
  </si>
  <si>
    <t>BookOrUpdateSwap</t>
  </si>
  <si>
    <t>1DbBLggYAW3CVqLkeuuxc6rug-IniEYYxvdHslmrB5nI</t>
  </si>
  <si>
    <t>RunProrata</t>
  </si>
  <si>
    <t>1y62TQK97wqkFWLhH34n7Upie-qr5gr7cVEudMcvZklc</t>
  </si>
  <si>
    <t>SetDefaultRuleCalculatedPref</t>
  </si>
  <si>
    <t>1sNVW2GoBdY3lAfX-77ohLYc1LMmGvccB-u7ABR-JTyc</t>
  </si>
  <si>
    <t>Admin</t>
  </si>
  <si>
    <t>SetTTUIPreferences</t>
  </si>
  <si>
    <t>1JFSZvfWTQDaQU-9QKTimC2zVCK61RVWAOSX1aOUIBvw</t>
  </si>
  <si>
    <t>TTPermissionLevel</t>
  </si>
  <si>
    <t>1PNHTrG2HndgEb017kC93kjWOG8OYecgJjNZS7Yc9YyY</t>
  </si>
  <si>
    <t>ValidateSymbolTT</t>
  </si>
  <si>
    <t>1rZl5xWUQM6k9EXgXhGs4PVzw76TcfRoshlTYte27ezc</t>
  </si>
  <si>
    <t>VerifyDataTT</t>
  </si>
  <si>
    <t>SetUIPreferencesTT</t>
  </si>
  <si>
    <t>1Pz2v9qjqsj3SVC25rXNiFuACew7mHhiu5U98Awmgjnw</t>
  </si>
  <si>
    <t>SetBrokerWisePreferencesTT</t>
  </si>
  <si>
    <t>1nnQQ2_xVfuZp7dD_8U_uyeAfJmfR0C-DWfDB97V2hzg</t>
  </si>
  <si>
    <t>BlotterFunctionalities</t>
  </si>
  <si>
    <t>1iTAe4QaLJo6EwYBSNQcKj-DioSseRlwrTMDQXMpa8D4</t>
  </si>
  <si>
    <t>TradeNewSub</t>
  </si>
  <si>
    <t>1SgoSKeQ0lO7i_p2PGsAXNfIyltE-QoyRLmg0bsHpMBE</t>
  </si>
  <si>
    <t>GetTradingTransaction</t>
  </si>
  <si>
    <t>1S8Id2c4B5t2mIMyAn0AaXH_8x8zflGn9w4iW0sZtXzA</t>
  </si>
  <si>
    <t>GetActivityData</t>
  </si>
  <si>
    <t>1hlW0GHCWVRKQXuNDzZgW7F-7T7Sym4Fs4Mx3FfbmTSM</t>
  </si>
  <si>
    <t>SetAccountValueCalculatedPref</t>
  </si>
  <si>
    <t>1G5f5wAaJmF0NakgUGzhlEa1DRIEuT035FcFZMNHZvwg</t>
  </si>
  <si>
    <t>TradeAttributeBulkChangeGroups</t>
  </si>
  <si>
    <t>1SCVwl9ay7AcS_0FcO_w1ql1YeRDbDYvcguJHYqbfed4</t>
  </si>
  <si>
    <t>TradeAttributeBulkChangeTaxlots</t>
  </si>
  <si>
    <t>1f8ZeqJtIz9iUcW0CxcnasKjcfFGLYJhJWhRb9e9gtZo</t>
  </si>
  <si>
    <t>AddCalculatedPreferenceToolbar</t>
  </si>
  <si>
    <t>1JcH-HPjMVLI-RI6ljGLpiKhufHntErA2NURkOvTOE-4</t>
  </si>
  <si>
    <t>GetRevaluationData</t>
  </si>
  <si>
    <t>1vx_ncFUHoS9ufX7as5mglPlbWaFvVn4Ff1xYoU469XU</t>
  </si>
  <si>
    <t>SetStrategyValueCalculatedPref</t>
  </si>
  <si>
    <t>1khgv_gEZaBpSolDigTrx5wqK3JlmYUxB49a8rtECHVg</t>
  </si>
  <si>
    <t>GetAccountDetails</t>
  </si>
  <si>
    <t>1LWFVxJ4mzLZCvF2-gVJbFSriyedFnEfNlvSzFEiUI28</t>
  </si>
  <si>
    <t>ApplyBulkUpdateOnTaxlots</t>
  </si>
  <si>
    <t>1QwpOXM06QwxlfwI1iZf9dDiBMBmhdLOgGhYxPeVY6-E</t>
  </si>
  <si>
    <t>GetNonTradingTransaction</t>
  </si>
  <si>
    <t>1QZbSzxZ4JU3t1HGYkd8howkKJzJ7TJGTdqXXyGJgc_Q</t>
  </si>
  <si>
    <t>CommissionBulkChangeOnGroups</t>
  </si>
  <si>
    <t>1qe0ICgEoegdAsUWiB4vNvCSbW6-h5KJ3Qlqftx-MD0w</t>
  </si>
  <si>
    <t>Data</t>
  </si>
  <si>
    <t>GetDividendData</t>
  </si>
  <si>
    <t>1sr6vAMIcCvbgpi4v0S72vBuqbTM8EkTDX8Mv6R3Ks5U</t>
  </si>
  <si>
    <t>CommissionBulkChangeOnTaxlots</t>
  </si>
  <si>
    <t>1gkUOtcIe7F3oYEjzyWMWA1pVaR3FBsowhkFwZPIycyI</t>
  </si>
  <si>
    <t>VerifyNonTradingTransaction</t>
  </si>
  <si>
    <t>1I9RcNhAEFeXJJ_anSYl3digPJ8tLtj3_wNZsicn6mOM</t>
  </si>
  <si>
    <t>SelectUnallocatedGroup</t>
  </si>
  <si>
    <t>1wWBVdZkDjI0FqvmIvm2qrTIcNFAyVEF_m_62SYl1muk</t>
  </si>
  <si>
    <t>VerifyDividend</t>
  </si>
  <si>
    <t>1wKe4MjiCaRl5sd6jWgD6huVuJ7bAbFN8UC4TwiOp2tA</t>
  </si>
  <si>
    <t>EnterAccountValuesToAllocate</t>
  </si>
  <si>
    <t>1uFXzO3A1NTOuw65tisJLaiumUuq3nOtYKMRLVGcJgjQ</t>
  </si>
  <si>
    <t>GetOpeningBalanceData</t>
  </si>
  <si>
    <t>1tQ718Drt5Fm_D9zG4XUp--QSW4M9flLwDBjPaghg3rM</t>
  </si>
  <si>
    <t>EnterAllocatePreference</t>
  </si>
  <si>
    <t>1llsMNOqtEsMusMEVvwR0FDXevFZWw5lvPCp_3g82e9k</t>
  </si>
  <si>
    <t>GetAccountBalance</t>
  </si>
  <si>
    <t>1Ac8KdEi6r1AhsEKtE86p383PfNB2WA5cjCaKhTluPHg</t>
  </si>
  <si>
    <t>Expnl</t>
  </si>
  <si>
    <t>RestartExpnl</t>
  </si>
  <si>
    <t>1jPfX4aWGd-xzGomXNHyCqWxqrdLtXaWSWLDzr8cQVqA</t>
  </si>
  <si>
    <t>ClosePM</t>
  </si>
  <si>
    <t>EnterStrategyValuesToAllocate</t>
  </si>
  <si>
    <t>17i4vNIg7KiIiK7UhfEYmK3sP0hbtEUT3w9uK2icuqrg</t>
  </si>
  <si>
    <t>SelectNonTradingTransaction</t>
  </si>
  <si>
    <t>1nqN1I10oDGEbWDLwsNZvNt2m83zopaGxezrIOMQqkS0</t>
  </si>
  <si>
    <t>SelectNonTradingTranItem</t>
  </si>
  <si>
    <t>1o6zwAYulbNR5UGbfh9J6-ggkuDPFRADH2dm3PL2sgy8</t>
  </si>
  <si>
    <t>CopyCalculatedPreferenceToolbar</t>
  </si>
  <si>
    <t>1-1gBvkK9IW1jmggACP4Jjfo8_cqQGInHXuVuo6p9wXc</t>
  </si>
  <si>
    <t>SetGeneralRuleCalculatedPref</t>
  </si>
  <si>
    <t>1Of93M8ibQkvcHrMSfnyq6Yz1dplEskis1LlIre65PZQ</t>
  </si>
  <si>
    <t>DeleteNonTradingTransaction</t>
  </si>
  <si>
    <t>1AhmPeAx4Nuyt0cISb-o_G3iG9k1p8NsyzTc2QpfuSWk</t>
  </si>
  <si>
    <t>DeleteNonTradingTranItem</t>
  </si>
  <si>
    <t>1rMSwOBqzLn0Y9Svt1xFBqEzYd_0LPJlccCZ2Gu8rLS8</t>
  </si>
  <si>
    <t>ExportAllCalculatedPreferences</t>
  </si>
  <si>
    <t>1-pF4NqMQ12pd0wp77BJsXoQ1Z1saGaCg4oi6Q8bjzg0</t>
  </si>
  <si>
    <t>AddNonTradingTransaction</t>
  </si>
  <si>
    <t>1oOwOKHez3ZPKkCjQKUDVPVveRJaoG1cEyY7J1lwGtLQ</t>
  </si>
  <si>
    <t>AddNonTradingTranItem</t>
  </si>
  <si>
    <t>1pvD-zcAzl-ZDoW-bixr1n-Nvg4724funfZdYYc4qKmw</t>
  </si>
  <si>
    <t>SaveCalculatedPreferences</t>
  </si>
  <si>
    <t>VerifyOpeningBalanceData</t>
  </si>
  <si>
    <t>1aZQQvzuGLQt0p45j_ofGhiGUw1q5e6QMFR8SMStGGbM</t>
  </si>
  <si>
    <t>SelectOpeningBalanceTransaction</t>
  </si>
  <si>
    <t>1Nx-LZpqfZINjL3P1NzAkueLNdNYLwQfBoAQYb2Trs40</t>
  </si>
  <si>
    <t xml:space="preserve">CreateStageOrder </t>
  </si>
  <si>
    <t>1f3LMTCkanahfc2M243XIAVbEsElJ1Mt2zzi7IPpjlLg</t>
  </si>
  <si>
    <t>TransferToUserWorkingSubs</t>
  </si>
  <si>
    <t>1t5K97RL0ohBTlhkz9rB0Ce3uNcnFzJ_LuGFcoBGVY4w</t>
  </si>
  <si>
    <t>CancelWorkingSubs</t>
  </si>
  <si>
    <t>1X865Dr1oV3b0raL03lnNXt2uzCVqxnpADGnq34-7z4A</t>
  </si>
  <si>
    <t>ReplaceWorkingSubs</t>
  </si>
  <si>
    <t>1l8sA7_0bgG07QQ-knK_EyM2AUzA3XbOzfwmWTbrFy2Q</t>
  </si>
  <si>
    <t>ViewAllocationDetailsWorkingSub</t>
  </si>
  <si>
    <t>1hy4G-wXJ2kTk-k1Mcimbgdq8q9LxMOIiEZ_0REo0JJI</t>
  </si>
  <si>
    <t>SelectTradeOnOrderGrid</t>
  </si>
  <si>
    <t>1-rhnBChOeDi_R608ZZbwaUGcecT9wP_4uejgvDw3hxw</t>
  </si>
  <si>
    <t>ShowDetailsForAlgoTradeSubOrder</t>
  </si>
  <si>
    <t>1sDfaOurMziUzM6qp726ASXaYGS8OKswHKgigFRbdLSM</t>
  </si>
  <si>
    <t>SelectTradeOrderBlotter</t>
  </si>
  <si>
    <t>1XbTa51akNkEhE4ZtqYf5TEGmLvc2bNYR7397t18QZyk</t>
  </si>
  <si>
    <t>AddFillsWorkingSubs</t>
  </si>
  <si>
    <t>1jd93lox3wZV8Pl75n92GWCwRgxlM1y3HNyXPUJLimew</t>
  </si>
  <si>
    <t>EditAddFillsDetails</t>
  </si>
  <si>
    <t>1EJX0nxns3nbR7t9SGss4DunYi157sGLyyzRecrI39d8</t>
  </si>
  <si>
    <t>ShowDetailsForAlgoTradeWorkingSubs</t>
  </si>
  <si>
    <t>1W5ptvj55dJYGciiu0pUt7RHuZcmiA86UHsoaqsSrlBE</t>
  </si>
  <si>
    <t>Closing</t>
  </si>
  <si>
    <t>SwapExpire</t>
  </si>
  <si>
    <t>1z6pUIT3oPTEZW_y_iDzPPlnF5p3Cf9Ie9f6STHWe4NI</t>
  </si>
  <si>
    <t>VerifyWorkingSubs</t>
  </si>
  <si>
    <t>1ZUSoHz3m8WwVM3YXXvf_iYrnEtux8nFspNcmBEmta-s</t>
  </si>
  <si>
    <t>TransferToUserOrder</t>
  </si>
  <si>
    <t>14InZb8SNY40mEv1SSHdXyYM9uUfHH_RYVe5I_ZduiAM</t>
  </si>
  <si>
    <t>CloseCalculatedPreferences</t>
  </si>
  <si>
    <t>CreateReplaceOrder</t>
  </si>
  <si>
    <t>1jFE79xo0b9W0HJJs-HmlLF7udJScoHnuVUGcEZPDmp8</t>
  </si>
  <si>
    <t>EditOrder</t>
  </si>
  <si>
    <t>1MBNM6rxMapSxXXYy6UK5cB5Mm-bkVGjo0iNbHGdxDDw</t>
  </si>
  <si>
    <t>SelectTradeSubOrderBlotter</t>
  </si>
  <si>
    <t>1LbV8pvlircDAqSgbL-BKgTJwzz_cmXCqxEiU57Ci5OE</t>
  </si>
  <si>
    <t>VerifyOrder</t>
  </si>
  <si>
    <t>1oOS0wr4TlVQYMcyMgjNQGBvRlWWWkCgPKAmDiNwd424</t>
  </si>
  <si>
    <t>VerifySubOrder</t>
  </si>
  <si>
    <t>18m2emPTSMX9x8ImL8xIvTxR6WyzF9mZts5Ff0iPAYuI</t>
  </si>
  <si>
    <t>RemoveSelectedOrders</t>
  </si>
  <si>
    <t>1EJ9TjV53fXZzJ7A6K1DLboXLoaSZfSenii_KPeOnMzw</t>
  </si>
  <si>
    <t>CancelAllSelectedSubs</t>
  </si>
  <si>
    <t>1Lyvk7bRx3dI9U21dqLgGQ4ReyVk7Fg6WkayG_WSvsOM</t>
  </si>
  <si>
    <t>MultiTradingTicket</t>
  </si>
  <si>
    <t>1bPHEr59kxpPk3j6GmaEhDvltCPQMggoHcEF4O23XEqQ</t>
  </si>
  <si>
    <t>AuditTrailOrderBlotter</t>
  </si>
  <si>
    <t>1mluc81dVHErhRCeaKr2aujEkMGGfYOQ79O6PxhmTgiw</t>
  </si>
  <si>
    <t>TradeNewSubOrder</t>
  </si>
  <si>
    <t>10pwxvaFTBXtbFBhsCB8qR8twnbPWxCipQKY6AQxOZ-s</t>
  </si>
  <si>
    <t>RemoveStageOrder</t>
  </si>
  <si>
    <t>1L-cgfoBNr1Merxa4xauhs8VQmicSxJIxJ1S-26aapDM</t>
  </si>
  <si>
    <t>SetGeneralPreference</t>
  </si>
  <si>
    <t>1tiKvuYV-RSxi_jQ9OrEjHDaRE48gx-1VUrfbcDRzBqI</t>
  </si>
  <si>
    <t>CreateDoneAwayOrder</t>
  </si>
  <si>
    <t>1JdoRMM-naUo_ces4DDp_1ERQCAm2NjWbOp_AjsCj4po</t>
  </si>
  <si>
    <t>ExportCalculatedPreference</t>
  </si>
  <si>
    <t>1F9wLIuOQifGEi28dTkz-xAqT5RAp08VtH-gLPVfhlwg</t>
  </si>
  <si>
    <t>SelectOpeningBalanceTranItem</t>
  </si>
  <si>
    <t>1OrApUDmTZZFXQdgc7kS11BpbjuB9TVWqplfbEo_-EZE</t>
  </si>
  <si>
    <t>EODTPreferences</t>
  </si>
  <si>
    <t>1rcfth1JMYv5LFRn3moxFBjj0YRLNl7P1HfVYE5yAvpg</t>
  </si>
  <si>
    <t>LiveData</t>
  </si>
  <si>
    <t>1ufAlWn4Z5s_O0aUvCGqN2X7I0hZjoyykUMU6pLmh158</t>
  </si>
  <si>
    <t>EditNonTradingTransaction</t>
  </si>
  <si>
    <t>1ZRBkCCJ1BUU1-oRwvzVKPhluiEUBOr7b5mgdIgtOFAQ</t>
  </si>
  <si>
    <t>EditNonTradingTranItem</t>
  </si>
  <si>
    <t>12MRayB3YCO6onmFz9Bcofglt0DG9ijK8myiwJaDQCEk</t>
  </si>
  <si>
    <t>DeleteOpeningBalanceTransaction</t>
  </si>
  <si>
    <t>1j_H-qiDNLjDb5iU2pnwEIiB9Z5jsmnxg2w38SF4O3vI</t>
  </si>
  <si>
    <t>DeleteOpeningBalanceTranItem</t>
  </si>
  <si>
    <t>1kypNRCCPbuL7lExCsXVBdHSYo4-t2YnxrtwJj-Avrbs</t>
  </si>
  <si>
    <t>ImportCalculatedPreferences</t>
  </si>
  <si>
    <t>1tXFS000G5N_2CPwvqrCLyag0RBEodRc_b-4aCoyGwig</t>
  </si>
  <si>
    <t>GetDayEndCash</t>
  </si>
  <si>
    <t>1QBe2N2NtSLG0VmHLfwWLwzyuYQbDEe757S0V9AZnb9w</t>
  </si>
  <si>
    <t>VerifyDayEndCash</t>
  </si>
  <si>
    <t>1kuP4LMaZC_JCHjd8Re2LTjrRjebA8q2Oy2ky_x0JNrA</t>
  </si>
  <si>
    <t>OpenAuditTrailUnallocatedGroup</t>
  </si>
  <si>
    <t>1wYvm9pbQTVXYNtLu9px9Ixstx7UiY8e8Dr4X5Lk5kDE</t>
  </si>
  <si>
    <t>DeleteCalculatedPreferencesTool</t>
  </si>
  <si>
    <t>1t5PSjPB3_kF_RRfvIU_9paVl9KLuOs_iOrbhrE3wPzc</t>
  </si>
  <si>
    <t>ImportCalculatedPreferencesTool</t>
  </si>
  <si>
    <t>1Pz-_3uwP9cgwTQ2fq8xKkNw2j2tG4dto0mMIdpoyzyE</t>
  </si>
  <si>
    <t>RunRevaluation</t>
  </si>
  <si>
    <t>CalculateDayEndCash</t>
  </si>
  <si>
    <t>ExportAllCalculatedPreferTool</t>
  </si>
  <si>
    <t>1lPDSQfgavG8kFJMCSrGhdzO3KiscTppqCoKt6N6dQeU</t>
  </si>
  <si>
    <t>OpenAuditTrailAllocatedGroup</t>
  </si>
  <si>
    <t>1SPOgNGUarAvXiMCTVmaSYuGWIMk0j_jJaNaY5VkX9Hw</t>
  </si>
  <si>
    <t>OpenSymbolLookupUnallocateGroup</t>
  </si>
  <si>
    <t>1DKcxcD1U6XoEecNXYKf6mmAIOPrXKRk0zUHXHNuzyCw</t>
  </si>
  <si>
    <t>OpenSymbolLookupAllocatedGroup</t>
  </si>
  <si>
    <t>1MNcP6XIG9bpEL3NbBBg7G2BVvTczbcpB5E-n4znXVQ8</t>
  </si>
  <si>
    <t>DeleteFixedPreference</t>
  </si>
  <si>
    <t>1xCPCtn2rJZWfCaJ3xJk34V9VIGqbQqnumhF_D1nCrJQ</t>
  </si>
  <si>
    <t>TransferToUserSubOrder</t>
  </si>
  <si>
    <t>1FjfJ7iSl3gpA2-NLJT143BORY3lF-ucwyKVsOAdxbZI</t>
  </si>
  <si>
    <t>DetailsForAlgoTradeOrder</t>
  </si>
  <si>
    <t>1n-asacXwX-M_P6fakIZxYHvBw3nr6vN53glg_OJimsk</t>
  </si>
  <si>
    <t>AddFillsSubOrder</t>
  </si>
  <si>
    <t>1_nYfAYJO3sygqeqe0ZD6JSxzyp8hWAfm7M7p2pcs78A</t>
  </si>
  <si>
    <t>ViewAllocationDetailsSubOrder</t>
  </si>
  <si>
    <t>1dXjZKhlJ-6YNxzXQwLkiQmy5r35qXwTgBmHAHDRneG4</t>
  </si>
  <si>
    <t>GetCashTransaction</t>
  </si>
  <si>
    <t>1HVRU3YwlNQBn5j-2iOQKPDOl6BIFJmxVHWoCG8_-Vok</t>
  </si>
  <si>
    <t>SelectCashTransaction</t>
  </si>
  <si>
    <t>1YA2kJtma_zYO5xCdzCl8TXFdq__ozEla6xBnz4O2KKo</t>
  </si>
  <si>
    <t>DeleteCashTransaction</t>
  </si>
  <si>
    <t>1z8YNezFvlm2SzbZbSD8gThwYGLuH9mvsgxFhX2grJXg</t>
  </si>
  <si>
    <t>EditCashTransaction</t>
  </si>
  <si>
    <t>18SWvwYuc5xq1MJiRIySZT3g4QwNg-Peiql32ImKQIy4</t>
  </si>
  <si>
    <t>AddCashTransaction</t>
  </si>
  <si>
    <t>19zlrBpZEMDcHQGb3OuuSF3RHIPFyfnT605NtgqzWDDY</t>
  </si>
  <si>
    <t>EditAllocatedGroupSidePanel</t>
  </si>
  <si>
    <t>1U5el6ReM8oEhpATQ_4YpSurTYvm3Bmak5RQfFhYvXWU</t>
  </si>
  <si>
    <t>GetMarkPriceData</t>
  </si>
  <si>
    <t>Data Format</t>
  </si>
  <si>
    <t>14vox2Gcx96PEVdjUIZNqGTqCTFf_umfTFhO-OSGOJxU</t>
  </si>
  <si>
    <t>GetForwardPoints</t>
  </si>
  <si>
    <t>16UgnR8CMx-udeeLQ7FNGVkNl0QrfhylhHVxVsCW2T1I</t>
  </si>
  <si>
    <t>UpdateForwardPoints</t>
  </si>
  <si>
    <t>1xGh0T6vKRsM1oHlD0UGMZ_uoqaLFPw6yE7SmoCe2kmw</t>
  </si>
  <si>
    <t>GetForexConversion</t>
  </si>
  <si>
    <t>Input Format</t>
  </si>
  <si>
    <t>1WtPhInALzjMpbxHZG-3b_FcODsHnk8pMz6Wr3TpNymI</t>
  </si>
  <si>
    <t>DeleteNAV</t>
  </si>
  <si>
    <t>1A0FANLWLCT8nzpViMuoVYwyY3ZuW6bZmpzVp7SFfs9g</t>
  </si>
  <si>
    <t>CheckUnallocatedGroups</t>
  </si>
  <si>
    <t>1hCAh-JTf0LOINO0HlKdh8tiYbBTQ5ymqHM8TdEmILcE</t>
  </si>
  <si>
    <t>GetDailyCash</t>
  </si>
  <si>
    <t>1ZUFaf2bdH-5onefV-CbKPYGiz0VpLd3dO5qVZLuFoPQ</t>
  </si>
  <si>
    <t>SetGeneralPreferences</t>
  </si>
  <si>
    <t>1aOEerN3mL5lK0BqxqGLd-UHFVkM80wZHR3WiENJTlQA</t>
  </si>
  <si>
    <t>GetDailyBeta</t>
  </si>
  <si>
    <t>1bGli4mpkEKaytYcfhblJm9dywE-1YLP_P2krKTWgfxA</t>
  </si>
  <si>
    <t>GetDailyVolatility</t>
  </si>
  <si>
    <t>1HQWyZssLPRZXc0tCNDgFcKkPDl-b6lTWFonNgDzdLZc</t>
  </si>
  <si>
    <t>GetDailyDividendYield</t>
  </si>
  <si>
    <t>1OvxOIvvhM7zlt6BD_U7dhIcx5SxT0EJj5CnN7xuZmV4</t>
  </si>
  <si>
    <t>GetDailyTradingVolume</t>
  </si>
  <si>
    <t>13_3BlEywfIbmLv8ehR4xEnlxsKH6p99Auwir6h3H6Vw</t>
  </si>
  <si>
    <t>GetDailyOutstandings</t>
  </si>
  <si>
    <t>1sLKwhK_atc91MfQQM8wQwZfjO3pgtM4kgVY5SgIeXeM</t>
  </si>
  <si>
    <t>GroupTrades</t>
  </si>
  <si>
    <t>1EHh4jFbCB_7W8NUvAxfKOOd3z2oAduJdO79DgqHrBtY</t>
  </si>
  <si>
    <t>UngroupTrades</t>
  </si>
  <si>
    <t>1wT7X_NnstfsYuZsX-0lyLBdkolK-8ZEsXvnFLV6bMAE</t>
  </si>
  <si>
    <t>DeleteGroup</t>
  </si>
  <si>
    <t>14Fhi0b_GQUlmlgNStjwraATvNzL0JKHtYwKTPJPvGNI</t>
  </si>
  <si>
    <t>CloseOrder</t>
  </si>
  <si>
    <t>1W2n-kLDHZ8B7E5eQGh6G0GOUb3A3L8-tTcVdicuAmkU</t>
  </si>
  <si>
    <t>GetDailyDelta</t>
  </si>
  <si>
    <t>1BZNOdcISyc-l05LBITen9oQ8hGx9wCHLSyLuFXp5D2U</t>
  </si>
  <si>
    <t>UpdateDailyVolatility</t>
  </si>
  <si>
    <t>146Z9ZJQiDO8EHvdwoSxV0wCV6Ek6G3uQW2D7TkUxaO8</t>
  </si>
  <si>
    <t>AddOpeningBalanceTransaction</t>
  </si>
  <si>
    <t>1Er5cA8DuUbYCw7KLpLOK-veG1r1qAcCKwwpI-7ayuEU</t>
  </si>
  <si>
    <t>AddOpeningBalanceTranItem</t>
  </si>
  <si>
    <t>1Y9tVyxlIIK8aGa1zpa8P6m5oXfoZt0Z_7Q77x0zATOU</t>
  </si>
  <si>
    <t>CancelAllSubs</t>
  </si>
  <si>
    <t>1FISshMW4C9VcysGHes3nO8RzIPN-pdLkjyXiIUKtIBk</t>
  </si>
  <si>
    <t>CancelSubOrder</t>
  </si>
  <si>
    <t>1eNqSu7ciYUbc7O-Son8MO7mu_4pdhTqcQzmjhemOZCc</t>
  </si>
  <si>
    <t>EditStageOrder</t>
  </si>
  <si>
    <t>10aoSl9_lS6n0c76XthP3a9Dz-bjNKwRzfzL4Q8BlYWE</t>
  </si>
  <si>
    <t>ReplaceSubOrder</t>
  </si>
  <si>
    <t>1kdpFzbg-DNEfiMlhnbQP4dbXwbbnoNTaSrPDmV3lmeI</t>
  </si>
  <si>
    <t>SelectTradeWorkingSubsBlotter</t>
  </si>
  <si>
    <t>15Pb7Ux1-JFyLFbvj7qbaC_GVF-DLQhBztxo6IFMpVv8</t>
  </si>
  <si>
    <t>VerifyAlgoDetails</t>
  </si>
  <si>
    <t>1asfjdHxDYp0HR_gnZvXHo-u4H-Fbp3Sa660-N2OHCpg</t>
  </si>
  <si>
    <t>VerifyTransferToUserOrder</t>
  </si>
  <si>
    <t>1CaGQEjakKDvrvO6oiL701xCR2o3Pkjvx4n6P8miVxRE</t>
  </si>
  <si>
    <t>VerifyTransferToUserSubOdr</t>
  </si>
  <si>
    <t>1WurfgGy_ncjF8ciu7o8V7G-0lseKCR_q6RIvEzunaL8</t>
  </si>
  <si>
    <t>VerifyTransferToUserWorkSub</t>
  </si>
  <si>
    <t>1WXidI7EFmKIXEkUSvFkBx-e_Zsl8HHbPVzSmTyyII-8</t>
  </si>
  <si>
    <t>SaveLayoutOrderGrid</t>
  </si>
  <si>
    <t>1hoYXuDaocOGN7i_eM3mPgZa71Ib-KFe-A_es5AWq2hc</t>
  </si>
  <si>
    <t>UpdateDividendYield</t>
  </si>
  <si>
    <t>1TaEO-XMrQ5uQVqUpg_H__UP2j5QWyh2osX3nGmQ29tQ</t>
  </si>
  <si>
    <t>UpdateTradingVolume</t>
  </si>
  <si>
    <t>1Ztd_ZDIbmJbt97AdoajcZot9LlKg7tElKLkwU7ZI8kQ</t>
  </si>
  <si>
    <t>UpdateDailyDelta</t>
  </si>
  <si>
    <t>1zYEKZrhoEAGLRrqkEEycywrKp8Uj2_5xDsws25J9ecs</t>
  </si>
  <si>
    <t>UpdateDailyOutstandings</t>
  </si>
  <si>
    <t>12u5mseLFNuiJRq15DpYlkMovEyq054eTB-bTQ12T8Dg</t>
  </si>
  <si>
    <t>GetDataClosing</t>
  </si>
  <si>
    <t>16lzFI9gsZqlEkHwdgfB0e6XwhXs1tf612Vp5lvCAF34</t>
  </si>
  <si>
    <t>ManualClosing</t>
  </si>
  <si>
    <t>1o4R7vc6fDpMOVzY73k88L4yRgA6JbrXAvp_H4rn1xAc</t>
  </si>
  <si>
    <t>AutomaticClosing</t>
  </si>
  <si>
    <t>19ZGQXJ9n3lH2LkvDr8rQ7yVhwqJ2W9hr1Ch60XjZGvQ</t>
  </si>
  <si>
    <t>UnwindClosing</t>
  </si>
  <si>
    <t>1RZolxlSy232AWUFjDHTtnTOhohdVbn1DOhx6Ms4r50M</t>
  </si>
  <si>
    <t>VerifyClosedTrades</t>
  </si>
  <si>
    <t>1HyLW-Nqd7NMTdz4P0i-EEILbZDKX65qyLaL3WGxM15o</t>
  </si>
  <si>
    <t>VerifyLongPositionsGrid</t>
  </si>
  <si>
    <t>1THpHwflua5O0TZIAb-zjuTdBIVVoc4DIkDPJWfYEkHE</t>
  </si>
  <si>
    <t>VerifyShortPositionsGrid</t>
  </si>
  <si>
    <t>1EAxx7Aly_cNOBIAfHYbBEzjVuDwiekUpqTyyhEJx3EY</t>
  </si>
  <si>
    <t>SelectTradeUnexpiredUnsettled</t>
  </si>
  <si>
    <t>1JkDC1FCfqwzDoW3WqRGJhNsT40Ttpe4pyTLzfBndTGc</t>
  </si>
  <si>
    <t>CashSettlementAtCost</t>
  </si>
  <si>
    <t>1pJueAVRAi97uyXM0O686g434dgncNO-iK4hh0lSer_o</t>
  </si>
  <si>
    <t>CashSettlementAtZeroPrice</t>
  </si>
  <si>
    <t>1cubrHPpfOccWfDqa1IYFihof8dsrAkjSbJP37TiVbFY</t>
  </si>
  <si>
    <t>CashSettlementAtClosingDtSpotPx</t>
  </si>
  <si>
    <t>1e2UpAqQipYsUF2gQxTX0WvJ1xe4pDdKcEJPyV77Kdr4</t>
  </si>
  <si>
    <t>PhysicalSettlement</t>
  </si>
  <si>
    <t>1kO_ckymbkywKKOsIKaY95u2Z7Gs32yH10Bv2VWwLDRQ</t>
  </si>
  <si>
    <t>Expire</t>
  </si>
  <si>
    <t>1xd46jf55czekfgDlBo3qcKSi2CxYo1xK2kSFGLWEITg</t>
  </si>
  <si>
    <t>ExerciseAssignment</t>
  </si>
  <si>
    <t>1jomy0KMyg6BZWRcGU-3oouwPCAjOdh51-esyP_qfzew</t>
  </si>
  <si>
    <t>ExerciseAssignmentAtZero</t>
  </si>
  <si>
    <t>1JC7cN1_L2ghLQSc7tvfU-C6GlUpKjI0zbxe9fR2AEXo</t>
  </si>
  <si>
    <t>SwapExpireAndRollover</t>
  </si>
  <si>
    <t>1LcoopO1pJFfzoSLBnL58479Lbo3gbd7BtsRNhAuOHz0</t>
  </si>
  <si>
    <t>VerifyExpiredSettledGrid</t>
  </si>
  <si>
    <t>1debbTlqmMmQtMi1kR3cw1PJ3LFvU9PNw7BsRhu5LYxE</t>
  </si>
  <si>
    <t>VerifyUnExpiredUnSettledGrid</t>
  </si>
  <si>
    <t>1E9u8MqCDk-JIJR-nQdC61WyMm_lHo8KbEKzI5OTf5LM</t>
  </si>
  <si>
    <t>UnWindTradeSettlement</t>
  </si>
  <si>
    <t>1c-5tS_GGnCA3BCOG6tO9d4rmu-2bh2K6FozdylrV3Kw</t>
  </si>
  <si>
    <t>10Ls_qaWBrZGD6Hu6PwXHM_creNWqKJBF1vx_W_hD7II</t>
  </si>
  <si>
    <t>VerifyCloseOrder</t>
  </si>
  <si>
    <t>1OnFHTJtkJDxG5Vv6GKA_Ok_qmW3Mx6sdmrMe_JPeiEo</t>
  </si>
  <si>
    <t>UnWindCloseOrder</t>
  </si>
  <si>
    <t>1sXKcAWtu9h5YRA9QWyV7gfdN0atri6beiInDSd-hCmo</t>
  </si>
  <si>
    <t>ClosingCleanUp</t>
  </si>
  <si>
    <t>1mOvKBSjjS9PQDaWPPD2DXRjWNh0AmB0d7I3UzPUEELo</t>
  </si>
  <si>
    <t>CloseClosingUI</t>
  </si>
  <si>
    <t>1uCevoL-0ELleZGMlUmx6ardgeuSS8TJngd36Qafc7Uo</t>
  </si>
  <si>
    <t>CreateStageOrder</t>
  </si>
  <si>
    <t>GetDailyCalculationsData</t>
  </si>
  <si>
    <t>1YJVNtYRUmTNWKXJj9kfh5JwLi1mmuvYLpyUxMOQGb8Q</t>
  </si>
  <si>
    <t>ClickSymbolLookup</t>
  </si>
  <si>
    <t>TradeBloomberg</t>
  </si>
  <si>
    <t>CalculateDailyCalculations</t>
  </si>
  <si>
    <t>EditOpeningBalanceTransaction</t>
  </si>
  <si>
    <t>CreateNewSubOrder</t>
  </si>
  <si>
    <t>1f33hWxXrSpvQk_fezTt5QaHMw4QVKL_Re80HADhqleA</t>
  </si>
  <si>
    <t>EditOpeningBalanceTranItem</t>
  </si>
  <si>
    <t>1OA_Qb7WAVRuurX4X5gOQnYYHNNGEQ0QDSIa_9xHRghg</t>
  </si>
  <si>
    <t>UpdateNAV</t>
  </si>
  <si>
    <t>1f0Lf0D5HXa_Cx8Vue1DZiGmAsUjTtB-gcjvPvTR9JNE</t>
  </si>
  <si>
    <t>VerifyDailyCalTransactions</t>
  </si>
  <si>
    <t>1No6WLebjv-HZHol5ORsOy8cdgdnxxGTyFXCjLfVPv-g</t>
  </si>
  <si>
    <t>UpdateDailyCreditLimt</t>
  </si>
  <si>
    <t>1_n1qpS5eGM6UUpCOjnzQ7IVkc84YJvHcwE2EToPEy2Y</t>
  </si>
  <si>
    <t>RemoveDailyCreditLimit</t>
  </si>
  <si>
    <t>1nbJv93cXgLsVC1M0RSzzEniMDCmi2Dwk4muKo44GPDQ</t>
  </si>
  <si>
    <t>RemoveDailyCash</t>
  </si>
  <si>
    <t>1yg-UHTILqTc2b4bM5WYwnvO5qi7lDXuNwWxenx30fQ0</t>
  </si>
  <si>
    <t>RemoveNAV</t>
  </si>
  <si>
    <t>1bmqiPEJNMh2MQB7ldxgiFAQFLpQurDp8nYpuniHvI40</t>
  </si>
  <si>
    <t>FilterPM</t>
  </si>
  <si>
    <t>11tOcpVgAbiehbXpkIxVq_cMvb2Dscd7LMkdYkQ5wPOU</t>
  </si>
  <si>
    <t>GroupRowPM</t>
  </si>
  <si>
    <t>1tWRpXqxd6ZORR0DwrF8JFWRmxLsFmkEzy6toMzslEFs</t>
  </si>
  <si>
    <t>CloseAllocation</t>
  </si>
  <si>
    <t>CheckDashboardWithPM</t>
  </si>
  <si>
    <t>RemoveFilterPM</t>
  </si>
  <si>
    <t>CheckSummaryRowsPM</t>
  </si>
  <si>
    <t>1qfMlSxp9Gmtr9QzhdzFRk2AggElraX_4Ql7NITh226U</t>
  </si>
  <si>
    <t>CloseGeneralLedger</t>
  </si>
  <si>
    <t>ReplaceStageOrder</t>
  </si>
  <si>
    <t>1MauoMCChdN3x4rtgbvwZGoyfN1V3Cd_sFwhfgHhvRNc</t>
  </si>
  <si>
    <t>VerifyAccountDetails</t>
  </si>
  <si>
    <t>1sBIRFds5Q1O5N0BFh7SF-jISSMaDCziE4o2f4gJMJRE</t>
  </si>
  <si>
    <t>1D_kdccpdl4_YcdladyfPb9Tm9Jy36W0yNer6vBfIUiI</t>
  </si>
  <si>
    <t>AddNewTransaction</t>
  </si>
  <si>
    <t>1N_rilKtCWrKiZObil_Zu7hHl-J9Fbop1bmMz1txxWHk</t>
  </si>
  <si>
    <t>1fnvZav9Nf_dK4PT7BtBxg3f_QpYVijg0VFJ2L0JBoN8</t>
  </si>
  <si>
    <t>1AfygsDsnpGgwl7cb98FkGGKUIKRzwlnl9JXr5f_-eT0</t>
  </si>
  <si>
    <t>PricingServer</t>
  </si>
  <si>
    <t>RestartPricingServer</t>
  </si>
  <si>
    <t>1FRaXNMaTnKij57TTlGrDdSc6-tS_ESI3N9rqm38xYS8</t>
  </si>
  <si>
    <t>TradeServer</t>
  </si>
  <si>
    <t>RestartServer</t>
  </si>
  <si>
    <t>1aPfyH8-9OzvyUEQWpvYP7CNdzlH2HDHs9nRkU6_Sda0</t>
  </si>
  <si>
    <t>PranaClient</t>
  </si>
  <si>
    <t>RestartClient</t>
  </si>
  <si>
    <t>1kM-hcS7WASF2EnkdmDAnJkED_3x_YPfTldBSOa1EEeA</t>
  </si>
  <si>
    <t>PTT</t>
  </si>
  <si>
    <t>CalculatePTT</t>
  </si>
  <si>
    <t>1oUUGr_vpB3dnGqJ3Zkji-f-PADRGrUmIrfe6ViF95qY</t>
  </si>
  <si>
    <t>TradeUsingPTT</t>
  </si>
  <si>
    <t>1ghvLQ7xZEjQPmO8AkKmZBcKvSxanQoYxXlgbLVTYguQ</t>
  </si>
  <si>
    <t>StageOrderUsingPTT</t>
  </si>
  <si>
    <t>1z0jpo1O7z_Wv_JVZ2a2nBXCOqmeWuxo2pxrr7g2aGOQ</t>
  </si>
  <si>
    <t>CreateOrderPTT</t>
  </si>
  <si>
    <t>14fC5DGNkFk6izJujkwOAjPn9Fo8UmX2-zqvxx8dw_4Y</t>
  </si>
  <si>
    <t>TradePTT</t>
  </si>
  <si>
    <t>1SAxXYvgNc8tV2TYlANcNc_d7gBW1hEUVvPk0eAF80kc</t>
  </si>
  <si>
    <t>VerifyPTT</t>
  </si>
  <si>
    <t>1UVltVE0IMcwXPVHARWPyPUy0fxYWcdI40uUnF93bMos</t>
  </si>
  <si>
    <t>OpenPTTFromPM</t>
  </si>
  <si>
    <t>11MxxAhF3W84i_XbsKwT_ifEg0K9L3XZmLMnHOdwneyk</t>
  </si>
  <si>
    <t>OpenMultiTTFromPTT</t>
  </si>
  <si>
    <t>1n8gpTgN6hCL2ZNuAdm4v3hgnggCwb-jFFChuAhy3OuQ</t>
  </si>
  <si>
    <t>Symbol</t>
  </si>
  <si>
    <t>SelectMultiTT</t>
  </si>
  <si>
    <t>1dRf1b0kmAtcOWmiz46NOl3Bl-s-d6XuzCSApeDXfR0Q</t>
  </si>
  <si>
    <t>EditMultiTT</t>
  </si>
  <si>
    <t>1hlN_qsaKiO1AaKOpeFvujWJb4UffdYoPUTtCOnaKGgw</t>
  </si>
  <si>
    <t>EditTradeUsingMTT</t>
  </si>
  <si>
    <t>1DF7cfWDEMcfadRVXT9nq-ipyvEADOK9gegv3VDzUJTU</t>
  </si>
  <si>
    <t>SelectTradeUsingMTT</t>
  </si>
  <si>
    <t>1L2w-GoqiIdx7pLdILWx6vYA0lopJ8U28cYjCxoF-vN8</t>
  </si>
  <si>
    <t>GetPriceUsingMTT</t>
  </si>
  <si>
    <t>1biA2mpAuyMLRG6VLomKL-HO-0muV6CC8SAT7jGYVjPk</t>
  </si>
  <si>
    <t>DoneAwayUsingMTT</t>
  </si>
  <si>
    <t>1DjBRyr2e6E7Kht8cc2nZ4a9036WUkNVnBKfJjd_w75c</t>
  </si>
  <si>
    <t>SendOrderUsingMTT</t>
  </si>
  <si>
    <t>1No-WHBOBTRb4vploisAoC5hMRiI2jY8E5wp5PXx6DAc</t>
  </si>
  <si>
    <t>UpdateGRAccountValue</t>
  </si>
  <si>
    <t>BulkChangeTradeDoneAway</t>
  </si>
  <si>
    <t>1WqzTo_TE_cPzxwzOHp_hBIHbC406ZyZwyINA5UGorwQ</t>
  </si>
  <si>
    <t>Order Side</t>
  </si>
  <si>
    <t>UpdateGRStrategyValue</t>
  </si>
  <si>
    <t>Quantity</t>
  </si>
  <si>
    <t>1G_lgzPV5D0OFRWWL2hmKeFBk--ByZJsQVFFiV2vYjeo</t>
  </si>
  <si>
    <t>TargetQuantityIn</t>
  </si>
  <si>
    <t>AllocationMethod</t>
  </si>
  <si>
    <t>UpdateGRDefaultRule</t>
  </si>
  <si>
    <t>Broker</t>
  </si>
  <si>
    <t>1PhW_ZRqJYmKbEDEP8S5pP26Q20Ecn6y_Xbr3oCJ4ElY</t>
  </si>
  <si>
    <t>TIF</t>
  </si>
  <si>
    <t>Order Type</t>
  </si>
  <si>
    <t>UpdateGeneralRulePref</t>
  </si>
  <si>
    <t>Price</t>
  </si>
  <si>
    <t>MultiTradingTicketFromBlotter</t>
  </si>
  <si>
    <t>Stop</t>
  </si>
  <si>
    <t>1gsTJSuoO3cM_zaR1E8wBmvibDO3uCU81lKLwgtsObH4</t>
  </si>
  <si>
    <t>Limit</t>
  </si>
  <si>
    <t>Strategy</t>
  </si>
  <si>
    <t>Trade Date</t>
  </si>
  <si>
    <t>FxRate</t>
  </si>
  <si>
    <t>Notes</t>
  </si>
  <si>
    <t>DeleteClientData</t>
  </si>
  <si>
    <t>Broker Notes</t>
  </si>
  <si>
    <t>1D442BWuN9RDzgduaHK25H1NA3vMKcdbLZgshurr7j0c</t>
  </si>
  <si>
    <t>CommissionBasis</t>
  </si>
  <si>
    <t>CommissionRate</t>
  </si>
  <si>
    <t>ModifyGRPreferenceValues</t>
  </si>
  <si>
    <t>SoftBasis</t>
  </si>
  <si>
    <t>AddMFPreferences</t>
  </si>
  <si>
    <t>AddMFPreferenceToolbar</t>
  </si>
  <si>
    <t>1fsNS5Boh-XvWyJLBXlYhffBmFIhivzcCaThD61iJN8I</t>
  </si>
  <si>
    <t>DeleteMFPreferences</t>
  </si>
  <si>
    <t>1vFNFTisdSSe4qMYPd8IxNy0ZPDYcWw0buDFkmjGH4VU</t>
  </si>
  <si>
    <t>DeleteMFPreferenceToolbar</t>
  </si>
  <si>
    <t>1jlrCxpGyhbFAU3kc2Wo7TAYzefQ6TdBnLu9D-ta4CS8</t>
  </si>
  <si>
    <t>SoftRate</t>
  </si>
  <si>
    <t>RenameMFPreferences</t>
  </si>
  <si>
    <t>1AJbBmZqAuHwukio6u80IK3j_TYgH_8NfD5TfyIxyHVg</t>
  </si>
  <si>
    <t>TradeAttribute1</t>
  </si>
  <si>
    <t>TradeAttribute2</t>
  </si>
  <si>
    <t>SaveCloseMFPreference</t>
  </si>
  <si>
    <t>TradeAttribute3</t>
  </si>
  <si>
    <t>TradeAttribute4</t>
  </si>
  <si>
    <t>SetMFPrefAccountValues</t>
  </si>
  <si>
    <t>TradeAttribute5</t>
  </si>
  <si>
    <t>18rxxiwuAIuFrgL8hxXWyVGACRoWSKD-EoVnuGN5xT4M</t>
  </si>
  <si>
    <t>TradeAttribute6</t>
  </si>
  <si>
    <t>Venue</t>
  </si>
  <si>
    <t>ExecutionInstructions</t>
  </si>
  <si>
    <t>ModifyMFPrefGeneralRuleValues</t>
  </si>
  <si>
    <t>HandlingInstructions</t>
  </si>
  <si>
    <t>Trader</t>
  </si>
  <si>
    <t>SettlementCurrency</t>
  </si>
  <si>
    <t>SetMFPrefStrategyValues</t>
  </si>
  <si>
    <t>SettlementFXRate</t>
  </si>
  <si>
    <t>1ZU24n0ezKWTreJWRv-7RMoue9egPPJ5Oq4IKQHtgjLM</t>
  </si>
  <si>
    <t>SettlementAmount</t>
  </si>
  <si>
    <t>SettlementFXOperator</t>
  </si>
  <si>
    <t>SettleByBroker</t>
  </si>
  <si>
    <t>SetMFPrefGeneralRule</t>
  </si>
  <si>
    <t>Account</t>
  </si>
  <si>
    <t>1ykYs69GzybaG21guccUxoXi-FUa0Bhxq29Pr2bDhKtw</t>
  </si>
  <si>
    <t>Account %</t>
  </si>
  <si>
    <t>SetMFPrefFundDistribution</t>
  </si>
  <si>
    <t>Deal In</t>
  </si>
  <si>
    <t>1MkixKEnCZnAO_YxqJ4Iy8dPVux1d59PC0AGk3ugma5c</t>
  </si>
  <si>
    <t>SetMFPreferencesDefaultRule</t>
  </si>
  <si>
    <t>1BHRQzitIUIWwpO04RNRfXRhcb72VBf7UERmD2rjSB34</t>
  </si>
  <si>
    <t>SetMFPrefFundDefaultRule</t>
  </si>
  <si>
    <t>1_Lf2F2mhKpssRLmIztI1CqpGf_4pNUiIEj1IAAIkD38</t>
  </si>
  <si>
    <t>SetAccountFactor</t>
  </si>
  <si>
    <t>1EwvCn3pPvsOh2-czSWZiCO1lNse6t9oUuEkpK_oV3h4</t>
  </si>
  <si>
    <t>ClearPrefetchFilters</t>
  </si>
  <si>
    <t>ExpandCollapseAllUnallocated</t>
  </si>
  <si>
    <t>ExpandCollapseAllAllocated</t>
  </si>
  <si>
    <t>GenerateCashTransaction</t>
  </si>
  <si>
    <t>1fvftUk8_pIrQLT2cGDJVEQrg3a4LAj_NywVB9UUcChA</t>
  </si>
  <si>
    <t>MSFT</t>
  </si>
  <si>
    <t>SaveAllocation</t>
  </si>
  <si>
    <t>Buy</t>
  </si>
  <si>
    <t>UnallocateWithOutSave</t>
  </si>
  <si>
    <t>1B6diwWrLoKZvc9njo2ZIbKWH3uBpd1-SWq_ShirEpbc</t>
  </si>
  <si>
    <t>UpdateServerConfig</t>
  </si>
  <si>
    <t>19oC1P8e1cnVm3BcABpFLPEXTFZagLHMBo7HIvO6MJ0Q</t>
  </si>
  <si>
    <t>Allocation1,Allocation2,Allocation3</t>
  </si>
  <si>
    <t>25,25,50</t>
  </si>
  <si>
    <t>UpdatePricingConfig</t>
  </si>
  <si>
    <t>1CP7hu994kzKA42QzKJqg9zdDTlsNR03ysE2PLWJ6BPw</t>
  </si>
  <si>
    <t>UpdateExpnlConfig</t>
  </si>
  <si>
    <t>1tKH7m080z6TBmB2jtKvZf4F6YOkBeMlsPVUFqIhvv2Y</t>
  </si>
  <si>
    <t>UpdateClientConfig</t>
  </si>
  <si>
    <t>1n-7lFuFS1LdqRm25G2iye_11OAEmI9uE4aRwk8neJTg</t>
  </si>
  <si>
    <t>Select Date</t>
  </si>
  <si>
    <t>Copy From</t>
  </si>
  <si>
    <t>AAPL</t>
  </si>
  <si>
    <t>Allocation1,Allocation2</t>
  </si>
  <si>
    <t>25,75</t>
  </si>
  <si>
    <t>INFY</t>
  </si>
  <si>
    <t>OFFSHORE</t>
  </si>
  <si>
    <t>Unallocated</t>
  </si>
  <si>
    <t>Sell</t>
  </si>
  <si>
    <t>TESS</t>
  </si>
  <si>
    <t>Sell short</t>
  </si>
  <si>
    <t>User Px</t>
  </si>
  <si>
    <t>Asset Class</t>
  </si>
  <si>
    <t>Volatility(%)</t>
  </si>
  <si>
    <t>Historical Volatility</t>
  </si>
  <si>
    <t>User Volatility</t>
  </si>
  <si>
    <t>Interest Rate</t>
  </si>
  <si>
    <t>User Interest Rate</t>
  </si>
  <si>
    <t>Dividend Yield</t>
  </si>
  <si>
    <t>User Dividend Yield</t>
  </si>
  <si>
    <t>Actual Delta</t>
  </si>
  <si>
    <t>User Delta</t>
  </si>
  <si>
    <t>Selected Px</t>
  </si>
  <si>
    <t>Forward Points</t>
  </si>
  <si>
    <t>Shares Outstanding</t>
  </si>
  <si>
    <t>User Shares Outstanding</t>
  </si>
  <si>
    <t>LastPriceUsed</t>
  </si>
  <si>
    <t>VolatilityUsed</t>
  </si>
  <si>
    <t>IntRateUsed</t>
  </si>
  <si>
    <t>Local Currency</t>
  </si>
  <si>
    <t>Cash Value Local</t>
  </si>
  <si>
    <t>Allocation1</t>
  </si>
  <si>
    <t>USD</t>
  </si>
  <si>
    <t>Allocation2</t>
  </si>
  <si>
    <t>Allocation3</t>
  </si>
  <si>
    <t>Ticker</t>
  </si>
  <si>
    <t>Add/Set</t>
  </si>
  <si>
    <t>Type</t>
  </si>
  <si>
    <t>Target</t>
  </si>
  <si>
    <t>Combined Account Total</t>
  </si>
  <si>
    <t>MasterFund/Account</t>
  </si>
  <si>
    <t>Accounts</t>
  </si>
  <si>
    <t>HITT</t>
  </si>
  <si>
    <t>Percentage</t>
  </si>
  <si>
    <t>No</t>
  </si>
  <si>
    <t>Account Name</t>
  </si>
  <si>
    <t>Side</t>
  </si>
  <si>
    <t>Group Status</t>
  </si>
  <si>
    <t>Avg Price(Base)</t>
  </si>
  <si>
    <t>Execution Time</t>
  </si>
  <si>
    <t>Trade Attribute 1</t>
  </si>
  <si>
    <t>Avg Price(Local)</t>
  </si>
  <si>
    <t>Trade Attribute 2</t>
  </si>
  <si>
    <t>Accrued Interest</t>
  </si>
  <si>
    <t>Commission</t>
  </si>
  <si>
    <t>Soft Commission</t>
  </si>
  <si>
    <t>Transaction Type</t>
  </si>
  <si>
    <t>AUEC Fee1</t>
  </si>
  <si>
    <t>AUEC Fee2</t>
  </si>
  <si>
    <t>Clearing Broker Fee</t>
  </si>
  <si>
    <t>Other Broker Fees</t>
  </si>
  <si>
    <t>OCC Fee</t>
  </si>
  <si>
    <t>SEC Fee</t>
  </si>
  <si>
    <t>ORF Fee</t>
  </si>
  <si>
    <t>IsPreAllocated</t>
  </si>
  <si>
    <t>Stamp Duty</t>
  </si>
  <si>
    <t>IsManual Group</t>
  </si>
  <si>
    <t>Tax On Commissions</t>
  </si>
  <si>
    <t>IsAnotherTaxlotAttributesUpdated</t>
  </si>
  <si>
    <t>ISNDF</t>
  </si>
  <si>
    <t>Transaction Levy</t>
  </si>
  <si>
    <t>Description</t>
  </si>
  <si>
    <t>GroupID</t>
  </si>
  <si>
    <t>Internal Comments</t>
  </si>
  <si>
    <t>M2MProfitLoss</t>
  </si>
  <si>
    <t>FX Rate</t>
  </si>
  <si>
    <t>FX Conversion Operator</t>
  </si>
  <si>
    <t>Trade Attribute 3</t>
  </si>
  <si>
    <t>Trade Attribute 4</t>
  </si>
  <si>
    <t>Trade Attribute 5</t>
  </si>
  <si>
    <t>Trade Attribute 6</t>
  </si>
  <si>
    <t>Put Or Call</t>
  </si>
  <si>
    <t>Allocated Qty</t>
  </si>
  <si>
    <t>Total Commission And Fee</t>
  </si>
  <si>
    <t>Executed Qty</t>
  </si>
  <si>
    <t>Net Amount( Local)</t>
  </si>
  <si>
    <t>Net Amount( Base)</t>
  </si>
  <si>
    <t>UnAllocatedQty</t>
  </si>
  <si>
    <t>Option Premium Adjustment</t>
  </si>
  <si>
    <t>Principal Amount( Local)</t>
  </si>
  <si>
    <t>Principal Amount( Base)</t>
  </si>
  <si>
    <t>Settlement Currency</t>
  </si>
  <si>
    <t>User</t>
  </si>
  <si>
    <t>Asset Category</t>
  </si>
  <si>
    <t>Change Type</t>
  </si>
  <si>
    <t>Strategy Name</t>
  </si>
  <si>
    <t>Prana Msg Type</t>
  </si>
  <si>
    <t>Total Commission</t>
  </si>
  <si>
    <t>Commission Per Share</t>
  </si>
  <si>
    <t>Soft Commission Per Share</t>
  </si>
  <si>
    <t>Total Commission Per Share</t>
  </si>
  <si>
    <t>Closing Status</t>
  </si>
  <si>
    <t>Closing Method</t>
  </si>
  <si>
    <t>Trading Account</t>
  </si>
  <si>
    <t>Allocation Scheme Name</t>
  </si>
  <si>
    <t>Change Comment</t>
  </si>
  <si>
    <t>Underlying</t>
  </si>
  <si>
    <t>Currency</t>
  </si>
  <si>
    <t>AUECID</t>
  </si>
  <si>
    <t>Cum Qty For Sub Order</t>
  </si>
  <si>
    <t>Contract Multiplier</t>
  </si>
  <si>
    <t>Company</t>
  </si>
  <si>
    <t>Nirvana Process Date</t>
  </si>
  <si>
    <t>Process Date</t>
  </si>
  <si>
    <t>Original Purchase Date</t>
  </si>
  <si>
    <t>Closing Date</t>
  </si>
  <si>
    <t>Settlement Date</t>
  </si>
  <si>
    <t>Expiration Date</t>
  </si>
  <si>
    <t>Underlying Symbol</t>
  </si>
  <si>
    <t>Accrual Basis</t>
  </si>
  <si>
    <t>Bond Type</t>
  </si>
  <si>
    <t>Coupon Rate</t>
  </si>
  <si>
    <t>Delta</t>
  </si>
  <si>
    <t>Bloomberg</t>
  </si>
  <si>
    <t>Sedol Symbol</t>
  </si>
  <si>
    <t>Cusip Symbol</t>
  </si>
  <si>
    <t>ISIN</t>
  </si>
  <si>
    <t>OSISSymbol</t>
  </si>
  <si>
    <t>IDCOSymbol</t>
  </si>
  <si>
    <t>Underlying Delta</t>
  </si>
  <si>
    <t>Proxy Symbol</t>
  </si>
  <si>
    <t>Transaction Source</t>
  </si>
  <si>
    <t>Import File Name</t>
  </si>
  <si>
    <t>Exceution Time</t>
  </si>
  <si>
    <t>IsManualGroup</t>
  </si>
  <si>
    <t>PreferenceType</t>
  </si>
  <si>
    <t>PreferenceName</t>
  </si>
  <si>
    <t>PTTPrefNeeded</t>
  </si>
  <si>
    <t>IsForceAllocation</t>
  </si>
  <si>
    <t>RemainderAllocationTo</t>
  </si>
  <si>
    <t>Target%AsOf</t>
  </si>
  <si>
    <t>AccountsForProrata</t>
  </si>
  <si>
    <t>DateUptoDays</t>
  </si>
  <si>
    <t>MatchClosingTransactions</t>
  </si>
  <si>
    <t>Calculated</t>
  </si>
  <si>
    <t>Pro-rata (NAV)</t>
  </si>
  <si>
    <t>RangeType</t>
  </si>
  <si>
    <t>From</t>
  </si>
  <si>
    <t>To</t>
  </si>
  <si>
    <t>Account Filter</t>
  </si>
  <si>
    <t>FilterTabName</t>
  </si>
  <si>
    <t>Asset</t>
  </si>
  <si>
    <t>StrategyName</t>
  </si>
  <si>
    <t>TradingAccount</t>
  </si>
  <si>
    <t>PreAllocated</t>
  </si>
  <si>
    <t>ManualGroup</t>
  </si>
  <si>
    <t>Current</t>
  </si>
  <si>
    <t>ExternalTransId</t>
  </si>
  <si>
    <t>IsSwapped</t>
  </si>
  <si>
    <t>LotId</t>
  </si>
  <si>
    <t>Net Notional</t>
  </si>
  <si>
    <t>Opening Price</t>
  </si>
  <si>
    <t>PositionTag</t>
  </si>
  <si>
    <t>Security Name</t>
  </si>
  <si>
    <t>Taxlot ID</t>
  </si>
  <si>
    <t>Total Fees and Commission</t>
  </si>
  <si>
    <t>UnderlyingName</t>
  </si>
  <si>
    <t>UnitCost</t>
  </si>
  <si>
    <t>Unit Cost(Base)</t>
  </si>
  <si>
    <t>AvgPriceBase</t>
  </si>
  <si>
    <t>MasterFund</t>
  </si>
  <si>
    <t>SettlementDate</t>
  </si>
  <si>
    <t>TradeDate</t>
  </si>
  <si>
    <t>All</t>
  </si>
  <si>
    <t>SelectAll</t>
  </si>
  <si>
    <t>Allocation1,Allocation2,Allocation3,OFFSHORE</t>
  </si>
  <si>
    <t>Yes</t>
  </si>
  <si>
    <t>Position</t>
  </si>
  <si>
    <t>Cost Basis</t>
  </si>
  <si>
    <t>Position Side</t>
  </si>
  <si>
    <t>Market Value (Base)</t>
  </si>
  <si>
    <t>% Day P&amp;L (Gross MV)</t>
  </si>
  <si>
    <t>Net Exposure (Base)</t>
  </si>
  <si>
    <t>Beta Adj. Gross Exposure (Base)</t>
  </si>
  <si>
    <t>Beta Adj. Gross Exposure (Underlying) (Base)</t>
  </si>
  <si>
    <t>Day P&amp;L (Base)</t>
  </si>
  <si>
    <t>Closing Mark</t>
  </si>
  <si>
    <t>Cost Basis P&amp;L (Base)</t>
  </si>
  <si>
    <t>Prime Broker</t>
  </si>
  <si>
    <t>Trade Currency</t>
  </si>
  <si>
    <t>Multiplier</t>
  </si>
  <si>
    <t>Vs Currency</t>
  </si>
  <si>
    <t>Lead Currency</t>
  </si>
  <si>
    <t>Dividend Yield (%)</t>
  </si>
  <si>
    <t>% Change</t>
  </si>
  <si>
    <t>Net Exposure (Local)</t>
  </si>
  <si>
    <t>Exposure (Local)</t>
  </si>
  <si>
    <t>Delta Adj. Position</t>
  </si>
  <si>
    <t>Exposure (Base)</t>
  </si>
  <si>
    <t>Beta Adj. Exposure (Local)</t>
  </si>
  <si>
    <t>Beta Adj. Exposure (Base)</t>
  </si>
  <si>
    <t>Exposure (BP)(Base)</t>
  </si>
  <si>
    <t>Activity Source</t>
  </si>
  <si>
    <t>Day P&amp;L (Local)</t>
  </si>
  <si>
    <t>ActivityType</t>
  </si>
  <si>
    <t>Leveraged Factor</t>
  </si>
  <si>
    <t>Net Amount(Local)</t>
  </si>
  <si>
    <t>Master Strategy</t>
  </si>
  <si>
    <t>Transaction Side</t>
  </si>
  <si>
    <t>Balance Type</t>
  </si>
  <si>
    <t>Underlying Price</t>
  </si>
  <si>
    <t>Clearing Broker Fees</t>
  </si>
  <si>
    <t>Entry Date</t>
  </si>
  <si>
    <t>Side Multiplier</t>
  </si>
  <si>
    <t>FX Conversion Method Operator</t>
  </si>
  <si>
    <t>Fx Rate</t>
  </si>
  <si>
    <t>FX Rate On Trade Date</t>
  </si>
  <si>
    <t>Cost Basis P&amp;L (Local)</t>
  </si>
  <si>
    <t>Day Interest</t>
  </si>
  <si>
    <t>Modify date</t>
  </si>
  <si>
    <t>Total Interest</t>
  </si>
  <si>
    <t>Market Value (Local)</t>
  </si>
  <si>
    <t>% Gain/Loss Day</t>
  </si>
  <si>
    <t>OptionPremiumAdjustment</t>
  </si>
  <si>
    <t>Update Time (Last Price)</t>
  </si>
  <si>
    <t>Beta</t>
  </si>
  <si>
    <t>Cash Impact (Local)</t>
  </si>
  <si>
    <t>User Asset</t>
  </si>
  <si>
    <t>Security Type</t>
  </si>
  <si>
    <t>Sector</t>
  </si>
  <si>
    <t>Sub Sector</t>
  </si>
  <si>
    <t>Country</t>
  </si>
  <si>
    <t>Market Cap</t>
  </si>
  <si>
    <t>Avg Volume 20 Day</t>
  </si>
  <si>
    <t>% Avg Volume (Delta Adj.)</t>
  </si>
  <si>
    <t>Ex Dividend Date</t>
  </si>
  <si>
    <t>Cash Impact (Base)</t>
  </si>
  <si>
    <t>Volatility (%)</t>
  </si>
  <si>
    <t>Total Commissions</t>
  </si>
  <si>
    <t>Earned Dividend (Local)</t>
  </si>
  <si>
    <t>Earned Dividend (Base)</t>
  </si>
  <si>
    <t>Put/Call</t>
  </si>
  <si>
    <t>Strike Price</t>
  </si>
  <si>
    <t>Gross Exposure (Base)</t>
  </si>
  <si>
    <t>SettlCurrencyID</t>
  </si>
  <si>
    <t>Gross Market Value (Base)</t>
  </si>
  <si>
    <t>Px Selected Feed (Local)</t>
  </si>
  <si>
    <t>Px Selected Feed (Base)</t>
  </si>
  <si>
    <t>% Avg Volume</t>
  </si>
  <si>
    <t>Day P&amp;L (Base)(Price Gain)</t>
  </si>
  <si>
    <t>Day P&amp;L (Base)(FX Gain)</t>
  </si>
  <si>
    <t>Cost Basis P&amp;L (Base)(FX Gain)</t>
  </si>
  <si>
    <t>Cost Basis P&amp;L (Base)(Price Gain)</t>
  </si>
  <si>
    <t>% Gain/Loss Cost</t>
  </si>
  <si>
    <t>Underlying Value (Options)</t>
  </si>
  <si>
    <t>Avg Volume 20 Day (Underlying Symbol)</t>
  </si>
  <si>
    <t>IsStaleData</t>
  </si>
  <si>
    <t>IDCO</t>
  </si>
  <si>
    <t>OSI</t>
  </si>
  <si>
    <t>SEDOL</t>
  </si>
  <si>
    <t>CUSIP</t>
  </si>
  <si>
    <t>Start Trade Date</t>
  </si>
  <si>
    <t>Cost Basis (Break Even)</t>
  </si>
  <si>
    <t>% Day Return (Gross MV)</t>
  </si>
  <si>
    <t>Pricing Source</t>
  </si>
  <si>
    <t>Delta Source</t>
  </si>
  <si>
    <t>Gross Exposure (Local)</t>
  </si>
  <si>
    <t>% Day P&amp;L (Net MV)</t>
  </si>
  <si>
    <t>Expiration Month</t>
  </si>
  <si>
    <t>Delta Adj. Position (LME)</t>
  </si>
  <si>
    <t>Premium</t>
  </si>
  <si>
    <t>Premium $</t>
  </si>
  <si>
    <t>Closing Mark (Underlying)</t>
  </si>
  <si>
    <t>% Change (Underlying Price)</t>
  </si>
  <si>
    <t>Closing Market Value (Local)</t>
  </si>
  <si>
    <t>Closing Market Value (Base)</t>
  </si>
  <si>
    <t>Closing FX Rate</t>
  </si>
  <si>
    <t>Change In Underlying Price</t>
  </si>
  <si>
    <t>RIC</t>
  </si>
  <si>
    <t>Position Side Exposure (Boxed)</t>
  </si>
  <si>
    <t>Analyst</t>
  </si>
  <si>
    <t>Country Of Risk</t>
  </si>
  <si>
    <t>Custom UDA1</t>
  </si>
  <si>
    <t>Custom UDA2</t>
  </si>
  <si>
    <t>Custom UDA3</t>
  </si>
  <si>
    <t>Custom UDA4</t>
  </si>
  <si>
    <t>Custom UDA5</t>
  </si>
  <si>
    <t>Custom UDA6</t>
  </si>
  <si>
    <t>EquityL</t>
  </si>
  <si>
    <t>Custom UDA7</t>
  </si>
  <si>
    <t>Issuer</t>
  </si>
  <si>
    <t>Liquid Tag</t>
  </si>
  <si>
    <t>Market Cap UDA</t>
  </si>
  <si>
    <t>Region</t>
  </si>
  <si>
    <t>Risk Currency</t>
  </si>
  <si>
    <t>UCITS Eligible Tag</t>
  </si>
  <si>
    <t>FX Rate (Display)</t>
  </si>
  <si>
    <t>% Net Exposure (Base)</t>
  </si>
  <si>
    <t>% Gross Exposure (Base)</t>
  </si>
  <si>
    <t>% Exposure (Base)</t>
  </si>
  <si>
    <t>% Gross Exposure (Underlying) (Base)</t>
  </si>
  <si>
    <t>% Beta Adj. Gross Exposure (Base)</t>
  </si>
  <si>
    <t>Position Side Exposure (Underlying)</t>
  </si>
  <si>
    <t>Gross Exposure (Underlying) (Base)</t>
  </si>
  <si>
    <t>Gross Exposure (Underlying)</t>
  </si>
  <si>
    <t>Day Return</t>
  </si>
  <si>
    <t>Start of Day NAV</t>
  </si>
  <si>
    <t>% Gross Market Value (Base)</t>
  </si>
  <si>
    <t>Beta Adj. Gross Exposure (Underlying) (Local)</t>
  </si>
  <si>
    <t>NAV</t>
  </si>
  <si>
    <t>% P&amp;L Contribution</t>
  </si>
  <si>
    <t>% Net Market Value (Base)</t>
  </si>
  <si>
    <t>Position Side Exposure</t>
  </si>
  <si>
    <t>NAV (Touch)</t>
  </si>
  <si>
    <t>IgnorePropertyChangeEvents</t>
  </si>
  <si>
    <t>EquityS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</si>
</sst>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>
    <font>
      <sz val="10"/>
      <color rgb="FF000000"/>
      <name val="Arial"/>
    </font>
    <font>
      <b/>
      <sz val="14"/>
      <color rgb="FFFFFFFF"/>
      <name val="Calibri"/>
    </font>
    <font>
      <sz val="10"/>
      <name val="Arial"/>
    </font>
    <font>
      <sz val="10"/>
      <name val="Arial"/>
    </font>
    <font>
      <b/>
      <sz val="10"/>
      <color rgb="FFFFFFFF"/>
      <name val="Calibri"/>
    </font>
    <font>
      <b/>
      <sz val="10"/>
      <color rgb="FFFFFFFF"/>
      <name val="Arial"/>
    </font>
    <font>
      <sz val="14"/>
      <color rgb="FFFFFFFF"/>
      <name val="Calibri"/>
    </font>
    <font>
      <sz val="10"/>
      <name val="Calibri"/>
    </font>
    <font>
      <sz val="11"/>
      <color rgb="FFFFFFFF"/>
      <name val="Inconsolata"/>
    </font>
    <font>
      <sz val="10"/>
      <color rgb="FFFFFFFF"/>
      <name val="Calibri"/>
    </font>
    <font>
      <sz val="10"/>
      <color rgb="FFFFFFFF"/>
      <name val="Arial"/>
    </font>
    <font>
      <sz val="10"/>
      <color rgb="FFD9D9D9"/>
      <name val="Calibri"/>
    </font>
    <font>
      <sz val="10"/>
      <color rgb="FFD9D9D9"/>
      <name val="Arial"/>
    </font>
  </fonts>
  <fills count="7">
    <fill>
      <patternFill patternType="none"/>
    </fill>
    <fill>
      <patternFill patternType="gray125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5">
    <xf numFmtId="0" fontId="0" fillId="0" borderId="0" xfId="0" applyFont="1" applyAlignment="1"/>
    <xf numFmtId="0" fontId="3" fillId="0" borderId="4" xfId="0" applyFont="1" applyBorder="1" applyAlignment="1"/>
    <xf numFmtId="0" fontId="4" fillId="3" borderId="5" xfId="0" applyFont="1" applyFill="1" applyBorder="1" applyAlignment="1"/>
    <xf numFmtId="0" fontId="5" fillId="3" borderId="6" xfId="0" applyFont="1" applyFill="1" applyBorder="1" applyAlignment="1"/>
    <xf numFmtId="0" fontId="3" fillId="3" borderId="6" xfId="0" applyFont="1" applyFill="1" applyBorder="1" applyAlignment="1"/>
    <xf numFmtId="0" fontId="3" fillId="0" borderId="0" xfId="0" applyFont="1" applyAlignment="1"/>
    <xf numFmtId="0" fontId="7" fillId="0" borderId="0" xfId="0" applyFont="1" applyAlignment="1"/>
    <xf numFmtId="0" fontId="4" fillId="3" borderId="7" xfId="0" applyFont="1" applyFill="1" applyBorder="1" applyAlignment="1"/>
    <xf numFmtId="0" fontId="3" fillId="3" borderId="7" xfId="0" applyFont="1" applyFill="1" applyBorder="1" applyAlignment="1"/>
    <xf numFmtId="0" fontId="3" fillId="3" borderId="7" xfId="0" applyFont="1" applyFill="1" applyBorder="1" applyAlignment="1"/>
    <xf numFmtId="0" fontId="7" fillId="0" borderId="0" xfId="0" applyFont="1" applyAlignment="1"/>
    <xf numFmtId="0" fontId="4" fillId="3" borderId="7" xfId="0" applyFont="1" applyFill="1" applyBorder="1" applyAlignment="1"/>
    <xf numFmtId="0" fontId="7" fillId="3" borderId="7" xfId="0" applyFont="1" applyFill="1" applyBorder="1" applyAlignment="1"/>
    <xf numFmtId="0" fontId="1" fillId="2" borderId="0" xfId="0" applyFont="1" applyFill="1" applyAlignment="1">
      <alignment horizontal="center"/>
    </xf>
    <xf numFmtId="0" fontId="2" fillId="2" borderId="0" xfId="0" applyFont="1" applyFill="1"/>
    <xf numFmtId="0" fontId="2" fillId="0" borderId="0" xfId="0" applyFont="1" applyAlignment="1"/>
    <xf numFmtId="0" fontId="8" fillId="4" borderId="0" xfId="0" applyFont="1" applyFill="1"/>
    <xf numFmtId="0" fontId="9" fillId="0" borderId="0" xfId="0" applyFont="1" applyAlignment="1"/>
    <xf numFmtId="0" fontId="4" fillId="3" borderId="0" xfId="0" applyFont="1" applyFill="1" applyAlignment="1"/>
    <xf numFmtId="0" fontId="9" fillId="3" borderId="7" xfId="0" applyFont="1" applyFill="1" applyBorder="1" applyAlignment="1"/>
    <xf numFmtId="0" fontId="9" fillId="3" borderId="7" xfId="0" applyFont="1" applyFill="1" applyBorder="1" applyAlignment="1"/>
    <xf numFmtId="0" fontId="10" fillId="3" borderId="0" xfId="0" applyFont="1" applyFill="1"/>
    <xf numFmtId="0" fontId="11" fillId="5" borderId="0" xfId="0" applyFont="1" applyFill="1" applyAlignment="1"/>
    <xf numFmtId="0" fontId="12" fillId="5" borderId="0" xfId="0" applyFont="1" applyFill="1"/>
    <xf numFmtId="0" fontId="4" fillId="6" borderId="0" xfId="0" applyFont="1" applyFill="1" applyAlignment="1"/>
    <xf numFmtId="0" fontId="4" fillId="6" borderId="7" xfId="0" applyFont="1" applyFill="1" applyBorder="1" applyAlignment="1"/>
    <xf numFmtId="0" fontId="10" fillId="6" borderId="0" xfId="0" applyFont="1" applyFill="1"/>
    <xf numFmtId="3" fontId="2" fillId="0" borderId="0" xfId="0" applyNumberFormat="1" applyFont="1" applyAlignment="1"/>
    <xf numFmtId="14" fontId="2" fillId="0" borderId="0" xfId="0" applyNumberFormat="1" applyFont="1"/>
    <xf numFmtId="0" fontId="4" fillId="6" borderId="7" xfId="0" applyFont="1" applyFill="1" applyBorder="1" applyAlignment="1"/>
    <xf numFmtId="0" fontId="7" fillId="0" borderId="0" xfId="0" applyFont="1" applyAlignment="1"/>
    <xf numFmtId="0" fontId="3" fillId="0" borderId="0" xfId="0" applyFont="1" applyAlignment="1"/>
    <xf numFmtId="0" fontId="3" fillId="0" borderId="8" xfId="0" applyFont="1" applyBorder="1" applyAlignment="1"/>
    <xf numFmtId="0" fontId="3" fillId="0" borderId="8" xfId="0" applyFont="1" applyBorder="1" applyAlignment="1"/>
    <xf numFmtId="0" fontId="7" fillId="0" borderId="8" xfId="0" applyFont="1" applyBorder="1" applyAlignment="1">
      <alignment horizontal="right"/>
    </xf>
    <xf numFmtId="0" fontId="3" fillId="0" borderId="0" xfId="0" applyFont="1" applyAlignment="1"/>
    <xf numFmtId="0" fontId="7" fillId="0" borderId="0" xfId="0" applyFont="1" applyAlignment="1">
      <alignment horizontal="right"/>
    </xf>
    <xf numFmtId="14" fontId="7" fillId="0" borderId="8" xfId="0" applyNumberFormat="1" applyFont="1" applyBorder="1" applyAlignment="1">
      <alignment horizontal="right"/>
    </xf>
    <xf numFmtId="0" fontId="3" fillId="0" borderId="8" xfId="0" applyFont="1" applyBorder="1" applyAlignment="1"/>
    <xf numFmtId="0" fontId="3" fillId="0" borderId="0" xfId="0" applyFont="1" applyAlignment="1">
      <alignment horizontal="right"/>
    </xf>
    <xf numFmtId="0" fontId="7" fillId="0" borderId="8" xfId="0" applyFont="1" applyBorder="1" applyAlignment="1">
      <alignment horizontal="right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6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</xdr:row>
      <xdr:rowOff>161925</xdr:rowOff>
    </xdr:from>
    <xdr:ext cx="1123950" cy="228600"/>
    <xdr:pic>
      <xdr:nvPicPr>
        <xdr:cNvPr id="2" name="image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3" name="image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</xdr:row>
      <xdr:rowOff>161925</xdr:rowOff>
    </xdr:from>
    <xdr:ext cx="1123950" cy="228600"/>
    <xdr:pic>
      <xdr:nvPicPr>
        <xdr:cNvPr id="2" name="image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3" name="image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</xdr:row>
      <xdr:rowOff>161925</xdr:rowOff>
    </xdr:from>
    <xdr:ext cx="1123950" cy="228600"/>
    <xdr:pic>
      <xdr:nvPicPr>
        <xdr:cNvPr id="2" name="image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3" name="image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</xdr:row>
      <xdr:rowOff>161925</xdr:rowOff>
    </xdr:from>
    <xdr:ext cx="1123950" cy="228600"/>
    <xdr:pic>
      <xdr:nvPicPr>
        <xdr:cNvPr id="2" name="image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3" name="image1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</xdr:row>
      <xdr:rowOff>161925</xdr:rowOff>
    </xdr:from>
    <xdr:ext cx="1123950" cy="228600"/>
    <xdr:pic>
      <xdr:nvPicPr>
        <xdr:cNvPr id="2" name="image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3" name="image9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</xdr:row>
      <xdr:rowOff>161925</xdr:rowOff>
    </xdr:from>
    <xdr:ext cx="1123950" cy="228600"/>
    <xdr:pic>
      <xdr:nvPicPr>
        <xdr:cNvPr id="2" name="image10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3" name="image1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</xdr:row>
      <xdr:rowOff>161925</xdr:rowOff>
    </xdr:from>
    <xdr:ext cx="1123950" cy="228600"/>
    <xdr:pic>
      <xdr:nvPicPr>
        <xdr:cNvPr id="2" name="image1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3" name="image1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</xdr:row>
      <xdr:rowOff>161925</xdr:rowOff>
    </xdr:from>
    <xdr:ext cx="1123950" cy="228600"/>
    <xdr:pic>
      <xdr:nvPicPr>
        <xdr:cNvPr id="2" name="image1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3" name="image1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</xdr:row>
      <xdr:rowOff>161925</xdr:rowOff>
    </xdr:from>
    <xdr:ext cx="1123950" cy="228600"/>
    <xdr:pic>
      <xdr:nvPicPr>
        <xdr:cNvPr id="2" name="image1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3" name="image2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</xdr:row>
      <xdr:rowOff>161925</xdr:rowOff>
    </xdr:from>
    <xdr:ext cx="1123950" cy="228600"/>
    <xdr:pic>
      <xdr:nvPicPr>
        <xdr:cNvPr id="2" name="image20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3" name="image2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</xdr:row>
      <xdr:rowOff>161925</xdr:rowOff>
    </xdr:from>
    <xdr:ext cx="1123950" cy="228600"/>
    <xdr:pic>
      <xdr:nvPicPr>
        <xdr:cNvPr id="2" name="image1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3" name="image19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0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00"/>
  <sheetViews>
    <sheetView workbookViewId="0">
      <selection sqref="A1:F1"/>
    </sheetView>
  </sheetViews>
  <sheetFormatPr defaultColWidth="17.28515625" defaultRowHeight="15" customHeight="1"/>
  <cols>
    <col min="1" max="1" width="18.7109375" customWidth="1"/>
    <col min="2" max="2" width="26.85546875" customWidth="1"/>
    <col min="3" max="3" width="50.42578125" customWidth="1"/>
    <col min="4" max="26" width="14.42578125" customWidth="1"/>
  </cols>
  <sheetData>
    <row r="1" spans="1:6" ht="15.75" customHeight="1">
      <c r="A1" s="41" t="s">
        <v>1</v>
      </c>
      <c r="B1" s="42"/>
      <c r="C1" s="42"/>
      <c r="D1" s="42"/>
      <c r="E1" s="42"/>
      <c r="F1" s="43"/>
    </row>
    <row r="2" spans="1:6" ht="15.75" customHeight="1">
      <c r="A2" s="5"/>
      <c r="B2" s="5"/>
      <c r="C2" s="5"/>
      <c r="D2" s="5"/>
      <c r="E2" s="5"/>
      <c r="F2" s="5"/>
    </row>
    <row r="3" spans="1:6" ht="15.75" customHeight="1">
      <c r="A3" s="7" t="s">
        <v>6</v>
      </c>
      <c r="B3" s="8"/>
      <c r="C3" s="9"/>
      <c r="D3" s="9"/>
      <c r="E3" s="9"/>
      <c r="F3" s="9"/>
    </row>
    <row r="4" spans="1:6" ht="15.75" customHeight="1">
      <c r="A4" s="6" t="str">
        <f ca="1">IFERROR(__xludf.DUMMYFUNCTION("IMPORTRANGE('_Settings'!B3,""Modules!A4:L1000"")"),"Allocation")</f>
        <v>Allocation</v>
      </c>
      <c r="B4" s="5" t="s">
        <v>10</v>
      </c>
      <c r="C4" s="5" t="s">
        <v>11</v>
      </c>
      <c r="D4" s="5"/>
      <c r="E4" s="5"/>
      <c r="F4" s="5"/>
    </row>
    <row r="5" spans="1:6" ht="15.75" customHeight="1">
      <c r="A5" s="6" t="s">
        <v>13</v>
      </c>
      <c r="B5" s="5" t="s">
        <v>14</v>
      </c>
      <c r="C5" s="5" t="s">
        <v>15</v>
      </c>
      <c r="D5" s="5"/>
      <c r="E5" s="5"/>
      <c r="F5" s="5"/>
    </row>
    <row r="6" spans="1:6" ht="15.75" customHeight="1">
      <c r="A6" s="5" t="s">
        <v>13</v>
      </c>
      <c r="B6" s="5" t="s">
        <v>16</v>
      </c>
      <c r="C6" s="5" t="s">
        <v>17</v>
      </c>
      <c r="D6" s="5"/>
      <c r="E6" s="5"/>
      <c r="F6" s="5"/>
    </row>
    <row r="7" spans="1:6" ht="15.75" customHeight="1">
      <c r="A7" s="5" t="s">
        <v>13</v>
      </c>
      <c r="B7" s="5" t="s">
        <v>18</v>
      </c>
      <c r="C7" s="5" t="s">
        <v>19</v>
      </c>
      <c r="D7" s="5"/>
      <c r="E7" s="5"/>
      <c r="F7" s="5"/>
    </row>
    <row r="8" spans="1:6" ht="15.75" customHeight="1">
      <c r="A8" s="5" t="s">
        <v>13</v>
      </c>
      <c r="B8" s="5" t="s">
        <v>20</v>
      </c>
      <c r="C8" s="5" t="s">
        <v>17</v>
      </c>
      <c r="D8" s="5"/>
      <c r="E8" s="5"/>
      <c r="F8" s="5"/>
    </row>
    <row r="9" spans="1:6" ht="15.75" customHeight="1">
      <c r="A9" s="5" t="s">
        <v>13</v>
      </c>
      <c r="B9" s="5" t="s">
        <v>21</v>
      </c>
      <c r="C9" s="5" t="s">
        <v>22</v>
      </c>
      <c r="D9" s="5"/>
      <c r="E9" s="5"/>
      <c r="F9" s="5"/>
    </row>
    <row r="10" spans="1:6" ht="15.75" customHeight="1">
      <c r="A10" s="5" t="s">
        <v>13</v>
      </c>
      <c r="B10" s="5" t="s">
        <v>23</v>
      </c>
      <c r="C10" s="5" t="s">
        <v>24</v>
      </c>
      <c r="D10" s="5"/>
      <c r="E10" s="5"/>
      <c r="F10" s="5"/>
    </row>
    <row r="11" spans="1:6" ht="15.75" customHeight="1">
      <c r="A11" s="5" t="s">
        <v>13</v>
      </c>
      <c r="B11" s="5" t="s">
        <v>25</v>
      </c>
      <c r="C11" s="5" t="s">
        <v>11</v>
      </c>
      <c r="D11" s="5"/>
      <c r="E11" s="5"/>
      <c r="F11" s="5"/>
    </row>
    <row r="12" spans="1:6" ht="15.75" customHeight="1">
      <c r="A12" s="5" t="s">
        <v>26</v>
      </c>
      <c r="B12" s="5" t="s">
        <v>27</v>
      </c>
      <c r="C12" s="5" t="s">
        <v>11</v>
      </c>
      <c r="D12" s="5"/>
      <c r="E12" s="5"/>
      <c r="F12" s="5"/>
    </row>
    <row r="13" spans="1:6" ht="15.75" customHeight="1">
      <c r="A13" s="5" t="s">
        <v>26</v>
      </c>
      <c r="B13" s="5" t="s">
        <v>28</v>
      </c>
      <c r="C13" s="5" t="s">
        <v>29</v>
      </c>
      <c r="D13" s="5"/>
      <c r="E13" s="5"/>
      <c r="F13" s="5"/>
    </row>
    <row r="14" spans="1:6" ht="15.75" customHeight="1">
      <c r="A14" s="5" t="s">
        <v>30</v>
      </c>
      <c r="B14" s="5" t="s">
        <v>31</v>
      </c>
      <c r="C14" s="5" t="s">
        <v>32</v>
      </c>
      <c r="D14" s="5"/>
      <c r="E14" s="5"/>
      <c r="F14" s="5"/>
    </row>
    <row r="15" spans="1:6" ht="15.75" customHeight="1">
      <c r="A15" s="5" t="s">
        <v>30</v>
      </c>
      <c r="B15" s="5" t="s">
        <v>33</v>
      </c>
      <c r="C15" s="5" t="s">
        <v>34</v>
      </c>
      <c r="D15" s="5"/>
      <c r="E15" s="5"/>
      <c r="F15" s="5"/>
    </row>
    <row r="16" spans="1:6" ht="15.75" customHeight="1">
      <c r="A16" s="5" t="s">
        <v>30</v>
      </c>
      <c r="B16" s="5" t="s">
        <v>35</v>
      </c>
      <c r="C16" s="5" t="s">
        <v>36</v>
      </c>
      <c r="D16" s="5"/>
      <c r="E16" s="5"/>
      <c r="F16" s="5"/>
    </row>
    <row r="17" spans="1:6" ht="15.75" customHeight="1">
      <c r="A17" s="5" t="s">
        <v>30</v>
      </c>
      <c r="B17" s="5" t="s">
        <v>37</v>
      </c>
      <c r="C17" s="5" t="s">
        <v>38</v>
      </c>
      <c r="D17" s="5"/>
      <c r="E17" s="5"/>
      <c r="F17" s="5"/>
    </row>
    <row r="18" spans="1:6" ht="15.75" customHeight="1">
      <c r="A18" s="5" t="s">
        <v>30</v>
      </c>
      <c r="B18" s="5" t="s">
        <v>39</v>
      </c>
      <c r="C18" s="5" t="s">
        <v>40</v>
      </c>
      <c r="D18" s="5"/>
      <c r="E18" s="5"/>
      <c r="F18" s="5"/>
    </row>
    <row r="19" spans="1:6" ht="15.75" customHeight="1">
      <c r="A19" s="5" t="s">
        <v>30</v>
      </c>
      <c r="B19" s="5" t="s">
        <v>41</v>
      </c>
      <c r="C19" s="5" t="s">
        <v>42</v>
      </c>
      <c r="D19" s="5"/>
      <c r="E19" s="5"/>
      <c r="F19" s="5"/>
    </row>
    <row r="20" spans="1:6" ht="15.75" customHeight="1">
      <c r="A20" s="5" t="s">
        <v>30</v>
      </c>
      <c r="B20" s="5" t="s">
        <v>43</v>
      </c>
      <c r="C20" s="5" t="s">
        <v>44</v>
      </c>
      <c r="D20" s="5"/>
      <c r="E20" s="5"/>
      <c r="F20" s="5"/>
    </row>
    <row r="21" spans="1:6" ht="15.75" customHeight="1">
      <c r="A21" s="5" t="s">
        <v>45</v>
      </c>
      <c r="B21" s="5" t="s">
        <v>45</v>
      </c>
      <c r="C21" s="5" t="s">
        <v>46</v>
      </c>
      <c r="D21" s="5"/>
      <c r="E21" s="5"/>
      <c r="F21" s="5"/>
    </row>
    <row r="22" spans="1:6" ht="15.75" customHeight="1">
      <c r="A22" s="5" t="s">
        <v>47</v>
      </c>
      <c r="B22" s="5" t="s">
        <v>47</v>
      </c>
      <c r="C22" s="5" t="s">
        <v>48</v>
      </c>
      <c r="D22" s="5"/>
      <c r="E22" s="5"/>
      <c r="F22" s="5"/>
    </row>
    <row r="23" spans="1:6" ht="15.75" customHeight="1">
      <c r="A23" s="5" t="s">
        <v>49</v>
      </c>
      <c r="B23" s="5" t="s">
        <v>50</v>
      </c>
      <c r="C23" s="5" t="s">
        <v>51</v>
      </c>
      <c r="D23" s="5"/>
      <c r="E23" s="5"/>
      <c r="F23" s="5"/>
    </row>
    <row r="24" spans="1:6" ht="15.75" customHeight="1">
      <c r="A24" s="5" t="s">
        <v>49</v>
      </c>
      <c r="B24" s="5" t="s">
        <v>52</v>
      </c>
      <c r="C24" s="5" t="s">
        <v>53</v>
      </c>
      <c r="D24" s="5"/>
      <c r="E24" s="5"/>
      <c r="F24" s="5"/>
    </row>
    <row r="25" spans="1:6" ht="15.75" customHeight="1">
      <c r="A25" s="5" t="s">
        <v>49</v>
      </c>
      <c r="B25" s="5" t="s">
        <v>54</v>
      </c>
      <c r="C25" s="5" t="s">
        <v>55</v>
      </c>
      <c r="D25" s="5"/>
      <c r="E25" s="5"/>
      <c r="F25" s="5"/>
    </row>
    <row r="26" spans="1:6" ht="15.75" customHeight="1">
      <c r="A26" s="5" t="s">
        <v>49</v>
      </c>
      <c r="B26" s="5" t="s">
        <v>56</v>
      </c>
      <c r="C26" s="5" t="s">
        <v>57</v>
      </c>
      <c r="D26" s="5"/>
      <c r="E26" s="5"/>
      <c r="F26" s="5"/>
    </row>
    <row r="27" spans="1:6" ht="15.75" customHeight="1">
      <c r="A27" s="5" t="s">
        <v>58</v>
      </c>
      <c r="B27" s="5" t="s">
        <v>58</v>
      </c>
      <c r="C27" s="5" t="s">
        <v>59</v>
      </c>
      <c r="D27" s="5"/>
      <c r="E27" s="5"/>
      <c r="F27" s="5"/>
    </row>
    <row r="28" spans="1:6" ht="15.75" customHeight="1">
      <c r="A28" s="5" t="s">
        <v>60</v>
      </c>
      <c r="B28" s="5" t="s">
        <v>61</v>
      </c>
      <c r="C28" s="5" t="s">
        <v>62</v>
      </c>
      <c r="D28" s="5"/>
      <c r="E28" s="5"/>
      <c r="F28" s="5"/>
    </row>
    <row r="29" spans="1:6" ht="15.75" customHeight="1">
      <c r="A29" s="5" t="s">
        <v>60</v>
      </c>
      <c r="B29" s="5" t="s">
        <v>63</v>
      </c>
      <c r="C29" s="5" t="s">
        <v>64</v>
      </c>
      <c r="D29" s="5"/>
      <c r="E29" s="5"/>
      <c r="F29" s="5"/>
    </row>
    <row r="30" spans="1:6" ht="15.75" customHeight="1">
      <c r="A30" s="5" t="s">
        <v>65</v>
      </c>
      <c r="B30" s="5" t="s">
        <v>65</v>
      </c>
      <c r="C30" s="5" t="s">
        <v>66</v>
      </c>
      <c r="D30" s="5"/>
      <c r="E30" s="5"/>
      <c r="F30" s="5"/>
    </row>
    <row r="31" spans="1:6" ht="15.75" customHeight="1">
      <c r="A31" s="5" t="s">
        <v>65</v>
      </c>
      <c r="B31" s="5" t="s">
        <v>67</v>
      </c>
      <c r="C31" s="5" t="s">
        <v>68</v>
      </c>
      <c r="D31" s="5"/>
      <c r="E31" s="5"/>
      <c r="F31" s="5"/>
    </row>
    <row r="32" spans="1:6" ht="15.75" customHeight="1">
      <c r="A32" s="5" t="s">
        <v>69</v>
      </c>
      <c r="B32" s="5" t="s">
        <v>69</v>
      </c>
      <c r="C32" s="5" t="s">
        <v>70</v>
      </c>
      <c r="D32" s="5"/>
      <c r="E32" s="5"/>
      <c r="F32" s="5"/>
    </row>
    <row r="33" spans="1:6" ht="15.75" customHeight="1">
      <c r="A33" s="5" t="s">
        <v>69</v>
      </c>
      <c r="B33" s="5" t="s">
        <v>71</v>
      </c>
      <c r="C33" s="5" t="s">
        <v>72</v>
      </c>
      <c r="D33" s="5"/>
      <c r="E33" s="5"/>
      <c r="F33" s="5"/>
    </row>
    <row r="34" spans="1:6" ht="15.75" customHeight="1">
      <c r="A34" t="s">
        <v>69</v>
      </c>
      <c r="B34" t="s">
        <v>73</v>
      </c>
      <c r="C34" t="s">
        <v>74</v>
      </c>
    </row>
    <row r="35" spans="1:6" ht="15.75" customHeight="1">
      <c r="A35" t="s">
        <v>69</v>
      </c>
      <c r="B35" t="s">
        <v>75</v>
      </c>
      <c r="C35" t="s">
        <v>76</v>
      </c>
    </row>
    <row r="36" spans="1:6" ht="15.75" customHeight="1">
      <c r="A36" t="s">
        <v>69</v>
      </c>
      <c r="B36" t="s">
        <v>77</v>
      </c>
      <c r="C36" t="s">
        <v>78</v>
      </c>
    </row>
    <row r="37" spans="1:6" ht="15.75" customHeight="1">
      <c r="A37" t="s">
        <v>79</v>
      </c>
      <c r="B37" t="s">
        <v>80</v>
      </c>
      <c r="C37" t="s">
        <v>81</v>
      </c>
    </row>
    <row r="38" spans="1:6" ht="15.75" customHeight="1">
      <c r="A38" t="s">
        <v>79</v>
      </c>
      <c r="B38" t="s">
        <v>82</v>
      </c>
      <c r="C38" t="s">
        <v>11</v>
      </c>
    </row>
    <row r="39" spans="1:6" ht="15.75" customHeight="1">
      <c r="A39" t="s">
        <v>79</v>
      </c>
      <c r="B39" t="s">
        <v>83</v>
      </c>
      <c r="C39" t="s">
        <v>84</v>
      </c>
    </row>
    <row r="40" spans="1:6" ht="15.75" customHeight="1">
      <c r="A40" t="s">
        <v>79</v>
      </c>
      <c r="B40" t="s">
        <v>85</v>
      </c>
      <c r="C40" t="s">
        <v>86</v>
      </c>
    </row>
    <row r="41" spans="1:6" ht="15.75" customHeight="1">
      <c r="A41" t="s">
        <v>79</v>
      </c>
      <c r="B41" t="s">
        <v>87</v>
      </c>
      <c r="C41" t="s">
        <v>88</v>
      </c>
    </row>
    <row r="42" spans="1:6" ht="15.75" customHeight="1">
      <c r="A42" t="s">
        <v>13</v>
      </c>
      <c r="B42" t="s">
        <v>89</v>
      </c>
      <c r="C42" t="s">
        <v>90</v>
      </c>
    </row>
    <row r="43" spans="1:6" ht="15.75" customHeight="1">
      <c r="A43" t="s">
        <v>45</v>
      </c>
      <c r="B43" t="s">
        <v>89</v>
      </c>
      <c r="C43" t="s">
        <v>91</v>
      </c>
    </row>
    <row r="44" spans="1:6" ht="15.75" customHeight="1">
      <c r="A44" t="s">
        <v>92</v>
      </c>
      <c r="B44" t="s">
        <v>93</v>
      </c>
      <c r="C44" t="s">
        <v>94</v>
      </c>
    </row>
    <row r="45" spans="1:6" ht="15.75" customHeight="1">
      <c r="A45" t="s">
        <v>92</v>
      </c>
      <c r="B45" t="s">
        <v>95</v>
      </c>
      <c r="C45" t="s">
        <v>96</v>
      </c>
    </row>
    <row r="46" spans="1:6" ht="15.75" customHeight="1">
      <c r="A46" t="s">
        <v>92</v>
      </c>
      <c r="B46" t="s">
        <v>97</v>
      </c>
      <c r="C46" t="s">
        <v>98</v>
      </c>
    </row>
    <row r="47" spans="1:6" ht="15.75" customHeight="1">
      <c r="A47" t="s">
        <v>92</v>
      </c>
      <c r="B47" t="s">
        <v>99</v>
      </c>
      <c r="C47" t="s">
        <v>100</v>
      </c>
    </row>
    <row r="48" spans="1:6" ht="15.75" customHeight="1">
      <c r="A48" t="s">
        <v>60</v>
      </c>
      <c r="B48" t="s">
        <v>101</v>
      </c>
      <c r="C48" t="s">
        <v>102</v>
      </c>
    </row>
    <row r="49" spans="1:3" ht="15.75" customHeight="1">
      <c r="A49" t="s">
        <v>103</v>
      </c>
      <c r="B49" t="s">
        <v>104</v>
      </c>
      <c r="C49" t="s">
        <v>105</v>
      </c>
    </row>
    <row r="50" spans="1:3" ht="15.75" customHeight="1">
      <c r="A50" t="s">
        <v>45</v>
      </c>
      <c r="B50" t="s">
        <v>106</v>
      </c>
      <c r="C50" t="s">
        <v>107</v>
      </c>
    </row>
    <row r="51" spans="1:3" ht="15.75" customHeight="1">
      <c r="A51" t="s">
        <v>45</v>
      </c>
      <c r="B51" t="s">
        <v>108</v>
      </c>
      <c r="C51" t="s">
        <v>109</v>
      </c>
    </row>
    <row r="52" spans="1:3" ht="15.75" customHeight="1">
      <c r="A52" t="s">
        <v>45</v>
      </c>
      <c r="B52" t="s">
        <v>110</v>
      </c>
      <c r="C52" t="s">
        <v>111</v>
      </c>
    </row>
    <row r="53" spans="1:3" ht="15.75" customHeight="1">
      <c r="A53" t="s">
        <v>45</v>
      </c>
      <c r="B53" t="s">
        <v>112</v>
      </c>
      <c r="C53" t="s">
        <v>113</v>
      </c>
    </row>
    <row r="54" spans="1:3" ht="15.75" customHeight="1">
      <c r="A54" t="s">
        <v>45</v>
      </c>
      <c r="B54" t="s">
        <v>114</v>
      </c>
      <c r="C54" t="s">
        <v>115</v>
      </c>
    </row>
    <row r="55" spans="1:3" ht="15.75" customHeight="1">
      <c r="A55" t="s">
        <v>45</v>
      </c>
      <c r="B55" t="s">
        <v>116</v>
      </c>
      <c r="C55" t="s">
        <v>117</v>
      </c>
    </row>
    <row r="56" spans="1:3" ht="15.75" customHeight="1">
      <c r="A56" t="s">
        <v>45</v>
      </c>
      <c r="B56" t="s">
        <v>118</v>
      </c>
      <c r="C56" t="s">
        <v>119</v>
      </c>
    </row>
    <row r="57" spans="1:3" ht="15.75" customHeight="1">
      <c r="A57" t="s">
        <v>103</v>
      </c>
      <c r="B57" t="s">
        <v>120</v>
      </c>
      <c r="C57" t="s">
        <v>90</v>
      </c>
    </row>
    <row r="58" spans="1:3" ht="15.75" customHeight="1">
      <c r="A58" t="s">
        <v>49</v>
      </c>
      <c r="B58" t="s">
        <v>89</v>
      </c>
      <c r="C58" t="s">
        <v>90</v>
      </c>
    </row>
    <row r="59" spans="1:3" ht="15.75" customHeight="1">
      <c r="A59" t="s">
        <v>13</v>
      </c>
      <c r="B59" t="s">
        <v>121</v>
      </c>
      <c r="C59" t="s">
        <v>122</v>
      </c>
    </row>
    <row r="60" spans="1:3" ht="15.75" customHeight="1">
      <c r="A60" t="s">
        <v>13</v>
      </c>
      <c r="B60" t="s">
        <v>123</v>
      </c>
      <c r="C60" t="s">
        <v>124</v>
      </c>
    </row>
    <row r="61" spans="1:3" ht="15.75" customHeight="1">
      <c r="A61" t="s">
        <v>13</v>
      </c>
      <c r="B61" t="s">
        <v>125</v>
      </c>
      <c r="C61" t="s">
        <v>126</v>
      </c>
    </row>
    <row r="62" spans="1:3" ht="15.75" customHeight="1">
      <c r="A62" t="s">
        <v>13</v>
      </c>
      <c r="B62" t="s">
        <v>127</v>
      </c>
      <c r="C62" t="s">
        <v>128</v>
      </c>
    </row>
    <row r="63" spans="1:3" ht="15.75" customHeight="1">
      <c r="A63" t="s">
        <v>13</v>
      </c>
      <c r="B63" t="s">
        <v>129</v>
      </c>
      <c r="C63" t="s">
        <v>130</v>
      </c>
    </row>
    <row r="64" spans="1:3" ht="15.75" customHeight="1">
      <c r="A64" t="s">
        <v>13</v>
      </c>
      <c r="B64" t="s">
        <v>131</v>
      </c>
      <c r="C64" t="s">
        <v>132</v>
      </c>
    </row>
    <row r="65" spans="1:3" ht="15.75" customHeight="1">
      <c r="A65" t="s">
        <v>13</v>
      </c>
      <c r="B65" t="s">
        <v>133</v>
      </c>
      <c r="C65" t="s">
        <v>134</v>
      </c>
    </row>
    <row r="66" spans="1:3" ht="15.75" customHeight="1">
      <c r="A66" t="s">
        <v>13</v>
      </c>
      <c r="B66" t="s">
        <v>135</v>
      </c>
      <c r="C66" t="s">
        <v>136</v>
      </c>
    </row>
    <row r="67" spans="1:3" ht="15.75" customHeight="1">
      <c r="A67" t="s">
        <v>13</v>
      </c>
      <c r="B67" t="s">
        <v>137</v>
      </c>
      <c r="C67" t="s">
        <v>138</v>
      </c>
    </row>
    <row r="68" spans="1:3" ht="15.75" customHeight="1">
      <c r="A68" t="s">
        <v>13</v>
      </c>
      <c r="B68" t="s">
        <v>139</v>
      </c>
      <c r="C68" t="s">
        <v>140</v>
      </c>
    </row>
    <row r="69" spans="1:3" ht="15.75" customHeight="1">
      <c r="A69" t="s">
        <v>13</v>
      </c>
      <c r="B69" t="s">
        <v>141</v>
      </c>
      <c r="C69" t="s">
        <v>142</v>
      </c>
    </row>
    <row r="70" spans="1:3" ht="15.75" customHeight="1">
      <c r="A70" t="s">
        <v>13</v>
      </c>
      <c r="B70" t="s">
        <v>143</v>
      </c>
      <c r="C70" t="s">
        <v>144</v>
      </c>
    </row>
    <row r="71" spans="1:3" ht="15.75" customHeight="1">
      <c r="A71" t="s">
        <v>13</v>
      </c>
      <c r="B71" t="s">
        <v>145</v>
      </c>
      <c r="C71" t="s">
        <v>146</v>
      </c>
    </row>
    <row r="72" spans="1:3" ht="15.75" customHeight="1">
      <c r="A72" t="s">
        <v>13</v>
      </c>
      <c r="B72" t="s">
        <v>147</v>
      </c>
      <c r="C72" t="s">
        <v>148</v>
      </c>
    </row>
    <row r="73" spans="1:3" ht="15.75" customHeight="1">
      <c r="A73" t="s">
        <v>13</v>
      </c>
      <c r="B73" t="s">
        <v>149</v>
      </c>
      <c r="C73" t="s">
        <v>150</v>
      </c>
    </row>
    <row r="74" spans="1:3" ht="15.75" customHeight="1">
      <c r="A74" t="s">
        <v>13</v>
      </c>
      <c r="B74" t="s">
        <v>151</v>
      </c>
      <c r="C74" t="s">
        <v>152</v>
      </c>
    </row>
    <row r="75" spans="1:3" ht="15.75" customHeight="1">
      <c r="A75" t="s">
        <v>13</v>
      </c>
      <c r="B75" t="s">
        <v>153</v>
      </c>
      <c r="C75" t="s">
        <v>154</v>
      </c>
    </row>
    <row r="76" spans="1:3" ht="15.75" customHeight="1">
      <c r="A76" t="s">
        <v>13</v>
      </c>
      <c r="B76" t="s">
        <v>155</v>
      </c>
      <c r="C76" t="s">
        <v>156</v>
      </c>
    </row>
    <row r="77" spans="1:3" ht="15.75" customHeight="1">
      <c r="A77" t="s">
        <v>13</v>
      </c>
      <c r="B77" t="s">
        <v>157</v>
      </c>
      <c r="C77" t="s">
        <v>158</v>
      </c>
    </row>
    <row r="78" spans="1:3" ht="15.75" customHeight="1">
      <c r="A78" t="s">
        <v>13</v>
      </c>
      <c r="B78" t="s">
        <v>159</v>
      </c>
      <c r="C78" t="s">
        <v>160</v>
      </c>
    </row>
    <row r="79" spans="1:3" ht="15.75" customHeight="1">
      <c r="A79" t="s">
        <v>161</v>
      </c>
      <c r="B79" t="s">
        <v>162</v>
      </c>
      <c r="C79" t="s">
        <v>163</v>
      </c>
    </row>
    <row r="80" spans="1:3" ht="15.75" customHeight="1">
      <c r="A80" t="s">
        <v>161</v>
      </c>
      <c r="B80" t="s">
        <v>164</v>
      </c>
      <c r="C80" t="s">
        <v>165</v>
      </c>
    </row>
    <row r="81" spans="1:3" ht="15.75" customHeight="1">
      <c r="A81" t="s">
        <v>103</v>
      </c>
      <c r="B81" t="s">
        <v>166</v>
      </c>
      <c r="C81" t="s">
        <v>167</v>
      </c>
    </row>
    <row r="82" spans="1:3" ht="15.75" customHeight="1">
      <c r="A82" t="s">
        <v>103</v>
      </c>
      <c r="B82" t="s">
        <v>168</v>
      </c>
      <c r="C82" t="s">
        <v>90</v>
      </c>
    </row>
    <row r="83" spans="1:3" ht="15.75" customHeight="1">
      <c r="A83" t="s">
        <v>103</v>
      </c>
      <c r="B83" t="s">
        <v>169</v>
      </c>
      <c r="C83" t="s">
        <v>170</v>
      </c>
    </row>
    <row r="84" spans="1:3" ht="15.75" customHeight="1">
      <c r="A84" t="s">
        <v>103</v>
      </c>
      <c r="B84" t="s">
        <v>171</v>
      </c>
      <c r="C84" t="s">
        <v>172</v>
      </c>
    </row>
    <row r="85" spans="1:3" ht="15.75" customHeight="1">
      <c r="A85" t="s">
        <v>26</v>
      </c>
      <c r="B85" t="s">
        <v>173</v>
      </c>
      <c r="C85" t="s">
        <v>174</v>
      </c>
    </row>
    <row r="86" spans="1:3" ht="15.75" customHeight="1">
      <c r="A86" t="s">
        <v>103</v>
      </c>
      <c r="B86" t="s">
        <v>175</v>
      </c>
      <c r="C86" t="s">
        <v>176</v>
      </c>
    </row>
    <row r="87" spans="1:3" ht="15.75" customHeight="1">
      <c r="A87" t="s">
        <v>30</v>
      </c>
      <c r="B87" t="s">
        <v>177</v>
      </c>
      <c r="C87" t="s">
        <v>178</v>
      </c>
    </row>
    <row r="88" spans="1:3" ht="15.75" customHeight="1">
      <c r="A88" t="s">
        <v>30</v>
      </c>
      <c r="B88" t="s">
        <v>179</v>
      </c>
      <c r="C88" t="s">
        <v>180</v>
      </c>
    </row>
    <row r="89" spans="1:3" ht="15.75" customHeight="1">
      <c r="A89" t="s">
        <v>13</v>
      </c>
      <c r="B89" t="s">
        <v>181</v>
      </c>
      <c r="C89" t="s">
        <v>182</v>
      </c>
    </row>
    <row r="90" spans="1:3" ht="15.75" customHeight="1">
      <c r="A90" t="s">
        <v>13</v>
      </c>
      <c r="B90" t="s">
        <v>183</v>
      </c>
      <c r="C90" t="s">
        <v>184</v>
      </c>
    </row>
    <row r="91" spans="1:3" ht="15.75" customHeight="1">
      <c r="A91" t="s">
        <v>13</v>
      </c>
      <c r="B91" t="s">
        <v>185</v>
      </c>
      <c r="C91" t="s">
        <v>186</v>
      </c>
    </row>
    <row r="92" spans="1:3" ht="15.75" customHeight="1">
      <c r="A92" t="s">
        <v>13</v>
      </c>
      <c r="B92" t="s">
        <v>187</v>
      </c>
      <c r="C92" t="s">
        <v>188</v>
      </c>
    </row>
    <row r="93" spans="1:3" ht="15.75" customHeight="1">
      <c r="A93" t="s">
        <v>30</v>
      </c>
      <c r="B93" t="s">
        <v>189</v>
      </c>
      <c r="C93" t="s">
        <v>190</v>
      </c>
    </row>
    <row r="94" spans="1:3" ht="15.75" customHeight="1">
      <c r="A94" t="s">
        <v>13</v>
      </c>
      <c r="B94" t="s">
        <v>191</v>
      </c>
      <c r="C94" t="s">
        <v>192</v>
      </c>
    </row>
    <row r="95" spans="1:3" ht="15.75" customHeight="1">
      <c r="A95" t="s">
        <v>30</v>
      </c>
      <c r="B95" t="s">
        <v>193</v>
      </c>
      <c r="C95" t="s">
        <v>194</v>
      </c>
    </row>
    <row r="96" spans="1:3" ht="15.75" customHeight="1">
      <c r="A96" t="s">
        <v>13</v>
      </c>
      <c r="B96" t="s">
        <v>195</v>
      </c>
      <c r="C96" t="s">
        <v>196</v>
      </c>
    </row>
    <row r="97" spans="1:3" ht="15.75" customHeight="1">
      <c r="A97" t="s">
        <v>30</v>
      </c>
      <c r="B97" t="s">
        <v>197</v>
      </c>
      <c r="C97" t="s">
        <v>198</v>
      </c>
    </row>
    <row r="98" spans="1:3" ht="15.75" customHeight="1">
      <c r="A98" t="s">
        <v>13</v>
      </c>
      <c r="B98" t="s">
        <v>199</v>
      </c>
      <c r="C98" t="s">
        <v>200</v>
      </c>
    </row>
    <row r="99" spans="1:3" ht="15.75" customHeight="1">
      <c r="A99" t="s">
        <v>30</v>
      </c>
      <c r="B99" t="s">
        <v>202</v>
      </c>
      <c r="C99" t="s">
        <v>203</v>
      </c>
    </row>
    <row r="100" spans="1:3" ht="15.75" customHeight="1">
      <c r="A100" t="s">
        <v>13</v>
      </c>
      <c r="B100" t="s">
        <v>204</v>
      </c>
      <c r="C100" t="s">
        <v>205</v>
      </c>
    </row>
    <row r="101" spans="1:3" ht="15.75" customHeight="1">
      <c r="A101" t="s">
        <v>30</v>
      </c>
      <c r="B101" t="s">
        <v>206</v>
      </c>
      <c r="C101" t="s">
        <v>207</v>
      </c>
    </row>
    <row r="102" spans="1:3" ht="15.75" customHeight="1">
      <c r="A102" t="s">
        <v>13</v>
      </c>
      <c r="B102" t="s">
        <v>208</v>
      </c>
      <c r="C102" t="s">
        <v>209</v>
      </c>
    </row>
    <row r="103" spans="1:3" ht="15.75" customHeight="1">
      <c r="A103" t="s">
        <v>30</v>
      </c>
      <c r="B103" t="s">
        <v>210</v>
      </c>
      <c r="C103" t="s">
        <v>211</v>
      </c>
    </row>
    <row r="104" spans="1:3" ht="15.75" customHeight="1">
      <c r="A104" t="s">
        <v>13</v>
      </c>
      <c r="B104" t="s">
        <v>212</v>
      </c>
      <c r="C104" t="s">
        <v>213</v>
      </c>
    </row>
    <row r="105" spans="1:3" ht="15.75" customHeight="1">
      <c r="A105" t="s">
        <v>30</v>
      </c>
      <c r="B105" t="s">
        <v>214</v>
      </c>
      <c r="C105" t="s">
        <v>215</v>
      </c>
    </row>
    <row r="106" spans="1:3" ht="15.75" customHeight="1">
      <c r="A106" t="s">
        <v>13</v>
      </c>
      <c r="B106" t="s">
        <v>216</v>
      </c>
      <c r="C106" t="s">
        <v>217</v>
      </c>
    </row>
    <row r="107" spans="1:3" ht="15.75" customHeight="1">
      <c r="A107" t="s">
        <v>30</v>
      </c>
      <c r="B107" t="s">
        <v>218</v>
      </c>
      <c r="C107" t="s">
        <v>219</v>
      </c>
    </row>
    <row r="108" spans="1:3" ht="15.75" customHeight="1">
      <c r="A108" t="s">
        <v>220</v>
      </c>
      <c r="B108" t="s">
        <v>221</v>
      </c>
      <c r="C108" t="s">
        <v>222</v>
      </c>
    </row>
    <row r="109" spans="1:3" ht="15.75" customHeight="1">
      <c r="A109" t="s">
        <v>60</v>
      </c>
      <c r="B109" t="s">
        <v>223</v>
      </c>
      <c r="C109" t="s">
        <v>90</v>
      </c>
    </row>
    <row r="110" spans="1:3" ht="15.75" customHeight="1">
      <c r="A110" t="s">
        <v>13</v>
      </c>
      <c r="B110" t="s">
        <v>224</v>
      </c>
      <c r="C110" t="s">
        <v>225</v>
      </c>
    </row>
    <row r="111" spans="1:3" ht="15.75" customHeight="1">
      <c r="A111" t="s">
        <v>30</v>
      </c>
      <c r="B111" t="s">
        <v>226</v>
      </c>
      <c r="C111" t="s">
        <v>227</v>
      </c>
    </row>
    <row r="112" spans="1:3" ht="15.75" customHeight="1">
      <c r="A112" t="s">
        <v>30</v>
      </c>
      <c r="B112" t="s">
        <v>228</v>
      </c>
      <c r="C112" t="s">
        <v>229</v>
      </c>
    </row>
    <row r="113" spans="1:3" ht="15.75" customHeight="1">
      <c r="A113" t="s">
        <v>13</v>
      </c>
      <c r="B113" t="s">
        <v>230</v>
      </c>
      <c r="C113" t="s">
        <v>231</v>
      </c>
    </row>
    <row r="114" spans="1:3" ht="15.75" customHeight="1">
      <c r="A114" t="s">
        <v>13</v>
      </c>
      <c r="B114" t="s">
        <v>232</v>
      </c>
      <c r="C114" t="s">
        <v>233</v>
      </c>
    </row>
    <row r="115" spans="1:3" ht="15.75" customHeight="1">
      <c r="A115" t="s">
        <v>30</v>
      </c>
      <c r="B115" t="s">
        <v>234</v>
      </c>
      <c r="C115" t="s">
        <v>235</v>
      </c>
    </row>
    <row r="116" spans="1:3" ht="15.75" customHeight="1">
      <c r="A116" t="s">
        <v>30</v>
      </c>
      <c r="B116" t="s">
        <v>236</v>
      </c>
      <c r="C116" t="s">
        <v>237</v>
      </c>
    </row>
    <row r="117" spans="1:3" ht="15.75" customHeight="1">
      <c r="A117" t="s">
        <v>13</v>
      </c>
      <c r="B117" t="s">
        <v>238</v>
      </c>
      <c r="C117" t="s">
        <v>239</v>
      </c>
    </row>
    <row r="118" spans="1:3" ht="15.75" customHeight="1">
      <c r="A118" s="15" t="s">
        <v>30</v>
      </c>
      <c r="B118" t="s">
        <v>240</v>
      </c>
      <c r="C118" t="s">
        <v>241</v>
      </c>
    </row>
    <row r="119" spans="1:3" ht="15.75" customHeight="1">
      <c r="A119" t="s">
        <v>30</v>
      </c>
      <c r="B119" t="s">
        <v>242</v>
      </c>
      <c r="C119" t="s">
        <v>243</v>
      </c>
    </row>
    <row r="120" spans="1:3" ht="15.75" customHeight="1">
      <c r="A120" t="s">
        <v>13</v>
      </c>
      <c r="B120" t="s">
        <v>244</v>
      </c>
      <c r="C120" t="s">
        <v>11</v>
      </c>
    </row>
    <row r="121" spans="1:3" ht="15.75" customHeight="1">
      <c r="A121" t="s">
        <v>30</v>
      </c>
      <c r="B121" t="s">
        <v>245</v>
      </c>
      <c r="C121" t="s">
        <v>246</v>
      </c>
    </row>
    <row r="122" spans="1:3" ht="15.75" customHeight="1">
      <c r="A122" t="s">
        <v>30</v>
      </c>
      <c r="B122" t="s">
        <v>247</v>
      </c>
      <c r="C122" t="s">
        <v>248</v>
      </c>
    </row>
    <row r="123" spans="1:3" ht="15.75" customHeight="1">
      <c r="A123" t="s">
        <v>103</v>
      </c>
      <c r="B123" t="s">
        <v>249</v>
      </c>
      <c r="C123" t="s">
        <v>250</v>
      </c>
    </row>
    <row r="124" spans="1:3" ht="15.75" customHeight="1">
      <c r="A124" t="s">
        <v>26</v>
      </c>
      <c r="B124" t="s">
        <v>251</v>
      </c>
      <c r="C124" t="s">
        <v>252</v>
      </c>
    </row>
    <row r="125" spans="1:3" ht="15.75" customHeight="1">
      <c r="A125" t="s">
        <v>26</v>
      </c>
      <c r="B125" t="s">
        <v>253</v>
      </c>
      <c r="C125" t="s">
        <v>254</v>
      </c>
    </row>
    <row r="126" spans="1:3" ht="15.75" customHeight="1">
      <c r="A126" t="s">
        <v>26</v>
      </c>
      <c r="B126" t="s">
        <v>255</v>
      </c>
      <c r="C126" t="s">
        <v>256</v>
      </c>
    </row>
    <row r="127" spans="1:3" ht="15.75" customHeight="1">
      <c r="A127" t="s">
        <v>26</v>
      </c>
      <c r="B127" t="s">
        <v>257</v>
      </c>
      <c r="C127" t="s">
        <v>258</v>
      </c>
    </row>
    <row r="128" spans="1:3" ht="15.75" customHeight="1">
      <c r="A128" t="s">
        <v>26</v>
      </c>
      <c r="B128" t="s">
        <v>259</v>
      </c>
      <c r="C128" t="s">
        <v>260</v>
      </c>
    </row>
    <row r="129" spans="1:3" ht="15.75" customHeight="1">
      <c r="A129" t="s">
        <v>26</v>
      </c>
      <c r="B129" t="s">
        <v>261</v>
      </c>
      <c r="C129" t="s">
        <v>262</v>
      </c>
    </row>
    <row r="130" spans="1:3" ht="15.75" customHeight="1">
      <c r="A130" t="s">
        <v>26</v>
      </c>
      <c r="B130" t="s">
        <v>263</v>
      </c>
      <c r="C130" t="s">
        <v>264</v>
      </c>
    </row>
    <row r="131" spans="1:3" ht="15.75" customHeight="1">
      <c r="A131" t="s">
        <v>26</v>
      </c>
      <c r="B131" t="s">
        <v>265</v>
      </c>
      <c r="C131" t="s">
        <v>266</v>
      </c>
    </row>
    <row r="132" spans="1:3" ht="15.75" customHeight="1">
      <c r="A132" t="s">
        <v>26</v>
      </c>
      <c r="B132" t="s">
        <v>267</v>
      </c>
      <c r="C132" t="s">
        <v>268</v>
      </c>
    </row>
    <row r="133" spans="1:3" ht="15.75" customHeight="1">
      <c r="A133" t="s">
        <v>26</v>
      </c>
      <c r="B133" t="s">
        <v>269</v>
      </c>
      <c r="C133" t="s">
        <v>270</v>
      </c>
    </row>
    <row r="134" spans="1:3" ht="15.75" customHeight="1">
      <c r="A134" t="s">
        <v>271</v>
      </c>
      <c r="B134" t="s">
        <v>272</v>
      </c>
      <c r="C134" t="s">
        <v>273</v>
      </c>
    </row>
    <row r="135" spans="1:3" ht="15.75" customHeight="1">
      <c r="A135" t="s">
        <v>26</v>
      </c>
      <c r="B135" t="s">
        <v>274</v>
      </c>
      <c r="C135" t="s">
        <v>275</v>
      </c>
    </row>
    <row r="136" spans="1:3" ht="15.75" customHeight="1">
      <c r="A136" t="s">
        <v>26</v>
      </c>
      <c r="B136" t="s">
        <v>276</v>
      </c>
      <c r="C136" t="s">
        <v>277</v>
      </c>
    </row>
    <row r="137" spans="1:3" ht="15.75" customHeight="1">
      <c r="A137" t="s">
        <v>13</v>
      </c>
      <c r="B137" t="s">
        <v>278</v>
      </c>
    </row>
    <row r="138" spans="1:3" ht="15.75" customHeight="1">
      <c r="A138" t="s">
        <v>103</v>
      </c>
      <c r="B138" t="s">
        <v>279</v>
      </c>
      <c r="C138" t="s">
        <v>280</v>
      </c>
    </row>
    <row r="139" spans="1:3" ht="15.75" customHeight="1">
      <c r="A139" t="s">
        <v>26</v>
      </c>
      <c r="B139" t="s">
        <v>281</v>
      </c>
      <c r="C139" t="s">
        <v>282</v>
      </c>
    </row>
    <row r="140" spans="1:3" ht="15.75" customHeight="1">
      <c r="A140" t="s">
        <v>26</v>
      </c>
      <c r="B140" t="s">
        <v>283</v>
      </c>
      <c r="C140" t="s">
        <v>284</v>
      </c>
    </row>
    <row r="141" spans="1:3" ht="15.75" customHeight="1">
      <c r="A141" t="s">
        <v>26</v>
      </c>
      <c r="B141" t="s">
        <v>285</v>
      </c>
      <c r="C141" t="s">
        <v>286</v>
      </c>
    </row>
    <row r="142" spans="1:3" ht="15.75" customHeight="1">
      <c r="A142" t="s">
        <v>26</v>
      </c>
      <c r="B142" t="s">
        <v>287</v>
      </c>
      <c r="C142" t="s">
        <v>288</v>
      </c>
    </row>
    <row r="143" spans="1:3" ht="15.75" customHeight="1">
      <c r="A143" t="s">
        <v>26</v>
      </c>
      <c r="B143" t="s">
        <v>289</v>
      </c>
      <c r="C143" t="s">
        <v>290</v>
      </c>
    </row>
    <row r="144" spans="1:3" ht="15.75" customHeight="1">
      <c r="A144" t="s">
        <v>26</v>
      </c>
      <c r="B144" t="s">
        <v>291</v>
      </c>
      <c r="C144" t="s">
        <v>292</v>
      </c>
    </row>
    <row r="145" spans="1:3" ht="15.75" customHeight="1">
      <c r="A145" t="s">
        <v>26</v>
      </c>
      <c r="B145" t="s">
        <v>293</v>
      </c>
      <c r="C145" t="s">
        <v>294</v>
      </c>
    </row>
    <row r="146" spans="1:3" ht="15.75" customHeight="1">
      <c r="A146" t="s">
        <v>26</v>
      </c>
      <c r="B146" t="s">
        <v>295</v>
      </c>
      <c r="C146" t="s">
        <v>296</v>
      </c>
    </row>
    <row r="147" spans="1:3" ht="15.75" customHeight="1">
      <c r="A147" t="s">
        <v>26</v>
      </c>
      <c r="B147" t="s">
        <v>297</v>
      </c>
      <c r="C147" t="s">
        <v>298</v>
      </c>
    </row>
    <row r="148" spans="1:3" ht="15.75" customHeight="1">
      <c r="A148" t="s">
        <v>26</v>
      </c>
      <c r="B148" t="s">
        <v>299</v>
      </c>
      <c r="C148" t="s">
        <v>300</v>
      </c>
    </row>
    <row r="149" spans="1:3" ht="15.75" customHeight="1">
      <c r="A149" t="s">
        <v>103</v>
      </c>
      <c r="B149" t="s">
        <v>301</v>
      </c>
      <c r="C149" t="s">
        <v>302</v>
      </c>
    </row>
    <row r="150" spans="1:3" ht="15.75" customHeight="1">
      <c r="A150" t="s">
        <v>103</v>
      </c>
      <c r="B150" t="s">
        <v>303</v>
      </c>
      <c r="C150" t="s">
        <v>304</v>
      </c>
    </row>
    <row r="151" spans="1:3" ht="15.75" customHeight="1">
      <c r="A151" t="s">
        <v>13</v>
      </c>
      <c r="B151" t="s">
        <v>305</v>
      </c>
      <c r="C151" t="s">
        <v>306</v>
      </c>
    </row>
    <row r="152" spans="1:3" ht="15.75" customHeight="1">
      <c r="A152" t="s">
        <v>30</v>
      </c>
      <c r="B152" t="s">
        <v>307</v>
      </c>
      <c r="C152" t="s">
        <v>308</v>
      </c>
    </row>
    <row r="153" spans="1:3" ht="15.75" customHeight="1">
      <c r="A153" t="s">
        <v>65</v>
      </c>
      <c r="B153" t="s">
        <v>309</v>
      </c>
      <c r="C153" t="s">
        <v>310</v>
      </c>
    </row>
    <row r="154" spans="1:3" ht="15.75" customHeight="1">
      <c r="A154" t="s">
        <v>65</v>
      </c>
      <c r="B154" t="s">
        <v>311</v>
      </c>
      <c r="C154" t="s">
        <v>312</v>
      </c>
    </row>
    <row r="155" spans="1:3" ht="15.75" customHeight="1">
      <c r="A155" t="s">
        <v>30</v>
      </c>
      <c r="B155" t="s">
        <v>313</v>
      </c>
      <c r="C155" t="s">
        <v>314</v>
      </c>
    </row>
    <row r="156" spans="1:3" ht="15.75" customHeight="1">
      <c r="A156" t="s">
        <v>30</v>
      </c>
      <c r="B156" t="s">
        <v>315</v>
      </c>
      <c r="C156" t="s">
        <v>316</v>
      </c>
    </row>
    <row r="157" spans="1:3" ht="15.75" customHeight="1">
      <c r="A157" t="s">
        <v>30</v>
      </c>
      <c r="B157" t="s">
        <v>317</v>
      </c>
      <c r="C157" t="s">
        <v>318</v>
      </c>
    </row>
    <row r="158" spans="1:3" ht="15.75" customHeight="1">
      <c r="A158" t="s">
        <v>30</v>
      </c>
      <c r="B158" t="s">
        <v>319</v>
      </c>
      <c r="C158" t="s">
        <v>320</v>
      </c>
    </row>
    <row r="159" spans="1:3" ht="15.75" customHeight="1">
      <c r="A159" t="s">
        <v>13</v>
      </c>
      <c r="B159" t="s">
        <v>321</v>
      </c>
      <c r="C159" t="s">
        <v>322</v>
      </c>
    </row>
    <row r="160" spans="1:3" ht="15.75" customHeight="1">
      <c r="A160" t="s">
        <v>30</v>
      </c>
      <c r="B160" t="s">
        <v>323</v>
      </c>
      <c r="C160" t="s">
        <v>324</v>
      </c>
    </row>
    <row r="161" spans="1:3" ht="15.75" customHeight="1">
      <c r="A161" t="s">
        <v>30</v>
      </c>
      <c r="B161" t="s">
        <v>325</v>
      </c>
      <c r="C161" t="s">
        <v>326</v>
      </c>
    </row>
    <row r="162" spans="1:3" ht="15.75" customHeight="1">
      <c r="A162" t="s">
        <v>13</v>
      </c>
      <c r="B162" t="s">
        <v>327</v>
      </c>
      <c r="C162" t="s">
        <v>328</v>
      </c>
    </row>
    <row r="163" spans="1:3" ht="15.75" customHeight="1">
      <c r="A163" t="s">
        <v>13</v>
      </c>
      <c r="B163" t="s">
        <v>329</v>
      </c>
      <c r="C163" t="s">
        <v>330</v>
      </c>
    </row>
    <row r="164" spans="1:3" ht="15.75" customHeight="1">
      <c r="A164" t="s">
        <v>13</v>
      </c>
      <c r="B164" t="s">
        <v>331</v>
      </c>
      <c r="C164" t="s">
        <v>332</v>
      </c>
    </row>
    <row r="165" spans="1:3" ht="15.75" customHeight="1">
      <c r="A165" t="s">
        <v>30</v>
      </c>
      <c r="B165" t="s">
        <v>333</v>
      </c>
    </row>
    <row r="166" spans="1:3" ht="15.75" customHeight="1">
      <c r="A166" t="s">
        <v>30</v>
      </c>
      <c r="B166" t="s">
        <v>334</v>
      </c>
    </row>
    <row r="167" spans="1:3" ht="15.75" customHeight="1">
      <c r="A167" t="s">
        <v>13</v>
      </c>
      <c r="B167" t="s">
        <v>335</v>
      </c>
      <c r="C167" t="s">
        <v>336</v>
      </c>
    </row>
    <row r="168" spans="1:3" ht="15.75" customHeight="1">
      <c r="A168" t="s">
        <v>13</v>
      </c>
      <c r="B168" t="s">
        <v>337</v>
      </c>
      <c r="C168" t="s">
        <v>338</v>
      </c>
    </row>
    <row r="169" spans="1:3" ht="15.75" customHeight="1">
      <c r="A169" t="s">
        <v>13</v>
      </c>
      <c r="B169" t="s">
        <v>339</v>
      </c>
      <c r="C169" t="s">
        <v>340</v>
      </c>
    </row>
    <row r="170" spans="1:3" ht="15.75" customHeight="1">
      <c r="A170" t="s">
        <v>13</v>
      </c>
      <c r="B170" t="s">
        <v>341</v>
      </c>
      <c r="C170" t="s">
        <v>342</v>
      </c>
    </row>
    <row r="171" spans="1:3" ht="15.75" customHeight="1">
      <c r="A171" t="s">
        <v>13</v>
      </c>
      <c r="B171" t="s">
        <v>343</v>
      </c>
      <c r="C171" t="s">
        <v>344</v>
      </c>
    </row>
    <row r="172" spans="1:3" ht="15.75" customHeight="1">
      <c r="A172" t="s">
        <v>26</v>
      </c>
      <c r="B172" t="s">
        <v>345</v>
      </c>
      <c r="C172" t="s">
        <v>346</v>
      </c>
    </row>
    <row r="173" spans="1:3" ht="15.75" customHeight="1">
      <c r="A173" t="s">
        <v>26</v>
      </c>
      <c r="B173" t="s">
        <v>347</v>
      </c>
      <c r="C173" t="s">
        <v>348</v>
      </c>
    </row>
    <row r="174" spans="1:3" ht="15.75" customHeight="1">
      <c r="A174" t="s">
        <v>26</v>
      </c>
      <c r="B174" t="s">
        <v>349</v>
      </c>
      <c r="C174" t="s">
        <v>350</v>
      </c>
    </row>
    <row r="175" spans="1:3" ht="15.75" customHeight="1">
      <c r="A175" t="s">
        <v>26</v>
      </c>
      <c r="B175" t="s">
        <v>351</v>
      </c>
      <c r="C175" t="s">
        <v>352</v>
      </c>
    </row>
    <row r="176" spans="1:3" ht="15.75" customHeight="1">
      <c r="A176" t="s">
        <v>30</v>
      </c>
      <c r="B176" t="s">
        <v>353</v>
      </c>
      <c r="C176" t="s">
        <v>354</v>
      </c>
    </row>
    <row r="177" spans="1:3" ht="15.75" customHeight="1">
      <c r="A177" t="s">
        <v>30</v>
      </c>
      <c r="B177" t="s">
        <v>355</v>
      </c>
      <c r="C177" t="s">
        <v>356</v>
      </c>
    </row>
    <row r="178" spans="1:3" ht="15.75" customHeight="1">
      <c r="A178" t="s">
        <v>30</v>
      </c>
      <c r="B178" t="s">
        <v>357</v>
      </c>
      <c r="C178" t="s">
        <v>358</v>
      </c>
    </row>
    <row r="179" spans="1:3" ht="15.75" customHeight="1">
      <c r="A179" t="s">
        <v>30</v>
      </c>
      <c r="B179" t="s">
        <v>359</v>
      </c>
      <c r="C179" t="s">
        <v>360</v>
      </c>
    </row>
    <row r="180" spans="1:3" ht="15.75" customHeight="1">
      <c r="A180" t="s">
        <v>30</v>
      </c>
      <c r="B180" t="s">
        <v>361</v>
      </c>
      <c r="C180" t="s">
        <v>362</v>
      </c>
    </row>
    <row r="181" spans="1:3" ht="15.75" customHeight="1">
      <c r="A181" t="s">
        <v>13</v>
      </c>
      <c r="B181" t="s">
        <v>363</v>
      </c>
      <c r="C181" t="s">
        <v>364</v>
      </c>
    </row>
    <row r="182" spans="1:3" ht="15.75" customHeight="1">
      <c r="A182" t="s">
        <v>49</v>
      </c>
      <c r="B182" t="s">
        <v>365</v>
      </c>
      <c r="C182" t="s">
        <v>367</v>
      </c>
    </row>
    <row r="183" spans="1:3" ht="15.75" customHeight="1">
      <c r="A183" t="s">
        <v>49</v>
      </c>
      <c r="B183" t="s">
        <v>368</v>
      </c>
      <c r="C183" t="s">
        <v>369</v>
      </c>
    </row>
    <row r="184" spans="1:3" ht="15.75" customHeight="1">
      <c r="A184" t="s">
        <v>49</v>
      </c>
      <c r="B184" t="s">
        <v>370</v>
      </c>
      <c r="C184" t="s">
        <v>371</v>
      </c>
    </row>
    <row r="185" spans="1:3" ht="15.75" customHeight="1">
      <c r="A185" t="s">
        <v>49</v>
      </c>
      <c r="B185" t="s">
        <v>372</v>
      </c>
      <c r="C185" t="s">
        <v>374</v>
      </c>
    </row>
    <row r="186" spans="1:3" ht="15.75" customHeight="1">
      <c r="A186" t="s">
        <v>49</v>
      </c>
      <c r="B186" t="s">
        <v>375</v>
      </c>
      <c r="C186" t="s">
        <v>376</v>
      </c>
    </row>
    <row r="187" spans="1:3" ht="15.75" customHeight="1">
      <c r="A187" t="s">
        <v>13</v>
      </c>
      <c r="B187" t="s">
        <v>377</v>
      </c>
      <c r="C187" t="s">
        <v>378</v>
      </c>
    </row>
    <row r="188" spans="1:3" ht="15.75" customHeight="1">
      <c r="A188" t="s">
        <v>49</v>
      </c>
      <c r="B188" t="s">
        <v>379</v>
      </c>
      <c r="C188" t="s">
        <v>380</v>
      </c>
    </row>
    <row r="189" spans="1:3" ht="15.75" customHeight="1">
      <c r="A189" t="s">
        <v>13</v>
      </c>
      <c r="B189" t="s">
        <v>381</v>
      </c>
      <c r="C189" t="s">
        <v>382</v>
      </c>
    </row>
    <row r="190" spans="1:3" ht="15.75" customHeight="1">
      <c r="A190" t="s">
        <v>49</v>
      </c>
      <c r="B190" t="s">
        <v>383</v>
      </c>
      <c r="C190" t="s">
        <v>384</v>
      </c>
    </row>
    <row r="191" spans="1:3" ht="15.75" customHeight="1">
      <c r="A191" t="s">
        <v>49</v>
      </c>
      <c r="B191" t="s">
        <v>385</v>
      </c>
      <c r="C191" t="s">
        <v>386</v>
      </c>
    </row>
    <row r="192" spans="1:3" ht="15.75" customHeight="1">
      <c r="A192" t="s">
        <v>49</v>
      </c>
      <c r="B192" t="s">
        <v>387</v>
      </c>
      <c r="C192" t="s">
        <v>388</v>
      </c>
    </row>
    <row r="193" spans="1:3" ht="15.75" customHeight="1">
      <c r="A193" t="s">
        <v>49</v>
      </c>
      <c r="B193" t="s">
        <v>389</v>
      </c>
      <c r="C193" t="s">
        <v>390</v>
      </c>
    </row>
    <row r="194" spans="1:3" ht="15.75" customHeight="1">
      <c r="A194" t="s">
        <v>49</v>
      </c>
      <c r="B194" t="s">
        <v>391</v>
      </c>
      <c r="C194" t="s">
        <v>392</v>
      </c>
    </row>
    <row r="195" spans="1:3" ht="15.75" customHeight="1">
      <c r="A195" t="s">
        <v>13</v>
      </c>
      <c r="B195" t="s">
        <v>393</v>
      </c>
      <c r="C195" t="s">
        <v>394</v>
      </c>
    </row>
    <row r="196" spans="1:3" ht="15.75" customHeight="1">
      <c r="A196" t="s">
        <v>13</v>
      </c>
      <c r="B196" t="s">
        <v>395</v>
      </c>
      <c r="C196" t="s">
        <v>396</v>
      </c>
    </row>
    <row r="197" spans="1:3" ht="15.75" customHeight="1">
      <c r="A197" t="s">
        <v>13</v>
      </c>
      <c r="B197" t="s">
        <v>397</v>
      </c>
      <c r="C197" t="s">
        <v>398</v>
      </c>
    </row>
    <row r="198" spans="1:3" ht="15.75" customHeight="1">
      <c r="A198" t="s">
        <v>13</v>
      </c>
      <c r="B198" t="s">
        <v>399</v>
      </c>
      <c r="C198" t="s">
        <v>400</v>
      </c>
    </row>
    <row r="199" spans="1:3" ht="15.75" customHeight="1">
      <c r="A199" t="s">
        <v>13</v>
      </c>
      <c r="B199" t="s">
        <v>16</v>
      </c>
      <c r="C199" t="s">
        <v>17</v>
      </c>
    </row>
    <row r="200" spans="1:3" ht="15.75" customHeight="1">
      <c r="A200" t="s">
        <v>49</v>
      </c>
      <c r="B200" t="s">
        <v>401</v>
      </c>
      <c r="C200" t="s">
        <v>402</v>
      </c>
    </row>
    <row r="201" spans="1:3" ht="15.75" customHeight="1">
      <c r="A201" t="s">
        <v>49</v>
      </c>
      <c r="B201" t="s">
        <v>403</v>
      </c>
      <c r="C201" t="s">
        <v>404</v>
      </c>
    </row>
    <row r="202" spans="1:3" ht="15.75" customHeight="1">
      <c r="A202" t="s">
        <v>30</v>
      </c>
      <c r="B202" t="s">
        <v>405</v>
      </c>
      <c r="C202" t="s">
        <v>406</v>
      </c>
    </row>
    <row r="203" spans="1:3" ht="15.75" customHeight="1">
      <c r="A203" t="s">
        <v>30</v>
      </c>
      <c r="B203" t="s">
        <v>407</v>
      </c>
      <c r="C203" t="s">
        <v>408</v>
      </c>
    </row>
    <row r="204" spans="1:3" ht="15.75" customHeight="1">
      <c r="A204" t="s">
        <v>26</v>
      </c>
      <c r="B204" t="s">
        <v>409</v>
      </c>
      <c r="C204" t="s">
        <v>410</v>
      </c>
    </row>
    <row r="205" spans="1:3" ht="15.75" customHeight="1">
      <c r="A205" t="s">
        <v>26</v>
      </c>
      <c r="B205" t="s">
        <v>411</v>
      </c>
      <c r="C205" t="s">
        <v>412</v>
      </c>
    </row>
    <row r="206" spans="1:3" ht="15.75" customHeight="1">
      <c r="A206" t="s">
        <v>26</v>
      </c>
      <c r="B206" t="s">
        <v>413</v>
      </c>
      <c r="C206" t="s">
        <v>414</v>
      </c>
    </row>
    <row r="207" spans="1:3" ht="15.75" customHeight="1">
      <c r="A207" t="s">
        <v>26</v>
      </c>
      <c r="B207" t="s">
        <v>415</v>
      </c>
      <c r="C207" t="s">
        <v>416</v>
      </c>
    </row>
    <row r="208" spans="1:3" ht="15.75" customHeight="1">
      <c r="A208" t="s">
        <v>26</v>
      </c>
      <c r="B208" t="s">
        <v>417</v>
      </c>
      <c r="C208" t="s">
        <v>418</v>
      </c>
    </row>
    <row r="209" spans="1:3" ht="15.75" customHeight="1">
      <c r="A209" t="s">
        <v>26</v>
      </c>
      <c r="B209" t="s">
        <v>419</v>
      </c>
      <c r="C209" t="s">
        <v>420</v>
      </c>
    </row>
    <row r="210" spans="1:3" ht="15.75" customHeight="1">
      <c r="A210" t="s">
        <v>26</v>
      </c>
      <c r="B210" t="s">
        <v>421</v>
      </c>
      <c r="C210" t="s">
        <v>422</v>
      </c>
    </row>
    <row r="211" spans="1:3" ht="15.75" customHeight="1">
      <c r="A211" t="s">
        <v>26</v>
      </c>
      <c r="B211" t="s">
        <v>423</v>
      </c>
      <c r="C211" t="s">
        <v>424</v>
      </c>
    </row>
    <row r="212" spans="1:3" ht="15.75" customHeight="1">
      <c r="A212" t="s">
        <v>26</v>
      </c>
      <c r="B212" t="s">
        <v>425</v>
      </c>
      <c r="C212" t="s">
        <v>426</v>
      </c>
    </row>
    <row r="213" spans="1:3" ht="15.75" customHeight="1">
      <c r="A213" t="s">
        <v>26</v>
      </c>
      <c r="B213" t="s">
        <v>427</v>
      </c>
      <c r="C213" t="s">
        <v>428</v>
      </c>
    </row>
    <row r="214" spans="1:3" ht="15.75" customHeight="1">
      <c r="A214" t="s">
        <v>49</v>
      </c>
      <c r="B214" t="s">
        <v>429</v>
      </c>
      <c r="C214" t="s">
        <v>430</v>
      </c>
    </row>
    <row r="215" spans="1:3" ht="15.75" customHeight="1">
      <c r="A215" t="s">
        <v>49</v>
      </c>
      <c r="B215" t="s">
        <v>431</v>
      </c>
      <c r="C215" t="s">
        <v>432</v>
      </c>
    </row>
    <row r="216" spans="1:3" ht="15.75" customHeight="1">
      <c r="A216" t="s">
        <v>49</v>
      </c>
      <c r="B216" t="s">
        <v>433</v>
      </c>
      <c r="C216" t="s">
        <v>434</v>
      </c>
    </row>
    <row r="217" spans="1:3" ht="15.75" customHeight="1">
      <c r="A217" t="s">
        <v>49</v>
      </c>
      <c r="B217" t="s">
        <v>435</v>
      </c>
      <c r="C217" t="s">
        <v>436</v>
      </c>
    </row>
    <row r="218" spans="1:3" ht="15.75" customHeight="1">
      <c r="A218" t="s">
        <v>271</v>
      </c>
      <c r="B218" t="s">
        <v>437</v>
      </c>
      <c r="C218" t="s">
        <v>438</v>
      </c>
    </row>
    <row r="219" spans="1:3" ht="15.75" customHeight="1">
      <c r="A219" t="s">
        <v>271</v>
      </c>
      <c r="B219" t="s">
        <v>439</v>
      </c>
      <c r="C219" t="s">
        <v>440</v>
      </c>
    </row>
    <row r="220" spans="1:3" ht="15.75" customHeight="1">
      <c r="A220" t="s">
        <v>271</v>
      </c>
      <c r="B220" t="s">
        <v>441</v>
      </c>
      <c r="C220" t="s">
        <v>442</v>
      </c>
    </row>
    <row r="221" spans="1:3" ht="15.75" customHeight="1">
      <c r="A221" t="s">
        <v>271</v>
      </c>
      <c r="B221" t="s">
        <v>443</v>
      </c>
      <c r="C221" t="s">
        <v>444</v>
      </c>
    </row>
    <row r="222" spans="1:3" ht="15.75" customHeight="1">
      <c r="A222" t="s">
        <v>271</v>
      </c>
      <c r="B222" t="s">
        <v>445</v>
      </c>
      <c r="C222" t="s">
        <v>446</v>
      </c>
    </row>
    <row r="223" spans="1:3" ht="15.75" customHeight="1">
      <c r="A223" t="s">
        <v>271</v>
      </c>
      <c r="B223" t="s">
        <v>447</v>
      </c>
      <c r="C223" t="s">
        <v>448</v>
      </c>
    </row>
    <row r="224" spans="1:3" ht="15.75" customHeight="1">
      <c r="A224" t="s">
        <v>271</v>
      </c>
      <c r="B224" t="s">
        <v>449</v>
      </c>
      <c r="C224" t="s">
        <v>450</v>
      </c>
    </row>
    <row r="225" spans="1:3" ht="15.75" customHeight="1">
      <c r="A225" t="s">
        <v>271</v>
      </c>
      <c r="B225" t="s">
        <v>451</v>
      </c>
      <c r="C225" t="s">
        <v>452</v>
      </c>
    </row>
    <row r="226" spans="1:3" ht="15.75" customHeight="1">
      <c r="A226" t="s">
        <v>271</v>
      </c>
      <c r="B226" t="s">
        <v>453</v>
      </c>
      <c r="C226" t="s">
        <v>454</v>
      </c>
    </row>
    <row r="227" spans="1:3" ht="15.75" customHeight="1">
      <c r="A227" t="s">
        <v>271</v>
      </c>
      <c r="B227" t="s">
        <v>455</v>
      </c>
      <c r="C227" t="s">
        <v>456</v>
      </c>
    </row>
    <row r="228" spans="1:3" ht="15.75" customHeight="1">
      <c r="A228" t="s">
        <v>271</v>
      </c>
      <c r="B228" t="s">
        <v>457</v>
      </c>
      <c r="C228" t="s">
        <v>458</v>
      </c>
    </row>
    <row r="229" spans="1:3" ht="15.75" customHeight="1">
      <c r="A229" t="s">
        <v>271</v>
      </c>
      <c r="B229" t="s">
        <v>459</v>
      </c>
      <c r="C229" t="s">
        <v>460</v>
      </c>
    </row>
    <row r="230" spans="1:3" ht="15.75" customHeight="1">
      <c r="A230" t="s">
        <v>271</v>
      </c>
      <c r="B230" t="s">
        <v>461</v>
      </c>
      <c r="C230" t="s">
        <v>462</v>
      </c>
    </row>
    <row r="231" spans="1:3" ht="15.75" customHeight="1">
      <c r="A231" t="s">
        <v>271</v>
      </c>
      <c r="B231" t="s">
        <v>463</v>
      </c>
      <c r="C231" t="s">
        <v>464</v>
      </c>
    </row>
    <row r="232" spans="1:3" ht="15.75" customHeight="1">
      <c r="A232" t="s">
        <v>271</v>
      </c>
      <c r="B232" t="s">
        <v>465</v>
      </c>
      <c r="C232" t="s">
        <v>466</v>
      </c>
    </row>
    <row r="233" spans="1:3" ht="15.75" customHeight="1">
      <c r="A233" t="s">
        <v>271</v>
      </c>
      <c r="B233" t="s">
        <v>467</v>
      </c>
      <c r="C233" t="s">
        <v>468</v>
      </c>
    </row>
    <row r="234" spans="1:3" ht="15.75" customHeight="1">
      <c r="A234" t="s">
        <v>271</v>
      </c>
      <c r="B234" t="s">
        <v>272</v>
      </c>
      <c r="C234" t="s">
        <v>273</v>
      </c>
    </row>
    <row r="235" spans="1:3" ht="15.75" customHeight="1">
      <c r="A235" t="s">
        <v>271</v>
      </c>
      <c r="B235" t="s">
        <v>469</v>
      </c>
      <c r="C235" t="s">
        <v>470</v>
      </c>
    </row>
    <row r="236" spans="1:3" ht="15.75" customHeight="1">
      <c r="A236" t="s">
        <v>271</v>
      </c>
      <c r="B236" t="s">
        <v>471</v>
      </c>
      <c r="C236" t="s">
        <v>472</v>
      </c>
    </row>
    <row r="237" spans="1:3" ht="15.75" customHeight="1">
      <c r="A237" t="s">
        <v>271</v>
      </c>
      <c r="B237" t="s">
        <v>473</v>
      </c>
      <c r="C237" t="s">
        <v>474</v>
      </c>
    </row>
    <row r="238" spans="1:3" ht="15.75" customHeight="1">
      <c r="A238" t="s">
        <v>271</v>
      </c>
      <c r="B238" t="s">
        <v>399</v>
      </c>
      <c r="C238" t="s">
        <v>475</v>
      </c>
    </row>
    <row r="239" spans="1:3" ht="15.75" customHeight="1">
      <c r="A239" t="s">
        <v>271</v>
      </c>
      <c r="B239" t="s">
        <v>476</v>
      </c>
      <c r="C239" t="s">
        <v>477</v>
      </c>
    </row>
    <row r="240" spans="1:3" ht="15.75" customHeight="1">
      <c r="A240" t="s">
        <v>271</v>
      </c>
      <c r="B240" t="s">
        <v>478</v>
      </c>
      <c r="C240" t="s">
        <v>479</v>
      </c>
    </row>
    <row r="241" spans="1:3" ht="15.75" customHeight="1">
      <c r="A241" t="s">
        <v>271</v>
      </c>
      <c r="B241" t="s">
        <v>480</v>
      </c>
      <c r="C241" t="s">
        <v>481</v>
      </c>
    </row>
    <row r="242" spans="1:3" ht="15.75" customHeight="1">
      <c r="A242" t="s">
        <v>271</v>
      </c>
      <c r="B242" t="s">
        <v>482</v>
      </c>
      <c r="C242" t="s">
        <v>483</v>
      </c>
    </row>
    <row r="243" spans="1:3" ht="15.75" customHeight="1">
      <c r="A243" t="s">
        <v>30</v>
      </c>
      <c r="B243" t="s">
        <v>485</v>
      </c>
      <c r="C243" t="s">
        <v>486</v>
      </c>
    </row>
    <row r="244" spans="1:3" ht="15.75" customHeight="1">
      <c r="A244" t="s">
        <v>30</v>
      </c>
      <c r="B244" t="s">
        <v>489</v>
      </c>
    </row>
    <row r="245" spans="1:3" ht="15.75" customHeight="1">
      <c r="A245" t="s">
        <v>30</v>
      </c>
      <c r="B245" t="s">
        <v>490</v>
      </c>
      <c r="C245" t="s">
        <v>492</v>
      </c>
    </row>
    <row r="246" spans="1:3" ht="15.75" customHeight="1">
      <c r="A246" t="s">
        <v>30</v>
      </c>
      <c r="B246" t="s">
        <v>493</v>
      </c>
      <c r="C246" t="s">
        <v>494</v>
      </c>
    </row>
    <row r="247" spans="1:3" ht="15.75" customHeight="1">
      <c r="A247" t="s">
        <v>49</v>
      </c>
      <c r="B247" t="s">
        <v>50</v>
      </c>
      <c r="C247" t="s">
        <v>51</v>
      </c>
    </row>
    <row r="248" spans="1:3" ht="15.75" customHeight="1">
      <c r="A248" t="s">
        <v>49</v>
      </c>
      <c r="B248" t="s">
        <v>495</v>
      </c>
      <c r="C248" t="s">
        <v>496</v>
      </c>
    </row>
    <row r="249" spans="1:3" ht="15.75" customHeight="1">
      <c r="A249" t="s">
        <v>49</v>
      </c>
      <c r="B249" t="s">
        <v>52</v>
      </c>
      <c r="C249" t="s">
        <v>53</v>
      </c>
    </row>
    <row r="250" spans="1:3" ht="15.75" customHeight="1">
      <c r="A250" t="s">
        <v>30</v>
      </c>
      <c r="B250" t="s">
        <v>497</v>
      </c>
      <c r="C250" t="s">
        <v>498</v>
      </c>
    </row>
    <row r="251" spans="1:3" ht="15.75" customHeight="1">
      <c r="A251" t="s">
        <v>49</v>
      </c>
      <c r="B251" t="s">
        <v>499</v>
      </c>
      <c r="C251" t="s">
        <v>500</v>
      </c>
    </row>
    <row r="252" spans="1:3" ht="15.75" customHeight="1">
      <c r="A252" t="s">
        <v>49</v>
      </c>
      <c r="B252" t="s">
        <v>501</v>
      </c>
      <c r="C252" t="s">
        <v>502</v>
      </c>
    </row>
    <row r="253" spans="1:3" ht="15.75" customHeight="1">
      <c r="A253" t="s">
        <v>49</v>
      </c>
      <c r="B253" t="s">
        <v>503</v>
      </c>
      <c r="C253" t="s">
        <v>504</v>
      </c>
    </row>
    <row r="254" spans="1:3" ht="15.75" customHeight="1">
      <c r="A254" t="s">
        <v>49</v>
      </c>
      <c r="B254" t="s">
        <v>505</v>
      </c>
      <c r="C254" t="s">
        <v>506</v>
      </c>
    </row>
    <row r="255" spans="1:3" ht="15.75" customHeight="1">
      <c r="A255" t="s">
        <v>60</v>
      </c>
      <c r="B255" t="s">
        <v>507</v>
      </c>
      <c r="C255" t="s">
        <v>508</v>
      </c>
    </row>
    <row r="256" spans="1:3" ht="15.75" customHeight="1">
      <c r="A256" t="s">
        <v>60</v>
      </c>
      <c r="B256" t="s">
        <v>509</v>
      </c>
      <c r="C256" t="s">
        <v>510</v>
      </c>
    </row>
    <row r="257" spans="1:3" ht="15.75" customHeight="1">
      <c r="A257" t="s">
        <v>13</v>
      </c>
      <c r="B257" t="s">
        <v>511</v>
      </c>
    </row>
    <row r="258" spans="1:3" ht="15.75" customHeight="1">
      <c r="A258" t="s">
        <v>60</v>
      </c>
      <c r="B258" t="s">
        <v>512</v>
      </c>
    </row>
    <row r="259" spans="1:3" ht="15.75" customHeight="1">
      <c r="A259" t="s">
        <v>60</v>
      </c>
      <c r="B259" t="s">
        <v>513</v>
      </c>
    </row>
    <row r="260" spans="1:3" ht="15.75" customHeight="1">
      <c r="A260" t="s">
        <v>60</v>
      </c>
      <c r="B260" t="s">
        <v>514</v>
      </c>
      <c r="C260" t="s">
        <v>515</v>
      </c>
    </row>
    <row r="261" spans="1:3" ht="15.75" customHeight="1">
      <c r="A261" t="s">
        <v>30</v>
      </c>
      <c r="B261" t="s">
        <v>516</v>
      </c>
    </row>
    <row r="262" spans="1:3" ht="15.75" customHeight="1">
      <c r="A262" t="s">
        <v>26</v>
      </c>
      <c r="B262" t="s">
        <v>517</v>
      </c>
      <c r="C262" t="s">
        <v>518</v>
      </c>
    </row>
    <row r="263" spans="1:3" ht="15.75" customHeight="1">
      <c r="A263" t="s">
        <v>30</v>
      </c>
      <c r="B263" t="s">
        <v>519</v>
      </c>
      <c r="C263" t="s">
        <v>520</v>
      </c>
    </row>
    <row r="264" spans="1:3" ht="15.75" customHeight="1">
      <c r="A264" t="s">
        <v>103</v>
      </c>
      <c r="B264" t="s">
        <v>491</v>
      </c>
      <c r="C264" t="s">
        <v>521</v>
      </c>
    </row>
    <row r="265" spans="1:3" ht="15.75" customHeight="1">
      <c r="A265" t="s">
        <v>47</v>
      </c>
      <c r="B265" t="s">
        <v>522</v>
      </c>
      <c r="C265" t="s">
        <v>523</v>
      </c>
    </row>
    <row r="266" spans="1:3" ht="15.75" customHeight="1">
      <c r="A266" t="s">
        <v>103</v>
      </c>
      <c r="B266" t="s">
        <v>488</v>
      </c>
      <c r="C266" t="s">
        <v>524</v>
      </c>
    </row>
    <row r="267" spans="1:3" ht="15.75" customHeight="1">
      <c r="A267" t="s">
        <v>103</v>
      </c>
      <c r="B267" t="s">
        <v>487</v>
      </c>
      <c r="C267" t="s">
        <v>525</v>
      </c>
    </row>
    <row r="268" spans="1:3" ht="15.75" customHeight="1">
      <c r="A268" t="s">
        <v>526</v>
      </c>
      <c r="B268" t="s">
        <v>527</v>
      </c>
      <c r="C268" t="s">
        <v>528</v>
      </c>
    </row>
    <row r="269" spans="1:3" ht="15.75" customHeight="1">
      <c r="A269" t="s">
        <v>529</v>
      </c>
      <c r="B269" t="s">
        <v>530</v>
      </c>
      <c r="C269" t="s">
        <v>531</v>
      </c>
    </row>
    <row r="270" spans="1:3" ht="15.75" customHeight="1">
      <c r="A270" t="s">
        <v>532</v>
      </c>
      <c r="B270" t="s">
        <v>533</v>
      </c>
      <c r="C270" t="s">
        <v>534</v>
      </c>
    </row>
    <row r="271" spans="1:3" ht="15.75" customHeight="1">
      <c r="A271" t="s">
        <v>535</v>
      </c>
      <c r="B271" t="s">
        <v>536</v>
      </c>
      <c r="C271" t="s">
        <v>537</v>
      </c>
    </row>
    <row r="272" spans="1:3" ht="15.75" customHeight="1">
      <c r="A272" t="s">
        <v>535</v>
      </c>
      <c r="B272" t="s">
        <v>538</v>
      </c>
      <c r="C272" t="s">
        <v>539</v>
      </c>
    </row>
    <row r="273" spans="1:3" ht="15.75" customHeight="1">
      <c r="A273" t="s">
        <v>535</v>
      </c>
      <c r="B273" t="s">
        <v>540</v>
      </c>
      <c r="C273" t="s">
        <v>541</v>
      </c>
    </row>
    <row r="274" spans="1:3" ht="15.75" customHeight="1">
      <c r="A274" t="s">
        <v>535</v>
      </c>
      <c r="B274" t="s">
        <v>542</v>
      </c>
      <c r="C274" t="s">
        <v>543</v>
      </c>
    </row>
    <row r="275" spans="1:3" ht="15.75" customHeight="1">
      <c r="A275" t="s">
        <v>535</v>
      </c>
      <c r="B275" t="s">
        <v>544</v>
      </c>
      <c r="C275" t="s">
        <v>545</v>
      </c>
    </row>
    <row r="276" spans="1:3" ht="15.75" customHeight="1">
      <c r="A276" t="s">
        <v>535</v>
      </c>
      <c r="B276" t="s">
        <v>546</v>
      </c>
      <c r="C276" t="s">
        <v>547</v>
      </c>
    </row>
    <row r="277" spans="1:3" ht="15.75" customHeight="1">
      <c r="A277" t="s">
        <v>60</v>
      </c>
      <c r="B277" t="s">
        <v>548</v>
      </c>
      <c r="C277" t="s">
        <v>549</v>
      </c>
    </row>
    <row r="278" spans="1:3" ht="15.75" customHeight="1">
      <c r="A278" t="s">
        <v>535</v>
      </c>
      <c r="B278" t="s">
        <v>550</v>
      </c>
      <c r="C278" t="s">
        <v>551</v>
      </c>
    </row>
    <row r="279" spans="1:3" ht="15.75" customHeight="1">
      <c r="A279" t="s">
        <v>535</v>
      </c>
      <c r="B279" t="s">
        <v>553</v>
      </c>
      <c r="C279" t="s">
        <v>554</v>
      </c>
    </row>
    <row r="280" spans="1:3" ht="15.75" customHeight="1">
      <c r="A280" t="s">
        <v>535</v>
      </c>
      <c r="B280" t="s">
        <v>555</v>
      </c>
      <c r="C280" t="s">
        <v>556</v>
      </c>
    </row>
    <row r="281" spans="1:3" ht="15.75" customHeight="1">
      <c r="A281" t="s">
        <v>293</v>
      </c>
      <c r="B281" t="s">
        <v>557</v>
      </c>
      <c r="C281" t="s">
        <v>558</v>
      </c>
    </row>
    <row r="282" spans="1:3" ht="15.75" customHeight="1">
      <c r="A282" t="s">
        <v>293</v>
      </c>
      <c r="B282" t="s">
        <v>559</v>
      </c>
      <c r="C282" t="s">
        <v>560</v>
      </c>
    </row>
    <row r="283" spans="1:3" ht="15.75" customHeight="1">
      <c r="A283" t="s">
        <v>293</v>
      </c>
      <c r="B283" t="s">
        <v>561</v>
      </c>
      <c r="C283" t="s">
        <v>562</v>
      </c>
    </row>
    <row r="284" spans="1:3" ht="15.75" customHeight="1">
      <c r="A284" t="s">
        <v>293</v>
      </c>
      <c r="B284" t="s">
        <v>563</v>
      </c>
      <c r="C284" t="s">
        <v>564</v>
      </c>
    </row>
    <row r="285" spans="1:3" ht="15.75" customHeight="1">
      <c r="A285" t="s">
        <v>293</v>
      </c>
      <c r="B285" t="s">
        <v>565</v>
      </c>
      <c r="C285" t="s">
        <v>566</v>
      </c>
    </row>
    <row r="286" spans="1:3" ht="15.75" customHeight="1">
      <c r="A286" t="s">
        <v>13</v>
      </c>
      <c r="B286" t="s">
        <v>567</v>
      </c>
      <c r="C286" t="s">
        <v>182</v>
      </c>
    </row>
    <row r="287" spans="1:3" ht="15.75" customHeight="1">
      <c r="A287" t="s">
        <v>293</v>
      </c>
      <c r="B287" t="s">
        <v>568</v>
      </c>
      <c r="C287" t="s">
        <v>569</v>
      </c>
    </row>
    <row r="288" spans="1:3" ht="15.75" customHeight="1">
      <c r="A288" t="s">
        <v>13</v>
      </c>
      <c r="B288" t="s">
        <v>571</v>
      </c>
      <c r="C288" t="s">
        <v>573</v>
      </c>
    </row>
    <row r="289" spans="1:3" ht="15.75" customHeight="1">
      <c r="A289" t="s">
        <v>13</v>
      </c>
      <c r="B289" t="s">
        <v>576</v>
      </c>
      <c r="C289" t="s">
        <v>578</v>
      </c>
    </row>
    <row r="290" spans="1:3" ht="15.75" customHeight="1">
      <c r="A290" t="s">
        <v>13</v>
      </c>
      <c r="B290" t="s">
        <v>581</v>
      </c>
    </row>
    <row r="291" spans="1:3" ht="15.75" customHeight="1">
      <c r="A291" t="s">
        <v>26</v>
      </c>
      <c r="B291" t="s">
        <v>583</v>
      </c>
      <c r="C291" t="s">
        <v>585</v>
      </c>
    </row>
    <row r="292" spans="1:3" ht="15.75" customHeight="1">
      <c r="A292" t="s">
        <v>89</v>
      </c>
      <c r="B292" t="s">
        <v>591</v>
      </c>
      <c r="C292" t="s">
        <v>593</v>
      </c>
    </row>
    <row r="293" spans="1:3" ht="15.75" customHeight="1">
      <c r="A293" t="s">
        <v>13</v>
      </c>
      <c r="B293" t="s">
        <v>596</v>
      </c>
    </row>
    <row r="294" spans="1:3" ht="15.75" customHeight="1">
      <c r="A294" t="s">
        <v>13</v>
      </c>
      <c r="B294" t="s">
        <v>598</v>
      </c>
      <c r="C294" t="s">
        <v>144</v>
      </c>
    </row>
    <row r="295" spans="1:3" ht="15.75" customHeight="1">
      <c r="A295" t="s">
        <v>13</v>
      </c>
      <c r="B295" t="s">
        <v>599</v>
      </c>
      <c r="C295" t="s">
        <v>600</v>
      </c>
    </row>
    <row r="296" spans="1:3" ht="15.75" customHeight="1">
      <c r="A296" t="s">
        <v>13</v>
      </c>
      <c r="B296" t="s">
        <v>601</v>
      </c>
      <c r="C296" t="s">
        <v>602</v>
      </c>
    </row>
    <row r="297" spans="1:3" ht="15.75" customHeight="1">
      <c r="A297" t="s">
        <v>13</v>
      </c>
      <c r="B297" t="s">
        <v>603</v>
      </c>
      <c r="C297" t="s">
        <v>604</v>
      </c>
    </row>
    <row r="298" spans="1:3" ht="15.75" customHeight="1">
      <c r="A298" t="s">
        <v>13</v>
      </c>
      <c r="B298" t="s">
        <v>606</v>
      </c>
      <c r="C298" t="s">
        <v>607</v>
      </c>
    </row>
    <row r="299" spans="1:3" ht="15.75" customHeight="1">
      <c r="A299" t="s">
        <v>13</v>
      </c>
      <c r="B299" t="s">
        <v>610</v>
      </c>
    </row>
    <row r="300" spans="1:3" ht="15.75" customHeight="1">
      <c r="A300" t="s">
        <v>13</v>
      </c>
      <c r="B300" t="s">
        <v>613</v>
      </c>
      <c r="C300" t="s">
        <v>615</v>
      </c>
    </row>
    <row r="301" spans="1:3" ht="15.75" customHeight="1">
      <c r="A301" t="s">
        <v>13</v>
      </c>
      <c r="B301" t="s">
        <v>619</v>
      </c>
    </row>
    <row r="302" spans="1:3" ht="15.75" customHeight="1">
      <c r="A302" t="s">
        <v>13</v>
      </c>
      <c r="B302" t="s">
        <v>623</v>
      </c>
      <c r="C302" t="s">
        <v>625</v>
      </c>
    </row>
    <row r="303" spans="1:3" ht="15.75" customHeight="1">
      <c r="A303" t="s">
        <v>13</v>
      </c>
      <c r="B303" t="s">
        <v>629</v>
      </c>
      <c r="C303" t="s">
        <v>631</v>
      </c>
    </row>
    <row r="304" spans="1:3" ht="15.75" customHeight="1">
      <c r="A304" t="s">
        <v>13</v>
      </c>
      <c r="B304" t="s">
        <v>633</v>
      </c>
      <c r="C304" t="s">
        <v>635</v>
      </c>
    </row>
    <row r="305" spans="1:3" ht="15.75" customHeight="1">
      <c r="A305" t="s">
        <v>13</v>
      </c>
      <c r="B305" t="s">
        <v>636</v>
      </c>
      <c r="C305" t="s">
        <v>637</v>
      </c>
    </row>
    <row r="306" spans="1:3" ht="15.75" customHeight="1">
      <c r="A306" t="s">
        <v>13</v>
      </c>
      <c r="B306" t="s">
        <v>638</v>
      </c>
      <c r="C306" t="s">
        <v>639</v>
      </c>
    </row>
    <row r="307" spans="1:3" ht="15.75" customHeight="1">
      <c r="A307" t="s">
        <v>535</v>
      </c>
      <c r="B307" t="s">
        <v>640</v>
      </c>
      <c r="C307" t="s">
        <v>641</v>
      </c>
    </row>
    <row r="308" spans="1:3" ht="15.75" customHeight="1">
      <c r="A308" t="s">
        <v>13</v>
      </c>
      <c r="B308" t="s">
        <v>642</v>
      </c>
    </row>
    <row r="309" spans="1:3" ht="15.75" customHeight="1">
      <c r="A309" t="s">
        <v>13</v>
      </c>
      <c r="B309" t="s">
        <v>643</v>
      </c>
    </row>
    <row r="310" spans="1:3" ht="15.75" customHeight="1">
      <c r="A310" t="s">
        <v>13</v>
      </c>
      <c r="B310" t="s">
        <v>644</v>
      </c>
    </row>
    <row r="311" spans="1:3" ht="15.75" customHeight="1">
      <c r="A311" t="s">
        <v>13</v>
      </c>
      <c r="B311" t="s">
        <v>645</v>
      </c>
      <c r="C311" t="s">
        <v>646</v>
      </c>
    </row>
    <row r="312" spans="1:3" ht="15.75" customHeight="1">
      <c r="A312" t="s">
        <v>13</v>
      </c>
      <c r="B312" t="s">
        <v>648</v>
      </c>
      <c r="C312" t="s">
        <v>11</v>
      </c>
    </row>
    <row r="313" spans="1:3" ht="15.75" customHeight="1">
      <c r="A313" t="s">
        <v>13</v>
      </c>
      <c r="B313" t="s">
        <v>650</v>
      </c>
      <c r="C313" t="s">
        <v>651</v>
      </c>
    </row>
    <row r="314" spans="1:3" ht="15.75" customHeight="1">
      <c r="A314" t="s">
        <v>529</v>
      </c>
      <c r="B314" t="s">
        <v>652</v>
      </c>
      <c r="C314" t="s">
        <v>653</v>
      </c>
    </row>
    <row r="315" spans="1:3" ht="15.75" customHeight="1">
      <c r="A315" t="s">
        <v>526</v>
      </c>
      <c r="B315" t="s">
        <v>656</v>
      </c>
      <c r="C315" t="s">
        <v>657</v>
      </c>
    </row>
    <row r="316" spans="1:3" ht="15.75" customHeight="1">
      <c r="A316" t="s">
        <v>220</v>
      </c>
      <c r="B316" t="s">
        <v>658</v>
      </c>
      <c r="C316" t="s">
        <v>659</v>
      </c>
    </row>
    <row r="317" spans="1:3" ht="15.75" customHeight="1">
      <c r="A317" t="s">
        <v>532</v>
      </c>
      <c r="B317" t="s">
        <v>660</v>
      </c>
      <c r="C317" t="s">
        <v>661</v>
      </c>
    </row>
    <row r="318" spans="1:3" ht="15.75" customHeight="1"/>
    <row r="319" spans="1:3" ht="15.75" customHeight="1"/>
    <row r="320" spans="1:3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00"/>
  <sheetViews>
    <sheetView workbookViewId="0"/>
  </sheetViews>
  <sheetFormatPr defaultColWidth="17.28515625" defaultRowHeight="15" customHeight="1"/>
  <cols>
    <col min="1" max="1" width="24.28515625" customWidth="1"/>
    <col min="2" max="2" width="44.42578125" customWidth="1"/>
    <col min="3" max="23" width="14.42578125" customWidth="1"/>
  </cols>
  <sheetData>
    <row r="1" spans="1:3" ht="15.75" customHeight="1">
      <c r="A1" s="44" t="s">
        <v>2</v>
      </c>
      <c r="B1" s="42"/>
      <c r="C1" s="43"/>
    </row>
    <row r="2" spans="1:3" ht="15.75" customHeight="1">
      <c r="A2" s="6"/>
      <c r="B2" s="6"/>
      <c r="C2" s="6"/>
    </row>
    <row r="3" spans="1:3" ht="15.75" customHeight="1">
      <c r="A3" s="7" t="s">
        <v>7</v>
      </c>
      <c r="B3" s="10" t="s">
        <v>8</v>
      </c>
      <c r="C3" s="6"/>
    </row>
    <row r="4" spans="1:3" ht="15.75" customHeight="1">
      <c r="A4" s="11" t="s">
        <v>9</v>
      </c>
      <c r="B4" s="10" t="s">
        <v>12</v>
      </c>
      <c r="C4" s="6"/>
    </row>
    <row r="5" spans="1:3" ht="15.75" customHeight="1">
      <c r="A5" s="12"/>
      <c r="B5" s="6"/>
      <c r="C5" s="6"/>
    </row>
    <row r="6" spans="1:3" ht="15.75" customHeight="1">
      <c r="A6" s="12"/>
      <c r="B6" s="6"/>
      <c r="C6" s="6"/>
    </row>
    <row r="7" spans="1:3" ht="15.75" customHeight="1">
      <c r="A7" s="12"/>
      <c r="B7" s="6"/>
      <c r="C7" s="6"/>
    </row>
    <row r="8" spans="1:3" ht="15.75" customHeight="1">
      <c r="A8" s="12"/>
      <c r="B8" s="6"/>
      <c r="C8" s="6"/>
    </row>
    <row r="9" spans="1:3" ht="15.75" customHeight="1">
      <c r="A9" s="12"/>
      <c r="B9" s="6"/>
      <c r="C9" s="6"/>
    </row>
    <row r="10" spans="1:3" ht="15.75" customHeight="1">
      <c r="A10" s="12"/>
      <c r="B10" s="6"/>
      <c r="C10" s="6"/>
    </row>
    <row r="11" spans="1:3" ht="15.75" customHeight="1">
      <c r="A11" s="12"/>
      <c r="B11" s="6"/>
      <c r="C11" s="6"/>
    </row>
    <row r="12" spans="1:3" ht="15.75" customHeight="1">
      <c r="A12" s="12"/>
      <c r="B12" s="6"/>
      <c r="C12" s="6"/>
    </row>
    <row r="13" spans="1:3" ht="15.75" customHeight="1">
      <c r="A13" s="12"/>
      <c r="B13" s="6"/>
      <c r="C13" s="6"/>
    </row>
    <row r="14" spans="1:3" ht="15.75" customHeight="1">
      <c r="A14" s="12"/>
      <c r="B14" s="6"/>
      <c r="C14" s="6"/>
    </row>
    <row r="15" spans="1:3" ht="15.75" customHeight="1">
      <c r="A15" s="12"/>
      <c r="B15" s="6"/>
      <c r="C15" s="6"/>
    </row>
    <row r="16" spans="1:3" ht="15.75" customHeight="1">
      <c r="A16" s="12"/>
      <c r="B16" s="6"/>
      <c r="C16" s="6"/>
    </row>
    <row r="17" spans="1:3" ht="15.75" customHeight="1">
      <c r="A17" s="12"/>
      <c r="B17" s="6"/>
      <c r="C17" s="6"/>
    </row>
    <row r="18" spans="1:3" ht="15.75" customHeight="1">
      <c r="A18" s="12"/>
      <c r="B18" s="6"/>
      <c r="C18" s="6"/>
    </row>
    <row r="19" spans="1:3" ht="15.75" customHeight="1">
      <c r="A19" s="12"/>
      <c r="B19" s="6"/>
      <c r="C19" s="6"/>
    </row>
    <row r="20" spans="1:3" ht="15.75" customHeight="1">
      <c r="A20" s="12"/>
      <c r="B20" s="6"/>
      <c r="C20" s="6"/>
    </row>
    <row r="21" spans="1:3" ht="15.75" customHeight="1">
      <c r="A21" s="12"/>
      <c r="B21" s="6"/>
      <c r="C21" s="6"/>
    </row>
    <row r="22" spans="1:3" ht="15.75" customHeight="1">
      <c r="A22" s="12"/>
      <c r="B22" s="6"/>
      <c r="C22" s="6"/>
    </row>
    <row r="23" spans="1:3" ht="15.75" customHeight="1"/>
    <row r="24" spans="1:3" ht="15.75" customHeight="1"/>
    <row r="25" spans="1:3" ht="15.75" customHeight="1"/>
    <row r="26" spans="1:3" ht="15.75" customHeight="1"/>
    <row r="27" spans="1:3" ht="15.75" customHeight="1"/>
    <row r="28" spans="1:3" ht="15.75" customHeight="1"/>
    <row r="29" spans="1:3" ht="15.75" customHeight="1"/>
    <row r="30" spans="1:3" ht="15.75" customHeight="1"/>
    <row r="31" spans="1:3" ht="15.75" customHeight="1"/>
    <row r="32" spans="1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/>
  </sheetViews>
  <sheetFormatPr defaultColWidth="17.28515625" defaultRowHeight="15" customHeight="1"/>
  <sheetData>
    <row r="1" spans="1:6" ht="15" customHeight="1">
      <c r="A1" s="41" t="s">
        <v>0</v>
      </c>
      <c r="B1" s="42"/>
      <c r="C1" s="42"/>
      <c r="D1" s="42"/>
      <c r="E1" s="42"/>
      <c r="F1" s="43"/>
    </row>
    <row r="2" spans="1:6" ht="15" customHeight="1">
      <c r="A2" s="1"/>
      <c r="B2" s="1"/>
      <c r="C2" s="1"/>
      <c r="D2" s="1"/>
      <c r="E2" s="1"/>
      <c r="F2" s="1"/>
    </row>
    <row r="3" spans="1:6" ht="15" customHeight="1">
      <c r="A3" s="2" t="s">
        <v>3</v>
      </c>
      <c r="B3" s="3" t="s">
        <v>4</v>
      </c>
      <c r="C3" s="3" t="s">
        <v>5</v>
      </c>
      <c r="D3" s="4"/>
      <c r="E3" s="4"/>
      <c r="F3" s="4"/>
    </row>
    <row r="4" spans="1:6" ht="15" customHeight="1">
      <c r="A4" t="str">
        <f ca="1">IFERROR(__xludf.DUMMYFUNCTION("IMPORTRANGE('_Settings'!B4,""Master Data!A4:L1000"")"),"#REF!")</f>
        <v>#REF!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W20"/>
  <sheetViews>
    <sheetView workbookViewId="0"/>
  </sheetViews>
  <sheetFormatPr defaultColWidth="17.28515625" defaultRowHeight="15" customHeight="1"/>
  <cols>
    <col min="1" max="1" width="3.42578125" customWidth="1"/>
    <col min="2" max="4" width="14.42578125" customWidth="1"/>
    <col min="5" max="5" width="16.7109375" customWidth="1"/>
    <col min="6" max="6" width="23" customWidth="1"/>
    <col min="7" max="8" width="14.42578125" customWidth="1"/>
    <col min="9" max="9" width="18.140625" customWidth="1"/>
    <col min="10" max="11" width="17.42578125" customWidth="1"/>
    <col min="12" max="36" width="14.42578125" customWidth="1"/>
    <col min="37" max="37" width="32" customWidth="1"/>
    <col min="38" max="153" width="14.42578125" customWidth="1"/>
  </cols>
  <sheetData>
    <row r="1" spans="1:153" ht="15.75" customHeight="1">
      <c r="A1" s="13"/>
      <c r="B1" s="41" t="s">
        <v>201</v>
      </c>
      <c r="C1" s="42"/>
      <c r="D1" s="42"/>
      <c r="E1" s="42"/>
      <c r="F1" s="42"/>
      <c r="G1" s="42"/>
      <c r="H1" s="4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</row>
    <row r="2" spans="1:153" ht="15.75" customHeight="1">
      <c r="A2" s="6"/>
      <c r="B2" s="6"/>
      <c r="C2" s="6"/>
      <c r="D2" s="6"/>
      <c r="E2" s="6"/>
      <c r="F2" s="6"/>
      <c r="G2" s="6"/>
      <c r="H2" s="6"/>
      <c r="I2" s="6"/>
      <c r="J2" s="16" t="e">
        <f>VLOOKUP($E$3,_MasterData!B4:D1000,3,FALSE)</f>
        <v>#N/A</v>
      </c>
      <c r="K2" s="17"/>
      <c r="L2" s="6"/>
      <c r="M2" s="6"/>
      <c r="N2" s="6"/>
      <c r="O2" s="6"/>
    </row>
    <row r="3" spans="1:153" ht="15.75" customHeight="1">
      <c r="A3" s="18"/>
      <c r="B3" s="7" t="s">
        <v>3</v>
      </c>
      <c r="C3" s="19" t="s">
        <v>103</v>
      </c>
      <c r="D3" s="7" t="s">
        <v>4</v>
      </c>
      <c r="E3" s="19" t="s">
        <v>303</v>
      </c>
      <c r="F3" s="7" t="s">
        <v>366</v>
      </c>
      <c r="G3" s="20" t="s">
        <v>373</v>
      </c>
      <c r="H3" s="7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</row>
    <row r="4" spans="1:153" ht="15.75" customHeight="1">
      <c r="A4" s="22"/>
      <c r="B4" s="22" t="str">
        <f ca="1">IFERROR(__xludf.DUMMYFUNCTION("IF(C3="""","""",Transpose(IMPORTRANGE('_Settings'!$B$3,C3&amp;""!A4:A1000"")))"),"OpenTTFromPST")</f>
        <v>OpenTTFromPST</v>
      </c>
      <c r="C4" s="22" t="s">
        <v>120</v>
      </c>
      <c r="D4" s="22" t="s">
        <v>166</v>
      </c>
      <c r="E4" s="22" t="s">
        <v>168</v>
      </c>
      <c r="F4" s="22" t="s">
        <v>169</v>
      </c>
      <c r="G4" s="22" t="s">
        <v>171</v>
      </c>
      <c r="H4" s="22" t="s">
        <v>175</v>
      </c>
      <c r="I4" s="22" t="s">
        <v>171</v>
      </c>
      <c r="J4" s="22" t="s">
        <v>175</v>
      </c>
      <c r="K4" s="22" t="s">
        <v>484</v>
      </c>
      <c r="L4" s="22" t="s">
        <v>279</v>
      </c>
      <c r="M4" s="22" t="s">
        <v>301</v>
      </c>
      <c r="N4" s="22" t="s">
        <v>303</v>
      </c>
      <c r="O4" s="22" t="s">
        <v>487</v>
      </c>
      <c r="P4" s="23" t="s">
        <v>488</v>
      </c>
      <c r="Q4" s="23" t="s">
        <v>491</v>
      </c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</row>
    <row r="5" spans="1:153" ht="15.75" customHeight="1">
      <c r="A5" s="24" t="str">
        <f ca="1">IFERROR(__xludf.DUMMYFUNCTION("TRANSPOSE(IMPORTRANGE(VLOOKUP($E$3,IMPORTRANGE('_Settings'!$B$3,$C$3&amp;""!A4:B1000""),2,FALSE),$G$3&amp;""!A4:A1000""))"),"")</f>
        <v/>
      </c>
      <c r="B5" s="25" t="s">
        <v>552</v>
      </c>
      <c r="C5" s="25" t="s">
        <v>570</v>
      </c>
      <c r="D5" s="25" t="s">
        <v>572</v>
      </c>
      <c r="E5" s="25" t="s">
        <v>574</v>
      </c>
      <c r="F5" s="25" t="s">
        <v>575</v>
      </c>
      <c r="G5" s="25" t="s">
        <v>577</v>
      </c>
      <c r="H5" s="25" t="s">
        <v>579</v>
      </c>
      <c r="I5" s="25" t="s">
        <v>580</v>
      </c>
      <c r="J5" s="25" t="s">
        <v>582</v>
      </c>
      <c r="K5" s="25" t="s">
        <v>584</v>
      </c>
      <c r="L5" s="25" t="s">
        <v>586</v>
      </c>
      <c r="M5" s="25" t="s">
        <v>587</v>
      </c>
      <c r="N5" s="25" t="s">
        <v>588</v>
      </c>
      <c r="O5" s="25" t="s">
        <v>589</v>
      </c>
      <c r="P5" s="25" t="s">
        <v>590</v>
      </c>
      <c r="Q5" s="25" t="s">
        <v>592</v>
      </c>
      <c r="R5" s="25" t="s">
        <v>594</v>
      </c>
      <c r="S5" s="25" t="s">
        <v>595</v>
      </c>
      <c r="T5" s="26" t="s">
        <v>597</v>
      </c>
      <c r="U5" s="26" t="s">
        <v>605</v>
      </c>
      <c r="V5" s="26" t="s">
        <v>608</v>
      </c>
      <c r="W5" s="26" t="s">
        <v>609</v>
      </c>
      <c r="X5" s="26" t="s">
        <v>611</v>
      </c>
      <c r="Y5" s="26" t="s">
        <v>612</v>
      </c>
      <c r="Z5" s="26" t="s">
        <v>614</v>
      </c>
      <c r="AA5" s="26" t="s">
        <v>616</v>
      </c>
      <c r="AB5" s="26" t="s">
        <v>617</v>
      </c>
      <c r="AC5" s="26" t="s">
        <v>618</v>
      </c>
      <c r="AD5" s="26" t="s">
        <v>620</v>
      </c>
      <c r="AE5" s="26" t="s">
        <v>621</v>
      </c>
      <c r="AF5" s="26" t="s">
        <v>622</v>
      </c>
      <c r="AG5" s="26" t="s">
        <v>624</v>
      </c>
      <c r="AH5" s="26" t="s">
        <v>626</v>
      </c>
      <c r="AI5" s="26" t="s">
        <v>627</v>
      </c>
      <c r="AJ5" s="26" t="s">
        <v>628</v>
      </c>
      <c r="AK5" s="26" t="s">
        <v>630</v>
      </c>
      <c r="AL5" s="26" t="s">
        <v>632</v>
      </c>
      <c r="AM5" s="26" t="s">
        <v>634</v>
      </c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</row>
    <row r="6" spans="1:153" ht="15.75" customHeight="1">
      <c r="A6" s="6"/>
      <c r="B6" s="15" t="s">
        <v>647</v>
      </c>
      <c r="C6" s="15" t="s">
        <v>649</v>
      </c>
      <c r="D6" s="15">
        <v>400</v>
      </c>
      <c r="E6" s="15">
        <v>400</v>
      </c>
      <c r="F6" s="15"/>
      <c r="J6" s="15">
        <v>1</v>
      </c>
      <c r="AK6" s="15" t="s">
        <v>654</v>
      </c>
      <c r="AL6" s="27" t="s">
        <v>655</v>
      </c>
    </row>
    <row r="7" spans="1:153" ht="15.75" customHeight="1">
      <c r="A7" s="6"/>
      <c r="B7" s="10" t="s">
        <v>664</v>
      </c>
      <c r="C7" s="15" t="s">
        <v>649</v>
      </c>
      <c r="D7" s="15">
        <v>400</v>
      </c>
      <c r="E7" s="15">
        <v>400</v>
      </c>
      <c r="F7" s="15"/>
      <c r="J7" s="15">
        <v>1</v>
      </c>
      <c r="K7" s="6"/>
      <c r="L7" s="6"/>
      <c r="M7" s="6"/>
      <c r="N7" s="6"/>
      <c r="O7" s="6"/>
      <c r="AK7" s="15" t="s">
        <v>665</v>
      </c>
      <c r="AL7" s="27" t="s">
        <v>666</v>
      </c>
    </row>
    <row r="8" spans="1:153" ht="15.75" customHeight="1">
      <c r="A8" s="6"/>
      <c r="B8" s="10" t="s">
        <v>667</v>
      </c>
      <c r="C8" s="15" t="s">
        <v>649</v>
      </c>
      <c r="D8" s="15">
        <v>400</v>
      </c>
      <c r="E8" s="15">
        <v>400</v>
      </c>
      <c r="F8" s="15" t="s">
        <v>668</v>
      </c>
      <c r="J8" s="15">
        <v>1</v>
      </c>
      <c r="K8" s="6"/>
      <c r="L8" s="6"/>
      <c r="M8" s="6"/>
      <c r="N8" s="6"/>
      <c r="O8" s="6"/>
      <c r="AL8" s="15"/>
    </row>
    <row r="9" spans="1:153" ht="15.75" customHeight="1">
      <c r="A9" s="6"/>
      <c r="B9" s="10" t="s">
        <v>647</v>
      </c>
      <c r="C9" s="10" t="s">
        <v>649</v>
      </c>
      <c r="D9" s="10">
        <v>100</v>
      </c>
      <c r="E9" s="10">
        <v>100</v>
      </c>
      <c r="F9" s="10" t="s">
        <v>669</v>
      </c>
      <c r="G9" s="6"/>
      <c r="H9" s="6"/>
      <c r="I9" s="6"/>
      <c r="J9" s="10">
        <v>1</v>
      </c>
      <c r="K9" s="6"/>
      <c r="L9" s="6"/>
      <c r="M9" s="6"/>
      <c r="N9" s="6"/>
      <c r="O9" s="6"/>
    </row>
    <row r="10" spans="1:153" ht="15.75" customHeight="1">
      <c r="A10" s="6"/>
      <c r="B10" s="10" t="s">
        <v>664</v>
      </c>
      <c r="C10" s="10" t="s">
        <v>670</v>
      </c>
      <c r="D10" s="10">
        <v>600</v>
      </c>
      <c r="E10" s="10">
        <v>600</v>
      </c>
      <c r="F10" s="10" t="s">
        <v>669</v>
      </c>
      <c r="G10" s="6"/>
      <c r="H10" s="6"/>
      <c r="I10" s="6"/>
      <c r="J10" s="10">
        <v>1</v>
      </c>
      <c r="K10" s="6"/>
      <c r="L10" s="6"/>
      <c r="M10" s="6"/>
      <c r="N10" s="6"/>
      <c r="O10" s="6"/>
    </row>
    <row r="11" spans="1:153" ht="15.75" customHeight="1">
      <c r="A11" s="6"/>
      <c r="B11" s="10" t="s">
        <v>667</v>
      </c>
      <c r="C11" s="10" t="s">
        <v>670</v>
      </c>
      <c r="D11" s="10">
        <v>400</v>
      </c>
      <c r="E11" s="10">
        <v>400</v>
      </c>
      <c r="F11" s="10" t="s">
        <v>669</v>
      </c>
      <c r="G11" s="6"/>
      <c r="H11" s="6"/>
      <c r="I11" s="6"/>
      <c r="J11" s="10">
        <v>1</v>
      </c>
      <c r="K11" s="6"/>
      <c r="L11" s="6"/>
      <c r="M11" s="6"/>
      <c r="N11" s="6"/>
      <c r="O11" s="6"/>
    </row>
    <row r="12" spans="1:153" ht="15.75" customHeight="1">
      <c r="A12" s="6"/>
      <c r="B12" s="10" t="s">
        <v>671</v>
      </c>
      <c r="C12" s="10" t="s">
        <v>672</v>
      </c>
      <c r="D12" s="10">
        <v>100</v>
      </c>
      <c r="E12" s="10">
        <v>100</v>
      </c>
      <c r="F12" s="10" t="s">
        <v>669</v>
      </c>
      <c r="G12" s="6"/>
      <c r="H12" s="6"/>
      <c r="I12" s="6"/>
      <c r="J12" s="10">
        <v>1</v>
      </c>
      <c r="K12" s="6"/>
      <c r="L12" s="6"/>
      <c r="M12" s="6"/>
      <c r="N12" s="6"/>
      <c r="O12" s="6"/>
    </row>
    <row r="13" spans="1:15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spans="1:153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spans="1:153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spans="1:153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spans="1:15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spans="1:15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spans="1:15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spans="1:15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W20"/>
  <sheetViews>
    <sheetView workbookViewId="0"/>
  </sheetViews>
  <sheetFormatPr defaultColWidth="17.28515625" defaultRowHeight="15" customHeight="1"/>
  <cols>
    <col min="1" max="1" width="3.42578125" customWidth="1"/>
    <col min="2" max="8" width="14.42578125" customWidth="1"/>
    <col min="9" max="9" width="18.140625" customWidth="1"/>
    <col min="10" max="11" width="17.42578125" customWidth="1"/>
    <col min="12" max="153" width="14.42578125" customWidth="1"/>
  </cols>
  <sheetData>
    <row r="1" spans="1:153" ht="15.75" customHeight="1">
      <c r="A1" s="13"/>
      <c r="B1" s="41" t="s">
        <v>201</v>
      </c>
      <c r="C1" s="42"/>
      <c r="D1" s="42"/>
      <c r="E1" s="42"/>
      <c r="F1" s="42"/>
      <c r="G1" s="42"/>
      <c r="H1" s="4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</row>
    <row r="2" spans="1:153" ht="15.75" customHeight="1">
      <c r="A2" s="6"/>
      <c r="B2" s="6"/>
      <c r="C2" s="6"/>
      <c r="D2" s="6"/>
      <c r="E2" s="6"/>
      <c r="F2" s="6"/>
      <c r="G2" s="6"/>
      <c r="H2" s="6"/>
      <c r="I2" s="6"/>
      <c r="J2" s="16" t="e">
        <f>VLOOKUP($E$3,_MasterData!B4:D1000,3,FALSE)</f>
        <v>#N/A</v>
      </c>
      <c r="K2" s="17"/>
      <c r="L2" s="6"/>
      <c r="M2" s="6"/>
      <c r="N2" s="6"/>
      <c r="O2" s="6"/>
    </row>
    <row r="3" spans="1:153" ht="15.75" customHeight="1">
      <c r="A3" s="18"/>
      <c r="B3" s="7" t="s">
        <v>3</v>
      </c>
      <c r="C3" s="19" t="s">
        <v>49</v>
      </c>
      <c r="D3" s="7" t="s">
        <v>4</v>
      </c>
      <c r="E3" s="19" t="s">
        <v>379</v>
      </c>
      <c r="F3" s="7" t="s">
        <v>366</v>
      </c>
      <c r="G3" s="20" t="s">
        <v>373</v>
      </c>
      <c r="H3" s="7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</row>
    <row r="4" spans="1:153" ht="15.75" customHeight="1">
      <c r="A4" s="22"/>
      <c r="B4" s="22" t="str">
        <f ca="1">IFERROR(__xludf.DUMMYFUNCTION("IF(C3="""","""",Transpose(IMPORTRANGE('_Settings'!$B$3,C3&amp;""!A4:A1000"")))"),"UpdateBeta")</f>
        <v>UpdateBeta</v>
      </c>
      <c r="C4" s="22" t="s">
        <v>52</v>
      </c>
      <c r="D4" s="22" t="s">
        <v>54</v>
      </c>
      <c r="E4" s="22" t="s">
        <v>56</v>
      </c>
      <c r="F4" s="22" t="s">
        <v>89</v>
      </c>
      <c r="G4" s="22" t="s">
        <v>365</v>
      </c>
      <c r="H4" s="22" t="s">
        <v>370</v>
      </c>
      <c r="I4" s="22" t="s">
        <v>368</v>
      </c>
      <c r="J4" s="22" t="s">
        <v>370</v>
      </c>
      <c r="K4" s="22" t="s">
        <v>372</v>
      </c>
      <c r="L4" s="22" t="s">
        <v>375</v>
      </c>
      <c r="M4" s="22" t="s">
        <v>379</v>
      </c>
      <c r="N4" s="22" t="s">
        <v>391</v>
      </c>
      <c r="O4" s="22" t="s">
        <v>385</v>
      </c>
      <c r="P4" s="23" t="s">
        <v>387</v>
      </c>
      <c r="Q4" s="23" t="s">
        <v>383</v>
      </c>
      <c r="R4" s="23" t="s">
        <v>389</v>
      </c>
      <c r="S4" s="23" t="s">
        <v>401</v>
      </c>
      <c r="T4" s="23" t="s">
        <v>403</v>
      </c>
      <c r="U4" s="23" t="s">
        <v>429</v>
      </c>
      <c r="V4" s="23" t="s">
        <v>431</v>
      </c>
      <c r="W4" s="23" t="s">
        <v>433</v>
      </c>
      <c r="X4" s="23" t="s">
        <v>435</v>
      </c>
      <c r="Y4" s="23" t="s">
        <v>50</v>
      </c>
      <c r="Z4" s="23" t="s">
        <v>495</v>
      </c>
      <c r="AA4" s="23" t="s">
        <v>52</v>
      </c>
      <c r="AB4" s="23" t="s">
        <v>499</v>
      </c>
      <c r="AC4" s="23" t="s">
        <v>501</v>
      </c>
      <c r="AD4" s="23" t="s">
        <v>503</v>
      </c>
      <c r="AE4" s="23" t="s">
        <v>505</v>
      </c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 t="s">
        <v>495</v>
      </c>
      <c r="BM4" s="23" t="s">
        <v>52</v>
      </c>
      <c r="BN4" s="23" t="s">
        <v>499</v>
      </c>
      <c r="BO4" s="23" t="s">
        <v>501</v>
      </c>
      <c r="BP4" s="23" t="s">
        <v>503</v>
      </c>
      <c r="BQ4" s="23" t="s">
        <v>505</v>
      </c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</row>
    <row r="5" spans="1:153" ht="15.75" customHeight="1">
      <c r="A5" s="24" t="str">
        <f ca="1">IFERROR(__xludf.DUMMYFUNCTION("TRANSPOSE(IMPORTRANGE(VLOOKUP($E$3,IMPORTRANGE('_Settings'!$B$3,$C$3&amp;""!A4:B1000""),2,FALSE),$G$3&amp;""!A4:A1000""))"),"")</f>
        <v/>
      </c>
      <c r="B5" s="25" t="s">
        <v>662</v>
      </c>
      <c r="C5" s="25" t="s">
        <v>663</v>
      </c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</row>
    <row r="6" spans="1:153" ht="15.75" customHeight="1">
      <c r="A6" s="6"/>
      <c r="B6" s="28">
        <f ca="1">TODAY()-1</f>
        <v>43641</v>
      </c>
      <c r="C6" s="28">
        <f ca="1">TODAY()</f>
        <v>43642</v>
      </c>
    </row>
    <row r="7" spans="1:153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spans="1:153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spans="1:153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spans="1:153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spans="1:153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spans="1:153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spans="1:15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spans="1:153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spans="1:153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spans="1:153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spans="1:15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spans="1:15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spans="1:15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spans="1:15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W20"/>
  <sheetViews>
    <sheetView workbookViewId="0"/>
  </sheetViews>
  <sheetFormatPr defaultColWidth="17.28515625" defaultRowHeight="15" customHeight="1"/>
  <cols>
    <col min="1" max="1" width="3.42578125" customWidth="1"/>
    <col min="2" max="8" width="14.42578125" customWidth="1"/>
    <col min="9" max="9" width="18.140625" customWidth="1"/>
    <col min="10" max="11" width="17.42578125" customWidth="1"/>
    <col min="12" max="153" width="14.42578125" customWidth="1"/>
  </cols>
  <sheetData>
    <row r="1" spans="1:153" ht="15.75" customHeight="1">
      <c r="A1" s="13"/>
      <c r="B1" s="41" t="s">
        <v>201</v>
      </c>
      <c r="C1" s="42"/>
      <c r="D1" s="42"/>
      <c r="E1" s="42"/>
      <c r="F1" s="42"/>
      <c r="G1" s="42"/>
      <c r="H1" s="4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</row>
    <row r="2" spans="1:153" ht="15.75" customHeight="1">
      <c r="A2" s="6"/>
      <c r="B2" s="6"/>
      <c r="C2" s="6"/>
      <c r="D2" s="6"/>
      <c r="E2" s="6"/>
      <c r="F2" s="6"/>
      <c r="G2" s="6"/>
      <c r="H2" s="6"/>
      <c r="I2" s="6"/>
      <c r="J2" s="16" t="e">
        <f>VLOOKUP($E$3,_MasterData!B4:D1000,3,FALSE)</f>
        <v>#N/A</v>
      </c>
      <c r="K2" s="17"/>
      <c r="L2" s="6"/>
      <c r="M2" s="6"/>
      <c r="N2" s="6"/>
      <c r="O2" s="6"/>
    </row>
    <row r="3" spans="1:153" ht="15.75" customHeight="1">
      <c r="A3" s="18"/>
      <c r="B3" s="7" t="s">
        <v>3</v>
      </c>
      <c r="C3" s="19" t="s">
        <v>49</v>
      </c>
      <c r="D3" s="7" t="s">
        <v>4</v>
      </c>
      <c r="E3" s="19" t="s">
        <v>52</v>
      </c>
      <c r="F3" s="7" t="s">
        <v>366</v>
      </c>
      <c r="G3" s="20" t="s">
        <v>373</v>
      </c>
      <c r="H3" s="7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</row>
    <row r="4" spans="1:153" ht="15.75" customHeight="1">
      <c r="A4" s="22"/>
      <c r="B4" s="22" t="str">
        <f ca="1">IFERROR(__xludf.DUMMYFUNCTION("IF(C3="""","""",Transpose(IMPORTRANGE('_Settings'!$B$3,C3&amp;""!A4:A1000"")))"),"UpdateBeta")</f>
        <v>UpdateBeta</v>
      </c>
      <c r="C4" s="22" t="s">
        <v>52</v>
      </c>
      <c r="D4" s="22" t="s">
        <v>54</v>
      </c>
      <c r="E4" s="22" t="s">
        <v>56</v>
      </c>
      <c r="F4" s="22" t="s">
        <v>89</v>
      </c>
      <c r="G4" s="22" t="s">
        <v>365</v>
      </c>
      <c r="H4" s="22" t="s">
        <v>370</v>
      </c>
      <c r="I4" s="22" t="s">
        <v>368</v>
      </c>
      <c r="J4" s="22" t="s">
        <v>370</v>
      </c>
      <c r="K4" s="22" t="s">
        <v>372</v>
      </c>
      <c r="L4" s="22" t="s">
        <v>375</v>
      </c>
      <c r="M4" s="22" t="s">
        <v>379</v>
      </c>
      <c r="N4" s="22" t="s">
        <v>391</v>
      </c>
      <c r="O4" s="22" t="s">
        <v>385</v>
      </c>
      <c r="P4" s="23" t="s">
        <v>387</v>
      </c>
      <c r="Q4" s="23" t="s">
        <v>383</v>
      </c>
      <c r="R4" s="23" t="s">
        <v>389</v>
      </c>
      <c r="S4" s="23" t="s">
        <v>401</v>
      </c>
      <c r="T4" s="23" t="s">
        <v>403</v>
      </c>
      <c r="U4" s="23" t="s">
        <v>429</v>
      </c>
      <c r="V4" s="23" t="s">
        <v>431</v>
      </c>
      <c r="W4" s="23" t="s">
        <v>433</v>
      </c>
      <c r="X4" s="23" t="s">
        <v>435</v>
      </c>
      <c r="Y4" s="23" t="s">
        <v>50</v>
      </c>
      <c r="Z4" s="23" t="s">
        <v>495</v>
      </c>
      <c r="AA4" s="23" t="s">
        <v>52</v>
      </c>
      <c r="AB4" s="23" t="s">
        <v>499</v>
      </c>
      <c r="AC4" s="23" t="s">
        <v>501</v>
      </c>
      <c r="AD4" s="23" t="s">
        <v>503</v>
      </c>
      <c r="AE4" s="23" t="s">
        <v>505</v>
      </c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 t="s">
        <v>495</v>
      </c>
      <c r="BM4" s="23" t="s">
        <v>52</v>
      </c>
      <c r="BN4" s="23" t="s">
        <v>499</v>
      </c>
      <c r="BO4" s="23" t="s">
        <v>501</v>
      </c>
      <c r="BP4" s="23" t="s">
        <v>503</v>
      </c>
      <c r="BQ4" s="23" t="s">
        <v>505</v>
      </c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</row>
    <row r="5" spans="1:153" ht="15.75" customHeight="1">
      <c r="A5" s="24" t="str">
        <f ca="1">IFERROR(__xludf.DUMMYFUNCTION("TRANSPOSE(IMPORTRANGE(VLOOKUP($E$3,IMPORTRANGE('_Settings'!$B$3,$C$3&amp;""!A4:B1000""),2,FALSE),$G$3&amp;""!A4:A1000""))"),"")</f>
        <v/>
      </c>
      <c r="B5" s="25" t="s">
        <v>630</v>
      </c>
      <c r="C5" s="25" t="s">
        <v>691</v>
      </c>
      <c r="D5" s="25" t="s">
        <v>692</v>
      </c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</row>
    <row r="6" spans="1:153" ht="15.75" customHeight="1">
      <c r="A6" s="6"/>
      <c r="B6" s="15" t="s">
        <v>693</v>
      </c>
      <c r="C6" s="15" t="s">
        <v>694</v>
      </c>
      <c r="D6" s="15">
        <v>71218</v>
      </c>
    </row>
    <row r="7" spans="1:153" ht="15.75" customHeight="1">
      <c r="A7" s="6"/>
      <c r="B7" s="10" t="s">
        <v>695</v>
      </c>
      <c r="C7" s="10" t="s">
        <v>694</v>
      </c>
      <c r="D7" s="10">
        <v>14894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spans="1:153" ht="15.75" customHeight="1">
      <c r="A8" s="6"/>
      <c r="B8" s="10" t="s">
        <v>696</v>
      </c>
      <c r="C8" s="10" t="s">
        <v>694</v>
      </c>
      <c r="D8" s="10">
        <v>35679</v>
      </c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spans="1:153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spans="1:153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spans="1:153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spans="1:153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spans="1:15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spans="1:153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spans="1:153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spans="1:153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spans="1:15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spans="1:15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spans="1:15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spans="1:15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W20"/>
  <sheetViews>
    <sheetView workbookViewId="0"/>
  </sheetViews>
  <sheetFormatPr defaultColWidth="17.28515625" defaultRowHeight="15" customHeight="1"/>
  <cols>
    <col min="1" max="1" width="3.42578125" customWidth="1"/>
    <col min="2" max="8" width="14.42578125" customWidth="1"/>
    <col min="9" max="9" width="18.140625" customWidth="1"/>
    <col min="10" max="11" width="17.42578125" customWidth="1"/>
    <col min="12" max="153" width="14.42578125" customWidth="1"/>
  </cols>
  <sheetData>
    <row r="1" spans="1:153" ht="15.75" customHeight="1">
      <c r="A1" s="13"/>
      <c r="B1" s="41" t="s">
        <v>201</v>
      </c>
      <c r="C1" s="42"/>
      <c r="D1" s="42"/>
      <c r="E1" s="42"/>
      <c r="F1" s="42"/>
      <c r="G1" s="42"/>
      <c r="H1" s="4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</row>
    <row r="2" spans="1:153" ht="15.75" customHeight="1">
      <c r="A2" s="6"/>
      <c r="B2" s="6"/>
      <c r="C2" s="6"/>
      <c r="D2" s="6"/>
      <c r="E2" s="6"/>
      <c r="F2" s="6"/>
      <c r="G2" s="6"/>
      <c r="H2" s="6"/>
      <c r="I2" s="6"/>
      <c r="J2" s="16" t="e">
        <f>VLOOKUP($E$3,_MasterData!B4:D1000,3,FALSE)</f>
        <v>#N/A</v>
      </c>
      <c r="K2" s="17"/>
      <c r="L2" s="6"/>
      <c r="M2" s="6"/>
      <c r="N2" s="6"/>
      <c r="O2" s="6"/>
    </row>
    <row r="3" spans="1:153" ht="15.75" customHeight="1">
      <c r="A3" s="18"/>
      <c r="B3" s="7" t="s">
        <v>3</v>
      </c>
      <c r="C3" s="19" t="s">
        <v>65</v>
      </c>
      <c r="D3" s="7" t="s">
        <v>4</v>
      </c>
      <c r="E3" s="19" t="s">
        <v>65</v>
      </c>
      <c r="F3" s="7" t="s">
        <v>366</v>
      </c>
      <c r="G3" s="20" t="s">
        <v>373</v>
      </c>
      <c r="H3" s="7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</row>
    <row r="4" spans="1:153" ht="15.75" customHeight="1">
      <c r="A4" s="22"/>
      <c r="B4" s="22" t="str">
        <f ca="1">IFERROR(__xludf.DUMMYFUNCTION("IF(C3="""","""",Transpose(IMPORTRANGE('_Settings'!$B$3,C3&amp;""!A4:A1000"")))"),"PricingInput")</f>
        <v>PricingInput</v>
      </c>
      <c r="C4" s="22" t="s">
        <v>67</v>
      </c>
      <c r="D4" s="22" t="s">
        <v>309</v>
      </c>
      <c r="E4" s="22" t="s">
        <v>311</v>
      </c>
      <c r="F4" s="22"/>
      <c r="G4" s="22"/>
      <c r="H4" s="22"/>
      <c r="I4" s="22"/>
      <c r="J4" s="22"/>
      <c r="K4" s="22"/>
      <c r="L4" s="22"/>
      <c r="M4" s="22"/>
      <c r="N4" s="22"/>
      <c r="O4" s="22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</row>
    <row r="5" spans="1:153" ht="15.75" customHeight="1">
      <c r="A5" s="24" t="str">
        <f ca="1">IFERROR(__xludf.DUMMYFUNCTION("TRANSPOSE(IMPORTRANGE(VLOOKUP($E$3,IMPORTRANGE('_Settings'!$B$3,$C$3&amp;""!A4:B1000""),2,FALSE),$G$3&amp;""!A4:A1000""))"),"")</f>
        <v/>
      </c>
      <c r="B5" s="25" t="s">
        <v>552</v>
      </c>
      <c r="C5" s="25" t="s">
        <v>673</v>
      </c>
      <c r="D5" s="25" t="s">
        <v>674</v>
      </c>
      <c r="E5" s="25" t="s">
        <v>675</v>
      </c>
      <c r="F5" s="25" t="s">
        <v>676</v>
      </c>
      <c r="G5" s="25" t="s">
        <v>677</v>
      </c>
      <c r="H5" s="25" t="s">
        <v>678</v>
      </c>
      <c r="I5" s="25" t="s">
        <v>679</v>
      </c>
      <c r="J5" s="25" t="s">
        <v>680</v>
      </c>
      <c r="K5" s="25" t="s">
        <v>681</v>
      </c>
      <c r="L5" s="25" t="s">
        <v>682</v>
      </c>
      <c r="M5" s="25" t="s">
        <v>683</v>
      </c>
      <c r="N5" s="25" t="s">
        <v>684</v>
      </c>
      <c r="O5" s="25" t="s">
        <v>685</v>
      </c>
      <c r="P5" s="25" t="s">
        <v>686</v>
      </c>
      <c r="Q5" s="25" t="s">
        <v>687</v>
      </c>
      <c r="R5" s="25" t="s">
        <v>688</v>
      </c>
      <c r="S5" s="25" t="s">
        <v>689</v>
      </c>
      <c r="T5" s="26" t="s">
        <v>690</v>
      </c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</row>
    <row r="6" spans="1:153" ht="15.75" customHeight="1">
      <c r="A6" s="6"/>
      <c r="B6" s="15" t="s">
        <v>647</v>
      </c>
      <c r="C6" s="15">
        <v>5</v>
      </c>
      <c r="Q6" s="15">
        <v>1000</v>
      </c>
    </row>
    <row r="7" spans="1:153" ht="15.75" customHeight="1">
      <c r="A7" s="6"/>
      <c r="B7" s="10" t="s">
        <v>664</v>
      </c>
      <c r="C7" s="10">
        <v>5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Q7" s="15">
        <v>1000</v>
      </c>
    </row>
    <row r="8" spans="1:153" ht="15.75" customHeight="1">
      <c r="A8" s="6"/>
      <c r="B8" s="10" t="s">
        <v>671</v>
      </c>
      <c r="C8" s="10">
        <v>5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Q8" s="15">
        <v>1000</v>
      </c>
    </row>
    <row r="9" spans="1:153" ht="15.75" customHeight="1">
      <c r="A9" s="6"/>
      <c r="B9" s="10" t="s">
        <v>667</v>
      </c>
      <c r="C9" s="10">
        <v>5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Q9" s="15">
        <v>1000</v>
      </c>
    </row>
    <row r="10" spans="1:153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spans="1:153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spans="1:153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spans="1:15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spans="1:153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spans="1:153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spans="1:153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spans="1:15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spans="1:15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spans="1:15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spans="1:15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W20"/>
  <sheetViews>
    <sheetView workbookViewId="0"/>
  </sheetViews>
  <sheetFormatPr defaultColWidth="17.28515625" defaultRowHeight="15" customHeight="1"/>
  <cols>
    <col min="1" max="1" width="3.42578125" customWidth="1"/>
    <col min="2" max="8" width="14.42578125" customWidth="1"/>
    <col min="9" max="9" width="18.140625" customWidth="1"/>
    <col min="10" max="11" width="17.42578125" customWidth="1"/>
    <col min="12" max="153" width="14.42578125" customWidth="1"/>
  </cols>
  <sheetData>
    <row r="1" spans="1:153" ht="15.75" customHeight="1">
      <c r="A1" s="13"/>
      <c r="B1" s="41" t="s">
        <v>201</v>
      </c>
      <c r="C1" s="42"/>
      <c r="D1" s="42"/>
      <c r="E1" s="42"/>
      <c r="F1" s="42"/>
      <c r="G1" s="42"/>
      <c r="H1" s="4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</row>
    <row r="2" spans="1:153" ht="15.75" customHeight="1">
      <c r="A2" s="6"/>
      <c r="B2" s="6"/>
      <c r="C2" s="6"/>
      <c r="D2" s="6"/>
      <c r="E2" s="6"/>
      <c r="F2" s="6"/>
      <c r="G2" s="6"/>
      <c r="H2" s="6"/>
      <c r="I2" s="6"/>
      <c r="J2" s="16" t="e">
        <f>VLOOKUP($E$3,_MasterData!B4:D1000,3,FALSE)</f>
        <v>#N/A</v>
      </c>
      <c r="K2" s="17"/>
      <c r="L2" s="6"/>
      <c r="M2" s="6"/>
      <c r="N2" s="6"/>
      <c r="O2" s="6"/>
    </row>
    <row r="3" spans="1:153" ht="15.75" customHeight="1">
      <c r="A3" s="18"/>
      <c r="B3" s="7" t="s">
        <v>3</v>
      </c>
      <c r="C3" s="19" t="s">
        <v>535</v>
      </c>
      <c r="D3" s="7" t="s">
        <v>4</v>
      </c>
      <c r="E3" s="19" t="s">
        <v>544</v>
      </c>
      <c r="F3" s="7" t="s">
        <v>366</v>
      </c>
      <c r="G3" s="20" t="s">
        <v>373</v>
      </c>
      <c r="H3" s="7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</row>
    <row r="4" spans="1:153" ht="15.75" customHeight="1">
      <c r="A4" s="22"/>
      <c r="B4" s="22" t="str">
        <f ca="1">IFERROR(__xludf.DUMMYFUNCTION("IF(C3="""","""",Transpose(IMPORTRANGE('_Settings'!$B$3,C3&amp;""!A4:A1000"")))"),"SetAccountFactor")</f>
        <v>SetAccountFactor</v>
      </c>
      <c r="C4" s="22" t="s">
        <v>555</v>
      </c>
      <c r="D4" s="22" t="s">
        <v>553</v>
      </c>
      <c r="E4" s="22" t="s">
        <v>550</v>
      </c>
      <c r="F4" s="22" t="s">
        <v>546</v>
      </c>
      <c r="G4" s="22" t="s">
        <v>544</v>
      </c>
      <c r="H4" s="22" t="s">
        <v>542</v>
      </c>
      <c r="I4" s="22" t="s">
        <v>540</v>
      </c>
      <c r="J4" s="22" t="s">
        <v>538</v>
      </c>
      <c r="K4" s="22" t="s">
        <v>536</v>
      </c>
      <c r="L4" s="22"/>
      <c r="M4" s="22"/>
      <c r="N4" s="22"/>
      <c r="O4" s="22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</row>
    <row r="5" spans="1:153" ht="15.75" customHeight="1">
      <c r="A5" s="24" t="str">
        <f ca="1">IFERROR(__xludf.DUMMYFUNCTION("TRANSPOSE(IMPORTRANGE(VLOOKUP($E$3,IMPORTRANGE('_Settings'!$B$3,$C$3&amp;""!A4:B1000""),2,FALSE),$G$3&amp;""!A4:A1000""))"),"")</f>
        <v/>
      </c>
      <c r="B5" s="25" t="s">
        <v>697</v>
      </c>
      <c r="C5" s="25" t="s">
        <v>698</v>
      </c>
      <c r="D5" s="25" t="s">
        <v>699</v>
      </c>
      <c r="E5" s="25" t="s">
        <v>700</v>
      </c>
      <c r="F5" s="25" t="s">
        <v>582</v>
      </c>
      <c r="G5" s="25" t="s">
        <v>701</v>
      </c>
      <c r="H5" s="25" t="s">
        <v>702</v>
      </c>
      <c r="I5" s="25" t="s">
        <v>703</v>
      </c>
      <c r="J5" s="25"/>
      <c r="K5" s="25"/>
      <c r="L5" s="25"/>
      <c r="M5" s="25"/>
      <c r="N5" s="25"/>
      <c r="O5" s="25"/>
      <c r="P5" s="25"/>
      <c r="Q5" s="25"/>
      <c r="R5" s="25"/>
      <c r="S5" s="25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</row>
    <row r="6" spans="1:153" ht="15.75" customHeight="1">
      <c r="A6" s="6"/>
      <c r="B6" s="15" t="s">
        <v>704</v>
      </c>
      <c r="D6" s="15" t="s">
        <v>705</v>
      </c>
      <c r="E6" s="15">
        <v>5</v>
      </c>
      <c r="F6" s="15">
        <v>1</v>
      </c>
      <c r="G6" s="15" t="s">
        <v>706</v>
      </c>
      <c r="H6" s="15" t="s">
        <v>630</v>
      </c>
      <c r="I6" s="15" t="s">
        <v>654</v>
      </c>
    </row>
    <row r="7" spans="1:153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spans="1:153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spans="1:153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spans="1:153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spans="1:153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spans="1:153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spans="1:15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spans="1:153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spans="1:153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spans="1:153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spans="1:15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spans="1:15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spans="1:15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spans="1:15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W20"/>
  <sheetViews>
    <sheetView workbookViewId="0"/>
  </sheetViews>
  <sheetFormatPr defaultColWidth="17.28515625" defaultRowHeight="15" customHeight="1"/>
  <cols>
    <col min="1" max="1" width="3.42578125" customWidth="1"/>
    <col min="2" max="8" width="14.42578125" customWidth="1"/>
    <col min="9" max="9" width="18.140625" customWidth="1"/>
    <col min="10" max="11" width="17.42578125" customWidth="1"/>
    <col min="12" max="153" width="14.42578125" customWidth="1"/>
  </cols>
  <sheetData>
    <row r="1" spans="1:153" ht="15.75" customHeight="1">
      <c r="A1" s="13"/>
      <c r="B1" s="41" t="s">
        <v>201</v>
      </c>
      <c r="C1" s="42"/>
      <c r="D1" s="42"/>
      <c r="E1" s="42"/>
      <c r="F1" s="42"/>
      <c r="G1" s="42"/>
      <c r="H1" s="4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</row>
    <row r="2" spans="1:153" ht="15.75" customHeight="1">
      <c r="A2" s="6"/>
      <c r="B2" s="6"/>
      <c r="C2" s="6"/>
      <c r="D2" s="6"/>
      <c r="E2" s="6"/>
      <c r="F2" s="6"/>
      <c r="G2" s="6"/>
      <c r="H2" s="6"/>
      <c r="I2" s="6"/>
      <c r="J2" s="16" t="e">
        <f>VLOOKUP($E$3,_MasterData!B4:D1000,3,FALSE)</f>
        <v>#N/A</v>
      </c>
      <c r="K2" s="17"/>
      <c r="L2" s="6"/>
      <c r="M2" s="6"/>
      <c r="N2" s="6"/>
      <c r="O2" s="6"/>
    </row>
    <row r="3" spans="1:153" ht="15.75" customHeight="1">
      <c r="A3" s="18"/>
      <c r="B3" s="7" t="s">
        <v>3</v>
      </c>
      <c r="C3" s="19" t="s">
        <v>103</v>
      </c>
      <c r="D3" s="7" t="s">
        <v>4</v>
      </c>
      <c r="E3" s="19" t="s">
        <v>303</v>
      </c>
      <c r="F3" s="7" t="s">
        <v>366</v>
      </c>
      <c r="G3" s="20" t="s">
        <v>373</v>
      </c>
      <c r="H3" s="7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</row>
    <row r="4" spans="1:153" ht="15.75" customHeight="1">
      <c r="A4" s="22"/>
      <c r="B4" s="22" t="str">
        <f ca="1">IFERROR(__xludf.DUMMYFUNCTION("IF(C3="""","""",Transpose(IMPORTRANGE('_Settings'!$B$3,C3&amp;""!A4:A1000"")))"),"OpenTTFromPST")</f>
        <v>OpenTTFromPST</v>
      </c>
      <c r="C4" s="22" t="s">
        <v>120</v>
      </c>
      <c r="D4" s="22" t="s">
        <v>166</v>
      </c>
      <c r="E4" s="22" t="s">
        <v>168</v>
      </c>
      <c r="F4" s="22" t="s">
        <v>169</v>
      </c>
      <c r="G4" s="22" t="s">
        <v>171</v>
      </c>
      <c r="H4" s="22" t="s">
        <v>175</v>
      </c>
      <c r="I4" s="22" t="s">
        <v>171</v>
      </c>
      <c r="J4" s="22" t="s">
        <v>175</v>
      </c>
      <c r="K4" s="22" t="s">
        <v>484</v>
      </c>
      <c r="L4" s="22" t="s">
        <v>279</v>
      </c>
      <c r="M4" s="22" t="s">
        <v>301</v>
      </c>
      <c r="N4" s="22" t="s">
        <v>303</v>
      </c>
      <c r="O4" s="22" t="s">
        <v>487</v>
      </c>
      <c r="P4" s="23" t="s">
        <v>488</v>
      </c>
      <c r="Q4" s="23" t="s">
        <v>491</v>
      </c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</row>
    <row r="5" spans="1:153" ht="15.75" customHeight="1">
      <c r="A5" s="24" t="str">
        <f ca="1">IFERROR(__xludf.DUMMYFUNCTION("TRANSPOSE(IMPORTRANGE(VLOOKUP($E$3,IMPORTRANGE('_Settings'!$B$3,$C$3&amp;""!A4:B1000""),2,FALSE),$G$3&amp;""!A4:A1000""))"),"")</f>
        <v/>
      </c>
      <c r="B5" s="25" t="s">
        <v>552</v>
      </c>
      <c r="C5" s="25" t="s">
        <v>570</v>
      </c>
      <c r="D5" s="25" t="s">
        <v>572</v>
      </c>
      <c r="E5" s="25" t="s">
        <v>574</v>
      </c>
      <c r="F5" s="25" t="s">
        <v>575</v>
      </c>
      <c r="G5" s="25" t="s">
        <v>577</v>
      </c>
      <c r="H5" s="25" t="s">
        <v>579</v>
      </c>
      <c r="I5" s="25" t="s">
        <v>580</v>
      </c>
      <c r="J5" s="25" t="s">
        <v>582</v>
      </c>
      <c r="K5" s="25" t="s">
        <v>584</v>
      </c>
      <c r="L5" s="25" t="s">
        <v>586</v>
      </c>
      <c r="M5" s="25" t="s">
        <v>587</v>
      </c>
      <c r="N5" s="25" t="s">
        <v>588</v>
      </c>
      <c r="O5" s="25" t="s">
        <v>589</v>
      </c>
      <c r="P5" s="25" t="s">
        <v>590</v>
      </c>
      <c r="Q5" s="25" t="s">
        <v>592</v>
      </c>
      <c r="R5" s="25" t="s">
        <v>594</v>
      </c>
      <c r="S5" s="25" t="s">
        <v>595</v>
      </c>
      <c r="T5" s="26" t="s">
        <v>597</v>
      </c>
      <c r="U5" s="26" t="s">
        <v>605</v>
      </c>
      <c r="V5" s="26" t="s">
        <v>608</v>
      </c>
      <c r="W5" s="26" t="s">
        <v>609</v>
      </c>
      <c r="X5" s="26" t="s">
        <v>611</v>
      </c>
      <c r="Y5" s="26" t="s">
        <v>612</v>
      </c>
      <c r="Z5" s="26" t="s">
        <v>614</v>
      </c>
      <c r="AA5" s="26" t="s">
        <v>616</v>
      </c>
      <c r="AB5" s="26" t="s">
        <v>617</v>
      </c>
      <c r="AC5" s="26" t="s">
        <v>618</v>
      </c>
      <c r="AD5" s="26" t="s">
        <v>620</v>
      </c>
      <c r="AE5" s="26" t="s">
        <v>621</v>
      </c>
      <c r="AF5" s="26" t="s">
        <v>622</v>
      </c>
      <c r="AG5" s="26" t="s">
        <v>624</v>
      </c>
      <c r="AH5" s="26" t="s">
        <v>626</v>
      </c>
      <c r="AI5" s="26" t="s">
        <v>627</v>
      </c>
      <c r="AJ5" s="26" t="s">
        <v>628</v>
      </c>
      <c r="AK5" s="26" t="s">
        <v>630</v>
      </c>
      <c r="AL5" s="26" t="s">
        <v>632</v>
      </c>
      <c r="AM5" s="26" t="s">
        <v>634</v>
      </c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</row>
    <row r="6" spans="1:153" ht="15.75" customHeight="1">
      <c r="A6" s="6"/>
      <c r="B6" s="15" t="s">
        <v>704</v>
      </c>
      <c r="D6" s="15">
        <v>500</v>
      </c>
      <c r="E6" s="15">
        <v>500</v>
      </c>
      <c r="J6" s="15">
        <v>1</v>
      </c>
    </row>
    <row r="7" spans="1:153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spans="1:153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spans="1:153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spans="1:153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spans="1:153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spans="1:153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spans="1:15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spans="1:153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spans="1:153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spans="1:153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spans="1:15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spans="1:15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spans="1:15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spans="1:15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W20"/>
  <sheetViews>
    <sheetView workbookViewId="0"/>
  </sheetViews>
  <sheetFormatPr defaultColWidth="17.28515625" defaultRowHeight="15" customHeight="1"/>
  <cols>
    <col min="1" max="1" width="3.42578125" customWidth="1"/>
    <col min="2" max="8" width="14.42578125" customWidth="1"/>
    <col min="9" max="9" width="18.140625" customWidth="1"/>
    <col min="10" max="11" width="17.42578125" customWidth="1"/>
    <col min="12" max="153" width="14.42578125" customWidth="1"/>
  </cols>
  <sheetData>
    <row r="1" spans="1:153" ht="15.75" customHeight="1">
      <c r="A1" s="13"/>
      <c r="B1" s="41" t="s">
        <v>201</v>
      </c>
      <c r="C1" s="42"/>
      <c r="D1" s="42"/>
      <c r="E1" s="42"/>
      <c r="F1" s="42"/>
      <c r="G1" s="42"/>
      <c r="H1" s="4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</row>
    <row r="2" spans="1:153" ht="15.75" customHeight="1">
      <c r="A2" s="6"/>
      <c r="B2" s="6"/>
      <c r="C2" s="6"/>
      <c r="D2" s="6"/>
      <c r="E2" s="6"/>
      <c r="F2" s="6"/>
      <c r="G2" s="6"/>
      <c r="H2" s="6"/>
      <c r="I2" s="6"/>
      <c r="J2" s="16" t="e">
        <f>VLOOKUP($E$3,_MasterData!B4:D1000,3,FALSE)</f>
        <v>#N/A</v>
      </c>
      <c r="K2" s="17"/>
      <c r="L2" s="6"/>
      <c r="M2" s="6"/>
      <c r="N2" s="6"/>
      <c r="O2" s="6"/>
    </row>
    <row r="3" spans="1:153" ht="15.75" customHeight="1">
      <c r="A3" s="18"/>
      <c r="B3" s="7" t="s">
        <v>3</v>
      </c>
      <c r="C3" s="19" t="s">
        <v>13</v>
      </c>
      <c r="D3" s="7" t="s">
        <v>4</v>
      </c>
      <c r="E3" s="19" t="s">
        <v>16</v>
      </c>
      <c r="F3" s="7" t="s">
        <v>366</v>
      </c>
      <c r="G3" s="20" t="s">
        <v>373</v>
      </c>
      <c r="H3" s="7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</row>
    <row r="4" spans="1:153" ht="15.75" customHeight="1">
      <c r="A4" s="22"/>
      <c r="B4" s="22" t="str">
        <f ca="1">IFERROR(__xludf.DUMMYFUNCTION("IF(C3="""","""",Transpose(IMPORTRANGE('_Settings'!$B$3,C3&amp;""!A4:A1000"")))"),"Allocate")</f>
        <v>Allocate</v>
      </c>
      <c r="C4" s="22" t="s">
        <v>25</v>
      </c>
      <c r="D4" s="22" t="s">
        <v>89</v>
      </c>
      <c r="E4" s="22" t="s">
        <v>244</v>
      </c>
      <c r="F4" s="22" t="s">
        <v>278</v>
      </c>
      <c r="G4" s="22" t="s">
        <v>511</v>
      </c>
      <c r="H4" s="22" t="s">
        <v>610</v>
      </c>
      <c r="I4" s="22" t="s">
        <v>619</v>
      </c>
      <c r="J4" s="22" t="s">
        <v>642</v>
      </c>
      <c r="K4" s="22" t="s">
        <v>643</v>
      </c>
      <c r="L4" s="22" t="s">
        <v>644</v>
      </c>
      <c r="M4" s="22" t="s">
        <v>648</v>
      </c>
      <c r="N4" s="22" t="s">
        <v>14</v>
      </c>
      <c r="O4" s="22" t="s">
        <v>18</v>
      </c>
      <c r="P4" s="23" t="s">
        <v>20</v>
      </c>
      <c r="Q4" s="23" t="s">
        <v>21</v>
      </c>
      <c r="R4" s="23" t="s">
        <v>23</v>
      </c>
      <c r="S4" s="23" t="s">
        <v>121</v>
      </c>
      <c r="T4" s="23" t="s">
        <v>123</v>
      </c>
      <c r="U4" s="23" t="s">
        <v>125</v>
      </c>
      <c r="V4" s="23" t="s">
        <v>127</v>
      </c>
      <c r="W4" s="23" t="s">
        <v>129</v>
      </c>
      <c r="X4" s="23" t="s">
        <v>131</v>
      </c>
      <c r="Y4" s="23" t="s">
        <v>133</v>
      </c>
      <c r="Z4" s="23" t="s">
        <v>135</v>
      </c>
      <c r="AA4" s="23" t="s">
        <v>137</v>
      </c>
      <c r="AB4" s="23" t="s">
        <v>139</v>
      </c>
      <c r="AC4" s="23" t="s">
        <v>141</v>
      </c>
      <c r="AD4" s="23" t="s">
        <v>145</v>
      </c>
      <c r="AE4" s="23" t="s">
        <v>143</v>
      </c>
      <c r="AF4" s="23" t="s">
        <v>147</v>
      </c>
      <c r="AG4" s="23" t="s">
        <v>149</v>
      </c>
      <c r="AH4" s="23" t="s">
        <v>151</v>
      </c>
      <c r="AI4" s="23" t="s">
        <v>153</v>
      </c>
      <c r="AJ4" s="23" t="s">
        <v>155</v>
      </c>
      <c r="AK4" s="23" t="s">
        <v>157</v>
      </c>
      <c r="AL4" s="23" t="s">
        <v>159</v>
      </c>
      <c r="AM4" s="23" t="s">
        <v>181</v>
      </c>
      <c r="AN4" s="23" t="s">
        <v>183</v>
      </c>
      <c r="AO4" s="23" t="s">
        <v>185</v>
      </c>
      <c r="AP4" s="23" t="s">
        <v>187</v>
      </c>
      <c r="AQ4" s="23" t="s">
        <v>191</v>
      </c>
      <c r="AR4" s="23" t="s">
        <v>195</v>
      </c>
      <c r="AS4" s="23" t="s">
        <v>199</v>
      </c>
      <c r="AT4" s="23" t="s">
        <v>204</v>
      </c>
      <c r="AU4" s="23" t="s">
        <v>208</v>
      </c>
      <c r="AV4" s="23" t="s">
        <v>212</v>
      </c>
      <c r="AW4" s="23" t="s">
        <v>216</v>
      </c>
      <c r="AX4" s="23" t="s">
        <v>650</v>
      </c>
      <c r="AY4" s="23" t="s">
        <v>645</v>
      </c>
      <c r="AZ4" s="23" t="s">
        <v>224</v>
      </c>
      <c r="BA4" s="23" t="s">
        <v>230</v>
      </c>
      <c r="BB4" s="23" t="s">
        <v>232</v>
      </c>
      <c r="BC4" s="23" t="s">
        <v>238</v>
      </c>
      <c r="BD4" s="23" t="s">
        <v>638</v>
      </c>
      <c r="BE4" s="23" t="s">
        <v>636</v>
      </c>
      <c r="BF4" s="23" t="s">
        <v>633</v>
      </c>
      <c r="BG4" s="23" t="s">
        <v>629</v>
      </c>
      <c r="BH4" s="23" t="s">
        <v>623</v>
      </c>
      <c r="BI4" s="23" t="s">
        <v>613</v>
      </c>
      <c r="BJ4" s="23" t="s">
        <v>606</v>
      </c>
      <c r="BK4" s="23" t="s">
        <v>305</v>
      </c>
      <c r="BL4" s="23" t="s">
        <v>603</v>
      </c>
      <c r="BM4" s="23" t="s">
        <v>601</v>
      </c>
      <c r="BN4" s="23" t="s">
        <v>599</v>
      </c>
      <c r="BO4" s="23" t="s">
        <v>598</v>
      </c>
      <c r="BP4" s="23" t="s">
        <v>596</v>
      </c>
      <c r="BQ4" s="23" t="s">
        <v>321</v>
      </c>
      <c r="BR4" s="23" t="s">
        <v>327</v>
      </c>
      <c r="BS4" s="23" t="s">
        <v>329</v>
      </c>
      <c r="BT4" s="23" t="s">
        <v>331</v>
      </c>
      <c r="BU4" s="23" t="s">
        <v>335</v>
      </c>
      <c r="BV4" s="23" t="s">
        <v>337</v>
      </c>
      <c r="BW4" s="23" t="s">
        <v>339</v>
      </c>
      <c r="BX4" s="23" t="s">
        <v>341</v>
      </c>
      <c r="BY4" s="23" t="s">
        <v>343</v>
      </c>
      <c r="BZ4" s="23" t="s">
        <v>576</v>
      </c>
      <c r="CA4" s="23" t="s">
        <v>581</v>
      </c>
      <c r="CB4" s="23" t="s">
        <v>363</v>
      </c>
      <c r="CC4" s="23" t="s">
        <v>571</v>
      </c>
      <c r="CD4" s="23" t="s">
        <v>567</v>
      </c>
      <c r="CE4" s="23" t="s">
        <v>377</v>
      </c>
      <c r="CF4" s="23" t="s">
        <v>381</v>
      </c>
      <c r="CG4" s="23" t="s">
        <v>395</v>
      </c>
      <c r="CH4" s="23" t="s">
        <v>393</v>
      </c>
      <c r="CI4" s="23" t="s">
        <v>397</v>
      </c>
      <c r="CJ4" s="23" t="s">
        <v>16</v>
      </c>
      <c r="CK4" s="23" t="s">
        <v>581</v>
      </c>
      <c r="CL4" s="23" t="s">
        <v>399</v>
      </c>
      <c r="CM4" s="23" t="s">
        <v>377</v>
      </c>
      <c r="CN4" s="23" t="s">
        <v>363</v>
      </c>
      <c r="CO4" s="23" t="s">
        <v>343</v>
      </c>
      <c r="CP4" s="23" t="s">
        <v>305</v>
      </c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</row>
    <row r="5" spans="1:153" ht="15.75" customHeight="1">
      <c r="A5" s="24" t="str">
        <f ca="1">IFERROR(__xludf.DUMMYFUNCTION("TRANSPOSE(IMPORTRANGE(VLOOKUP($E$3,IMPORTRANGE('_Settings'!$B$3,$C$3&amp;""!A4:B1000""),2,FALSE),$G$3&amp;""!A4:A1000""))"),"")</f>
        <v/>
      </c>
      <c r="B5" s="25" t="s">
        <v>552</v>
      </c>
      <c r="C5" s="25" t="s">
        <v>572</v>
      </c>
      <c r="D5" s="25" t="s">
        <v>588</v>
      </c>
      <c r="E5" s="25" t="s">
        <v>707</v>
      </c>
      <c r="F5" s="25" t="s">
        <v>708</v>
      </c>
      <c r="G5" s="25" t="s">
        <v>709</v>
      </c>
      <c r="H5" s="25" t="s">
        <v>710</v>
      </c>
      <c r="I5" s="25" t="s">
        <v>711</v>
      </c>
      <c r="J5" s="25" t="s">
        <v>712</v>
      </c>
      <c r="K5" s="25" t="s">
        <v>713</v>
      </c>
      <c r="L5" s="25" t="s">
        <v>714</v>
      </c>
      <c r="M5" s="25" t="s">
        <v>715</v>
      </c>
      <c r="N5" s="25" t="s">
        <v>716</v>
      </c>
      <c r="O5" s="25" t="s">
        <v>717</v>
      </c>
      <c r="P5" s="25" t="s">
        <v>577</v>
      </c>
      <c r="Q5" s="25" t="s">
        <v>718</v>
      </c>
      <c r="R5" s="25" t="s">
        <v>719</v>
      </c>
      <c r="S5" s="25" t="s">
        <v>720</v>
      </c>
      <c r="T5" s="26" t="s">
        <v>721</v>
      </c>
      <c r="U5" s="26" t="s">
        <v>722</v>
      </c>
      <c r="V5" s="26" t="s">
        <v>723</v>
      </c>
      <c r="W5" s="26" t="s">
        <v>724</v>
      </c>
      <c r="X5" s="26" t="s">
        <v>725</v>
      </c>
      <c r="Y5" s="26" t="s">
        <v>726</v>
      </c>
      <c r="Z5" s="26" t="s">
        <v>727</v>
      </c>
      <c r="AA5" s="26" t="s">
        <v>728</v>
      </c>
      <c r="AB5" s="26" t="s">
        <v>729</v>
      </c>
      <c r="AC5" s="26" t="s">
        <v>730</v>
      </c>
      <c r="AD5" s="26" t="s">
        <v>731</v>
      </c>
      <c r="AE5" s="26" t="s">
        <v>732</v>
      </c>
      <c r="AF5" s="26" t="s">
        <v>733</v>
      </c>
      <c r="AG5" s="26" t="s">
        <v>734</v>
      </c>
      <c r="AH5" s="26" t="s">
        <v>735</v>
      </c>
      <c r="AI5" s="26" t="s">
        <v>736</v>
      </c>
      <c r="AJ5" s="26" t="s">
        <v>737</v>
      </c>
      <c r="AK5" s="26" t="s">
        <v>738</v>
      </c>
      <c r="AL5" s="26" t="s">
        <v>739</v>
      </c>
      <c r="AM5" s="26" t="s">
        <v>740</v>
      </c>
      <c r="AN5" s="26" t="s">
        <v>741</v>
      </c>
      <c r="AO5" s="26" t="s">
        <v>742</v>
      </c>
      <c r="AP5" s="26" t="s">
        <v>743</v>
      </c>
      <c r="AQ5" s="26" t="s">
        <v>744</v>
      </c>
      <c r="AR5" s="26" t="s">
        <v>745</v>
      </c>
      <c r="AS5" s="26" t="s">
        <v>746</v>
      </c>
      <c r="AT5" s="26" t="s">
        <v>747</v>
      </c>
      <c r="AU5" s="26" t="s">
        <v>748</v>
      </c>
      <c r="AV5" s="26" t="s">
        <v>749</v>
      </c>
      <c r="AW5" s="26" t="s">
        <v>750</v>
      </c>
      <c r="AX5" s="26" t="s">
        <v>751</v>
      </c>
      <c r="AY5" s="26" t="s">
        <v>752</v>
      </c>
      <c r="AZ5" s="26" t="s">
        <v>753</v>
      </c>
      <c r="BA5" s="26" t="s">
        <v>754</v>
      </c>
      <c r="BB5" s="26" t="s">
        <v>755</v>
      </c>
      <c r="BC5" s="26" t="s">
        <v>756</v>
      </c>
      <c r="BD5" s="26" t="s">
        <v>757</v>
      </c>
      <c r="BE5" s="26" t="s">
        <v>758</v>
      </c>
      <c r="BF5" s="26" t="s">
        <v>759</v>
      </c>
      <c r="BG5" s="26" t="s">
        <v>760</v>
      </c>
      <c r="BH5" s="26" t="s">
        <v>761</v>
      </c>
      <c r="BI5" s="26" t="s">
        <v>762</v>
      </c>
      <c r="BJ5" s="26" t="s">
        <v>763</v>
      </c>
      <c r="BK5" s="26" t="s">
        <v>764</v>
      </c>
      <c r="BL5" s="26" t="s">
        <v>766</v>
      </c>
      <c r="BM5" s="26" t="s">
        <v>767</v>
      </c>
      <c r="BN5" s="26" t="s">
        <v>580</v>
      </c>
      <c r="BO5" s="26" t="s">
        <v>768</v>
      </c>
      <c r="BP5" s="26" t="s">
        <v>108</v>
      </c>
      <c r="BQ5" s="26" t="s">
        <v>769</v>
      </c>
      <c r="BR5" s="26" t="s">
        <v>770</v>
      </c>
      <c r="BS5" s="26" t="s">
        <v>765</v>
      </c>
      <c r="BT5" s="26" t="s">
        <v>617</v>
      </c>
      <c r="BU5" s="26" t="s">
        <v>771</v>
      </c>
      <c r="BV5" s="26" t="s">
        <v>772</v>
      </c>
      <c r="BW5" s="26" t="s">
        <v>773</v>
      </c>
      <c r="BX5" s="26" t="s">
        <v>774</v>
      </c>
      <c r="BY5" s="26" t="s">
        <v>775</v>
      </c>
      <c r="BZ5" s="26" t="s">
        <v>776</v>
      </c>
      <c r="CA5" s="26" t="s">
        <v>777</v>
      </c>
      <c r="CB5" s="26" t="s">
        <v>778</v>
      </c>
      <c r="CC5" s="26" t="s">
        <v>779</v>
      </c>
      <c r="CD5" s="26" t="s">
        <v>780</v>
      </c>
      <c r="CE5" s="26" t="s">
        <v>781</v>
      </c>
      <c r="CF5" s="26" t="s">
        <v>782</v>
      </c>
      <c r="CG5" s="26" t="s">
        <v>783</v>
      </c>
      <c r="CH5" s="26" t="s">
        <v>784</v>
      </c>
      <c r="CI5" s="26" t="s">
        <v>785</v>
      </c>
      <c r="CJ5" s="26" t="s">
        <v>786</v>
      </c>
      <c r="CK5" s="26" t="s">
        <v>787</v>
      </c>
      <c r="CL5" s="26" t="s">
        <v>788</v>
      </c>
      <c r="CM5" s="26" t="s">
        <v>789</v>
      </c>
      <c r="CN5" s="26" t="s">
        <v>790</v>
      </c>
      <c r="CO5" s="26" t="s">
        <v>791</v>
      </c>
      <c r="CP5" s="26" t="s">
        <v>792</v>
      </c>
      <c r="CQ5" s="26" t="s">
        <v>793</v>
      </c>
      <c r="CR5" s="26" t="s">
        <v>794</v>
      </c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</row>
    <row r="6" spans="1:153" ht="15.75" customHeight="1">
      <c r="A6" s="6"/>
      <c r="B6" s="15" t="s">
        <v>704</v>
      </c>
      <c r="C6" s="15">
        <v>500</v>
      </c>
      <c r="F6" s="15" t="s">
        <v>649</v>
      </c>
      <c r="H6" s="15">
        <v>1</v>
      </c>
    </row>
    <row r="7" spans="1:153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spans="1:153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spans="1:153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spans="1:153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spans="1:153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spans="1:153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spans="1:15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spans="1:153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spans="1:153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spans="1:153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spans="1:15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spans="1:15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spans="1:15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spans="1:15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W20"/>
  <sheetViews>
    <sheetView workbookViewId="0"/>
  </sheetViews>
  <sheetFormatPr defaultColWidth="17.28515625" defaultRowHeight="15" customHeight="1"/>
  <cols>
    <col min="1" max="1" width="3.42578125" customWidth="1"/>
    <col min="2" max="8" width="14.42578125" customWidth="1"/>
    <col min="9" max="9" width="18.140625" customWidth="1"/>
    <col min="10" max="11" width="17.42578125" customWidth="1"/>
    <col min="12" max="153" width="14.42578125" customWidth="1"/>
  </cols>
  <sheetData>
    <row r="1" spans="1:153" ht="15.75" customHeight="1">
      <c r="A1" s="13"/>
      <c r="B1" s="41" t="s">
        <v>201</v>
      </c>
      <c r="C1" s="42"/>
      <c r="D1" s="42"/>
      <c r="E1" s="42"/>
      <c r="F1" s="42"/>
      <c r="G1" s="42"/>
      <c r="H1" s="4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</row>
    <row r="2" spans="1:153" ht="15.75" customHeight="1">
      <c r="A2" s="6"/>
      <c r="B2" s="6"/>
      <c r="C2" s="6"/>
      <c r="D2" s="6"/>
      <c r="E2" s="6"/>
      <c r="F2" s="6"/>
      <c r="G2" s="6"/>
      <c r="H2" s="6"/>
      <c r="I2" s="6"/>
      <c r="J2" s="16" t="e">
        <f>VLOOKUP($E$3,_MasterData!B4:D1000,3,FALSE)</f>
        <v>#N/A</v>
      </c>
      <c r="K2" s="17"/>
      <c r="L2" s="6"/>
      <c r="M2" s="6"/>
      <c r="N2" s="6"/>
      <c r="O2" s="6"/>
    </row>
    <row r="3" spans="1:153" ht="15.75" customHeight="1">
      <c r="A3" s="18"/>
      <c r="B3" s="7" t="s">
        <v>3</v>
      </c>
      <c r="C3" s="19" t="s">
        <v>13</v>
      </c>
      <c r="D3" s="7" t="s">
        <v>4</v>
      </c>
      <c r="E3" s="19" t="s">
        <v>208</v>
      </c>
      <c r="F3" s="7" t="s">
        <v>366</v>
      </c>
      <c r="G3" s="20" t="s">
        <v>373</v>
      </c>
      <c r="H3" s="7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</row>
    <row r="4" spans="1:153" ht="15.75" customHeight="1">
      <c r="A4" s="22"/>
      <c r="B4" s="22" t="str">
        <f ca="1">IFERROR(__xludf.DUMMYFUNCTION("IF(C3="""","""",Transpose(IMPORTRANGE('_Settings'!$B$3,C3&amp;""!A4:A1000"")))"),"Allocate")</f>
        <v>Allocate</v>
      </c>
      <c r="C4" s="22" t="s">
        <v>25</v>
      </c>
      <c r="D4" s="22" t="s">
        <v>89</v>
      </c>
      <c r="E4" s="22" t="s">
        <v>244</v>
      </c>
      <c r="F4" s="22" t="s">
        <v>278</v>
      </c>
      <c r="G4" s="22" t="s">
        <v>511</v>
      </c>
      <c r="H4" s="22" t="s">
        <v>610</v>
      </c>
      <c r="I4" s="22" t="s">
        <v>619</v>
      </c>
      <c r="J4" s="22" t="s">
        <v>642</v>
      </c>
      <c r="K4" s="22" t="s">
        <v>643</v>
      </c>
      <c r="L4" s="22" t="s">
        <v>644</v>
      </c>
      <c r="M4" s="22" t="s">
        <v>648</v>
      </c>
      <c r="N4" s="22" t="s">
        <v>14</v>
      </c>
      <c r="O4" s="22" t="s">
        <v>18</v>
      </c>
      <c r="P4" s="23" t="s">
        <v>20</v>
      </c>
      <c r="Q4" s="23" t="s">
        <v>21</v>
      </c>
      <c r="R4" s="23" t="s">
        <v>23</v>
      </c>
      <c r="S4" s="23" t="s">
        <v>121</v>
      </c>
      <c r="T4" s="23" t="s">
        <v>123</v>
      </c>
      <c r="U4" s="23" t="s">
        <v>125</v>
      </c>
      <c r="V4" s="23" t="s">
        <v>127</v>
      </c>
      <c r="W4" s="23" t="s">
        <v>129</v>
      </c>
      <c r="X4" s="23" t="s">
        <v>131</v>
      </c>
      <c r="Y4" s="23" t="s">
        <v>133</v>
      </c>
      <c r="Z4" s="23" t="s">
        <v>135</v>
      </c>
      <c r="AA4" s="23" t="s">
        <v>137</v>
      </c>
      <c r="AB4" s="23" t="s">
        <v>139</v>
      </c>
      <c r="AC4" s="23" t="s">
        <v>141</v>
      </c>
      <c r="AD4" s="23" t="s">
        <v>145</v>
      </c>
      <c r="AE4" s="23" t="s">
        <v>143</v>
      </c>
      <c r="AF4" s="23" t="s">
        <v>147</v>
      </c>
      <c r="AG4" s="23" t="s">
        <v>149</v>
      </c>
      <c r="AH4" s="23" t="s">
        <v>151</v>
      </c>
      <c r="AI4" s="23" t="s">
        <v>153</v>
      </c>
      <c r="AJ4" s="23" t="s">
        <v>155</v>
      </c>
      <c r="AK4" s="23" t="s">
        <v>157</v>
      </c>
      <c r="AL4" s="23" t="s">
        <v>159</v>
      </c>
      <c r="AM4" s="23" t="s">
        <v>181</v>
      </c>
      <c r="AN4" s="23" t="s">
        <v>183</v>
      </c>
      <c r="AO4" s="23" t="s">
        <v>185</v>
      </c>
      <c r="AP4" s="23" t="s">
        <v>187</v>
      </c>
      <c r="AQ4" s="23" t="s">
        <v>191</v>
      </c>
      <c r="AR4" s="23" t="s">
        <v>195</v>
      </c>
      <c r="AS4" s="23" t="s">
        <v>199</v>
      </c>
      <c r="AT4" s="23" t="s">
        <v>204</v>
      </c>
      <c r="AU4" s="23" t="s">
        <v>208</v>
      </c>
      <c r="AV4" s="23" t="s">
        <v>212</v>
      </c>
      <c r="AW4" s="23" t="s">
        <v>216</v>
      </c>
      <c r="AX4" s="23" t="s">
        <v>650</v>
      </c>
      <c r="AY4" s="23" t="s">
        <v>645</v>
      </c>
      <c r="AZ4" s="23" t="s">
        <v>224</v>
      </c>
      <c r="BA4" s="23" t="s">
        <v>230</v>
      </c>
      <c r="BB4" s="23" t="s">
        <v>232</v>
      </c>
      <c r="BC4" s="23" t="s">
        <v>238</v>
      </c>
      <c r="BD4" s="23" t="s">
        <v>638</v>
      </c>
      <c r="BE4" s="23" t="s">
        <v>636</v>
      </c>
      <c r="BF4" s="23" t="s">
        <v>633</v>
      </c>
      <c r="BG4" s="23" t="s">
        <v>629</v>
      </c>
      <c r="BH4" s="23" t="s">
        <v>623</v>
      </c>
      <c r="BI4" s="23" t="s">
        <v>613</v>
      </c>
      <c r="BJ4" s="23" t="s">
        <v>606</v>
      </c>
      <c r="BK4" s="23" t="s">
        <v>305</v>
      </c>
      <c r="BL4" s="23" t="s">
        <v>603</v>
      </c>
      <c r="BM4" s="23" t="s">
        <v>601</v>
      </c>
      <c r="BN4" s="23" t="s">
        <v>599</v>
      </c>
      <c r="BO4" s="23" t="s">
        <v>598</v>
      </c>
      <c r="BP4" s="23" t="s">
        <v>596</v>
      </c>
      <c r="BQ4" s="23" t="s">
        <v>321</v>
      </c>
      <c r="BR4" s="23" t="s">
        <v>327</v>
      </c>
      <c r="BS4" s="23" t="s">
        <v>329</v>
      </c>
      <c r="BT4" s="23" t="s">
        <v>331</v>
      </c>
      <c r="BU4" s="23" t="s">
        <v>335</v>
      </c>
      <c r="BV4" s="23" t="s">
        <v>337</v>
      </c>
      <c r="BW4" s="23" t="s">
        <v>339</v>
      </c>
      <c r="BX4" s="23" t="s">
        <v>341</v>
      </c>
      <c r="BY4" s="23" t="s">
        <v>343</v>
      </c>
      <c r="BZ4" s="23" t="s">
        <v>576</v>
      </c>
      <c r="CA4" s="23" t="s">
        <v>581</v>
      </c>
      <c r="CB4" s="23" t="s">
        <v>363</v>
      </c>
      <c r="CC4" s="23" t="s">
        <v>571</v>
      </c>
      <c r="CD4" s="23" t="s">
        <v>567</v>
      </c>
      <c r="CE4" s="23" t="s">
        <v>377</v>
      </c>
      <c r="CF4" s="23" t="s">
        <v>381</v>
      </c>
      <c r="CG4" s="23" t="s">
        <v>395</v>
      </c>
      <c r="CH4" s="23" t="s">
        <v>393</v>
      </c>
      <c r="CI4" s="23" t="s">
        <v>397</v>
      </c>
      <c r="CJ4" s="23" t="s">
        <v>16</v>
      </c>
      <c r="CK4" s="23" t="s">
        <v>581</v>
      </c>
      <c r="CL4" s="23" t="s">
        <v>399</v>
      </c>
      <c r="CM4" s="23" t="s">
        <v>377</v>
      </c>
      <c r="CN4" s="23" t="s">
        <v>363</v>
      </c>
      <c r="CO4" s="23" t="s">
        <v>343</v>
      </c>
      <c r="CP4" s="23" t="s">
        <v>305</v>
      </c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</row>
    <row r="5" spans="1:153" ht="15.75" customHeight="1">
      <c r="A5" s="24" t="str">
        <f ca="1">IFERROR(__xludf.DUMMYFUNCTION("TRANSPOSE(IMPORTRANGE(VLOOKUP($E$3,IMPORTRANGE('_Settings'!$B$3,$C$3&amp;""!A4:B1000""),2,FALSE),$G$3&amp;""!A4:A1000""))"),"")</f>
        <v/>
      </c>
      <c r="B5" s="25" t="s">
        <v>552</v>
      </c>
      <c r="C5" s="25" t="s">
        <v>708</v>
      </c>
      <c r="D5" s="25" t="s">
        <v>572</v>
      </c>
      <c r="E5" s="25" t="s">
        <v>746</v>
      </c>
      <c r="F5" s="25" t="s">
        <v>588</v>
      </c>
      <c r="G5" s="25" t="s">
        <v>747</v>
      </c>
      <c r="H5" s="25" t="s">
        <v>748</v>
      </c>
      <c r="I5" s="25" t="s">
        <v>751</v>
      </c>
      <c r="J5" s="25" t="s">
        <v>718</v>
      </c>
      <c r="K5" s="25" t="s">
        <v>752</v>
      </c>
      <c r="L5" s="25" t="s">
        <v>711</v>
      </c>
      <c r="M5" s="25" t="s">
        <v>765</v>
      </c>
      <c r="N5" s="25" t="s">
        <v>713</v>
      </c>
      <c r="O5" s="25" t="s">
        <v>710</v>
      </c>
      <c r="P5" s="25" t="s">
        <v>577</v>
      </c>
      <c r="Q5" s="25" t="s">
        <v>737</v>
      </c>
      <c r="R5" s="25" t="s">
        <v>617</v>
      </c>
      <c r="S5" s="25" t="s">
        <v>738</v>
      </c>
      <c r="T5" s="26" t="s">
        <v>754</v>
      </c>
      <c r="U5" s="26" t="s">
        <v>755</v>
      </c>
      <c r="V5" s="26" t="s">
        <v>753</v>
      </c>
      <c r="W5" s="26" t="s">
        <v>760</v>
      </c>
      <c r="X5" s="26" t="s">
        <v>761</v>
      </c>
      <c r="Y5" s="26" t="s">
        <v>762</v>
      </c>
      <c r="Z5" s="26" t="s">
        <v>756</v>
      </c>
      <c r="AA5" s="26" t="s">
        <v>712</v>
      </c>
      <c r="AB5" s="26" t="s">
        <v>714</v>
      </c>
      <c r="AC5" s="26" t="s">
        <v>739</v>
      </c>
      <c r="AD5" s="26" t="s">
        <v>740</v>
      </c>
      <c r="AE5" s="26" t="s">
        <v>741</v>
      </c>
      <c r="AF5" s="26" t="s">
        <v>742</v>
      </c>
      <c r="AG5" s="26" t="s">
        <v>726</v>
      </c>
      <c r="AH5" s="26" t="s">
        <v>728</v>
      </c>
      <c r="AI5" s="26" t="s">
        <v>730</v>
      </c>
      <c r="AJ5" s="26" t="s">
        <v>731</v>
      </c>
      <c r="AK5" s="26" t="s">
        <v>736</v>
      </c>
      <c r="AL5" s="26" t="s">
        <v>743</v>
      </c>
      <c r="AM5" s="26" t="s">
        <v>734</v>
      </c>
      <c r="AN5" s="26" t="s">
        <v>749</v>
      </c>
      <c r="AO5" s="26" t="s">
        <v>744</v>
      </c>
      <c r="AP5" s="26" t="s">
        <v>716</v>
      </c>
      <c r="AQ5" s="26" t="s">
        <v>717</v>
      </c>
      <c r="AR5" s="26" t="s">
        <v>722</v>
      </c>
      <c r="AS5" s="26" t="s">
        <v>721</v>
      </c>
      <c r="AT5" s="26" t="s">
        <v>745</v>
      </c>
      <c r="AU5" s="26" t="s">
        <v>732</v>
      </c>
      <c r="AV5" s="26" t="s">
        <v>727</v>
      </c>
      <c r="AW5" s="26" t="s">
        <v>719</v>
      </c>
      <c r="AX5" s="26" t="s">
        <v>729</v>
      </c>
      <c r="AY5" s="26" t="s">
        <v>720</v>
      </c>
      <c r="AZ5" s="26" t="s">
        <v>724</v>
      </c>
      <c r="BA5" s="26" t="s">
        <v>723</v>
      </c>
      <c r="BB5" s="26" t="s">
        <v>725</v>
      </c>
      <c r="BC5" s="26" t="s">
        <v>750</v>
      </c>
      <c r="BD5" s="26" t="s">
        <v>758</v>
      </c>
      <c r="BE5" s="26" t="s">
        <v>759</v>
      </c>
      <c r="BF5" s="26" t="s">
        <v>763</v>
      </c>
      <c r="BG5" s="26" t="s">
        <v>764</v>
      </c>
      <c r="BH5" s="26" t="s">
        <v>709</v>
      </c>
      <c r="BI5" s="26" t="s">
        <v>766</v>
      </c>
      <c r="BJ5" s="26" t="s">
        <v>767</v>
      </c>
      <c r="BK5" s="26" t="s">
        <v>580</v>
      </c>
      <c r="BL5" s="26" t="s">
        <v>768</v>
      </c>
      <c r="BM5" s="26" t="s">
        <v>108</v>
      </c>
      <c r="BN5" s="26" t="s">
        <v>769</v>
      </c>
      <c r="BO5" s="26" t="s">
        <v>770</v>
      </c>
      <c r="BP5" s="26" t="s">
        <v>771</v>
      </c>
      <c r="BQ5" s="26" t="s">
        <v>772</v>
      </c>
      <c r="BR5" s="26" t="s">
        <v>773</v>
      </c>
      <c r="BS5" s="26" t="s">
        <v>774</v>
      </c>
      <c r="BT5" s="26" t="s">
        <v>775</v>
      </c>
      <c r="BU5" s="26" t="s">
        <v>776</v>
      </c>
      <c r="BV5" s="26" t="s">
        <v>777</v>
      </c>
      <c r="BW5" s="26" t="s">
        <v>778</v>
      </c>
      <c r="BX5" s="26" t="s">
        <v>779</v>
      </c>
      <c r="BY5" s="26" t="s">
        <v>733</v>
      </c>
      <c r="BZ5" s="26" t="s">
        <v>780</v>
      </c>
      <c r="CA5" s="26" t="s">
        <v>715</v>
      </c>
      <c r="CB5" s="26" t="s">
        <v>781</v>
      </c>
      <c r="CC5" s="26" t="s">
        <v>782</v>
      </c>
      <c r="CD5" s="26" t="s">
        <v>783</v>
      </c>
      <c r="CE5" s="26" t="s">
        <v>784</v>
      </c>
      <c r="CF5" s="26" t="s">
        <v>785</v>
      </c>
      <c r="CG5" s="26" t="s">
        <v>786</v>
      </c>
      <c r="CH5" s="26" t="s">
        <v>787</v>
      </c>
      <c r="CI5" s="26" t="s">
        <v>788</v>
      </c>
      <c r="CJ5" s="26" t="s">
        <v>789</v>
      </c>
      <c r="CK5" s="26" t="s">
        <v>790</v>
      </c>
      <c r="CL5" s="26" t="s">
        <v>791</v>
      </c>
      <c r="CM5" s="26" t="s">
        <v>735</v>
      </c>
      <c r="CN5" s="26" t="s">
        <v>792</v>
      </c>
      <c r="CO5" s="26" t="s">
        <v>793</v>
      </c>
      <c r="CP5" s="26" t="s">
        <v>794</v>
      </c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</row>
    <row r="6" spans="1:153" ht="15.75" customHeight="1">
      <c r="A6" s="6"/>
      <c r="B6" s="10" t="s">
        <v>647</v>
      </c>
      <c r="C6" s="10" t="s">
        <v>649</v>
      </c>
      <c r="D6" s="10">
        <v>100</v>
      </c>
      <c r="E6" s="10">
        <v>100</v>
      </c>
      <c r="O6" s="15">
        <v>1</v>
      </c>
    </row>
    <row r="7" spans="1:153" ht="15.75" customHeight="1">
      <c r="A7" s="6"/>
      <c r="B7" s="10" t="s">
        <v>664</v>
      </c>
      <c r="C7" s="10" t="s">
        <v>670</v>
      </c>
      <c r="D7" s="10">
        <v>600</v>
      </c>
      <c r="E7" s="10">
        <v>600</v>
      </c>
      <c r="F7" s="6"/>
      <c r="G7" s="6"/>
      <c r="H7" s="6"/>
      <c r="I7" s="6"/>
      <c r="J7" s="6"/>
      <c r="K7" s="6"/>
      <c r="L7" s="6"/>
      <c r="M7" s="6"/>
      <c r="N7" s="6"/>
      <c r="O7" s="10">
        <v>1</v>
      </c>
    </row>
    <row r="8" spans="1:153" ht="15.75" customHeight="1">
      <c r="A8" s="6"/>
      <c r="B8" s="10" t="s">
        <v>667</v>
      </c>
      <c r="C8" s="10" t="s">
        <v>670</v>
      </c>
      <c r="D8" s="10">
        <v>400</v>
      </c>
      <c r="E8" s="10">
        <v>400</v>
      </c>
      <c r="F8" s="6"/>
      <c r="G8" s="6"/>
      <c r="H8" s="6"/>
      <c r="I8" s="6"/>
      <c r="J8" s="6"/>
      <c r="K8" s="6"/>
      <c r="L8" s="6"/>
      <c r="M8" s="6"/>
      <c r="N8" s="6"/>
      <c r="O8" s="10">
        <v>1</v>
      </c>
    </row>
    <row r="9" spans="1:153" ht="15.75" customHeight="1">
      <c r="A9" s="6"/>
      <c r="B9" s="10" t="s">
        <v>671</v>
      </c>
      <c r="C9" s="10" t="s">
        <v>672</v>
      </c>
      <c r="D9" s="10">
        <v>100</v>
      </c>
      <c r="E9" s="10">
        <v>100</v>
      </c>
      <c r="F9" s="6"/>
      <c r="G9" s="6"/>
      <c r="H9" s="6"/>
      <c r="I9" s="6"/>
      <c r="J9" s="6"/>
      <c r="K9" s="6"/>
      <c r="L9" s="6"/>
      <c r="M9" s="6"/>
      <c r="N9" s="6"/>
      <c r="O9" s="10">
        <v>1</v>
      </c>
    </row>
    <row r="10" spans="1:153" ht="15.75" customHeight="1">
      <c r="A10" s="6"/>
      <c r="B10" s="10" t="s">
        <v>704</v>
      </c>
      <c r="C10" s="10" t="s">
        <v>649</v>
      </c>
      <c r="D10" s="10">
        <v>500</v>
      </c>
      <c r="E10" s="10">
        <v>500</v>
      </c>
      <c r="F10" s="6"/>
      <c r="G10" s="6"/>
      <c r="H10" s="6"/>
      <c r="I10" s="6"/>
      <c r="J10" s="6"/>
      <c r="K10" s="6"/>
      <c r="L10" s="6"/>
      <c r="M10" s="6"/>
      <c r="N10" s="6"/>
      <c r="O10" s="10">
        <v>1</v>
      </c>
    </row>
    <row r="11" spans="1:153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spans="1:153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spans="1:15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spans="1:153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spans="1:153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spans="1:153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spans="1:15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spans="1:15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spans="1:15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spans="1:15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W20"/>
  <sheetViews>
    <sheetView workbookViewId="0"/>
  </sheetViews>
  <sheetFormatPr defaultColWidth="17.28515625" defaultRowHeight="15" customHeight="1"/>
  <cols>
    <col min="1" max="1" width="3.42578125" customWidth="1"/>
    <col min="2" max="8" width="14.42578125" customWidth="1"/>
    <col min="9" max="9" width="18.140625" customWidth="1"/>
    <col min="10" max="11" width="17.42578125" customWidth="1"/>
    <col min="12" max="153" width="14.42578125" customWidth="1"/>
  </cols>
  <sheetData>
    <row r="1" spans="1:153" ht="15.75" customHeight="1">
      <c r="A1" s="13"/>
      <c r="B1" s="41" t="s">
        <v>201</v>
      </c>
      <c r="C1" s="42"/>
      <c r="D1" s="42"/>
      <c r="E1" s="42"/>
      <c r="F1" s="42"/>
      <c r="G1" s="42"/>
      <c r="H1" s="4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</row>
    <row r="2" spans="1:153" ht="15.75" customHeight="1">
      <c r="A2" s="6"/>
      <c r="B2" s="6"/>
      <c r="C2" s="6"/>
      <c r="D2" s="6"/>
      <c r="E2" s="6"/>
      <c r="F2" s="6"/>
      <c r="G2" s="6"/>
      <c r="H2" s="6"/>
      <c r="I2" s="6"/>
      <c r="J2" s="16" t="e">
        <f>VLOOKUP($E$3,_MasterData!B4:D1000,3,FALSE)</f>
        <v>#N/A</v>
      </c>
      <c r="K2" s="17"/>
      <c r="L2" s="6"/>
      <c r="M2" s="6"/>
      <c r="N2" s="6"/>
      <c r="O2" s="6"/>
    </row>
    <row r="3" spans="1:153" ht="15.75" customHeight="1">
      <c r="A3" s="18"/>
      <c r="B3" s="7" t="s">
        <v>3</v>
      </c>
      <c r="C3" s="19" t="s">
        <v>13</v>
      </c>
      <c r="D3" s="7" t="s">
        <v>4</v>
      </c>
      <c r="E3" s="19" t="s">
        <v>216</v>
      </c>
      <c r="F3" s="7" t="s">
        <v>366</v>
      </c>
      <c r="G3" s="20" t="s">
        <v>373</v>
      </c>
      <c r="H3" s="7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</row>
    <row r="4" spans="1:153" ht="15.75" customHeight="1">
      <c r="A4" s="22"/>
      <c r="B4" s="22" t="str">
        <f ca="1">IFERROR(__xludf.DUMMYFUNCTION("IF(C3="""","""",Transpose(IMPORTRANGE('_Settings'!$B$3,C3&amp;""!A4:A1000"")))"),"Allocate")</f>
        <v>Allocate</v>
      </c>
      <c r="C4" s="22" t="s">
        <v>25</v>
      </c>
      <c r="D4" s="22" t="s">
        <v>89</v>
      </c>
      <c r="E4" s="22" t="s">
        <v>244</v>
      </c>
      <c r="F4" s="22" t="s">
        <v>278</v>
      </c>
      <c r="G4" s="22" t="s">
        <v>511</v>
      </c>
      <c r="H4" s="22" t="s">
        <v>610</v>
      </c>
      <c r="I4" s="22" t="s">
        <v>619</v>
      </c>
      <c r="J4" s="22" t="s">
        <v>642</v>
      </c>
      <c r="K4" s="22" t="s">
        <v>643</v>
      </c>
      <c r="L4" s="22" t="s">
        <v>644</v>
      </c>
      <c r="M4" s="22" t="s">
        <v>648</v>
      </c>
      <c r="N4" s="22" t="s">
        <v>14</v>
      </c>
      <c r="O4" s="22" t="s">
        <v>18</v>
      </c>
      <c r="P4" s="23" t="s">
        <v>20</v>
      </c>
      <c r="Q4" s="23" t="s">
        <v>21</v>
      </c>
      <c r="R4" s="23" t="s">
        <v>23</v>
      </c>
      <c r="S4" s="23" t="s">
        <v>121</v>
      </c>
      <c r="T4" s="23" t="s">
        <v>123</v>
      </c>
      <c r="U4" s="23" t="s">
        <v>125</v>
      </c>
      <c r="V4" s="23" t="s">
        <v>127</v>
      </c>
      <c r="W4" s="23" t="s">
        <v>129</v>
      </c>
      <c r="X4" s="23" t="s">
        <v>131</v>
      </c>
      <c r="Y4" s="23" t="s">
        <v>133</v>
      </c>
      <c r="Z4" s="23" t="s">
        <v>135</v>
      </c>
      <c r="AA4" s="23" t="s">
        <v>137</v>
      </c>
      <c r="AB4" s="23" t="s">
        <v>139</v>
      </c>
      <c r="AC4" s="23" t="s">
        <v>141</v>
      </c>
      <c r="AD4" s="23" t="s">
        <v>145</v>
      </c>
      <c r="AE4" s="23" t="s">
        <v>143</v>
      </c>
      <c r="AF4" s="23" t="s">
        <v>147</v>
      </c>
      <c r="AG4" s="23" t="s">
        <v>149</v>
      </c>
      <c r="AH4" s="23" t="s">
        <v>151</v>
      </c>
      <c r="AI4" s="23" t="s">
        <v>153</v>
      </c>
      <c r="AJ4" s="23" t="s">
        <v>155</v>
      </c>
      <c r="AK4" s="23" t="s">
        <v>157</v>
      </c>
      <c r="AL4" s="23" t="s">
        <v>159</v>
      </c>
      <c r="AM4" s="23" t="s">
        <v>181</v>
      </c>
      <c r="AN4" s="23" t="s">
        <v>183</v>
      </c>
      <c r="AO4" s="23" t="s">
        <v>185</v>
      </c>
      <c r="AP4" s="23" t="s">
        <v>187</v>
      </c>
      <c r="AQ4" s="23" t="s">
        <v>191</v>
      </c>
      <c r="AR4" s="23" t="s">
        <v>195</v>
      </c>
      <c r="AS4" s="23" t="s">
        <v>199</v>
      </c>
      <c r="AT4" s="23" t="s">
        <v>204</v>
      </c>
      <c r="AU4" s="23" t="s">
        <v>208</v>
      </c>
      <c r="AV4" s="23" t="s">
        <v>212</v>
      </c>
      <c r="AW4" s="23" t="s">
        <v>216</v>
      </c>
      <c r="AX4" s="23" t="s">
        <v>650</v>
      </c>
      <c r="AY4" s="23" t="s">
        <v>645</v>
      </c>
      <c r="AZ4" s="23" t="s">
        <v>224</v>
      </c>
      <c r="BA4" s="23" t="s">
        <v>230</v>
      </c>
      <c r="BB4" s="23" t="s">
        <v>232</v>
      </c>
      <c r="BC4" s="23" t="s">
        <v>238</v>
      </c>
      <c r="BD4" s="23" t="s">
        <v>638</v>
      </c>
      <c r="BE4" s="23" t="s">
        <v>636</v>
      </c>
      <c r="BF4" s="23" t="s">
        <v>633</v>
      </c>
      <c r="BG4" s="23" t="s">
        <v>629</v>
      </c>
      <c r="BH4" s="23" t="s">
        <v>623</v>
      </c>
      <c r="BI4" s="23" t="s">
        <v>613</v>
      </c>
      <c r="BJ4" s="23" t="s">
        <v>606</v>
      </c>
      <c r="BK4" s="23" t="s">
        <v>305</v>
      </c>
      <c r="BL4" s="23" t="s">
        <v>603</v>
      </c>
      <c r="BM4" s="23" t="s">
        <v>601</v>
      </c>
      <c r="BN4" s="23" t="s">
        <v>599</v>
      </c>
      <c r="BO4" s="23" t="s">
        <v>598</v>
      </c>
      <c r="BP4" s="23" t="s">
        <v>596</v>
      </c>
      <c r="BQ4" s="23" t="s">
        <v>321</v>
      </c>
      <c r="BR4" s="23" t="s">
        <v>327</v>
      </c>
      <c r="BS4" s="23" t="s">
        <v>329</v>
      </c>
      <c r="BT4" s="23" t="s">
        <v>331</v>
      </c>
      <c r="BU4" s="23" t="s">
        <v>335</v>
      </c>
      <c r="BV4" s="23" t="s">
        <v>337</v>
      </c>
      <c r="BW4" s="23" t="s">
        <v>339</v>
      </c>
      <c r="BX4" s="23" t="s">
        <v>341</v>
      </c>
      <c r="BY4" s="23" t="s">
        <v>343</v>
      </c>
      <c r="BZ4" s="23" t="s">
        <v>576</v>
      </c>
      <c r="CA4" s="23" t="s">
        <v>581</v>
      </c>
      <c r="CB4" s="23" t="s">
        <v>363</v>
      </c>
      <c r="CC4" s="23" t="s">
        <v>571</v>
      </c>
      <c r="CD4" s="23" t="s">
        <v>567</v>
      </c>
      <c r="CE4" s="23" t="s">
        <v>377</v>
      </c>
      <c r="CF4" s="23" t="s">
        <v>381</v>
      </c>
      <c r="CG4" s="23" t="s">
        <v>395</v>
      </c>
      <c r="CH4" s="23" t="s">
        <v>393</v>
      </c>
      <c r="CI4" s="23" t="s">
        <v>397</v>
      </c>
      <c r="CJ4" s="23" t="s">
        <v>16</v>
      </c>
      <c r="CK4" s="23" t="s">
        <v>581</v>
      </c>
      <c r="CL4" s="23" t="s">
        <v>399</v>
      </c>
      <c r="CM4" s="23" t="s">
        <v>377</v>
      </c>
      <c r="CN4" s="23" t="s">
        <v>363</v>
      </c>
      <c r="CO4" s="23" t="s">
        <v>343</v>
      </c>
      <c r="CP4" s="23" t="s">
        <v>305</v>
      </c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</row>
    <row r="5" spans="1:153" ht="15.75" customHeight="1">
      <c r="A5" s="24" t="str">
        <f ca="1">IFERROR(__xludf.DUMMYFUNCTION("TRANSPOSE(IMPORTRANGE(VLOOKUP($E$3,IMPORTRANGE('_Settings'!$B$3,$C$3&amp;""!A4:B1000""),2,FALSE),$G$3&amp;""!A4:A1000""))"),"")</f>
        <v/>
      </c>
      <c r="B5" s="25" t="s">
        <v>797</v>
      </c>
      <c r="C5" s="25" t="s">
        <v>798</v>
      </c>
      <c r="D5" s="25" t="s">
        <v>799</v>
      </c>
      <c r="E5" s="25" t="s">
        <v>800</v>
      </c>
      <c r="F5" s="25" t="s">
        <v>575</v>
      </c>
      <c r="G5" s="25" t="s">
        <v>801</v>
      </c>
      <c r="H5" s="25" t="s">
        <v>802</v>
      </c>
      <c r="I5" s="25" t="s">
        <v>803</v>
      </c>
      <c r="J5" s="25" t="s">
        <v>804</v>
      </c>
      <c r="K5" s="25" t="s">
        <v>805</v>
      </c>
      <c r="L5" s="25"/>
      <c r="M5" s="25"/>
      <c r="N5" s="25"/>
      <c r="O5" s="25"/>
      <c r="P5" s="25"/>
      <c r="Q5" s="25"/>
      <c r="R5" s="25"/>
      <c r="S5" s="25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</row>
    <row r="6" spans="1:153" ht="15.75" customHeight="1">
      <c r="A6" s="6"/>
      <c r="B6" s="15" t="s">
        <v>806</v>
      </c>
      <c r="D6" s="15" t="b">
        <v>1</v>
      </c>
      <c r="H6" s="15" t="s">
        <v>807</v>
      </c>
      <c r="I6" s="15" t="s">
        <v>654</v>
      </c>
      <c r="K6" s="15" t="b">
        <v>0</v>
      </c>
    </row>
    <row r="7" spans="1:153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spans="1:153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spans="1:153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spans="1:153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spans="1:153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spans="1:153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spans="1:15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spans="1:153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spans="1:153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spans="1:153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spans="1:15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spans="1:15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spans="1:15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spans="1:15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W20"/>
  <sheetViews>
    <sheetView workbookViewId="0"/>
  </sheetViews>
  <sheetFormatPr defaultColWidth="17.28515625" defaultRowHeight="15" customHeight="1"/>
  <cols>
    <col min="1" max="1" width="3.42578125" customWidth="1"/>
    <col min="2" max="8" width="14.42578125" customWidth="1"/>
    <col min="9" max="9" width="18.140625" customWidth="1"/>
    <col min="10" max="11" width="17.42578125" customWidth="1"/>
    <col min="12" max="153" width="14.42578125" customWidth="1"/>
  </cols>
  <sheetData>
    <row r="1" spans="1:153" ht="15.75" customHeight="1">
      <c r="A1" s="13"/>
      <c r="B1" s="41" t="s">
        <v>201</v>
      </c>
      <c r="C1" s="42"/>
      <c r="D1" s="42"/>
      <c r="E1" s="42"/>
      <c r="F1" s="42"/>
      <c r="G1" s="42"/>
      <c r="H1" s="4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</row>
    <row r="2" spans="1:153" ht="15.75" customHeight="1">
      <c r="A2" s="6"/>
      <c r="B2" s="6"/>
      <c r="C2" s="6"/>
      <c r="D2" s="6"/>
      <c r="E2" s="6"/>
      <c r="F2" s="6"/>
      <c r="G2" s="6"/>
      <c r="H2" s="6"/>
      <c r="I2" s="6"/>
      <c r="J2" s="16" t="e">
        <f>VLOOKUP($E$3,_MasterData!B4:D1000,3,FALSE)</f>
        <v>#N/A</v>
      </c>
      <c r="K2" s="17"/>
      <c r="L2" s="6"/>
      <c r="M2" s="6"/>
      <c r="N2" s="6"/>
      <c r="O2" s="6"/>
    </row>
    <row r="3" spans="1:153" ht="15.75" customHeight="1">
      <c r="A3" s="18"/>
      <c r="B3" s="7" t="s">
        <v>3</v>
      </c>
      <c r="C3" s="19" t="s">
        <v>13</v>
      </c>
      <c r="D3" s="7" t="s">
        <v>4</v>
      </c>
      <c r="E3" s="19" t="s">
        <v>14</v>
      </c>
      <c r="F3" s="7" t="s">
        <v>366</v>
      </c>
      <c r="G3" s="20" t="s">
        <v>373</v>
      </c>
      <c r="H3" s="7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</row>
    <row r="4" spans="1:153" ht="15.75" customHeight="1">
      <c r="A4" s="22"/>
      <c r="B4" s="22" t="str">
        <f ca="1">IFERROR(__xludf.DUMMYFUNCTION("IF(C3="""","""",Transpose(IMPORTRANGE('_Settings'!$B$3,C3&amp;""!A4:A1000"")))"),"Allocate")</f>
        <v>Allocate</v>
      </c>
      <c r="C4" s="22" t="s">
        <v>25</v>
      </c>
      <c r="D4" s="22" t="s">
        <v>89</v>
      </c>
      <c r="E4" s="22" t="s">
        <v>244</v>
      </c>
      <c r="F4" s="22" t="s">
        <v>278</v>
      </c>
      <c r="G4" s="22" t="s">
        <v>511</v>
      </c>
      <c r="H4" s="22" t="s">
        <v>610</v>
      </c>
      <c r="I4" s="22" t="s">
        <v>619</v>
      </c>
      <c r="J4" s="22" t="s">
        <v>642</v>
      </c>
      <c r="K4" s="22" t="s">
        <v>643</v>
      </c>
      <c r="L4" s="22" t="s">
        <v>644</v>
      </c>
      <c r="M4" s="22" t="s">
        <v>648</v>
      </c>
      <c r="N4" s="22" t="s">
        <v>14</v>
      </c>
      <c r="O4" s="22" t="s">
        <v>18</v>
      </c>
      <c r="P4" s="23" t="s">
        <v>20</v>
      </c>
      <c r="Q4" s="23" t="s">
        <v>21</v>
      </c>
      <c r="R4" s="23" t="s">
        <v>23</v>
      </c>
      <c r="S4" s="23" t="s">
        <v>121</v>
      </c>
      <c r="T4" s="23" t="s">
        <v>123</v>
      </c>
      <c r="U4" s="23" t="s">
        <v>125</v>
      </c>
      <c r="V4" s="23" t="s">
        <v>127</v>
      </c>
      <c r="W4" s="23" t="s">
        <v>129</v>
      </c>
      <c r="X4" s="23" t="s">
        <v>131</v>
      </c>
      <c r="Y4" s="23" t="s">
        <v>133</v>
      </c>
      <c r="Z4" s="23" t="s">
        <v>135</v>
      </c>
      <c r="AA4" s="23" t="s">
        <v>137</v>
      </c>
      <c r="AB4" s="23" t="s">
        <v>139</v>
      </c>
      <c r="AC4" s="23" t="s">
        <v>141</v>
      </c>
      <c r="AD4" s="23" t="s">
        <v>145</v>
      </c>
      <c r="AE4" s="23" t="s">
        <v>143</v>
      </c>
      <c r="AF4" s="23" t="s">
        <v>147</v>
      </c>
      <c r="AG4" s="23" t="s">
        <v>149</v>
      </c>
      <c r="AH4" s="23" t="s">
        <v>151</v>
      </c>
      <c r="AI4" s="23" t="s">
        <v>153</v>
      </c>
      <c r="AJ4" s="23" t="s">
        <v>155</v>
      </c>
      <c r="AK4" s="23" t="s">
        <v>157</v>
      </c>
      <c r="AL4" s="23" t="s">
        <v>159</v>
      </c>
      <c r="AM4" s="23" t="s">
        <v>181</v>
      </c>
      <c r="AN4" s="23" t="s">
        <v>183</v>
      </c>
      <c r="AO4" s="23" t="s">
        <v>185</v>
      </c>
      <c r="AP4" s="23" t="s">
        <v>187</v>
      </c>
      <c r="AQ4" s="23" t="s">
        <v>191</v>
      </c>
      <c r="AR4" s="23" t="s">
        <v>195</v>
      </c>
      <c r="AS4" s="23" t="s">
        <v>199</v>
      </c>
      <c r="AT4" s="23" t="s">
        <v>204</v>
      </c>
      <c r="AU4" s="23" t="s">
        <v>208</v>
      </c>
      <c r="AV4" s="23" t="s">
        <v>212</v>
      </c>
      <c r="AW4" s="23" t="s">
        <v>216</v>
      </c>
      <c r="AX4" s="23" t="s">
        <v>650</v>
      </c>
      <c r="AY4" s="23" t="s">
        <v>645</v>
      </c>
      <c r="AZ4" s="23" t="s">
        <v>224</v>
      </c>
      <c r="BA4" s="23" t="s">
        <v>230</v>
      </c>
      <c r="BB4" s="23" t="s">
        <v>232</v>
      </c>
      <c r="BC4" s="23" t="s">
        <v>238</v>
      </c>
      <c r="BD4" s="23" t="s">
        <v>638</v>
      </c>
      <c r="BE4" s="23" t="s">
        <v>636</v>
      </c>
      <c r="BF4" s="23" t="s">
        <v>633</v>
      </c>
      <c r="BG4" s="23" t="s">
        <v>629</v>
      </c>
      <c r="BH4" s="23" t="s">
        <v>623</v>
      </c>
      <c r="BI4" s="23" t="s">
        <v>613</v>
      </c>
      <c r="BJ4" s="23" t="s">
        <v>606</v>
      </c>
      <c r="BK4" s="23" t="s">
        <v>305</v>
      </c>
      <c r="BL4" s="23" t="s">
        <v>603</v>
      </c>
      <c r="BM4" s="23" t="s">
        <v>601</v>
      </c>
      <c r="BN4" s="23" t="s">
        <v>599</v>
      </c>
      <c r="BO4" s="23" t="s">
        <v>598</v>
      </c>
      <c r="BP4" s="23" t="s">
        <v>596</v>
      </c>
      <c r="BQ4" s="23" t="s">
        <v>321</v>
      </c>
      <c r="BR4" s="23" t="s">
        <v>327</v>
      </c>
      <c r="BS4" s="23" t="s">
        <v>329</v>
      </c>
      <c r="BT4" s="23" t="s">
        <v>331</v>
      </c>
      <c r="BU4" s="23" t="s">
        <v>335</v>
      </c>
      <c r="BV4" s="23" t="s">
        <v>337</v>
      </c>
      <c r="BW4" s="23" t="s">
        <v>339</v>
      </c>
      <c r="BX4" s="23" t="s">
        <v>341</v>
      </c>
      <c r="BY4" s="23" t="s">
        <v>343</v>
      </c>
      <c r="BZ4" s="23" t="s">
        <v>576</v>
      </c>
      <c r="CA4" s="23" t="s">
        <v>581</v>
      </c>
      <c r="CB4" s="23" t="s">
        <v>363</v>
      </c>
      <c r="CC4" s="23" t="s">
        <v>571</v>
      </c>
      <c r="CD4" s="23" t="s">
        <v>567</v>
      </c>
      <c r="CE4" s="23" t="s">
        <v>377</v>
      </c>
      <c r="CF4" s="23" t="s">
        <v>381</v>
      </c>
      <c r="CG4" s="23" t="s">
        <v>395</v>
      </c>
      <c r="CH4" s="23" t="s">
        <v>393</v>
      </c>
      <c r="CI4" s="23" t="s">
        <v>397</v>
      </c>
      <c r="CJ4" s="23" t="s">
        <v>16</v>
      </c>
      <c r="CK4" s="23" t="s">
        <v>581</v>
      </c>
      <c r="CL4" s="23" t="s">
        <v>399</v>
      </c>
      <c r="CM4" s="23" t="s">
        <v>377</v>
      </c>
      <c r="CN4" s="23" t="s">
        <v>363</v>
      </c>
      <c r="CO4" s="23" t="s">
        <v>343</v>
      </c>
      <c r="CP4" s="23" t="s">
        <v>305</v>
      </c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</row>
    <row r="5" spans="1:153" ht="15.75" customHeight="1">
      <c r="A5" s="24" t="str">
        <f ca="1">IFERROR(__xludf.DUMMYFUNCTION("TRANSPOSE(IMPORTRANGE(VLOOKUP($E$3,IMPORTRANGE('_Settings'!$B$3,$C$3&amp;""!A4:B1000""),2,FALSE),$G$3&amp;""!A4:A1000""))"),"")</f>
        <v/>
      </c>
      <c r="B5" s="25" t="s">
        <v>707</v>
      </c>
      <c r="C5" s="25" t="s">
        <v>781</v>
      </c>
      <c r="D5" s="25" t="s">
        <v>715</v>
      </c>
      <c r="E5" s="25" t="s">
        <v>744</v>
      </c>
      <c r="F5" s="25" t="s">
        <v>766</v>
      </c>
      <c r="G5" s="25" t="s">
        <v>755</v>
      </c>
      <c r="H5" s="25" t="s">
        <v>719</v>
      </c>
      <c r="I5" s="25" t="s">
        <v>720</v>
      </c>
      <c r="J5" s="25" t="s">
        <v>770</v>
      </c>
      <c r="K5" s="25" t="s">
        <v>710</v>
      </c>
      <c r="L5" s="25" t="s">
        <v>713</v>
      </c>
      <c r="M5" s="25" t="s">
        <v>785</v>
      </c>
      <c r="N5" s="25" t="s">
        <v>782</v>
      </c>
      <c r="O5" s="25" t="s">
        <v>577</v>
      </c>
      <c r="P5" s="25" t="s">
        <v>767</v>
      </c>
      <c r="Q5" s="25" t="s">
        <v>756</v>
      </c>
      <c r="R5" s="25" t="s">
        <v>721</v>
      </c>
      <c r="S5" s="25" t="s">
        <v>763</v>
      </c>
      <c r="T5" s="26" t="s">
        <v>716</v>
      </c>
      <c r="U5" s="26" t="s">
        <v>760</v>
      </c>
      <c r="V5" s="26" t="s">
        <v>773</v>
      </c>
      <c r="W5" s="26" t="s">
        <v>772</v>
      </c>
      <c r="X5" s="26" t="s">
        <v>783</v>
      </c>
      <c r="Y5" s="26" t="s">
        <v>771</v>
      </c>
      <c r="Z5" s="26" t="s">
        <v>769</v>
      </c>
      <c r="AA5" s="26" t="s">
        <v>787</v>
      </c>
      <c r="AB5" s="26" t="s">
        <v>784</v>
      </c>
      <c r="AC5" s="26" t="s">
        <v>733</v>
      </c>
      <c r="AD5" s="26" t="s">
        <v>108</v>
      </c>
      <c r="AE5" s="26" t="s">
        <v>746</v>
      </c>
      <c r="AF5" s="26" t="s">
        <v>795</v>
      </c>
      <c r="AG5" s="26" t="s">
        <v>779</v>
      </c>
      <c r="AH5" s="26" t="s">
        <v>738</v>
      </c>
      <c r="AI5" s="26" t="s">
        <v>737</v>
      </c>
      <c r="AJ5" s="26" t="s">
        <v>709</v>
      </c>
      <c r="AK5" s="26" t="s">
        <v>790</v>
      </c>
      <c r="AL5" s="26" t="s">
        <v>794</v>
      </c>
      <c r="AM5" s="26" t="s">
        <v>735</v>
      </c>
      <c r="AN5" s="26" t="s">
        <v>730</v>
      </c>
      <c r="AO5" s="26" t="s">
        <v>788</v>
      </c>
      <c r="AP5" s="26" t="s">
        <v>796</v>
      </c>
      <c r="AQ5" s="26" t="s">
        <v>731</v>
      </c>
      <c r="AR5" s="26" t="s">
        <v>726</v>
      </c>
      <c r="AS5" s="26" t="s">
        <v>736</v>
      </c>
      <c r="AT5" s="26" t="s">
        <v>748</v>
      </c>
      <c r="AU5" s="26" t="s">
        <v>747</v>
      </c>
      <c r="AV5" s="26" t="s">
        <v>774</v>
      </c>
      <c r="AW5" s="26" t="s">
        <v>723</v>
      </c>
      <c r="AX5" s="26" t="s">
        <v>750</v>
      </c>
      <c r="AY5" s="26" t="s">
        <v>580</v>
      </c>
      <c r="AZ5" s="26" t="s">
        <v>725</v>
      </c>
      <c r="BA5" s="26" t="s">
        <v>776</v>
      </c>
      <c r="BB5" s="26" t="s">
        <v>789</v>
      </c>
      <c r="BC5" s="26" t="s">
        <v>722</v>
      </c>
      <c r="BD5" s="26" t="s">
        <v>758</v>
      </c>
      <c r="BE5" s="26" t="s">
        <v>752</v>
      </c>
      <c r="BF5" s="26" t="s">
        <v>751</v>
      </c>
      <c r="BG5" s="26" t="s">
        <v>775</v>
      </c>
      <c r="BH5" s="26" t="s">
        <v>792</v>
      </c>
      <c r="BI5" s="26" t="s">
        <v>743</v>
      </c>
      <c r="BJ5" s="26" t="s">
        <v>572</v>
      </c>
      <c r="BK5" s="26" t="s">
        <v>724</v>
      </c>
      <c r="BL5" s="26" t="s">
        <v>786</v>
      </c>
      <c r="BM5" s="26" t="s">
        <v>753</v>
      </c>
      <c r="BN5" s="26" t="s">
        <v>778</v>
      </c>
      <c r="BO5" s="26" t="s">
        <v>708</v>
      </c>
      <c r="BP5" s="26" t="s">
        <v>717</v>
      </c>
      <c r="BQ5" s="26" t="s">
        <v>761</v>
      </c>
      <c r="BR5" s="26" t="s">
        <v>727</v>
      </c>
      <c r="BS5" s="26" t="s">
        <v>757</v>
      </c>
      <c r="BT5" s="26" t="s">
        <v>552</v>
      </c>
      <c r="BU5" s="26" t="s">
        <v>729</v>
      </c>
      <c r="BV5" s="26" t="s">
        <v>759</v>
      </c>
      <c r="BW5" s="26" t="s">
        <v>745</v>
      </c>
      <c r="BX5" s="26" t="s">
        <v>762</v>
      </c>
      <c r="BY5" s="26" t="s">
        <v>712</v>
      </c>
      <c r="BZ5" s="26" t="s">
        <v>714</v>
      </c>
      <c r="CA5" s="26" t="s">
        <v>739</v>
      </c>
      <c r="CB5" s="26" t="s">
        <v>740</v>
      </c>
      <c r="CC5" s="26" t="s">
        <v>741</v>
      </c>
      <c r="CD5" s="26" t="s">
        <v>742</v>
      </c>
      <c r="CE5" s="26" t="s">
        <v>588</v>
      </c>
      <c r="CF5" s="26" t="s">
        <v>765</v>
      </c>
      <c r="CG5" s="26" t="s">
        <v>732</v>
      </c>
      <c r="CH5" s="26" t="s">
        <v>793</v>
      </c>
      <c r="CI5" s="26" t="s">
        <v>718</v>
      </c>
      <c r="CJ5" s="26" t="s">
        <v>749</v>
      </c>
      <c r="CK5" s="26" t="s">
        <v>768</v>
      </c>
      <c r="CL5" s="26" t="s">
        <v>791</v>
      </c>
      <c r="CM5" s="26" t="s">
        <v>780</v>
      </c>
      <c r="CN5" s="26" t="s">
        <v>754</v>
      </c>
      <c r="CO5" s="26" t="s">
        <v>617</v>
      </c>
      <c r="CP5" s="26" t="s">
        <v>764</v>
      </c>
      <c r="CQ5" s="26" t="s">
        <v>777</v>
      </c>
      <c r="CR5" s="26" t="s">
        <v>734</v>
      </c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</row>
    <row r="6" spans="1:153" ht="15.75" customHeight="1">
      <c r="A6" s="6"/>
      <c r="K6" s="15">
        <v>1</v>
      </c>
      <c r="L6" s="15">
        <v>1</v>
      </c>
      <c r="BJ6" s="15">
        <v>100</v>
      </c>
      <c r="BO6" s="15" t="s">
        <v>649</v>
      </c>
      <c r="BT6" s="15" t="s">
        <v>647</v>
      </c>
    </row>
    <row r="7" spans="1:153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15">
        <v>1</v>
      </c>
      <c r="L7" s="15">
        <v>1</v>
      </c>
      <c r="M7" s="6"/>
      <c r="N7" s="6"/>
      <c r="O7" s="6"/>
      <c r="BJ7" s="15">
        <v>500</v>
      </c>
      <c r="BO7" s="15" t="s">
        <v>649</v>
      </c>
      <c r="BT7" s="15" t="s">
        <v>704</v>
      </c>
    </row>
    <row r="8" spans="1:153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15">
        <v>1</v>
      </c>
      <c r="L8" s="15">
        <v>1</v>
      </c>
      <c r="M8" s="6"/>
      <c r="N8" s="6"/>
      <c r="O8" s="6"/>
      <c r="BJ8" s="15">
        <v>100</v>
      </c>
      <c r="BO8" s="15" t="s">
        <v>672</v>
      </c>
      <c r="BT8" s="15" t="s">
        <v>671</v>
      </c>
    </row>
    <row r="9" spans="1:153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spans="1:153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spans="1:153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spans="1:153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spans="1:15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spans="1:153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spans="1:153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spans="1:153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spans="1:15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spans="1:15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spans="1:15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spans="1:15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W18"/>
  <sheetViews>
    <sheetView workbookViewId="0"/>
  </sheetViews>
  <sheetFormatPr defaultColWidth="17.28515625" defaultRowHeight="15" customHeight="1"/>
  <cols>
    <col min="1" max="1" width="3.42578125" customWidth="1"/>
    <col min="2" max="8" width="14.42578125" customWidth="1"/>
    <col min="9" max="9" width="18.140625" customWidth="1"/>
    <col min="10" max="11" width="17.42578125" customWidth="1"/>
    <col min="12" max="153" width="14.42578125" customWidth="1"/>
  </cols>
  <sheetData>
    <row r="1" spans="1:153" ht="15.75" customHeight="1">
      <c r="A1" s="13"/>
      <c r="B1" s="41" t="s">
        <v>201</v>
      </c>
      <c r="C1" s="42"/>
      <c r="D1" s="42"/>
      <c r="E1" s="42"/>
      <c r="F1" s="42"/>
      <c r="G1" s="42"/>
      <c r="H1" s="4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</row>
    <row r="2" spans="1:153" ht="15.75" customHeight="1">
      <c r="A2" s="6"/>
      <c r="B2" s="6"/>
      <c r="C2" s="6"/>
      <c r="D2" s="6"/>
      <c r="E2" s="6"/>
      <c r="F2" s="6"/>
      <c r="G2" s="6"/>
      <c r="H2" s="6"/>
      <c r="I2" s="6"/>
      <c r="J2" s="16" t="e">
        <f>VLOOKUP($E$3,_MasterData!B4:D1000,3,FALSE)</f>
        <v>#N/A</v>
      </c>
      <c r="K2" s="17"/>
      <c r="L2" s="6"/>
      <c r="M2" s="6"/>
      <c r="N2" s="6"/>
      <c r="O2" s="6"/>
    </row>
    <row r="3" spans="1:153" ht="15.75" customHeight="1">
      <c r="A3" s="18"/>
      <c r="B3" s="7" t="s">
        <v>3</v>
      </c>
      <c r="C3" s="19" t="s">
        <v>13</v>
      </c>
      <c r="D3" s="7" t="s">
        <v>4</v>
      </c>
      <c r="E3" s="19" t="s">
        <v>377</v>
      </c>
      <c r="F3" s="7" t="s">
        <v>366</v>
      </c>
      <c r="G3" s="20" t="s">
        <v>373</v>
      </c>
      <c r="H3" s="7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</row>
    <row r="4" spans="1:153" ht="15.75" customHeight="1">
      <c r="A4" s="22"/>
      <c r="B4" s="22" t="str">
        <f ca="1">IFERROR(__xludf.DUMMYFUNCTION("IF(C3="""","""",Transpose(IMPORTRANGE('_Settings'!$B$3,C3&amp;""!A4:A1000"")))"),"Allocate")</f>
        <v>Allocate</v>
      </c>
      <c r="C4" s="22" t="s">
        <v>25</v>
      </c>
      <c r="D4" s="22" t="s">
        <v>89</v>
      </c>
      <c r="E4" s="22" t="s">
        <v>244</v>
      </c>
      <c r="F4" s="22" t="s">
        <v>278</v>
      </c>
      <c r="G4" s="22" t="s">
        <v>511</v>
      </c>
      <c r="H4" s="22" t="s">
        <v>610</v>
      </c>
      <c r="I4" s="22" t="s">
        <v>619</v>
      </c>
      <c r="J4" s="22" t="s">
        <v>642</v>
      </c>
      <c r="K4" s="22" t="s">
        <v>643</v>
      </c>
      <c r="L4" s="22" t="s">
        <v>644</v>
      </c>
      <c r="M4" s="22" t="s">
        <v>648</v>
      </c>
      <c r="N4" s="22" t="s">
        <v>14</v>
      </c>
      <c r="O4" s="22" t="s">
        <v>18</v>
      </c>
      <c r="P4" s="23" t="s">
        <v>20</v>
      </c>
      <c r="Q4" s="23" t="s">
        <v>21</v>
      </c>
      <c r="R4" s="23" t="s">
        <v>23</v>
      </c>
      <c r="S4" s="23" t="s">
        <v>121</v>
      </c>
      <c r="T4" s="23" t="s">
        <v>123</v>
      </c>
      <c r="U4" s="23" t="s">
        <v>125</v>
      </c>
      <c r="V4" s="23" t="s">
        <v>127</v>
      </c>
      <c r="W4" s="23" t="s">
        <v>129</v>
      </c>
      <c r="X4" s="23" t="s">
        <v>131</v>
      </c>
      <c r="Y4" s="23" t="s">
        <v>133</v>
      </c>
      <c r="Z4" s="23" t="s">
        <v>135</v>
      </c>
      <c r="AA4" s="23" t="s">
        <v>137</v>
      </c>
      <c r="AB4" s="23" t="s">
        <v>139</v>
      </c>
      <c r="AC4" s="23" t="s">
        <v>141</v>
      </c>
      <c r="AD4" s="23" t="s">
        <v>145</v>
      </c>
      <c r="AE4" s="23" t="s">
        <v>143</v>
      </c>
      <c r="AF4" s="23" t="s">
        <v>147</v>
      </c>
      <c r="AG4" s="23" t="s">
        <v>149</v>
      </c>
      <c r="AH4" s="23" t="s">
        <v>151</v>
      </c>
      <c r="AI4" s="23" t="s">
        <v>153</v>
      </c>
      <c r="AJ4" s="23" t="s">
        <v>155</v>
      </c>
      <c r="AK4" s="23" t="s">
        <v>157</v>
      </c>
      <c r="AL4" s="23" t="s">
        <v>159</v>
      </c>
      <c r="AM4" s="23" t="s">
        <v>181</v>
      </c>
      <c r="AN4" s="23" t="s">
        <v>183</v>
      </c>
      <c r="AO4" s="23" t="s">
        <v>185</v>
      </c>
      <c r="AP4" s="23" t="s">
        <v>187</v>
      </c>
      <c r="AQ4" s="23" t="s">
        <v>191</v>
      </c>
      <c r="AR4" s="23" t="s">
        <v>195</v>
      </c>
      <c r="AS4" s="23" t="s">
        <v>199</v>
      </c>
      <c r="AT4" s="23" t="s">
        <v>204</v>
      </c>
      <c r="AU4" s="23" t="s">
        <v>208</v>
      </c>
      <c r="AV4" s="23" t="s">
        <v>212</v>
      </c>
      <c r="AW4" s="23" t="s">
        <v>216</v>
      </c>
      <c r="AX4" s="23" t="s">
        <v>650</v>
      </c>
      <c r="AY4" s="23" t="s">
        <v>645</v>
      </c>
      <c r="AZ4" s="23" t="s">
        <v>224</v>
      </c>
      <c r="BA4" s="23" t="s">
        <v>230</v>
      </c>
      <c r="BB4" s="23" t="s">
        <v>232</v>
      </c>
      <c r="BC4" s="23" t="s">
        <v>238</v>
      </c>
      <c r="BD4" s="23" t="s">
        <v>638</v>
      </c>
      <c r="BE4" s="23" t="s">
        <v>636</v>
      </c>
      <c r="BF4" s="23" t="s">
        <v>633</v>
      </c>
      <c r="BG4" s="23" t="s">
        <v>629</v>
      </c>
      <c r="BH4" s="23" t="s">
        <v>623</v>
      </c>
      <c r="BI4" s="23" t="s">
        <v>613</v>
      </c>
      <c r="BJ4" s="23" t="s">
        <v>606</v>
      </c>
      <c r="BK4" s="23" t="s">
        <v>305</v>
      </c>
      <c r="BL4" s="23" t="s">
        <v>603</v>
      </c>
      <c r="BM4" s="23" t="s">
        <v>601</v>
      </c>
      <c r="BN4" s="23" t="s">
        <v>599</v>
      </c>
      <c r="BO4" s="23" t="s">
        <v>598</v>
      </c>
      <c r="BP4" s="23" t="s">
        <v>596</v>
      </c>
      <c r="BQ4" s="23" t="s">
        <v>321</v>
      </c>
      <c r="BR4" s="23" t="s">
        <v>327</v>
      </c>
      <c r="BS4" s="23" t="s">
        <v>329</v>
      </c>
      <c r="BT4" s="23" t="s">
        <v>331</v>
      </c>
      <c r="BU4" s="23" t="s">
        <v>335</v>
      </c>
      <c r="BV4" s="23" t="s">
        <v>337</v>
      </c>
      <c r="BW4" s="23" t="s">
        <v>339</v>
      </c>
      <c r="BX4" s="23" t="s">
        <v>341</v>
      </c>
      <c r="BY4" s="23" t="s">
        <v>343</v>
      </c>
      <c r="BZ4" s="23" t="s">
        <v>576</v>
      </c>
      <c r="CA4" s="23" t="s">
        <v>581</v>
      </c>
      <c r="CB4" s="23" t="s">
        <v>363</v>
      </c>
      <c r="CC4" s="23" t="s">
        <v>571</v>
      </c>
      <c r="CD4" s="23" t="s">
        <v>567</v>
      </c>
      <c r="CE4" s="23" t="s">
        <v>377</v>
      </c>
      <c r="CF4" s="23" t="s">
        <v>381</v>
      </c>
      <c r="CG4" s="23" t="s">
        <v>395</v>
      </c>
      <c r="CH4" s="23" t="s">
        <v>393</v>
      </c>
      <c r="CI4" s="23" t="s">
        <v>397</v>
      </c>
      <c r="CJ4" s="23" t="s">
        <v>16</v>
      </c>
      <c r="CK4" s="23" t="s">
        <v>581</v>
      </c>
      <c r="CL4" s="23" t="s">
        <v>399</v>
      </c>
      <c r="CM4" s="23" t="s">
        <v>377</v>
      </c>
      <c r="CN4" s="23" t="s">
        <v>363</v>
      </c>
      <c r="CO4" s="23" t="s">
        <v>343</v>
      </c>
      <c r="CP4" s="23" t="s">
        <v>305</v>
      </c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</row>
    <row r="5" spans="1:153" ht="15.75" customHeight="1">
      <c r="A5" s="24" t="str">
        <f ca="1">IFERROR(__xludf.DUMMYFUNCTION("TRANSPOSE(IMPORTRANGE(VLOOKUP($E$3,IMPORTRANGE('_Settings'!$B$3,$C$3&amp;""!A4:B1000""),2,FALSE),$G$3&amp;""!A4:A1000""))"),"")</f>
        <v/>
      </c>
      <c r="B5" s="25" t="s">
        <v>781</v>
      </c>
      <c r="C5" s="25" t="s">
        <v>715</v>
      </c>
      <c r="D5" s="25" t="s">
        <v>744</v>
      </c>
      <c r="E5" s="25" t="s">
        <v>766</v>
      </c>
      <c r="F5" s="25" t="s">
        <v>755</v>
      </c>
      <c r="G5" s="25" t="s">
        <v>719</v>
      </c>
      <c r="H5" s="25" t="s">
        <v>720</v>
      </c>
      <c r="I5" s="25" t="s">
        <v>770</v>
      </c>
      <c r="J5" s="25" t="s">
        <v>710</v>
      </c>
      <c r="K5" s="25" t="s">
        <v>713</v>
      </c>
      <c r="L5" s="25" t="s">
        <v>785</v>
      </c>
      <c r="M5" s="25" t="s">
        <v>782</v>
      </c>
      <c r="N5" s="25" t="s">
        <v>577</v>
      </c>
      <c r="O5" s="25" t="s">
        <v>767</v>
      </c>
      <c r="P5" s="25" t="s">
        <v>756</v>
      </c>
      <c r="Q5" s="25" t="s">
        <v>721</v>
      </c>
      <c r="R5" s="25" t="s">
        <v>764</v>
      </c>
      <c r="S5" s="25" t="s">
        <v>763</v>
      </c>
      <c r="T5" s="26" t="s">
        <v>716</v>
      </c>
      <c r="U5" s="26" t="s">
        <v>760</v>
      </c>
      <c r="V5" s="26" t="s">
        <v>773</v>
      </c>
      <c r="W5" s="26" t="s">
        <v>772</v>
      </c>
      <c r="X5" s="26" t="s">
        <v>783</v>
      </c>
      <c r="Y5" s="26" t="s">
        <v>771</v>
      </c>
      <c r="Z5" s="26" t="s">
        <v>769</v>
      </c>
      <c r="AA5" s="26" t="s">
        <v>787</v>
      </c>
      <c r="AB5" s="26" t="s">
        <v>784</v>
      </c>
      <c r="AC5" s="26" t="s">
        <v>733</v>
      </c>
      <c r="AD5" s="26" t="s">
        <v>108</v>
      </c>
      <c r="AE5" s="26" t="s">
        <v>746</v>
      </c>
      <c r="AF5" s="26" t="s">
        <v>711</v>
      </c>
      <c r="AG5" s="26" t="s">
        <v>738</v>
      </c>
      <c r="AH5" s="26" t="s">
        <v>737</v>
      </c>
      <c r="AI5" s="26" t="s">
        <v>709</v>
      </c>
      <c r="AJ5" s="26" t="s">
        <v>734</v>
      </c>
      <c r="AK5" s="26" t="s">
        <v>790</v>
      </c>
      <c r="AL5" s="26" t="s">
        <v>794</v>
      </c>
      <c r="AM5" s="26" t="s">
        <v>735</v>
      </c>
      <c r="AN5" s="26" t="s">
        <v>730</v>
      </c>
      <c r="AO5" s="26" t="s">
        <v>788</v>
      </c>
      <c r="AP5" s="26" t="s">
        <v>728</v>
      </c>
      <c r="AQ5" s="26" t="s">
        <v>731</v>
      </c>
      <c r="AR5" s="26" t="s">
        <v>726</v>
      </c>
      <c r="AS5" s="26" t="s">
        <v>736</v>
      </c>
      <c r="AT5" s="26" t="s">
        <v>748</v>
      </c>
      <c r="AU5" s="26" t="s">
        <v>747</v>
      </c>
      <c r="AV5" s="26" t="s">
        <v>774</v>
      </c>
      <c r="AW5" s="26" t="s">
        <v>723</v>
      </c>
      <c r="AX5" s="26" t="s">
        <v>750</v>
      </c>
      <c r="AY5" s="26" t="s">
        <v>580</v>
      </c>
      <c r="AZ5" s="26" t="s">
        <v>725</v>
      </c>
      <c r="BA5" s="26" t="s">
        <v>776</v>
      </c>
      <c r="BB5" s="26" t="s">
        <v>789</v>
      </c>
      <c r="BC5" s="26" t="s">
        <v>722</v>
      </c>
      <c r="BD5" s="26" t="s">
        <v>758</v>
      </c>
      <c r="BE5" s="26" t="s">
        <v>752</v>
      </c>
      <c r="BF5" s="26" t="s">
        <v>751</v>
      </c>
      <c r="BG5" s="26" t="s">
        <v>775</v>
      </c>
      <c r="BH5" s="26" t="s">
        <v>792</v>
      </c>
      <c r="BI5" s="26" t="s">
        <v>743</v>
      </c>
      <c r="BJ5" s="26" t="s">
        <v>572</v>
      </c>
      <c r="BK5" s="26" t="s">
        <v>724</v>
      </c>
      <c r="BL5" s="26" t="s">
        <v>786</v>
      </c>
      <c r="BM5" s="26" t="s">
        <v>753</v>
      </c>
      <c r="BN5" s="26" t="s">
        <v>778</v>
      </c>
      <c r="BO5" s="26" t="s">
        <v>708</v>
      </c>
      <c r="BP5" s="26" t="s">
        <v>717</v>
      </c>
      <c r="BQ5" s="26" t="s">
        <v>761</v>
      </c>
      <c r="BR5" s="26" t="s">
        <v>727</v>
      </c>
      <c r="BS5" s="26" t="s">
        <v>552</v>
      </c>
      <c r="BT5" s="26" t="s">
        <v>729</v>
      </c>
      <c r="BU5" s="26" t="s">
        <v>759</v>
      </c>
      <c r="BV5" s="26" t="s">
        <v>745</v>
      </c>
      <c r="BW5" s="26" t="s">
        <v>762</v>
      </c>
      <c r="BX5" s="26" t="s">
        <v>712</v>
      </c>
      <c r="BY5" s="26" t="s">
        <v>714</v>
      </c>
      <c r="BZ5" s="26" t="s">
        <v>739</v>
      </c>
      <c r="CA5" s="26" t="s">
        <v>740</v>
      </c>
      <c r="CB5" s="26" t="s">
        <v>741</v>
      </c>
      <c r="CC5" s="26" t="s">
        <v>742</v>
      </c>
      <c r="CD5" s="26" t="s">
        <v>588</v>
      </c>
      <c r="CE5" s="26" t="s">
        <v>765</v>
      </c>
      <c r="CF5" s="26" t="s">
        <v>732</v>
      </c>
      <c r="CG5" s="26" t="s">
        <v>793</v>
      </c>
      <c r="CH5" s="26" t="s">
        <v>718</v>
      </c>
      <c r="CI5" s="26" t="s">
        <v>749</v>
      </c>
      <c r="CJ5" s="26" t="s">
        <v>768</v>
      </c>
      <c r="CK5" s="26" t="s">
        <v>791</v>
      </c>
      <c r="CL5" s="26" t="s">
        <v>780</v>
      </c>
      <c r="CM5" s="26" t="s">
        <v>754</v>
      </c>
      <c r="CN5" s="26" t="s">
        <v>617</v>
      </c>
      <c r="CO5" s="26" t="s">
        <v>777</v>
      </c>
      <c r="CP5" s="26" t="s">
        <v>779</v>
      </c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</row>
    <row r="6" spans="1:153" ht="15.75" customHeight="1">
      <c r="A6" s="6"/>
      <c r="J6" s="15">
        <v>1</v>
      </c>
      <c r="K6" s="15">
        <v>1</v>
      </c>
      <c r="AE6" s="15">
        <v>600</v>
      </c>
      <c r="BJ6" s="15">
        <v>600</v>
      </c>
      <c r="BO6" s="15" t="s">
        <v>670</v>
      </c>
      <c r="BS6" s="15" t="s">
        <v>664</v>
      </c>
    </row>
    <row r="7" spans="1:153" ht="15.75" customHeight="1">
      <c r="A7" s="6"/>
      <c r="B7" s="6"/>
      <c r="C7" s="6"/>
      <c r="D7" s="6"/>
      <c r="E7" s="6"/>
      <c r="F7" s="6"/>
      <c r="G7" s="6"/>
      <c r="H7" s="6"/>
      <c r="I7" s="6"/>
      <c r="J7" s="10">
        <v>1</v>
      </c>
      <c r="K7" s="10">
        <v>1</v>
      </c>
      <c r="L7" s="6"/>
      <c r="M7" s="6"/>
      <c r="N7" s="6"/>
      <c r="O7" s="6"/>
      <c r="AE7" s="15">
        <v>400</v>
      </c>
      <c r="BJ7" s="15">
        <v>400</v>
      </c>
      <c r="BO7" s="15" t="s">
        <v>670</v>
      </c>
      <c r="BS7" s="15" t="s">
        <v>667</v>
      </c>
    </row>
    <row r="8" spans="1:153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spans="1:153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spans="1:153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spans="1:153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spans="1:153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spans="1:15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spans="1:153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spans="1:153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spans="1:153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spans="1:15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spans="1:15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1" t="s">
        <v>201</v>
      </c>
      <c r="C1" s="42"/>
      <c r="D1" s="42"/>
      <c r="E1" s="42"/>
      <c r="F1" s="42"/>
      <c r="G1" s="42"/>
      <c r="H1" s="4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6"/>
      <c r="B2" s="6"/>
      <c r="C2" s="6"/>
      <c r="D2" s="6"/>
      <c r="E2" s="6"/>
      <c r="F2" s="6"/>
      <c r="G2" s="6"/>
      <c r="H2" s="6"/>
      <c r="I2" s="6"/>
      <c r="J2" s="17" t="e">
        <f>VLOOKUP($E$3,_MasterData!B4:D1000,3,FALSE)</f>
        <v>#N/A</v>
      </c>
      <c r="K2" s="17"/>
      <c r="L2" s="6"/>
      <c r="M2" s="6"/>
      <c r="N2" s="6"/>
      <c r="O2" s="6"/>
    </row>
    <row r="3" spans="1:154" ht="15.75" customHeight="1">
      <c r="A3" s="18"/>
      <c r="B3" s="7" t="s">
        <v>3</v>
      </c>
      <c r="C3" s="19" t="s">
        <v>13</v>
      </c>
      <c r="D3" s="7" t="s">
        <v>4</v>
      </c>
      <c r="E3" s="19" t="s">
        <v>18</v>
      </c>
      <c r="F3" s="7" t="s">
        <v>366</v>
      </c>
      <c r="G3" s="20" t="s">
        <v>373</v>
      </c>
      <c r="H3" s="7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</row>
    <row r="4" spans="1:154" ht="15.75" customHeight="1">
      <c r="A4" s="22"/>
      <c r="B4" s="22" t="str">
        <f ca="1">IFERROR(__xludf.DUMMYFUNCTION("IF(C3="""","""",Transpose(IMPORTRANGE('_Settings'!$B$3,C3&amp;""!A4:A1000"")))"),"Allocate")</f>
        <v>Allocate</v>
      </c>
      <c r="C4" s="22" t="s">
        <v>25</v>
      </c>
      <c r="D4" s="22" t="s">
        <v>89</v>
      </c>
      <c r="E4" s="22" t="s">
        <v>244</v>
      </c>
      <c r="F4" s="22" t="s">
        <v>278</v>
      </c>
      <c r="G4" s="22" t="s">
        <v>511</v>
      </c>
      <c r="H4" s="22" t="s">
        <v>610</v>
      </c>
      <c r="I4" s="22" t="s">
        <v>619</v>
      </c>
      <c r="J4" s="22" t="s">
        <v>642</v>
      </c>
      <c r="K4" s="22" t="s">
        <v>643</v>
      </c>
      <c r="L4" s="22" t="s">
        <v>644</v>
      </c>
      <c r="M4" s="22" t="s">
        <v>648</v>
      </c>
      <c r="N4" s="22" t="s">
        <v>14</v>
      </c>
      <c r="O4" s="22" t="s">
        <v>18</v>
      </c>
      <c r="P4" s="23" t="s">
        <v>20</v>
      </c>
      <c r="Q4" s="23" t="s">
        <v>21</v>
      </c>
      <c r="R4" s="23" t="s">
        <v>23</v>
      </c>
      <c r="S4" s="23" t="s">
        <v>121</v>
      </c>
      <c r="T4" s="23" t="s">
        <v>123</v>
      </c>
      <c r="U4" s="23" t="s">
        <v>125</v>
      </c>
      <c r="V4" s="23" t="s">
        <v>127</v>
      </c>
      <c r="W4" s="23" t="s">
        <v>129</v>
      </c>
      <c r="X4" s="23" t="s">
        <v>131</v>
      </c>
      <c r="Y4" s="23" t="s">
        <v>133</v>
      </c>
      <c r="Z4" s="23" t="s">
        <v>135</v>
      </c>
      <c r="AA4" s="23" t="s">
        <v>137</v>
      </c>
      <c r="AB4" s="23" t="s">
        <v>139</v>
      </c>
      <c r="AC4" s="23" t="s">
        <v>141</v>
      </c>
      <c r="AD4" s="23" t="s">
        <v>145</v>
      </c>
      <c r="AE4" s="23" t="s">
        <v>143</v>
      </c>
      <c r="AF4" s="23" t="s">
        <v>147</v>
      </c>
      <c r="AG4" s="23" t="s">
        <v>149</v>
      </c>
      <c r="AH4" s="23" t="s">
        <v>151</v>
      </c>
      <c r="AI4" s="23" t="s">
        <v>153</v>
      </c>
      <c r="AJ4" s="23" t="s">
        <v>155</v>
      </c>
      <c r="AK4" s="23" t="s">
        <v>157</v>
      </c>
      <c r="AL4" s="23" t="s">
        <v>159</v>
      </c>
      <c r="AM4" s="23" t="s">
        <v>181</v>
      </c>
      <c r="AN4" s="23" t="s">
        <v>183</v>
      </c>
      <c r="AO4" s="23" t="s">
        <v>185</v>
      </c>
      <c r="AP4" s="23" t="s">
        <v>187</v>
      </c>
      <c r="AQ4" s="23" t="s">
        <v>191</v>
      </c>
      <c r="AR4" s="23" t="s">
        <v>195</v>
      </c>
      <c r="AS4" s="23" t="s">
        <v>199</v>
      </c>
      <c r="AT4" s="23" t="s">
        <v>204</v>
      </c>
      <c r="AU4" s="23" t="s">
        <v>208</v>
      </c>
      <c r="AV4" s="23" t="s">
        <v>212</v>
      </c>
      <c r="AW4" s="23" t="s">
        <v>216</v>
      </c>
      <c r="AX4" s="23" t="s">
        <v>650</v>
      </c>
      <c r="AY4" s="23" t="s">
        <v>645</v>
      </c>
      <c r="AZ4" s="23" t="s">
        <v>224</v>
      </c>
      <c r="BA4" s="23" t="s">
        <v>230</v>
      </c>
      <c r="BB4" s="23" t="s">
        <v>232</v>
      </c>
      <c r="BC4" s="23" t="s">
        <v>238</v>
      </c>
      <c r="BD4" s="23" t="s">
        <v>638</v>
      </c>
      <c r="BE4" s="23" t="s">
        <v>636</v>
      </c>
      <c r="BF4" s="23" t="s">
        <v>633</v>
      </c>
      <c r="BG4" s="23" t="s">
        <v>629</v>
      </c>
      <c r="BH4" s="23" t="s">
        <v>623</v>
      </c>
      <c r="BI4" s="23" t="s">
        <v>613</v>
      </c>
      <c r="BJ4" s="23" t="s">
        <v>606</v>
      </c>
      <c r="BK4" s="23" t="s">
        <v>305</v>
      </c>
      <c r="BL4" s="23" t="s">
        <v>603</v>
      </c>
      <c r="BM4" s="23" t="s">
        <v>601</v>
      </c>
      <c r="BN4" s="23" t="s">
        <v>599</v>
      </c>
      <c r="BO4" s="23" t="s">
        <v>598</v>
      </c>
      <c r="BP4" s="23" t="s">
        <v>596</v>
      </c>
      <c r="BQ4" s="23" t="s">
        <v>321</v>
      </c>
      <c r="BR4" s="23" t="s">
        <v>327</v>
      </c>
      <c r="BS4" s="23" t="s">
        <v>329</v>
      </c>
      <c r="BT4" s="23" t="s">
        <v>331</v>
      </c>
      <c r="BU4" s="23" t="s">
        <v>335</v>
      </c>
      <c r="BV4" s="23" t="s">
        <v>337</v>
      </c>
      <c r="BW4" s="23" t="s">
        <v>339</v>
      </c>
      <c r="BX4" s="23" t="s">
        <v>341</v>
      </c>
      <c r="BY4" s="23" t="s">
        <v>343</v>
      </c>
      <c r="BZ4" s="23" t="s">
        <v>576</v>
      </c>
      <c r="CA4" s="23" t="s">
        <v>581</v>
      </c>
      <c r="CB4" s="23" t="s">
        <v>363</v>
      </c>
      <c r="CC4" s="23" t="s">
        <v>571</v>
      </c>
      <c r="CD4" s="23" t="s">
        <v>567</v>
      </c>
      <c r="CE4" s="23" t="s">
        <v>377</v>
      </c>
      <c r="CF4" s="23" t="s">
        <v>381</v>
      </c>
      <c r="CG4" s="23" t="s">
        <v>395</v>
      </c>
      <c r="CH4" s="23" t="s">
        <v>393</v>
      </c>
      <c r="CI4" s="23" t="s">
        <v>397</v>
      </c>
      <c r="CJ4" s="23" t="s">
        <v>16</v>
      </c>
      <c r="CK4" s="23" t="s">
        <v>581</v>
      </c>
      <c r="CL4" s="23" t="s">
        <v>399</v>
      </c>
      <c r="CM4" s="23" t="s">
        <v>377</v>
      </c>
      <c r="CN4" s="23" t="s">
        <v>363</v>
      </c>
      <c r="CO4" s="23" t="s">
        <v>343</v>
      </c>
      <c r="CP4" s="23" t="s">
        <v>305</v>
      </c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  <c r="EX4" s="23"/>
    </row>
    <row r="5" spans="1:154" ht="15.75" customHeight="1">
      <c r="A5" s="24" t="str">
        <f ca="1">IFERROR(__xludf.DUMMYFUNCTION("TRANSPOSE(IMPORTRANGE(VLOOKUP($E$3,IMPORTRANGE('_Settings'!$B$3,$C$3&amp;""!A4:B1000""),2,FALSE),$G$3&amp;""!A4:A1000""))"),"")</f>
        <v/>
      </c>
      <c r="B5" s="25" t="s">
        <v>808</v>
      </c>
      <c r="C5" s="25" t="s">
        <v>809</v>
      </c>
      <c r="D5" s="25" t="s">
        <v>810</v>
      </c>
      <c r="E5" s="25" t="s">
        <v>812</v>
      </c>
      <c r="F5" s="29" t="s">
        <v>552</v>
      </c>
      <c r="G5" s="25" t="s">
        <v>813</v>
      </c>
      <c r="H5" s="25" t="s">
        <v>708</v>
      </c>
      <c r="I5" s="25" t="s">
        <v>630</v>
      </c>
      <c r="J5" s="25" t="s">
        <v>577</v>
      </c>
      <c r="K5" s="25" t="s">
        <v>769</v>
      </c>
      <c r="L5" s="25" t="s">
        <v>108</v>
      </c>
      <c r="M5" s="25" t="s">
        <v>814</v>
      </c>
      <c r="N5" s="25" t="s">
        <v>768</v>
      </c>
      <c r="O5" s="25" t="s">
        <v>617</v>
      </c>
      <c r="P5" s="25" t="s">
        <v>815</v>
      </c>
      <c r="Q5" s="25" t="s">
        <v>816</v>
      </c>
      <c r="R5" s="25" t="s">
        <v>817</v>
      </c>
      <c r="S5" s="25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</row>
    <row r="6" spans="1:154" ht="15.75" customHeight="1">
      <c r="A6" s="10"/>
      <c r="B6" s="10" t="s">
        <v>818</v>
      </c>
      <c r="C6" s="6"/>
      <c r="D6" s="10"/>
      <c r="E6" s="30"/>
      <c r="F6" s="6"/>
      <c r="G6" s="6"/>
      <c r="H6" s="6"/>
      <c r="I6" s="6"/>
      <c r="J6" s="6"/>
      <c r="K6" s="6"/>
      <c r="L6" s="6"/>
      <c r="M6" s="6"/>
      <c r="N6" s="6"/>
      <c r="O6" s="6"/>
    </row>
    <row r="7" spans="1:154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spans="1:154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spans="1:154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spans="1:154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spans="1:154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spans="1:154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spans="1:154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spans="1:15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spans="1:154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spans="1:154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spans="1:15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spans="1:15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spans="1:15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spans="1:15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spans="1:15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spans="1:15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spans="1:15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spans="1:15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spans="1:1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spans="1:15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1" t="s">
        <v>201</v>
      </c>
      <c r="C1" s="42"/>
      <c r="D1" s="42"/>
      <c r="E1" s="42"/>
      <c r="F1" s="42"/>
      <c r="G1" s="42"/>
      <c r="H1" s="4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6"/>
      <c r="B2" s="6"/>
      <c r="C2" s="6"/>
      <c r="D2" s="6"/>
      <c r="E2" s="6"/>
      <c r="F2" s="6"/>
      <c r="G2" s="6"/>
      <c r="H2" s="6"/>
      <c r="I2" s="6"/>
      <c r="J2" s="17" t="e">
        <f>VLOOKUP($E$3,_MasterData!B4:D1000,3,FALSE)</f>
        <v>#N/A</v>
      </c>
      <c r="K2" s="17"/>
      <c r="L2" s="6"/>
      <c r="M2" s="6"/>
      <c r="N2" s="6"/>
      <c r="O2" s="6"/>
    </row>
    <row r="3" spans="1:154" ht="15.75" customHeight="1">
      <c r="A3" s="18"/>
      <c r="B3" s="7" t="s">
        <v>3</v>
      </c>
      <c r="C3" s="19" t="s">
        <v>271</v>
      </c>
      <c r="D3" s="7" t="s">
        <v>4</v>
      </c>
      <c r="E3" s="19" t="s">
        <v>437</v>
      </c>
      <c r="F3" s="7" t="s">
        <v>366</v>
      </c>
      <c r="G3" s="20" t="s">
        <v>373</v>
      </c>
      <c r="H3" s="7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</row>
    <row r="4" spans="1:154" ht="15.75" customHeight="1">
      <c r="A4" s="22"/>
      <c r="B4" s="22" t="str">
        <f ca="1">IFERROR(__xludf.DUMMYFUNCTION("IF(C3="""","""",Transpose(IMPORTRANGE('_Settings'!$B$3,C3&amp;""!A4:A1000"")))"),"GetDataClosing")</f>
        <v>GetDataClosing</v>
      </c>
      <c r="C4" s="22" t="s">
        <v>439</v>
      </c>
      <c r="D4" s="22" t="s">
        <v>443</v>
      </c>
      <c r="E4" s="22" t="s">
        <v>445</v>
      </c>
      <c r="F4" s="22" t="s">
        <v>447</v>
      </c>
      <c r="G4" s="22" t="s">
        <v>449</v>
      </c>
      <c r="H4" s="22" t="s">
        <v>451</v>
      </c>
      <c r="I4" s="22" t="s">
        <v>453</v>
      </c>
      <c r="J4" s="22" t="s">
        <v>455</v>
      </c>
      <c r="K4" s="22" t="s">
        <v>457</v>
      </c>
      <c r="L4" s="22" t="s">
        <v>459</v>
      </c>
      <c r="M4" s="22" t="s">
        <v>441</v>
      </c>
      <c r="N4" s="22" t="s">
        <v>461</v>
      </c>
      <c r="O4" s="22" t="s">
        <v>463</v>
      </c>
      <c r="P4" s="23" t="s">
        <v>465</v>
      </c>
      <c r="Q4" s="23" t="s">
        <v>467</v>
      </c>
      <c r="R4" s="23" t="s">
        <v>272</v>
      </c>
      <c r="S4" s="23" t="s">
        <v>469</v>
      </c>
      <c r="T4" s="23" t="s">
        <v>471</v>
      </c>
      <c r="U4" s="23" t="s">
        <v>473</v>
      </c>
      <c r="V4" s="23" t="s">
        <v>399</v>
      </c>
      <c r="W4" s="23" t="s">
        <v>476</v>
      </c>
      <c r="X4" s="23" t="s">
        <v>478</v>
      </c>
      <c r="Y4" s="23" t="s">
        <v>480</v>
      </c>
      <c r="Z4" s="23" t="s">
        <v>482</v>
      </c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  <c r="EX4" s="23"/>
    </row>
    <row r="5" spans="1:154" ht="15.75" customHeight="1">
      <c r="A5" s="24" t="str">
        <f ca="1">IFERROR(__xludf.DUMMYFUNCTION("TRANSPOSE(IMPORTRANGE(VLOOKUP($E$3,IMPORTRANGE('_Settings'!$B$3,$C$3&amp;""!A4:B1000""),2,FALSE),$G$3&amp;""!A4:A1000""))"),"")</f>
        <v/>
      </c>
      <c r="B5" s="25" t="s">
        <v>808</v>
      </c>
      <c r="C5" s="25" t="s">
        <v>809</v>
      </c>
      <c r="D5" s="25" t="s">
        <v>810</v>
      </c>
      <c r="E5" s="25" t="s">
        <v>811</v>
      </c>
      <c r="F5" s="29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</row>
    <row r="6" spans="1:154" ht="15.75" customHeight="1">
      <c r="A6" s="10"/>
      <c r="B6" s="10" t="s">
        <v>818</v>
      </c>
      <c r="C6" s="6"/>
      <c r="D6" s="10"/>
      <c r="E6" s="30"/>
      <c r="F6" s="6"/>
      <c r="G6" s="6"/>
      <c r="H6" s="6"/>
      <c r="I6" s="6"/>
      <c r="J6" s="6"/>
      <c r="K6" s="6"/>
      <c r="L6" s="6"/>
      <c r="M6" s="6"/>
      <c r="N6" s="6"/>
      <c r="O6" s="6"/>
    </row>
    <row r="7" spans="1:154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spans="1:154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spans="1:154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spans="1:154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spans="1:154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spans="1:154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spans="1:154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spans="1:15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spans="1:154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spans="1:154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spans="1:15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spans="1:15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spans="1:15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spans="1:15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spans="1:15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spans="1:15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spans="1:15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spans="1:15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spans="1:1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spans="1:15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100"/>
  <sheetViews>
    <sheetView tabSelected="1" workbookViewId="0">
      <selection activeCell="C5" sqref="C5"/>
    </sheetView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1" t="s">
        <v>201</v>
      </c>
      <c r="C1" s="42"/>
      <c r="D1" s="42"/>
      <c r="E1" s="42"/>
      <c r="F1" s="42"/>
      <c r="G1" s="42"/>
      <c r="H1" s="4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6"/>
      <c r="B2" s="6"/>
      <c r="C2" s="6"/>
      <c r="D2" s="6"/>
      <c r="E2" s="6"/>
      <c r="F2" s="6"/>
      <c r="G2" s="6"/>
      <c r="H2" s="6"/>
      <c r="I2" s="6"/>
      <c r="J2" s="17" t="e">
        <f>VLOOKUP($E$3,_MasterData!B4:D1000,3,FALSE)</f>
        <v>#N/A</v>
      </c>
      <c r="K2" s="17"/>
      <c r="L2" s="6"/>
      <c r="M2" s="6"/>
      <c r="N2" s="6"/>
      <c r="O2" s="6"/>
    </row>
    <row r="3" spans="1:154" ht="15.75" customHeight="1">
      <c r="A3" s="18"/>
      <c r="B3" s="7" t="s">
        <v>3</v>
      </c>
      <c r="C3" s="19" t="s">
        <v>271</v>
      </c>
      <c r="D3" s="7" t="s">
        <v>4</v>
      </c>
      <c r="E3" s="19" t="s">
        <v>447</v>
      </c>
      <c r="F3" s="7" t="s">
        <v>366</v>
      </c>
      <c r="G3" s="20" t="s">
        <v>373</v>
      </c>
      <c r="H3" s="7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</row>
    <row r="4" spans="1:154" ht="15.75" customHeight="1">
      <c r="A4" s="22"/>
      <c r="B4" s="22" t="str">
        <f ca="1">IFERROR(__xludf.DUMMYFUNCTION("IF(C3="""","""",Transpose(IMPORTRANGE('_Settings'!$B$3,C3&amp;""!A4:A1000"")))"),"GetDataClosing")</f>
        <v>GetDataClosing</v>
      </c>
      <c r="C4" s="22" t="s">
        <v>439</v>
      </c>
      <c r="D4" s="22" t="s">
        <v>443</v>
      </c>
      <c r="E4" s="22" t="s">
        <v>445</v>
      </c>
      <c r="F4" s="22" t="s">
        <v>447</v>
      </c>
      <c r="G4" s="22" t="s">
        <v>449</v>
      </c>
      <c r="H4" s="22" t="s">
        <v>451</v>
      </c>
      <c r="I4" s="22" t="s">
        <v>453</v>
      </c>
      <c r="J4" s="22" t="s">
        <v>455</v>
      </c>
      <c r="K4" s="22" t="s">
        <v>457</v>
      </c>
      <c r="L4" s="22" t="s">
        <v>459</v>
      </c>
      <c r="M4" s="22" t="s">
        <v>441</v>
      </c>
      <c r="N4" s="22" t="s">
        <v>461</v>
      </c>
      <c r="O4" s="22" t="s">
        <v>463</v>
      </c>
      <c r="P4" s="23" t="s">
        <v>465</v>
      </c>
      <c r="Q4" s="23" t="s">
        <v>467</v>
      </c>
      <c r="R4" s="23" t="s">
        <v>272</v>
      </c>
      <c r="S4" s="23" t="s">
        <v>469</v>
      </c>
      <c r="T4" s="23" t="s">
        <v>471</v>
      </c>
      <c r="U4" s="23" t="s">
        <v>473</v>
      </c>
      <c r="V4" s="23" t="s">
        <v>399</v>
      </c>
      <c r="W4" s="23" t="s">
        <v>476</v>
      </c>
      <c r="X4" s="23" t="s">
        <v>478</v>
      </c>
      <c r="Y4" s="23" t="s">
        <v>480</v>
      </c>
      <c r="Z4" s="23" t="s">
        <v>482</v>
      </c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  <c r="EX4" s="23"/>
    </row>
    <row r="5" spans="1:154" ht="15.75" customHeight="1">
      <c r="A5" s="24" t="str">
        <f ca="1">IFERROR(__xludf.DUMMYFUNCTION("TRANSPOSE(IMPORTRANGE(VLOOKUP($E$3,IMPORTRANGE('_Settings'!$B$3,$C$3&amp;""!A4:B1000""),2,FALSE),$G$3&amp;""!A4:A1000""))"),"")</f>
        <v/>
      </c>
      <c r="B5" s="25" t="s">
        <v>630</v>
      </c>
      <c r="C5" s="25" t="s">
        <v>674</v>
      </c>
      <c r="D5" s="25" t="s">
        <v>770</v>
      </c>
      <c r="E5" s="25" t="s">
        <v>819</v>
      </c>
      <c r="F5" s="29" t="s">
        <v>820</v>
      </c>
      <c r="G5" s="25" t="s">
        <v>821</v>
      </c>
      <c r="H5" s="25" t="s">
        <v>822</v>
      </c>
      <c r="I5" s="25" t="s">
        <v>823</v>
      </c>
      <c r="J5" s="25" t="s">
        <v>776</v>
      </c>
      <c r="K5" s="25" t="s">
        <v>824</v>
      </c>
      <c r="L5" s="25" t="s">
        <v>775</v>
      </c>
      <c r="M5" s="25" t="s">
        <v>572</v>
      </c>
      <c r="N5" s="25" t="s">
        <v>825</v>
      </c>
      <c r="O5" s="25" t="s">
        <v>753</v>
      </c>
      <c r="P5" s="25" t="s">
        <v>708</v>
      </c>
      <c r="Q5" s="25" t="s">
        <v>587</v>
      </c>
      <c r="R5" s="25" t="s">
        <v>552</v>
      </c>
      <c r="S5" s="25" t="s">
        <v>826</v>
      </c>
      <c r="T5" s="26" t="s">
        <v>827</v>
      </c>
      <c r="U5" s="26" t="s">
        <v>588</v>
      </c>
      <c r="V5" s="26" t="s">
        <v>718</v>
      </c>
      <c r="W5" s="26" t="s">
        <v>828</v>
      </c>
      <c r="X5" s="26" t="s">
        <v>829</v>
      </c>
      <c r="Y5" s="26" t="s">
        <v>830</v>
      </c>
      <c r="Z5" s="26" t="s">
        <v>831</v>
      </c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</row>
    <row r="6" spans="1:154" ht="15.75" customHeight="1">
      <c r="A6" s="31"/>
      <c r="B6" s="32" t="s">
        <v>693</v>
      </c>
      <c r="C6" s="33"/>
      <c r="D6" s="32"/>
      <c r="E6" s="33"/>
      <c r="F6" s="33"/>
      <c r="G6" s="33"/>
      <c r="H6" s="33"/>
      <c r="I6" s="33"/>
      <c r="J6" s="33"/>
      <c r="K6" s="33"/>
      <c r="L6" s="33"/>
      <c r="M6" s="34">
        <v>59</v>
      </c>
      <c r="N6" s="33"/>
      <c r="O6" s="33"/>
      <c r="P6" s="35" t="s">
        <v>649</v>
      </c>
      <c r="Q6" s="35"/>
      <c r="R6" s="35" t="s">
        <v>647</v>
      </c>
      <c r="S6" s="33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spans="1:154" ht="15.75" customHeight="1">
      <c r="A7" s="35"/>
      <c r="B7" s="35" t="s">
        <v>695</v>
      </c>
      <c r="C7" s="35"/>
      <c r="D7" s="35"/>
      <c r="E7" s="35"/>
      <c r="F7" s="35"/>
      <c r="G7" s="35"/>
      <c r="H7" s="35"/>
      <c r="I7" s="35"/>
      <c r="J7" s="35"/>
      <c r="K7" s="35"/>
      <c r="L7" s="35"/>
      <c r="M7" s="36">
        <v>12</v>
      </c>
      <c r="N7" s="35"/>
      <c r="O7" s="35"/>
      <c r="P7" s="35" t="s">
        <v>649</v>
      </c>
      <c r="Q7" s="35"/>
      <c r="R7" s="35" t="s">
        <v>647</v>
      </c>
      <c r="S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spans="1:154" ht="15.75" customHeight="1">
      <c r="A8" s="35"/>
      <c r="B8" s="35" t="s">
        <v>696</v>
      </c>
      <c r="C8" s="35"/>
      <c r="D8" s="35"/>
      <c r="E8" s="35"/>
      <c r="F8" s="35"/>
      <c r="G8" s="35"/>
      <c r="H8" s="35"/>
      <c r="I8" s="35"/>
      <c r="J8" s="35"/>
      <c r="K8" s="35"/>
      <c r="L8" s="35"/>
      <c r="M8" s="36">
        <v>29</v>
      </c>
      <c r="N8" s="35"/>
      <c r="O8" s="35"/>
      <c r="P8" s="35" t="s">
        <v>649</v>
      </c>
      <c r="Q8" s="35"/>
      <c r="R8" s="35" t="s">
        <v>647</v>
      </c>
      <c r="S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spans="1:154" ht="15.75" customHeight="1">
      <c r="A9" s="35"/>
      <c r="B9" s="35" t="s">
        <v>693</v>
      </c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 t="s">
        <v>649</v>
      </c>
      <c r="Q9" s="35"/>
      <c r="R9" s="35" t="s">
        <v>704</v>
      </c>
      <c r="S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spans="1:154" ht="15.75" customHeight="1">
      <c r="A10" s="35"/>
      <c r="B10" s="35" t="s">
        <v>695</v>
      </c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 t="s">
        <v>649</v>
      </c>
      <c r="Q10" s="35"/>
      <c r="R10" s="35" t="s">
        <v>704</v>
      </c>
      <c r="S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</row>
    <row r="11" spans="1:154" ht="15.75" customHeight="1">
      <c r="A11" s="35"/>
      <c r="B11" s="35" t="s">
        <v>696</v>
      </c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 t="s">
        <v>649</v>
      </c>
      <c r="Q11" s="35"/>
      <c r="R11" s="35" t="s">
        <v>704</v>
      </c>
      <c r="S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  <c r="CW11" s="35"/>
      <c r="CX11" s="35"/>
      <c r="CY11" s="35"/>
      <c r="CZ11" s="35"/>
      <c r="DA11" s="35"/>
      <c r="DB11" s="35"/>
      <c r="DC11" s="35"/>
      <c r="DD11" s="35"/>
      <c r="DE11" s="35"/>
      <c r="DF11" s="35"/>
      <c r="DG11" s="35"/>
      <c r="DH11" s="35"/>
      <c r="DI11" s="35"/>
      <c r="DJ11" s="35"/>
      <c r="DK11" s="35"/>
      <c r="DL11" s="35"/>
      <c r="DM11" s="35"/>
      <c r="DN11" s="35"/>
      <c r="DO11" s="35"/>
      <c r="DP11" s="35"/>
      <c r="DQ11" s="35"/>
      <c r="DR11" s="35"/>
      <c r="DS11" s="35"/>
      <c r="DT11" s="35"/>
      <c r="DU11" s="35"/>
      <c r="DV11" s="35"/>
      <c r="DW11" s="35"/>
      <c r="DX11" s="35"/>
      <c r="DY11" s="35"/>
      <c r="DZ11" s="35"/>
      <c r="EA11" s="35"/>
      <c r="EB11" s="35"/>
      <c r="EC11" s="35"/>
      <c r="ED11" s="35"/>
      <c r="EE11" s="35"/>
      <c r="EF11" s="35"/>
      <c r="EG11" s="35"/>
      <c r="EH11" s="35"/>
      <c r="EI11" s="35"/>
      <c r="EJ11" s="35"/>
      <c r="EK11" s="35"/>
      <c r="EL11" s="35"/>
      <c r="EM11" s="35"/>
      <c r="EN11" s="35"/>
      <c r="EO11" s="35"/>
      <c r="EP11" s="35"/>
      <c r="EQ11" s="35"/>
      <c r="ER11" s="35"/>
      <c r="ES11" s="35"/>
      <c r="ET11" s="35"/>
      <c r="EU11" s="35"/>
      <c r="EV11" s="35"/>
      <c r="EW11" s="35"/>
      <c r="EX11" s="35"/>
    </row>
    <row r="12" spans="1:154" ht="15.75" customHeight="1">
      <c r="A12" s="35"/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5"/>
      <c r="BB12" s="35"/>
      <c r="BC12" s="35"/>
      <c r="BD12" s="35"/>
      <c r="BE12" s="35"/>
      <c r="BF12" s="35"/>
      <c r="BG12" s="35"/>
      <c r="BH12" s="35"/>
      <c r="BI12" s="35"/>
      <c r="BJ12" s="35"/>
      <c r="BK12" s="35"/>
      <c r="BL12" s="35"/>
      <c r="BM12" s="35"/>
      <c r="BN12" s="35"/>
      <c r="BO12" s="35"/>
      <c r="BP12" s="35"/>
      <c r="BQ12" s="35"/>
      <c r="BR12" s="35"/>
      <c r="BS12" s="35"/>
      <c r="BT12" s="35"/>
      <c r="BU12" s="35"/>
      <c r="BV12" s="35"/>
      <c r="BW12" s="35"/>
      <c r="BX12" s="35"/>
      <c r="BY12" s="35"/>
      <c r="BZ12" s="35"/>
      <c r="CA12" s="35"/>
      <c r="CB12" s="35"/>
      <c r="CC12" s="35"/>
      <c r="CD12" s="35"/>
      <c r="CE12" s="35"/>
      <c r="CF12" s="35"/>
      <c r="CG12" s="35"/>
      <c r="CH12" s="35"/>
      <c r="CI12" s="35"/>
      <c r="CJ12" s="35"/>
      <c r="CK12" s="35"/>
      <c r="CL12" s="35"/>
      <c r="CM12" s="35"/>
      <c r="CN12" s="35"/>
      <c r="CO12" s="35"/>
      <c r="CP12" s="35"/>
      <c r="CQ12" s="35"/>
      <c r="CR12" s="35"/>
      <c r="CS12" s="35"/>
      <c r="CT12" s="35"/>
      <c r="CU12" s="35"/>
      <c r="CV12" s="35"/>
      <c r="CW12" s="35"/>
      <c r="CX12" s="35"/>
      <c r="CY12" s="35"/>
      <c r="CZ12" s="35"/>
      <c r="DA12" s="35"/>
      <c r="DB12" s="35"/>
      <c r="DC12" s="35"/>
      <c r="DD12" s="35"/>
      <c r="DE12" s="35"/>
      <c r="DF12" s="35"/>
      <c r="DG12" s="35"/>
      <c r="DH12" s="35"/>
      <c r="DI12" s="35"/>
      <c r="DJ12" s="35"/>
      <c r="DK12" s="35"/>
      <c r="DL12" s="35"/>
      <c r="DM12" s="35"/>
      <c r="DN12" s="35"/>
      <c r="DO12" s="35"/>
      <c r="DP12" s="35"/>
      <c r="DQ12" s="35"/>
      <c r="DR12" s="35"/>
      <c r="DS12" s="35"/>
      <c r="DT12" s="35"/>
      <c r="DU12" s="35"/>
      <c r="DV12" s="35"/>
      <c r="DW12" s="35"/>
      <c r="DX12" s="35"/>
      <c r="DY12" s="35"/>
      <c r="DZ12" s="35"/>
      <c r="EA12" s="35"/>
      <c r="EB12" s="35"/>
      <c r="EC12" s="35"/>
      <c r="ED12" s="35"/>
      <c r="EE12" s="35"/>
      <c r="EF12" s="35"/>
      <c r="EG12" s="35"/>
      <c r="EH12" s="35"/>
      <c r="EI12" s="35"/>
      <c r="EJ12" s="35"/>
      <c r="EK12" s="35"/>
      <c r="EL12" s="35"/>
      <c r="EM12" s="35"/>
      <c r="EN12" s="35"/>
      <c r="EO12" s="35"/>
      <c r="EP12" s="35"/>
      <c r="EQ12" s="35"/>
      <c r="ER12" s="35"/>
      <c r="ES12" s="35"/>
      <c r="ET12" s="35"/>
      <c r="EU12" s="35"/>
      <c r="EV12" s="35"/>
      <c r="EW12" s="35"/>
      <c r="EX12" s="35"/>
    </row>
    <row r="13" spans="1:154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spans="1:15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spans="1:154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spans="1:154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spans="1:15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spans="1:15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spans="1:15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spans="1:15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spans="1:15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spans="1:15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spans="1:15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spans="1:15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spans="1:1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spans="1:15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100"/>
  <sheetViews>
    <sheetView workbookViewId="0">
      <selection activeCell="F11" sqref="F11"/>
    </sheetView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1" t="s">
        <v>201</v>
      </c>
      <c r="C1" s="42"/>
      <c r="D1" s="42"/>
      <c r="E1" s="42"/>
      <c r="F1" s="42"/>
      <c r="G1" s="42"/>
      <c r="H1" s="4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6"/>
      <c r="B2" s="6"/>
      <c r="C2" s="6"/>
      <c r="D2" s="6"/>
      <c r="E2" s="6"/>
      <c r="F2" s="6"/>
      <c r="G2" s="6"/>
      <c r="H2" s="6"/>
      <c r="I2" s="6"/>
      <c r="J2" s="17" t="e">
        <f>VLOOKUP($E$3,_MasterData!B4:D1000,3,FALSE)</f>
        <v>#N/A</v>
      </c>
      <c r="K2" s="17"/>
      <c r="L2" s="6"/>
      <c r="M2" s="6"/>
      <c r="N2" s="6"/>
      <c r="O2" s="6"/>
    </row>
    <row r="3" spans="1:154" ht="15.75" customHeight="1">
      <c r="A3" s="18"/>
      <c r="B3" s="7" t="s">
        <v>3</v>
      </c>
      <c r="C3" s="19" t="s">
        <v>271</v>
      </c>
      <c r="D3" s="7" t="s">
        <v>4</v>
      </c>
      <c r="E3" s="19" t="s">
        <v>449</v>
      </c>
      <c r="F3" s="7" t="s">
        <v>366</v>
      </c>
      <c r="G3" s="20" t="s">
        <v>373</v>
      </c>
      <c r="H3" s="7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</row>
    <row r="4" spans="1:154" ht="15.75" customHeight="1">
      <c r="A4" s="22"/>
      <c r="B4" s="22" t="str">
        <f ca="1">IFERROR(__xludf.DUMMYFUNCTION("IF(C3="""","""",Transpose(IMPORTRANGE('_Settings'!$B$3,C3&amp;""!A4:A1000"")))"),"GetDataClosing")</f>
        <v>GetDataClosing</v>
      </c>
      <c r="C4" s="22" t="s">
        <v>439</v>
      </c>
      <c r="D4" s="22" t="s">
        <v>443</v>
      </c>
      <c r="E4" s="22" t="s">
        <v>445</v>
      </c>
      <c r="F4" s="22" t="s">
        <v>447</v>
      </c>
      <c r="G4" s="22" t="s">
        <v>449</v>
      </c>
      <c r="H4" s="22" t="s">
        <v>451</v>
      </c>
      <c r="I4" s="22" t="s">
        <v>453</v>
      </c>
      <c r="J4" s="22" t="s">
        <v>455</v>
      </c>
      <c r="K4" s="22" t="s">
        <v>457</v>
      </c>
      <c r="L4" s="22" t="s">
        <v>459</v>
      </c>
      <c r="M4" s="22" t="s">
        <v>441</v>
      </c>
      <c r="N4" s="22" t="s">
        <v>461</v>
      </c>
      <c r="O4" s="22" t="s">
        <v>463</v>
      </c>
      <c r="P4" s="23" t="s">
        <v>465</v>
      </c>
      <c r="Q4" s="23" t="s">
        <v>467</v>
      </c>
      <c r="R4" s="23" t="s">
        <v>272</v>
      </c>
      <c r="S4" s="23" t="s">
        <v>469</v>
      </c>
      <c r="T4" s="23" t="s">
        <v>471</v>
      </c>
      <c r="U4" s="23" t="s">
        <v>473</v>
      </c>
      <c r="V4" s="23" t="s">
        <v>399</v>
      </c>
      <c r="W4" s="23" t="s">
        <v>476</v>
      </c>
      <c r="X4" s="23" t="s">
        <v>478</v>
      </c>
      <c r="Y4" s="23" t="s">
        <v>480</v>
      </c>
      <c r="Z4" s="23" t="s">
        <v>482</v>
      </c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  <c r="EX4" s="23"/>
    </row>
    <row r="5" spans="1:154" ht="15.75" customHeight="1">
      <c r="A5" s="24" t="str">
        <f ca="1">IFERROR(__xludf.DUMMYFUNCTION("TRANSPOSE(IMPORTRANGE(VLOOKUP($E$3,IMPORTRANGE('_Settings'!$B$3,$C$3&amp;""!A4:B1000""),2,FALSE),$G$3&amp;""!A4:A1000""))"),"")</f>
        <v/>
      </c>
      <c r="B5" s="25" t="s">
        <v>630</v>
      </c>
      <c r="C5" s="25" t="s">
        <v>674</v>
      </c>
      <c r="D5" s="25" t="s">
        <v>770</v>
      </c>
      <c r="E5" s="25" t="s">
        <v>819</v>
      </c>
      <c r="F5" s="29" t="s">
        <v>820</v>
      </c>
      <c r="G5" s="25" t="s">
        <v>821</v>
      </c>
      <c r="H5" s="25" t="s">
        <v>822</v>
      </c>
      <c r="I5" s="25" t="s">
        <v>823</v>
      </c>
      <c r="J5" s="25" t="s">
        <v>776</v>
      </c>
      <c r="K5" s="25" t="s">
        <v>824</v>
      </c>
      <c r="L5" s="25" t="s">
        <v>775</v>
      </c>
      <c r="M5" s="25" t="s">
        <v>572</v>
      </c>
      <c r="N5" s="25" t="s">
        <v>825</v>
      </c>
      <c r="O5" s="25" t="s">
        <v>753</v>
      </c>
      <c r="P5" s="25" t="s">
        <v>708</v>
      </c>
      <c r="Q5" s="25" t="s">
        <v>587</v>
      </c>
      <c r="R5" s="25" t="s">
        <v>552</v>
      </c>
      <c r="S5" s="25" t="s">
        <v>826</v>
      </c>
      <c r="T5" s="26" t="s">
        <v>827</v>
      </c>
      <c r="U5" s="26" t="s">
        <v>588</v>
      </c>
      <c r="V5" s="26" t="s">
        <v>718</v>
      </c>
      <c r="W5" s="26" t="s">
        <v>828</v>
      </c>
      <c r="X5" s="26" t="s">
        <v>829</v>
      </c>
      <c r="Y5" s="26" t="s">
        <v>830</v>
      </c>
      <c r="Z5" s="26" t="s">
        <v>831</v>
      </c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</row>
    <row r="6" spans="1:154" ht="15.75" customHeight="1">
      <c r="A6" s="31"/>
      <c r="B6" s="32" t="s">
        <v>693</v>
      </c>
      <c r="C6" s="33"/>
      <c r="D6" s="32"/>
      <c r="E6" s="33"/>
      <c r="F6" s="33"/>
      <c r="G6" s="33"/>
      <c r="H6" s="33"/>
      <c r="I6" s="33"/>
      <c r="J6" s="33"/>
      <c r="K6" s="33"/>
      <c r="L6" s="33"/>
      <c r="M6" s="34">
        <v>59</v>
      </c>
      <c r="N6" s="33"/>
      <c r="O6" s="33"/>
      <c r="P6" s="35" t="s">
        <v>672</v>
      </c>
      <c r="Q6" s="35"/>
      <c r="R6" s="35" t="s">
        <v>671</v>
      </c>
      <c r="S6" s="33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spans="1:154" ht="15.75" customHeight="1">
      <c r="A7" s="35"/>
      <c r="B7" s="35" t="s">
        <v>695</v>
      </c>
      <c r="C7" s="35"/>
      <c r="D7" s="35"/>
      <c r="E7" s="35"/>
      <c r="F7" s="35"/>
      <c r="G7" s="35"/>
      <c r="H7" s="35"/>
      <c r="I7" s="35"/>
      <c r="J7" s="35"/>
      <c r="K7" s="35"/>
      <c r="L7" s="35"/>
      <c r="M7" s="36">
        <v>12</v>
      </c>
      <c r="N7" s="35"/>
      <c r="O7" s="35"/>
      <c r="P7" s="35" t="s">
        <v>672</v>
      </c>
      <c r="Q7" s="35"/>
      <c r="R7" s="35" t="s">
        <v>671</v>
      </c>
      <c r="S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spans="1:154" ht="15.75" customHeight="1">
      <c r="A8" s="35"/>
      <c r="B8" s="35" t="s">
        <v>696</v>
      </c>
      <c r="C8" s="35"/>
      <c r="D8" s="35"/>
      <c r="E8" s="35"/>
      <c r="F8" s="35"/>
      <c r="G8" s="35"/>
      <c r="H8" s="35"/>
      <c r="I8" s="35"/>
      <c r="J8" s="35"/>
      <c r="K8" s="35"/>
      <c r="L8" s="35"/>
      <c r="M8" s="36">
        <v>29</v>
      </c>
      <c r="N8" s="35"/>
      <c r="O8" s="35"/>
      <c r="P8" s="35" t="s">
        <v>672</v>
      </c>
      <c r="Q8" s="35"/>
      <c r="R8" s="35" t="s">
        <v>671</v>
      </c>
      <c r="S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spans="1:154" ht="15.75" customHeight="1">
      <c r="A9" s="35"/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spans="1:154" ht="15.75" customHeight="1">
      <c r="A10" s="35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</row>
    <row r="11" spans="1:154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spans="1:154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spans="1:154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spans="1:15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spans="1:154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spans="1:154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spans="1:15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spans="1:15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spans="1:15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spans="1:15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spans="1:15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spans="1:15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spans="1:15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spans="1:15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spans="1:1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spans="1:15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1" t="s">
        <v>201</v>
      </c>
      <c r="C1" s="42"/>
      <c r="D1" s="42"/>
      <c r="E1" s="42"/>
      <c r="F1" s="42"/>
      <c r="G1" s="42"/>
      <c r="H1" s="4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6"/>
      <c r="B2" s="6"/>
      <c r="C2" s="6"/>
      <c r="D2" s="6"/>
      <c r="E2" s="6"/>
      <c r="F2" s="6"/>
      <c r="G2" s="6"/>
      <c r="H2" s="6"/>
      <c r="I2" s="6"/>
      <c r="J2" s="17" t="e">
        <f>VLOOKUP($E$3,_MasterData!B4:D1000,3,FALSE)</f>
        <v>#N/A</v>
      </c>
      <c r="K2" s="17"/>
      <c r="L2" s="6"/>
      <c r="M2" s="6"/>
      <c r="N2" s="6"/>
      <c r="O2" s="6"/>
    </row>
    <row r="3" spans="1:154" ht="15.75" customHeight="1">
      <c r="A3" s="18"/>
      <c r="B3" s="7" t="s">
        <v>3</v>
      </c>
      <c r="C3" s="19" t="s">
        <v>30</v>
      </c>
      <c r="D3" s="7" t="s">
        <v>4</v>
      </c>
      <c r="E3" s="19" t="s">
        <v>179</v>
      </c>
      <c r="F3" s="7" t="s">
        <v>366</v>
      </c>
      <c r="G3" s="20" t="s">
        <v>373</v>
      </c>
      <c r="H3" s="7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</row>
    <row r="4" spans="1:154" ht="15.75" customHeight="1">
      <c r="A4" s="22"/>
      <c r="B4" s="22" t="str">
        <f ca="1">IFERROR(__xludf.DUMMYFUNCTION("IF(C3="""","""",Transpose(IMPORTRANGE('_Settings'!$B$3,C3&amp;""!A4:A1000"")))"),"CloseGeneralLedger")</f>
        <v>CloseGeneralLedger</v>
      </c>
      <c r="C4" s="22" t="s">
        <v>31</v>
      </c>
      <c r="D4" s="22" t="s">
        <v>33</v>
      </c>
      <c r="E4" s="22" t="s">
        <v>35</v>
      </c>
      <c r="F4" s="22" t="s">
        <v>37</v>
      </c>
      <c r="G4" s="22" t="s">
        <v>39</v>
      </c>
      <c r="H4" s="22" t="s">
        <v>41</v>
      </c>
      <c r="I4" s="22" t="s">
        <v>43</v>
      </c>
      <c r="J4" s="22" t="s">
        <v>177</v>
      </c>
      <c r="K4" s="22" t="s">
        <v>179</v>
      </c>
      <c r="L4" s="22" t="s">
        <v>177</v>
      </c>
      <c r="M4" s="22" t="s">
        <v>179</v>
      </c>
      <c r="N4" s="22" t="s">
        <v>189</v>
      </c>
      <c r="O4" s="22" t="s">
        <v>193</v>
      </c>
      <c r="P4" s="23" t="s">
        <v>197</v>
      </c>
      <c r="Q4" s="23" t="s">
        <v>202</v>
      </c>
      <c r="R4" s="23" t="s">
        <v>206</v>
      </c>
      <c r="S4" s="23" t="s">
        <v>210</v>
      </c>
      <c r="T4" s="23" t="s">
        <v>214</v>
      </c>
      <c r="U4" s="23" t="s">
        <v>218</v>
      </c>
      <c r="V4" s="23" t="s">
        <v>226</v>
      </c>
      <c r="W4" s="23" t="s">
        <v>228</v>
      </c>
      <c r="X4" s="23" t="s">
        <v>234</v>
      </c>
      <c r="Y4" s="23" t="s">
        <v>236</v>
      </c>
      <c r="Z4" s="23" t="s">
        <v>240</v>
      </c>
      <c r="AA4" s="23" t="s">
        <v>242</v>
      </c>
      <c r="AB4" s="23" t="s">
        <v>245</v>
      </c>
      <c r="AC4" s="23" t="s">
        <v>247</v>
      </c>
      <c r="AD4" s="23" t="s">
        <v>307</v>
      </c>
      <c r="AE4" s="23" t="s">
        <v>313</v>
      </c>
      <c r="AF4" s="23" t="s">
        <v>315</v>
      </c>
      <c r="AG4" s="23" t="s">
        <v>317</v>
      </c>
      <c r="AH4" s="23" t="s">
        <v>319</v>
      </c>
      <c r="AI4" s="23" t="s">
        <v>323</v>
      </c>
      <c r="AJ4" s="23" t="s">
        <v>333</v>
      </c>
      <c r="AK4" s="23" t="s">
        <v>334</v>
      </c>
      <c r="AL4" s="23" t="s">
        <v>325</v>
      </c>
      <c r="AM4" s="23" t="s">
        <v>353</v>
      </c>
      <c r="AN4" s="23" t="s">
        <v>355</v>
      </c>
      <c r="AO4" s="23" t="s">
        <v>359</v>
      </c>
      <c r="AP4" s="23" t="s">
        <v>357</v>
      </c>
      <c r="AQ4" s="23" t="s">
        <v>361</v>
      </c>
      <c r="AR4" s="23" t="s">
        <v>405</v>
      </c>
      <c r="AS4" s="23" t="s">
        <v>407</v>
      </c>
      <c r="AT4" s="23" t="s">
        <v>519</v>
      </c>
      <c r="AU4" s="23" t="s">
        <v>485</v>
      </c>
      <c r="AV4" s="23" t="s">
        <v>489</v>
      </c>
      <c r="AW4" s="23" t="s">
        <v>516</v>
      </c>
      <c r="AX4" s="23" t="s">
        <v>490</v>
      </c>
      <c r="AY4" s="23" t="s">
        <v>493</v>
      </c>
      <c r="AZ4" s="23" t="s">
        <v>497</v>
      </c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 t="s">
        <v>210</v>
      </c>
      <c r="CF4" s="23" t="s">
        <v>214</v>
      </c>
      <c r="CG4" s="23" t="s">
        <v>218</v>
      </c>
      <c r="CH4" s="23" t="s">
        <v>226</v>
      </c>
      <c r="CI4" s="23" t="s">
        <v>228</v>
      </c>
      <c r="CJ4" s="23" t="s">
        <v>234</v>
      </c>
      <c r="CK4" s="23" t="s">
        <v>236</v>
      </c>
      <c r="CL4" s="23" t="s">
        <v>240</v>
      </c>
      <c r="CM4" s="23" t="s">
        <v>242</v>
      </c>
      <c r="CN4" s="23" t="s">
        <v>245</v>
      </c>
      <c r="CO4" s="23" t="s">
        <v>247</v>
      </c>
      <c r="CP4" s="23" t="s">
        <v>307</v>
      </c>
      <c r="CQ4" s="23" t="s">
        <v>313</v>
      </c>
      <c r="CR4" s="23" t="s">
        <v>315</v>
      </c>
      <c r="CS4" s="23" t="s">
        <v>317</v>
      </c>
      <c r="CT4" s="23" t="s">
        <v>319</v>
      </c>
      <c r="CU4" s="23" t="s">
        <v>323</v>
      </c>
      <c r="CV4" s="23" t="s">
        <v>333</v>
      </c>
      <c r="CW4" s="23" t="s">
        <v>334</v>
      </c>
      <c r="CX4" s="23" t="s">
        <v>325</v>
      </c>
      <c r="CY4" s="23" t="s">
        <v>353</v>
      </c>
      <c r="CZ4" s="23" t="s">
        <v>355</v>
      </c>
      <c r="DA4" s="23" t="s">
        <v>359</v>
      </c>
      <c r="DB4" s="23" t="s">
        <v>357</v>
      </c>
      <c r="DC4" s="23" t="s">
        <v>361</v>
      </c>
      <c r="DD4" s="23" t="s">
        <v>405</v>
      </c>
      <c r="DE4" s="23" t="s">
        <v>407</v>
      </c>
      <c r="DF4" s="23" t="s">
        <v>519</v>
      </c>
      <c r="DG4" s="23" t="s">
        <v>485</v>
      </c>
      <c r="DH4" s="23" t="s">
        <v>489</v>
      </c>
      <c r="DI4" s="23" t="s">
        <v>516</v>
      </c>
      <c r="DJ4" s="23" t="s">
        <v>490</v>
      </c>
      <c r="DK4" s="23" t="s">
        <v>493</v>
      </c>
      <c r="DL4" s="23" t="s">
        <v>497</v>
      </c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  <c r="EX4" s="23"/>
    </row>
    <row r="5" spans="1:154" ht="15.75" customHeight="1">
      <c r="A5" s="24" t="str">
        <f ca="1">IFERROR(__xludf.DUMMYFUNCTION("TRANSPOSE(IMPORTRANGE(VLOOKUP($E$3,IMPORTRANGE('_Settings'!$B$3,$C$3&amp;""!A4:B1000""),2,FALSE),$G$3&amp;""!A4:A1000""))"),"")</f>
        <v/>
      </c>
      <c r="B5" s="25" t="s">
        <v>832</v>
      </c>
      <c r="C5" s="25" t="s">
        <v>703</v>
      </c>
      <c r="D5" s="25" t="s">
        <v>809</v>
      </c>
      <c r="E5" s="25" t="s">
        <v>810</v>
      </c>
      <c r="F5" s="29" t="s">
        <v>833</v>
      </c>
      <c r="G5" s="25" t="s">
        <v>834</v>
      </c>
      <c r="H5" s="25" t="s">
        <v>835</v>
      </c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</row>
    <row r="6" spans="1:154" ht="15.75" customHeight="1">
      <c r="A6" s="31"/>
      <c r="B6" s="32" t="s">
        <v>836</v>
      </c>
      <c r="C6" s="33" t="s">
        <v>837</v>
      </c>
      <c r="D6" s="37">
        <f t="shared" ref="D6:E6" ca="1" si="0">TODAY()</f>
        <v>43642</v>
      </c>
      <c r="E6" s="37">
        <f t="shared" ca="1" si="0"/>
        <v>43642</v>
      </c>
      <c r="F6" s="38" t="s">
        <v>706</v>
      </c>
      <c r="G6" s="38" t="s">
        <v>838</v>
      </c>
      <c r="H6" s="38" t="s">
        <v>706</v>
      </c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spans="1:154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spans="1:154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spans="1:154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spans="1:154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spans="1:154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spans="1:154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spans="1:154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spans="1:15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spans="1:154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spans="1:154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spans="1:15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spans="1:15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spans="1:15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spans="1:15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spans="1:15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spans="1:15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spans="1:15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spans="1:15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spans="1:1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spans="1:15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1" t="s">
        <v>201</v>
      </c>
      <c r="C1" s="42"/>
      <c r="D1" s="42"/>
      <c r="E1" s="42"/>
      <c r="F1" s="42"/>
      <c r="G1" s="42"/>
      <c r="H1" s="4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6"/>
      <c r="B2" s="6"/>
      <c r="C2" s="6"/>
      <c r="D2" s="6"/>
      <c r="E2" s="6"/>
      <c r="F2" s="6"/>
      <c r="G2" s="6"/>
      <c r="H2" s="6"/>
      <c r="I2" s="6"/>
      <c r="J2" s="17" t="e">
        <f>VLOOKUP($E$3,_MasterData!B4:D1000,3,FALSE)</f>
        <v>#N/A</v>
      </c>
      <c r="K2" s="17"/>
      <c r="L2" s="6"/>
      <c r="M2" s="6"/>
      <c r="N2" s="6"/>
      <c r="O2" s="6"/>
    </row>
    <row r="3" spans="1:154" ht="15.75" customHeight="1">
      <c r="A3" s="18"/>
      <c r="B3" s="7" t="s">
        <v>3</v>
      </c>
      <c r="C3" s="19" t="s">
        <v>30</v>
      </c>
      <c r="D3" s="7" t="s">
        <v>4</v>
      </c>
      <c r="E3" s="19" t="s">
        <v>39</v>
      </c>
      <c r="F3" s="7" t="s">
        <v>366</v>
      </c>
      <c r="G3" s="20" t="s">
        <v>373</v>
      </c>
      <c r="H3" s="7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</row>
    <row r="4" spans="1:154" ht="15.75" customHeight="1">
      <c r="A4" s="22"/>
      <c r="B4" s="22" t="str">
        <f ca="1">IFERROR(__xludf.DUMMYFUNCTION("IF(C3="""","""",Transpose(IMPORTRANGE('_Settings'!$B$3,C3&amp;""!A4:A1000"")))"),"CloseGeneralLedger")</f>
        <v>CloseGeneralLedger</v>
      </c>
      <c r="C4" s="22" t="s">
        <v>31</v>
      </c>
      <c r="D4" s="22" t="s">
        <v>33</v>
      </c>
      <c r="E4" s="22" t="s">
        <v>35</v>
      </c>
      <c r="F4" s="22" t="s">
        <v>37</v>
      </c>
      <c r="G4" s="22" t="s">
        <v>39</v>
      </c>
      <c r="H4" s="22" t="s">
        <v>41</v>
      </c>
      <c r="I4" s="22" t="s">
        <v>43</v>
      </c>
      <c r="J4" s="22" t="s">
        <v>177</v>
      </c>
      <c r="K4" s="22" t="s">
        <v>179</v>
      </c>
      <c r="L4" s="22" t="s">
        <v>177</v>
      </c>
      <c r="M4" s="22" t="s">
        <v>179</v>
      </c>
      <c r="N4" s="22" t="s">
        <v>189</v>
      </c>
      <c r="O4" s="22" t="s">
        <v>193</v>
      </c>
      <c r="P4" s="23" t="s">
        <v>197</v>
      </c>
      <c r="Q4" s="23" t="s">
        <v>202</v>
      </c>
      <c r="R4" s="23" t="s">
        <v>206</v>
      </c>
      <c r="S4" s="23" t="s">
        <v>210</v>
      </c>
      <c r="T4" s="23" t="s">
        <v>214</v>
      </c>
      <c r="U4" s="23" t="s">
        <v>218</v>
      </c>
      <c r="V4" s="23" t="s">
        <v>226</v>
      </c>
      <c r="W4" s="23" t="s">
        <v>228</v>
      </c>
      <c r="X4" s="23" t="s">
        <v>234</v>
      </c>
      <c r="Y4" s="23" t="s">
        <v>236</v>
      </c>
      <c r="Z4" s="23" t="s">
        <v>240</v>
      </c>
      <c r="AA4" s="23" t="s">
        <v>242</v>
      </c>
      <c r="AB4" s="23" t="s">
        <v>245</v>
      </c>
      <c r="AC4" s="23" t="s">
        <v>247</v>
      </c>
      <c r="AD4" s="23" t="s">
        <v>307</v>
      </c>
      <c r="AE4" s="23" t="s">
        <v>313</v>
      </c>
      <c r="AF4" s="23" t="s">
        <v>315</v>
      </c>
      <c r="AG4" s="23" t="s">
        <v>317</v>
      </c>
      <c r="AH4" s="23" t="s">
        <v>319</v>
      </c>
      <c r="AI4" s="23" t="s">
        <v>323</v>
      </c>
      <c r="AJ4" s="23" t="s">
        <v>333</v>
      </c>
      <c r="AK4" s="23" t="s">
        <v>334</v>
      </c>
      <c r="AL4" s="23" t="s">
        <v>325</v>
      </c>
      <c r="AM4" s="23" t="s">
        <v>353</v>
      </c>
      <c r="AN4" s="23" t="s">
        <v>355</v>
      </c>
      <c r="AO4" s="23" t="s">
        <v>359</v>
      </c>
      <c r="AP4" s="23" t="s">
        <v>357</v>
      </c>
      <c r="AQ4" s="23" t="s">
        <v>361</v>
      </c>
      <c r="AR4" s="23" t="s">
        <v>405</v>
      </c>
      <c r="AS4" s="23" t="s">
        <v>407</v>
      </c>
      <c r="AT4" s="23" t="s">
        <v>519</v>
      </c>
      <c r="AU4" s="23" t="s">
        <v>485</v>
      </c>
      <c r="AV4" s="23" t="s">
        <v>489</v>
      </c>
      <c r="AW4" s="23" t="s">
        <v>516</v>
      </c>
      <c r="AX4" s="23" t="s">
        <v>490</v>
      </c>
      <c r="AY4" s="23" t="s">
        <v>493</v>
      </c>
      <c r="AZ4" s="23" t="s">
        <v>497</v>
      </c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 t="s">
        <v>210</v>
      </c>
      <c r="CF4" s="23" t="s">
        <v>214</v>
      </c>
      <c r="CG4" s="23" t="s">
        <v>218</v>
      </c>
      <c r="CH4" s="23" t="s">
        <v>226</v>
      </c>
      <c r="CI4" s="23" t="s">
        <v>228</v>
      </c>
      <c r="CJ4" s="23" t="s">
        <v>234</v>
      </c>
      <c r="CK4" s="23" t="s">
        <v>236</v>
      </c>
      <c r="CL4" s="23" t="s">
        <v>240</v>
      </c>
      <c r="CM4" s="23" t="s">
        <v>242</v>
      </c>
      <c r="CN4" s="23" t="s">
        <v>245</v>
      </c>
      <c r="CO4" s="23" t="s">
        <v>247</v>
      </c>
      <c r="CP4" s="23" t="s">
        <v>307</v>
      </c>
      <c r="CQ4" s="23" t="s">
        <v>313</v>
      </c>
      <c r="CR4" s="23" t="s">
        <v>315</v>
      </c>
      <c r="CS4" s="23" t="s">
        <v>317</v>
      </c>
      <c r="CT4" s="23" t="s">
        <v>319</v>
      </c>
      <c r="CU4" s="23" t="s">
        <v>323</v>
      </c>
      <c r="CV4" s="23" t="s">
        <v>333</v>
      </c>
      <c r="CW4" s="23" t="s">
        <v>334</v>
      </c>
      <c r="CX4" s="23" t="s">
        <v>325</v>
      </c>
      <c r="CY4" s="23" t="s">
        <v>353</v>
      </c>
      <c r="CZ4" s="23" t="s">
        <v>355</v>
      </c>
      <c r="DA4" s="23" t="s">
        <v>359</v>
      </c>
      <c r="DB4" s="23" t="s">
        <v>357</v>
      </c>
      <c r="DC4" s="23" t="s">
        <v>361</v>
      </c>
      <c r="DD4" s="23" t="s">
        <v>405</v>
      </c>
      <c r="DE4" s="23" t="s">
        <v>407</v>
      </c>
      <c r="DF4" s="23" t="s">
        <v>519</v>
      </c>
      <c r="DG4" s="23" t="s">
        <v>485</v>
      </c>
      <c r="DH4" s="23" t="s">
        <v>489</v>
      </c>
      <c r="DI4" s="23" t="s">
        <v>516</v>
      </c>
      <c r="DJ4" s="23" t="s">
        <v>490</v>
      </c>
      <c r="DK4" s="23" t="s">
        <v>493</v>
      </c>
      <c r="DL4" s="23" t="s">
        <v>497</v>
      </c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  <c r="EX4" s="23"/>
    </row>
    <row r="5" spans="1:154" ht="15.75" customHeight="1">
      <c r="A5" s="24" t="str">
        <f ca="1">IFERROR(__xludf.DUMMYFUNCTION("TRANSPOSE(IMPORTRANGE(VLOOKUP($E$3,IMPORTRANGE('_Settings'!$B$3,$C$3&amp;""!A4:B1000""),2,FALSE),$G$3&amp;""!A4:A1000""))"),"")</f>
        <v/>
      </c>
      <c r="B5" s="25" t="s">
        <v>630</v>
      </c>
      <c r="C5" s="25" t="s">
        <v>864</v>
      </c>
      <c r="D5" s="25" t="s">
        <v>866</v>
      </c>
      <c r="E5" s="25" t="s">
        <v>868</v>
      </c>
      <c r="F5" s="29" t="s">
        <v>719</v>
      </c>
      <c r="G5" s="25" t="s">
        <v>720</v>
      </c>
      <c r="H5" s="25" t="s">
        <v>871</v>
      </c>
      <c r="I5" s="25" t="s">
        <v>873</v>
      </c>
      <c r="J5" s="25" t="s">
        <v>716</v>
      </c>
      <c r="K5" s="25" t="s">
        <v>769</v>
      </c>
      <c r="L5" s="25" t="s">
        <v>733</v>
      </c>
      <c r="M5" s="25" t="s">
        <v>874</v>
      </c>
      <c r="N5" s="25" t="s">
        <v>876</v>
      </c>
      <c r="O5" s="25" t="s">
        <v>877</v>
      </c>
      <c r="P5" s="25" t="s">
        <v>854</v>
      </c>
      <c r="Q5" s="25" t="s">
        <v>881</v>
      </c>
      <c r="R5" s="25" t="s">
        <v>723</v>
      </c>
      <c r="S5" s="25" t="s">
        <v>885</v>
      </c>
      <c r="T5" s="26" t="s">
        <v>725</v>
      </c>
      <c r="U5" s="26" t="s">
        <v>722</v>
      </c>
      <c r="V5" s="26" t="s">
        <v>572</v>
      </c>
      <c r="W5" s="26" t="s">
        <v>724</v>
      </c>
      <c r="X5" s="26" t="s">
        <v>753</v>
      </c>
      <c r="Y5" s="26" t="s">
        <v>778</v>
      </c>
      <c r="Z5" s="26" t="s">
        <v>717</v>
      </c>
      <c r="AA5" s="26" t="s">
        <v>727</v>
      </c>
      <c r="AB5" s="26" t="s">
        <v>552</v>
      </c>
      <c r="AC5" s="26" t="s">
        <v>729</v>
      </c>
      <c r="AD5" s="26" t="s">
        <v>900</v>
      </c>
      <c r="AE5" s="26" t="s">
        <v>588</v>
      </c>
      <c r="AF5" s="26" t="s">
        <v>732</v>
      </c>
      <c r="AG5" s="26" t="s">
        <v>793</v>
      </c>
      <c r="AH5" s="26" t="s">
        <v>754</v>
      </c>
      <c r="AI5" s="26" t="s">
        <v>853</v>
      </c>
      <c r="AJ5" s="26" t="s">
        <v>906</v>
      </c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</row>
    <row r="6" spans="1:154" ht="15.75" customHeight="1">
      <c r="A6" s="31"/>
      <c r="B6" s="32" t="s">
        <v>693</v>
      </c>
      <c r="C6" s="33"/>
      <c r="D6" s="32" t="s">
        <v>950</v>
      </c>
      <c r="E6" s="33"/>
      <c r="F6" s="33"/>
      <c r="G6" s="33"/>
      <c r="H6" s="33"/>
      <c r="I6" s="33"/>
      <c r="J6" s="33"/>
      <c r="K6" s="33" t="s">
        <v>694</v>
      </c>
      <c r="L6" s="33"/>
      <c r="M6" s="33"/>
      <c r="N6" s="33"/>
      <c r="O6" s="33"/>
      <c r="P6" s="33"/>
      <c r="Q6" s="33"/>
      <c r="R6" s="33"/>
      <c r="S6" s="33"/>
      <c r="T6" s="35"/>
      <c r="U6" s="35"/>
      <c r="V6" s="39">
        <v>59</v>
      </c>
      <c r="W6" s="35"/>
      <c r="X6" s="35"/>
      <c r="Y6" s="35"/>
      <c r="Z6" s="35"/>
      <c r="AA6" s="35"/>
      <c r="AB6" s="35" t="s">
        <v>647</v>
      </c>
      <c r="AC6" s="35"/>
      <c r="AD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spans="1:154" ht="15.75" customHeight="1">
      <c r="A7" s="35"/>
      <c r="B7" s="35" t="s">
        <v>695</v>
      </c>
      <c r="C7" s="35"/>
      <c r="D7" s="35" t="s">
        <v>950</v>
      </c>
      <c r="E7" s="35"/>
      <c r="F7" s="35"/>
      <c r="G7" s="35"/>
      <c r="H7" s="35"/>
      <c r="I7" s="35"/>
      <c r="J7" s="35"/>
      <c r="K7" s="35" t="s">
        <v>694</v>
      </c>
      <c r="L7" s="35"/>
      <c r="M7" s="35"/>
      <c r="N7" s="35"/>
      <c r="O7" s="35"/>
      <c r="P7" s="35"/>
      <c r="Q7" s="35"/>
      <c r="R7" s="35"/>
      <c r="S7" s="35"/>
      <c r="T7" s="35"/>
      <c r="U7" s="35"/>
      <c r="V7" s="39">
        <v>12</v>
      </c>
      <c r="W7" s="35"/>
      <c r="X7" s="35"/>
      <c r="Y7" s="35"/>
      <c r="Z7" s="35"/>
      <c r="AA7" s="35"/>
      <c r="AB7" s="35" t="s">
        <v>647</v>
      </c>
      <c r="AC7" s="35"/>
      <c r="AD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spans="1:154" ht="15.75" customHeight="1">
      <c r="A8" s="35"/>
      <c r="B8" s="35" t="s">
        <v>696</v>
      </c>
      <c r="C8" s="35"/>
      <c r="D8" s="35" t="s">
        <v>950</v>
      </c>
      <c r="E8" s="35"/>
      <c r="F8" s="35"/>
      <c r="G8" s="35"/>
      <c r="H8" s="35"/>
      <c r="I8" s="35"/>
      <c r="J8" s="35"/>
      <c r="K8" s="35" t="s">
        <v>694</v>
      </c>
      <c r="L8" s="35"/>
      <c r="M8" s="35"/>
      <c r="N8" s="35"/>
      <c r="O8" s="35"/>
      <c r="P8" s="35"/>
      <c r="Q8" s="35"/>
      <c r="R8" s="35"/>
      <c r="S8" s="35"/>
      <c r="T8" s="35"/>
      <c r="U8" s="35"/>
      <c r="V8" s="39">
        <v>29</v>
      </c>
      <c r="W8" s="35"/>
      <c r="X8" s="35"/>
      <c r="Y8" s="35"/>
      <c r="Z8" s="35"/>
      <c r="AA8" s="35"/>
      <c r="AB8" s="35" t="s">
        <v>647</v>
      </c>
      <c r="AC8" s="35"/>
      <c r="AD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spans="1:154" ht="15.75" customHeight="1">
      <c r="A9" s="35"/>
      <c r="B9" s="35" t="s">
        <v>693</v>
      </c>
      <c r="C9" s="35"/>
      <c r="D9" s="35" t="s">
        <v>950</v>
      </c>
      <c r="E9" s="35"/>
      <c r="F9" s="35"/>
      <c r="G9" s="35"/>
      <c r="H9" s="35"/>
      <c r="I9" s="35"/>
      <c r="J9" s="35"/>
      <c r="K9" s="35" t="s">
        <v>694</v>
      </c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 t="s">
        <v>704</v>
      </c>
      <c r="AC9" s="35"/>
      <c r="AD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spans="1:154" ht="15.75" customHeight="1">
      <c r="A10" s="35"/>
      <c r="B10" s="35" t="s">
        <v>695</v>
      </c>
      <c r="C10" s="35"/>
      <c r="D10" s="35" t="s">
        <v>950</v>
      </c>
      <c r="E10" s="35"/>
      <c r="F10" s="35"/>
      <c r="G10" s="35"/>
      <c r="H10" s="35"/>
      <c r="I10" s="35"/>
      <c r="J10" s="35"/>
      <c r="K10" s="35" t="s">
        <v>694</v>
      </c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 t="s">
        <v>704</v>
      </c>
      <c r="AC10" s="35"/>
      <c r="AD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</row>
    <row r="11" spans="1:154" ht="15.75" customHeight="1">
      <c r="A11" s="35"/>
      <c r="B11" s="35" t="s">
        <v>696</v>
      </c>
      <c r="C11" s="35"/>
      <c r="D11" s="35" t="s">
        <v>950</v>
      </c>
      <c r="E11" s="35"/>
      <c r="F11" s="35"/>
      <c r="G11" s="35"/>
      <c r="H11" s="35"/>
      <c r="I11" s="35"/>
      <c r="J11" s="35"/>
      <c r="K11" s="35" t="s">
        <v>694</v>
      </c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 t="s">
        <v>704</v>
      </c>
      <c r="AC11" s="35"/>
      <c r="AD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  <c r="CW11" s="35"/>
      <c r="CX11" s="35"/>
      <c r="CY11" s="35"/>
      <c r="CZ11" s="35"/>
      <c r="DA11" s="35"/>
      <c r="DB11" s="35"/>
      <c r="DC11" s="35"/>
      <c r="DD11" s="35"/>
      <c r="DE11" s="35"/>
      <c r="DF11" s="35"/>
      <c r="DG11" s="35"/>
      <c r="DH11" s="35"/>
      <c r="DI11" s="35"/>
      <c r="DJ11" s="35"/>
      <c r="DK11" s="35"/>
      <c r="DL11" s="35"/>
      <c r="DM11" s="35"/>
      <c r="DN11" s="35"/>
      <c r="DO11" s="35"/>
      <c r="DP11" s="35"/>
      <c r="DQ11" s="35"/>
      <c r="DR11" s="35"/>
      <c r="DS11" s="35"/>
      <c r="DT11" s="35"/>
      <c r="DU11" s="35"/>
      <c r="DV11" s="35"/>
      <c r="DW11" s="35"/>
      <c r="DX11" s="35"/>
      <c r="DY11" s="35"/>
      <c r="DZ11" s="35"/>
      <c r="EA11" s="35"/>
      <c r="EB11" s="35"/>
      <c r="EC11" s="35"/>
      <c r="ED11" s="35"/>
      <c r="EE11" s="35"/>
      <c r="EF11" s="35"/>
      <c r="EG11" s="35"/>
      <c r="EH11" s="35"/>
      <c r="EI11" s="35"/>
      <c r="EJ11" s="35"/>
      <c r="EK11" s="35"/>
      <c r="EL11" s="35"/>
      <c r="EM11" s="35"/>
      <c r="EN11" s="35"/>
      <c r="EO11" s="35"/>
      <c r="EP11" s="35"/>
      <c r="EQ11" s="35"/>
      <c r="ER11" s="35"/>
      <c r="ES11" s="35"/>
      <c r="ET11" s="35"/>
      <c r="EU11" s="35"/>
      <c r="EV11" s="35"/>
      <c r="EW11" s="35"/>
      <c r="EX11" s="35"/>
    </row>
    <row r="12" spans="1:154" ht="15.75" customHeight="1">
      <c r="A12" s="35"/>
      <c r="B12" s="35" t="s">
        <v>693</v>
      </c>
      <c r="C12" s="35"/>
      <c r="D12" s="35" t="s">
        <v>977</v>
      </c>
      <c r="E12" s="35"/>
      <c r="F12" s="35"/>
      <c r="G12" s="35"/>
      <c r="H12" s="35"/>
      <c r="I12" s="35"/>
      <c r="J12" s="35"/>
      <c r="K12" s="35" t="s">
        <v>694</v>
      </c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9">
        <v>59</v>
      </c>
      <c r="W12" s="35"/>
      <c r="X12" s="35"/>
      <c r="Y12" s="35"/>
      <c r="Z12" s="35"/>
      <c r="AA12" s="35"/>
      <c r="AB12" s="35" t="s">
        <v>671</v>
      </c>
      <c r="AC12" s="35"/>
      <c r="AD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5"/>
      <c r="BB12" s="35"/>
      <c r="BC12" s="35"/>
      <c r="BD12" s="35"/>
      <c r="BE12" s="35"/>
      <c r="BF12" s="35"/>
      <c r="BG12" s="35"/>
      <c r="BH12" s="35"/>
      <c r="BI12" s="35"/>
      <c r="BJ12" s="35"/>
      <c r="BK12" s="35"/>
      <c r="BL12" s="35"/>
      <c r="BM12" s="35"/>
      <c r="BN12" s="35"/>
      <c r="BO12" s="35"/>
      <c r="BP12" s="35"/>
      <c r="BQ12" s="35"/>
      <c r="BR12" s="35"/>
      <c r="BS12" s="35"/>
      <c r="BT12" s="35"/>
      <c r="BU12" s="35"/>
      <c r="BV12" s="35"/>
      <c r="BW12" s="35"/>
      <c r="BX12" s="35"/>
      <c r="BY12" s="35"/>
      <c r="BZ12" s="35"/>
      <c r="CA12" s="35"/>
      <c r="CB12" s="35"/>
      <c r="CC12" s="35"/>
      <c r="CD12" s="35"/>
      <c r="CE12" s="35"/>
      <c r="CF12" s="35"/>
      <c r="CG12" s="35"/>
      <c r="CH12" s="35"/>
      <c r="CI12" s="35"/>
      <c r="CJ12" s="35"/>
      <c r="CK12" s="35"/>
      <c r="CL12" s="35"/>
      <c r="CM12" s="35"/>
      <c r="CN12" s="35"/>
      <c r="CO12" s="35"/>
      <c r="CP12" s="35"/>
      <c r="CQ12" s="35"/>
      <c r="CR12" s="35"/>
      <c r="CS12" s="35"/>
      <c r="CT12" s="35"/>
      <c r="CU12" s="35"/>
      <c r="CV12" s="35"/>
      <c r="CW12" s="35"/>
      <c r="CX12" s="35"/>
      <c r="CY12" s="35"/>
      <c r="CZ12" s="35"/>
      <c r="DA12" s="35"/>
      <c r="DB12" s="35"/>
      <c r="DC12" s="35"/>
      <c r="DD12" s="35"/>
      <c r="DE12" s="35"/>
      <c r="DF12" s="35"/>
      <c r="DG12" s="35"/>
      <c r="DH12" s="35"/>
      <c r="DI12" s="35"/>
      <c r="DJ12" s="35"/>
      <c r="DK12" s="35"/>
      <c r="DL12" s="35"/>
      <c r="DM12" s="35"/>
      <c r="DN12" s="35"/>
      <c r="DO12" s="35"/>
      <c r="DP12" s="35"/>
      <c r="DQ12" s="35"/>
      <c r="DR12" s="35"/>
      <c r="DS12" s="35"/>
      <c r="DT12" s="35"/>
      <c r="DU12" s="35"/>
      <c r="DV12" s="35"/>
      <c r="DW12" s="35"/>
      <c r="DX12" s="35"/>
      <c r="DY12" s="35"/>
      <c r="DZ12" s="35"/>
      <c r="EA12" s="35"/>
      <c r="EB12" s="35"/>
      <c r="EC12" s="35"/>
      <c r="ED12" s="35"/>
      <c r="EE12" s="35"/>
      <c r="EF12" s="35"/>
      <c r="EG12" s="35"/>
      <c r="EH12" s="35"/>
      <c r="EI12" s="35"/>
      <c r="EJ12" s="35"/>
      <c r="EK12" s="35"/>
      <c r="EL12" s="35"/>
      <c r="EM12" s="35"/>
      <c r="EN12" s="35"/>
      <c r="EO12" s="35"/>
      <c r="EP12" s="35"/>
      <c r="EQ12" s="35"/>
      <c r="ER12" s="35"/>
      <c r="ES12" s="35"/>
      <c r="ET12" s="35"/>
      <c r="EU12" s="35"/>
      <c r="EV12" s="35"/>
      <c r="EW12" s="35"/>
      <c r="EX12" s="35"/>
    </row>
    <row r="13" spans="1:154" ht="15.75" customHeight="1">
      <c r="A13" s="35"/>
      <c r="B13" s="35" t="s">
        <v>695</v>
      </c>
      <c r="C13" s="35"/>
      <c r="D13" s="35" t="s">
        <v>977</v>
      </c>
      <c r="E13" s="35"/>
      <c r="F13" s="35"/>
      <c r="G13" s="35"/>
      <c r="H13" s="35"/>
      <c r="I13" s="35"/>
      <c r="J13" s="35"/>
      <c r="K13" s="35" t="s">
        <v>694</v>
      </c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9">
        <v>12</v>
      </c>
      <c r="W13" s="35"/>
      <c r="X13" s="35"/>
      <c r="Y13" s="35"/>
      <c r="Z13" s="35"/>
      <c r="AA13" s="35"/>
      <c r="AB13" s="35" t="s">
        <v>671</v>
      </c>
      <c r="AC13" s="35"/>
      <c r="AD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  <c r="AY13" s="35"/>
      <c r="AZ13" s="35"/>
      <c r="BA13" s="35"/>
      <c r="BB13" s="35"/>
      <c r="BC13" s="35"/>
      <c r="BD13" s="35"/>
      <c r="BE13" s="35"/>
      <c r="BF13" s="35"/>
      <c r="BG13" s="35"/>
      <c r="BH13" s="35"/>
      <c r="BI13" s="35"/>
      <c r="BJ13" s="35"/>
      <c r="BK13" s="35"/>
      <c r="BL13" s="35"/>
      <c r="BM13" s="35"/>
      <c r="BN13" s="35"/>
      <c r="BO13" s="35"/>
      <c r="BP13" s="35"/>
      <c r="BQ13" s="35"/>
      <c r="BR13" s="35"/>
      <c r="BS13" s="35"/>
      <c r="BT13" s="35"/>
      <c r="BU13" s="35"/>
      <c r="BV13" s="35"/>
      <c r="BW13" s="35"/>
      <c r="BX13" s="35"/>
      <c r="BY13" s="35"/>
      <c r="BZ13" s="35"/>
      <c r="CA13" s="35"/>
      <c r="CB13" s="35"/>
      <c r="CC13" s="35"/>
      <c r="CD13" s="35"/>
      <c r="CE13" s="35"/>
      <c r="CF13" s="35"/>
      <c r="CG13" s="35"/>
      <c r="CH13" s="35"/>
      <c r="CI13" s="35"/>
      <c r="CJ13" s="35"/>
      <c r="CK13" s="35"/>
      <c r="CL13" s="35"/>
      <c r="CM13" s="35"/>
      <c r="CN13" s="35"/>
      <c r="CO13" s="35"/>
      <c r="CP13" s="35"/>
      <c r="CQ13" s="35"/>
      <c r="CR13" s="35"/>
      <c r="CS13" s="35"/>
      <c r="CT13" s="35"/>
      <c r="CU13" s="35"/>
      <c r="CV13" s="35"/>
      <c r="CW13" s="35"/>
      <c r="CX13" s="35"/>
      <c r="CY13" s="35"/>
      <c r="CZ13" s="35"/>
      <c r="DA13" s="35"/>
      <c r="DB13" s="35"/>
      <c r="DC13" s="35"/>
      <c r="DD13" s="35"/>
      <c r="DE13" s="35"/>
      <c r="DF13" s="35"/>
      <c r="DG13" s="35"/>
      <c r="DH13" s="35"/>
      <c r="DI13" s="35"/>
      <c r="DJ13" s="35"/>
      <c r="DK13" s="35"/>
      <c r="DL13" s="35"/>
      <c r="DM13" s="35"/>
      <c r="DN13" s="35"/>
      <c r="DO13" s="35"/>
      <c r="DP13" s="35"/>
      <c r="DQ13" s="35"/>
      <c r="DR13" s="35"/>
      <c r="DS13" s="35"/>
      <c r="DT13" s="35"/>
      <c r="DU13" s="35"/>
      <c r="DV13" s="35"/>
      <c r="DW13" s="35"/>
      <c r="DX13" s="35"/>
      <c r="DY13" s="35"/>
      <c r="DZ13" s="35"/>
      <c r="EA13" s="35"/>
      <c r="EB13" s="35"/>
      <c r="EC13" s="35"/>
      <c r="ED13" s="35"/>
      <c r="EE13" s="35"/>
      <c r="EF13" s="35"/>
      <c r="EG13" s="35"/>
      <c r="EH13" s="35"/>
      <c r="EI13" s="35"/>
      <c r="EJ13" s="35"/>
      <c r="EK13" s="35"/>
      <c r="EL13" s="35"/>
      <c r="EM13" s="35"/>
      <c r="EN13" s="35"/>
      <c r="EO13" s="35"/>
      <c r="EP13" s="35"/>
      <c r="EQ13" s="35"/>
      <c r="ER13" s="35"/>
      <c r="ES13" s="35"/>
      <c r="ET13" s="35"/>
      <c r="EU13" s="35"/>
      <c r="EV13" s="35"/>
      <c r="EW13" s="35"/>
      <c r="EX13" s="35"/>
    </row>
    <row r="14" spans="1:154" ht="15.75" customHeight="1">
      <c r="A14" s="35"/>
      <c r="B14" s="35" t="s">
        <v>696</v>
      </c>
      <c r="C14" s="35"/>
      <c r="D14" s="35" t="s">
        <v>977</v>
      </c>
      <c r="E14" s="35"/>
      <c r="F14" s="35"/>
      <c r="G14" s="35"/>
      <c r="H14" s="35"/>
      <c r="I14" s="35"/>
      <c r="J14" s="35"/>
      <c r="K14" s="35" t="s">
        <v>694</v>
      </c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9">
        <v>29</v>
      </c>
      <c r="W14" s="35"/>
      <c r="X14" s="35"/>
      <c r="Y14" s="35"/>
      <c r="Z14" s="35"/>
      <c r="AA14" s="35"/>
      <c r="AB14" s="35" t="s">
        <v>671</v>
      </c>
      <c r="AC14" s="35"/>
      <c r="AD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  <c r="AY14" s="35"/>
      <c r="AZ14" s="35"/>
      <c r="BA14" s="35"/>
      <c r="BB14" s="35"/>
      <c r="BC14" s="35"/>
      <c r="BD14" s="35"/>
      <c r="BE14" s="35"/>
      <c r="BF14" s="35"/>
      <c r="BG14" s="35"/>
      <c r="BH14" s="35"/>
      <c r="BI14" s="35"/>
      <c r="BJ14" s="35"/>
      <c r="BK14" s="35"/>
      <c r="BL14" s="35"/>
      <c r="BM14" s="35"/>
      <c r="BN14" s="35"/>
      <c r="BO14" s="35"/>
      <c r="BP14" s="35"/>
      <c r="BQ14" s="35"/>
      <c r="BR14" s="35"/>
      <c r="BS14" s="35"/>
      <c r="BT14" s="35"/>
      <c r="BU14" s="35"/>
      <c r="BV14" s="35"/>
      <c r="BW14" s="35"/>
      <c r="BX14" s="35"/>
      <c r="BY14" s="35"/>
      <c r="BZ14" s="35"/>
      <c r="CA14" s="35"/>
      <c r="CB14" s="35"/>
      <c r="CC14" s="35"/>
      <c r="CD14" s="35"/>
      <c r="CE14" s="35"/>
      <c r="CF14" s="35"/>
      <c r="CG14" s="35"/>
      <c r="CH14" s="35"/>
      <c r="CI14" s="35"/>
      <c r="CJ14" s="35"/>
      <c r="CK14" s="35"/>
      <c r="CL14" s="35"/>
      <c r="CM14" s="35"/>
      <c r="CN14" s="35"/>
      <c r="CO14" s="35"/>
      <c r="CP14" s="35"/>
      <c r="CQ14" s="35"/>
      <c r="CR14" s="35"/>
      <c r="CS14" s="35"/>
      <c r="CT14" s="35"/>
      <c r="CU14" s="35"/>
      <c r="CV14" s="35"/>
      <c r="CW14" s="35"/>
      <c r="CX14" s="35"/>
      <c r="CY14" s="35"/>
      <c r="CZ14" s="35"/>
      <c r="DA14" s="35"/>
      <c r="DB14" s="35"/>
      <c r="DC14" s="35"/>
      <c r="DD14" s="35"/>
      <c r="DE14" s="35"/>
      <c r="DF14" s="35"/>
      <c r="DG14" s="35"/>
      <c r="DH14" s="35"/>
      <c r="DI14" s="35"/>
      <c r="DJ14" s="35"/>
      <c r="DK14" s="35"/>
      <c r="DL14" s="35"/>
      <c r="DM14" s="35"/>
      <c r="DN14" s="35"/>
      <c r="DO14" s="35"/>
      <c r="DP14" s="35"/>
      <c r="DQ14" s="35"/>
      <c r="DR14" s="35"/>
      <c r="DS14" s="35"/>
      <c r="DT14" s="35"/>
      <c r="DU14" s="35"/>
      <c r="DV14" s="35"/>
      <c r="DW14" s="35"/>
      <c r="DX14" s="35"/>
      <c r="DY14" s="35"/>
      <c r="DZ14" s="35"/>
      <c r="EA14" s="35"/>
      <c r="EB14" s="35"/>
      <c r="EC14" s="35"/>
      <c r="ED14" s="35"/>
      <c r="EE14" s="35"/>
      <c r="EF14" s="35"/>
      <c r="EG14" s="35"/>
      <c r="EH14" s="35"/>
      <c r="EI14" s="35"/>
      <c r="EJ14" s="35"/>
      <c r="EK14" s="35"/>
      <c r="EL14" s="35"/>
      <c r="EM14" s="35"/>
      <c r="EN14" s="35"/>
      <c r="EO14" s="35"/>
      <c r="EP14" s="35"/>
      <c r="EQ14" s="35"/>
      <c r="ER14" s="35"/>
      <c r="ES14" s="35"/>
      <c r="ET14" s="35"/>
      <c r="EU14" s="35"/>
      <c r="EV14" s="35"/>
      <c r="EW14" s="35"/>
      <c r="EX14" s="35"/>
    </row>
    <row r="15" spans="1:154" ht="15.75" customHeight="1">
      <c r="A15" s="35"/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  <c r="BI15" s="35"/>
      <c r="BJ15" s="35"/>
      <c r="BK15" s="35"/>
      <c r="BL15" s="35"/>
      <c r="BM15" s="35"/>
      <c r="BN15" s="35"/>
      <c r="BO15" s="35"/>
      <c r="BP15" s="35"/>
      <c r="BQ15" s="35"/>
      <c r="BR15" s="35"/>
      <c r="BS15" s="35"/>
      <c r="BT15" s="35"/>
      <c r="BU15" s="35"/>
      <c r="BV15" s="35"/>
      <c r="BW15" s="35"/>
      <c r="BX15" s="35"/>
      <c r="BY15" s="35"/>
      <c r="BZ15" s="35"/>
      <c r="CA15" s="35"/>
      <c r="CB15" s="35"/>
      <c r="CC15" s="35"/>
      <c r="CD15" s="35"/>
      <c r="CE15" s="35"/>
      <c r="CF15" s="35"/>
      <c r="CG15" s="35"/>
      <c r="CH15" s="35"/>
      <c r="CI15" s="35"/>
      <c r="CJ15" s="35"/>
      <c r="CK15" s="35"/>
      <c r="CL15" s="35"/>
      <c r="CM15" s="35"/>
      <c r="CN15" s="35"/>
      <c r="CO15" s="35"/>
      <c r="CP15" s="35"/>
      <c r="CQ15" s="35"/>
      <c r="CR15" s="35"/>
      <c r="CS15" s="35"/>
      <c r="CT15" s="35"/>
      <c r="CU15" s="35"/>
      <c r="CV15" s="35"/>
      <c r="CW15" s="35"/>
      <c r="CX15" s="35"/>
      <c r="CY15" s="35"/>
      <c r="CZ15" s="35"/>
      <c r="DA15" s="35"/>
      <c r="DB15" s="35"/>
      <c r="DC15" s="35"/>
      <c r="DD15" s="35"/>
      <c r="DE15" s="35"/>
      <c r="DF15" s="35"/>
      <c r="DG15" s="35"/>
      <c r="DH15" s="35"/>
      <c r="DI15" s="35"/>
      <c r="DJ15" s="35"/>
      <c r="DK15" s="35"/>
      <c r="DL15" s="35"/>
      <c r="DM15" s="35"/>
      <c r="DN15" s="35"/>
      <c r="DO15" s="35"/>
      <c r="DP15" s="35"/>
      <c r="DQ15" s="35"/>
      <c r="DR15" s="35"/>
      <c r="DS15" s="35"/>
      <c r="DT15" s="35"/>
      <c r="DU15" s="35"/>
      <c r="DV15" s="35"/>
      <c r="DW15" s="35"/>
      <c r="DX15" s="35"/>
      <c r="DY15" s="35"/>
      <c r="DZ15" s="35"/>
      <c r="EA15" s="35"/>
      <c r="EB15" s="35"/>
      <c r="EC15" s="35"/>
      <c r="ED15" s="35"/>
      <c r="EE15" s="35"/>
      <c r="EF15" s="35"/>
      <c r="EG15" s="35"/>
      <c r="EH15" s="35"/>
      <c r="EI15" s="35"/>
      <c r="EJ15" s="35"/>
      <c r="EK15" s="35"/>
      <c r="EL15" s="35"/>
      <c r="EM15" s="35"/>
      <c r="EN15" s="35"/>
      <c r="EO15" s="35"/>
      <c r="EP15" s="35"/>
      <c r="EQ15" s="35"/>
      <c r="ER15" s="35"/>
      <c r="ES15" s="35"/>
      <c r="ET15" s="35"/>
      <c r="EU15" s="35"/>
      <c r="EV15" s="35"/>
      <c r="EW15" s="35"/>
      <c r="EX15" s="35"/>
    </row>
    <row r="16" spans="1:154" ht="15.75" customHeight="1">
      <c r="A16" s="35"/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5"/>
      <c r="AW16" s="35"/>
      <c r="AX16" s="35"/>
      <c r="AY16" s="35"/>
      <c r="AZ16" s="35"/>
      <c r="BA16" s="35"/>
      <c r="BB16" s="35"/>
      <c r="BC16" s="35"/>
      <c r="BD16" s="35"/>
      <c r="BE16" s="35"/>
      <c r="BF16" s="35"/>
      <c r="BG16" s="35"/>
      <c r="BH16" s="35"/>
      <c r="BI16" s="35"/>
      <c r="BJ16" s="35"/>
      <c r="BK16" s="35"/>
      <c r="BL16" s="35"/>
      <c r="BM16" s="35"/>
      <c r="BN16" s="35"/>
      <c r="BO16" s="35"/>
      <c r="BP16" s="35"/>
      <c r="BQ16" s="35"/>
      <c r="BR16" s="35"/>
      <c r="BS16" s="35"/>
      <c r="BT16" s="35"/>
      <c r="BU16" s="35"/>
      <c r="BV16" s="35"/>
      <c r="BW16" s="35"/>
      <c r="BX16" s="35"/>
      <c r="BY16" s="35"/>
      <c r="BZ16" s="35"/>
      <c r="CA16" s="35"/>
      <c r="CB16" s="35"/>
      <c r="CC16" s="35"/>
      <c r="CD16" s="35"/>
      <c r="CE16" s="35"/>
      <c r="CF16" s="35"/>
      <c r="CG16" s="35"/>
      <c r="CH16" s="35"/>
      <c r="CI16" s="35"/>
      <c r="CJ16" s="35"/>
      <c r="CK16" s="35"/>
      <c r="CL16" s="35"/>
      <c r="CM16" s="35"/>
      <c r="CN16" s="35"/>
      <c r="CO16" s="35"/>
      <c r="CP16" s="35"/>
      <c r="CQ16" s="35"/>
      <c r="CR16" s="35"/>
      <c r="CS16" s="35"/>
      <c r="CT16" s="35"/>
      <c r="CU16" s="35"/>
      <c r="CV16" s="35"/>
      <c r="CW16" s="35"/>
      <c r="CX16" s="35"/>
      <c r="CY16" s="35"/>
      <c r="CZ16" s="35"/>
      <c r="DA16" s="35"/>
      <c r="DB16" s="35"/>
      <c r="DC16" s="35"/>
      <c r="DD16" s="35"/>
      <c r="DE16" s="35"/>
      <c r="DF16" s="35"/>
      <c r="DG16" s="35"/>
      <c r="DH16" s="35"/>
      <c r="DI16" s="35"/>
      <c r="DJ16" s="35"/>
      <c r="DK16" s="35"/>
      <c r="DL16" s="35"/>
      <c r="DM16" s="35"/>
      <c r="DN16" s="35"/>
      <c r="DO16" s="35"/>
      <c r="DP16" s="35"/>
      <c r="DQ16" s="35"/>
      <c r="DR16" s="35"/>
      <c r="DS16" s="35"/>
      <c r="DT16" s="35"/>
      <c r="DU16" s="35"/>
      <c r="DV16" s="35"/>
      <c r="DW16" s="35"/>
      <c r="DX16" s="35"/>
      <c r="DY16" s="35"/>
      <c r="DZ16" s="35"/>
      <c r="EA16" s="35"/>
      <c r="EB16" s="35"/>
      <c r="EC16" s="35"/>
      <c r="ED16" s="35"/>
      <c r="EE16" s="35"/>
      <c r="EF16" s="35"/>
      <c r="EG16" s="35"/>
      <c r="EH16" s="35"/>
      <c r="EI16" s="35"/>
      <c r="EJ16" s="35"/>
      <c r="EK16" s="35"/>
      <c r="EL16" s="35"/>
      <c r="EM16" s="35"/>
      <c r="EN16" s="35"/>
      <c r="EO16" s="35"/>
      <c r="EP16" s="35"/>
      <c r="EQ16" s="35"/>
      <c r="ER16" s="35"/>
      <c r="ES16" s="35"/>
      <c r="ET16" s="35"/>
      <c r="EU16" s="35"/>
      <c r="EV16" s="35"/>
      <c r="EW16" s="35"/>
      <c r="EX16" s="35"/>
    </row>
    <row r="17" spans="1:15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spans="1:15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spans="1:15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spans="1:15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spans="1:15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spans="1:15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spans="1:15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spans="1:15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spans="1:1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spans="1:15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M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69" width="14.42578125" customWidth="1"/>
  </cols>
  <sheetData>
    <row r="1" spans="1:169" ht="15.75" customHeight="1">
      <c r="A1" s="13"/>
      <c r="B1" s="41" t="s">
        <v>201</v>
      </c>
      <c r="C1" s="42"/>
      <c r="D1" s="42"/>
      <c r="E1" s="42"/>
      <c r="F1" s="42"/>
      <c r="G1" s="42"/>
      <c r="H1" s="4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4"/>
      <c r="FD1" s="14"/>
      <c r="FE1" s="14"/>
      <c r="FF1" s="14"/>
      <c r="FG1" s="14"/>
      <c r="FH1" s="14"/>
      <c r="FI1" s="14"/>
      <c r="FJ1" s="14"/>
      <c r="FK1" s="14"/>
      <c r="FL1" s="14"/>
      <c r="FM1" s="14"/>
    </row>
    <row r="2" spans="1:169" ht="15.75" customHeight="1">
      <c r="A2" s="6"/>
      <c r="B2" s="6"/>
      <c r="C2" s="6"/>
      <c r="D2" s="6"/>
      <c r="E2" s="6"/>
      <c r="F2" s="6"/>
      <c r="G2" s="6"/>
      <c r="H2" s="6"/>
      <c r="I2" s="6"/>
      <c r="J2" s="17" t="e">
        <f>VLOOKUP($E$3,_MasterData!B4:D1000,3,FALSE)</f>
        <v>#N/A</v>
      </c>
      <c r="K2" s="17"/>
      <c r="L2" s="6"/>
      <c r="M2" s="6"/>
      <c r="N2" s="6"/>
      <c r="O2" s="6"/>
    </row>
    <row r="3" spans="1:169" ht="15.75" customHeight="1">
      <c r="A3" s="18"/>
      <c r="B3" s="7" t="s">
        <v>3</v>
      </c>
      <c r="C3" s="19" t="s">
        <v>60</v>
      </c>
      <c r="D3" s="7" t="s">
        <v>4</v>
      </c>
      <c r="E3" s="19" t="s">
        <v>63</v>
      </c>
      <c r="F3" s="7" t="s">
        <v>366</v>
      </c>
      <c r="G3" s="20" t="s">
        <v>373</v>
      </c>
      <c r="H3" s="7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  <c r="EY3" s="21"/>
      <c r="EZ3" s="21"/>
      <c r="FA3" s="21"/>
      <c r="FB3" s="21"/>
      <c r="FC3" s="21"/>
      <c r="FD3" s="21"/>
      <c r="FE3" s="21"/>
      <c r="FF3" s="21"/>
      <c r="FG3" s="21"/>
      <c r="FH3" s="21"/>
      <c r="FI3" s="21"/>
      <c r="FJ3" s="21"/>
      <c r="FK3" s="21"/>
      <c r="FL3" s="21"/>
      <c r="FM3" s="21"/>
    </row>
    <row r="4" spans="1:169" ht="15.75" customHeight="1">
      <c r="A4" s="22"/>
      <c r="B4" s="22" t="str">
        <f ca="1">IFERROR(__xludf.DUMMYFUNCTION("IF(C3="""","""",Transpose(IMPORTRANGE('_Settings'!$B$3,C3&amp;""!A4:A1000"")))"),"CheckDashboardPM")</f>
        <v>CheckDashboardPM</v>
      </c>
      <c r="C4" s="22" t="s">
        <v>63</v>
      </c>
      <c r="D4" s="22" t="s">
        <v>101</v>
      </c>
      <c r="E4" s="22" t="s">
        <v>223</v>
      </c>
      <c r="F4" s="22" t="s">
        <v>548</v>
      </c>
      <c r="G4" s="22" t="s">
        <v>507</v>
      </c>
      <c r="H4" s="22" t="s">
        <v>509</v>
      </c>
      <c r="I4" s="22" t="s">
        <v>512</v>
      </c>
      <c r="J4" s="22" t="s">
        <v>513</v>
      </c>
      <c r="K4" s="22" t="s">
        <v>514</v>
      </c>
      <c r="L4" s="22"/>
      <c r="M4" s="22"/>
      <c r="N4" s="22"/>
      <c r="O4" s="22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  <c r="EX4" s="23"/>
      <c r="EY4" s="23"/>
      <c r="EZ4" s="23"/>
      <c r="FA4" s="23"/>
      <c r="FB4" s="23"/>
      <c r="FC4" s="23"/>
      <c r="FD4" s="23"/>
      <c r="FE4" s="23"/>
      <c r="FF4" s="23"/>
      <c r="FG4" s="23"/>
      <c r="FH4" s="23"/>
      <c r="FI4" s="23"/>
      <c r="FJ4" s="23"/>
      <c r="FK4" s="23"/>
      <c r="FL4" s="23"/>
      <c r="FM4" s="23"/>
    </row>
    <row r="5" spans="1:169" ht="15.75" customHeight="1">
      <c r="A5" s="24" t="str">
        <f ca="1">IFERROR(__xludf.DUMMYFUNCTION("TRANSPOSE(IMPORTRANGE(VLOOKUP($E$3,IMPORTRANGE('_Settings'!$B$3,$C$3&amp;""!A4:B1000""),2,FALSE),$G$3&amp;""!A4:A1000""))"),"")</f>
        <v/>
      </c>
      <c r="B5" s="25" t="s">
        <v>588</v>
      </c>
      <c r="C5" s="25" t="s">
        <v>552</v>
      </c>
      <c r="D5" s="25" t="s">
        <v>839</v>
      </c>
      <c r="E5" s="25" t="s">
        <v>630</v>
      </c>
      <c r="F5" s="29" t="s">
        <v>832</v>
      </c>
      <c r="G5" s="25" t="s">
        <v>840</v>
      </c>
      <c r="H5" s="25" t="s">
        <v>841</v>
      </c>
      <c r="I5" s="25" t="s">
        <v>842</v>
      </c>
      <c r="J5" s="25" t="s">
        <v>843</v>
      </c>
      <c r="K5" s="25" t="s">
        <v>844</v>
      </c>
      <c r="L5" s="25" t="s">
        <v>845</v>
      </c>
      <c r="M5" s="25" t="s">
        <v>846</v>
      </c>
      <c r="N5" s="25" t="s">
        <v>847</v>
      </c>
      <c r="O5" s="25" t="s">
        <v>825</v>
      </c>
      <c r="P5" s="25" t="s">
        <v>848</v>
      </c>
      <c r="Q5" s="25" t="s">
        <v>849</v>
      </c>
      <c r="R5" s="25" t="s">
        <v>850</v>
      </c>
      <c r="S5" s="25" t="s">
        <v>587</v>
      </c>
      <c r="T5" s="26" t="s">
        <v>674</v>
      </c>
      <c r="U5" s="26" t="s">
        <v>768</v>
      </c>
      <c r="V5" s="26" t="s">
        <v>108</v>
      </c>
      <c r="W5" s="26" t="s">
        <v>851</v>
      </c>
      <c r="X5" s="26" t="s">
        <v>852</v>
      </c>
      <c r="Y5" s="26" t="s">
        <v>737</v>
      </c>
      <c r="Z5" s="26" t="s">
        <v>853</v>
      </c>
      <c r="AA5" s="26" t="s">
        <v>854</v>
      </c>
      <c r="AB5" s="26" t="s">
        <v>855</v>
      </c>
      <c r="AC5" s="26" t="s">
        <v>856</v>
      </c>
      <c r="AD5" s="26" t="s">
        <v>857</v>
      </c>
      <c r="AE5" s="26" t="s">
        <v>858</v>
      </c>
      <c r="AF5" s="26" t="s">
        <v>859</v>
      </c>
      <c r="AG5" s="26" t="s">
        <v>860</v>
      </c>
      <c r="AH5" s="26" t="s">
        <v>861</v>
      </c>
      <c r="AI5" s="26" t="s">
        <v>862</v>
      </c>
      <c r="AJ5" s="26" t="s">
        <v>863</v>
      </c>
      <c r="AK5" s="26" t="s">
        <v>865</v>
      </c>
      <c r="AL5" s="26" t="s">
        <v>784</v>
      </c>
      <c r="AM5" s="26" t="s">
        <v>867</v>
      </c>
      <c r="AN5" s="26" t="s">
        <v>570</v>
      </c>
      <c r="AO5" s="26" t="s">
        <v>869</v>
      </c>
      <c r="AP5" s="26" t="s">
        <v>870</v>
      </c>
      <c r="AQ5" s="26" t="s">
        <v>780</v>
      </c>
      <c r="AR5" s="26" t="s">
        <v>872</v>
      </c>
      <c r="AS5" s="26" t="s">
        <v>875</v>
      </c>
      <c r="AT5" s="26" t="s">
        <v>733</v>
      </c>
      <c r="AU5" s="26" t="s">
        <v>735</v>
      </c>
      <c r="AV5" s="26" t="s">
        <v>878</v>
      </c>
      <c r="AW5" s="26" t="s">
        <v>879</v>
      </c>
      <c r="AX5" s="26" t="s">
        <v>880</v>
      </c>
      <c r="AY5" s="26" t="s">
        <v>882</v>
      </c>
      <c r="AZ5" s="26" t="s">
        <v>883</v>
      </c>
      <c r="BA5" s="26" t="s">
        <v>884</v>
      </c>
      <c r="BB5" s="26" t="s">
        <v>886</v>
      </c>
      <c r="BC5" s="26" t="s">
        <v>887</v>
      </c>
      <c r="BD5" s="26" t="s">
        <v>888</v>
      </c>
      <c r="BE5" s="26" t="s">
        <v>889</v>
      </c>
      <c r="BF5" s="26" t="s">
        <v>890</v>
      </c>
      <c r="BG5" s="26" t="s">
        <v>891</v>
      </c>
      <c r="BH5" s="26" t="s">
        <v>892</v>
      </c>
      <c r="BI5" s="26" t="s">
        <v>893</v>
      </c>
      <c r="BJ5" s="26" t="s">
        <v>894</v>
      </c>
      <c r="BK5" s="26" t="s">
        <v>686</v>
      </c>
      <c r="BL5" s="26" t="s">
        <v>895</v>
      </c>
      <c r="BM5" s="26" t="s">
        <v>896</v>
      </c>
      <c r="BN5" s="26" t="s">
        <v>897</v>
      </c>
      <c r="BO5" s="26" t="s">
        <v>898</v>
      </c>
      <c r="BP5" s="26" t="s">
        <v>899</v>
      </c>
      <c r="BQ5" s="26" t="s">
        <v>754</v>
      </c>
      <c r="BR5" s="26" t="s">
        <v>577</v>
      </c>
      <c r="BS5" s="26" t="s">
        <v>901</v>
      </c>
      <c r="BT5" s="26" t="s">
        <v>902</v>
      </c>
      <c r="BU5" s="26" t="s">
        <v>903</v>
      </c>
      <c r="BV5" s="26" t="s">
        <v>779</v>
      </c>
      <c r="BW5" s="26" t="s">
        <v>904</v>
      </c>
      <c r="BX5" s="26" t="s">
        <v>905</v>
      </c>
      <c r="BY5" s="26" t="s">
        <v>907</v>
      </c>
      <c r="BZ5" s="26" t="s">
        <v>908</v>
      </c>
      <c r="CA5" s="26" t="s">
        <v>909</v>
      </c>
      <c r="CB5" s="26" t="s">
        <v>778</v>
      </c>
      <c r="CC5" s="26" t="s">
        <v>910</v>
      </c>
      <c r="CD5" s="26" t="s">
        <v>911</v>
      </c>
      <c r="CE5" s="26" t="s">
        <v>912</v>
      </c>
      <c r="CF5" s="26" t="s">
        <v>913</v>
      </c>
      <c r="CG5" s="26" t="s">
        <v>914</v>
      </c>
      <c r="CH5" s="26" t="s">
        <v>915</v>
      </c>
      <c r="CI5" s="26" t="s">
        <v>916</v>
      </c>
      <c r="CJ5" s="26" t="s">
        <v>917</v>
      </c>
      <c r="CK5" s="26" t="s">
        <v>918</v>
      </c>
      <c r="CL5" s="26" t="s">
        <v>919</v>
      </c>
      <c r="CM5" s="26" t="s">
        <v>920</v>
      </c>
      <c r="CN5" s="26" t="s">
        <v>921</v>
      </c>
      <c r="CO5" s="26" t="s">
        <v>922</v>
      </c>
      <c r="CP5" s="26" t="s">
        <v>785</v>
      </c>
      <c r="CQ5" s="26" t="s">
        <v>788</v>
      </c>
      <c r="CR5" s="26" t="s">
        <v>923</v>
      </c>
      <c r="CS5" s="26" t="s">
        <v>924</v>
      </c>
      <c r="CT5" s="26" t="s">
        <v>925</v>
      </c>
      <c r="CU5" s="26" t="s">
        <v>739</v>
      </c>
      <c r="CV5" s="26" t="s">
        <v>740</v>
      </c>
      <c r="CW5" s="26" t="s">
        <v>741</v>
      </c>
      <c r="CX5" s="26" t="s">
        <v>742</v>
      </c>
      <c r="CY5" s="26" t="s">
        <v>792</v>
      </c>
      <c r="CZ5" s="26" t="s">
        <v>926</v>
      </c>
      <c r="DA5" s="26" t="s">
        <v>927</v>
      </c>
      <c r="DB5" s="26" t="s">
        <v>928</v>
      </c>
      <c r="DC5" s="26" t="s">
        <v>929</v>
      </c>
      <c r="DD5" s="26" t="s">
        <v>930</v>
      </c>
      <c r="DE5" s="26" t="s">
        <v>931</v>
      </c>
      <c r="DF5" s="26" t="s">
        <v>932</v>
      </c>
      <c r="DG5" s="26" t="s">
        <v>933</v>
      </c>
      <c r="DH5" s="26" t="s">
        <v>685</v>
      </c>
      <c r="DI5" s="26" t="s">
        <v>934</v>
      </c>
      <c r="DJ5" s="26" t="s">
        <v>935</v>
      </c>
      <c r="DK5" s="26" t="s">
        <v>718</v>
      </c>
      <c r="DL5" s="26" t="s">
        <v>936</v>
      </c>
      <c r="DM5" s="26" t="s">
        <v>937</v>
      </c>
      <c r="DN5" s="26" t="s">
        <v>938</v>
      </c>
      <c r="DO5" s="26" t="s">
        <v>939</v>
      </c>
      <c r="DP5" s="26" t="s">
        <v>940</v>
      </c>
      <c r="DQ5" s="26" t="s">
        <v>941</v>
      </c>
      <c r="DR5" s="26" t="s">
        <v>942</v>
      </c>
      <c r="DS5" s="26" t="s">
        <v>943</v>
      </c>
      <c r="DT5" s="26" t="s">
        <v>944</v>
      </c>
      <c r="DU5" s="26" t="s">
        <v>945</v>
      </c>
      <c r="DV5" s="26" t="s">
        <v>946</v>
      </c>
      <c r="DW5" s="26" t="s">
        <v>947</v>
      </c>
      <c r="DX5" s="26" t="s">
        <v>948</v>
      </c>
      <c r="DY5" s="26" t="s">
        <v>949</v>
      </c>
      <c r="DZ5" s="26" t="s">
        <v>951</v>
      </c>
      <c r="EA5" s="26" t="s">
        <v>952</v>
      </c>
      <c r="EB5" s="26" t="s">
        <v>953</v>
      </c>
      <c r="EC5" s="26" t="s">
        <v>954</v>
      </c>
      <c r="ED5" s="26" t="s">
        <v>955</v>
      </c>
      <c r="EE5" s="26" t="s">
        <v>956</v>
      </c>
      <c r="EF5" s="26" t="s">
        <v>957</v>
      </c>
      <c r="EG5" s="26" t="s">
        <v>958</v>
      </c>
      <c r="EH5" s="26" t="s">
        <v>959</v>
      </c>
      <c r="EI5" s="26" t="s">
        <v>960</v>
      </c>
      <c r="EJ5" s="26" t="s">
        <v>961</v>
      </c>
      <c r="EK5" s="26" t="s">
        <v>962</v>
      </c>
      <c r="EL5" s="26" t="s">
        <v>963</v>
      </c>
      <c r="EM5" s="26" t="s">
        <v>964</v>
      </c>
      <c r="EN5" s="26" t="s">
        <v>965</v>
      </c>
      <c r="EO5" s="26" t="s">
        <v>966</v>
      </c>
      <c r="EP5" s="26" t="s">
        <v>967</v>
      </c>
      <c r="EQ5" s="26" t="s">
        <v>968</v>
      </c>
      <c r="ER5" s="26" t="s">
        <v>969</v>
      </c>
      <c r="ES5" s="26" t="s">
        <v>970</v>
      </c>
      <c r="ET5" s="26" t="s">
        <v>971</v>
      </c>
      <c r="EU5" s="26" t="s">
        <v>972</v>
      </c>
      <c r="EV5" s="26" t="s">
        <v>973</v>
      </c>
      <c r="EW5" s="26" t="s">
        <v>974</v>
      </c>
      <c r="EX5" s="26" t="s">
        <v>975</v>
      </c>
      <c r="EY5" s="26" t="s">
        <v>976</v>
      </c>
      <c r="EZ5" s="26" t="s">
        <v>712</v>
      </c>
      <c r="FA5" s="26" t="s">
        <v>714</v>
      </c>
      <c r="FB5" s="26"/>
      <c r="FC5" s="26"/>
      <c r="FD5" s="26"/>
      <c r="FE5" s="26"/>
      <c r="FF5" s="26"/>
      <c r="FG5" s="26"/>
      <c r="FH5" s="26"/>
      <c r="FI5" s="26"/>
      <c r="FJ5" s="26"/>
      <c r="FK5" s="26"/>
      <c r="FL5" s="26"/>
      <c r="FM5" s="26"/>
    </row>
    <row r="6" spans="1:169" ht="15.75" customHeight="1">
      <c r="A6" s="31"/>
      <c r="B6" s="32"/>
      <c r="C6" s="33" t="s">
        <v>647</v>
      </c>
      <c r="D6" s="40">
        <v>59</v>
      </c>
      <c r="E6" s="33" t="s">
        <v>693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 t="s">
        <v>649</v>
      </c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  <c r="EY6" s="35"/>
      <c r="EZ6" s="35"/>
      <c r="FA6" s="35"/>
      <c r="FB6" s="35"/>
      <c r="FC6" s="35"/>
      <c r="FD6" s="35"/>
      <c r="FE6" s="35"/>
      <c r="FF6" s="35"/>
      <c r="FG6" s="35"/>
      <c r="FH6" s="35"/>
      <c r="FI6" s="35"/>
      <c r="FJ6" s="35"/>
      <c r="FK6" s="35"/>
      <c r="FL6" s="35"/>
      <c r="FM6" s="35"/>
    </row>
    <row r="7" spans="1:169" ht="15.75" customHeight="1">
      <c r="A7" s="35"/>
      <c r="B7" s="35"/>
      <c r="C7" s="35" t="s">
        <v>647</v>
      </c>
      <c r="D7" s="36">
        <v>12</v>
      </c>
      <c r="E7" s="35" t="s">
        <v>695</v>
      </c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 t="s">
        <v>649</v>
      </c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  <c r="EY7" s="35"/>
      <c r="EZ7" s="35"/>
      <c r="FA7" s="35"/>
      <c r="FB7" s="35"/>
      <c r="FC7" s="35"/>
      <c r="FD7" s="35"/>
      <c r="FE7" s="35"/>
      <c r="FF7" s="35"/>
      <c r="FG7" s="35"/>
      <c r="FH7" s="35"/>
      <c r="FI7" s="35"/>
      <c r="FJ7" s="35"/>
      <c r="FK7" s="35"/>
      <c r="FL7" s="35"/>
      <c r="FM7" s="35"/>
    </row>
    <row r="8" spans="1:169" ht="15.75" customHeight="1">
      <c r="A8" s="35"/>
      <c r="B8" s="35"/>
      <c r="C8" s="35" t="s">
        <v>647</v>
      </c>
      <c r="D8" s="36">
        <v>29</v>
      </c>
      <c r="E8" s="35" t="s">
        <v>696</v>
      </c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 t="s">
        <v>649</v>
      </c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  <c r="EY8" s="35"/>
      <c r="EZ8" s="35"/>
      <c r="FA8" s="35"/>
      <c r="FB8" s="35"/>
      <c r="FC8" s="35"/>
      <c r="FD8" s="35"/>
      <c r="FE8" s="35"/>
      <c r="FF8" s="35"/>
      <c r="FG8" s="35"/>
      <c r="FH8" s="35"/>
      <c r="FI8" s="35"/>
      <c r="FJ8" s="35"/>
      <c r="FK8" s="35"/>
      <c r="FL8" s="35"/>
      <c r="FM8" s="35"/>
    </row>
    <row r="9" spans="1:169" ht="15.75" customHeight="1">
      <c r="A9" s="35"/>
      <c r="B9" s="35"/>
      <c r="C9" s="35" t="s">
        <v>704</v>
      </c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 t="s">
        <v>649</v>
      </c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  <c r="EY9" s="35"/>
      <c r="EZ9" s="35"/>
      <c r="FA9" s="35"/>
      <c r="FB9" s="35"/>
      <c r="FC9" s="35"/>
      <c r="FD9" s="35"/>
      <c r="FE9" s="35"/>
      <c r="FF9" s="35"/>
      <c r="FG9" s="35"/>
      <c r="FH9" s="35"/>
      <c r="FI9" s="35"/>
      <c r="FJ9" s="35"/>
      <c r="FK9" s="35"/>
      <c r="FL9" s="35"/>
      <c r="FM9" s="35"/>
    </row>
    <row r="10" spans="1:169" ht="15.75" customHeight="1">
      <c r="A10" s="35"/>
      <c r="B10" s="35"/>
      <c r="C10" s="35" t="s">
        <v>704</v>
      </c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 t="s">
        <v>649</v>
      </c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  <c r="EY10" s="35"/>
      <c r="EZ10" s="35"/>
      <c r="FA10" s="35"/>
      <c r="FB10" s="35"/>
      <c r="FC10" s="35"/>
      <c r="FD10" s="35"/>
      <c r="FE10" s="35"/>
      <c r="FF10" s="35"/>
      <c r="FG10" s="35"/>
      <c r="FH10" s="35"/>
      <c r="FI10" s="35"/>
      <c r="FJ10" s="35"/>
      <c r="FK10" s="35"/>
      <c r="FL10" s="35"/>
      <c r="FM10" s="35"/>
    </row>
    <row r="11" spans="1:169" ht="15.75" customHeight="1">
      <c r="A11" s="35"/>
      <c r="B11" s="35"/>
      <c r="C11" s="35" t="s">
        <v>704</v>
      </c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 t="s">
        <v>649</v>
      </c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  <c r="CW11" s="35"/>
      <c r="CX11" s="35"/>
      <c r="CY11" s="35"/>
      <c r="CZ11" s="35"/>
      <c r="DA11" s="35"/>
      <c r="DB11" s="35"/>
      <c r="DC11" s="35"/>
      <c r="DD11" s="35"/>
      <c r="DE11" s="35"/>
      <c r="DF11" s="35"/>
      <c r="DG11" s="35"/>
      <c r="DH11" s="35"/>
      <c r="DI11" s="35"/>
      <c r="DJ11" s="35"/>
      <c r="DK11" s="35"/>
      <c r="DL11" s="35"/>
      <c r="DM11" s="35"/>
      <c r="DN11" s="35"/>
      <c r="DO11" s="35"/>
      <c r="DP11" s="35"/>
      <c r="DQ11" s="35"/>
      <c r="DR11" s="35"/>
      <c r="DS11" s="35"/>
      <c r="DT11" s="35"/>
      <c r="DU11" s="35"/>
      <c r="DV11" s="35"/>
      <c r="DW11" s="35"/>
      <c r="DX11" s="35"/>
      <c r="DY11" s="35"/>
      <c r="DZ11" s="35"/>
      <c r="EA11" s="35"/>
      <c r="EB11" s="35"/>
      <c r="EC11" s="35"/>
      <c r="ED11" s="35"/>
      <c r="EE11" s="35"/>
      <c r="EF11" s="35"/>
      <c r="EG11" s="35"/>
      <c r="EH11" s="35"/>
      <c r="EI11" s="35"/>
      <c r="EJ11" s="35"/>
      <c r="EK11" s="35"/>
      <c r="EL11" s="35"/>
      <c r="EM11" s="35"/>
      <c r="EN11" s="35"/>
      <c r="EO11" s="35"/>
      <c r="EP11" s="35"/>
      <c r="EQ11" s="35"/>
      <c r="ER11" s="35"/>
      <c r="ES11" s="35"/>
      <c r="ET11" s="35"/>
      <c r="EU11" s="35"/>
      <c r="EV11" s="35"/>
      <c r="EW11" s="35"/>
      <c r="EX11" s="35"/>
      <c r="EY11" s="35"/>
      <c r="EZ11" s="35"/>
      <c r="FA11" s="35"/>
      <c r="FB11" s="35"/>
      <c r="FC11" s="35"/>
      <c r="FD11" s="35"/>
      <c r="FE11" s="35"/>
      <c r="FF11" s="35"/>
      <c r="FG11" s="35"/>
      <c r="FH11" s="35"/>
      <c r="FI11" s="35"/>
      <c r="FJ11" s="35"/>
      <c r="FK11" s="35"/>
      <c r="FL11" s="35"/>
      <c r="FM11" s="35"/>
    </row>
    <row r="12" spans="1:169" ht="15.75" customHeight="1">
      <c r="A12" s="35"/>
      <c r="B12" s="35"/>
      <c r="C12" s="35" t="s">
        <v>671</v>
      </c>
      <c r="D12" s="36">
        <v>-59</v>
      </c>
      <c r="E12" s="35" t="s">
        <v>693</v>
      </c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 t="s">
        <v>672</v>
      </c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5"/>
      <c r="BB12" s="35"/>
      <c r="BC12" s="35"/>
      <c r="BD12" s="35"/>
      <c r="BE12" s="35"/>
      <c r="BF12" s="35"/>
      <c r="BG12" s="35"/>
      <c r="BH12" s="35"/>
      <c r="BI12" s="35"/>
      <c r="BJ12" s="35"/>
      <c r="BK12" s="35"/>
      <c r="BL12" s="35"/>
      <c r="BM12" s="35"/>
      <c r="BN12" s="35"/>
      <c r="BO12" s="35"/>
      <c r="BP12" s="35"/>
      <c r="BQ12" s="35"/>
      <c r="BR12" s="35"/>
      <c r="BS12" s="35"/>
      <c r="BT12" s="35"/>
      <c r="BU12" s="35"/>
      <c r="BV12" s="35"/>
      <c r="BW12" s="35"/>
      <c r="BX12" s="35"/>
      <c r="BY12" s="35"/>
      <c r="BZ12" s="35"/>
      <c r="CA12" s="35"/>
      <c r="CB12" s="35"/>
      <c r="CC12" s="35"/>
      <c r="CD12" s="35"/>
      <c r="CE12" s="35"/>
      <c r="CF12" s="35"/>
      <c r="CG12" s="35"/>
      <c r="CH12" s="35"/>
      <c r="CI12" s="35"/>
      <c r="CJ12" s="35"/>
      <c r="CK12" s="35"/>
      <c r="CL12" s="35"/>
      <c r="CM12" s="35"/>
      <c r="CN12" s="35"/>
      <c r="CO12" s="35"/>
      <c r="CP12" s="35"/>
      <c r="CQ12" s="35"/>
      <c r="CR12" s="35"/>
      <c r="CS12" s="35"/>
      <c r="CT12" s="35"/>
      <c r="CU12" s="35"/>
      <c r="CV12" s="35"/>
      <c r="CW12" s="35"/>
      <c r="CX12" s="35"/>
      <c r="CY12" s="35"/>
      <c r="CZ12" s="35"/>
      <c r="DA12" s="35"/>
      <c r="DB12" s="35"/>
      <c r="DC12" s="35"/>
      <c r="DD12" s="35"/>
      <c r="DE12" s="35"/>
      <c r="DF12" s="35"/>
      <c r="DG12" s="35"/>
      <c r="DH12" s="35"/>
      <c r="DI12" s="35"/>
      <c r="DJ12" s="35"/>
      <c r="DK12" s="35"/>
      <c r="DL12" s="35"/>
      <c r="DM12" s="35"/>
      <c r="DN12" s="35"/>
      <c r="DO12" s="35"/>
      <c r="DP12" s="35"/>
      <c r="DQ12" s="35"/>
      <c r="DR12" s="35"/>
      <c r="DS12" s="35"/>
      <c r="DT12" s="35"/>
      <c r="DU12" s="35"/>
      <c r="DV12" s="35"/>
      <c r="DW12" s="35"/>
      <c r="DX12" s="35"/>
      <c r="DY12" s="35"/>
      <c r="DZ12" s="35"/>
      <c r="EA12" s="35"/>
      <c r="EB12" s="35"/>
      <c r="EC12" s="35"/>
      <c r="ED12" s="35"/>
      <c r="EE12" s="35"/>
      <c r="EF12" s="35"/>
      <c r="EG12" s="35"/>
      <c r="EH12" s="35"/>
      <c r="EI12" s="35"/>
      <c r="EJ12" s="35"/>
      <c r="EK12" s="35"/>
      <c r="EL12" s="35"/>
      <c r="EM12" s="35"/>
      <c r="EN12" s="35"/>
      <c r="EO12" s="35"/>
      <c r="EP12" s="35"/>
      <c r="EQ12" s="35"/>
      <c r="ER12" s="35"/>
      <c r="ES12" s="35"/>
      <c r="ET12" s="35"/>
      <c r="EU12" s="35"/>
      <c r="EV12" s="35"/>
      <c r="EW12" s="35"/>
      <c r="EX12" s="35"/>
      <c r="EY12" s="35"/>
      <c r="EZ12" s="35"/>
      <c r="FA12" s="35"/>
      <c r="FB12" s="35"/>
      <c r="FC12" s="35"/>
      <c r="FD12" s="35"/>
      <c r="FE12" s="35"/>
      <c r="FF12" s="35"/>
      <c r="FG12" s="35"/>
      <c r="FH12" s="35"/>
      <c r="FI12" s="35"/>
      <c r="FJ12" s="35"/>
      <c r="FK12" s="35"/>
      <c r="FL12" s="35"/>
      <c r="FM12" s="35"/>
    </row>
    <row r="13" spans="1:169" ht="15.75" customHeight="1">
      <c r="A13" s="35"/>
      <c r="B13" s="35"/>
      <c r="C13" s="35" t="s">
        <v>671</v>
      </c>
      <c r="D13" s="36">
        <v>-12</v>
      </c>
      <c r="E13" s="35" t="s">
        <v>695</v>
      </c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 t="s">
        <v>672</v>
      </c>
      <c r="AO13" s="35"/>
      <c r="AP13" s="35"/>
      <c r="AQ13" s="35"/>
      <c r="AR13" s="35"/>
      <c r="AS13" s="35"/>
      <c r="AT13" s="35"/>
      <c r="AU13" s="35"/>
      <c r="AV13" s="35"/>
      <c r="AW13" s="35"/>
      <c r="AX13" s="35"/>
      <c r="AY13" s="35"/>
      <c r="AZ13" s="35"/>
      <c r="BA13" s="35"/>
      <c r="BB13" s="35"/>
      <c r="BC13" s="35"/>
      <c r="BD13" s="35"/>
      <c r="BE13" s="35"/>
      <c r="BF13" s="35"/>
      <c r="BG13" s="35"/>
      <c r="BH13" s="35"/>
      <c r="BI13" s="35"/>
      <c r="BJ13" s="35"/>
      <c r="BK13" s="35"/>
      <c r="BL13" s="35"/>
      <c r="BM13" s="35"/>
      <c r="BN13" s="35"/>
      <c r="BO13" s="35"/>
      <c r="BP13" s="35"/>
      <c r="BQ13" s="35"/>
      <c r="BR13" s="35"/>
      <c r="BS13" s="35"/>
      <c r="BT13" s="35"/>
      <c r="BU13" s="35"/>
      <c r="BV13" s="35"/>
      <c r="BW13" s="35"/>
      <c r="BX13" s="35"/>
      <c r="BY13" s="35"/>
      <c r="BZ13" s="35"/>
      <c r="CA13" s="35"/>
      <c r="CB13" s="35"/>
      <c r="CC13" s="35"/>
      <c r="CD13" s="35"/>
      <c r="CE13" s="35"/>
      <c r="CF13" s="35"/>
      <c r="CG13" s="35"/>
      <c r="CH13" s="35"/>
      <c r="CI13" s="35"/>
      <c r="CJ13" s="35"/>
      <c r="CK13" s="35"/>
      <c r="CL13" s="35"/>
      <c r="CM13" s="35"/>
      <c r="CN13" s="35"/>
      <c r="CO13" s="35"/>
      <c r="CP13" s="35"/>
      <c r="CQ13" s="35"/>
      <c r="CR13" s="35"/>
      <c r="CS13" s="35"/>
      <c r="CT13" s="35"/>
      <c r="CU13" s="35"/>
      <c r="CV13" s="35"/>
      <c r="CW13" s="35"/>
      <c r="CX13" s="35"/>
      <c r="CY13" s="35"/>
      <c r="CZ13" s="35"/>
      <c r="DA13" s="35"/>
      <c r="DB13" s="35"/>
      <c r="DC13" s="35"/>
      <c r="DD13" s="35"/>
      <c r="DE13" s="35"/>
      <c r="DF13" s="35"/>
      <c r="DG13" s="35"/>
      <c r="DH13" s="35"/>
      <c r="DI13" s="35"/>
      <c r="DJ13" s="35"/>
      <c r="DK13" s="35"/>
      <c r="DL13" s="35"/>
      <c r="DM13" s="35"/>
      <c r="DN13" s="35"/>
      <c r="DO13" s="35"/>
      <c r="DP13" s="35"/>
      <c r="DQ13" s="35"/>
      <c r="DR13" s="35"/>
      <c r="DS13" s="35"/>
      <c r="DT13" s="35"/>
      <c r="DU13" s="35"/>
      <c r="DV13" s="35"/>
      <c r="DW13" s="35"/>
      <c r="DX13" s="35"/>
      <c r="DY13" s="35"/>
      <c r="DZ13" s="35"/>
      <c r="EA13" s="35"/>
      <c r="EB13" s="35"/>
      <c r="EC13" s="35"/>
      <c r="ED13" s="35"/>
      <c r="EE13" s="35"/>
      <c r="EF13" s="35"/>
      <c r="EG13" s="35"/>
      <c r="EH13" s="35"/>
      <c r="EI13" s="35"/>
      <c r="EJ13" s="35"/>
      <c r="EK13" s="35"/>
      <c r="EL13" s="35"/>
      <c r="EM13" s="35"/>
      <c r="EN13" s="35"/>
      <c r="EO13" s="35"/>
      <c r="EP13" s="35"/>
      <c r="EQ13" s="35"/>
      <c r="ER13" s="35"/>
      <c r="ES13" s="35"/>
      <c r="ET13" s="35"/>
      <c r="EU13" s="35"/>
      <c r="EV13" s="35"/>
      <c r="EW13" s="35"/>
      <c r="EX13" s="35"/>
      <c r="EY13" s="35"/>
      <c r="EZ13" s="35"/>
      <c r="FA13" s="35"/>
      <c r="FB13" s="35"/>
      <c r="FC13" s="35"/>
      <c r="FD13" s="35"/>
      <c r="FE13" s="35"/>
      <c r="FF13" s="35"/>
      <c r="FG13" s="35"/>
      <c r="FH13" s="35"/>
      <c r="FI13" s="35"/>
      <c r="FJ13" s="35"/>
      <c r="FK13" s="35"/>
      <c r="FL13" s="35"/>
      <c r="FM13" s="35"/>
    </row>
    <row r="14" spans="1:169" ht="15.75" customHeight="1">
      <c r="A14" s="35"/>
      <c r="B14" s="35"/>
      <c r="C14" s="35" t="s">
        <v>671</v>
      </c>
      <c r="D14" s="36">
        <v>-29</v>
      </c>
      <c r="E14" s="35" t="s">
        <v>696</v>
      </c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 t="s">
        <v>672</v>
      </c>
      <c r="AO14" s="35"/>
      <c r="AP14" s="35"/>
      <c r="AQ14" s="35"/>
      <c r="AR14" s="35"/>
      <c r="AS14" s="35"/>
      <c r="AT14" s="35"/>
      <c r="AU14" s="35"/>
      <c r="AV14" s="35"/>
      <c r="AW14" s="35"/>
      <c r="AX14" s="35"/>
      <c r="AY14" s="35"/>
      <c r="AZ14" s="35"/>
      <c r="BA14" s="35"/>
      <c r="BB14" s="35"/>
      <c r="BC14" s="35"/>
      <c r="BD14" s="35"/>
      <c r="BE14" s="35"/>
      <c r="BF14" s="35"/>
      <c r="BG14" s="35"/>
      <c r="BH14" s="35"/>
      <c r="BI14" s="35"/>
      <c r="BJ14" s="35"/>
      <c r="BK14" s="35"/>
      <c r="BL14" s="35"/>
      <c r="BM14" s="35"/>
      <c r="BN14" s="35"/>
      <c r="BO14" s="35"/>
      <c r="BP14" s="35"/>
      <c r="BQ14" s="35"/>
      <c r="BR14" s="35"/>
      <c r="BS14" s="35"/>
      <c r="BT14" s="35"/>
      <c r="BU14" s="35"/>
      <c r="BV14" s="35"/>
      <c r="BW14" s="35"/>
      <c r="BX14" s="35"/>
      <c r="BY14" s="35"/>
      <c r="BZ14" s="35"/>
      <c r="CA14" s="35"/>
      <c r="CB14" s="35"/>
      <c r="CC14" s="35"/>
      <c r="CD14" s="35"/>
      <c r="CE14" s="35"/>
      <c r="CF14" s="35"/>
      <c r="CG14" s="35"/>
      <c r="CH14" s="35"/>
      <c r="CI14" s="35"/>
      <c r="CJ14" s="35"/>
      <c r="CK14" s="35"/>
      <c r="CL14" s="35"/>
      <c r="CM14" s="35"/>
      <c r="CN14" s="35"/>
      <c r="CO14" s="35"/>
      <c r="CP14" s="35"/>
      <c r="CQ14" s="35"/>
      <c r="CR14" s="35"/>
      <c r="CS14" s="35"/>
      <c r="CT14" s="35"/>
      <c r="CU14" s="35"/>
      <c r="CV14" s="35"/>
      <c r="CW14" s="35"/>
      <c r="CX14" s="35"/>
      <c r="CY14" s="35"/>
      <c r="CZ14" s="35"/>
      <c r="DA14" s="35"/>
      <c r="DB14" s="35"/>
      <c r="DC14" s="35"/>
      <c r="DD14" s="35"/>
      <c r="DE14" s="35"/>
      <c r="DF14" s="35"/>
      <c r="DG14" s="35"/>
      <c r="DH14" s="35"/>
      <c r="DI14" s="35"/>
      <c r="DJ14" s="35"/>
      <c r="DK14" s="35"/>
      <c r="DL14" s="35"/>
      <c r="DM14" s="35"/>
      <c r="DN14" s="35"/>
      <c r="DO14" s="35"/>
      <c r="DP14" s="35"/>
      <c r="DQ14" s="35"/>
      <c r="DR14" s="35"/>
      <c r="DS14" s="35"/>
      <c r="DT14" s="35"/>
      <c r="DU14" s="35"/>
      <c r="DV14" s="35"/>
      <c r="DW14" s="35"/>
      <c r="DX14" s="35"/>
      <c r="DY14" s="35"/>
      <c r="DZ14" s="35"/>
      <c r="EA14" s="35"/>
      <c r="EB14" s="35"/>
      <c r="EC14" s="35"/>
      <c r="ED14" s="35"/>
      <c r="EE14" s="35"/>
      <c r="EF14" s="35"/>
      <c r="EG14" s="35"/>
      <c r="EH14" s="35"/>
      <c r="EI14" s="35"/>
      <c r="EJ14" s="35"/>
      <c r="EK14" s="35"/>
      <c r="EL14" s="35"/>
      <c r="EM14" s="35"/>
      <c r="EN14" s="35"/>
      <c r="EO14" s="35"/>
      <c r="EP14" s="35"/>
      <c r="EQ14" s="35"/>
      <c r="ER14" s="35"/>
      <c r="ES14" s="35"/>
      <c r="ET14" s="35"/>
      <c r="EU14" s="35"/>
      <c r="EV14" s="35"/>
      <c r="EW14" s="35"/>
      <c r="EX14" s="35"/>
      <c r="EY14" s="35"/>
      <c r="EZ14" s="35"/>
      <c r="FA14" s="35"/>
      <c r="FB14" s="35"/>
      <c r="FC14" s="35"/>
      <c r="FD14" s="35"/>
      <c r="FE14" s="35"/>
      <c r="FF14" s="35"/>
      <c r="FG14" s="35"/>
      <c r="FH14" s="35"/>
      <c r="FI14" s="35"/>
      <c r="FJ14" s="35"/>
      <c r="FK14" s="35"/>
      <c r="FL14" s="35"/>
      <c r="FM14" s="35"/>
    </row>
    <row r="15" spans="1:169" ht="15.75" customHeight="1">
      <c r="A15" s="35"/>
      <c r="B15" s="35"/>
      <c r="C15" s="35" t="s">
        <v>667</v>
      </c>
      <c r="D15" s="36">
        <v>-400</v>
      </c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 t="s">
        <v>670</v>
      </c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  <c r="BI15" s="35"/>
      <c r="BJ15" s="35"/>
      <c r="BK15" s="35"/>
      <c r="BL15" s="35"/>
      <c r="BM15" s="35"/>
      <c r="BN15" s="35"/>
      <c r="BO15" s="35"/>
      <c r="BP15" s="35"/>
      <c r="BQ15" s="35"/>
      <c r="BR15" s="35"/>
      <c r="BS15" s="35"/>
      <c r="BT15" s="35"/>
      <c r="BU15" s="35"/>
      <c r="BV15" s="35"/>
      <c r="BW15" s="35"/>
      <c r="BX15" s="35"/>
      <c r="BY15" s="35"/>
      <c r="BZ15" s="35"/>
      <c r="CA15" s="35"/>
      <c r="CB15" s="35"/>
      <c r="CC15" s="35"/>
      <c r="CD15" s="35"/>
      <c r="CE15" s="35"/>
      <c r="CF15" s="35"/>
      <c r="CG15" s="35"/>
      <c r="CH15" s="35"/>
      <c r="CI15" s="35"/>
      <c r="CJ15" s="35"/>
      <c r="CK15" s="35"/>
      <c r="CL15" s="35"/>
      <c r="CM15" s="35"/>
      <c r="CN15" s="35"/>
      <c r="CO15" s="35"/>
      <c r="CP15" s="35"/>
      <c r="CQ15" s="35"/>
      <c r="CR15" s="35"/>
      <c r="CS15" s="35"/>
      <c r="CT15" s="35"/>
      <c r="CU15" s="35"/>
      <c r="CV15" s="35"/>
      <c r="CW15" s="35"/>
      <c r="CX15" s="35"/>
      <c r="CY15" s="35"/>
      <c r="CZ15" s="35"/>
      <c r="DA15" s="35"/>
      <c r="DB15" s="35"/>
      <c r="DC15" s="35"/>
      <c r="DD15" s="35"/>
      <c r="DE15" s="35"/>
      <c r="DF15" s="35"/>
      <c r="DG15" s="35"/>
      <c r="DH15" s="35"/>
      <c r="DI15" s="35"/>
      <c r="DJ15" s="35"/>
      <c r="DK15" s="35"/>
      <c r="DL15" s="35"/>
      <c r="DM15" s="35"/>
      <c r="DN15" s="35"/>
      <c r="DO15" s="35"/>
      <c r="DP15" s="35"/>
      <c r="DQ15" s="35"/>
      <c r="DR15" s="35"/>
      <c r="DS15" s="35"/>
      <c r="DT15" s="35"/>
      <c r="DU15" s="35"/>
      <c r="DV15" s="35"/>
      <c r="DW15" s="35"/>
      <c r="DX15" s="35"/>
      <c r="DY15" s="35"/>
      <c r="DZ15" s="35"/>
      <c r="EA15" s="35"/>
      <c r="EB15" s="35"/>
      <c r="EC15" s="35"/>
      <c r="ED15" s="35"/>
      <c r="EE15" s="35"/>
      <c r="EF15" s="35"/>
      <c r="EG15" s="35"/>
      <c r="EH15" s="35"/>
      <c r="EI15" s="35"/>
      <c r="EJ15" s="35"/>
      <c r="EK15" s="35"/>
      <c r="EL15" s="35"/>
      <c r="EM15" s="35"/>
      <c r="EN15" s="35"/>
      <c r="EO15" s="35"/>
      <c r="EP15" s="35"/>
      <c r="EQ15" s="35"/>
      <c r="ER15" s="35"/>
      <c r="ES15" s="35"/>
      <c r="ET15" s="35"/>
      <c r="EU15" s="35"/>
      <c r="EV15" s="35"/>
      <c r="EW15" s="35"/>
      <c r="EX15" s="35"/>
      <c r="EY15" s="35"/>
      <c r="EZ15" s="35"/>
      <c r="FA15" s="35"/>
      <c r="FB15" s="35"/>
      <c r="FC15" s="35"/>
      <c r="FD15" s="35"/>
      <c r="FE15" s="35"/>
      <c r="FF15" s="35"/>
      <c r="FG15" s="35"/>
      <c r="FH15" s="35"/>
      <c r="FI15" s="35"/>
      <c r="FJ15" s="35"/>
      <c r="FK15" s="35"/>
      <c r="FL15" s="35"/>
      <c r="FM15" s="35"/>
    </row>
    <row r="16" spans="1:169" ht="15.75" customHeight="1">
      <c r="A16" s="35"/>
      <c r="B16" s="35"/>
      <c r="C16" s="35" t="s">
        <v>664</v>
      </c>
      <c r="D16" s="36">
        <v>-600</v>
      </c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 t="s">
        <v>670</v>
      </c>
      <c r="AO16" s="35"/>
      <c r="AP16" s="35"/>
      <c r="AQ16" s="35"/>
      <c r="AR16" s="35"/>
      <c r="AS16" s="35"/>
      <c r="AT16" s="35"/>
      <c r="AU16" s="35"/>
      <c r="AV16" s="35"/>
      <c r="AW16" s="35"/>
      <c r="AX16" s="35"/>
      <c r="AY16" s="35"/>
      <c r="AZ16" s="35"/>
      <c r="BA16" s="35"/>
      <c r="BB16" s="35"/>
      <c r="BC16" s="35"/>
      <c r="BD16" s="35"/>
      <c r="BE16" s="35"/>
      <c r="BF16" s="35"/>
      <c r="BG16" s="35"/>
      <c r="BH16" s="35"/>
      <c r="BI16" s="35"/>
      <c r="BJ16" s="35"/>
      <c r="BK16" s="35"/>
      <c r="BL16" s="35"/>
      <c r="BM16" s="35"/>
      <c r="BN16" s="35"/>
      <c r="BO16" s="35"/>
      <c r="BP16" s="35"/>
      <c r="BQ16" s="35"/>
      <c r="BR16" s="35"/>
      <c r="BS16" s="35"/>
      <c r="BT16" s="35"/>
      <c r="BU16" s="35"/>
      <c r="BV16" s="35"/>
      <c r="BW16" s="35"/>
      <c r="BX16" s="35"/>
      <c r="BY16" s="35"/>
      <c r="BZ16" s="35"/>
      <c r="CA16" s="35"/>
      <c r="CB16" s="35"/>
      <c r="CC16" s="35"/>
      <c r="CD16" s="35"/>
      <c r="CE16" s="35"/>
      <c r="CF16" s="35"/>
      <c r="CG16" s="35"/>
      <c r="CH16" s="35"/>
      <c r="CI16" s="35"/>
      <c r="CJ16" s="35"/>
      <c r="CK16" s="35"/>
      <c r="CL16" s="35"/>
      <c r="CM16" s="35"/>
      <c r="CN16" s="35"/>
      <c r="CO16" s="35"/>
      <c r="CP16" s="35"/>
      <c r="CQ16" s="35"/>
      <c r="CR16" s="35"/>
      <c r="CS16" s="35"/>
      <c r="CT16" s="35"/>
      <c r="CU16" s="35"/>
      <c r="CV16" s="35"/>
      <c r="CW16" s="35"/>
      <c r="CX16" s="35"/>
      <c r="CY16" s="35"/>
      <c r="CZ16" s="35"/>
      <c r="DA16" s="35"/>
      <c r="DB16" s="35"/>
      <c r="DC16" s="35"/>
      <c r="DD16" s="35"/>
      <c r="DE16" s="35"/>
      <c r="DF16" s="35"/>
      <c r="DG16" s="35"/>
      <c r="DH16" s="35"/>
      <c r="DI16" s="35"/>
      <c r="DJ16" s="35"/>
      <c r="DK16" s="35"/>
      <c r="DL16" s="35"/>
      <c r="DM16" s="35"/>
      <c r="DN16" s="35"/>
      <c r="DO16" s="35"/>
      <c r="DP16" s="35"/>
      <c r="DQ16" s="35"/>
      <c r="DR16" s="35"/>
      <c r="DS16" s="35"/>
      <c r="DT16" s="35"/>
      <c r="DU16" s="35"/>
      <c r="DV16" s="35"/>
      <c r="DW16" s="35"/>
      <c r="DX16" s="35"/>
      <c r="DY16" s="35"/>
      <c r="DZ16" s="35"/>
      <c r="EA16" s="35"/>
      <c r="EB16" s="35"/>
      <c r="EC16" s="35"/>
      <c r="ED16" s="35"/>
      <c r="EE16" s="35"/>
      <c r="EF16" s="35"/>
      <c r="EG16" s="35"/>
      <c r="EH16" s="35"/>
      <c r="EI16" s="35"/>
      <c r="EJ16" s="35"/>
      <c r="EK16" s="35"/>
      <c r="EL16" s="35"/>
      <c r="EM16" s="35"/>
      <c r="EN16" s="35"/>
      <c r="EO16" s="35"/>
      <c r="EP16" s="35"/>
      <c r="EQ16" s="35"/>
      <c r="ER16" s="35"/>
      <c r="ES16" s="35"/>
      <c r="ET16" s="35"/>
      <c r="EU16" s="35"/>
      <c r="EV16" s="35"/>
      <c r="EW16" s="35"/>
      <c r="EX16" s="35"/>
      <c r="EY16" s="35"/>
      <c r="EZ16" s="35"/>
      <c r="FA16" s="35"/>
      <c r="FB16" s="35"/>
      <c r="FC16" s="35"/>
      <c r="FD16" s="35"/>
      <c r="FE16" s="35"/>
      <c r="FF16" s="35"/>
      <c r="FG16" s="35"/>
      <c r="FH16" s="35"/>
      <c r="FI16" s="35"/>
      <c r="FJ16" s="35"/>
      <c r="FK16" s="35"/>
      <c r="FL16" s="35"/>
      <c r="FM16" s="35"/>
    </row>
    <row r="17" spans="1:169" ht="15.75" customHeight="1">
      <c r="A17" s="35"/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V17" s="35"/>
      <c r="AW17" s="35"/>
      <c r="AX17" s="35"/>
      <c r="AY17" s="35"/>
      <c r="AZ17" s="35"/>
      <c r="BA17" s="35"/>
      <c r="BB17" s="35"/>
      <c r="BC17" s="35"/>
      <c r="BD17" s="35"/>
      <c r="BE17" s="35"/>
      <c r="BF17" s="35"/>
      <c r="BG17" s="35"/>
      <c r="BH17" s="35"/>
      <c r="BI17" s="35"/>
      <c r="BJ17" s="35"/>
      <c r="BK17" s="35"/>
      <c r="BL17" s="35"/>
      <c r="BM17" s="35"/>
      <c r="BN17" s="35"/>
      <c r="BO17" s="35"/>
      <c r="BP17" s="35"/>
      <c r="BQ17" s="35"/>
      <c r="BR17" s="35"/>
      <c r="BS17" s="35"/>
      <c r="BT17" s="35"/>
      <c r="BU17" s="35"/>
      <c r="BV17" s="35"/>
      <c r="BW17" s="35"/>
      <c r="BX17" s="35"/>
      <c r="BY17" s="35"/>
      <c r="BZ17" s="35"/>
      <c r="CA17" s="35"/>
      <c r="CB17" s="35"/>
      <c r="CC17" s="35"/>
      <c r="CD17" s="35"/>
      <c r="CE17" s="35"/>
      <c r="CF17" s="35"/>
      <c r="CG17" s="35"/>
      <c r="CH17" s="35"/>
      <c r="CI17" s="35"/>
      <c r="CJ17" s="35"/>
      <c r="CK17" s="35"/>
      <c r="CL17" s="35"/>
      <c r="CM17" s="35"/>
      <c r="CN17" s="35"/>
      <c r="CO17" s="35"/>
      <c r="CP17" s="35"/>
      <c r="CQ17" s="35"/>
      <c r="CR17" s="35"/>
      <c r="CS17" s="35"/>
      <c r="CT17" s="35"/>
      <c r="CU17" s="35"/>
      <c r="CV17" s="35"/>
      <c r="CW17" s="35"/>
      <c r="CX17" s="35"/>
      <c r="CY17" s="35"/>
      <c r="CZ17" s="35"/>
      <c r="DA17" s="35"/>
      <c r="DB17" s="35"/>
      <c r="DC17" s="35"/>
      <c r="DD17" s="35"/>
      <c r="DE17" s="35"/>
      <c r="DF17" s="35"/>
      <c r="DG17" s="35"/>
      <c r="DH17" s="35"/>
      <c r="DI17" s="35"/>
      <c r="DJ17" s="35"/>
      <c r="DK17" s="35"/>
      <c r="DL17" s="35"/>
      <c r="DM17" s="35"/>
      <c r="DN17" s="35"/>
      <c r="DO17" s="35"/>
      <c r="DP17" s="35"/>
      <c r="DQ17" s="35"/>
      <c r="DR17" s="35"/>
      <c r="DS17" s="35"/>
      <c r="DT17" s="35"/>
      <c r="DU17" s="35"/>
      <c r="DV17" s="35"/>
      <c r="DW17" s="35"/>
      <c r="DX17" s="35"/>
      <c r="DY17" s="35"/>
      <c r="DZ17" s="35"/>
      <c r="EA17" s="35"/>
      <c r="EB17" s="35"/>
      <c r="EC17" s="35"/>
      <c r="ED17" s="35"/>
      <c r="EE17" s="35"/>
      <c r="EF17" s="35"/>
      <c r="EG17" s="35"/>
      <c r="EH17" s="35"/>
      <c r="EI17" s="35"/>
      <c r="EJ17" s="35"/>
      <c r="EK17" s="35"/>
      <c r="EL17" s="35"/>
      <c r="EM17" s="35"/>
      <c r="EN17" s="35"/>
      <c r="EO17" s="35"/>
      <c r="EP17" s="35"/>
      <c r="EQ17" s="35"/>
      <c r="ER17" s="35"/>
      <c r="ES17" s="35"/>
      <c r="ET17" s="35"/>
      <c r="EU17" s="35"/>
      <c r="EV17" s="35"/>
      <c r="EW17" s="35"/>
      <c r="EX17" s="35"/>
      <c r="EY17" s="35"/>
      <c r="EZ17" s="35"/>
      <c r="FA17" s="35"/>
      <c r="FB17" s="35"/>
      <c r="FC17" s="35"/>
      <c r="FD17" s="35"/>
      <c r="FE17" s="35"/>
      <c r="FF17" s="35"/>
      <c r="FG17" s="35"/>
      <c r="FH17" s="35"/>
      <c r="FI17" s="35"/>
      <c r="FJ17" s="35"/>
      <c r="FK17" s="35"/>
      <c r="FL17" s="35"/>
      <c r="FM17" s="35"/>
    </row>
    <row r="18" spans="1:169" ht="15.75" customHeight="1">
      <c r="A18" s="35"/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5"/>
      <c r="AV18" s="35"/>
      <c r="AW18" s="35"/>
      <c r="AX18" s="35"/>
      <c r="AY18" s="35"/>
      <c r="AZ18" s="35"/>
      <c r="BA18" s="35"/>
      <c r="BB18" s="35"/>
      <c r="BC18" s="35"/>
      <c r="BD18" s="35"/>
      <c r="BE18" s="35"/>
      <c r="BF18" s="35"/>
      <c r="BG18" s="35"/>
      <c r="BH18" s="35"/>
      <c r="BI18" s="35"/>
      <c r="BJ18" s="35"/>
      <c r="BK18" s="35"/>
      <c r="BL18" s="35"/>
      <c r="BM18" s="35"/>
      <c r="BN18" s="35"/>
      <c r="BO18" s="35"/>
      <c r="BP18" s="35"/>
      <c r="BQ18" s="35"/>
      <c r="BR18" s="35"/>
      <c r="BS18" s="35"/>
      <c r="BT18" s="35"/>
      <c r="BU18" s="35"/>
      <c r="BV18" s="35"/>
      <c r="BW18" s="35"/>
      <c r="BX18" s="35"/>
      <c r="BY18" s="35"/>
      <c r="BZ18" s="35"/>
      <c r="CA18" s="35"/>
      <c r="CB18" s="35"/>
      <c r="CC18" s="35"/>
      <c r="CD18" s="35"/>
      <c r="CE18" s="35"/>
      <c r="CF18" s="35"/>
      <c r="CG18" s="35"/>
      <c r="CH18" s="35"/>
      <c r="CI18" s="35"/>
      <c r="CJ18" s="35"/>
      <c r="CK18" s="35"/>
      <c r="CL18" s="35"/>
      <c r="CM18" s="35"/>
      <c r="CN18" s="35"/>
      <c r="CO18" s="35"/>
      <c r="CP18" s="35"/>
      <c r="CQ18" s="35"/>
      <c r="CR18" s="35"/>
      <c r="CS18" s="35"/>
      <c r="CT18" s="35"/>
      <c r="CU18" s="35"/>
      <c r="CV18" s="35"/>
      <c r="CW18" s="35"/>
      <c r="CX18" s="35"/>
      <c r="CY18" s="35"/>
      <c r="CZ18" s="35"/>
      <c r="DA18" s="35"/>
      <c r="DB18" s="35"/>
      <c r="DC18" s="35"/>
      <c r="DD18" s="35"/>
      <c r="DE18" s="35"/>
      <c r="DF18" s="35"/>
      <c r="DG18" s="35"/>
      <c r="DH18" s="35"/>
      <c r="DI18" s="35"/>
      <c r="DJ18" s="35"/>
      <c r="DK18" s="35"/>
      <c r="DL18" s="35"/>
      <c r="DM18" s="35"/>
      <c r="DN18" s="35"/>
      <c r="DO18" s="35"/>
      <c r="DP18" s="35"/>
      <c r="DQ18" s="35"/>
      <c r="DR18" s="35"/>
      <c r="DS18" s="35"/>
      <c r="DT18" s="35"/>
      <c r="DU18" s="35"/>
      <c r="DV18" s="35"/>
      <c r="DW18" s="35"/>
      <c r="DX18" s="35"/>
      <c r="DY18" s="35"/>
      <c r="DZ18" s="35"/>
      <c r="EA18" s="35"/>
      <c r="EB18" s="35"/>
      <c r="EC18" s="35"/>
      <c r="ED18" s="35"/>
      <c r="EE18" s="35"/>
      <c r="EF18" s="35"/>
      <c r="EG18" s="35"/>
      <c r="EH18" s="35"/>
      <c r="EI18" s="35"/>
      <c r="EJ18" s="35"/>
      <c r="EK18" s="35"/>
      <c r="EL18" s="35"/>
      <c r="EM18" s="35"/>
      <c r="EN18" s="35"/>
      <c r="EO18" s="35"/>
      <c r="EP18" s="35"/>
      <c r="EQ18" s="35"/>
      <c r="ER18" s="35"/>
      <c r="ES18" s="35"/>
      <c r="ET18" s="35"/>
      <c r="EU18" s="35"/>
      <c r="EV18" s="35"/>
      <c r="EW18" s="35"/>
      <c r="EX18" s="35"/>
      <c r="EY18" s="35"/>
      <c r="EZ18" s="35"/>
      <c r="FA18" s="35"/>
      <c r="FB18" s="35"/>
      <c r="FC18" s="35"/>
      <c r="FD18" s="35"/>
      <c r="FE18" s="35"/>
      <c r="FF18" s="35"/>
      <c r="FG18" s="35"/>
      <c r="FH18" s="35"/>
      <c r="FI18" s="35"/>
      <c r="FJ18" s="35"/>
      <c r="FK18" s="35"/>
      <c r="FL18" s="35"/>
      <c r="FM18" s="35"/>
    </row>
    <row r="19" spans="1:169" ht="15.75" customHeight="1">
      <c r="A19" s="35"/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35"/>
      <c r="AP19" s="35"/>
      <c r="AQ19" s="35"/>
      <c r="AR19" s="35"/>
      <c r="AS19" s="35"/>
      <c r="AT19" s="35"/>
      <c r="AU19" s="35"/>
      <c r="AV19" s="35"/>
      <c r="AW19" s="35"/>
      <c r="AX19" s="35"/>
      <c r="AY19" s="35"/>
      <c r="AZ19" s="35"/>
      <c r="BA19" s="35"/>
      <c r="BB19" s="35"/>
      <c r="BC19" s="35"/>
      <c r="BD19" s="35"/>
      <c r="BE19" s="35"/>
      <c r="BF19" s="35"/>
      <c r="BG19" s="35"/>
      <c r="BH19" s="35"/>
      <c r="BI19" s="35"/>
      <c r="BJ19" s="35"/>
      <c r="BK19" s="35"/>
      <c r="BL19" s="35"/>
      <c r="BM19" s="35"/>
      <c r="BN19" s="35"/>
      <c r="BO19" s="35"/>
      <c r="BP19" s="35"/>
      <c r="BQ19" s="35"/>
      <c r="BR19" s="35"/>
      <c r="BS19" s="35"/>
      <c r="BT19" s="35"/>
      <c r="BU19" s="35"/>
      <c r="BV19" s="35"/>
      <c r="BW19" s="35"/>
      <c r="BX19" s="35"/>
      <c r="BY19" s="35"/>
      <c r="BZ19" s="35"/>
      <c r="CA19" s="35"/>
      <c r="CB19" s="35"/>
      <c r="CC19" s="35"/>
      <c r="CD19" s="35"/>
      <c r="CE19" s="35"/>
      <c r="CF19" s="35"/>
      <c r="CG19" s="35"/>
      <c r="CH19" s="35"/>
      <c r="CI19" s="35"/>
      <c r="CJ19" s="35"/>
      <c r="CK19" s="35"/>
      <c r="CL19" s="35"/>
      <c r="CM19" s="35"/>
      <c r="CN19" s="35"/>
      <c r="CO19" s="35"/>
      <c r="CP19" s="35"/>
      <c r="CQ19" s="35"/>
      <c r="CR19" s="35"/>
      <c r="CS19" s="35"/>
      <c r="CT19" s="35"/>
      <c r="CU19" s="35"/>
      <c r="CV19" s="35"/>
      <c r="CW19" s="35"/>
      <c r="CX19" s="35"/>
      <c r="CY19" s="35"/>
      <c r="CZ19" s="35"/>
      <c r="DA19" s="35"/>
      <c r="DB19" s="35"/>
      <c r="DC19" s="35"/>
      <c r="DD19" s="35"/>
      <c r="DE19" s="35"/>
      <c r="DF19" s="35"/>
      <c r="DG19" s="35"/>
      <c r="DH19" s="35"/>
      <c r="DI19" s="35"/>
      <c r="DJ19" s="35"/>
      <c r="DK19" s="35"/>
      <c r="DL19" s="35"/>
      <c r="DM19" s="35"/>
      <c r="DN19" s="35"/>
      <c r="DO19" s="35"/>
      <c r="DP19" s="35"/>
      <c r="DQ19" s="35"/>
      <c r="DR19" s="35"/>
      <c r="DS19" s="35"/>
      <c r="DT19" s="35"/>
      <c r="DU19" s="35"/>
      <c r="DV19" s="35"/>
      <c r="DW19" s="35"/>
      <c r="DX19" s="35"/>
      <c r="DY19" s="35"/>
      <c r="DZ19" s="35"/>
      <c r="EA19" s="35"/>
      <c r="EB19" s="35"/>
      <c r="EC19" s="35"/>
      <c r="ED19" s="35"/>
      <c r="EE19" s="35"/>
      <c r="EF19" s="35"/>
      <c r="EG19" s="35"/>
      <c r="EH19" s="35"/>
      <c r="EI19" s="35"/>
      <c r="EJ19" s="35"/>
      <c r="EK19" s="35"/>
      <c r="EL19" s="35"/>
      <c r="EM19" s="35"/>
      <c r="EN19" s="35"/>
      <c r="EO19" s="35"/>
      <c r="EP19" s="35"/>
      <c r="EQ19" s="35"/>
      <c r="ER19" s="35"/>
      <c r="ES19" s="35"/>
      <c r="ET19" s="35"/>
      <c r="EU19" s="35"/>
      <c r="EV19" s="35"/>
      <c r="EW19" s="35"/>
      <c r="EX19" s="35"/>
      <c r="EY19" s="35"/>
      <c r="EZ19" s="35"/>
      <c r="FA19" s="35"/>
      <c r="FB19" s="35"/>
      <c r="FC19" s="35"/>
      <c r="FD19" s="35"/>
      <c r="FE19" s="35"/>
      <c r="FF19" s="35"/>
      <c r="FG19" s="35"/>
      <c r="FH19" s="35"/>
      <c r="FI19" s="35"/>
      <c r="FJ19" s="35"/>
      <c r="FK19" s="35"/>
      <c r="FL19" s="35"/>
      <c r="FM19" s="35"/>
    </row>
    <row r="20" spans="1:169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spans="1:169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spans="1:169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spans="1:169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spans="1:169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spans="1:169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spans="1:169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spans="1:169" ht="15.75" customHeight="1"/>
    <row r="28" spans="1:169" ht="15.75" customHeight="1"/>
    <row r="29" spans="1:169" ht="15.75" customHeight="1"/>
    <row r="30" spans="1:169" ht="15.75" customHeight="1"/>
    <row r="31" spans="1:169" ht="15.75" customHeight="1"/>
    <row r="32" spans="1:169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_Modules</vt:lpstr>
      <vt:lpstr>_Settings</vt:lpstr>
      <vt:lpstr>_MasterData</vt:lpstr>
      <vt:lpstr>CreateDoneAwayOrder</vt:lpstr>
      <vt:lpstr>GetDailyCash</vt:lpstr>
      <vt:lpstr>UpdateDailyCash</vt:lpstr>
      <vt:lpstr>PricingInput</vt:lpstr>
      <vt:lpstr>TradePTT</vt:lpstr>
      <vt:lpstr>CreateDoneAwayOrderPTT</vt:lpstr>
      <vt:lpstr>Unallocate</vt:lpstr>
      <vt:lpstr>SelectUnallocatedGroup</vt:lpstr>
      <vt:lpstr>EnterAllocatePreference</vt:lpstr>
      <vt:lpstr>CheckAllocatedGroups</vt:lpstr>
      <vt:lpstr>CheckUnallocatedGroups</vt:lpstr>
      <vt:lpstr>GetDataAllocation</vt:lpstr>
      <vt:lpstr>GetDataClosing</vt:lpstr>
      <vt:lpstr>VerifyLongPositionsGrid</vt:lpstr>
      <vt:lpstr>VerifyShortPositionsGrid</vt:lpstr>
      <vt:lpstr>GetActivityData</vt:lpstr>
      <vt:lpstr>VerifyActivity</vt:lpstr>
      <vt:lpstr>CheckPortfolioManagement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Nirvana</cp:lastModifiedBy>
  <dcterms:modified xsi:type="dcterms:W3CDTF">2019-06-26T08:58:43Z</dcterms:modified>
</cp:coreProperties>
</file>