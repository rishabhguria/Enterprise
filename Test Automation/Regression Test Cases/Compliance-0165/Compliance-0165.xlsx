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omplianceAlert" sheetId="4" r:id="rId6"/>
    <sheet state="visible" name="AddCalculatedPreferences" sheetId="5" r:id="rId7"/>
    <sheet state="visible" name="SetAccountValueCalculatedPref" sheetId="6" r:id="rId8"/>
    <sheet state="visible" name="SetDefaultRuleCalculatedPref" sheetId="7" r:id="rId9"/>
    <sheet state="visible" name="CreateLiveOrder" sheetId="8" r:id="rId10"/>
    <sheet state="visible" name="SelectTrade" sheetId="9" r:id="rId11"/>
    <sheet state="visible" name="AcknowledgeTrade" sheetId="10" r:id="rId12"/>
    <sheet state="visible" name="CreateComplianceOrder" sheetId="11" r:id="rId13"/>
    <sheet state="visible" name="VerifyComplianceOrder" sheetId="12" r:id="rId14"/>
    <sheet state="visible" name="SelectTradeOnOrderGrid" sheetId="13" r:id="rId15"/>
    <sheet state="visible" name="ReplaceSubOrder" sheetId="14" r:id="rId16"/>
    <sheet state="visible" name="CreateReplaceOrder" sheetId="15" r:id="rId17"/>
    <sheet state="visible" name="RestartReleasesAndServices" sheetId="16" r:id="rId18"/>
    <sheet state="visible" name="VerifyComplianceOrder1" sheetId="17" r:id="rId19"/>
    <sheet state="visible" name="CreateComplianceOrder1" sheetId="18" r:id="rId20"/>
    <sheet state="visible" name="CancelSubOrder" sheetId="19" r:id="rId21"/>
    <sheet state="visible" name="SetRollover" sheetId="20" r:id="rId22"/>
    <sheet state="visible" name="VerifyRollover" sheetId="21" r:id="rId23"/>
    <sheet state="visible" name="CreateComplianceOrder2" sheetId="22" r:id="rId24"/>
    <sheet state="visible" name="VerifyComplianceOrder2" sheetId="23" r:id="rId25"/>
    <sheet state="visible" name="RejectTrade" sheetId="24" r:id="rId26"/>
    <sheet state="visible" name="VerifyRollover1" sheetId="25" r:id="rId27"/>
    <sheet state="visible" name="VerifyRollover2" sheetId="26" r:id="rId28"/>
  </sheets>
  <definedNames/>
  <calcPr/>
</workbook>
</file>

<file path=xl/sharedStrings.xml><?xml version="1.0" encoding="utf-8"?>
<sst xmlns="http://schemas.openxmlformats.org/spreadsheetml/2006/main" count="312" uniqueCount="70">
  <si>
    <t>Modules Info</t>
  </si>
  <si>
    <t>Modules</t>
  </si>
  <si>
    <t>Settings</t>
  </si>
  <si>
    <t>Module Step Setting File</t>
  </si>
  <si>
    <t>1ua6ENR4AYwAWggYDcO5ubv4JU_7oqW8hUziMaEUEncQ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</si>
  <si>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</si>
  <si>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</si>
  <si>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</si>
  <si>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</si>
  <si>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</si>
  <si>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</si>
  <si>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</si>
  <si>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</si>
  <si>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SetComplianceAlert</t>
  </si>
  <si>
    <t>Data Format</t>
  </si>
  <si>
    <t>Input Format</t>
  </si>
  <si>
    <t>Allocation</t>
  </si>
  <si>
    <t>AddCalculatedPreferences</t>
  </si>
  <si>
    <t>PrefSt</t>
  </si>
  <si>
    <t>SetAccountValueCalculatedPref</t>
  </si>
  <si>
    <t>Allocation2</t>
  </si>
  <si>
    <t>Allocation3</t>
  </si>
  <si>
    <t>SetDefaultRuleCalculatedPref</t>
  </si>
  <si>
    <t>Trade Quantity</t>
  </si>
  <si>
    <t>Current Preference</t>
  </si>
  <si>
    <t>TradingTicket</t>
  </si>
  <si>
    <t>CreateLiveOrder</t>
  </si>
  <si>
    <t>GOOG</t>
  </si>
  <si>
    <t>Buy</t>
  </si>
  <si>
    <t>Yes</t>
  </si>
  <si>
    <t>Simulator</t>
  </si>
  <si>
    <t>SelectTrade</t>
  </si>
  <si>
    <t>AcknowledgeTrade</t>
  </si>
  <si>
    <t>CreateComplianceOrder</t>
  </si>
  <si>
    <t>Send</t>
  </si>
  <si>
    <t>VerifyComplianceOrder</t>
  </si>
  <si>
    <t>Soft</t>
  </si>
  <si>
    <t>Account_Symbol</t>
  </si>
  <si>
    <t>If Quantity not equals to -1234, Symbol equals to "GOOG", Then block the trade.</t>
  </si>
  <si>
    <t>Allocation2-GOOG</t>
  </si>
  <si>
    <t>quantity: 505.00, symbol: GOOG, AccountShortName: Allocation2</t>
  </si>
  <si>
    <t>No</t>
  </si>
  <si>
    <t>Allocation3-GOOG</t>
  </si>
  <si>
    <t>quantity: 505.00, symbol: GOOG, AccountShortName: Allocation3</t>
  </si>
  <si>
    <t>Symbol</t>
  </si>
  <si>
    <t>If Quantity not equals to -123466, Symbol equals to "GOOG", Then block the trade.</t>
  </si>
  <si>
    <t>quantity: 1,010.00, symbol: GOOG</t>
  </si>
  <si>
    <t>Trade</t>
  </si>
  <si>
    <t>quantity: 5.00, symbol: GOOG</t>
  </si>
  <si>
    <t>Blotter</t>
  </si>
  <si>
    <t>SelectTradeOnOrderGrid</t>
  </si>
  <si>
    <t>New</t>
  </si>
  <si>
    <t>ReplaceSubOrder</t>
  </si>
  <si>
    <t>CreateReplaceOrder</t>
  </si>
  <si>
    <t>Compliance</t>
  </si>
  <si>
    <t>RestartReleasesAndServices</t>
  </si>
  <si>
    <t>CancelSubOrder</t>
  </si>
  <si>
    <t>SetRollover</t>
  </si>
  <si>
    <t>Equity</t>
  </si>
  <si>
    <t>US</t>
  </si>
  <si>
    <t>NASDAQ</t>
  </si>
  <si>
    <t>VerifyRollover</t>
  </si>
  <si>
    <t>PendingReplace</t>
  </si>
  <si>
    <t>RollOver</t>
  </si>
  <si>
    <t>quantity: 5.00, symbol: GOOG, AccountShortName: Allocation3</t>
  </si>
  <si>
    <t>quantity: 5.00, symbol: GOOG, AccountShortName: Allocation2</t>
  </si>
  <si>
    <t>quantity: 10.00, symbol: GOOG</t>
  </si>
  <si>
    <t>RejectTrade</t>
  </si>
  <si>
    <t>PendingCancel</t>
  </si>
  <si>
    <t>Cancelled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</si>
</sst>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Inconsolata"/>
    </font>
    <font>
      <sz val="9.0"/>
      <color rgb="FFFFFFFF"/>
      <name val="&quot;Segoe UI&quot;"/>
    </font>
    <font>
      <sz val="9.0"/>
      <color rgb="FF000000"/>
      <name val="&quot;Segoe UI&quot;"/>
    </font>
  </fonts>
  <fills count="10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689C2E"/>
        <bgColor rgb="FF689C2E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1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535353"/>
      </left>
      <right style="thin">
        <color rgb="FF535353"/>
      </right>
      <top style="thin">
        <color rgb="FF535353"/>
      </top>
      <bottom style="thin">
        <color rgb="FF535353"/>
      </bottom>
    </border>
    <border>
      <right style="thin">
        <color rgb="FF535353"/>
      </right>
      <top style="thin">
        <color rgb="FF535353"/>
      </top>
      <bottom style="thin">
        <color rgb="FF535353"/>
      </bottom>
    </border>
    <border>
      <top style="thin">
        <color rgb="FF535353"/>
      </top>
      <bottom style="thin">
        <color rgb="FF535353"/>
      </bottom>
    </border>
    <border>
      <left style="thin">
        <color rgb="FF535353"/>
      </left>
      <right style="thin">
        <color rgb="FF535353"/>
      </right>
      <bottom style="thin">
        <color rgb="FF535353"/>
      </bottom>
    </border>
    <border>
      <right style="thin">
        <color rgb="FF535353"/>
      </right>
      <bottom style="thin">
        <color rgb="FF535353"/>
      </bottom>
    </border>
    <border>
      <bottom style="thin">
        <color rgb="FF535353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 readingOrder="0" vertical="bottom"/>
    </xf>
    <xf borderId="5" fillId="0" fontId="5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5" fillId="0" fontId="3" numFmtId="0" xfId="0" applyAlignment="1" applyBorder="1" applyFont="1">
      <alignment vertical="bottom"/>
    </xf>
    <xf borderId="7" fillId="0" fontId="3" numFmtId="0" xfId="0" applyAlignment="1" applyBorder="1" applyFont="1">
      <alignment shrinkToFit="0" vertical="bottom" wrapText="0"/>
    </xf>
    <xf borderId="6" fillId="0" fontId="3" numFmtId="0" xfId="0" applyAlignment="1" applyBorder="1" applyFont="1">
      <alignment horizontal="center" vertical="bottom"/>
    </xf>
    <xf borderId="6" fillId="6" fontId="13" numFmtId="0" xfId="0" applyAlignment="1" applyBorder="1" applyFill="1" applyFont="1">
      <alignment vertical="bottom"/>
    </xf>
    <xf borderId="5" fillId="6" fontId="13" numFmtId="0" xfId="0" applyAlignment="1" applyBorder="1" applyFont="1">
      <alignment vertical="bottom"/>
    </xf>
    <xf borderId="0" fillId="0" fontId="5" numFmtId="0" xfId="0" applyAlignment="1" applyFont="1">
      <alignment readingOrder="0" shrinkToFit="0" wrapText="0"/>
    </xf>
    <xf borderId="8" fillId="7" fontId="14" numFmtId="0" xfId="0" applyAlignment="1" applyBorder="1" applyFill="1" applyFont="1">
      <alignment vertical="top"/>
    </xf>
    <xf borderId="9" fillId="8" fontId="15" numFmtId="0" xfId="0" applyAlignment="1" applyBorder="1" applyFill="1" applyFont="1">
      <alignment vertical="top"/>
    </xf>
    <xf borderId="10" fillId="8" fontId="15" numFmtId="0" xfId="0" applyAlignment="1" applyBorder="1" applyFont="1">
      <alignment shrinkToFit="0" vertical="top" wrapText="0"/>
    </xf>
    <xf borderId="11" fillId="7" fontId="14" numFmtId="0" xfId="0" applyAlignment="1" applyBorder="1" applyFont="1">
      <alignment vertical="top"/>
    </xf>
    <xf borderId="12" fillId="9" fontId="15" numFmtId="0" xfId="0" applyAlignment="1" applyBorder="1" applyFill="1" applyFont="1">
      <alignment vertical="top"/>
    </xf>
    <xf borderId="13" fillId="9" fontId="15" numFmtId="0" xfId="0" applyAlignment="1" applyBorder="1" applyFont="1">
      <alignment shrinkToFit="0" vertical="top" wrapText="0"/>
    </xf>
    <xf borderId="12" fillId="8" fontId="15" numFmtId="0" xfId="0" applyAlignment="1" applyBorder="1" applyFont="1">
      <alignment vertical="top"/>
    </xf>
    <xf borderId="13" fillId="8" fontId="15" numFmtId="0" xfId="0" applyAlignment="1" applyBorder="1" applyFont="1">
      <alignment shrinkToFit="0" vertical="top" wrapText="0"/>
    </xf>
    <xf borderId="0" fillId="0" fontId="3" numFmtId="0" xfId="0" applyAlignment="1" applyFont="1">
      <alignment horizontal="right" vertical="bottom"/>
    </xf>
    <xf borderId="4" fillId="5" fontId="4" numFmtId="49" xfId="0" applyAlignment="1" applyBorder="1" applyFont="1" applyNumberFormat="1">
      <alignment shrinkToFit="0" wrapText="0"/>
    </xf>
    <xf borderId="14" fillId="0" fontId="5" numFmtId="0" xfId="0" applyAlignment="1" applyBorder="1" applyFont="1">
      <alignment vertical="bottom"/>
    </xf>
    <xf borderId="6" fillId="0" fontId="5" numFmtId="0" xfId="0" applyAlignment="1" applyBorder="1" applyFont="1">
      <alignment vertical="bottom"/>
    </xf>
    <xf borderId="0" fillId="0" fontId="5" numFmtId="0" xfId="0" applyAlignment="1" applyFont="1">
      <alignment readingOrder="0" vertical="bottom"/>
    </xf>
    <xf borderId="10" fillId="8" fontId="3" numFmtId="0" xfId="0" applyAlignment="1" applyBorder="1" applyFont="1">
      <alignment vertical="top"/>
    </xf>
    <xf borderId="13" fillId="9" fontId="3" numFmtId="0" xfId="0" applyAlignment="1" applyBorder="1" applyFont="1">
      <alignment vertical="top"/>
    </xf>
    <xf borderId="12" fillId="8" fontId="3" numFmtId="0" xfId="0" applyAlignment="1" applyBorder="1" applyFont="1">
      <alignment vertical="top"/>
    </xf>
    <xf borderId="12" fillId="9" fontId="3" numFmtId="0" xfId="0" applyAlignment="1" applyBorder="1" applyFont="1">
      <alignment vertical="top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IFERROR(__xludf.DUMMYFUNCTION("""COMPUTED_VALUE"""),"1hVwFlW5MKD4NHZXvDHfS6l0ApW93ZHmg5lFN4Tn10aY")</f>
        <v>1hVwFlW5MKD4NHZXvDHfS6l0ApW93ZHmg5lFN4Tn10aY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IFERROR(__xludf.DUMMYFUNCTION("""COMPUTED_VALUE"""),"ImportExportPath")</f>
        <v>ImportExportPath</v>
      </c>
      <c r="C5" s="27" t="str">
        <f>IFERROR(__xludf.DUMMYFUNCTION("""COMPUTED_VALUE"""),"PrePostCrossImport")</f>
        <v>PrePostCrossImport</v>
      </c>
      <c r="D5" s="27" t="str">
        <f>IFERROR(__xludf.DUMMYFUNCTION("""COMPUTED_VALUE"""),"InMarket")</f>
        <v>InMarket</v>
      </c>
      <c r="E5" s="27" t="str">
        <f>IFERROR(__xludf.DUMMYFUNCTION("""COMPUTED_VALUE"""),"InStage")</f>
        <v>InStage</v>
      </c>
      <c r="F5" s="28" t="str">
        <f>IFERROR(__xludf.DUMMYFUNCTION("""COMPUTED_VALUE"""),"PostInMarket")</f>
        <v>PostInMarket</v>
      </c>
      <c r="G5" s="27" t="str">
        <f>IFERROR(__xludf.DUMMYFUNCTION("""COMPUTED_VALUE"""),"PostInStage")</f>
        <v>PostInStage</v>
      </c>
      <c r="H5" s="27" t="str">
        <f>IFERROR(__xludf.DUMMYFUNCTION("""COMPUTED_VALUE"""),"BlockTradeOnComplianceFaliure")</f>
        <v>BlockTradeOnComplianceFaliure</v>
      </c>
      <c r="I5" s="27" t="str">
        <f>IFERROR(__xludf.DUMMYFUNCTION("""COMPUTED_VALUE"""),"StageValueFromField")</f>
        <v>StageValueFromField</v>
      </c>
      <c r="J5" s="27" t="str">
        <f>IFERROR(__xludf.DUMMYFUNCTION("""COMPUTED_VALUE"""),"StageValueFromFieldString")</f>
        <v>StageValueFromFieldString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/>
      <c r="C6" s="8"/>
      <c r="D6" s="30" t="b">
        <v>1</v>
      </c>
      <c r="E6" s="31" t="b">
        <v>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SetComplianceAlert!$4:$4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2" t="s">
        <v>18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AddCalculatedPreferences!$4:$4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IFERROR(__xludf.DUMMYFUNCTION("""COMPUTED_VALUE"""),"AccountName")</f>
        <v>AccountName</v>
      </c>
      <c r="D5" s="27" t="str">
        <f>IFERROR(__xludf.DUMMYFUNCTION("""COMPUTED_VALUE"""),"Percentage")</f>
        <v>Percentage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32" t="s">
        <v>18</v>
      </c>
      <c r="C6" s="33" t="s">
        <v>20</v>
      </c>
      <c r="D6" s="34">
        <v>50.0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5" t="s">
        <v>18</v>
      </c>
      <c r="C7" s="36" t="s">
        <v>21</v>
      </c>
      <c r="D7" s="37">
        <v>50.0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IFERROR(__xludf.DUMMYFUNCTION("""COMPUTED_VALUE"""),"AllocationMethod")</f>
        <v>AllocationMethod</v>
      </c>
      <c r="C5" s="27" t="str">
        <f>IFERROR(__xludf.DUMMYFUNCTION("""COMPUTED_VALUE"""),"RemainderAllocationTo")</f>
        <v>RemainderAllocationTo</v>
      </c>
      <c r="D5" s="27" t="str">
        <f>IFERROR(__xludf.DUMMYFUNCTION("""COMPUTED_VALUE"""),"Target%AsOf")</f>
        <v>Target%AsOf</v>
      </c>
      <c r="E5" s="27" t="str">
        <f>IFERROR(__xludf.DUMMYFUNCTION("""COMPUTED_VALUE"""),"ProrataAccounts")</f>
        <v>ProrataAccounts</v>
      </c>
      <c r="F5" s="28" t="str">
        <f>IFERROR(__xludf.DUMMYFUNCTION("""COMPUTED_VALUE"""),"DateUptoDays")</f>
        <v>DateUptoDays</v>
      </c>
      <c r="G5" s="27" t="str">
        <f>IFERROR(__xludf.DUMMYFUNCTION("""COMPUTED_VALUE"""),"MatchClosingTransactions")</f>
        <v>MatchClosingTransactions</v>
      </c>
      <c r="H5" s="27" t="str">
        <f>IFERROR(__xludf.DUMMYFUNCTION("""COMPUTED_VALUE"""),"PreferenceName")</f>
        <v>PreferenceName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38" t="s">
        <v>23</v>
      </c>
      <c r="C6" s="33"/>
      <c r="D6" s="39" t="s">
        <v>24</v>
      </c>
      <c r="E6" s="33"/>
      <c r="F6" s="33"/>
      <c r="G6" s="40" t="b">
        <v>0</v>
      </c>
      <c r="H6" s="41" t="s">
        <v>18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 t="str">
        <f>IFERROR(__xludf.DUMMYFUNCTION("""COMPUTED_VALUE"""),"ChkBoxBookAsSwap")</f>
        <v>ChkBoxBookAsSwap</v>
      </c>
      <c r="AT5" s="29" t="str">
        <f>IFERROR(__xludf.DUMMYFUNCTION("""COMPUTED_VALUE"""),"Interest Rate")</f>
        <v>Interest Rate</v>
      </c>
      <c r="AU5" s="29" t="str">
        <f>IFERROR(__xludf.DUMMYFUNCTION("""COMPUTED_VALUE"""),"OrderPendingNewPopup")</f>
        <v>OrderPendingNewPopup</v>
      </c>
      <c r="AV5" s="29" t="str">
        <f>IFERROR(__xludf.DUMMYFUNCTION("""COMPUTED_VALUE"""),"Master Funds")</f>
        <v>Master Funds</v>
      </c>
      <c r="AW5" s="29" t="str">
        <f>IFERROR(__xludf.DUMMYFUNCTION("""COMPUTED_VALUE"""),"Allow Duplicate Trade")</f>
        <v>Allow Duplicate Trade</v>
      </c>
      <c r="AX5" s="29" t="str">
        <f>IFERROR(__xludf.DUMMYFUNCTION("""COMPUTED_VALUE"""),"TRVAccountName")</f>
        <v>TRVAccountName</v>
      </c>
      <c r="AY5" s="29" t="str">
        <f>IFERROR(__xludf.DUMMYFUNCTION("""COMPUTED_VALUE"""),"TRVTradeQuantity")</f>
        <v>TRVTradeQuantity</v>
      </c>
      <c r="AZ5" s="29" t="str">
        <f>IFERROR(__xludf.DUMMYFUNCTION("""COMPUTED_VALUE"""),"TRVCurrentPosition")</f>
        <v>TRVCurrentPosition</v>
      </c>
      <c r="BA5" s="29" t="str">
        <f>IFERROR(__xludf.DUMMYFUNCTION("""COMPUTED_VALUE"""),"TRVNav")</f>
        <v>TRVNav</v>
      </c>
      <c r="BB5" s="29" t="str">
        <f>IFERROR(__xludf.DUMMYFUNCTION("""COMPUTED_VALUE"""),"SendClickOnNO")</f>
        <v>SendClickOnNO</v>
      </c>
      <c r="BC5" s="29" t="str">
        <f>IFERROR(__xludf.DUMMYFUNCTION("""COMPUTED_VALUE"""),"PendingApprovalPopUp")</f>
        <v>PendingApprovalPopUp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2" t="s">
        <v>27</v>
      </c>
      <c r="C6" s="12" t="s">
        <v>28</v>
      </c>
      <c r="D6" s="12">
        <v>1000.0</v>
      </c>
      <c r="E6" s="8"/>
      <c r="F6" s="42" t="s">
        <v>18</v>
      </c>
      <c r="G6" s="8"/>
      <c r="H6" s="8"/>
      <c r="I6" s="8"/>
      <c r="J6" s="12">
        <v>2.0</v>
      </c>
      <c r="K6" s="8"/>
      <c r="L6" s="8"/>
      <c r="M6" s="8"/>
      <c r="N6" s="8"/>
      <c r="O6" s="8"/>
      <c r="AO6" s="9" t="s">
        <v>29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2" t="s">
        <v>28</v>
      </c>
      <c r="C6" s="12" t="s">
        <v>27</v>
      </c>
      <c r="D6" s="8"/>
      <c r="E6" s="8"/>
      <c r="F6" s="8"/>
      <c r="G6" s="12">
        <v>1000.0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2" t="s">
        <v>28</v>
      </c>
      <c r="C6" s="12" t="s">
        <v>27</v>
      </c>
      <c r="D6" s="8"/>
      <c r="E6" s="8"/>
      <c r="F6" s="8"/>
      <c r="G6" s="12">
        <v>1000.0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IFERROR(__xludf.DUMMYFUNCTION("""COMPUTED_VALUE"""),"Button")</f>
        <v>Button</v>
      </c>
      <c r="AY5" s="29" t="str">
        <f>IFERROR(__xludf.DUMMYFUNCTION("""COMPUTED_VALUE"""),"EditOrder")</f>
        <v>EditOrder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2" t="s">
        <v>27</v>
      </c>
      <c r="C6" s="12" t="s">
        <v>28</v>
      </c>
      <c r="D6" s="12">
        <v>10.0</v>
      </c>
      <c r="E6" s="8"/>
      <c r="F6" s="42" t="s">
        <v>18</v>
      </c>
      <c r="G6" s="8"/>
      <c r="H6" s="8"/>
      <c r="I6" s="8"/>
      <c r="J6" s="12">
        <v>2.0</v>
      </c>
      <c r="K6" s="8"/>
      <c r="L6" s="8"/>
      <c r="M6" s="8"/>
      <c r="N6" s="8"/>
      <c r="O6" s="8"/>
      <c r="AX6" s="9" t="s">
        <v>34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CreateComplianceOrder!$4:$4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 t="str">
        <f>IFERROR(__xludf.DUMMYFUNCTION("""COMPUTED_VALUE"""),"VerifyExportState")</f>
        <v>VerifyExportState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2" t="s">
        <v>36</v>
      </c>
      <c r="C6" s="12" t="s">
        <v>37</v>
      </c>
      <c r="D6" s="12" t="s">
        <v>38</v>
      </c>
      <c r="E6" s="12" t="s">
        <v>39</v>
      </c>
      <c r="F6" s="12">
        <v>-1234.0</v>
      </c>
      <c r="G6" s="12">
        <v>505.0</v>
      </c>
      <c r="H6" s="12" t="s">
        <v>40</v>
      </c>
      <c r="I6" s="8"/>
      <c r="J6" s="8"/>
      <c r="K6" s="12" t="s">
        <v>41</v>
      </c>
      <c r="L6" s="8"/>
      <c r="M6" s="12" t="s">
        <v>34</v>
      </c>
      <c r="N6" s="8"/>
      <c r="O6" s="8"/>
    </row>
    <row r="7" ht="15.75" customHeight="1">
      <c r="A7" s="8"/>
      <c r="B7" s="12" t="s">
        <v>36</v>
      </c>
      <c r="C7" s="12" t="s">
        <v>37</v>
      </c>
      <c r="D7" s="12" t="s">
        <v>38</v>
      </c>
      <c r="E7" s="12" t="s">
        <v>42</v>
      </c>
      <c r="F7" s="12">
        <v>-1234.0</v>
      </c>
      <c r="G7" s="12">
        <v>505.0</v>
      </c>
      <c r="H7" s="12" t="s">
        <v>43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12" t="s">
        <v>36</v>
      </c>
      <c r="C8" s="12" t="s">
        <v>44</v>
      </c>
      <c r="D8" s="12" t="s">
        <v>45</v>
      </c>
      <c r="E8" s="12" t="s">
        <v>27</v>
      </c>
      <c r="F8" s="12">
        <v>-123466.0</v>
      </c>
      <c r="G8" s="12">
        <v>1010.0</v>
      </c>
      <c r="H8" s="12" t="s">
        <v>46</v>
      </c>
      <c r="I8" s="8"/>
      <c r="J8" s="8"/>
      <c r="K8" s="8"/>
      <c r="L8" s="8"/>
      <c r="M8" s="8"/>
      <c r="N8" s="8"/>
      <c r="O8" s="8"/>
    </row>
    <row r="9" ht="15.75" customHeight="1">
      <c r="A9" s="8"/>
      <c r="B9" s="12" t="s">
        <v>36</v>
      </c>
      <c r="C9" s="12" t="s">
        <v>47</v>
      </c>
      <c r="D9" s="12" t="s">
        <v>38</v>
      </c>
      <c r="E9" s="12" t="s">
        <v>27</v>
      </c>
      <c r="F9" s="12">
        <v>-1234.0</v>
      </c>
      <c r="G9" s="12">
        <v>5.0</v>
      </c>
      <c r="H9" s="12" t="s">
        <v>48</v>
      </c>
      <c r="I9" s="8"/>
      <c r="J9" s="8"/>
      <c r="K9" s="8"/>
      <c r="L9" s="8"/>
      <c r="M9" s="8"/>
      <c r="N9" s="8"/>
      <c r="O9" s="8"/>
    </row>
    <row r="10" ht="15.75" customHeight="1">
      <c r="A10" s="8"/>
      <c r="B10" s="12" t="s">
        <v>36</v>
      </c>
      <c r="C10" s="12" t="s">
        <v>47</v>
      </c>
      <c r="D10" s="12" t="s">
        <v>38</v>
      </c>
      <c r="E10" s="12" t="s">
        <v>27</v>
      </c>
      <c r="F10" s="12">
        <v>-1234.0</v>
      </c>
      <c r="G10" s="12">
        <v>5.0</v>
      </c>
      <c r="H10" s="12" t="s">
        <v>48</v>
      </c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12"/>
      <c r="C12" s="12"/>
      <c r="D12" s="12"/>
      <c r="E12" s="12"/>
      <c r="F12" s="12"/>
      <c r="G12" s="12"/>
      <c r="H12" s="12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12"/>
      <c r="C13" s="12"/>
      <c r="D13" s="12"/>
      <c r="E13" s="12"/>
      <c r="F13" s="12"/>
      <c r="G13" s="12"/>
      <c r="H13" s="12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12"/>
      <c r="C14" s="12"/>
      <c r="D14" s="12"/>
      <c r="E14" s="12"/>
      <c r="F14" s="12"/>
      <c r="G14" s="12"/>
      <c r="H14" s="12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12"/>
      <c r="C15" s="12"/>
      <c r="D15" s="12"/>
      <c r="E15" s="12"/>
      <c r="F15" s="12"/>
      <c r="G15" s="12"/>
      <c r="H15" s="12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/>
      <c r="C6" s="8"/>
      <c r="D6" s="12" t="s">
        <v>27</v>
      </c>
      <c r="E6" s="8"/>
      <c r="F6" s="12" t="s">
        <v>28</v>
      </c>
      <c r="G6" s="12" t="s">
        <v>51</v>
      </c>
      <c r="H6" s="12">
        <v>1000.0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27</v>
      </c>
      <c r="AK6" s="9" t="s">
        <v>28</v>
      </c>
      <c r="AL6" s="9" t="s">
        <v>51</v>
      </c>
      <c r="AM6" s="9">
        <v>1000.0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IFERROR(__xludf.DUMMYFUNCTION("""COMPUTED_VALUE"""),"SharesOutstandingPopUp")</f>
        <v>SharesOutstandingPopUp</v>
      </c>
      <c r="AQ5" s="29" t="str">
        <f>IFERROR(__xludf.DUMMYFUNCTION("""COMPUTED_VALUE"""),"Interest Rate")</f>
        <v>Interest Rate</v>
      </c>
      <c r="AR5" s="29" t="str">
        <f>IFERROR(__xludf.DUMMYFUNCTION("""COMPUTED_VALUE"""),"SelectAlgoStrategy")</f>
        <v>SelectAlgoStrategy</v>
      </c>
      <c r="AS5" s="29" t="str">
        <f>IFERROR(__xludf.DUMMYFUNCTION("""COMPUTED_VALUE"""),"ClearOldCA")</f>
        <v>ClearOldCA</v>
      </c>
      <c r="AT5" s="29" t="str">
        <f>IFERROR(__xludf.DUMMYFUNCTION("""COMPUTED_VALUE"""),"TRVAccountName")</f>
        <v>TRVAccountName</v>
      </c>
      <c r="AU5" s="29" t="str">
        <f>IFERROR(__xludf.DUMMYFUNCTION("""COMPUTED_VALUE"""),"TRVTradeQuantity")</f>
        <v>TRVTradeQuantity</v>
      </c>
      <c r="AV5" s="29" t="str">
        <f>IFERROR(__xludf.DUMMYFUNCTION("""COMPUTED_VALUE"""),"TRVCurrentPosition")</f>
        <v>TRVCurrentPosition</v>
      </c>
      <c r="AW5" s="29" t="str">
        <f>IFERROR(__xludf.DUMMYFUNCTION("""COMPUTED_VALUE"""),"TRVNav")</f>
        <v>TRVNav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27</v>
      </c>
      <c r="C6" s="8"/>
      <c r="D6" s="12">
        <v>800.0</v>
      </c>
      <c r="E6" s="43"/>
      <c r="F6" s="8"/>
      <c r="G6" s="8"/>
      <c r="H6" s="8"/>
      <c r="I6" s="8"/>
      <c r="J6" s="12">
        <v>2.0</v>
      </c>
      <c r="K6" s="8"/>
      <c r="L6" s="8"/>
      <c r="M6" s="8"/>
      <c r="N6" s="8"/>
      <c r="O6" s="8"/>
      <c r="AO6" s="9" t="s">
        <v>29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54</v>
      </c>
      <c r="D3" s="5" t="s">
        <v>9</v>
      </c>
      <c r="E3" s="22" t="s">
        <v>55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 t="str">
        <f>IFERROR(__xludf.DUMMYFUNCTION("""COMPUTED_VALUE"""),"GetEmail")</f>
        <v>GetEmail</v>
      </c>
      <c r="AS4" s="25" t="str">
        <f>IFERROR(__xludf.DUMMYFUNCTION("""COMPUTED_VALUE"""),"EnableDisableRule")</f>
        <v>EnableDisableRule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IFERROR(__xludf.DUMMYFUNCTION("""COMPUTED_VALUE"""),"Restart Basket")</f>
        <v>Restart Basket</v>
      </c>
      <c r="C5" s="27" t="str">
        <f>IFERROR(__xludf.DUMMYFUNCTION("""COMPUTED_VALUE"""),"DontShutSimulator")</f>
        <v>DontShutSimulator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29</v>
      </c>
      <c r="D6" s="12"/>
      <c r="E6" s="43"/>
      <c r="F6" s="8"/>
      <c r="G6" s="8"/>
      <c r="H6" s="8"/>
      <c r="I6" s="8"/>
      <c r="J6" s="12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RestartReleasesAndServices!$4:$4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 t="str">
        <f>IFERROR(__xludf.DUMMYFUNCTION("""COMPUTED_VALUE"""),"VerifyExportState")</f>
        <v>VerifyExportState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44" t="s">
        <v>36</v>
      </c>
      <c r="C6" s="45" t="s">
        <v>37</v>
      </c>
      <c r="D6" s="45" t="s">
        <v>38</v>
      </c>
      <c r="E6" s="45" t="s">
        <v>42</v>
      </c>
      <c r="F6" s="45">
        <v>-1234.0</v>
      </c>
      <c r="G6" s="45">
        <v>505.0</v>
      </c>
      <c r="H6" s="46" t="s">
        <v>43</v>
      </c>
      <c r="I6" s="36"/>
      <c r="J6" s="8"/>
      <c r="K6" s="12" t="s">
        <v>41</v>
      </c>
      <c r="L6" s="8"/>
      <c r="M6" s="12" t="s">
        <v>34</v>
      </c>
      <c r="N6" s="8"/>
      <c r="O6" s="8"/>
    </row>
    <row r="7" ht="15.75" customHeight="1">
      <c r="A7" s="8"/>
      <c r="B7" s="47" t="s">
        <v>36</v>
      </c>
      <c r="C7" s="48" t="s">
        <v>37</v>
      </c>
      <c r="D7" s="48" t="s">
        <v>38</v>
      </c>
      <c r="E7" s="48" t="s">
        <v>39</v>
      </c>
      <c r="F7" s="48">
        <v>-1234.0</v>
      </c>
      <c r="G7" s="48">
        <v>505.0</v>
      </c>
      <c r="H7" s="49" t="s">
        <v>40</v>
      </c>
      <c r="I7" s="36"/>
      <c r="J7" s="8"/>
      <c r="K7" s="8"/>
      <c r="L7" s="8"/>
      <c r="M7" s="8"/>
      <c r="N7" s="8"/>
      <c r="O7" s="8"/>
    </row>
    <row r="8" ht="15.75" customHeight="1">
      <c r="A8" s="8"/>
      <c r="B8" s="47" t="s">
        <v>36</v>
      </c>
      <c r="C8" s="50" t="s">
        <v>44</v>
      </c>
      <c r="D8" s="50" t="s">
        <v>45</v>
      </c>
      <c r="E8" s="50" t="s">
        <v>27</v>
      </c>
      <c r="F8" s="50">
        <v>-123466.0</v>
      </c>
      <c r="G8" s="50">
        <v>1010.0</v>
      </c>
      <c r="H8" s="51" t="s">
        <v>46</v>
      </c>
      <c r="I8" s="36"/>
      <c r="J8" s="8"/>
      <c r="K8" s="8"/>
      <c r="L8" s="8"/>
      <c r="M8" s="8"/>
      <c r="N8" s="8"/>
      <c r="O8" s="8"/>
    </row>
    <row r="9" ht="15.75" customHeight="1">
      <c r="A9" s="8"/>
      <c r="B9" s="47" t="s">
        <v>36</v>
      </c>
      <c r="C9" s="48" t="s">
        <v>47</v>
      </c>
      <c r="D9" s="48" t="s">
        <v>38</v>
      </c>
      <c r="E9" s="48" t="s">
        <v>27</v>
      </c>
      <c r="F9" s="48">
        <v>-1234.0</v>
      </c>
      <c r="G9" s="48">
        <v>5.0</v>
      </c>
      <c r="H9" s="49" t="s">
        <v>48</v>
      </c>
      <c r="I9" s="36"/>
      <c r="J9" s="8"/>
      <c r="K9" s="8"/>
      <c r="L9" s="8"/>
      <c r="M9" s="8"/>
      <c r="N9" s="8"/>
      <c r="O9" s="8"/>
    </row>
    <row r="10" ht="15.75" customHeight="1">
      <c r="A10" s="8"/>
      <c r="B10" s="47" t="s">
        <v>36</v>
      </c>
      <c r="C10" s="50" t="s">
        <v>47</v>
      </c>
      <c r="D10" s="50" t="s">
        <v>38</v>
      </c>
      <c r="E10" s="50" t="s">
        <v>27</v>
      </c>
      <c r="F10" s="50">
        <v>-1234.0</v>
      </c>
      <c r="G10" s="50">
        <v>5.0</v>
      </c>
      <c r="H10" s="51" t="s">
        <v>48</v>
      </c>
      <c r="I10" s="36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VerifyComplianceOrder1!$4:$4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IFERROR(__xludf.DUMMYFUNCTION("""COMPUTED_VALUE"""),"Button")</f>
        <v>Button</v>
      </c>
      <c r="AY5" s="29" t="str">
        <f>IFERROR(__xludf.DUMMYFUNCTION("""COMPUTED_VALUE"""),"EditOrder")</f>
        <v>EditOrder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2" t="s">
        <v>27</v>
      </c>
      <c r="C6" s="12" t="s">
        <v>28</v>
      </c>
      <c r="D6" s="12">
        <v>10.0</v>
      </c>
      <c r="E6" s="8"/>
      <c r="F6" s="42" t="s">
        <v>18</v>
      </c>
      <c r="G6" s="8"/>
      <c r="H6" s="8"/>
      <c r="I6" s="8"/>
      <c r="J6" s="12">
        <v>2.0</v>
      </c>
      <c r="K6" s="8"/>
      <c r="L6" s="8"/>
      <c r="M6" s="8"/>
      <c r="N6" s="8"/>
      <c r="O6" s="8"/>
      <c r="AX6" s="9" t="s">
        <v>34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CreateComplianceOrder1!$4:$4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 t="str">
        <f>IFERROR(__xludf.DUMMYFUNCTION("""COMPUTED_VALUE"""),"CancelOrderPopup(Yes/No)")</f>
        <v>CancelOrderPopup(Yes/No)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6"/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 t="s">
        <v>27</v>
      </c>
      <c r="AJ6" s="36" t="s">
        <v>28</v>
      </c>
      <c r="AK6" s="36" t="s">
        <v>51</v>
      </c>
      <c r="AL6" s="52">
        <v>1000.0</v>
      </c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 t="s">
        <v>51</v>
      </c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CancelSubOrder!$4:$4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IFERROR(__xludf.DUMMYFUNCTION("""COMPUTED_VALUE"""),"AssetName")</f>
        <v>AssetName</v>
      </c>
      <c r="C5" s="27" t="str">
        <f>IFERROR(__xludf.DUMMYFUNCTION("""COMPUTED_VALUE"""),"UnderLyingName")</f>
        <v>UnderLyingName</v>
      </c>
      <c r="D5" s="27" t="str">
        <f>IFERROR(__xludf.DUMMYFUNCTION("""COMPUTED_VALUE"""),"DisplayName")</f>
        <v>DisplayName</v>
      </c>
      <c r="E5" s="53" t="str">
        <f>IFERROR(__xludf.DUMMYFUNCTION("""COMPUTED_VALUE"""),"ClearanceTime")</f>
        <v>ClearanceTime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54" t="s">
        <v>58</v>
      </c>
      <c r="C6" s="55" t="s">
        <v>59</v>
      </c>
      <c r="D6" s="55" t="s">
        <v>60</v>
      </c>
      <c r="E6" s="56">
        <v>2.0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SetRollover!$4:$4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61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6"/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 t="s">
        <v>27</v>
      </c>
      <c r="AJ6" s="36" t="s">
        <v>28</v>
      </c>
      <c r="AK6" s="36" t="s">
        <v>62</v>
      </c>
      <c r="AL6" s="52">
        <v>800.0</v>
      </c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 t="s">
        <v>63</v>
      </c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VerifyRollover!$4:$4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IFERROR(__xludf.DUMMYFUNCTION("""COMPUTED_VALUE"""),"Button")</f>
        <v>Button</v>
      </c>
      <c r="AY5" s="29" t="str">
        <f>IFERROR(__xludf.DUMMYFUNCTION("""COMPUTED_VALUE"""),"EditOrder")</f>
        <v>EditOrder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2" t="s">
        <v>27</v>
      </c>
      <c r="C6" s="12" t="s">
        <v>28</v>
      </c>
      <c r="D6" s="12">
        <v>10.0</v>
      </c>
      <c r="E6" s="8"/>
      <c r="F6" s="42" t="s">
        <v>18</v>
      </c>
      <c r="G6" s="8"/>
      <c r="H6" s="8"/>
      <c r="I6" s="8"/>
      <c r="J6" s="12">
        <v>2.0</v>
      </c>
      <c r="K6" s="8"/>
      <c r="L6" s="8"/>
      <c r="M6" s="8"/>
      <c r="N6" s="8"/>
      <c r="O6" s="8"/>
      <c r="AQ6" s="9" t="s">
        <v>29</v>
      </c>
      <c r="AX6" s="9" t="s">
        <v>34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CreateComplianceOrder2!$4:$4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 t="str">
        <f>IFERROR(__xludf.DUMMYFUNCTION("""COMPUTED_VALUE"""),"VerifyExportState")</f>
        <v>VerifyExportState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44" t="s">
        <v>36</v>
      </c>
      <c r="C6" s="45" t="s">
        <v>37</v>
      </c>
      <c r="D6" s="45" t="s">
        <v>38</v>
      </c>
      <c r="E6" s="45" t="s">
        <v>42</v>
      </c>
      <c r="F6" s="45">
        <v>-1234.0</v>
      </c>
      <c r="G6" s="45">
        <v>5.0</v>
      </c>
      <c r="H6" s="46" t="s">
        <v>64</v>
      </c>
      <c r="I6" s="57"/>
      <c r="J6" s="8"/>
      <c r="K6" s="35" t="s">
        <v>41</v>
      </c>
      <c r="L6" s="36"/>
      <c r="M6" s="35" t="s">
        <v>34</v>
      </c>
      <c r="N6" s="8"/>
      <c r="O6" s="8"/>
    </row>
    <row r="7" ht="15.75" customHeight="1">
      <c r="A7" s="8"/>
      <c r="B7" s="47" t="s">
        <v>36</v>
      </c>
      <c r="C7" s="48" t="s">
        <v>37</v>
      </c>
      <c r="D7" s="48" t="s">
        <v>38</v>
      </c>
      <c r="E7" s="48" t="s">
        <v>39</v>
      </c>
      <c r="F7" s="48">
        <v>-1234.0</v>
      </c>
      <c r="G7" s="48">
        <v>5.0</v>
      </c>
      <c r="H7" s="49" t="s">
        <v>65</v>
      </c>
      <c r="I7" s="58"/>
      <c r="J7" s="8"/>
      <c r="K7" s="8"/>
      <c r="L7" s="8"/>
      <c r="M7" s="8"/>
      <c r="N7" s="8"/>
      <c r="O7" s="8"/>
    </row>
    <row r="8" ht="15.75" customHeight="1">
      <c r="A8" s="8"/>
      <c r="B8" s="47" t="s">
        <v>36</v>
      </c>
      <c r="C8" s="50" t="s">
        <v>44</v>
      </c>
      <c r="D8" s="50" t="s">
        <v>45</v>
      </c>
      <c r="E8" s="50" t="s">
        <v>27</v>
      </c>
      <c r="F8" s="50">
        <v>-123466.0</v>
      </c>
      <c r="G8" s="50">
        <v>10.0</v>
      </c>
      <c r="H8" s="51" t="s">
        <v>66</v>
      </c>
      <c r="I8" s="59"/>
      <c r="J8" s="8"/>
      <c r="K8" s="8"/>
      <c r="L8" s="8"/>
      <c r="M8" s="8"/>
      <c r="N8" s="8"/>
      <c r="O8" s="8"/>
    </row>
    <row r="9" ht="15.75" customHeight="1">
      <c r="A9" s="8"/>
      <c r="B9" s="47" t="s">
        <v>36</v>
      </c>
      <c r="C9" s="48" t="s">
        <v>47</v>
      </c>
      <c r="D9" s="48" t="s">
        <v>38</v>
      </c>
      <c r="E9" s="48" t="s">
        <v>27</v>
      </c>
      <c r="F9" s="48">
        <v>-1234.0</v>
      </c>
      <c r="G9" s="48">
        <v>5.0</v>
      </c>
      <c r="H9" s="49" t="s">
        <v>48</v>
      </c>
      <c r="I9" s="60"/>
      <c r="J9" s="8"/>
      <c r="K9" s="8"/>
      <c r="L9" s="8"/>
      <c r="M9" s="8"/>
      <c r="N9" s="8"/>
      <c r="O9" s="8"/>
    </row>
    <row r="10" ht="15.75" customHeight="1">
      <c r="A10" s="8"/>
      <c r="B10" s="47" t="s">
        <v>36</v>
      </c>
      <c r="C10" s="50" t="s">
        <v>47</v>
      </c>
      <c r="D10" s="50" t="s">
        <v>38</v>
      </c>
      <c r="E10" s="50" t="s">
        <v>27</v>
      </c>
      <c r="F10" s="50">
        <v>-1234.0</v>
      </c>
      <c r="G10" s="50">
        <v>5.0</v>
      </c>
      <c r="H10" s="51" t="s">
        <v>48</v>
      </c>
      <c r="I10" s="59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J12" s="8"/>
      <c r="K12" s="8"/>
      <c r="L12" s="8"/>
      <c r="M12" s="8"/>
      <c r="N12" s="8"/>
      <c r="O12" s="8"/>
    </row>
    <row r="13" ht="15.75" customHeight="1">
      <c r="A13" s="8"/>
      <c r="J13" s="8"/>
      <c r="K13" s="8"/>
      <c r="L13" s="8"/>
      <c r="M13" s="8"/>
      <c r="N13" s="8"/>
      <c r="O13" s="8"/>
    </row>
    <row r="14" ht="15.75" customHeight="1">
      <c r="A14" s="8"/>
      <c r="J14" s="8"/>
      <c r="K14" s="8"/>
      <c r="L14" s="8"/>
      <c r="M14" s="8"/>
      <c r="N14" s="8"/>
      <c r="O14" s="8"/>
    </row>
    <row r="15" ht="15.75" customHeight="1">
      <c r="A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VerifyComplianceOrder2!$4:$4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67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35" t="s">
        <v>28</v>
      </c>
      <c r="C6" s="35" t="s">
        <v>27</v>
      </c>
      <c r="D6" s="8"/>
      <c r="E6" s="8"/>
      <c r="F6" s="8"/>
      <c r="G6" s="12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RejectTrade!$4:$4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61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61"/>
      <c r="B6" s="61"/>
      <c r="C6" s="36"/>
      <c r="D6" s="61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 t="s">
        <v>27</v>
      </c>
      <c r="AJ6" s="36" t="s">
        <v>28</v>
      </c>
      <c r="AK6" s="36" t="s">
        <v>68</v>
      </c>
      <c r="AL6" s="52">
        <v>1000.0</v>
      </c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 t="s">
        <v>63</v>
      </c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VerifyRollover1!$4:$4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61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6"/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 t="s">
        <v>27</v>
      </c>
      <c r="AJ6" s="36" t="s">
        <v>28</v>
      </c>
      <c r="AK6" s="62" t="s">
        <v>69</v>
      </c>
      <c r="AL6" s="52">
        <v>1000.0</v>
      </c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62" t="s">
        <v>69</v>
      </c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VerifyRollover2!$4:$4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