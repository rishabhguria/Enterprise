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1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  <sheet state="visible" name="VerifyRowCalculationBaseWindow" sheetId="16" r:id="rId18"/>
    <sheet state="visible" name="EditOrder" sheetId="17" r:id="rId19"/>
    <sheet state="visible" name="CreateReplaceOrder" sheetId="18" r:id="rId20"/>
    <sheet state="visible" name="VerifySubOrder" sheetId="19" r:id="rId21"/>
    <sheet state="visible" name="VerifyOrder1" sheetId="20" r:id="rId22"/>
    <sheet state="visible" name="VerifyRowCalculationBaseWindow1" sheetId="21" r:id="rId23"/>
    <sheet state="visible" name="AddFillsSubOrder" sheetId="22" r:id="rId24"/>
    <sheet state="visible" name="EditAddFillsDetails" sheetId="23" r:id="rId25"/>
    <sheet state="visible" name="VerifyRowCalculationBaseWindow2" sheetId="24" r:id="rId26"/>
  </sheets>
  <definedNames/>
  <calcPr/>
</workbook>
</file>

<file path=xl/sharedStrings.xml><?xml version="1.0" encoding="utf-8"?>
<sst xmlns="http://schemas.openxmlformats.org/spreadsheetml/2006/main" count="378" uniqueCount="71">
  <si>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</si>
  <si>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</si>
  <si>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</si>
  <si>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</si>
  <si>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</si>
  <si>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</si>
  <si>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</si>
  <si>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</si>
  <si>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</si>
  <si>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</si>
  <si>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</si>
  <si>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</si>
  <si>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</si>
  <si>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</si>
  <si>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</si>
  <si>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</si>
  <si>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</si>
  <si>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</si>
  <si>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</si>
  <si>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</si>
  <si>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</si>
  <si>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TSLA</t>
  </si>
  <si>
    <t>Unallocated</t>
  </si>
  <si>
    <t>Yes</t>
  </si>
  <si>
    <t>PricingInput</t>
  </si>
  <si>
    <t>PTT</t>
  </si>
  <si>
    <t>CalculatePTT</t>
  </si>
  <si>
    <t>Buy</t>
  </si>
  <si>
    <t>Percentage</t>
  </si>
  <si>
    <t>No</t>
  </si>
  <si>
    <t>Account</t>
  </si>
  <si>
    <t>VerifyPTT</t>
  </si>
  <si>
    <t>TradePTT</t>
  </si>
  <si>
    <t>Market</t>
  </si>
  <si>
    <t>Blotter</t>
  </si>
  <si>
    <t>VerifyOrder</t>
  </si>
  <si>
    <t>NASDAQ</t>
  </si>
  <si>
    <t>US</t>
  </si>
  <si>
    <t>M</t>
  </si>
  <si>
    <t>Equity</t>
  </si>
  <si>
    <t>Filled</t>
  </si>
  <si>
    <t>MS</t>
  </si>
  <si>
    <t>Manual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</si>
  <si>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</si>
  <si>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</si>
  <si>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</si>
  <si>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</si>
  <si>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</si>
  <si>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</si>
  <si>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</si>
  <si>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</si>
  <si>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jpearce</t>
  </si>
  <si>
    <t>NONE</t>
  </si>
  <si>
    <t>PortfolioManagement</t>
  </si>
  <si>
    <t>CheckPortfolioManagement</t>
  </si>
  <si>
    <t>NewMF</t>
  </si>
  <si>
    <t>Long</t>
  </si>
  <si>
    <t>Undefined</t>
  </si>
  <si>
    <t>FIMAT</t>
  </si>
  <si>
    <t>User Defined</t>
  </si>
  <si>
    <t>Default</t>
  </si>
  <si>
    <t>UK</t>
  </si>
  <si>
    <t>Compliance</t>
  </si>
  <si>
    <t>VerifyRowCalculationBaseWindow</t>
  </si>
  <si>
    <t>Post</t>
  </si>
  <si>
    <t>EditOrder</t>
  </si>
  <si>
    <t>CreateReplaceOrder</t>
  </si>
  <si>
    <t>VerifySubOrder</t>
  </si>
  <si>
    <t>Replaced</t>
  </si>
  <si>
    <t>AddFillsSubOrder</t>
  </si>
  <si>
    <t>EditAddFillsDetails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</si>
</sst>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</font>
    <font>
      <sz val="9.0"/>
      <color rgb="FFFF8000"/>
      <name val="&quot;Segoe UI&quot;"/>
    </font>
    <font>
      <sz val="11.0"/>
      <color rgb="FF000000"/>
      <name val="Calibri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/>
    </xf>
    <xf borderId="0" fillId="6" fontId="14" numFmtId="0" xfId="0" applyAlignment="1" applyFill="1" applyFont="1">
      <alignment horizontal="right" vertical="top"/>
    </xf>
    <xf borderId="0" fillId="6" fontId="5" numFmtId="0" xfId="0" applyAlignment="1" applyFont="1">
      <alignment shrinkToFit="0" wrapText="0"/>
    </xf>
    <xf borderId="0" fillId="6" fontId="2" numFmtId="0" xfId="0" applyFont="1"/>
    <xf borderId="0" fillId="6" fontId="3" numFmtId="165" xfId="0" applyAlignment="1" applyFont="1" applyNumberFormat="1">
      <alignment vertical="top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5" fillId="5" fontId="4" numFmtId="0" xfId="0" applyAlignment="1" applyBorder="1" applyFont="1">
      <alignment shrinkToFit="0" wrapText="0"/>
    </xf>
    <xf borderId="5" fillId="5" fontId="4" numFmtId="0" xfId="0" applyAlignment="1" applyBorder="1" applyFont="1">
      <alignment readingOrder="0" shrinkToFit="0" wrapText="0"/>
    </xf>
    <xf borderId="0" fillId="0" fontId="15" numFmtId="3" xfId="0" applyAlignment="1" applyFont="1" applyNumberFormat="1">
      <alignment horizontal="right" readingOrder="0" vertical="bottom"/>
    </xf>
    <xf borderId="0" fillId="0" fontId="15" numFmtId="3" xfId="0" applyAlignment="1" applyFont="1" applyNumberForma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horizontal="right" vertical="bottom"/>
    </xf>
    <xf borderId="0" fillId="0" fontId="3" numFmtId="165" xfId="0" applyAlignment="1" applyFont="1" applyNumberFormat="1">
      <alignment readingOrder="0" vertical="bottom"/>
    </xf>
    <xf borderId="0" fillId="0" fontId="3" numFmtId="166" xfId="0" applyAlignment="1" applyFont="1" applyNumberFormat="1">
      <alignment readingOrder="0" vertical="bottom"/>
    </xf>
    <xf borderId="0" fillId="0" fontId="1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3" numFmtId="0" xfId="0" applyAlignment="1" applyFont="1">
      <alignment vertical="bottom"/>
    </xf>
    <xf borderId="0" fillId="6" fontId="16" numFmtId="0" xfId="0" applyAlignment="1" applyFont="1">
      <alignment horizontal="right" vertical="top"/>
    </xf>
    <xf borderId="0" fillId="6" fontId="17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6" fontId="5" numFmtId="0" xfId="0" applyAlignment="1" applyFont="1">
      <alignment horizontal="right" vertical="bottom"/>
    </xf>
    <xf borderId="0" fillId="6" fontId="3" numFmtId="0" xfId="0" applyAlignment="1" applyFont="1">
      <alignment horizontal="right" vertical="bottom"/>
    </xf>
    <xf borderId="0" fillId="6" fontId="18" numFmtId="0" xfId="0" applyAlignment="1" applyFont="1">
      <alignment horizontal="right" vertical="top"/>
    </xf>
    <xf borderId="6" fillId="7" fontId="14" numFmtId="0" xfId="0" applyAlignment="1" applyBorder="1" applyFill="1" applyFont="1">
      <alignment horizontal="right" vertical="top"/>
    </xf>
    <xf borderId="6" fillId="7" fontId="14" numFmtId="0" xfId="0" applyAlignment="1" applyBorder="1" applyFont="1">
      <alignment horizontal="right" vertical="top"/>
    </xf>
    <xf borderId="6" fillId="7" fontId="18" numFmtId="0" xfId="0" applyAlignment="1" applyBorder="1" applyFont="1">
      <alignment horizontal="right" readingOrder="0" vertical="top"/>
    </xf>
    <xf borderId="0" fillId="7" fontId="14" numFmtId="0" xfId="0" applyAlignment="1" applyFont="1">
      <alignment horizontal="right" vertical="top"/>
    </xf>
    <xf borderId="0" fillId="7" fontId="16" numFmtId="0" xfId="0" applyAlignment="1" applyFont="1">
      <alignment horizontal="right" vertical="top"/>
    </xf>
    <xf borderId="0" fillId="7" fontId="17" numFmtId="0" xfId="0" applyAlignment="1" applyFont="1">
      <alignment horizontal="right" vertical="top"/>
    </xf>
    <xf borderId="0" fillId="7" fontId="3" numFmtId="165" xfId="0" applyAlignment="1" applyFont="1" applyNumberFormat="1">
      <alignment vertical="top"/>
    </xf>
    <xf borderId="0" fillId="7" fontId="18" numFmtId="0" xfId="0" applyAlignment="1" applyFont="1">
      <alignment horizontal="right" readingOrder="0" vertical="top"/>
    </xf>
    <xf borderId="0" fillId="7" fontId="18" numFmtId="0" xfId="0" applyAlignment="1" applyFont="1">
      <alignment horizontal="right" vertical="top"/>
    </xf>
    <xf borderId="0" fillId="7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Relationship Id="rId3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9507200" cy="952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9507200" cy="95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44782</v>
      </c>
      <c r="C6" s="31">
        <f t="shared" si="1"/>
        <v>44782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100.0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22</v>
      </c>
      <c r="A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IFERROR(__xludf.DUMMYFUNCTION("""COMPUTED_VALUE"""),"Default Symbology")</f>
        <v>Default Symbology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 t="s">
        <v>21</v>
      </c>
      <c r="C6" s="13" t="s">
        <v>27</v>
      </c>
      <c r="D6" s="13" t="s">
        <v>28</v>
      </c>
      <c r="E6" s="13">
        <v>1.0</v>
      </c>
      <c r="F6" s="13">
        <v>1.0</v>
      </c>
      <c r="G6" s="13" t="s">
        <v>29</v>
      </c>
      <c r="H6" s="13" t="s">
        <v>30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13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IFERROR(__xludf.DUMMYFUNCTION("""COMPUTED_VALUE"""),"MasterFund NAV")</f>
        <v>MasterFund NAV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100000.0</v>
      </c>
      <c r="D6" s="13">
        <v>0.0</v>
      </c>
      <c r="E6" s="13">
        <v>0.0</v>
      </c>
      <c r="F6" s="13">
        <v>0.0</v>
      </c>
      <c r="G6" s="13">
        <v>1.0</v>
      </c>
      <c r="H6" s="13">
        <v>1.0</v>
      </c>
      <c r="I6" s="13">
        <v>1000.0</v>
      </c>
      <c r="J6" s="13">
        <v>1000.0</v>
      </c>
      <c r="K6" s="13">
        <v>1000.0</v>
      </c>
      <c r="L6" s="13">
        <v>100.0</v>
      </c>
      <c r="M6" s="13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IFERROR(__xludf.DUMMYFUNCTION("""COMPUTED_VALUE"""),"Default Symbology")</f>
        <v>Default Symbology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 t="s">
        <v>21</v>
      </c>
      <c r="C6" s="13" t="s">
        <v>27</v>
      </c>
      <c r="D6" s="13" t="s">
        <v>28</v>
      </c>
      <c r="E6" s="13">
        <v>1.0</v>
      </c>
      <c r="F6" s="13">
        <v>1.0</v>
      </c>
      <c r="G6" s="13" t="s">
        <v>29</v>
      </c>
      <c r="H6" s="13" t="s">
        <v>30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27</v>
      </c>
      <c r="D6" s="13">
        <v>1000.0</v>
      </c>
      <c r="E6" s="13">
        <v>1000.0</v>
      </c>
      <c r="F6" s="13"/>
      <c r="G6" s="8"/>
      <c r="H6" s="8"/>
      <c r="I6" s="13" t="s">
        <v>33</v>
      </c>
      <c r="J6" s="13">
        <v>1.0</v>
      </c>
      <c r="K6" s="8"/>
      <c r="L6" s="8"/>
      <c r="M6" s="8"/>
      <c r="N6" s="8"/>
      <c r="O6" s="8"/>
      <c r="A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/>
      <c r="F6" s="13">
        <v>0.0</v>
      </c>
      <c r="G6" s="8"/>
      <c r="H6" s="13" t="s">
        <v>36</v>
      </c>
      <c r="I6" s="8"/>
      <c r="J6" s="13" t="s">
        <v>21</v>
      </c>
      <c r="K6" s="13" t="s">
        <v>37</v>
      </c>
      <c r="L6" s="8"/>
      <c r="M6" s="8"/>
      <c r="N6" s="8"/>
      <c r="O6" s="8"/>
      <c r="S6" s="9">
        <v>0.0</v>
      </c>
      <c r="T6" s="9">
        <v>0.0</v>
      </c>
      <c r="U6" s="9" t="s">
        <v>18</v>
      </c>
      <c r="AC6" s="33"/>
      <c r="AD6" s="9">
        <v>1.0</v>
      </c>
      <c r="AF6" s="9" t="s">
        <v>38</v>
      </c>
      <c r="AH6" s="9" t="s">
        <v>39</v>
      </c>
      <c r="AI6" s="9" t="s">
        <v>21</v>
      </c>
      <c r="AJ6" s="9" t="s">
        <v>27</v>
      </c>
      <c r="AK6" s="9" t="s">
        <v>40</v>
      </c>
      <c r="AL6" s="9">
        <v>1000.0</v>
      </c>
      <c r="AM6" s="9">
        <v>1000.0</v>
      </c>
      <c r="AN6" s="9">
        <v>100.0</v>
      </c>
      <c r="AO6" s="9">
        <v>1000.0</v>
      </c>
      <c r="AQ6" s="9">
        <v>1.0</v>
      </c>
      <c r="AR6" s="9">
        <v>1.0</v>
      </c>
      <c r="AS6" s="9" t="s">
        <v>41</v>
      </c>
      <c r="AT6" s="9" t="s">
        <v>17</v>
      </c>
      <c r="AU6" s="9" t="s">
        <v>33</v>
      </c>
      <c r="AV6" s="9">
        <v>1000.0</v>
      </c>
      <c r="AW6" s="9">
        <v>1000.0</v>
      </c>
      <c r="AX6" s="9" t="s">
        <v>42</v>
      </c>
      <c r="AY6" s="9">
        <v>1000.0</v>
      </c>
    </row>
    <row r="7" ht="15.75" customHeight="1">
      <c r="A7" s="8"/>
      <c r="B7" s="8"/>
      <c r="C7" s="8"/>
      <c r="D7" s="8"/>
      <c r="E7" s="8"/>
      <c r="F7" s="13">
        <v>0.0</v>
      </c>
      <c r="G7" s="8"/>
      <c r="H7" s="13" t="s">
        <v>36</v>
      </c>
      <c r="I7" s="8"/>
      <c r="J7" s="13" t="s">
        <v>21</v>
      </c>
      <c r="K7" s="13" t="s">
        <v>37</v>
      </c>
      <c r="L7" s="8"/>
      <c r="M7" s="8"/>
      <c r="N7" s="8"/>
      <c r="O7" s="8"/>
      <c r="S7" s="9">
        <v>0.0</v>
      </c>
      <c r="T7" s="9">
        <v>0.0</v>
      </c>
      <c r="U7" s="9" t="s">
        <v>18</v>
      </c>
      <c r="AD7" s="9">
        <v>1.0</v>
      </c>
      <c r="AF7" s="9" t="s">
        <v>38</v>
      </c>
      <c r="AH7" s="9" t="s">
        <v>39</v>
      </c>
      <c r="AI7" s="9" t="s">
        <v>21</v>
      </c>
      <c r="AJ7" s="9" t="s">
        <v>27</v>
      </c>
      <c r="AK7" s="9" t="s">
        <v>40</v>
      </c>
      <c r="AL7" s="9">
        <v>100.0</v>
      </c>
      <c r="AM7" s="9">
        <v>100.0</v>
      </c>
      <c r="AN7" s="9">
        <v>100.0</v>
      </c>
      <c r="AO7" s="9">
        <v>100.0</v>
      </c>
      <c r="AQ7" s="9">
        <v>1.0</v>
      </c>
      <c r="AR7" s="9">
        <v>1.0</v>
      </c>
      <c r="AS7" s="9" t="s">
        <v>41</v>
      </c>
      <c r="AU7" s="9" t="s">
        <v>33</v>
      </c>
      <c r="AV7" s="9">
        <v>100.0</v>
      </c>
      <c r="AW7" s="9">
        <v>100.0</v>
      </c>
      <c r="AY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Q9" s="34"/>
      <c r="AR9" s="34"/>
      <c r="AS9" s="34"/>
      <c r="AT9" s="34"/>
      <c r="AU9" s="34"/>
      <c r="AV9" s="34"/>
      <c r="AW9" s="34"/>
      <c r="AX9" s="34"/>
      <c r="AY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4"/>
      <c r="AD12" s="34"/>
      <c r="AE12" s="37"/>
      <c r="AF12" s="34"/>
      <c r="AG12" s="34"/>
      <c r="AH12" s="34"/>
      <c r="AI12" s="34"/>
      <c r="AJ12" s="34"/>
      <c r="AK12" s="34"/>
      <c r="AL12" s="34"/>
      <c r="AM12" s="34"/>
      <c r="AN12" s="34"/>
      <c r="AO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IFERROR(__xludf.DUMMYFUNCTION("""COMPUTED_VALUE"""),"isRowCountCheck")</f>
        <v>isRowCountCheck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 t="s">
        <v>17</v>
      </c>
      <c r="C6" s="8"/>
      <c r="D6" s="13"/>
      <c r="E6" s="38">
        <v>1000.0</v>
      </c>
      <c r="F6" s="13" t="s">
        <v>42</v>
      </c>
      <c r="G6" s="13" t="s">
        <v>39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/>
      <c r="N6" s="13"/>
      <c r="O6" s="13" t="s">
        <v>41</v>
      </c>
      <c r="Q6" s="9">
        <v>3.0</v>
      </c>
      <c r="R6" s="9">
        <v>0.0</v>
      </c>
      <c r="S6" s="9" t="s">
        <v>47</v>
      </c>
      <c r="T6" s="9">
        <v>0.0</v>
      </c>
      <c r="U6" s="9">
        <v>0.0</v>
      </c>
      <c r="Z6" s="9" t="s">
        <v>18</v>
      </c>
      <c r="AB6" s="9">
        <v>1.0</v>
      </c>
      <c r="AD6" s="9" t="s">
        <v>36</v>
      </c>
      <c r="AE6" s="39">
        <v>1000.0</v>
      </c>
      <c r="AH6" s="9" t="s">
        <v>38</v>
      </c>
      <c r="AI6" s="9">
        <v>1.0</v>
      </c>
      <c r="AJ6" s="9" t="s">
        <v>48</v>
      </c>
      <c r="AM6" s="40"/>
      <c r="AN6" s="9" t="b">
        <v>0</v>
      </c>
      <c r="AP6" s="9" t="b">
        <v>1</v>
      </c>
      <c r="AQ6" s="9" t="b">
        <v>0</v>
      </c>
      <c r="AR6" s="9" t="b">
        <v>1</v>
      </c>
      <c r="AT6" s="39">
        <v>1014.0006</v>
      </c>
      <c r="AU6" s="39">
        <v>1014.0006</v>
      </c>
      <c r="AW6" s="9">
        <v>0.0</v>
      </c>
      <c r="AX6" s="9">
        <v>0.0</v>
      </c>
      <c r="AY6" s="9" t="s">
        <v>33</v>
      </c>
      <c r="AZ6" s="9">
        <v>0.0</v>
      </c>
      <c r="BC6" s="9">
        <v>0.0</v>
      </c>
      <c r="BE6" s="39">
        <v>1000.0</v>
      </c>
      <c r="BF6" s="39">
        <v>1000.0</v>
      </c>
      <c r="BJ6" s="39">
        <v>1000.0</v>
      </c>
      <c r="BK6" s="9">
        <v>0.0</v>
      </c>
      <c r="BM6" s="9" t="s">
        <v>18</v>
      </c>
      <c r="BO6" s="9" t="s">
        <v>27</v>
      </c>
      <c r="BP6" s="9">
        <v>0.0</v>
      </c>
      <c r="BQ6" s="9">
        <v>0.0</v>
      </c>
      <c r="BS6" s="40" t="s">
        <v>49</v>
      </c>
      <c r="BT6" s="9" t="s">
        <v>21</v>
      </c>
      <c r="BU6" s="9">
        <v>3.0</v>
      </c>
      <c r="BV6" s="9">
        <v>0.0</v>
      </c>
      <c r="BW6" s="9">
        <v>14.0006</v>
      </c>
      <c r="BX6" s="9">
        <v>0.0</v>
      </c>
      <c r="CF6" s="40" t="s">
        <v>50</v>
      </c>
      <c r="CG6" s="9">
        <v>2.0</v>
      </c>
      <c r="CH6" s="41" t="s">
        <v>25</v>
      </c>
      <c r="CI6" s="9" t="s">
        <v>27</v>
      </c>
      <c r="CJ6" s="9">
        <v>0.0</v>
      </c>
      <c r="CK6" s="9" t="s">
        <v>37</v>
      </c>
      <c r="CL6" s="9">
        <v>1.0</v>
      </c>
      <c r="CM6" s="9" t="s">
        <v>21</v>
      </c>
      <c r="CN6" s="40" t="s">
        <v>51</v>
      </c>
      <c r="CO6" s="40" t="s">
        <v>36</v>
      </c>
      <c r="CP6" s="40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/>
      <c r="C9" s="40"/>
      <c r="D9" s="42"/>
      <c r="E9" s="43"/>
      <c r="F9" s="40"/>
      <c r="G9" s="40"/>
      <c r="H9" s="42"/>
      <c r="I9" s="42"/>
      <c r="J9" s="42"/>
      <c r="K9" s="42"/>
      <c r="L9" s="42"/>
      <c r="M9" s="40"/>
      <c r="N9" s="40"/>
      <c r="O9" s="40"/>
      <c r="P9" s="42"/>
      <c r="Q9" s="42"/>
      <c r="R9" s="42"/>
      <c r="S9" s="40"/>
      <c r="T9" s="42"/>
      <c r="U9" s="42"/>
      <c r="V9" s="40"/>
      <c r="W9" s="42"/>
      <c r="X9" s="42"/>
      <c r="Y9" s="42"/>
      <c r="Z9" s="40"/>
      <c r="AA9" s="40"/>
      <c r="AB9" s="42"/>
      <c r="AC9" s="40"/>
      <c r="AD9" s="40"/>
      <c r="AE9" s="43"/>
      <c r="AF9" s="44"/>
      <c r="AG9" s="44"/>
      <c r="AH9" s="40"/>
      <c r="AI9" s="42"/>
      <c r="AJ9" s="40"/>
      <c r="AK9" s="42"/>
      <c r="AL9" s="42"/>
      <c r="AM9" s="40"/>
      <c r="AN9" s="45"/>
      <c r="AO9" s="42"/>
      <c r="AP9" s="45"/>
      <c r="AQ9" s="45"/>
      <c r="AR9" s="45"/>
      <c r="AS9" s="42"/>
      <c r="AT9" s="43"/>
      <c r="AU9" s="43"/>
      <c r="AV9" s="46"/>
      <c r="AW9" s="42"/>
      <c r="AX9" s="42"/>
      <c r="AY9" s="40"/>
      <c r="AZ9" s="42"/>
      <c r="BA9" s="46"/>
      <c r="BB9" s="42"/>
      <c r="BC9" s="42"/>
      <c r="BD9" s="40"/>
      <c r="BE9" s="43"/>
      <c r="BF9" s="43"/>
      <c r="BG9" s="46"/>
      <c r="BH9" s="42"/>
      <c r="BI9" s="42"/>
      <c r="BJ9" s="43"/>
      <c r="BK9" s="42"/>
      <c r="BL9" s="40"/>
      <c r="BM9" s="40"/>
      <c r="BN9" s="46"/>
      <c r="BO9" s="40"/>
      <c r="BP9" s="42"/>
      <c r="BQ9" s="42"/>
      <c r="BR9" s="42"/>
      <c r="BS9" s="40"/>
      <c r="BT9" s="40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0"/>
      <c r="CG9" s="42"/>
      <c r="CH9" s="40"/>
      <c r="CI9" s="40"/>
      <c r="CJ9" s="42"/>
      <c r="CK9" s="40"/>
      <c r="CL9" s="42"/>
      <c r="CM9" s="40"/>
      <c r="CN9" s="40"/>
      <c r="CO9" s="40"/>
      <c r="CP9" s="40"/>
      <c r="CQ9" s="42"/>
      <c r="CR9" s="42"/>
      <c r="CS9" s="42"/>
    </row>
    <row r="10" ht="15.75" customHeight="1">
      <c r="A10" s="8"/>
      <c r="B10" s="13"/>
      <c r="C10" s="13"/>
      <c r="D10" s="13"/>
      <c r="E10" s="38"/>
      <c r="F10" s="13"/>
      <c r="G10" s="13"/>
      <c r="H10" s="13"/>
      <c r="I10" s="13"/>
      <c r="J10" s="13"/>
      <c r="K10" s="13"/>
      <c r="L10" s="13"/>
      <c r="M10" s="8"/>
      <c r="N10" s="13"/>
      <c r="O10" s="13"/>
      <c r="AE10" s="39"/>
      <c r="AF10" s="47"/>
      <c r="AG10" s="47"/>
      <c r="AU10" s="39"/>
      <c r="AV10" s="39"/>
      <c r="AW10" s="48"/>
      <c r="BB10" s="48"/>
      <c r="BF10" s="39"/>
      <c r="BG10" s="39"/>
      <c r="BH10" s="48"/>
      <c r="BK10" s="39"/>
      <c r="BO10" s="48"/>
      <c r="CV10" s="48"/>
      <c r="CW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IFERROR(__xludf.DUMMYFUNCTION("""COMPUTED_VALUE"""),"Trade Date")</f>
        <v>Trade Date</v>
      </c>
      <c r="C5" s="49" t="str">
        <f>IFERROR(__xludf.DUMMYFUNCTION("""COMPUTED_VALUE"""),"Symbol")</f>
        <v>Symbol</v>
      </c>
      <c r="D5" s="49" t="str">
        <f>IFERROR(__xludf.DUMMYFUNCTION("""COMPUTED_VALUE"""),"Position")</f>
        <v>Position</v>
      </c>
      <c r="E5" s="49" t="str">
        <f>IFERROR(__xludf.DUMMYFUNCTION("""COMPUTED_VALUE"""),"Account")</f>
        <v>Account</v>
      </c>
      <c r="F5" s="50" t="str">
        <f>IFERROR(__xludf.DUMMYFUNCTION("""COMPUTED_VALUE"""),"MasterFund")</f>
        <v>MasterFund</v>
      </c>
      <c r="G5" s="49" t="str">
        <f>IFERROR(__xludf.DUMMYFUNCTION("""COMPUTED_VALUE"""),"Cost Basis")</f>
        <v>Cost Basis</v>
      </c>
      <c r="H5" s="49" t="str">
        <f>IFERROR(__xludf.DUMMYFUNCTION("""COMPUTED_VALUE"""),"Position Side")</f>
        <v>Position Side</v>
      </c>
      <c r="I5" s="49" t="str">
        <f>IFERROR(__xludf.DUMMYFUNCTION("""COMPUTED_VALUE"""),"Market Value (Base)")</f>
        <v>Market Value (Base)</v>
      </c>
      <c r="J5" s="49" t="str">
        <f>IFERROR(__xludf.DUMMYFUNCTION("""COMPUTED_VALUE"""),"% Day P&amp;L (Gross MV)")</f>
        <v>% Day P&amp;L (Gross MV)</v>
      </c>
      <c r="K5" s="49" t="str">
        <f>IFERROR(__xludf.DUMMYFUNCTION("""COMPUTED_VALUE"""),"Net Exposure (Base)")</f>
        <v>Net Exposure (Base)</v>
      </c>
      <c r="L5" s="49" t="str">
        <f>IFERROR(__xludf.DUMMYFUNCTION("""COMPUTED_VALUE"""),"Beta Adj. Gross Exposure (Base)")</f>
        <v>Beta Adj. Gross Exposure (Base)</v>
      </c>
      <c r="M5" s="49" t="str">
        <f>IFERROR(__xludf.DUMMYFUNCTION("""COMPUTED_VALUE"""),"Beta Adj. Gross Exposure (Underlying) (Base)")</f>
        <v>Beta Adj. Gross Exposure (Underlying) (Base)</v>
      </c>
      <c r="N5" s="49" t="str">
        <f>IFERROR(__xludf.DUMMYFUNCTION("""COMPUTED_VALUE"""),"Day P&amp;L (Base)")</f>
        <v>Day P&amp;L (Base)</v>
      </c>
      <c r="O5" s="49" t="str">
        <f>IFERROR(__xludf.DUMMYFUNCTION("""COMPUTED_VALUE"""),"Security Name")</f>
        <v>Security Name</v>
      </c>
      <c r="P5" s="49" t="str">
        <f>IFERROR(__xludf.DUMMYFUNCTION("""COMPUTED_VALUE"""),"Closing Mark")</f>
        <v>Closing Mark</v>
      </c>
      <c r="Q5" s="49" t="str">
        <f>IFERROR(__xludf.DUMMYFUNCTION("""COMPUTED_VALUE"""),"Cost Basis P&amp;L (Base)")</f>
        <v>Cost Basis P&amp;L (Base)</v>
      </c>
      <c r="R5" s="49" t="str">
        <f>IFERROR(__xludf.DUMMYFUNCTION("""COMPUTED_VALUE"""),"Prime Broker")</f>
        <v>Prime Broker</v>
      </c>
      <c r="S5" s="49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IFERROR(__xludf.DUMMYFUNCTION("""COMPUTED_VALUE"""),"isRowCountCheck")</f>
        <v>isRowCountCheck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/>
      <c r="C6" s="13" t="s">
        <v>21</v>
      </c>
      <c r="D6" s="13">
        <v>1000.0</v>
      </c>
      <c r="E6" s="13" t="s">
        <v>17</v>
      </c>
      <c r="F6" s="13" t="s">
        <v>55</v>
      </c>
      <c r="G6" s="13">
        <v>1.0</v>
      </c>
      <c r="H6" s="13" t="s">
        <v>56</v>
      </c>
      <c r="I6" s="13">
        <v>1000.0</v>
      </c>
      <c r="J6" s="13">
        <v>0.0</v>
      </c>
      <c r="K6" s="13">
        <v>1000.0</v>
      </c>
      <c r="L6" s="13">
        <v>1000.0</v>
      </c>
      <c r="M6" s="13">
        <v>1100.0</v>
      </c>
      <c r="N6" s="51">
        <v>0.0</v>
      </c>
      <c r="O6" s="41"/>
      <c r="P6" s="40" t="s">
        <v>57</v>
      </c>
      <c r="Q6" s="51">
        <v>0.0</v>
      </c>
      <c r="R6" s="40" t="s">
        <v>58</v>
      </c>
      <c r="S6" s="40" t="s">
        <v>49</v>
      </c>
      <c r="T6" s="9" t="s">
        <v>39</v>
      </c>
      <c r="U6" s="9" t="s">
        <v>37</v>
      </c>
      <c r="V6" s="9" t="s">
        <v>36</v>
      </c>
      <c r="W6" s="9" t="s">
        <v>18</v>
      </c>
      <c r="X6" s="9">
        <v>1.0</v>
      </c>
      <c r="Y6" s="9">
        <v>1.0</v>
      </c>
      <c r="AB6" s="9">
        <v>0.0</v>
      </c>
      <c r="AC6" s="9">
        <v>0.0</v>
      </c>
      <c r="AD6" s="9">
        <v>1000.0</v>
      </c>
      <c r="AE6" s="9">
        <v>1000.0</v>
      </c>
      <c r="AF6" s="51">
        <v>1000.0</v>
      </c>
      <c r="AG6" s="9">
        <v>1000.0</v>
      </c>
      <c r="AH6" s="9">
        <v>1000.0</v>
      </c>
      <c r="AI6" s="9">
        <v>1000.0</v>
      </c>
      <c r="AJ6" s="9">
        <v>100.0</v>
      </c>
      <c r="AK6" s="51">
        <v>0.0</v>
      </c>
      <c r="AL6" s="9">
        <v>1.0</v>
      </c>
      <c r="AM6" s="9">
        <v>1.0</v>
      </c>
      <c r="AN6" s="9" t="s">
        <v>27</v>
      </c>
      <c r="AP6" s="9" t="s">
        <v>56</v>
      </c>
      <c r="AQ6" s="9" t="s">
        <v>21</v>
      </c>
      <c r="AR6" s="9">
        <v>1.0</v>
      </c>
      <c r="AS6" s="9">
        <v>1.0</v>
      </c>
      <c r="AU6" s="40"/>
      <c r="AV6" s="9">
        <v>1.0</v>
      </c>
      <c r="AW6" s="51">
        <v>0.0</v>
      </c>
      <c r="AX6" s="9">
        <v>0.0</v>
      </c>
      <c r="AY6" s="9">
        <v>0.0</v>
      </c>
      <c r="AZ6" s="9">
        <v>1000.0</v>
      </c>
      <c r="BA6" s="9">
        <v>0.0</v>
      </c>
      <c r="BC6" s="9">
        <v>1.0</v>
      </c>
      <c r="BD6" s="52">
        <v>-1000.0</v>
      </c>
      <c r="BE6" s="9" t="s">
        <v>39</v>
      </c>
      <c r="BF6" s="41" t="s">
        <v>57</v>
      </c>
      <c r="BG6" s="41" t="s">
        <v>57</v>
      </c>
      <c r="BH6" s="40" t="s">
        <v>57</v>
      </c>
      <c r="BI6" s="41" t="s">
        <v>57</v>
      </c>
      <c r="BJ6" s="9">
        <v>0.0</v>
      </c>
      <c r="BK6" s="9">
        <v>0.0</v>
      </c>
      <c r="BL6" s="9">
        <v>0.0</v>
      </c>
      <c r="BO6" s="52">
        <v>-1000.0</v>
      </c>
      <c r="BP6" s="9">
        <v>0.0</v>
      </c>
      <c r="BQ6" s="40" t="s">
        <v>51</v>
      </c>
      <c r="BR6" s="40" t="s">
        <v>41</v>
      </c>
      <c r="BS6" s="9">
        <v>0.0</v>
      </c>
      <c r="BT6" s="9">
        <v>0.0</v>
      </c>
      <c r="BU6" s="9" t="s">
        <v>39</v>
      </c>
      <c r="BW6" s="9">
        <v>0.0</v>
      </c>
      <c r="BX6" s="9">
        <v>1000.0</v>
      </c>
      <c r="BY6" s="9">
        <v>1000.0</v>
      </c>
      <c r="BZ6" s="9">
        <v>1.0</v>
      </c>
      <c r="CA6" s="9">
        <v>1.0</v>
      </c>
      <c r="CD6" s="51">
        <v>0.0</v>
      </c>
      <c r="CE6" s="9">
        <v>0.0</v>
      </c>
      <c r="CF6" s="9">
        <v>0.0</v>
      </c>
      <c r="CG6" s="51">
        <v>0.0</v>
      </c>
      <c r="CH6" s="53">
        <v>0.0</v>
      </c>
      <c r="CI6" s="9">
        <v>0.0</v>
      </c>
      <c r="CJ6" s="9">
        <v>0.0</v>
      </c>
      <c r="CK6" s="45" t="b">
        <v>0</v>
      </c>
      <c r="CS6" s="9">
        <v>1.0</v>
      </c>
      <c r="CY6" s="9" t="s">
        <v>59</v>
      </c>
      <c r="CZ6" s="40" t="s">
        <v>60</v>
      </c>
      <c r="DA6" s="9">
        <v>1000.0</v>
      </c>
      <c r="DB6" s="9">
        <v>0.0</v>
      </c>
      <c r="DD6" s="52">
        <v>1000.0</v>
      </c>
      <c r="DE6" s="54">
        <v>0.0</v>
      </c>
      <c r="DF6" s="54">
        <v>0.0</v>
      </c>
      <c r="DG6" s="54">
        <v>0.0</v>
      </c>
      <c r="DH6" s="40" t="s">
        <v>57</v>
      </c>
      <c r="DI6" s="9">
        <v>0.0</v>
      </c>
      <c r="DJ6" s="9" t="s">
        <v>27</v>
      </c>
      <c r="DK6" s="9">
        <v>0.0</v>
      </c>
      <c r="DL6" s="9">
        <v>0.0</v>
      </c>
      <c r="DM6" s="9">
        <v>1.0</v>
      </c>
      <c r="DN6" s="9">
        <v>1.0</v>
      </c>
      <c r="DP6" s="9" t="s">
        <v>56</v>
      </c>
      <c r="DQ6" s="41" t="s">
        <v>57</v>
      </c>
      <c r="DR6" s="9" t="s">
        <v>61</v>
      </c>
      <c r="DS6" s="41" t="s">
        <v>57</v>
      </c>
      <c r="DT6" s="41" t="s">
        <v>57</v>
      </c>
      <c r="DU6" s="41" t="s">
        <v>57</v>
      </c>
      <c r="DV6" s="41" t="s">
        <v>57</v>
      </c>
      <c r="DW6" s="41" t="s">
        <v>57</v>
      </c>
      <c r="DX6" s="41" t="s">
        <v>57</v>
      </c>
      <c r="DY6" s="41" t="s">
        <v>57</v>
      </c>
      <c r="DZ6" s="41"/>
      <c r="EA6" s="41" t="s">
        <v>23</v>
      </c>
      <c r="EB6" s="41" t="s">
        <v>57</v>
      </c>
      <c r="EC6" s="41" t="s">
        <v>57</v>
      </c>
      <c r="ED6" s="41" t="s">
        <v>18</v>
      </c>
      <c r="EE6" s="9" t="s">
        <v>23</v>
      </c>
      <c r="EF6" s="9">
        <v>0.0</v>
      </c>
      <c r="EG6" s="9">
        <v>1.0</v>
      </c>
      <c r="EH6" s="9">
        <v>1.0</v>
      </c>
      <c r="EI6" s="9">
        <v>1.0</v>
      </c>
      <c r="EJ6" s="9">
        <v>1.0</v>
      </c>
      <c r="EK6" s="9">
        <v>1.0</v>
      </c>
      <c r="EL6" s="9" t="s">
        <v>56</v>
      </c>
      <c r="EM6" s="9">
        <v>1100.0</v>
      </c>
      <c r="EN6" s="9">
        <v>1100.0</v>
      </c>
      <c r="EP6" s="51"/>
      <c r="ES6" s="51"/>
      <c r="ET6" s="53"/>
      <c r="EV6" s="9" t="s">
        <v>56</v>
      </c>
      <c r="EW6" s="51"/>
      <c r="EX6" s="9" t="b">
        <v>0</v>
      </c>
      <c r="EY6" s="41"/>
    </row>
    <row r="7" ht="15.75" customHeight="1">
      <c r="A7" s="8"/>
      <c r="B7" s="8"/>
      <c r="C7" s="13"/>
      <c r="D7" s="13"/>
      <c r="E7" s="8"/>
      <c r="F7" s="8"/>
      <c r="G7" s="13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42"/>
      <c r="B9" s="55"/>
      <c r="C9" s="41"/>
      <c r="D9" s="51"/>
      <c r="E9" s="41"/>
      <c r="F9" s="41"/>
      <c r="G9" s="53"/>
      <c r="H9" s="41"/>
      <c r="I9" s="53"/>
      <c r="J9" s="53"/>
      <c r="K9" s="53"/>
      <c r="L9" s="53"/>
      <c r="M9" s="53"/>
      <c r="N9" s="51"/>
      <c r="O9" s="41"/>
      <c r="P9" s="41"/>
      <c r="Q9" s="51"/>
      <c r="R9" s="41"/>
      <c r="S9" s="41"/>
      <c r="T9" s="41"/>
      <c r="U9" s="41"/>
      <c r="V9" s="41"/>
      <c r="W9" s="41"/>
      <c r="X9" s="53"/>
      <c r="Y9" s="53"/>
      <c r="Z9" s="42"/>
      <c r="AA9" s="42"/>
      <c r="AB9" s="53"/>
      <c r="AC9" s="53"/>
      <c r="AD9" s="53"/>
      <c r="AE9" s="53"/>
      <c r="AF9" s="51"/>
      <c r="AG9" s="53"/>
      <c r="AH9" s="53"/>
      <c r="AI9" s="53"/>
      <c r="AJ9" s="53"/>
      <c r="AK9" s="51"/>
      <c r="AL9" s="53"/>
      <c r="AM9" s="53"/>
      <c r="AN9" s="41"/>
      <c r="AO9" s="42"/>
      <c r="AP9" s="41"/>
      <c r="AQ9" s="41"/>
      <c r="AR9" s="53"/>
      <c r="AS9" s="53"/>
      <c r="AT9" s="40"/>
      <c r="AU9" s="40"/>
      <c r="AV9" s="53"/>
      <c r="AW9" s="51"/>
      <c r="AX9" s="53"/>
      <c r="AY9" s="53"/>
      <c r="AZ9" s="53"/>
      <c r="BA9" s="53"/>
      <c r="BB9" s="56"/>
      <c r="BC9" s="53"/>
      <c r="BD9" s="51"/>
      <c r="BE9" s="41"/>
      <c r="BF9" s="41"/>
      <c r="BG9" s="41"/>
      <c r="BH9" s="41"/>
      <c r="BI9" s="53"/>
      <c r="BJ9" s="53"/>
      <c r="BK9" s="53"/>
      <c r="BL9" s="53"/>
      <c r="BM9" s="53"/>
      <c r="BN9" s="56"/>
      <c r="BO9" s="51"/>
      <c r="BP9" s="53"/>
      <c r="BQ9" s="41"/>
      <c r="BR9" s="41"/>
      <c r="BS9" s="53"/>
      <c r="BT9" s="53"/>
      <c r="BU9" s="41"/>
      <c r="BV9" s="53"/>
      <c r="BW9" s="53"/>
      <c r="BX9" s="53"/>
      <c r="BY9" s="53"/>
      <c r="BZ9" s="53"/>
      <c r="CA9" s="53"/>
      <c r="CB9" s="55"/>
      <c r="CC9" s="53"/>
      <c r="CD9" s="51"/>
      <c r="CE9" s="53"/>
      <c r="CF9" s="53"/>
      <c r="CG9" s="51"/>
      <c r="CH9" s="53"/>
      <c r="CI9" s="53"/>
      <c r="CJ9" s="53"/>
      <c r="CK9" s="57"/>
      <c r="CL9" s="42"/>
      <c r="CM9" s="42"/>
      <c r="CN9" s="40"/>
      <c r="CO9" s="40"/>
      <c r="CP9" s="40"/>
      <c r="CQ9" s="42"/>
      <c r="CR9" s="55"/>
      <c r="CS9" s="53"/>
      <c r="CT9" s="42"/>
      <c r="CU9" s="42"/>
      <c r="CV9" s="42"/>
      <c r="CW9" s="42"/>
      <c r="CX9" s="42"/>
      <c r="CY9" s="41"/>
      <c r="CZ9" s="41"/>
      <c r="DA9" s="53"/>
      <c r="DB9" s="53"/>
      <c r="DC9" s="56"/>
      <c r="DD9" s="51"/>
      <c r="DE9" s="53"/>
      <c r="DF9" s="53"/>
      <c r="DG9" s="53"/>
      <c r="DH9" s="41"/>
      <c r="DI9" s="53"/>
      <c r="DJ9" s="41"/>
      <c r="DK9" s="53"/>
      <c r="DL9" s="53"/>
      <c r="DM9" s="53"/>
      <c r="DN9" s="53"/>
      <c r="DO9" s="42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53"/>
      <c r="EG9" s="53"/>
      <c r="EH9" s="53"/>
      <c r="EI9" s="53"/>
      <c r="EJ9" s="53"/>
      <c r="EK9" s="53"/>
      <c r="EL9" s="41"/>
      <c r="EM9" s="53"/>
      <c r="EN9" s="53"/>
      <c r="EO9" s="53"/>
      <c r="EP9" s="51"/>
      <c r="EQ9" s="53"/>
      <c r="ER9" s="53"/>
      <c r="ES9" s="51"/>
      <c r="ET9" s="53"/>
      <c r="EU9" s="53"/>
      <c r="EV9" s="41"/>
      <c r="EW9" s="51"/>
      <c r="EX9" s="57"/>
      <c r="EY9" s="41"/>
      <c r="EZ9" s="53"/>
      <c r="FA9" s="53"/>
      <c r="FB9" s="53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8"/>
      <c r="B6" s="59"/>
      <c r="C6" s="60"/>
      <c r="D6" s="59"/>
      <c r="E6" s="60"/>
      <c r="F6" s="60"/>
      <c r="G6" s="60"/>
      <c r="H6" s="61" t="s">
        <v>21</v>
      </c>
      <c r="I6" s="62">
        <v>0.0</v>
      </c>
      <c r="J6" s="62">
        <v>1000.0</v>
      </c>
      <c r="K6" s="62">
        <v>1000.0</v>
      </c>
      <c r="L6" s="62">
        <v>1000.0</v>
      </c>
      <c r="M6" s="60" t="s">
        <v>64</v>
      </c>
      <c r="N6" s="60"/>
      <c r="O6" s="60" t="s">
        <v>27</v>
      </c>
      <c r="P6" s="60"/>
      <c r="Q6" s="60"/>
      <c r="R6" s="60" t="s">
        <v>55</v>
      </c>
      <c r="S6" s="60"/>
      <c r="T6" s="42" t="s">
        <v>17</v>
      </c>
      <c r="U6" s="42" t="s">
        <v>17</v>
      </c>
      <c r="V6" s="42"/>
      <c r="W6" s="42"/>
      <c r="X6" s="42"/>
      <c r="Y6" s="42"/>
      <c r="Z6" s="42"/>
      <c r="AA6" s="42"/>
      <c r="AB6" s="63">
        <v>1000.0</v>
      </c>
      <c r="AC6" s="42"/>
      <c r="AD6" s="63">
        <v>1000.0</v>
      </c>
      <c r="AE6" s="63">
        <v>0.0</v>
      </c>
      <c r="AF6" s="42"/>
      <c r="AG6" s="63">
        <v>1000.0</v>
      </c>
      <c r="AH6" s="63">
        <v>1000.0</v>
      </c>
      <c r="AI6" s="42"/>
      <c r="AJ6" s="42" t="s">
        <v>39</v>
      </c>
      <c r="AK6" s="42" t="s">
        <v>39</v>
      </c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63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63"/>
      <c r="BR6" s="63"/>
      <c r="BS6" s="42"/>
      <c r="BT6" s="63"/>
      <c r="BU6" s="42"/>
      <c r="BV6" s="63">
        <v>1.0</v>
      </c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13" t="s">
        <v>21</v>
      </c>
      <c r="I7" s="13">
        <v>0.0</v>
      </c>
      <c r="J7" s="13">
        <v>100.0</v>
      </c>
      <c r="K7" s="13">
        <v>100.0</v>
      </c>
      <c r="L7" s="13">
        <v>100.0</v>
      </c>
      <c r="M7" s="13" t="s">
        <v>64</v>
      </c>
      <c r="N7" s="8"/>
      <c r="O7" s="13" t="s">
        <v>27</v>
      </c>
      <c r="T7" s="9" t="s">
        <v>22</v>
      </c>
      <c r="U7" s="9" t="s">
        <v>22</v>
      </c>
      <c r="AB7" s="9">
        <v>100.0</v>
      </c>
      <c r="AD7" s="9">
        <v>100.0</v>
      </c>
      <c r="AE7" s="9">
        <v>0.0</v>
      </c>
      <c r="AG7" s="9">
        <v>100.0</v>
      </c>
      <c r="AH7" s="9">
        <v>100.0</v>
      </c>
      <c r="AJ7" s="9" t="s">
        <v>39</v>
      </c>
      <c r="AK7" s="9" t="s">
        <v>39</v>
      </c>
      <c r="BV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/>
      <c r="F6" s="13">
        <v>0.0</v>
      </c>
      <c r="G6" s="8"/>
      <c r="H6" s="13" t="s">
        <v>36</v>
      </c>
      <c r="I6" s="8" t="s">
        <v>51</v>
      </c>
      <c r="J6" s="13" t="s">
        <v>21</v>
      </c>
      <c r="K6" s="13" t="s">
        <v>37</v>
      </c>
      <c r="L6" s="8"/>
      <c r="M6" s="8"/>
      <c r="N6" s="8"/>
      <c r="O6" s="8"/>
      <c r="AH6" s="9" t="s">
        <v>39</v>
      </c>
      <c r="AI6" s="9" t="s">
        <v>21</v>
      </c>
      <c r="AJ6" s="9" t="s">
        <v>27</v>
      </c>
      <c r="AK6" t="s">
        <v>40</v>
      </c>
      <c r="AL6" s="9">
        <v>1000.0</v>
      </c>
      <c r="AT6" s="9" t="s">
        <v>17</v>
      </c>
      <c r="AU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64"/>
      <c r="B9" s="64"/>
      <c r="C9" s="64"/>
      <c r="D9" s="34"/>
      <c r="E9" s="34"/>
      <c r="F9" s="34"/>
      <c r="G9" s="34"/>
      <c r="H9" s="34"/>
      <c r="I9" s="34"/>
      <c r="J9" s="34"/>
      <c r="K9" s="34"/>
      <c r="L9" s="34"/>
      <c r="M9" s="64"/>
      <c r="N9" s="64"/>
      <c r="O9" s="64"/>
      <c r="P9" s="64"/>
      <c r="Q9" s="64"/>
      <c r="R9" s="64"/>
      <c r="S9" s="34"/>
      <c r="T9" s="34"/>
      <c r="U9" s="65"/>
      <c r="V9" s="66"/>
      <c r="W9" s="34"/>
      <c r="X9" s="34"/>
      <c r="Y9" s="34"/>
      <c r="Z9" s="34"/>
      <c r="AA9" s="34"/>
      <c r="AB9" s="34"/>
      <c r="AC9" s="34"/>
      <c r="AD9" s="34"/>
      <c r="AE9" s="37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64"/>
      <c r="AQ9" s="34"/>
      <c r="AR9" s="34"/>
      <c r="AS9" s="34"/>
      <c r="AT9" s="34"/>
      <c r="AU9" s="34"/>
      <c r="AV9" s="34"/>
      <c r="AW9" s="34"/>
      <c r="AX9" s="34"/>
      <c r="AY9" s="64"/>
      <c r="AZ9" s="34"/>
      <c r="BA9" s="67"/>
      <c r="BB9" s="67"/>
      <c r="BC9" s="34"/>
      <c r="BD9" s="67"/>
      <c r="BE9" s="67"/>
      <c r="BF9" s="34"/>
      <c r="BG9" s="67"/>
      <c r="BH9" s="34"/>
      <c r="BI9" s="34"/>
      <c r="BJ9" s="67"/>
      <c r="BK9" s="67"/>
      <c r="BL9" s="67"/>
      <c r="BM9" s="67"/>
      <c r="BN9" s="67"/>
      <c r="BO9" s="67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/>
      <c r="F6" s="8"/>
      <c r="G6" s="8"/>
      <c r="H6" s="13" t="s">
        <v>36</v>
      </c>
      <c r="I6" s="8" t="s">
        <v>51</v>
      </c>
      <c r="J6" s="13" t="s">
        <v>21</v>
      </c>
      <c r="K6" s="13" t="s">
        <v>37</v>
      </c>
      <c r="L6" s="8" t="s">
        <v>50</v>
      </c>
      <c r="M6" s="8"/>
      <c r="N6" s="8"/>
      <c r="O6" s="8"/>
      <c r="S6" s="9">
        <v>0.0</v>
      </c>
      <c r="T6" s="9">
        <v>0.0</v>
      </c>
      <c r="U6" s="9" t="s">
        <v>18</v>
      </c>
      <c r="V6" s="9" t="s">
        <v>52</v>
      </c>
      <c r="X6" s="9">
        <v>0.0</v>
      </c>
      <c r="AA6" s="9" t="s">
        <v>55</v>
      </c>
      <c r="AD6" s="9">
        <v>1.0</v>
      </c>
      <c r="AF6" s="9" t="s">
        <v>38</v>
      </c>
      <c r="AH6" s="9" t="s">
        <v>39</v>
      </c>
      <c r="AI6" s="9" t="s">
        <v>21</v>
      </c>
      <c r="AJ6" s="9" t="s">
        <v>27</v>
      </c>
      <c r="AK6" s="9" t="s">
        <v>40</v>
      </c>
      <c r="AL6" s="9">
        <v>1000.0</v>
      </c>
      <c r="AM6" s="9">
        <v>1000.0</v>
      </c>
      <c r="AP6" s="9">
        <v>1.0</v>
      </c>
      <c r="AQ6" s="9" t="s">
        <v>41</v>
      </c>
      <c r="AR6" s="9" t="s">
        <v>17</v>
      </c>
      <c r="AS6" s="9" t="s">
        <v>33</v>
      </c>
      <c r="AT6" s="9">
        <v>1000.0</v>
      </c>
      <c r="AU6" s="9">
        <v>1000.0</v>
      </c>
      <c r="AZ6" s="9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64"/>
      <c r="B12" s="64"/>
      <c r="C12" s="64"/>
      <c r="D12" s="68"/>
      <c r="E12" s="34"/>
      <c r="F12" s="64"/>
      <c r="G12" s="64"/>
      <c r="H12" s="34"/>
      <c r="I12" s="34"/>
      <c r="J12" s="34"/>
      <c r="K12" s="34"/>
      <c r="L12" s="34"/>
      <c r="M12" s="64"/>
      <c r="N12" s="64"/>
      <c r="O12" s="64"/>
      <c r="P12" s="64"/>
      <c r="Q12" s="64"/>
      <c r="R12" s="64"/>
      <c r="S12" s="69"/>
      <c r="T12" s="34"/>
      <c r="U12" s="65"/>
      <c r="V12" s="66"/>
      <c r="W12" s="34"/>
      <c r="X12" s="34"/>
      <c r="Y12" s="34"/>
      <c r="Z12" s="34"/>
      <c r="AA12" s="34"/>
      <c r="AB12" s="34"/>
      <c r="AC12" s="34"/>
      <c r="AD12" s="34"/>
      <c r="AE12" s="37"/>
      <c r="AF12" s="34"/>
      <c r="AG12" s="34"/>
      <c r="AH12" s="34"/>
      <c r="AI12" s="34"/>
      <c r="AJ12" s="34"/>
      <c r="AK12" s="34"/>
      <c r="AL12" s="70"/>
      <c r="AM12" s="34"/>
      <c r="AN12" s="64"/>
      <c r="AO12" s="64"/>
      <c r="AP12" s="64"/>
      <c r="AQ12" s="64"/>
      <c r="AR12" s="64"/>
      <c r="AS12" s="64"/>
      <c r="AT12" s="34"/>
      <c r="AU12" s="34"/>
      <c r="AV12" s="64"/>
      <c r="AW12" s="64"/>
      <c r="AX12" s="69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8"/>
      <c r="B6" s="59"/>
      <c r="C6" s="60"/>
      <c r="D6" s="71">
        <v>1.0</v>
      </c>
      <c r="E6" s="72"/>
      <c r="F6" s="72">
        <v>0.0</v>
      </c>
      <c r="G6" s="72"/>
      <c r="H6" s="72" t="s">
        <v>36</v>
      </c>
      <c r="I6" s="72" t="s">
        <v>51</v>
      </c>
      <c r="J6" s="73" t="s">
        <v>21</v>
      </c>
      <c r="K6" s="72" t="s">
        <v>37</v>
      </c>
      <c r="L6" s="72" t="s">
        <v>50</v>
      </c>
      <c r="M6" s="60"/>
      <c r="N6" s="60"/>
      <c r="O6" s="60"/>
      <c r="P6" s="60"/>
      <c r="Q6" s="60"/>
      <c r="R6" s="60"/>
      <c r="S6" s="72">
        <v>0.0</v>
      </c>
      <c r="T6" s="74">
        <v>0.0</v>
      </c>
      <c r="U6" s="75" t="s">
        <v>18</v>
      </c>
      <c r="V6" s="76" t="s">
        <v>52</v>
      </c>
      <c r="W6" s="74"/>
      <c r="X6" s="74">
        <v>0.0</v>
      </c>
      <c r="Y6" s="74"/>
      <c r="Z6" s="74"/>
      <c r="AA6" s="74" t="s">
        <v>55</v>
      </c>
      <c r="AB6" s="74"/>
      <c r="AC6" s="74"/>
      <c r="AD6" s="74">
        <v>1.0</v>
      </c>
      <c r="AE6" s="77"/>
      <c r="AF6" s="74" t="s">
        <v>38</v>
      </c>
      <c r="AG6" s="74">
        <v>1.0</v>
      </c>
      <c r="AH6" s="74" t="s">
        <v>39</v>
      </c>
      <c r="AI6" s="78" t="s">
        <v>21</v>
      </c>
      <c r="AJ6" s="74" t="s">
        <v>27</v>
      </c>
      <c r="AK6" s="79" t="s">
        <v>68</v>
      </c>
      <c r="AL6" s="79">
        <v>2000.0</v>
      </c>
      <c r="AM6" s="74">
        <v>1000.0</v>
      </c>
      <c r="AN6" s="79">
        <v>50.0</v>
      </c>
      <c r="AO6" s="74">
        <v>1000.0</v>
      </c>
      <c r="AP6" s="42"/>
      <c r="AQ6" s="79"/>
      <c r="AR6" s="74">
        <v>1.0</v>
      </c>
      <c r="AS6" s="74" t="s">
        <v>41</v>
      </c>
      <c r="AT6" s="74" t="s">
        <v>17</v>
      </c>
      <c r="AU6" s="74" t="s">
        <v>33</v>
      </c>
      <c r="AV6" s="74">
        <v>1000.0</v>
      </c>
      <c r="AW6" s="74">
        <v>1000.0</v>
      </c>
      <c r="AX6" s="74" t="s">
        <v>42</v>
      </c>
      <c r="AY6" s="79">
        <v>2000.0</v>
      </c>
      <c r="AZ6" s="77"/>
      <c r="BA6" s="80"/>
      <c r="BB6" s="80"/>
      <c r="BC6" s="74"/>
      <c r="BD6" s="80"/>
      <c r="BE6" s="80"/>
      <c r="BF6" s="74"/>
      <c r="BG6" s="80"/>
      <c r="BH6" s="74"/>
      <c r="BI6" s="74"/>
      <c r="BJ6" s="80"/>
      <c r="BK6" s="80"/>
      <c r="BL6" s="80"/>
      <c r="BM6" s="80"/>
      <c r="BN6" s="80"/>
      <c r="BO6" s="80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13">
        <v>1.0</v>
      </c>
      <c r="E7" s="8"/>
      <c r="F7" s="13">
        <v>0.0</v>
      </c>
      <c r="G7" s="8"/>
      <c r="H7" s="13" t="s">
        <v>36</v>
      </c>
      <c r="I7" s="13" t="s">
        <v>51</v>
      </c>
      <c r="J7" s="13" t="s">
        <v>21</v>
      </c>
      <c r="K7" s="13" t="s">
        <v>37</v>
      </c>
      <c r="L7" s="13" t="s">
        <v>50</v>
      </c>
      <c r="M7" s="8"/>
      <c r="N7" s="8"/>
      <c r="O7" s="8"/>
      <c r="S7" s="9">
        <v>0.0</v>
      </c>
      <c r="T7" s="9">
        <v>0.0</v>
      </c>
      <c r="U7" s="9" t="s">
        <v>18</v>
      </c>
      <c r="V7" s="9" t="s">
        <v>52</v>
      </c>
      <c r="X7" s="9">
        <v>0.0</v>
      </c>
      <c r="AD7" s="9">
        <v>1.0</v>
      </c>
      <c r="AF7" s="9" t="s">
        <v>38</v>
      </c>
      <c r="AG7" s="9">
        <v>1.0</v>
      </c>
      <c r="AH7" s="9" t="s">
        <v>39</v>
      </c>
      <c r="AI7" s="9" t="s">
        <v>21</v>
      </c>
      <c r="AJ7" s="9" t="s">
        <v>27</v>
      </c>
      <c r="AK7" s="9" t="s">
        <v>40</v>
      </c>
      <c r="AL7" s="9">
        <v>100.0</v>
      </c>
      <c r="AM7" s="9">
        <v>100.0</v>
      </c>
      <c r="AN7" s="9">
        <v>100.0</v>
      </c>
      <c r="AO7" s="9">
        <v>100.0</v>
      </c>
      <c r="AR7" s="9">
        <v>1.0</v>
      </c>
      <c r="AS7" s="9" t="s">
        <v>41</v>
      </c>
      <c r="AU7" s="9" t="s">
        <v>33</v>
      </c>
      <c r="AV7" s="9">
        <v>100.0</v>
      </c>
      <c r="AW7" s="9">
        <v>100.0</v>
      </c>
      <c r="AY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8"/>
      <c r="B6" s="59"/>
      <c r="C6" s="60"/>
      <c r="D6" s="59"/>
      <c r="E6" s="60"/>
      <c r="F6" s="60"/>
      <c r="G6" s="60"/>
      <c r="H6" s="61" t="s">
        <v>21</v>
      </c>
      <c r="I6" s="62">
        <v>0.0</v>
      </c>
      <c r="J6" s="62">
        <v>1000.0</v>
      </c>
      <c r="K6" s="62">
        <v>1000.0</v>
      </c>
      <c r="L6" s="62">
        <v>1000.0</v>
      </c>
      <c r="M6" s="60" t="s">
        <v>64</v>
      </c>
      <c r="N6" s="60"/>
      <c r="O6" s="60" t="s">
        <v>27</v>
      </c>
      <c r="P6" s="60"/>
      <c r="Q6" s="60"/>
      <c r="R6" s="60"/>
      <c r="S6" s="60"/>
      <c r="T6" s="42" t="s">
        <v>17</v>
      </c>
      <c r="U6" s="42" t="s">
        <v>17</v>
      </c>
      <c r="V6" s="42"/>
      <c r="W6" s="42"/>
      <c r="X6" s="42"/>
      <c r="Y6" s="42"/>
      <c r="Z6" s="42"/>
      <c r="AA6" s="42"/>
      <c r="AB6" s="63">
        <v>1000.0</v>
      </c>
      <c r="AC6" s="42"/>
      <c r="AD6" s="63">
        <v>1000.0</v>
      </c>
      <c r="AE6" s="63">
        <v>0.0</v>
      </c>
      <c r="AF6" s="42"/>
      <c r="AG6" s="63">
        <v>1000.0</v>
      </c>
      <c r="AH6" s="63">
        <v>1000.0</v>
      </c>
      <c r="AI6" s="42"/>
      <c r="AJ6" s="42" t="s">
        <v>39</v>
      </c>
      <c r="AK6" s="42" t="s">
        <v>39</v>
      </c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63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63"/>
      <c r="BR6" s="63"/>
      <c r="BS6" s="42"/>
      <c r="BT6" s="63"/>
      <c r="BU6" s="42"/>
      <c r="BV6" s="63">
        <v>1.0</v>
      </c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13" t="s">
        <v>21</v>
      </c>
      <c r="I7" s="13">
        <v>0.0</v>
      </c>
      <c r="J7" s="13">
        <v>100.0</v>
      </c>
      <c r="K7" s="13">
        <v>100.0</v>
      </c>
      <c r="L7" s="13">
        <v>100.0</v>
      </c>
      <c r="M7" s="13" t="s">
        <v>64</v>
      </c>
      <c r="N7" s="8"/>
      <c r="O7" s="13" t="s">
        <v>27</v>
      </c>
      <c r="T7" s="9" t="s">
        <v>22</v>
      </c>
      <c r="U7" s="9" t="s">
        <v>22</v>
      </c>
      <c r="AB7" s="9">
        <v>100.0</v>
      </c>
      <c r="AD7" s="9">
        <v>100.0</v>
      </c>
      <c r="AE7" s="9">
        <v>0.0</v>
      </c>
      <c r="AG7" s="9">
        <v>100.0</v>
      </c>
      <c r="AH7" s="9">
        <v>100.0</v>
      </c>
      <c r="AJ7" s="9" t="s">
        <v>39</v>
      </c>
      <c r="AK7" s="9" t="s">
        <v>39</v>
      </c>
      <c r="BV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2"/>
      <c r="F6" s="13" t="s">
        <v>27</v>
      </c>
      <c r="G6" s="8"/>
      <c r="H6" s="13">
        <v>1000.0</v>
      </c>
      <c r="I6" s="8"/>
      <c r="J6" s="8"/>
      <c r="K6" s="8"/>
      <c r="L6" s="8"/>
      <c r="M6" s="13">
        <v>1.0</v>
      </c>
      <c r="N6" s="13" t="s">
        <v>41</v>
      </c>
      <c r="O6" s="13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13">
        <v>1.0</v>
      </c>
      <c r="D6" s="13" t="b">
        <v>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8"/>
      <c r="B6" s="59"/>
      <c r="C6" s="60"/>
      <c r="D6" s="59"/>
      <c r="E6" s="60"/>
      <c r="F6" s="60"/>
      <c r="G6" s="60"/>
      <c r="H6" s="61" t="s">
        <v>21</v>
      </c>
      <c r="I6" s="62">
        <v>0.0</v>
      </c>
      <c r="J6" s="62">
        <v>1000.0</v>
      </c>
      <c r="K6" s="62">
        <v>1000.0</v>
      </c>
      <c r="L6" s="62">
        <v>1000.0</v>
      </c>
      <c r="M6" s="60" t="s">
        <v>64</v>
      </c>
      <c r="N6" s="60"/>
      <c r="O6" s="60" t="s">
        <v>27</v>
      </c>
      <c r="P6" s="60"/>
      <c r="Q6" s="60"/>
      <c r="R6" s="60" t="s">
        <v>55</v>
      </c>
      <c r="S6" s="60"/>
      <c r="T6" s="42" t="s">
        <v>17</v>
      </c>
      <c r="U6" s="42" t="s">
        <v>17</v>
      </c>
      <c r="V6" s="42"/>
      <c r="W6" s="42"/>
      <c r="X6" s="42"/>
      <c r="Y6" s="42"/>
      <c r="Z6" s="42"/>
      <c r="AA6" s="42"/>
      <c r="AB6" s="63">
        <v>1000.0</v>
      </c>
      <c r="AC6" s="42"/>
      <c r="AD6" s="63">
        <v>1000.0</v>
      </c>
      <c r="AE6" s="63">
        <v>0.0</v>
      </c>
      <c r="AF6" s="42"/>
      <c r="AG6" s="63">
        <v>1000.0</v>
      </c>
      <c r="AH6" s="63">
        <v>1000.0</v>
      </c>
      <c r="AI6" s="42"/>
      <c r="AJ6" s="42" t="s">
        <v>39</v>
      </c>
      <c r="AK6" s="42" t="s">
        <v>39</v>
      </c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63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63"/>
      <c r="BR6" s="63"/>
      <c r="BS6" s="42"/>
      <c r="BT6" s="63"/>
      <c r="BU6" s="42"/>
      <c r="BV6" s="63">
        <v>1.0</v>
      </c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13" t="s">
        <v>21</v>
      </c>
      <c r="I7" s="13">
        <v>0.0</v>
      </c>
      <c r="J7" s="13">
        <v>100.0</v>
      </c>
      <c r="K7" s="13">
        <v>100.0</v>
      </c>
      <c r="L7" s="13">
        <v>100.0</v>
      </c>
      <c r="M7" s="13" t="s">
        <v>64</v>
      </c>
      <c r="N7" s="8"/>
      <c r="O7" s="13" t="s">
        <v>27</v>
      </c>
      <c r="R7" s="9" t="s">
        <v>22</v>
      </c>
      <c r="T7" s="9" t="s">
        <v>22</v>
      </c>
      <c r="U7" s="9" t="s">
        <v>22</v>
      </c>
      <c r="AB7" s="9">
        <v>100.0</v>
      </c>
      <c r="AD7" s="9">
        <v>100.0</v>
      </c>
      <c r="AE7" s="9">
        <v>0.0</v>
      </c>
      <c r="AG7" s="9">
        <v>100.0</v>
      </c>
      <c r="AH7" s="9">
        <v>100.0</v>
      </c>
      <c r="AJ7" s="9" t="s">
        <v>39</v>
      </c>
      <c r="AK7" s="9" t="s">
        <v>39</v>
      </c>
      <c r="BV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