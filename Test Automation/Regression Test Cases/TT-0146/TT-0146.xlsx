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reateStageOrder" sheetId="5" r:id="rId7"/>
    <sheet state="visible" name="TradeNewSubOrder" sheetId="6" r:id="rId8"/>
    <sheet state="visible" name="CreateNewSubOrder" sheetId="7" r:id="rId9"/>
    <sheet state="visible" name="CheckAllocatedTaxlots" sheetId="8" r:id="rId10"/>
  </sheets>
  <definedNames/>
  <calcPr/>
</workbook>
</file>

<file path=xl/sharedStrings.xml><?xml version="1.0" encoding="utf-8"?>
<sst xmlns="http://schemas.openxmlformats.org/spreadsheetml/2006/main" count="88" uniqueCount="37">
  <si>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</si>
  <si>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</si>
  <si>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</si>
  <si>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</si>
  <si>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</si>
  <si>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</si>
  <si>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</si>
  <si>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</si>
  <si>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</si>
  <si>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</si>
  <si>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</si>
  <si>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</si>
  <si>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</si>
  <si>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</si>
  <si>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</si>
  <si>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</si>
  <si>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TSLA</t>
  </si>
  <si>
    <t>Buy</t>
  </si>
  <si>
    <t>Allocation1,Allocation2</t>
  </si>
  <si>
    <t>5.12,94.88</t>
  </si>
  <si>
    <t>CreateStageOrder</t>
  </si>
  <si>
    <t>Allocation1,Allocation2,Allocation3</t>
  </si>
  <si>
    <t>25,25,50</t>
  </si>
  <si>
    <t>Blotter</t>
  </si>
  <si>
    <t>TradeNewSubOrder</t>
  </si>
  <si>
    <t>New</t>
  </si>
  <si>
    <t>Market</t>
  </si>
  <si>
    <t>CreateNewSubOrder</t>
  </si>
  <si>
    <t>Allocation</t>
  </si>
  <si>
    <t>CheckAllocatedTaxlots</t>
  </si>
  <si>
    <t>M</t>
  </si>
  <si>
    <t>USD</t>
  </si>
  <si>
    <t>Allocation2</t>
  </si>
  <si>
    <t>Strategy Unallocated</t>
  </si>
  <si>
    <t>Open</t>
  </si>
  <si>
    <t>Allocation1</t>
  </si>
  <si>
    <t>Allocation3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</si>
</sst>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2" numFmtId="3" xfId="0" applyAlignment="1" applyFont="1" applyNumberFormat="1">
      <alignment readingOrder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4" fontId="13" numFmtId="0" xfId="0" applyFont="1"/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IFERROR(__xludf.DUMMYFUNCTION("""COMPUTED_VALUE"""),"Blotter")</f>
        <v>Blotter</v>
      </c>
      <c r="B419" t="str">
        <f>IFERROR(__xludf.DUMMYFUNCTION("""COMPUTED_VALUE"""),"GoToAllocation")</f>
        <v>GoToAllocation</v>
      </c>
      <c r="C419" t="str">
        <f>IFERROR(__xludf.DUMMYFUNCTION("""COMPUTED_VALUE"""),"1daWmaCLtl5-u8RrR38duUYZoUwwRdmQNmQUk-UFSbh8")</f>
        <v>1daWmaCLtl5-u8RrR38duUYZoUwwRdmQNmQUk-UFSbh8</v>
      </c>
    </row>
    <row r="420" ht="15.75" customHeight="1">
      <c r="A420" t="str">
        <f>IFERROR(__xludf.DUMMYFUNCTION("""COMPUTED_VALUE"""),"Simulator")</f>
        <v>Simulator</v>
      </c>
      <c r="B420" t="str">
        <f>IFERROR(__xludf.DUMMYFUNCTION("""COMPUTED_VALUE"""),"CloseSimulator")</f>
        <v>CloseSimulator</v>
      </c>
      <c r="C420" t="str">
        <f>IFERROR(__xludf.DUMMYFUNCTION("""COMPUTED_VALUE"""),"undefined")</f>
        <v>undefined</v>
      </c>
    </row>
    <row r="421" ht="15.75" customHeight="1">
      <c r="A421" t="str">
        <f>IFERROR(__xludf.DUMMYFUNCTION("""COMPUTED_VALUE"""),"GeneralLedger")</f>
        <v>GeneralLedger</v>
      </c>
      <c r="B421" t="str">
        <f>IFERROR(__xludf.DUMMYFUNCTION("""COMPUTED_VALUE"""),"VerifyCashTransaction")</f>
        <v>VerifyCashTransaction</v>
      </c>
      <c r="C421" t="str">
        <f>IFERROR(__xludf.DUMMYFUNCTION("""COMPUTED_VALUE"""),"1gPMin1udTRZeqwLV9tSHt5nU8vpqc3NVx2Q0Tg0-p7Y")</f>
        <v>1gPMin1udTRZeqwLV9tSHt5nU8vpqc3NVx2Q0Tg0-p7Y</v>
      </c>
    </row>
    <row r="422" ht="15.75" customHeight="1">
      <c r="A422" t="str">
        <f>IFERROR(__xludf.DUMMYFUNCTION("""COMPUTED_VALUE"""),"Rebalancer")</f>
        <v>Rebalancer</v>
      </c>
      <c r="B422" t="str">
        <f>IFERROR(__xludf.DUMMYFUNCTION("""COMPUTED_VALUE"""),"ModelPortfolio")</f>
        <v>ModelPortfolio</v>
      </c>
      <c r="C422" t="str">
        <f>IFERROR(__xludf.DUMMYFUNCTION("""COMPUTED_VALUE"""),"12-zLeaphbhmHtw8rRK5ThIs7me8PklDclwlNwfPbXK4")</f>
        <v>12-zLeaphbhmHtw8rRK5ThIs7me8PklDclwlNwfPbXK4</v>
      </c>
    </row>
    <row r="423" ht="15.75" customHeight="1">
      <c r="A423" t="str">
        <f>IFERROR(__xludf.DUMMYFUNCTION("""COMPUTED_VALUE"""),"DailyValuation")</f>
        <v>DailyValuation</v>
      </c>
      <c r="B423" t="str">
        <f>IFERROR(__xludf.DUMMYFUNCTION("""COMPUTED_VALUE"""),"VerifyDailyCash")</f>
        <v>VerifyDailyCash</v>
      </c>
      <c r="C423" t="str">
        <f>IFERROR(__xludf.DUMMYFUNCTION("""COMPUTED_VALUE"""),"1PQwArcRUuaOQiz5S2jeaenwj9qNZTWgzfhAlHT-Pd1E")</f>
        <v>1PQwArcRUuaOQiz5S2jeaenwj9qNZTWgzfhAlHT-Pd1E</v>
      </c>
    </row>
    <row r="424" ht="15.75" customHeight="1">
      <c r="A424" t="str">
        <f>IFERROR(__xludf.DUMMYFUNCTION("""COMPUTED_VALUE"""),"Admin")</f>
        <v>Admin</v>
      </c>
      <c r="B424" t="str">
        <f>IFERROR(__xludf.DUMMYFUNCTION("""COMPUTED_VALUE"""),"SetCheckSide")</f>
        <v>SetCheckSide</v>
      </c>
      <c r="C424" t="str">
        <f>IFERROR(__xludf.DUMMYFUNCTION("""COMPUTED_VALUE"""),"18KFx8YJjXeehMrsrxPVrAlsqv5cDNM4sL10WRca5NKM")</f>
        <v>18KFx8YJjXeehMrsrxPVrAlsqv5cDNM4sL10WRca5NKM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IFERROR(__xludf.DUMMYFUNCTION("""COMPUTED_VALUE"""),"OpenSpinOff")</f>
        <v>OpenSpinOff</v>
      </c>
      <c r="C425" t="str">
        <f>IFERROR(__xludf.DUMMYFUNCTION("""COMPUTED_VALUE"""),"1rmMKHzR6LMbriTLpSwsWo5h7qfkUwKO5MIi-cWWx8-k")</f>
        <v>1rmMKHzR6LMbriTLpSwsWo5h7qfkUwKO5MIi-cWWx8-k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IFERROR(__xludf.DUMMYFUNCTION("""COMPUTED_VALUE"""),"VerifyAndApplyCorpAction")</f>
        <v>VerifyAndApplyCorpAction</v>
      </c>
      <c r="C426" t="str">
        <f>IFERROR(__xludf.DUMMYFUNCTION("""COMPUTED_VALUE"""),"1QwZRlBhhx0osi-B1PdxvO3P3W3BAXkDzM2yrJmnO__c")</f>
        <v>1QwZRlBhhx0osi-B1PdxvO3P3W3BAXkDzM2yrJmnO__c</v>
      </c>
    </row>
    <row r="427" ht="15.75" customHeight="1">
      <c r="A427" t="str">
        <f>IFERROR(__xludf.DUMMYFUNCTION("""COMPUTED_VALUE"""),"CorporateAction ")</f>
        <v>CorporateAction </v>
      </c>
      <c r="B427" t="str">
        <f>IFERROR(__xludf.DUMMYFUNCTION("""COMPUTED_VALUE"""),"VerifyAndSaveCorpAction")</f>
        <v>VerifyAndSaveCorpAction</v>
      </c>
      <c r="C427" t="str">
        <f>IFERROR(__xludf.DUMMYFUNCTION("""COMPUTED_VALUE"""),"146PST8sP3dOm_SLLf4EP05WMQk8v95fnGk_VMEIiZeQ")</f>
        <v>146PST8sP3dOm_SLLf4EP05WMQk8v95fnGk_VMEIiZeQ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IFERROR(__xludf.DUMMYFUNCTION("""COMPUTED_VALUE"""),"DisableChecksideForAsset")</f>
        <v>DisableChecksideForAsset</v>
      </c>
      <c r="C428" t="str">
        <f>IFERROR(__xludf.DUMMYFUNCTION("""COMPUTED_VALUE"""),"17MMLrGtrNy7Qk2KDYSM_5mxeBqL4fj27RTyoqb753r4")</f>
        <v>17MMLrGtrNy7Qk2KDYSM_5mxeBqL4fj27RTyoqb753r4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IFERROR(__xludf.DUMMYFUNCTION("""COMPUTED_VALUE"""),"DisableChecksideForAccount")</f>
        <v>DisableChecksideForAccount</v>
      </c>
      <c r="C429" t="str">
        <f>IFERROR(__xludf.DUMMYFUNCTION("""COMPUTED_VALUE"""),"12YzpBbctXJ7tt5Rs3yVMyYiFexSCsLCSFZxRmOTGAnA")</f>
        <v>12YzpBbctXJ7tt5Rs3yVMyYiFexSCsLCSFZxRmOTGAnA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IFERROR(__xludf.DUMMYFUNCTION("""COMPUTED_VALUE"""),"DisableChecksideForCounterParty")</f>
        <v>DisableChecksideForCounterParty</v>
      </c>
      <c r="C430" t="str">
        <f>IFERROR(__xludf.DUMMYFUNCTION("""COMPUTED_VALUE"""),"11h9NAV7B59X8ff2awrMfG6bGhrk-CohPIDGmN5O1Z0s")</f>
        <v>11h9NAV7B59X8ff2awrMfG6bGhrk-CohPIDGmN5O1Z0s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IFERROR(__xludf.DUMMYFUNCTION("""COMPUTED_VALUE"""),"DisableCheckside")</f>
        <v>DisableCheckside</v>
      </c>
      <c r="C431" t="str">
        <f>IFERROR(__xludf.DUMMYFUNCTION("""COMPUTED_VALUE"""),"1NIGFq7xyMD3dCAzBn7Aybj88-zVYS-uQkEl_uOTRFLk")</f>
        <v>1NIGFq7xyMD3dCAzBn7Aybj88-zVYS-uQkEl_uOTRFLk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IFERROR(__xludf.DUMMYFUNCTION("""COMPUTED_VALUE"""),"ApplyMasterFundFilter")</f>
        <v>ApplyMasterFundFilter</v>
      </c>
      <c r="C432" t="str">
        <f>IFERROR(__xludf.DUMMYFUNCTION("""COMPUTED_VALUE"""),"1uyEgk_IU7WhZZ2gCVbVNLBNZhgXB_2p-G9ibtBRvqYE")</f>
        <v>1uyEgk_IU7WhZZ2gCVbVNLBNZhgXB_2p-G9ibtBRvqYE</v>
      </c>
    </row>
    <row r="433" ht="15.75" customHeight="1">
      <c r="A433" t="str">
        <f>IFERROR(__xludf.DUMMYFUNCTION("""COMPUTED_VALUE"""),"TradingTicket")</f>
        <v>TradingTicket</v>
      </c>
      <c r="B433" t="str">
        <f>IFERROR(__xludf.DUMMYFUNCTION("""COMPUTED_VALUE"""),"UpdateMasterFundOnTT")</f>
        <v>UpdateMasterFundOnTT</v>
      </c>
      <c r="C433" t="str">
        <f>IFERROR(__xludf.DUMMYFUNCTION("""COMPUTED_VALUE"""),"15GaszFrxEJPxL05WiuB3JgAc-7Uig-iyDZRrmgpAvyQ")</f>
        <v>15GaszFrxEJPxL05WiuB3JgAc-7Uig-iyDZRrmgpAvyQ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IFERROR(__xludf.DUMMYFUNCTION("""COMPUTED_VALUE"""),"ShowMasterFundOnTT")</f>
        <v>ShowMasterFundOnTT</v>
      </c>
      <c r="C434" t="str">
        <f>IFERROR(__xludf.DUMMYFUNCTION("""COMPUTED_VALUE"""),"1H3NF3ekEB_jtnQ6nAPayaHaGtx_2kLuKvJ9qyzd2I2I")</f>
        <v>1H3NF3ekEB_jtnQ6nAPayaHaGtx_2kLuKvJ9qyzd2I2I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IFERROR(__xludf.DUMMYFUNCTION("""COMPUTED_VALUE"""),"ShowMasterFundAsClient")</f>
        <v>ShowMasterFundAsClient</v>
      </c>
      <c r="C435" t="str">
        <f>IFERROR(__xludf.DUMMYFUNCTION("""COMPUTED_VALUE"""),"1sBgTfLxjF-eLDEQovNIQXxVdy87Sx0Cb24sVDh10pXM")</f>
        <v>1sBgTfLxjF-eLDEQovNIQXxVdy87Sx0Cb24sVDh10pXM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IFERROR(__xludf.DUMMYFUNCTION("""COMPUTED_VALUE"""),"SetBrokerAccountMapping")</f>
        <v>SetBrokerAccountMapping</v>
      </c>
      <c r="C436" t="str">
        <f>IFERROR(__xludf.DUMMYFUNCTION("""COMPUTED_VALUE"""),"1n-h3PT-RQ62N_5RLlf__-_nBt6pX6gTeokAqyHCUydw")</f>
        <v>1n-h3PT-RQ62N_5RLlf__-_nBt6pX6gTeokAqyHCUydw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IFERROR(__xludf.DUMMYFUNCTION("""COMPUTED_VALUE"""),"EditUnallocatedGridWPF")</f>
        <v>EditUnallocatedGridWPF</v>
      </c>
      <c r="C437" t="str">
        <f>IFERROR(__xludf.DUMMYFUNCTION("""COMPUTED_VALUE"""),"1bL3Mc9ko2ABUfRaygcH05a75HlVgOJoZg1ZR8VFCx2s")</f>
        <v>1bL3Mc9ko2ABUfRaygcH05a75HlVgOJoZg1ZR8VFCx2s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IFERROR(__xludf.DUMMYFUNCTION("""COMPUTED_VALUE"""),"EditAllocatedGridWPF")</f>
        <v>EditAllocatedGridWPF</v>
      </c>
      <c r="C438" t="str">
        <f>IFERROR(__xludf.DUMMYFUNCTION("""COMPUTED_VALUE"""),"1p3N5fuIHZooLiXra7t901Un-5BX1Dub2GwRau5xmnzY")</f>
        <v>1p3N5fuIHZooLiXra7t901Un-5BX1Dub2GwRau5xmnzY</v>
      </c>
    </row>
    <row r="439" ht="15.75" customHeight="1">
      <c r="A439" t="str">
        <f>IFERROR(__xludf.DUMMYFUNCTION("""COMPUTED_VALUE"""),"Admin")</f>
        <v>Admin</v>
      </c>
      <c r="B439" t="str">
        <f>IFERROR(__xludf.DUMMYFUNCTION("""COMPUTED_VALUE"""),"SetRollover")</f>
        <v>SetRollover</v>
      </c>
      <c r="C439" t="str">
        <f>IFERROR(__xludf.DUMMYFUNCTION("""COMPUTED_VALUE"""),"1g8yHX3NgTZ69qR9sJuH4OwZDcdDQ4zNzTUIz8i9c8Wc")</f>
        <v>1g8yHX3NgTZ69qR9sJuH4OwZDcdDQ4zNzTUIz8i9c8Wc</v>
      </c>
    </row>
    <row r="440" ht="15.75" customHeight="1">
      <c r="A440" t="str">
        <f>IFERROR(__xludf.DUMMYFUNCTION("""COMPUTED_VALUE"""),"Blotter")</f>
        <v>Blotter</v>
      </c>
      <c r="B440" t="str">
        <f>IFERROR(__xludf.DUMMYFUNCTION("""COMPUTED_VALUE"""),"VerifyRollover")</f>
        <v>VerifyRollover</v>
      </c>
      <c r="C440" t="str">
        <f>IFERROR(__xludf.DUMMYFUNCTION("""COMPUTED_VALUE"""),"1YmNAq8VlKqlQdZW8Qb-4HKEvna5uWGWWZ257kBzZ3g8")</f>
        <v>1YmNAq8VlKqlQdZW8Qb-4HKEvna5uWGWWZ257kBzZ3g8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IFERROR(__xludf.DUMMYFUNCTION("""COMPUTED_VALUE"""),"EditAllocatedGridTaxlot")</f>
        <v>EditAllocatedGridTaxlot</v>
      </c>
      <c r="C441" t="str">
        <f>IFERROR(__xludf.DUMMYFUNCTION("""COMPUTED_VALUE"""),"1aoefQ2rn_ekQSQ5w1OA5dDn-kkC5Mhjygz9lUK_INpw")</f>
        <v>1aoefQ2rn_ekQSQ5w1OA5dDn-kkC5Mhjygz9lUK_INpw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IFERROR(__xludf.DUMMYFUNCTION("""COMPUTED_VALUE"""),"ExpandCollapseAllocatedGrid")</f>
        <v>ExpandCollapseAllocatedGrid</v>
      </c>
      <c r="C442" t="str">
        <f>IFERROR(__xludf.DUMMYFUNCTION("""COMPUTED_VALUE"""),"1zLKKBGrkdJnOK0je8SVf7FNy8N74M1Y58Ijeg4-2PoM")</f>
        <v>1zLKKBGrkdJnOK0je8SVf7FNy8N74M1Y58Ijeg4-2PoM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IFERROR(__xludf.DUMMYFUNCTION("""COMPUTED_VALUE"""),"ExpandCollapseUnallocatedGrid")</f>
        <v>ExpandCollapseUnallocatedGrid</v>
      </c>
      <c r="C443" t="str">
        <f>IFERROR(__xludf.DUMMYFUNCTION("""COMPUTED_VALUE"""),"1yl-Ggnzc6WlzcJkjk53PzqzifLSUFBSUWedGjO2j1sI")</f>
        <v>1yl-Ggnzc6WlzcJkjk53PzqzifLSUFBSUWedGjO2j1sI</v>
      </c>
    </row>
    <row r="444" ht="15.75" customHeight="1">
      <c r="A444" t="str">
        <f>IFERROR(__xludf.DUMMYFUNCTION("""COMPUTED_VALUE"""),"Blotter")</f>
        <v>Blotter</v>
      </c>
      <c r="B444" t="str">
        <f>IFERROR(__xludf.DUMMYFUNCTION("""COMPUTED_VALUE"""),"VerifySubOrderAfterRollover")</f>
        <v>VerifySubOrderAfterRollover</v>
      </c>
      <c r="C444" t="str">
        <f>IFERROR(__xludf.DUMMYFUNCTION("""COMPUTED_VALUE"""),"1BioDAFgRK9uBg8Ftw35Xfp5pj4WxwmmYzwIJBuO-DwQ")</f>
        <v>1BioDAFgRK9uBg8Ftw35Xfp5pj4WxwmmYzwIJBuO-DwQ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IFERROR(__xludf.DUMMYFUNCTION("""COMPUTED_VALUE"""),"SelectTransactionImportType")</f>
        <v>SelectTransactionImportType</v>
      </c>
      <c r="C445" t="str">
        <f>IFERROR(__xludf.DUMMYFUNCTION("""COMPUTED_VALUE"""),"16Qb8L4YsI0WqV4SeARzc48bRpwR2V4Z0MV8OYoCFGhk")</f>
        <v>16Qb8L4YsI0WqV4SeARzc48bRpwR2V4Z0MV8OYoCFGhk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IFERROR(__xludf.DUMMYFUNCTION("""COMPUTED_VALUE"""),"SelectAllOnImport")</f>
        <v>SelectAllOnImport</v>
      </c>
      <c r="C446" t="str">
        <f>IFERROR(__xludf.DUMMYFUNCTION("""COMPUTED_VALUE"""),"1DTWgrx0dU8hFuUe5pmBqyj4Lg5WTlhIj6qkrNZ9ICjk")</f>
        <v>1DTWgrx0dU8hFuUe5pmBqyj4Lg5WTlhIj6qkrNZ9ICjk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IFERROR(__xludf.DUMMYFUNCTION("""COMPUTED_VALUE"""),"SelectMarkPriceImportType")</f>
        <v>SelectMarkPriceImportType</v>
      </c>
      <c r="C447" t="str">
        <f>IFERROR(__xludf.DUMMYFUNCTION("""COMPUTED_VALUE"""),"15i1dY6hiW1m4QYwSjhx4JAOW2WLNuZU-m8pp-a1afIc")</f>
        <v>15i1dY6hiW1m4QYwSjhx4JAOW2WLNuZU-m8pp-a1afIc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IFERROR(__xludf.DUMMYFUNCTION("""COMPUTED_VALUE"""),"SelectForexImportType")</f>
        <v>SelectForexImportType</v>
      </c>
      <c r="C448" t="str">
        <f>IFERROR(__xludf.DUMMYFUNCTION("""COMPUTED_VALUE"""),"1FoMj8Y6YQKmNanRt2lm2Bh_abv6-z3QHsKHrSZf0fzk")</f>
        <v>1FoMj8Y6YQKmNanRt2lm2Bh_abv6-z3QHsKHrSZf0fzk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IFERROR(__xludf.DUMMYFUNCTION("""COMPUTED_VALUE"""),"SelectDoubleEntryCashImportType")</f>
        <v>SelectDoubleEntryCashImportType</v>
      </c>
      <c r="C449" t="str">
        <f>IFERROR(__xludf.DUMMYFUNCTION("""COMPUTED_VALUE"""),"1kJHggZBmha8GLtaL5ZV_B3BS4Gwe7Lz8xw9VxE7dOZo")</f>
        <v>1kJHggZBmha8GLtaL5ZV_B3BS4Gwe7Lz8xw9VxE7dOZo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IFERROR(__xludf.DUMMYFUNCTION("""COMPUTED_VALUE"""),"SelectActivitiesImportType")</f>
        <v>SelectActivitiesImportType</v>
      </c>
      <c r="C450" t="str">
        <f>IFERROR(__xludf.DUMMYFUNCTION("""COMPUTED_VALUE"""),"1oXhOfdNQe4jyRJ2C0rhWTdFRGTIOV39EEnimfabEDfg")</f>
        <v>1oXhOfdNQe4jyRJ2C0rhWTdFRGTIOV39EEnimfabEDfg</v>
      </c>
    </row>
    <row r="451" ht="15.75" customHeight="1">
      <c r="A451" t="str">
        <f>IFERROR(__xludf.DUMMYFUNCTION("""COMPUTED_VALUE"""),"TradingTicket")</f>
        <v>TradingTicket</v>
      </c>
      <c r="B451" t="str">
        <f>IFERROR(__xludf.DUMMYFUNCTION("""COMPUTED_VALUE"""),"SetTTCompliancePreference")</f>
        <v>SetTTCompliancePreference</v>
      </c>
      <c r="C451" t="str">
        <f>IFERROR(__xludf.DUMMYFUNCTION("""COMPUTED_VALUE"""),"1oCioVWRpfyuyVxfO16G2yJ720gXGkma0qGlK4ZyrYg4")</f>
        <v>1oCioVWRpfyuyVxfO16G2yJ720gXGkma0qGlK4ZyrYg4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IFERROR(__xludf.DUMMYFUNCTION("""COMPUTED_VALUE"""),"LockandUnlockGridData")</f>
        <v>LockandUnlockGridData</v>
      </c>
      <c r="C452" t="str">
        <f>IFERROR(__xludf.DUMMYFUNCTION("""COMPUTED_VALUE"""),"10uiIcQww3gObeTuZg8B6hz4zaM4MJICGafz7PPnEHAs")</f>
        <v>10uiIcQww3gObeTuZg8B6hz4zaM4MJICGafz7PPnEHAs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IFERROR(__xludf.DUMMYFUNCTION("""COMPUTED_VALUE"""),"SetTradeAttributePreferences")</f>
        <v>SetTradeAttributePreferences</v>
      </c>
      <c r="C453" t="str">
        <f>IFERROR(__xludf.DUMMYFUNCTION("""COMPUTED_VALUE"""),"18Q05MSktNTIHVgTsRKNrAGtMDLi69cwqazVhf_5vGUs")</f>
        <v>18Q05MSktNTIHVgTsRKNrAGtMDLi69cwqazVhf_5vGUs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IFERROR(__xludf.DUMMYFUNCTION("""COMPUTED_VALUE"""),"VerifyAccountBalances")</f>
        <v>VerifyAccountBalances</v>
      </c>
      <c r="C454" t="str">
        <f>IFERROR(__xludf.DUMMYFUNCTION("""COMPUTED_VALUE"""),"1lE_cU-tlZ7oe5H_dwFeCKyUTo0QAax5WNCxb0aT0h3k")</f>
        <v>1lE_cU-tlZ7oe5H_dwFeCKyUTo0QAax5WNCxb0aT0h3k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IFERROR(__xludf.DUMMYFUNCTION("""COMPUTED_VALUE"""),"RefreshGridData")</f>
        <v>RefreshGridData</v>
      </c>
      <c r="C455" t="str">
        <f>IFERROR(__xludf.DUMMYFUNCTION("""COMPUTED_VALUE"""),"1d_eucCmN5G9f8_NiLaxsLdEikfWW-iKoCQ7vev7O0zU")</f>
        <v>1d_eucCmN5G9f8_NiLaxsLdEikfWW-iKoCQ7vev7O0zU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IFERROR(__xludf.DUMMYFUNCTION("""COMPUTED_VALUE"""),"AddMultipleOpeningBalTranItem")</f>
        <v>AddMultipleOpeningBalTranItem</v>
      </c>
      <c r="C456" t="str">
        <f>IFERROR(__xludf.DUMMYFUNCTION("""COMPUTED_VALUE"""),"1o5yFjfxSDwUZg4TV7tpFK_WjNSoNTnfL0wboLVCUm1c")</f>
        <v>1o5yFjfxSDwUZg4TV7tpFK_WjNSoNTnfL0wboLVCUm1c</v>
      </c>
    </row>
    <row r="457" ht="15.75" customHeight="1">
      <c r="A457" t="str">
        <f>IFERROR(__xludf.DUMMYFUNCTION("""COMPUTED_VALUE"""),"Import")</f>
        <v>Import</v>
      </c>
      <c r="B457" t="str">
        <f>IFERROR(__xludf.DUMMYFUNCTION("""COMPUTED_VALUE"""),"ApplyFilterOnImport")</f>
        <v>ApplyFilterOnImport</v>
      </c>
      <c r="C457" t="str">
        <f>IFERROR(__xludf.DUMMYFUNCTION("""COMPUTED_VALUE"""),"1bucapBjYv7lpkviHI-0ZpKwEa06hE9XLTYxCAkiqv1Y")</f>
        <v>1bucapBjYv7lpkviHI-0ZpKwEa06hE9XLTYxCAkiqv1Y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IFERROR(__xludf.DUMMYFUNCTION("""COMPUTED_VALUE"""),"SendtoStaging")</f>
        <v>SendtoStaging</v>
      </c>
      <c r="C458" t="str">
        <f>IFERROR(__xludf.DUMMYFUNCTION("""COMPUTED_VALUE"""),"1wpKxeuT5ngykDq8oxD8v-gkl_lDsqPEk3FXZl1BBGNU")</f>
        <v>1wpKxeuT5ngykDq8oxD8v-gkl_lDsqPEk3FXZl1BBGNU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IFERROR(__xludf.DUMMYFUNCTION("""COMPUTED_VALUE"""),"SendToStagingExport")</f>
        <v>SendToStagingExport</v>
      </c>
      <c r="C459" t="str">
        <f>IFERROR(__xludf.DUMMYFUNCTION("""COMPUTED_VALUE"""),"188Cj5Oajs1RWZqRf1bLDBac-8Msm8v6wy-DudfpzAZU")</f>
        <v>188Cj5Oajs1RWZqRf1bLDBac-8Msm8v6wy-DudfpzAZU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IFERROR(__xludf.DUMMYFUNCTION("""COMPUTED_VALUE"""),"SetDefaultSymbology")</f>
        <v>SetDefaultSymbology</v>
      </c>
      <c r="C460" t="str">
        <f>IFERROR(__xludf.DUMMYFUNCTION("""COMPUTED_VALUE"""),"1QjBxJ-nrJcTpAkTasi94_sVisBgMGti7OMQXSW2qseQ")</f>
        <v>1QjBxJ-nrJcTpAkTasi94_sVisBgMGti7OMQXSW2qseQ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IFERROR(__xludf.DUMMYFUNCTION("""COMPUTED_VALUE"""),"EnterCustomAllocatePreference")</f>
        <v>EnterCustomAllocatePreference</v>
      </c>
      <c r="C461" t="str">
        <f>IFERROR(__xludf.DUMMYFUNCTION("""COMPUTED_VALUE"""),"1AQwPv2q79wcTa3HlFCQkHG7umwMKlkwPJ1HUBORVfsc")</f>
        <v>1AQwPv2q79wcTa3HlFCQkHG7umwMKlkwPJ1HUBORVfsc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IFERROR(__xludf.DUMMYFUNCTION("""COMPUTED_VALUE"""),"EditPTTAccountLevelWPF")</f>
        <v>EditPTTAccountLevelWPF</v>
      </c>
      <c r="C462" t="str">
        <f>IFERROR(__xludf.DUMMYFUNCTION("""COMPUTED_VALUE"""),"1HyQP4Vrh5_w30EPDJEhjFufpoV-ySJfmHbrzDDK_XLA")</f>
        <v>1HyQP4Vrh5_w30EPDJEhjFufpoV-ySJfmHbrzDDK_XLA</v>
      </c>
    </row>
    <row r="463" ht="15.75" customHeight="1">
      <c r="A463" t="str">
        <f>IFERROR(__xludf.DUMMYFUNCTION("""COMPUTED_VALUE"""),"PortfolioManagement")</f>
        <v>PortfolioManagement</v>
      </c>
      <c r="B463" t="str">
        <f>IFERROR(__xludf.DUMMYFUNCTION("""COMPUTED_VALUE"""),"OpenCreateTransactionFromPM")</f>
        <v>OpenCreateTransactionFromPM</v>
      </c>
      <c r="C463" t="str">
        <f>IFERROR(__xludf.DUMMYFUNCTION("""COMPUTED_VALUE"""),"1-86nRBAwVMofYmwMdMDgXGJGcmif9ZGSu6dQcsjk8mA")</f>
        <v>1-86nRBAwVMofYmwMdMDgXGJGcmif9ZGSu6dQcsjk8mA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IFERROR(__xludf.DUMMYFUNCTION("""COMPUTED_VALUE"""),"SetAutoGroupingPreferences")</f>
        <v>SetAutoGroupingPreferences</v>
      </c>
      <c r="C464" t="str">
        <f>IFERROR(__xludf.DUMMYFUNCTION("""COMPUTED_VALUE"""),"1Te-cBRFv_FKkvhELasch4HdUPvbgmGvyaL6GSm8rfJ8")</f>
        <v>1Te-cBRFv_FKkvhELasch4HdUPvbgmGvyaL6GSm8rfJ8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IFERROR(__xludf.DUMMYFUNCTION("""COMPUTED_VALUE"""),"SetAutoGroupingAccount")</f>
        <v>SetAutoGroupingAccount</v>
      </c>
      <c r="C465" t="str">
        <f>IFERROR(__xludf.DUMMYFUNCTION("""COMPUTED_VALUE"""),"1dJTHiT90Stsu7bgBQnfHKxlF7IvmTIhNFC2w3EdJlw0")</f>
        <v>1dJTHiT90Stsu7bgBQnfHKxlF7IvmTIhNFC2w3EdJlw0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IFERROR(__xludf.DUMMYFUNCTION("""COMPUTED_VALUE"""),"SetAvgPriceRounding")</f>
        <v>SetAvgPriceRounding</v>
      </c>
      <c r="C466" t="str">
        <f>IFERROR(__xludf.DUMMYFUNCTION("""COMPUTED_VALUE"""),"1euGFLIds_3eA9FuJ69reigrp7frEDEtKK3dBvh99T0k")</f>
        <v>1euGFLIds_3eA9FuJ69reigrp7frEDEtKK3dBvh99T0k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IFERROR(__xludf.DUMMYFUNCTION("""COMPUTED_VALUE"""),"SetActive")</f>
        <v>SetActive</v>
      </c>
      <c r="C467" t="str">
        <f>IFERROR(__xludf.DUMMYFUNCTION("""COMPUTED_VALUE"""),"1wafvyb438EvqeluBWDpXJE8X9Q8gOn3Ijw3caT3wgio")</f>
        <v>1wafvyb438EvqeluBWDpXJE8X9Q8gOn3Ijw3caT3wgio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IFERROR(__xludf.DUMMYFUNCTION("""COMPUTED_VALUE"""),"SetThirdPartyFormat")</f>
        <v>SetThirdPartyFormat</v>
      </c>
      <c r="C468" t="str">
        <f>IFERROR(__xludf.DUMMYFUNCTION("""COMPUTED_VALUE"""),"1l4Egceegv_mDnvE4M_HcBbuAgQh8NhlmPu_10KloWAg")</f>
        <v>1l4Egceegv_mDnvE4M_HcBbuAgQh8NhlmPu_10KloWAg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IFERROR(__xludf.DUMMYFUNCTION("""COMPUTED_VALUE"""),"UpdateRoundLot")</f>
        <v>UpdateRoundLot</v>
      </c>
      <c r="C469" t="str">
        <f>IFERROR(__xludf.DUMMYFUNCTION("""COMPUTED_VALUE"""),"18PF0rNHvoiKp_FuUlo8mthi46lV23xFlAq576GQRdnk")</f>
        <v>18PF0rNHvoiKp_FuUlo8mthi46lV23xFlAq576GQRdnk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IFERROR(__xludf.DUMMYFUNCTION("""COMPUTED_VALUE"""),"RebalanceViaBloomberg")</f>
        <v>RebalanceViaBloomberg</v>
      </c>
      <c r="C470" t="str">
        <f>IFERROR(__xludf.DUMMYFUNCTION("""COMPUTED_VALUE"""),"19Yxtc0mG-kYgx9XiMj2EmICwIzmI7MHhVW5H8sXjfqc")</f>
        <v>19Yxtc0mG-kYgx9XiMj2EmICwIzmI7MHhVW5H8sXjfqc</v>
      </c>
    </row>
    <row r="471" ht="15.75" customHeight="1">
      <c r="A471" t="str">
        <f>IFERROR(__xludf.DUMMYFUNCTION("""COMPUTED_VALUE"""),"ThirdParty")</f>
        <v>ThirdParty</v>
      </c>
      <c r="B471" t="str">
        <f>IFERROR(__xludf.DUMMYFUNCTION("""COMPUTED_VALUE"""),"RefreshThirdParty")</f>
        <v>RefreshThirdParty</v>
      </c>
      <c r="C471" t="str">
        <f>IFERROR(__xludf.DUMMYFUNCTION("""COMPUTED_VALUE"""),"1leOcJPhSPuUZuc26liYTUkBEgS0ZkyPgfsQ2q70vYYU")</f>
        <v>1leOcJPhSPuUZuc26liYTUkBEgS0ZkyPgfsQ2q70vYYU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IFERROR(__xludf.DUMMYFUNCTION("""COMPUTED_VALUE"""),"AddUserAdjustedNAV")</f>
        <v>AddUserAdjustedNAV</v>
      </c>
      <c r="C472" t="str">
        <f>IFERROR(__xludf.DUMMYFUNCTION("""COMPUTED_VALUE"""),"1EV6M1kdYbGffiAWDGUsHZDUm9EMHjyVnQif2Bq_w5YQ")</f>
        <v>1EV6M1kdYbGffiAWDGUsHZDUm9EMHjyVnQif2Bq_w5YQ</v>
      </c>
    </row>
    <row r="473" ht="15.75" customHeight="1">
      <c r="A473" t="str">
        <f>IFERROR(__xludf.DUMMYFUNCTION("""COMPUTED_VALUE"""),"Allocation")</f>
        <v>Allocation</v>
      </c>
      <c r="B473" t="str">
        <f>IFERROR(__xludf.DUMMYFUNCTION("""COMPUTED_VALUE"""),"IsAllocationOpen")</f>
        <v>IsAllocationOpen</v>
      </c>
      <c r="C473" t="str">
        <f>IFERROR(__xludf.DUMMYFUNCTION("""COMPUTED_VALUE"""),"1NWy1tNLHXUklTVeScryRsYAkdc5-LJ3oDBhQkv8WT8M")</f>
        <v>1NWy1tNLHXUklTVeScryRsYAkdc5-LJ3oDBhQkv8WT8M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IFERROR(__xludf.DUMMYFUNCTION("""COMPUTED_VALUE"""),"ImportOnShortLocate")</f>
        <v>ImportOnShortLocate</v>
      </c>
      <c r="C474" t="str">
        <f>IFERROR(__xludf.DUMMYFUNCTION("""COMPUTED_VALUE"""),"1bVPxA0zNj_p7pg9E8mTgLU7yGIrp_WO7jQMtzLb9etg")</f>
        <v>1bVPxA0zNj_p7pg9E8mTgLU7yGIrp_WO7jQMtzLb9etg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IFERROR(__xludf.DUMMYFUNCTION("""COMPUTED_VALUE"""),"ApplyFilterOnShortLocate")</f>
        <v>ApplyFilterOnShortLocate</v>
      </c>
      <c r="C475" t="str">
        <f>IFERROR(__xludf.DUMMYFUNCTION("""COMPUTED_VALUE"""),"1pI0OFiaN7-udDb32hud9I-wifPd3OsRMQPJXWrVRGYE")</f>
        <v>1pI0OFiaN7-udDb32hud9I-wifPd3OsRMQPJXWrVRGYE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IFERROR(__xludf.DUMMYFUNCTION("""COMPUTED_VALUE"""),"OpenTTFromShortLocate")</f>
        <v>OpenTTFromShortLocate</v>
      </c>
      <c r="C476" t="str">
        <f>IFERROR(__xludf.DUMMYFUNCTION("""COMPUTED_VALUE"""),"1MR0CqV87GTUrjVmW-u4lucv_hu_DKW9AesdoirhhPoE")</f>
        <v>1MR0CqV87GTUrjVmW-u4lucv_hu_DKW9AesdoirhhPoE</v>
      </c>
    </row>
    <row r="477" ht="15.75" customHeight="1">
      <c r="A477" t="str">
        <f>IFERROR(__xludf.DUMMYFUNCTION("""COMPUTED_VALUE"""),"PortfolioManagement")</f>
        <v>PortfolioManagement</v>
      </c>
      <c r="B477" t="str">
        <f>IFERROR(__xludf.DUMMYFUNCTION("""COMPUTED_VALUE"""),"RemoveGroupingFromPM")</f>
        <v>RemoveGroupingFromPM</v>
      </c>
      <c r="C477" t="str">
        <f>IFERROR(__xludf.DUMMYFUNCTION("""COMPUTED_VALUE"""),"1VZd-w4B9IFs_jtM2q4yseIyXmK7riLhK8i1YlvU3OJ4")</f>
        <v>1VZd-w4B9IFs_jtM2q4yseIyXmK7riLhK8i1YlvU3OJ4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IFERROR(__xludf.DUMMYFUNCTION("""COMPUTED_VALUE"""),"AddTabOnWatchlist")</f>
        <v>AddTabOnWatchlist</v>
      </c>
      <c r="C478" t="str">
        <f>IFERROR(__xludf.DUMMYFUNCTION("""COMPUTED_VALUE"""),"1kyDKqBSEYxIlVdn2RdP-ZHnw5fK3SeBCqbpEqQfktbQ")</f>
        <v>1kyDKqBSEYxIlVdn2RdP-ZHnw5fK3SeBCqbpEqQfktbQ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IFERROR(__xludf.DUMMYFUNCTION("""COMPUTED_VALUE"""),"DeleteTabOnWatchlist")</f>
        <v>DeleteTabOnWatchlist</v>
      </c>
      <c r="C479" t="str">
        <f>IFERROR(__xludf.DUMMYFUNCTION("""COMPUTED_VALUE"""),"1dFUyUk6aFrwRW0TKRMWTlK9vFTp49OVXBqXSHz95DkI")</f>
        <v>1dFUyUk6aFrwRW0TKRMWTlK9vFTp49OVXBqXSHz95DkI</v>
      </c>
    </row>
    <row r="480" ht="15.75" customHeight="1">
      <c r="A480" t="str">
        <f>IFERROR(__xludf.DUMMYFUNCTION("""COMPUTED_VALUE"""),"ShortLocate")</f>
        <v>ShortLocate</v>
      </c>
      <c r="B480" t="str">
        <f>IFERROR(__xludf.DUMMYFUNCTION("""COMPUTED_VALUE"""),"Upload")</f>
        <v>Upload</v>
      </c>
      <c r="C480" t="str">
        <f>IFERROR(__xludf.DUMMYFUNCTION("""COMPUTED_VALUE"""),"1-xB5jbzgNDsYwxNItM2igLx6ybosKhYJDG45Cf1B00s")</f>
        <v>1-xB5jbzgNDsYwxNItM2igLx6ybosKhYJDG45Cf1B00s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IFERROR(__xludf.DUMMYFUNCTION("""COMPUTED_VALUE"""),"ViewDataOnRecon")</f>
        <v>ViewDataOnRecon</v>
      </c>
      <c r="C481" t="str">
        <f>IFERROR(__xludf.DUMMYFUNCTION("""COMPUTED_VALUE"""),"1j3XobpWhCBX14E7l14SxsGfD41uorXKq0Dzi78xEAl0")</f>
        <v>1j3XobpWhCBX14E7l14SxsGfD41uorXKq0Dzi78xEAl0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IFERROR(__xludf.DUMMYFUNCTION("""COMPUTED_VALUE"""),"RunRecon")</f>
        <v>RunRecon</v>
      </c>
      <c r="C482" t="str">
        <f>IFERROR(__xludf.DUMMYFUNCTION("""COMPUTED_VALUE"""),"1CGteHSn0TR35mDibHM_mvLDac-OHhb53IYGxYOU4O8c")</f>
        <v>1CGteHSn0TR35mDibHM_mvLDac-OHhb53IYGxYOU4O8c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IFERROR(__xludf.DUMMYFUNCTION("""COMPUTED_VALUE"""),"GenerateExceptionReport")</f>
        <v>GenerateExceptionReport</v>
      </c>
      <c r="C483" t="str">
        <f>IFERROR(__xludf.DUMMYFUNCTION("""COMPUTED_VALUE"""),"1N8yfRgpk29yJ2RajAJrKlhzej1Vm_fg2kmJVyjXLrvg")</f>
        <v>1N8yfRgpk29yJ2RajAJrKlhzej1Vm_fg2kmJVyjXLrvg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IFERROR(__xludf.DUMMYFUNCTION("""COMPUTED_VALUE"""),"ImportDataOnRecon")</f>
        <v>ImportDataOnRecon</v>
      </c>
      <c r="C484" t="str">
        <f>IFERROR(__xludf.DUMMYFUNCTION("""COMPUTED_VALUE"""),"1cUNtTiujid_O-E1ZKZwAgG6FILaEpJPyU8e7KNenYXI")</f>
        <v>1cUNtTiujid_O-E1ZKZwAgG6FILaEpJPyU8e7KNenYXI</v>
      </c>
    </row>
    <row r="485" ht="15.75" customHeight="1">
      <c r="A485" t="str">
        <f>IFERROR(__xludf.DUMMYFUNCTION("""COMPUTED_VALUE"""),"ShortLocate")</f>
        <v>ShortLocate</v>
      </c>
      <c r="B485" t="str">
        <f>IFERROR(__xludf.DUMMYFUNCTION("""COMPUTED_VALUE"""),"VerifyShortLocateGrid")</f>
        <v>VerifyShortLocateGrid</v>
      </c>
      <c r="C485" t="str">
        <f>IFERROR(__xludf.DUMMYFUNCTION("""COMPUTED_VALUE"""),"1WxElTsVLEdnCe639nqI7szGn5lHG-xxKjGMKw890Nxs")</f>
        <v>1WxElTsVLEdnCe639nqI7szGn5lHG-xxKjGMKw890Nxs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IFERROR(__xludf.DUMMYFUNCTION("""COMPUTED_VALUE"""),"VerifyApplicationData")</f>
        <v>VerifyApplicationData</v>
      </c>
      <c r="C486" t="str">
        <f>IFERROR(__xludf.DUMMYFUNCTION("""COMPUTED_VALUE"""),"1gMSDalyxsP_enjWpKNvUKpnf9DVP87AgNzPibA-eyb0")</f>
        <v>1gMSDalyxsP_enjWpKNvUKpnf9DVP87AgNzPibA-eyb0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IFERROR(__xludf.DUMMYFUNCTION("""COMPUTED_VALUE"""),"VerifyExceptionReport")</f>
        <v>VerifyExceptionReport</v>
      </c>
      <c r="C487" t="str">
        <f>IFERROR(__xludf.DUMMYFUNCTION("""COMPUTED_VALUE"""),"1XgMq7YXIsXKsvwpomSkKrDlipk4Y-ffMAHhllAES020")</f>
        <v>1XgMq7YXIsXKsvwpomSkKrDlipk4Y-ffMAHhllAES020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IFERROR(__xludf.DUMMYFUNCTION("""COMPUTED_VALUE"""),"VerifyPrimeBrokerData")</f>
        <v>VerifyPrimeBrokerData</v>
      </c>
      <c r="C488" t="str">
        <f>IFERROR(__xludf.DUMMYFUNCTION("""COMPUTED_VALUE"""),"1Ovwt1TBMu4eX_5xPIErUMp0szT3pOQv-xpOMc_u8oTQ")</f>
        <v>1Ovwt1TBMu4eX_5xPIErUMp0szT3pOQv-xpOMc_u8oTQ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IFERROR(__xludf.DUMMYFUNCTION("""COMPUTED_VALUE"""),"SetTradingComplianceRules")</f>
        <v>SetTradingComplianceRules</v>
      </c>
      <c r="C489" t="str">
        <f>IFERROR(__xludf.DUMMYFUNCTION("""COMPUTED_VALUE"""),"1MffewIlf1S9vLrAIh3aiDyNp7gGbrYIPJ5afHeDrnVY")</f>
        <v>1MffewIlf1S9vLrAIh3aiDyNp7gGbrYIPJ5afHeDrnVY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IFERROR(__xludf.DUMMYFUNCTION("""COMPUTED_VALUE"""),"ImportSymbol")</f>
        <v>ImportSymbol</v>
      </c>
      <c r="C490" t="str">
        <f>IFERROR(__xludf.DUMMYFUNCTION("""COMPUTED_VALUE"""),"1g5KDLoyLmVz3yEiZzqea5rWpYDsJy0U5SKzio29JwFw")</f>
        <v>1g5KDLoyLmVz3yEiZzqea5rWpYDsJy0U5SKzio29JwFw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IFERROR(__xludf.DUMMYFUNCTION("""COMPUTED_VALUE"""),"ExportSymbolFromRAList")</f>
        <v>ExportSymbolFromRAList</v>
      </c>
      <c r="C491" t="str">
        <f>IFERROR(__xludf.DUMMYFUNCTION("""COMPUTED_VALUE"""),"1OmAaisxsenYaDlJ4dEuvm14OJefiALIjp5WHk5BiW4M")</f>
        <v>1OmAaisxsenYaDlJ4dEuvm14OJefiALIjp5WHk5BiW4M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 CheckPendingNewOrderAlert")</f>
        <v> CheckPendingNewOrderAlert</v>
      </c>
      <c r="C492" t="str">
        <f>IFERROR(__xludf.DUMMYFUNCTION("""COMPUTED_VALUE"""),"1u5co1GxTETT-t-Y-D0bp3gH4_470l1tV19b2Ge9cabM")</f>
        <v>1u5co1GxTETT-t-Y-D0bp3gH4_470l1tV19b2Ge9cabM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IFERROR(__xludf.DUMMYFUNCTION("""COMPUTED_VALUE"""),"AddSymbolOnRAList")</f>
        <v>AddSymbolOnRAList</v>
      </c>
      <c r="C493" t="str">
        <f>IFERROR(__xludf.DUMMYFUNCTION("""COMPUTED_VALUE"""),"1Q0qEAvdybmeczJnkPdgP8k0_TaW0HOeRFexMckMR-18")</f>
        <v>1Q0qEAvdybmeczJnkPdgP8k0_TaW0HOeRFexMckMR-18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IFERROR(__xludf.DUMMYFUNCTION("""COMPUTED_VALUE"""),"DeleteSymbolListFromRA")</f>
        <v>DeleteSymbolListFromRA</v>
      </c>
      <c r="C494" t="str">
        <f>IFERROR(__xludf.DUMMYFUNCTION("""COMPUTED_VALUE"""),"1_wE7yP7PUnttaLCmZoDnxxzk_PFNSFCOma_pC4ViU6E")</f>
        <v>1_wE7yP7PUnttaLCmZoDnxxzk_PFNSFCOma_pC4ViU6E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IFERROR(__xludf.DUMMYFUNCTION("""COMPUTED_VALUE"""),"RemoveSymbolFromRAList")</f>
        <v>RemoveSymbolFromRAList</v>
      </c>
      <c r="C495" t="str">
        <f>IFERROR(__xludf.DUMMYFUNCTION("""COMPUTED_VALUE"""),"1JxgHW7rNshltHJ_tYhcbx1WTeF-Ge0ipf7IzTYHWuGc")</f>
        <v>1JxgHW7rNshltHJ_tYhcbx1WTeF-Ge0ipf7IzTYHWuGc</v>
      </c>
    </row>
    <row r="496" ht="15.75" customHeight="1">
      <c r="A496" t="str">
        <f>IFERROR(__xludf.DUMMYFUNCTION("""COMPUTED_VALUE"""),"Report")</f>
        <v>Report</v>
      </c>
      <c r="B496" t="str">
        <f>IFERROR(__xludf.DUMMYFUNCTION("""COMPUTED_VALUE"""),"ReportMatching")</f>
        <v>ReportMatching</v>
      </c>
      <c r="C496" t="str">
        <f>IFERROR(__xludf.DUMMYFUNCTION("""COMPUTED_VALUE"""),"1EfN5-n0Flku86UC55Hrfb0fwDOOr0WS_pPckzAO-Nuk")</f>
        <v>1EfN5-n0Flku86UC55Hrfb0fwDOOr0WS_pPckzAO-Nuk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IFERROR(__xludf.DUMMYFUNCTION("""COMPUTED_VALUE"""),"EnableBreakdownRealizedPNL")</f>
        <v>EnableBreakdownRealizedPNL</v>
      </c>
      <c r="C497" t="str">
        <f>IFERROR(__xludf.DUMMYFUNCTION("""COMPUTED_VALUE"""),"1rtkxweRxmt7T-ctvx_6DrnlqP57bpTIP6Ieul7_mP6A")</f>
        <v>1rtkxweRxmt7T-ctvx_6DrnlqP57bpTIP6Ieul7_mP6A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IFERROR(__xludf.DUMMYFUNCTION("""COMPUTED_VALUE"""),"SetTTGeneralPreferences")</f>
        <v>SetTTGeneralPreferences</v>
      </c>
      <c r="C498" t="str">
        <f>IFERROR(__xludf.DUMMYFUNCTION("""COMPUTED_VALUE"""),"1bYrBAoKW9vS-yV7iY_o_bSeBsS4YGKCqurg8f5zUrJ8")</f>
        <v>1bYrBAoKW9vS-yV7iY_o_bSeBsS4YGKCqurg8f5zUrJ8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IFERROR(__xludf.DUMMYFUNCTION("""COMPUTED_VALUE"""),"OpenBlotter")</f>
        <v>OpenBlotter</v>
      </c>
      <c r="C499" t="str">
        <f>IFERROR(__xludf.DUMMYFUNCTION("""COMPUTED_VALUE"""),"1jh-uMffIi0EiSv0QmaxSeDY5pD0Bo-YUzVPlNlIB5sk")</f>
        <v>1jh-uMffIi0EiSv0QmaxSeDY5pD0Bo-YUzVPlNlIB5sk</v>
      </c>
    </row>
    <row r="500" ht="15.75" customHeight="1">
      <c r="A500" t="str">
        <f>IFERROR(__xludf.DUMMYFUNCTION("""COMPUTED_VALUE"""),"ExeExecutor")</f>
        <v>ExeExecutor</v>
      </c>
      <c r="B500" t="str">
        <f>IFERROR(__xludf.DUMMYFUNCTION("""COMPUTED_VALUE"""),"CallExeExecutor")</f>
        <v>CallExeExecutor</v>
      </c>
      <c r="C500" t="str">
        <f>IFERROR(__xludf.DUMMYFUNCTION("""COMPUTED_VALUE"""),"18prvJHsrb-rcZzLiFugnRouMTG2v1w23-4XsA6vdq28")</f>
        <v>18prvJHsrb-rcZzLiFugnRouMTG2v1w23-4XsA6vdq28</v>
      </c>
    </row>
    <row r="501" ht="15.75" customHeight="1">
      <c r="A501" t="str">
        <f>IFERROR(__xludf.DUMMYFUNCTION("""COMPUTED_VALUE"""),"TradingTicket")</f>
        <v>TradingTicket</v>
      </c>
      <c r="B501" t="str">
        <f>IFERROR(__xludf.DUMMYFUNCTION("""COMPUTED_VALUE"""),"ToggleBlombergOnRA")</f>
        <v>ToggleBlombergOnRA</v>
      </c>
      <c r="C501" t="str">
        <f>IFERROR(__xludf.DUMMYFUNCTION("""COMPUTED_VALUE"""),"10Qkq27hhdOEj1Wsc8HDmoaYNRjZvZz3hYs_g-o2srD4")</f>
        <v>10Qkq27hhdOEj1Wsc8HDmoaYNRjZvZz3hYs_g-o2srD4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IFERROR(__xludf.DUMMYFUNCTION("""COMPUTED_VALUE"""),"RemoveManualExecution")</f>
        <v>RemoveManualExecution</v>
      </c>
      <c r="C502" t="str">
        <f>IFERROR(__xludf.DUMMYFUNCTION("""COMPUTED_VALUE"""),"12JlWbwTibBQxTu6k-LfAtZm3Ge3zv_5pTxfwGMUw41Y")</f>
        <v>12JlWbwTibBQxTu6k-LfAtZm3Ge3zv_5pTxfwGMUw41Y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IFERROR(__xludf.DUMMYFUNCTION("""COMPUTED_VALUE"""),"RemoveExecutionWorkingSubs")</f>
        <v>RemoveExecutionWorkingSubs</v>
      </c>
      <c r="C503" t="str">
        <f>IFERROR(__xludf.DUMMYFUNCTION("""COMPUTED_VALUE"""),"1y-8IjqY0F-JaHDEQlN0WPEnzbLFvyaXbrTNH8_TVTks")</f>
        <v>1y-8IjqY0F-JaHDEQlN0WPEnzbLFvyaXbrTNH8_TVTks</v>
      </c>
    </row>
    <row r="504" ht="15.75" customHeight="1">
      <c r="A504" t="str">
        <f>IFERROR(__xludf.DUMMYFUNCTION("""COMPUTED_VALUE"""),"Dropcopy")</f>
        <v>Dropcopy</v>
      </c>
      <c r="B504" t="str">
        <f>IFERROR(__xludf.DUMMYFUNCTION("""COMPUTED_VALUE"""),"UploadDropcopyFile")</f>
        <v>UploadDropcopyFile</v>
      </c>
      <c r="C504" t="str">
        <f>IFERROR(__xludf.DUMMYFUNCTION("""COMPUTED_VALUE"""),"1nR5JdSa_bHe_xGX50gs4EzgjOu_OvNU3Jr03lpqD0xw")</f>
        <v>1nR5JdSa_bHe_xGX50gs4EzgjOu_OvNU3Jr03lpqD0xw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IFERROR(__xludf.DUMMYFUNCTION("""COMPUTED_VALUE"""),"StartTradeServer")</f>
        <v>StartTradeServer</v>
      </c>
      <c r="C505" t="str">
        <f>IFERROR(__xludf.DUMMYFUNCTION("""COMPUTED_VALUE"""),"1y76YUxz2PJo3dkDwBM0DtU6wDkbeltscHEvWIbis6PU")</f>
        <v>1y76YUxz2PJo3dkDwBM0DtU6wDkbeltscHEvWIbis6PU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IFERROR(__xludf.DUMMYFUNCTION("""COMPUTED_VALUE"""),"CloseTradeServer ")</f>
        <v>CloseTradeServer </v>
      </c>
      <c r="C506" t="str">
        <f>IFERROR(__xludf.DUMMYFUNCTION("""COMPUTED_VALUE"""),"1yt7YEJD5SbOmQGT4lGjpllft89GAxVsEpZGz0MjiwoE")</f>
        <v>1yt7YEJD5SbOmQGT4lGjpllft89GAxVsEpZGz0MjiwoE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IFERROR(__xludf.DUMMYFUNCTION("""COMPUTED_VALUE"""),"GetExecutionReportOrders")</f>
        <v>GetExecutionReportOrders</v>
      </c>
      <c r="C507" t="str">
        <f>IFERROR(__xludf.DUMMYFUNCTION("""COMPUTED_VALUE"""),"1NAb2WMfxxO3WY8IHkZpmM2CEoQJdLSaSUKkJGXbMhpM")</f>
        <v>1NAb2WMfxxO3WY8IHkZpmM2CEoQJdLSaSUKkJGXbMhpM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IFERROR(__xludf.DUMMYFUNCTION("""COMPUTED_VALUE"""),"GetExecutionReportDetails")</f>
        <v>GetExecutionReportDetails</v>
      </c>
      <c r="C508" t="str">
        <f>IFERROR(__xludf.DUMMYFUNCTION("""COMPUTED_VALUE"""),"1jzzm_gfQ-iQdhfat681yxboDYvsF3ICqvTE6xBuUuPw")</f>
        <v>1jzzm_gfQ-iQdhfat681yxboDYvsF3ICqvTE6xBuUuPw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IFERROR(__xludf.DUMMYFUNCTION("""COMPUTED_VALUE"""),"ExportExecutionReportData")</f>
        <v>ExportExecutionReportData</v>
      </c>
      <c r="C509" t="str">
        <f>IFERROR(__xludf.DUMMYFUNCTION("""COMPUTED_VALUE"""),"1QDVVpmU4OpSVy0QKxTmM6zg2QX4-s7c-SloWYxSfj2I")</f>
        <v>1QDVVpmU4OpSVy0QKxTmM6zg2QX4-s7c-SloWYxSfj2I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IFERROR(__xludf.DUMMYFUNCTION("""COMPUTED_VALUE"""),"VerifyExecutionReport")</f>
        <v>VerifyExecutionReport</v>
      </c>
      <c r="C510" t="str">
        <f>IFERROR(__xludf.DUMMYFUNCTION("""COMPUTED_VALUE"""),"1r_n-pmrLMgF_C8aeuNDr7tWOA0Y7GBcfWpC4prA7BYY")</f>
        <v>1r_n-pmrLMgF_C8aeuNDr7tWOA0Y7GBcfWpC4prA7BYY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IFERROR(__xludf.DUMMYFUNCTION("""COMPUTED_VALUE"""),"BlotterExecutionReportSnapshot")</f>
        <v>BlotterExecutionReportSnapshot</v>
      </c>
      <c r="C511" t="str">
        <f>IFERROR(__xludf.DUMMYFUNCTION("""COMPUTED_VALUE"""),"1CpQZAB4vlNmqvzO989xcBSpzc0NPLej2NvhLbdUyWTQ")</f>
        <v>1CpQZAB4vlNmqvzO989xcBSpzc0NPLej2NvhLbdUyWTQ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IFERROR(__xludf.DUMMYFUNCTION("""COMPUTED_VALUE"""),"SetDollarAmountPermission")</f>
        <v>SetDollarAmountPermission</v>
      </c>
      <c r="C512" t="str">
        <f>IFERROR(__xludf.DUMMYFUNCTION("""COMPUTED_VALUE"""),"14X5jPuAG23EQhbOfO3DylrVujon3mSElP-txsSkRnA8")</f>
        <v>14X5jPuAG23EQhbOfO3DylrVujon3mSElP-txsSkRnA8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IFERROR(__xludf.DUMMYFUNCTION("""COMPUTED_VALUE"""),"EnableDisableModule")</f>
        <v>EnableDisableModule</v>
      </c>
      <c r="C513" t="str">
        <f>IFERROR(__xludf.DUMMYFUNCTION("""COMPUTED_VALUE"""),"1Nhl_j0HYixYX2VQ1rak-5gFIBhJ4VoCwaftlalTj1bk")</f>
        <v>1Nhl_j0HYixYX2VQ1rak-5gFIBhJ4VoCwaftlalTj1bk</v>
      </c>
    </row>
    <row r="514" ht="15.75" customHeight="1">
      <c r="A514" t="str">
        <f>IFERROR(__xludf.DUMMYFUNCTION("""COMPUTED_VALUE"""),"Blotter")</f>
        <v>Blotter</v>
      </c>
      <c r="B514" t="str">
        <f>IFERROR(__xludf.DUMMYFUNCTION("""COMPUTED_VALUE"""),"MultipleTradeTransferToUser")</f>
        <v>MultipleTradeTransferToUser</v>
      </c>
      <c r="C514" t="str">
        <f>IFERROR(__xludf.DUMMYFUNCTION("""COMPUTED_VALUE"""),"18edwL6Y0tYzP2zrxa0QRcpYxjVV6krJxukXjossj_MM")</f>
        <v>18edwL6Y0tYzP2zrxa0QRcpYxjVV6krJxukXjossj_MM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IFERROR(__xludf.DUMMYFUNCTION("""COMPUTED_VALUE"""),"IsImportOverrideOnShortLocate")</f>
        <v>IsImportOverrideOnShortLocate</v>
      </c>
      <c r="C515" t="str">
        <f>IFERROR(__xludf.DUMMYFUNCTION("""COMPUTED_VALUE"""),"1rXpxTwvAlfhYJ9c_7pzI4e6qsq11B1glzjELJaxdM78")</f>
        <v>1rXpxTwvAlfhYJ9c_7pzI4e6qsq11B1glzjELJaxdM78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IFERROR(__xludf.DUMMYFUNCTION("""COMPUTED_VALUE"""),"SetShortLocateStructures")</f>
        <v>SetShortLocateStructures</v>
      </c>
      <c r="C516" t="str">
        <f>IFERROR(__xludf.DUMMYFUNCTION("""COMPUTED_VALUE"""),"1Ysz8uKnxRqT6F3_Q057BzV3ZZSVUtxBeQC04LlklMkA")</f>
        <v>1Ysz8uKnxRqT6F3_Q057BzV3ZZSVUtxBeQC04LlklMkA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IFERROR(__xludf.DUMMYFUNCTION("""COMPUTED_VALUE"""),"DownloadFile")</f>
        <v>DownloadFile</v>
      </c>
      <c r="C517" t="str">
        <f>IFERROR(__xludf.DUMMYFUNCTION("""COMPUTED_VALUE"""),"1Lo2aHDGLaNwTN4R8-xwG0BQ40lg7UQinHAGEpxz69js")</f>
        <v>1Lo2aHDGLaNwTN4R8-xwG0BQ40lg7UQinHAGEpxz69js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IFERROR(__xludf.DUMMYFUNCTION("""COMPUTED_VALUE"""),"SearchShortLocateUI")</f>
        <v>SearchShortLocateUI</v>
      </c>
      <c r="C518" t="str">
        <f>IFERROR(__xludf.DUMMYFUNCTION("""COMPUTED_VALUE"""),"1U6qgMqp1MPriWKxHsZuuHuHlmM-rJxqIxG5W7SUpFSg")</f>
        <v>1U6qgMqp1MPriWKxHsZuuHuHlmM-rJxqIxG5W7SUpFSg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IFERROR(__xludf.DUMMYFUNCTION("""COMPUTED_VALUE"""),"CreateDoneAwayOrder")</f>
        <v>CreateDoneAwayOrder</v>
      </c>
      <c r="C519" t="str">
        <f>IFERROR(__xludf.DUMMYFUNCTION("""COMPUTED_VALUE"""),"1PYf32wTc6i8YjkRz-Q53X6MYDiD5LoHyy9NsZwpOwGc")</f>
        <v>1PYf32wTc6i8YjkRz-Q53X6MYDiD5LoHyy9NsZwpOwGc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IFERROR(__xludf.DUMMYFUNCTION("""COMPUTED_VALUE"""),"CreateComplianceOrder")</f>
        <v>CreateComplianceOrder</v>
      </c>
      <c r="C520" t="str">
        <f>IFERROR(__xludf.DUMMYFUNCTION("""COMPUTED_VALUE"""),"1pOKwC5QSnI6pl7_3wm6G9qkekDDtucmNIY_GKVMbs0M")</f>
        <v>1pOKwC5QSnI6pl7_3wm6G9qkekDDtucmNIY_GKVMbs0M</v>
      </c>
    </row>
    <row r="521" ht="15.75" customHeight="1">
      <c r="A521" t="str">
        <f>IFERROR(__xludf.DUMMYFUNCTION("""COMPUTED_VALUE"""),"Simulator")</f>
        <v>Simulator</v>
      </c>
      <c r="B521" t="str">
        <f>IFERROR(__xludf.DUMMYFUNCTION("""COMPUTED_VALUE"""),"VerifyTrades")</f>
        <v>VerifyTrades</v>
      </c>
      <c r="C521" t="str">
        <f>IFERROR(__xludf.DUMMYFUNCTION("""COMPUTED_VALUE"""),"1931c1Bd7mkuw8ktAOnJ1wXHqdWYL0uX2gQ9uIP2NnkI")</f>
        <v>1931c1Bd7mkuw8ktAOnJ1wXHqdWYL0uX2gQ9uIP2NnkI</v>
      </c>
    </row>
    <row r="522" ht="15.75" customHeight="1">
      <c r="A522" t="str">
        <f>IFERROR(__xludf.DUMMYFUNCTION("""COMPUTED_VALUE"""),"ShortLocate")</f>
        <v>ShortLocate</v>
      </c>
      <c r="B522" t="str">
        <f>IFERROR(__xludf.DUMMYFUNCTION("""COMPUTED_VALUE"""),"SetShortLocatePreferences")</f>
        <v>SetShortLocatePreferences</v>
      </c>
      <c r="C522" t="str">
        <f>IFERROR(__xludf.DUMMYFUNCTION("""COMPUTED_VALUE"""),"1nr3BA7Flp5cWiyNKfvlxJQEbl_IdNqrIInUcX8x159M")</f>
        <v>1nr3BA7Flp5cWiyNKfvlxJQEbl_IdNqrIInUcX8x159M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IFERROR(__xludf.DUMMYFUNCTION("""COMPUTED_VALUE"""),"GetSymbolData")</f>
        <v>GetSymbolData</v>
      </c>
      <c r="C523" t="str">
        <f>IFERROR(__xludf.DUMMYFUNCTION("""COMPUTED_VALUE"""),"1Jhbk5bZEf1nNxzsfiuLvF70SiNRDu-1THAWzNNwbi4Y")</f>
        <v>1Jhbk5bZEf1nNxzsfiuLvF70SiNRDu-1THAWzNNwbi4Y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IFERROR(__xludf.DUMMYFUNCTION("""COMPUTED_VALUE"""),"EditSMData")</f>
        <v>EditSMData</v>
      </c>
      <c r="C524" t="str">
        <f>IFERROR(__xludf.DUMMYFUNCTION("""COMPUTED_VALUE"""),"162dD8bZg-298j6PezrW145xv1_C6x4Isd0rGv85ZCII")</f>
        <v>162dD8bZg-298j6PezrW145xv1_C6x4Isd0rGv85ZCII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IFERROR(__xludf.DUMMYFUNCTION("""COMPUTED_VALUE"""),"RestartRuleMediator")</f>
        <v>RestartRuleMediator</v>
      </c>
      <c r="C525" t="str">
        <f>IFERROR(__xludf.DUMMYFUNCTION("""COMPUTED_VALUE"""),"1dZ1FWxsWVvPQ6jyA-ksyvErraF0tisehi5j1I2FOkRw")</f>
        <v>1dZ1FWxsWVvPQ6jyA-ksyvErraF0tisehi5j1I2FOkRw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IFERROR(__xludf.DUMMYFUNCTION("""COMPUTED_VALUE"""),"VerifyAggAccountSymbolWithNav")</f>
        <v>VerifyAggAccountSymbolWithNav</v>
      </c>
      <c r="C526" t="str">
        <f>IFERROR(__xludf.DUMMYFUNCTION("""COMPUTED_VALUE"""),"11jhyREfVfPzaKHLxIklzEiVpo7QOG5knwgpEA7Hkzto")</f>
        <v>11jhyREfVfPzaKHLxIklzEiVpo7QOG5knwgpEA7Hkzto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IFERROR(__xludf.DUMMYFUNCTION("""COMPUTED_VALUE"""),"SetComplianceAlert")</f>
        <v>SetComplianceAlert</v>
      </c>
      <c r="C527" t="str">
        <f>IFERROR(__xludf.DUMMYFUNCTION("""COMPUTED_VALUE"""),"12x8yk-qXOBJRoW8RyxDDfI4tsK-lzo85opA2CvzjQoA")</f>
        <v>12x8yk-qXOBJRoW8RyxDDfI4tsK-lzo85opA2CvzjQoA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IFERROR(__xludf.DUMMYFUNCTION("""COMPUTED_VALUE"""),"ReloadOrderFromBlotter")</f>
        <v>ReloadOrderFromBlotter</v>
      </c>
      <c r="C528" t="str">
        <f>IFERROR(__xludf.DUMMYFUNCTION("""COMPUTED_VALUE"""),"1KTgBgigwVrlQbk-675Krfsd2QqH49pqRvlWifYUtQ5g")</f>
        <v>1KTgBgigwVrlQbk-675Krfsd2QqH49pqRvlWifYUtQ5g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IFERROR(__xludf.DUMMYFUNCTION("""COMPUTED_VALUE"""),"ReloadOrderFromSubOrder")</f>
        <v>ReloadOrderFromSubOrder</v>
      </c>
      <c r="C529" t="str">
        <f>IFERROR(__xludf.DUMMYFUNCTION("""COMPUTED_VALUE"""),"1a8denPrrrZ6CU7m_5pyvuX8v3Z1WPbnkCQZRqkPZEj8")</f>
        <v>1a8denPrrrZ6CU7m_5pyvuX8v3Z1WPbnkCQZRqkPZEj8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IFERROR(__xludf.DUMMYFUNCTION("""COMPUTED_VALUE"""),"ReloadOrderFromWorkingSubs")</f>
        <v>ReloadOrderFromWorkingSubs</v>
      </c>
      <c r="C530" t="str">
        <f>IFERROR(__xludf.DUMMYFUNCTION("""COMPUTED_VALUE"""),"1Qy10BJ2vPY3GZqXNi1sf4HN4-VBeDTN2tZbIrlL9_tM")</f>
        <v>1Qy10BJ2vPY3GZqXNi1sf4HN4-VBeDTN2tZbIrlL9_tM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IFERROR(__xludf.DUMMYFUNCTION("""COMPUTED_VALUE"""),"AutoExercise")</f>
        <v>AutoExercise</v>
      </c>
      <c r="C531" t="str">
        <f>IFERROR(__xludf.DUMMYFUNCTION("""COMPUTED_VALUE"""),"1VkyCG4QZGXFJyz0uDReEN_PMiHJtUbU9MzJ18dR7djs")</f>
        <v>1VkyCG4QZGXFJyz0uDReEN_PMiHJtUbU9MzJ18dR7djs</v>
      </c>
    </row>
    <row r="532" ht="15.75" customHeight="1">
      <c r="A532" t="str">
        <f>IFERROR(__xludf.DUMMYFUNCTION("""COMPUTED_VALUE"""),"PortfolioManagement")</f>
        <v>PortfolioManagement</v>
      </c>
      <c r="B532" t="str">
        <f>IFERROR(__xludf.DUMMYFUNCTION("""COMPUTED_VALUE"""),"IncreasePositionFromPM")</f>
        <v>IncreasePositionFromPM</v>
      </c>
      <c r="C532" t="str">
        <f>IFERROR(__xludf.DUMMYFUNCTION("""COMPUTED_VALUE"""),"1xln3IHIAQBsFIP_BTRt6nFOFbhoLbe-sRdYWCguKd7k")</f>
        <v>1xln3IHIAQBsFIP_BTRt6nFOFbhoLbe-sRdYWCguKd7k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IFERROR(__xludf.DUMMYFUNCTION("""COMPUTED_VALUE"""),"AddOptionTrade")</f>
        <v>AddOptionTrade</v>
      </c>
      <c r="C533" t="str">
        <f>IFERROR(__xludf.DUMMYFUNCTION("""COMPUTED_VALUE"""),"1zk0UoVrMV0oINBkU2tXEcmh42lo2poOp5V2voemUQOc")</f>
        <v>1zk0UoVrMV0oINBkU2tXEcmh42lo2poOp5V2voemUQOc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IFERROR(__xludf.DUMMYFUNCTION("""COMPUTED_VALUE"""),"SendLiveBloomberg")</f>
        <v>SendLiveBloomberg</v>
      </c>
      <c r="C534" t="str">
        <f>IFERROR(__xludf.DUMMYFUNCTION("""COMPUTED_VALUE"""),"1YDY4PrQHIwjAVV7ZS5FxsT9X35VMSfx9lUFZ6KS0TT4")</f>
        <v>1YDY4PrQHIwjAVV7ZS5FxsT9X35VMSfx9lUFZ6KS0TT4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IFERROR(__xludf.DUMMYFUNCTION("""COMPUTED_VALUE"""),"UpdateExpirationDate")</f>
        <v>UpdateExpirationDate</v>
      </c>
      <c r="C535" t="str">
        <f>IFERROR(__xludf.DUMMYFUNCTION("""COMPUTED_VALUE"""),"1m5emwEeVJWl1_OB8Nsr7sbSKCTBM_edzEbP7vtPiImU")</f>
        <v>1m5emwEeVJWl1_OB8Nsr7sbSKCTBM_edzEbP7vtPiImU</v>
      </c>
    </row>
    <row r="536" ht="15.75" customHeight="1">
      <c r="A536" t="str">
        <f>IFERROR(__xludf.DUMMYFUNCTION("""COMPUTED_VALUE"""),"PricingInput")</f>
        <v>PricingInput</v>
      </c>
      <c r="B536" t="str">
        <f>IFERROR(__xludf.DUMMYFUNCTION("""COMPUTED_VALUE"""),"UncheckDividendYield")</f>
        <v>UncheckDividendYield</v>
      </c>
      <c r="C536" t="str">
        <f>IFERROR(__xludf.DUMMYFUNCTION("""COMPUTED_VALUE"""),"1siER4KgCo3rya7jG6bOEOQMJ5jolS_sgeWzVIaXVnOA")</f>
        <v>1siER4KgCo3rya7jG6bOEOQMJ5jolS_sgeWzVIaXVnOA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IFERROR(__xludf.DUMMYFUNCTION("""COMPUTED_VALUE"""),"RenameMasterStrategy")</f>
        <v>RenameMasterStrategy</v>
      </c>
      <c r="C537" t="str">
        <f>IFERROR(__xludf.DUMMYFUNCTION("""COMPUTED_VALUE"""),"17O0fiItP8De4QvAabOMWsJRuFVwYQ4vcaWY9LIrA4AM")</f>
        <v>17O0fiItP8De4QvAabOMWsJRuFVwYQ4vcaWY9LIrA4AM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IFERROR(__xludf.DUMMYFUNCTION("""COMPUTED_VALUE"""),"SelectFills")</f>
        <v>SelectFills</v>
      </c>
      <c r="C538" t="str">
        <f>IFERROR(__xludf.DUMMYFUNCTION("""COMPUTED_VALUE"""),"1KmDGWLo9fXILo47E7QiLk8PcgyXyPWDYLSmlv1U7OEI")</f>
        <v>1KmDGWLo9fXILo47E7QiLk8PcgyXyPWDYLSmlv1U7OEI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IFERROR(__xludf.DUMMYFUNCTION("""COMPUTED_VALUE"""),"ModifyFills")</f>
        <v>ModifyFills</v>
      </c>
      <c r="C539" t="str">
        <f>IFERROR(__xludf.DUMMYFUNCTION("""COMPUTED_VALUE"""),"1kjhDPh6h17F_qQ5SR_vaGjeQJ54-Cnj0LAluw9XRR9E")</f>
        <v>1kjhDPh6h17F_qQ5SR_vaGjeQJ54-Cnj0LAluw9XRR9E</v>
      </c>
    </row>
    <row r="540" ht="15.75" customHeight="1">
      <c r="A540" t="str">
        <f>IFERROR(__xludf.DUMMYFUNCTION("""COMPUTED_VALUE"""),"PranaClient")</f>
        <v>PranaClient</v>
      </c>
      <c r="B540" t="str">
        <f>IFERROR(__xludf.DUMMYFUNCTION("""COMPUTED_VALUE"""),"LoginClient")</f>
        <v>LoginClient</v>
      </c>
      <c r="C540" t="str">
        <f>IFERROR(__xludf.DUMMYFUNCTION("""COMPUTED_VALUE"""),"1oOEnrCswh1E2gMB7QLb7Kzwn1g_U9MdoUM8ZuU4xpqM")</f>
        <v>1oOEnrCswh1E2gMB7QLb7Kzwn1g_U9MdoUM8ZuU4xpqM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IFERROR(__xludf.DUMMYFUNCTION("""COMPUTED_VALUE"""),"EditMultipleCloseQuantity")</f>
        <v>EditMultipleCloseQuantity</v>
      </c>
      <c r="C541" t="str">
        <f>IFERROR(__xludf.DUMMYFUNCTION("""COMPUTED_VALUE"""),"1GFVJ-sKAde1ojd0Fe4n6uFMFg_t5ihjSGwIRBDNxnSQ")</f>
        <v>1GFVJ-sKAde1ojd0Fe4n6uFMFg_t5ihjSGwIRBDNxnSQ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IFERROR(__xludf.DUMMYFUNCTION("""COMPUTED_VALUE"""),"ManualCloseOrder")</f>
        <v>ManualCloseOrder</v>
      </c>
      <c r="C542" t="str">
        <f>IFERROR(__xludf.DUMMYFUNCTION("""COMPUTED_VALUE"""),"1fZ_P02eEi4GavSkUo3cpan_Jh4xz0OQjidMUwzCMms8")</f>
        <v>1fZ_P02eEi4GavSkUo3cpan_Jh4xz0OQjidMUwzCMms8</v>
      </c>
    </row>
    <row r="543" ht="15.75" customHeight="1">
      <c r="A543" t="str">
        <f>IFERROR(__xludf.DUMMYFUNCTION("""COMPUTED_VALUE"""),"Admin")</f>
        <v>Admin</v>
      </c>
      <c r="B543" t="str">
        <f>IFERROR(__xludf.DUMMYFUNCTION("""COMPUTED_VALUE"""),"SetTTUIAdminPreferences")</f>
        <v>SetTTUIAdminPreferences</v>
      </c>
      <c r="C543" t="str">
        <f>IFERROR(__xludf.DUMMYFUNCTION("""COMPUTED_VALUE"""),"1XGzqnk2nunw7F--MNGHLzH3F0YYmIumyegAncIZZB6k")</f>
        <v>1XGzqnk2nunw7F--MNGHLzH3F0YYmIumyegAncIZZB6k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IFERROR(__xludf.DUMMYFUNCTION("""COMPUTED_VALUE"""),"PreviewDataWithFilters")</f>
        <v>PreviewDataWithFilters</v>
      </c>
      <c r="C544" t="str">
        <f>IFERROR(__xludf.DUMMYFUNCTION("""COMPUTED_VALUE"""),"1QufyUdyJ0hiResW8bLzTI1qcoXAtWh2TTAg4KNj2kv4")</f>
        <v>1QufyUdyJ0hiResW8bLzTI1qcoXAtWh2TTAg4KNj2kv4</v>
      </c>
    </row>
    <row r="545" ht="15.75" customHeight="1">
      <c r="A545" t="str">
        <f>IFERROR(__xludf.DUMMYFUNCTION("""COMPUTED_VALUE"""),"TradingTicket")</f>
        <v>TradingTicket</v>
      </c>
      <c r="B545" t="str">
        <f>IFERROR(__xludf.DUMMYFUNCTION("""COMPUTED_VALUE"""),"ViewAllocation")</f>
        <v>ViewAllocation</v>
      </c>
      <c r="C545" t="str">
        <f>IFERROR(__xludf.DUMMYFUNCTION("""COMPUTED_VALUE"""),"1qQcdc8yQuKhwDznJZ6pFksOXC_DRFeEcZJNoYabCqoo")</f>
        <v>1qQcdc8yQuKhwDznJZ6pFksOXC_DRFeEcZJNoYabCqoo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IFERROR(__xludf.DUMMYFUNCTION("""COMPUTED_VALUE"""),"UpdateSecFee")</f>
        <v>UpdateSecFee</v>
      </c>
      <c r="C546" t="str">
        <f>IFERROR(__xludf.DUMMYFUNCTION("""COMPUTED_VALUE"""),"165ONyZgtypA9enxNYG1RIGJ0QQBpn60s9uk-ZFwfAQI")</f>
        <v>165ONyZgtypA9enxNYG1RIGJ0QQBpn60s9uk-ZFwfAQI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IFERROR(__xludf.DUMMYFUNCTION("""COMPUTED_VALUE"""),"CreateClosingTemplate")</f>
        <v>CreateClosingTemplate</v>
      </c>
      <c r="C547" t="str">
        <f>IFERROR(__xludf.DUMMYFUNCTION("""COMPUTED_VALUE"""),"1dO0ymjm2QUZjeMDVWKonhU6YqesW2cr7p8PLsR8JxaA")</f>
        <v>1dO0ymjm2QUZjeMDVWKonhU6YqesW2cr7p8PLsR8JxaA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IFERROR(__xludf.DUMMYFUNCTION("""COMPUTED_VALUE"""),"CreateUnwindingTemplate")</f>
        <v>CreateUnwindingTemplate</v>
      </c>
      <c r="C548" t="str">
        <f>IFERROR(__xludf.DUMMYFUNCTION("""COMPUTED_VALUE"""),"1elBNb12z0vBYbY9P3ZtJ0q2SWz7SHF34zwW-QQZxQH0")</f>
        <v>1elBNb12z0vBYbY9P3ZtJ0q2SWz7SHF34zwW-QQZxQH0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IFERROR(__xludf.DUMMYFUNCTION("""COMPUTED_VALUE"""),"EditTemplate")</f>
        <v>EditTemplate</v>
      </c>
      <c r="C549" t="str">
        <f>IFERROR(__xludf.DUMMYFUNCTION("""COMPUTED_VALUE"""),"1ZmcENUuCOmbgT4qA2jopXrJlm_NQ2yxiHmw457oO6Ks")</f>
        <v>1ZmcENUuCOmbgT4qA2jopXrJlm_NQ2yxiHmw457oO6Ks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IFERROR(__xludf.DUMMYFUNCTION("""COMPUTED_VALUE"""),"DeleteTemplate")</f>
        <v>DeleteTemplate</v>
      </c>
      <c r="C550" t="str">
        <f>IFERROR(__xludf.DUMMYFUNCTION("""COMPUTED_VALUE"""),"1kB5ouEy35PLGrGH3P7q6zhj1lAakSOshbaFfRSxUYuI")</f>
        <v>1kB5ouEy35PLGrGH3P7q6zhj1lAakSOshbaFfRSxUYuI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IFERROR(__xludf.DUMMYFUNCTION("""COMPUTED_VALUE"""),"AllocationAuditTrail")</f>
        <v>AllocationAuditTrail</v>
      </c>
      <c r="C551" t="str">
        <f>IFERROR(__xludf.DUMMYFUNCTION("""COMPUTED_VALUE"""),"1cWbQrLhcx-DBTt83fk27awIMhSdKtj7wh0dnffqkyEg")</f>
        <v>1cWbQrLhcx-DBTt83fk27awIMhSdKtj7wh0dnffqkyEg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IFERROR(__xludf.DUMMYFUNCTION("""COMPUTED_VALUE"""),"GetAuditTrailData")</f>
        <v>GetAuditTrailData</v>
      </c>
      <c r="C552" t="str">
        <f>IFERROR(__xludf.DUMMYFUNCTION("""COMPUTED_VALUE"""),"1atfQajSO79BpNABHuWDu-qwEpzSPXeTPKhLrVf3qAJQ")</f>
        <v>1atfQajSO79BpNABHuWDu-qwEpzSPXeTPKhLrVf3qAJQ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IFERROR(__xludf.DUMMYFUNCTION("""COMPUTED_VALUE"""),"CheckAuditTrailData")</f>
        <v>CheckAuditTrailData</v>
      </c>
      <c r="C553" t="str">
        <f>IFERROR(__xludf.DUMMYFUNCTION("""COMPUTED_VALUE"""),"1ynZmQFpgGOcXlnL_2G1gIugXpfbDTFt91dNyM50VdQI")</f>
        <v>1ynZmQFpgGOcXlnL_2G1gIugXpfbDTFt91dNyM50VdQI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IFERROR(__xludf.DUMMYFUNCTION("""COMPUTED_VALUE"""),"RunTemplate")</f>
        <v>RunTemplate</v>
      </c>
      <c r="C554" t="str">
        <f>IFERROR(__xludf.DUMMYFUNCTION("""COMPUTED_VALUE"""),"1iWCPXe0tXJ4PIDbwGLtBOVNSJ2s7YN4z8ZTJcr0Wuw4")</f>
        <v>1iWCPXe0tXJ4PIDbwGLtBOVNSJ2s7YN4z8ZTJcr0Wuw4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IFERROR(__xludf.DUMMYFUNCTION("""COMPUTED_VALUE"""),"EnterEquity")</f>
        <v>EnterEquity</v>
      </c>
      <c r="C555" t="str">
        <f>IFERROR(__xludf.DUMMYFUNCTION("""COMPUTED_VALUE"""),"1fz65nnl1EeQopbyOQst6wzPdLRIHU1-7mjW2sgFXCAo")</f>
        <v>1fz65nnl1EeQopbyOQst6wzPdLRIHU1-7mjW2sgFXCAo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IFERROR(__xludf.DUMMYFUNCTION("""COMPUTED_VALUE"""),"UpdateSecurityInfoOnSM")</f>
        <v>UpdateSecurityInfoOnSM</v>
      </c>
      <c r="C556" t="str">
        <f>IFERROR(__xludf.DUMMYFUNCTION("""COMPUTED_VALUE"""),"1I1mDhfrVnKfVAYMK9kcg_A-0IZoCrTMjPsHzeC_QRU8")</f>
        <v>1I1mDhfrVnKfVAYMK9kcg_A-0IZoCrTMjPsHzeC_QRU8</v>
      </c>
    </row>
    <row r="557" ht="15.75" customHeight="1">
      <c r="A557" t="str">
        <f>IFERROR(__xludf.DUMMYFUNCTION("""COMPUTED_VALUE"""),"Blotter")</f>
        <v>Blotter</v>
      </c>
      <c r="B557" t="str">
        <f>IFERROR(__xludf.DUMMYFUNCTION("""COMPUTED_VALUE"""),"AllocateFromBlotter")</f>
        <v>AllocateFromBlotter</v>
      </c>
      <c r="C557" t="str">
        <f>IFERROR(__xludf.DUMMYFUNCTION("""COMPUTED_VALUE"""),"1oly-GUleCLstbhsLqb5z_nrN6IcuRDzo7dau3mRro2g")</f>
        <v>1oly-GUleCLstbhsLqb5z_nrN6IcuRDzo7dau3mRro2g</v>
      </c>
    </row>
    <row r="558" ht="15.75" customHeight="1">
      <c r="A558" t="str">
        <f>IFERROR(__xludf.DUMMYFUNCTION("""COMPUTED_VALUE"""),"Admin")</f>
        <v>Admin</v>
      </c>
      <c r="B558" t="str">
        <f>IFERROR(__xludf.DUMMYFUNCTION("""COMPUTED_VALUE"""),"UpdateFee")</f>
        <v>UpdateFee</v>
      </c>
      <c r="C558" t="str">
        <f>IFERROR(__xludf.DUMMYFUNCTION("""COMPUTED_VALUE"""),"19Rcvs50oHXGL5FsIW3nGsIY2a3BShYxifQZnyCdj5YI")</f>
        <v>19Rcvs50oHXGL5FsIW3nGsIY2a3BShYxifQZnyCdj5YI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IFERROR(__xludf.DUMMYFUNCTION("""COMPUTED_VALUE"""),"DeleteGroupWithOutSave")</f>
        <v>DeleteGroupWithOutSave</v>
      </c>
      <c r="C559" t="str">
        <f>IFERROR(__xludf.DUMMYFUNCTION("""COMPUTED_VALUE"""),"1bAgsLuM31eH3FHZF-8cUfrnOajQpP_RsuaUUeL6eYHU")</f>
        <v>1bAgsLuM31eH3FHZF-8cUfrnOajQpP_RsuaUUeL6eYHU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IFERROR(__xludf.DUMMYFUNCTION("""COMPUTED_VALUE"""),"CheckPreferences")</f>
        <v>CheckPreferences</v>
      </c>
      <c r="C560" t="str">
        <f>IFERROR(__xludf.DUMMYFUNCTION("""COMPUTED_VALUE"""),"19LWAFgtJK8TJic3Bigl3vokyu1yraGt63a_sVpP1MUU")</f>
        <v>19LWAFgtJK8TJic3Bigl3vokyu1yraGt63a_sVpP1MUU</v>
      </c>
    </row>
    <row r="561" ht="15.75" customHeight="1">
      <c r="A561" t="str">
        <f>IFERROR(__xludf.DUMMYFUNCTION("""COMPUTED_VALUE"""),"Rebalancer")</f>
        <v>Rebalancer</v>
      </c>
      <c r="B561" t="str">
        <f>IFERROR(__xludf.DUMMYFUNCTION("""COMPUTED_VALUE"""),"SymbologyChangeRB")</f>
        <v>SymbologyChangeRB</v>
      </c>
      <c r="C561" t="str">
        <f>IFERROR(__xludf.DUMMYFUNCTION("""COMPUTED_VALUE"""),"Undefined")</f>
        <v>Undefined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IFERROR(__xludf.DUMMYFUNCTION("""COMPUTED_VALUE"""),"CreateReplaceLiveOrder")</f>
        <v>CreateReplaceLiveOrder</v>
      </c>
      <c r="C562" t="str">
        <f>IFERROR(__xludf.DUMMYFUNCTION("""COMPUTED_VALUE"""),"1WKdqwN3CzS__R4r-J0QXkrMVzdcNg8eJuijQ4dJIXSU")</f>
        <v>1WKdqwN3CzS__R4r-J0QXkrMVzdcNg8eJuijQ4dJIXSU</v>
      </c>
    </row>
    <row r="563" ht="15.75" customHeight="1">
      <c r="A563" t="str">
        <f>IFERROR(__xludf.DUMMYFUNCTION("""COMPUTED_VALUE"""),"Admin")</f>
        <v>Admin</v>
      </c>
      <c r="B563" t="str">
        <f>IFERROR(__xludf.DUMMYFUNCTION("""COMPUTED_VALUE"""),"RevertingSMSharesOutValue")</f>
        <v>RevertingSMSharesOutValue</v>
      </c>
      <c r="C563" t="str">
        <f>IFERROR(__xludf.DUMMYFUNCTION("""COMPUTED_VALUE"""),"1TMvyzuvaXNvx9qH4tERqEMaAM8IhUKVHedPNcqMqnso")</f>
        <v>1TMvyzuvaXNvx9qH4tERqEMaAM8IhUKVHedPNcqMqnso</v>
      </c>
    </row>
    <row r="564" ht="15.75" customHeight="1">
      <c r="A564" t="str">
        <f>IFERROR(__xludf.DUMMYFUNCTION("""COMPUTED_VALUE"""),"SymbolLookup")</f>
        <v>SymbolLookup</v>
      </c>
      <c r="B564" t="str">
        <f>IFERROR(__xludf.DUMMYFUNCTION("""COMPUTED_VALUE"""),"TradeSymbolFromSM")</f>
        <v>TradeSymbolFromSM</v>
      </c>
      <c r="C564" t="str">
        <f>IFERROR(__xludf.DUMMYFUNCTION("""COMPUTED_VALUE"""),"1-CEopEQMGMoXLU6RCzJz5EPF9dIkT0gUSqvavHcsYis")</f>
        <v>1-CEopEQMGMoXLU6RCzJz5EPF9dIkT0gUSqvavHcsYis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IFERROR(__xludf.DUMMYFUNCTION("""COMPUTED_VALUE"""),"SelectAccountWiseAsset")</f>
        <v>SelectAccountWiseAsset</v>
      </c>
      <c r="C565" t="str">
        <f>IFERROR(__xludf.DUMMYFUNCTION("""COMPUTED_VALUE"""),"1T8QT8BlZU5hSthOscwYVMb0pI8jbsslQ3q_iqR9NEvo")</f>
        <v>1T8QT8BlZU5hSthOscwYVMb0pI8jbsslQ3q_iqR9NEvo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IFERROR(__xludf.DUMMYFUNCTION("""COMPUTED_VALUE"""),"VerifyCTData")</f>
        <v>VerifyCTData</v>
      </c>
      <c r="C566" t="str">
        <f>IFERROR(__xludf.DUMMYFUNCTION("""COMPUTED_VALUE"""),"1_n2-hA1ZHyO0Vk19SbEjEAgktcqBciHeshI2fRJE9_c")</f>
        <v>1_n2-hA1ZHyO0Vk19SbEjEAgktcqBciHeshI2fRJE9_c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IFERROR(__xludf.DUMMYFUNCTION("""COMPUTED_VALUE"""),"ExerciseAssignmentWithOutSave")</f>
        <v>ExerciseAssignmentWithOutSave</v>
      </c>
      <c r="C567" t="str">
        <f>IFERROR(__xludf.DUMMYFUNCTION("""COMPUTED_VALUE"""),"1k7fmIQoUvoS3gScp7H0vdlqboqJE2NBh67-wxIIzjXI")</f>
        <v>1k7fmIQoUvoS3gScp7H0vdlqboqJE2NBh67-wxIIzjXI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IFERROR(__xludf.DUMMYFUNCTION("""COMPUTED_VALUE"""),"SaveCTData")</f>
        <v>SaveCTData</v>
      </c>
      <c r="C568" t="str">
        <f>IFERROR(__xludf.DUMMYFUNCTION("""COMPUTED_VALUE"""),"127jo001wzv8UVwRReX1UnxrYxQVoXUcKy8RlV0rBbzE")</f>
        <v>127jo001wzv8UVwRReX1UnxrYxQVoXUcKy8RlV0rBbzE</v>
      </c>
    </row>
    <row r="569" ht="15.75" customHeight="1">
      <c r="A569" t="str">
        <f>IFERROR(__xludf.DUMMYFUNCTION("""COMPUTED_VALUE"""),"Allocation")</f>
        <v>Allocation</v>
      </c>
      <c r="B569" t="str">
        <f>IFERROR(__xludf.DUMMYFUNCTION("""COMPUTED_VALUE"""),"AllocateWithPopUp")</f>
        <v>AllocateWithPopUp</v>
      </c>
      <c r="C569" t="str">
        <f>IFERROR(__xludf.DUMMYFUNCTION("""COMPUTED_VALUE"""),"1vUO7n9j897nT7StAOKwNOzllgpbb7S3kVwYUOxEdD1Y")</f>
        <v>1vUO7n9j897nT7StAOKwNOzllgpbb7S3kVwYUOxEdD1Y</v>
      </c>
    </row>
    <row r="570" ht="15.75" customHeight="1">
      <c r="A570" t="str">
        <f>IFERROR(__xludf.DUMMYFUNCTION("""COMPUTED_VALUE"""),"TradingTicket")</f>
        <v>TradingTicket</v>
      </c>
      <c r="B570" t="str">
        <f>IFERROR(__xludf.DUMMYFUNCTION("""COMPUTED_VALUE"""),"CreateNewSubLiveOrder")</f>
        <v>CreateNewSubLiveOrder</v>
      </c>
      <c r="C570" t="str">
        <f>IFERROR(__xludf.DUMMYFUNCTION("""COMPUTED_VALUE"""),"12zWky2LmOXrqIXPltYfxypKjuQf3ZHGv1mz-xQGxKTQ")</f>
        <v>12zWky2LmOXrqIXPltYfxypKjuQf3ZHGv1mz-xQGxKTQ</v>
      </c>
    </row>
    <row r="571" ht="15.75" customHeight="1">
      <c r="A571" t="str">
        <f>IFERROR(__xludf.DUMMYFUNCTION("""COMPUTED_VALUE"""),"Blotter")</f>
        <v>Blotter</v>
      </c>
      <c r="B571" t="str">
        <f>IFERROR(__xludf.DUMMYFUNCTION("""COMPUTED_VALUE"""),"ViewPTTAllocationDetails")</f>
        <v>ViewPTTAllocationDetails</v>
      </c>
      <c r="C571" t="str">
        <f>IFERROR(__xludf.DUMMYFUNCTION("""COMPUTED_VALUE"""),"1KoA0Wc5hAar-q0SNiFxHZv5O7_6Ub43E0Baobavff04")</f>
        <v>1KoA0Wc5hAar-q0SNiFxHZv5O7_6Ub43E0Baobavff04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IFERROR(__xludf.DUMMYFUNCTION("""COMPUTED_VALUE"""),"RestartSQL")</f>
        <v>RestartSQL</v>
      </c>
      <c r="C572" t="str">
        <f>IFERROR(__xludf.DUMMYFUNCTION("""COMPUTED_VALUE"""),"1vVUSxh3aheqbZRQq-3oJhAe8OKjNysk1JPVf_W8f5l0")</f>
        <v>1vVUSxh3aheqbZRQq-3oJhAe8OKjNysk1JPVf_W8f5l0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IFERROR(__xludf.DUMMYFUNCTION("""COMPUTED_VALUE"""),"TradeAuditCleanUp")</f>
        <v>TradeAuditCleanUp</v>
      </c>
      <c r="C573" t="str">
        <f>IFERROR(__xludf.DUMMYFUNCTION("""COMPUTED_VALUE"""),"1X5YzKAgrVFRed11iGwwlj-Wh1wAD0gvmGSkTbMQqBao")</f>
        <v>1X5YzKAgrVFRed11iGwwlj-Wh1wAD0gvmGSkTbMQqBao</v>
      </c>
    </row>
    <row r="574" ht="15.75" customHeight="1">
      <c r="A574" t="str">
        <f>IFERROR(__xludf.DUMMYFUNCTION("""COMPUTED_VALUE"""),"Import")</f>
        <v>Import</v>
      </c>
      <c r="B574" t="str">
        <f>IFERROR(__xludf.DUMMYFUNCTION("""COMPUTED_VALUE"""),"SelectTradeOnImport")</f>
        <v>SelectTradeOnImport</v>
      </c>
      <c r="C574" t="str">
        <f>IFERROR(__xludf.DUMMYFUNCTION("""COMPUTED_VALUE"""),"10cAOM3qnGaWW44q9z21WEIOpJdPIAth5hr8jecUfG6A")</f>
        <v>10cAOM3qnGaWW44q9z21WEIOpJdPIAth5hr8jecUfG6A</v>
      </c>
    </row>
    <row r="575" ht="15.75" customHeight="1">
      <c r="A575" t="str">
        <f>IFERROR(__xludf.DUMMYFUNCTION("""COMPUTED_VALUE"""),"Allocation")</f>
        <v>Allocation</v>
      </c>
      <c r="B575" t="str">
        <f>IFERROR(__xludf.DUMMYFUNCTION("""COMPUTED_VALUE"""),"SelectAllRowsAllocated")</f>
        <v>SelectAllRowsAllocated</v>
      </c>
      <c r="C575" t="str">
        <f>IFERROR(__xludf.DUMMYFUNCTION("""COMPUTED_VALUE"""),"Undefined")</f>
        <v>Undefined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IFERROR(__xludf.DUMMYFUNCTION("""COMPUTED_VALUE"""),"FilterLongPositionGrid")</f>
        <v>FilterLongPositionGrid</v>
      </c>
      <c r="C576" t="str">
        <f>IFERROR(__xludf.DUMMYFUNCTION("""COMPUTED_VALUE"""),"11V4DM1OMXH_V53PIsUZCW0QthHjB-hG0fn99Yo8Ry2c")</f>
        <v>11V4DM1OMXH_V53PIsUZCW0QthHjB-hG0fn99Yo8Ry2c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IFERROR(__xludf.DUMMYFUNCTION("""COMPUTED_VALUE"""),"FilterShortPositionGrid")</f>
        <v>FilterShortPositionGrid</v>
      </c>
      <c r="C577" t="str">
        <f>IFERROR(__xludf.DUMMYFUNCTION("""COMPUTED_VALUE"""),"1PD9u3XtwrJXt2fU5ghvPjJ7SpxcIKIIWrKF4YF7wZdo")</f>
        <v>1PD9u3XtwrJXt2fU5ghvPjJ7SpxcIKIIWrKF4YF7wZdo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IFERROR(__xludf.DUMMYFUNCTION("""COMPUTED_VALUE"""),"FilterClosingGrid")</f>
        <v>FilterClosingGrid</v>
      </c>
      <c r="C578" t="str">
        <f>IFERROR(__xludf.DUMMYFUNCTION("""COMPUTED_VALUE"""),"1zS4ALOAI4Qv9-imwrJ3P0juiFH5-Vvf_4yLE3c_77ww")</f>
        <v>1zS4ALOAI4Qv9-imwrJ3P0juiFH5-Vvf_4yLE3c_77ww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IFERROR(__xludf.DUMMYFUNCTION("""COMPUTED_VALUE"""),"FilterUnexpiredGrid")</f>
        <v>FilterUnexpiredGrid</v>
      </c>
      <c r="C579" t="str">
        <f>IFERROR(__xludf.DUMMYFUNCTION("""COMPUTED_VALUE"""),"1cf7V2VglYQWMxr9jI82Z1YFUP_Ufd3RrESoDhAX5nFQ")</f>
        <v>1cf7V2VglYQWMxr9jI82Z1YFUP_Ufd3RrESoDhAX5nFQ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IFERROR(__xludf.DUMMYFUNCTION("""COMPUTED_VALUE"""),"FilterExpiredGrid")</f>
        <v>FilterExpiredGrid</v>
      </c>
      <c r="C580" t="str">
        <f>IFERROR(__xludf.DUMMYFUNCTION("""COMPUTED_VALUE"""),"1pw8K3dcvVISd7jxODSx2U2PTzTKu53dxX_05mlkByK4")</f>
        <v>1pw8K3dcvVISd7jxODSx2U2PTzTKu53dxX_05mlkByK4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IFERROR(__xludf.DUMMYFUNCTION("""COMPUTED_VALUE"""),"FilterCashTransactionGrid")</f>
        <v>FilterCashTransactionGrid</v>
      </c>
      <c r="C581" t="str">
        <f>IFERROR(__xludf.DUMMYFUNCTION("""COMPUTED_VALUE"""),"1PqRBZQJtY5Oa2Uxs4vSRclsIlxPwyMvlrr2UUTSIb3Y")</f>
        <v>1PqRBZQJtY5Oa2Uxs4vSRclsIlxPwyMvlrr2UUTSIb3Y</v>
      </c>
    </row>
    <row r="582" ht="15.75" customHeight="1">
      <c r="A582" t="str">
        <f>IFERROR(__xludf.DUMMYFUNCTION("""COMPUTED_VALUE"""),"Recon")</f>
        <v>Recon</v>
      </c>
      <c r="B582" t="str">
        <f>IFERROR(__xludf.DUMMYFUNCTION("""COMPUTED_VALUE"""),"VerifyApplicationData")</f>
        <v>VerifyApplicationData</v>
      </c>
      <c r="C582" t="str">
        <f>IFERROR(__xludf.DUMMYFUNCTION("""COMPUTED_VALUE"""),"1gMSDalyxsP_enjWpKNvUKpnf9DVP87AgNzPibA-eyb0")</f>
        <v>1gMSDalyxsP_enjWpKNvUKpnf9DVP87AgNzPibA-eyb0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IFERROR(__xludf.DUMMYFUNCTION("""COMPUTED_VALUE"""),"EditGridCashTransactions")</f>
        <v>EditGridCashTransactions</v>
      </c>
      <c r="C583" t="str">
        <f>IFERROR(__xludf.DUMMYFUNCTION("""COMPUTED_VALUE"""),"1A9WP5K6T6_O4S-M78Jx1SEqevonRbthbPCskWXVzxtk")</f>
        <v>1A9WP5K6T6_O4S-M78Jx1SEqevonRbthbPCskWXVzxtk</v>
      </c>
    </row>
    <row r="584" ht="15.75" customHeight="1">
      <c r="A584" t="str">
        <f>IFERROR(__xludf.DUMMYFUNCTION("""COMPUTED_VALUE"""),"Closing")</f>
        <v>Closing</v>
      </c>
      <c r="B584" t="str">
        <f>IFERROR(__xludf.DUMMYFUNCTION("""COMPUTED_VALUE"""),"UnwindAllClosingData")</f>
        <v>UnwindAllClosingData</v>
      </c>
      <c r="C584" t="str">
        <f>IFERROR(__xludf.DUMMYFUNCTION("""COMPUTED_VALUE"""),"1W0sVWSXhitgjuC6P5w0kTp7TvFL-kAol4gyIX8lhd5w")</f>
        <v>1W0sVWSXhitgjuC6P5w0kTp7TvFL-kAol4gyIX8lhd5w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IFERROR(__xludf.DUMMYFUNCTION("""COMPUTED_VALUE"""),"SaveCashTransaction")</f>
        <v>SaveCashTransaction</v>
      </c>
      <c r="C585" t="str">
        <f>IFERROR(__xludf.DUMMYFUNCTION("""COMPUTED_VALUE"""),"1FAh4CFdlozjSlNDU3BUeaQu_1zckRBcWM8KQooONyxs")</f>
        <v>1FAh4CFdlozjSlNDU3BUeaQu_1zckRBcWM8KQooONyxs</v>
      </c>
    </row>
    <row r="586" ht="15.75" customHeight="1">
      <c r="A586" t="str">
        <f>IFERROR(__xludf.DUMMYFUNCTION("""COMPUTED_VALUE"""),"ThirdParty")</f>
        <v>ThirdParty</v>
      </c>
      <c r="B586" t="str">
        <f>IFERROR(__xludf.DUMMYFUNCTION("""COMPUTED_VALUE"""),"ChangeThirdpartyDate")</f>
        <v>ChangeThirdpartyDate</v>
      </c>
      <c r="C586" t="str">
        <f>IFERROR(__xludf.DUMMYFUNCTION("""COMPUTED_VALUE"""),"1F219wmX8xrFPgma8cjoUCm7q9nq-W9yFK7PTO5OggJw")</f>
        <v>1F219wmX8xrFPgma8cjoUCm7q9nq-W9yFK7PTO5OggJw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IFERROR(__xludf.DUMMYFUNCTION("""COMPUTED_VALUE"""),"RunManualRevaluation")</f>
        <v>RunManualRevaluation</v>
      </c>
      <c r="C587" t="str">
        <f>IFERROR(__xludf.DUMMYFUNCTION("""COMPUTED_VALUE"""),"1D5Y3RzzSSQaYL3n3QrXxry0SwVaG4gnMSCxFKtFszpQ")</f>
        <v>1D5Y3RzzSSQaYL3n3QrXxry0SwVaG4gnMSCxFKtFszpQ</v>
      </c>
    </row>
    <row r="588" ht="15.75" customHeight="1">
      <c r="A588" t="str">
        <f>IFERROR(__xludf.DUMMYFUNCTION("""COMPUTED_VALUE"""),"SymbolLookup")</f>
        <v>SymbolLookup</v>
      </c>
      <c r="B588" t="str">
        <f>IFERROR(__xludf.DUMMYFUNCTION("""COMPUTED_VALUE"""),"AddSymbol")</f>
        <v>AddSymbol</v>
      </c>
      <c r="C588" t="str">
        <f>IFERROR(__xludf.DUMMYFUNCTION("""COMPUTED_VALUE"""),"10HWI9Cc8RvROS5VcoYWQCiNm-ZMIi9mZRyugdSdwfao")</f>
        <v>10HWI9Cc8RvROS5VcoYWQCiNm-ZMIi9mZRyugdSdwfao</v>
      </c>
    </row>
    <row r="589" ht="15.75" customHeight="1">
      <c r="A589" t="str">
        <f>IFERROR(__xludf.DUMMYFUNCTION("""COMPUTED_VALUE"""),"Admin")</f>
        <v>Admin</v>
      </c>
      <c r="B589" t="str">
        <f>IFERROR(__xludf.DUMMYFUNCTION("""COMPUTED_VALUE"""),"DeleteSymbolFromSM")</f>
        <v>DeleteSymbolFromSM</v>
      </c>
      <c r="C589" t="str">
        <f>IFERROR(__xludf.DUMMYFUNCTION("""COMPUTED_VALUE"""),"16YNILloso-DtMjrvuLs9jjsIzEmPQxnFXrCt8yvHUNE")</f>
        <v>16YNILloso-DtMjrvuLs9jjsIzEmPQxnFXrCt8yvHUNE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IFERROR(__xludf.DUMMYFUNCTION("""COMPUTED_VALUE"""),"AddSymbolToWatchlist")</f>
        <v>AddSymbolToWatchlist</v>
      </c>
      <c r="C590" t="str">
        <f>IFERROR(__xludf.DUMMYFUNCTION("""COMPUTED_VALUE"""),"1uQiuSREeRIwO_nEU84cMzm9OFSYVLHU2rgcEaefXb2k")</f>
        <v>1uQiuSREeRIwO_nEU84cMzm9OFSYVLHU2rgcEaefXb2k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IFERROR(__xludf.DUMMYFUNCTION("""COMPUTED_VALUE"""),"TradeFromWatchlist")</f>
        <v>TradeFromWatchlist</v>
      </c>
      <c r="C591" t="str">
        <f>IFERROR(__xludf.DUMMYFUNCTION("""COMPUTED_VALUE"""),"1FKL2NTRmBSyITx5pyk6zHOKymU28NwrQwSuVbW4gNRg")</f>
        <v>1FKL2NTRmBSyITx5pyk6zHOKymU28NwrQwSuVbW4gNRg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IFERROR(__xludf.DUMMYFUNCTION("""COMPUTED_VALUE"""),"MultiTradeFromWatchlist")</f>
        <v>MultiTradeFromWatchlist</v>
      </c>
      <c r="C592" t="str">
        <f>IFERROR(__xludf.DUMMYFUNCTION("""COMPUTED_VALUE"""),"1nyCMJS4IH1BLXnFOr_FNoPH4XmaOIGdVjSJuJpNi2c8")</f>
        <v>1nyCMJS4IH1BLXnFOr_FNoPH4XmaOIGdVjSJuJpNi2c8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IFERROR(__xludf.DUMMYFUNCTION("""COMPUTED_VALUE"""),"DeleteSymbolFromWatchlist")</f>
        <v>DeleteSymbolFromWatchlist</v>
      </c>
      <c r="C593" t="str">
        <f>IFERROR(__xludf.DUMMYFUNCTION("""COMPUTED_VALUE"""),"1byaZalr_XhOG3LaxY-Riu8lHwQSFb098xHll__tkAtA")</f>
        <v>1byaZalr_XhOG3LaxY-Riu8lHwQSFb098xHll__tkAtA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IFERROR(__xludf.DUMMYFUNCTION("""COMPUTED_VALUE"""),"VerifySymbolsOnWatchlist")</f>
        <v>VerifySymbolsOnWatchlist</v>
      </c>
      <c r="C594" t="str">
        <f>IFERROR(__xludf.DUMMYFUNCTION("""COMPUTED_VALUE"""),"15PdvqcWBSttYjbzGBns1O_5cUV2nEVZ4r1YEe7ucwPs")</f>
        <v>15PdvqcWBSttYjbzGBns1O_5cUV2nEVZ4r1YEe7ucwPs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IFERROR(__xludf.DUMMYFUNCTION("""COMPUTED_VALUE"""),"VerifyAppMatchedData")</f>
        <v>VerifyAppMatchedData</v>
      </c>
      <c r="C595" t="str">
        <f>IFERROR(__xludf.DUMMYFUNCTION("""COMPUTED_VALUE"""),"197cwp2DCQ4L0B-G5b7CZAwGsgFZuiUTyD_BSwtc9wHA")</f>
        <v>197cwp2DCQ4L0B-G5b7CZAwGsgFZuiUTyD_BSwtc9wHA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IFERROR(__xludf.DUMMYFUNCTION("""COMPUTED_VALUE"""),"VerifyAppUnmatchedData")</f>
        <v>VerifyAppUnmatchedData</v>
      </c>
      <c r="C596" t="str">
        <f>IFERROR(__xludf.DUMMYFUNCTION("""COMPUTED_VALUE"""),"18fTZZkhP8PVk2zb3669RCgVH7l1lj74KOPGo3kRsFwA")</f>
        <v>18fTZZkhP8PVk2zb3669RCgVH7l1lj74KOPGo3kRsFwA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IFERROR(__xludf.DUMMYFUNCTION("""COMPUTED_VALUE"""),"VerifyPBMatchedData")</f>
        <v>VerifyPBMatchedData</v>
      </c>
      <c r="C597" t="str">
        <f>IFERROR(__xludf.DUMMYFUNCTION("""COMPUTED_VALUE"""),"1kM_UfqpK0PaHEHY4-JNdVXj1fPgIjBfWABlDaWsTh6o")</f>
        <v>1kM_UfqpK0PaHEHY4-JNdVXj1fPgIjBfWABlDaWsTh6o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IFERROR(__xludf.DUMMYFUNCTION("""COMPUTED_VALUE"""),"VerifyPBUnmatchedData")</f>
        <v>VerifyPBUnmatchedData</v>
      </c>
      <c r="C598" t="str">
        <f>IFERROR(__xludf.DUMMYFUNCTION("""COMPUTED_VALUE"""),"1kTWoOsrKD_0f_MBstD0yl6ly3CmvswKmK8GYKJUaSJY")</f>
        <v>1kTWoOsrKD_0f_MBstD0yl6ly3CmvswKmK8GYKJUaSJY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IFERROR(__xludf.DUMMYFUNCTION("""COMPUTED_VALUE"""),"OpenQtt")</f>
        <v>OpenQtt</v>
      </c>
      <c r="C599" t="str">
        <f>IFERROR(__xludf.DUMMYFUNCTION("""COMPUTED_VALUE"""),"1w_R8_0C8pikIkKOjwqbblpApJ-NG3VoHrCDrW9YJ19Q")</f>
        <v>1w_R8_0C8pikIkKOjwqbblpApJ-NG3VoHrCDrW9YJ19Q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IFERROR(__xludf.DUMMYFUNCTION("""COMPUTED_VALUE"""),"TradeFromQTT")</f>
        <v>TradeFromQTT</v>
      </c>
      <c r="C600" t="str">
        <f>IFERROR(__xludf.DUMMYFUNCTION("""COMPUTED_VALUE"""),"1OUvamqdyFx8lXmHmR7JvJB9QtTJaxdBrHx0MlmVl9Gg")</f>
        <v>1OUvamqdyFx8lXmHmR7JvJB9QtTJaxdBrHx0MlmVl9Gg</v>
      </c>
    </row>
    <row r="601" ht="15.75" customHeight="1">
      <c r="A601" t="str">
        <f>IFERROR(__xludf.DUMMYFUNCTION("""COMPUTED_VALUE"""),"TradingTicket")</f>
        <v>TradingTicket</v>
      </c>
      <c r="B601" t="str">
        <f>IFERROR(__xludf.DUMMYFUNCTION("""COMPUTED_VALUE"""),"VerifyBasketExport")</f>
        <v>VerifyBasketExport</v>
      </c>
      <c r="C601" t="str">
        <f>IFERROR(__xludf.DUMMYFUNCTION("""COMPUTED_VALUE"""),"1ld4yJ22N6V7SOVjhVfKW9T1vMKTLDo6OxunLct_fLjI")</f>
        <v>1ld4yJ22N6V7SOVjhVfKW9T1vMKTLDo6OxunLct_fLjI</v>
      </c>
    </row>
    <row r="602" ht="15.75" customHeight="1">
      <c r="A602" t="str">
        <f>IFERROR(__xludf.DUMMYFUNCTION("""COMPUTED_VALUE"""),"Admin")</f>
        <v>Admin</v>
      </c>
      <c r="B602" t="str">
        <f>IFERROR(__xludf.DUMMYFUNCTION("""COMPUTED_VALUE"""),"SetCompliancePermission")</f>
        <v>SetCompliancePermission</v>
      </c>
      <c r="C602" t="str">
        <f>IFERROR(__xludf.DUMMYFUNCTION("""COMPUTED_VALUE"""),"1kM4im1jNG_hRRV6_1iX1KA8Gs_JYY3Hf4okWtTP02Do")</f>
        <v>1kM4im1jNG_hRRV6_1iX1KA8Gs_JYY3Hf4okWtTP02Do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IFERROR(__xludf.DUMMYFUNCTION("""COMPUTED_VALUE"""),"ApproveorRejectpendingapproval")</f>
        <v>ApproveorRejectpendingapproval</v>
      </c>
      <c r="C603" t="str">
        <f>IFERROR(__xludf.DUMMYFUNCTION("""COMPUTED_VALUE"""),"1y-sTWmoC_H1YDpnZGfQbhkY373SoIrYiLpMuGNBQ0Sg")</f>
        <v>1y-sTWmoC_H1YDpnZGfQbhkY373SoIrYiLpMuGNBQ0Sg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IFERROR(__xludf.DUMMYFUNCTION("""COMPUTED_VALUE"""),"VerifyAlertHistory")</f>
        <v>VerifyAlertHistory</v>
      </c>
      <c r="C604" t="str">
        <f>IFERROR(__xludf.DUMMYFUNCTION("""COMPUTED_VALUE"""),"11YtQ09JiPm_fxJbDxXEHFdwP8lXJA1EhSMiSMDI8-Mg")</f>
        <v>11YtQ09JiPm_fxJbDxXEHFdwP8lXJA1EhSMiSMDI8-Mg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IFERROR(__xludf.DUMMYFUNCTION("""COMPUTED_VALUE"""),"MergeOrder")</f>
        <v>MergeOrder</v>
      </c>
      <c r="C605" t="str">
        <f>IFERROR(__xludf.DUMMYFUNCTION("""COMPUTED_VALUE"""),"1R7f7syAvacBKywwhkXcXMcTmDvkomvyufkmtFJu4Zdw")</f>
        <v>1R7f7syAvacBKywwhkXcXMcTmDvkomvyufkmtFJu4Zdw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IFERROR(__xludf.DUMMYFUNCTION("""COMPUTED_VALUE"""),"VerifyMergeOrder")</f>
        <v>VerifyMergeOrder</v>
      </c>
      <c r="C606" t="str">
        <f>IFERROR(__xludf.DUMMYFUNCTION("""COMPUTED_VALUE"""),"1vAo56cQ5ngyfTbfrFWBvoHQRIF0cTJr0hScLG2DuLgI")</f>
        <v>1vAo56cQ5ngyfTbfrFWBvoHQRIF0cTJr0hScLG2DuLgI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IFERROR(__xludf.DUMMYFUNCTION("""COMPUTED_VALUE"""),"AddTabBlotter")</f>
        <v>AddTabBlotter</v>
      </c>
      <c r="C607" t="str">
        <f>IFERROR(__xludf.DUMMYFUNCTION("""COMPUTED_VALUE"""),"1lEizmaJ1dbPlCGjdjYS2EVdP54oAQCWFB_ER2lqO9kQ")</f>
        <v>1lEizmaJ1dbPlCGjdjYS2EVdP54oAQCWFB_ER2lqO9kQ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IFERROR(__xludf.DUMMYFUNCTION("""COMPUTED_VALUE"""),"CloseRebalancer")</f>
        <v>CloseRebalancer</v>
      </c>
      <c r="C608" t="str">
        <f>IFERROR(__xludf.DUMMYFUNCTION("""COMPUTED_VALUE"""),"Undefined")</f>
        <v>Undefined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IFERROR(__xludf.DUMMYFUNCTION("""COMPUTED_VALUE"""),"AddCustomCashUsingImport")</f>
        <v>AddCustomCashUsingImport</v>
      </c>
      <c r="C609" t="str">
        <f>IFERROR(__xludf.DUMMYFUNCTION("""COMPUTED_VALUE"""),"1AlyH1p5l22rwlHL--PsF-nI7tUEh6x4P1Rtm4CIoMM8")</f>
        <v>1AlyH1p5l22rwlHL--PsF-nI7tUEh6x4P1Rtm4CIoMM8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IFERROR(__xludf.DUMMYFUNCTION("""COMPUTED_VALUE"""),"EditRebalanceGrid")</f>
        <v>EditRebalanceGrid</v>
      </c>
      <c r="C610" t="str">
        <f>IFERROR(__xludf.DUMMYFUNCTION("""COMPUTED_VALUE"""),"1bS7JG2B52mCXGDZJejq5Pp8qTEn73efGmX5qKmaHFAI")</f>
        <v>1bS7JG2B52mCXGDZJejq5Pp8qTEn73efGmX5qKmaHFAI</v>
      </c>
    </row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1955.0</v>
      </c>
      <c r="E6" s="31"/>
      <c r="F6" s="8"/>
      <c r="G6" s="8"/>
      <c r="H6" s="8"/>
      <c r="I6" s="13"/>
      <c r="J6" s="13">
        <v>10.0</v>
      </c>
      <c r="K6" s="8"/>
      <c r="L6" s="8"/>
      <c r="M6" s="8"/>
      <c r="N6" s="8"/>
      <c r="O6" s="8"/>
      <c r="AK6" s="9" t="s">
        <v>18</v>
      </c>
      <c r="AL6" s="32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16</v>
      </c>
      <c r="C6" s="33" t="s">
        <v>17</v>
      </c>
      <c r="D6" s="34">
        <v>100.0</v>
      </c>
      <c r="E6" s="33"/>
      <c r="F6" s="35"/>
      <c r="G6" s="35"/>
      <c r="H6" s="35"/>
      <c r="I6" s="35"/>
      <c r="J6" s="34">
        <v>10.0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3" t="s">
        <v>21</v>
      </c>
      <c r="AL6" s="35" t="s">
        <v>22</v>
      </c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/>
      <c r="C6" s="35"/>
      <c r="D6" s="33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 t="s">
        <v>16</v>
      </c>
      <c r="AJ6" s="35" t="s">
        <v>17</v>
      </c>
      <c r="AK6" s="35" t="s">
        <v>25</v>
      </c>
      <c r="AL6" s="36">
        <v>100.0</v>
      </c>
      <c r="AM6" s="35"/>
      <c r="AN6" s="35"/>
      <c r="AO6" s="35"/>
      <c r="AP6" s="35"/>
      <c r="AQ6" s="36">
        <v>0.0</v>
      </c>
      <c r="AR6" s="36">
        <v>0.0</v>
      </c>
      <c r="AS6" s="35"/>
      <c r="AT6" s="35"/>
      <c r="AU6" s="35" t="s">
        <v>26</v>
      </c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16</v>
      </c>
      <c r="C6" s="35" t="s">
        <v>17</v>
      </c>
      <c r="D6" s="34">
        <v>100.0</v>
      </c>
      <c r="E6" s="37">
        <v>100.0</v>
      </c>
      <c r="F6" s="35"/>
      <c r="G6" s="35"/>
      <c r="H6" s="35"/>
      <c r="I6" s="35" t="s">
        <v>26</v>
      </c>
      <c r="J6" s="37">
        <v>10.0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 t="s">
        <v>21</v>
      </c>
      <c r="AL6" s="35" t="s">
        <v>22</v>
      </c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8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>
        <v>18563.2942299233</v>
      </c>
      <c r="C6" s="39">
        <v>18563.2942299233</v>
      </c>
      <c r="D6" s="39">
        <v>18550.0</v>
      </c>
      <c r="E6" s="39">
        <v>18550.0</v>
      </c>
      <c r="F6" s="40" t="s">
        <v>30</v>
      </c>
      <c r="G6" s="41"/>
      <c r="H6" s="40" t="s">
        <v>31</v>
      </c>
      <c r="I6" s="42"/>
      <c r="J6" s="42"/>
      <c r="K6" s="42"/>
      <c r="L6" s="42"/>
      <c r="M6" s="42"/>
      <c r="N6" s="42"/>
      <c r="O6" s="40" t="s">
        <v>32</v>
      </c>
      <c r="P6" s="40" t="s">
        <v>33</v>
      </c>
      <c r="Q6" s="41">
        <v>94.88491058</v>
      </c>
      <c r="R6" s="39">
        <v>1855.0</v>
      </c>
      <c r="S6" s="41"/>
      <c r="T6" s="41"/>
      <c r="U6" s="41"/>
      <c r="V6" s="41"/>
      <c r="W6" s="41"/>
      <c r="X6" s="41">
        <v>1.89769820971867</v>
      </c>
      <c r="Y6" s="41">
        <v>3.79539641943734</v>
      </c>
      <c r="Z6" s="41">
        <v>2.84654731457801</v>
      </c>
      <c r="AA6" s="41">
        <v>4.74424552429667</v>
      </c>
      <c r="AB6" s="41">
        <v>0.0</v>
      </c>
      <c r="AC6" s="41">
        <v>0.0</v>
      </c>
      <c r="AD6" s="41">
        <v>0.0</v>
      </c>
      <c r="AE6" s="41">
        <v>0.0</v>
      </c>
      <c r="AF6" s="40" t="s">
        <v>34</v>
      </c>
      <c r="AG6" s="42"/>
      <c r="AH6" s="42"/>
      <c r="AI6" s="41">
        <v>10.0</v>
      </c>
      <c r="AJ6" s="41"/>
      <c r="AK6" s="41">
        <v>1.0</v>
      </c>
      <c r="AL6" s="41">
        <v>3.0</v>
      </c>
    </row>
    <row r="7" ht="15.75" customHeight="1">
      <c r="A7" s="8"/>
      <c r="B7" s="39">
        <v>1000.71667007673</v>
      </c>
      <c r="C7" s="39">
        <v>1000.71667007673</v>
      </c>
      <c r="D7" s="39">
        <v>1000.0</v>
      </c>
      <c r="E7" s="39">
        <v>1000.0</v>
      </c>
      <c r="F7" s="40" t="s">
        <v>30</v>
      </c>
      <c r="G7" s="41"/>
      <c r="H7" s="40" t="s">
        <v>31</v>
      </c>
      <c r="I7" s="42"/>
      <c r="J7" s="42"/>
      <c r="K7" s="42"/>
      <c r="L7" s="42"/>
      <c r="M7" s="42"/>
      <c r="N7" s="42"/>
      <c r="O7" s="40" t="s">
        <v>35</v>
      </c>
      <c r="P7" s="40" t="s">
        <v>33</v>
      </c>
      <c r="Q7" s="41">
        <v>5.11508894</v>
      </c>
      <c r="R7" s="39">
        <v>100.0</v>
      </c>
      <c r="S7" s="41"/>
      <c r="T7" s="41"/>
      <c r="U7" s="41"/>
      <c r="V7" s="41"/>
      <c r="W7" s="41"/>
      <c r="X7" s="41">
        <v>0.10230179028133</v>
      </c>
      <c r="Y7" s="41">
        <v>0.20460358056266</v>
      </c>
      <c r="Z7" s="41">
        <v>0.153452685421995</v>
      </c>
      <c r="AA7" s="41">
        <v>0.255754475703325</v>
      </c>
      <c r="AB7" s="41">
        <v>0.0</v>
      </c>
      <c r="AC7" s="41">
        <v>0.0</v>
      </c>
      <c r="AD7" s="41">
        <v>0.0</v>
      </c>
      <c r="AE7" s="41">
        <v>0.0</v>
      </c>
      <c r="AF7" s="40" t="s">
        <v>34</v>
      </c>
      <c r="AG7" s="42"/>
      <c r="AH7" s="42"/>
      <c r="AI7" s="41">
        <v>10.0</v>
      </c>
      <c r="AJ7" s="41"/>
      <c r="AK7" s="41">
        <v>1.0</v>
      </c>
      <c r="AL7" s="41">
        <v>3.0</v>
      </c>
    </row>
    <row r="8" ht="15.75" customHeight="1">
      <c r="A8" s="8"/>
      <c r="B8" s="41">
        <v>253.50015</v>
      </c>
      <c r="C8" s="41">
        <v>253.50015</v>
      </c>
      <c r="D8" s="41">
        <v>250.0</v>
      </c>
      <c r="E8" s="41">
        <v>250.0</v>
      </c>
      <c r="F8" s="40" t="s">
        <v>30</v>
      </c>
      <c r="G8" s="41"/>
      <c r="H8" s="40" t="s">
        <v>31</v>
      </c>
      <c r="I8" s="42"/>
      <c r="J8" s="42"/>
      <c r="K8" s="42"/>
      <c r="L8" s="42"/>
      <c r="M8" s="42"/>
      <c r="N8" s="42"/>
      <c r="O8" s="40" t="s">
        <v>32</v>
      </c>
      <c r="P8" s="40" t="s">
        <v>33</v>
      </c>
      <c r="Q8" s="41">
        <v>25.0</v>
      </c>
      <c r="R8" s="41">
        <v>25.0</v>
      </c>
      <c r="S8" s="41"/>
      <c r="T8" s="41"/>
      <c r="U8" s="41"/>
      <c r="V8" s="41"/>
      <c r="W8" s="41"/>
      <c r="X8" s="41">
        <v>0.5</v>
      </c>
      <c r="Y8" s="41">
        <v>1.0</v>
      </c>
      <c r="Z8" s="41">
        <v>0.75</v>
      </c>
      <c r="AA8" s="41">
        <v>1.25</v>
      </c>
      <c r="AB8" s="41">
        <v>0.0</v>
      </c>
      <c r="AC8" s="41">
        <v>0.0</v>
      </c>
      <c r="AD8" s="41">
        <v>0.0</v>
      </c>
      <c r="AE8" s="41">
        <v>0.0</v>
      </c>
      <c r="AF8" s="40" t="s">
        <v>34</v>
      </c>
      <c r="AG8" s="42"/>
      <c r="AH8" s="42"/>
      <c r="AI8" s="41">
        <v>10.0</v>
      </c>
      <c r="AJ8" s="41"/>
      <c r="AK8" s="41">
        <v>1.0</v>
      </c>
      <c r="AL8" s="41">
        <v>3.0</v>
      </c>
    </row>
    <row r="9" ht="15.75" customHeight="1">
      <c r="A9" s="8"/>
      <c r="B9" s="41">
        <v>507.0003</v>
      </c>
      <c r="C9" s="41">
        <v>507.0003</v>
      </c>
      <c r="D9" s="41">
        <v>500.0</v>
      </c>
      <c r="E9" s="41">
        <v>500.0</v>
      </c>
      <c r="F9" s="40" t="s">
        <v>30</v>
      </c>
      <c r="G9" s="41"/>
      <c r="H9" s="40" t="s">
        <v>31</v>
      </c>
      <c r="I9" s="42"/>
      <c r="J9" s="42"/>
      <c r="K9" s="42"/>
      <c r="L9" s="42"/>
      <c r="M9" s="42"/>
      <c r="N9" s="42"/>
      <c r="O9" s="40" t="s">
        <v>36</v>
      </c>
      <c r="P9" s="40" t="s">
        <v>33</v>
      </c>
      <c r="Q9" s="41">
        <v>50.0</v>
      </c>
      <c r="R9" s="41">
        <v>50.0</v>
      </c>
      <c r="S9" s="41"/>
      <c r="T9" s="41"/>
      <c r="U9" s="41"/>
      <c r="V9" s="41"/>
      <c r="W9" s="41"/>
      <c r="X9" s="41">
        <v>1.0</v>
      </c>
      <c r="Y9" s="41">
        <v>2.0</v>
      </c>
      <c r="Z9" s="41">
        <v>1.5</v>
      </c>
      <c r="AA9" s="41">
        <v>2.5</v>
      </c>
      <c r="AB9" s="41">
        <v>0.0</v>
      </c>
      <c r="AC9" s="41">
        <v>0.0</v>
      </c>
      <c r="AD9" s="41">
        <v>0.0</v>
      </c>
      <c r="AE9" s="41">
        <v>0.0</v>
      </c>
      <c r="AF9" s="40" t="s">
        <v>34</v>
      </c>
      <c r="AG9" s="42"/>
      <c r="AH9" s="42"/>
      <c r="AI9" s="41">
        <v>10.0</v>
      </c>
      <c r="AJ9" s="41"/>
      <c r="AK9" s="41">
        <v>1.0</v>
      </c>
      <c r="AL9" s="41">
        <v>3.0</v>
      </c>
    </row>
    <row r="10" ht="15.75" customHeight="1">
      <c r="A10" s="8"/>
      <c r="B10" s="41">
        <v>253.50015</v>
      </c>
      <c r="C10" s="41">
        <v>253.50015</v>
      </c>
      <c r="D10" s="41">
        <v>250.0</v>
      </c>
      <c r="E10" s="41">
        <v>250.0</v>
      </c>
      <c r="F10" s="40" t="s">
        <v>30</v>
      </c>
      <c r="G10" s="41"/>
      <c r="H10" s="40" t="s">
        <v>31</v>
      </c>
      <c r="I10" s="42"/>
      <c r="J10" s="42"/>
      <c r="K10" s="42"/>
      <c r="L10" s="42"/>
      <c r="M10" s="42"/>
      <c r="N10" s="42"/>
      <c r="O10" s="40" t="s">
        <v>35</v>
      </c>
      <c r="P10" s="40" t="s">
        <v>33</v>
      </c>
      <c r="Q10" s="41">
        <v>25.0</v>
      </c>
      <c r="R10" s="41">
        <v>25.0</v>
      </c>
      <c r="S10" s="41"/>
      <c r="T10" s="41"/>
      <c r="U10" s="41"/>
      <c r="V10" s="41"/>
      <c r="W10" s="41"/>
      <c r="X10" s="41">
        <v>0.5</v>
      </c>
      <c r="Y10" s="41">
        <v>1.0</v>
      </c>
      <c r="Z10" s="41">
        <v>0.75</v>
      </c>
      <c r="AA10" s="41">
        <v>1.25</v>
      </c>
      <c r="AB10" s="41">
        <v>0.0</v>
      </c>
      <c r="AC10" s="41">
        <v>0.0</v>
      </c>
      <c r="AD10" s="41">
        <v>0.0</v>
      </c>
      <c r="AE10" s="41">
        <v>0.0</v>
      </c>
      <c r="AF10" s="40" t="s">
        <v>34</v>
      </c>
      <c r="AG10" s="42"/>
      <c r="AH10" s="42"/>
      <c r="AI10" s="41">
        <v>10.0</v>
      </c>
      <c r="AJ10" s="41"/>
      <c r="AK10" s="41">
        <v>1.0</v>
      </c>
      <c r="AL10" s="41">
        <v>3.0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hyperlinks>
    <hyperlink r:id="rId1" ref="DT4"/>
  </hyperlinks>
  <drawing r:id="rId2"/>
</worksheet>
</file>