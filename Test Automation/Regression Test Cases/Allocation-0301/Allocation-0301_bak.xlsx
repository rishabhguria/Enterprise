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UnallocatedGroup" sheetId="6" r:id="rId8"/>
    <sheet state="visible" name="EnterAccountValuesToAllocate" sheetId="7" r:id="rId9"/>
    <sheet state="visible" name="EnterStrategyValuesToAllocate" sheetId="8" r:id="rId10"/>
    <sheet state="visible" name="CheckAllocatedGroups" sheetId="9" r:id="rId11"/>
    <sheet state="visible" name="CheckAllocatedTaxlots" sheetId="10" r:id="rId12"/>
  </sheets>
  <definedNames/>
  <calcPr/>
</workbook>
</file>

<file path=xl/sharedStrings.xml><?xml version="1.0" encoding="utf-8"?>
<sst xmlns="http://schemas.openxmlformats.org/spreadsheetml/2006/main" count="112" uniqueCount="51">
  <si>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</si>
  <si>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</si>
  <si>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</si>
  <si>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</si>
  <si>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</si>
  <si>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</si>
  <si>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</si>
  <si>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</si>
  <si>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</si>
  <si>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</si>
  <si>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</si>
  <si>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</si>
  <si>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</si>
  <si>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</si>
  <si>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</si>
  <si>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</si>
  <si>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</si>
  <si>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</si>
  <si>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</si>
  <si>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Allocation</t>
  </si>
  <si>
    <t>GetDataAllocation</t>
  </si>
  <si>
    <t>CURRENT</t>
  </si>
  <si>
    <t>SelectUnallocatedGroup</t>
  </si>
  <si>
    <t>EnterAccountValuesToAllocate</t>
  </si>
  <si>
    <t>Allocation1</t>
  </si>
  <si>
    <t>EnterStrategyValuesToAllocate</t>
  </si>
  <si>
    <t>S1</t>
  </si>
  <si>
    <t>S2</t>
  </si>
  <si>
    <t>Long</t>
  </si>
  <si>
    <t>Short</t>
  </si>
  <si>
    <t>CheckAllocatedGroups</t>
  </si>
  <si>
    <t>Manual</t>
  </si>
  <si>
    <t>Equity</t>
  </si>
  <si>
    <t>AAPL US EQUITY</t>
  </si>
  <si>
    <t>Treasury</t>
  </si>
  <si>
    <t>MS</t>
  </si>
  <si>
    <t>Open</t>
  </si>
  <si>
    <t>APPLE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</si>
  <si>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</si>
  <si>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</si>
  <si>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</si>
  <si>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</si>
  <si>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</si>
  <si>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</si>
  <si>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</si>
  <si>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</si>
  <si>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Multiple</t>
  </si>
  <si>
    <t>GCCAP1</t>
  </si>
  <si>
    <t>US</t>
  </si>
  <si>
    <t>jpearce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</si>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</sst>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6" fontId="14" numFmtId="0" xfId="0" applyAlignment="1" applyFont="1">
      <alignment horizontal="right" readingOrder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4" xfId="0" applyAlignment="1" applyFont="1" applyNumberFormat="1">
      <alignment readingOrder="0" shrinkToFit="0" vertical="bottom" wrapText="0"/>
    </xf>
    <xf borderId="0" fillId="0" fontId="15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IFERROR(__xludf.DUMMYFUNCTION("""COMPUTED_VALUE"""),"Verification ")</f>
        <v>Verification 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IFERROR(__xludf.DUMMYFUNCTION("""COMPUTED_VALUE"""),"yes")</f>
        <v>yes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IFERROR(__xludf.DUMMYFUNCTION("""COMPUTED_VALUE"""),"no")</f>
        <v>no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1000.0</v>
      </c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IFERROR(__xludf.DUMMYFUNCTION("""COMPUTED_VALUE"""),"Strategy Name")</f>
        <v>Strategy Name</v>
      </c>
      <c r="D5" s="28" t="str">
        <f>IFERROR(__xludf.DUMMYFUNCTION("""COMPUTED_VALUE"""),"Strategy Percentage")</f>
        <v>Strategy Percentage</v>
      </c>
      <c r="E5" s="28" t="str">
        <f>IFERROR(__xludf.DUMMYFUNCTION("""COMPUTED_VALUE"""),"Strategy Quantity")</f>
        <v>Strategy Quantity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26</v>
      </c>
      <c r="D6" s="13">
        <v>25.0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27</v>
      </c>
      <c r="D7" s="13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24</v>
      </c>
      <c r="C8" s="13" t="s">
        <v>28</v>
      </c>
      <c r="D8" s="13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24</v>
      </c>
      <c r="C9" s="13" t="s">
        <v>29</v>
      </c>
      <c r="D9" s="13">
        <v>25.0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EnterStrategyValuesToAllocate!$4:$4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/>
      <c r="D6" s="13"/>
      <c r="E6" s="13">
        <v>1000.0</v>
      </c>
      <c r="F6" s="13" t="s">
        <v>31</v>
      </c>
      <c r="G6" s="13" t="s">
        <v>32</v>
      </c>
      <c r="H6" s="13"/>
      <c r="I6" s="13"/>
      <c r="J6" s="13"/>
      <c r="K6" s="13">
        <v>10.0</v>
      </c>
      <c r="L6" s="8"/>
      <c r="M6" s="13" t="s">
        <v>33</v>
      </c>
      <c r="N6" s="13" t="s">
        <v>34</v>
      </c>
      <c r="O6" s="13" t="s">
        <v>35</v>
      </c>
      <c r="R6" s="9">
        <v>0.0</v>
      </c>
      <c r="S6" s="9" t="s">
        <v>36</v>
      </c>
      <c r="T6" s="9">
        <v>0.0</v>
      </c>
      <c r="U6" s="9">
        <v>0.0</v>
      </c>
      <c r="V6" s="9" t="s">
        <v>37</v>
      </c>
      <c r="Z6" s="9" t="s">
        <v>38</v>
      </c>
      <c r="AA6" s="9" t="s">
        <v>16</v>
      </c>
      <c r="AB6" s="9">
        <v>1.0</v>
      </c>
      <c r="AC6" s="9" t="s">
        <v>39</v>
      </c>
      <c r="AD6" s="9" t="s">
        <v>40</v>
      </c>
      <c r="AE6" s="9">
        <v>1000.0</v>
      </c>
      <c r="AH6" s="9" t="s">
        <v>41</v>
      </c>
      <c r="AJ6" s="9" t="s">
        <v>42</v>
      </c>
      <c r="AM6" s="9" t="s">
        <v>43</v>
      </c>
      <c r="AS6" s="9">
        <v>0.0</v>
      </c>
      <c r="AW6" s="9">
        <v>0.0</v>
      </c>
      <c r="AX6" s="9">
        <v>0.0</v>
      </c>
      <c r="AY6" s="9" t="s">
        <v>44</v>
      </c>
      <c r="AZ6" s="9">
        <v>0.0</v>
      </c>
      <c r="BC6" s="9">
        <v>0.0</v>
      </c>
      <c r="BD6" s="9" t="s">
        <v>45</v>
      </c>
      <c r="BE6" s="9">
        <v>10000.0</v>
      </c>
      <c r="BF6" s="9">
        <v>10000.0</v>
      </c>
      <c r="BJ6" s="9">
        <v>1000.0</v>
      </c>
      <c r="BK6" s="9">
        <v>0.0</v>
      </c>
      <c r="BM6" s="9" t="s">
        <v>38</v>
      </c>
      <c r="BO6" s="9" t="s">
        <v>17</v>
      </c>
      <c r="BP6" s="9">
        <v>0.0</v>
      </c>
      <c r="BQ6" s="9">
        <v>0.0</v>
      </c>
      <c r="BR6" s="9">
        <v>0.0056</v>
      </c>
      <c r="BS6" s="9" t="s">
        <v>46</v>
      </c>
      <c r="BT6" s="9" t="s">
        <v>16</v>
      </c>
      <c r="BU6" s="9">
        <v>3.0</v>
      </c>
      <c r="BV6" s="9">
        <v>0.0</v>
      </c>
      <c r="BX6" s="9">
        <v>0.0</v>
      </c>
      <c r="CF6" s="32" t="s">
        <v>47</v>
      </c>
      <c r="CG6" s="9">
        <v>2.0</v>
      </c>
      <c r="CH6" s="32" t="s">
        <v>12</v>
      </c>
      <c r="CI6" s="9" t="s">
        <v>17</v>
      </c>
      <c r="CJ6" s="9">
        <v>0.0</v>
      </c>
      <c r="CK6" s="9" t="s">
        <v>48</v>
      </c>
      <c r="CL6" s="9">
        <v>1.0</v>
      </c>
      <c r="CM6" s="9" t="s">
        <v>16</v>
      </c>
      <c r="CN6" s="9" t="s">
        <v>49</v>
      </c>
      <c r="CO6" s="9" t="s">
        <v>40</v>
      </c>
      <c r="CP6" s="9" t="s">
        <v>42</v>
      </c>
      <c r="CR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/>
      <c r="C8" s="34"/>
      <c r="D8" s="35"/>
      <c r="E8" s="36"/>
      <c r="F8" s="34"/>
      <c r="G8" s="34"/>
      <c r="H8" s="35"/>
      <c r="I8" s="35"/>
      <c r="J8" s="35"/>
      <c r="K8" s="35"/>
      <c r="L8" s="35"/>
      <c r="M8" s="34"/>
      <c r="N8" s="34"/>
      <c r="O8" s="34"/>
      <c r="P8" s="37"/>
      <c r="Q8" s="35"/>
      <c r="R8" s="35"/>
      <c r="S8" s="34"/>
      <c r="T8" s="35"/>
      <c r="U8" s="35"/>
      <c r="V8" s="34"/>
      <c r="W8" s="35"/>
      <c r="X8" s="35"/>
      <c r="Y8" s="37"/>
      <c r="Z8" s="34"/>
      <c r="AA8" s="34"/>
      <c r="AB8" s="35"/>
      <c r="AC8" s="34"/>
      <c r="AD8" s="34"/>
      <c r="AE8" s="36"/>
      <c r="AF8" s="38"/>
      <c r="AG8" s="38"/>
      <c r="AH8" s="34"/>
      <c r="AI8" s="35"/>
      <c r="AJ8" s="34"/>
      <c r="AK8" s="37"/>
      <c r="AL8" s="37"/>
      <c r="AM8" s="34"/>
      <c r="AN8" s="34"/>
      <c r="AO8" s="37"/>
      <c r="AP8" s="34"/>
      <c r="AQ8" s="34"/>
      <c r="AR8" s="34"/>
      <c r="AS8" s="35"/>
      <c r="AT8" s="36"/>
      <c r="AU8" s="36"/>
      <c r="AV8" s="39"/>
      <c r="AW8" s="35"/>
      <c r="AX8" s="35"/>
      <c r="AY8" s="34"/>
      <c r="AZ8" s="35"/>
      <c r="BA8" s="39"/>
      <c r="BB8" s="37"/>
      <c r="BC8" s="35"/>
      <c r="BD8" s="34"/>
      <c r="BE8" s="36"/>
      <c r="BF8" s="36"/>
      <c r="BG8" s="39"/>
      <c r="BH8" s="37"/>
      <c r="BI8" s="37"/>
      <c r="BJ8" s="36"/>
      <c r="BK8" s="35"/>
      <c r="BL8" s="34"/>
      <c r="BM8" s="34"/>
      <c r="BN8" s="39"/>
      <c r="BO8" s="34"/>
      <c r="BP8" s="35"/>
      <c r="BQ8" s="35"/>
      <c r="BR8" s="35"/>
      <c r="BS8" s="34"/>
      <c r="BT8" s="34"/>
      <c r="BU8" s="35"/>
      <c r="BV8" s="35"/>
      <c r="BW8" s="35"/>
      <c r="BX8" s="35"/>
      <c r="BY8" s="37"/>
      <c r="BZ8" s="37"/>
      <c r="CA8" s="37"/>
      <c r="CB8" s="37"/>
      <c r="CC8" s="37"/>
      <c r="CD8" s="37"/>
      <c r="CE8" s="39"/>
      <c r="CF8" s="34"/>
      <c r="CG8" s="35"/>
      <c r="CH8" s="34"/>
      <c r="CI8" s="34"/>
      <c r="CJ8" s="35"/>
      <c r="CK8" s="34"/>
      <c r="CL8" s="35"/>
      <c r="CM8" s="34"/>
      <c r="CN8" s="34"/>
      <c r="CO8" s="34"/>
      <c r="CP8" s="34"/>
      <c r="CQ8" s="38"/>
      <c r="CR8" s="35"/>
      <c r="CS8" s="37"/>
      <c r="CT8" s="37"/>
      <c r="CU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13" t="s">
        <v>24</v>
      </c>
      <c r="P6" s="9" t="s">
        <v>26</v>
      </c>
      <c r="Q6" s="9">
        <v>25.0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3" t="s">
        <v>24</v>
      </c>
      <c r="P7" s="9" t="s">
        <v>27</v>
      </c>
      <c r="Q7" s="9">
        <v>25.0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13" t="s">
        <v>24</v>
      </c>
      <c r="P8" s="9" t="s">
        <v>28</v>
      </c>
      <c r="Q8" s="9">
        <v>25.0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3" t="s">
        <v>24</v>
      </c>
      <c r="P9" s="9" t="s">
        <v>29</v>
      </c>
      <c r="Q9" s="9">
        <v>25.0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