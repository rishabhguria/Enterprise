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OpenSpinOff" sheetId="6" r:id="rId8"/>
    <sheet state="visible" name="SpinOff" sheetId="7" r:id="rId9"/>
    <sheet state="visible" name="VerifyAndApplyCorpAction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<sst xmlns="http://schemas.openxmlformats.org/spreadsheetml/2006/main" count="113" uniqueCount="42">
  <si>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</si>
  <si>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</si>
  <si>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</si>
  <si>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</si>
  <si>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</si>
  <si>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</si>
  <si>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</si>
  <si>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</si>
  <si>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</si>
  <si>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</si>
  <si>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</si>
  <si>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</si>
  <si>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</si>
  <si>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</si>
  <si>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</si>
  <si>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</si>
  <si>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</si>
  <si>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</si>
  <si>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</si>
  <si>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</si>
  <si>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MSFT</t>
  </si>
  <si>
    <t>CorporateAction</t>
  </si>
  <si>
    <t>OpenSpinOff</t>
  </si>
  <si>
    <t>SpinOff</t>
  </si>
  <si>
    <t>Allocation1</t>
  </si>
  <si>
    <t>VerifyAndApplyCorpAction</t>
  </si>
  <si>
    <t>USD</t>
  </si>
  <si>
    <t>MS</t>
  </si>
  <si>
    <t>M</t>
  </si>
  <si>
    <t>Sell</t>
  </si>
  <si>
    <t>Yes</t>
  </si>
  <si>
    <t>Blotter</t>
  </si>
  <si>
    <t>VerifyOrder</t>
  </si>
  <si>
    <t>AAPL US EQUITY</t>
  </si>
  <si>
    <t>NASDAQ</t>
  </si>
  <si>
    <t>jpearce</t>
  </si>
  <si>
    <t>US</t>
  </si>
  <si>
    <t>GCCAP1</t>
  </si>
  <si>
    <t>NewMF</t>
  </si>
  <si>
    <t>Equity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</si>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</sst>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32">
        <v>33640.0</v>
      </c>
      <c r="E6" s="31"/>
      <c r="F6" s="8"/>
      <c r="G6" s="8"/>
      <c r="H6" s="8"/>
      <c r="I6" s="13"/>
      <c r="J6" s="13">
        <v>1.0</v>
      </c>
      <c r="K6" s="8"/>
      <c r="L6" s="8"/>
      <c r="M6" s="8"/>
      <c r="N6" s="33">
        <f t="shared" ref="N6:N7" si="1">TODAY()-1</f>
        <v>45298</v>
      </c>
      <c r="O6" s="8"/>
    </row>
    <row r="7" ht="15.75" customHeight="1">
      <c r="A7" s="8"/>
      <c r="B7" s="13" t="s">
        <v>20</v>
      </c>
      <c r="C7" s="13" t="s">
        <v>19</v>
      </c>
      <c r="D7" s="32">
        <v>21897.0</v>
      </c>
      <c r="E7" s="31"/>
      <c r="F7" s="8"/>
      <c r="G7" s="8"/>
      <c r="H7" s="8"/>
      <c r="I7" s="13"/>
      <c r="J7" s="13">
        <v>1.0</v>
      </c>
      <c r="K7" s="8"/>
      <c r="L7" s="8"/>
      <c r="M7" s="8"/>
      <c r="N7" s="33">
        <f t="shared" si="1"/>
        <v>45298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IFERROR(__xludf.DUMMYFUNCTION("IF(C3="""","""",Transpose(IMPORTRANGE('_Settings'!$B$3,C3&amp;""!A4:A1000"")))"),"CorporateAction")</f>
        <v>CorporateAction</v>
      </c>
      <c r="C4" s="25" t="str">
        <f>IFERROR(__xludf.DUMMYFUNCTION("""COMPUTED_VALUE"""),"CleanUp")</f>
        <v>CleanUp</v>
      </c>
      <c r="D4" s="25" t="str">
        <f>IFERROR(__xludf.DUMMYFUNCTION("""COMPUTED_VALUE"""),"CashDividend")</f>
        <v>CashDividend</v>
      </c>
      <c r="E4" s="25" t="str">
        <f>IFERROR(__xludf.DUMMYFUNCTION("""COMPUTED_VALUE"""),"Exchange")</f>
        <v>Exchange</v>
      </c>
      <c r="F4" s="25" t="str">
        <f>IFERROR(__xludf.DUMMYFUNCTION("""COMPUTED_VALUE"""),"Merger")</f>
        <v>Merger</v>
      </c>
      <c r="G4" s="25" t="str">
        <f>IFERROR(__xludf.DUMMYFUNCTION("""COMPUTED_VALUE"""),"NameChange")</f>
        <v>NameChange</v>
      </c>
      <c r="H4" s="25" t="str">
        <f>IFERROR(__xludf.DUMMYFUNCTION("""COMPUTED_VALUE"""),"SpinOff")</f>
        <v>SpinOff</v>
      </c>
      <c r="I4" s="25" t="str">
        <f>IFERROR(__xludf.DUMMYFUNCTION("""COMPUTED_VALUE"""),"Split")</f>
        <v>Split</v>
      </c>
      <c r="J4" s="25" t="str">
        <f>IFERROR(__xludf.DUMMYFUNCTION("""COMPUTED_VALUE"""),"StockDividend")</f>
        <v>StockDividend</v>
      </c>
      <c r="K4" s="25" t="str">
        <f>IFERROR(__xludf.DUMMYFUNCTION("""COMPUTED_VALUE"""),"VerifyAndSaveCorpAction")</f>
        <v>VerifyAndSaveCorpAction</v>
      </c>
      <c r="L4" s="25" t="str">
        <f>IFERROR(__xludf.DUMMYFUNCTION("""COMPUTED_VALUE"""),"VerifyAndApplyCorpAction")</f>
        <v>VerifyAndApplyCorpAction</v>
      </c>
      <c r="M4" s="25" t="str">
        <f>IFERROR(__xludf.DUMMYFUNCTION("""COMPUTED_VALUE"""),"OpenSpinOff")</f>
        <v>OpenSpinOff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IFERROR(__xludf.DUMMYFUNCTION("""COMPUTED_VALUE"""),"Corporate Action")</f>
        <v>Corporate Action</v>
      </c>
      <c r="C5" s="28" t="str">
        <f>IFERROR(__xludf.DUMMYFUNCTION("""COMPUTED_VALUE"""),"Account Filter")</f>
        <v>Account Filter</v>
      </c>
      <c r="D5" s="28" t="str">
        <f>IFERROR(__xludf.DUMMYFUNCTION("""COMPUTED_VALUE"""),"Counter Party")</f>
        <v>Counter Party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IFERROR(__xludf.DUMMYFUNCTION("IF(C3="""","""",Transpose(IMPORTRANGE('_Settings'!$B$3,C3&amp;""!A4:A1000"")))"),"CorporateAction")</f>
        <v>CorporateAction</v>
      </c>
      <c r="C4" s="25" t="str">
        <f>IFERROR(__xludf.DUMMYFUNCTION("""COMPUTED_VALUE"""),"CleanUp")</f>
        <v>CleanUp</v>
      </c>
      <c r="D4" s="25" t="str">
        <f>IFERROR(__xludf.DUMMYFUNCTION("""COMPUTED_VALUE"""),"CashDividend")</f>
        <v>CashDividend</v>
      </c>
      <c r="E4" s="25" t="str">
        <f>IFERROR(__xludf.DUMMYFUNCTION("""COMPUTED_VALUE"""),"Exchange")</f>
        <v>Exchange</v>
      </c>
      <c r="F4" s="25" t="str">
        <f>IFERROR(__xludf.DUMMYFUNCTION("""COMPUTED_VALUE"""),"Merger")</f>
        <v>Merger</v>
      </c>
      <c r="G4" s="25" t="str">
        <f>IFERROR(__xludf.DUMMYFUNCTION("""COMPUTED_VALUE"""),"NameChange")</f>
        <v>NameChange</v>
      </c>
      <c r="H4" s="25" t="str">
        <f>IFERROR(__xludf.DUMMYFUNCTION("""COMPUTED_VALUE"""),"SpinOff")</f>
        <v>SpinOff</v>
      </c>
      <c r="I4" s="25" t="str">
        <f>IFERROR(__xludf.DUMMYFUNCTION("""COMPUTED_VALUE"""),"Split")</f>
        <v>Split</v>
      </c>
      <c r="J4" s="25" t="str">
        <f>IFERROR(__xludf.DUMMYFUNCTION("""COMPUTED_VALUE"""),"StockDividend")</f>
        <v>StockDividend</v>
      </c>
      <c r="K4" s="25" t="str">
        <f>IFERROR(__xludf.DUMMYFUNCTION("""COMPUTED_VALUE"""),"VerifyAndSaveCorpAction")</f>
        <v>VerifyAndSaveCorpAction</v>
      </c>
      <c r="L4" s="25" t="str">
        <f>IFERROR(__xludf.DUMMYFUNCTION("""COMPUTED_VALUE"""),"VerifyAndApplyCorpAction")</f>
        <v>VerifyAndApplyCorpAction</v>
      </c>
      <c r="M4" s="25" t="str">
        <f>IFERROR(__xludf.DUMMYFUNCTION("""COMPUTED_VALUE"""),"OpenSpinOff")</f>
        <v>OpenSpinOff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IFERROR(__xludf.DUMMYFUNCTION("""COMPUTED_VALUE"""),"Effective Date")</f>
        <v>Effective Date</v>
      </c>
      <c r="C5" s="28" t="str">
        <f>IFERROR(__xludf.DUMMYFUNCTION("""COMPUTED_VALUE"""),"Company Name")</f>
        <v>Company Name</v>
      </c>
      <c r="D5" s="28" t="str">
        <f>IFERROR(__xludf.DUMMYFUNCTION("""COMPUTED_VALUE"""),"New Company Name")</f>
        <v>New Company Name</v>
      </c>
      <c r="E5" s="28" t="str">
        <f>IFERROR(__xludf.DUMMYFUNCTION("""COMPUTED_VALUE"""),"Original Symbol")</f>
        <v>Original Symbol</v>
      </c>
      <c r="F5" s="29" t="str">
        <f>IFERROR(__xludf.DUMMYFUNCTION("""COMPUTED_VALUE"""),"Symbology")</f>
        <v>Symbology</v>
      </c>
      <c r="G5" s="28" t="str">
        <f>IFERROR(__xludf.DUMMYFUNCTION("""COMPUTED_VALUE"""),"New Symbol")</f>
        <v>New Symbol</v>
      </c>
      <c r="H5" s="28" t="str">
        <f>IFERROR(__xludf.DUMMYFUNCTION("""COMPUTED_VALUE"""),"Original Security Qty Ratio")</f>
        <v>Original Security Qty Ratio</v>
      </c>
      <c r="I5" s="28" t="str">
        <f>IFERROR(__xludf.DUMMYFUNCTION("""COMPUTED_VALUE"""),"New Security Qty Ratio")</f>
        <v>New Security Qty Ratio</v>
      </c>
      <c r="J5" s="28" t="str">
        <f>IFERROR(__xludf.DUMMYFUNCTION("""COMPUTED_VALUE"""),"Adjustment Factor")</f>
        <v>Adjustment Factor</v>
      </c>
      <c r="K5" s="28" t="str">
        <f>IFERROR(__xludf.DUMMYFUNCTION("""COMPUTED_VALUE"""),"Fractional Qty PX")</f>
        <v>Fractional Qty PX</v>
      </c>
      <c r="L5" s="28" t="str">
        <f>IFERROR(__xludf.DUMMYFUNCTION("""COMPUTED_VALUE"""),"Quantity Factor")</f>
        <v>Quantity Factor</v>
      </c>
      <c r="M5" s="28" t="str">
        <f>IFERROR(__xludf.DUMMYFUNCTION("""COMPUTED_VALUE"""),"Cash in lieu")</f>
        <v>Cash in lieu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</f>
        <v>45299</v>
      </c>
      <c r="C6" s="8"/>
      <c r="D6" s="13"/>
      <c r="E6" s="32" t="s">
        <v>20</v>
      </c>
      <c r="F6" s="8"/>
      <c r="G6" s="13" t="s">
        <v>18</v>
      </c>
      <c r="H6" s="32">
        <v>1.0</v>
      </c>
      <c r="I6" s="13">
        <v>2.0</v>
      </c>
      <c r="J6" s="13">
        <v>0.9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IFERROR(__xludf.DUMMYFUNCTION("IF(C3="""","""",Transpose(IMPORTRANGE('_Settings'!$B$3,C3&amp;""!A4:A1000"")))"),"CorporateAction")</f>
        <v>CorporateAction</v>
      </c>
      <c r="C4" s="25" t="str">
        <f>IFERROR(__xludf.DUMMYFUNCTION("""COMPUTED_VALUE"""),"CleanUp")</f>
        <v>CleanUp</v>
      </c>
      <c r="D4" s="25" t="str">
        <f>IFERROR(__xludf.DUMMYFUNCTION("""COMPUTED_VALUE"""),"CashDividend")</f>
        <v>CashDividend</v>
      </c>
      <c r="E4" s="25" t="str">
        <f>IFERROR(__xludf.DUMMYFUNCTION("""COMPUTED_VALUE"""),"Exchange")</f>
        <v>Exchange</v>
      </c>
      <c r="F4" s="25" t="str">
        <f>IFERROR(__xludf.DUMMYFUNCTION("""COMPUTED_VALUE"""),"Merger")</f>
        <v>Merger</v>
      </c>
      <c r="G4" s="25" t="str">
        <f>IFERROR(__xludf.DUMMYFUNCTION("""COMPUTED_VALUE"""),"NameChange")</f>
        <v>NameChange</v>
      </c>
      <c r="H4" s="25" t="str">
        <f>IFERROR(__xludf.DUMMYFUNCTION("""COMPUTED_VALUE"""),"SpinOff")</f>
        <v>SpinOff</v>
      </c>
      <c r="I4" s="25" t="str">
        <f>IFERROR(__xludf.DUMMYFUNCTION("""COMPUTED_VALUE"""),"Split")</f>
        <v>Split</v>
      </c>
      <c r="J4" s="25" t="str">
        <f>IFERROR(__xludf.DUMMYFUNCTION("""COMPUTED_VALUE"""),"StockDividend")</f>
        <v>StockDividend</v>
      </c>
      <c r="K4" s="25" t="str">
        <f>IFERROR(__xludf.DUMMYFUNCTION("""COMPUTED_VALUE"""),"VerifyAndSaveCorpAction")</f>
        <v>VerifyAndSaveCorpAction</v>
      </c>
      <c r="L4" s="25" t="str">
        <f>IFERROR(__xludf.DUMMYFUNCTION("""COMPUTED_VALUE"""),"VerifyAndApplyCorpAction")</f>
        <v>VerifyAndApplyCorpAction</v>
      </c>
      <c r="M4" s="25" t="str">
        <f>IFERROR(__xludf.DUMMYFUNCTION("""COMPUTED_VALUE"""),"OpenSpinOff")</f>
        <v>OpenSpinOff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IFERROR(__xludf.DUMMYFUNCTION("""COMPUTED_VALUE"""),"Currency")</f>
        <v>Currency</v>
      </c>
      <c r="D5" s="28" t="str">
        <f>IFERROR(__xludf.DUMMYFUNCTION("""COMPUTED_VALUE"""),"Side")</f>
        <v>Side</v>
      </c>
      <c r="E5" s="28" t="str">
        <f>IFERROR(__xludf.DUMMYFUNCTION("""COMPUTED_VALUE"""),"Account")</f>
        <v>Account</v>
      </c>
      <c r="F5" s="29" t="str">
        <f>IFERROR(__xludf.DUMMYFUNCTION("""COMPUTED_VALUE"""),"Unit Cost")</f>
        <v>Unit Cost</v>
      </c>
      <c r="G5" s="28" t="str">
        <f>IFERROR(__xludf.DUMMYFUNCTION("""COMPUTED_VALUE"""),"Open Qty")</f>
        <v>Open Qty</v>
      </c>
      <c r="H5" s="28" t="str">
        <f>IFERROR(__xludf.DUMMYFUNCTION("""COMPUTED_VALUE"""),"Open Total Commission and Fees")</f>
        <v>Open Total Commission and Fees</v>
      </c>
      <c r="I5" s="28" t="str">
        <f>IFERROR(__xludf.DUMMYFUNCTION("""COMPUTED_VALUE"""),"Trade Date")</f>
        <v>Trade Date</v>
      </c>
      <c r="J5" s="28" t="str">
        <f>IFERROR(__xludf.DUMMYFUNCTION("""COMPUTED_VALUE"""),"Process Date")</f>
        <v>Process Date</v>
      </c>
      <c r="K5" s="28" t="str">
        <f>IFERROR(__xludf.DUMMYFUNCTION("""COMPUTED_VALUE"""),"Original Open Date")</f>
        <v>Original Open Date</v>
      </c>
      <c r="L5" s="28" t="str">
        <f>IFERROR(__xludf.DUMMYFUNCTION("""COMPUTED_VALUE"""),"Settlement Date")</f>
        <v>Settlement Date</v>
      </c>
      <c r="M5" s="28" t="str">
        <f>IFERROR(__xludf.DUMMYFUNCTION("""COMPUTED_VALUE"""),"Broker")</f>
        <v>Broker</v>
      </c>
      <c r="N5" s="28" t="str">
        <f>IFERROR(__xludf.DUMMYFUNCTION("""COMPUTED_VALUE"""),"Fx Rate")</f>
        <v>Fx Rate</v>
      </c>
      <c r="O5" s="28" t="str">
        <f>IFERROR(__xludf.DUMMYFUNCTION("""COMPUTED_VALUE"""),"FX Conversion Operator")</f>
        <v>FX Conversion Operator</v>
      </c>
      <c r="P5" s="28" t="str">
        <f>IFERROR(__xludf.DUMMYFUNCTION("""COMPUTED_VALUE"""),"Average Price")</f>
        <v>Average Price</v>
      </c>
      <c r="Q5" s="28" t="str">
        <f>IFERROR(__xludf.DUMMYFUNCTION("""COMPUTED_VALUE"""),"Notional Value (Local)")</f>
        <v>Notional Value (Local)</v>
      </c>
      <c r="R5" s="28" t="str">
        <f>IFERROR(__xludf.DUMMYFUNCTION("""COMPUTED_VALUE"""),"Notional Value (Base)")</f>
        <v>Notional Value (Base)</v>
      </c>
      <c r="S5" s="28" t="str">
        <f>IFERROR(__xludf.DUMMYFUNCTION("""COMPUTED_VALUE"""),"Transaction Type")</f>
        <v>Transaction Type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26</v>
      </c>
      <c r="D6" s="13" t="s">
        <v>19</v>
      </c>
      <c r="E6" s="13" t="s">
        <v>24</v>
      </c>
      <c r="F6" s="13">
        <v>1.0</v>
      </c>
      <c r="G6" s="13">
        <v>21897.0</v>
      </c>
      <c r="H6" s="13">
        <v>14.0123</v>
      </c>
      <c r="I6" s="8"/>
      <c r="J6" s="8"/>
      <c r="K6" s="8"/>
      <c r="L6" s="8"/>
      <c r="M6" s="13" t="s">
        <v>27</v>
      </c>
      <c r="N6" s="13"/>
      <c r="O6" s="13" t="s">
        <v>28</v>
      </c>
      <c r="P6" s="9">
        <v>0.0</v>
      </c>
      <c r="Q6" s="9">
        <v>21911.01</v>
      </c>
      <c r="R6" s="9">
        <v>21911.01</v>
      </c>
      <c r="S6" s="9" t="s">
        <v>19</v>
      </c>
    </row>
    <row r="7" ht="15.75" customHeight="1">
      <c r="A7" s="8"/>
      <c r="B7" s="13" t="s">
        <v>20</v>
      </c>
      <c r="C7" s="13" t="s">
        <v>26</v>
      </c>
      <c r="D7" s="13" t="s">
        <v>29</v>
      </c>
      <c r="E7" s="13" t="s">
        <v>24</v>
      </c>
      <c r="F7" s="13">
        <v>1.0</v>
      </c>
      <c r="G7" s="13">
        <v>21897.0</v>
      </c>
      <c r="H7" s="13">
        <v>0.0</v>
      </c>
      <c r="I7" s="8"/>
      <c r="J7" s="8"/>
      <c r="K7" s="8"/>
      <c r="L7" s="8"/>
      <c r="M7" s="8"/>
      <c r="N7" s="13"/>
      <c r="O7" s="13" t="s">
        <v>28</v>
      </c>
      <c r="P7" s="9">
        <v>0.0</v>
      </c>
      <c r="Q7" s="9">
        <v>21911.01</v>
      </c>
      <c r="R7" s="9">
        <v>21911.01</v>
      </c>
      <c r="S7" s="9" t="s">
        <v>29</v>
      </c>
    </row>
    <row r="8" ht="15.75" customHeight="1">
      <c r="A8" s="8"/>
      <c r="B8" s="13" t="s">
        <v>20</v>
      </c>
      <c r="C8" s="13" t="s">
        <v>26</v>
      </c>
      <c r="D8" s="13" t="s">
        <v>19</v>
      </c>
      <c r="E8" s="13" t="s">
        <v>24</v>
      </c>
      <c r="F8" s="13">
        <v>0.9</v>
      </c>
      <c r="G8" s="13">
        <v>21897.0</v>
      </c>
      <c r="H8" s="13">
        <v>0.0</v>
      </c>
      <c r="I8" s="8"/>
      <c r="J8" s="8"/>
      <c r="K8" s="8"/>
      <c r="L8" s="8"/>
      <c r="M8" s="8"/>
      <c r="N8" s="13"/>
      <c r="O8" s="13" t="s">
        <v>28</v>
      </c>
      <c r="P8" s="9">
        <v>1.0</v>
      </c>
      <c r="Q8" s="9">
        <v>19719.91</v>
      </c>
      <c r="R8" s="9">
        <v>19719.91</v>
      </c>
      <c r="S8" s="9" t="s">
        <v>19</v>
      </c>
    </row>
    <row r="9" ht="15.75" customHeight="1">
      <c r="A9" s="8"/>
      <c r="B9" s="13" t="s">
        <v>18</v>
      </c>
      <c r="C9" s="13" t="s">
        <v>26</v>
      </c>
      <c r="D9" s="13" t="s">
        <v>19</v>
      </c>
      <c r="E9" s="13" t="s">
        <v>24</v>
      </c>
      <c r="F9" s="13">
        <v>0.05</v>
      </c>
      <c r="G9" s="13">
        <v>43794.0</v>
      </c>
      <c r="H9" s="13">
        <v>0.0</v>
      </c>
      <c r="I9" s="8"/>
      <c r="J9" s="8"/>
      <c r="K9" s="8"/>
      <c r="L9" s="8"/>
      <c r="M9" s="8"/>
      <c r="N9" s="13"/>
      <c r="O9" s="13" t="s">
        <v>28</v>
      </c>
      <c r="P9" s="13">
        <v>0.05</v>
      </c>
      <c r="Q9" s="9">
        <v>2191.1</v>
      </c>
      <c r="R9" s="9">
        <v>2191.1</v>
      </c>
      <c r="S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29</v>
      </c>
      <c r="D6" s="32">
        <v>9.99999999E8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S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33</v>
      </c>
      <c r="F6" s="13">
        <v>0.0</v>
      </c>
      <c r="G6" s="8"/>
      <c r="H6" s="13" t="s">
        <v>34</v>
      </c>
      <c r="I6" s="13" t="s">
        <v>35</v>
      </c>
      <c r="J6" s="13" t="s">
        <v>18</v>
      </c>
      <c r="K6" s="13" t="s">
        <v>36</v>
      </c>
      <c r="L6" s="13" t="s">
        <v>37</v>
      </c>
      <c r="M6" s="8"/>
      <c r="N6" s="8"/>
      <c r="O6" s="8"/>
      <c r="T6" s="9">
        <v>0.0</v>
      </c>
      <c r="AA6" s="9" t="s">
        <v>38</v>
      </c>
      <c r="AD6" s="9">
        <v>1.0</v>
      </c>
      <c r="AF6" s="9" t="s">
        <v>28</v>
      </c>
      <c r="AH6" s="9" t="s">
        <v>39</v>
      </c>
      <c r="AI6" s="9" t="s">
        <v>18</v>
      </c>
      <c r="AJ6" s="9" t="s">
        <v>29</v>
      </c>
      <c r="AK6" s="9" t="s">
        <v>40</v>
      </c>
      <c r="AL6" s="9">
        <v>9.99999999E8</v>
      </c>
      <c r="AM6" s="9">
        <v>9.99999999E8</v>
      </c>
      <c r="AN6" s="9">
        <v>100.0</v>
      </c>
      <c r="AO6" s="9">
        <v>9.99999999E8</v>
      </c>
      <c r="AQ6" s="9">
        <v>1.0</v>
      </c>
      <c r="AR6" s="9">
        <v>1.0</v>
      </c>
      <c r="AS6" s="9" t="s">
        <v>27</v>
      </c>
      <c r="AT6" s="9" t="s">
        <v>24</v>
      </c>
      <c r="AU6" s="9" t="s">
        <v>41</v>
      </c>
      <c r="AV6" s="9">
        <v>-9.99999999E8</v>
      </c>
      <c r="AW6" s="9">
        <v>-9.99999999E8</v>
      </c>
      <c r="AY6" s="35">
        <v>9.99999999E8</v>
      </c>
      <c r="BA6" s="9" t="s">
        <v>35</v>
      </c>
      <c r="BG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