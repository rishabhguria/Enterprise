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SelectUnallocatedGroup" sheetId="8" r:id="rId10"/>
    <sheet state="visible" name="EnterAllocatePreference" sheetId="9" r:id="rId11"/>
    <sheet state="visible" name="CheckAllocatedGroups" sheetId="10" r:id="rId12"/>
    <sheet state="visible" name="GetDataClosing" sheetId="11" r:id="rId13"/>
    <sheet state="visible" name="VerifyLongPositionsGrid" sheetId="12" r:id="rId14"/>
    <sheet state="visible" name="CheckPortfolioManagement" sheetId="13" r:id="rId15"/>
    <sheet state="visible" name="AddFillsSubOrder" sheetId="14" r:id="rId16"/>
    <sheet state="visible" name="EditAddFillsDetails" sheetId="15" r:id="rId17"/>
    <sheet state="visible" name="CheckAllocatedGroups1" sheetId="16" r:id="rId18"/>
    <sheet state="visible" name="AddFillsSubOrder1" sheetId="17" r:id="rId19"/>
    <sheet state="visible" name="CheckPortfolioManagement1" sheetId="18" r:id="rId20"/>
    <sheet state="visible" name="EditAddFillsDetails1" sheetId="19" r:id="rId21"/>
    <sheet state="visible" name="CheckAllocatedGroups2" sheetId="20" r:id="rId22"/>
    <sheet state="visible" name="CheckPortfolioManagement2" sheetId="21" r:id="rId23"/>
    <sheet state="visible" name="AddFillsSubOrder2" sheetId="22" r:id="rId24"/>
    <sheet state="visible" name="EditAddFillsDetails2" sheetId="23" r:id="rId25"/>
    <sheet state="visible" name="CheckAllocatedGroups3" sheetId="24" r:id="rId26"/>
    <sheet state="visible" name="CheckPortfolioManagement3" sheetId="25" r:id="rId27"/>
    <sheet state="visible" name="SelectTradeOnOrderGrid" sheetId="26" r:id="rId28"/>
    <sheet state="visible" name="SelectTradeOnOrderGrid1" sheetId="27" r:id="rId29"/>
    <sheet state="visible" name="SelectTradeOnOrderGrid2" sheetId="28" r:id="rId30"/>
  </sheets>
  <definedNames/>
  <calcPr/>
</workbook>
</file>

<file path=xl/sharedStrings.xml><?xml version="1.0" encoding="utf-8"?>
<sst xmlns="http://schemas.openxmlformats.org/spreadsheetml/2006/main" count="1402" uniqueCount="681">
  <si>
    <t>Modules Info</t>
  </si>
  <si>
    <t>Modules</t>
  </si>
  <si>
    <t>Allocation</t>
  </si>
  <si>
    <t>Allocate</t>
  </si>
  <si>
    <t>1g8wLprruaWRC_5pQcovqkv8ZCiMt5fspCOACibdkz7g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</si>
  <si>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</si>
  <si>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</si>
  <si>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</si>
  <si>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</si>
  <si>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</si>
  <si>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</si>
  <si>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</si>
  <si>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</si>
  <si>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</si>
  <si>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</si>
  <si>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</si>
  <si>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</si>
  <si>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undefined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</si>
  <si>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</si>
  <si>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</si>
  <si>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</si>
  <si>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</si>
  <si>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</si>
  <si>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</si>
  <si>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</si>
  <si>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</si>
  <si>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</si>
  <si>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</si>
  <si>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</si>
  <si>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</si>
  <si>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</si>
  <si>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</si>
  <si>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</si>
  <si>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</si>
  <si>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</si>
  <si>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</si>
  <si>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</si>
  <si>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</si>
  <si>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</si>
  <si>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</si>
  <si>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</si>
  <si>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</si>
  <si>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</si>
  <si>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</si>
  <si>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</si>
  <si>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</si>
  <si>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</si>
  <si>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</si>
  <si>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</si>
  <si>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</si>
  <si>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</si>
  <si>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</si>
  <si>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</si>
  <si>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</si>
  <si>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</si>
  <si>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</si>
  <si>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</si>
  <si>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</si>
  <si>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</si>
  <si>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</si>
  <si>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</si>
  <si>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</si>
  <si>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</si>
  <si>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</si>
  <si>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</si>
  <si>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</si>
  <si>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</si>
  <si>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</si>
  <si>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</si>
  <si>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</si>
  <si>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</si>
  <si>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</si>
  <si>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</si>
  <si>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</si>
  <si>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</si>
  <si>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</si>
  <si>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</si>
  <si>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</si>
  <si>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</si>
  <si>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</si>
  <si>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</si>
  <si>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</si>
  <si>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</si>
  <si>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</si>
  <si>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</si>
  <si>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</si>
  <si>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</si>
  <si>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</si>
  <si>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</si>
  <si>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</si>
  <si>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</si>
  <si>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</si>
  <si>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</si>
  <si>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</si>
  <si>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</si>
  <si>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</si>
  <si>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</si>
  <si>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</si>
  <si>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</si>
  <si>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</si>
  <si>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</si>
  <si>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</si>
  <si>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</si>
  <si>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</si>
  <si>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</si>
  <si>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</si>
  <si>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</si>
  <si>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</si>
  <si>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</si>
  <si>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</si>
  <si>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</si>
  <si>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</si>
  <si>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</si>
  <si>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</si>
  <si>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</si>
  <si>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</si>
  <si>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</si>
  <si>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</si>
  <si>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</si>
  <si>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</si>
  <si>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</si>
  <si>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</si>
  <si>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</si>
  <si>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</si>
  <si>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</si>
  <si>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</si>
  <si>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</si>
  <si>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</si>
  <si>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</si>
  <si>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</si>
  <si>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</si>
  <si>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</si>
  <si>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</si>
  <si>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</si>
  <si>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</si>
  <si>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</si>
  <si>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</si>
  <si>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</si>
  <si>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</si>
  <si>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</si>
  <si>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</si>
  <si>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</si>
  <si>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</si>
  <si>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</si>
  <si>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</si>
  <si>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</si>
  <si>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</si>
  <si>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</si>
  <si>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</si>
  <si>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</si>
  <si>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</si>
  <si>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</si>
  <si>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</si>
  <si>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</si>
  <si>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</si>
  <si>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</si>
  <si>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</si>
  <si>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</si>
  <si>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</si>
  <si>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</si>
  <si>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</si>
  <si>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</si>
  <si>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</si>
  <si>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</si>
  <si>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</si>
  <si>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</si>
  <si>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</si>
  <si>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</si>
  <si>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</si>
  <si>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</si>
  <si>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</si>
  <si>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</si>
  <si>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</si>
  <si>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</si>
  <si>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</si>
  <si>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</si>
  <si>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</si>
  <si>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</si>
  <si>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</si>
  <si>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</si>
  <si>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</si>
  <si>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</si>
  <si>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</si>
  <si>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</si>
  <si>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</si>
  <si>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</si>
  <si>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</si>
  <si>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</si>
  <si>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</si>
  <si>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</si>
  <si>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</si>
  <si>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</si>
  <si>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</si>
  <si>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</si>
  <si>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</si>
  <si>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</si>
  <si>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</si>
  <si>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</si>
  <si>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</si>
  <si>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</si>
  <si>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</si>
  <si>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</si>
  <si>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</si>
  <si>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</si>
  <si>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</si>
  <si>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</si>
  <si>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</si>
  <si>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</si>
  <si>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</si>
  <si>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</si>
  <si>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</si>
  <si>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</si>
  <si>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</si>
  <si>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</si>
  <si>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</si>
  <si>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</si>
  <si>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</si>
  <si>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</si>
  <si>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</si>
  <si>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</si>
  <si>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</si>
  <si>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</si>
  <si>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</si>
  <si>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</si>
  <si>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</si>
  <si>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</si>
  <si>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</si>
  <si>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</si>
  <si>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</si>
  <si>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</si>
  <si>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</si>
  <si>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</si>
  <si>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</si>
  <si>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</si>
  <si>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</si>
  <si>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</si>
  <si>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</si>
  <si>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</si>
  <si>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</si>
  <si>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</si>
  <si>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</si>
  <si>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</si>
  <si>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</si>
  <si>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</si>
  <si>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</si>
  <si>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</si>
  <si>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</si>
  <si>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</si>
  <si>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</si>
  <si>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</si>
  <si>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</si>
  <si>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</si>
  <si>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</si>
  <si>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</si>
  <si>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</si>
  <si>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</si>
  <si>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</si>
  <si>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</si>
  <si>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</si>
  <si>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</si>
  <si>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</si>
  <si>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</si>
  <si>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</si>
  <si>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</si>
  <si>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</si>
  <si>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</si>
  <si>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</si>
  <si>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</si>
  <si>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</si>
  <si>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</si>
  <si>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</si>
  <si>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</si>
  <si>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</si>
  <si>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</si>
  <si>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</si>
  <si>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</si>
  <si>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</si>
  <si>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</si>
  <si>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</si>
  <si>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</si>
  <si>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</si>
  <si>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</si>
  <si>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</si>
  <si>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</si>
  <si>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</si>
  <si>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</si>
  <si>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</si>
  <si>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</si>
  <si>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</si>
  <si>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</si>
  <si>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</si>
  <si>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</si>
  <si>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</si>
  <si>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</si>
  <si>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</si>
  <si>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</si>
  <si>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</si>
  <si>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</si>
  <si>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</si>
  <si>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</si>
  <si>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</si>
  <si>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</si>
  <si>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</si>
  <si>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</si>
  <si>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</si>
  <si>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</si>
  <si>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</si>
  <si>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</si>
  <si>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</si>
  <si>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</si>
  <si>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</si>
  <si>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</si>
  <si>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</si>
  <si>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</si>
  <si>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</si>
  <si>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</si>
  <si>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</si>
  <si>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</si>
  <si>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</si>
  <si>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</si>
  <si>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</si>
  <si>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</si>
  <si>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</si>
  <si>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</si>
  <si>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</si>
  <si>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</si>
  <si>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</si>
  <si>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</si>
  <si>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</si>
  <si>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</si>
  <si>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</si>
  <si>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</si>
  <si>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</si>
  <si>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</si>
  <si>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</si>
  <si>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</si>
  <si>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</si>
  <si>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</si>
  <si>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</si>
  <si>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</si>
  <si>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</si>
  <si>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</si>
  <si>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</si>
  <si>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</si>
  <si>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</si>
  <si>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</si>
  <si>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</si>
  <si>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</si>
  <si>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</si>
  <si>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</si>
  <si>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</si>
  <si>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</si>
  <si>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</si>
  <si>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</si>
  <si>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</si>
  <si>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</si>
  <si>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</si>
  <si>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</si>
  <si>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</si>
  <si>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</si>
  <si>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</si>
  <si>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</si>
  <si>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</si>
  <si>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</si>
  <si>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</si>
  <si>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</si>
  <si>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</si>
  <si>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</si>
  <si>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</si>
  <si>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</si>
  <si>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</si>
  <si>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</si>
  <si>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</si>
  <si>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</si>
  <si>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</si>
  <si>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</si>
  <si>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</si>
  <si>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</si>
  <si>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</si>
  <si>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</si>
  <si>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</si>
  <si>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</si>
  <si>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</si>
  <si>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</si>
  <si>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</si>
  <si>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</si>
  <si>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</si>
  <si>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</si>
  <si>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</si>
  <si>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</si>
  <si>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</si>
  <si>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</si>
  <si>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</si>
  <si>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</si>
  <si>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</si>
  <si>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</si>
  <si>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</si>
  <si>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</si>
  <si>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</si>
  <si>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</si>
  <si>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</si>
  <si>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</si>
  <si>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</si>
  <si>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</si>
  <si>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</si>
  <si>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</si>
  <si>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</si>
  <si>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</si>
  <si>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</si>
  <si>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</si>
  <si>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</si>
  <si>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</si>
  <si>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</si>
  <si>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</si>
  <si>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</si>
  <si>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</si>
  <si>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</si>
  <si>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</si>
  <si>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</si>
  <si>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</si>
  <si>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</si>
  <si>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</si>
  <si>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</si>
  <si>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</si>
  <si>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</si>
  <si>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</si>
  <si>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</si>
  <si>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</si>
  <si>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</si>
  <si>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</si>
  <si>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</si>
  <si>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</si>
  <si>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</si>
  <si>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</si>
  <si>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</si>
  <si>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</si>
  <si>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</si>
  <si>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</si>
  <si>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</si>
  <si>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</si>
  <si>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</si>
  <si>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</si>
  <si>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</si>
  <si>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</si>
  <si>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</si>
  <si>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</si>
  <si>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</si>
  <si>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</si>
  <si>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</si>
  <si>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</si>
  <si>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</si>
  <si>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</si>
  <si>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</si>
  <si>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</si>
  <si>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</si>
  <si>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</si>
  <si>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</si>
  <si>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</si>
  <si>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</si>
  <si>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</si>
  <si>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</si>
  <si>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</si>
  <si>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</si>
  <si>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</si>
  <si>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</si>
  <si>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</si>
  <si>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</si>
  <si>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</si>
  <si>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</si>
  <si>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</si>
  <si>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</si>
  <si>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</si>
  <si>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</si>
  <si>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</si>
  <si>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</si>
  <si>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</si>
  <si>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</si>
  <si>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</si>
  <si>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</si>
  <si>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</si>
  <si>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</si>
  <si>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</si>
  <si>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</si>
  <si>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</si>
  <si>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</si>
  <si>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</si>
  <si>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</si>
  <si>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</si>
  <si>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</si>
  <si>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</si>
  <si>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</si>
  <si>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</si>
  <si>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</si>
  <si>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</si>
  <si>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</si>
  <si>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</si>
  <si>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</si>
  <si>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</si>
  <si>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</si>
  <si>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</si>
  <si>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</si>
  <si>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</si>
  <si>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</si>
  <si>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</si>
  <si>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</si>
  <si>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</si>
  <si>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</si>
  <si>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</si>
  <si>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</si>
  <si>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</si>
  <si>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</si>
  <si>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</si>
  <si>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</si>
  <si>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</si>
  <si>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</si>
  <si>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</si>
  <si>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</si>
  <si>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</si>
  <si>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</si>
  <si>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</si>
  <si>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</si>
  <si>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</si>
  <si>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</si>
  <si>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</si>
  <si>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</si>
  <si>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</si>
  <si>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</si>
  <si>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</si>
  <si>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</si>
  <si>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</si>
  <si>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</si>
  <si>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</si>
  <si>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</si>
  <si>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</si>
  <si>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</si>
  <si>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</si>
  <si>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</si>
  <si>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</si>
  <si>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</si>
  <si>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</si>
  <si>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</si>
  <si>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</si>
  <si>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</si>
  <si>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</si>
  <si>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</si>
  <si>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</si>
  <si>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</si>
  <si>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</si>
  <si>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</si>
  <si>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</si>
  <si>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</si>
  <si>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</si>
  <si>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</si>
  <si>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</si>
  <si>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</si>
  <si>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</si>
  <si>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</si>
  <si>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</si>
  <si>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</si>
  <si>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 xml:space="preserve">
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</si>
  <si>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</si>
  <si>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</si>
  <si>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</si>
  <si>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</si>
  <si>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</si>
  <si>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</si>
  <si>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</si>
  <si>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</si>
  <si>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AddMFPreferenceToolbar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</si>
  <si>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</si>
  <si>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</si>
  <si>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</si>
  <si>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</si>
  <si>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</si>
  <si>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</si>
  <si>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</si>
  <si>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</si>
  <si>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</si>
  <si>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</si>
  <si>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</si>
  <si>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</si>
  <si>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</si>
  <si>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</si>
  <si>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</si>
  <si>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</si>
  <si>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</si>
  <si>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</si>
  <si>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</si>
  <si>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</si>
  <si>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</si>
  <si>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</si>
  <si>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</si>
  <si>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</si>
  <si>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</si>
  <si>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</si>
  <si>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</si>
  <si>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</si>
  <si>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</si>
  <si>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</si>
  <si>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</si>
  <si>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</si>
  <si>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</si>
  <si>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</si>
  <si>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</si>
  <si>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</si>
  <si>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</si>
  <si>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</si>
  <si>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</si>
  <si>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</si>
  <si>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</si>
  <si>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</si>
  <si>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</si>
  <si>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</si>
  <si>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</si>
  <si>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</si>
  <si>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</si>
  <si>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</si>
  <si>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</si>
  <si>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</si>
  <si>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</si>
  <si>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</si>
  <si>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</si>
  <si>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</si>
  <si>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</si>
  <si>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</si>
  <si>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</si>
  <si>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</si>
  <si>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</si>
  <si>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</si>
  <si>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</si>
  <si>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</si>
  <si>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EditUnallocatedGrid</t>
  </si>
  <si>
    <t>1AW0W5OpNI8piJti92bvV6r4Yi53xl_tnAzVVBt4KToI</t>
  </si>
  <si>
    <t>EditAllocatedGrid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</si>
  <si>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</si>
  <si>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</si>
  <si>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</si>
  <si>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</si>
  <si>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</si>
  <si>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</si>
  <si>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</si>
  <si>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SaveLayoutAllocatedGrid</t>
  </si>
  <si>
    <t>1XVANRGHR72EtI4gMeC8w6z1bfz73dlrTInlK2H7ZoKk</t>
  </si>
  <si>
    <t>SaveLayoutUnallocatedGrid</t>
  </si>
  <si>
    <t>SaveLayoutAllocationUI</t>
  </si>
  <si>
    <t>1QLQ-b7wpLxxRpXuiwaP2UmfqEQKMMiLseYWch10z3q4</t>
  </si>
  <si>
    <t>ClearFiltersAllocatedGrid</t>
  </si>
  <si>
    <t>ClearFiltersUnallocatedGrid</t>
  </si>
  <si>
    <t>VerifyLayoutAllocatedGrid</t>
  </si>
  <si>
    <t>1IbsqNoVe3AANVe9RF_s3dzDgPh-TdCwzEFl-kQfv97E</t>
  </si>
  <si>
    <t>VerifyLayoutUnallocatedGrid</t>
  </si>
  <si>
    <t>UpdateForexConversionMonthly</t>
  </si>
  <si>
    <t>16GgprnT3OM6eiXC407Ex18m2-CxYezhGQ7aVXwMZ49Q</t>
  </si>
  <si>
    <t>UpdateMarkPriceMonthly</t>
  </si>
  <si>
    <t>1dEvI-MMoahmF_AfUINg_abDbKcusElSTQ1QJkj6gzLU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</si>
  <si>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</si>
  <si>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</si>
  <si>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</si>
  <si>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</si>
  <si>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</si>
  <si>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</si>
  <si>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</si>
  <si>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</si>
  <si>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</si>
  <si>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</si>
  <si>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Data Format</t>
  </si>
  <si>
    <t>Input Format</t>
  </si>
  <si>
    <t>Allocation1</t>
  </si>
  <si>
    <t>USD</t>
  </si>
  <si>
    <t>Allocation2</t>
  </si>
  <si>
    <t>Allocation3</t>
  </si>
  <si>
    <t>IBM</t>
  </si>
  <si>
    <t>Buy</t>
  </si>
  <si>
    <t>Unallocated</t>
  </si>
  <si>
    <t>Leveling</t>
  </si>
  <si>
    <t>Allocation1,Allocation2,Allocation3</t>
  </si>
  <si>
    <t>Multiple</t>
  </si>
  <si>
    <t>Current</t>
  </si>
  <si>
    <t>NewMF</t>
  </si>
  <si>
    <t>NewMF1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</si>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</sst>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color rgb="FF000000"/>
      <name val="Calibri"/>
    </font>
    <font>
      <name val="Calibri"/>
    </font>
    <font>
      <sz val="14.0"/>
      <color rgb="FFFFFFFF"/>
      <name val="Calibri"/>
    </font>
    <font>
      <color rgb="FF000000"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4" fillId="4" fontId="5" numFmtId="0" xfId="0" applyAlignment="1" applyBorder="1" applyFill="1" applyFont="1">
      <alignment vertical="bottom"/>
    </xf>
    <xf borderId="4" fillId="4" fontId="6" numFmtId="0" xfId="0" applyAlignment="1" applyBorder="1" applyFont="1">
      <alignment shrinkToFit="0" vertical="bottom" wrapText="1"/>
    </xf>
    <xf borderId="4" fillId="4" fontId="3" numFmtId="0" xfId="0" applyAlignment="1" applyBorder="1" applyFont="1">
      <alignment vertical="bottom"/>
    </xf>
    <xf borderId="0" fillId="0" fontId="6" numFmtId="0" xfId="0" applyAlignment="1" applyFont="1">
      <alignment shrinkToFit="0" wrapText="0"/>
    </xf>
    <xf borderId="1" fillId="2" fontId="7" numFmtId="0" xfId="0" applyAlignment="1" applyBorder="1" applyFont="1">
      <alignment horizontal="center" shrinkToFit="0" wrapText="0"/>
    </xf>
    <xf borderId="0" fillId="4" fontId="8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5" fontId="13" numFmtId="0" xfId="0" applyAlignment="1" applyFill="1" applyFont="1">
      <alignment shrinkToFit="0" wrapText="0"/>
    </xf>
    <xf borderId="0" fillId="5" fontId="14" numFmtId="0" xfId="0" applyFont="1"/>
    <xf borderId="0" fillId="6" fontId="4" numFmtId="0" xfId="0" applyAlignment="1" applyFill="1" applyFont="1">
      <alignment shrinkToFit="0" wrapText="0"/>
    </xf>
    <xf borderId="3" fillId="6" fontId="4" numFmtId="0" xfId="0" applyAlignment="1" applyBorder="1" applyFont="1">
      <alignment shrinkToFit="0" wrapText="0"/>
    </xf>
    <xf borderId="0" fillId="6" fontId="12" numFmtId="0" xfId="0" applyFont="1"/>
    <xf borderId="0" fillId="0" fontId="6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">
        <v>2</v>
      </c>
      <c r="B4" s="7" t="s">
        <v>3</v>
      </c>
      <c r="C4" s="8" t="s">
        <v>4</v>
      </c>
      <c r="D4" s="3"/>
      <c r="E4" s="3"/>
      <c r="F4" s="3"/>
    </row>
    <row r="5" ht="15.75" customHeight="1">
      <c r="A5" s="9" t="s">
        <v>2</v>
      </c>
      <c r="B5" s="3" t="s">
        <v>5</v>
      </c>
      <c r="C5" s="3" t="s">
        <v>6</v>
      </c>
      <c r="D5" s="3"/>
      <c r="E5" s="3"/>
      <c r="F5" s="3"/>
    </row>
    <row r="6" ht="15.75" customHeight="1">
      <c r="A6" s="3" t="s">
        <v>2</v>
      </c>
      <c r="B6" s="3" t="s">
        <v>7</v>
      </c>
      <c r="C6" s="3" t="s">
        <v>8</v>
      </c>
      <c r="D6" s="3"/>
      <c r="E6" s="3"/>
      <c r="F6" s="3"/>
    </row>
    <row r="7" ht="15.75" customHeight="1">
      <c r="A7" s="3" t="s">
        <v>2</v>
      </c>
      <c r="B7" s="3" t="s">
        <v>9</v>
      </c>
      <c r="C7" s="3" t="s">
        <v>10</v>
      </c>
      <c r="D7" s="3"/>
      <c r="E7" s="3"/>
      <c r="F7" s="3"/>
    </row>
    <row r="8" ht="15.75" customHeight="1">
      <c r="A8" s="3" t="s">
        <v>2</v>
      </c>
      <c r="B8" s="3" t="s">
        <v>11</v>
      </c>
      <c r="C8" s="3" t="s">
        <v>8</v>
      </c>
      <c r="D8" s="3"/>
      <c r="E8" s="3"/>
      <c r="F8" s="3"/>
    </row>
    <row r="9" ht="15.75" customHeight="1">
      <c r="A9" s="3" t="s">
        <v>2</v>
      </c>
      <c r="B9" s="3" t="s">
        <v>12</v>
      </c>
      <c r="C9" s="3" t="s">
        <v>13</v>
      </c>
      <c r="D9" s="3"/>
      <c r="E9" s="3"/>
      <c r="F9" s="3"/>
    </row>
    <row r="10" ht="15.75" customHeight="1">
      <c r="A10" s="3" t="s">
        <v>2</v>
      </c>
      <c r="B10" s="3" t="s">
        <v>14</v>
      </c>
      <c r="C10" s="3" t="s">
        <v>15</v>
      </c>
      <c r="D10" s="3"/>
      <c r="E10" s="3"/>
      <c r="F10" s="3"/>
    </row>
    <row r="11" ht="15.75" customHeight="1">
      <c r="A11" s="3" t="s">
        <v>2</v>
      </c>
      <c r="B11" s="3" t="s">
        <v>16</v>
      </c>
      <c r="C11" s="3" t="s">
        <v>17</v>
      </c>
      <c r="D11" s="3"/>
      <c r="E11" s="3"/>
      <c r="F11" s="3"/>
    </row>
    <row r="12" ht="15.75" customHeight="1">
      <c r="A12" s="3" t="s">
        <v>18</v>
      </c>
      <c r="B12" s="3" t="s">
        <v>19</v>
      </c>
      <c r="C12" s="3" t="s">
        <v>17</v>
      </c>
      <c r="D12" s="3"/>
      <c r="E12" s="3"/>
      <c r="F12" s="3"/>
    </row>
    <row r="13" ht="15.75" customHeight="1">
      <c r="A13" s="3" t="s">
        <v>18</v>
      </c>
      <c r="B13" s="3" t="s">
        <v>20</v>
      </c>
      <c r="C13" s="3" t="s">
        <v>21</v>
      </c>
      <c r="D13" s="3"/>
      <c r="E13" s="3"/>
      <c r="F13" s="3"/>
    </row>
    <row r="14" ht="15.75" customHeight="1">
      <c r="A14" s="3" t="s">
        <v>22</v>
      </c>
      <c r="B14" s="3" t="s">
        <v>23</v>
      </c>
      <c r="C14" s="3" t="s">
        <v>24</v>
      </c>
      <c r="D14" s="3"/>
      <c r="E14" s="3"/>
      <c r="F14" s="3"/>
    </row>
    <row r="15" ht="15.75" customHeight="1">
      <c r="A15" s="3" t="s">
        <v>22</v>
      </c>
      <c r="B15" s="3" t="s">
        <v>25</v>
      </c>
      <c r="C15" s="3" t="s">
        <v>26</v>
      </c>
      <c r="D15" s="3"/>
      <c r="E15" s="3"/>
      <c r="F15" s="3"/>
    </row>
    <row r="16" ht="15.75" customHeight="1">
      <c r="A16" s="3" t="s">
        <v>22</v>
      </c>
      <c r="B16" s="3" t="s">
        <v>27</v>
      </c>
      <c r="C16" s="3" t="s">
        <v>28</v>
      </c>
      <c r="D16" s="3"/>
      <c r="E16" s="3"/>
      <c r="F16" s="3"/>
    </row>
    <row r="17" ht="15.75" customHeight="1">
      <c r="A17" s="3" t="s">
        <v>22</v>
      </c>
      <c r="B17" s="3" t="s">
        <v>29</v>
      </c>
      <c r="C17" s="3" t="s">
        <v>30</v>
      </c>
      <c r="D17" s="3"/>
      <c r="E17" s="3"/>
      <c r="F17" s="3"/>
    </row>
    <row r="18" ht="15.75" customHeight="1">
      <c r="A18" s="3" t="s">
        <v>22</v>
      </c>
      <c r="B18" s="3" t="s">
        <v>31</v>
      </c>
      <c r="C18" s="3" t="s">
        <v>32</v>
      </c>
      <c r="D18" s="3"/>
      <c r="E18" s="3"/>
      <c r="F18" s="3"/>
    </row>
    <row r="19" ht="15.75" customHeight="1">
      <c r="A19" s="3" t="s">
        <v>22</v>
      </c>
      <c r="B19" s="3" t="s">
        <v>33</v>
      </c>
      <c r="C19" s="3" t="s">
        <v>34</v>
      </c>
      <c r="D19" s="3"/>
      <c r="E19" s="3"/>
      <c r="F19" s="3"/>
    </row>
    <row r="20" ht="15.75" customHeight="1">
      <c r="A20" s="3" t="s">
        <v>22</v>
      </c>
      <c r="B20" s="3" t="s">
        <v>35</v>
      </c>
      <c r="C20" s="3" t="s">
        <v>36</v>
      </c>
      <c r="D20" s="3"/>
      <c r="E20" s="3"/>
      <c r="F20" s="3"/>
    </row>
    <row r="21" ht="15.75" customHeight="1">
      <c r="A21" s="3" t="s">
        <v>37</v>
      </c>
      <c r="B21" s="3" t="s">
        <v>37</v>
      </c>
      <c r="C21" s="3" t="s">
        <v>38</v>
      </c>
      <c r="D21" s="3"/>
      <c r="E21" s="3"/>
      <c r="F21" s="3"/>
    </row>
    <row r="22" ht="15.75" customHeight="1">
      <c r="A22" s="3" t="s">
        <v>39</v>
      </c>
      <c r="B22" s="3" t="s">
        <v>39</v>
      </c>
      <c r="C22" s="3" t="s">
        <v>40</v>
      </c>
      <c r="D22" s="3"/>
      <c r="E22" s="3"/>
      <c r="F22" s="3"/>
    </row>
    <row r="23" ht="15.75" customHeight="1">
      <c r="A23" s="3" t="s">
        <v>41</v>
      </c>
      <c r="B23" s="3" t="s">
        <v>42</v>
      </c>
      <c r="C23" s="3" t="s">
        <v>43</v>
      </c>
      <c r="D23" s="3"/>
      <c r="E23" s="3"/>
      <c r="F23" s="3"/>
    </row>
    <row r="24" ht="15.75" customHeight="1">
      <c r="A24" s="3" t="s">
        <v>41</v>
      </c>
      <c r="B24" s="3" t="s">
        <v>44</v>
      </c>
      <c r="C24" s="3" t="s">
        <v>45</v>
      </c>
      <c r="D24" s="3"/>
      <c r="E24" s="3"/>
      <c r="F24" s="3"/>
    </row>
    <row r="25" ht="15.75" customHeight="1">
      <c r="A25" s="3" t="s">
        <v>41</v>
      </c>
      <c r="B25" s="3" t="s">
        <v>46</v>
      </c>
      <c r="C25" s="3" t="s">
        <v>47</v>
      </c>
      <c r="D25" s="3"/>
      <c r="E25" s="3"/>
      <c r="F25" s="3"/>
    </row>
    <row r="26" ht="15.75" customHeight="1">
      <c r="A26" s="3" t="s">
        <v>41</v>
      </c>
      <c r="B26" s="3" t="s">
        <v>48</v>
      </c>
      <c r="C26" s="3" t="s">
        <v>49</v>
      </c>
      <c r="D26" s="3"/>
      <c r="E26" s="3"/>
      <c r="F26" s="3"/>
    </row>
    <row r="27" ht="15.75" customHeight="1">
      <c r="A27" s="3" t="s">
        <v>50</v>
      </c>
      <c r="B27" s="3" t="s">
        <v>50</v>
      </c>
      <c r="C27" s="3" t="s">
        <v>51</v>
      </c>
      <c r="D27" s="3"/>
      <c r="E27" s="3"/>
      <c r="F27" s="3"/>
    </row>
    <row r="28" ht="15.75" customHeight="1">
      <c r="A28" s="3" t="s">
        <v>52</v>
      </c>
      <c r="B28" s="3" t="s">
        <v>53</v>
      </c>
      <c r="C28" s="3" t="s">
        <v>54</v>
      </c>
      <c r="D28" s="3"/>
      <c r="E28" s="3"/>
      <c r="F28" s="3"/>
    </row>
    <row r="29" ht="15.75" customHeight="1">
      <c r="A29" s="3" t="s">
        <v>52</v>
      </c>
      <c r="B29" s="3" t="s">
        <v>55</v>
      </c>
      <c r="C29" s="3" t="s">
        <v>56</v>
      </c>
      <c r="D29" s="3"/>
      <c r="E29" s="3"/>
      <c r="F29" s="3"/>
    </row>
    <row r="30" ht="15.75" customHeight="1">
      <c r="A30" s="3" t="s">
        <v>57</v>
      </c>
      <c r="B30" s="3" t="s">
        <v>57</v>
      </c>
      <c r="C30" s="3" t="s">
        <v>58</v>
      </c>
      <c r="D30" s="3"/>
      <c r="E30" s="3"/>
      <c r="F30" s="3"/>
    </row>
    <row r="31" ht="15.75" customHeight="1">
      <c r="A31" s="3" t="s">
        <v>57</v>
      </c>
      <c r="B31" s="3" t="s">
        <v>59</v>
      </c>
      <c r="C31" s="3" t="s">
        <v>60</v>
      </c>
      <c r="D31" s="3"/>
      <c r="E31" s="3"/>
      <c r="F31" s="3"/>
    </row>
    <row r="32" ht="15.75" customHeight="1">
      <c r="A32" s="3" t="s">
        <v>61</v>
      </c>
      <c r="B32" s="3" t="s">
        <v>62</v>
      </c>
      <c r="C32" s="3" t="s">
        <v>63</v>
      </c>
      <c r="D32" s="3"/>
      <c r="E32" s="3"/>
      <c r="F32" s="3"/>
    </row>
    <row r="33" ht="15.75" customHeight="1">
      <c r="A33" s="3" t="s">
        <v>61</v>
      </c>
      <c r="B33" s="3" t="s">
        <v>64</v>
      </c>
      <c r="C33" s="3" t="s">
        <v>65</v>
      </c>
      <c r="D33" s="3"/>
      <c r="E33" s="3"/>
      <c r="F33" s="3"/>
    </row>
    <row r="34" ht="15.75" customHeight="1">
      <c r="A34" t="s">
        <v>61</v>
      </c>
      <c r="B34" t="s">
        <v>66</v>
      </c>
      <c r="C34" t="s">
        <v>67</v>
      </c>
    </row>
    <row r="35" ht="15.75" customHeight="1">
      <c r="A35" t="s">
        <v>61</v>
      </c>
      <c r="B35" t="s">
        <v>68</v>
      </c>
      <c r="C35" t="s">
        <v>69</v>
      </c>
    </row>
    <row r="36" ht="15.75" customHeight="1">
      <c r="A36" t="s">
        <v>61</v>
      </c>
      <c r="B36" t="s">
        <v>70</v>
      </c>
      <c r="C36" t="s">
        <v>71</v>
      </c>
    </row>
    <row r="37" ht="15.75" customHeight="1">
      <c r="A37" t="s">
        <v>72</v>
      </c>
      <c r="B37" t="s">
        <v>73</v>
      </c>
      <c r="C37" t="s">
        <v>74</v>
      </c>
    </row>
    <row r="38" ht="15.75" customHeight="1">
      <c r="A38" t="s">
        <v>72</v>
      </c>
      <c r="B38" t="s">
        <v>75</v>
      </c>
      <c r="C38" t="s">
        <v>17</v>
      </c>
    </row>
    <row r="39" ht="15.75" customHeight="1">
      <c r="A39" t="s">
        <v>72</v>
      </c>
      <c r="B39" t="s">
        <v>76</v>
      </c>
      <c r="C39" t="s">
        <v>77</v>
      </c>
    </row>
    <row r="40" ht="15.75" customHeight="1">
      <c r="A40" t="s">
        <v>72</v>
      </c>
      <c r="B40" t="s">
        <v>78</v>
      </c>
      <c r="C40" t="s">
        <v>79</v>
      </c>
    </row>
    <row r="41" ht="15.75" customHeight="1">
      <c r="A41" t="s">
        <v>72</v>
      </c>
      <c r="B41" t="s">
        <v>80</v>
      </c>
      <c r="C41" t="s">
        <v>81</v>
      </c>
    </row>
    <row r="42" ht="15.75" customHeight="1">
      <c r="A42" t="s">
        <v>2</v>
      </c>
      <c r="B42" t="s">
        <v>82</v>
      </c>
      <c r="C42" t="s">
        <v>83</v>
      </c>
    </row>
    <row r="43" ht="15.75" customHeight="1">
      <c r="A43" t="s">
        <v>37</v>
      </c>
      <c r="B43" t="s">
        <v>82</v>
      </c>
      <c r="C43" t="s">
        <v>84</v>
      </c>
    </row>
    <row r="44" ht="15.75" customHeight="1">
      <c r="A44" t="s">
        <v>85</v>
      </c>
      <c r="B44" t="s">
        <v>86</v>
      </c>
      <c r="C44" t="s">
        <v>87</v>
      </c>
    </row>
    <row r="45" ht="15.75" customHeight="1">
      <c r="A45" t="s">
        <v>85</v>
      </c>
      <c r="B45" t="s">
        <v>88</v>
      </c>
      <c r="C45" t="s">
        <v>89</v>
      </c>
    </row>
    <row r="46" ht="15.75" customHeight="1">
      <c r="A46" t="s">
        <v>85</v>
      </c>
      <c r="B46" t="s">
        <v>90</v>
      </c>
      <c r="C46" t="s">
        <v>91</v>
      </c>
    </row>
    <row r="47" ht="15.75" customHeight="1">
      <c r="A47" t="s">
        <v>85</v>
      </c>
      <c r="B47" t="s">
        <v>92</v>
      </c>
      <c r="C47" t="s">
        <v>93</v>
      </c>
    </row>
    <row r="48" ht="15.75" customHeight="1">
      <c r="A48" t="s">
        <v>52</v>
      </c>
      <c r="B48" t="s">
        <v>94</v>
      </c>
      <c r="C48" t="s">
        <v>95</v>
      </c>
    </row>
    <row r="49" ht="15.75" customHeight="1">
      <c r="A49" t="s">
        <v>96</v>
      </c>
      <c r="B49" t="s">
        <v>97</v>
      </c>
      <c r="C49" t="s">
        <v>98</v>
      </c>
    </row>
    <row r="50" ht="15.75" customHeight="1">
      <c r="A50" t="s">
        <v>37</v>
      </c>
      <c r="B50" t="s">
        <v>99</v>
      </c>
      <c r="C50" t="s">
        <v>100</v>
      </c>
    </row>
    <row r="51" ht="15.75" customHeight="1">
      <c r="A51" t="s">
        <v>37</v>
      </c>
      <c r="B51" t="s">
        <v>101</v>
      </c>
      <c r="C51" t="s">
        <v>102</v>
      </c>
    </row>
    <row r="52" ht="15.75" customHeight="1">
      <c r="A52" t="s">
        <v>37</v>
      </c>
      <c r="B52" t="s">
        <v>103</v>
      </c>
      <c r="C52" t="s">
        <v>104</v>
      </c>
    </row>
    <row r="53" ht="15.75" customHeight="1">
      <c r="A53" t="s">
        <v>37</v>
      </c>
      <c r="B53" t="s">
        <v>105</v>
      </c>
      <c r="C53" t="s">
        <v>106</v>
      </c>
    </row>
    <row r="54" ht="15.75" customHeight="1">
      <c r="A54" t="s">
        <v>37</v>
      </c>
      <c r="B54" t="s">
        <v>107</v>
      </c>
      <c r="C54" t="s">
        <v>108</v>
      </c>
    </row>
    <row r="55" ht="15.75" customHeight="1">
      <c r="A55" t="s">
        <v>37</v>
      </c>
      <c r="B55" t="s">
        <v>109</v>
      </c>
      <c r="C55" t="s">
        <v>110</v>
      </c>
    </row>
    <row r="56" ht="15.75" customHeight="1">
      <c r="A56" t="s">
        <v>37</v>
      </c>
      <c r="B56" t="s">
        <v>111</v>
      </c>
      <c r="C56" t="s">
        <v>112</v>
      </c>
    </row>
    <row r="57" ht="15.75" customHeight="1">
      <c r="A57" t="s">
        <v>96</v>
      </c>
      <c r="B57" t="s">
        <v>113</v>
      </c>
      <c r="C57" t="s">
        <v>83</v>
      </c>
    </row>
    <row r="58" ht="15.75" customHeight="1">
      <c r="A58" t="s">
        <v>41</v>
      </c>
      <c r="B58" t="s">
        <v>82</v>
      </c>
      <c r="C58" t="s">
        <v>83</v>
      </c>
    </row>
    <row r="59" ht="15.75" customHeight="1">
      <c r="A59" t="s">
        <v>2</v>
      </c>
      <c r="B59" t="s">
        <v>114</v>
      </c>
      <c r="C59" t="s">
        <v>115</v>
      </c>
    </row>
    <row r="60" ht="15.75" customHeight="1">
      <c r="A60" t="s">
        <v>2</v>
      </c>
      <c r="B60" t="s">
        <v>116</v>
      </c>
      <c r="C60" t="s">
        <v>117</v>
      </c>
    </row>
    <row r="61" ht="15.75" customHeight="1">
      <c r="A61" t="s">
        <v>2</v>
      </c>
      <c r="B61" t="s">
        <v>118</v>
      </c>
      <c r="C61" t="s">
        <v>119</v>
      </c>
    </row>
    <row r="62" ht="15.75" customHeight="1">
      <c r="A62" t="s">
        <v>2</v>
      </c>
      <c r="B62" t="s">
        <v>120</v>
      </c>
      <c r="C62" t="s">
        <v>121</v>
      </c>
    </row>
    <row r="63" ht="15.75" customHeight="1">
      <c r="A63" t="s">
        <v>2</v>
      </c>
      <c r="B63" t="s">
        <v>122</v>
      </c>
      <c r="C63" t="s">
        <v>123</v>
      </c>
    </row>
    <row r="64" ht="15.75" customHeight="1">
      <c r="A64" t="s">
        <v>2</v>
      </c>
      <c r="B64" t="s">
        <v>124</v>
      </c>
      <c r="C64" t="s">
        <v>125</v>
      </c>
    </row>
    <row r="65" ht="15.75" customHeight="1">
      <c r="A65" t="s">
        <v>2</v>
      </c>
      <c r="B65" t="s">
        <v>126</v>
      </c>
      <c r="C65" t="s">
        <v>127</v>
      </c>
    </row>
    <row r="66" ht="15.75" customHeight="1">
      <c r="A66" t="s">
        <v>2</v>
      </c>
      <c r="B66" t="s">
        <v>128</v>
      </c>
      <c r="C66" t="s">
        <v>129</v>
      </c>
    </row>
    <row r="67" ht="15.75" customHeight="1">
      <c r="A67" t="s">
        <v>2</v>
      </c>
      <c r="B67" t="s">
        <v>130</v>
      </c>
      <c r="C67" t="s">
        <v>131</v>
      </c>
    </row>
    <row r="68" ht="15.75" customHeight="1">
      <c r="A68" t="s">
        <v>2</v>
      </c>
      <c r="B68" t="s">
        <v>132</v>
      </c>
      <c r="C68" t="s">
        <v>133</v>
      </c>
    </row>
    <row r="69" ht="15.75" customHeight="1">
      <c r="A69" t="s">
        <v>2</v>
      </c>
      <c r="B69" t="s">
        <v>134</v>
      </c>
      <c r="C69" t="s">
        <v>135</v>
      </c>
    </row>
    <row r="70" ht="15.75" customHeight="1">
      <c r="A70" t="s">
        <v>2</v>
      </c>
      <c r="B70" t="s">
        <v>136</v>
      </c>
      <c r="C70" t="s">
        <v>137</v>
      </c>
    </row>
    <row r="71" ht="15.75" customHeight="1">
      <c r="A71" t="s">
        <v>2</v>
      </c>
      <c r="B71" t="s">
        <v>138</v>
      </c>
      <c r="C71" t="s">
        <v>139</v>
      </c>
    </row>
    <row r="72" ht="15.75" customHeight="1">
      <c r="A72" t="s">
        <v>2</v>
      </c>
      <c r="B72" t="s">
        <v>140</v>
      </c>
      <c r="C72" t="s">
        <v>141</v>
      </c>
    </row>
    <row r="73" ht="15.75" customHeight="1">
      <c r="A73" t="s">
        <v>2</v>
      </c>
      <c r="B73" t="s">
        <v>142</v>
      </c>
      <c r="C73" t="s">
        <v>143</v>
      </c>
    </row>
    <row r="74" ht="15.75" customHeight="1">
      <c r="A74" t="s">
        <v>2</v>
      </c>
      <c r="B74" t="s">
        <v>144</v>
      </c>
      <c r="C74" t="s">
        <v>145</v>
      </c>
    </row>
    <row r="75" ht="15.75" customHeight="1">
      <c r="A75" t="s">
        <v>2</v>
      </c>
      <c r="B75" t="s">
        <v>146</v>
      </c>
      <c r="C75" t="s">
        <v>147</v>
      </c>
    </row>
    <row r="76" ht="15.75" customHeight="1">
      <c r="A76" t="s">
        <v>2</v>
      </c>
      <c r="B76" t="s">
        <v>148</v>
      </c>
      <c r="C76" t="s">
        <v>149</v>
      </c>
    </row>
    <row r="77" ht="15.75" customHeight="1">
      <c r="A77" t="s">
        <v>2</v>
      </c>
      <c r="B77" t="s">
        <v>150</v>
      </c>
      <c r="C77" t="s">
        <v>151</v>
      </c>
    </row>
    <row r="78" ht="15.75" customHeight="1">
      <c r="A78" t="s">
        <v>2</v>
      </c>
      <c r="B78" t="s">
        <v>152</v>
      </c>
      <c r="C78" t="s">
        <v>153</v>
      </c>
    </row>
    <row r="79" ht="15.75" customHeight="1">
      <c r="A79" t="s">
        <v>154</v>
      </c>
      <c r="B79" t="s">
        <v>155</v>
      </c>
      <c r="C79" t="s">
        <v>156</v>
      </c>
    </row>
    <row r="80" ht="15.75" customHeight="1">
      <c r="A80" t="s">
        <v>154</v>
      </c>
      <c r="B80" t="s">
        <v>157</v>
      </c>
      <c r="C80" t="s">
        <v>158</v>
      </c>
    </row>
    <row r="81" ht="15.75" customHeight="1">
      <c r="A81" t="s">
        <v>96</v>
      </c>
      <c r="B81" t="s">
        <v>159</v>
      </c>
      <c r="C81" t="s">
        <v>160</v>
      </c>
    </row>
    <row r="82" ht="15.75" customHeight="1">
      <c r="A82" t="s">
        <v>96</v>
      </c>
      <c r="B82" t="s">
        <v>161</v>
      </c>
      <c r="C82" t="s">
        <v>83</v>
      </c>
    </row>
    <row r="83" ht="15.75" customHeight="1">
      <c r="A83" t="s">
        <v>96</v>
      </c>
      <c r="B83" t="s">
        <v>162</v>
      </c>
      <c r="C83" t="s">
        <v>163</v>
      </c>
    </row>
    <row r="84" ht="15.75" customHeight="1">
      <c r="A84" t="s">
        <v>96</v>
      </c>
      <c r="B84" t="s">
        <v>164</v>
      </c>
      <c r="C84" t="s">
        <v>165</v>
      </c>
    </row>
    <row r="85" ht="15.75" customHeight="1">
      <c r="A85" t="s">
        <v>18</v>
      </c>
      <c r="B85" t="s">
        <v>166</v>
      </c>
      <c r="C85" t="s">
        <v>167</v>
      </c>
    </row>
    <row r="86" ht="15.75" customHeight="1">
      <c r="A86" t="s">
        <v>96</v>
      </c>
      <c r="B86" t="s">
        <v>168</v>
      </c>
      <c r="C86" t="s">
        <v>169</v>
      </c>
    </row>
    <row r="87" ht="15.75" customHeight="1">
      <c r="A87" t="s">
        <v>22</v>
      </c>
      <c r="B87" t="s">
        <v>170</v>
      </c>
      <c r="C87" t="s">
        <v>171</v>
      </c>
    </row>
    <row r="88" ht="15.75" customHeight="1">
      <c r="A88" t="s">
        <v>22</v>
      </c>
      <c r="B88" t="s">
        <v>172</v>
      </c>
      <c r="C88" t="s">
        <v>173</v>
      </c>
    </row>
    <row r="89" ht="15.75" customHeight="1">
      <c r="A89" t="s">
        <v>2</v>
      </c>
      <c r="B89" t="s">
        <v>174</v>
      </c>
      <c r="C89" t="s">
        <v>175</v>
      </c>
    </row>
    <row r="90" ht="15.75" customHeight="1">
      <c r="A90" t="s">
        <v>2</v>
      </c>
      <c r="B90" t="s">
        <v>176</v>
      </c>
      <c r="C90" t="s">
        <v>177</v>
      </c>
    </row>
    <row r="91" ht="15.75" customHeight="1">
      <c r="A91" t="s">
        <v>2</v>
      </c>
      <c r="B91" t="s">
        <v>178</v>
      </c>
      <c r="C91" t="s">
        <v>179</v>
      </c>
    </row>
    <row r="92" ht="15.75" customHeight="1">
      <c r="A92" t="s">
        <v>2</v>
      </c>
      <c r="B92" t="s">
        <v>180</v>
      </c>
      <c r="C92" t="s">
        <v>137</v>
      </c>
    </row>
    <row r="93" ht="15.75" customHeight="1">
      <c r="A93" t="s">
        <v>22</v>
      </c>
      <c r="B93" t="s">
        <v>181</v>
      </c>
      <c r="C93" t="s">
        <v>182</v>
      </c>
    </row>
    <row r="94" ht="15.75" customHeight="1">
      <c r="A94" t="s">
        <v>2</v>
      </c>
      <c r="B94" t="s">
        <v>183</v>
      </c>
      <c r="C94" t="s">
        <v>184</v>
      </c>
    </row>
    <row r="95" ht="15.75" customHeight="1">
      <c r="A95" t="s">
        <v>22</v>
      </c>
      <c r="B95" t="s">
        <v>185</v>
      </c>
      <c r="C95" t="s">
        <v>186</v>
      </c>
    </row>
    <row r="96" ht="15.75" customHeight="1">
      <c r="A96" t="s">
        <v>2</v>
      </c>
      <c r="B96" t="s">
        <v>187</v>
      </c>
      <c r="C96" t="s">
        <v>188</v>
      </c>
    </row>
    <row r="97" ht="15.75" customHeight="1">
      <c r="A97" t="s">
        <v>22</v>
      </c>
      <c r="B97" t="s">
        <v>189</v>
      </c>
      <c r="C97" t="s">
        <v>190</v>
      </c>
    </row>
    <row r="98" ht="15.75" customHeight="1">
      <c r="A98" t="s">
        <v>2</v>
      </c>
      <c r="B98" t="s">
        <v>191</v>
      </c>
      <c r="C98" t="s">
        <v>192</v>
      </c>
    </row>
    <row r="99" ht="15.75" customHeight="1">
      <c r="A99" t="s">
        <v>22</v>
      </c>
      <c r="B99" t="s">
        <v>193</v>
      </c>
      <c r="C99" t="s">
        <v>194</v>
      </c>
    </row>
    <row r="100" ht="15.75" customHeight="1">
      <c r="A100" t="s">
        <v>2</v>
      </c>
      <c r="B100" t="s">
        <v>195</v>
      </c>
      <c r="C100" t="s">
        <v>196</v>
      </c>
    </row>
    <row r="101" ht="15.75" customHeight="1">
      <c r="A101" t="s">
        <v>22</v>
      </c>
      <c r="B101" t="s">
        <v>197</v>
      </c>
      <c r="C101" t="s">
        <v>198</v>
      </c>
    </row>
    <row r="102" ht="15.75" customHeight="1">
      <c r="A102" t="s">
        <v>2</v>
      </c>
      <c r="B102" t="s">
        <v>199</v>
      </c>
      <c r="C102" t="s">
        <v>200</v>
      </c>
    </row>
    <row r="103" ht="15.75" customHeight="1">
      <c r="A103" t="s">
        <v>22</v>
      </c>
      <c r="B103" t="s">
        <v>201</v>
      </c>
      <c r="C103" t="s">
        <v>202</v>
      </c>
    </row>
    <row r="104" ht="15.75" customHeight="1">
      <c r="A104" t="s">
        <v>2</v>
      </c>
      <c r="B104" t="s">
        <v>203</v>
      </c>
      <c r="C104" t="s">
        <v>204</v>
      </c>
    </row>
    <row r="105" ht="15.75" customHeight="1">
      <c r="A105" t="s">
        <v>22</v>
      </c>
      <c r="B105" t="s">
        <v>205</v>
      </c>
      <c r="C105" t="s">
        <v>206</v>
      </c>
    </row>
    <row r="106" ht="15.75" customHeight="1">
      <c r="A106" t="s">
        <v>2</v>
      </c>
      <c r="B106" t="s">
        <v>207</v>
      </c>
      <c r="C106" t="s">
        <v>208</v>
      </c>
    </row>
    <row r="107" ht="15.75" customHeight="1">
      <c r="A107" t="s">
        <v>22</v>
      </c>
      <c r="B107" t="s">
        <v>209</v>
      </c>
      <c r="C107" t="s">
        <v>210</v>
      </c>
    </row>
    <row r="108" ht="15.75" customHeight="1">
      <c r="A108" t="s">
        <v>211</v>
      </c>
      <c r="B108" t="s">
        <v>212</v>
      </c>
      <c r="C108" t="s">
        <v>213</v>
      </c>
    </row>
    <row r="109" ht="15.75" customHeight="1">
      <c r="A109" t="s">
        <v>52</v>
      </c>
      <c r="B109" t="s">
        <v>214</v>
      </c>
      <c r="C109" t="s">
        <v>83</v>
      </c>
    </row>
    <row r="110" ht="15.75" customHeight="1">
      <c r="A110" t="s">
        <v>2</v>
      </c>
      <c r="B110" t="s">
        <v>215</v>
      </c>
      <c r="C110" t="s">
        <v>216</v>
      </c>
    </row>
    <row r="111" ht="15.75" customHeight="1">
      <c r="A111" t="s">
        <v>22</v>
      </c>
      <c r="B111" t="s">
        <v>217</v>
      </c>
      <c r="C111" t="s">
        <v>218</v>
      </c>
    </row>
    <row r="112" ht="15.75" customHeight="1">
      <c r="A112" t="s">
        <v>22</v>
      </c>
      <c r="B112" t="s">
        <v>219</v>
      </c>
      <c r="C112" t="s">
        <v>220</v>
      </c>
    </row>
    <row r="113" ht="15.75" customHeight="1">
      <c r="A113" t="s">
        <v>2</v>
      </c>
      <c r="B113" t="s">
        <v>221</v>
      </c>
      <c r="C113" t="s">
        <v>222</v>
      </c>
    </row>
    <row r="114" ht="15.75" customHeight="1">
      <c r="A114" t="s">
        <v>2</v>
      </c>
      <c r="B114" t="s">
        <v>223</v>
      </c>
      <c r="C114" t="s">
        <v>224</v>
      </c>
    </row>
    <row r="115" ht="15.75" customHeight="1">
      <c r="A115" t="s">
        <v>22</v>
      </c>
      <c r="B115" t="s">
        <v>225</v>
      </c>
      <c r="C115" t="s">
        <v>226</v>
      </c>
    </row>
    <row r="116" ht="15.75" customHeight="1">
      <c r="A116" t="s">
        <v>22</v>
      </c>
      <c r="B116" t="s">
        <v>227</v>
      </c>
      <c r="C116" t="s">
        <v>228</v>
      </c>
    </row>
    <row r="117" ht="15.75" customHeight="1">
      <c r="A117" t="s">
        <v>2</v>
      </c>
      <c r="B117" t="s">
        <v>229</v>
      </c>
      <c r="C117" t="s">
        <v>230</v>
      </c>
    </row>
    <row r="118" ht="15.75" customHeight="1">
      <c r="A118" t="s">
        <v>22</v>
      </c>
      <c r="B118" t="s">
        <v>231</v>
      </c>
      <c r="C118" t="s">
        <v>232</v>
      </c>
    </row>
    <row r="119" ht="15.75" customHeight="1">
      <c r="A119" t="s">
        <v>22</v>
      </c>
      <c r="B119" t="s">
        <v>233</v>
      </c>
      <c r="C119" t="s">
        <v>234</v>
      </c>
    </row>
    <row r="120" ht="15.75" customHeight="1">
      <c r="A120" t="s">
        <v>2</v>
      </c>
      <c r="B120" t="s">
        <v>235</v>
      </c>
      <c r="C120" t="s">
        <v>17</v>
      </c>
    </row>
    <row r="121" ht="15.75" customHeight="1">
      <c r="A121" t="s">
        <v>22</v>
      </c>
      <c r="B121" t="s">
        <v>236</v>
      </c>
      <c r="C121" t="s">
        <v>237</v>
      </c>
    </row>
    <row r="122" ht="15.75" customHeight="1">
      <c r="A122" t="s">
        <v>22</v>
      </c>
      <c r="B122" t="s">
        <v>238</v>
      </c>
      <c r="C122" t="s">
        <v>239</v>
      </c>
    </row>
    <row r="123" ht="15.75" customHeight="1">
      <c r="A123" t="s">
        <v>96</v>
      </c>
      <c r="B123" t="s">
        <v>240</v>
      </c>
      <c r="C123" t="s">
        <v>241</v>
      </c>
    </row>
    <row r="124" ht="15.75" customHeight="1">
      <c r="A124" t="s">
        <v>18</v>
      </c>
      <c r="B124" t="s">
        <v>242</v>
      </c>
      <c r="C124" t="s">
        <v>243</v>
      </c>
    </row>
    <row r="125" ht="15.75" customHeight="1">
      <c r="A125" t="s">
        <v>18</v>
      </c>
      <c r="B125" t="s">
        <v>244</v>
      </c>
      <c r="C125" t="s">
        <v>245</v>
      </c>
    </row>
    <row r="126" ht="15.75" customHeight="1">
      <c r="A126" t="s">
        <v>18</v>
      </c>
      <c r="B126" t="s">
        <v>246</v>
      </c>
      <c r="C126" t="s">
        <v>247</v>
      </c>
    </row>
    <row r="127" ht="15.75" customHeight="1">
      <c r="A127" t="s">
        <v>18</v>
      </c>
      <c r="B127" t="s">
        <v>248</v>
      </c>
      <c r="C127" t="s">
        <v>249</v>
      </c>
    </row>
    <row r="128" ht="15.75" customHeight="1">
      <c r="A128" t="s">
        <v>18</v>
      </c>
      <c r="B128" t="s">
        <v>250</v>
      </c>
      <c r="C128" t="s">
        <v>251</v>
      </c>
    </row>
    <row r="129" ht="15.75" customHeight="1">
      <c r="A129" t="s">
        <v>18</v>
      </c>
      <c r="B129" t="s">
        <v>252</v>
      </c>
      <c r="C129" t="s">
        <v>253</v>
      </c>
    </row>
    <row r="130" ht="15.75" customHeight="1">
      <c r="A130" t="s">
        <v>18</v>
      </c>
      <c r="B130" t="s">
        <v>254</v>
      </c>
      <c r="C130" t="s">
        <v>255</v>
      </c>
    </row>
    <row r="131" ht="15.75" customHeight="1">
      <c r="A131" t="s">
        <v>18</v>
      </c>
      <c r="B131" t="s">
        <v>256</v>
      </c>
      <c r="C131" t="s">
        <v>257</v>
      </c>
    </row>
    <row r="132" ht="15.75" customHeight="1">
      <c r="A132" t="s">
        <v>18</v>
      </c>
      <c r="B132" t="s">
        <v>258</v>
      </c>
      <c r="C132" t="s">
        <v>259</v>
      </c>
    </row>
    <row r="133" ht="15.75" customHeight="1">
      <c r="A133" t="s">
        <v>18</v>
      </c>
      <c r="B133" t="s">
        <v>260</v>
      </c>
      <c r="C133" t="s">
        <v>261</v>
      </c>
    </row>
    <row r="134" ht="15.75" customHeight="1">
      <c r="A134" t="s">
        <v>262</v>
      </c>
      <c r="B134" t="s">
        <v>263</v>
      </c>
      <c r="C134" t="s">
        <v>264</v>
      </c>
    </row>
    <row r="135" ht="15.75" customHeight="1">
      <c r="A135" t="s">
        <v>18</v>
      </c>
      <c r="B135" t="s">
        <v>265</v>
      </c>
      <c r="C135" t="s">
        <v>266</v>
      </c>
    </row>
    <row r="136" ht="15.75" customHeight="1">
      <c r="A136" t="s">
        <v>18</v>
      </c>
      <c r="B136" t="s">
        <v>267</v>
      </c>
      <c r="C136" t="s">
        <v>268</v>
      </c>
    </row>
    <row r="137" ht="15.75" customHeight="1">
      <c r="A137" t="s">
        <v>2</v>
      </c>
      <c r="B137" t="s">
        <v>269</v>
      </c>
    </row>
    <row r="138" ht="15.75" customHeight="1">
      <c r="A138" t="s">
        <v>96</v>
      </c>
      <c r="B138" t="s">
        <v>270</v>
      </c>
      <c r="C138" t="s">
        <v>271</v>
      </c>
    </row>
    <row r="139" ht="15.75" customHeight="1">
      <c r="A139" t="s">
        <v>18</v>
      </c>
      <c r="B139" t="s">
        <v>272</v>
      </c>
      <c r="C139" t="s">
        <v>273</v>
      </c>
    </row>
    <row r="140" ht="15.75" customHeight="1">
      <c r="A140" t="s">
        <v>18</v>
      </c>
      <c r="B140" t="s">
        <v>274</v>
      </c>
      <c r="C140" t="s">
        <v>275</v>
      </c>
    </row>
    <row r="141" ht="15.75" customHeight="1">
      <c r="A141" t="s">
        <v>18</v>
      </c>
      <c r="B141" t="s">
        <v>276</v>
      </c>
      <c r="C141" t="s">
        <v>277</v>
      </c>
    </row>
    <row r="142" ht="15.75" customHeight="1">
      <c r="A142" t="s">
        <v>18</v>
      </c>
      <c r="B142" t="s">
        <v>278</v>
      </c>
      <c r="C142" t="s">
        <v>279</v>
      </c>
    </row>
    <row r="143" ht="15.75" customHeight="1">
      <c r="A143" t="s">
        <v>18</v>
      </c>
      <c r="B143" t="s">
        <v>280</v>
      </c>
      <c r="C143" t="s">
        <v>281</v>
      </c>
    </row>
    <row r="144" ht="15.75" customHeight="1">
      <c r="A144" t="s">
        <v>18</v>
      </c>
      <c r="B144" t="s">
        <v>282</v>
      </c>
      <c r="C144" t="s">
        <v>283</v>
      </c>
    </row>
    <row r="145" ht="15.75" customHeight="1">
      <c r="A145" t="s">
        <v>18</v>
      </c>
      <c r="B145" t="s">
        <v>284</v>
      </c>
      <c r="C145" t="s">
        <v>285</v>
      </c>
    </row>
    <row r="146" ht="15.75" customHeight="1">
      <c r="A146" t="s">
        <v>18</v>
      </c>
      <c r="B146" t="s">
        <v>286</v>
      </c>
      <c r="C146" t="s">
        <v>287</v>
      </c>
    </row>
    <row r="147" ht="15.75" customHeight="1">
      <c r="A147" t="s">
        <v>18</v>
      </c>
      <c r="B147" t="s">
        <v>288</v>
      </c>
      <c r="C147" t="s">
        <v>289</v>
      </c>
    </row>
    <row r="148" ht="15.75" customHeight="1">
      <c r="A148" t="s">
        <v>18</v>
      </c>
      <c r="B148" t="s">
        <v>290</v>
      </c>
      <c r="C148" t="s">
        <v>291</v>
      </c>
    </row>
    <row r="149" ht="15.75" customHeight="1">
      <c r="A149" t="s">
        <v>96</v>
      </c>
      <c r="B149" t="s">
        <v>292</v>
      </c>
      <c r="C149" t="s">
        <v>293</v>
      </c>
    </row>
    <row r="150" ht="15.75" customHeight="1">
      <c r="A150" t="s">
        <v>96</v>
      </c>
      <c r="B150" t="s">
        <v>294</v>
      </c>
      <c r="C150" t="s">
        <v>295</v>
      </c>
    </row>
    <row r="151" ht="15.75" customHeight="1">
      <c r="A151" t="s">
        <v>2</v>
      </c>
      <c r="B151" t="s">
        <v>296</v>
      </c>
      <c r="C151" t="s">
        <v>297</v>
      </c>
    </row>
    <row r="152" ht="15.75" customHeight="1">
      <c r="A152" t="s">
        <v>22</v>
      </c>
      <c r="B152" t="s">
        <v>298</v>
      </c>
      <c r="C152" t="s">
        <v>299</v>
      </c>
    </row>
    <row r="153" ht="15.75" customHeight="1">
      <c r="A153" t="s">
        <v>57</v>
      </c>
      <c r="B153" t="s">
        <v>300</v>
      </c>
      <c r="C153" t="s">
        <v>301</v>
      </c>
    </row>
    <row r="154" ht="15.75" customHeight="1">
      <c r="A154" t="s">
        <v>57</v>
      </c>
      <c r="B154" t="s">
        <v>302</v>
      </c>
      <c r="C154" t="s">
        <v>303</v>
      </c>
    </row>
    <row r="155" ht="15.75" customHeight="1">
      <c r="A155" t="s">
        <v>22</v>
      </c>
      <c r="B155" t="s">
        <v>304</v>
      </c>
      <c r="C155" t="s">
        <v>305</v>
      </c>
    </row>
    <row r="156" ht="15.75" customHeight="1">
      <c r="A156" t="s">
        <v>22</v>
      </c>
      <c r="B156" t="s">
        <v>306</v>
      </c>
      <c r="C156" t="s">
        <v>307</v>
      </c>
    </row>
    <row r="157" ht="15.75" customHeight="1">
      <c r="A157" t="s">
        <v>22</v>
      </c>
      <c r="B157" t="s">
        <v>308</v>
      </c>
      <c r="C157" t="s">
        <v>309</v>
      </c>
    </row>
    <row r="158" ht="15.75" customHeight="1">
      <c r="A158" t="s">
        <v>22</v>
      </c>
      <c r="B158" t="s">
        <v>310</v>
      </c>
      <c r="C158" t="s">
        <v>311</v>
      </c>
    </row>
    <row r="159" ht="15.75" customHeight="1">
      <c r="A159" t="s">
        <v>2</v>
      </c>
      <c r="B159" t="s">
        <v>312</v>
      </c>
      <c r="C159" t="s">
        <v>313</v>
      </c>
    </row>
    <row r="160" ht="15.75" customHeight="1">
      <c r="A160" t="s">
        <v>22</v>
      </c>
      <c r="B160" t="s">
        <v>314</v>
      </c>
      <c r="C160" t="s">
        <v>315</v>
      </c>
    </row>
    <row r="161" ht="15.75" customHeight="1">
      <c r="A161" t="s">
        <v>22</v>
      </c>
      <c r="B161" t="s">
        <v>316</v>
      </c>
      <c r="C161" t="s">
        <v>317</v>
      </c>
    </row>
    <row r="162" ht="15.75" customHeight="1">
      <c r="A162" t="s">
        <v>2</v>
      </c>
      <c r="B162" t="s">
        <v>318</v>
      </c>
      <c r="C162" t="s">
        <v>319</v>
      </c>
    </row>
    <row r="163" ht="15.75" customHeight="1">
      <c r="A163" t="s">
        <v>2</v>
      </c>
      <c r="B163" t="s">
        <v>320</v>
      </c>
      <c r="C163" t="s">
        <v>321</v>
      </c>
    </row>
    <row r="164" ht="15.75" customHeight="1">
      <c r="A164" t="s">
        <v>2</v>
      </c>
      <c r="B164" t="s">
        <v>322</v>
      </c>
      <c r="C164" t="s">
        <v>323</v>
      </c>
    </row>
    <row r="165" ht="15.75" customHeight="1">
      <c r="A165" t="s">
        <v>22</v>
      </c>
      <c r="B165" t="s">
        <v>324</v>
      </c>
      <c r="C165" t="s">
        <v>325</v>
      </c>
    </row>
    <row r="166" ht="15.75" customHeight="1">
      <c r="A166" t="s">
        <v>22</v>
      </c>
      <c r="B166" t="s">
        <v>326</v>
      </c>
    </row>
    <row r="167" ht="15.75" customHeight="1">
      <c r="A167" t="s">
        <v>2</v>
      </c>
      <c r="B167" t="s">
        <v>327</v>
      </c>
      <c r="C167" t="s">
        <v>328</v>
      </c>
    </row>
    <row r="168" ht="15.75" customHeight="1">
      <c r="A168" t="s">
        <v>2</v>
      </c>
      <c r="B168" t="s">
        <v>329</v>
      </c>
      <c r="C168" t="s">
        <v>330</v>
      </c>
    </row>
    <row r="169" ht="15.75" customHeight="1">
      <c r="A169" t="s">
        <v>2</v>
      </c>
      <c r="B169" t="s">
        <v>331</v>
      </c>
      <c r="C169" t="s">
        <v>200</v>
      </c>
    </row>
    <row r="170" ht="15.75" customHeight="1">
      <c r="A170" t="s">
        <v>2</v>
      </c>
      <c r="B170" t="s">
        <v>332</v>
      </c>
      <c r="C170" t="s">
        <v>8</v>
      </c>
    </row>
    <row r="171" ht="15.75" customHeight="1">
      <c r="A171" t="s">
        <v>2</v>
      </c>
      <c r="B171" t="s">
        <v>333</v>
      </c>
      <c r="C171" t="s">
        <v>334</v>
      </c>
    </row>
    <row r="172" ht="15.75" customHeight="1">
      <c r="A172" t="s">
        <v>18</v>
      </c>
      <c r="B172" t="s">
        <v>335</v>
      </c>
      <c r="C172" t="s">
        <v>336</v>
      </c>
    </row>
    <row r="173" ht="15.75" customHeight="1">
      <c r="A173" t="s">
        <v>18</v>
      </c>
      <c r="B173" t="s">
        <v>337</v>
      </c>
      <c r="C173" t="s">
        <v>338</v>
      </c>
    </row>
    <row r="174" ht="15.75" customHeight="1">
      <c r="A174" t="s">
        <v>18</v>
      </c>
      <c r="B174" t="s">
        <v>339</v>
      </c>
      <c r="C174" t="s">
        <v>340</v>
      </c>
    </row>
    <row r="175" ht="15.75" customHeight="1">
      <c r="A175" t="s">
        <v>18</v>
      </c>
      <c r="B175" t="s">
        <v>341</v>
      </c>
      <c r="C175" t="s">
        <v>342</v>
      </c>
    </row>
    <row r="176" ht="15.75" customHeight="1">
      <c r="A176" t="s">
        <v>22</v>
      </c>
      <c r="B176" t="s">
        <v>343</v>
      </c>
      <c r="C176" t="s">
        <v>344</v>
      </c>
    </row>
    <row r="177" ht="15.75" customHeight="1">
      <c r="A177" t="s">
        <v>22</v>
      </c>
      <c r="B177" t="s">
        <v>345</v>
      </c>
      <c r="C177" t="s">
        <v>346</v>
      </c>
    </row>
    <row r="178" ht="15.75" customHeight="1">
      <c r="A178" t="s">
        <v>22</v>
      </c>
      <c r="B178" t="s">
        <v>347</v>
      </c>
      <c r="C178" t="s">
        <v>348</v>
      </c>
    </row>
    <row r="179" ht="15.75" customHeight="1">
      <c r="A179" t="s">
        <v>22</v>
      </c>
      <c r="B179" t="s">
        <v>349</v>
      </c>
      <c r="C179" t="s">
        <v>350</v>
      </c>
    </row>
    <row r="180" ht="15.75" customHeight="1">
      <c r="A180" t="s">
        <v>22</v>
      </c>
      <c r="B180" t="s">
        <v>351</v>
      </c>
      <c r="C180" t="s">
        <v>352</v>
      </c>
    </row>
    <row r="181" ht="15.75" customHeight="1">
      <c r="A181" t="s">
        <v>2</v>
      </c>
      <c r="B181" t="s">
        <v>353</v>
      </c>
      <c r="C181" t="s">
        <v>354</v>
      </c>
    </row>
    <row r="182" ht="15.75" customHeight="1">
      <c r="A182" t="s">
        <v>41</v>
      </c>
      <c r="B182" t="s">
        <v>355</v>
      </c>
      <c r="C182" t="s">
        <v>356</v>
      </c>
    </row>
    <row r="183" ht="15.75" customHeight="1">
      <c r="A183" t="s">
        <v>41</v>
      </c>
      <c r="B183" t="s">
        <v>357</v>
      </c>
      <c r="C183" t="s">
        <v>358</v>
      </c>
    </row>
    <row r="184" ht="15.75" customHeight="1">
      <c r="A184" t="s">
        <v>41</v>
      </c>
      <c r="B184" t="s">
        <v>359</v>
      </c>
      <c r="C184" t="s">
        <v>360</v>
      </c>
    </row>
    <row r="185" ht="15.75" customHeight="1">
      <c r="A185" t="s">
        <v>41</v>
      </c>
      <c r="B185" t="s">
        <v>361</v>
      </c>
      <c r="C185" t="s">
        <v>362</v>
      </c>
    </row>
    <row r="186" ht="15.75" customHeight="1">
      <c r="A186" t="s">
        <v>41</v>
      </c>
      <c r="B186" t="s">
        <v>363</v>
      </c>
      <c r="C186" t="s">
        <v>364</v>
      </c>
    </row>
    <row r="187" ht="15.75" customHeight="1">
      <c r="A187" t="s">
        <v>2</v>
      </c>
      <c r="B187" t="s">
        <v>365</v>
      </c>
      <c r="C187" t="s">
        <v>366</v>
      </c>
    </row>
    <row r="188" ht="15.75" customHeight="1">
      <c r="A188" t="s">
        <v>41</v>
      </c>
      <c r="B188" t="s">
        <v>367</v>
      </c>
      <c r="C188" t="s">
        <v>368</v>
      </c>
    </row>
    <row r="189" ht="15.75" customHeight="1">
      <c r="A189" t="s">
        <v>2</v>
      </c>
      <c r="B189" t="s">
        <v>369</v>
      </c>
      <c r="C189" t="s">
        <v>370</v>
      </c>
    </row>
    <row r="190" ht="15.75" customHeight="1">
      <c r="A190" t="s">
        <v>41</v>
      </c>
      <c r="B190" t="s">
        <v>371</v>
      </c>
      <c r="C190" t="s">
        <v>372</v>
      </c>
    </row>
    <row r="191" ht="15.75" customHeight="1">
      <c r="A191" t="s">
        <v>41</v>
      </c>
      <c r="B191" t="s">
        <v>373</v>
      </c>
      <c r="C191" t="s">
        <v>374</v>
      </c>
    </row>
    <row r="192" ht="15.75" customHeight="1">
      <c r="A192" t="s">
        <v>41</v>
      </c>
      <c r="B192" t="s">
        <v>375</v>
      </c>
      <c r="C192" t="s">
        <v>376</v>
      </c>
    </row>
    <row r="193" ht="15.75" customHeight="1">
      <c r="A193" t="s">
        <v>41</v>
      </c>
      <c r="B193" t="s">
        <v>377</v>
      </c>
      <c r="C193" t="s">
        <v>378</v>
      </c>
    </row>
    <row r="194" ht="15.75" customHeight="1">
      <c r="A194" t="s">
        <v>41</v>
      </c>
      <c r="B194" t="s">
        <v>379</v>
      </c>
      <c r="C194" t="s">
        <v>380</v>
      </c>
    </row>
    <row r="195" ht="15.75" customHeight="1">
      <c r="A195" t="s">
        <v>2</v>
      </c>
      <c r="B195" t="s">
        <v>381</v>
      </c>
      <c r="C195" t="s">
        <v>382</v>
      </c>
    </row>
    <row r="196" ht="15.75" customHeight="1">
      <c r="A196" t="s">
        <v>2</v>
      </c>
      <c r="B196" t="s">
        <v>383</v>
      </c>
      <c r="C196" t="s">
        <v>200</v>
      </c>
    </row>
    <row r="197" ht="15.75" customHeight="1">
      <c r="A197" t="s">
        <v>2</v>
      </c>
      <c r="B197" t="s">
        <v>384</v>
      </c>
      <c r="C197" t="s">
        <v>385</v>
      </c>
    </row>
    <row r="198" ht="15.75" customHeight="1">
      <c r="A198" t="s">
        <v>2</v>
      </c>
      <c r="B198" t="s">
        <v>386</v>
      </c>
      <c r="C198" t="s">
        <v>387</v>
      </c>
    </row>
    <row r="199" ht="15.75" customHeight="1">
      <c r="A199" t="s">
        <v>2</v>
      </c>
      <c r="B199" t="s">
        <v>7</v>
      </c>
      <c r="C199" t="s">
        <v>388</v>
      </c>
    </row>
    <row r="200" ht="15.75" customHeight="1">
      <c r="A200" t="s">
        <v>41</v>
      </c>
      <c r="B200" t="s">
        <v>389</v>
      </c>
      <c r="C200" t="s">
        <v>390</v>
      </c>
    </row>
    <row r="201" ht="15.75" customHeight="1">
      <c r="A201" t="s">
        <v>41</v>
      </c>
      <c r="B201" t="s">
        <v>391</v>
      </c>
      <c r="C201" t="s">
        <v>392</v>
      </c>
    </row>
    <row r="202" ht="15.75" customHeight="1">
      <c r="A202" t="s">
        <v>22</v>
      </c>
      <c r="B202" t="s">
        <v>393</v>
      </c>
      <c r="C202" t="s">
        <v>394</v>
      </c>
    </row>
    <row r="203" ht="15.75" customHeight="1">
      <c r="A203" t="s">
        <v>22</v>
      </c>
      <c r="B203" t="s">
        <v>395</v>
      </c>
      <c r="C203" t="s">
        <v>396</v>
      </c>
    </row>
    <row r="204" ht="15.75" customHeight="1">
      <c r="A204" t="s">
        <v>18</v>
      </c>
      <c r="B204" t="s">
        <v>397</v>
      </c>
      <c r="C204" t="s">
        <v>398</v>
      </c>
    </row>
    <row r="205" ht="15.75" customHeight="1">
      <c r="A205" t="s">
        <v>18</v>
      </c>
      <c r="B205" t="s">
        <v>399</v>
      </c>
      <c r="C205" t="s">
        <v>400</v>
      </c>
    </row>
    <row r="206" ht="15.75" customHeight="1">
      <c r="A206" t="s">
        <v>18</v>
      </c>
      <c r="B206" t="s">
        <v>401</v>
      </c>
      <c r="C206" t="s">
        <v>402</v>
      </c>
    </row>
    <row r="207" ht="15.75" customHeight="1">
      <c r="A207" t="s">
        <v>18</v>
      </c>
      <c r="B207" t="s">
        <v>403</v>
      </c>
      <c r="C207" t="s">
        <v>404</v>
      </c>
    </row>
    <row r="208" ht="15.75" customHeight="1">
      <c r="A208" t="s">
        <v>18</v>
      </c>
      <c r="B208" t="s">
        <v>405</v>
      </c>
      <c r="C208" t="s">
        <v>406</v>
      </c>
    </row>
    <row r="209" ht="15.75" customHeight="1">
      <c r="A209" t="s">
        <v>18</v>
      </c>
      <c r="B209" t="s">
        <v>407</v>
      </c>
      <c r="C209" t="s">
        <v>408</v>
      </c>
    </row>
    <row r="210" ht="15.75" customHeight="1">
      <c r="A210" t="s">
        <v>18</v>
      </c>
      <c r="B210" t="s">
        <v>409</v>
      </c>
      <c r="C210" t="s">
        <v>410</v>
      </c>
    </row>
    <row r="211" ht="15.75" customHeight="1">
      <c r="A211" t="s">
        <v>18</v>
      </c>
      <c r="B211" t="s">
        <v>411</v>
      </c>
      <c r="C211" t="s">
        <v>412</v>
      </c>
    </row>
    <row r="212" ht="15.75" customHeight="1">
      <c r="A212" t="s">
        <v>18</v>
      </c>
      <c r="B212" t="s">
        <v>413</v>
      </c>
      <c r="C212" t="s">
        <v>414</v>
      </c>
    </row>
    <row r="213" ht="15.75" customHeight="1">
      <c r="A213" t="s">
        <v>18</v>
      </c>
      <c r="B213" t="s">
        <v>415</v>
      </c>
      <c r="C213" t="s">
        <v>416</v>
      </c>
    </row>
    <row r="214" ht="15.75" customHeight="1">
      <c r="A214" t="s">
        <v>41</v>
      </c>
      <c r="B214" t="s">
        <v>417</v>
      </c>
      <c r="C214" t="s">
        <v>418</v>
      </c>
    </row>
    <row r="215" ht="15.75" customHeight="1">
      <c r="A215" t="s">
        <v>41</v>
      </c>
      <c r="B215" t="s">
        <v>419</v>
      </c>
      <c r="C215" t="s">
        <v>420</v>
      </c>
    </row>
    <row r="216" ht="15.75" customHeight="1">
      <c r="A216" t="s">
        <v>41</v>
      </c>
      <c r="B216" t="s">
        <v>421</v>
      </c>
      <c r="C216" t="s">
        <v>422</v>
      </c>
    </row>
    <row r="217" ht="15.75" customHeight="1">
      <c r="A217" t="s">
        <v>41</v>
      </c>
      <c r="B217" t="s">
        <v>423</v>
      </c>
      <c r="C217" t="s">
        <v>424</v>
      </c>
    </row>
    <row r="218" ht="15.75" customHeight="1">
      <c r="A218" t="s">
        <v>262</v>
      </c>
      <c r="B218" t="s">
        <v>425</v>
      </c>
      <c r="C218" t="s">
        <v>426</v>
      </c>
    </row>
    <row r="219" ht="15.75" customHeight="1">
      <c r="A219" t="s">
        <v>262</v>
      </c>
      <c r="B219" t="s">
        <v>427</v>
      </c>
      <c r="C219" t="s">
        <v>428</v>
      </c>
    </row>
    <row r="220" ht="15.75" customHeight="1">
      <c r="A220" t="s">
        <v>262</v>
      </c>
      <c r="B220" t="s">
        <v>429</v>
      </c>
      <c r="C220" t="s">
        <v>430</v>
      </c>
    </row>
    <row r="221" ht="15.75" customHeight="1">
      <c r="A221" t="s">
        <v>262</v>
      </c>
      <c r="B221" t="s">
        <v>431</v>
      </c>
      <c r="C221" t="s">
        <v>432</v>
      </c>
    </row>
    <row r="222" ht="15.75" customHeight="1">
      <c r="A222" t="s">
        <v>262</v>
      </c>
      <c r="B222" t="s">
        <v>433</v>
      </c>
      <c r="C222" t="s">
        <v>434</v>
      </c>
    </row>
    <row r="223" ht="15.75" customHeight="1">
      <c r="A223" t="s">
        <v>262</v>
      </c>
      <c r="B223" t="s">
        <v>435</v>
      </c>
      <c r="C223" t="s">
        <v>436</v>
      </c>
    </row>
    <row r="224" ht="15.75" customHeight="1">
      <c r="A224" t="s">
        <v>262</v>
      </c>
      <c r="B224" t="s">
        <v>437</v>
      </c>
      <c r="C224" t="s">
        <v>438</v>
      </c>
    </row>
    <row r="225" ht="15.75" customHeight="1">
      <c r="A225" t="s">
        <v>262</v>
      </c>
      <c r="B225" t="s">
        <v>439</v>
      </c>
      <c r="C225" t="s">
        <v>440</v>
      </c>
    </row>
    <row r="226" ht="15.75" customHeight="1">
      <c r="A226" t="s">
        <v>262</v>
      </c>
      <c r="B226" t="s">
        <v>441</v>
      </c>
      <c r="C226" t="s">
        <v>442</v>
      </c>
    </row>
    <row r="227" ht="15.75" customHeight="1">
      <c r="A227" t="s">
        <v>262</v>
      </c>
      <c r="B227" t="s">
        <v>443</v>
      </c>
      <c r="C227" t="s">
        <v>444</v>
      </c>
    </row>
    <row r="228" ht="15.75" customHeight="1">
      <c r="A228" t="s">
        <v>262</v>
      </c>
      <c r="B228" t="s">
        <v>445</v>
      </c>
      <c r="C228" t="s">
        <v>446</v>
      </c>
    </row>
    <row r="229" ht="15.75" customHeight="1">
      <c r="A229" t="s">
        <v>262</v>
      </c>
      <c r="B229" t="s">
        <v>447</v>
      </c>
      <c r="C229" t="s">
        <v>448</v>
      </c>
    </row>
    <row r="230" ht="15.75" customHeight="1">
      <c r="A230" t="s">
        <v>262</v>
      </c>
      <c r="B230" t="s">
        <v>449</v>
      </c>
      <c r="C230" t="s">
        <v>450</v>
      </c>
    </row>
    <row r="231" ht="15.75" customHeight="1">
      <c r="A231" t="s">
        <v>262</v>
      </c>
      <c r="B231" t="s">
        <v>451</v>
      </c>
      <c r="C231" t="s">
        <v>452</v>
      </c>
    </row>
    <row r="232" ht="15.75" customHeight="1">
      <c r="A232" t="s">
        <v>262</v>
      </c>
      <c r="B232" t="s">
        <v>453</v>
      </c>
      <c r="C232" t="s">
        <v>454</v>
      </c>
    </row>
    <row r="233" ht="15.75" customHeight="1">
      <c r="A233" t="s">
        <v>262</v>
      </c>
      <c r="B233" t="s">
        <v>455</v>
      </c>
      <c r="C233" t="s">
        <v>456</v>
      </c>
    </row>
    <row r="234" ht="15.75" customHeight="1">
      <c r="A234" t="s">
        <v>262</v>
      </c>
      <c r="B234" t="s">
        <v>263</v>
      </c>
      <c r="C234" t="s">
        <v>264</v>
      </c>
    </row>
    <row r="235" ht="15.75" customHeight="1">
      <c r="A235" t="s">
        <v>262</v>
      </c>
      <c r="B235" t="s">
        <v>457</v>
      </c>
      <c r="C235" t="s">
        <v>458</v>
      </c>
    </row>
    <row r="236" ht="15.75" customHeight="1">
      <c r="A236" t="s">
        <v>262</v>
      </c>
      <c r="B236" t="s">
        <v>459</v>
      </c>
      <c r="C236" t="s">
        <v>460</v>
      </c>
    </row>
    <row r="237" ht="15.75" customHeight="1">
      <c r="A237" t="s">
        <v>262</v>
      </c>
      <c r="B237" t="s">
        <v>461</v>
      </c>
      <c r="C237" t="s">
        <v>462</v>
      </c>
    </row>
    <row r="238" ht="15.75" customHeight="1">
      <c r="A238" t="s">
        <v>262</v>
      </c>
      <c r="B238" t="s">
        <v>386</v>
      </c>
      <c r="C238" t="s">
        <v>463</v>
      </c>
    </row>
    <row r="239" ht="15.75" customHeight="1">
      <c r="A239" t="s">
        <v>262</v>
      </c>
      <c r="B239" t="s">
        <v>464</v>
      </c>
      <c r="C239" t="s">
        <v>465</v>
      </c>
    </row>
    <row r="240" ht="15.75" customHeight="1">
      <c r="A240" t="s">
        <v>262</v>
      </c>
      <c r="B240" t="s">
        <v>466</v>
      </c>
      <c r="C240" t="s">
        <v>467</v>
      </c>
    </row>
    <row r="241" ht="15.75" customHeight="1">
      <c r="A241" t="s">
        <v>262</v>
      </c>
      <c r="B241" t="s">
        <v>468</v>
      </c>
      <c r="C241" t="s">
        <v>469</v>
      </c>
    </row>
    <row r="242" ht="15.75" customHeight="1">
      <c r="A242" t="s">
        <v>262</v>
      </c>
      <c r="B242" t="s">
        <v>470</v>
      </c>
      <c r="C242" t="s">
        <v>471</v>
      </c>
    </row>
    <row r="243" ht="15.75" customHeight="1">
      <c r="A243" t="s">
        <v>22</v>
      </c>
      <c r="B243" t="s">
        <v>472</v>
      </c>
      <c r="C243" t="s">
        <v>473</v>
      </c>
    </row>
    <row r="244" ht="15.75" customHeight="1">
      <c r="A244" t="s">
        <v>22</v>
      </c>
      <c r="B244" t="s">
        <v>474</v>
      </c>
    </row>
    <row r="245" ht="15.75" customHeight="1">
      <c r="A245" t="s">
        <v>22</v>
      </c>
      <c r="B245" t="s">
        <v>475</v>
      </c>
      <c r="C245" t="s">
        <v>476</v>
      </c>
    </row>
    <row r="246" ht="15.75" customHeight="1">
      <c r="A246" t="s">
        <v>22</v>
      </c>
      <c r="B246" t="s">
        <v>477</v>
      </c>
      <c r="C246" t="s">
        <v>478</v>
      </c>
    </row>
    <row r="247" ht="15.75" customHeight="1">
      <c r="A247" t="s">
        <v>41</v>
      </c>
      <c r="B247" t="s">
        <v>42</v>
      </c>
      <c r="C247" t="s">
        <v>43</v>
      </c>
    </row>
    <row r="248" ht="15.75" customHeight="1">
      <c r="A248" t="s">
        <v>41</v>
      </c>
      <c r="B248" t="s">
        <v>479</v>
      </c>
      <c r="C248" t="s">
        <v>480</v>
      </c>
    </row>
    <row r="249" ht="15.75" customHeight="1">
      <c r="A249" t="s">
        <v>41</v>
      </c>
      <c r="B249" t="s">
        <v>44</v>
      </c>
      <c r="C249" t="s">
        <v>45</v>
      </c>
    </row>
    <row r="250" ht="15.75" customHeight="1">
      <c r="A250" t="s">
        <v>22</v>
      </c>
      <c r="B250" t="s">
        <v>481</v>
      </c>
      <c r="C250" t="s">
        <v>482</v>
      </c>
    </row>
    <row r="251" ht="15.75" customHeight="1">
      <c r="A251" t="s">
        <v>41</v>
      </c>
      <c r="B251" t="s">
        <v>483</v>
      </c>
      <c r="C251" t="s">
        <v>484</v>
      </c>
    </row>
    <row r="252" ht="15.75" customHeight="1">
      <c r="A252" t="s">
        <v>41</v>
      </c>
      <c r="B252" t="s">
        <v>485</v>
      </c>
      <c r="C252" t="s">
        <v>486</v>
      </c>
    </row>
    <row r="253" ht="15.75" customHeight="1">
      <c r="A253" t="s">
        <v>41</v>
      </c>
      <c r="B253" t="s">
        <v>487</v>
      </c>
      <c r="C253" t="s">
        <v>488</v>
      </c>
    </row>
    <row r="254" ht="15.75" customHeight="1">
      <c r="A254" t="s">
        <v>41</v>
      </c>
      <c r="B254" t="s">
        <v>489</v>
      </c>
      <c r="C254" t="s">
        <v>490</v>
      </c>
    </row>
    <row r="255" ht="15.75" customHeight="1">
      <c r="A255" t="s">
        <v>52</v>
      </c>
      <c r="B255" t="s">
        <v>491</v>
      </c>
      <c r="C255" t="s">
        <v>492</v>
      </c>
    </row>
    <row r="256" ht="15.75" customHeight="1">
      <c r="A256" t="s">
        <v>52</v>
      </c>
      <c r="B256" t="s">
        <v>493</v>
      </c>
      <c r="C256" t="s">
        <v>494</v>
      </c>
    </row>
    <row r="257" ht="15.75" customHeight="1">
      <c r="A257" t="s">
        <v>2</v>
      </c>
      <c r="B257" t="s">
        <v>495</v>
      </c>
    </row>
    <row r="258" ht="15.75" customHeight="1">
      <c r="A258" t="s">
        <v>52</v>
      </c>
      <c r="B258" t="s">
        <v>496</v>
      </c>
    </row>
    <row r="259" ht="15.75" customHeight="1">
      <c r="A259" t="s">
        <v>52</v>
      </c>
      <c r="B259" t="s">
        <v>497</v>
      </c>
    </row>
    <row r="260" ht="15.75" customHeight="1">
      <c r="A260" t="s">
        <v>52</v>
      </c>
      <c r="B260" t="s">
        <v>498</v>
      </c>
      <c r="C260" t="s">
        <v>499</v>
      </c>
    </row>
    <row r="261" ht="15.75" customHeight="1">
      <c r="A261" t="s">
        <v>22</v>
      </c>
      <c r="B261" t="s">
        <v>500</v>
      </c>
    </row>
    <row r="262" ht="15.75" customHeight="1">
      <c r="A262" t="s">
        <v>18</v>
      </c>
      <c r="B262" t="s">
        <v>501</v>
      </c>
      <c r="C262" t="s">
        <v>502</v>
      </c>
    </row>
    <row r="263" ht="15.75" customHeight="1">
      <c r="A263" t="s">
        <v>22</v>
      </c>
      <c r="B263" t="s">
        <v>503</v>
      </c>
      <c r="C263" t="s">
        <v>504</v>
      </c>
    </row>
    <row r="264" ht="15.75" customHeight="1">
      <c r="A264" t="s">
        <v>96</v>
      </c>
      <c r="B264" t="s">
        <v>505</v>
      </c>
      <c r="C264" t="s">
        <v>506</v>
      </c>
    </row>
    <row r="265" ht="15.75" customHeight="1">
      <c r="A265" t="s">
        <v>39</v>
      </c>
      <c r="B265" t="s">
        <v>507</v>
      </c>
      <c r="C265" t="s">
        <v>508</v>
      </c>
    </row>
    <row r="266" ht="15.75" customHeight="1">
      <c r="A266" t="s">
        <v>96</v>
      </c>
      <c r="B266" t="s">
        <v>509</v>
      </c>
      <c r="C266" t="s">
        <v>510</v>
      </c>
    </row>
    <row r="267" ht="15.75" customHeight="1">
      <c r="A267" t="s">
        <v>96</v>
      </c>
      <c r="B267" t="s">
        <v>511</v>
      </c>
      <c r="C267" t="s">
        <v>512</v>
      </c>
    </row>
    <row r="268" ht="15.75" customHeight="1">
      <c r="A268" t="s">
        <v>513</v>
      </c>
      <c r="B268" t="s">
        <v>514</v>
      </c>
      <c r="C268" t="s">
        <v>515</v>
      </c>
    </row>
    <row r="269" ht="15.75" customHeight="1">
      <c r="A269" t="s">
        <v>516</v>
      </c>
      <c r="B269" t="s">
        <v>517</v>
      </c>
      <c r="C269" t="s">
        <v>518</v>
      </c>
    </row>
    <row r="270" ht="15.75" customHeight="1">
      <c r="A270" t="s">
        <v>519</v>
      </c>
      <c r="B270" t="s">
        <v>520</v>
      </c>
      <c r="C270" t="s">
        <v>521</v>
      </c>
    </row>
    <row r="271" ht="15.75" customHeight="1">
      <c r="A271" t="s">
        <v>522</v>
      </c>
      <c r="B271" t="s">
        <v>523</v>
      </c>
      <c r="C271" t="s">
        <v>524</v>
      </c>
    </row>
    <row r="272" ht="15.75" customHeight="1">
      <c r="A272" t="s">
        <v>522</v>
      </c>
      <c r="B272" t="s">
        <v>525</v>
      </c>
      <c r="C272" t="s">
        <v>526</v>
      </c>
    </row>
    <row r="273" ht="15.75" customHeight="1">
      <c r="A273" t="s">
        <v>522</v>
      </c>
      <c r="B273" t="s">
        <v>527</v>
      </c>
      <c r="C273" t="s">
        <v>528</v>
      </c>
    </row>
    <row r="274" ht="15.75" customHeight="1">
      <c r="A274" t="s">
        <v>522</v>
      </c>
      <c r="B274" t="s">
        <v>529</v>
      </c>
      <c r="C274" t="s">
        <v>530</v>
      </c>
    </row>
    <row r="275" ht="15.75" customHeight="1">
      <c r="A275" t="s">
        <v>522</v>
      </c>
      <c r="B275" t="s">
        <v>531</v>
      </c>
      <c r="C275" t="s">
        <v>532</v>
      </c>
    </row>
    <row r="276" ht="15.75" customHeight="1">
      <c r="A276" t="s">
        <v>522</v>
      </c>
      <c r="B276" t="s">
        <v>533</v>
      </c>
      <c r="C276" t="s">
        <v>534</v>
      </c>
    </row>
    <row r="277" ht="15.75" customHeight="1">
      <c r="A277" t="s">
        <v>52</v>
      </c>
      <c r="B277" t="s">
        <v>535</v>
      </c>
      <c r="C277" t="s">
        <v>536</v>
      </c>
    </row>
    <row r="278" ht="15.75" customHeight="1">
      <c r="A278" t="s">
        <v>522</v>
      </c>
      <c r="B278" t="s">
        <v>537</v>
      </c>
      <c r="C278" t="s">
        <v>538</v>
      </c>
    </row>
    <row r="279" ht="15.75" customHeight="1">
      <c r="A279" t="s">
        <v>522</v>
      </c>
      <c r="B279" t="s">
        <v>539</v>
      </c>
      <c r="C279" t="s">
        <v>540</v>
      </c>
    </row>
    <row r="280" ht="15.75" customHeight="1">
      <c r="A280" t="s">
        <v>522</v>
      </c>
      <c r="B280" t="s">
        <v>541</v>
      </c>
      <c r="C280" t="s">
        <v>542</v>
      </c>
    </row>
    <row r="281" ht="15.75" customHeight="1">
      <c r="A281" t="s">
        <v>284</v>
      </c>
      <c r="B281" t="s">
        <v>543</v>
      </c>
      <c r="C281" t="s">
        <v>544</v>
      </c>
    </row>
    <row r="282" ht="15.75" customHeight="1">
      <c r="A282" t="s">
        <v>284</v>
      </c>
      <c r="B282" t="s">
        <v>545</v>
      </c>
      <c r="C282" t="s">
        <v>546</v>
      </c>
    </row>
    <row r="283" ht="15.75" customHeight="1">
      <c r="A283" t="s">
        <v>284</v>
      </c>
      <c r="B283" t="s">
        <v>547</v>
      </c>
      <c r="C283" t="s">
        <v>548</v>
      </c>
    </row>
    <row r="284" ht="15.75" customHeight="1">
      <c r="A284" t="s">
        <v>284</v>
      </c>
      <c r="B284" t="s">
        <v>549</v>
      </c>
      <c r="C284" t="s">
        <v>550</v>
      </c>
    </row>
    <row r="285" ht="15.75" customHeight="1">
      <c r="A285" t="s">
        <v>284</v>
      </c>
      <c r="B285" t="s">
        <v>551</v>
      </c>
      <c r="C285" t="s">
        <v>552</v>
      </c>
    </row>
    <row r="286" ht="15.75" customHeight="1">
      <c r="A286" t="s">
        <v>2</v>
      </c>
      <c r="B286" t="s">
        <v>553</v>
      </c>
      <c r="C286" t="s">
        <v>554</v>
      </c>
    </row>
    <row r="287" ht="15.75" customHeight="1">
      <c r="A287" t="s">
        <v>284</v>
      </c>
      <c r="B287" t="s">
        <v>555</v>
      </c>
      <c r="C287" t="s">
        <v>556</v>
      </c>
    </row>
    <row r="288" ht="15.75" customHeight="1">
      <c r="A288" t="s">
        <v>2</v>
      </c>
      <c r="B288" t="s">
        <v>557</v>
      </c>
      <c r="C288" t="s">
        <v>558</v>
      </c>
    </row>
    <row r="289" ht="15.75" customHeight="1">
      <c r="A289" t="s">
        <v>2</v>
      </c>
      <c r="B289" t="s">
        <v>559</v>
      </c>
      <c r="C289" t="s">
        <v>560</v>
      </c>
    </row>
    <row r="290" ht="15.75" customHeight="1">
      <c r="A290" t="s">
        <v>2</v>
      </c>
      <c r="B290" t="s">
        <v>561</v>
      </c>
    </row>
    <row r="291" ht="15.75" customHeight="1">
      <c r="A291" t="s">
        <v>18</v>
      </c>
      <c r="B291" t="s">
        <v>562</v>
      </c>
      <c r="C291" t="s">
        <v>563</v>
      </c>
    </row>
    <row r="292" ht="15.75" customHeight="1">
      <c r="A292" t="s">
        <v>82</v>
      </c>
      <c r="B292" t="s">
        <v>564</v>
      </c>
      <c r="C292" t="s">
        <v>565</v>
      </c>
    </row>
    <row r="293" ht="15.75" customHeight="1">
      <c r="A293" t="s">
        <v>2</v>
      </c>
      <c r="B293" t="s">
        <v>566</v>
      </c>
    </row>
    <row r="294" ht="15.75" customHeight="1">
      <c r="A294" t="s">
        <v>2</v>
      </c>
      <c r="B294" t="s">
        <v>567</v>
      </c>
      <c r="C294" t="s">
        <v>137</v>
      </c>
    </row>
    <row r="295" ht="15.75" customHeight="1">
      <c r="A295" t="s">
        <v>2</v>
      </c>
      <c r="B295" t="s">
        <v>568</v>
      </c>
      <c r="C295" t="s">
        <v>137</v>
      </c>
    </row>
    <row r="296" ht="15.75" customHeight="1">
      <c r="A296" t="s">
        <v>2</v>
      </c>
      <c r="B296" t="s">
        <v>569</v>
      </c>
      <c r="C296" t="s">
        <v>570</v>
      </c>
    </row>
    <row r="297" ht="15.75" customHeight="1">
      <c r="A297" t="s">
        <v>2</v>
      </c>
      <c r="B297" t="s">
        <v>571</v>
      </c>
      <c r="C297" t="s">
        <v>572</v>
      </c>
    </row>
    <row r="298" ht="15.75" customHeight="1">
      <c r="A298" t="s">
        <v>2</v>
      </c>
      <c r="B298" t="s">
        <v>573</v>
      </c>
      <c r="C298" t="s">
        <v>574</v>
      </c>
    </row>
    <row r="299" ht="15.75" customHeight="1">
      <c r="A299" t="s">
        <v>2</v>
      </c>
      <c r="B299" t="s">
        <v>575</v>
      </c>
    </row>
    <row r="300" ht="15.75" customHeight="1">
      <c r="A300" t="s">
        <v>2</v>
      </c>
      <c r="B300" t="s">
        <v>576</v>
      </c>
      <c r="C300" t="s">
        <v>577</v>
      </c>
    </row>
    <row r="301" ht="15.75" customHeight="1">
      <c r="A301" t="s">
        <v>2</v>
      </c>
      <c r="B301" t="s">
        <v>578</v>
      </c>
    </row>
    <row r="302" ht="15.75" customHeight="1">
      <c r="A302" t="s">
        <v>2</v>
      </c>
      <c r="B302" t="s">
        <v>579</v>
      </c>
      <c r="C302" t="s">
        <v>580</v>
      </c>
    </row>
    <row r="303" ht="15.75" customHeight="1">
      <c r="A303" t="s">
        <v>2</v>
      </c>
      <c r="B303" t="s">
        <v>581</v>
      </c>
      <c r="C303" t="s">
        <v>582</v>
      </c>
    </row>
    <row r="304" ht="15.75" customHeight="1">
      <c r="A304" t="s">
        <v>2</v>
      </c>
      <c r="B304" t="s">
        <v>583</v>
      </c>
      <c r="C304" t="s">
        <v>584</v>
      </c>
    </row>
    <row r="305" ht="15.75" customHeight="1">
      <c r="A305" t="s">
        <v>2</v>
      </c>
      <c r="B305" t="s">
        <v>585</v>
      </c>
      <c r="C305" t="s">
        <v>586</v>
      </c>
    </row>
    <row r="306" ht="15.75" customHeight="1">
      <c r="A306" t="s">
        <v>2</v>
      </c>
      <c r="B306" t="s">
        <v>587</v>
      </c>
      <c r="C306" t="s">
        <v>588</v>
      </c>
    </row>
    <row r="307" ht="15.75" customHeight="1">
      <c r="A307" t="s">
        <v>522</v>
      </c>
      <c r="B307" t="s">
        <v>589</v>
      </c>
      <c r="C307" t="s">
        <v>590</v>
      </c>
    </row>
    <row r="308" ht="15.75" customHeight="1">
      <c r="A308" t="s">
        <v>2</v>
      </c>
      <c r="B308" t="s">
        <v>591</v>
      </c>
    </row>
    <row r="309" ht="15.75" customHeight="1">
      <c r="A309" t="s">
        <v>2</v>
      </c>
      <c r="B309" t="s">
        <v>592</v>
      </c>
      <c r="C309" t="s">
        <v>200</v>
      </c>
    </row>
    <row r="310" ht="15.75" customHeight="1">
      <c r="A310" t="s">
        <v>2</v>
      </c>
      <c r="B310" t="s">
        <v>593</v>
      </c>
      <c r="C310" t="s">
        <v>8</v>
      </c>
    </row>
    <row r="311" ht="15.75" customHeight="1">
      <c r="A311" t="s">
        <v>2</v>
      </c>
      <c r="B311" t="s">
        <v>594</v>
      </c>
      <c r="C311" t="s">
        <v>595</v>
      </c>
    </row>
    <row r="312" ht="15.75" customHeight="1">
      <c r="A312" t="s">
        <v>2</v>
      </c>
      <c r="B312" t="s">
        <v>596</v>
      </c>
    </row>
    <row r="313" ht="15.75" customHeight="1">
      <c r="A313" t="s">
        <v>2</v>
      </c>
      <c r="B313" t="s">
        <v>597</v>
      </c>
      <c r="C313" t="s">
        <v>598</v>
      </c>
    </row>
    <row r="314" ht="15.75" customHeight="1">
      <c r="A314" t="s">
        <v>516</v>
      </c>
      <c r="B314" t="s">
        <v>599</v>
      </c>
      <c r="C314" t="s">
        <v>600</v>
      </c>
    </row>
    <row r="315" ht="15.75" customHeight="1">
      <c r="A315" t="s">
        <v>513</v>
      </c>
      <c r="B315" t="s">
        <v>601</v>
      </c>
      <c r="C315" t="s">
        <v>602</v>
      </c>
    </row>
    <row r="316" ht="15.75" customHeight="1">
      <c r="A316" t="s">
        <v>211</v>
      </c>
      <c r="B316" t="s">
        <v>603</v>
      </c>
      <c r="C316" t="s">
        <v>604</v>
      </c>
    </row>
    <row r="317" ht="15.75" customHeight="1">
      <c r="A317" t="s">
        <v>519</v>
      </c>
      <c r="B317" t="s">
        <v>605</v>
      </c>
      <c r="C317" t="s">
        <v>606</v>
      </c>
    </row>
    <row r="318" ht="15.75" customHeight="1">
      <c r="A318" t="s">
        <v>52</v>
      </c>
      <c r="B318" t="s">
        <v>607</v>
      </c>
    </row>
    <row r="319" ht="15.75" customHeight="1">
      <c r="A319" t="s">
        <v>52</v>
      </c>
      <c r="B319" t="s">
        <v>608</v>
      </c>
    </row>
    <row r="320" ht="15.75" customHeight="1">
      <c r="A320" t="s">
        <v>52</v>
      </c>
      <c r="B320" t="s">
        <v>609</v>
      </c>
    </row>
    <row r="321" ht="15.75" customHeight="1">
      <c r="A321" t="s">
        <v>52</v>
      </c>
      <c r="B321" t="s">
        <v>610</v>
      </c>
    </row>
    <row r="322" ht="15.75" customHeight="1">
      <c r="A322" t="s">
        <v>52</v>
      </c>
      <c r="B322" t="s">
        <v>611</v>
      </c>
      <c r="C322" t="s">
        <v>612</v>
      </c>
    </row>
    <row r="323" ht="15.75" customHeight="1">
      <c r="A323" t="s">
        <v>52</v>
      </c>
      <c r="B323" t="s">
        <v>613</v>
      </c>
    </row>
    <row r="324" ht="15.75" customHeight="1">
      <c r="A324" t="s">
        <v>52</v>
      </c>
      <c r="B324" t="s">
        <v>614</v>
      </c>
    </row>
    <row r="325" ht="15.75" customHeight="1">
      <c r="A325" t="s">
        <v>52</v>
      </c>
      <c r="B325" t="s">
        <v>615</v>
      </c>
      <c r="C325" t="s">
        <v>616</v>
      </c>
    </row>
    <row r="326" ht="15.75" customHeight="1">
      <c r="A326" t="s">
        <v>52</v>
      </c>
      <c r="B326" t="s">
        <v>617</v>
      </c>
      <c r="C326" t="s">
        <v>618</v>
      </c>
    </row>
    <row r="327" ht="15.75" customHeight="1">
      <c r="A327" t="s">
        <v>52</v>
      </c>
      <c r="B327" t="s">
        <v>619</v>
      </c>
    </row>
    <row r="328" ht="15.75" customHeight="1">
      <c r="A328" t="s">
        <v>52</v>
      </c>
      <c r="B328" t="s">
        <v>620</v>
      </c>
      <c r="C328" t="s">
        <v>621</v>
      </c>
    </row>
    <row r="329" ht="15.75" customHeight="1">
      <c r="A329" t="s">
        <v>52</v>
      </c>
      <c r="B329" t="s">
        <v>622</v>
      </c>
      <c r="C329" t="s">
        <v>623</v>
      </c>
    </row>
    <row r="330" ht="15.75" customHeight="1">
      <c r="A330" t="s">
        <v>52</v>
      </c>
      <c r="B330" t="s">
        <v>624</v>
      </c>
      <c r="C330" t="s">
        <v>625</v>
      </c>
    </row>
    <row r="331" ht="15.75" customHeight="1">
      <c r="A331" t="s">
        <v>52</v>
      </c>
      <c r="B331" t="s">
        <v>626</v>
      </c>
      <c r="C331" t="s">
        <v>627</v>
      </c>
    </row>
    <row r="332" ht="15.75" customHeight="1">
      <c r="A332" t="s">
        <v>262</v>
      </c>
      <c r="B332" t="s">
        <v>628</v>
      </c>
      <c r="C332" t="s">
        <v>629</v>
      </c>
    </row>
    <row r="333" ht="15.75" customHeight="1">
      <c r="A333" t="s">
        <v>39</v>
      </c>
      <c r="B333" t="s">
        <v>630</v>
      </c>
    </row>
    <row r="334" ht="15.75" customHeight="1">
      <c r="A334" t="s">
        <v>2</v>
      </c>
      <c r="B334" t="s">
        <v>631</v>
      </c>
      <c r="C334" t="s">
        <v>632</v>
      </c>
    </row>
    <row r="335" ht="15.75" customHeight="1">
      <c r="A335" t="s">
        <v>2</v>
      </c>
      <c r="B335" t="s">
        <v>633</v>
      </c>
      <c r="C335" t="s">
        <v>634</v>
      </c>
    </row>
    <row r="336" ht="15.75" customHeight="1">
      <c r="A336" t="s">
        <v>522</v>
      </c>
      <c r="B336" t="s">
        <v>635</v>
      </c>
      <c r="C336" t="s">
        <v>636</v>
      </c>
    </row>
    <row r="337" ht="15.75" customHeight="1">
      <c r="A337" t="s">
        <v>522</v>
      </c>
      <c r="B337" t="s">
        <v>637</v>
      </c>
      <c r="C337" t="s">
        <v>638</v>
      </c>
    </row>
    <row r="338" ht="15.75" customHeight="1">
      <c r="A338" t="s">
        <v>96</v>
      </c>
      <c r="B338" t="s">
        <v>639</v>
      </c>
      <c r="C338" t="s">
        <v>640</v>
      </c>
    </row>
    <row r="339" ht="15.75" customHeight="1">
      <c r="A339" t="s">
        <v>2</v>
      </c>
      <c r="B339" t="s">
        <v>641</v>
      </c>
      <c r="C339" t="s">
        <v>642</v>
      </c>
    </row>
    <row r="340" ht="15.75" customHeight="1">
      <c r="A340" t="s">
        <v>2</v>
      </c>
      <c r="B340" t="s">
        <v>643</v>
      </c>
      <c r="C340" t="s">
        <v>642</v>
      </c>
    </row>
    <row r="341" ht="15.75" customHeight="1">
      <c r="A341" t="s">
        <v>2</v>
      </c>
      <c r="B341" t="s">
        <v>644</v>
      </c>
      <c r="C341" t="s">
        <v>645</v>
      </c>
    </row>
    <row r="342" ht="15.75" customHeight="1">
      <c r="A342" t="s">
        <v>2</v>
      </c>
      <c r="B342" t="s">
        <v>646</v>
      </c>
    </row>
    <row r="343" ht="15.75" customHeight="1">
      <c r="A343" t="s">
        <v>2</v>
      </c>
      <c r="B343" t="s">
        <v>647</v>
      </c>
    </row>
    <row r="344" ht="15.75" customHeight="1">
      <c r="A344" t="s">
        <v>2</v>
      </c>
      <c r="B344" t="s">
        <v>648</v>
      </c>
      <c r="C344" t="s">
        <v>649</v>
      </c>
    </row>
    <row r="345" ht="15.75" customHeight="1">
      <c r="A345" t="s">
        <v>2</v>
      </c>
      <c r="B345" t="s">
        <v>650</v>
      </c>
      <c r="C345" t="s">
        <v>649</v>
      </c>
    </row>
    <row r="346" ht="15.75" customHeight="1">
      <c r="A346" t="s">
        <v>41</v>
      </c>
      <c r="B346" t="s">
        <v>651</v>
      </c>
      <c r="C346" t="s">
        <v>652</v>
      </c>
    </row>
    <row r="347" ht="15.75" customHeight="1">
      <c r="A347" t="s">
        <v>22</v>
      </c>
      <c r="B347" t="s">
        <v>630</v>
      </c>
    </row>
    <row r="348" ht="15.75" customHeight="1">
      <c r="A348" t="s">
        <v>41</v>
      </c>
      <c r="B348" t="s">
        <v>653</v>
      </c>
      <c r="C348" t="s">
        <v>654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10" t="s">
        <v>655</v>
      </c>
      <c r="B1" s="2"/>
      <c r="C1" s="2"/>
    </row>
    <row r="2" ht="15.75" customHeight="1">
      <c r="A2" s="9"/>
      <c r="B2" s="9"/>
      <c r="C2" s="9"/>
    </row>
    <row r="3" ht="15.75" customHeight="1">
      <c r="A3" s="4" t="s">
        <v>656</v>
      </c>
      <c r="B3" s="11" t="s">
        <v>657</v>
      </c>
      <c r="C3" s="9"/>
    </row>
    <row r="4" ht="15.75" customHeight="1">
      <c r="A4" s="4" t="s">
        <v>658</v>
      </c>
      <c r="B4" s="12" t="s">
        <v>659</v>
      </c>
      <c r="C4" s="9"/>
    </row>
    <row r="5" ht="15.75" customHeight="1">
      <c r="A5" s="13"/>
      <c r="B5" s="9"/>
      <c r="C5" s="9"/>
    </row>
    <row r="6" ht="15.75" customHeight="1">
      <c r="A6" s="13"/>
      <c r="B6" s="9"/>
      <c r="C6" s="9"/>
    </row>
    <row r="7" ht="15.75" customHeight="1">
      <c r="A7" s="13"/>
      <c r="B7" s="9"/>
      <c r="C7" s="9"/>
    </row>
    <row r="8" ht="15.75" customHeight="1">
      <c r="A8" s="13"/>
      <c r="B8" s="9"/>
      <c r="C8" s="9"/>
    </row>
    <row r="9" ht="15.75" customHeight="1">
      <c r="A9" s="13"/>
      <c r="B9" s="9"/>
      <c r="C9" s="9"/>
    </row>
    <row r="10" ht="15.75" customHeight="1">
      <c r="A10" s="13"/>
      <c r="B10" s="9"/>
      <c r="C10" s="9"/>
    </row>
    <row r="11" ht="15.75" customHeight="1">
      <c r="A11" s="13"/>
      <c r="B11" s="9"/>
      <c r="C11" s="9"/>
    </row>
    <row r="12" ht="15.75" customHeight="1">
      <c r="A12" s="13"/>
      <c r="B12" s="9"/>
      <c r="C12" s="9"/>
    </row>
    <row r="13" ht="15.75" customHeight="1">
      <c r="A13" s="13"/>
      <c r="B13" s="9"/>
      <c r="C13" s="9"/>
    </row>
    <row r="14" ht="15.75" customHeight="1">
      <c r="A14" s="13"/>
      <c r="B14" s="9"/>
      <c r="C14" s="9"/>
    </row>
    <row r="15" ht="15.75" customHeight="1">
      <c r="A15" s="13"/>
      <c r="B15" s="9"/>
      <c r="C15" s="9"/>
    </row>
    <row r="16" ht="15.75" customHeight="1">
      <c r="A16" s="13"/>
      <c r="B16" s="9"/>
      <c r="C16" s="9"/>
    </row>
    <row r="17" ht="15.75" customHeight="1">
      <c r="A17" s="13"/>
      <c r="B17" s="9"/>
      <c r="C17" s="9"/>
    </row>
    <row r="18" ht="15.75" customHeight="1">
      <c r="A18" s="13"/>
      <c r="B18" s="9"/>
      <c r="C18" s="9"/>
    </row>
    <row r="19" ht="15.75" customHeight="1">
      <c r="A19" s="13"/>
      <c r="B19" s="9"/>
      <c r="C19" s="9"/>
    </row>
    <row r="20" ht="15.75" customHeight="1">
      <c r="A20" s="13"/>
      <c r="B20" s="9"/>
      <c r="C20" s="9"/>
    </row>
    <row r="21" ht="15.75" customHeight="1">
      <c r="A21" s="13"/>
      <c r="B21" s="9"/>
      <c r="C21" s="9"/>
    </row>
    <row r="22" ht="15.75" customHeight="1">
      <c r="A22" s="13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660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661</v>
      </c>
      <c r="B3" s="14" t="s">
        <v>662</v>
      </c>
      <c r="C3" s="14" t="s">
        <v>663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3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41</v>
      </c>
      <c r="D3" s="4" t="s">
        <v>662</v>
      </c>
      <c r="E3" s="13" t="s">
        <v>367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</row>
    <row r="4" ht="15.75" customHeight="1">
      <c r="A4" s="21"/>
      <c r="B4" s="21" t="str">
        <f>IFERROR(__xludf.DUMMYFUNCTION("IF(C3="""","""",Transpose(IMPORTRANGE('_Settings'!$B$3,C3&amp;""!A4:A1000"")))"),"UpdateBeta")</f>
        <v>UpdateBeta</v>
      </c>
      <c r="C4" s="21" t="str">
        <f>IFERROR(__xludf.DUMMYFUNCTION("""COMPUTED_VALUE"""),"UpdateDailyCash")</f>
        <v>UpdateDailyCash</v>
      </c>
      <c r="D4" s="21" t="str">
        <f>IFERROR(__xludf.DUMMYFUNCTION("""COMPUTED_VALUE"""),"UpdateForexConversion")</f>
        <v>UpdateForexConversion</v>
      </c>
      <c r="E4" s="21" t="str">
        <f>IFERROR(__xludf.DUMMYFUNCTION("""COMPUTED_VALUE"""),"UpdateMarkPrice")</f>
        <v>UpdateMarkPrice</v>
      </c>
      <c r="F4" s="21" t="str">
        <f>IFERROR(__xludf.DUMMYFUNCTION("""COMPUTED_VALUE"""),"CleanUp")</f>
        <v>CleanUp</v>
      </c>
      <c r="G4" s="21" t="str">
        <f>IFERROR(__xludf.DUMMYFUNCTION("""COMPUTED_VALUE"""),"GetMarkPriceData")</f>
        <v>GetMarkPriceData</v>
      </c>
      <c r="H4" s="21" t="str">
        <f>IFERROR(__xludf.DUMMYFUNCTION("""COMPUTED_VALUE"""),"GetForwardPoints")</f>
        <v>GetForwardPoints</v>
      </c>
      <c r="I4" s="21" t="str">
        <f>IFERROR(__xludf.DUMMYFUNCTION("""COMPUTED_VALUE"""),"UpdateForwardPoints")</f>
        <v>UpdateForwardPoints</v>
      </c>
      <c r="J4" s="21" t="str">
        <f>IFERROR(__xludf.DUMMYFUNCTION("""COMPUTED_VALUE"""),"GetForexConversion")</f>
        <v>GetForexConversion</v>
      </c>
      <c r="K4" s="21" t="str">
        <f>IFERROR(__xludf.DUMMYFUNCTION("""COMPUTED_VALUE"""),"DeleteNAV")</f>
        <v>DeleteNAV</v>
      </c>
      <c r="L4" s="21" t="str">
        <f>IFERROR(__xludf.DUMMYFUNCTION("""COMPUTED_VALUE"""),"GetDailyCash")</f>
        <v>GetDailyCash</v>
      </c>
      <c r="M4" s="21" t="str">
        <f>IFERROR(__xludf.DUMMYFUNCTION("""COMPUTED_VALUE"""),"GetDailyBeta")</f>
        <v>GetDailyBeta</v>
      </c>
      <c r="N4" s="21" t="str">
        <f>IFERROR(__xludf.DUMMYFUNCTION("""COMPUTED_VALUE"""),"GetDailyVolatility")</f>
        <v>GetDailyVolatility</v>
      </c>
      <c r="O4" s="21" t="str">
        <f>IFERROR(__xludf.DUMMYFUNCTION("""COMPUTED_VALUE"""),"GetDailyDividendYield")</f>
        <v>GetDailyDividendYield</v>
      </c>
      <c r="P4" s="22" t="str">
        <f>IFERROR(__xludf.DUMMYFUNCTION("""COMPUTED_VALUE"""),"GetDailyTradingVolume")</f>
        <v>GetDailyTradingVolume</v>
      </c>
      <c r="Q4" s="22" t="str">
        <f>IFERROR(__xludf.DUMMYFUNCTION("""COMPUTED_VALUE"""),"GetDailyOutstandings")</f>
        <v>GetDailyOutstandings</v>
      </c>
      <c r="R4" s="22" t="str">
        <f>IFERROR(__xludf.DUMMYFUNCTION("""COMPUTED_VALUE"""),"GetDailyDelta")</f>
        <v>GetDailyDelta</v>
      </c>
      <c r="S4" s="22" t="str">
        <f>IFERROR(__xludf.DUMMYFUNCTION("""COMPUTED_VALUE"""),"UpdateDailyVolatility")</f>
        <v>UpdateDailyVolatility</v>
      </c>
      <c r="T4" s="22" t="str">
        <f>IFERROR(__xludf.DUMMYFUNCTION("""COMPUTED_VALUE"""),"UpdateDividendYield")</f>
        <v>UpdateDividendYield</v>
      </c>
      <c r="U4" s="22" t="str">
        <f>IFERROR(__xludf.DUMMYFUNCTION("""COMPUTED_VALUE"""),"UpdateTradingVolume")</f>
        <v>UpdateTradingVolume</v>
      </c>
      <c r="V4" s="22" t="str">
        <f>IFERROR(__xludf.DUMMYFUNCTION("""COMPUTED_VALUE"""),"UpdateDailyDelta")</f>
        <v>UpdateDailyDelta</v>
      </c>
      <c r="W4" s="22" t="str">
        <f>IFERROR(__xludf.DUMMYFUNCTION("""COMPUTED_VALUE"""),"UpdateDailyOutstandings")</f>
        <v>UpdateDailyOutstandings</v>
      </c>
      <c r="X4" s="22" t="str">
        <f>IFERROR(__xludf.DUMMYFUNCTION("""COMPUTED_VALUE"""),"UpdateBeta")</f>
        <v>UpdateBeta</v>
      </c>
      <c r="Y4" s="22" t="str">
        <f>IFERROR(__xludf.DUMMYFUNCTION("""COMPUTED_VALUE"""),"UpdateNAV")</f>
        <v>UpdateNAV</v>
      </c>
      <c r="Z4" s="22" t="str">
        <f>IFERROR(__xludf.DUMMYFUNCTION("""COMPUTED_VALUE"""),"UpdateDailyCash")</f>
        <v>UpdateDailyCash</v>
      </c>
      <c r="AA4" s="22" t="str">
        <f>IFERROR(__xludf.DUMMYFUNCTION("""COMPUTED_VALUE"""),"UpdateDailyCreditLimt")</f>
        <v>UpdateDailyCreditLimt</v>
      </c>
      <c r="AB4" s="22" t="str">
        <f>IFERROR(__xludf.DUMMYFUNCTION("""COMPUTED_VALUE"""),"RemoveDailyCreditLimit")</f>
        <v>RemoveDailyCreditLimit</v>
      </c>
      <c r="AC4" s="22" t="str">
        <f>IFERROR(__xludf.DUMMYFUNCTION("""COMPUTED_VALUE"""),"RemoveDailyCash")</f>
        <v>RemoveDailyCash</v>
      </c>
      <c r="AD4" s="22" t="str">
        <f>IFERROR(__xludf.DUMMYFUNCTION("""COMPUTED_VALUE"""),"RemoveNAV")</f>
        <v>RemoveNAV</v>
      </c>
      <c r="AE4" s="22" t="str">
        <f>IFERROR(__xludf.DUMMYFUNCTION("""COMPUTED_VALUE"""),"UpdateForexConversionMonthly")</f>
        <v>UpdateForexConversionMonthly</v>
      </c>
      <c r="AF4" s="22" t="str">
        <f>IFERROR(__xludf.DUMMYFUNCTION("""COMPUTED_VALUE"""),"UpdateMarkPriceMonthly")</f>
        <v>UpdateMarkPriceMonthly</v>
      </c>
      <c r="AG4" s="22" t="str">
        <f>IFERROR(__xludf.DUMMYFUNCTION("""COMPUTED_VALUE"""),"VerifyDailyCash")</f>
        <v>VerifyDailyCash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IFERROR(__xludf.DUMMYFUNCTION("""COMPUTED_VALUE"""),"Select Date")</f>
        <v>Select Date</v>
      </c>
      <c r="C5" s="24" t="str">
        <f>IFERROR(__xludf.DUMMYFUNCTION("""COMPUTED_VALUE"""),"Copy From")</f>
        <v>Copy From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</row>
    <row r="6" ht="15.75" customHeight="1">
      <c r="A6" s="9"/>
      <c r="B6" s="26">
        <f t="shared" ref="B6:C6" si="1">TODAY()-1</f>
        <v>45860</v>
      </c>
      <c r="C6" s="26">
        <f t="shared" si="1"/>
        <v>45860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3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41</v>
      </c>
      <c r="D3" s="4" t="s">
        <v>662</v>
      </c>
      <c r="E3" s="13" t="s">
        <v>44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</row>
    <row r="4" ht="15.75" customHeight="1">
      <c r="A4" s="21"/>
      <c r="B4" s="21" t="str">
        <f>IFERROR(__xludf.DUMMYFUNCTION("IF(C3="""","""",Transpose(IMPORTRANGE('_Settings'!$B$3,C3&amp;""!A4:A1000"")))"),"UpdateBeta")</f>
        <v>UpdateBeta</v>
      </c>
      <c r="C4" s="21" t="str">
        <f>IFERROR(__xludf.DUMMYFUNCTION("""COMPUTED_VALUE"""),"UpdateDailyCash")</f>
        <v>UpdateDailyCash</v>
      </c>
      <c r="D4" s="21" t="str">
        <f>IFERROR(__xludf.DUMMYFUNCTION("""COMPUTED_VALUE"""),"UpdateForexConversion")</f>
        <v>UpdateForexConversion</v>
      </c>
      <c r="E4" s="21" t="str">
        <f>IFERROR(__xludf.DUMMYFUNCTION("""COMPUTED_VALUE"""),"UpdateMarkPrice")</f>
        <v>UpdateMarkPrice</v>
      </c>
      <c r="F4" s="21" t="str">
        <f>IFERROR(__xludf.DUMMYFUNCTION("""COMPUTED_VALUE"""),"CleanUp")</f>
        <v>CleanUp</v>
      </c>
      <c r="G4" s="21" t="str">
        <f>IFERROR(__xludf.DUMMYFUNCTION("""COMPUTED_VALUE"""),"GetMarkPriceData")</f>
        <v>GetMarkPriceData</v>
      </c>
      <c r="H4" s="21" t="str">
        <f>IFERROR(__xludf.DUMMYFUNCTION("""COMPUTED_VALUE"""),"GetForwardPoints")</f>
        <v>GetForwardPoints</v>
      </c>
      <c r="I4" s="21" t="str">
        <f>IFERROR(__xludf.DUMMYFUNCTION("""COMPUTED_VALUE"""),"UpdateForwardPoints")</f>
        <v>UpdateForwardPoints</v>
      </c>
      <c r="J4" s="21" t="str">
        <f>IFERROR(__xludf.DUMMYFUNCTION("""COMPUTED_VALUE"""),"GetForexConversion")</f>
        <v>GetForexConversion</v>
      </c>
      <c r="K4" s="21" t="str">
        <f>IFERROR(__xludf.DUMMYFUNCTION("""COMPUTED_VALUE"""),"DeleteNAV")</f>
        <v>DeleteNAV</v>
      </c>
      <c r="L4" s="21" t="str">
        <f>IFERROR(__xludf.DUMMYFUNCTION("""COMPUTED_VALUE"""),"GetDailyCash")</f>
        <v>GetDailyCash</v>
      </c>
      <c r="M4" s="21" t="str">
        <f>IFERROR(__xludf.DUMMYFUNCTION("""COMPUTED_VALUE"""),"GetDailyBeta")</f>
        <v>GetDailyBeta</v>
      </c>
      <c r="N4" s="21" t="str">
        <f>IFERROR(__xludf.DUMMYFUNCTION("""COMPUTED_VALUE"""),"GetDailyVolatility")</f>
        <v>GetDailyVolatility</v>
      </c>
      <c r="O4" s="21" t="str">
        <f>IFERROR(__xludf.DUMMYFUNCTION("""COMPUTED_VALUE"""),"GetDailyDividendYield")</f>
        <v>GetDailyDividendYield</v>
      </c>
      <c r="P4" s="22" t="str">
        <f>IFERROR(__xludf.DUMMYFUNCTION("""COMPUTED_VALUE"""),"GetDailyTradingVolume")</f>
        <v>GetDailyTradingVolume</v>
      </c>
      <c r="Q4" s="22" t="str">
        <f>IFERROR(__xludf.DUMMYFUNCTION("""COMPUTED_VALUE"""),"GetDailyOutstandings")</f>
        <v>GetDailyOutstandings</v>
      </c>
      <c r="R4" s="22" t="str">
        <f>IFERROR(__xludf.DUMMYFUNCTION("""COMPUTED_VALUE"""),"GetDailyDelta")</f>
        <v>GetDailyDelta</v>
      </c>
      <c r="S4" s="22" t="str">
        <f>IFERROR(__xludf.DUMMYFUNCTION("""COMPUTED_VALUE"""),"UpdateDailyVolatility")</f>
        <v>UpdateDailyVolatility</v>
      </c>
      <c r="T4" s="22" t="str">
        <f>IFERROR(__xludf.DUMMYFUNCTION("""COMPUTED_VALUE"""),"UpdateDividendYield")</f>
        <v>UpdateDividendYield</v>
      </c>
      <c r="U4" s="22" t="str">
        <f>IFERROR(__xludf.DUMMYFUNCTION("""COMPUTED_VALUE"""),"UpdateTradingVolume")</f>
        <v>UpdateTradingVolume</v>
      </c>
      <c r="V4" s="22" t="str">
        <f>IFERROR(__xludf.DUMMYFUNCTION("""COMPUTED_VALUE"""),"UpdateDailyDelta")</f>
        <v>UpdateDailyDelta</v>
      </c>
      <c r="W4" s="22" t="str">
        <f>IFERROR(__xludf.DUMMYFUNCTION("""COMPUTED_VALUE"""),"UpdateDailyOutstandings")</f>
        <v>UpdateDailyOutstandings</v>
      </c>
      <c r="X4" s="22" t="str">
        <f>IFERROR(__xludf.DUMMYFUNCTION("""COMPUTED_VALUE"""),"UpdateBeta")</f>
        <v>UpdateBeta</v>
      </c>
      <c r="Y4" s="22" t="str">
        <f>IFERROR(__xludf.DUMMYFUNCTION("""COMPUTED_VALUE"""),"UpdateNAV")</f>
        <v>UpdateNAV</v>
      </c>
      <c r="Z4" s="22" t="str">
        <f>IFERROR(__xludf.DUMMYFUNCTION("""COMPUTED_VALUE"""),"UpdateDailyCash")</f>
        <v>UpdateDailyCash</v>
      </c>
      <c r="AA4" s="22" t="str">
        <f>IFERROR(__xludf.DUMMYFUNCTION("""COMPUTED_VALUE"""),"UpdateDailyCreditLimt")</f>
        <v>UpdateDailyCreditLimt</v>
      </c>
      <c r="AB4" s="22" t="str">
        <f>IFERROR(__xludf.DUMMYFUNCTION("""COMPUTED_VALUE"""),"RemoveDailyCreditLimit")</f>
        <v>RemoveDailyCreditLimit</v>
      </c>
      <c r="AC4" s="22" t="str">
        <f>IFERROR(__xludf.DUMMYFUNCTION("""COMPUTED_VALUE"""),"RemoveDailyCash")</f>
        <v>RemoveDailyCash</v>
      </c>
      <c r="AD4" s="22" t="str">
        <f>IFERROR(__xludf.DUMMYFUNCTION("""COMPUTED_VALUE"""),"RemoveNAV")</f>
        <v>RemoveNAV</v>
      </c>
      <c r="AE4" s="22" t="str">
        <f>IFERROR(__xludf.DUMMYFUNCTION("""COMPUTED_VALUE"""),"UpdateForexConversionMonthly")</f>
        <v>UpdateForexConversionMonthly</v>
      </c>
      <c r="AF4" s="22" t="str">
        <f>IFERROR(__xludf.DUMMYFUNCTION("""COMPUTED_VALUE"""),"UpdateMarkPriceMonthly")</f>
        <v>UpdateMarkPriceMonthly</v>
      </c>
      <c r="AG4" s="22" t="str">
        <f>IFERROR(__xludf.DUMMYFUNCTION("""COMPUTED_VALUE"""),"VerifyDailyCash")</f>
        <v>VerifyDailyCash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IFERROR(__xludf.DUMMYFUNCTION("""COMPUTED_VALUE"""),"Account")</f>
        <v>Account</v>
      </c>
      <c r="C5" s="24" t="str">
        <f>IFERROR(__xludf.DUMMYFUNCTION("""COMPUTED_VALUE"""),"Local Currency")</f>
        <v>Local Currency</v>
      </c>
      <c r="D5" s="24" t="str">
        <f>IFERROR(__xludf.DUMMYFUNCTION("""COMPUTED_VALUE"""),"Cash Value Local")</f>
        <v>Cash Value Local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</row>
    <row r="6" ht="15.75" customHeight="1">
      <c r="A6" s="9"/>
      <c r="B6" s="9" t="s">
        <v>667</v>
      </c>
      <c r="C6" s="9" t="s">
        <v>668</v>
      </c>
      <c r="D6" s="9">
        <v>10000.0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 t="s">
        <v>669</v>
      </c>
      <c r="C7" s="9" t="s">
        <v>668</v>
      </c>
      <c r="D7" s="9">
        <v>15000.0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 t="s">
        <v>670</v>
      </c>
      <c r="C8" s="9" t="s">
        <v>668</v>
      </c>
      <c r="D8" s="9">
        <v>17500.0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1b5S4Xpp4fgZ1ez6cK92QFnVBylqz8jhwxdAyEvwDqUI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96</v>
      </c>
      <c r="D3" s="4" t="s">
        <v>662</v>
      </c>
      <c r="E3" s="13" t="s">
        <v>294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</row>
    <row r="4" ht="15.75" customHeight="1">
      <c r="A4" s="21"/>
      <c r="B4" s="21" t="str">
        <f>IFERROR(__xludf.DUMMYFUNCTION("IF(C3="""","""",Transpose(IMPORTRANGE('_Settings'!$B$3,C3&amp;""!A4:A1000"")))"),"OpenTTFromPST")</f>
        <v>OpenTTFromPST</v>
      </c>
      <c r="C4" s="21" t="str">
        <f>IFERROR(__xludf.DUMMYFUNCTION("""COMPUTED_VALUE"""),"EnterDetailsOnTT")</f>
        <v>EnterDetailsOnTT</v>
      </c>
      <c r="D4" s="21" t="str">
        <f>IFERROR(__xludf.DUMMYFUNCTION("""COMPUTED_VALUE"""),"ValidateSymbolTT")</f>
        <v>ValidateSymbolTT</v>
      </c>
      <c r="E4" s="21" t="str">
        <f>IFERROR(__xludf.DUMMYFUNCTION("""COMPUTED_VALUE"""),"VerifyDataTT")</f>
        <v>VerifyDataTT</v>
      </c>
      <c r="F4" s="21" t="str">
        <f>IFERROR(__xludf.DUMMYFUNCTION("""COMPUTED_VALUE"""),"SetUIPreferencesTT")</f>
        <v>SetUIPreferencesTT</v>
      </c>
      <c r="G4" s="21" t="str">
        <f>IFERROR(__xludf.DUMMYFUNCTION("""COMPUTED_VALUE"""),"SetBrokerWisePreferencesTT")</f>
        <v>SetBrokerWisePreferencesTT</v>
      </c>
      <c r="H4" s="21" t="str">
        <f>IFERROR(__xludf.DUMMYFUNCTION("""COMPUTED_VALUE"""),"TradeNewSub")</f>
        <v>TradeNewSub</v>
      </c>
      <c r="I4" s="21" t="str">
        <f>IFERROR(__xludf.DUMMYFUNCTION("""COMPUTED_VALUE"""),"CreateStageOrder")</f>
        <v>CreateStageOrder</v>
      </c>
      <c r="J4" s="21" t="str">
        <f>IFERROR(__xludf.DUMMYFUNCTION("""COMPUTED_VALUE"""),"CreateReplaceOrder")</f>
        <v>CreateReplaceOrder</v>
      </c>
      <c r="K4" s="21" t="str">
        <f>IFERROR(__xludf.DUMMYFUNCTION("""COMPUTED_VALUE"""),"SetGeneralPreference")</f>
        <v>SetGeneralPreference</v>
      </c>
      <c r="L4" s="21" t="str">
        <f>IFERROR(__xludf.DUMMYFUNCTION("""COMPUTED_VALUE"""),"CreateNewSubOrder")</f>
        <v>CreateNewSubOrder</v>
      </c>
      <c r="M4" s="21" t="str">
        <f>IFERROR(__xludf.DUMMYFUNCTION("""COMPUTED_VALUE"""),"TradeBloomberg")</f>
        <v>TradeBloomberg</v>
      </c>
      <c r="N4" s="21" t="str">
        <f>IFERROR(__xludf.DUMMYFUNCTION("""COMPUTED_VALUE"""),"ClickSymbolLookup")</f>
        <v>ClickSymbolLookup</v>
      </c>
      <c r="O4" s="21" t="str">
        <f>IFERROR(__xludf.DUMMYFUNCTION("""COMPUTED_VALUE"""),"VerifyTT")</f>
        <v>VerifyTT</v>
      </c>
      <c r="P4" s="22" t="str">
        <f>IFERROR(__xludf.DUMMYFUNCTION("""COMPUTED_VALUE"""),"CreateLiveOrder")</f>
        <v>CreateLiveOrder</v>
      </c>
      <c r="Q4" s="22" t="str">
        <f>IFERROR(__xludf.DUMMYFUNCTION("""COMPUTED_VALUE"""),"ShowMasterFundOnTT")</f>
        <v>ShowMasterFundOnTT</v>
      </c>
      <c r="R4" s="22" t="str">
        <f>IFERROR(__xludf.DUMMYFUNCTION("""COMPUTED_VALUE"""),"UpdateMasterFundOnTT")</f>
        <v>UpdateMasterFundOnTT</v>
      </c>
      <c r="S4" s="22" t="str">
        <f>IFERROR(__xludf.DUMMYFUNCTION("""COMPUTED_VALUE"""),"SetTTCompliancePreference")</f>
        <v>SetTTCompliancePreference</v>
      </c>
      <c r="T4" s="22" t="str">
        <f>IFERROR(__xludf.DUMMYFUNCTION("""COMPUTED_VALUE"""),"ImportSymbol")</f>
        <v>ImportSymbol</v>
      </c>
      <c r="U4" s="22" t="str">
        <f>IFERROR(__xludf.DUMMYFUNCTION("""COMPUTED_VALUE"""),"ExportSymbolFromRAList")</f>
        <v>ExportSymbolFromRAList</v>
      </c>
      <c r="V4" s="22" t="str">
        <f>IFERROR(__xludf.DUMMYFUNCTION("""COMPUTED_VALUE"""),"CheckPendingNewOrderAlert")</f>
        <v>CheckPendingNewOrderAlert</v>
      </c>
      <c r="W4" s="22" t="str">
        <f>IFERROR(__xludf.DUMMYFUNCTION("""COMPUTED_VALUE"""),"AddSymbolOnRAList")</f>
        <v>AddSymbolOnRAList</v>
      </c>
      <c r="X4" s="22" t="str">
        <f>IFERROR(__xludf.DUMMYFUNCTION("""COMPUTED_VALUE"""),"DeleteSymbolListFromRA")</f>
        <v>DeleteSymbolListFromRA</v>
      </c>
      <c r="Y4" s="22" t="str">
        <f>IFERROR(__xludf.DUMMYFUNCTION("""COMPUTED_VALUE"""),"RemoveSymbolFromRAList")</f>
        <v>RemoveSymbolFromRAList</v>
      </c>
      <c r="Z4" s="22" t="str">
        <f>IFERROR(__xludf.DUMMYFUNCTION("""COMPUTED_VALUE"""),"ToggleBlombergOnRA")</f>
        <v>ToggleBlombergOnRA</v>
      </c>
      <c r="AA4" s="22" t="str">
        <f>IFERROR(__xludf.DUMMYFUNCTION("""COMPUTED_VALUE"""),"CreateDoneAway")</f>
        <v>CreateDoneAway</v>
      </c>
      <c r="AB4" s="22" t="str">
        <f>IFERROR(__xludf.DUMMYFUNCTION("""COMPUTED_VALUE"""),"CreateDoneAwayOrder")</f>
        <v>CreateDoneAwayOrder</v>
      </c>
      <c r="AC4" s="22" t="str">
        <f>IFERROR(__xludf.DUMMYFUNCTION("""COMPUTED_VALUE"""),"SendLiveBloomberg")</f>
        <v>SendLiveBloomberg</v>
      </c>
      <c r="AD4" s="22" t="str">
        <f>IFERROR(__xludf.DUMMYFUNCTION("""COMPUTED_VALUE"""),"AddOptionTrade")</f>
        <v>AddOptionTrade</v>
      </c>
      <c r="AE4" s="22" t="str">
        <f>IFERROR(__xludf.DUMMYFUNCTION("""COMPUTED_VALUE"""),"ViewAllocation")</f>
        <v>ViewAllocation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IFERROR(__xludf.DUMMYFUNCTION("""COMPUTED_VALUE"""),"Symbol")</f>
        <v>Symbol</v>
      </c>
      <c r="C5" s="24" t="str">
        <f>IFERROR(__xludf.DUMMYFUNCTION("""COMPUTED_VALUE"""),"Order Side")</f>
        <v>Order Side</v>
      </c>
      <c r="D5" s="24" t="str">
        <f>IFERROR(__xludf.DUMMYFUNCTION("""COMPUTED_VALUE"""),"Quantity")</f>
        <v>Quantity</v>
      </c>
      <c r="E5" s="24" t="str">
        <f>IFERROR(__xludf.DUMMYFUNCTION("""COMPUTED_VALUE"""),"TargetQuantityIn")</f>
        <v>TargetQuantityIn</v>
      </c>
      <c r="F5" s="24" t="str">
        <f>IFERROR(__xludf.DUMMYFUNCTION("""COMPUTED_VALUE"""),"AllocationMethod")</f>
        <v>AllocationMethod</v>
      </c>
      <c r="G5" s="24" t="str">
        <f>IFERROR(__xludf.DUMMYFUNCTION("""COMPUTED_VALUE"""),"Broker")</f>
        <v>Broker</v>
      </c>
      <c r="H5" s="24" t="str">
        <f>IFERROR(__xludf.DUMMYFUNCTION("""COMPUTED_VALUE"""),"TIF")</f>
        <v>TIF</v>
      </c>
      <c r="I5" s="24" t="str">
        <f>IFERROR(__xludf.DUMMYFUNCTION("""COMPUTED_VALUE"""),"Order Type")</f>
        <v>Order Type</v>
      </c>
      <c r="J5" s="24" t="str">
        <f>IFERROR(__xludf.DUMMYFUNCTION("""COMPUTED_VALUE"""),"Price")</f>
        <v>Price</v>
      </c>
      <c r="K5" s="24" t="str">
        <f>IFERROR(__xludf.DUMMYFUNCTION("""COMPUTED_VALUE"""),"Stop")</f>
        <v>Stop</v>
      </c>
      <c r="L5" s="24" t="str">
        <f>IFERROR(__xludf.DUMMYFUNCTION("""COMPUTED_VALUE"""),"Limit")</f>
        <v>Limit</v>
      </c>
      <c r="M5" s="24" t="str">
        <f>IFERROR(__xludf.DUMMYFUNCTION("""COMPUTED_VALUE"""),"Strategy")</f>
        <v>Strategy</v>
      </c>
      <c r="N5" s="24" t="str">
        <f>IFERROR(__xludf.DUMMYFUNCTION("""COMPUTED_VALUE"""),"Trade Date")</f>
        <v>Trade Date</v>
      </c>
      <c r="O5" s="24" t="str">
        <f>IFERROR(__xludf.DUMMYFUNCTION("""COMPUTED_VALUE"""),"FxRate")</f>
        <v>FxRate</v>
      </c>
      <c r="P5" s="24" t="str">
        <f>IFERROR(__xludf.DUMMYFUNCTION("""COMPUTED_VALUE"""),"Notes")</f>
        <v>Notes</v>
      </c>
      <c r="Q5" s="24" t="str">
        <f>IFERROR(__xludf.DUMMYFUNCTION("""COMPUTED_VALUE"""),"Broker Notes")</f>
        <v>Broker Notes</v>
      </c>
      <c r="R5" s="24" t="str">
        <f>IFERROR(__xludf.DUMMYFUNCTION("""COMPUTED_VALUE"""),"CommissionBasis")</f>
        <v>CommissionBasis</v>
      </c>
      <c r="S5" s="24" t="str">
        <f>IFERROR(__xludf.DUMMYFUNCTION("""COMPUTED_VALUE"""),"CommissionRate")</f>
        <v>CommissionRate</v>
      </c>
      <c r="T5" s="25" t="str">
        <f>IFERROR(__xludf.DUMMYFUNCTION("""COMPUTED_VALUE"""),"SoftBasis")</f>
        <v>SoftBasis</v>
      </c>
      <c r="U5" s="25" t="str">
        <f>IFERROR(__xludf.DUMMYFUNCTION("""COMPUTED_VALUE"""),"SoftRate")</f>
        <v>SoftRate</v>
      </c>
      <c r="V5" s="25" t="str">
        <f>IFERROR(__xludf.DUMMYFUNCTION("""COMPUTED_VALUE"""),"TradeAttribute1")</f>
        <v>TradeAttribute1</v>
      </c>
      <c r="W5" s="25" t="str">
        <f>IFERROR(__xludf.DUMMYFUNCTION("""COMPUTED_VALUE"""),"TradeAttribute2")</f>
        <v>TradeAttribute2</v>
      </c>
      <c r="X5" s="25" t="str">
        <f>IFERROR(__xludf.DUMMYFUNCTION("""COMPUTED_VALUE"""),"TradeAttribute3")</f>
        <v>TradeAttribute3</v>
      </c>
      <c r="Y5" s="25" t="str">
        <f>IFERROR(__xludf.DUMMYFUNCTION("""COMPUTED_VALUE"""),"TradeAttribute4")</f>
        <v>TradeAttribute4</v>
      </c>
      <c r="Z5" s="25" t="str">
        <f>IFERROR(__xludf.DUMMYFUNCTION("""COMPUTED_VALUE"""),"TradeAttribute5")</f>
        <v>TradeAttribute5</v>
      </c>
      <c r="AA5" s="25" t="str">
        <f>IFERROR(__xludf.DUMMYFUNCTION("""COMPUTED_VALUE"""),"TradeAttribute6")</f>
        <v>TradeAttribute6</v>
      </c>
      <c r="AB5" s="25" t="str">
        <f>IFERROR(__xludf.DUMMYFUNCTION("""COMPUTED_VALUE"""),"Venue")</f>
        <v>Venue</v>
      </c>
      <c r="AC5" s="25" t="str">
        <f>IFERROR(__xludf.DUMMYFUNCTION("""COMPUTED_VALUE"""),"ExecutionInstructions")</f>
        <v>ExecutionInstructions</v>
      </c>
      <c r="AD5" s="25" t="str">
        <f>IFERROR(__xludf.DUMMYFUNCTION("""COMPUTED_VALUE"""),"HandlingInstructions")</f>
        <v>HandlingInstructions</v>
      </c>
      <c r="AE5" s="25" t="str">
        <f>IFERROR(__xludf.DUMMYFUNCTION("""COMPUTED_VALUE"""),"Trader")</f>
        <v>Trader</v>
      </c>
      <c r="AF5" s="25" t="str">
        <f>IFERROR(__xludf.DUMMYFUNCTION("""COMPUTED_VALUE"""),"SettlementCurrency")</f>
        <v>SettlementCurrency</v>
      </c>
      <c r="AG5" s="25" t="str">
        <f>IFERROR(__xludf.DUMMYFUNCTION("""COMPUTED_VALUE"""),"SettlementFXRate")</f>
        <v>SettlementFXRate</v>
      </c>
      <c r="AH5" s="25" t="str">
        <f>IFERROR(__xludf.DUMMYFUNCTION("""COMPUTED_VALUE"""),"SettlementAmount")</f>
        <v>SettlementAmount</v>
      </c>
      <c r="AI5" s="25" t="str">
        <f>IFERROR(__xludf.DUMMYFUNCTION("""COMPUTED_VALUE"""),"SettlementFXOperator")</f>
        <v>SettlementFXOperator</v>
      </c>
      <c r="AJ5" s="25" t="str">
        <f>IFERROR(__xludf.DUMMYFUNCTION("""COMPUTED_VALUE"""),"SettleByBroker")</f>
        <v>SettleByBroker</v>
      </c>
      <c r="AK5" s="25" t="str">
        <f>IFERROR(__xludf.DUMMYFUNCTION("""COMPUTED_VALUE"""),"Account")</f>
        <v>Account</v>
      </c>
      <c r="AL5" s="25" t="str">
        <f>IFERROR(__xludf.DUMMYFUNCTION("""COMPUTED_VALUE"""),"Account %")</f>
        <v>Account %</v>
      </c>
      <c r="AM5" s="25" t="str">
        <f>IFERROR(__xludf.DUMMYFUNCTION("""COMPUTED_VALUE"""),"Deal In")</f>
        <v>Deal In</v>
      </c>
      <c r="AN5" s="25" t="str">
        <f>IFERROR(__xludf.DUMMYFUNCTION("""COMPUTED_VALUE"""),"ChkBoxBookAsSwap")</f>
        <v>ChkBoxBookAsSwap</v>
      </c>
      <c r="AO5" s="25" t="str">
        <f>IFERROR(__xludf.DUMMYFUNCTION("""COMPUTED_VALUE"""),"PopUpQuantity")</f>
        <v>PopUpQuantity</v>
      </c>
      <c r="AP5" s="25" t="str">
        <f>IFERROR(__xludf.DUMMYFUNCTION("""COMPUTED_VALUE"""),"ShortLocate")</f>
        <v>ShortLocate</v>
      </c>
      <c r="AQ5" s="25" t="str">
        <f>IFERROR(__xludf.DUMMYFUNCTION("""COMPUTED_VALUE"""),"AllowTrade")</f>
        <v>AllowTrade</v>
      </c>
      <c r="AR5" s="25" t="str">
        <f>IFERROR(__xludf.DUMMYFUNCTION("""COMPUTED_VALUE"""),"Rate(%)")</f>
        <v>Rate(%)</v>
      </c>
      <c r="AS5" s="25" t="str">
        <f>IFERROR(__xludf.DUMMYFUNCTION("""COMPUTED_VALUE"""),"SharesOutstandingPopUpQty")</f>
        <v>SharesOutstandingPopUpQty</v>
      </c>
      <c r="AT5" s="25" t="str">
        <f>IFERROR(__xludf.DUMMYFUNCTION("""COMPUTED_VALUE"""),"SharesOutstandingPopUp")</f>
        <v>SharesOutstandingPopUp</v>
      </c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</row>
    <row r="6" ht="15.75" customHeight="1">
      <c r="A6" s="9"/>
      <c r="B6" s="9" t="s">
        <v>671</v>
      </c>
      <c r="C6" s="9" t="s">
        <v>672</v>
      </c>
      <c r="D6" s="9">
        <v>100.0</v>
      </c>
      <c r="E6" s="9">
        <v>100.0</v>
      </c>
      <c r="F6" s="9" t="s">
        <v>667</v>
      </c>
      <c r="G6" s="9"/>
      <c r="H6" s="9"/>
      <c r="I6" s="9"/>
      <c r="J6" s="9">
        <v>4.0</v>
      </c>
      <c r="K6" s="9"/>
      <c r="L6" s="9"/>
      <c r="M6" s="9"/>
      <c r="N6" s="26">
        <f t="shared" ref="N6:N9" si="1">TODAY()</f>
        <v>45861</v>
      </c>
      <c r="O6" s="9"/>
    </row>
    <row r="7" ht="15.75" customHeight="1">
      <c r="A7" s="9"/>
      <c r="B7" s="9" t="s">
        <v>671</v>
      </c>
      <c r="C7" s="9" t="s">
        <v>672</v>
      </c>
      <c r="D7" s="9">
        <v>200.0</v>
      </c>
      <c r="E7" s="9">
        <v>200.0</v>
      </c>
      <c r="F7" s="9" t="s">
        <v>669</v>
      </c>
      <c r="G7" s="9"/>
      <c r="H7" s="9"/>
      <c r="I7" s="9"/>
      <c r="J7" s="9">
        <v>4.0</v>
      </c>
      <c r="K7" s="9"/>
      <c r="L7" s="9"/>
      <c r="M7" s="9"/>
      <c r="N7" s="26">
        <f t="shared" si="1"/>
        <v>45861</v>
      </c>
      <c r="O7" s="9"/>
    </row>
    <row r="8" ht="15.75" customHeight="1">
      <c r="A8" s="9"/>
      <c r="B8" s="9" t="s">
        <v>671</v>
      </c>
      <c r="C8" s="9" t="s">
        <v>672</v>
      </c>
      <c r="D8" s="9">
        <v>201.0</v>
      </c>
      <c r="E8" s="9">
        <v>201.0</v>
      </c>
      <c r="F8" s="9" t="s">
        <v>670</v>
      </c>
      <c r="G8" s="9"/>
      <c r="H8" s="9"/>
      <c r="I8" s="9"/>
      <c r="J8" s="9">
        <v>4.0</v>
      </c>
      <c r="K8" s="9"/>
      <c r="L8" s="9"/>
      <c r="M8" s="9"/>
      <c r="N8" s="26">
        <f t="shared" si="1"/>
        <v>45861</v>
      </c>
      <c r="O8" s="9"/>
    </row>
    <row r="9" ht="15.75" customHeight="1">
      <c r="A9" s="9"/>
      <c r="B9" s="9" t="s">
        <v>671</v>
      </c>
      <c r="C9" s="9" t="s">
        <v>672</v>
      </c>
      <c r="D9" s="9">
        <v>10000.0</v>
      </c>
      <c r="E9" s="9">
        <v>5000.0</v>
      </c>
      <c r="F9" s="9" t="s">
        <v>673</v>
      </c>
      <c r="G9" s="9"/>
      <c r="H9" s="9"/>
      <c r="I9" s="9"/>
      <c r="J9" s="9">
        <v>4.0</v>
      </c>
      <c r="K9" s="9"/>
      <c r="L9" s="9"/>
      <c r="M9" s="9"/>
      <c r="N9" s="26">
        <f t="shared" si="1"/>
        <v>45861</v>
      </c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0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57</v>
      </c>
      <c r="D3" s="4" t="s">
        <v>662</v>
      </c>
      <c r="E3" s="13" t="s">
        <v>57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</row>
    <row r="4" ht="15.75" customHeight="1">
      <c r="A4" s="21"/>
      <c r="B4" s="21" t="str">
        <f>IFERROR(__xludf.DUMMYFUNCTION("IF(C3="""","""",Transpose(IMPORTRANGE('_Settings'!$B$3,C3&amp;""!A4:A1000"")))"),"PricingInput")</f>
        <v>PricingInput</v>
      </c>
      <c r="C4" s="21" t="str">
        <f>IFERROR(__xludf.DUMMYFUNCTION("""COMPUTED_VALUE"""),"UpdateSharesOutstanding")</f>
        <v>UpdateSharesOutstanding</v>
      </c>
      <c r="D4" s="21" t="str">
        <f>IFERROR(__xludf.DUMMYFUNCTION("""COMPUTED_VALUE"""),"EODTPreferences")</f>
        <v>EODTPreferences</v>
      </c>
      <c r="E4" s="21" t="str">
        <f>IFERROR(__xludf.DUMMYFUNCTION("""COMPUTED_VALUE"""),"LiveData")</f>
        <v>LiveData</v>
      </c>
      <c r="F4" s="21" t="str">
        <f>IFERROR(__xludf.DUMMYFUNCTION("""COMPUTED_VALUE"""),"UncheckDividendYield")</f>
        <v>UncheckDividendYield</v>
      </c>
      <c r="G4" s="21"/>
      <c r="H4" s="21"/>
      <c r="I4" s="21"/>
      <c r="J4" s="21"/>
      <c r="K4" s="21"/>
      <c r="L4" s="21"/>
      <c r="M4" s="21"/>
      <c r="N4" s="21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IFERROR(__xludf.DUMMYFUNCTION("""COMPUTED_VALUE"""),"Symbol")</f>
        <v>Symbol</v>
      </c>
      <c r="C5" s="24" t="str">
        <f>IFERROR(__xludf.DUMMYFUNCTION("""COMPUTED_VALUE"""),"User Px")</f>
        <v>User Px</v>
      </c>
      <c r="D5" s="24" t="str">
        <f>IFERROR(__xludf.DUMMYFUNCTION("""COMPUTED_VALUE"""),"Asset Class")</f>
        <v>Asset Class</v>
      </c>
      <c r="E5" s="24" t="str">
        <f>IFERROR(__xludf.DUMMYFUNCTION("""COMPUTED_VALUE"""),"Volatility(%)")</f>
        <v>Volatility(%)</v>
      </c>
      <c r="F5" s="24" t="str">
        <f>IFERROR(__xludf.DUMMYFUNCTION("""COMPUTED_VALUE"""),"Historical Volatility")</f>
        <v>Historical Volatility</v>
      </c>
      <c r="G5" s="24" t="str">
        <f>IFERROR(__xludf.DUMMYFUNCTION("""COMPUTED_VALUE"""),"User Volatility")</f>
        <v>User Volatility</v>
      </c>
      <c r="H5" s="24" t="str">
        <f>IFERROR(__xludf.DUMMYFUNCTION("""COMPUTED_VALUE"""),"Interest Rate")</f>
        <v>Interest Rate</v>
      </c>
      <c r="I5" s="24" t="str">
        <f>IFERROR(__xludf.DUMMYFUNCTION("""COMPUTED_VALUE"""),"User Interest Rate")</f>
        <v>User Interest Rate</v>
      </c>
      <c r="J5" s="24" t="str">
        <f>IFERROR(__xludf.DUMMYFUNCTION("""COMPUTED_VALUE"""),"Dividend Yield")</f>
        <v>Dividend Yield</v>
      </c>
      <c r="K5" s="24" t="str">
        <f>IFERROR(__xludf.DUMMYFUNCTION("""COMPUTED_VALUE"""),"User Dividend Yield")</f>
        <v>User Dividend Yield</v>
      </c>
      <c r="L5" s="24" t="str">
        <f>IFERROR(__xludf.DUMMYFUNCTION("""COMPUTED_VALUE"""),"Actual Delta")</f>
        <v>Actual Delta</v>
      </c>
      <c r="M5" s="24" t="str">
        <f>IFERROR(__xludf.DUMMYFUNCTION("""COMPUTED_VALUE"""),"User Delta")</f>
        <v>User Delta</v>
      </c>
      <c r="N5" s="24" t="str">
        <f>IFERROR(__xludf.DUMMYFUNCTION("""COMPUTED_VALUE"""),"Selected Px")</f>
        <v>Selected Px</v>
      </c>
      <c r="O5" s="24" t="str">
        <f>IFERROR(__xludf.DUMMYFUNCTION("""COMPUTED_VALUE"""),"Forward Points")</f>
        <v>Forward Points</v>
      </c>
      <c r="P5" s="24" t="str">
        <f>IFERROR(__xludf.DUMMYFUNCTION("""COMPUTED_VALUE"""),"Shares Outstanding")</f>
        <v>Shares Outstanding</v>
      </c>
      <c r="Q5" s="24" t="str">
        <f>IFERROR(__xludf.DUMMYFUNCTION("""COMPUTED_VALUE"""),"User Shares Outstanding")</f>
        <v>User Shares Outstanding</v>
      </c>
      <c r="R5" s="24" t="str">
        <f>IFERROR(__xludf.DUMMYFUNCTION("""COMPUTED_VALUE"""),"LastPriceUsed")</f>
        <v>LastPriceUsed</v>
      </c>
      <c r="S5" s="24" t="str">
        <f>IFERROR(__xludf.DUMMYFUNCTION("""COMPUTED_VALUE"""),"VolatilityUsed")</f>
        <v>VolatilityUsed</v>
      </c>
      <c r="T5" s="25" t="str">
        <f>IFERROR(__xludf.DUMMYFUNCTION("""COMPUTED_VALUE"""),"IntRateUsed")</f>
        <v>IntRateUsed</v>
      </c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</row>
    <row r="6" ht="15.75" customHeight="1">
      <c r="A6" s="9"/>
      <c r="B6" s="9" t="s">
        <v>671</v>
      </c>
      <c r="C6" s="9">
        <v>4.0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4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1-RJhOo2E5PhyqaiMEjsPi8RpfYBuiSqE9fj_-bRpkKw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2</v>
      </c>
      <c r="D3" s="4" t="s">
        <v>662</v>
      </c>
      <c r="E3" s="13" t="s">
        <v>199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</row>
    <row r="4" ht="15.75" customHeight="1">
      <c r="A4" s="21"/>
      <c r="B4" s="21" t="str">
        <f>IFERROR(__xludf.DUMMYFUNCTION("IF(C3="""","""",Transpose(IMPORTRANGE('_Settings'!$B$3,C3&amp;""!A4:A1000"")))"),"Allocate")</f>
        <v>Allocate</v>
      </c>
      <c r="C4" s="21" t="str">
        <f>IFERROR(__xludf.DUMMYFUNCTION("""COMPUTED_VALUE"""),"CheckAllocatedGroups")</f>
        <v>CheckAllocatedGroups</v>
      </c>
      <c r="D4" s="21" t="str">
        <f>IFERROR(__xludf.DUMMYFUNCTION("""COMPUTED_VALUE"""),"Unallocate")</f>
        <v>Unallocate</v>
      </c>
      <c r="E4" s="21" t="str">
        <f>IFERROR(__xludf.DUMMYFUNCTION("""COMPUTED_VALUE"""),"GetDataAllocation")</f>
        <v>GetDataAllocation</v>
      </c>
      <c r="F4" s="21" t="str">
        <f>IFERROR(__xludf.DUMMYFUNCTION("""COMPUTED_VALUE"""),"SelectAllocatedGroup")</f>
        <v>SelectAllocatedGroup</v>
      </c>
      <c r="G4" s="21" t="str">
        <f>IFERROR(__xludf.DUMMYFUNCTION("""COMPUTED_VALUE"""),"EditTradesAllocated")</f>
        <v>EditTradesAllocated</v>
      </c>
      <c r="H4" s="21" t="str">
        <f>IFERROR(__xludf.DUMMYFUNCTION("""COMPUTED_VALUE"""),"EditTradesUnallocated")</f>
        <v>EditTradesUnallocated</v>
      </c>
      <c r="I4" s="21" t="str">
        <f>IFERROR(__xludf.DUMMYFUNCTION("""COMPUTED_VALUE"""),"Reallocate")</f>
        <v>Reallocate</v>
      </c>
      <c r="J4" s="21" t="str">
        <f>IFERROR(__xludf.DUMMYFUNCTION("""COMPUTED_VALUE"""),"EditUnallocatedGroupSidePanel")</f>
        <v>EditUnallocatedGroupSidePanel</v>
      </c>
      <c r="K4" s="21" t="str">
        <f>IFERROR(__xludf.DUMMYFUNCTION("""COMPUTED_VALUE"""),"TradeAttributeBulkChange")</f>
        <v>TradeAttributeBulkChange</v>
      </c>
      <c r="L4" s="21" t="str">
        <f>IFERROR(__xludf.DUMMYFUNCTION("""COMPUTED_VALUE"""),"ApplyBulkUpdateOnGroups")</f>
        <v>ApplyBulkUpdateOnGroups</v>
      </c>
      <c r="M4" s="21" t="str">
        <f>IFERROR(__xludf.DUMMYFUNCTION("""COMPUTED_VALUE"""),"ApplyPrefetchFilters")</f>
        <v>ApplyPrefetchFilters</v>
      </c>
      <c r="N4" s="21" t="str">
        <f>IFERROR(__xludf.DUMMYFUNCTION("""COMPUTED_VALUE"""),"GeneralPreferencesDefaultRule")</f>
        <v>GeneralPreferencesDefaultRule</v>
      </c>
      <c r="O4" s="21" t="str">
        <f>IFERROR(__xludf.DUMMYFUNCTION("""COMPUTED_VALUE"""),"GeneralPrefCompanyUserWise")</f>
        <v>GeneralPrefCompanyUserWise</v>
      </c>
      <c r="P4" s="22" t="str">
        <f>IFERROR(__xludf.DUMMYFUNCTION("""COMPUTED_VALUE"""),"RenameTradeAttributes")</f>
        <v>RenameTradeAttributes</v>
      </c>
      <c r="Q4" s="22" t="str">
        <f>IFERROR(__xludf.DUMMYFUNCTION("""COMPUTED_VALUE"""),"SetGroupingRules")</f>
        <v>SetGroupingRules</v>
      </c>
      <c r="R4" s="22" t="str">
        <f>IFERROR(__xludf.DUMMYFUNCTION("""COMPUTED_VALUE"""),"SetMasterFundRatio")</f>
        <v>SetMasterFundRatio</v>
      </c>
      <c r="S4" s="22" t="str">
        <f>IFERROR(__xludf.DUMMYFUNCTION("""COMPUTED_VALUE"""),"CheckFixedPreference")</f>
        <v>CheckFixedPreference</v>
      </c>
      <c r="T4" s="22" t="str">
        <f>IFERROR(__xludf.DUMMYFUNCTION("""COMPUTED_VALUE"""),"GetFixedPreference")</f>
        <v>GetFixedPreference</v>
      </c>
      <c r="U4" s="22" t="str">
        <f>IFERROR(__xludf.DUMMYFUNCTION("""COMPUTED_VALUE"""),"AddCalculatedPreferences")</f>
        <v>AddCalculatedPreferences</v>
      </c>
      <c r="V4" s="22" t="str">
        <f>IFERROR(__xludf.DUMMYFUNCTION("""COMPUTED_VALUE"""),"BulkChangeCalculatedPreferences")</f>
        <v>BulkChangeCalculatedPreferences</v>
      </c>
      <c r="W4" s="22" t="str">
        <f>IFERROR(__xludf.DUMMYFUNCTION("""COMPUTED_VALUE"""),"DeleteCalculatedPreferences")</f>
        <v>DeleteCalculatedPreferences</v>
      </c>
      <c r="X4" s="22" t="str">
        <f>IFERROR(__xludf.DUMMYFUNCTION("""COMPUTED_VALUE"""),"RenameCalculatedPreferences")</f>
        <v>RenameCalculatedPreferences</v>
      </c>
      <c r="Y4" s="22" t="str">
        <f>IFERROR(__xludf.DUMMYFUNCTION("""COMPUTED_VALUE"""),"CopyCalculatedPreferences")</f>
        <v>CopyCalculatedPreferences</v>
      </c>
      <c r="Z4" s="22" t="str">
        <f>IFERROR(__xludf.DUMMYFUNCTION("""COMPUTED_VALUE"""),"RunAutoGroup")</f>
        <v>RunAutoGroup</v>
      </c>
      <c r="AA4" s="22" t="str">
        <f>IFERROR(__xludf.DUMMYFUNCTION("""COMPUTED_VALUE"""),"BookOrUpdateSwap")</f>
        <v>BookOrUpdateSwap</v>
      </c>
      <c r="AB4" s="22" t="str">
        <f>IFERROR(__xludf.DUMMYFUNCTION("""COMPUTED_VALUE"""),"RunProrata")</f>
        <v>RunProrata</v>
      </c>
      <c r="AC4" s="22" t="str">
        <f>IFERROR(__xludf.DUMMYFUNCTION("""COMPUTED_VALUE"""),"SetDefaultRuleCalculatedPref")</f>
        <v>SetDefaultRuleCalculatedPref</v>
      </c>
      <c r="AD4" s="22" t="str">
        <f>IFERROR(__xludf.DUMMYFUNCTION("""COMPUTED_VALUE"""),"SetAccountValueCalculatedPref")</f>
        <v>SetAccountValueCalculatedPref</v>
      </c>
      <c r="AE4" s="22" t="str">
        <f>IFERROR(__xludf.DUMMYFUNCTION("""COMPUTED_VALUE"""),"TradeAttributeBulkChangeGroups")</f>
        <v>TradeAttributeBulkChangeGroups</v>
      </c>
      <c r="AF4" s="22" t="str">
        <f>IFERROR(__xludf.DUMMYFUNCTION("""COMPUTED_VALUE"""),"TradeAttributeBulkChangeTaxlots")</f>
        <v>TradeAttributeBulkChangeTaxlots</v>
      </c>
      <c r="AG4" s="22" t="str">
        <f>IFERROR(__xludf.DUMMYFUNCTION("""COMPUTED_VALUE"""),"AddCalculatedPreferenceToolbar")</f>
        <v>AddCalculatedPreferenceToolbar</v>
      </c>
      <c r="AH4" s="22" t="str">
        <f>IFERROR(__xludf.DUMMYFUNCTION("""COMPUTED_VALUE"""),"SetStrategyValueCalculatedPref")</f>
        <v>SetStrategyValueCalculatedPref</v>
      </c>
      <c r="AI4" s="22" t="str">
        <f>IFERROR(__xludf.DUMMYFUNCTION("""COMPUTED_VALUE"""),"ApplyBulkUpdateOnTaxlots")</f>
        <v>ApplyBulkUpdateOnTaxlots</v>
      </c>
      <c r="AJ4" s="22" t="str">
        <f>IFERROR(__xludf.DUMMYFUNCTION("""COMPUTED_VALUE"""),"CommissionBulkChangeOnGroups")</f>
        <v>CommissionBulkChangeOnGroups</v>
      </c>
      <c r="AK4" s="22" t="str">
        <f>IFERROR(__xludf.DUMMYFUNCTION("""COMPUTED_VALUE"""),"CommissionBulkChangeOnTaxlots")</f>
        <v>CommissionBulkChangeOnTaxlots</v>
      </c>
      <c r="AL4" s="22" t="str">
        <f>IFERROR(__xludf.DUMMYFUNCTION("""COMPUTED_VALUE"""),"SelectUnallocatedGroup")</f>
        <v>SelectUnallocatedGroup</v>
      </c>
      <c r="AM4" s="22" t="str">
        <f>IFERROR(__xludf.DUMMYFUNCTION("""COMPUTED_VALUE"""),"EnterAccountValuesToAllocate")</f>
        <v>EnterAccountValuesToAllocate</v>
      </c>
      <c r="AN4" s="22" t="str">
        <f>IFERROR(__xludf.DUMMYFUNCTION("""COMPUTED_VALUE"""),"EnterAllocatePreference")</f>
        <v>EnterAllocatePreference</v>
      </c>
      <c r="AO4" s="22" t="str">
        <f>IFERROR(__xludf.DUMMYFUNCTION("""COMPUTED_VALUE"""),"EnterStrategyValuesToAllocate")</f>
        <v>EnterStrategyValuesToAllocate</v>
      </c>
      <c r="AP4" s="22" t="str">
        <f>IFERROR(__xludf.DUMMYFUNCTION("""COMPUTED_VALUE"""),"CopyCalculatedPreferenceToolbar")</f>
        <v>CopyCalculatedPreferenceToolbar</v>
      </c>
      <c r="AQ4" s="22" t="str">
        <f>IFERROR(__xludf.DUMMYFUNCTION("""COMPUTED_VALUE"""),"SetGeneralRuleCalculatedPref")</f>
        <v>SetGeneralRuleCalculatedPref</v>
      </c>
      <c r="AR4" s="22" t="str">
        <f>IFERROR(__xludf.DUMMYFUNCTION("""COMPUTED_VALUE"""),"ExportAllCalculatedPreferences")</f>
        <v>ExportAllCalculatedPreferences</v>
      </c>
      <c r="AS4" s="22" t="str">
        <f>IFERROR(__xludf.DUMMYFUNCTION("""COMPUTED_VALUE"""),"SaveCalculatedPreferences")</f>
        <v>SaveCalculatedPreferences</v>
      </c>
      <c r="AT4" s="22" t="str">
        <f>IFERROR(__xludf.DUMMYFUNCTION("""COMPUTED_VALUE"""),"CloseCalculatedPreferences")</f>
        <v>CloseCalculatedPreferences</v>
      </c>
      <c r="AU4" s="22" t="str">
        <f>IFERROR(__xludf.DUMMYFUNCTION("""COMPUTED_VALUE"""),"ExportCalculatedPreference")</f>
        <v>ExportCalculatedPreference</v>
      </c>
      <c r="AV4" s="22" t="str">
        <f>IFERROR(__xludf.DUMMYFUNCTION("""COMPUTED_VALUE"""),"ImportCalculatedPreferences")</f>
        <v>ImportCalculatedPreferences</v>
      </c>
      <c r="AW4" s="22" t="str">
        <f>IFERROR(__xludf.DUMMYFUNCTION("""COMPUTED_VALUE"""),"OpenAuditTrailUnallocatedGroup")</f>
        <v>OpenAuditTrailUnallocatedGroup</v>
      </c>
      <c r="AX4" s="22" t="str">
        <f>IFERROR(__xludf.DUMMYFUNCTION("""COMPUTED_VALUE"""),"DeleteCalculatedPreferencesTool")</f>
        <v>DeleteCalculatedPreferencesTool</v>
      </c>
      <c r="AY4" s="22" t="str">
        <f>IFERROR(__xludf.DUMMYFUNCTION("""COMPUTED_VALUE"""),"ImportCalculatedPreferencesTool")</f>
        <v>ImportCalculatedPreferencesTool</v>
      </c>
      <c r="AZ4" s="22" t="str">
        <f>IFERROR(__xludf.DUMMYFUNCTION("""COMPUTED_VALUE"""),"ExportAllCalculatedPreferTool")</f>
        <v>ExportAllCalculatedPreferTool</v>
      </c>
      <c r="BA4" s="22" t="str">
        <f>IFERROR(__xludf.DUMMYFUNCTION("""COMPUTED_VALUE"""),"OpenAuditTrailAllocatedGroup")</f>
        <v>OpenAuditTrailAllocatedGroup</v>
      </c>
      <c r="BB4" s="22" t="str">
        <f>IFERROR(__xludf.DUMMYFUNCTION("""COMPUTED_VALUE"""),"OpenSymbolLookupUnallocateGroup")</f>
        <v>OpenSymbolLookupUnallocateGroup</v>
      </c>
      <c r="BC4" s="22" t="str">
        <f>IFERROR(__xludf.DUMMYFUNCTION("""COMPUTED_VALUE"""),"OpenSymbolLookupAllocatedGroup")</f>
        <v>OpenSymbolLookupAllocatedGroup</v>
      </c>
      <c r="BD4" s="22" t="str">
        <f>IFERROR(__xludf.DUMMYFUNCTION("""COMPUTED_VALUE"""),"DeleteFixedPreference")</f>
        <v>DeleteFixedPreference</v>
      </c>
      <c r="BE4" s="22" t="str">
        <f>IFERROR(__xludf.DUMMYFUNCTION("""COMPUTED_VALUE"""),"EditAllocatedGroupSidePanel")</f>
        <v>EditAllocatedGroupSidePanel</v>
      </c>
      <c r="BF4" s="22" t="str">
        <f>IFERROR(__xludf.DUMMYFUNCTION("""COMPUTED_VALUE"""),"CheckUnallocatedGroups")</f>
        <v>CheckUnallocatedGroups</v>
      </c>
      <c r="BG4" s="22" t="str">
        <f>IFERROR(__xludf.DUMMYFUNCTION("""COMPUTED_VALUE"""),"SetGeneralPreferences")</f>
        <v>SetGeneralPreferences</v>
      </c>
      <c r="BH4" s="22" t="str">
        <f>IFERROR(__xludf.DUMMYFUNCTION("""COMPUTED_VALUE"""),"GroupTrades")</f>
        <v>GroupTrades</v>
      </c>
      <c r="BI4" s="22" t="str">
        <f>IFERROR(__xludf.DUMMYFUNCTION("""COMPUTED_VALUE"""),"UngroupTrades")</f>
        <v>UngroupTrades</v>
      </c>
      <c r="BJ4" s="22" t="str">
        <f>IFERROR(__xludf.DUMMYFUNCTION("""COMPUTED_VALUE"""),"DeleteGroup")</f>
        <v>DeleteGroup</v>
      </c>
      <c r="BK4" s="22" t="str">
        <f>IFERROR(__xludf.DUMMYFUNCTION("""COMPUTED_VALUE"""),"CloseOrder")</f>
        <v>CloseOrder</v>
      </c>
      <c r="BL4" s="22" t="str">
        <f>IFERROR(__xludf.DUMMYFUNCTION("""COMPUTED_VALUE"""),"Unallocate")</f>
        <v>Unallocate</v>
      </c>
      <c r="BM4" s="22" t="str">
        <f>IFERROR(__xludf.DUMMYFUNCTION("""COMPUTED_VALUE"""),"CloseAllocation")</f>
        <v>CloseAllocation</v>
      </c>
      <c r="BN4" s="22" t="str">
        <f>IFERROR(__xludf.DUMMYFUNCTION("""COMPUTED_VALUE"""),"UpdateGRAccountValue")</f>
        <v>UpdateGRAccountValue</v>
      </c>
      <c r="BO4" s="22" t="str">
        <f>IFERROR(__xludf.DUMMYFUNCTION("""COMPUTED_VALUE"""),"UpdateGRStrategyValue")</f>
        <v>UpdateGRStrategyValue</v>
      </c>
      <c r="BP4" s="22" t="str">
        <f>IFERROR(__xludf.DUMMYFUNCTION("""COMPUTED_VALUE"""),"UpdateGRDefaultRule")</f>
        <v>UpdateGRDefaultRule</v>
      </c>
      <c r="BQ4" s="22" t="str">
        <f>IFERROR(__xludf.DUMMYFUNCTION("""COMPUTED_VALUE"""),"UpdateGeneralRulePref")</f>
        <v>UpdateGeneralRulePref</v>
      </c>
      <c r="BR4" s="22" t="str">
        <f>IFERROR(__xludf.DUMMYFUNCTION("""COMPUTED_VALUE"""),"ModifyGRPreferenceValues")</f>
        <v>ModifyGRPreferenceValues</v>
      </c>
      <c r="BS4" s="22" t="str">
        <f>IFERROR(__xludf.DUMMYFUNCTION("""COMPUTED_VALUE"""),"AddMFPreferences")</f>
        <v>AddMFPreferences</v>
      </c>
      <c r="BT4" s="22" t="str">
        <f>IFERROR(__xludf.DUMMYFUNCTION("""COMPUTED_VALUE"""),"AddMFPreferenceToolbar")</f>
        <v>AddMFPreferenceToolbar</v>
      </c>
      <c r="BU4" s="22" t="str">
        <f>IFERROR(__xludf.DUMMYFUNCTION("""COMPUTED_VALUE"""),"DeleteMFPreferences")</f>
        <v>DeleteMFPreferences</v>
      </c>
      <c r="BV4" s="22" t="str">
        <f>IFERROR(__xludf.DUMMYFUNCTION("""COMPUTED_VALUE"""),"DeleteMFPreferenceToolbar")</f>
        <v>DeleteMFPreferenceToolbar</v>
      </c>
      <c r="BW4" s="22" t="str">
        <f>IFERROR(__xludf.DUMMYFUNCTION("""COMPUTED_VALUE"""),"RenameMFPreferences")</f>
        <v>RenameMFPreferences</v>
      </c>
      <c r="BX4" s="22" t="str">
        <f>IFERROR(__xludf.DUMMYFUNCTION("""COMPUTED_VALUE"""),"SaveCloseMFPreference")</f>
        <v>SaveCloseMFPreference</v>
      </c>
      <c r="BY4" s="22" t="str">
        <f>IFERROR(__xludf.DUMMYFUNCTION("""COMPUTED_VALUE"""),"SetMFPrefAccountValues")</f>
        <v>SetMFPrefAccountValues</v>
      </c>
      <c r="BZ4" s="22" t="str">
        <f>IFERROR(__xludf.DUMMYFUNCTION("""COMPUTED_VALUE"""),"ModifyMFPrefGeneralRuleValues")</f>
        <v>ModifyMFPrefGeneralRuleValues</v>
      </c>
      <c r="CA4" s="22" t="str">
        <f>IFERROR(__xludf.DUMMYFUNCTION("""COMPUTED_VALUE"""),"SetMFPrefStrategyValues")</f>
        <v>SetMFPrefStrategyValues</v>
      </c>
      <c r="CB4" s="22" t="str">
        <f>IFERROR(__xludf.DUMMYFUNCTION("""COMPUTED_VALUE"""),"SetMFPrefGeneralRule")</f>
        <v>SetMFPrefGeneralRule</v>
      </c>
      <c r="CC4" s="22" t="str">
        <f>IFERROR(__xludf.DUMMYFUNCTION("""COMPUTED_VALUE"""),"SetMFPrefFundDistribution")</f>
        <v>SetMFPrefFundDistribution</v>
      </c>
      <c r="CD4" s="22" t="str">
        <f>IFERROR(__xludf.DUMMYFUNCTION("""COMPUTED_VALUE"""),"SetMFPreferencesDefaultRule")</f>
        <v>SetMFPreferencesDefaultRule</v>
      </c>
      <c r="CE4" s="22" t="str">
        <f>IFERROR(__xludf.DUMMYFUNCTION("""COMPUTED_VALUE"""),"SetMFPrefFundDefaultRule")</f>
        <v>SetMFPrefFundDefaultRule</v>
      </c>
      <c r="CF4" s="22" t="str">
        <f>IFERROR(__xludf.DUMMYFUNCTION("""COMPUTED_VALUE"""),"ClearPrefetchFilters")</f>
        <v>ClearPrefetchFilters</v>
      </c>
      <c r="CG4" s="22" t="str">
        <f>IFERROR(__xludf.DUMMYFUNCTION("""COMPUTED_VALUE"""),"ExpandCollapseAllUnallocated")</f>
        <v>ExpandCollapseAllUnallocated</v>
      </c>
      <c r="CH4" s="22" t="str">
        <f>IFERROR(__xludf.DUMMYFUNCTION("""COMPUTED_VALUE"""),"ExpandCollapseAllAllocated")</f>
        <v>ExpandCollapseAllAllocated</v>
      </c>
      <c r="CI4" s="22" t="str">
        <f>IFERROR(__xludf.DUMMYFUNCTION("""COMPUTED_VALUE"""),"GenerateCashTransaction")</f>
        <v>GenerateCashTransaction</v>
      </c>
      <c r="CJ4" s="22" t="str">
        <f>IFERROR(__xludf.DUMMYFUNCTION("""COMPUTED_VALUE"""),"SaveAllocation")</f>
        <v>SaveAllocation</v>
      </c>
      <c r="CK4" s="22" t="str">
        <f>IFERROR(__xludf.DUMMYFUNCTION("""COMPUTED_VALUE"""),"UnallocateWithOutSave")</f>
        <v>UnallocateWithOutSave</v>
      </c>
      <c r="CL4" s="22" t="str">
        <f>IFERROR(__xludf.DUMMYFUNCTION("""COMPUTED_VALUE"""),"EditUnallocatedGrid")</f>
        <v>EditUnallocatedGrid</v>
      </c>
      <c r="CM4" s="22" t="str">
        <f>IFERROR(__xludf.DUMMYFUNCTION("""COMPUTED_VALUE"""),"EditAllocatedGrid")</f>
        <v>EditAllocatedGrid</v>
      </c>
      <c r="CN4" s="22" t="str">
        <f>IFERROR(__xludf.DUMMYFUNCTION("""COMPUTED_VALUE"""),"SaveLayoutAllocatedGrid")</f>
        <v>SaveLayoutAllocatedGrid</v>
      </c>
      <c r="CO4" s="22" t="str">
        <f>IFERROR(__xludf.DUMMYFUNCTION("""COMPUTED_VALUE"""),"SaveLayoutUnallocatedGrid")</f>
        <v>SaveLayoutUnallocatedGrid</v>
      </c>
      <c r="CP4" s="22" t="str">
        <f>IFERROR(__xludf.DUMMYFUNCTION("""COMPUTED_VALUE"""),"SaveLayoutAllocationUI")</f>
        <v>SaveLayoutAllocationUI</v>
      </c>
      <c r="CQ4" s="22" t="str">
        <f>IFERROR(__xludf.DUMMYFUNCTION("""COMPUTED_VALUE"""),"ClearFiltersAllocatedGrid")</f>
        <v>ClearFiltersAllocatedGrid</v>
      </c>
      <c r="CR4" s="22" t="str">
        <f>IFERROR(__xludf.DUMMYFUNCTION("""COMPUTED_VALUE"""),"ClearFiltersUnallocatedGrid")</f>
        <v>ClearFiltersUnallocatedGrid</v>
      </c>
      <c r="CS4" s="22" t="str">
        <f>IFERROR(__xludf.DUMMYFUNCTION("""COMPUTED_VALUE"""),"VerifyLayoutAllocatedGrid")</f>
        <v>VerifyLayoutAllocatedGrid</v>
      </c>
      <c r="CT4" s="22" t="str">
        <f>IFERROR(__xludf.DUMMYFUNCTION("""COMPUTED_VALUE"""),"VerifyLayoutUnallocatedGrid")</f>
        <v>VerifyLayoutUnallocatedGrid</v>
      </c>
      <c r="CU4" s="22" t="str">
        <f>IFERROR(__xludf.DUMMYFUNCTION("""COMPUTED_VALUE"""),"CleanUp")</f>
        <v>CleanUp</v>
      </c>
      <c r="CV4" s="22" t="str">
        <f>IFERROR(__xludf.DUMMYFUNCTION("""COMPUTED_VALUE"""),"CheckAllocatedTaxlots")</f>
        <v>CheckAllocatedTaxlots</v>
      </c>
      <c r="CW4" s="22" t="str">
        <f>IFERROR(__xludf.DUMMYFUNCTION("""COMPUTED_VALUE"""),"CopyCalculatedPreferenceToolbar")</f>
        <v>CopyCalculatedPreferenceToolbar</v>
      </c>
      <c r="CX4" s="22" t="str">
        <f>IFERROR(__xludf.DUMMYFUNCTION("""COMPUTED_VALUE"""),"CloseOrder")</f>
        <v>CloseOrder</v>
      </c>
      <c r="CY4" s="22" t="str">
        <f>IFERROR(__xludf.DUMMYFUNCTION("""COMPUTED_VALUE"""),"DisableChecksideForAsset")</f>
        <v>DisableChecksideForAsset</v>
      </c>
      <c r="CZ4" s="22" t="str">
        <f>IFERROR(__xludf.DUMMYFUNCTION("""COMPUTED_VALUE"""),"DisableChecksideForAccount")</f>
        <v>DisableChecksideForAccount</v>
      </c>
      <c r="DA4" s="22" t="str">
        <f>IFERROR(__xludf.DUMMYFUNCTION("""COMPUTED_VALUE"""),"DisableChecksideForCounterParty")</f>
        <v>DisableChecksideForCounterParty</v>
      </c>
      <c r="DB4" s="22" t="str">
        <f>IFERROR(__xludf.DUMMYFUNCTION("""COMPUTED_VALUE"""),"DisableCheckside")</f>
        <v>DisableCheckside</v>
      </c>
      <c r="DC4" s="22" t="str">
        <f>IFERROR(__xludf.DUMMYFUNCTION("""COMPUTED_VALUE"""),"ApplyMasterFundFilter")</f>
        <v>ApplyMasterFundFilter</v>
      </c>
      <c r="DD4" s="22" t="str">
        <f>IFERROR(__xludf.DUMMYFUNCTION("""COMPUTED_VALUE"""),"ShowMasterFundOnTT")</f>
        <v>ShowMasterFundOnTT</v>
      </c>
      <c r="DE4" s="22" t="str">
        <f>IFERROR(__xludf.DUMMYFUNCTION("""COMPUTED_VALUE"""),"ShowMasterFundAsClient")</f>
        <v>ShowMasterFundAsClient</v>
      </c>
      <c r="DF4" s="22" t="str">
        <f>IFERROR(__xludf.DUMMYFUNCTION("""COMPUTED_VALUE"""),"SetBrokerAccountMapping")</f>
        <v>SetBrokerAccountMapping</v>
      </c>
      <c r="DG4" s="22" t="str">
        <f>IFERROR(__xludf.DUMMYFUNCTION("""COMPUTED_VALUE"""),"EditUnallocatedGridWPF")</f>
        <v>EditUnallocatedGridWPF</v>
      </c>
      <c r="DH4" s="22" t="str">
        <f>IFERROR(__xludf.DUMMYFUNCTION("""COMPUTED_VALUE"""),"EditAllocatedGridWPF")</f>
        <v>EditAllocatedGridWPF</v>
      </c>
      <c r="DI4" s="22" t="str">
        <f>IFERROR(__xludf.DUMMYFUNCTION("""COMPUTED_VALUE"""),"EditAllocatedGridTaxlot")</f>
        <v>EditAllocatedGridTaxlot</v>
      </c>
      <c r="DJ4" s="22" t="str">
        <f>IFERROR(__xludf.DUMMYFUNCTION("""COMPUTED_VALUE"""),"ExpandCollapseAllocatedGrid")</f>
        <v>ExpandCollapseAllocatedGrid</v>
      </c>
      <c r="DK4" s="22" t="str">
        <f>IFERROR(__xludf.DUMMYFUNCTION("""COMPUTED_VALUE"""),"ExpandCollapseUnallocatedGrid")</f>
        <v>ExpandCollapseUnallocatedGrid</v>
      </c>
      <c r="DL4" s="22" t="str">
        <f>IFERROR(__xludf.DUMMYFUNCTION("""COMPUTED_VALUE"""),"SetTradeAttributePreferences")</f>
        <v>SetTradeAttributePreferences</v>
      </c>
      <c r="DM4" s="22" t="str">
        <f>IFERROR(__xludf.DUMMYFUNCTION("""COMPUTED_VALUE"""),"EnterCustomAllocatePreference")</f>
        <v>EnterCustomAllocatePreference</v>
      </c>
      <c r="DN4" s="22" t="str">
        <f>IFERROR(__xludf.DUMMYFUNCTION("""COMPUTED_VALUE"""),"SetAutoGroupingPreferences")</f>
        <v>SetAutoGroupingPreferences</v>
      </c>
      <c r="DO4" s="22" t="str">
        <f>IFERROR(__xludf.DUMMYFUNCTION("""COMPUTED_VALUE"""),"SetAutoGroupingAccount")</f>
        <v>SetAutoGroupingAccount</v>
      </c>
      <c r="DP4" s="22" t="str">
        <f>IFERROR(__xludf.DUMMYFUNCTION("""COMPUTED_VALUE"""),"SetAvgPriceRounding")</f>
        <v>SetAvgPriceRounding</v>
      </c>
      <c r="DQ4" s="22" t="str">
        <f>IFERROR(__xludf.DUMMYFUNCTION("""COMPUTED_VALUE"""),"IsAllocationOpen")</f>
        <v>IsAllocationOpen</v>
      </c>
      <c r="DR4" s="22" t="str">
        <f>IFERROR(__xludf.DUMMYFUNCTION("""COMPUTED_VALUE"""),"AllocationAuditTrail")</f>
        <v>AllocationAuditTrail</v>
      </c>
      <c r="DS4" s="22" t="str">
        <f>IFERROR(__xludf.DUMMYFUNCTION("""COMPUTED_VALUE"""),"GetAuditTrailData")</f>
        <v>GetAuditTrailData</v>
      </c>
      <c r="DT4" s="22" t="str">
        <f>IFERROR(__xludf.DUMMYFUNCTION("""COMPUTED_VALUE"""),"CheckAuditTrailData")</f>
        <v>CheckAuditTrailData</v>
      </c>
      <c r="DU4" s="22"/>
      <c r="DV4" s="22"/>
      <c r="DW4" s="22"/>
      <c r="DX4" s="22"/>
      <c r="DY4" s="22"/>
      <c r="DZ4" s="22"/>
      <c r="EA4" s="22"/>
      <c r="EB4" s="22"/>
      <c r="EC4" s="22"/>
      <c r="ED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IFERROR(__xludf.DUMMYFUNCTION("""COMPUTED_VALUE"""),"Symbol")</f>
        <v>Symbol</v>
      </c>
      <c r="C5" s="24" t="str">
        <f>IFERROR(__xludf.DUMMYFUNCTION("""COMPUTED_VALUE"""),"Side")</f>
        <v>Side</v>
      </c>
      <c r="D5" s="24" t="str">
        <f>IFERROR(__xludf.DUMMYFUNCTION("""COMPUTED_VALUE"""),"Quantity")</f>
        <v>Quantity</v>
      </c>
      <c r="E5" s="24" t="str">
        <f>IFERROR(__xludf.DUMMYFUNCTION("""COMPUTED_VALUE"""),"Executed Qty")</f>
        <v>Executed Qty</v>
      </c>
      <c r="F5" s="24" t="str">
        <f>IFERROR(__xludf.DUMMYFUNCTION("""COMPUTED_VALUE"""),"Trade Date")</f>
        <v>Trade Date</v>
      </c>
      <c r="G5" s="24" t="str">
        <f>IFERROR(__xludf.DUMMYFUNCTION("""COMPUTED_VALUE"""),"Net Amount( Local)")</f>
        <v>Net Amount( Local)</v>
      </c>
      <c r="H5" s="24" t="str">
        <f>IFERROR(__xludf.DUMMYFUNCTION("""COMPUTED_VALUE"""),"Net Amount( Base)")</f>
        <v>Net Amount( Base)</v>
      </c>
      <c r="I5" s="24" t="str">
        <f>IFERROR(__xludf.DUMMYFUNCTION("""COMPUTED_VALUE"""),"Principal Amount( Local)")</f>
        <v>Principal Amount( Local)</v>
      </c>
      <c r="J5" s="24" t="str">
        <f>IFERROR(__xludf.DUMMYFUNCTION("""COMPUTED_VALUE"""),"Transaction Type")</f>
        <v>Transaction Type</v>
      </c>
      <c r="K5" s="24" t="str">
        <f>IFERROR(__xludf.DUMMYFUNCTION("""COMPUTED_VALUE"""),"Principal Amount( Base)")</f>
        <v>Principal Amount( Base)</v>
      </c>
      <c r="L5" s="24" t="str">
        <f>IFERROR(__xludf.DUMMYFUNCTION("""COMPUTED_VALUE"""),"Execution Time")</f>
        <v>Execution Time</v>
      </c>
      <c r="M5" s="24" t="str">
        <f>IFERROR(__xludf.DUMMYFUNCTION("""COMPUTED_VALUE"""),"Trading Account")</f>
        <v>Trading Account</v>
      </c>
      <c r="N5" s="24" t="str">
        <f>IFERROR(__xludf.DUMMYFUNCTION("""COMPUTED_VALUE"""),"Avg Price(Local)")</f>
        <v>Avg Price(Local)</v>
      </c>
      <c r="O5" s="24" t="str">
        <f>IFERROR(__xludf.DUMMYFUNCTION("""COMPUTED_VALUE"""),"Avg Price(Base)")</f>
        <v>Avg Price(Base)</v>
      </c>
      <c r="P5" s="24" t="str">
        <f>IFERROR(__xludf.DUMMYFUNCTION("""COMPUTED_VALUE"""),"Broker")</f>
        <v>Broker</v>
      </c>
      <c r="Q5" s="24" t="str">
        <f>IFERROR(__xludf.DUMMYFUNCTION("""COMPUTED_VALUE"""),"FX Rate")</f>
        <v>FX Rate</v>
      </c>
      <c r="R5" s="24" t="str">
        <f>IFERROR(__xludf.DUMMYFUNCTION("""COMPUTED_VALUE"""),"Venue")</f>
        <v>Venue</v>
      </c>
      <c r="S5" s="24" t="str">
        <f>IFERROR(__xludf.DUMMYFUNCTION("""COMPUTED_VALUE"""),"FX Conversion Operator")</f>
        <v>FX Conversion Operator</v>
      </c>
      <c r="T5" s="25" t="str">
        <f>IFERROR(__xludf.DUMMYFUNCTION("""COMPUTED_VALUE"""),"User")</f>
        <v>User</v>
      </c>
      <c r="U5" s="25" t="str">
        <f>IFERROR(__xludf.DUMMYFUNCTION("""COMPUTED_VALUE"""),"Asset Category")</f>
        <v>Asset Category</v>
      </c>
      <c r="V5" s="25" t="str">
        <f>IFERROR(__xludf.DUMMYFUNCTION("""COMPUTED_VALUE"""),"Settlement Currency")</f>
        <v>Settlement Currency</v>
      </c>
      <c r="W5" s="25" t="str">
        <f>IFERROR(__xludf.DUMMYFUNCTION("""COMPUTED_VALUE"""),"Commission Per Share")</f>
        <v>Commission Per Share</v>
      </c>
      <c r="X5" s="25" t="str">
        <f>IFERROR(__xludf.DUMMYFUNCTION("""COMPUTED_VALUE"""),"Soft Commission Per Share")</f>
        <v>Soft Commission Per Share</v>
      </c>
      <c r="Y5" s="25" t="str">
        <f>IFERROR(__xludf.DUMMYFUNCTION("""COMPUTED_VALUE"""),"Total Commission Per Share")</f>
        <v>Total Commission Per Share</v>
      </c>
      <c r="Z5" s="25" t="str">
        <f>IFERROR(__xludf.DUMMYFUNCTION("""COMPUTED_VALUE"""),"Change Type")</f>
        <v>Change Type</v>
      </c>
      <c r="AA5" s="25" t="str">
        <f>IFERROR(__xludf.DUMMYFUNCTION("""COMPUTED_VALUE"""),"Trade Attribute 1")</f>
        <v>Trade Attribute 1</v>
      </c>
      <c r="AB5" s="25" t="str">
        <f>IFERROR(__xludf.DUMMYFUNCTION("""COMPUTED_VALUE"""),"Trade Attribute 2")</f>
        <v>Trade Attribute 2</v>
      </c>
      <c r="AC5" s="25" t="str">
        <f>IFERROR(__xludf.DUMMYFUNCTION("""COMPUTED_VALUE"""),"Trade Attribute 3")</f>
        <v>Trade Attribute 3</v>
      </c>
      <c r="AD5" s="25" t="str">
        <f>IFERROR(__xludf.DUMMYFUNCTION("""COMPUTED_VALUE"""),"Trade Attribute 4")</f>
        <v>Trade Attribute 4</v>
      </c>
      <c r="AE5" s="25" t="str">
        <f>IFERROR(__xludf.DUMMYFUNCTION("""COMPUTED_VALUE"""),"Trade Attribute 5")</f>
        <v>Trade Attribute 5</v>
      </c>
      <c r="AF5" s="25" t="str">
        <f>IFERROR(__xludf.DUMMYFUNCTION("""COMPUTED_VALUE"""),"Trade Attribute 6")</f>
        <v>Trade Attribute 6</v>
      </c>
      <c r="AG5" s="25" t="str">
        <f>IFERROR(__xludf.DUMMYFUNCTION("""COMPUTED_VALUE"""),"IsPreAllocated")</f>
        <v>IsPreAllocated</v>
      </c>
      <c r="AH5" s="25" t="str">
        <f>IFERROR(__xludf.DUMMYFUNCTION("""COMPUTED_VALUE"""),"IsManual Group")</f>
        <v>IsManual Group</v>
      </c>
      <c r="AI5" s="25" t="str">
        <f>IFERROR(__xludf.DUMMYFUNCTION("""COMPUTED_VALUE"""),"IsAnotherTaxlotAttributesUpdated")</f>
        <v>IsAnotherTaxlotAttributesUpdated</v>
      </c>
      <c r="AJ5" s="25" t="str">
        <f>IFERROR(__xludf.DUMMYFUNCTION("""COMPUTED_VALUE"""),"ISNDF")</f>
        <v>ISNDF</v>
      </c>
      <c r="AK5" s="25" t="str">
        <f>IFERROR(__xludf.DUMMYFUNCTION("""COMPUTED_VALUE"""),"M2MProfitLoss")</f>
        <v>M2MProfitLoss</v>
      </c>
      <c r="AL5" s="25" t="str">
        <f>IFERROR(__xludf.DUMMYFUNCTION("""COMPUTED_VALUE"""),"Put Or Call")</f>
        <v>Put Or Call</v>
      </c>
      <c r="AM5" s="25" t="str">
        <f>IFERROR(__xludf.DUMMYFUNCTION("""COMPUTED_VALUE"""),"GroupID")</f>
        <v>GroupID</v>
      </c>
      <c r="AN5" s="25" t="str">
        <f>IFERROR(__xludf.DUMMYFUNCTION("""COMPUTED_VALUE"""),"UnAllocatedQty")</f>
        <v>UnAllocatedQty</v>
      </c>
      <c r="AO5" s="25" t="str">
        <f>IFERROR(__xludf.DUMMYFUNCTION("""COMPUTED_VALUE"""),"Allocated Qty")</f>
        <v>Allocated Qty</v>
      </c>
      <c r="AP5" s="25" t="str">
        <f>IFERROR(__xludf.DUMMYFUNCTION("""COMPUTED_VALUE"""),"Commission")</f>
        <v>Commission</v>
      </c>
      <c r="AQ5" s="25" t="str">
        <f>IFERROR(__xludf.DUMMYFUNCTION("""COMPUTED_VALUE"""),"Soft Commission")</f>
        <v>Soft Commission</v>
      </c>
      <c r="AR5" s="25" t="str">
        <f>IFERROR(__xludf.DUMMYFUNCTION("""COMPUTED_VALUE"""),"Other Broker Fees")</f>
        <v>Other Broker Fees</v>
      </c>
      <c r="AS5" s="25" t="str">
        <f>IFERROR(__xludf.DUMMYFUNCTION("""COMPUTED_VALUE"""),"Clearing Broker Fee")</f>
        <v>Clearing Broker Fee</v>
      </c>
      <c r="AT5" s="25" t="str">
        <f>IFERROR(__xludf.DUMMYFUNCTION("""COMPUTED_VALUE"""),"Total Commission And Fee")</f>
        <v>Total Commission And Fee</v>
      </c>
      <c r="AU5" s="25" t="str">
        <f>IFERROR(__xludf.DUMMYFUNCTION("""COMPUTED_VALUE"""),"Transaction Levy")</f>
        <v>Transaction Levy</v>
      </c>
      <c r="AV5" s="25" t="str">
        <f>IFERROR(__xludf.DUMMYFUNCTION("""COMPUTED_VALUE"""),"Stamp Duty")</f>
        <v>Stamp Duty</v>
      </c>
      <c r="AW5" s="25" t="str">
        <f>IFERROR(__xludf.DUMMYFUNCTION("""COMPUTED_VALUE"""),"AUEC Fee1")</f>
        <v>AUEC Fee1</v>
      </c>
      <c r="AX5" s="25" t="str">
        <f>IFERROR(__xludf.DUMMYFUNCTION("""COMPUTED_VALUE"""),"Tax On Commissions")</f>
        <v>Tax On Commissions</v>
      </c>
      <c r="AY5" s="25" t="str">
        <f>IFERROR(__xludf.DUMMYFUNCTION("""COMPUTED_VALUE"""),"AUEC Fee2")</f>
        <v>AUEC Fee2</v>
      </c>
      <c r="AZ5" s="25" t="str">
        <f>IFERROR(__xludf.DUMMYFUNCTION("""COMPUTED_VALUE"""),"SEC Fee")</f>
        <v>SEC Fee</v>
      </c>
      <c r="BA5" s="25" t="str">
        <f>IFERROR(__xludf.DUMMYFUNCTION("""COMPUTED_VALUE"""),"OCC Fee")</f>
        <v>OCC Fee</v>
      </c>
      <c r="BB5" s="25" t="str">
        <f>IFERROR(__xludf.DUMMYFUNCTION("""COMPUTED_VALUE"""),"ORF Fee")</f>
        <v>ORF Fee</v>
      </c>
      <c r="BC5" s="25" t="str">
        <f>IFERROR(__xludf.DUMMYFUNCTION("""COMPUTED_VALUE"""),"Option Premium Adjustment")</f>
        <v>Option Premium Adjustment</v>
      </c>
      <c r="BD5" s="25" t="str">
        <f>IFERROR(__xludf.DUMMYFUNCTION("""COMPUTED_VALUE"""),"Prana Msg Type")</f>
        <v>Prana Msg Type</v>
      </c>
      <c r="BE5" s="25" t="str">
        <f>IFERROR(__xludf.DUMMYFUNCTION("""COMPUTED_VALUE"""),"Total Commission")</f>
        <v>Total Commission</v>
      </c>
      <c r="BF5" s="25" t="str">
        <f>IFERROR(__xludf.DUMMYFUNCTION("""COMPUTED_VALUE"""),"Closing Status")</f>
        <v>Closing Status</v>
      </c>
      <c r="BG5" s="25" t="str">
        <f>IFERROR(__xludf.DUMMYFUNCTION("""COMPUTED_VALUE"""),"Closing Method")</f>
        <v>Closing Method</v>
      </c>
      <c r="BH5" s="25" t="str">
        <f>IFERROR(__xludf.DUMMYFUNCTION("""COMPUTED_VALUE"""),"Group Status")</f>
        <v>Group Status</v>
      </c>
      <c r="BI5" s="25" t="str">
        <f>IFERROR(__xludf.DUMMYFUNCTION("""COMPUTED_VALUE"""),"Allocation Scheme Name")</f>
        <v>Allocation Scheme Name</v>
      </c>
      <c r="BJ5" s="25" t="str">
        <f>IFERROR(__xludf.DUMMYFUNCTION("""COMPUTED_VALUE"""),"Change Comment")</f>
        <v>Change Comment</v>
      </c>
      <c r="BK5" s="25" t="str">
        <f>IFERROR(__xludf.DUMMYFUNCTION("""COMPUTED_VALUE"""),"Order Type")</f>
        <v>Order Type</v>
      </c>
      <c r="BL5" s="25" t="str">
        <f>IFERROR(__xludf.DUMMYFUNCTION("""COMPUTED_VALUE"""),"Underlying")</f>
        <v>Underlying</v>
      </c>
      <c r="BM5" s="25" t="str">
        <f>IFERROR(__xludf.DUMMYFUNCTION("""COMPUTED_VALUE"""),"Exchange")</f>
        <v>Exchange</v>
      </c>
      <c r="BN5" s="25" t="str">
        <f>IFERROR(__xludf.DUMMYFUNCTION("""COMPUTED_VALUE"""),"Currency")</f>
        <v>Currency</v>
      </c>
      <c r="BO5" s="25" t="str">
        <f>IFERROR(__xludf.DUMMYFUNCTION("""COMPUTED_VALUE"""),"AUECID")</f>
        <v>AUECID</v>
      </c>
      <c r="BP5" s="25" t="str">
        <f>IFERROR(__xludf.DUMMYFUNCTION("""COMPUTED_VALUE"""),"Cum Qty For Sub Order")</f>
        <v>Cum Qty For Sub Order</v>
      </c>
      <c r="BQ5" s="25" t="str">
        <f>IFERROR(__xludf.DUMMYFUNCTION("""COMPUTED_VALUE"""),"Contract Multiplier")</f>
        <v>Contract Multiplier</v>
      </c>
      <c r="BR5" s="25" t="str">
        <f>IFERROR(__xludf.DUMMYFUNCTION("""COMPUTED_VALUE"""),"Company")</f>
        <v>Company</v>
      </c>
      <c r="BS5" s="25" t="str">
        <f>IFERROR(__xludf.DUMMYFUNCTION("""COMPUTED_VALUE"""),"Nirvana Process Date")</f>
        <v>Nirvana Process Date</v>
      </c>
      <c r="BT5" s="25" t="str">
        <f>IFERROR(__xludf.DUMMYFUNCTION("""COMPUTED_VALUE"""),"Process Date")</f>
        <v>Process Date</v>
      </c>
      <c r="BU5" s="25" t="str">
        <f>IFERROR(__xludf.DUMMYFUNCTION("""COMPUTED_VALUE"""),"Original Purchase Date")</f>
        <v>Original Purchase Date</v>
      </c>
      <c r="BV5" s="25" t="str">
        <f>IFERROR(__xludf.DUMMYFUNCTION("""COMPUTED_VALUE"""),"Closing Date")</f>
        <v>Closing Date</v>
      </c>
      <c r="BW5" s="25" t="str">
        <f>IFERROR(__xludf.DUMMYFUNCTION("""COMPUTED_VALUE"""),"Settlement Date")</f>
        <v>Settlement Date</v>
      </c>
      <c r="BX5" s="25" t="str">
        <f>IFERROR(__xludf.DUMMYFUNCTION("""COMPUTED_VALUE"""),"Expiration Date")</f>
        <v>Expiration Date</v>
      </c>
      <c r="BY5" s="25" t="str">
        <f>IFERROR(__xludf.DUMMYFUNCTION("""COMPUTED_VALUE"""),"Description")</f>
        <v>Description</v>
      </c>
      <c r="BZ5" s="25" t="str">
        <f>IFERROR(__xludf.DUMMYFUNCTION("""COMPUTED_VALUE"""),"Underlying Symbol")</f>
        <v>Underlying Symbol</v>
      </c>
      <c r="CA5" s="25" t="str">
        <f>IFERROR(__xludf.DUMMYFUNCTION("""COMPUTED_VALUE"""),"Accrued Interest")</f>
        <v>Accrued Interest</v>
      </c>
      <c r="CB5" s="25" t="str">
        <f>IFERROR(__xludf.DUMMYFUNCTION("""COMPUTED_VALUE"""),"Accrual Basis")</f>
        <v>Accrual Basis</v>
      </c>
      <c r="CC5" s="25" t="str">
        <f>IFERROR(__xludf.DUMMYFUNCTION("""COMPUTED_VALUE"""),"Bond Type")</f>
        <v>Bond Type</v>
      </c>
      <c r="CD5" s="25" t="str">
        <f>IFERROR(__xludf.DUMMYFUNCTION("""COMPUTED_VALUE"""),"Coupon Rate")</f>
        <v>Coupon Rate</v>
      </c>
      <c r="CE5" s="25" t="str">
        <f>IFERROR(__xludf.DUMMYFUNCTION("""COMPUTED_VALUE"""),"Delta")</f>
        <v>Delta</v>
      </c>
      <c r="CF5" s="25" t="str">
        <f>IFERROR(__xludf.DUMMYFUNCTION("""COMPUTED_VALUE"""),"Bloomberg")</f>
        <v>Bloomberg</v>
      </c>
      <c r="CG5" s="25" t="str">
        <f>IFERROR(__xludf.DUMMYFUNCTION("""COMPUTED_VALUE"""),"Sedol Symbol")</f>
        <v>Sedol Symbol</v>
      </c>
      <c r="CH5" s="25" t="str">
        <f>IFERROR(__xludf.DUMMYFUNCTION("""COMPUTED_VALUE"""),"Cusip Symbol")</f>
        <v>Cusip Symbol</v>
      </c>
      <c r="CI5" s="25" t="str">
        <f>IFERROR(__xludf.DUMMYFUNCTION("""COMPUTED_VALUE"""),"ISIN")</f>
        <v>ISIN</v>
      </c>
      <c r="CJ5" s="25" t="str">
        <f>IFERROR(__xludf.DUMMYFUNCTION("""COMPUTED_VALUE"""),"OSISSymbol")</f>
        <v>OSISSymbol</v>
      </c>
      <c r="CK5" s="25" t="str">
        <f>IFERROR(__xludf.DUMMYFUNCTION("""COMPUTED_VALUE"""),"IDCOSymbol")</f>
        <v>IDCOSymbol</v>
      </c>
      <c r="CL5" s="25" t="str">
        <f>IFERROR(__xludf.DUMMYFUNCTION("""COMPUTED_VALUE"""),"Underlying Delta")</f>
        <v>Underlying Delta</v>
      </c>
      <c r="CM5" s="25" t="str">
        <f>IFERROR(__xludf.DUMMYFUNCTION("""COMPUTED_VALUE"""),"Internal Comments")</f>
        <v>Internal Comments</v>
      </c>
      <c r="CN5" s="25" t="str">
        <f>IFERROR(__xludf.DUMMYFUNCTION("""COMPUTED_VALUE"""),"Proxy Symbol")</f>
        <v>Proxy Symbol</v>
      </c>
      <c r="CO5" s="25" t="str">
        <f>IFERROR(__xludf.DUMMYFUNCTION("""COMPUTED_VALUE"""),"Transaction Source")</f>
        <v>Transaction Source</v>
      </c>
      <c r="CP5" s="25" t="str">
        <f>IFERROR(__xludf.DUMMYFUNCTION("""COMPUTED_VALUE"""),"Import File Name")</f>
        <v>Import File Name</v>
      </c>
      <c r="CQ5" s="25" t="str">
        <f>IFERROR(__xludf.DUMMYFUNCTION("""COMPUTED_VALUE"""),"Master Fund")</f>
        <v>Master Fund</v>
      </c>
      <c r="CR5" s="25" t="str">
        <f>IFERROR(__xludf.DUMMYFUNCTION("""COMPUTED_VALUE"""),"Client")</f>
        <v>Client</v>
      </c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</row>
    <row r="6" ht="15.75" customHeight="1">
      <c r="A6" s="9"/>
      <c r="B6" s="9" t="s">
        <v>671</v>
      </c>
      <c r="C6" s="9" t="s">
        <v>672</v>
      </c>
      <c r="D6" s="9">
        <v>10000.0</v>
      </c>
      <c r="E6">
        <v>5000.0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29.0"/>
    <col customWidth="1" min="10" max="11" width="15.25"/>
    <col customWidth="1" min="12" max="134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2</v>
      </c>
      <c r="D3" s="4" t="s">
        <v>662</v>
      </c>
      <c r="E3" s="13" t="s">
        <v>207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</row>
    <row r="4" ht="15.75" customHeight="1">
      <c r="A4" s="21"/>
      <c r="B4" s="21" t="str">
        <f>IFERROR(__xludf.DUMMYFUNCTION("IF(C3="""","""",Transpose(IMPORTRANGE('_Settings'!$B$3,C3&amp;""!A4:A1000"")))"),"Allocate")</f>
        <v>Allocate</v>
      </c>
      <c r="C4" s="21" t="str">
        <f>IFERROR(__xludf.DUMMYFUNCTION("""COMPUTED_VALUE"""),"CheckAllocatedGroups")</f>
        <v>CheckAllocatedGroups</v>
      </c>
      <c r="D4" s="21" t="str">
        <f>IFERROR(__xludf.DUMMYFUNCTION("""COMPUTED_VALUE"""),"Unallocate")</f>
        <v>Unallocate</v>
      </c>
      <c r="E4" s="21" t="str">
        <f>IFERROR(__xludf.DUMMYFUNCTION("""COMPUTED_VALUE"""),"GetDataAllocation")</f>
        <v>GetDataAllocation</v>
      </c>
      <c r="F4" s="21" t="str">
        <f>IFERROR(__xludf.DUMMYFUNCTION("""COMPUTED_VALUE"""),"SelectAllocatedGroup")</f>
        <v>SelectAllocatedGroup</v>
      </c>
      <c r="G4" s="21" t="str">
        <f>IFERROR(__xludf.DUMMYFUNCTION("""COMPUTED_VALUE"""),"EditTradesAllocated")</f>
        <v>EditTradesAllocated</v>
      </c>
      <c r="H4" s="21" t="str">
        <f>IFERROR(__xludf.DUMMYFUNCTION("""COMPUTED_VALUE"""),"EditTradesUnallocated")</f>
        <v>EditTradesUnallocated</v>
      </c>
      <c r="I4" s="21" t="str">
        <f>IFERROR(__xludf.DUMMYFUNCTION("""COMPUTED_VALUE"""),"Reallocate")</f>
        <v>Reallocate</v>
      </c>
      <c r="J4" s="21" t="str">
        <f>IFERROR(__xludf.DUMMYFUNCTION("""COMPUTED_VALUE"""),"EditUnallocatedGroupSidePanel")</f>
        <v>EditUnallocatedGroupSidePanel</v>
      </c>
      <c r="K4" s="21" t="str">
        <f>IFERROR(__xludf.DUMMYFUNCTION("""COMPUTED_VALUE"""),"TradeAttributeBulkChange")</f>
        <v>TradeAttributeBulkChange</v>
      </c>
      <c r="L4" s="21" t="str">
        <f>IFERROR(__xludf.DUMMYFUNCTION("""COMPUTED_VALUE"""),"ApplyBulkUpdateOnGroups")</f>
        <v>ApplyBulkUpdateOnGroups</v>
      </c>
      <c r="M4" s="21" t="str">
        <f>IFERROR(__xludf.DUMMYFUNCTION("""COMPUTED_VALUE"""),"ApplyPrefetchFilters")</f>
        <v>ApplyPrefetchFilters</v>
      </c>
      <c r="N4" s="21" t="str">
        <f>IFERROR(__xludf.DUMMYFUNCTION("""COMPUTED_VALUE"""),"GeneralPreferencesDefaultRule")</f>
        <v>GeneralPreferencesDefaultRule</v>
      </c>
      <c r="O4" s="21" t="str">
        <f>IFERROR(__xludf.DUMMYFUNCTION("""COMPUTED_VALUE"""),"GeneralPrefCompanyUserWise")</f>
        <v>GeneralPrefCompanyUserWise</v>
      </c>
      <c r="P4" s="22" t="str">
        <f>IFERROR(__xludf.DUMMYFUNCTION("""COMPUTED_VALUE"""),"RenameTradeAttributes")</f>
        <v>RenameTradeAttributes</v>
      </c>
      <c r="Q4" s="22" t="str">
        <f>IFERROR(__xludf.DUMMYFUNCTION("""COMPUTED_VALUE"""),"SetGroupingRules")</f>
        <v>SetGroupingRules</v>
      </c>
      <c r="R4" s="22" t="str">
        <f>IFERROR(__xludf.DUMMYFUNCTION("""COMPUTED_VALUE"""),"SetMasterFundRatio")</f>
        <v>SetMasterFundRatio</v>
      </c>
      <c r="S4" s="22" t="str">
        <f>IFERROR(__xludf.DUMMYFUNCTION("""COMPUTED_VALUE"""),"CheckFixedPreference")</f>
        <v>CheckFixedPreference</v>
      </c>
      <c r="T4" s="22" t="str">
        <f>IFERROR(__xludf.DUMMYFUNCTION("""COMPUTED_VALUE"""),"GetFixedPreference")</f>
        <v>GetFixedPreference</v>
      </c>
      <c r="U4" s="22" t="str">
        <f>IFERROR(__xludf.DUMMYFUNCTION("""COMPUTED_VALUE"""),"AddCalculatedPreferences")</f>
        <v>AddCalculatedPreferences</v>
      </c>
      <c r="V4" s="22" t="str">
        <f>IFERROR(__xludf.DUMMYFUNCTION("""COMPUTED_VALUE"""),"BulkChangeCalculatedPreferences")</f>
        <v>BulkChangeCalculatedPreferences</v>
      </c>
      <c r="W4" s="22" t="str">
        <f>IFERROR(__xludf.DUMMYFUNCTION("""COMPUTED_VALUE"""),"DeleteCalculatedPreferences")</f>
        <v>DeleteCalculatedPreferences</v>
      </c>
      <c r="X4" s="22" t="str">
        <f>IFERROR(__xludf.DUMMYFUNCTION("""COMPUTED_VALUE"""),"RenameCalculatedPreferences")</f>
        <v>RenameCalculatedPreferences</v>
      </c>
      <c r="Y4" s="22" t="str">
        <f>IFERROR(__xludf.DUMMYFUNCTION("""COMPUTED_VALUE"""),"CopyCalculatedPreferences")</f>
        <v>CopyCalculatedPreferences</v>
      </c>
      <c r="Z4" s="22" t="str">
        <f>IFERROR(__xludf.DUMMYFUNCTION("""COMPUTED_VALUE"""),"RunAutoGroup")</f>
        <v>RunAutoGroup</v>
      </c>
      <c r="AA4" s="22" t="str">
        <f>IFERROR(__xludf.DUMMYFUNCTION("""COMPUTED_VALUE"""),"BookOrUpdateSwap")</f>
        <v>BookOrUpdateSwap</v>
      </c>
      <c r="AB4" s="22" t="str">
        <f>IFERROR(__xludf.DUMMYFUNCTION("""COMPUTED_VALUE"""),"RunProrata")</f>
        <v>RunProrata</v>
      </c>
      <c r="AC4" s="22" t="str">
        <f>IFERROR(__xludf.DUMMYFUNCTION("""COMPUTED_VALUE"""),"SetDefaultRuleCalculatedPref")</f>
        <v>SetDefaultRuleCalculatedPref</v>
      </c>
      <c r="AD4" s="22" t="str">
        <f>IFERROR(__xludf.DUMMYFUNCTION("""COMPUTED_VALUE"""),"SetAccountValueCalculatedPref")</f>
        <v>SetAccountValueCalculatedPref</v>
      </c>
      <c r="AE4" s="22" t="str">
        <f>IFERROR(__xludf.DUMMYFUNCTION("""COMPUTED_VALUE"""),"TradeAttributeBulkChangeGroups")</f>
        <v>TradeAttributeBulkChangeGroups</v>
      </c>
      <c r="AF4" s="22" t="str">
        <f>IFERROR(__xludf.DUMMYFUNCTION("""COMPUTED_VALUE"""),"TradeAttributeBulkChangeTaxlots")</f>
        <v>TradeAttributeBulkChangeTaxlots</v>
      </c>
      <c r="AG4" s="22" t="str">
        <f>IFERROR(__xludf.DUMMYFUNCTION("""COMPUTED_VALUE"""),"AddCalculatedPreferenceToolbar")</f>
        <v>AddCalculatedPreferenceToolbar</v>
      </c>
      <c r="AH4" s="22" t="str">
        <f>IFERROR(__xludf.DUMMYFUNCTION("""COMPUTED_VALUE"""),"SetStrategyValueCalculatedPref")</f>
        <v>SetStrategyValueCalculatedPref</v>
      </c>
      <c r="AI4" s="22" t="str">
        <f>IFERROR(__xludf.DUMMYFUNCTION("""COMPUTED_VALUE"""),"ApplyBulkUpdateOnTaxlots")</f>
        <v>ApplyBulkUpdateOnTaxlots</v>
      </c>
      <c r="AJ4" s="22" t="str">
        <f>IFERROR(__xludf.DUMMYFUNCTION("""COMPUTED_VALUE"""),"CommissionBulkChangeOnGroups")</f>
        <v>CommissionBulkChangeOnGroups</v>
      </c>
      <c r="AK4" s="22" t="str">
        <f>IFERROR(__xludf.DUMMYFUNCTION("""COMPUTED_VALUE"""),"CommissionBulkChangeOnTaxlots")</f>
        <v>CommissionBulkChangeOnTaxlots</v>
      </c>
      <c r="AL4" s="22" t="str">
        <f>IFERROR(__xludf.DUMMYFUNCTION("""COMPUTED_VALUE"""),"SelectUnallocatedGroup")</f>
        <v>SelectUnallocatedGroup</v>
      </c>
      <c r="AM4" s="22" t="str">
        <f>IFERROR(__xludf.DUMMYFUNCTION("""COMPUTED_VALUE"""),"EnterAccountValuesToAllocate")</f>
        <v>EnterAccountValuesToAllocate</v>
      </c>
      <c r="AN4" s="22" t="str">
        <f>IFERROR(__xludf.DUMMYFUNCTION("""COMPUTED_VALUE"""),"EnterAllocatePreference")</f>
        <v>EnterAllocatePreference</v>
      </c>
      <c r="AO4" s="22" t="str">
        <f>IFERROR(__xludf.DUMMYFUNCTION("""COMPUTED_VALUE"""),"EnterStrategyValuesToAllocate")</f>
        <v>EnterStrategyValuesToAllocate</v>
      </c>
      <c r="AP4" s="22" t="str">
        <f>IFERROR(__xludf.DUMMYFUNCTION("""COMPUTED_VALUE"""),"CopyCalculatedPreferenceToolbar")</f>
        <v>CopyCalculatedPreferenceToolbar</v>
      </c>
      <c r="AQ4" s="22" t="str">
        <f>IFERROR(__xludf.DUMMYFUNCTION("""COMPUTED_VALUE"""),"SetGeneralRuleCalculatedPref")</f>
        <v>SetGeneralRuleCalculatedPref</v>
      </c>
      <c r="AR4" s="22" t="str">
        <f>IFERROR(__xludf.DUMMYFUNCTION("""COMPUTED_VALUE"""),"ExportAllCalculatedPreferences")</f>
        <v>ExportAllCalculatedPreferences</v>
      </c>
      <c r="AS4" s="22" t="str">
        <f>IFERROR(__xludf.DUMMYFUNCTION("""COMPUTED_VALUE"""),"SaveCalculatedPreferences")</f>
        <v>SaveCalculatedPreferences</v>
      </c>
      <c r="AT4" s="22" t="str">
        <f>IFERROR(__xludf.DUMMYFUNCTION("""COMPUTED_VALUE"""),"CloseCalculatedPreferences")</f>
        <v>CloseCalculatedPreferences</v>
      </c>
      <c r="AU4" s="22" t="str">
        <f>IFERROR(__xludf.DUMMYFUNCTION("""COMPUTED_VALUE"""),"ExportCalculatedPreference")</f>
        <v>ExportCalculatedPreference</v>
      </c>
      <c r="AV4" s="22" t="str">
        <f>IFERROR(__xludf.DUMMYFUNCTION("""COMPUTED_VALUE"""),"ImportCalculatedPreferences")</f>
        <v>ImportCalculatedPreferences</v>
      </c>
      <c r="AW4" s="22" t="str">
        <f>IFERROR(__xludf.DUMMYFUNCTION("""COMPUTED_VALUE"""),"OpenAuditTrailUnallocatedGroup")</f>
        <v>OpenAuditTrailUnallocatedGroup</v>
      </c>
      <c r="AX4" s="22" t="str">
        <f>IFERROR(__xludf.DUMMYFUNCTION("""COMPUTED_VALUE"""),"DeleteCalculatedPreferencesTool")</f>
        <v>DeleteCalculatedPreferencesTool</v>
      </c>
      <c r="AY4" s="22" t="str">
        <f>IFERROR(__xludf.DUMMYFUNCTION("""COMPUTED_VALUE"""),"ImportCalculatedPreferencesTool")</f>
        <v>ImportCalculatedPreferencesTool</v>
      </c>
      <c r="AZ4" s="22" t="str">
        <f>IFERROR(__xludf.DUMMYFUNCTION("""COMPUTED_VALUE"""),"ExportAllCalculatedPreferTool")</f>
        <v>ExportAllCalculatedPreferTool</v>
      </c>
      <c r="BA4" s="22" t="str">
        <f>IFERROR(__xludf.DUMMYFUNCTION("""COMPUTED_VALUE"""),"OpenAuditTrailAllocatedGroup")</f>
        <v>OpenAuditTrailAllocatedGroup</v>
      </c>
      <c r="BB4" s="22" t="str">
        <f>IFERROR(__xludf.DUMMYFUNCTION("""COMPUTED_VALUE"""),"OpenSymbolLookupUnallocateGroup")</f>
        <v>OpenSymbolLookupUnallocateGroup</v>
      </c>
      <c r="BC4" s="22" t="str">
        <f>IFERROR(__xludf.DUMMYFUNCTION("""COMPUTED_VALUE"""),"OpenSymbolLookupAllocatedGroup")</f>
        <v>OpenSymbolLookupAllocatedGroup</v>
      </c>
      <c r="BD4" s="22" t="str">
        <f>IFERROR(__xludf.DUMMYFUNCTION("""COMPUTED_VALUE"""),"DeleteFixedPreference")</f>
        <v>DeleteFixedPreference</v>
      </c>
      <c r="BE4" s="22" t="str">
        <f>IFERROR(__xludf.DUMMYFUNCTION("""COMPUTED_VALUE"""),"EditAllocatedGroupSidePanel")</f>
        <v>EditAllocatedGroupSidePanel</v>
      </c>
      <c r="BF4" s="22" t="str">
        <f>IFERROR(__xludf.DUMMYFUNCTION("""COMPUTED_VALUE"""),"CheckUnallocatedGroups")</f>
        <v>CheckUnallocatedGroups</v>
      </c>
      <c r="BG4" s="22" t="str">
        <f>IFERROR(__xludf.DUMMYFUNCTION("""COMPUTED_VALUE"""),"SetGeneralPreferences")</f>
        <v>SetGeneralPreferences</v>
      </c>
      <c r="BH4" s="22" t="str">
        <f>IFERROR(__xludf.DUMMYFUNCTION("""COMPUTED_VALUE"""),"GroupTrades")</f>
        <v>GroupTrades</v>
      </c>
      <c r="BI4" s="22" t="str">
        <f>IFERROR(__xludf.DUMMYFUNCTION("""COMPUTED_VALUE"""),"UngroupTrades")</f>
        <v>UngroupTrades</v>
      </c>
      <c r="BJ4" s="22" t="str">
        <f>IFERROR(__xludf.DUMMYFUNCTION("""COMPUTED_VALUE"""),"DeleteGroup")</f>
        <v>DeleteGroup</v>
      </c>
      <c r="BK4" s="22" t="str">
        <f>IFERROR(__xludf.DUMMYFUNCTION("""COMPUTED_VALUE"""),"CloseOrder")</f>
        <v>CloseOrder</v>
      </c>
      <c r="BL4" s="22" t="str">
        <f>IFERROR(__xludf.DUMMYFUNCTION("""COMPUTED_VALUE"""),"Unallocate")</f>
        <v>Unallocate</v>
      </c>
      <c r="BM4" s="22" t="str">
        <f>IFERROR(__xludf.DUMMYFUNCTION("""COMPUTED_VALUE"""),"CloseAllocation")</f>
        <v>CloseAllocation</v>
      </c>
      <c r="BN4" s="22" t="str">
        <f>IFERROR(__xludf.DUMMYFUNCTION("""COMPUTED_VALUE"""),"UpdateGRAccountValue")</f>
        <v>UpdateGRAccountValue</v>
      </c>
      <c r="BO4" s="22" t="str">
        <f>IFERROR(__xludf.DUMMYFUNCTION("""COMPUTED_VALUE"""),"UpdateGRStrategyValue")</f>
        <v>UpdateGRStrategyValue</v>
      </c>
      <c r="BP4" s="22" t="str">
        <f>IFERROR(__xludf.DUMMYFUNCTION("""COMPUTED_VALUE"""),"UpdateGRDefaultRule")</f>
        <v>UpdateGRDefaultRule</v>
      </c>
      <c r="BQ4" s="22" t="str">
        <f>IFERROR(__xludf.DUMMYFUNCTION("""COMPUTED_VALUE"""),"UpdateGeneralRulePref")</f>
        <v>UpdateGeneralRulePref</v>
      </c>
      <c r="BR4" s="22" t="str">
        <f>IFERROR(__xludf.DUMMYFUNCTION("""COMPUTED_VALUE"""),"ModifyGRPreferenceValues")</f>
        <v>ModifyGRPreferenceValues</v>
      </c>
      <c r="BS4" s="22" t="str">
        <f>IFERROR(__xludf.DUMMYFUNCTION("""COMPUTED_VALUE"""),"AddMFPreferences")</f>
        <v>AddMFPreferences</v>
      </c>
      <c r="BT4" s="22" t="str">
        <f>IFERROR(__xludf.DUMMYFUNCTION("""COMPUTED_VALUE"""),"AddMFPreferenceToolbar")</f>
        <v>AddMFPreferenceToolbar</v>
      </c>
      <c r="BU4" s="22" t="str">
        <f>IFERROR(__xludf.DUMMYFUNCTION("""COMPUTED_VALUE"""),"DeleteMFPreferences")</f>
        <v>DeleteMFPreferences</v>
      </c>
      <c r="BV4" s="22" t="str">
        <f>IFERROR(__xludf.DUMMYFUNCTION("""COMPUTED_VALUE"""),"DeleteMFPreferenceToolbar")</f>
        <v>DeleteMFPreferenceToolbar</v>
      </c>
      <c r="BW4" s="22" t="str">
        <f>IFERROR(__xludf.DUMMYFUNCTION("""COMPUTED_VALUE"""),"RenameMFPreferences")</f>
        <v>RenameMFPreferences</v>
      </c>
      <c r="BX4" s="22" t="str">
        <f>IFERROR(__xludf.DUMMYFUNCTION("""COMPUTED_VALUE"""),"SaveCloseMFPreference")</f>
        <v>SaveCloseMFPreference</v>
      </c>
      <c r="BY4" s="22" t="str">
        <f>IFERROR(__xludf.DUMMYFUNCTION("""COMPUTED_VALUE"""),"SetMFPrefAccountValues")</f>
        <v>SetMFPrefAccountValues</v>
      </c>
      <c r="BZ4" s="22" t="str">
        <f>IFERROR(__xludf.DUMMYFUNCTION("""COMPUTED_VALUE"""),"ModifyMFPrefGeneralRuleValues")</f>
        <v>ModifyMFPrefGeneralRuleValues</v>
      </c>
      <c r="CA4" s="22" t="str">
        <f>IFERROR(__xludf.DUMMYFUNCTION("""COMPUTED_VALUE"""),"SetMFPrefStrategyValues")</f>
        <v>SetMFPrefStrategyValues</v>
      </c>
      <c r="CB4" s="22" t="str">
        <f>IFERROR(__xludf.DUMMYFUNCTION("""COMPUTED_VALUE"""),"SetMFPrefGeneralRule")</f>
        <v>SetMFPrefGeneralRule</v>
      </c>
      <c r="CC4" s="22" t="str">
        <f>IFERROR(__xludf.DUMMYFUNCTION("""COMPUTED_VALUE"""),"SetMFPrefFundDistribution")</f>
        <v>SetMFPrefFundDistribution</v>
      </c>
      <c r="CD4" s="22" t="str">
        <f>IFERROR(__xludf.DUMMYFUNCTION("""COMPUTED_VALUE"""),"SetMFPreferencesDefaultRule")</f>
        <v>SetMFPreferencesDefaultRule</v>
      </c>
      <c r="CE4" s="22" t="str">
        <f>IFERROR(__xludf.DUMMYFUNCTION("""COMPUTED_VALUE"""),"SetMFPrefFundDefaultRule")</f>
        <v>SetMFPrefFundDefaultRule</v>
      </c>
      <c r="CF4" s="22" t="str">
        <f>IFERROR(__xludf.DUMMYFUNCTION("""COMPUTED_VALUE"""),"ClearPrefetchFilters")</f>
        <v>ClearPrefetchFilters</v>
      </c>
      <c r="CG4" s="22" t="str">
        <f>IFERROR(__xludf.DUMMYFUNCTION("""COMPUTED_VALUE"""),"ExpandCollapseAllUnallocated")</f>
        <v>ExpandCollapseAllUnallocated</v>
      </c>
      <c r="CH4" s="22" t="str">
        <f>IFERROR(__xludf.DUMMYFUNCTION("""COMPUTED_VALUE"""),"ExpandCollapseAllAllocated")</f>
        <v>ExpandCollapseAllAllocated</v>
      </c>
      <c r="CI4" s="22" t="str">
        <f>IFERROR(__xludf.DUMMYFUNCTION("""COMPUTED_VALUE"""),"GenerateCashTransaction")</f>
        <v>GenerateCashTransaction</v>
      </c>
      <c r="CJ4" s="22" t="str">
        <f>IFERROR(__xludf.DUMMYFUNCTION("""COMPUTED_VALUE"""),"SaveAllocation")</f>
        <v>SaveAllocation</v>
      </c>
      <c r="CK4" s="22" t="str">
        <f>IFERROR(__xludf.DUMMYFUNCTION("""COMPUTED_VALUE"""),"UnallocateWithOutSave")</f>
        <v>UnallocateWithOutSave</v>
      </c>
      <c r="CL4" s="22" t="str">
        <f>IFERROR(__xludf.DUMMYFUNCTION("""COMPUTED_VALUE"""),"EditUnallocatedGrid")</f>
        <v>EditUnallocatedGrid</v>
      </c>
      <c r="CM4" s="22" t="str">
        <f>IFERROR(__xludf.DUMMYFUNCTION("""COMPUTED_VALUE"""),"EditAllocatedGrid")</f>
        <v>EditAllocatedGrid</v>
      </c>
      <c r="CN4" s="22" t="str">
        <f>IFERROR(__xludf.DUMMYFUNCTION("""COMPUTED_VALUE"""),"SaveLayoutAllocatedGrid")</f>
        <v>SaveLayoutAllocatedGrid</v>
      </c>
      <c r="CO4" s="22" t="str">
        <f>IFERROR(__xludf.DUMMYFUNCTION("""COMPUTED_VALUE"""),"SaveLayoutUnallocatedGrid")</f>
        <v>SaveLayoutUnallocatedGrid</v>
      </c>
      <c r="CP4" s="22" t="str">
        <f>IFERROR(__xludf.DUMMYFUNCTION("""COMPUTED_VALUE"""),"SaveLayoutAllocationUI")</f>
        <v>SaveLayoutAllocationUI</v>
      </c>
      <c r="CQ4" s="22" t="str">
        <f>IFERROR(__xludf.DUMMYFUNCTION("""COMPUTED_VALUE"""),"ClearFiltersAllocatedGrid")</f>
        <v>ClearFiltersAllocatedGrid</v>
      </c>
      <c r="CR4" s="22" t="str">
        <f>IFERROR(__xludf.DUMMYFUNCTION("""COMPUTED_VALUE"""),"ClearFiltersUnallocatedGrid")</f>
        <v>ClearFiltersUnallocatedGrid</v>
      </c>
      <c r="CS4" s="22" t="str">
        <f>IFERROR(__xludf.DUMMYFUNCTION("""COMPUTED_VALUE"""),"VerifyLayoutAllocatedGrid")</f>
        <v>VerifyLayoutAllocatedGrid</v>
      </c>
      <c r="CT4" s="22" t="str">
        <f>IFERROR(__xludf.DUMMYFUNCTION("""COMPUTED_VALUE"""),"VerifyLayoutUnallocatedGrid")</f>
        <v>VerifyLayoutUnallocatedGrid</v>
      </c>
      <c r="CU4" s="22" t="str">
        <f>IFERROR(__xludf.DUMMYFUNCTION("""COMPUTED_VALUE"""),"CleanUp")</f>
        <v>CleanUp</v>
      </c>
      <c r="CV4" s="22" t="str">
        <f>IFERROR(__xludf.DUMMYFUNCTION("""COMPUTED_VALUE"""),"CheckAllocatedTaxlots")</f>
        <v>CheckAllocatedTaxlots</v>
      </c>
      <c r="CW4" s="22" t="str">
        <f>IFERROR(__xludf.DUMMYFUNCTION("""COMPUTED_VALUE"""),"CopyCalculatedPreferenceToolbar")</f>
        <v>CopyCalculatedPreferenceToolbar</v>
      </c>
      <c r="CX4" s="22" t="str">
        <f>IFERROR(__xludf.DUMMYFUNCTION("""COMPUTED_VALUE"""),"CloseOrder")</f>
        <v>CloseOrder</v>
      </c>
      <c r="CY4" s="22" t="str">
        <f>IFERROR(__xludf.DUMMYFUNCTION("""COMPUTED_VALUE"""),"DisableChecksideForAsset")</f>
        <v>DisableChecksideForAsset</v>
      </c>
      <c r="CZ4" s="22" t="str">
        <f>IFERROR(__xludf.DUMMYFUNCTION("""COMPUTED_VALUE"""),"DisableChecksideForAccount")</f>
        <v>DisableChecksideForAccount</v>
      </c>
      <c r="DA4" s="22" t="str">
        <f>IFERROR(__xludf.DUMMYFUNCTION("""COMPUTED_VALUE"""),"DisableChecksideForCounterParty")</f>
        <v>DisableChecksideForCounterParty</v>
      </c>
      <c r="DB4" s="22" t="str">
        <f>IFERROR(__xludf.DUMMYFUNCTION("""COMPUTED_VALUE"""),"DisableCheckside")</f>
        <v>DisableCheckside</v>
      </c>
      <c r="DC4" s="22" t="str">
        <f>IFERROR(__xludf.DUMMYFUNCTION("""COMPUTED_VALUE"""),"ApplyMasterFundFilter")</f>
        <v>ApplyMasterFundFilter</v>
      </c>
      <c r="DD4" s="22" t="str">
        <f>IFERROR(__xludf.DUMMYFUNCTION("""COMPUTED_VALUE"""),"ShowMasterFundOnTT")</f>
        <v>ShowMasterFundOnTT</v>
      </c>
      <c r="DE4" s="22" t="str">
        <f>IFERROR(__xludf.DUMMYFUNCTION("""COMPUTED_VALUE"""),"ShowMasterFundAsClient")</f>
        <v>ShowMasterFundAsClient</v>
      </c>
      <c r="DF4" s="22" t="str">
        <f>IFERROR(__xludf.DUMMYFUNCTION("""COMPUTED_VALUE"""),"SetBrokerAccountMapping")</f>
        <v>SetBrokerAccountMapping</v>
      </c>
      <c r="DG4" s="22" t="str">
        <f>IFERROR(__xludf.DUMMYFUNCTION("""COMPUTED_VALUE"""),"EditUnallocatedGridWPF")</f>
        <v>EditUnallocatedGridWPF</v>
      </c>
      <c r="DH4" s="22" t="str">
        <f>IFERROR(__xludf.DUMMYFUNCTION("""COMPUTED_VALUE"""),"EditAllocatedGridWPF")</f>
        <v>EditAllocatedGridWPF</v>
      </c>
      <c r="DI4" s="22" t="str">
        <f>IFERROR(__xludf.DUMMYFUNCTION("""COMPUTED_VALUE"""),"EditAllocatedGridTaxlot")</f>
        <v>EditAllocatedGridTaxlot</v>
      </c>
      <c r="DJ4" s="22" t="str">
        <f>IFERROR(__xludf.DUMMYFUNCTION("""COMPUTED_VALUE"""),"ExpandCollapseAllocatedGrid")</f>
        <v>ExpandCollapseAllocatedGrid</v>
      </c>
      <c r="DK4" s="22" t="str">
        <f>IFERROR(__xludf.DUMMYFUNCTION("""COMPUTED_VALUE"""),"ExpandCollapseUnallocatedGrid")</f>
        <v>ExpandCollapseUnallocatedGrid</v>
      </c>
      <c r="DL4" s="22" t="str">
        <f>IFERROR(__xludf.DUMMYFUNCTION("""COMPUTED_VALUE"""),"SetTradeAttributePreferences")</f>
        <v>SetTradeAttributePreferences</v>
      </c>
      <c r="DM4" s="22" t="str">
        <f>IFERROR(__xludf.DUMMYFUNCTION("""COMPUTED_VALUE"""),"EnterCustomAllocatePreference")</f>
        <v>EnterCustomAllocatePreference</v>
      </c>
      <c r="DN4" s="22" t="str">
        <f>IFERROR(__xludf.DUMMYFUNCTION("""COMPUTED_VALUE"""),"SetAutoGroupingPreferences")</f>
        <v>SetAutoGroupingPreferences</v>
      </c>
      <c r="DO4" s="22" t="str">
        <f>IFERROR(__xludf.DUMMYFUNCTION("""COMPUTED_VALUE"""),"SetAutoGroupingAccount")</f>
        <v>SetAutoGroupingAccount</v>
      </c>
      <c r="DP4" s="22" t="str">
        <f>IFERROR(__xludf.DUMMYFUNCTION("""COMPUTED_VALUE"""),"SetAvgPriceRounding")</f>
        <v>SetAvgPriceRounding</v>
      </c>
      <c r="DQ4" s="22" t="str">
        <f>IFERROR(__xludf.DUMMYFUNCTION("""COMPUTED_VALUE"""),"IsAllocationOpen")</f>
        <v>IsAllocationOpen</v>
      </c>
      <c r="DR4" s="22" t="str">
        <f>IFERROR(__xludf.DUMMYFUNCTION("""COMPUTED_VALUE"""),"AllocationAuditTrail")</f>
        <v>AllocationAuditTrail</v>
      </c>
      <c r="DS4" s="22" t="str">
        <f>IFERROR(__xludf.DUMMYFUNCTION("""COMPUTED_VALUE"""),"GetAuditTrailData")</f>
        <v>GetAuditTrailData</v>
      </c>
      <c r="DT4" s="22" t="str">
        <f>IFERROR(__xludf.DUMMYFUNCTION("""COMPUTED_VALUE"""),"CheckAuditTrailData")</f>
        <v>CheckAuditTrailData</v>
      </c>
      <c r="DU4" s="22"/>
      <c r="DV4" s="22"/>
      <c r="DW4" s="22"/>
      <c r="DX4" s="22"/>
      <c r="DY4" s="22"/>
      <c r="DZ4" s="22"/>
      <c r="EA4" s="22"/>
      <c r="EB4" s="22"/>
      <c r="EC4" s="22"/>
      <c r="ED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IFERROR(__xludf.DUMMYFUNCTION("""COMPUTED_VALUE"""),"PreferenceType")</f>
        <v>PreferenceType</v>
      </c>
      <c r="C5" s="24" t="str">
        <f>IFERROR(__xludf.DUMMYFUNCTION("""COMPUTED_VALUE"""),"PreferenceName")</f>
        <v>PreferenceName</v>
      </c>
      <c r="D5" s="24" t="str">
        <f>IFERROR(__xludf.DUMMYFUNCTION("""COMPUTED_VALUE"""),"PTTPrefNeeded")</f>
        <v>PTTPrefNeeded</v>
      </c>
      <c r="E5" s="24" t="str">
        <f>IFERROR(__xludf.DUMMYFUNCTION("""COMPUTED_VALUE"""),"IsForceAllocation")</f>
        <v>IsForceAllocation</v>
      </c>
      <c r="F5" s="24" t="str">
        <f>IFERROR(__xludf.DUMMYFUNCTION("""COMPUTED_VALUE"""),"AllocationMethod")</f>
        <v>AllocationMethod</v>
      </c>
      <c r="G5" s="24" t="str">
        <f>IFERROR(__xludf.DUMMYFUNCTION("""COMPUTED_VALUE"""),"RemainderAllocationTo")</f>
        <v>RemainderAllocationTo</v>
      </c>
      <c r="H5" s="24" t="str">
        <f>IFERROR(__xludf.DUMMYFUNCTION("""COMPUTED_VALUE"""),"Target%AsOf")</f>
        <v>Target%AsOf</v>
      </c>
      <c r="I5" s="24" t="str">
        <f>IFERROR(__xludf.DUMMYFUNCTION("""COMPUTED_VALUE"""),"AccountsForProrata")</f>
        <v>AccountsForProrata</v>
      </c>
      <c r="J5" s="24" t="str">
        <f>IFERROR(__xludf.DUMMYFUNCTION("""COMPUTED_VALUE"""),"DateUptoDays")</f>
        <v>DateUptoDays</v>
      </c>
      <c r="K5" s="24" t="str">
        <f>IFERROR(__xludf.DUMMYFUNCTION("""COMPUTED_VALUE"""),"MatchClosingTransactions")</f>
        <v>MatchClosingTransactions</v>
      </c>
      <c r="L5" s="24"/>
      <c r="M5" s="24"/>
      <c r="N5" s="24"/>
      <c r="O5" s="24"/>
      <c r="P5" s="24"/>
      <c r="Q5" s="24"/>
      <c r="R5" s="24"/>
      <c r="S5" s="2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</row>
    <row r="6" ht="15.75" customHeight="1">
      <c r="A6" s="9"/>
      <c r="B6" s="9"/>
      <c r="C6" s="9"/>
      <c r="D6" s="9"/>
      <c r="E6" s="9"/>
      <c r="F6" s="9"/>
      <c r="G6" s="9" t="s">
        <v>670</v>
      </c>
      <c r="H6" s="9" t="s">
        <v>674</v>
      </c>
      <c r="I6" s="9" t="s">
        <v>675</v>
      </c>
      <c r="J6" s="9"/>
      <c r="K6" s="9" t="b">
        <v>0</v>
      </c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4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2</v>
      </c>
      <c r="D3" s="4" t="s">
        <v>662</v>
      </c>
      <c r="E3" s="13" t="s">
        <v>5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</row>
    <row r="4" ht="15.75" customHeight="1">
      <c r="A4" s="21"/>
      <c r="B4" s="21" t="str">
        <f>IFERROR(__xludf.DUMMYFUNCTION("IF(C3="""","""",Transpose(IMPORTRANGE('_Settings'!$B$3,C3&amp;""!A4:A1000"")))"),"Allocate")</f>
        <v>Allocate</v>
      </c>
      <c r="C4" s="21" t="str">
        <f>IFERROR(__xludf.DUMMYFUNCTION("""COMPUTED_VALUE"""),"CheckAllocatedGroups")</f>
        <v>CheckAllocatedGroups</v>
      </c>
      <c r="D4" s="21" t="str">
        <f>IFERROR(__xludf.DUMMYFUNCTION("""COMPUTED_VALUE"""),"Unallocate")</f>
        <v>Unallocate</v>
      </c>
      <c r="E4" s="21" t="str">
        <f>IFERROR(__xludf.DUMMYFUNCTION("""COMPUTED_VALUE"""),"GetDataAllocation")</f>
        <v>GetDataAllocation</v>
      </c>
      <c r="F4" s="21" t="str">
        <f>IFERROR(__xludf.DUMMYFUNCTION("""COMPUTED_VALUE"""),"SelectAllocatedGroup")</f>
        <v>SelectAllocatedGroup</v>
      </c>
      <c r="G4" s="21" t="str">
        <f>IFERROR(__xludf.DUMMYFUNCTION("""COMPUTED_VALUE"""),"EditTradesAllocated")</f>
        <v>EditTradesAllocated</v>
      </c>
      <c r="H4" s="21" t="str">
        <f>IFERROR(__xludf.DUMMYFUNCTION("""COMPUTED_VALUE"""),"EditTradesUnallocated")</f>
        <v>EditTradesUnallocated</v>
      </c>
      <c r="I4" s="21" t="str">
        <f>IFERROR(__xludf.DUMMYFUNCTION("""COMPUTED_VALUE"""),"Reallocate")</f>
        <v>Reallocate</v>
      </c>
      <c r="J4" s="21" t="str">
        <f>IFERROR(__xludf.DUMMYFUNCTION("""COMPUTED_VALUE"""),"EditUnallocatedGroupSidePanel")</f>
        <v>EditUnallocatedGroupSidePanel</v>
      </c>
      <c r="K4" s="21" t="str">
        <f>IFERROR(__xludf.DUMMYFUNCTION("""COMPUTED_VALUE"""),"TradeAttributeBulkChange")</f>
        <v>TradeAttributeBulkChange</v>
      </c>
      <c r="L4" s="21" t="str">
        <f>IFERROR(__xludf.DUMMYFUNCTION("""COMPUTED_VALUE"""),"ApplyBulkUpdateOnGroups")</f>
        <v>ApplyBulkUpdateOnGroups</v>
      </c>
      <c r="M4" s="21" t="str">
        <f>IFERROR(__xludf.DUMMYFUNCTION("""COMPUTED_VALUE"""),"ApplyPrefetchFilters")</f>
        <v>ApplyPrefetchFilters</v>
      </c>
      <c r="N4" s="21" t="str">
        <f>IFERROR(__xludf.DUMMYFUNCTION("""COMPUTED_VALUE"""),"GeneralPreferencesDefaultRule")</f>
        <v>GeneralPreferencesDefaultRule</v>
      </c>
      <c r="O4" s="21" t="str">
        <f>IFERROR(__xludf.DUMMYFUNCTION("""COMPUTED_VALUE"""),"GeneralPrefCompanyUserWise")</f>
        <v>GeneralPrefCompanyUserWise</v>
      </c>
      <c r="P4" s="22" t="str">
        <f>IFERROR(__xludf.DUMMYFUNCTION("""COMPUTED_VALUE"""),"RenameTradeAttributes")</f>
        <v>RenameTradeAttributes</v>
      </c>
      <c r="Q4" s="22" t="str">
        <f>IFERROR(__xludf.DUMMYFUNCTION("""COMPUTED_VALUE"""),"SetGroupingRules")</f>
        <v>SetGroupingRules</v>
      </c>
      <c r="R4" s="22" t="str">
        <f>IFERROR(__xludf.DUMMYFUNCTION("""COMPUTED_VALUE"""),"SetMasterFundRatio")</f>
        <v>SetMasterFundRatio</v>
      </c>
      <c r="S4" s="22" t="str">
        <f>IFERROR(__xludf.DUMMYFUNCTION("""COMPUTED_VALUE"""),"CheckFixedPreference")</f>
        <v>CheckFixedPreference</v>
      </c>
      <c r="T4" s="22" t="str">
        <f>IFERROR(__xludf.DUMMYFUNCTION("""COMPUTED_VALUE"""),"GetFixedPreference")</f>
        <v>GetFixedPreference</v>
      </c>
      <c r="U4" s="22" t="str">
        <f>IFERROR(__xludf.DUMMYFUNCTION("""COMPUTED_VALUE"""),"AddCalculatedPreferences")</f>
        <v>AddCalculatedPreferences</v>
      </c>
      <c r="V4" s="22" t="str">
        <f>IFERROR(__xludf.DUMMYFUNCTION("""COMPUTED_VALUE"""),"BulkChangeCalculatedPreferences")</f>
        <v>BulkChangeCalculatedPreferences</v>
      </c>
      <c r="W4" s="22" t="str">
        <f>IFERROR(__xludf.DUMMYFUNCTION("""COMPUTED_VALUE"""),"DeleteCalculatedPreferences")</f>
        <v>DeleteCalculatedPreferences</v>
      </c>
      <c r="X4" s="22" t="str">
        <f>IFERROR(__xludf.DUMMYFUNCTION("""COMPUTED_VALUE"""),"RenameCalculatedPreferences")</f>
        <v>RenameCalculatedPreferences</v>
      </c>
      <c r="Y4" s="22" t="str">
        <f>IFERROR(__xludf.DUMMYFUNCTION("""COMPUTED_VALUE"""),"CopyCalculatedPreferences")</f>
        <v>CopyCalculatedPreferences</v>
      </c>
      <c r="Z4" s="22" t="str">
        <f>IFERROR(__xludf.DUMMYFUNCTION("""COMPUTED_VALUE"""),"RunAutoGroup")</f>
        <v>RunAutoGroup</v>
      </c>
      <c r="AA4" s="22" t="str">
        <f>IFERROR(__xludf.DUMMYFUNCTION("""COMPUTED_VALUE"""),"BookOrUpdateSwap")</f>
        <v>BookOrUpdateSwap</v>
      </c>
      <c r="AB4" s="22" t="str">
        <f>IFERROR(__xludf.DUMMYFUNCTION("""COMPUTED_VALUE"""),"RunProrata")</f>
        <v>RunProrata</v>
      </c>
      <c r="AC4" s="22" t="str">
        <f>IFERROR(__xludf.DUMMYFUNCTION("""COMPUTED_VALUE"""),"SetDefaultRuleCalculatedPref")</f>
        <v>SetDefaultRuleCalculatedPref</v>
      </c>
      <c r="AD4" s="22" t="str">
        <f>IFERROR(__xludf.DUMMYFUNCTION("""COMPUTED_VALUE"""),"SetAccountValueCalculatedPref")</f>
        <v>SetAccountValueCalculatedPref</v>
      </c>
      <c r="AE4" s="22" t="str">
        <f>IFERROR(__xludf.DUMMYFUNCTION("""COMPUTED_VALUE"""),"TradeAttributeBulkChangeGroups")</f>
        <v>TradeAttributeBulkChangeGroups</v>
      </c>
      <c r="AF4" s="22" t="str">
        <f>IFERROR(__xludf.DUMMYFUNCTION("""COMPUTED_VALUE"""),"TradeAttributeBulkChangeTaxlots")</f>
        <v>TradeAttributeBulkChangeTaxlots</v>
      </c>
      <c r="AG4" s="22" t="str">
        <f>IFERROR(__xludf.DUMMYFUNCTION("""COMPUTED_VALUE"""),"AddCalculatedPreferenceToolbar")</f>
        <v>AddCalculatedPreferenceToolbar</v>
      </c>
      <c r="AH4" s="22" t="str">
        <f>IFERROR(__xludf.DUMMYFUNCTION("""COMPUTED_VALUE"""),"SetStrategyValueCalculatedPref")</f>
        <v>SetStrategyValueCalculatedPref</v>
      </c>
      <c r="AI4" s="22" t="str">
        <f>IFERROR(__xludf.DUMMYFUNCTION("""COMPUTED_VALUE"""),"ApplyBulkUpdateOnTaxlots")</f>
        <v>ApplyBulkUpdateOnTaxlots</v>
      </c>
      <c r="AJ4" s="22" t="str">
        <f>IFERROR(__xludf.DUMMYFUNCTION("""COMPUTED_VALUE"""),"CommissionBulkChangeOnGroups")</f>
        <v>CommissionBulkChangeOnGroups</v>
      </c>
      <c r="AK4" s="22" t="str">
        <f>IFERROR(__xludf.DUMMYFUNCTION("""COMPUTED_VALUE"""),"CommissionBulkChangeOnTaxlots")</f>
        <v>CommissionBulkChangeOnTaxlots</v>
      </c>
      <c r="AL4" s="22" t="str">
        <f>IFERROR(__xludf.DUMMYFUNCTION("""COMPUTED_VALUE"""),"SelectUnallocatedGroup")</f>
        <v>SelectUnallocatedGroup</v>
      </c>
      <c r="AM4" s="22" t="str">
        <f>IFERROR(__xludf.DUMMYFUNCTION("""COMPUTED_VALUE"""),"EnterAccountValuesToAllocate")</f>
        <v>EnterAccountValuesToAllocate</v>
      </c>
      <c r="AN4" s="22" t="str">
        <f>IFERROR(__xludf.DUMMYFUNCTION("""COMPUTED_VALUE"""),"EnterAllocatePreference")</f>
        <v>EnterAllocatePreference</v>
      </c>
      <c r="AO4" s="22" t="str">
        <f>IFERROR(__xludf.DUMMYFUNCTION("""COMPUTED_VALUE"""),"EnterStrategyValuesToAllocate")</f>
        <v>EnterStrategyValuesToAllocate</v>
      </c>
      <c r="AP4" s="22" t="str">
        <f>IFERROR(__xludf.DUMMYFUNCTION("""COMPUTED_VALUE"""),"CopyCalculatedPreferenceToolbar")</f>
        <v>CopyCalculatedPreferenceToolbar</v>
      </c>
      <c r="AQ4" s="22" t="str">
        <f>IFERROR(__xludf.DUMMYFUNCTION("""COMPUTED_VALUE"""),"SetGeneralRuleCalculatedPref")</f>
        <v>SetGeneralRuleCalculatedPref</v>
      </c>
      <c r="AR4" s="22" t="str">
        <f>IFERROR(__xludf.DUMMYFUNCTION("""COMPUTED_VALUE"""),"ExportAllCalculatedPreferences")</f>
        <v>ExportAllCalculatedPreferences</v>
      </c>
      <c r="AS4" s="22" t="str">
        <f>IFERROR(__xludf.DUMMYFUNCTION("""COMPUTED_VALUE"""),"SaveCalculatedPreferences")</f>
        <v>SaveCalculatedPreferences</v>
      </c>
      <c r="AT4" s="22" t="str">
        <f>IFERROR(__xludf.DUMMYFUNCTION("""COMPUTED_VALUE"""),"CloseCalculatedPreferences")</f>
        <v>CloseCalculatedPreferences</v>
      </c>
      <c r="AU4" s="22" t="str">
        <f>IFERROR(__xludf.DUMMYFUNCTION("""COMPUTED_VALUE"""),"ExportCalculatedPreference")</f>
        <v>ExportCalculatedPreference</v>
      </c>
      <c r="AV4" s="22" t="str">
        <f>IFERROR(__xludf.DUMMYFUNCTION("""COMPUTED_VALUE"""),"ImportCalculatedPreferences")</f>
        <v>ImportCalculatedPreferences</v>
      </c>
      <c r="AW4" s="22" t="str">
        <f>IFERROR(__xludf.DUMMYFUNCTION("""COMPUTED_VALUE"""),"OpenAuditTrailUnallocatedGroup")</f>
        <v>OpenAuditTrailUnallocatedGroup</v>
      </c>
      <c r="AX4" s="22" t="str">
        <f>IFERROR(__xludf.DUMMYFUNCTION("""COMPUTED_VALUE"""),"DeleteCalculatedPreferencesTool")</f>
        <v>DeleteCalculatedPreferencesTool</v>
      </c>
      <c r="AY4" s="22" t="str">
        <f>IFERROR(__xludf.DUMMYFUNCTION("""COMPUTED_VALUE"""),"ImportCalculatedPreferencesTool")</f>
        <v>ImportCalculatedPreferencesTool</v>
      </c>
      <c r="AZ4" s="22" t="str">
        <f>IFERROR(__xludf.DUMMYFUNCTION("""COMPUTED_VALUE"""),"ExportAllCalculatedPreferTool")</f>
        <v>ExportAllCalculatedPreferTool</v>
      </c>
      <c r="BA4" s="22" t="str">
        <f>IFERROR(__xludf.DUMMYFUNCTION("""COMPUTED_VALUE"""),"OpenAuditTrailAllocatedGroup")</f>
        <v>OpenAuditTrailAllocatedGroup</v>
      </c>
      <c r="BB4" s="22" t="str">
        <f>IFERROR(__xludf.DUMMYFUNCTION("""COMPUTED_VALUE"""),"OpenSymbolLookupUnallocateGroup")</f>
        <v>OpenSymbolLookupUnallocateGroup</v>
      </c>
      <c r="BC4" s="22" t="str">
        <f>IFERROR(__xludf.DUMMYFUNCTION("""COMPUTED_VALUE"""),"OpenSymbolLookupAllocatedGroup")</f>
        <v>OpenSymbolLookupAllocatedGroup</v>
      </c>
      <c r="BD4" s="22" t="str">
        <f>IFERROR(__xludf.DUMMYFUNCTION("""COMPUTED_VALUE"""),"DeleteFixedPreference")</f>
        <v>DeleteFixedPreference</v>
      </c>
      <c r="BE4" s="22" t="str">
        <f>IFERROR(__xludf.DUMMYFUNCTION("""COMPUTED_VALUE"""),"EditAllocatedGroupSidePanel")</f>
        <v>EditAllocatedGroupSidePanel</v>
      </c>
      <c r="BF4" s="22" t="str">
        <f>IFERROR(__xludf.DUMMYFUNCTION("""COMPUTED_VALUE"""),"CheckUnallocatedGroups")</f>
        <v>CheckUnallocatedGroups</v>
      </c>
      <c r="BG4" s="22" t="str">
        <f>IFERROR(__xludf.DUMMYFUNCTION("""COMPUTED_VALUE"""),"SetGeneralPreferences")</f>
        <v>SetGeneralPreferences</v>
      </c>
      <c r="BH4" s="22" t="str">
        <f>IFERROR(__xludf.DUMMYFUNCTION("""COMPUTED_VALUE"""),"GroupTrades")</f>
        <v>GroupTrades</v>
      </c>
      <c r="BI4" s="22" t="str">
        <f>IFERROR(__xludf.DUMMYFUNCTION("""COMPUTED_VALUE"""),"UngroupTrades")</f>
        <v>UngroupTrades</v>
      </c>
      <c r="BJ4" s="22" t="str">
        <f>IFERROR(__xludf.DUMMYFUNCTION("""COMPUTED_VALUE"""),"DeleteGroup")</f>
        <v>DeleteGroup</v>
      </c>
      <c r="BK4" s="22" t="str">
        <f>IFERROR(__xludf.DUMMYFUNCTION("""COMPUTED_VALUE"""),"CloseOrder")</f>
        <v>CloseOrder</v>
      </c>
      <c r="BL4" s="22" t="str">
        <f>IFERROR(__xludf.DUMMYFUNCTION("""COMPUTED_VALUE"""),"Unallocate")</f>
        <v>Unallocate</v>
      </c>
      <c r="BM4" s="22" t="str">
        <f>IFERROR(__xludf.DUMMYFUNCTION("""COMPUTED_VALUE"""),"CloseAllocation")</f>
        <v>CloseAllocation</v>
      </c>
      <c r="BN4" s="22" t="str">
        <f>IFERROR(__xludf.DUMMYFUNCTION("""COMPUTED_VALUE"""),"UpdateGRAccountValue")</f>
        <v>UpdateGRAccountValue</v>
      </c>
      <c r="BO4" s="22" t="str">
        <f>IFERROR(__xludf.DUMMYFUNCTION("""COMPUTED_VALUE"""),"UpdateGRStrategyValue")</f>
        <v>UpdateGRStrategyValue</v>
      </c>
      <c r="BP4" s="22" t="str">
        <f>IFERROR(__xludf.DUMMYFUNCTION("""COMPUTED_VALUE"""),"UpdateGRDefaultRule")</f>
        <v>UpdateGRDefaultRule</v>
      </c>
      <c r="BQ4" s="22" t="str">
        <f>IFERROR(__xludf.DUMMYFUNCTION("""COMPUTED_VALUE"""),"UpdateGeneralRulePref")</f>
        <v>UpdateGeneralRulePref</v>
      </c>
      <c r="BR4" s="22" t="str">
        <f>IFERROR(__xludf.DUMMYFUNCTION("""COMPUTED_VALUE"""),"ModifyGRPreferenceValues")</f>
        <v>ModifyGRPreferenceValues</v>
      </c>
      <c r="BS4" s="22" t="str">
        <f>IFERROR(__xludf.DUMMYFUNCTION("""COMPUTED_VALUE"""),"AddMFPreferences")</f>
        <v>AddMFPreferences</v>
      </c>
      <c r="BT4" s="22" t="str">
        <f>IFERROR(__xludf.DUMMYFUNCTION("""COMPUTED_VALUE"""),"AddMFPreferenceToolbar")</f>
        <v>AddMFPreferenceToolbar</v>
      </c>
      <c r="BU4" s="22" t="str">
        <f>IFERROR(__xludf.DUMMYFUNCTION("""COMPUTED_VALUE"""),"DeleteMFPreferences")</f>
        <v>DeleteMFPreferences</v>
      </c>
      <c r="BV4" s="22" t="str">
        <f>IFERROR(__xludf.DUMMYFUNCTION("""COMPUTED_VALUE"""),"DeleteMFPreferenceToolbar")</f>
        <v>DeleteMFPreferenceToolbar</v>
      </c>
      <c r="BW4" s="22" t="str">
        <f>IFERROR(__xludf.DUMMYFUNCTION("""COMPUTED_VALUE"""),"RenameMFPreferences")</f>
        <v>RenameMFPreferences</v>
      </c>
      <c r="BX4" s="22" t="str">
        <f>IFERROR(__xludf.DUMMYFUNCTION("""COMPUTED_VALUE"""),"SaveCloseMFPreference")</f>
        <v>SaveCloseMFPreference</v>
      </c>
      <c r="BY4" s="22" t="str">
        <f>IFERROR(__xludf.DUMMYFUNCTION("""COMPUTED_VALUE"""),"SetMFPrefAccountValues")</f>
        <v>SetMFPrefAccountValues</v>
      </c>
      <c r="BZ4" s="22" t="str">
        <f>IFERROR(__xludf.DUMMYFUNCTION("""COMPUTED_VALUE"""),"ModifyMFPrefGeneralRuleValues")</f>
        <v>ModifyMFPrefGeneralRuleValues</v>
      </c>
      <c r="CA4" s="22" t="str">
        <f>IFERROR(__xludf.DUMMYFUNCTION("""COMPUTED_VALUE"""),"SetMFPrefStrategyValues")</f>
        <v>SetMFPrefStrategyValues</v>
      </c>
      <c r="CB4" s="22" t="str">
        <f>IFERROR(__xludf.DUMMYFUNCTION("""COMPUTED_VALUE"""),"SetMFPrefGeneralRule")</f>
        <v>SetMFPrefGeneralRule</v>
      </c>
      <c r="CC4" s="22" t="str">
        <f>IFERROR(__xludf.DUMMYFUNCTION("""COMPUTED_VALUE"""),"SetMFPrefFundDistribution")</f>
        <v>SetMFPrefFundDistribution</v>
      </c>
      <c r="CD4" s="22" t="str">
        <f>IFERROR(__xludf.DUMMYFUNCTION("""COMPUTED_VALUE"""),"SetMFPreferencesDefaultRule")</f>
        <v>SetMFPreferencesDefaultRule</v>
      </c>
      <c r="CE4" s="22" t="str">
        <f>IFERROR(__xludf.DUMMYFUNCTION("""COMPUTED_VALUE"""),"SetMFPrefFundDefaultRule")</f>
        <v>SetMFPrefFundDefaultRule</v>
      </c>
      <c r="CF4" s="22" t="str">
        <f>IFERROR(__xludf.DUMMYFUNCTION("""COMPUTED_VALUE"""),"ClearPrefetchFilters")</f>
        <v>ClearPrefetchFilters</v>
      </c>
      <c r="CG4" s="22" t="str">
        <f>IFERROR(__xludf.DUMMYFUNCTION("""COMPUTED_VALUE"""),"ExpandCollapseAllUnallocated")</f>
        <v>ExpandCollapseAllUnallocated</v>
      </c>
      <c r="CH4" s="22" t="str">
        <f>IFERROR(__xludf.DUMMYFUNCTION("""COMPUTED_VALUE"""),"ExpandCollapseAllAllocated")</f>
        <v>ExpandCollapseAllAllocated</v>
      </c>
      <c r="CI4" s="22" t="str">
        <f>IFERROR(__xludf.DUMMYFUNCTION("""COMPUTED_VALUE"""),"GenerateCashTransaction")</f>
        <v>GenerateCashTransaction</v>
      </c>
      <c r="CJ4" s="22" t="str">
        <f>IFERROR(__xludf.DUMMYFUNCTION("""COMPUTED_VALUE"""),"SaveAllocation")</f>
        <v>SaveAllocation</v>
      </c>
      <c r="CK4" s="22" t="str">
        <f>IFERROR(__xludf.DUMMYFUNCTION("""COMPUTED_VALUE"""),"UnallocateWithOutSave")</f>
        <v>UnallocateWithOutSave</v>
      </c>
      <c r="CL4" s="22" t="str">
        <f>IFERROR(__xludf.DUMMYFUNCTION("""COMPUTED_VALUE"""),"EditUnallocatedGrid")</f>
        <v>EditUnallocatedGrid</v>
      </c>
      <c r="CM4" s="22" t="str">
        <f>IFERROR(__xludf.DUMMYFUNCTION("""COMPUTED_VALUE"""),"EditAllocatedGrid")</f>
        <v>EditAllocatedGrid</v>
      </c>
      <c r="CN4" s="22" t="str">
        <f>IFERROR(__xludf.DUMMYFUNCTION("""COMPUTED_VALUE"""),"SaveLayoutAllocatedGrid")</f>
        <v>SaveLayoutAllocatedGrid</v>
      </c>
      <c r="CO4" s="22" t="str">
        <f>IFERROR(__xludf.DUMMYFUNCTION("""COMPUTED_VALUE"""),"SaveLayoutUnallocatedGrid")</f>
        <v>SaveLayoutUnallocatedGrid</v>
      </c>
      <c r="CP4" s="22" t="str">
        <f>IFERROR(__xludf.DUMMYFUNCTION("""COMPUTED_VALUE"""),"SaveLayoutAllocationUI")</f>
        <v>SaveLayoutAllocationUI</v>
      </c>
      <c r="CQ4" s="22" t="str">
        <f>IFERROR(__xludf.DUMMYFUNCTION("""COMPUTED_VALUE"""),"ClearFiltersAllocatedGrid")</f>
        <v>ClearFiltersAllocatedGrid</v>
      </c>
      <c r="CR4" s="22" t="str">
        <f>IFERROR(__xludf.DUMMYFUNCTION("""COMPUTED_VALUE"""),"ClearFiltersUnallocatedGrid")</f>
        <v>ClearFiltersUnallocatedGrid</v>
      </c>
      <c r="CS4" s="22" t="str">
        <f>IFERROR(__xludf.DUMMYFUNCTION("""COMPUTED_VALUE"""),"VerifyLayoutAllocatedGrid")</f>
        <v>VerifyLayoutAllocatedGrid</v>
      </c>
      <c r="CT4" s="22" t="str">
        <f>IFERROR(__xludf.DUMMYFUNCTION("""COMPUTED_VALUE"""),"VerifyLayoutUnallocatedGrid")</f>
        <v>VerifyLayoutUnallocatedGrid</v>
      </c>
      <c r="CU4" s="22" t="str">
        <f>IFERROR(__xludf.DUMMYFUNCTION("""COMPUTED_VALUE"""),"CleanUp")</f>
        <v>CleanUp</v>
      </c>
      <c r="CV4" s="22" t="str">
        <f>IFERROR(__xludf.DUMMYFUNCTION("""COMPUTED_VALUE"""),"CheckAllocatedTaxlots")</f>
        <v>CheckAllocatedTaxlots</v>
      </c>
      <c r="CW4" s="22" t="str">
        <f>IFERROR(__xludf.DUMMYFUNCTION("""COMPUTED_VALUE"""),"CopyCalculatedPreferenceToolbar")</f>
        <v>CopyCalculatedPreferenceToolbar</v>
      </c>
      <c r="CX4" s="22" t="str">
        <f>IFERROR(__xludf.DUMMYFUNCTION("""COMPUTED_VALUE"""),"CloseOrder")</f>
        <v>CloseOrder</v>
      </c>
      <c r="CY4" s="22" t="str">
        <f>IFERROR(__xludf.DUMMYFUNCTION("""COMPUTED_VALUE"""),"DisableChecksideForAsset")</f>
        <v>DisableChecksideForAsset</v>
      </c>
      <c r="CZ4" s="22" t="str">
        <f>IFERROR(__xludf.DUMMYFUNCTION("""COMPUTED_VALUE"""),"DisableChecksideForAccount")</f>
        <v>DisableChecksideForAccount</v>
      </c>
      <c r="DA4" s="22" t="str">
        <f>IFERROR(__xludf.DUMMYFUNCTION("""COMPUTED_VALUE"""),"DisableChecksideForCounterParty")</f>
        <v>DisableChecksideForCounterParty</v>
      </c>
      <c r="DB4" s="22" t="str">
        <f>IFERROR(__xludf.DUMMYFUNCTION("""COMPUTED_VALUE"""),"DisableCheckside")</f>
        <v>DisableCheckside</v>
      </c>
      <c r="DC4" s="22" t="str">
        <f>IFERROR(__xludf.DUMMYFUNCTION("""COMPUTED_VALUE"""),"ApplyMasterFundFilter")</f>
        <v>ApplyMasterFundFilter</v>
      </c>
      <c r="DD4" s="22" t="str">
        <f>IFERROR(__xludf.DUMMYFUNCTION("""COMPUTED_VALUE"""),"ShowMasterFundOnTT")</f>
        <v>ShowMasterFundOnTT</v>
      </c>
      <c r="DE4" s="22" t="str">
        <f>IFERROR(__xludf.DUMMYFUNCTION("""COMPUTED_VALUE"""),"ShowMasterFundAsClient")</f>
        <v>ShowMasterFundAsClient</v>
      </c>
      <c r="DF4" s="22" t="str">
        <f>IFERROR(__xludf.DUMMYFUNCTION("""COMPUTED_VALUE"""),"SetBrokerAccountMapping")</f>
        <v>SetBrokerAccountMapping</v>
      </c>
      <c r="DG4" s="22" t="str">
        <f>IFERROR(__xludf.DUMMYFUNCTION("""COMPUTED_VALUE"""),"EditUnallocatedGridWPF")</f>
        <v>EditUnallocatedGridWPF</v>
      </c>
      <c r="DH4" s="22" t="str">
        <f>IFERROR(__xludf.DUMMYFUNCTION("""COMPUTED_VALUE"""),"EditAllocatedGridWPF")</f>
        <v>EditAllocatedGridWPF</v>
      </c>
      <c r="DI4" s="22" t="str">
        <f>IFERROR(__xludf.DUMMYFUNCTION("""COMPUTED_VALUE"""),"EditAllocatedGridTaxlot")</f>
        <v>EditAllocatedGridTaxlot</v>
      </c>
      <c r="DJ4" s="22" t="str">
        <f>IFERROR(__xludf.DUMMYFUNCTION("""COMPUTED_VALUE"""),"ExpandCollapseAllocatedGrid")</f>
        <v>ExpandCollapseAllocatedGrid</v>
      </c>
      <c r="DK4" s="22" t="str">
        <f>IFERROR(__xludf.DUMMYFUNCTION("""COMPUTED_VALUE"""),"ExpandCollapseUnallocatedGrid")</f>
        <v>ExpandCollapseUnallocatedGrid</v>
      </c>
      <c r="DL4" s="22" t="str">
        <f>IFERROR(__xludf.DUMMYFUNCTION("""COMPUTED_VALUE"""),"SetTradeAttributePreferences")</f>
        <v>SetTradeAttributePreferences</v>
      </c>
      <c r="DM4" s="22" t="str">
        <f>IFERROR(__xludf.DUMMYFUNCTION("""COMPUTED_VALUE"""),"EnterCustomAllocatePreference")</f>
        <v>EnterCustomAllocatePreference</v>
      </c>
      <c r="DN4" s="22" t="str">
        <f>IFERROR(__xludf.DUMMYFUNCTION("""COMPUTED_VALUE"""),"SetAutoGroupingPreferences")</f>
        <v>SetAutoGroupingPreferences</v>
      </c>
      <c r="DO4" s="22" t="str">
        <f>IFERROR(__xludf.DUMMYFUNCTION("""COMPUTED_VALUE"""),"SetAutoGroupingAccount")</f>
        <v>SetAutoGroupingAccount</v>
      </c>
      <c r="DP4" s="22" t="str">
        <f>IFERROR(__xludf.DUMMYFUNCTION("""COMPUTED_VALUE"""),"SetAvgPriceRounding")</f>
        <v>SetAvgPriceRounding</v>
      </c>
      <c r="DQ4" s="22" t="str">
        <f>IFERROR(__xludf.DUMMYFUNCTION("""COMPUTED_VALUE"""),"IsAllocationOpen")</f>
        <v>IsAllocationOpen</v>
      </c>
      <c r="DR4" s="22" t="str">
        <f>IFERROR(__xludf.DUMMYFUNCTION("""COMPUTED_VALUE"""),"AllocationAuditTrail")</f>
        <v>AllocationAuditTrail</v>
      </c>
      <c r="DS4" s="22" t="str">
        <f>IFERROR(__xludf.DUMMYFUNCTION("""COMPUTED_VALUE"""),"GetAuditTrailData")</f>
        <v>GetAuditTrailData</v>
      </c>
      <c r="DT4" s="22" t="str">
        <f>IFERROR(__xludf.DUMMYFUNCTION("""COMPUTED_VALUE"""),"CheckAuditTrailData")</f>
        <v>CheckAuditTrailData</v>
      </c>
      <c r="DU4" s="22"/>
      <c r="DV4" s="22"/>
      <c r="DW4" s="22"/>
      <c r="DX4" s="22"/>
      <c r="DY4" s="22"/>
      <c r="DZ4" s="22"/>
      <c r="EA4" s="22"/>
      <c r="EB4" s="22"/>
      <c r="EC4" s="22"/>
      <c r="ED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IFERROR(__xludf.DUMMYFUNCTION("""COMPUTED_VALUE"""),"Account Name")</f>
        <v>Account Name</v>
      </c>
      <c r="C5" s="24" t="str">
        <f>IFERROR(__xludf.DUMMYFUNCTION("""COMPUTED_VALUE"""),"Accrual Basis")</f>
        <v>Accrual Basis</v>
      </c>
      <c r="D5" s="24" t="str">
        <f>IFERROR(__xludf.DUMMYFUNCTION("""COMPUTED_VALUE"""),"Accrued Interest")</f>
        <v>Accrued Interest</v>
      </c>
      <c r="E5" s="24" t="str">
        <f>IFERROR(__xludf.DUMMYFUNCTION("""COMPUTED_VALUE"""),"Allocated Qty")</f>
        <v>Allocated Qty</v>
      </c>
      <c r="F5" s="24" t="str">
        <f>IFERROR(__xludf.DUMMYFUNCTION("""COMPUTED_VALUE"""),"Allocation Scheme Name")</f>
        <v>Allocation Scheme Name</v>
      </c>
      <c r="G5" s="24" t="str">
        <f>IFERROR(__xludf.DUMMYFUNCTION("""COMPUTED_VALUE"""),"Asset Category")</f>
        <v>Asset Category</v>
      </c>
      <c r="H5" s="24" t="str">
        <f>IFERROR(__xludf.DUMMYFUNCTION("""COMPUTED_VALUE"""),"AUEC Fee1")</f>
        <v>AUEC Fee1</v>
      </c>
      <c r="I5" s="24" t="str">
        <f>IFERROR(__xludf.DUMMYFUNCTION("""COMPUTED_VALUE"""),"AUEC Fee2")</f>
        <v>AUEC Fee2</v>
      </c>
      <c r="J5" s="24" t="str">
        <f>IFERROR(__xludf.DUMMYFUNCTION("""COMPUTED_VALUE"""),"AUECID")</f>
        <v>AUECID</v>
      </c>
      <c r="K5" s="24" t="str">
        <f>IFERROR(__xludf.DUMMYFUNCTION("""COMPUTED_VALUE"""),"Avg Price(Base)")</f>
        <v>Avg Price(Base)</v>
      </c>
      <c r="L5" s="24" t="str">
        <f>IFERROR(__xludf.DUMMYFUNCTION("""COMPUTED_VALUE"""),"Avg Price(Local)")</f>
        <v>Avg Price(Local)</v>
      </c>
      <c r="M5" s="24" t="str">
        <f>IFERROR(__xludf.DUMMYFUNCTION("""COMPUTED_VALUE"""),"Bloomberg")</f>
        <v>Bloomberg</v>
      </c>
      <c r="N5" s="24" t="str">
        <f>IFERROR(__xludf.DUMMYFUNCTION("""COMPUTED_VALUE"""),"Bond Type")</f>
        <v>Bond Type</v>
      </c>
      <c r="O5" s="24" t="str">
        <f>IFERROR(__xludf.DUMMYFUNCTION("""COMPUTED_VALUE"""),"Broker")</f>
        <v>Broker</v>
      </c>
      <c r="P5" s="24" t="str">
        <f>IFERROR(__xludf.DUMMYFUNCTION("""COMPUTED_VALUE"""),"Change Comment")</f>
        <v>Change Comment</v>
      </c>
      <c r="Q5" s="24" t="str">
        <f>IFERROR(__xludf.DUMMYFUNCTION("""COMPUTED_VALUE"""),"Change Type")</f>
        <v>Change Type</v>
      </c>
      <c r="R5" s="24" t="str">
        <f>IFERROR(__xludf.DUMMYFUNCTION("""COMPUTED_VALUE"""),"Clearing Broker Fee")</f>
        <v>Clearing Broker Fee</v>
      </c>
      <c r="S5" s="24" t="str">
        <f>IFERROR(__xludf.DUMMYFUNCTION("""COMPUTED_VALUE"""),"Closing Status")</f>
        <v>Closing Status</v>
      </c>
      <c r="T5" s="25" t="str">
        <f>IFERROR(__xludf.DUMMYFUNCTION("""COMPUTED_VALUE"""),"Commission")</f>
        <v>Commission</v>
      </c>
      <c r="U5" s="25" t="str">
        <f>IFERROR(__xludf.DUMMYFUNCTION("""COMPUTED_VALUE"""),"Commission Per Share")</f>
        <v>Commission Per Share</v>
      </c>
      <c r="V5" s="25" t="str">
        <f>IFERROR(__xludf.DUMMYFUNCTION("""COMPUTED_VALUE"""),"Company")</f>
        <v>Company</v>
      </c>
      <c r="W5" s="25" t="str">
        <f>IFERROR(__xludf.DUMMYFUNCTION("""COMPUTED_VALUE"""),"Contract Multiplier")</f>
        <v>Contract Multiplier</v>
      </c>
      <c r="X5" s="25" t="str">
        <f>IFERROR(__xludf.DUMMYFUNCTION("""COMPUTED_VALUE"""),"Coupon Rate")</f>
        <v>Coupon Rate</v>
      </c>
      <c r="Y5" s="25" t="str">
        <f>IFERROR(__xludf.DUMMYFUNCTION("""COMPUTED_VALUE"""),"Cum Qty For Sub Order")</f>
        <v>Cum Qty For Sub Order</v>
      </c>
      <c r="Z5" s="25" t="str">
        <f>IFERROR(__xludf.DUMMYFUNCTION("""COMPUTED_VALUE"""),"Currency")</f>
        <v>Currency</v>
      </c>
      <c r="AA5" s="25" t="str">
        <f>IFERROR(__xludf.DUMMYFUNCTION("""COMPUTED_VALUE"""),"Cusip Symbol")</f>
        <v>Cusip Symbol</v>
      </c>
      <c r="AB5" s="25" t="str">
        <f>IFERROR(__xludf.DUMMYFUNCTION("""COMPUTED_VALUE"""),"Delta")</f>
        <v>Delta</v>
      </c>
      <c r="AC5" s="25" t="str">
        <f>IFERROR(__xludf.DUMMYFUNCTION("""COMPUTED_VALUE"""),"Description")</f>
        <v>Description</v>
      </c>
      <c r="AD5" s="25" t="str">
        <f>IFERROR(__xludf.DUMMYFUNCTION("""COMPUTED_VALUE"""),"Exchange")</f>
        <v>Exchange</v>
      </c>
      <c r="AE5" s="25" t="str">
        <f>IFERROR(__xludf.DUMMYFUNCTION("""COMPUTED_VALUE"""),"Executed Qty")</f>
        <v>Executed Qty</v>
      </c>
      <c r="AF5" s="25" t="str">
        <f>IFERROR(__xludf.DUMMYFUNCTION("""COMPUTED_VALUE"""),"Exceution Time")</f>
        <v>Exceution Time</v>
      </c>
      <c r="AG5" s="25" t="str">
        <f>IFERROR(__xludf.DUMMYFUNCTION("""COMPUTED_VALUE"""),"Expiration Date")</f>
        <v>Expiration Date</v>
      </c>
      <c r="AH5" s="25" t="str">
        <f>IFERROR(__xludf.DUMMYFUNCTION("""COMPUTED_VALUE"""),"FX Conversion Operator")</f>
        <v>FX Conversion Operator</v>
      </c>
      <c r="AI5" s="25" t="str">
        <f>IFERROR(__xludf.DUMMYFUNCTION("""COMPUTED_VALUE"""),"FX Rate")</f>
        <v>FX Rate</v>
      </c>
      <c r="AJ5" s="25" t="str">
        <f>IFERROR(__xludf.DUMMYFUNCTION("""COMPUTED_VALUE"""),"Group Status")</f>
        <v>Group Status</v>
      </c>
      <c r="AK5" s="25" t="str">
        <f>IFERROR(__xludf.DUMMYFUNCTION("""COMPUTED_VALUE"""),"IDCOSymbol")</f>
        <v>IDCOSymbol</v>
      </c>
      <c r="AL5" s="25" t="str">
        <f>IFERROR(__xludf.DUMMYFUNCTION("""COMPUTED_VALUE"""),"Import File Name")</f>
        <v>Import File Name</v>
      </c>
      <c r="AM5" s="25" t="str">
        <f>IFERROR(__xludf.DUMMYFUNCTION("""COMPUTED_VALUE"""),"Internal Comments")</f>
        <v>Internal Comments</v>
      </c>
      <c r="AN5" s="25" t="str">
        <f>IFERROR(__xludf.DUMMYFUNCTION("""COMPUTED_VALUE"""),"IsAnotherTaxlotAttributesUpdated")</f>
        <v>IsAnotherTaxlotAttributesUpdated</v>
      </c>
      <c r="AO5" s="25" t="str">
        <f>IFERROR(__xludf.DUMMYFUNCTION("""COMPUTED_VALUE"""),"ISIN")</f>
        <v>ISIN</v>
      </c>
      <c r="AP5" s="25" t="str">
        <f>IFERROR(__xludf.DUMMYFUNCTION("""COMPUTED_VALUE"""),"IsManual Group")</f>
        <v>IsManual Group</v>
      </c>
      <c r="AQ5" s="25" t="str">
        <f>IFERROR(__xludf.DUMMYFUNCTION("""COMPUTED_VALUE"""),"ISNDF")</f>
        <v>ISNDF</v>
      </c>
      <c r="AR5" s="25" t="str">
        <f>IFERROR(__xludf.DUMMYFUNCTION("""COMPUTED_VALUE"""),"IsPreAllocated")</f>
        <v>IsPreAllocated</v>
      </c>
      <c r="AS5" s="25" t="str">
        <f>IFERROR(__xludf.DUMMYFUNCTION("""COMPUTED_VALUE"""),"M2MProfitLoss")</f>
        <v>M2MProfitLoss</v>
      </c>
      <c r="AT5" s="25" t="str">
        <f>IFERROR(__xludf.DUMMYFUNCTION("""COMPUTED_VALUE"""),"Net Amount( Base)")</f>
        <v>Net Amount( Base)</v>
      </c>
      <c r="AU5" s="25" t="str">
        <f>IFERROR(__xludf.DUMMYFUNCTION("""COMPUTED_VALUE"""),"Net Amount( Local)")</f>
        <v>Net Amount( Local)</v>
      </c>
      <c r="AV5" s="25" t="str">
        <f>IFERROR(__xludf.DUMMYFUNCTION("""COMPUTED_VALUE"""),"Nirvana Process Date")</f>
        <v>Nirvana Process Date</v>
      </c>
      <c r="AW5" s="25" t="str">
        <f>IFERROR(__xludf.DUMMYFUNCTION("""COMPUTED_VALUE"""),"OCC Fee")</f>
        <v>OCC Fee</v>
      </c>
      <c r="AX5" s="25" t="str">
        <f>IFERROR(__xludf.DUMMYFUNCTION("""COMPUTED_VALUE"""),"Option Premium Adjustment")</f>
        <v>Option Premium Adjustment</v>
      </c>
      <c r="AY5" s="25" t="str">
        <f>IFERROR(__xludf.DUMMYFUNCTION("""COMPUTED_VALUE"""),"Order Type")</f>
        <v>Order Type</v>
      </c>
      <c r="AZ5" s="25" t="str">
        <f>IFERROR(__xludf.DUMMYFUNCTION("""COMPUTED_VALUE"""),"ORF Fee")</f>
        <v>ORF Fee</v>
      </c>
      <c r="BA5" s="25" t="str">
        <f>IFERROR(__xludf.DUMMYFUNCTION("""COMPUTED_VALUE"""),"Original Purchase Date")</f>
        <v>Original Purchase Date</v>
      </c>
      <c r="BB5" s="25" t="str">
        <f>IFERROR(__xludf.DUMMYFUNCTION("""COMPUTED_VALUE"""),"OSISSymbol")</f>
        <v>OSISSymbol</v>
      </c>
      <c r="BC5" s="25" t="str">
        <f>IFERROR(__xludf.DUMMYFUNCTION("""COMPUTED_VALUE"""),"Other Broker Fees")</f>
        <v>Other Broker Fees</v>
      </c>
      <c r="BD5" s="25" t="str">
        <f>IFERROR(__xludf.DUMMYFUNCTION("""COMPUTED_VALUE"""),"Prana Msg Type")</f>
        <v>Prana Msg Type</v>
      </c>
      <c r="BE5" s="25" t="str">
        <f>IFERROR(__xludf.DUMMYFUNCTION("""COMPUTED_VALUE"""),"Principal Amount( Base)")</f>
        <v>Principal Amount( Base)</v>
      </c>
      <c r="BF5" s="25" t="str">
        <f>IFERROR(__xludf.DUMMYFUNCTION("""COMPUTED_VALUE"""),"Principal Amount( Local)")</f>
        <v>Principal Amount( Local)</v>
      </c>
      <c r="BG5" s="25" t="str">
        <f>IFERROR(__xludf.DUMMYFUNCTION("""COMPUTED_VALUE"""),"Process Date")</f>
        <v>Process Date</v>
      </c>
      <c r="BH5" s="25" t="str">
        <f>IFERROR(__xludf.DUMMYFUNCTION("""COMPUTED_VALUE"""),"Proxy Symbol")</f>
        <v>Proxy Symbol</v>
      </c>
      <c r="BI5" s="25" t="str">
        <f>IFERROR(__xludf.DUMMYFUNCTION("""COMPUTED_VALUE"""),"Put Or Call")</f>
        <v>Put Or Call</v>
      </c>
      <c r="BJ5" s="25" t="str">
        <f>IFERROR(__xludf.DUMMYFUNCTION("""COMPUTED_VALUE"""),"Quantity")</f>
        <v>Quantity</v>
      </c>
      <c r="BK5" s="25" t="str">
        <f>IFERROR(__xludf.DUMMYFUNCTION("""COMPUTED_VALUE"""),"SEC Fee")</f>
        <v>SEC Fee</v>
      </c>
      <c r="BL5" s="25" t="str">
        <f>IFERROR(__xludf.DUMMYFUNCTION("""COMPUTED_VALUE"""),"Sedol Symbol")</f>
        <v>Sedol Symbol</v>
      </c>
      <c r="BM5" s="25" t="str">
        <f>IFERROR(__xludf.DUMMYFUNCTION("""COMPUTED_VALUE"""),"Settlement Currency")</f>
        <v>Settlement Currency</v>
      </c>
      <c r="BN5" s="25" t="str">
        <f>IFERROR(__xludf.DUMMYFUNCTION("""COMPUTED_VALUE"""),"Settlement Date")</f>
        <v>Settlement Date</v>
      </c>
      <c r="BO5" s="25" t="str">
        <f>IFERROR(__xludf.DUMMYFUNCTION("""COMPUTED_VALUE"""),"Side")</f>
        <v>Side</v>
      </c>
      <c r="BP5" s="25" t="str">
        <f>IFERROR(__xludf.DUMMYFUNCTION("""COMPUTED_VALUE"""),"Soft Commission")</f>
        <v>Soft Commission</v>
      </c>
      <c r="BQ5" s="25" t="str">
        <f>IFERROR(__xludf.DUMMYFUNCTION("""COMPUTED_VALUE"""),"Soft Commission Per Share")</f>
        <v>Soft Commission Per Share</v>
      </c>
      <c r="BR5" s="25" t="str">
        <f>IFERROR(__xludf.DUMMYFUNCTION("""COMPUTED_VALUE"""),"Stamp Duty")</f>
        <v>Stamp Duty</v>
      </c>
      <c r="BS5" s="25" t="str">
        <f>IFERROR(__xludf.DUMMYFUNCTION("""COMPUTED_VALUE"""),"Strategy Name")</f>
        <v>Strategy Name</v>
      </c>
      <c r="BT5" s="25" t="str">
        <f>IFERROR(__xludf.DUMMYFUNCTION("""COMPUTED_VALUE"""),"Symbol")</f>
        <v>Symbol</v>
      </c>
      <c r="BU5" s="25" t="str">
        <f>IFERROR(__xludf.DUMMYFUNCTION("""COMPUTED_VALUE"""),"Tax On Commissions")</f>
        <v>Tax On Commissions</v>
      </c>
      <c r="BV5" s="25" t="str">
        <f>IFERROR(__xludf.DUMMYFUNCTION("""COMPUTED_VALUE"""),"Total Commission")</f>
        <v>Total Commission</v>
      </c>
      <c r="BW5" s="25" t="str">
        <f>IFERROR(__xludf.DUMMYFUNCTION("""COMPUTED_VALUE"""),"Total Commission And Fee")</f>
        <v>Total Commission And Fee</v>
      </c>
      <c r="BX5" s="25" t="str">
        <f>IFERROR(__xludf.DUMMYFUNCTION("""COMPUTED_VALUE"""),"Total Commission Per Share")</f>
        <v>Total Commission Per Share</v>
      </c>
      <c r="BY5" s="25" t="str">
        <f>IFERROR(__xludf.DUMMYFUNCTION("""COMPUTED_VALUE"""),"Trade Attribute 1")</f>
        <v>Trade Attribute 1</v>
      </c>
      <c r="BZ5" s="25" t="str">
        <f>IFERROR(__xludf.DUMMYFUNCTION("""COMPUTED_VALUE"""),"Trade Attribute 2")</f>
        <v>Trade Attribute 2</v>
      </c>
      <c r="CA5" s="25" t="str">
        <f>IFERROR(__xludf.DUMMYFUNCTION("""COMPUTED_VALUE"""),"Trade Attribute 3")</f>
        <v>Trade Attribute 3</v>
      </c>
      <c r="CB5" s="25" t="str">
        <f>IFERROR(__xludf.DUMMYFUNCTION("""COMPUTED_VALUE"""),"Trade Attribute 4")</f>
        <v>Trade Attribute 4</v>
      </c>
      <c r="CC5" s="25" t="str">
        <f>IFERROR(__xludf.DUMMYFUNCTION("""COMPUTED_VALUE"""),"Trade Attribute 5")</f>
        <v>Trade Attribute 5</v>
      </c>
      <c r="CD5" s="25" t="str">
        <f>IFERROR(__xludf.DUMMYFUNCTION("""COMPUTED_VALUE"""),"Trade Attribute 6")</f>
        <v>Trade Attribute 6</v>
      </c>
      <c r="CE5" s="25" t="str">
        <f>IFERROR(__xludf.DUMMYFUNCTION("""COMPUTED_VALUE"""),"Trade Date")</f>
        <v>Trade Date</v>
      </c>
      <c r="CF5" s="25" t="str">
        <f>IFERROR(__xludf.DUMMYFUNCTION("""COMPUTED_VALUE"""),"Trading Account")</f>
        <v>Trading Account</v>
      </c>
      <c r="CG5" s="25" t="str">
        <f>IFERROR(__xludf.DUMMYFUNCTION("""COMPUTED_VALUE"""),"Transaction Levy")</f>
        <v>Transaction Levy</v>
      </c>
      <c r="CH5" s="25" t="str">
        <f>IFERROR(__xludf.DUMMYFUNCTION("""COMPUTED_VALUE"""),"Transaction Source")</f>
        <v>Transaction Source</v>
      </c>
      <c r="CI5" s="25" t="str">
        <f>IFERROR(__xludf.DUMMYFUNCTION("""COMPUTED_VALUE"""),"Transaction Type")</f>
        <v>Transaction Type</v>
      </c>
      <c r="CJ5" s="25" t="str">
        <f>IFERROR(__xludf.DUMMYFUNCTION("""COMPUTED_VALUE"""),"UnAllocatedQty")</f>
        <v>UnAllocatedQty</v>
      </c>
      <c r="CK5" s="25" t="str">
        <f>IFERROR(__xludf.DUMMYFUNCTION("""COMPUTED_VALUE"""),"Underlying")</f>
        <v>Underlying</v>
      </c>
      <c r="CL5" s="25" t="str">
        <f>IFERROR(__xludf.DUMMYFUNCTION("""COMPUTED_VALUE"""),"Underlying Delta")</f>
        <v>Underlying Delta</v>
      </c>
      <c r="CM5" s="25" t="str">
        <f>IFERROR(__xludf.DUMMYFUNCTION("""COMPUTED_VALUE"""),"Underlying Symbol")</f>
        <v>Underlying Symbol</v>
      </c>
      <c r="CN5" s="25" t="str">
        <f>IFERROR(__xludf.DUMMYFUNCTION("""COMPUTED_VALUE"""),"User")</f>
        <v>User</v>
      </c>
      <c r="CO5" s="25" t="str">
        <f>IFERROR(__xludf.DUMMYFUNCTION("""COMPUTED_VALUE"""),"Venue")</f>
        <v>Venue</v>
      </c>
      <c r="CP5" s="25" t="str">
        <f>IFERROR(__xludf.DUMMYFUNCTION("""COMPUTED_VALUE"""),"Closing Method")</f>
        <v>Closing Method</v>
      </c>
      <c r="CQ5" s="25" t="str">
        <f>IFERROR(__xludf.DUMMYFUNCTION("""COMPUTED_VALUE"""),"Closing Date")</f>
        <v>Closing Date</v>
      </c>
      <c r="CR5" s="25" t="str">
        <f>IFERROR(__xludf.DUMMYFUNCTION("""COMPUTED_VALUE"""),"GroupID")</f>
        <v>GroupID</v>
      </c>
      <c r="CS5" s="25" t="str">
        <f>IFERROR(__xludf.DUMMYFUNCTION("""COMPUTED_VALUE"""),"Client")</f>
        <v>Client</v>
      </c>
      <c r="CT5" s="25" t="str">
        <f>IFERROR(__xludf.DUMMYFUNCTION("""COMPUTED_VALUE"""),"isRowCountCheck")</f>
        <v>isRowCountCheck</v>
      </c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</row>
    <row r="6" ht="15.75" customHeight="1">
      <c r="A6" s="9"/>
      <c r="B6" s="9" t="s">
        <v>667</v>
      </c>
      <c r="C6" s="9"/>
      <c r="D6" s="9"/>
      <c r="E6" s="9"/>
      <c r="F6" s="9"/>
      <c r="G6" s="9"/>
      <c r="H6" s="9"/>
      <c r="I6" s="9"/>
      <c r="J6" s="9"/>
      <c r="K6" s="9">
        <v>4.0</v>
      </c>
      <c r="L6" s="9">
        <v>4.0</v>
      </c>
      <c r="M6" s="9"/>
      <c r="N6" s="9"/>
      <c r="O6" s="9"/>
      <c r="AE6">
        <v>100.0</v>
      </c>
      <c r="BJ6">
        <v>100.0</v>
      </c>
      <c r="BO6" t="s">
        <v>672</v>
      </c>
      <c r="BT6" t="s">
        <v>671</v>
      </c>
    </row>
    <row r="7" ht="15.75" customHeight="1">
      <c r="A7" s="9"/>
      <c r="B7" s="9" t="s">
        <v>669</v>
      </c>
      <c r="C7" s="9"/>
      <c r="D7" s="9"/>
      <c r="E7" s="9"/>
      <c r="F7" s="9"/>
      <c r="G7" s="9"/>
      <c r="H7" s="9"/>
      <c r="I7" s="9"/>
      <c r="J7" s="9"/>
      <c r="K7" s="9">
        <v>4.0</v>
      </c>
      <c r="L7" s="9">
        <v>4.0</v>
      </c>
      <c r="M7" s="9"/>
      <c r="N7" s="9"/>
      <c r="O7" s="9"/>
      <c r="AE7">
        <v>200.0</v>
      </c>
      <c r="BJ7">
        <v>200.0</v>
      </c>
      <c r="BO7" t="s">
        <v>672</v>
      </c>
      <c r="BT7" t="s">
        <v>671</v>
      </c>
    </row>
    <row r="8" ht="15.75" customHeight="1">
      <c r="A8" s="9"/>
      <c r="B8" s="9" t="s">
        <v>670</v>
      </c>
      <c r="C8" s="9"/>
      <c r="D8" s="9"/>
      <c r="E8" s="9"/>
      <c r="F8" s="9"/>
      <c r="G8" s="9"/>
      <c r="H8" s="9"/>
      <c r="I8" s="9"/>
      <c r="J8" s="9"/>
      <c r="K8" s="9">
        <v>4.0</v>
      </c>
      <c r="L8" s="9">
        <v>4.0</v>
      </c>
      <c r="M8" s="9"/>
      <c r="N8" s="9"/>
      <c r="O8" s="9"/>
      <c r="AE8">
        <v>201.0</v>
      </c>
      <c r="BJ8">
        <v>201.0</v>
      </c>
      <c r="BO8" t="s">
        <v>672</v>
      </c>
      <c r="BT8" t="s">
        <v>671</v>
      </c>
    </row>
    <row r="9" ht="15.75" customHeight="1">
      <c r="A9" s="9"/>
      <c r="B9" s="9" t="s">
        <v>676</v>
      </c>
      <c r="C9" s="9"/>
      <c r="D9" s="9"/>
      <c r="E9" s="9"/>
      <c r="F9" s="9"/>
      <c r="G9" s="9"/>
      <c r="H9" s="9"/>
      <c r="I9" s="9"/>
      <c r="J9" s="9"/>
      <c r="K9" s="9">
        <v>4.0</v>
      </c>
      <c r="L9" s="9">
        <v>4.0</v>
      </c>
      <c r="M9" s="9"/>
      <c r="N9" s="9"/>
      <c r="O9" s="9"/>
      <c r="AE9">
        <v>5000.0</v>
      </c>
      <c r="BJ9">
        <v>10000.0</v>
      </c>
      <c r="BO9" t="s">
        <v>672</v>
      </c>
      <c r="BT9" t="s">
        <v>671</v>
      </c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8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262</v>
      </c>
      <c r="D3" s="4" t="s">
        <v>662</v>
      </c>
      <c r="E3" s="13" t="s">
        <v>425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</row>
    <row r="4" ht="15.75" customHeight="1">
      <c r="A4" s="21"/>
      <c r="B4" s="21" t="str">
        <f>IFERROR(__xludf.DUMMYFUNCTION("IF(C3="""","""",Transpose(IMPORTRANGE('_Settings'!$B$3,C3&amp;""!A4:A1000"")))"),"SwapExpire")</f>
        <v>SwapExpire</v>
      </c>
      <c r="C4" s="21" t="str">
        <f>IFERROR(__xludf.DUMMYFUNCTION("""COMPUTED_VALUE"""),"GetDataClosing")</f>
        <v>GetDataClosing</v>
      </c>
      <c r="D4" s="21" t="str">
        <f>IFERROR(__xludf.DUMMYFUNCTION("""COMPUTED_VALUE"""),"ManualClosing")</f>
        <v>ManualClosing</v>
      </c>
      <c r="E4" s="21" t="str">
        <f>IFERROR(__xludf.DUMMYFUNCTION("""COMPUTED_VALUE"""),"AutomaticClosing")</f>
        <v>AutomaticClosing</v>
      </c>
      <c r="F4" s="21" t="str">
        <f>IFERROR(__xludf.DUMMYFUNCTION("""COMPUTED_VALUE"""),"UnwindClosing")</f>
        <v>UnwindClosing</v>
      </c>
      <c r="G4" s="21" t="str">
        <f>IFERROR(__xludf.DUMMYFUNCTION("""COMPUTED_VALUE"""),"VerifyClosedTrades")</f>
        <v>VerifyClosedTrades</v>
      </c>
      <c r="H4" s="21" t="str">
        <f>IFERROR(__xludf.DUMMYFUNCTION("""COMPUTED_VALUE"""),"VerifyLongPositionsGrid")</f>
        <v>VerifyLongPositionsGrid</v>
      </c>
      <c r="I4" s="21" t="str">
        <f>IFERROR(__xludf.DUMMYFUNCTION("""COMPUTED_VALUE"""),"VerifyShortPositionsGrid")</f>
        <v>VerifyShortPositionsGrid</v>
      </c>
      <c r="J4" s="21" t="str">
        <f>IFERROR(__xludf.DUMMYFUNCTION("""COMPUTED_VALUE"""),"SelectTradeUnexpiredUnsettled")</f>
        <v>SelectTradeUnexpiredUnsettled</v>
      </c>
      <c r="K4" s="21" t="str">
        <f>IFERROR(__xludf.DUMMYFUNCTION("""COMPUTED_VALUE"""),"CashSettlementAtCost")</f>
        <v>CashSettlementAtCost</v>
      </c>
      <c r="L4" s="21" t="str">
        <f>IFERROR(__xludf.DUMMYFUNCTION("""COMPUTED_VALUE"""),"CashSettlementAtZeroPrice")</f>
        <v>CashSettlementAtZeroPrice</v>
      </c>
      <c r="M4" s="21" t="str">
        <f>IFERROR(__xludf.DUMMYFUNCTION("""COMPUTED_VALUE"""),"CashSettlementAtClosingDtSpotPx")</f>
        <v>CashSettlementAtClosingDtSpotPx</v>
      </c>
      <c r="N4" s="21" t="str">
        <f>IFERROR(__xludf.DUMMYFUNCTION("""COMPUTED_VALUE"""),"PhysicalSettlement")</f>
        <v>PhysicalSettlement</v>
      </c>
      <c r="O4" s="21" t="str">
        <f>IFERROR(__xludf.DUMMYFUNCTION("""COMPUTED_VALUE"""),"Expire")</f>
        <v>Expire</v>
      </c>
      <c r="P4" s="22" t="str">
        <f>IFERROR(__xludf.DUMMYFUNCTION("""COMPUTED_VALUE"""),"ExerciseAssignment")</f>
        <v>ExerciseAssignment</v>
      </c>
      <c r="Q4" s="22" t="str">
        <f>IFERROR(__xludf.DUMMYFUNCTION("""COMPUTED_VALUE"""),"ExerciseAssignmentAtZero")</f>
        <v>ExerciseAssignmentAtZero</v>
      </c>
      <c r="R4" s="22" t="str">
        <f>IFERROR(__xludf.DUMMYFUNCTION("""COMPUTED_VALUE"""),"SwapExpireAndRollover")</f>
        <v>SwapExpireAndRollover</v>
      </c>
      <c r="S4" s="22" t="str">
        <f>IFERROR(__xludf.DUMMYFUNCTION("""COMPUTED_VALUE"""),"SwapExpire")</f>
        <v>SwapExpire</v>
      </c>
      <c r="T4" s="22" t="str">
        <f>IFERROR(__xludf.DUMMYFUNCTION("""COMPUTED_VALUE"""),"VerifyExpiredSettledGrid")</f>
        <v>VerifyExpiredSettledGrid</v>
      </c>
      <c r="U4" s="22" t="str">
        <f>IFERROR(__xludf.DUMMYFUNCTION("""COMPUTED_VALUE"""),"VerifyUnExpiredUnSettledGrid")</f>
        <v>VerifyUnExpiredUnSettledGrid</v>
      </c>
      <c r="V4" s="22" t="str">
        <f>IFERROR(__xludf.DUMMYFUNCTION("""COMPUTED_VALUE"""),"UnWindTradeSettlement")</f>
        <v>UnWindTradeSettlement</v>
      </c>
      <c r="W4" s="22" t="str">
        <f>IFERROR(__xludf.DUMMYFUNCTION("""COMPUTED_VALUE"""),"CloseOrder")</f>
        <v>CloseOrder</v>
      </c>
      <c r="X4" s="22" t="str">
        <f>IFERROR(__xludf.DUMMYFUNCTION("""COMPUTED_VALUE"""),"VerifyCloseOrder")</f>
        <v>VerifyCloseOrder</v>
      </c>
      <c r="Y4" s="22" t="str">
        <f>IFERROR(__xludf.DUMMYFUNCTION("""COMPUTED_VALUE"""),"UnWindCloseOrder")</f>
        <v>UnWindCloseOrder</v>
      </c>
      <c r="Z4" s="22" t="str">
        <f>IFERROR(__xludf.DUMMYFUNCTION("""COMPUTED_VALUE"""),"ClosingCleanUp")</f>
        <v>ClosingCleanUp</v>
      </c>
      <c r="AA4" s="22" t="str">
        <f>IFERROR(__xludf.DUMMYFUNCTION("""COMPUTED_VALUE"""),"CloseClosingUI")</f>
        <v>CloseClosingUI</v>
      </c>
      <c r="AB4" s="22" t="str">
        <f>IFERROR(__xludf.DUMMYFUNCTION("""COMPUTED_VALUE"""),"SetClosingPreference")</f>
        <v>SetClosingPreference</v>
      </c>
      <c r="AC4" s="22" t="str">
        <f>IFERROR(__xludf.DUMMYFUNCTION("""COMPUTED_VALUE"""),"EditTradeUnexpiredUnsettled")</f>
        <v>EditTradeUnexpiredUnsettled</v>
      </c>
      <c r="AD4" s="22" t="str">
        <f>IFERROR(__xludf.DUMMYFUNCTION("""COMPUTED_VALUE"""),"AutoExercise")</f>
        <v>AutoExercise</v>
      </c>
      <c r="AE4" s="22" t="str">
        <f>IFERROR(__xludf.DUMMYFUNCTION("""COMPUTED_VALUE"""),"EditMultipleCloseQuantity")</f>
        <v>EditMultipleCloseQuantity</v>
      </c>
      <c r="AF4" s="22" t="str">
        <f>IFERROR(__xludf.DUMMYFUNCTION("""COMPUTED_VALUE"""),"ManualCloseOrder")</f>
        <v>ManualCloseOrder</v>
      </c>
      <c r="AG4" s="22" t="str">
        <f>IFERROR(__xludf.DUMMYFUNCTION("""COMPUTED_VALUE"""),"PreviewDataWithFilters")</f>
        <v>PreviewDataWithFilters</v>
      </c>
      <c r="AH4" s="22" t="str">
        <f>IFERROR(__xludf.DUMMYFUNCTION("""COMPUTED_VALUE"""),"CreateClosingTemplate")</f>
        <v>CreateClosingTemplate</v>
      </c>
      <c r="AI4" s="22" t="str">
        <f>IFERROR(__xludf.DUMMYFUNCTION("""COMPUTED_VALUE"""),"CreateUnwindingTemplate")</f>
        <v>CreateUnwindingTemplate</v>
      </c>
      <c r="AJ4" s="22" t="str">
        <f>IFERROR(__xludf.DUMMYFUNCTION("""COMPUTED_VALUE"""),"EditTemplate")</f>
        <v>EditTemplate</v>
      </c>
      <c r="AK4" s="22" t="str">
        <f>IFERROR(__xludf.DUMMYFUNCTION("""COMPUTED_VALUE"""),"DeleteTemplate")</f>
        <v>DeleteTemplate</v>
      </c>
      <c r="AL4" s="22" t="str">
        <f>IFERROR(__xludf.DUMMYFUNCTION("""COMPUTED_VALUE"""),"RunTemplate")</f>
        <v>RunTemplate</v>
      </c>
      <c r="AM4" s="22" t="str">
        <f>IFERROR(__xludf.DUMMYFUNCTION("""COMPUTED_VALUE"""),"CreateClosingTemplate")</f>
        <v>CreateClosingTemplate</v>
      </c>
      <c r="AN4" s="22"/>
      <c r="AO4" s="22"/>
      <c r="AP4" s="22"/>
      <c r="AQ4" s="22"/>
      <c r="AR4" s="22"/>
      <c r="AS4" s="22"/>
      <c r="AT4" s="22"/>
      <c r="AU4" s="22"/>
      <c r="AV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IFERROR(__xludf.DUMMYFUNCTION("""COMPUTED_VALUE"""),"RangeType")</f>
        <v>RangeType</v>
      </c>
      <c r="C5" s="24" t="str">
        <f>IFERROR(__xludf.DUMMYFUNCTION("""COMPUTED_VALUE"""),"From")</f>
        <v>From</v>
      </c>
      <c r="D5" s="24" t="str">
        <f>IFERROR(__xludf.DUMMYFUNCTION("""COMPUTED_VALUE"""),"To")</f>
        <v>To</v>
      </c>
      <c r="E5" s="24" t="str">
        <f>IFERROR(__xludf.DUMMYFUNCTION("""COMPUTED_VALUE"""),"Account Filter")</f>
        <v>Account Filter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</row>
    <row r="6" ht="15.75" customHeight="1">
      <c r="A6" s="9"/>
      <c r="B6" s="9" t="s">
        <v>677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8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262</v>
      </c>
      <c r="D3" s="4" t="s">
        <v>662</v>
      </c>
      <c r="E3" s="13" t="s">
        <v>435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</row>
    <row r="4" ht="15.75" customHeight="1">
      <c r="A4" s="21"/>
      <c r="B4" s="21" t="str">
        <f>IFERROR(__xludf.DUMMYFUNCTION("IF(C3="""","""",Transpose(IMPORTRANGE('_Settings'!$B$3,C3&amp;""!A4:A1000"")))"),"SwapExpire")</f>
        <v>SwapExpire</v>
      </c>
      <c r="C4" s="21" t="str">
        <f>IFERROR(__xludf.DUMMYFUNCTION("""COMPUTED_VALUE"""),"GetDataClosing")</f>
        <v>GetDataClosing</v>
      </c>
      <c r="D4" s="21" t="str">
        <f>IFERROR(__xludf.DUMMYFUNCTION("""COMPUTED_VALUE"""),"ManualClosing")</f>
        <v>ManualClosing</v>
      </c>
      <c r="E4" s="21" t="str">
        <f>IFERROR(__xludf.DUMMYFUNCTION("""COMPUTED_VALUE"""),"AutomaticClosing")</f>
        <v>AutomaticClosing</v>
      </c>
      <c r="F4" s="21" t="str">
        <f>IFERROR(__xludf.DUMMYFUNCTION("""COMPUTED_VALUE"""),"UnwindClosing")</f>
        <v>UnwindClosing</v>
      </c>
      <c r="G4" s="21" t="str">
        <f>IFERROR(__xludf.DUMMYFUNCTION("""COMPUTED_VALUE"""),"VerifyClosedTrades")</f>
        <v>VerifyClosedTrades</v>
      </c>
      <c r="H4" s="21" t="str">
        <f>IFERROR(__xludf.DUMMYFUNCTION("""COMPUTED_VALUE"""),"VerifyLongPositionsGrid")</f>
        <v>VerifyLongPositionsGrid</v>
      </c>
      <c r="I4" s="21" t="str">
        <f>IFERROR(__xludf.DUMMYFUNCTION("""COMPUTED_VALUE"""),"VerifyShortPositionsGrid")</f>
        <v>VerifyShortPositionsGrid</v>
      </c>
      <c r="J4" s="21" t="str">
        <f>IFERROR(__xludf.DUMMYFUNCTION("""COMPUTED_VALUE"""),"SelectTradeUnexpiredUnsettled")</f>
        <v>SelectTradeUnexpiredUnsettled</v>
      </c>
      <c r="K4" s="21" t="str">
        <f>IFERROR(__xludf.DUMMYFUNCTION("""COMPUTED_VALUE"""),"CashSettlementAtCost")</f>
        <v>CashSettlementAtCost</v>
      </c>
      <c r="L4" s="21" t="str">
        <f>IFERROR(__xludf.DUMMYFUNCTION("""COMPUTED_VALUE"""),"CashSettlementAtZeroPrice")</f>
        <v>CashSettlementAtZeroPrice</v>
      </c>
      <c r="M4" s="21" t="str">
        <f>IFERROR(__xludf.DUMMYFUNCTION("""COMPUTED_VALUE"""),"CashSettlementAtClosingDtSpotPx")</f>
        <v>CashSettlementAtClosingDtSpotPx</v>
      </c>
      <c r="N4" s="21" t="str">
        <f>IFERROR(__xludf.DUMMYFUNCTION("""COMPUTED_VALUE"""),"PhysicalSettlement")</f>
        <v>PhysicalSettlement</v>
      </c>
      <c r="O4" s="21" t="str">
        <f>IFERROR(__xludf.DUMMYFUNCTION("""COMPUTED_VALUE"""),"Expire")</f>
        <v>Expire</v>
      </c>
      <c r="P4" s="22" t="str">
        <f>IFERROR(__xludf.DUMMYFUNCTION("""COMPUTED_VALUE"""),"ExerciseAssignment")</f>
        <v>ExerciseAssignment</v>
      </c>
      <c r="Q4" s="22" t="str">
        <f>IFERROR(__xludf.DUMMYFUNCTION("""COMPUTED_VALUE"""),"ExerciseAssignmentAtZero")</f>
        <v>ExerciseAssignmentAtZero</v>
      </c>
      <c r="R4" s="22" t="str">
        <f>IFERROR(__xludf.DUMMYFUNCTION("""COMPUTED_VALUE"""),"SwapExpireAndRollover")</f>
        <v>SwapExpireAndRollover</v>
      </c>
      <c r="S4" s="22" t="str">
        <f>IFERROR(__xludf.DUMMYFUNCTION("""COMPUTED_VALUE"""),"SwapExpire")</f>
        <v>SwapExpire</v>
      </c>
      <c r="T4" s="22" t="str">
        <f>IFERROR(__xludf.DUMMYFUNCTION("""COMPUTED_VALUE"""),"VerifyExpiredSettledGrid")</f>
        <v>VerifyExpiredSettledGrid</v>
      </c>
      <c r="U4" s="22" t="str">
        <f>IFERROR(__xludf.DUMMYFUNCTION("""COMPUTED_VALUE"""),"VerifyUnExpiredUnSettledGrid")</f>
        <v>VerifyUnExpiredUnSettledGrid</v>
      </c>
      <c r="V4" s="22" t="str">
        <f>IFERROR(__xludf.DUMMYFUNCTION("""COMPUTED_VALUE"""),"UnWindTradeSettlement")</f>
        <v>UnWindTradeSettlement</v>
      </c>
      <c r="W4" s="22" t="str">
        <f>IFERROR(__xludf.DUMMYFUNCTION("""COMPUTED_VALUE"""),"CloseOrder")</f>
        <v>CloseOrder</v>
      </c>
      <c r="X4" s="22" t="str">
        <f>IFERROR(__xludf.DUMMYFUNCTION("""COMPUTED_VALUE"""),"VerifyCloseOrder")</f>
        <v>VerifyCloseOrder</v>
      </c>
      <c r="Y4" s="22" t="str">
        <f>IFERROR(__xludf.DUMMYFUNCTION("""COMPUTED_VALUE"""),"UnWindCloseOrder")</f>
        <v>UnWindCloseOrder</v>
      </c>
      <c r="Z4" s="22" t="str">
        <f>IFERROR(__xludf.DUMMYFUNCTION("""COMPUTED_VALUE"""),"ClosingCleanUp")</f>
        <v>ClosingCleanUp</v>
      </c>
      <c r="AA4" s="22" t="str">
        <f>IFERROR(__xludf.DUMMYFUNCTION("""COMPUTED_VALUE"""),"CloseClosingUI")</f>
        <v>CloseClosingUI</v>
      </c>
      <c r="AB4" s="22" t="str">
        <f>IFERROR(__xludf.DUMMYFUNCTION("""COMPUTED_VALUE"""),"SetClosingPreference")</f>
        <v>SetClosingPreference</v>
      </c>
      <c r="AC4" s="22" t="str">
        <f>IFERROR(__xludf.DUMMYFUNCTION("""COMPUTED_VALUE"""),"EditTradeUnexpiredUnsettled")</f>
        <v>EditTradeUnexpiredUnsettled</v>
      </c>
      <c r="AD4" s="22" t="str">
        <f>IFERROR(__xludf.DUMMYFUNCTION("""COMPUTED_VALUE"""),"AutoExercise")</f>
        <v>AutoExercise</v>
      </c>
      <c r="AE4" s="22" t="str">
        <f>IFERROR(__xludf.DUMMYFUNCTION("""COMPUTED_VALUE"""),"EditMultipleCloseQuantity")</f>
        <v>EditMultipleCloseQuantity</v>
      </c>
      <c r="AF4" s="22" t="str">
        <f>IFERROR(__xludf.DUMMYFUNCTION("""COMPUTED_VALUE"""),"ManualCloseOrder")</f>
        <v>ManualCloseOrder</v>
      </c>
      <c r="AG4" s="22" t="str">
        <f>IFERROR(__xludf.DUMMYFUNCTION("""COMPUTED_VALUE"""),"PreviewDataWithFilters")</f>
        <v>PreviewDataWithFilters</v>
      </c>
      <c r="AH4" s="22" t="str">
        <f>IFERROR(__xludf.DUMMYFUNCTION("""COMPUTED_VALUE"""),"CreateClosingTemplate")</f>
        <v>CreateClosingTemplate</v>
      </c>
      <c r="AI4" s="22" t="str">
        <f>IFERROR(__xludf.DUMMYFUNCTION("""COMPUTED_VALUE"""),"CreateUnwindingTemplate")</f>
        <v>CreateUnwindingTemplate</v>
      </c>
      <c r="AJ4" s="22" t="str">
        <f>IFERROR(__xludf.DUMMYFUNCTION("""COMPUTED_VALUE"""),"EditTemplate")</f>
        <v>EditTemplate</v>
      </c>
      <c r="AK4" s="22" t="str">
        <f>IFERROR(__xludf.DUMMYFUNCTION("""COMPUTED_VALUE"""),"DeleteTemplate")</f>
        <v>DeleteTemplate</v>
      </c>
      <c r="AL4" s="22" t="str">
        <f>IFERROR(__xludf.DUMMYFUNCTION("""COMPUTED_VALUE"""),"RunTemplate")</f>
        <v>RunTemplate</v>
      </c>
      <c r="AM4" s="22" t="str">
        <f>IFERROR(__xludf.DUMMYFUNCTION("""COMPUTED_VALUE"""),"CreateClosingTemplate")</f>
        <v>CreateClosingTemplate</v>
      </c>
      <c r="AN4" s="22"/>
      <c r="AO4" s="22"/>
      <c r="AP4" s="22"/>
      <c r="AQ4" s="22"/>
      <c r="AR4" s="22"/>
      <c r="AS4" s="22"/>
      <c r="AT4" s="22"/>
      <c r="AU4" s="22"/>
      <c r="AV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IFERROR(__xludf.DUMMYFUNCTION("""COMPUTED_VALUE"""),"Account")</f>
        <v>Account</v>
      </c>
      <c r="C5" s="24" t="str">
        <f>IFERROR(__xludf.DUMMYFUNCTION("""COMPUTED_VALUE"""),"Asset Class")</f>
        <v>Asset Class</v>
      </c>
      <c r="D5" s="24" t="str">
        <f>IFERROR(__xludf.DUMMYFUNCTION("""COMPUTED_VALUE"""),"AUECID")</f>
        <v>AUECID</v>
      </c>
      <c r="E5" s="24" t="str">
        <f>IFERROR(__xludf.DUMMYFUNCTION("""COMPUTED_VALUE"""),"ExternalTransId")</f>
        <v>ExternalTransId</v>
      </c>
      <c r="F5" s="24" t="str">
        <f>IFERROR(__xludf.DUMMYFUNCTION("""COMPUTED_VALUE"""),"IsSwapped")</f>
        <v>IsSwapped</v>
      </c>
      <c r="G5" s="24" t="str">
        <f>IFERROR(__xludf.DUMMYFUNCTION("""COMPUTED_VALUE"""),"LotId")</f>
        <v>LotId</v>
      </c>
      <c r="H5" s="24" t="str">
        <f>IFERROR(__xludf.DUMMYFUNCTION("""COMPUTED_VALUE"""),"Net Notional")</f>
        <v>Net Notional</v>
      </c>
      <c r="I5" s="24" t="str">
        <f>IFERROR(__xludf.DUMMYFUNCTION("""COMPUTED_VALUE"""),"Opening Price")</f>
        <v>Opening Price</v>
      </c>
      <c r="J5" s="24" t="str">
        <f>IFERROR(__xludf.DUMMYFUNCTION("""COMPUTED_VALUE"""),"Original Purchase Date")</f>
        <v>Original Purchase Date</v>
      </c>
      <c r="K5" s="24" t="str">
        <f>IFERROR(__xludf.DUMMYFUNCTION("""COMPUTED_VALUE"""),"PositionTag")</f>
        <v>PositionTag</v>
      </c>
      <c r="L5" s="24" t="str">
        <f>IFERROR(__xludf.DUMMYFUNCTION("""COMPUTED_VALUE"""),"Process Date")</f>
        <v>Process Date</v>
      </c>
      <c r="M5" s="24" t="str">
        <f>IFERROR(__xludf.DUMMYFUNCTION("""COMPUTED_VALUE"""),"Quantity")</f>
        <v>Quantity</v>
      </c>
      <c r="N5" s="24" t="str">
        <f>IFERROR(__xludf.DUMMYFUNCTION("""COMPUTED_VALUE"""),"Security Name")</f>
        <v>Security Name</v>
      </c>
      <c r="O5" s="24" t="str">
        <f>IFERROR(__xludf.DUMMYFUNCTION("""COMPUTED_VALUE"""),"Settlement Currency")</f>
        <v>Settlement Currency</v>
      </c>
      <c r="P5" s="24" t="str">
        <f>IFERROR(__xludf.DUMMYFUNCTION("""COMPUTED_VALUE"""),"Side")</f>
        <v>Side</v>
      </c>
      <c r="Q5" s="24" t="str">
        <f>IFERROR(__xludf.DUMMYFUNCTION("""COMPUTED_VALUE"""),"Strategy")</f>
        <v>Strategy</v>
      </c>
      <c r="R5" s="24" t="str">
        <f>IFERROR(__xludf.DUMMYFUNCTION("""COMPUTED_VALUE"""),"Symbol")</f>
        <v>Symbol</v>
      </c>
      <c r="S5" s="24" t="str">
        <f>IFERROR(__xludf.DUMMYFUNCTION("""COMPUTED_VALUE"""),"Taxlot ID")</f>
        <v>Taxlot ID</v>
      </c>
      <c r="T5" s="25" t="str">
        <f>IFERROR(__xludf.DUMMYFUNCTION("""COMPUTED_VALUE"""),"Total Fees and Commission")</f>
        <v>Total Fees and Commission</v>
      </c>
      <c r="U5" s="25" t="str">
        <f>IFERROR(__xludf.DUMMYFUNCTION("""COMPUTED_VALUE"""),"Trade Date")</f>
        <v>Trade Date</v>
      </c>
      <c r="V5" s="25" t="str">
        <f>IFERROR(__xludf.DUMMYFUNCTION("""COMPUTED_VALUE"""),"Transaction Type")</f>
        <v>Transaction Type</v>
      </c>
      <c r="W5" s="25" t="str">
        <f>IFERROR(__xludf.DUMMYFUNCTION("""COMPUTED_VALUE"""),"UnderlyingName")</f>
        <v>UnderlyingName</v>
      </c>
      <c r="X5" s="25" t="str">
        <f>IFERROR(__xludf.DUMMYFUNCTION("""COMPUTED_VALUE"""),"UnitCost")</f>
        <v>UnitCost</v>
      </c>
      <c r="Y5" s="25" t="str">
        <f>IFERROR(__xludf.DUMMYFUNCTION("""COMPUTED_VALUE"""),"Unit Cost(Base)")</f>
        <v>Unit Cost(Base)</v>
      </c>
      <c r="Z5" s="25" t="str">
        <f>IFERROR(__xludf.DUMMYFUNCTION("""COMPUTED_VALUE"""),"AvgPriceBase")</f>
        <v>AvgPriceBase</v>
      </c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</row>
    <row r="6" ht="15.75" customHeight="1">
      <c r="A6" s="9"/>
      <c r="B6" s="9" t="s">
        <v>667</v>
      </c>
      <c r="C6" s="9"/>
      <c r="D6" s="9"/>
      <c r="E6" s="9"/>
      <c r="F6" s="9"/>
      <c r="G6" s="9"/>
      <c r="H6" s="9"/>
      <c r="I6" s="9">
        <v>4.0</v>
      </c>
      <c r="J6" s="9"/>
      <c r="K6" s="9"/>
      <c r="L6" s="9"/>
      <c r="M6" s="9">
        <v>100.0</v>
      </c>
      <c r="N6" s="9"/>
      <c r="O6" s="9"/>
      <c r="P6" t="s">
        <v>672</v>
      </c>
      <c r="R6" t="s">
        <v>671</v>
      </c>
    </row>
    <row r="7" ht="15.75" customHeight="1">
      <c r="A7" s="9"/>
      <c r="B7" s="9" t="s">
        <v>669</v>
      </c>
      <c r="C7" s="9"/>
      <c r="D7" s="9"/>
      <c r="E7" s="9"/>
      <c r="F7" s="9"/>
      <c r="G7" s="9"/>
      <c r="H7" s="9"/>
      <c r="I7" s="9">
        <v>4.0</v>
      </c>
      <c r="J7" s="9"/>
      <c r="K7" s="9"/>
      <c r="L7" s="9"/>
      <c r="M7" s="9">
        <v>200.0</v>
      </c>
      <c r="N7" s="9"/>
      <c r="O7" s="9"/>
      <c r="P7" t="s">
        <v>672</v>
      </c>
      <c r="R7" t="s">
        <v>671</v>
      </c>
    </row>
    <row r="8" ht="15.75" customHeight="1">
      <c r="A8" s="9"/>
      <c r="B8" s="9" t="s">
        <v>670</v>
      </c>
      <c r="C8" s="9"/>
      <c r="D8" s="9"/>
      <c r="E8" s="9"/>
      <c r="F8" s="9"/>
      <c r="G8" s="9"/>
      <c r="H8" s="9"/>
      <c r="I8" s="9">
        <v>4.0</v>
      </c>
      <c r="J8" s="9"/>
      <c r="K8" s="9"/>
      <c r="L8" s="9"/>
      <c r="M8" s="9">
        <v>201.0</v>
      </c>
      <c r="N8" s="9"/>
      <c r="O8" s="9"/>
      <c r="P8" t="s">
        <v>672</v>
      </c>
      <c r="R8" t="s">
        <v>671</v>
      </c>
    </row>
    <row r="9" ht="15.75" customHeight="1">
      <c r="A9" s="9"/>
      <c r="B9" s="9" t="s">
        <v>669</v>
      </c>
      <c r="C9" s="9"/>
      <c r="D9" s="9"/>
      <c r="E9" s="9"/>
      <c r="F9" s="9"/>
      <c r="G9" s="9"/>
      <c r="H9" s="9"/>
      <c r="I9" s="9">
        <v>4.0</v>
      </c>
      <c r="J9" s="9"/>
      <c r="K9" s="9"/>
      <c r="L9" s="9"/>
      <c r="M9" s="9">
        <v>1741.0</v>
      </c>
      <c r="N9" s="9"/>
      <c r="O9" s="9"/>
      <c r="P9" t="s">
        <v>672</v>
      </c>
      <c r="R9" t="s">
        <v>671</v>
      </c>
    </row>
    <row r="10" ht="15.75" customHeight="1">
      <c r="A10" s="9"/>
      <c r="B10" s="9" t="s">
        <v>670</v>
      </c>
      <c r="C10" s="9"/>
      <c r="D10" s="9"/>
      <c r="E10" s="9"/>
      <c r="F10" s="9"/>
      <c r="G10" s="9"/>
      <c r="H10" s="9"/>
      <c r="I10" s="9">
        <v>4.0</v>
      </c>
      <c r="J10" s="9"/>
      <c r="K10" s="9"/>
      <c r="L10" s="9"/>
      <c r="M10" s="9">
        <v>2065.0</v>
      </c>
      <c r="N10" s="9"/>
      <c r="O10" s="9"/>
      <c r="P10" t="s">
        <v>672</v>
      </c>
      <c r="R10" t="s">
        <v>671</v>
      </c>
    </row>
    <row r="11" ht="15.75" customHeight="1">
      <c r="A11" s="9"/>
      <c r="B11" s="9" t="s">
        <v>667</v>
      </c>
      <c r="C11" s="9"/>
      <c r="D11" s="9"/>
      <c r="E11" s="9"/>
      <c r="F11" s="9"/>
      <c r="G11" s="9"/>
      <c r="H11" s="9"/>
      <c r="I11" s="9">
        <v>4.0</v>
      </c>
      <c r="J11" s="9"/>
      <c r="K11" s="9"/>
      <c r="L11" s="9"/>
      <c r="M11" s="9">
        <v>1194.0</v>
      </c>
      <c r="N11" s="9"/>
      <c r="O11" s="9"/>
      <c r="P11" t="s">
        <v>672</v>
      </c>
      <c r="R11" t="s">
        <v>671</v>
      </c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52</v>
      </c>
      <c r="D3" s="4" t="s">
        <v>662</v>
      </c>
      <c r="E3" s="13" t="s">
        <v>55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</row>
    <row r="4" ht="15.75" customHeight="1">
      <c r="A4" s="21"/>
      <c r="B4" s="21" t="str">
        <f>IFERROR(__xludf.DUMMYFUNCTION("IF(C3="""","""",Transpose(IMPORTRANGE('_Settings'!$B$3,C3&amp;""!A4:A1000"")))"),"CheckDashboardPM")</f>
        <v>CheckDashboardPM</v>
      </c>
      <c r="C4" s="21" t="str">
        <f>IFERROR(__xludf.DUMMYFUNCTION("""COMPUTED_VALUE"""),"CheckPortfolioManagement")</f>
        <v>CheckPortfolioManagement</v>
      </c>
      <c r="D4" s="21" t="str">
        <f>IFERROR(__xludf.DUMMYFUNCTION("""COMPUTED_VALUE"""),"OpenPSTFromPM")</f>
        <v>OpenPSTFromPM</v>
      </c>
      <c r="E4" s="21" t="str">
        <f>IFERROR(__xludf.DUMMYFUNCTION("""COMPUTED_VALUE"""),"ClosePM")</f>
        <v>ClosePM</v>
      </c>
      <c r="F4" s="21" t="str">
        <f>IFERROR(__xludf.DUMMYFUNCTION("""COMPUTED_VALUE"""),"FilterPM")</f>
        <v>FilterPM</v>
      </c>
      <c r="G4" s="21" t="str">
        <f>IFERROR(__xludf.DUMMYFUNCTION("""COMPUTED_VALUE"""),"GroupRowPM")</f>
        <v>GroupRowPM</v>
      </c>
      <c r="H4" s="21" t="str">
        <f>IFERROR(__xludf.DUMMYFUNCTION("""COMPUTED_VALUE"""),"CheckDashboardWithPM")</f>
        <v>CheckDashboardWithPM</v>
      </c>
      <c r="I4" s="21" t="str">
        <f>IFERROR(__xludf.DUMMYFUNCTION("""COMPUTED_VALUE"""),"RemoveFilterPM")</f>
        <v>RemoveFilterPM</v>
      </c>
      <c r="J4" s="21" t="str">
        <f>IFERROR(__xludf.DUMMYFUNCTION("""COMPUTED_VALUE"""),"CheckSummaryRowsPM")</f>
        <v>CheckSummaryRowsPM</v>
      </c>
      <c r="K4" s="21" t="str">
        <f>IFERROR(__xludf.DUMMYFUNCTION("""COMPUTED_VALUE"""),"OpenPTTFromPM")</f>
        <v>OpenPTTFromPM</v>
      </c>
      <c r="L4" s="21" t="str">
        <f>IFERROR(__xludf.DUMMYFUNCTION("""COMPUTED_VALUE"""),"OpenClosingFromPM")</f>
        <v>OpenClosingFromPM</v>
      </c>
      <c r="M4" s="21" t="str">
        <f>IFERROR(__xludf.DUMMYFUNCTION("""COMPUTED_VALUE"""),"OpenCorporateActionFromPM")</f>
        <v>OpenCorporateActionFromPM</v>
      </c>
      <c r="N4" s="21" t="str">
        <f>IFERROR(__xludf.DUMMYFUNCTION("""COMPUTED_VALUE"""),"OpenDailyValuationFromPM")</f>
        <v>OpenDailyValuationFromPM</v>
      </c>
      <c r="O4" s="21" t="str">
        <f>IFERROR(__xludf.DUMMYFUNCTION("""COMPUTED_VALUE"""),"ClosePositionFromPM")</f>
        <v>ClosePositionFromPM</v>
      </c>
      <c r="P4" s="22" t="str">
        <f>IFERROR(__xludf.DUMMYFUNCTION("""COMPUTED_VALUE"""),"ShowSummaryToolFromPM")</f>
        <v>ShowSummaryToolFromPM</v>
      </c>
      <c r="Q4" s="22" t="str">
        <f>IFERROR(__xludf.DUMMYFUNCTION("""COMPUTED_VALUE"""),"HideSummaryToolFromPM")</f>
        <v>HideSummaryToolFromPM</v>
      </c>
      <c r="R4" s="22" t="str">
        <f>IFERROR(__xludf.DUMMYFUNCTION("""COMPUTED_VALUE"""),"CloseAccountPositionFromPM")</f>
        <v>CloseAccountPositionFromPM</v>
      </c>
      <c r="S4" s="22" t="str">
        <f>IFERROR(__xludf.DUMMYFUNCTION("""COMPUTED_VALUE"""),"CloseSelectedTaxlotsFromPM")</f>
        <v>CloseSelectedTaxlotsFromPM</v>
      </c>
      <c r="T4" s="22" t="str">
        <f>IFERROR(__xludf.DUMMYFUNCTION("""COMPUTED_VALUE"""),"ExpandCollapsePM")</f>
        <v>ExpandCollapsePM</v>
      </c>
      <c r="U4" s="22" t="str">
        <f>IFERROR(__xludf.DUMMYFUNCTION("""COMPUTED_VALUE"""),"AddCustomViewPM")</f>
        <v>AddCustomViewPM</v>
      </c>
      <c r="V4" s="22" t="str">
        <f>IFERROR(__xludf.DUMMYFUNCTION("""COMPUTED_VALUE"""),"AddCustomViewRightClickPM")</f>
        <v>AddCustomViewRightClickPM</v>
      </c>
      <c r="W4" s="22" t="str">
        <f>IFERROR(__xludf.DUMMYFUNCTION("""COMPUTED_VALUE"""),"RenameCustomViewPM")</f>
        <v>RenameCustomViewPM</v>
      </c>
      <c r="X4" s="22" t="str">
        <f>IFERROR(__xludf.DUMMYFUNCTION("""COMPUTED_VALUE"""),"DeleteCustomViewPM")</f>
        <v>DeleteCustomViewPM</v>
      </c>
      <c r="Y4" s="22" t="str">
        <f>IFERROR(__xludf.DUMMYFUNCTION("""COMPUTED_VALUE"""),"OpenCreateTransactionFromPM")</f>
        <v>OpenCreateTransactionFromPM</v>
      </c>
      <c r="Z4" s="22" t="str">
        <f>IFERROR(__xludf.DUMMYFUNCTION("""COMPUTED_VALUE"""),"RemoveGroupingFromPM")</f>
        <v>RemoveGroupingFromPM</v>
      </c>
      <c r="AA4" s="22" t="str">
        <f>IFERROR(__xludf.DUMMYFUNCTION("""COMPUTED_VALUE"""),"IncreasePositionFromPM")</f>
        <v>IncreasePositionFromPM</v>
      </c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IFERROR(__xludf.DUMMYFUNCTION("""COMPUTED_VALUE"""),"Trade Date")</f>
        <v>Trade Date</v>
      </c>
      <c r="C5" s="24" t="str">
        <f>IFERROR(__xludf.DUMMYFUNCTION("""COMPUTED_VALUE"""),"Symbol")</f>
        <v>Symbol</v>
      </c>
      <c r="D5" s="24" t="str">
        <f>IFERROR(__xludf.DUMMYFUNCTION("""COMPUTED_VALUE"""),"Position")</f>
        <v>Position</v>
      </c>
      <c r="E5" s="24" t="str">
        <f>IFERROR(__xludf.DUMMYFUNCTION("""COMPUTED_VALUE"""),"Account")</f>
        <v>Account</v>
      </c>
      <c r="F5" s="24" t="str">
        <f>IFERROR(__xludf.DUMMYFUNCTION("""COMPUTED_VALUE"""),"MasterFund")</f>
        <v>MasterFund</v>
      </c>
      <c r="G5" s="24" t="str">
        <f>IFERROR(__xludf.DUMMYFUNCTION("""COMPUTED_VALUE"""),"Cost Basis")</f>
        <v>Cost Basis</v>
      </c>
      <c r="H5" s="24" t="str">
        <f>IFERROR(__xludf.DUMMYFUNCTION("""COMPUTED_VALUE"""),"Position Side")</f>
        <v>Position Side</v>
      </c>
      <c r="I5" s="24" t="str">
        <f>IFERROR(__xludf.DUMMYFUNCTION("""COMPUTED_VALUE"""),"Market Value (Base)")</f>
        <v>Market Value (Base)</v>
      </c>
      <c r="J5" s="24" t="str">
        <f>IFERROR(__xludf.DUMMYFUNCTION("""COMPUTED_VALUE"""),"% Day P&amp;L (Gross MV)")</f>
        <v>% Day P&amp;L (Gross MV)</v>
      </c>
      <c r="K5" s="24" t="str">
        <f>IFERROR(__xludf.DUMMYFUNCTION("""COMPUTED_VALUE"""),"Net Exposure (Base)")</f>
        <v>Net Exposure (Base)</v>
      </c>
      <c r="L5" s="24" t="str">
        <f>IFERROR(__xludf.DUMMYFUNCTION("""COMPUTED_VALUE"""),"Beta Adj. Gross Exposure (Base)")</f>
        <v>Beta Adj. Gross Exposure (Base)</v>
      </c>
      <c r="M5" s="24" t="str">
        <f>IFERROR(__xludf.DUMMYFUNCTION("""COMPUTED_VALUE"""),"Beta Adj. Gross Exposure (Underlying) (Base)")</f>
        <v>Beta Adj. Gross Exposure (Underlying) (Base)</v>
      </c>
      <c r="N5" s="24" t="str">
        <f>IFERROR(__xludf.DUMMYFUNCTION("""COMPUTED_VALUE"""),"Day P&amp;L (Base)")</f>
        <v>Day P&amp;L (Base)</v>
      </c>
      <c r="O5" s="24" t="str">
        <f>IFERROR(__xludf.DUMMYFUNCTION("""COMPUTED_VALUE"""),"Security Name")</f>
        <v>Security Name</v>
      </c>
      <c r="P5" s="24" t="str">
        <f>IFERROR(__xludf.DUMMYFUNCTION("""COMPUTED_VALUE"""),"Closing Mark")</f>
        <v>Closing Mark</v>
      </c>
      <c r="Q5" s="24" t="str">
        <f>IFERROR(__xludf.DUMMYFUNCTION("""COMPUTED_VALUE"""),"Cost Basis P&amp;L (Base)")</f>
        <v>Cost Basis P&amp;L (Base)</v>
      </c>
      <c r="R5" s="24" t="str">
        <f>IFERROR(__xludf.DUMMYFUNCTION("""COMPUTED_VALUE"""),"Prime Broker")</f>
        <v>Prime Broker</v>
      </c>
      <c r="S5" s="24" t="str">
        <f>IFERROR(__xludf.DUMMYFUNCTION("""COMPUTED_VALUE"""),"Strategy")</f>
        <v>Strategy</v>
      </c>
      <c r="T5" s="25" t="str">
        <f>IFERROR(__xludf.DUMMYFUNCTION("""COMPUTED_VALUE"""),"Asset Class")</f>
        <v>Asset Class</v>
      </c>
      <c r="U5" s="25" t="str">
        <f>IFERROR(__xludf.DUMMYFUNCTION("""COMPUTED_VALUE"""),"Underlying")</f>
        <v>Underlying</v>
      </c>
      <c r="V5" s="25" t="str">
        <f>IFERROR(__xludf.DUMMYFUNCTION("""COMPUTED_VALUE"""),"Exchange")</f>
        <v>Exchange</v>
      </c>
      <c r="W5" s="25" t="str">
        <f>IFERROR(__xludf.DUMMYFUNCTION("""COMPUTED_VALUE"""),"Trade Currency")</f>
        <v>Trade Currency</v>
      </c>
      <c r="X5" s="25" t="str">
        <f>IFERROR(__xludf.DUMMYFUNCTION("""COMPUTED_VALUE"""),"Multiplier")</f>
        <v>Multiplier</v>
      </c>
      <c r="Y5" s="25" t="str">
        <f>IFERROR(__xludf.DUMMYFUNCTION("""COMPUTED_VALUE"""),"FX Rate")</f>
        <v>FX Rate</v>
      </c>
      <c r="Z5" s="25" t="str">
        <f>IFERROR(__xludf.DUMMYFUNCTION("""COMPUTED_VALUE"""),"Vs Currency")</f>
        <v>Vs Currency</v>
      </c>
      <c r="AA5" s="25" t="str">
        <f>IFERROR(__xludf.DUMMYFUNCTION("""COMPUTED_VALUE"""),"Lead Currency")</f>
        <v>Lead Currency</v>
      </c>
      <c r="AB5" s="25" t="str">
        <f>IFERROR(__xludf.DUMMYFUNCTION("""COMPUTED_VALUE"""),"Dividend Yield (%)")</f>
        <v>Dividend Yield (%)</v>
      </c>
      <c r="AC5" s="25" t="str">
        <f>IFERROR(__xludf.DUMMYFUNCTION("""COMPUTED_VALUE"""),"% Change")</f>
        <v>% Change</v>
      </c>
      <c r="AD5" s="25" t="str">
        <f>IFERROR(__xludf.DUMMYFUNCTION("""COMPUTED_VALUE"""),"Net Exposure (Local)")</f>
        <v>Net Exposure (Local)</v>
      </c>
      <c r="AE5" s="25" t="str">
        <f>IFERROR(__xludf.DUMMYFUNCTION("""COMPUTED_VALUE"""),"Exposure (Local)")</f>
        <v>Exposure (Local)</v>
      </c>
      <c r="AF5" s="25" t="str">
        <f>IFERROR(__xludf.DUMMYFUNCTION("""COMPUTED_VALUE"""),"Delta Adj. Position")</f>
        <v>Delta Adj. Position</v>
      </c>
      <c r="AG5" s="25" t="str">
        <f>IFERROR(__xludf.DUMMYFUNCTION("""COMPUTED_VALUE"""),"Exposure (Base)")</f>
        <v>Exposure (Base)</v>
      </c>
      <c r="AH5" s="25" t="str">
        <f>IFERROR(__xludf.DUMMYFUNCTION("""COMPUTED_VALUE"""),"Beta Adj. Exposure (Local)")</f>
        <v>Beta Adj. Exposure (Local)</v>
      </c>
      <c r="AI5" s="25" t="str">
        <f>IFERROR(__xludf.DUMMYFUNCTION("""COMPUTED_VALUE"""),"Beta Adj. Exposure (Base)")</f>
        <v>Beta Adj. Exposure (Base)</v>
      </c>
      <c r="AJ5" s="25" t="str">
        <f>IFERROR(__xludf.DUMMYFUNCTION("""COMPUTED_VALUE"""),"Exposure (BP)(Base)")</f>
        <v>Exposure (BP)(Base)</v>
      </c>
      <c r="AK5" s="25" t="str">
        <f>IFERROR(__xludf.DUMMYFUNCTION("""COMPUTED_VALUE"""),"Day P&amp;L (Local)")</f>
        <v>Day P&amp;L (Local)</v>
      </c>
      <c r="AL5" s="25" t="str">
        <f>IFERROR(__xludf.DUMMYFUNCTION("""COMPUTED_VALUE"""),"Delta")</f>
        <v>Delta</v>
      </c>
      <c r="AM5" s="25" t="str">
        <f>IFERROR(__xludf.DUMMYFUNCTION("""COMPUTED_VALUE"""),"Leveraged Factor")</f>
        <v>Leveraged Factor</v>
      </c>
      <c r="AN5" s="25" t="str">
        <f>IFERROR(__xludf.DUMMYFUNCTION("""COMPUTED_VALUE"""),"Order Side")</f>
        <v>Order Side</v>
      </c>
      <c r="AO5" s="25" t="str">
        <f>IFERROR(__xludf.DUMMYFUNCTION("""COMPUTED_VALUE"""),"Master Strategy")</f>
        <v>Master Strategy</v>
      </c>
      <c r="AP5" s="25" t="str">
        <f>IFERROR(__xludf.DUMMYFUNCTION("""COMPUTED_VALUE"""),"Transaction Side")</f>
        <v>Transaction Side</v>
      </c>
      <c r="AQ5" s="25" t="str">
        <f>IFERROR(__xludf.DUMMYFUNCTION("""COMPUTED_VALUE"""),"Underlying Symbol")</f>
        <v>Underlying Symbol</v>
      </c>
      <c r="AR5" s="25" t="str">
        <f>IFERROR(__xludf.DUMMYFUNCTION("""COMPUTED_VALUE"""),"Underlying Price")</f>
        <v>Underlying Price</v>
      </c>
      <c r="AS5" s="25" t="str">
        <f>IFERROR(__xludf.DUMMYFUNCTION("""COMPUTED_VALUE"""),"Side Multiplier")</f>
        <v>Side Multiplier</v>
      </c>
      <c r="AT5" s="25" t="str">
        <f>IFERROR(__xludf.DUMMYFUNCTION("""COMPUTED_VALUE"""),"Description")</f>
        <v>Description</v>
      </c>
      <c r="AU5" s="25" t="str">
        <f>IFERROR(__xludf.DUMMYFUNCTION("""COMPUTED_VALUE"""),"Internal Comments")</f>
        <v>Internal Comments</v>
      </c>
      <c r="AV5" s="25" t="str">
        <f>IFERROR(__xludf.DUMMYFUNCTION("""COMPUTED_VALUE"""),"FX Rate On Trade Date")</f>
        <v>FX Rate On Trade Date</v>
      </c>
      <c r="AW5" s="25" t="str">
        <f>IFERROR(__xludf.DUMMYFUNCTION("""COMPUTED_VALUE"""),"Cost Basis P&amp;L (Local)")</f>
        <v>Cost Basis P&amp;L (Local)</v>
      </c>
      <c r="AX5" s="25" t="str">
        <f>IFERROR(__xludf.DUMMYFUNCTION("""COMPUTED_VALUE"""),"Day Interest")</f>
        <v>Day Interest</v>
      </c>
      <c r="AY5" s="25" t="str">
        <f>IFERROR(__xludf.DUMMYFUNCTION("""COMPUTED_VALUE"""),"Total Interest")</f>
        <v>Total Interest</v>
      </c>
      <c r="AZ5" s="25" t="str">
        <f>IFERROR(__xludf.DUMMYFUNCTION("""COMPUTED_VALUE"""),"Market Value (Local)")</f>
        <v>Market Value (Local)</v>
      </c>
      <c r="BA5" s="25" t="str">
        <f>IFERROR(__xludf.DUMMYFUNCTION("""COMPUTED_VALUE"""),"% Gain/Loss Day")</f>
        <v>% Gain/Loss Day</v>
      </c>
      <c r="BB5" s="25" t="str">
        <f>IFERROR(__xludf.DUMMYFUNCTION("""COMPUTED_VALUE"""),"Update Time (Last Price)")</f>
        <v>Update Time (Last Price)</v>
      </c>
      <c r="BC5" s="25" t="str">
        <f>IFERROR(__xludf.DUMMYFUNCTION("""COMPUTED_VALUE"""),"Beta")</f>
        <v>Beta</v>
      </c>
      <c r="BD5" s="25" t="str">
        <f>IFERROR(__xludf.DUMMYFUNCTION("""COMPUTED_VALUE"""),"Cash Impact (Local)")</f>
        <v>Cash Impact (Local)</v>
      </c>
      <c r="BE5" s="25" t="str">
        <f>IFERROR(__xludf.DUMMYFUNCTION("""COMPUTED_VALUE"""),"User Asset")</f>
        <v>User Asset</v>
      </c>
      <c r="BF5" s="25" t="str">
        <f>IFERROR(__xludf.DUMMYFUNCTION("""COMPUTED_VALUE"""),"Security Type")</f>
        <v>Security Type</v>
      </c>
      <c r="BG5" s="25" t="str">
        <f>IFERROR(__xludf.DUMMYFUNCTION("""COMPUTED_VALUE"""),"Sector")</f>
        <v>Sector</v>
      </c>
      <c r="BH5" s="25" t="str">
        <f>IFERROR(__xludf.DUMMYFUNCTION("""COMPUTED_VALUE"""),"Sub Sector")</f>
        <v>Sub Sector</v>
      </c>
      <c r="BI5" s="25" t="str">
        <f>IFERROR(__xludf.DUMMYFUNCTION("""COMPUTED_VALUE"""),"Country")</f>
        <v>Country</v>
      </c>
      <c r="BJ5" s="25" t="str">
        <f>IFERROR(__xludf.DUMMYFUNCTION("""COMPUTED_VALUE"""),"Market Cap")</f>
        <v>Market Cap</v>
      </c>
      <c r="BK5" s="25" t="str">
        <f>IFERROR(__xludf.DUMMYFUNCTION("""COMPUTED_VALUE"""),"Shares Outstanding (MM)")</f>
        <v>Shares Outstanding (MM)</v>
      </c>
      <c r="BL5" s="25" t="str">
        <f>IFERROR(__xludf.DUMMYFUNCTION("""COMPUTED_VALUE"""),"Avg Volume 20 Day")</f>
        <v>Avg Volume 20 Day</v>
      </c>
      <c r="BM5" s="25" t="str">
        <f>IFERROR(__xludf.DUMMYFUNCTION("""COMPUTED_VALUE"""),"% Avg Volume (Delta Adj.)")</f>
        <v>% Avg Volume (Delta Adj.)</v>
      </c>
      <c r="BN5" s="25" t="str">
        <f>IFERROR(__xludf.DUMMYFUNCTION("""COMPUTED_VALUE"""),"Ex Dividend Date")</f>
        <v>Ex Dividend Date</v>
      </c>
      <c r="BO5" s="25" t="str">
        <f>IFERROR(__xludf.DUMMYFUNCTION("""COMPUTED_VALUE"""),"Cash Impact (Base)")</f>
        <v>Cash Impact (Base)</v>
      </c>
      <c r="BP5" s="25" t="str">
        <f>IFERROR(__xludf.DUMMYFUNCTION("""COMPUTED_VALUE"""),"Volatility (%)")</f>
        <v>Volatility (%)</v>
      </c>
      <c r="BQ5" s="25" t="str">
        <f>IFERROR(__xludf.DUMMYFUNCTION("""COMPUTED_VALUE"""),"User")</f>
        <v>User</v>
      </c>
      <c r="BR5" s="25" t="str">
        <f>IFERROR(__xludf.DUMMYFUNCTION("""COMPUTED_VALUE"""),"Broker")</f>
        <v>Broker</v>
      </c>
      <c r="BS5" s="25" t="str">
        <f>IFERROR(__xludf.DUMMYFUNCTION("""COMPUTED_VALUE"""),"Earned Dividend (Local)")</f>
        <v>Earned Dividend (Local)</v>
      </c>
      <c r="BT5" s="25" t="str">
        <f>IFERROR(__xludf.DUMMYFUNCTION("""COMPUTED_VALUE"""),"Earned Dividend (Base)")</f>
        <v>Earned Dividend (Base)</v>
      </c>
      <c r="BU5" s="25" t="str">
        <f>IFERROR(__xludf.DUMMYFUNCTION("""COMPUTED_VALUE"""),"Put/Call")</f>
        <v>Put/Call</v>
      </c>
      <c r="BV5" s="25" t="str">
        <f>IFERROR(__xludf.DUMMYFUNCTION("""COMPUTED_VALUE"""),"Expiration Date")</f>
        <v>Expiration Date</v>
      </c>
      <c r="BW5" s="25" t="str">
        <f>IFERROR(__xludf.DUMMYFUNCTION("""COMPUTED_VALUE"""),"Strike Price")</f>
        <v>Strike Price</v>
      </c>
      <c r="BX5" s="25" t="str">
        <f>IFERROR(__xludf.DUMMYFUNCTION("""COMPUTED_VALUE"""),"Gross Exposure (Base)")</f>
        <v>Gross Exposure (Base)</v>
      </c>
      <c r="BY5" s="25" t="str">
        <f>IFERROR(__xludf.DUMMYFUNCTION("""COMPUTED_VALUE"""),"Gross Market Value (Base)")</f>
        <v>Gross Market Value (Base)</v>
      </c>
      <c r="BZ5" s="25" t="str">
        <f>IFERROR(__xludf.DUMMYFUNCTION("""COMPUTED_VALUE"""),"Px Selected Feed (Local)")</f>
        <v>Px Selected Feed (Local)</v>
      </c>
      <c r="CA5" s="25" t="str">
        <f>IFERROR(__xludf.DUMMYFUNCTION("""COMPUTED_VALUE"""),"Px Selected Feed (Base)")</f>
        <v>Px Selected Feed (Base)</v>
      </c>
      <c r="CB5" s="25" t="str">
        <f>IFERROR(__xludf.DUMMYFUNCTION("""COMPUTED_VALUE"""),"Settlement Date")</f>
        <v>Settlement Date</v>
      </c>
      <c r="CC5" s="25" t="str">
        <f>IFERROR(__xludf.DUMMYFUNCTION("""COMPUTED_VALUE"""),"% Avg Volume")</f>
        <v>% Avg Volume</v>
      </c>
      <c r="CD5" s="25" t="str">
        <f>IFERROR(__xludf.DUMMYFUNCTION("""COMPUTED_VALUE"""),"Day P&amp;L (Base)(Price Gain)")</f>
        <v>Day P&amp;L (Base)(Price Gain)</v>
      </c>
      <c r="CE5" s="25" t="str">
        <f>IFERROR(__xludf.DUMMYFUNCTION("""COMPUTED_VALUE"""),"Day P&amp;L (Base)(FX Gain)")</f>
        <v>Day P&amp;L (Base)(FX Gain)</v>
      </c>
      <c r="CF5" s="25" t="str">
        <f>IFERROR(__xludf.DUMMYFUNCTION("""COMPUTED_VALUE"""),"Cost Basis P&amp;L (Base)(FX Gain)")</f>
        <v>Cost Basis P&amp;L (Base)(FX Gain)</v>
      </c>
      <c r="CG5" s="25" t="str">
        <f>IFERROR(__xludf.DUMMYFUNCTION("""COMPUTED_VALUE"""),"Cost Basis P&amp;L (Base)(Price Gain)")</f>
        <v>Cost Basis P&amp;L (Base)(Price Gain)</v>
      </c>
      <c r="CH5" s="25" t="str">
        <f>IFERROR(__xludf.DUMMYFUNCTION("""COMPUTED_VALUE"""),"% Gain/Loss Cost")</f>
        <v>% Gain/Loss Cost</v>
      </c>
      <c r="CI5" s="25" t="str">
        <f>IFERROR(__xludf.DUMMYFUNCTION("""COMPUTED_VALUE"""),"Underlying Value (Options)")</f>
        <v>Underlying Value (Options)</v>
      </c>
      <c r="CJ5" s="25" t="str">
        <f>IFERROR(__xludf.DUMMYFUNCTION("""COMPUTED_VALUE"""),"Avg Volume 20 Day (Underlying Symbol)")</f>
        <v>Avg Volume 20 Day (Underlying Symbol)</v>
      </c>
      <c r="CK5" s="25" t="str">
        <f>IFERROR(__xludf.DUMMYFUNCTION("""COMPUTED_VALUE"""),"IsStaleData")</f>
        <v>IsStaleData</v>
      </c>
      <c r="CL5" s="25" t="str">
        <f>IFERROR(__xludf.DUMMYFUNCTION("""COMPUTED_VALUE"""),"IDCO")</f>
        <v>IDCO</v>
      </c>
      <c r="CM5" s="25" t="str">
        <f>IFERROR(__xludf.DUMMYFUNCTION("""COMPUTED_VALUE"""),"OSI")</f>
        <v>OSI</v>
      </c>
      <c r="CN5" s="25" t="str">
        <f>IFERROR(__xludf.DUMMYFUNCTION("""COMPUTED_VALUE"""),"SEDOL")</f>
        <v>SEDOL</v>
      </c>
      <c r="CO5" s="25" t="str">
        <f>IFERROR(__xludf.DUMMYFUNCTION("""COMPUTED_VALUE"""),"CUSIP")</f>
        <v>CUSIP</v>
      </c>
      <c r="CP5" s="25" t="str">
        <f>IFERROR(__xludf.DUMMYFUNCTION("""COMPUTED_VALUE"""),"Bloomberg")</f>
        <v>Bloomberg</v>
      </c>
      <c r="CQ5" s="25" t="str">
        <f>IFERROR(__xludf.DUMMYFUNCTION("""COMPUTED_VALUE"""),"ISIN")</f>
        <v>ISIN</v>
      </c>
      <c r="CR5" s="25" t="str">
        <f>IFERROR(__xludf.DUMMYFUNCTION("""COMPUTED_VALUE"""),"Start Trade Date")</f>
        <v>Start Trade Date</v>
      </c>
      <c r="CS5" s="25" t="str">
        <f>IFERROR(__xludf.DUMMYFUNCTION("""COMPUTED_VALUE"""),"Cost Basis (Break Even)")</f>
        <v>Cost Basis (Break Even)</v>
      </c>
      <c r="CT5" s="25" t="str">
        <f>IFERROR(__xludf.DUMMYFUNCTION("""COMPUTED_VALUE"""),"Trade Attribute 3")</f>
        <v>Trade Attribute 3</v>
      </c>
      <c r="CU5" s="25" t="str">
        <f>IFERROR(__xludf.DUMMYFUNCTION("""COMPUTED_VALUE"""),"Trade Attribute 4")</f>
        <v>Trade Attribute 4</v>
      </c>
      <c r="CV5" s="25" t="str">
        <f>IFERROR(__xludf.DUMMYFUNCTION("""COMPUTED_VALUE"""),"Trade Attribute 5")</f>
        <v>Trade Attribute 5</v>
      </c>
      <c r="CW5" s="25" t="str">
        <f>IFERROR(__xludf.DUMMYFUNCTION("""COMPUTED_VALUE"""),"Trade Attribute 6")</f>
        <v>Trade Attribute 6</v>
      </c>
      <c r="CX5" s="25" t="str">
        <f>IFERROR(__xludf.DUMMYFUNCTION("""COMPUTED_VALUE"""),"Proxy Symbol")</f>
        <v>Proxy Symbol</v>
      </c>
      <c r="CY5" s="25" t="str">
        <f>IFERROR(__xludf.DUMMYFUNCTION("""COMPUTED_VALUE"""),"Pricing Source")</f>
        <v>Pricing Source</v>
      </c>
      <c r="CZ5" s="25" t="str">
        <f>IFERROR(__xludf.DUMMYFUNCTION("""COMPUTED_VALUE"""),"Delta Source")</f>
        <v>Delta Source</v>
      </c>
      <c r="DA5" s="25" t="str">
        <f>IFERROR(__xludf.DUMMYFUNCTION("""COMPUTED_VALUE"""),"Gross Exposure (Local)")</f>
        <v>Gross Exposure (Local)</v>
      </c>
      <c r="DB5" s="25" t="str">
        <f>IFERROR(__xludf.DUMMYFUNCTION("""COMPUTED_VALUE"""),"% Day P&amp;L (Net MV)")</f>
        <v>% Day P&amp;L (Net MV)</v>
      </c>
      <c r="DC5" s="25" t="str">
        <f>IFERROR(__xludf.DUMMYFUNCTION("""COMPUTED_VALUE"""),"Expiration Month")</f>
        <v>Expiration Month</v>
      </c>
      <c r="DD5" s="25" t="str">
        <f>IFERROR(__xludf.DUMMYFUNCTION("""COMPUTED_VALUE"""),"Delta Adj. Position (LME)")</f>
        <v>Delta Adj. Position (LME)</v>
      </c>
      <c r="DE5" s="25" t="str">
        <f>IFERROR(__xludf.DUMMYFUNCTION("""COMPUTED_VALUE"""),"Premium")</f>
        <v>Premium</v>
      </c>
      <c r="DF5" s="25" t="str">
        <f>IFERROR(__xludf.DUMMYFUNCTION("""COMPUTED_VALUE"""),"Premium $")</f>
        <v>Premium $</v>
      </c>
      <c r="DG5" s="25" t="str">
        <f>IFERROR(__xludf.DUMMYFUNCTION("""COMPUTED_VALUE"""),"Forward Points")</f>
        <v>Forward Points</v>
      </c>
      <c r="DH5" s="25" t="str">
        <f>IFERROR(__xludf.DUMMYFUNCTION("""COMPUTED_VALUE"""),"Closing Mark (Underlying)")</f>
        <v>Closing Mark (Underlying)</v>
      </c>
      <c r="DI5" s="25" t="str">
        <f>IFERROR(__xludf.DUMMYFUNCTION("""COMPUTED_VALUE"""),"% Change (Underlying Price)")</f>
        <v>% Change (Underlying Price)</v>
      </c>
      <c r="DJ5" s="25" t="str">
        <f>IFERROR(__xludf.DUMMYFUNCTION("""COMPUTED_VALUE"""),"Transaction Type")</f>
        <v>Transaction Type</v>
      </c>
      <c r="DK5" s="25" t="str">
        <f>IFERROR(__xludf.DUMMYFUNCTION("""COMPUTED_VALUE"""),"Closing Market Value (Local)")</f>
        <v>Closing Market Value (Local)</v>
      </c>
      <c r="DL5" s="25" t="str">
        <f>IFERROR(__xludf.DUMMYFUNCTION("""COMPUTED_VALUE"""),"Closing Market Value (Base)")</f>
        <v>Closing Market Value (Base)</v>
      </c>
      <c r="DM5" s="25" t="str">
        <f>IFERROR(__xludf.DUMMYFUNCTION("""COMPUTED_VALUE"""),"Closing FX Rate")</f>
        <v>Closing FX Rate</v>
      </c>
      <c r="DN5" s="25" t="str">
        <f>IFERROR(__xludf.DUMMYFUNCTION("""COMPUTED_VALUE"""),"Change In Underlying Price")</f>
        <v>Change In Underlying Price</v>
      </c>
      <c r="DO5" s="25" t="str">
        <f>IFERROR(__xludf.DUMMYFUNCTION("""COMPUTED_VALUE"""),"RIC")</f>
        <v>RIC</v>
      </c>
      <c r="DP5" s="25" t="str">
        <f>IFERROR(__xludf.DUMMYFUNCTION("""COMPUTED_VALUE"""),"Position Side Exposure (Boxed)")</f>
        <v>Position Side Exposure (Boxed)</v>
      </c>
      <c r="DQ5" s="25" t="str">
        <f>IFERROR(__xludf.DUMMYFUNCTION("""COMPUTED_VALUE"""),"Analyst")</f>
        <v>Analyst</v>
      </c>
      <c r="DR5" s="25" t="str">
        <f>IFERROR(__xludf.DUMMYFUNCTION("""COMPUTED_VALUE"""),"Country Of Risk")</f>
        <v>Country Of Risk</v>
      </c>
      <c r="DS5" s="25" t="str">
        <f>IFERROR(__xludf.DUMMYFUNCTION("""COMPUTED_VALUE"""),"Custom UDA1")</f>
        <v>Custom UDA1</v>
      </c>
      <c r="DT5" s="25" t="str">
        <f>IFERROR(__xludf.DUMMYFUNCTION("""COMPUTED_VALUE"""),"Custom UDA2")</f>
        <v>Custom UDA2</v>
      </c>
      <c r="DU5" s="25" t="str">
        <f>IFERROR(__xludf.DUMMYFUNCTION("""COMPUTED_VALUE"""),"Custom UDA3")</f>
        <v>Custom UDA3</v>
      </c>
      <c r="DV5" s="25" t="str">
        <f>IFERROR(__xludf.DUMMYFUNCTION("""COMPUTED_VALUE"""),"Custom UDA4")</f>
        <v>Custom UDA4</v>
      </c>
      <c r="DW5" s="25" t="str">
        <f>IFERROR(__xludf.DUMMYFUNCTION("""COMPUTED_VALUE"""),"Custom UDA5")</f>
        <v>Custom UDA5</v>
      </c>
      <c r="DX5" s="25" t="str">
        <f>IFERROR(__xludf.DUMMYFUNCTION("""COMPUTED_VALUE"""),"Custom UDA6")</f>
        <v>Custom UDA6</v>
      </c>
      <c r="DY5" s="25" t="str">
        <f>IFERROR(__xludf.DUMMYFUNCTION("""COMPUTED_VALUE"""),"Custom UDA7")</f>
        <v>Custom UDA7</v>
      </c>
      <c r="DZ5" s="25" t="str">
        <f>IFERROR(__xludf.DUMMYFUNCTION("""COMPUTED_VALUE"""),"Issuer")</f>
        <v>Issuer</v>
      </c>
      <c r="EA5" s="25" t="str">
        <f>IFERROR(__xludf.DUMMYFUNCTION("""COMPUTED_VALUE"""),"Liquid Tag")</f>
        <v>Liquid Tag</v>
      </c>
      <c r="EB5" s="25" t="str">
        <f>IFERROR(__xludf.DUMMYFUNCTION("""COMPUTED_VALUE"""),"Market Cap UDA")</f>
        <v>Market Cap UDA</v>
      </c>
      <c r="EC5" s="25" t="str">
        <f>IFERROR(__xludf.DUMMYFUNCTION("""COMPUTED_VALUE"""),"Region")</f>
        <v>Region</v>
      </c>
      <c r="ED5" s="25" t="str">
        <f>IFERROR(__xludf.DUMMYFUNCTION("""COMPUTED_VALUE"""),"Risk Currency")</f>
        <v>Risk Currency</v>
      </c>
      <c r="EE5" s="25" t="str">
        <f>IFERROR(__xludf.DUMMYFUNCTION("""COMPUTED_VALUE"""),"UCITS Eligible Tag")</f>
        <v>UCITS Eligible Tag</v>
      </c>
      <c r="EF5" s="25" t="str">
        <f>IFERROR(__xludf.DUMMYFUNCTION("""COMPUTED_VALUE"""),"FX Rate (Display)")</f>
        <v>FX Rate (Display)</v>
      </c>
      <c r="EG5" s="25" t="str">
        <f>IFERROR(__xludf.DUMMYFUNCTION("""COMPUTED_VALUE"""),"% Net Exposure (Base)")</f>
        <v>% Net Exposure (Base)</v>
      </c>
      <c r="EH5" s="25" t="str">
        <f>IFERROR(__xludf.DUMMYFUNCTION("""COMPUTED_VALUE"""),"% Gross Exposure (Base)")</f>
        <v>% Gross Exposure (Base)</v>
      </c>
      <c r="EI5" s="25" t="str">
        <f>IFERROR(__xludf.DUMMYFUNCTION("""COMPUTED_VALUE"""),"% Exposure (Base)")</f>
        <v>% Exposure (Base)</v>
      </c>
      <c r="EJ5" s="25" t="str">
        <f>IFERROR(__xludf.DUMMYFUNCTION("""COMPUTED_VALUE"""),"% Gross Exposure (Underlying) (Base)")</f>
        <v>% Gross Exposure (Underlying) (Base)</v>
      </c>
      <c r="EK5" s="25" t="str">
        <f>IFERROR(__xludf.DUMMYFUNCTION("""COMPUTED_VALUE"""),"% Beta Adj. Gross Exposure (Base)")</f>
        <v>% Beta Adj. Gross Exposure (Base)</v>
      </c>
      <c r="EL5" s="25" t="str">
        <f>IFERROR(__xludf.DUMMYFUNCTION("""COMPUTED_VALUE"""),"Position Side Exposure (Underlying)")</f>
        <v>Position Side Exposure (Underlying)</v>
      </c>
      <c r="EM5" s="25" t="str">
        <f>IFERROR(__xludf.DUMMYFUNCTION("""COMPUTED_VALUE"""),"Gross Exposure (Underlying) (Base)")</f>
        <v>Gross Exposure (Underlying) (Base)</v>
      </c>
      <c r="EN5" s="25" t="str">
        <f>IFERROR(__xludf.DUMMYFUNCTION("""COMPUTED_VALUE"""),"Gross Exposure (Underlying)")</f>
        <v>Gross Exposure (Underlying)</v>
      </c>
      <c r="EO5" s="25" t="str">
        <f>IFERROR(__xludf.DUMMYFUNCTION("""COMPUTED_VALUE"""),"Day Return")</f>
        <v>Day Return</v>
      </c>
      <c r="EP5" s="25" t="str">
        <f>IFERROR(__xludf.DUMMYFUNCTION("""COMPUTED_VALUE"""),"Start of Day NAV")</f>
        <v>Start of Day NAV</v>
      </c>
      <c r="EQ5" s="25" t="str">
        <f>IFERROR(__xludf.DUMMYFUNCTION("""COMPUTED_VALUE"""),"% Gross Market Value (Base)")</f>
        <v>% Gross Market Value (Base)</v>
      </c>
      <c r="ER5" s="25" t="str">
        <f>IFERROR(__xludf.DUMMYFUNCTION("""COMPUTED_VALUE"""),"Beta Adj. Gross Exposure (Underlying) (Local)")</f>
        <v>Beta Adj. Gross Exposure (Underlying) (Local)</v>
      </c>
      <c r="ES5" s="25" t="str">
        <f>IFERROR(__xludf.DUMMYFUNCTION("""COMPUTED_VALUE"""),"NAV")</f>
        <v>NAV</v>
      </c>
      <c r="ET5" s="25" t="str">
        <f>IFERROR(__xludf.DUMMYFUNCTION("""COMPUTED_VALUE"""),"% P&amp;L Contribution")</f>
        <v>% P&amp;L Contribution</v>
      </c>
      <c r="EU5" s="25" t="str">
        <f>IFERROR(__xludf.DUMMYFUNCTION("""COMPUTED_VALUE"""),"% Net Market Value (Base)")</f>
        <v>% Net Market Value (Base)</v>
      </c>
      <c r="EV5" s="25" t="str">
        <f>IFERROR(__xludf.DUMMYFUNCTION("""COMPUTED_VALUE"""),"Position Side Exposure")</f>
        <v>Position Side Exposure</v>
      </c>
      <c r="EW5" s="25" t="str">
        <f>IFERROR(__xludf.DUMMYFUNCTION("""COMPUTED_VALUE"""),"NAV (Touch)")</f>
        <v>NAV (Touch)</v>
      </c>
      <c r="EX5" s="25" t="str">
        <f>IFERROR(__xludf.DUMMYFUNCTION("""COMPUTED_VALUE"""),"IgnorePropertyChangeEvents")</f>
        <v>IgnorePropertyChangeEvents</v>
      </c>
      <c r="EY5" s="25" t="str">
        <f>IFERROR(__xludf.DUMMYFUNCTION("""COMPUTED_VALUE"""),"Trade Attribute 1")</f>
        <v>Trade Attribute 1</v>
      </c>
      <c r="EZ5" s="25" t="str">
        <f>IFERROR(__xludf.DUMMYFUNCTION("""COMPUTED_VALUE"""),"Trade Attribute 2")</f>
        <v>Trade Attribute 2</v>
      </c>
      <c r="FA5" s="25" t="str">
        <f>IFERROR(__xludf.DUMMYFUNCTION("""COMPUTED_VALUE"""),"Client")</f>
        <v>Client</v>
      </c>
      <c r="FB5" s="25" t="str">
        <f>IFERROR(__xludf.DUMMYFUNCTION("""COMPUTED_VALUE"""),"IsCustomViewTab")</f>
        <v>IsCustomViewTab</v>
      </c>
      <c r="FC5" s="25" t="str">
        <f>IFERROR(__xludf.DUMMYFUNCTION("""COMPUTED_VALUE"""),"ITM/OTM")</f>
        <v>ITM/OTM</v>
      </c>
      <c r="FD5" s="25" t="str">
        <f>IFERROR(__xludf.DUMMYFUNCTION("""COMPUTED_VALUE"""),"Days to Expiry")</f>
        <v>Days to Expiry</v>
      </c>
      <c r="FE5" s="25" t="str">
        <f>IFERROR(__xludf.DUMMYFUNCTION("""COMPUTED_VALUE"""),"% of ITM/OTM")</f>
        <v>% of ITM/OTM</v>
      </c>
      <c r="FF5" s="25" t="str">
        <f>IFERROR(__xludf.DUMMYFUNCTION("""COMPUTED_VALUE"""),"Intrinsic value")</f>
        <v>Intrinsic value</v>
      </c>
      <c r="FG5" s="25" t="str">
        <f>IFERROR(__xludf.DUMMYFUNCTION("""COMPUTED_VALUE"""),"Gain/Loss if Ex./Assign")</f>
        <v>Gain/Loss if Ex./Assign</v>
      </c>
      <c r="FH5" s="25" t="str">
        <f>IFERROR(__xludf.DUMMYFUNCTION("""COMPUTED_VALUE"""),"isRowCountCheck")</f>
        <v>isRowCountCheck</v>
      </c>
      <c r="FI5" s="25"/>
      <c r="FJ5" s="25"/>
      <c r="FK5" s="25"/>
    </row>
    <row r="6" ht="15.75" customHeight="1">
      <c r="A6" s="9"/>
      <c r="B6" s="9"/>
      <c r="C6" s="9" t="s">
        <v>671</v>
      </c>
      <c r="D6" s="9">
        <v>100.0</v>
      </c>
      <c r="E6" s="9" t="s">
        <v>667</v>
      </c>
      <c r="F6" s="9" t="s">
        <v>678</v>
      </c>
      <c r="G6" s="9">
        <v>4.0</v>
      </c>
      <c r="H6" s="9"/>
      <c r="I6" s="9">
        <v>400.0</v>
      </c>
      <c r="J6" s="9"/>
      <c r="K6" s="9"/>
      <c r="L6" s="9"/>
      <c r="M6" s="9"/>
      <c r="N6" s="9"/>
      <c r="O6" s="9"/>
      <c r="AN6" t="s">
        <v>672</v>
      </c>
    </row>
    <row r="7" ht="15.75" customHeight="1">
      <c r="A7" s="9"/>
      <c r="B7" s="9"/>
      <c r="C7" s="9" t="s">
        <v>671</v>
      </c>
      <c r="D7" s="9">
        <v>1194.0</v>
      </c>
      <c r="E7" s="9" t="s">
        <v>667</v>
      </c>
      <c r="F7" s="9" t="s">
        <v>678</v>
      </c>
      <c r="G7" s="9">
        <v>4.0</v>
      </c>
      <c r="H7" s="9"/>
      <c r="I7" s="9">
        <v>4776.0</v>
      </c>
      <c r="J7" s="9"/>
      <c r="K7" s="9"/>
      <c r="L7" s="9"/>
      <c r="M7" s="9"/>
      <c r="N7" s="9"/>
      <c r="O7" s="9"/>
      <c r="AN7" t="s">
        <v>672</v>
      </c>
    </row>
    <row r="8" ht="15.75" customHeight="1">
      <c r="A8" s="9"/>
      <c r="B8" s="9"/>
      <c r="C8" s="9" t="s">
        <v>671</v>
      </c>
      <c r="D8" s="9">
        <v>200.0</v>
      </c>
      <c r="E8" s="9" t="s">
        <v>669</v>
      </c>
      <c r="F8" s="9" t="s">
        <v>679</v>
      </c>
      <c r="G8" s="9">
        <v>4.0</v>
      </c>
      <c r="H8" s="9"/>
      <c r="I8" s="9">
        <v>800.0</v>
      </c>
      <c r="J8" s="9"/>
      <c r="K8" s="9"/>
      <c r="L8" s="9"/>
      <c r="M8" s="9"/>
      <c r="N8" s="9"/>
      <c r="O8" s="9"/>
      <c r="AN8" t="s">
        <v>672</v>
      </c>
    </row>
    <row r="9" ht="15.75" customHeight="1">
      <c r="A9" s="9"/>
      <c r="B9" s="9"/>
      <c r="C9" s="9" t="s">
        <v>671</v>
      </c>
      <c r="D9" s="9">
        <v>1741.0</v>
      </c>
      <c r="E9" s="9" t="s">
        <v>669</v>
      </c>
      <c r="F9" s="9" t="s">
        <v>679</v>
      </c>
      <c r="G9" s="9">
        <v>4.0</v>
      </c>
      <c r="H9" s="9"/>
      <c r="I9" s="9">
        <v>6964.0</v>
      </c>
      <c r="J9" s="9"/>
      <c r="K9" s="9"/>
      <c r="L9" s="9"/>
      <c r="M9" s="9"/>
      <c r="N9" s="9"/>
      <c r="O9" s="9"/>
      <c r="AN9" t="s">
        <v>672</v>
      </c>
    </row>
    <row r="10" ht="15.75" customHeight="1">
      <c r="A10" s="9"/>
      <c r="B10" s="9"/>
      <c r="C10" s="9" t="s">
        <v>671</v>
      </c>
      <c r="D10" s="9">
        <v>201.0</v>
      </c>
      <c r="E10" s="9" t="s">
        <v>670</v>
      </c>
      <c r="F10" s="9" t="s">
        <v>678</v>
      </c>
      <c r="G10" s="9">
        <v>4.0</v>
      </c>
      <c r="H10" s="9"/>
      <c r="I10" s="9">
        <v>804.0</v>
      </c>
      <c r="J10" s="9"/>
      <c r="K10" s="9"/>
      <c r="L10" s="9"/>
      <c r="M10" s="9"/>
      <c r="N10" s="9"/>
      <c r="O10" s="9"/>
      <c r="AN10" t="s">
        <v>672</v>
      </c>
    </row>
    <row r="11" ht="15.75" customHeight="1">
      <c r="A11" s="9"/>
      <c r="B11" s="9"/>
      <c r="C11" s="9" t="s">
        <v>671</v>
      </c>
      <c r="D11" s="9">
        <v>2065.0</v>
      </c>
      <c r="E11" s="9" t="s">
        <v>670</v>
      </c>
      <c r="F11" s="9" t="s">
        <v>678</v>
      </c>
      <c r="G11" s="9">
        <v>4.0</v>
      </c>
      <c r="H11" s="9"/>
      <c r="I11" s="9">
        <v>8260.0</v>
      </c>
      <c r="J11" s="9"/>
      <c r="K11" s="9"/>
      <c r="L11" s="9"/>
      <c r="M11" s="9"/>
      <c r="N11" s="9"/>
      <c r="O11" s="9"/>
      <c r="AN11" t="s">
        <v>672</v>
      </c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" width="12.63"/>
    <col customWidth="1" min="18" max="18" width="17.13"/>
    <col customWidth="1" min="19" max="71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18</v>
      </c>
      <c r="D3" s="4" t="s">
        <v>662</v>
      </c>
      <c r="E3" s="13" t="s">
        <v>339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</row>
    <row r="4" ht="15.75" customHeight="1">
      <c r="A4" s="21"/>
      <c r="B4" s="21" t="str">
        <f>IFERROR(__xludf.DUMMYFUNCTION("IF(C3="""","""",Transpose(IMPORTRANGE('_Settings'!$B$3,C3&amp;""!A4:A1000"")))"),"ReplaceFillsOnBlotter")</f>
        <v>ReplaceFillsOnBlotter</v>
      </c>
      <c r="C4" s="21" t="str">
        <f>IFERROR(__xludf.DUMMYFUNCTION("""COMPUTED_VALUE"""),"CheckBlotter")</f>
        <v>CheckBlotter</v>
      </c>
      <c r="D4" s="21" t="str">
        <f>IFERROR(__xludf.DUMMYFUNCTION("""COMPUTED_VALUE"""),"BlotterFunctionalities")</f>
        <v>BlotterFunctionalities</v>
      </c>
      <c r="E4" s="21" t="str">
        <f>IFERROR(__xludf.DUMMYFUNCTION("""COMPUTED_VALUE"""),"TransferToUserWorkingSubs")</f>
        <v>TransferToUserWorkingSubs</v>
      </c>
      <c r="F4" s="21" t="str">
        <f>IFERROR(__xludf.DUMMYFUNCTION("""COMPUTED_VALUE"""),"CancelWorkingSubs")</f>
        <v>CancelWorkingSubs</v>
      </c>
      <c r="G4" s="21" t="str">
        <f>IFERROR(__xludf.DUMMYFUNCTION("""COMPUTED_VALUE"""),"ReplaceWorkingSubs")</f>
        <v>ReplaceWorkingSubs</v>
      </c>
      <c r="H4" s="21" t="str">
        <f>IFERROR(__xludf.DUMMYFUNCTION("""COMPUTED_VALUE"""),"ViewAllocationDetailsWorkingSub")</f>
        <v>ViewAllocationDetailsWorkingSub</v>
      </c>
      <c r="I4" s="21" t="str">
        <f>IFERROR(__xludf.DUMMYFUNCTION("""COMPUTED_VALUE"""),"SelectTradeOnOrderGrid")</f>
        <v>SelectTradeOnOrderGrid</v>
      </c>
      <c r="J4" s="21" t="str">
        <f>IFERROR(__xludf.DUMMYFUNCTION("""COMPUTED_VALUE"""),"ShowDetailsForAlgoTradeSubOrder")</f>
        <v>ShowDetailsForAlgoTradeSubOrder</v>
      </c>
      <c r="K4" s="21" t="str">
        <f>IFERROR(__xludf.DUMMYFUNCTION("""COMPUTED_VALUE"""),"SelectTradeOrderBlotter")</f>
        <v>SelectTradeOrderBlotter</v>
      </c>
      <c r="L4" s="21" t="str">
        <f>IFERROR(__xludf.DUMMYFUNCTION("""COMPUTED_VALUE"""),"AddFillsWorkingSubs")</f>
        <v>AddFillsWorkingSubs</v>
      </c>
      <c r="M4" s="21" t="str">
        <f>IFERROR(__xludf.DUMMYFUNCTION("""COMPUTED_VALUE"""),"EditAddFillsDetails")</f>
        <v>EditAddFillsDetails</v>
      </c>
      <c r="N4" s="21" t="str">
        <f>IFERROR(__xludf.DUMMYFUNCTION("""COMPUTED_VALUE"""),"ShowDetailsForAlgoTradeWorkingSubs")</f>
        <v>ShowDetailsForAlgoTradeWorkingSubs</v>
      </c>
      <c r="O4" s="21" t="str">
        <f>IFERROR(__xludf.DUMMYFUNCTION("""COMPUTED_VALUE"""),"VerifyWorkingSubs")</f>
        <v>VerifyWorkingSubs</v>
      </c>
      <c r="P4" s="22" t="str">
        <f>IFERROR(__xludf.DUMMYFUNCTION("""COMPUTED_VALUE"""),"TransferToUserOrder")</f>
        <v>TransferToUserOrder</v>
      </c>
      <c r="Q4" s="22" t="str">
        <f>IFERROR(__xludf.DUMMYFUNCTION("""COMPUTED_VALUE"""),"EditOrder")</f>
        <v>EditOrder</v>
      </c>
      <c r="R4" s="22" t="str">
        <f>IFERROR(__xludf.DUMMYFUNCTION("""COMPUTED_VALUE"""),"SelectTradeSubOrderBlotter")</f>
        <v>SelectTradeSubOrderBlotter</v>
      </c>
      <c r="S4" s="22" t="str">
        <f>IFERROR(__xludf.DUMMYFUNCTION("""COMPUTED_VALUE"""),"VerifyOrder")</f>
        <v>VerifyOrder</v>
      </c>
      <c r="T4" s="22" t="str">
        <f>IFERROR(__xludf.DUMMYFUNCTION("""COMPUTED_VALUE"""),"VerifySubOrder")</f>
        <v>VerifySubOrder</v>
      </c>
      <c r="U4" s="22" t="str">
        <f>IFERROR(__xludf.DUMMYFUNCTION("""COMPUTED_VALUE"""),"RemoveSelectedOrders")</f>
        <v>RemoveSelectedOrders</v>
      </c>
      <c r="V4" s="22" t="str">
        <f>IFERROR(__xludf.DUMMYFUNCTION("""COMPUTED_VALUE"""),"CancelAllSelectedSubs")</f>
        <v>CancelAllSelectedSubs</v>
      </c>
      <c r="W4" s="22" t="str">
        <f>IFERROR(__xludf.DUMMYFUNCTION("""COMPUTED_VALUE"""),"MultiTradingTicket")</f>
        <v>MultiTradingTicket</v>
      </c>
      <c r="X4" s="22" t="str">
        <f>IFERROR(__xludf.DUMMYFUNCTION("""COMPUTED_VALUE"""),"AuditTrailOrderBlotter")</f>
        <v>AuditTrailOrderBlotter</v>
      </c>
      <c r="Y4" s="22" t="str">
        <f>IFERROR(__xludf.DUMMYFUNCTION("""COMPUTED_VALUE"""),"TradeNewSubOrder")</f>
        <v>TradeNewSubOrder</v>
      </c>
      <c r="Z4" s="22" t="str">
        <f>IFERROR(__xludf.DUMMYFUNCTION("""COMPUTED_VALUE"""),"RemoveStageOrder")</f>
        <v>RemoveStageOrder</v>
      </c>
      <c r="AA4" s="22" t="str">
        <f>IFERROR(__xludf.DUMMYFUNCTION("""COMPUTED_VALUE"""),"TransferToUserSubOrder")</f>
        <v>TransferToUserSubOrder</v>
      </c>
      <c r="AB4" s="22" t="str">
        <f>IFERROR(__xludf.DUMMYFUNCTION("""COMPUTED_VALUE"""),"DetailsForAlgoTradeOrder")</f>
        <v>DetailsForAlgoTradeOrder</v>
      </c>
      <c r="AC4" s="22" t="str">
        <f>IFERROR(__xludf.DUMMYFUNCTION("""COMPUTED_VALUE"""),"AddFillsSubOrder")</f>
        <v>AddFillsSubOrder</v>
      </c>
      <c r="AD4" s="22" t="str">
        <f>IFERROR(__xludf.DUMMYFUNCTION("""COMPUTED_VALUE"""),"ViewAllocationDetailsSubOrder")</f>
        <v>ViewAllocationDetailsSubOrder</v>
      </c>
      <c r="AE4" s="22" t="str">
        <f>IFERROR(__xludf.DUMMYFUNCTION("""COMPUTED_VALUE"""),"CancelAllSubs")</f>
        <v>CancelAllSubs</v>
      </c>
      <c r="AF4" s="22" t="str">
        <f>IFERROR(__xludf.DUMMYFUNCTION("""COMPUTED_VALUE"""),"CancelSubOrder")</f>
        <v>CancelSubOrder</v>
      </c>
      <c r="AG4" s="22" t="str">
        <f>IFERROR(__xludf.DUMMYFUNCTION("""COMPUTED_VALUE"""),"EditStageOrder")</f>
        <v>EditStageOrder</v>
      </c>
      <c r="AH4" s="22" t="str">
        <f>IFERROR(__xludf.DUMMYFUNCTION("""COMPUTED_VALUE"""),"ReplaceSubOrder")</f>
        <v>ReplaceSubOrder</v>
      </c>
      <c r="AI4" s="22" t="str">
        <f>IFERROR(__xludf.DUMMYFUNCTION("""COMPUTED_VALUE"""),"SelectTradeWorkingSubsBlotter")</f>
        <v>SelectTradeWorkingSubsBlotter</v>
      </c>
      <c r="AJ4" s="22" t="str">
        <f>IFERROR(__xludf.DUMMYFUNCTION("""COMPUTED_VALUE"""),"VerifyAlgoDetails")</f>
        <v>VerifyAlgoDetails</v>
      </c>
      <c r="AK4" s="22" t="str">
        <f>IFERROR(__xludf.DUMMYFUNCTION("""COMPUTED_VALUE"""),"VerifyTransferToUserOrder")</f>
        <v>VerifyTransferToUserOrder</v>
      </c>
      <c r="AL4" s="22" t="str">
        <f>IFERROR(__xludf.DUMMYFUNCTION("""COMPUTED_VALUE"""),"VerifyTransferToUserSubOdr")</f>
        <v>VerifyTransferToUserSubOdr</v>
      </c>
      <c r="AM4" s="22" t="str">
        <f>IFERROR(__xludf.DUMMYFUNCTION("""COMPUTED_VALUE"""),"VerifyTransferToUserWorkSub")</f>
        <v>VerifyTransferToUserWorkSub</v>
      </c>
      <c r="AN4" s="22" t="str">
        <f>IFERROR(__xludf.DUMMYFUNCTION("""COMPUTED_VALUE"""),"SaveLayoutOrderGrid")</f>
        <v>SaveLayoutOrderGrid</v>
      </c>
      <c r="AO4" s="22" t="str">
        <f>IFERROR(__xludf.DUMMYFUNCTION("""COMPUTED_VALUE"""),"ReplaceStageOrder")</f>
        <v>ReplaceStageOrder</v>
      </c>
      <c r="AP4" s="22" t="str">
        <f>IFERROR(__xludf.DUMMYFUNCTION("""COMPUTED_VALUE"""),"MultiTradingTicketFromBlotter")</f>
        <v>MultiTradingTicketFromBlotter</v>
      </c>
      <c r="AQ4" s="22" t="str">
        <f>IFERROR(__xludf.DUMMYFUNCTION("""COMPUTED_VALUE"""),"VerifyViewAllocationDetails")</f>
        <v>VerifyViewAllocationDetails</v>
      </c>
      <c r="AR4" s="22" t="str">
        <f>IFERROR(__xludf.DUMMYFUNCTION("""COMPUTED_VALUE"""),"GoToAllocation")</f>
        <v>GoToAllocation</v>
      </c>
      <c r="AS4" s="22" t="str">
        <f>IFERROR(__xludf.DUMMYFUNCTION("""COMPUTED_VALUE"""),"VerifyRollover")</f>
        <v>VerifyRollover</v>
      </c>
      <c r="AT4" s="22" t="str">
        <f>IFERROR(__xludf.DUMMYFUNCTION("""COMPUTED_VALUE"""),"VerifySubOrderAfterRollover")</f>
        <v>VerifySubOrderAfterRollover</v>
      </c>
      <c r="AU4" s="22" t="str">
        <f>IFERROR(__xludf.DUMMYFUNCTION("""COMPUTED_VALUE"""),"OpenBlotter")</f>
        <v>OpenBlotter</v>
      </c>
      <c r="AV4" s="22" t="str">
        <f>IFERROR(__xludf.DUMMYFUNCTION("""COMPUTED_VALUE"""),"OpenBlotter")</f>
        <v>OpenBlotter</v>
      </c>
      <c r="AW4" s="22" t="str">
        <f>IFERROR(__xludf.DUMMYFUNCTION("""COMPUTED_VALUE"""),"RemoveManualExecution")</f>
        <v>RemoveManualExecution</v>
      </c>
      <c r="AX4" s="22" t="str">
        <f>IFERROR(__xludf.DUMMYFUNCTION("""COMPUTED_VALUE"""),"RemoveExecutionWorkingSubs")</f>
        <v>RemoveExecutionWorkingSubs</v>
      </c>
      <c r="AY4" s="22" t="str">
        <f>IFERROR(__xludf.DUMMYFUNCTION("""COMPUTED_VALUE"""),"GetExecutionReportOrders")</f>
        <v>GetExecutionReportOrders</v>
      </c>
      <c r="AZ4" s="22" t="str">
        <f>IFERROR(__xludf.DUMMYFUNCTION("""COMPUTED_VALUE"""),"GetExecutionReportDetails")</f>
        <v>GetExecutionReportDetails</v>
      </c>
      <c r="BA4" s="22" t="str">
        <f>IFERROR(__xludf.DUMMYFUNCTION("""COMPUTED_VALUE"""),"ExportExecutionReportData")</f>
        <v>ExportExecutionReportData</v>
      </c>
      <c r="BB4" s="22" t="str">
        <f>IFERROR(__xludf.DUMMYFUNCTION("""COMPUTED_VALUE"""),"VerifyExecutionReport")</f>
        <v>VerifyExecutionReport</v>
      </c>
      <c r="BC4" s="22" t="str">
        <f>IFERROR(__xludf.DUMMYFUNCTION("""COMPUTED_VALUE"""),"BlotterExecutionReportSnapshot")</f>
        <v>BlotterExecutionReportSnapshot</v>
      </c>
      <c r="BD4" s="22" t="str">
        <f>IFERROR(__xludf.DUMMYFUNCTION("""COMPUTED_VALUE"""),"MultipleTradeTransferToUser")</f>
        <v>MultipleTradeTransferToUser</v>
      </c>
      <c r="BE4" s="22" t="str">
        <f>IFERROR(__xludf.DUMMYFUNCTION("""COMPUTED_VALUE"""),"ReloadOrderFromBlotter")</f>
        <v>ReloadOrderFromBlotter</v>
      </c>
      <c r="BF4" s="22" t="str">
        <f>IFERROR(__xludf.DUMMYFUNCTION("""COMPUTED_VALUE"""),"ReloadOrderFromSubOrder")</f>
        <v>ReloadOrderFromSubOrder</v>
      </c>
      <c r="BG4" s="22" t="str">
        <f>IFERROR(__xludf.DUMMYFUNCTION("""COMPUTED_VALUE"""),"ReloadOrderFromWorkingSubs")</f>
        <v>ReloadOrderFromWorkingSubs</v>
      </c>
      <c r="BH4" s="22" t="str">
        <f>IFERROR(__xludf.DUMMYFUNCTION("""COMPUTED_VALUE"""),"SelectFills")</f>
        <v>SelectFills</v>
      </c>
      <c r="BI4" s="22" t="str">
        <f>IFERROR(__xludf.DUMMYFUNCTION("""COMPUTED_VALUE"""),"ModifyFills")</f>
        <v>ModifyFills</v>
      </c>
      <c r="BJ4" s="22" t="str">
        <f>IFERROR(__xludf.DUMMYFUNCTION("""COMPUTED_VALUE"""),"AddTab")</f>
        <v>AddTab</v>
      </c>
      <c r="BK4" s="22" t="str">
        <f>IFERROR(__xludf.DUMMYFUNCTION("""COMPUTED_VALUE"""),"RemoveTab")</f>
        <v>RemoveTab</v>
      </c>
      <c r="BL4" s="22" t="str">
        <f>IFERROR(__xludf.DUMMYFUNCTION("""COMPUTED_VALUE"""),"SelectCustomTab")</f>
        <v>SelectCustomTab</v>
      </c>
      <c r="BM4" s="22" t="str">
        <f>IFERROR(__xludf.DUMMYFUNCTION("""COMPUTED_VALUE"""),"VerifyOrderCustomTab")</f>
        <v>VerifyOrderCustomTab</v>
      </c>
      <c r="BN4" s="22" t="str">
        <f>IFERROR(__xludf.DUMMYFUNCTION("""COMPUTED_VALUE"""),"VerifySubOrderCustomTab")</f>
        <v>VerifySubOrderCustomTab</v>
      </c>
      <c r="BO4" s="22"/>
      <c r="BP4" s="22"/>
      <c r="BQ4" s="22"/>
      <c r="BR4" s="22"/>
      <c r="BS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IFERROR(__xludf.DUMMYFUNCTION("""COMPUTED_VALUE"""),"Avg Fill Price (Base)")</f>
        <v>Avg Fill Price (Base)</v>
      </c>
      <c r="C5" s="24" t="str">
        <f>IFERROR(__xludf.DUMMYFUNCTION("""COMPUTED_VALUE"""),"Transaction Time")</f>
        <v>Transaction Time</v>
      </c>
      <c r="D5" s="24" t="str">
        <f>IFERROR(__xludf.DUMMYFUNCTION("""COMPUTED_VALUE"""),"Symbol")</f>
        <v>Symbol</v>
      </c>
      <c r="E5" s="24" t="str">
        <f>IFERROR(__xludf.DUMMYFUNCTION("""COMPUTED_VALUE"""),"Algo")</f>
        <v>Algo</v>
      </c>
      <c r="F5" s="24" t="str">
        <f>IFERROR(__xludf.DUMMYFUNCTION("""COMPUTED_VALUE"""),"Side")</f>
        <v>Side</v>
      </c>
      <c r="G5" s="24" t="str">
        <f>IFERROR(__xludf.DUMMYFUNCTION("""COMPUTED_VALUE"""),"Status")</f>
        <v>Status</v>
      </c>
      <c r="H5" s="24" t="str">
        <f>IFERROR(__xludf.DUMMYFUNCTION("""COMPUTED_VALUE"""),"Quantity")</f>
        <v>Quantity</v>
      </c>
      <c r="I5" s="24" t="str">
        <f>IFERROR(__xludf.DUMMYFUNCTION("""COMPUTED_VALUE"""),"Executed Qty")</f>
        <v>Executed Qty</v>
      </c>
      <c r="J5" s="24" t="str">
        <f>IFERROR(__xludf.DUMMYFUNCTION("""COMPUTED_VALUE"""),"Limit Price")</f>
        <v>Limit Price</v>
      </c>
      <c r="K5" s="24" t="str">
        <f>IFERROR(__xludf.DUMMYFUNCTION("""COMPUTED_VALUE"""),"Last Fill Price (Local)")</f>
        <v>Last Fill Price (Local)</v>
      </c>
      <c r="L5" s="24" t="str">
        <f>IFERROR(__xludf.DUMMYFUNCTION("""COMPUTED_VALUE"""),"Stop Price")</f>
        <v>Stop Price</v>
      </c>
      <c r="M5" s="24" t="str">
        <f>IFERROR(__xludf.DUMMYFUNCTION("""COMPUTED_VALUE"""),"Avg Fill Price (Local)")</f>
        <v>Avg Fill Price (Local)</v>
      </c>
      <c r="N5" s="24" t="str">
        <f>IFERROR(__xludf.DUMMYFUNCTION("""COMPUTED_VALUE"""),"Broker")</f>
        <v>Broker</v>
      </c>
      <c r="O5" s="24" t="str">
        <f>IFERROR(__xludf.DUMMYFUNCTION("""COMPUTED_VALUE"""),"Account")</f>
        <v>Account</v>
      </c>
      <c r="P5" s="24" t="str">
        <f>IFERROR(__xludf.DUMMYFUNCTION("""COMPUTED_VALUE"""),"OrderID")</f>
        <v>OrderID</v>
      </c>
      <c r="Q5" s="24" t="str">
        <f>IFERROR(__xludf.DUMMYFUNCTION("""COMPUTED_VALUE"""),"Order Type")</f>
        <v>Order Type</v>
      </c>
      <c r="R5" s="24" t="str">
        <f>IFERROR(__xludf.DUMMYFUNCTION("""COMPUTED_VALUE"""),"Principal Amount (Local)")</f>
        <v>Principal Amount (Local)</v>
      </c>
      <c r="S5" s="24" t="str">
        <f>IFERROR(__xludf.DUMMYFUNCTION("""COMPUTED_VALUE"""),"Principal Amount (Base)")</f>
        <v>Principal Amount (Base)</v>
      </c>
      <c r="T5" s="25" t="str">
        <f>IFERROR(__xludf.DUMMYFUNCTION("""COMPUTED_VALUE"""),"Peg")</f>
        <v>Peg</v>
      </c>
      <c r="U5" s="25" t="str">
        <f>IFERROR(__xludf.DUMMYFUNCTION("""COMPUTED_VALUE"""),"ParentClOrderID")</f>
        <v>ParentClOrderID</v>
      </c>
      <c r="V5" s="25" t="str">
        <f>IFERROR(__xludf.DUMMYFUNCTION("""COMPUTED_VALUE"""),"Strike Price")</f>
        <v>Strike Price</v>
      </c>
      <c r="W5" s="25" t="str">
        <f>IFERROR(__xludf.DUMMYFUNCTION("""COMPUTED_VALUE"""),"Last Shares")</f>
        <v>Last Shares</v>
      </c>
      <c r="X5" s="25" t="str">
        <f>IFERROR(__xludf.DUMMYFUNCTION("""COMPUTED_VALUE"""),"Working Qty")</f>
        <v>Working Qty</v>
      </c>
      <c r="Y5" s="25" t="str">
        <f>IFERROR(__xludf.DUMMYFUNCTION("""COMPUTED_VALUE"""),"Bloomberg Symbol")</f>
        <v>Bloomberg Symbol</v>
      </c>
      <c r="Z5" s="25" t="str">
        <f>IFERROR(__xludf.DUMMYFUNCTION("""COMPUTED_VALUE"""),"Imported File Name")</f>
        <v>Imported File Name</v>
      </c>
      <c r="AA5" s="25" t="str">
        <f>IFERROR(__xludf.DUMMYFUNCTION("""COMPUTED_VALUE"""),"Master Fund")</f>
        <v>Master Fund</v>
      </c>
      <c r="AB5" s="25" t="str">
        <f>IFERROR(__xludf.DUMMYFUNCTION("""COMPUTED_VALUE"""),"Asset Class")</f>
        <v>Asset Class</v>
      </c>
      <c r="AC5" s="25" t="str">
        <f>IFERROR(__xludf.DUMMYFUNCTION("""COMPUTED_VALUE"""),"Underlying Country")</f>
        <v>Underlying Country</v>
      </c>
      <c r="AD5" s="25" t="str">
        <f>IFERROR(__xludf.DUMMYFUNCTION("""COMPUTED_VALUE"""),"Trader")</f>
        <v>Trader</v>
      </c>
      <c r="AE5" s="25" t="str">
        <f>IFERROR(__xludf.DUMMYFUNCTION("""COMPUTED_VALUE"""),"User")</f>
        <v>User</v>
      </c>
      <c r="AF5" s="25" t="str">
        <f>IFERROR(__xludf.DUMMYFUNCTION("""COMPUTED_VALUE"""),"Venue")</f>
        <v>Venue</v>
      </c>
      <c r="AG5" s="25" t="str">
        <f>IFERROR(__xludf.DUMMYFUNCTION("""COMPUTED_VALUE"""),"Settlement Currency")</f>
        <v>Settlement Currency</v>
      </c>
      <c r="AH5" s="25" t="str">
        <f>IFERROR(__xludf.DUMMYFUNCTION("""COMPUTED_VALUE"""),"FX Conversion Operator")</f>
        <v>FX Conversion Operator</v>
      </c>
      <c r="AI5" s="25" t="str">
        <f>IFERROR(__xludf.DUMMYFUNCTION("""COMPUTED_VALUE"""),"Process Date")</f>
        <v>Process Date</v>
      </c>
      <c r="AJ5" s="25" t="str">
        <f>IFERROR(__xludf.DUMMYFUNCTION("""COMPUTED_VALUE"""),"Underlying Symbol")</f>
        <v>Underlying Symbol</v>
      </c>
      <c r="AK5" s="25" t="str">
        <f>IFERROR(__xludf.DUMMYFUNCTION("""COMPUTED_VALUE"""),"Put/Call")</f>
        <v>Put/Call</v>
      </c>
      <c r="AL5" s="25" t="str">
        <f>IFERROR(__xludf.DUMMYFUNCTION("""COMPUTED_VALUE"""),"FX Rate")</f>
        <v>FX Rate</v>
      </c>
      <c r="AM5" s="25" t="str">
        <f>IFERROR(__xludf.DUMMYFUNCTION("""COMPUTED_VALUE"""),"Trade Attribute 1")</f>
        <v>Trade Attribute 1</v>
      </c>
      <c r="AN5" s="25" t="str">
        <f>IFERROR(__xludf.DUMMYFUNCTION("""COMPUTED_VALUE"""),"Trade Attribute 2")</f>
        <v>Trade Attribute 2</v>
      </c>
      <c r="AO5" s="25" t="str">
        <f>IFERROR(__xludf.DUMMYFUNCTION("""COMPUTED_VALUE"""),"Trade Attribute 3")</f>
        <v>Trade Attribute 3</v>
      </c>
      <c r="AP5" s="25" t="str">
        <f>IFERROR(__xludf.DUMMYFUNCTION("""COMPUTED_VALUE"""),"Trade Attribute 4")</f>
        <v>Trade Attribute 4</v>
      </c>
      <c r="AQ5" s="25" t="str">
        <f>IFERROR(__xludf.DUMMYFUNCTION("""COMPUTED_VALUE"""),"Trade Attribute 5")</f>
        <v>Trade Attribute 5</v>
      </c>
      <c r="AR5" s="25" t="str">
        <f>IFERROR(__xludf.DUMMYFUNCTION("""COMPUTED_VALUE"""),"Trade Attribute 6")</f>
        <v>Trade Attribute 6</v>
      </c>
      <c r="AS5" s="25" t="str">
        <f>IFERROR(__xludf.DUMMYFUNCTION("""COMPUTED_VALUE"""),"Internal Comments")</f>
        <v>Internal Comments</v>
      </c>
      <c r="AT5" s="25" t="str">
        <f>IFERROR(__xludf.DUMMYFUNCTION("""COMPUTED_VALUE"""),"Allocation Scheme Name        ")</f>
        <v>Allocation Scheme Name        </v>
      </c>
      <c r="AU5" s="25" t="str">
        <f>IFERROR(__xludf.DUMMYFUNCTION("""COMPUTED_VALUE"""),"Status (With Rollover)")</f>
        <v>Status (With Rollover)</v>
      </c>
      <c r="AV5" s="25" t="str">
        <f>IFERROR(__xludf.DUMMYFUNCTION("""COMPUTED_VALUE"""),"Allocation Status")</f>
        <v>Allocation Status</v>
      </c>
      <c r="AW5" s="25" t="str">
        <f>IFERROR(__xludf.DUMMYFUNCTION("""COMPUTED_VALUE"""),"Source")</f>
        <v>Source</v>
      </c>
      <c r="AX5" s="25" t="str">
        <f>IFERROR(__xludf.DUMMYFUNCTION("""COMPUTED_VALUE"""),"Strategy")</f>
        <v>Strategy</v>
      </c>
      <c r="AY5" s="25" t="str">
        <f>IFERROR(__xludf.DUMMYFUNCTION("""COMPUTED_VALUE"""),"Unexecuted Qty")</f>
        <v>Unexecuted Qty</v>
      </c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</row>
    <row r="6" ht="15.75" customHeight="1">
      <c r="A6" s="9"/>
      <c r="B6" s="9">
        <v>4.0</v>
      </c>
      <c r="C6" s="9"/>
      <c r="D6" s="9" t="s">
        <v>671</v>
      </c>
      <c r="E6" s="9"/>
      <c r="F6" s="9" t="s">
        <v>672</v>
      </c>
      <c r="G6" s="9" t="s">
        <v>680</v>
      </c>
      <c r="H6" s="9"/>
      <c r="I6" s="9"/>
      <c r="J6" s="9"/>
      <c r="K6" s="9"/>
      <c r="L6" s="9"/>
      <c r="M6" s="9"/>
      <c r="N6" s="9"/>
      <c r="O6" s="9"/>
      <c r="R6" s="27">
        <v>20000.0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6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18</v>
      </c>
      <c r="D3" s="4" t="s">
        <v>662</v>
      </c>
      <c r="E3" s="13" t="s">
        <v>258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</row>
    <row r="4" ht="15.75" customHeight="1">
      <c r="A4" s="21"/>
      <c r="B4" s="21" t="str">
        <f>IFERROR(__xludf.DUMMYFUNCTION("IF(C3="""","""",Transpose(IMPORTRANGE('_Settings'!$B$3,C3&amp;""!A4:A1000"")))"),"ReplaceFillsOnBlotter")</f>
        <v>ReplaceFillsOnBlotter</v>
      </c>
      <c r="C4" s="21" t="str">
        <f>IFERROR(__xludf.DUMMYFUNCTION("""COMPUTED_VALUE"""),"CheckBlotter")</f>
        <v>CheckBlotter</v>
      </c>
      <c r="D4" s="21" t="str">
        <f>IFERROR(__xludf.DUMMYFUNCTION("""COMPUTED_VALUE"""),"BlotterFunctionalities")</f>
        <v>BlotterFunctionalities</v>
      </c>
      <c r="E4" s="21" t="str">
        <f>IFERROR(__xludf.DUMMYFUNCTION("""COMPUTED_VALUE"""),"TransferToUserWorkingSubs")</f>
        <v>TransferToUserWorkingSubs</v>
      </c>
      <c r="F4" s="21" t="str">
        <f>IFERROR(__xludf.DUMMYFUNCTION("""COMPUTED_VALUE"""),"CancelWorkingSubs")</f>
        <v>CancelWorkingSubs</v>
      </c>
      <c r="G4" s="21" t="str">
        <f>IFERROR(__xludf.DUMMYFUNCTION("""COMPUTED_VALUE"""),"ReplaceWorkingSubs")</f>
        <v>ReplaceWorkingSubs</v>
      </c>
      <c r="H4" s="21" t="str">
        <f>IFERROR(__xludf.DUMMYFUNCTION("""COMPUTED_VALUE"""),"ViewAllocationDetailsWorkingSub")</f>
        <v>ViewAllocationDetailsWorkingSub</v>
      </c>
      <c r="I4" s="21" t="str">
        <f>IFERROR(__xludf.DUMMYFUNCTION("""COMPUTED_VALUE"""),"SelectTradeOnOrderGrid")</f>
        <v>SelectTradeOnOrderGrid</v>
      </c>
      <c r="J4" s="21" t="str">
        <f>IFERROR(__xludf.DUMMYFUNCTION("""COMPUTED_VALUE"""),"ShowDetailsForAlgoTradeSubOrder")</f>
        <v>ShowDetailsForAlgoTradeSubOrder</v>
      </c>
      <c r="K4" s="21" t="str">
        <f>IFERROR(__xludf.DUMMYFUNCTION("""COMPUTED_VALUE"""),"SelectTradeOrderBlotter")</f>
        <v>SelectTradeOrderBlotter</v>
      </c>
      <c r="L4" s="21" t="str">
        <f>IFERROR(__xludf.DUMMYFUNCTION("""COMPUTED_VALUE"""),"AddFillsWorkingSubs")</f>
        <v>AddFillsWorkingSubs</v>
      </c>
      <c r="M4" s="21" t="str">
        <f>IFERROR(__xludf.DUMMYFUNCTION("""COMPUTED_VALUE"""),"EditAddFillsDetails")</f>
        <v>EditAddFillsDetails</v>
      </c>
      <c r="N4" s="21" t="str">
        <f>IFERROR(__xludf.DUMMYFUNCTION("""COMPUTED_VALUE"""),"ShowDetailsForAlgoTradeWorkingSubs")</f>
        <v>ShowDetailsForAlgoTradeWorkingSubs</v>
      </c>
      <c r="O4" s="21" t="str">
        <f>IFERROR(__xludf.DUMMYFUNCTION("""COMPUTED_VALUE"""),"VerifyWorkingSubs")</f>
        <v>VerifyWorkingSubs</v>
      </c>
      <c r="P4" s="22" t="str">
        <f>IFERROR(__xludf.DUMMYFUNCTION("""COMPUTED_VALUE"""),"TransferToUserOrder")</f>
        <v>TransferToUserOrder</v>
      </c>
      <c r="Q4" s="22" t="str">
        <f>IFERROR(__xludf.DUMMYFUNCTION("""COMPUTED_VALUE"""),"EditOrder")</f>
        <v>EditOrder</v>
      </c>
      <c r="R4" s="22" t="str">
        <f>IFERROR(__xludf.DUMMYFUNCTION("""COMPUTED_VALUE"""),"SelectTradeSubOrderBlotter")</f>
        <v>SelectTradeSubOrderBlotter</v>
      </c>
      <c r="S4" s="22" t="str">
        <f>IFERROR(__xludf.DUMMYFUNCTION("""COMPUTED_VALUE"""),"VerifyOrder")</f>
        <v>VerifyOrder</v>
      </c>
      <c r="T4" s="22" t="str">
        <f>IFERROR(__xludf.DUMMYFUNCTION("""COMPUTED_VALUE"""),"VerifySubOrder")</f>
        <v>VerifySubOrder</v>
      </c>
      <c r="U4" s="22" t="str">
        <f>IFERROR(__xludf.DUMMYFUNCTION("""COMPUTED_VALUE"""),"RemoveSelectedOrders")</f>
        <v>RemoveSelectedOrders</v>
      </c>
      <c r="V4" s="22" t="str">
        <f>IFERROR(__xludf.DUMMYFUNCTION("""COMPUTED_VALUE"""),"CancelAllSelectedSubs")</f>
        <v>CancelAllSelectedSubs</v>
      </c>
      <c r="W4" s="22" t="str">
        <f>IFERROR(__xludf.DUMMYFUNCTION("""COMPUTED_VALUE"""),"MultiTradingTicket")</f>
        <v>MultiTradingTicket</v>
      </c>
      <c r="X4" s="22" t="str">
        <f>IFERROR(__xludf.DUMMYFUNCTION("""COMPUTED_VALUE"""),"AuditTrailOrderBlotter")</f>
        <v>AuditTrailOrderBlotter</v>
      </c>
      <c r="Y4" s="22" t="str">
        <f>IFERROR(__xludf.DUMMYFUNCTION("""COMPUTED_VALUE"""),"TradeNewSubOrder")</f>
        <v>TradeNewSubOrder</v>
      </c>
      <c r="Z4" s="22" t="str">
        <f>IFERROR(__xludf.DUMMYFUNCTION("""COMPUTED_VALUE"""),"RemoveStageOrder")</f>
        <v>RemoveStageOrder</v>
      </c>
      <c r="AA4" s="22" t="str">
        <f>IFERROR(__xludf.DUMMYFUNCTION("""COMPUTED_VALUE"""),"TransferToUserSubOrder")</f>
        <v>TransferToUserSubOrder</v>
      </c>
      <c r="AB4" s="22" t="str">
        <f>IFERROR(__xludf.DUMMYFUNCTION("""COMPUTED_VALUE"""),"DetailsForAlgoTradeOrder")</f>
        <v>DetailsForAlgoTradeOrder</v>
      </c>
      <c r="AC4" s="22" t="str">
        <f>IFERROR(__xludf.DUMMYFUNCTION("""COMPUTED_VALUE"""),"AddFillsSubOrder")</f>
        <v>AddFillsSubOrder</v>
      </c>
      <c r="AD4" s="22" t="str">
        <f>IFERROR(__xludf.DUMMYFUNCTION("""COMPUTED_VALUE"""),"ViewAllocationDetailsSubOrder")</f>
        <v>ViewAllocationDetailsSubOrder</v>
      </c>
      <c r="AE4" s="22" t="str">
        <f>IFERROR(__xludf.DUMMYFUNCTION("""COMPUTED_VALUE"""),"CancelAllSubs")</f>
        <v>CancelAllSubs</v>
      </c>
      <c r="AF4" s="22" t="str">
        <f>IFERROR(__xludf.DUMMYFUNCTION("""COMPUTED_VALUE"""),"CancelSubOrder")</f>
        <v>CancelSubOrder</v>
      </c>
      <c r="AG4" s="22" t="str">
        <f>IFERROR(__xludf.DUMMYFUNCTION("""COMPUTED_VALUE"""),"EditStageOrder")</f>
        <v>EditStageOrder</v>
      </c>
      <c r="AH4" s="22" t="str">
        <f>IFERROR(__xludf.DUMMYFUNCTION("""COMPUTED_VALUE"""),"ReplaceSubOrder")</f>
        <v>ReplaceSubOrder</v>
      </c>
      <c r="AI4" s="22" t="str">
        <f>IFERROR(__xludf.DUMMYFUNCTION("""COMPUTED_VALUE"""),"SelectTradeWorkingSubsBlotter")</f>
        <v>SelectTradeWorkingSubsBlotter</v>
      </c>
      <c r="AJ4" s="22" t="str">
        <f>IFERROR(__xludf.DUMMYFUNCTION("""COMPUTED_VALUE"""),"VerifyAlgoDetails")</f>
        <v>VerifyAlgoDetails</v>
      </c>
      <c r="AK4" s="22" t="str">
        <f>IFERROR(__xludf.DUMMYFUNCTION("""COMPUTED_VALUE"""),"VerifyTransferToUserOrder")</f>
        <v>VerifyTransferToUserOrder</v>
      </c>
      <c r="AL4" s="22" t="str">
        <f>IFERROR(__xludf.DUMMYFUNCTION("""COMPUTED_VALUE"""),"VerifyTransferToUserSubOdr")</f>
        <v>VerifyTransferToUserSubOdr</v>
      </c>
      <c r="AM4" s="22" t="str">
        <f>IFERROR(__xludf.DUMMYFUNCTION("""COMPUTED_VALUE"""),"VerifyTransferToUserWorkSub")</f>
        <v>VerifyTransferToUserWorkSub</v>
      </c>
      <c r="AN4" s="22" t="str">
        <f>IFERROR(__xludf.DUMMYFUNCTION("""COMPUTED_VALUE"""),"SaveLayoutOrderGrid")</f>
        <v>SaveLayoutOrderGrid</v>
      </c>
      <c r="AO4" s="22" t="str">
        <f>IFERROR(__xludf.DUMMYFUNCTION("""COMPUTED_VALUE"""),"ReplaceStageOrder")</f>
        <v>ReplaceStageOrder</v>
      </c>
      <c r="AP4" s="22" t="str">
        <f>IFERROR(__xludf.DUMMYFUNCTION("""COMPUTED_VALUE"""),"MultiTradingTicketFromBlotter")</f>
        <v>MultiTradingTicketFromBlotter</v>
      </c>
      <c r="AQ4" s="22" t="str">
        <f>IFERROR(__xludf.DUMMYFUNCTION("""COMPUTED_VALUE"""),"VerifyViewAllocationDetails")</f>
        <v>VerifyViewAllocationDetails</v>
      </c>
      <c r="AR4" s="22" t="str">
        <f>IFERROR(__xludf.DUMMYFUNCTION("""COMPUTED_VALUE"""),"GoToAllocation")</f>
        <v>GoToAllocation</v>
      </c>
      <c r="AS4" s="22" t="str">
        <f>IFERROR(__xludf.DUMMYFUNCTION("""COMPUTED_VALUE"""),"VerifyRollover")</f>
        <v>VerifyRollover</v>
      </c>
      <c r="AT4" s="22" t="str">
        <f>IFERROR(__xludf.DUMMYFUNCTION("""COMPUTED_VALUE"""),"VerifySubOrderAfterRollover")</f>
        <v>VerifySubOrderAfterRollover</v>
      </c>
      <c r="AU4" s="22" t="str">
        <f>IFERROR(__xludf.DUMMYFUNCTION("""COMPUTED_VALUE"""),"OpenBlotter")</f>
        <v>OpenBlotter</v>
      </c>
      <c r="AV4" s="22" t="str">
        <f>IFERROR(__xludf.DUMMYFUNCTION("""COMPUTED_VALUE"""),"OpenBlotter")</f>
        <v>OpenBlotter</v>
      </c>
      <c r="AW4" s="22" t="str">
        <f>IFERROR(__xludf.DUMMYFUNCTION("""COMPUTED_VALUE"""),"RemoveManualExecution")</f>
        <v>RemoveManualExecution</v>
      </c>
      <c r="AX4" s="22" t="str">
        <f>IFERROR(__xludf.DUMMYFUNCTION("""COMPUTED_VALUE"""),"RemoveExecutionWorkingSubs")</f>
        <v>RemoveExecutionWorkingSubs</v>
      </c>
      <c r="AY4" s="22" t="str">
        <f>IFERROR(__xludf.DUMMYFUNCTION("""COMPUTED_VALUE"""),"GetExecutionReportOrders")</f>
        <v>GetExecutionReportOrders</v>
      </c>
      <c r="AZ4" s="22" t="str">
        <f>IFERROR(__xludf.DUMMYFUNCTION("""COMPUTED_VALUE"""),"GetExecutionReportDetails")</f>
        <v>GetExecutionReportDetails</v>
      </c>
      <c r="BA4" s="22" t="str">
        <f>IFERROR(__xludf.DUMMYFUNCTION("""COMPUTED_VALUE"""),"ExportExecutionReportData")</f>
        <v>ExportExecutionReportData</v>
      </c>
      <c r="BB4" s="22" t="str">
        <f>IFERROR(__xludf.DUMMYFUNCTION("""COMPUTED_VALUE"""),"VerifyExecutionReport")</f>
        <v>VerifyExecutionReport</v>
      </c>
      <c r="BC4" s="22" t="str">
        <f>IFERROR(__xludf.DUMMYFUNCTION("""COMPUTED_VALUE"""),"BlotterExecutionReportSnapshot")</f>
        <v>BlotterExecutionReportSnapshot</v>
      </c>
      <c r="BD4" s="22" t="str">
        <f>IFERROR(__xludf.DUMMYFUNCTION("""COMPUTED_VALUE"""),"MultipleTradeTransferToUser")</f>
        <v>MultipleTradeTransferToUser</v>
      </c>
      <c r="BE4" s="22" t="str">
        <f>IFERROR(__xludf.DUMMYFUNCTION("""COMPUTED_VALUE"""),"ReloadOrderFromBlotter")</f>
        <v>ReloadOrderFromBlotter</v>
      </c>
      <c r="BF4" s="22" t="str">
        <f>IFERROR(__xludf.DUMMYFUNCTION("""COMPUTED_VALUE"""),"ReloadOrderFromSubOrder")</f>
        <v>ReloadOrderFromSubOrder</v>
      </c>
      <c r="BG4" s="22" t="str">
        <f>IFERROR(__xludf.DUMMYFUNCTION("""COMPUTED_VALUE"""),"ReloadOrderFromWorkingSubs")</f>
        <v>ReloadOrderFromWorkingSubs</v>
      </c>
      <c r="BH4" s="22" t="str">
        <f>IFERROR(__xludf.DUMMYFUNCTION("""COMPUTED_VALUE"""),"SelectFills")</f>
        <v>SelectFills</v>
      </c>
      <c r="BI4" s="22" t="str">
        <f>IFERROR(__xludf.DUMMYFUNCTION("""COMPUTED_VALUE"""),"ModifyFills")</f>
        <v>ModifyFills</v>
      </c>
      <c r="BJ4" s="22" t="str">
        <f>IFERROR(__xludf.DUMMYFUNCTION("""COMPUTED_VALUE"""),"AddTab")</f>
        <v>AddTab</v>
      </c>
      <c r="BK4" s="22" t="str">
        <f>IFERROR(__xludf.DUMMYFUNCTION("""COMPUTED_VALUE"""),"RemoveTab")</f>
        <v>RemoveTab</v>
      </c>
      <c r="BL4" s="22" t="str">
        <f>IFERROR(__xludf.DUMMYFUNCTION("""COMPUTED_VALUE"""),"SelectCustomTab")</f>
        <v>SelectCustomTab</v>
      </c>
      <c r="BM4" s="22" t="str">
        <f>IFERROR(__xludf.DUMMYFUNCTION("""COMPUTED_VALUE"""),"VerifyOrderCustomTab")</f>
        <v>VerifyOrderCustomTab</v>
      </c>
      <c r="BN4" s="22" t="str">
        <f>IFERROR(__xludf.DUMMYFUNCTION("""COMPUTED_VALUE"""),"VerifySubOrderCustomTab")</f>
        <v>VerifySubOrderCustomTab</v>
      </c>
      <c r="BO4" s="22"/>
      <c r="BP4" s="22"/>
      <c r="BQ4" s="22"/>
      <c r="BR4" s="22"/>
      <c r="BS4" s="22"/>
      <c r="BT4" s="22"/>
      <c r="BU4" s="22"/>
      <c r="BV4" s="22"/>
      <c r="BW4" s="22"/>
      <c r="BX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IFERROR(__xludf.DUMMYFUNCTION("""COMPUTED_VALUE"""),"Fill")</f>
        <v>Fill</v>
      </c>
      <c r="C5" s="24" t="str">
        <f>IFERROR(__xludf.DUMMYFUNCTION("""COMPUTED_VALUE"""),"Last Fill Price (Local)")</f>
        <v>Last Fill Price (Local)</v>
      </c>
      <c r="D5" s="24" t="str">
        <f>IFERROR(__xludf.DUMMYFUNCTION("""COMPUTED_VALUE"""),"New")</f>
        <v>New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</row>
    <row r="6" ht="15.75" customHeight="1">
      <c r="A6" s="9"/>
      <c r="B6" s="9">
        <v>1000.0</v>
      </c>
      <c r="C6" s="9">
        <v>4.0</v>
      </c>
      <c r="D6" s="12" t="b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4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2</v>
      </c>
      <c r="D3" s="4" t="s">
        <v>662</v>
      </c>
      <c r="E3" s="13" t="s">
        <v>5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</row>
    <row r="4" ht="15.75" customHeight="1">
      <c r="A4" s="21"/>
      <c r="B4" s="21" t="str">
        <f>IFERROR(__xludf.DUMMYFUNCTION("IF(C3="""","""",Transpose(IMPORTRANGE('_Settings'!$B$3,C3&amp;""!A4:A1000"")))"),"Allocate")</f>
        <v>Allocate</v>
      </c>
      <c r="C4" s="21" t="str">
        <f>IFERROR(__xludf.DUMMYFUNCTION("""COMPUTED_VALUE"""),"CheckAllocatedGroups")</f>
        <v>CheckAllocatedGroups</v>
      </c>
      <c r="D4" s="21" t="str">
        <f>IFERROR(__xludf.DUMMYFUNCTION("""COMPUTED_VALUE"""),"Unallocate")</f>
        <v>Unallocate</v>
      </c>
      <c r="E4" s="21" t="str">
        <f>IFERROR(__xludf.DUMMYFUNCTION("""COMPUTED_VALUE"""),"GetDataAllocation")</f>
        <v>GetDataAllocation</v>
      </c>
      <c r="F4" s="21" t="str">
        <f>IFERROR(__xludf.DUMMYFUNCTION("""COMPUTED_VALUE"""),"SelectAllocatedGroup")</f>
        <v>SelectAllocatedGroup</v>
      </c>
      <c r="G4" s="21" t="str">
        <f>IFERROR(__xludf.DUMMYFUNCTION("""COMPUTED_VALUE"""),"EditTradesAllocated")</f>
        <v>EditTradesAllocated</v>
      </c>
      <c r="H4" s="21" t="str">
        <f>IFERROR(__xludf.DUMMYFUNCTION("""COMPUTED_VALUE"""),"EditTradesUnallocated")</f>
        <v>EditTradesUnallocated</v>
      </c>
      <c r="I4" s="21" t="str">
        <f>IFERROR(__xludf.DUMMYFUNCTION("""COMPUTED_VALUE"""),"Reallocate")</f>
        <v>Reallocate</v>
      </c>
      <c r="J4" s="21" t="str">
        <f>IFERROR(__xludf.DUMMYFUNCTION("""COMPUTED_VALUE"""),"EditUnallocatedGroupSidePanel")</f>
        <v>EditUnallocatedGroupSidePanel</v>
      </c>
      <c r="K4" s="21" t="str">
        <f>IFERROR(__xludf.DUMMYFUNCTION("""COMPUTED_VALUE"""),"TradeAttributeBulkChange")</f>
        <v>TradeAttributeBulkChange</v>
      </c>
      <c r="L4" s="21" t="str">
        <f>IFERROR(__xludf.DUMMYFUNCTION("""COMPUTED_VALUE"""),"ApplyBulkUpdateOnGroups")</f>
        <v>ApplyBulkUpdateOnGroups</v>
      </c>
      <c r="M4" s="21" t="str">
        <f>IFERROR(__xludf.DUMMYFUNCTION("""COMPUTED_VALUE"""),"ApplyPrefetchFilters")</f>
        <v>ApplyPrefetchFilters</v>
      </c>
      <c r="N4" s="21" t="str">
        <f>IFERROR(__xludf.DUMMYFUNCTION("""COMPUTED_VALUE"""),"GeneralPreferencesDefaultRule")</f>
        <v>GeneralPreferencesDefaultRule</v>
      </c>
      <c r="O4" s="21" t="str">
        <f>IFERROR(__xludf.DUMMYFUNCTION("""COMPUTED_VALUE"""),"GeneralPrefCompanyUserWise")</f>
        <v>GeneralPrefCompanyUserWise</v>
      </c>
      <c r="P4" s="22" t="str">
        <f>IFERROR(__xludf.DUMMYFUNCTION("""COMPUTED_VALUE"""),"RenameTradeAttributes")</f>
        <v>RenameTradeAttributes</v>
      </c>
      <c r="Q4" s="22" t="str">
        <f>IFERROR(__xludf.DUMMYFUNCTION("""COMPUTED_VALUE"""),"SetGroupingRules")</f>
        <v>SetGroupingRules</v>
      </c>
      <c r="R4" s="22" t="str">
        <f>IFERROR(__xludf.DUMMYFUNCTION("""COMPUTED_VALUE"""),"SetMasterFundRatio")</f>
        <v>SetMasterFundRatio</v>
      </c>
      <c r="S4" s="22" t="str">
        <f>IFERROR(__xludf.DUMMYFUNCTION("""COMPUTED_VALUE"""),"CheckFixedPreference")</f>
        <v>CheckFixedPreference</v>
      </c>
      <c r="T4" s="22" t="str">
        <f>IFERROR(__xludf.DUMMYFUNCTION("""COMPUTED_VALUE"""),"GetFixedPreference")</f>
        <v>GetFixedPreference</v>
      </c>
      <c r="U4" s="22" t="str">
        <f>IFERROR(__xludf.DUMMYFUNCTION("""COMPUTED_VALUE"""),"AddCalculatedPreferences")</f>
        <v>AddCalculatedPreferences</v>
      </c>
      <c r="V4" s="22" t="str">
        <f>IFERROR(__xludf.DUMMYFUNCTION("""COMPUTED_VALUE"""),"BulkChangeCalculatedPreferences")</f>
        <v>BulkChangeCalculatedPreferences</v>
      </c>
      <c r="W4" s="22" t="str">
        <f>IFERROR(__xludf.DUMMYFUNCTION("""COMPUTED_VALUE"""),"DeleteCalculatedPreferences")</f>
        <v>DeleteCalculatedPreferences</v>
      </c>
      <c r="X4" s="22" t="str">
        <f>IFERROR(__xludf.DUMMYFUNCTION("""COMPUTED_VALUE"""),"RenameCalculatedPreferences")</f>
        <v>RenameCalculatedPreferences</v>
      </c>
      <c r="Y4" s="22" t="str">
        <f>IFERROR(__xludf.DUMMYFUNCTION("""COMPUTED_VALUE"""),"CopyCalculatedPreferences")</f>
        <v>CopyCalculatedPreferences</v>
      </c>
      <c r="Z4" s="22" t="str">
        <f>IFERROR(__xludf.DUMMYFUNCTION("""COMPUTED_VALUE"""),"RunAutoGroup")</f>
        <v>RunAutoGroup</v>
      </c>
      <c r="AA4" s="22" t="str">
        <f>IFERROR(__xludf.DUMMYFUNCTION("""COMPUTED_VALUE"""),"BookOrUpdateSwap")</f>
        <v>BookOrUpdateSwap</v>
      </c>
      <c r="AB4" s="22" t="str">
        <f>IFERROR(__xludf.DUMMYFUNCTION("""COMPUTED_VALUE"""),"RunProrata")</f>
        <v>RunProrata</v>
      </c>
      <c r="AC4" s="22" t="str">
        <f>IFERROR(__xludf.DUMMYFUNCTION("""COMPUTED_VALUE"""),"SetDefaultRuleCalculatedPref")</f>
        <v>SetDefaultRuleCalculatedPref</v>
      </c>
      <c r="AD4" s="22" t="str">
        <f>IFERROR(__xludf.DUMMYFUNCTION("""COMPUTED_VALUE"""),"SetAccountValueCalculatedPref")</f>
        <v>SetAccountValueCalculatedPref</v>
      </c>
      <c r="AE4" s="22" t="str">
        <f>IFERROR(__xludf.DUMMYFUNCTION("""COMPUTED_VALUE"""),"TradeAttributeBulkChangeGroups")</f>
        <v>TradeAttributeBulkChangeGroups</v>
      </c>
      <c r="AF4" s="22" t="str">
        <f>IFERROR(__xludf.DUMMYFUNCTION("""COMPUTED_VALUE"""),"TradeAttributeBulkChangeTaxlots")</f>
        <v>TradeAttributeBulkChangeTaxlots</v>
      </c>
      <c r="AG4" s="22" t="str">
        <f>IFERROR(__xludf.DUMMYFUNCTION("""COMPUTED_VALUE"""),"AddCalculatedPreferenceToolbar")</f>
        <v>AddCalculatedPreferenceToolbar</v>
      </c>
      <c r="AH4" s="22" t="str">
        <f>IFERROR(__xludf.DUMMYFUNCTION("""COMPUTED_VALUE"""),"SetStrategyValueCalculatedPref")</f>
        <v>SetStrategyValueCalculatedPref</v>
      </c>
      <c r="AI4" s="22" t="str">
        <f>IFERROR(__xludf.DUMMYFUNCTION("""COMPUTED_VALUE"""),"ApplyBulkUpdateOnTaxlots")</f>
        <v>ApplyBulkUpdateOnTaxlots</v>
      </c>
      <c r="AJ4" s="22" t="str">
        <f>IFERROR(__xludf.DUMMYFUNCTION("""COMPUTED_VALUE"""),"CommissionBulkChangeOnGroups")</f>
        <v>CommissionBulkChangeOnGroups</v>
      </c>
      <c r="AK4" s="22" t="str">
        <f>IFERROR(__xludf.DUMMYFUNCTION("""COMPUTED_VALUE"""),"CommissionBulkChangeOnTaxlots")</f>
        <v>CommissionBulkChangeOnTaxlots</v>
      </c>
      <c r="AL4" s="22" t="str">
        <f>IFERROR(__xludf.DUMMYFUNCTION("""COMPUTED_VALUE"""),"SelectUnallocatedGroup")</f>
        <v>SelectUnallocatedGroup</v>
      </c>
      <c r="AM4" s="22" t="str">
        <f>IFERROR(__xludf.DUMMYFUNCTION("""COMPUTED_VALUE"""),"EnterAccountValuesToAllocate")</f>
        <v>EnterAccountValuesToAllocate</v>
      </c>
      <c r="AN4" s="22" t="str">
        <f>IFERROR(__xludf.DUMMYFUNCTION("""COMPUTED_VALUE"""),"EnterAllocatePreference")</f>
        <v>EnterAllocatePreference</v>
      </c>
      <c r="AO4" s="22" t="str">
        <f>IFERROR(__xludf.DUMMYFUNCTION("""COMPUTED_VALUE"""),"EnterStrategyValuesToAllocate")</f>
        <v>EnterStrategyValuesToAllocate</v>
      </c>
      <c r="AP4" s="22" t="str">
        <f>IFERROR(__xludf.DUMMYFUNCTION("""COMPUTED_VALUE"""),"CopyCalculatedPreferenceToolbar")</f>
        <v>CopyCalculatedPreferenceToolbar</v>
      </c>
      <c r="AQ4" s="22" t="str">
        <f>IFERROR(__xludf.DUMMYFUNCTION("""COMPUTED_VALUE"""),"SetGeneralRuleCalculatedPref")</f>
        <v>SetGeneralRuleCalculatedPref</v>
      </c>
      <c r="AR4" s="22" t="str">
        <f>IFERROR(__xludf.DUMMYFUNCTION("""COMPUTED_VALUE"""),"ExportAllCalculatedPreferences")</f>
        <v>ExportAllCalculatedPreferences</v>
      </c>
      <c r="AS4" s="22" t="str">
        <f>IFERROR(__xludf.DUMMYFUNCTION("""COMPUTED_VALUE"""),"SaveCalculatedPreferences")</f>
        <v>SaveCalculatedPreferences</v>
      </c>
      <c r="AT4" s="22" t="str">
        <f>IFERROR(__xludf.DUMMYFUNCTION("""COMPUTED_VALUE"""),"CloseCalculatedPreferences")</f>
        <v>CloseCalculatedPreferences</v>
      </c>
      <c r="AU4" s="22" t="str">
        <f>IFERROR(__xludf.DUMMYFUNCTION("""COMPUTED_VALUE"""),"ExportCalculatedPreference")</f>
        <v>ExportCalculatedPreference</v>
      </c>
      <c r="AV4" s="22" t="str">
        <f>IFERROR(__xludf.DUMMYFUNCTION("""COMPUTED_VALUE"""),"ImportCalculatedPreferences")</f>
        <v>ImportCalculatedPreferences</v>
      </c>
      <c r="AW4" s="22" t="str">
        <f>IFERROR(__xludf.DUMMYFUNCTION("""COMPUTED_VALUE"""),"OpenAuditTrailUnallocatedGroup")</f>
        <v>OpenAuditTrailUnallocatedGroup</v>
      </c>
      <c r="AX4" s="22" t="str">
        <f>IFERROR(__xludf.DUMMYFUNCTION("""COMPUTED_VALUE"""),"DeleteCalculatedPreferencesTool")</f>
        <v>DeleteCalculatedPreferencesTool</v>
      </c>
      <c r="AY4" s="22" t="str">
        <f>IFERROR(__xludf.DUMMYFUNCTION("""COMPUTED_VALUE"""),"ImportCalculatedPreferencesTool")</f>
        <v>ImportCalculatedPreferencesTool</v>
      </c>
      <c r="AZ4" s="22" t="str">
        <f>IFERROR(__xludf.DUMMYFUNCTION("""COMPUTED_VALUE"""),"ExportAllCalculatedPreferTool")</f>
        <v>ExportAllCalculatedPreferTool</v>
      </c>
      <c r="BA4" s="22" t="str">
        <f>IFERROR(__xludf.DUMMYFUNCTION("""COMPUTED_VALUE"""),"OpenAuditTrailAllocatedGroup")</f>
        <v>OpenAuditTrailAllocatedGroup</v>
      </c>
      <c r="BB4" s="22" t="str">
        <f>IFERROR(__xludf.DUMMYFUNCTION("""COMPUTED_VALUE"""),"OpenSymbolLookupUnallocateGroup")</f>
        <v>OpenSymbolLookupUnallocateGroup</v>
      </c>
      <c r="BC4" s="22" t="str">
        <f>IFERROR(__xludf.DUMMYFUNCTION("""COMPUTED_VALUE"""),"OpenSymbolLookupAllocatedGroup")</f>
        <v>OpenSymbolLookupAllocatedGroup</v>
      </c>
      <c r="BD4" s="22" t="str">
        <f>IFERROR(__xludf.DUMMYFUNCTION("""COMPUTED_VALUE"""),"DeleteFixedPreference")</f>
        <v>DeleteFixedPreference</v>
      </c>
      <c r="BE4" s="22" t="str">
        <f>IFERROR(__xludf.DUMMYFUNCTION("""COMPUTED_VALUE"""),"EditAllocatedGroupSidePanel")</f>
        <v>EditAllocatedGroupSidePanel</v>
      </c>
      <c r="BF4" s="22" t="str">
        <f>IFERROR(__xludf.DUMMYFUNCTION("""COMPUTED_VALUE"""),"CheckUnallocatedGroups")</f>
        <v>CheckUnallocatedGroups</v>
      </c>
      <c r="BG4" s="22" t="str">
        <f>IFERROR(__xludf.DUMMYFUNCTION("""COMPUTED_VALUE"""),"SetGeneralPreferences")</f>
        <v>SetGeneralPreferences</v>
      </c>
      <c r="BH4" s="22" t="str">
        <f>IFERROR(__xludf.DUMMYFUNCTION("""COMPUTED_VALUE"""),"GroupTrades")</f>
        <v>GroupTrades</v>
      </c>
      <c r="BI4" s="22" t="str">
        <f>IFERROR(__xludf.DUMMYFUNCTION("""COMPUTED_VALUE"""),"UngroupTrades")</f>
        <v>UngroupTrades</v>
      </c>
      <c r="BJ4" s="22" t="str">
        <f>IFERROR(__xludf.DUMMYFUNCTION("""COMPUTED_VALUE"""),"DeleteGroup")</f>
        <v>DeleteGroup</v>
      </c>
      <c r="BK4" s="22" t="str">
        <f>IFERROR(__xludf.DUMMYFUNCTION("""COMPUTED_VALUE"""),"CloseOrder")</f>
        <v>CloseOrder</v>
      </c>
      <c r="BL4" s="22" t="str">
        <f>IFERROR(__xludf.DUMMYFUNCTION("""COMPUTED_VALUE"""),"Unallocate")</f>
        <v>Unallocate</v>
      </c>
      <c r="BM4" s="22" t="str">
        <f>IFERROR(__xludf.DUMMYFUNCTION("""COMPUTED_VALUE"""),"CloseAllocation")</f>
        <v>CloseAllocation</v>
      </c>
      <c r="BN4" s="22" t="str">
        <f>IFERROR(__xludf.DUMMYFUNCTION("""COMPUTED_VALUE"""),"UpdateGRAccountValue")</f>
        <v>UpdateGRAccountValue</v>
      </c>
      <c r="BO4" s="22" t="str">
        <f>IFERROR(__xludf.DUMMYFUNCTION("""COMPUTED_VALUE"""),"UpdateGRStrategyValue")</f>
        <v>UpdateGRStrategyValue</v>
      </c>
      <c r="BP4" s="22" t="str">
        <f>IFERROR(__xludf.DUMMYFUNCTION("""COMPUTED_VALUE"""),"UpdateGRDefaultRule")</f>
        <v>UpdateGRDefaultRule</v>
      </c>
      <c r="BQ4" s="22" t="str">
        <f>IFERROR(__xludf.DUMMYFUNCTION("""COMPUTED_VALUE"""),"UpdateGeneralRulePref")</f>
        <v>UpdateGeneralRulePref</v>
      </c>
      <c r="BR4" s="22" t="str">
        <f>IFERROR(__xludf.DUMMYFUNCTION("""COMPUTED_VALUE"""),"ModifyGRPreferenceValues")</f>
        <v>ModifyGRPreferenceValues</v>
      </c>
      <c r="BS4" s="22" t="str">
        <f>IFERROR(__xludf.DUMMYFUNCTION("""COMPUTED_VALUE"""),"AddMFPreferences")</f>
        <v>AddMFPreferences</v>
      </c>
      <c r="BT4" s="22" t="str">
        <f>IFERROR(__xludf.DUMMYFUNCTION("""COMPUTED_VALUE"""),"AddMFPreferenceToolbar")</f>
        <v>AddMFPreferenceToolbar</v>
      </c>
      <c r="BU4" s="22" t="str">
        <f>IFERROR(__xludf.DUMMYFUNCTION("""COMPUTED_VALUE"""),"DeleteMFPreferences")</f>
        <v>DeleteMFPreferences</v>
      </c>
      <c r="BV4" s="22" t="str">
        <f>IFERROR(__xludf.DUMMYFUNCTION("""COMPUTED_VALUE"""),"DeleteMFPreferenceToolbar")</f>
        <v>DeleteMFPreferenceToolbar</v>
      </c>
      <c r="BW4" s="22" t="str">
        <f>IFERROR(__xludf.DUMMYFUNCTION("""COMPUTED_VALUE"""),"RenameMFPreferences")</f>
        <v>RenameMFPreferences</v>
      </c>
      <c r="BX4" s="22" t="str">
        <f>IFERROR(__xludf.DUMMYFUNCTION("""COMPUTED_VALUE"""),"SaveCloseMFPreference")</f>
        <v>SaveCloseMFPreference</v>
      </c>
      <c r="BY4" s="22" t="str">
        <f>IFERROR(__xludf.DUMMYFUNCTION("""COMPUTED_VALUE"""),"SetMFPrefAccountValues")</f>
        <v>SetMFPrefAccountValues</v>
      </c>
      <c r="BZ4" s="22" t="str">
        <f>IFERROR(__xludf.DUMMYFUNCTION("""COMPUTED_VALUE"""),"ModifyMFPrefGeneralRuleValues")</f>
        <v>ModifyMFPrefGeneralRuleValues</v>
      </c>
      <c r="CA4" s="22" t="str">
        <f>IFERROR(__xludf.DUMMYFUNCTION("""COMPUTED_VALUE"""),"SetMFPrefStrategyValues")</f>
        <v>SetMFPrefStrategyValues</v>
      </c>
      <c r="CB4" s="22" t="str">
        <f>IFERROR(__xludf.DUMMYFUNCTION("""COMPUTED_VALUE"""),"SetMFPrefGeneralRule")</f>
        <v>SetMFPrefGeneralRule</v>
      </c>
      <c r="CC4" s="22" t="str">
        <f>IFERROR(__xludf.DUMMYFUNCTION("""COMPUTED_VALUE"""),"SetMFPrefFundDistribution")</f>
        <v>SetMFPrefFundDistribution</v>
      </c>
      <c r="CD4" s="22" t="str">
        <f>IFERROR(__xludf.DUMMYFUNCTION("""COMPUTED_VALUE"""),"SetMFPreferencesDefaultRule")</f>
        <v>SetMFPreferencesDefaultRule</v>
      </c>
      <c r="CE4" s="22" t="str">
        <f>IFERROR(__xludf.DUMMYFUNCTION("""COMPUTED_VALUE"""),"SetMFPrefFundDefaultRule")</f>
        <v>SetMFPrefFundDefaultRule</v>
      </c>
      <c r="CF4" s="22" t="str">
        <f>IFERROR(__xludf.DUMMYFUNCTION("""COMPUTED_VALUE"""),"ClearPrefetchFilters")</f>
        <v>ClearPrefetchFilters</v>
      </c>
      <c r="CG4" s="22" t="str">
        <f>IFERROR(__xludf.DUMMYFUNCTION("""COMPUTED_VALUE"""),"ExpandCollapseAllUnallocated")</f>
        <v>ExpandCollapseAllUnallocated</v>
      </c>
      <c r="CH4" s="22" t="str">
        <f>IFERROR(__xludf.DUMMYFUNCTION("""COMPUTED_VALUE"""),"ExpandCollapseAllAllocated")</f>
        <v>ExpandCollapseAllAllocated</v>
      </c>
      <c r="CI4" s="22" t="str">
        <f>IFERROR(__xludf.DUMMYFUNCTION("""COMPUTED_VALUE"""),"GenerateCashTransaction")</f>
        <v>GenerateCashTransaction</v>
      </c>
      <c r="CJ4" s="22" t="str">
        <f>IFERROR(__xludf.DUMMYFUNCTION("""COMPUTED_VALUE"""),"SaveAllocation")</f>
        <v>SaveAllocation</v>
      </c>
      <c r="CK4" s="22" t="str">
        <f>IFERROR(__xludf.DUMMYFUNCTION("""COMPUTED_VALUE"""),"UnallocateWithOutSave")</f>
        <v>UnallocateWithOutSave</v>
      </c>
      <c r="CL4" s="22" t="str">
        <f>IFERROR(__xludf.DUMMYFUNCTION("""COMPUTED_VALUE"""),"EditUnallocatedGrid")</f>
        <v>EditUnallocatedGrid</v>
      </c>
      <c r="CM4" s="22" t="str">
        <f>IFERROR(__xludf.DUMMYFUNCTION("""COMPUTED_VALUE"""),"EditAllocatedGrid")</f>
        <v>EditAllocatedGrid</v>
      </c>
      <c r="CN4" s="22" t="str">
        <f>IFERROR(__xludf.DUMMYFUNCTION("""COMPUTED_VALUE"""),"SaveLayoutAllocatedGrid")</f>
        <v>SaveLayoutAllocatedGrid</v>
      </c>
      <c r="CO4" s="22" t="str">
        <f>IFERROR(__xludf.DUMMYFUNCTION("""COMPUTED_VALUE"""),"SaveLayoutUnallocatedGrid")</f>
        <v>SaveLayoutUnallocatedGrid</v>
      </c>
      <c r="CP4" s="22" t="str">
        <f>IFERROR(__xludf.DUMMYFUNCTION("""COMPUTED_VALUE"""),"SaveLayoutAllocationUI")</f>
        <v>SaveLayoutAllocationUI</v>
      </c>
      <c r="CQ4" s="22" t="str">
        <f>IFERROR(__xludf.DUMMYFUNCTION("""COMPUTED_VALUE"""),"ClearFiltersAllocatedGrid")</f>
        <v>ClearFiltersAllocatedGrid</v>
      </c>
      <c r="CR4" s="22" t="str">
        <f>IFERROR(__xludf.DUMMYFUNCTION("""COMPUTED_VALUE"""),"ClearFiltersUnallocatedGrid")</f>
        <v>ClearFiltersUnallocatedGrid</v>
      </c>
      <c r="CS4" s="22" t="str">
        <f>IFERROR(__xludf.DUMMYFUNCTION("""COMPUTED_VALUE"""),"VerifyLayoutAllocatedGrid")</f>
        <v>VerifyLayoutAllocatedGrid</v>
      </c>
      <c r="CT4" s="22" t="str">
        <f>IFERROR(__xludf.DUMMYFUNCTION("""COMPUTED_VALUE"""),"VerifyLayoutUnallocatedGrid")</f>
        <v>VerifyLayoutUnallocatedGrid</v>
      </c>
      <c r="CU4" s="22" t="str">
        <f>IFERROR(__xludf.DUMMYFUNCTION("""COMPUTED_VALUE"""),"CleanUp")</f>
        <v>CleanUp</v>
      </c>
      <c r="CV4" s="22" t="str">
        <f>IFERROR(__xludf.DUMMYFUNCTION("""COMPUTED_VALUE"""),"CheckAllocatedTaxlots")</f>
        <v>CheckAllocatedTaxlots</v>
      </c>
      <c r="CW4" s="22" t="str">
        <f>IFERROR(__xludf.DUMMYFUNCTION("""COMPUTED_VALUE"""),"CopyCalculatedPreferenceToolbar")</f>
        <v>CopyCalculatedPreferenceToolbar</v>
      </c>
      <c r="CX4" s="22" t="str">
        <f>IFERROR(__xludf.DUMMYFUNCTION("""COMPUTED_VALUE"""),"CloseOrder")</f>
        <v>CloseOrder</v>
      </c>
      <c r="CY4" s="22" t="str">
        <f>IFERROR(__xludf.DUMMYFUNCTION("""COMPUTED_VALUE"""),"DisableChecksideForAsset")</f>
        <v>DisableChecksideForAsset</v>
      </c>
      <c r="CZ4" s="22" t="str">
        <f>IFERROR(__xludf.DUMMYFUNCTION("""COMPUTED_VALUE"""),"DisableChecksideForAccount")</f>
        <v>DisableChecksideForAccount</v>
      </c>
      <c r="DA4" s="22" t="str">
        <f>IFERROR(__xludf.DUMMYFUNCTION("""COMPUTED_VALUE"""),"DisableChecksideForCounterParty")</f>
        <v>DisableChecksideForCounterParty</v>
      </c>
      <c r="DB4" s="22" t="str">
        <f>IFERROR(__xludf.DUMMYFUNCTION("""COMPUTED_VALUE"""),"DisableCheckside")</f>
        <v>DisableCheckside</v>
      </c>
      <c r="DC4" s="22" t="str">
        <f>IFERROR(__xludf.DUMMYFUNCTION("""COMPUTED_VALUE"""),"ApplyMasterFundFilter")</f>
        <v>ApplyMasterFundFilter</v>
      </c>
      <c r="DD4" s="22" t="str">
        <f>IFERROR(__xludf.DUMMYFUNCTION("""COMPUTED_VALUE"""),"ShowMasterFundOnTT")</f>
        <v>ShowMasterFundOnTT</v>
      </c>
      <c r="DE4" s="22" t="str">
        <f>IFERROR(__xludf.DUMMYFUNCTION("""COMPUTED_VALUE"""),"ShowMasterFundAsClient")</f>
        <v>ShowMasterFundAsClient</v>
      </c>
      <c r="DF4" s="22" t="str">
        <f>IFERROR(__xludf.DUMMYFUNCTION("""COMPUTED_VALUE"""),"SetBrokerAccountMapping")</f>
        <v>SetBrokerAccountMapping</v>
      </c>
      <c r="DG4" s="22" t="str">
        <f>IFERROR(__xludf.DUMMYFUNCTION("""COMPUTED_VALUE"""),"EditUnallocatedGridWPF")</f>
        <v>EditUnallocatedGridWPF</v>
      </c>
      <c r="DH4" s="22" t="str">
        <f>IFERROR(__xludf.DUMMYFUNCTION("""COMPUTED_VALUE"""),"EditAllocatedGridWPF")</f>
        <v>EditAllocatedGridWPF</v>
      </c>
      <c r="DI4" s="22" t="str">
        <f>IFERROR(__xludf.DUMMYFUNCTION("""COMPUTED_VALUE"""),"EditAllocatedGridTaxlot")</f>
        <v>EditAllocatedGridTaxlot</v>
      </c>
      <c r="DJ4" s="22" t="str">
        <f>IFERROR(__xludf.DUMMYFUNCTION("""COMPUTED_VALUE"""),"ExpandCollapseAllocatedGrid")</f>
        <v>ExpandCollapseAllocatedGrid</v>
      </c>
      <c r="DK4" s="22" t="str">
        <f>IFERROR(__xludf.DUMMYFUNCTION("""COMPUTED_VALUE"""),"ExpandCollapseUnallocatedGrid")</f>
        <v>ExpandCollapseUnallocatedGrid</v>
      </c>
      <c r="DL4" s="22" t="str">
        <f>IFERROR(__xludf.DUMMYFUNCTION("""COMPUTED_VALUE"""),"SetTradeAttributePreferences")</f>
        <v>SetTradeAttributePreferences</v>
      </c>
      <c r="DM4" s="22" t="str">
        <f>IFERROR(__xludf.DUMMYFUNCTION("""COMPUTED_VALUE"""),"EnterCustomAllocatePreference")</f>
        <v>EnterCustomAllocatePreference</v>
      </c>
      <c r="DN4" s="22" t="str">
        <f>IFERROR(__xludf.DUMMYFUNCTION("""COMPUTED_VALUE"""),"SetAutoGroupingPreferences")</f>
        <v>SetAutoGroupingPreferences</v>
      </c>
      <c r="DO4" s="22" t="str">
        <f>IFERROR(__xludf.DUMMYFUNCTION("""COMPUTED_VALUE"""),"SetAutoGroupingAccount")</f>
        <v>SetAutoGroupingAccount</v>
      </c>
      <c r="DP4" s="22" t="str">
        <f>IFERROR(__xludf.DUMMYFUNCTION("""COMPUTED_VALUE"""),"SetAvgPriceRounding")</f>
        <v>SetAvgPriceRounding</v>
      </c>
      <c r="DQ4" s="22" t="str">
        <f>IFERROR(__xludf.DUMMYFUNCTION("""COMPUTED_VALUE"""),"IsAllocationOpen")</f>
        <v>IsAllocationOpen</v>
      </c>
      <c r="DR4" s="22" t="str">
        <f>IFERROR(__xludf.DUMMYFUNCTION("""COMPUTED_VALUE"""),"AllocationAuditTrail")</f>
        <v>AllocationAuditTrail</v>
      </c>
      <c r="DS4" s="22" t="str">
        <f>IFERROR(__xludf.DUMMYFUNCTION("""COMPUTED_VALUE"""),"GetAuditTrailData")</f>
        <v>GetAuditTrailData</v>
      </c>
      <c r="DT4" s="22" t="str">
        <f>IFERROR(__xludf.DUMMYFUNCTION("""COMPUTED_VALUE"""),"CheckAuditTrailData")</f>
        <v>CheckAuditTrailData</v>
      </c>
      <c r="DU4" s="22"/>
      <c r="DV4" s="22"/>
      <c r="DW4" s="22"/>
      <c r="DX4" s="22"/>
      <c r="DY4" s="22"/>
      <c r="DZ4" s="22"/>
      <c r="EA4" s="22"/>
      <c r="EB4" s="22"/>
      <c r="EC4" s="22"/>
      <c r="ED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IFERROR(__xludf.DUMMYFUNCTION("""COMPUTED_VALUE"""),"Account Name")</f>
        <v>Account Name</v>
      </c>
      <c r="C5" s="24" t="str">
        <f>IFERROR(__xludf.DUMMYFUNCTION("""COMPUTED_VALUE"""),"Accrual Basis")</f>
        <v>Accrual Basis</v>
      </c>
      <c r="D5" s="24" t="str">
        <f>IFERROR(__xludf.DUMMYFUNCTION("""COMPUTED_VALUE"""),"Accrued Interest")</f>
        <v>Accrued Interest</v>
      </c>
      <c r="E5" s="24" t="str">
        <f>IFERROR(__xludf.DUMMYFUNCTION("""COMPUTED_VALUE"""),"Allocated Qty")</f>
        <v>Allocated Qty</v>
      </c>
      <c r="F5" s="24" t="str">
        <f>IFERROR(__xludf.DUMMYFUNCTION("""COMPUTED_VALUE"""),"Allocation Scheme Name")</f>
        <v>Allocation Scheme Name</v>
      </c>
      <c r="G5" s="24" t="str">
        <f>IFERROR(__xludf.DUMMYFUNCTION("""COMPUTED_VALUE"""),"Asset Category")</f>
        <v>Asset Category</v>
      </c>
      <c r="H5" s="24" t="str">
        <f>IFERROR(__xludf.DUMMYFUNCTION("""COMPUTED_VALUE"""),"AUEC Fee1")</f>
        <v>AUEC Fee1</v>
      </c>
      <c r="I5" s="24" t="str">
        <f>IFERROR(__xludf.DUMMYFUNCTION("""COMPUTED_VALUE"""),"AUEC Fee2")</f>
        <v>AUEC Fee2</v>
      </c>
      <c r="J5" s="24" t="str">
        <f>IFERROR(__xludf.DUMMYFUNCTION("""COMPUTED_VALUE"""),"AUECID")</f>
        <v>AUECID</v>
      </c>
      <c r="K5" s="24" t="str">
        <f>IFERROR(__xludf.DUMMYFUNCTION("""COMPUTED_VALUE"""),"Avg Price(Base)")</f>
        <v>Avg Price(Base)</v>
      </c>
      <c r="L5" s="24" t="str">
        <f>IFERROR(__xludf.DUMMYFUNCTION("""COMPUTED_VALUE"""),"Avg Price(Local)")</f>
        <v>Avg Price(Local)</v>
      </c>
      <c r="M5" s="24" t="str">
        <f>IFERROR(__xludf.DUMMYFUNCTION("""COMPUTED_VALUE"""),"Bloomberg")</f>
        <v>Bloomberg</v>
      </c>
      <c r="N5" s="24" t="str">
        <f>IFERROR(__xludf.DUMMYFUNCTION("""COMPUTED_VALUE"""),"Bond Type")</f>
        <v>Bond Type</v>
      </c>
      <c r="O5" s="24" t="str">
        <f>IFERROR(__xludf.DUMMYFUNCTION("""COMPUTED_VALUE"""),"Broker")</f>
        <v>Broker</v>
      </c>
      <c r="P5" s="24" t="str">
        <f>IFERROR(__xludf.DUMMYFUNCTION("""COMPUTED_VALUE"""),"Change Comment")</f>
        <v>Change Comment</v>
      </c>
      <c r="Q5" s="24" t="str">
        <f>IFERROR(__xludf.DUMMYFUNCTION("""COMPUTED_VALUE"""),"Change Type")</f>
        <v>Change Type</v>
      </c>
      <c r="R5" s="24" t="str">
        <f>IFERROR(__xludf.DUMMYFUNCTION("""COMPUTED_VALUE"""),"Clearing Broker Fee")</f>
        <v>Clearing Broker Fee</v>
      </c>
      <c r="S5" s="24" t="str">
        <f>IFERROR(__xludf.DUMMYFUNCTION("""COMPUTED_VALUE"""),"Closing Status")</f>
        <v>Closing Status</v>
      </c>
      <c r="T5" s="25" t="str">
        <f>IFERROR(__xludf.DUMMYFUNCTION("""COMPUTED_VALUE"""),"Commission")</f>
        <v>Commission</v>
      </c>
      <c r="U5" s="25" t="str">
        <f>IFERROR(__xludf.DUMMYFUNCTION("""COMPUTED_VALUE"""),"Commission Per Share")</f>
        <v>Commission Per Share</v>
      </c>
      <c r="V5" s="25" t="str">
        <f>IFERROR(__xludf.DUMMYFUNCTION("""COMPUTED_VALUE"""),"Company")</f>
        <v>Company</v>
      </c>
      <c r="W5" s="25" t="str">
        <f>IFERROR(__xludf.DUMMYFUNCTION("""COMPUTED_VALUE"""),"Contract Multiplier")</f>
        <v>Contract Multiplier</v>
      </c>
      <c r="X5" s="25" t="str">
        <f>IFERROR(__xludf.DUMMYFUNCTION("""COMPUTED_VALUE"""),"Coupon Rate")</f>
        <v>Coupon Rate</v>
      </c>
      <c r="Y5" s="25" t="str">
        <f>IFERROR(__xludf.DUMMYFUNCTION("""COMPUTED_VALUE"""),"Cum Qty For Sub Order")</f>
        <v>Cum Qty For Sub Order</v>
      </c>
      <c r="Z5" s="25" t="str">
        <f>IFERROR(__xludf.DUMMYFUNCTION("""COMPUTED_VALUE"""),"Currency")</f>
        <v>Currency</v>
      </c>
      <c r="AA5" s="25" t="str">
        <f>IFERROR(__xludf.DUMMYFUNCTION("""COMPUTED_VALUE"""),"Cusip Symbol")</f>
        <v>Cusip Symbol</v>
      </c>
      <c r="AB5" s="25" t="str">
        <f>IFERROR(__xludf.DUMMYFUNCTION("""COMPUTED_VALUE"""),"Delta")</f>
        <v>Delta</v>
      </c>
      <c r="AC5" s="25" t="str">
        <f>IFERROR(__xludf.DUMMYFUNCTION("""COMPUTED_VALUE"""),"Description")</f>
        <v>Description</v>
      </c>
      <c r="AD5" s="25" t="str">
        <f>IFERROR(__xludf.DUMMYFUNCTION("""COMPUTED_VALUE"""),"Exchange")</f>
        <v>Exchange</v>
      </c>
      <c r="AE5" s="25" t="str">
        <f>IFERROR(__xludf.DUMMYFUNCTION("""COMPUTED_VALUE"""),"Executed Qty")</f>
        <v>Executed Qty</v>
      </c>
      <c r="AF5" s="25" t="str">
        <f>IFERROR(__xludf.DUMMYFUNCTION("""COMPUTED_VALUE"""),"Exceution Time")</f>
        <v>Exceution Time</v>
      </c>
      <c r="AG5" s="25" t="str">
        <f>IFERROR(__xludf.DUMMYFUNCTION("""COMPUTED_VALUE"""),"Expiration Date")</f>
        <v>Expiration Date</v>
      </c>
      <c r="AH5" s="25" t="str">
        <f>IFERROR(__xludf.DUMMYFUNCTION("""COMPUTED_VALUE"""),"FX Conversion Operator")</f>
        <v>FX Conversion Operator</v>
      </c>
      <c r="AI5" s="25" t="str">
        <f>IFERROR(__xludf.DUMMYFUNCTION("""COMPUTED_VALUE"""),"FX Rate")</f>
        <v>FX Rate</v>
      </c>
      <c r="AJ5" s="25" t="str">
        <f>IFERROR(__xludf.DUMMYFUNCTION("""COMPUTED_VALUE"""),"Group Status")</f>
        <v>Group Status</v>
      </c>
      <c r="AK5" s="25" t="str">
        <f>IFERROR(__xludf.DUMMYFUNCTION("""COMPUTED_VALUE"""),"IDCOSymbol")</f>
        <v>IDCOSymbol</v>
      </c>
      <c r="AL5" s="25" t="str">
        <f>IFERROR(__xludf.DUMMYFUNCTION("""COMPUTED_VALUE"""),"Import File Name")</f>
        <v>Import File Name</v>
      </c>
      <c r="AM5" s="25" t="str">
        <f>IFERROR(__xludf.DUMMYFUNCTION("""COMPUTED_VALUE"""),"Internal Comments")</f>
        <v>Internal Comments</v>
      </c>
      <c r="AN5" s="25" t="str">
        <f>IFERROR(__xludf.DUMMYFUNCTION("""COMPUTED_VALUE"""),"IsAnotherTaxlotAttributesUpdated")</f>
        <v>IsAnotherTaxlotAttributesUpdated</v>
      </c>
      <c r="AO5" s="25" t="str">
        <f>IFERROR(__xludf.DUMMYFUNCTION("""COMPUTED_VALUE"""),"ISIN")</f>
        <v>ISIN</v>
      </c>
      <c r="AP5" s="25" t="str">
        <f>IFERROR(__xludf.DUMMYFUNCTION("""COMPUTED_VALUE"""),"IsManual Group")</f>
        <v>IsManual Group</v>
      </c>
      <c r="AQ5" s="25" t="str">
        <f>IFERROR(__xludf.DUMMYFUNCTION("""COMPUTED_VALUE"""),"ISNDF")</f>
        <v>ISNDF</v>
      </c>
      <c r="AR5" s="25" t="str">
        <f>IFERROR(__xludf.DUMMYFUNCTION("""COMPUTED_VALUE"""),"IsPreAllocated")</f>
        <v>IsPreAllocated</v>
      </c>
      <c r="AS5" s="25" t="str">
        <f>IFERROR(__xludf.DUMMYFUNCTION("""COMPUTED_VALUE"""),"M2MProfitLoss")</f>
        <v>M2MProfitLoss</v>
      </c>
      <c r="AT5" s="25" t="str">
        <f>IFERROR(__xludf.DUMMYFUNCTION("""COMPUTED_VALUE"""),"Net Amount( Base)")</f>
        <v>Net Amount( Base)</v>
      </c>
      <c r="AU5" s="25" t="str">
        <f>IFERROR(__xludf.DUMMYFUNCTION("""COMPUTED_VALUE"""),"Net Amount( Local)")</f>
        <v>Net Amount( Local)</v>
      </c>
      <c r="AV5" s="25" t="str">
        <f>IFERROR(__xludf.DUMMYFUNCTION("""COMPUTED_VALUE"""),"Nirvana Process Date")</f>
        <v>Nirvana Process Date</v>
      </c>
      <c r="AW5" s="25" t="str">
        <f>IFERROR(__xludf.DUMMYFUNCTION("""COMPUTED_VALUE"""),"OCC Fee")</f>
        <v>OCC Fee</v>
      </c>
      <c r="AX5" s="25" t="str">
        <f>IFERROR(__xludf.DUMMYFUNCTION("""COMPUTED_VALUE"""),"Option Premium Adjustment")</f>
        <v>Option Premium Adjustment</v>
      </c>
      <c r="AY5" s="25" t="str">
        <f>IFERROR(__xludf.DUMMYFUNCTION("""COMPUTED_VALUE"""),"Order Type")</f>
        <v>Order Type</v>
      </c>
      <c r="AZ5" s="25" t="str">
        <f>IFERROR(__xludf.DUMMYFUNCTION("""COMPUTED_VALUE"""),"ORF Fee")</f>
        <v>ORF Fee</v>
      </c>
      <c r="BA5" s="25" t="str">
        <f>IFERROR(__xludf.DUMMYFUNCTION("""COMPUTED_VALUE"""),"Original Purchase Date")</f>
        <v>Original Purchase Date</v>
      </c>
      <c r="BB5" s="25" t="str">
        <f>IFERROR(__xludf.DUMMYFUNCTION("""COMPUTED_VALUE"""),"OSISSymbol")</f>
        <v>OSISSymbol</v>
      </c>
      <c r="BC5" s="25" t="str">
        <f>IFERROR(__xludf.DUMMYFUNCTION("""COMPUTED_VALUE"""),"Other Broker Fees")</f>
        <v>Other Broker Fees</v>
      </c>
      <c r="BD5" s="25" t="str">
        <f>IFERROR(__xludf.DUMMYFUNCTION("""COMPUTED_VALUE"""),"Prana Msg Type")</f>
        <v>Prana Msg Type</v>
      </c>
      <c r="BE5" s="25" t="str">
        <f>IFERROR(__xludf.DUMMYFUNCTION("""COMPUTED_VALUE"""),"Principal Amount( Base)")</f>
        <v>Principal Amount( Base)</v>
      </c>
      <c r="BF5" s="25" t="str">
        <f>IFERROR(__xludf.DUMMYFUNCTION("""COMPUTED_VALUE"""),"Principal Amount( Local)")</f>
        <v>Principal Amount( Local)</v>
      </c>
      <c r="BG5" s="25" t="str">
        <f>IFERROR(__xludf.DUMMYFUNCTION("""COMPUTED_VALUE"""),"Process Date")</f>
        <v>Process Date</v>
      </c>
      <c r="BH5" s="25" t="str">
        <f>IFERROR(__xludf.DUMMYFUNCTION("""COMPUTED_VALUE"""),"Proxy Symbol")</f>
        <v>Proxy Symbol</v>
      </c>
      <c r="BI5" s="25" t="str">
        <f>IFERROR(__xludf.DUMMYFUNCTION("""COMPUTED_VALUE"""),"Put Or Call")</f>
        <v>Put Or Call</v>
      </c>
      <c r="BJ5" s="25" t="str">
        <f>IFERROR(__xludf.DUMMYFUNCTION("""COMPUTED_VALUE"""),"Quantity")</f>
        <v>Quantity</v>
      </c>
      <c r="BK5" s="25" t="str">
        <f>IFERROR(__xludf.DUMMYFUNCTION("""COMPUTED_VALUE"""),"SEC Fee")</f>
        <v>SEC Fee</v>
      </c>
      <c r="BL5" s="25" t="str">
        <f>IFERROR(__xludf.DUMMYFUNCTION("""COMPUTED_VALUE"""),"Sedol Symbol")</f>
        <v>Sedol Symbol</v>
      </c>
      <c r="BM5" s="25" t="str">
        <f>IFERROR(__xludf.DUMMYFUNCTION("""COMPUTED_VALUE"""),"Settlement Currency")</f>
        <v>Settlement Currency</v>
      </c>
      <c r="BN5" s="25" t="str">
        <f>IFERROR(__xludf.DUMMYFUNCTION("""COMPUTED_VALUE"""),"Settlement Date")</f>
        <v>Settlement Date</v>
      </c>
      <c r="BO5" s="25" t="str">
        <f>IFERROR(__xludf.DUMMYFUNCTION("""COMPUTED_VALUE"""),"Side")</f>
        <v>Side</v>
      </c>
      <c r="BP5" s="25" t="str">
        <f>IFERROR(__xludf.DUMMYFUNCTION("""COMPUTED_VALUE"""),"Soft Commission")</f>
        <v>Soft Commission</v>
      </c>
      <c r="BQ5" s="25" t="str">
        <f>IFERROR(__xludf.DUMMYFUNCTION("""COMPUTED_VALUE"""),"Soft Commission Per Share")</f>
        <v>Soft Commission Per Share</v>
      </c>
      <c r="BR5" s="25" t="str">
        <f>IFERROR(__xludf.DUMMYFUNCTION("""COMPUTED_VALUE"""),"Stamp Duty")</f>
        <v>Stamp Duty</v>
      </c>
      <c r="BS5" s="25" t="str">
        <f>IFERROR(__xludf.DUMMYFUNCTION("""COMPUTED_VALUE"""),"Strategy Name")</f>
        <v>Strategy Name</v>
      </c>
      <c r="BT5" s="25" t="str">
        <f>IFERROR(__xludf.DUMMYFUNCTION("""COMPUTED_VALUE"""),"Symbol")</f>
        <v>Symbol</v>
      </c>
      <c r="BU5" s="25" t="str">
        <f>IFERROR(__xludf.DUMMYFUNCTION("""COMPUTED_VALUE"""),"Tax On Commissions")</f>
        <v>Tax On Commissions</v>
      </c>
      <c r="BV5" s="25" t="str">
        <f>IFERROR(__xludf.DUMMYFUNCTION("""COMPUTED_VALUE"""),"Total Commission")</f>
        <v>Total Commission</v>
      </c>
      <c r="BW5" s="25" t="str">
        <f>IFERROR(__xludf.DUMMYFUNCTION("""COMPUTED_VALUE"""),"Total Commission And Fee")</f>
        <v>Total Commission And Fee</v>
      </c>
      <c r="BX5" s="25" t="str">
        <f>IFERROR(__xludf.DUMMYFUNCTION("""COMPUTED_VALUE"""),"Total Commission Per Share")</f>
        <v>Total Commission Per Share</v>
      </c>
      <c r="BY5" s="25" t="str">
        <f>IFERROR(__xludf.DUMMYFUNCTION("""COMPUTED_VALUE"""),"Trade Attribute 1")</f>
        <v>Trade Attribute 1</v>
      </c>
      <c r="BZ5" s="25" t="str">
        <f>IFERROR(__xludf.DUMMYFUNCTION("""COMPUTED_VALUE"""),"Trade Attribute 2")</f>
        <v>Trade Attribute 2</v>
      </c>
      <c r="CA5" s="25" t="str">
        <f>IFERROR(__xludf.DUMMYFUNCTION("""COMPUTED_VALUE"""),"Trade Attribute 3")</f>
        <v>Trade Attribute 3</v>
      </c>
      <c r="CB5" s="25" t="str">
        <f>IFERROR(__xludf.DUMMYFUNCTION("""COMPUTED_VALUE"""),"Trade Attribute 4")</f>
        <v>Trade Attribute 4</v>
      </c>
      <c r="CC5" s="25" t="str">
        <f>IFERROR(__xludf.DUMMYFUNCTION("""COMPUTED_VALUE"""),"Trade Attribute 5")</f>
        <v>Trade Attribute 5</v>
      </c>
      <c r="CD5" s="25" t="str">
        <f>IFERROR(__xludf.DUMMYFUNCTION("""COMPUTED_VALUE"""),"Trade Attribute 6")</f>
        <v>Trade Attribute 6</v>
      </c>
      <c r="CE5" s="25" t="str">
        <f>IFERROR(__xludf.DUMMYFUNCTION("""COMPUTED_VALUE"""),"Trade Date")</f>
        <v>Trade Date</v>
      </c>
      <c r="CF5" s="25" t="str">
        <f>IFERROR(__xludf.DUMMYFUNCTION("""COMPUTED_VALUE"""),"Trading Account")</f>
        <v>Trading Account</v>
      </c>
      <c r="CG5" s="25" t="str">
        <f>IFERROR(__xludf.DUMMYFUNCTION("""COMPUTED_VALUE"""),"Transaction Levy")</f>
        <v>Transaction Levy</v>
      </c>
      <c r="CH5" s="25" t="str">
        <f>IFERROR(__xludf.DUMMYFUNCTION("""COMPUTED_VALUE"""),"Transaction Source")</f>
        <v>Transaction Source</v>
      </c>
      <c r="CI5" s="25" t="str">
        <f>IFERROR(__xludf.DUMMYFUNCTION("""COMPUTED_VALUE"""),"Transaction Type")</f>
        <v>Transaction Type</v>
      </c>
      <c r="CJ5" s="25" t="str">
        <f>IFERROR(__xludf.DUMMYFUNCTION("""COMPUTED_VALUE"""),"UnAllocatedQty")</f>
        <v>UnAllocatedQty</v>
      </c>
      <c r="CK5" s="25" t="str">
        <f>IFERROR(__xludf.DUMMYFUNCTION("""COMPUTED_VALUE"""),"Underlying")</f>
        <v>Underlying</v>
      </c>
      <c r="CL5" s="25" t="str">
        <f>IFERROR(__xludf.DUMMYFUNCTION("""COMPUTED_VALUE"""),"Underlying Delta")</f>
        <v>Underlying Delta</v>
      </c>
      <c r="CM5" s="25" t="str">
        <f>IFERROR(__xludf.DUMMYFUNCTION("""COMPUTED_VALUE"""),"Underlying Symbol")</f>
        <v>Underlying Symbol</v>
      </c>
      <c r="CN5" s="25" t="str">
        <f>IFERROR(__xludf.DUMMYFUNCTION("""COMPUTED_VALUE"""),"User")</f>
        <v>User</v>
      </c>
      <c r="CO5" s="25" t="str">
        <f>IFERROR(__xludf.DUMMYFUNCTION("""COMPUTED_VALUE"""),"Venue")</f>
        <v>Venue</v>
      </c>
      <c r="CP5" s="25" t="str">
        <f>IFERROR(__xludf.DUMMYFUNCTION("""COMPUTED_VALUE"""),"Closing Method")</f>
        <v>Closing Method</v>
      </c>
      <c r="CQ5" s="25" t="str">
        <f>IFERROR(__xludf.DUMMYFUNCTION("""COMPUTED_VALUE"""),"Closing Date")</f>
        <v>Closing Date</v>
      </c>
      <c r="CR5" s="25" t="str">
        <f>IFERROR(__xludf.DUMMYFUNCTION("""COMPUTED_VALUE"""),"GroupID")</f>
        <v>GroupID</v>
      </c>
      <c r="CS5" s="25" t="str">
        <f>IFERROR(__xludf.DUMMYFUNCTION("""COMPUTED_VALUE"""),"Client")</f>
        <v>Client</v>
      </c>
      <c r="CT5" s="25" t="str">
        <f>IFERROR(__xludf.DUMMYFUNCTION("""COMPUTED_VALUE"""),"isRowCountCheck")</f>
        <v>isRowCountCheck</v>
      </c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</row>
    <row r="6" ht="15.75" customHeight="1">
      <c r="A6" s="9"/>
      <c r="B6" s="9" t="s">
        <v>667</v>
      </c>
      <c r="C6" s="9"/>
      <c r="D6" s="9"/>
      <c r="E6" s="9"/>
      <c r="F6" s="9"/>
      <c r="G6" s="9"/>
      <c r="H6" s="9"/>
      <c r="I6" s="9"/>
      <c r="J6" s="9"/>
      <c r="K6" s="9">
        <v>4.0</v>
      </c>
      <c r="L6" s="9">
        <v>4.0</v>
      </c>
      <c r="M6" s="9"/>
      <c r="N6" s="9"/>
      <c r="O6" s="9"/>
      <c r="AE6">
        <v>100.0</v>
      </c>
      <c r="BJ6">
        <v>100.0</v>
      </c>
      <c r="BO6" t="s">
        <v>672</v>
      </c>
      <c r="BT6" t="s">
        <v>671</v>
      </c>
    </row>
    <row r="7" ht="15.75" customHeight="1">
      <c r="A7" s="9"/>
      <c r="B7" s="9" t="s">
        <v>669</v>
      </c>
      <c r="C7" s="9"/>
      <c r="D7" s="9"/>
      <c r="E7" s="9"/>
      <c r="F7" s="9"/>
      <c r="G7" s="9"/>
      <c r="H7" s="9"/>
      <c r="I7" s="9"/>
      <c r="J7" s="9"/>
      <c r="K7" s="9">
        <v>4.0</v>
      </c>
      <c r="L7" s="9">
        <v>4.0</v>
      </c>
      <c r="M7" s="9"/>
      <c r="N7" s="9"/>
      <c r="O7" s="9"/>
      <c r="AE7">
        <v>200.0</v>
      </c>
      <c r="BJ7">
        <v>200.0</v>
      </c>
      <c r="BO7" t="s">
        <v>672</v>
      </c>
      <c r="BT7" t="s">
        <v>671</v>
      </c>
    </row>
    <row r="8" ht="15.75" customHeight="1">
      <c r="A8" s="9"/>
      <c r="B8" s="9" t="s">
        <v>670</v>
      </c>
      <c r="C8" s="9"/>
      <c r="D8" s="9"/>
      <c r="E8" s="9"/>
      <c r="F8" s="9"/>
      <c r="G8" s="9"/>
      <c r="H8" s="9"/>
      <c r="I8" s="9"/>
      <c r="J8" s="9"/>
      <c r="K8" s="9">
        <v>4.0</v>
      </c>
      <c r="L8" s="9">
        <v>4.0</v>
      </c>
      <c r="M8" s="9"/>
      <c r="N8" s="9"/>
      <c r="O8" s="9"/>
      <c r="AE8">
        <v>201.0</v>
      </c>
      <c r="BJ8">
        <v>201.0</v>
      </c>
      <c r="BO8" t="s">
        <v>672</v>
      </c>
      <c r="BT8" t="s">
        <v>671</v>
      </c>
    </row>
    <row r="9" ht="15.75" customHeight="1">
      <c r="A9" s="9"/>
      <c r="B9" s="9" t="s">
        <v>676</v>
      </c>
      <c r="C9" s="9"/>
      <c r="D9" s="9"/>
      <c r="E9" s="9"/>
      <c r="F9" s="9"/>
      <c r="G9" s="9"/>
      <c r="H9" s="9"/>
      <c r="I9" s="9"/>
      <c r="J9" s="9"/>
      <c r="K9" s="9">
        <v>4.0</v>
      </c>
      <c r="L9" s="9">
        <v>4.0</v>
      </c>
      <c r="M9" s="9"/>
      <c r="N9" s="9"/>
      <c r="O9" s="9"/>
      <c r="AE9">
        <v>6000.0</v>
      </c>
      <c r="BJ9">
        <v>10000.0</v>
      </c>
      <c r="BO9" t="s">
        <v>672</v>
      </c>
      <c r="BT9" t="s">
        <v>671</v>
      </c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1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18</v>
      </c>
      <c r="D3" s="4" t="s">
        <v>662</v>
      </c>
      <c r="E3" s="13" t="s">
        <v>339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</row>
    <row r="4" ht="15.75" customHeight="1">
      <c r="A4" s="21"/>
      <c r="B4" s="21" t="str">
        <f>IFERROR(__xludf.DUMMYFUNCTION("IF(C3="""","""",Transpose(IMPORTRANGE('_Settings'!$B$3,C3&amp;""!A4:A1000"")))"),"ReplaceFillsOnBlotter")</f>
        <v>ReplaceFillsOnBlotter</v>
      </c>
      <c r="C4" s="21" t="str">
        <f>IFERROR(__xludf.DUMMYFUNCTION("""COMPUTED_VALUE"""),"CheckBlotter")</f>
        <v>CheckBlotter</v>
      </c>
      <c r="D4" s="21" t="str">
        <f>IFERROR(__xludf.DUMMYFUNCTION("""COMPUTED_VALUE"""),"BlotterFunctionalities")</f>
        <v>BlotterFunctionalities</v>
      </c>
      <c r="E4" s="21" t="str">
        <f>IFERROR(__xludf.DUMMYFUNCTION("""COMPUTED_VALUE"""),"TransferToUserWorkingSubs")</f>
        <v>TransferToUserWorkingSubs</v>
      </c>
      <c r="F4" s="21" t="str">
        <f>IFERROR(__xludf.DUMMYFUNCTION("""COMPUTED_VALUE"""),"CancelWorkingSubs")</f>
        <v>CancelWorkingSubs</v>
      </c>
      <c r="G4" s="21" t="str">
        <f>IFERROR(__xludf.DUMMYFUNCTION("""COMPUTED_VALUE"""),"ReplaceWorkingSubs")</f>
        <v>ReplaceWorkingSubs</v>
      </c>
      <c r="H4" s="21" t="str">
        <f>IFERROR(__xludf.DUMMYFUNCTION("""COMPUTED_VALUE"""),"ViewAllocationDetailsWorkingSub")</f>
        <v>ViewAllocationDetailsWorkingSub</v>
      </c>
      <c r="I4" s="21" t="str">
        <f>IFERROR(__xludf.DUMMYFUNCTION("""COMPUTED_VALUE"""),"SelectTradeOnOrderGrid")</f>
        <v>SelectTradeOnOrderGrid</v>
      </c>
      <c r="J4" s="21" t="str">
        <f>IFERROR(__xludf.DUMMYFUNCTION("""COMPUTED_VALUE"""),"ShowDetailsForAlgoTradeSubOrder")</f>
        <v>ShowDetailsForAlgoTradeSubOrder</v>
      </c>
      <c r="K4" s="21" t="str">
        <f>IFERROR(__xludf.DUMMYFUNCTION("""COMPUTED_VALUE"""),"SelectTradeOrderBlotter")</f>
        <v>SelectTradeOrderBlotter</v>
      </c>
      <c r="L4" s="21" t="str">
        <f>IFERROR(__xludf.DUMMYFUNCTION("""COMPUTED_VALUE"""),"AddFillsWorkingSubs")</f>
        <v>AddFillsWorkingSubs</v>
      </c>
      <c r="M4" s="21" t="str">
        <f>IFERROR(__xludf.DUMMYFUNCTION("""COMPUTED_VALUE"""),"EditAddFillsDetails")</f>
        <v>EditAddFillsDetails</v>
      </c>
      <c r="N4" s="21" t="str">
        <f>IFERROR(__xludf.DUMMYFUNCTION("""COMPUTED_VALUE"""),"ShowDetailsForAlgoTradeWorkingSubs")</f>
        <v>ShowDetailsForAlgoTradeWorkingSubs</v>
      </c>
      <c r="O4" s="21" t="str">
        <f>IFERROR(__xludf.DUMMYFUNCTION("""COMPUTED_VALUE"""),"VerifyWorkingSubs")</f>
        <v>VerifyWorkingSubs</v>
      </c>
      <c r="P4" s="22" t="str">
        <f>IFERROR(__xludf.DUMMYFUNCTION("""COMPUTED_VALUE"""),"TransferToUserOrder")</f>
        <v>TransferToUserOrder</v>
      </c>
      <c r="Q4" s="22" t="str">
        <f>IFERROR(__xludf.DUMMYFUNCTION("""COMPUTED_VALUE"""),"EditOrder")</f>
        <v>EditOrder</v>
      </c>
      <c r="R4" s="22" t="str">
        <f>IFERROR(__xludf.DUMMYFUNCTION("""COMPUTED_VALUE"""),"SelectTradeSubOrderBlotter")</f>
        <v>SelectTradeSubOrderBlotter</v>
      </c>
      <c r="S4" s="22" t="str">
        <f>IFERROR(__xludf.DUMMYFUNCTION("""COMPUTED_VALUE"""),"VerifyOrder")</f>
        <v>VerifyOrder</v>
      </c>
      <c r="T4" s="22" t="str">
        <f>IFERROR(__xludf.DUMMYFUNCTION("""COMPUTED_VALUE"""),"VerifySubOrder")</f>
        <v>VerifySubOrder</v>
      </c>
      <c r="U4" s="22" t="str">
        <f>IFERROR(__xludf.DUMMYFUNCTION("""COMPUTED_VALUE"""),"RemoveSelectedOrders")</f>
        <v>RemoveSelectedOrders</v>
      </c>
      <c r="V4" s="22" t="str">
        <f>IFERROR(__xludf.DUMMYFUNCTION("""COMPUTED_VALUE"""),"CancelAllSelectedSubs")</f>
        <v>CancelAllSelectedSubs</v>
      </c>
      <c r="W4" s="22" t="str">
        <f>IFERROR(__xludf.DUMMYFUNCTION("""COMPUTED_VALUE"""),"MultiTradingTicket")</f>
        <v>MultiTradingTicket</v>
      </c>
      <c r="X4" s="22" t="str">
        <f>IFERROR(__xludf.DUMMYFUNCTION("""COMPUTED_VALUE"""),"AuditTrailOrderBlotter")</f>
        <v>AuditTrailOrderBlotter</v>
      </c>
      <c r="Y4" s="22" t="str">
        <f>IFERROR(__xludf.DUMMYFUNCTION("""COMPUTED_VALUE"""),"TradeNewSubOrder")</f>
        <v>TradeNewSubOrder</v>
      </c>
      <c r="Z4" s="22" t="str">
        <f>IFERROR(__xludf.DUMMYFUNCTION("""COMPUTED_VALUE"""),"RemoveStageOrder")</f>
        <v>RemoveStageOrder</v>
      </c>
      <c r="AA4" s="22" t="str">
        <f>IFERROR(__xludf.DUMMYFUNCTION("""COMPUTED_VALUE"""),"TransferToUserSubOrder")</f>
        <v>TransferToUserSubOrder</v>
      </c>
      <c r="AB4" s="22" t="str">
        <f>IFERROR(__xludf.DUMMYFUNCTION("""COMPUTED_VALUE"""),"DetailsForAlgoTradeOrder")</f>
        <v>DetailsForAlgoTradeOrder</v>
      </c>
      <c r="AC4" s="22" t="str">
        <f>IFERROR(__xludf.DUMMYFUNCTION("""COMPUTED_VALUE"""),"AddFillsSubOrder")</f>
        <v>AddFillsSubOrder</v>
      </c>
      <c r="AD4" s="22" t="str">
        <f>IFERROR(__xludf.DUMMYFUNCTION("""COMPUTED_VALUE"""),"ViewAllocationDetailsSubOrder")</f>
        <v>ViewAllocationDetailsSubOrder</v>
      </c>
      <c r="AE4" s="22" t="str">
        <f>IFERROR(__xludf.DUMMYFUNCTION("""COMPUTED_VALUE"""),"CancelAllSubs")</f>
        <v>CancelAllSubs</v>
      </c>
      <c r="AF4" s="22" t="str">
        <f>IFERROR(__xludf.DUMMYFUNCTION("""COMPUTED_VALUE"""),"CancelSubOrder")</f>
        <v>CancelSubOrder</v>
      </c>
      <c r="AG4" s="22" t="str">
        <f>IFERROR(__xludf.DUMMYFUNCTION("""COMPUTED_VALUE"""),"EditStageOrder")</f>
        <v>EditStageOrder</v>
      </c>
      <c r="AH4" s="22" t="str">
        <f>IFERROR(__xludf.DUMMYFUNCTION("""COMPUTED_VALUE"""),"ReplaceSubOrder")</f>
        <v>ReplaceSubOrder</v>
      </c>
      <c r="AI4" s="22" t="str">
        <f>IFERROR(__xludf.DUMMYFUNCTION("""COMPUTED_VALUE"""),"SelectTradeWorkingSubsBlotter")</f>
        <v>SelectTradeWorkingSubsBlotter</v>
      </c>
      <c r="AJ4" s="22" t="str">
        <f>IFERROR(__xludf.DUMMYFUNCTION("""COMPUTED_VALUE"""),"VerifyAlgoDetails")</f>
        <v>VerifyAlgoDetails</v>
      </c>
      <c r="AK4" s="22" t="str">
        <f>IFERROR(__xludf.DUMMYFUNCTION("""COMPUTED_VALUE"""),"VerifyTransferToUserOrder")</f>
        <v>VerifyTransferToUserOrder</v>
      </c>
      <c r="AL4" s="22" t="str">
        <f>IFERROR(__xludf.DUMMYFUNCTION("""COMPUTED_VALUE"""),"VerifyTransferToUserSubOdr")</f>
        <v>VerifyTransferToUserSubOdr</v>
      </c>
      <c r="AM4" s="22" t="str">
        <f>IFERROR(__xludf.DUMMYFUNCTION("""COMPUTED_VALUE"""),"VerifyTransferToUserWorkSub")</f>
        <v>VerifyTransferToUserWorkSub</v>
      </c>
      <c r="AN4" s="22" t="str">
        <f>IFERROR(__xludf.DUMMYFUNCTION("""COMPUTED_VALUE"""),"SaveLayoutOrderGrid")</f>
        <v>SaveLayoutOrderGrid</v>
      </c>
      <c r="AO4" s="22" t="str">
        <f>IFERROR(__xludf.DUMMYFUNCTION("""COMPUTED_VALUE"""),"ReplaceStageOrder")</f>
        <v>ReplaceStageOrder</v>
      </c>
      <c r="AP4" s="22" t="str">
        <f>IFERROR(__xludf.DUMMYFUNCTION("""COMPUTED_VALUE"""),"MultiTradingTicketFromBlotter")</f>
        <v>MultiTradingTicketFromBlotter</v>
      </c>
      <c r="AQ4" s="22" t="str">
        <f>IFERROR(__xludf.DUMMYFUNCTION("""COMPUTED_VALUE"""),"VerifyViewAllocationDetails")</f>
        <v>VerifyViewAllocationDetails</v>
      </c>
      <c r="AR4" s="22" t="str">
        <f>IFERROR(__xludf.DUMMYFUNCTION("""COMPUTED_VALUE"""),"GoToAllocation")</f>
        <v>GoToAllocation</v>
      </c>
      <c r="AS4" s="22" t="str">
        <f>IFERROR(__xludf.DUMMYFUNCTION("""COMPUTED_VALUE"""),"VerifyRollover")</f>
        <v>VerifyRollover</v>
      </c>
      <c r="AT4" s="22" t="str">
        <f>IFERROR(__xludf.DUMMYFUNCTION("""COMPUTED_VALUE"""),"VerifySubOrderAfterRollover")</f>
        <v>VerifySubOrderAfterRollover</v>
      </c>
      <c r="AU4" s="22" t="str">
        <f>IFERROR(__xludf.DUMMYFUNCTION("""COMPUTED_VALUE"""),"OpenBlotter")</f>
        <v>OpenBlotter</v>
      </c>
      <c r="AV4" s="22" t="str">
        <f>IFERROR(__xludf.DUMMYFUNCTION("""COMPUTED_VALUE"""),"OpenBlotter")</f>
        <v>OpenBlotter</v>
      </c>
      <c r="AW4" s="22" t="str">
        <f>IFERROR(__xludf.DUMMYFUNCTION("""COMPUTED_VALUE"""),"RemoveManualExecution")</f>
        <v>RemoveManualExecution</v>
      </c>
      <c r="AX4" s="22" t="str">
        <f>IFERROR(__xludf.DUMMYFUNCTION("""COMPUTED_VALUE"""),"RemoveExecutionWorkingSubs")</f>
        <v>RemoveExecutionWorkingSubs</v>
      </c>
      <c r="AY4" s="22" t="str">
        <f>IFERROR(__xludf.DUMMYFUNCTION("""COMPUTED_VALUE"""),"GetExecutionReportOrders")</f>
        <v>GetExecutionReportOrders</v>
      </c>
      <c r="AZ4" s="22" t="str">
        <f>IFERROR(__xludf.DUMMYFUNCTION("""COMPUTED_VALUE"""),"GetExecutionReportDetails")</f>
        <v>GetExecutionReportDetails</v>
      </c>
      <c r="BA4" s="22" t="str">
        <f>IFERROR(__xludf.DUMMYFUNCTION("""COMPUTED_VALUE"""),"ExportExecutionReportData")</f>
        <v>ExportExecutionReportData</v>
      </c>
      <c r="BB4" s="22" t="str">
        <f>IFERROR(__xludf.DUMMYFUNCTION("""COMPUTED_VALUE"""),"VerifyExecutionReport")</f>
        <v>VerifyExecutionReport</v>
      </c>
      <c r="BC4" s="22" t="str">
        <f>IFERROR(__xludf.DUMMYFUNCTION("""COMPUTED_VALUE"""),"BlotterExecutionReportSnapshot")</f>
        <v>BlotterExecutionReportSnapshot</v>
      </c>
      <c r="BD4" s="22" t="str">
        <f>IFERROR(__xludf.DUMMYFUNCTION("""COMPUTED_VALUE"""),"MultipleTradeTransferToUser")</f>
        <v>MultipleTradeTransferToUser</v>
      </c>
      <c r="BE4" s="22" t="str">
        <f>IFERROR(__xludf.DUMMYFUNCTION("""COMPUTED_VALUE"""),"ReloadOrderFromBlotter")</f>
        <v>ReloadOrderFromBlotter</v>
      </c>
      <c r="BF4" s="22" t="str">
        <f>IFERROR(__xludf.DUMMYFUNCTION("""COMPUTED_VALUE"""),"ReloadOrderFromSubOrder")</f>
        <v>ReloadOrderFromSubOrder</v>
      </c>
      <c r="BG4" s="22" t="str">
        <f>IFERROR(__xludf.DUMMYFUNCTION("""COMPUTED_VALUE"""),"ReloadOrderFromWorkingSubs")</f>
        <v>ReloadOrderFromWorkingSubs</v>
      </c>
      <c r="BH4" s="22" t="str">
        <f>IFERROR(__xludf.DUMMYFUNCTION("""COMPUTED_VALUE"""),"SelectFills")</f>
        <v>SelectFills</v>
      </c>
      <c r="BI4" s="22" t="str">
        <f>IFERROR(__xludf.DUMMYFUNCTION("""COMPUTED_VALUE"""),"ModifyFills")</f>
        <v>ModifyFills</v>
      </c>
      <c r="BJ4" s="22" t="str">
        <f>IFERROR(__xludf.DUMMYFUNCTION("""COMPUTED_VALUE"""),"AddTab")</f>
        <v>AddTab</v>
      </c>
      <c r="BK4" s="22" t="str">
        <f>IFERROR(__xludf.DUMMYFUNCTION("""COMPUTED_VALUE"""),"RemoveTab")</f>
        <v>RemoveTab</v>
      </c>
      <c r="BL4" s="22" t="str">
        <f>IFERROR(__xludf.DUMMYFUNCTION("""COMPUTED_VALUE"""),"SelectCustomTab")</f>
        <v>SelectCustomTab</v>
      </c>
      <c r="BM4" s="22" t="str">
        <f>IFERROR(__xludf.DUMMYFUNCTION("""COMPUTED_VALUE"""),"VerifyOrderCustomTab")</f>
        <v>VerifyOrderCustomTab</v>
      </c>
      <c r="BN4" s="22" t="str">
        <f>IFERROR(__xludf.DUMMYFUNCTION("""COMPUTED_VALUE"""),"VerifySubOrderCustomTab")</f>
        <v>VerifySubOrderCustomTab</v>
      </c>
      <c r="BO4" s="22"/>
      <c r="BP4" s="22"/>
      <c r="BQ4" s="22"/>
      <c r="BR4" s="22"/>
      <c r="BS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IFERROR(__xludf.DUMMYFUNCTION("""COMPUTED_VALUE"""),"Avg Fill Price (Base)")</f>
        <v>Avg Fill Price (Base)</v>
      </c>
      <c r="C5" s="24" t="str">
        <f>IFERROR(__xludf.DUMMYFUNCTION("""COMPUTED_VALUE"""),"Transaction Time")</f>
        <v>Transaction Time</v>
      </c>
      <c r="D5" s="24" t="str">
        <f>IFERROR(__xludf.DUMMYFUNCTION("""COMPUTED_VALUE"""),"Symbol")</f>
        <v>Symbol</v>
      </c>
      <c r="E5" s="24" t="str">
        <f>IFERROR(__xludf.DUMMYFUNCTION("""COMPUTED_VALUE"""),"Algo")</f>
        <v>Algo</v>
      </c>
      <c r="F5" s="24" t="str">
        <f>IFERROR(__xludf.DUMMYFUNCTION("""COMPUTED_VALUE"""),"Side")</f>
        <v>Side</v>
      </c>
      <c r="G5" s="24" t="str">
        <f>IFERROR(__xludf.DUMMYFUNCTION("""COMPUTED_VALUE"""),"Status")</f>
        <v>Status</v>
      </c>
      <c r="H5" s="24" t="str">
        <f>IFERROR(__xludf.DUMMYFUNCTION("""COMPUTED_VALUE"""),"Quantity")</f>
        <v>Quantity</v>
      </c>
      <c r="I5" s="24" t="str">
        <f>IFERROR(__xludf.DUMMYFUNCTION("""COMPUTED_VALUE"""),"Executed Qty")</f>
        <v>Executed Qty</v>
      </c>
      <c r="J5" s="24" t="str">
        <f>IFERROR(__xludf.DUMMYFUNCTION("""COMPUTED_VALUE"""),"Limit Price")</f>
        <v>Limit Price</v>
      </c>
      <c r="K5" s="24" t="str">
        <f>IFERROR(__xludf.DUMMYFUNCTION("""COMPUTED_VALUE"""),"Last Fill Price (Local)")</f>
        <v>Last Fill Price (Local)</v>
      </c>
      <c r="L5" s="24" t="str">
        <f>IFERROR(__xludf.DUMMYFUNCTION("""COMPUTED_VALUE"""),"Stop Price")</f>
        <v>Stop Price</v>
      </c>
      <c r="M5" s="24" t="str">
        <f>IFERROR(__xludf.DUMMYFUNCTION("""COMPUTED_VALUE"""),"Avg Fill Price (Local)")</f>
        <v>Avg Fill Price (Local)</v>
      </c>
      <c r="N5" s="24" t="str">
        <f>IFERROR(__xludf.DUMMYFUNCTION("""COMPUTED_VALUE"""),"Broker")</f>
        <v>Broker</v>
      </c>
      <c r="O5" s="24" t="str">
        <f>IFERROR(__xludf.DUMMYFUNCTION("""COMPUTED_VALUE"""),"Account")</f>
        <v>Account</v>
      </c>
      <c r="P5" s="24" t="str">
        <f>IFERROR(__xludf.DUMMYFUNCTION("""COMPUTED_VALUE"""),"OrderID")</f>
        <v>OrderID</v>
      </c>
      <c r="Q5" s="24" t="str">
        <f>IFERROR(__xludf.DUMMYFUNCTION("""COMPUTED_VALUE"""),"Order Type")</f>
        <v>Order Type</v>
      </c>
      <c r="R5" s="24" t="str">
        <f>IFERROR(__xludf.DUMMYFUNCTION("""COMPUTED_VALUE"""),"Principal Amount (Local)")</f>
        <v>Principal Amount (Local)</v>
      </c>
      <c r="S5" s="24" t="str">
        <f>IFERROR(__xludf.DUMMYFUNCTION("""COMPUTED_VALUE"""),"Principal Amount (Base)")</f>
        <v>Principal Amount (Base)</v>
      </c>
      <c r="T5" s="25" t="str">
        <f>IFERROR(__xludf.DUMMYFUNCTION("""COMPUTED_VALUE"""),"Peg")</f>
        <v>Peg</v>
      </c>
      <c r="U5" s="25" t="str">
        <f>IFERROR(__xludf.DUMMYFUNCTION("""COMPUTED_VALUE"""),"ParentClOrderID")</f>
        <v>ParentClOrderID</v>
      </c>
      <c r="V5" s="25" t="str">
        <f>IFERROR(__xludf.DUMMYFUNCTION("""COMPUTED_VALUE"""),"Strike Price")</f>
        <v>Strike Price</v>
      </c>
      <c r="W5" s="25" t="str">
        <f>IFERROR(__xludf.DUMMYFUNCTION("""COMPUTED_VALUE"""),"Last Shares")</f>
        <v>Last Shares</v>
      </c>
      <c r="X5" s="25" t="str">
        <f>IFERROR(__xludf.DUMMYFUNCTION("""COMPUTED_VALUE"""),"Working Qty")</f>
        <v>Working Qty</v>
      </c>
      <c r="Y5" s="25" t="str">
        <f>IFERROR(__xludf.DUMMYFUNCTION("""COMPUTED_VALUE"""),"Bloomberg Symbol")</f>
        <v>Bloomberg Symbol</v>
      </c>
      <c r="Z5" s="25" t="str">
        <f>IFERROR(__xludf.DUMMYFUNCTION("""COMPUTED_VALUE"""),"Imported File Name")</f>
        <v>Imported File Name</v>
      </c>
      <c r="AA5" s="25" t="str">
        <f>IFERROR(__xludf.DUMMYFUNCTION("""COMPUTED_VALUE"""),"Master Fund")</f>
        <v>Master Fund</v>
      </c>
      <c r="AB5" s="25" t="str">
        <f>IFERROR(__xludf.DUMMYFUNCTION("""COMPUTED_VALUE"""),"Asset Class")</f>
        <v>Asset Class</v>
      </c>
      <c r="AC5" s="25" t="str">
        <f>IFERROR(__xludf.DUMMYFUNCTION("""COMPUTED_VALUE"""),"Underlying Country")</f>
        <v>Underlying Country</v>
      </c>
      <c r="AD5" s="25" t="str">
        <f>IFERROR(__xludf.DUMMYFUNCTION("""COMPUTED_VALUE"""),"Trader")</f>
        <v>Trader</v>
      </c>
      <c r="AE5" s="25" t="str">
        <f>IFERROR(__xludf.DUMMYFUNCTION("""COMPUTED_VALUE"""),"User")</f>
        <v>User</v>
      </c>
      <c r="AF5" s="25" t="str">
        <f>IFERROR(__xludf.DUMMYFUNCTION("""COMPUTED_VALUE"""),"Venue")</f>
        <v>Venue</v>
      </c>
      <c r="AG5" s="25" t="str">
        <f>IFERROR(__xludf.DUMMYFUNCTION("""COMPUTED_VALUE"""),"Settlement Currency")</f>
        <v>Settlement Currency</v>
      </c>
      <c r="AH5" s="25" t="str">
        <f>IFERROR(__xludf.DUMMYFUNCTION("""COMPUTED_VALUE"""),"FX Conversion Operator")</f>
        <v>FX Conversion Operator</v>
      </c>
      <c r="AI5" s="25" t="str">
        <f>IFERROR(__xludf.DUMMYFUNCTION("""COMPUTED_VALUE"""),"Process Date")</f>
        <v>Process Date</v>
      </c>
      <c r="AJ5" s="25" t="str">
        <f>IFERROR(__xludf.DUMMYFUNCTION("""COMPUTED_VALUE"""),"Underlying Symbol")</f>
        <v>Underlying Symbol</v>
      </c>
      <c r="AK5" s="25" t="str">
        <f>IFERROR(__xludf.DUMMYFUNCTION("""COMPUTED_VALUE"""),"Put/Call")</f>
        <v>Put/Call</v>
      </c>
      <c r="AL5" s="25" t="str">
        <f>IFERROR(__xludf.DUMMYFUNCTION("""COMPUTED_VALUE"""),"FX Rate")</f>
        <v>FX Rate</v>
      </c>
      <c r="AM5" s="25" t="str">
        <f>IFERROR(__xludf.DUMMYFUNCTION("""COMPUTED_VALUE"""),"Trade Attribute 1")</f>
        <v>Trade Attribute 1</v>
      </c>
      <c r="AN5" s="25" t="str">
        <f>IFERROR(__xludf.DUMMYFUNCTION("""COMPUTED_VALUE"""),"Trade Attribute 2")</f>
        <v>Trade Attribute 2</v>
      </c>
      <c r="AO5" s="25" t="str">
        <f>IFERROR(__xludf.DUMMYFUNCTION("""COMPUTED_VALUE"""),"Trade Attribute 3")</f>
        <v>Trade Attribute 3</v>
      </c>
      <c r="AP5" s="25" t="str">
        <f>IFERROR(__xludf.DUMMYFUNCTION("""COMPUTED_VALUE"""),"Trade Attribute 4")</f>
        <v>Trade Attribute 4</v>
      </c>
      <c r="AQ5" s="25" t="str">
        <f>IFERROR(__xludf.DUMMYFUNCTION("""COMPUTED_VALUE"""),"Trade Attribute 5")</f>
        <v>Trade Attribute 5</v>
      </c>
      <c r="AR5" s="25" t="str">
        <f>IFERROR(__xludf.DUMMYFUNCTION("""COMPUTED_VALUE"""),"Trade Attribute 6")</f>
        <v>Trade Attribute 6</v>
      </c>
      <c r="AS5" s="25" t="str">
        <f>IFERROR(__xludf.DUMMYFUNCTION("""COMPUTED_VALUE"""),"Internal Comments")</f>
        <v>Internal Comments</v>
      </c>
      <c r="AT5" s="25" t="str">
        <f>IFERROR(__xludf.DUMMYFUNCTION("""COMPUTED_VALUE"""),"Allocation Scheme Name        ")</f>
        <v>Allocation Scheme Name        </v>
      </c>
      <c r="AU5" s="25" t="str">
        <f>IFERROR(__xludf.DUMMYFUNCTION("""COMPUTED_VALUE"""),"Status (With Rollover)")</f>
        <v>Status (With Rollover)</v>
      </c>
      <c r="AV5" s="25" t="str">
        <f>IFERROR(__xludf.DUMMYFUNCTION("""COMPUTED_VALUE"""),"Allocation Status")</f>
        <v>Allocation Status</v>
      </c>
      <c r="AW5" s="25" t="str">
        <f>IFERROR(__xludf.DUMMYFUNCTION("""COMPUTED_VALUE"""),"Source")</f>
        <v>Source</v>
      </c>
      <c r="AX5" s="25" t="str">
        <f>IFERROR(__xludf.DUMMYFUNCTION("""COMPUTED_VALUE"""),"Strategy")</f>
        <v>Strategy</v>
      </c>
      <c r="AY5" s="25" t="str">
        <f>IFERROR(__xludf.DUMMYFUNCTION("""COMPUTED_VALUE"""),"Unexecuted Qty")</f>
        <v>Unexecuted Qty</v>
      </c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</row>
    <row r="6" ht="15.75" customHeight="1">
      <c r="A6" s="9"/>
      <c r="B6" s="9">
        <v>4.0</v>
      </c>
      <c r="C6" s="9"/>
      <c r="D6" s="9" t="s">
        <v>671</v>
      </c>
      <c r="E6" s="9"/>
      <c r="F6" s="9" t="s">
        <v>672</v>
      </c>
      <c r="G6" s="9" t="s">
        <v>680</v>
      </c>
      <c r="H6" s="9"/>
      <c r="I6" s="9"/>
      <c r="J6" s="9"/>
      <c r="K6" s="9"/>
      <c r="L6" s="9"/>
      <c r="M6" s="9"/>
      <c r="N6" s="9"/>
      <c r="O6" s="9"/>
      <c r="R6" s="27">
        <v>24000.0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52</v>
      </c>
      <c r="D3" s="4" t="s">
        <v>662</v>
      </c>
      <c r="E3" s="13" t="s">
        <v>55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</row>
    <row r="4" ht="15.75" customHeight="1">
      <c r="A4" s="21"/>
      <c r="B4" s="21" t="str">
        <f>IFERROR(__xludf.DUMMYFUNCTION("IF(C3="""","""",Transpose(IMPORTRANGE('_Settings'!$B$3,C3&amp;""!A4:A1000"")))"),"CheckDashboardPM")</f>
        <v>CheckDashboardPM</v>
      </c>
      <c r="C4" s="21" t="str">
        <f>IFERROR(__xludf.DUMMYFUNCTION("""COMPUTED_VALUE"""),"CheckPortfolioManagement")</f>
        <v>CheckPortfolioManagement</v>
      </c>
      <c r="D4" s="21" t="str">
        <f>IFERROR(__xludf.DUMMYFUNCTION("""COMPUTED_VALUE"""),"OpenPSTFromPM")</f>
        <v>OpenPSTFromPM</v>
      </c>
      <c r="E4" s="21" t="str">
        <f>IFERROR(__xludf.DUMMYFUNCTION("""COMPUTED_VALUE"""),"ClosePM")</f>
        <v>ClosePM</v>
      </c>
      <c r="F4" s="21" t="str">
        <f>IFERROR(__xludf.DUMMYFUNCTION("""COMPUTED_VALUE"""),"FilterPM")</f>
        <v>FilterPM</v>
      </c>
      <c r="G4" s="21" t="str">
        <f>IFERROR(__xludf.DUMMYFUNCTION("""COMPUTED_VALUE"""),"GroupRowPM")</f>
        <v>GroupRowPM</v>
      </c>
      <c r="H4" s="21" t="str">
        <f>IFERROR(__xludf.DUMMYFUNCTION("""COMPUTED_VALUE"""),"CheckDashboardWithPM")</f>
        <v>CheckDashboardWithPM</v>
      </c>
      <c r="I4" s="21" t="str">
        <f>IFERROR(__xludf.DUMMYFUNCTION("""COMPUTED_VALUE"""),"RemoveFilterPM")</f>
        <v>RemoveFilterPM</v>
      </c>
      <c r="J4" s="21" t="str">
        <f>IFERROR(__xludf.DUMMYFUNCTION("""COMPUTED_VALUE"""),"CheckSummaryRowsPM")</f>
        <v>CheckSummaryRowsPM</v>
      </c>
      <c r="K4" s="21" t="str">
        <f>IFERROR(__xludf.DUMMYFUNCTION("""COMPUTED_VALUE"""),"OpenPTTFromPM")</f>
        <v>OpenPTTFromPM</v>
      </c>
      <c r="L4" s="21" t="str">
        <f>IFERROR(__xludf.DUMMYFUNCTION("""COMPUTED_VALUE"""),"OpenClosingFromPM")</f>
        <v>OpenClosingFromPM</v>
      </c>
      <c r="M4" s="21" t="str">
        <f>IFERROR(__xludf.DUMMYFUNCTION("""COMPUTED_VALUE"""),"OpenCorporateActionFromPM")</f>
        <v>OpenCorporateActionFromPM</v>
      </c>
      <c r="N4" s="21" t="str">
        <f>IFERROR(__xludf.DUMMYFUNCTION("""COMPUTED_VALUE"""),"OpenDailyValuationFromPM")</f>
        <v>OpenDailyValuationFromPM</v>
      </c>
      <c r="O4" s="21" t="str">
        <f>IFERROR(__xludf.DUMMYFUNCTION("""COMPUTED_VALUE"""),"ClosePositionFromPM")</f>
        <v>ClosePositionFromPM</v>
      </c>
      <c r="P4" s="22" t="str">
        <f>IFERROR(__xludf.DUMMYFUNCTION("""COMPUTED_VALUE"""),"ShowSummaryToolFromPM")</f>
        <v>ShowSummaryToolFromPM</v>
      </c>
      <c r="Q4" s="22" t="str">
        <f>IFERROR(__xludf.DUMMYFUNCTION("""COMPUTED_VALUE"""),"HideSummaryToolFromPM")</f>
        <v>HideSummaryToolFromPM</v>
      </c>
      <c r="R4" s="22" t="str">
        <f>IFERROR(__xludf.DUMMYFUNCTION("""COMPUTED_VALUE"""),"CloseAccountPositionFromPM")</f>
        <v>CloseAccountPositionFromPM</v>
      </c>
      <c r="S4" s="22" t="str">
        <f>IFERROR(__xludf.DUMMYFUNCTION("""COMPUTED_VALUE"""),"CloseSelectedTaxlotsFromPM")</f>
        <v>CloseSelectedTaxlotsFromPM</v>
      </c>
      <c r="T4" s="22" t="str">
        <f>IFERROR(__xludf.DUMMYFUNCTION("""COMPUTED_VALUE"""),"ExpandCollapsePM")</f>
        <v>ExpandCollapsePM</v>
      </c>
      <c r="U4" s="22" t="str">
        <f>IFERROR(__xludf.DUMMYFUNCTION("""COMPUTED_VALUE"""),"AddCustomViewPM")</f>
        <v>AddCustomViewPM</v>
      </c>
      <c r="V4" s="22" t="str">
        <f>IFERROR(__xludf.DUMMYFUNCTION("""COMPUTED_VALUE"""),"AddCustomViewRightClickPM")</f>
        <v>AddCustomViewRightClickPM</v>
      </c>
      <c r="W4" s="22" t="str">
        <f>IFERROR(__xludf.DUMMYFUNCTION("""COMPUTED_VALUE"""),"RenameCustomViewPM")</f>
        <v>RenameCustomViewPM</v>
      </c>
      <c r="X4" s="22" t="str">
        <f>IFERROR(__xludf.DUMMYFUNCTION("""COMPUTED_VALUE"""),"DeleteCustomViewPM")</f>
        <v>DeleteCustomViewPM</v>
      </c>
      <c r="Y4" s="22" t="str">
        <f>IFERROR(__xludf.DUMMYFUNCTION("""COMPUTED_VALUE"""),"OpenCreateTransactionFromPM")</f>
        <v>OpenCreateTransactionFromPM</v>
      </c>
      <c r="Z4" s="22" t="str">
        <f>IFERROR(__xludf.DUMMYFUNCTION("""COMPUTED_VALUE"""),"RemoveGroupingFromPM")</f>
        <v>RemoveGroupingFromPM</v>
      </c>
      <c r="AA4" s="22" t="str">
        <f>IFERROR(__xludf.DUMMYFUNCTION("""COMPUTED_VALUE"""),"IncreasePositionFromPM")</f>
        <v>IncreasePositionFromPM</v>
      </c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IFERROR(__xludf.DUMMYFUNCTION("""COMPUTED_VALUE"""),"Trade Date")</f>
        <v>Trade Date</v>
      </c>
      <c r="C5" s="24" t="str">
        <f>IFERROR(__xludf.DUMMYFUNCTION("""COMPUTED_VALUE"""),"Symbol")</f>
        <v>Symbol</v>
      </c>
      <c r="D5" s="24" t="str">
        <f>IFERROR(__xludf.DUMMYFUNCTION("""COMPUTED_VALUE"""),"Position")</f>
        <v>Position</v>
      </c>
      <c r="E5" s="24" t="str">
        <f>IFERROR(__xludf.DUMMYFUNCTION("""COMPUTED_VALUE"""),"Account")</f>
        <v>Account</v>
      </c>
      <c r="F5" s="24" t="str">
        <f>IFERROR(__xludf.DUMMYFUNCTION("""COMPUTED_VALUE"""),"MasterFund")</f>
        <v>MasterFund</v>
      </c>
      <c r="G5" s="24" t="str">
        <f>IFERROR(__xludf.DUMMYFUNCTION("""COMPUTED_VALUE"""),"Cost Basis")</f>
        <v>Cost Basis</v>
      </c>
      <c r="H5" s="24" t="str">
        <f>IFERROR(__xludf.DUMMYFUNCTION("""COMPUTED_VALUE"""),"Position Side")</f>
        <v>Position Side</v>
      </c>
      <c r="I5" s="24" t="str">
        <f>IFERROR(__xludf.DUMMYFUNCTION("""COMPUTED_VALUE"""),"Market Value (Base)")</f>
        <v>Market Value (Base)</v>
      </c>
      <c r="J5" s="24" t="str">
        <f>IFERROR(__xludf.DUMMYFUNCTION("""COMPUTED_VALUE"""),"% Day P&amp;L (Gross MV)")</f>
        <v>% Day P&amp;L (Gross MV)</v>
      </c>
      <c r="K5" s="24" t="str">
        <f>IFERROR(__xludf.DUMMYFUNCTION("""COMPUTED_VALUE"""),"Net Exposure (Base)")</f>
        <v>Net Exposure (Base)</v>
      </c>
      <c r="L5" s="24" t="str">
        <f>IFERROR(__xludf.DUMMYFUNCTION("""COMPUTED_VALUE"""),"Beta Adj. Gross Exposure (Base)")</f>
        <v>Beta Adj. Gross Exposure (Base)</v>
      </c>
      <c r="M5" s="24" t="str">
        <f>IFERROR(__xludf.DUMMYFUNCTION("""COMPUTED_VALUE"""),"Beta Adj. Gross Exposure (Underlying) (Base)")</f>
        <v>Beta Adj. Gross Exposure (Underlying) (Base)</v>
      </c>
      <c r="N5" s="24" t="str">
        <f>IFERROR(__xludf.DUMMYFUNCTION("""COMPUTED_VALUE"""),"Day P&amp;L (Base)")</f>
        <v>Day P&amp;L (Base)</v>
      </c>
      <c r="O5" s="24" t="str">
        <f>IFERROR(__xludf.DUMMYFUNCTION("""COMPUTED_VALUE"""),"Security Name")</f>
        <v>Security Name</v>
      </c>
      <c r="P5" s="24" t="str">
        <f>IFERROR(__xludf.DUMMYFUNCTION("""COMPUTED_VALUE"""),"Closing Mark")</f>
        <v>Closing Mark</v>
      </c>
      <c r="Q5" s="24" t="str">
        <f>IFERROR(__xludf.DUMMYFUNCTION("""COMPUTED_VALUE"""),"Cost Basis P&amp;L (Base)")</f>
        <v>Cost Basis P&amp;L (Base)</v>
      </c>
      <c r="R5" s="24" t="str">
        <f>IFERROR(__xludf.DUMMYFUNCTION("""COMPUTED_VALUE"""),"Prime Broker")</f>
        <v>Prime Broker</v>
      </c>
      <c r="S5" s="24" t="str">
        <f>IFERROR(__xludf.DUMMYFUNCTION("""COMPUTED_VALUE"""),"Strategy")</f>
        <v>Strategy</v>
      </c>
      <c r="T5" s="25" t="str">
        <f>IFERROR(__xludf.DUMMYFUNCTION("""COMPUTED_VALUE"""),"Asset Class")</f>
        <v>Asset Class</v>
      </c>
      <c r="U5" s="25" t="str">
        <f>IFERROR(__xludf.DUMMYFUNCTION("""COMPUTED_VALUE"""),"Underlying")</f>
        <v>Underlying</v>
      </c>
      <c r="V5" s="25" t="str">
        <f>IFERROR(__xludf.DUMMYFUNCTION("""COMPUTED_VALUE"""),"Exchange")</f>
        <v>Exchange</v>
      </c>
      <c r="W5" s="25" t="str">
        <f>IFERROR(__xludf.DUMMYFUNCTION("""COMPUTED_VALUE"""),"Trade Currency")</f>
        <v>Trade Currency</v>
      </c>
      <c r="X5" s="25" t="str">
        <f>IFERROR(__xludf.DUMMYFUNCTION("""COMPUTED_VALUE"""),"Multiplier")</f>
        <v>Multiplier</v>
      </c>
      <c r="Y5" s="25" t="str">
        <f>IFERROR(__xludf.DUMMYFUNCTION("""COMPUTED_VALUE"""),"FX Rate")</f>
        <v>FX Rate</v>
      </c>
      <c r="Z5" s="25" t="str">
        <f>IFERROR(__xludf.DUMMYFUNCTION("""COMPUTED_VALUE"""),"Vs Currency")</f>
        <v>Vs Currency</v>
      </c>
      <c r="AA5" s="25" t="str">
        <f>IFERROR(__xludf.DUMMYFUNCTION("""COMPUTED_VALUE"""),"Lead Currency")</f>
        <v>Lead Currency</v>
      </c>
      <c r="AB5" s="25" t="str">
        <f>IFERROR(__xludf.DUMMYFUNCTION("""COMPUTED_VALUE"""),"Dividend Yield (%)")</f>
        <v>Dividend Yield (%)</v>
      </c>
      <c r="AC5" s="25" t="str">
        <f>IFERROR(__xludf.DUMMYFUNCTION("""COMPUTED_VALUE"""),"% Change")</f>
        <v>% Change</v>
      </c>
      <c r="AD5" s="25" t="str">
        <f>IFERROR(__xludf.DUMMYFUNCTION("""COMPUTED_VALUE"""),"Net Exposure (Local)")</f>
        <v>Net Exposure (Local)</v>
      </c>
      <c r="AE5" s="25" t="str">
        <f>IFERROR(__xludf.DUMMYFUNCTION("""COMPUTED_VALUE"""),"Exposure (Local)")</f>
        <v>Exposure (Local)</v>
      </c>
      <c r="AF5" s="25" t="str">
        <f>IFERROR(__xludf.DUMMYFUNCTION("""COMPUTED_VALUE"""),"Delta Adj. Position")</f>
        <v>Delta Adj. Position</v>
      </c>
      <c r="AG5" s="25" t="str">
        <f>IFERROR(__xludf.DUMMYFUNCTION("""COMPUTED_VALUE"""),"Exposure (Base)")</f>
        <v>Exposure (Base)</v>
      </c>
      <c r="AH5" s="25" t="str">
        <f>IFERROR(__xludf.DUMMYFUNCTION("""COMPUTED_VALUE"""),"Beta Adj. Exposure (Local)")</f>
        <v>Beta Adj. Exposure (Local)</v>
      </c>
      <c r="AI5" s="25" t="str">
        <f>IFERROR(__xludf.DUMMYFUNCTION("""COMPUTED_VALUE"""),"Beta Adj. Exposure (Base)")</f>
        <v>Beta Adj. Exposure (Base)</v>
      </c>
      <c r="AJ5" s="25" t="str">
        <f>IFERROR(__xludf.DUMMYFUNCTION("""COMPUTED_VALUE"""),"Exposure (BP)(Base)")</f>
        <v>Exposure (BP)(Base)</v>
      </c>
      <c r="AK5" s="25" t="str">
        <f>IFERROR(__xludf.DUMMYFUNCTION("""COMPUTED_VALUE"""),"Day P&amp;L (Local)")</f>
        <v>Day P&amp;L (Local)</v>
      </c>
      <c r="AL5" s="25" t="str">
        <f>IFERROR(__xludf.DUMMYFUNCTION("""COMPUTED_VALUE"""),"Delta")</f>
        <v>Delta</v>
      </c>
      <c r="AM5" s="25" t="str">
        <f>IFERROR(__xludf.DUMMYFUNCTION("""COMPUTED_VALUE"""),"Leveraged Factor")</f>
        <v>Leveraged Factor</v>
      </c>
      <c r="AN5" s="25" t="str">
        <f>IFERROR(__xludf.DUMMYFUNCTION("""COMPUTED_VALUE"""),"Order Side")</f>
        <v>Order Side</v>
      </c>
      <c r="AO5" s="25" t="str">
        <f>IFERROR(__xludf.DUMMYFUNCTION("""COMPUTED_VALUE"""),"Master Strategy")</f>
        <v>Master Strategy</v>
      </c>
      <c r="AP5" s="25" t="str">
        <f>IFERROR(__xludf.DUMMYFUNCTION("""COMPUTED_VALUE"""),"Transaction Side")</f>
        <v>Transaction Side</v>
      </c>
      <c r="AQ5" s="25" t="str">
        <f>IFERROR(__xludf.DUMMYFUNCTION("""COMPUTED_VALUE"""),"Underlying Symbol")</f>
        <v>Underlying Symbol</v>
      </c>
      <c r="AR5" s="25" t="str">
        <f>IFERROR(__xludf.DUMMYFUNCTION("""COMPUTED_VALUE"""),"Underlying Price")</f>
        <v>Underlying Price</v>
      </c>
      <c r="AS5" s="25" t="str">
        <f>IFERROR(__xludf.DUMMYFUNCTION("""COMPUTED_VALUE"""),"Side Multiplier")</f>
        <v>Side Multiplier</v>
      </c>
      <c r="AT5" s="25" t="str">
        <f>IFERROR(__xludf.DUMMYFUNCTION("""COMPUTED_VALUE"""),"Description")</f>
        <v>Description</v>
      </c>
      <c r="AU5" s="25" t="str">
        <f>IFERROR(__xludf.DUMMYFUNCTION("""COMPUTED_VALUE"""),"Internal Comments")</f>
        <v>Internal Comments</v>
      </c>
      <c r="AV5" s="25" t="str">
        <f>IFERROR(__xludf.DUMMYFUNCTION("""COMPUTED_VALUE"""),"FX Rate On Trade Date")</f>
        <v>FX Rate On Trade Date</v>
      </c>
      <c r="AW5" s="25" t="str">
        <f>IFERROR(__xludf.DUMMYFUNCTION("""COMPUTED_VALUE"""),"Cost Basis P&amp;L (Local)")</f>
        <v>Cost Basis P&amp;L (Local)</v>
      </c>
      <c r="AX5" s="25" t="str">
        <f>IFERROR(__xludf.DUMMYFUNCTION("""COMPUTED_VALUE"""),"Day Interest")</f>
        <v>Day Interest</v>
      </c>
      <c r="AY5" s="25" t="str">
        <f>IFERROR(__xludf.DUMMYFUNCTION("""COMPUTED_VALUE"""),"Total Interest")</f>
        <v>Total Interest</v>
      </c>
      <c r="AZ5" s="25" t="str">
        <f>IFERROR(__xludf.DUMMYFUNCTION("""COMPUTED_VALUE"""),"Market Value (Local)")</f>
        <v>Market Value (Local)</v>
      </c>
      <c r="BA5" s="25" t="str">
        <f>IFERROR(__xludf.DUMMYFUNCTION("""COMPUTED_VALUE"""),"% Gain/Loss Day")</f>
        <v>% Gain/Loss Day</v>
      </c>
      <c r="BB5" s="25" t="str">
        <f>IFERROR(__xludf.DUMMYFUNCTION("""COMPUTED_VALUE"""),"Update Time (Last Price)")</f>
        <v>Update Time (Last Price)</v>
      </c>
      <c r="BC5" s="25" t="str">
        <f>IFERROR(__xludf.DUMMYFUNCTION("""COMPUTED_VALUE"""),"Beta")</f>
        <v>Beta</v>
      </c>
      <c r="BD5" s="25" t="str">
        <f>IFERROR(__xludf.DUMMYFUNCTION("""COMPUTED_VALUE"""),"Cash Impact (Local)")</f>
        <v>Cash Impact (Local)</v>
      </c>
      <c r="BE5" s="25" t="str">
        <f>IFERROR(__xludf.DUMMYFUNCTION("""COMPUTED_VALUE"""),"User Asset")</f>
        <v>User Asset</v>
      </c>
      <c r="BF5" s="25" t="str">
        <f>IFERROR(__xludf.DUMMYFUNCTION("""COMPUTED_VALUE"""),"Security Type")</f>
        <v>Security Type</v>
      </c>
      <c r="BG5" s="25" t="str">
        <f>IFERROR(__xludf.DUMMYFUNCTION("""COMPUTED_VALUE"""),"Sector")</f>
        <v>Sector</v>
      </c>
      <c r="BH5" s="25" t="str">
        <f>IFERROR(__xludf.DUMMYFUNCTION("""COMPUTED_VALUE"""),"Sub Sector")</f>
        <v>Sub Sector</v>
      </c>
      <c r="BI5" s="25" t="str">
        <f>IFERROR(__xludf.DUMMYFUNCTION("""COMPUTED_VALUE"""),"Country")</f>
        <v>Country</v>
      </c>
      <c r="BJ5" s="25" t="str">
        <f>IFERROR(__xludf.DUMMYFUNCTION("""COMPUTED_VALUE"""),"Market Cap")</f>
        <v>Market Cap</v>
      </c>
      <c r="BK5" s="25" t="str">
        <f>IFERROR(__xludf.DUMMYFUNCTION("""COMPUTED_VALUE"""),"Shares Outstanding (MM)")</f>
        <v>Shares Outstanding (MM)</v>
      </c>
      <c r="BL5" s="25" t="str">
        <f>IFERROR(__xludf.DUMMYFUNCTION("""COMPUTED_VALUE"""),"Avg Volume 20 Day")</f>
        <v>Avg Volume 20 Day</v>
      </c>
      <c r="BM5" s="25" t="str">
        <f>IFERROR(__xludf.DUMMYFUNCTION("""COMPUTED_VALUE"""),"% Avg Volume (Delta Adj.)")</f>
        <v>% Avg Volume (Delta Adj.)</v>
      </c>
      <c r="BN5" s="25" t="str">
        <f>IFERROR(__xludf.DUMMYFUNCTION("""COMPUTED_VALUE"""),"Ex Dividend Date")</f>
        <v>Ex Dividend Date</v>
      </c>
      <c r="BO5" s="25" t="str">
        <f>IFERROR(__xludf.DUMMYFUNCTION("""COMPUTED_VALUE"""),"Cash Impact (Base)")</f>
        <v>Cash Impact (Base)</v>
      </c>
      <c r="BP5" s="25" t="str">
        <f>IFERROR(__xludf.DUMMYFUNCTION("""COMPUTED_VALUE"""),"Volatility (%)")</f>
        <v>Volatility (%)</v>
      </c>
      <c r="BQ5" s="25" t="str">
        <f>IFERROR(__xludf.DUMMYFUNCTION("""COMPUTED_VALUE"""),"User")</f>
        <v>User</v>
      </c>
      <c r="BR5" s="25" t="str">
        <f>IFERROR(__xludf.DUMMYFUNCTION("""COMPUTED_VALUE"""),"Broker")</f>
        <v>Broker</v>
      </c>
      <c r="BS5" s="25" t="str">
        <f>IFERROR(__xludf.DUMMYFUNCTION("""COMPUTED_VALUE"""),"Earned Dividend (Local)")</f>
        <v>Earned Dividend (Local)</v>
      </c>
      <c r="BT5" s="25" t="str">
        <f>IFERROR(__xludf.DUMMYFUNCTION("""COMPUTED_VALUE"""),"Earned Dividend (Base)")</f>
        <v>Earned Dividend (Base)</v>
      </c>
      <c r="BU5" s="25" t="str">
        <f>IFERROR(__xludf.DUMMYFUNCTION("""COMPUTED_VALUE"""),"Put/Call")</f>
        <v>Put/Call</v>
      </c>
      <c r="BV5" s="25" t="str">
        <f>IFERROR(__xludf.DUMMYFUNCTION("""COMPUTED_VALUE"""),"Expiration Date")</f>
        <v>Expiration Date</v>
      </c>
      <c r="BW5" s="25" t="str">
        <f>IFERROR(__xludf.DUMMYFUNCTION("""COMPUTED_VALUE"""),"Strike Price")</f>
        <v>Strike Price</v>
      </c>
      <c r="BX5" s="25" t="str">
        <f>IFERROR(__xludf.DUMMYFUNCTION("""COMPUTED_VALUE"""),"Gross Exposure (Base)")</f>
        <v>Gross Exposure (Base)</v>
      </c>
      <c r="BY5" s="25" t="str">
        <f>IFERROR(__xludf.DUMMYFUNCTION("""COMPUTED_VALUE"""),"Gross Market Value (Base)")</f>
        <v>Gross Market Value (Base)</v>
      </c>
      <c r="BZ5" s="25" t="str">
        <f>IFERROR(__xludf.DUMMYFUNCTION("""COMPUTED_VALUE"""),"Px Selected Feed (Local)")</f>
        <v>Px Selected Feed (Local)</v>
      </c>
      <c r="CA5" s="25" t="str">
        <f>IFERROR(__xludf.DUMMYFUNCTION("""COMPUTED_VALUE"""),"Px Selected Feed (Base)")</f>
        <v>Px Selected Feed (Base)</v>
      </c>
      <c r="CB5" s="25" t="str">
        <f>IFERROR(__xludf.DUMMYFUNCTION("""COMPUTED_VALUE"""),"Settlement Date")</f>
        <v>Settlement Date</v>
      </c>
      <c r="CC5" s="25" t="str">
        <f>IFERROR(__xludf.DUMMYFUNCTION("""COMPUTED_VALUE"""),"% Avg Volume")</f>
        <v>% Avg Volume</v>
      </c>
      <c r="CD5" s="25" t="str">
        <f>IFERROR(__xludf.DUMMYFUNCTION("""COMPUTED_VALUE"""),"Day P&amp;L (Base)(Price Gain)")</f>
        <v>Day P&amp;L (Base)(Price Gain)</v>
      </c>
      <c r="CE5" s="25" t="str">
        <f>IFERROR(__xludf.DUMMYFUNCTION("""COMPUTED_VALUE"""),"Day P&amp;L (Base)(FX Gain)")</f>
        <v>Day P&amp;L (Base)(FX Gain)</v>
      </c>
      <c r="CF5" s="25" t="str">
        <f>IFERROR(__xludf.DUMMYFUNCTION("""COMPUTED_VALUE"""),"Cost Basis P&amp;L (Base)(FX Gain)")</f>
        <v>Cost Basis P&amp;L (Base)(FX Gain)</v>
      </c>
      <c r="CG5" s="25" t="str">
        <f>IFERROR(__xludf.DUMMYFUNCTION("""COMPUTED_VALUE"""),"Cost Basis P&amp;L (Base)(Price Gain)")</f>
        <v>Cost Basis P&amp;L (Base)(Price Gain)</v>
      </c>
      <c r="CH5" s="25" t="str">
        <f>IFERROR(__xludf.DUMMYFUNCTION("""COMPUTED_VALUE"""),"% Gain/Loss Cost")</f>
        <v>% Gain/Loss Cost</v>
      </c>
      <c r="CI5" s="25" t="str">
        <f>IFERROR(__xludf.DUMMYFUNCTION("""COMPUTED_VALUE"""),"Underlying Value (Options)")</f>
        <v>Underlying Value (Options)</v>
      </c>
      <c r="CJ5" s="25" t="str">
        <f>IFERROR(__xludf.DUMMYFUNCTION("""COMPUTED_VALUE"""),"Avg Volume 20 Day (Underlying Symbol)")</f>
        <v>Avg Volume 20 Day (Underlying Symbol)</v>
      </c>
      <c r="CK5" s="25" t="str">
        <f>IFERROR(__xludf.DUMMYFUNCTION("""COMPUTED_VALUE"""),"IsStaleData")</f>
        <v>IsStaleData</v>
      </c>
      <c r="CL5" s="25" t="str">
        <f>IFERROR(__xludf.DUMMYFUNCTION("""COMPUTED_VALUE"""),"IDCO")</f>
        <v>IDCO</v>
      </c>
      <c r="CM5" s="25" t="str">
        <f>IFERROR(__xludf.DUMMYFUNCTION("""COMPUTED_VALUE"""),"OSI")</f>
        <v>OSI</v>
      </c>
      <c r="CN5" s="25" t="str">
        <f>IFERROR(__xludf.DUMMYFUNCTION("""COMPUTED_VALUE"""),"SEDOL")</f>
        <v>SEDOL</v>
      </c>
      <c r="CO5" s="25" t="str">
        <f>IFERROR(__xludf.DUMMYFUNCTION("""COMPUTED_VALUE"""),"CUSIP")</f>
        <v>CUSIP</v>
      </c>
      <c r="CP5" s="25" t="str">
        <f>IFERROR(__xludf.DUMMYFUNCTION("""COMPUTED_VALUE"""),"Bloomberg")</f>
        <v>Bloomberg</v>
      </c>
      <c r="CQ5" s="25" t="str">
        <f>IFERROR(__xludf.DUMMYFUNCTION("""COMPUTED_VALUE"""),"ISIN")</f>
        <v>ISIN</v>
      </c>
      <c r="CR5" s="25" t="str">
        <f>IFERROR(__xludf.DUMMYFUNCTION("""COMPUTED_VALUE"""),"Start Trade Date")</f>
        <v>Start Trade Date</v>
      </c>
      <c r="CS5" s="25" t="str">
        <f>IFERROR(__xludf.DUMMYFUNCTION("""COMPUTED_VALUE"""),"Cost Basis (Break Even)")</f>
        <v>Cost Basis (Break Even)</v>
      </c>
      <c r="CT5" s="25" t="str">
        <f>IFERROR(__xludf.DUMMYFUNCTION("""COMPUTED_VALUE"""),"Trade Attribute 3")</f>
        <v>Trade Attribute 3</v>
      </c>
      <c r="CU5" s="25" t="str">
        <f>IFERROR(__xludf.DUMMYFUNCTION("""COMPUTED_VALUE"""),"Trade Attribute 4")</f>
        <v>Trade Attribute 4</v>
      </c>
      <c r="CV5" s="25" t="str">
        <f>IFERROR(__xludf.DUMMYFUNCTION("""COMPUTED_VALUE"""),"Trade Attribute 5")</f>
        <v>Trade Attribute 5</v>
      </c>
      <c r="CW5" s="25" t="str">
        <f>IFERROR(__xludf.DUMMYFUNCTION("""COMPUTED_VALUE"""),"Trade Attribute 6")</f>
        <v>Trade Attribute 6</v>
      </c>
      <c r="CX5" s="25" t="str">
        <f>IFERROR(__xludf.DUMMYFUNCTION("""COMPUTED_VALUE"""),"Proxy Symbol")</f>
        <v>Proxy Symbol</v>
      </c>
      <c r="CY5" s="25" t="str">
        <f>IFERROR(__xludf.DUMMYFUNCTION("""COMPUTED_VALUE"""),"Pricing Source")</f>
        <v>Pricing Source</v>
      </c>
      <c r="CZ5" s="25" t="str">
        <f>IFERROR(__xludf.DUMMYFUNCTION("""COMPUTED_VALUE"""),"Delta Source")</f>
        <v>Delta Source</v>
      </c>
      <c r="DA5" s="25" t="str">
        <f>IFERROR(__xludf.DUMMYFUNCTION("""COMPUTED_VALUE"""),"Gross Exposure (Local)")</f>
        <v>Gross Exposure (Local)</v>
      </c>
      <c r="DB5" s="25" t="str">
        <f>IFERROR(__xludf.DUMMYFUNCTION("""COMPUTED_VALUE"""),"% Day P&amp;L (Net MV)")</f>
        <v>% Day P&amp;L (Net MV)</v>
      </c>
      <c r="DC5" s="25" t="str">
        <f>IFERROR(__xludf.DUMMYFUNCTION("""COMPUTED_VALUE"""),"Expiration Month")</f>
        <v>Expiration Month</v>
      </c>
      <c r="DD5" s="25" t="str">
        <f>IFERROR(__xludf.DUMMYFUNCTION("""COMPUTED_VALUE"""),"Delta Adj. Position (LME)")</f>
        <v>Delta Adj. Position (LME)</v>
      </c>
      <c r="DE5" s="25" t="str">
        <f>IFERROR(__xludf.DUMMYFUNCTION("""COMPUTED_VALUE"""),"Premium")</f>
        <v>Premium</v>
      </c>
      <c r="DF5" s="25" t="str">
        <f>IFERROR(__xludf.DUMMYFUNCTION("""COMPUTED_VALUE"""),"Premium $")</f>
        <v>Premium $</v>
      </c>
      <c r="DG5" s="25" t="str">
        <f>IFERROR(__xludf.DUMMYFUNCTION("""COMPUTED_VALUE"""),"Forward Points")</f>
        <v>Forward Points</v>
      </c>
      <c r="DH5" s="25" t="str">
        <f>IFERROR(__xludf.DUMMYFUNCTION("""COMPUTED_VALUE"""),"Closing Mark (Underlying)")</f>
        <v>Closing Mark (Underlying)</v>
      </c>
      <c r="DI5" s="25" t="str">
        <f>IFERROR(__xludf.DUMMYFUNCTION("""COMPUTED_VALUE"""),"% Change (Underlying Price)")</f>
        <v>% Change (Underlying Price)</v>
      </c>
      <c r="DJ5" s="25" t="str">
        <f>IFERROR(__xludf.DUMMYFUNCTION("""COMPUTED_VALUE"""),"Transaction Type")</f>
        <v>Transaction Type</v>
      </c>
      <c r="DK5" s="25" t="str">
        <f>IFERROR(__xludf.DUMMYFUNCTION("""COMPUTED_VALUE"""),"Closing Market Value (Local)")</f>
        <v>Closing Market Value (Local)</v>
      </c>
      <c r="DL5" s="25" t="str">
        <f>IFERROR(__xludf.DUMMYFUNCTION("""COMPUTED_VALUE"""),"Closing Market Value (Base)")</f>
        <v>Closing Market Value (Base)</v>
      </c>
      <c r="DM5" s="25" t="str">
        <f>IFERROR(__xludf.DUMMYFUNCTION("""COMPUTED_VALUE"""),"Closing FX Rate")</f>
        <v>Closing FX Rate</v>
      </c>
      <c r="DN5" s="25" t="str">
        <f>IFERROR(__xludf.DUMMYFUNCTION("""COMPUTED_VALUE"""),"Change In Underlying Price")</f>
        <v>Change In Underlying Price</v>
      </c>
      <c r="DO5" s="25" t="str">
        <f>IFERROR(__xludf.DUMMYFUNCTION("""COMPUTED_VALUE"""),"RIC")</f>
        <v>RIC</v>
      </c>
      <c r="DP5" s="25" t="str">
        <f>IFERROR(__xludf.DUMMYFUNCTION("""COMPUTED_VALUE"""),"Position Side Exposure (Boxed)")</f>
        <v>Position Side Exposure (Boxed)</v>
      </c>
      <c r="DQ5" s="25" t="str">
        <f>IFERROR(__xludf.DUMMYFUNCTION("""COMPUTED_VALUE"""),"Analyst")</f>
        <v>Analyst</v>
      </c>
      <c r="DR5" s="25" t="str">
        <f>IFERROR(__xludf.DUMMYFUNCTION("""COMPUTED_VALUE"""),"Country Of Risk")</f>
        <v>Country Of Risk</v>
      </c>
      <c r="DS5" s="25" t="str">
        <f>IFERROR(__xludf.DUMMYFUNCTION("""COMPUTED_VALUE"""),"Custom UDA1")</f>
        <v>Custom UDA1</v>
      </c>
      <c r="DT5" s="25" t="str">
        <f>IFERROR(__xludf.DUMMYFUNCTION("""COMPUTED_VALUE"""),"Custom UDA2")</f>
        <v>Custom UDA2</v>
      </c>
      <c r="DU5" s="25" t="str">
        <f>IFERROR(__xludf.DUMMYFUNCTION("""COMPUTED_VALUE"""),"Custom UDA3")</f>
        <v>Custom UDA3</v>
      </c>
      <c r="DV5" s="25" t="str">
        <f>IFERROR(__xludf.DUMMYFUNCTION("""COMPUTED_VALUE"""),"Custom UDA4")</f>
        <v>Custom UDA4</v>
      </c>
      <c r="DW5" s="25" t="str">
        <f>IFERROR(__xludf.DUMMYFUNCTION("""COMPUTED_VALUE"""),"Custom UDA5")</f>
        <v>Custom UDA5</v>
      </c>
      <c r="DX5" s="25" t="str">
        <f>IFERROR(__xludf.DUMMYFUNCTION("""COMPUTED_VALUE"""),"Custom UDA6")</f>
        <v>Custom UDA6</v>
      </c>
      <c r="DY5" s="25" t="str">
        <f>IFERROR(__xludf.DUMMYFUNCTION("""COMPUTED_VALUE"""),"Custom UDA7")</f>
        <v>Custom UDA7</v>
      </c>
      <c r="DZ5" s="25" t="str">
        <f>IFERROR(__xludf.DUMMYFUNCTION("""COMPUTED_VALUE"""),"Issuer")</f>
        <v>Issuer</v>
      </c>
      <c r="EA5" s="25" t="str">
        <f>IFERROR(__xludf.DUMMYFUNCTION("""COMPUTED_VALUE"""),"Liquid Tag")</f>
        <v>Liquid Tag</v>
      </c>
      <c r="EB5" s="25" t="str">
        <f>IFERROR(__xludf.DUMMYFUNCTION("""COMPUTED_VALUE"""),"Market Cap UDA")</f>
        <v>Market Cap UDA</v>
      </c>
      <c r="EC5" s="25" t="str">
        <f>IFERROR(__xludf.DUMMYFUNCTION("""COMPUTED_VALUE"""),"Region")</f>
        <v>Region</v>
      </c>
      <c r="ED5" s="25" t="str">
        <f>IFERROR(__xludf.DUMMYFUNCTION("""COMPUTED_VALUE"""),"Risk Currency")</f>
        <v>Risk Currency</v>
      </c>
      <c r="EE5" s="25" t="str">
        <f>IFERROR(__xludf.DUMMYFUNCTION("""COMPUTED_VALUE"""),"UCITS Eligible Tag")</f>
        <v>UCITS Eligible Tag</v>
      </c>
      <c r="EF5" s="25" t="str">
        <f>IFERROR(__xludf.DUMMYFUNCTION("""COMPUTED_VALUE"""),"FX Rate (Display)")</f>
        <v>FX Rate (Display)</v>
      </c>
      <c r="EG5" s="25" t="str">
        <f>IFERROR(__xludf.DUMMYFUNCTION("""COMPUTED_VALUE"""),"% Net Exposure (Base)")</f>
        <v>% Net Exposure (Base)</v>
      </c>
      <c r="EH5" s="25" t="str">
        <f>IFERROR(__xludf.DUMMYFUNCTION("""COMPUTED_VALUE"""),"% Gross Exposure (Base)")</f>
        <v>% Gross Exposure (Base)</v>
      </c>
      <c r="EI5" s="25" t="str">
        <f>IFERROR(__xludf.DUMMYFUNCTION("""COMPUTED_VALUE"""),"% Exposure (Base)")</f>
        <v>% Exposure (Base)</v>
      </c>
      <c r="EJ5" s="25" t="str">
        <f>IFERROR(__xludf.DUMMYFUNCTION("""COMPUTED_VALUE"""),"% Gross Exposure (Underlying) (Base)")</f>
        <v>% Gross Exposure (Underlying) (Base)</v>
      </c>
      <c r="EK5" s="25" t="str">
        <f>IFERROR(__xludf.DUMMYFUNCTION("""COMPUTED_VALUE"""),"% Beta Adj. Gross Exposure (Base)")</f>
        <v>% Beta Adj. Gross Exposure (Base)</v>
      </c>
      <c r="EL5" s="25" t="str">
        <f>IFERROR(__xludf.DUMMYFUNCTION("""COMPUTED_VALUE"""),"Position Side Exposure (Underlying)")</f>
        <v>Position Side Exposure (Underlying)</v>
      </c>
      <c r="EM5" s="25" t="str">
        <f>IFERROR(__xludf.DUMMYFUNCTION("""COMPUTED_VALUE"""),"Gross Exposure (Underlying) (Base)")</f>
        <v>Gross Exposure (Underlying) (Base)</v>
      </c>
      <c r="EN5" s="25" t="str">
        <f>IFERROR(__xludf.DUMMYFUNCTION("""COMPUTED_VALUE"""),"Gross Exposure (Underlying)")</f>
        <v>Gross Exposure (Underlying)</v>
      </c>
      <c r="EO5" s="25" t="str">
        <f>IFERROR(__xludf.DUMMYFUNCTION("""COMPUTED_VALUE"""),"Day Return")</f>
        <v>Day Return</v>
      </c>
      <c r="EP5" s="25" t="str">
        <f>IFERROR(__xludf.DUMMYFUNCTION("""COMPUTED_VALUE"""),"Start of Day NAV")</f>
        <v>Start of Day NAV</v>
      </c>
      <c r="EQ5" s="25" t="str">
        <f>IFERROR(__xludf.DUMMYFUNCTION("""COMPUTED_VALUE"""),"% Gross Market Value (Base)")</f>
        <v>% Gross Market Value (Base)</v>
      </c>
      <c r="ER5" s="25" t="str">
        <f>IFERROR(__xludf.DUMMYFUNCTION("""COMPUTED_VALUE"""),"Beta Adj. Gross Exposure (Underlying) (Local)")</f>
        <v>Beta Adj. Gross Exposure (Underlying) (Local)</v>
      </c>
      <c r="ES5" s="25" t="str">
        <f>IFERROR(__xludf.DUMMYFUNCTION("""COMPUTED_VALUE"""),"NAV")</f>
        <v>NAV</v>
      </c>
      <c r="ET5" s="25" t="str">
        <f>IFERROR(__xludf.DUMMYFUNCTION("""COMPUTED_VALUE"""),"% P&amp;L Contribution")</f>
        <v>% P&amp;L Contribution</v>
      </c>
      <c r="EU5" s="25" t="str">
        <f>IFERROR(__xludf.DUMMYFUNCTION("""COMPUTED_VALUE"""),"% Net Market Value (Base)")</f>
        <v>% Net Market Value (Base)</v>
      </c>
      <c r="EV5" s="25" t="str">
        <f>IFERROR(__xludf.DUMMYFUNCTION("""COMPUTED_VALUE"""),"Position Side Exposure")</f>
        <v>Position Side Exposure</v>
      </c>
      <c r="EW5" s="25" t="str">
        <f>IFERROR(__xludf.DUMMYFUNCTION("""COMPUTED_VALUE"""),"NAV (Touch)")</f>
        <v>NAV (Touch)</v>
      </c>
      <c r="EX5" s="25" t="str">
        <f>IFERROR(__xludf.DUMMYFUNCTION("""COMPUTED_VALUE"""),"IgnorePropertyChangeEvents")</f>
        <v>IgnorePropertyChangeEvents</v>
      </c>
      <c r="EY5" s="25" t="str">
        <f>IFERROR(__xludf.DUMMYFUNCTION("""COMPUTED_VALUE"""),"Trade Attribute 1")</f>
        <v>Trade Attribute 1</v>
      </c>
      <c r="EZ5" s="25" t="str">
        <f>IFERROR(__xludf.DUMMYFUNCTION("""COMPUTED_VALUE"""),"Trade Attribute 2")</f>
        <v>Trade Attribute 2</v>
      </c>
      <c r="FA5" s="25" t="str">
        <f>IFERROR(__xludf.DUMMYFUNCTION("""COMPUTED_VALUE"""),"Client")</f>
        <v>Client</v>
      </c>
      <c r="FB5" s="25" t="str">
        <f>IFERROR(__xludf.DUMMYFUNCTION("""COMPUTED_VALUE"""),"IsCustomViewTab")</f>
        <v>IsCustomViewTab</v>
      </c>
      <c r="FC5" s="25" t="str">
        <f>IFERROR(__xludf.DUMMYFUNCTION("""COMPUTED_VALUE"""),"ITM/OTM")</f>
        <v>ITM/OTM</v>
      </c>
      <c r="FD5" s="25" t="str">
        <f>IFERROR(__xludf.DUMMYFUNCTION("""COMPUTED_VALUE"""),"Days to Expiry")</f>
        <v>Days to Expiry</v>
      </c>
      <c r="FE5" s="25" t="str">
        <f>IFERROR(__xludf.DUMMYFUNCTION("""COMPUTED_VALUE"""),"% of ITM/OTM")</f>
        <v>% of ITM/OTM</v>
      </c>
      <c r="FF5" s="25" t="str">
        <f>IFERROR(__xludf.DUMMYFUNCTION("""COMPUTED_VALUE"""),"Intrinsic value")</f>
        <v>Intrinsic value</v>
      </c>
      <c r="FG5" s="25" t="str">
        <f>IFERROR(__xludf.DUMMYFUNCTION("""COMPUTED_VALUE"""),"Gain/Loss if Ex./Assign")</f>
        <v>Gain/Loss if Ex./Assign</v>
      </c>
      <c r="FH5" s="25" t="str">
        <f>IFERROR(__xludf.DUMMYFUNCTION("""COMPUTED_VALUE"""),"isRowCountCheck")</f>
        <v>isRowCountCheck</v>
      </c>
      <c r="FI5" s="25"/>
      <c r="FJ5" s="25"/>
      <c r="FK5" s="25"/>
    </row>
    <row r="6" ht="15.75" customHeight="1">
      <c r="A6" s="9"/>
      <c r="B6" s="9"/>
      <c r="C6" s="9" t="s">
        <v>671</v>
      </c>
      <c r="D6" s="9">
        <v>100.0</v>
      </c>
      <c r="E6" s="9" t="s">
        <v>667</v>
      </c>
      <c r="F6" s="9" t="s">
        <v>678</v>
      </c>
      <c r="G6" s="9">
        <v>4.0</v>
      </c>
      <c r="H6" s="9"/>
      <c r="I6" s="9">
        <v>400.0</v>
      </c>
      <c r="J6" s="9"/>
      <c r="K6" s="9"/>
      <c r="L6" s="9"/>
      <c r="M6" s="9"/>
      <c r="N6" s="9"/>
      <c r="O6" s="9"/>
      <c r="AN6" t="s">
        <v>672</v>
      </c>
    </row>
    <row r="7" ht="15.75" customHeight="1">
      <c r="A7" s="9"/>
      <c r="B7" s="9"/>
      <c r="C7" s="9" t="s">
        <v>671</v>
      </c>
      <c r="D7" s="9">
        <v>1429.0</v>
      </c>
      <c r="E7" s="9" t="s">
        <v>667</v>
      </c>
      <c r="F7" s="9" t="s">
        <v>678</v>
      </c>
      <c r="G7" s="9">
        <v>4.0</v>
      </c>
      <c r="H7" s="9"/>
      <c r="I7" s="9">
        <v>5716.0</v>
      </c>
      <c r="J7" s="9"/>
      <c r="K7" s="9"/>
      <c r="L7" s="9"/>
      <c r="M7" s="9"/>
      <c r="N7" s="9"/>
      <c r="O7" s="9"/>
      <c r="AN7" t="s">
        <v>672</v>
      </c>
    </row>
    <row r="8" ht="15.75" customHeight="1">
      <c r="A8" s="9"/>
      <c r="B8" s="9"/>
      <c r="C8" s="9" t="s">
        <v>671</v>
      </c>
      <c r="D8" s="9">
        <v>200.0</v>
      </c>
      <c r="E8" s="9" t="s">
        <v>669</v>
      </c>
      <c r="F8" s="9" t="s">
        <v>679</v>
      </c>
      <c r="G8" s="9">
        <v>4.0</v>
      </c>
      <c r="H8" s="9"/>
      <c r="I8" s="9">
        <v>800.0</v>
      </c>
      <c r="J8" s="9"/>
      <c r="K8" s="9"/>
      <c r="L8" s="9"/>
      <c r="M8" s="9"/>
      <c r="N8" s="9"/>
      <c r="O8" s="9"/>
      <c r="AN8" t="s">
        <v>672</v>
      </c>
    </row>
    <row r="9" ht="15.75" customHeight="1">
      <c r="A9" s="9"/>
      <c r="B9" s="9"/>
      <c r="C9" s="9" t="s">
        <v>671</v>
      </c>
      <c r="D9" s="9">
        <v>2094.0</v>
      </c>
      <c r="E9" s="9" t="s">
        <v>669</v>
      </c>
      <c r="F9" s="9" t="s">
        <v>679</v>
      </c>
      <c r="G9" s="9">
        <v>4.0</v>
      </c>
      <c r="H9" s="9"/>
      <c r="I9" s="9">
        <v>8376.0</v>
      </c>
      <c r="J9" s="9"/>
      <c r="K9" s="9"/>
      <c r="L9" s="9"/>
      <c r="M9" s="9"/>
      <c r="N9" s="9"/>
      <c r="O9" s="9"/>
      <c r="AN9" t="s">
        <v>672</v>
      </c>
    </row>
    <row r="10" ht="15.75" customHeight="1">
      <c r="A10" s="9"/>
      <c r="B10" s="9"/>
      <c r="C10" s="9" t="s">
        <v>671</v>
      </c>
      <c r="D10" s="9">
        <v>201.0</v>
      </c>
      <c r="E10" s="9" t="s">
        <v>670</v>
      </c>
      <c r="F10" s="9" t="s">
        <v>678</v>
      </c>
      <c r="G10" s="9">
        <v>4.0</v>
      </c>
      <c r="H10" s="9"/>
      <c r="I10" s="9">
        <v>804.0</v>
      </c>
      <c r="J10" s="9"/>
      <c r="K10" s="9"/>
      <c r="L10" s="9"/>
      <c r="M10" s="9"/>
      <c r="N10" s="9"/>
      <c r="O10" s="9"/>
      <c r="AN10" t="s">
        <v>672</v>
      </c>
    </row>
    <row r="11" ht="15.75" customHeight="1">
      <c r="A11" s="9"/>
      <c r="B11" s="9"/>
      <c r="C11" s="9" t="s">
        <v>671</v>
      </c>
      <c r="D11" s="9">
        <v>2477.0</v>
      </c>
      <c r="E11" s="9" t="s">
        <v>670</v>
      </c>
      <c r="F11" s="9" t="s">
        <v>678</v>
      </c>
      <c r="G11" s="9">
        <v>4.0</v>
      </c>
      <c r="H11" s="9"/>
      <c r="I11" s="9">
        <v>9908.0</v>
      </c>
      <c r="J11" s="9"/>
      <c r="K11" s="9"/>
      <c r="L11" s="9"/>
      <c r="M11" s="9"/>
      <c r="N11" s="9"/>
      <c r="O11" s="9"/>
      <c r="AN11" t="s">
        <v>672</v>
      </c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6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18</v>
      </c>
      <c r="D3" s="4" t="s">
        <v>662</v>
      </c>
      <c r="E3" s="13" t="s">
        <v>258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</row>
    <row r="4" ht="15.75" customHeight="1">
      <c r="A4" s="21"/>
      <c r="B4" s="21" t="str">
        <f>IFERROR(__xludf.DUMMYFUNCTION("IF(C3="""","""",Transpose(IMPORTRANGE('_Settings'!$B$3,C3&amp;""!A4:A1000"")))"),"ReplaceFillsOnBlotter")</f>
        <v>ReplaceFillsOnBlotter</v>
      </c>
      <c r="C4" s="21" t="str">
        <f>IFERROR(__xludf.DUMMYFUNCTION("""COMPUTED_VALUE"""),"CheckBlotter")</f>
        <v>CheckBlotter</v>
      </c>
      <c r="D4" s="21" t="str">
        <f>IFERROR(__xludf.DUMMYFUNCTION("""COMPUTED_VALUE"""),"BlotterFunctionalities")</f>
        <v>BlotterFunctionalities</v>
      </c>
      <c r="E4" s="21" t="str">
        <f>IFERROR(__xludf.DUMMYFUNCTION("""COMPUTED_VALUE"""),"TransferToUserWorkingSubs")</f>
        <v>TransferToUserWorkingSubs</v>
      </c>
      <c r="F4" s="21" t="str">
        <f>IFERROR(__xludf.DUMMYFUNCTION("""COMPUTED_VALUE"""),"CancelWorkingSubs")</f>
        <v>CancelWorkingSubs</v>
      </c>
      <c r="G4" s="21" t="str">
        <f>IFERROR(__xludf.DUMMYFUNCTION("""COMPUTED_VALUE"""),"ReplaceWorkingSubs")</f>
        <v>ReplaceWorkingSubs</v>
      </c>
      <c r="H4" s="21" t="str">
        <f>IFERROR(__xludf.DUMMYFUNCTION("""COMPUTED_VALUE"""),"ViewAllocationDetailsWorkingSub")</f>
        <v>ViewAllocationDetailsWorkingSub</v>
      </c>
      <c r="I4" s="21" t="str">
        <f>IFERROR(__xludf.DUMMYFUNCTION("""COMPUTED_VALUE"""),"SelectTradeOnOrderGrid")</f>
        <v>SelectTradeOnOrderGrid</v>
      </c>
      <c r="J4" s="21" t="str">
        <f>IFERROR(__xludf.DUMMYFUNCTION("""COMPUTED_VALUE"""),"ShowDetailsForAlgoTradeSubOrder")</f>
        <v>ShowDetailsForAlgoTradeSubOrder</v>
      </c>
      <c r="K4" s="21" t="str">
        <f>IFERROR(__xludf.DUMMYFUNCTION("""COMPUTED_VALUE"""),"SelectTradeOrderBlotter")</f>
        <v>SelectTradeOrderBlotter</v>
      </c>
      <c r="L4" s="21" t="str">
        <f>IFERROR(__xludf.DUMMYFUNCTION("""COMPUTED_VALUE"""),"AddFillsWorkingSubs")</f>
        <v>AddFillsWorkingSubs</v>
      </c>
      <c r="M4" s="21" t="str">
        <f>IFERROR(__xludf.DUMMYFUNCTION("""COMPUTED_VALUE"""),"EditAddFillsDetails")</f>
        <v>EditAddFillsDetails</v>
      </c>
      <c r="N4" s="21" t="str">
        <f>IFERROR(__xludf.DUMMYFUNCTION("""COMPUTED_VALUE"""),"ShowDetailsForAlgoTradeWorkingSubs")</f>
        <v>ShowDetailsForAlgoTradeWorkingSubs</v>
      </c>
      <c r="O4" s="21" t="str">
        <f>IFERROR(__xludf.DUMMYFUNCTION("""COMPUTED_VALUE"""),"VerifyWorkingSubs")</f>
        <v>VerifyWorkingSubs</v>
      </c>
      <c r="P4" s="22" t="str">
        <f>IFERROR(__xludf.DUMMYFUNCTION("""COMPUTED_VALUE"""),"TransferToUserOrder")</f>
        <v>TransferToUserOrder</v>
      </c>
      <c r="Q4" s="22" t="str">
        <f>IFERROR(__xludf.DUMMYFUNCTION("""COMPUTED_VALUE"""),"EditOrder")</f>
        <v>EditOrder</v>
      </c>
      <c r="R4" s="22" t="str">
        <f>IFERROR(__xludf.DUMMYFUNCTION("""COMPUTED_VALUE"""),"SelectTradeSubOrderBlotter")</f>
        <v>SelectTradeSubOrderBlotter</v>
      </c>
      <c r="S4" s="22" t="str">
        <f>IFERROR(__xludf.DUMMYFUNCTION("""COMPUTED_VALUE"""),"VerifyOrder")</f>
        <v>VerifyOrder</v>
      </c>
      <c r="T4" s="22" t="str">
        <f>IFERROR(__xludf.DUMMYFUNCTION("""COMPUTED_VALUE"""),"VerifySubOrder")</f>
        <v>VerifySubOrder</v>
      </c>
      <c r="U4" s="22" t="str">
        <f>IFERROR(__xludf.DUMMYFUNCTION("""COMPUTED_VALUE"""),"RemoveSelectedOrders")</f>
        <v>RemoveSelectedOrders</v>
      </c>
      <c r="V4" s="22" t="str">
        <f>IFERROR(__xludf.DUMMYFUNCTION("""COMPUTED_VALUE"""),"CancelAllSelectedSubs")</f>
        <v>CancelAllSelectedSubs</v>
      </c>
      <c r="W4" s="22" t="str">
        <f>IFERROR(__xludf.DUMMYFUNCTION("""COMPUTED_VALUE"""),"MultiTradingTicket")</f>
        <v>MultiTradingTicket</v>
      </c>
      <c r="X4" s="22" t="str">
        <f>IFERROR(__xludf.DUMMYFUNCTION("""COMPUTED_VALUE"""),"AuditTrailOrderBlotter")</f>
        <v>AuditTrailOrderBlotter</v>
      </c>
      <c r="Y4" s="22" t="str">
        <f>IFERROR(__xludf.DUMMYFUNCTION("""COMPUTED_VALUE"""),"TradeNewSubOrder")</f>
        <v>TradeNewSubOrder</v>
      </c>
      <c r="Z4" s="22" t="str">
        <f>IFERROR(__xludf.DUMMYFUNCTION("""COMPUTED_VALUE"""),"RemoveStageOrder")</f>
        <v>RemoveStageOrder</v>
      </c>
      <c r="AA4" s="22" t="str">
        <f>IFERROR(__xludf.DUMMYFUNCTION("""COMPUTED_VALUE"""),"TransferToUserSubOrder")</f>
        <v>TransferToUserSubOrder</v>
      </c>
      <c r="AB4" s="22" t="str">
        <f>IFERROR(__xludf.DUMMYFUNCTION("""COMPUTED_VALUE"""),"DetailsForAlgoTradeOrder")</f>
        <v>DetailsForAlgoTradeOrder</v>
      </c>
      <c r="AC4" s="22" t="str">
        <f>IFERROR(__xludf.DUMMYFUNCTION("""COMPUTED_VALUE"""),"AddFillsSubOrder")</f>
        <v>AddFillsSubOrder</v>
      </c>
      <c r="AD4" s="22" t="str">
        <f>IFERROR(__xludf.DUMMYFUNCTION("""COMPUTED_VALUE"""),"ViewAllocationDetailsSubOrder")</f>
        <v>ViewAllocationDetailsSubOrder</v>
      </c>
      <c r="AE4" s="22" t="str">
        <f>IFERROR(__xludf.DUMMYFUNCTION("""COMPUTED_VALUE"""),"CancelAllSubs")</f>
        <v>CancelAllSubs</v>
      </c>
      <c r="AF4" s="22" t="str">
        <f>IFERROR(__xludf.DUMMYFUNCTION("""COMPUTED_VALUE"""),"CancelSubOrder")</f>
        <v>CancelSubOrder</v>
      </c>
      <c r="AG4" s="22" t="str">
        <f>IFERROR(__xludf.DUMMYFUNCTION("""COMPUTED_VALUE"""),"EditStageOrder")</f>
        <v>EditStageOrder</v>
      </c>
      <c r="AH4" s="22" t="str">
        <f>IFERROR(__xludf.DUMMYFUNCTION("""COMPUTED_VALUE"""),"ReplaceSubOrder")</f>
        <v>ReplaceSubOrder</v>
      </c>
      <c r="AI4" s="22" t="str">
        <f>IFERROR(__xludf.DUMMYFUNCTION("""COMPUTED_VALUE"""),"SelectTradeWorkingSubsBlotter")</f>
        <v>SelectTradeWorkingSubsBlotter</v>
      </c>
      <c r="AJ4" s="22" t="str">
        <f>IFERROR(__xludf.DUMMYFUNCTION("""COMPUTED_VALUE"""),"VerifyAlgoDetails")</f>
        <v>VerifyAlgoDetails</v>
      </c>
      <c r="AK4" s="22" t="str">
        <f>IFERROR(__xludf.DUMMYFUNCTION("""COMPUTED_VALUE"""),"VerifyTransferToUserOrder")</f>
        <v>VerifyTransferToUserOrder</v>
      </c>
      <c r="AL4" s="22" t="str">
        <f>IFERROR(__xludf.DUMMYFUNCTION("""COMPUTED_VALUE"""),"VerifyTransferToUserSubOdr")</f>
        <v>VerifyTransferToUserSubOdr</v>
      </c>
      <c r="AM4" s="22" t="str">
        <f>IFERROR(__xludf.DUMMYFUNCTION("""COMPUTED_VALUE"""),"VerifyTransferToUserWorkSub")</f>
        <v>VerifyTransferToUserWorkSub</v>
      </c>
      <c r="AN4" s="22" t="str">
        <f>IFERROR(__xludf.DUMMYFUNCTION("""COMPUTED_VALUE"""),"SaveLayoutOrderGrid")</f>
        <v>SaveLayoutOrderGrid</v>
      </c>
      <c r="AO4" s="22" t="str">
        <f>IFERROR(__xludf.DUMMYFUNCTION("""COMPUTED_VALUE"""),"ReplaceStageOrder")</f>
        <v>ReplaceStageOrder</v>
      </c>
      <c r="AP4" s="22" t="str">
        <f>IFERROR(__xludf.DUMMYFUNCTION("""COMPUTED_VALUE"""),"MultiTradingTicketFromBlotter")</f>
        <v>MultiTradingTicketFromBlotter</v>
      </c>
      <c r="AQ4" s="22" t="str">
        <f>IFERROR(__xludf.DUMMYFUNCTION("""COMPUTED_VALUE"""),"VerifyViewAllocationDetails")</f>
        <v>VerifyViewAllocationDetails</v>
      </c>
      <c r="AR4" s="22" t="str">
        <f>IFERROR(__xludf.DUMMYFUNCTION("""COMPUTED_VALUE"""),"GoToAllocation")</f>
        <v>GoToAllocation</v>
      </c>
      <c r="AS4" s="22" t="str">
        <f>IFERROR(__xludf.DUMMYFUNCTION("""COMPUTED_VALUE"""),"VerifyRollover")</f>
        <v>VerifyRollover</v>
      </c>
      <c r="AT4" s="22" t="str">
        <f>IFERROR(__xludf.DUMMYFUNCTION("""COMPUTED_VALUE"""),"VerifySubOrderAfterRollover")</f>
        <v>VerifySubOrderAfterRollover</v>
      </c>
      <c r="AU4" s="22" t="str">
        <f>IFERROR(__xludf.DUMMYFUNCTION("""COMPUTED_VALUE"""),"OpenBlotter")</f>
        <v>OpenBlotter</v>
      </c>
      <c r="AV4" s="22" t="str">
        <f>IFERROR(__xludf.DUMMYFUNCTION("""COMPUTED_VALUE"""),"OpenBlotter")</f>
        <v>OpenBlotter</v>
      </c>
      <c r="AW4" s="22" t="str">
        <f>IFERROR(__xludf.DUMMYFUNCTION("""COMPUTED_VALUE"""),"RemoveManualExecution")</f>
        <v>RemoveManualExecution</v>
      </c>
      <c r="AX4" s="22" t="str">
        <f>IFERROR(__xludf.DUMMYFUNCTION("""COMPUTED_VALUE"""),"RemoveExecutionWorkingSubs")</f>
        <v>RemoveExecutionWorkingSubs</v>
      </c>
      <c r="AY4" s="22" t="str">
        <f>IFERROR(__xludf.DUMMYFUNCTION("""COMPUTED_VALUE"""),"GetExecutionReportOrders")</f>
        <v>GetExecutionReportOrders</v>
      </c>
      <c r="AZ4" s="22" t="str">
        <f>IFERROR(__xludf.DUMMYFUNCTION("""COMPUTED_VALUE"""),"GetExecutionReportDetails")</f>
        <v>GetExecutionReportDetails</v>
      </c>
      <c r="BA4" s="22" t="str">
        <f>IFERROR(__xludf.DUMMYFUNCTION("""COMPUTED_VALUE"""),"ExportExecutionReportData")</f>
        <v>ExportExecutionReportData</v>
      </c>
      <c r="BB4" s="22" t="str">
        <f>IFERROR(__xludf.DUMMYFUNCTION("""COMPUTED_VALUE"""),"VerifyExecutionReport")</f>
        <v>VerifyExecutionReport</v>
      </c>
      <c r="BC4" s="22" t="str">
        <f>IFERROR(__xludf.DUMMYFUNCTION("""COMPUTED_VALUE"""),"BlotterExecutionReportSnapshot")</f>
        <v>BlotterExecutionReportSnapshot</v>
      </c>
      <c r="BD4" s="22" t="str">
        <f>IFERROR(__xludf.DUMMYFUNCTION("""COMPUTED_VALUE"""),"MultipleTradeTransferToUser")</f>
        <v>MultipleTradeTransferToUser</v>
      </c>
      <c r="BE4" s="22" t="str">
        <f>IFERROR(__xludf.DUMMYFUNCTION("""COMPUTED_VALUE"""),"ReloadOrderFromBlotter")</f>
        <v>ReloadOrderFromBlotter</v>
      </c>
      <c r="BF4" s="22" t="str">
        <f>IFERROR(__xludf.DUMMYFUNCTION("""COMPUTED_VALUE"""),"ReloadOrderFromSubOrder")</f>
        <v>ReloadOrderFromSubOrder</v>
      </c>
      <c r="BG4" s="22" t="str">
        <f>IFERROR(__xludf.DUMMYFUNCTION("""COMPUTED_VALUE"""),"ReloadOrderFromWorkingSubs")</f>
        <v>ReloadOrderFromWorkingSubs</v>
      </c>
      <c r="BH4" s="22" t="str">
        <f>IFERROR(__xludf.DUMMYFUNCTION("""COMPUTED_VALUE"""),"SelectFills")</f>
        <v>SelectFills</v>
      </c>
      <c r="BI4" s="22" t="str">
        <f>IFERROR(__xludf.DUMMYFUNCTION("""COMPUTED_VALUE"""),"ModifyFills")</f>
        <v>ModifyFills</v>
      </c>
      <c r="BJ4" s="22" t="str">
        <f>IFERROR(__xludf.DUMMYFUNCTION("""COMPUTED_VALUE"""),"AddTab")</f>
        <v>AddTab</v>
      </c>
      <c r="BK4" s="22" t="str">
        <f>IFERROR(__xludf.DUMMYFUNCTION("""COMPUTED_VALUE"""),"RemoveTab")</f>
        <v>RemoveTab</v>
      </c>
      <c r="BL4" s="22" t="str">
        <f>IFERROR(__xludf.DUMMYFUNCTION("""COMPUTED_VALUE"""),"SelectCustomTab")</f>
        <v>SelectCustomTab</v>
      </c>
      <c r="BM4" s="22" t="str">
        <f>IFERROR(__xludf.DUMMYFUNCTION("""COMPUTED_VALUE"""),"VerifyOrderCustomTab")</f>
        <v>VerifyOrderCustomTab</v>
      </c>
      <c r="BN4" s="22" t="str">
        <f>IFERROR(__xludf.DUMMYFUNCTION("""COMPUTED_VALUE"""),"VerifySubOrderCustomTab")</f>
        <v>VerifySubOrderCustomTab</v>
      </c>
      <c r="BO4" s="22"/>
      <c r="BP4" s="22"/>
      <c r="BQ4" s="22"/>
      <c r="BR4" s="22"/>
      <c r="BS4" s="22"/>
      <c r="BT4" s="22"/>
      <c r="BU4" s="22"/>
      <c r="BV4" s="22"/>
      <c r="BW4" s="22"/>
      <c r="BX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IFERROR(__xludf.DUMMYFUNCTION("""COMPUTED_VALUE"""),"Fill")</f>
        <v>Fill</v>
      </c>
      <c r="C5" s="24" t="str">
        <f>IFERROR(__xludf.DUMMYFUNCTION("""COMPUTED_VALUE"""),"Last Fill Price (Local)")</f>
        <v>Last Fill Price (Local)</v>
      </c>
      <c r="D5" s="24" t="str">
        <f>IFERROR(__xludf.DUMMYFUNCTION("""COMPUTED_VALUE"""),"New")</f>
        <v>New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</row>
    <row r="6" ht="15.75" customHeight="1">
      <c r="A6" s="9"/>
      <c r="B6" s="9">
        <v>2000.0</v>
      </c>
      <c r="C6" s="9">
        <v>4.0</v>
      </c>
      <c r="D6" s="12" t="b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4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2</v>
      </c>
      <c r="D3" s="4" t="s">
        <v>662</v>
      </c>
      <c r="E3" s="13" t="s">
        <v>5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</row>
    <row r="4" ht="15.75" customHeight="1">
      <c r="A4" s="21"/>
      <c r="B4" s="21" t="str">
        <f>IFERROR(__xludf.DUMMYFUNCTION("IF(C3="""","""",Transpose(IMPORTRANGE('_Settings'!$B$3,C3&amp;""!A4:A1000"")))"),"Allocate")</f>
        <v>Allocate</v>
      </c>
      <c r="C4" s="21" t="str">
        <f>IFERROR(__xludf.DUMMYFUNCTION("""COMPUTED_VALUE"""),"CheckAllocatedGroups")</f>
        <v>CheckAllocatedGroups</v>
      </c>
      <c r="D4" s="21" t="str">
        <f>IFERROR(__xludf.DUMMYFUNCTION("""COMPUTED_VALUE"""),"Unallocate")</f>
        <v>Unallocate</v>
      </c>
      <c r="E4" s="21" t="str">
        <f>IFERROR(__xludf.DUMMYFUNCTION("""COMPUTED_VALUE"""),"GetDataAllocation")</f>
        <v>GetDataAllocation</v>
      </c>
      <c r="F4" s="21" t="str">
        <f>IFERROR(__xludf.DUMMYFUNCTION("""COMPUTED_VALUE"""),"SelectAllocatedGroup")</f>
        <v>SelectAllocatedGroup</v>
      </c>
      <c r="G4" s="21" t="str">
        <f>IFERROR(__xludf.DUMMYFUNCTION("""COMPUTED_VALUE"""),"EditTradesAllocated")</f>
        <v>EditTradesAllocated</v>
      </c>
      <c r="H4" s="21" t="str">
        <f>IFERROR(__xludf.DUMMYFUNCTION("""COMPUTED_VALUE"""),"EditTradesUnallocated")</f>
        <v>EditTradesUnallocated</v>
      </c>
      <c r="I4" s="21" t="str">
        <f>IFERROR(__xludf.DUMMYFUNCTION("""COMPUTED_VALUE"""),"Reallocate")</f>
        <v>Reallocate</v>
      </c>
      <c r="J4" s="21" t="str">
        <f>IFERROR(__xludf.DUMMYFUNCTION("""COMPUTED_VALUE"""),"EditUnallocatedGroupSidePanel")</f>
        <v>EditUnallocatedGroupSidePanel</v>
      </c>
      <c r="K4" s="21" t="str">
        <f>IFERROR(__xludf.DUMMYFUNCTION("""COMPUTED_VALUE"""),"TradeAttributeBulkChange")</f>
        <v>TradeAttributeBulkChange</v>
      </c>
      <c r="L4" s="21" t="str">
        <f>IFERROR(__xludf.DUMMYFUNCTION("""COMPUTED_VALUE"""),"ApplyBulkUpdateOnGroups")</f>
        <v>ApplyBulkUpdateOnGroups</v>
      </c>
      <c r="M4" s="21" t="str">
        <f>IFERROR(__xludf.DUMMYFUNCTION("""COMPUTED_VALUE"""),"ApplyPrefetchFilters")</f>
        <v>ApplyPrefetchFilters</v>
      </c>
      <c r="N4" s="21" t="str">
        <f>IFERROR(__xludf.DUMMYFUNCTION("""COMPUTED_VALUE"""),"GeneralPreferencesDefaultRule")</f>
        <v>GeneralPreferencesDefaultRule</v>
      </c>
      <c r="O4" s="21" t="str">
        <f>IFERROR(__xludf.DUMMYFUNCTION("""COMPUTED_VALUE"""),"GeneralPrefCompanyUserWise")</f>
        <v>GeneralPrefCompanyUserWise</v>
      </c>
      <c r="P4" s="22" t="str">
        <f>IFERROR(__xludf.DUMMYFUNCTION("""COMPUTED_VALUE"""),"RenameTradeAttributes")</f>
        <v>RenameTradeAttributes</v>
      </c>
      <c r="Q4" s="22" t="str">
        <f>IFERROR(__xludf.DUMMYFUNCTION("""COMPUTED_VALUE"""),"SetGroupingRules")</f>
        <v>SetGroupingRules</v>
      </c>
      <c r="R4" s="22" t="str">
        <f>IFERROR(__xludf.DUMMYFUNCTION("""COMPUTED_VALUE"""),"SetMasterFundRatio")</f>
        <v>SetMasterFundRatio</v>
      </c>
      <c r="S4" s="22" t="str">
        <f>IFERROR(__xludf.DUMMYFUNCTION("""COMPUTED_VALUE"""),"CheckFixedPreference")</f>
        <v>CheckFixedPreference</v>
      </c>
      <c r="T4" s="22" t="str">
        <f>IFERROR(__xludf.DUMMYFUNCTION("""COMPUTED_VALUE"""),"GetFixedPreference")</f>
        <v>GetFixedPreference</v>
      </c>
      <c r="U4" s="22" t="str">
        <f>IFERROR(__xludf.DUMMYFUNCTION("""COMPUTED_VALUE"""),"AddCalculatedPreferences")</f>
        <v>AddCalculatedPreferences</v>
      </c>
      <c r="V4" s="22" t="str">
        <f>IFERROR(__xludf.DUMMYFUNCTION("""COMPUTED_VALUE"""),"BulkChangeCalculatedPreferences")</f>
        <v>BulkChangeCalculatedPreferences</v>
      </c>
      <c r="W4" s="22" t="str">
        <f>IFERROR(__xludf.DUMMYFUNCTION("""COMPUTED_VALUE"""),"DeleteCalculatedPreferences")</f>
        <v>DeleteCalculatedPreferences</v>
      </c>
      <c r="X4" s="22" t="str">
        <f>IFERROR(__xludf.DUMMYFUNCTION("""COMPUTED_VALUE"""),"RenameCalculatedPreferences")</f>
        <v>RenameCalculatedPreferences</v>
      </c>
      <c r="Y4" s="22" t="str">
        <f>IFERROR(__xludf.DUMMYFUNCTION("""COMPUTED_VALUE"""),"CopyCalculatedPreferences")</f>
        <v>CopyCalculatedPreferences</v>
      </c>
      <c r="Z4" s="22" t="str">
        <f>IFERROR(__xludf.DUMMYFUNCTION("""COMPUTED_VALUE"""),"RunAutoGroup")</f>
        <v>RunAutoGroup</v>
      </c>
      <c r="AA4" s="22" t="str">
        <f>IFERROR(__xludf.DUMMYFUNCTION("""COMPUTED_VALUE"""),"BookOrUpdateSwap")</f>
        <v>BookOrUpdateSwap</v>
      </c>
      <c r="AB4" s="22" t="str">
        <f>IFERROR(__xludf.DUMMYFUNCTION("""COMPUTED_VALUE"""),"RunProrata")</f>
        <v>RunProrata</v>
      </c>
      <c r="AC4" s="22" t="str">
        <f>IFERROR(__xludf.DUMMYFUNCTION("""COMPUTED_VALUE"""),"SetDefaultRuleCalculatedPref")</f>
        <v>SetDefaultRuleCalculatedPref</v>
      </c>
      <c r="AD4" s="22" t="str">
        <f>IFERROR(__xludf.DUMMYFUNCTION("""COMPUTED_VALUE"""),"SetAccountValueCalculatedPref")</f>
        <v>SetAccountValueCalculatedPref</v>
      </c>
      <c r="AE4" s="22" t="str">
        <f>IFERROR(__xludf.DUMMYFUNCTION("""COMPUTED_VALUE"""),"TradeAttributeBulkChangeGroups")</f>
        <v>TradeAttributeBulkChangeGroups</v>
      </c>
      <c r="AF4" s="22" t="str">
        <f>IFERROR(__xludf.DUMMYFUNCTION("""COMPUTED_VALUE"""),"TradeAttributeBulkChangeTaxlots")</f>
        <v>TradeAttributeBulkChangeTaxlots</v>
      </c>
      <c r="AG4" s="22" t="str">
        <f>IFERROR(__xludf.DUMMYFUNCTION("""COMPUTED_VALUE"""),"AddCalculatedPreferenceToolbar")</f>
        <v>AddCalculatedPreferenceToolbar</v>
      </c>
      <c r="AH4" s="22" t="str">
        <f>IFERROR(__xludf.DUMMYFUNCTION("""COMPUTED_VALUE"""),"SetStrategyValueCalculatedPref")</f>
        <v>SetStrategyValueCalculatedPref</v>
      </c>
      <c r="AI4" s="22" t="str">
        <f>IFERROR(__xludf.DUMMYFUNCTION("""COMPUTED_VALUE"""),"ApplyBulkUpdateOnTaxlots")</f>
        <v>ApplyBulkUpdateOnTaxlots</v>
      </c>
      <c r="AJ4" s="22" t="str">
        <f>IFERROR(__xludf.DUMMYFUNCTION("""COMPUTED_VALUE"""),"CommissionBulkChangeOnGroups")</f>
        <v>CommissionBulkChangeOnGroups</v>
      </c>
      <c r="AK4" s="22" t="str">
        <f>IFERROR(__xludf.DUMMYFUNCTION("""COMPUTED_VALUE"""),"CommissionBulkChangeOnTaxlots")</f>
        <v>CommissionBulkChangeOnTaxlots</v>
      </c>
      <c r="AL4" s="22" t="str">
        <f>IFERROR(__xludf.DUMMYFUNCTION("""COMPUTED_VALUE"""),"SelectUnallocatedGroup")</f>
        <v>SelectUnallocatedGroup</v>
      </c>
      <c r="AM4" s="22" t="str">
        <f>IFERROR(__xludf.DUMMYFUNCTION("""COMPUTED_VALUE"""),"EnterAccountValuesToAllocate")</f>
        <v>EnterAccountValuesToAllocate</v>
      </c>
      <c r="AN4" s="22" t="str">
        <f>IFERROR(__xludf.DUMMYFUNCTION("""COMPUTED_VALUE"""),"EnterAllocatePreference")</f>
        <v>EnterAllocatePreference</v>
      </c>
      <c r="AO4" s="22" t="str">
        <f>IFERROR(__xludf.DUMMYFUNCTION("""COMPUTED_VALUE"""),"EnterStrategyValuesToAllocate")</f>
        <v>EnterStrategyValuesToAllocate</v>
      </c>
      <c r="AP4" s="22" t="str">
        <f>IFERROR(__xludf.DUMMYFUNCTION("""COMPUTED_VALUE"""),"CopyCalculatedPreferenceToolbar")</f>
        <v>CopyCalculatedPreferenceToolbar</v>
      </c>
      <c r="AQ4" s="22" t="str">
        <f>IFERROR(__xludf.DUMMYFUNCTION("""COMPUTED_VALUE"""),"SetGeneralRuleCalculatedPref")</f>
        <v>SetGeneralRuleCalculatedPref</v>
      </c>
      <c r="AR4" s="22" t="str">
        <f>IFERROR(__xludf.DUMMYFUNCTION("""COMPUTED_VALUE"""),"ExportAllCalculatedPreferences")</f>
        <v>ExportAllCalculatedPreferences</v>
      </c>
      <c r="AS4" s="22" t="str">
        <f>IFERROR(__xludf.DUMMYFUNCTION("""COMPUTED_VALUE"""),"SaveCalculatedPreferences")</f>
        <v>SaveCalculatedPreferences</v>
      </c>
      <c r="AT4" s="22" t="str">
        <f>IFERROR(__xludf.DUMMYFUNCTION("""COMPUTED_VALUE"""),"CloseCalculatedPreferences")</f>
        <v>CloseCalculatedPreferences</v>
      </c>
      <c r="AU4" s="22" t="str">
        <f>IFERROR(__xludf.DUMMYFUNCTION("""COMPUTED_VALUE"""),"ExportCalculatedPreference")</f>
        <v>ExportCalculatedPreference</v>
      </c>
      <c r="AV4" s="22" t="str">
        <f>IFERROR(__xludf.DUMMYFUNCTION("""COMPUTED_VALUE"""),"ImportCalculatedPreferences")</f>
        <v>ImportCalculatedPreferences</v>
      </c>
      <c r="AW4" s="22" t="str">
        <f>IFERROR(__xludf.DUMMYFUNCTION("""COMPUTED_VALUE"""),"OpenAuditTrailUnallocatedGroup")</f>
        <v>OpenAuditTrailUnallocatedGroup</v>
      </c>
      <c r="AX4" s="22" t="str">
        <f>IFERROR(__xludf.DUMMYFUNCTION("""COMPUTED_VALUE"""),"DeleteCalculatedPreferencesTool")</f>
        <v>DeleteCalculatedPreferencesTool</v>
      </c>
      <c r="AY4" s="22" t="str">
        <f>IFERROR(__xludf.DUMMYFUNCTION("""COMPUTED_VALUE"""),"ImportCalculatedPreferencesTool")</f>
        <v>ImportCalculatedPreferencesTool</v>
      </c>
      <c r="AZ4" s="22" t="str">
        <f>IFERROR(__xludf.DUMMYFUNCTION("""COMPUTED_VALUE"""),"ExportAllCalculatedPreferTool")</f>
        <v>ExportAllCalculatedPreferTool</v>
      </c>
      <c r="BA4" s="22" t="str">
        <f>IFERROR(__xludf.DUMMYFUNCTION("""COMPUTED_VALUE"""),"OpenAuditTrailAllocatedGroup")</f>
        <v>OpenAuditTrailAllocatedGroup</v>
      </c>
      <c r="BB4" s="22" t="str">
        <f>IFERROR(__xludf.DUMMYFUNCTION("""COMPUTED_VALUE"""),"OpenSymbolLookupUnallocateGroup")</f>
        <v>OpenSymbolLookupUnallocateGroup</v>
      </c>
      <c r="BC4" s="22" t="str">
        <f>IFERROR(__xludf.DUMMYFUNCTION("""COMPUTED_VALUE"""),"OpenSymbolLookupAllocatedGroup")</f>
        <v>OpenSymbolLookupAllocatedGroup</v>
      </c>
      <c r="BD4" s="22" t="str">
        <f>IFERROR(__xludf.DUMMYFUNCTION("""COMPUTED_VALUE"""),"DeleteFixedPreference")</f>
        <v>DeleteFixedPreference</v>
      </c>
      <c r="BE4" s="22" t="str">
        <f>IFERROR(__xludf.DUMMYFUNCTION("""COMPUTED_VALUE"""),"EditAllocatedGroupSidePanel")</f>
        <v>EditAllocatedGroupSidePanel</v>
      </c>
      <c r="BF4" s="22" t="str">
        <f>IFERROR(__xludf.DUMMYFUNCTION("""COMPUTED_VALUE"""),"CheckUnallocatedGroups")</f>
        <v>CheckUnallocatedGroups</v>
      </c>
      <c r="BG4" s="22" t="str">
        <f>IFERROR(__xludf.DUMMYFUNCTION("""COMPUTED_VALUE"""),"SetGeneralPreferences")</f>
        <v>SetGeneralPreferences</v>
      </c>
      <c r="BH4" s="22" t="str">
        <f>IFERROR(__xludf.DUMMYFUNCTION("""COMPUTED_VALUE"""),"GroupTrades")</f>
        <v>GroupTrades</v>
      </c>
      <c r="BI4" s="22" t="str">
        <f>IFERROR(__xludf.DUMMYFUNCTION("""COMPUTED_VALUE"""),"UngroupTrades")</f>
        <v>UngroupTrades</v>
      </c>
      <c r="BJ4" s="22" t="str">
        <f>IFERROR(__xludf.DUMMYFUNCTION("""COMPUTED_VALUE"""),"DeleteGroup")</f>
        <v>DeleteGroup</v>
      </c>
      <c r="BK4" s="22" t="str">
        <f>IFERROR(__xludf.DUMMYFUNCTION("""COMPUTED_VALUE"""),"CloseOrder")</f>
        <v>CloseOrder</v>
      </c>
      <c r="BL4" s="22" t="str">
        <f>IFERROR(__xludf.DUMMYFUNCTION("""COMPUTED_VALUE"""),"Unallocate")</f>
        <v>Unallocate</v>
      </c>
      <c r="BM4" s="22" t="str">
        <f>IFERROR(__xludf.DUMMYFUNCTION("""COMPUTED_VALUE"""),"CloseAllocation")</f>
        <v>CloseAllocation</v>
      </c>
      <c r="BN4" s="22" t="str">
        <f>IFERROR(__xludf.DUMMYFUNCTION("""COMPUTED_VALUE"""),"UpdateGRAccountValue")</f>
        <v>UpdateGRAccountValue</v>
      </c>
      <c r="BO4" s="22" t="str">
        <f>IFERROR(__xludf.DUMMYFUNCTION("""COMPUTED_VALUE"""),"UpdateGRStrategyValue")</f>
        <v>UpdateGRStrategyValue</v>
      </c>
      <c r="BP4" s="22" t="str">
        <f>IFERROR(__xludf.DUMMYFUNCTION("""COMPUTED_VALUE"""),"UpdateGRDefaultRule")</f>
        <v>UpdateGRDefaultRule</v>
      </c>
      <c r="BQ4" s="22" t="str">
        <f>IFERROR(__xludf.DUMMYFUNCTION("""COMPUTED_VALUE"""),"UpdateGeneralRulePref")</f>
        <v>UpdateGeneralRulePref</v>
      </c>
      <c r="BR4" s="22" t="str">
        <f>IFERROR(__xludf.DUMMYFUNCTION("""COMPUTED_VALUE"""),"ModifyGRPreferenceValues")</f>
        <v>ModifyGRPreferenceValues</v>
      </c>
      <c r="BS4" s="22" t="str">
        <f>IFERROR(__xludf.DUMMYFUNCTION("""COMPUTED_VALUE"""),"AddMFPreferences")</f>
        <v>AddMFPreferences</v>
      </c>
      <c r="BT4" s="22" t="str">
        <f>IFERROR(__xludf.DUMMYFUNCTION("""COMPUTED_VALUE"""),"AddMFPreferenceToolbar")</f>
        <v>AddMFPreferenceToolbar</v>
      </c>
      <c r="BU4" s="22" t="str">
        <f>IFERROR(__xludf.DUMMYFUNCTION("""COMPUTED_VALUE"""),"DeleteMFPreferences")</f>
        <v>DeleteMFPreferences</v>
      </c>
      <c r="BV4" s="22" t="str">
        <f>IFERROR(__xludf.DUMMYFUNCTION("""COMPUTED_VALUE"""),"DeleteMFPreferenceToolbar")</f>
        <v>DeleteMFPreferenceToolbar</v>
      </c>
      <c r="BW4" s="22" t="str">
        <f>IFERROR(__xludf.DUMMYFUNCTION("""COMPUTED_VALUE"""),"RenameMFPreferences")</f>
        <v>RenameMFPreferences</v>
      </c>
      <c r="BX4" s="22" t="str">
        <f>IFERROR(__xludf.DUMMYFUNCTION("""COMPUTED_VALUE"""),"SaveCloseMFPreference")</f>
        <v>SaveCloseMFPreference</v>
      </c>
      <c r="BY4" s="22" t="str">
        <f>IFERROR(__xludf.DUMMYFUNCTION("""COMPUTED_VALUE"""),"SetMFPrefAccountValues")</f>
        <v>SetMFPrefAccountValues</v>
      </c>
      <c r="BZ4" s="22" t="str">
        <f>IFERROR(__xludf.DUMMYFUNCTION("""COMPUTED_VALUE"""),"ModifyMFPrefGeneralRuleValues")</f>
        <v>ModifyMFPrefGeneralRuleValues</v>
      </c>
      <c r="CA4" s="22" t="str">
        <f>IFERROR(__xludf.DUMMYFUNCTION("""COMPUTED_VALUE"""),"SetMFPrefStrategyValues")</f>
        <v>SetMFPrefStrategyValues</v>
      </c>
      <c r="CB4" s="22" t="str">
        <f>IFERROR(__xludf.DUMMYFUNCTION("""COMPUTED_VALUE"""),"SetMFPrefGeneralRule")</f>
        <v>SetMFPrefGeneralRule</v>
      </c>
      <c r="CC4" s="22" t="str">
        <f>IFERROR(__xludf.DUMMYFUNCTION("""COMPUTED_VALUE"""),"SetMFPrefFundDistribution")</f>
        <v>SetMFPrefFundDistribution</v>
      </c>
      <c r="CD4" s="22" t="str">
        <f>IFERROR(__xludf.DUMMYFUNCTION("""COMPUTED_VALUE"""),"SetMFPreferencesDefaultRule")</f>
        <v>SetMFPreferencesDefaultRule</v>
      </c>
      <c r="CE4" s="22" t="str">
        <f>IFERROR(__xludf.DUMMYFUNCTION("""COMPUTED_VALUE"""),"SetMFPrefFundDefaultRule")</f>
        <v>SetMFPrefFundDefaultRule</v>
      </c>
      <c r="CF4" s="22" t="str">
        <f>IFERROR(__xludf.DUMMYFUNCTION("""COMPUTED_VALUE"""),"ClearPrefetchFilters")</f>
        <v>ClearPrefetchFilters</v>
      </c>
      <c r="CG4" s="22" t="str">
        <f>IFERROR(__xludf.DUMMYFUNCTION("""COMPUTED_VALUE"""),"ExpandCollapseAllUnallocated")</f>
        <v>ExpandCollapseAllUnallocated</v>
      </c>
      <c r="CH4" s="22" t="str">
        <f>IFERROR(__xludf.DUMMYFUNCTION("""COMPUTED_VALUE"""),"ExpandCollapseAllAllocated")</f>
        <v>ExpandCollapseAllAllocated</v>
      </c>
      <c r="CI4" s="22" t="str">
        <f>IFERROR(__xludf.DUMMYFUNCTION("""COMPUTED_VALUE"""),"GenerateCashTransaction")</f>
        <v>GenerateCashTransaction</v>
      </c>
      <c r="CJ4" s="22" t="str">
        <f>IFERROR(__xludf.DUMMYFUNCTION("""COMPUTED_VALUE"""),"SaveAllocation")</f>
        <v>SaveAllocation</v>
      </c>
      <c r="CK4" s="22" t="str">
        <f>IFERROR(__xludf.DUMMYFUNCTION("""COMPUTED_VALUE"""),"UnallocateWithOutSave")</f>
        <v>UnallocateWithOutSave</v>
      </c>
      <c r="CL4" s="22" t="str">
        <f>IFERROR(__xludf.DUMMYFUNCTION("""COMPUTED_VALUE"""),"EditUnallocatedGrid")</f>
        <v>EditUnallocatedGrid</v>
      </c>
      <c r="CM4" s="22" t="str">
        <f>IFERROR(__xludf.DUMMYFUNCTION("""COMPUTED_VALUE"""),"EditAllocatedGrid")</f>
        <v>EditAllocatedGrid</v>
      </c>
      <c r="CN4" s="22" t="str">
        <f>IFERROR(__xludf.DUMMYFUNCTION("""COMPUTED_VALUE"""),"SaveLayoutAllocatedGrid")</f>
        <v>SaveLayoutAllocatedGrid</v>
      </c>
      <c r="CO4" s="22" t="str">
        <f>IFERROR(__xludf.DUMMYFUNCTION("""COMPUTED_VALUE"""),"SaveLayoutUnallocatedGrid")</f>
        <v>SaveLayoutUnallocatedGrid</v>
      </c>
      <c r="CP4" s="22" t="str">
        <f>IFERROR(__xludf.DUMMYFUNCTION("""COMPUTED_VALUE"""),"SaveLayoutAllocationUI")</f>
        <v>SaveLayoutAllocationUI</v>
      </c>
      <c r="CQ4" s="22" t="str">
        <f>IFERROR(__xludf.DUMMYFUNCTION("""COMPUTED_VALUE"""),"ClearFiltersAllocatedGrid")</f>
        <v>ClearFiltersAllocatedGrid</v>
      </c>
      <c r="CR4" s="22" t="str">
        <f>IFERROR(__xludf.DUMMYFUNCTION("""COMPUTED_VALUE"""),"ClearFiltersUnallocatedGrid")</f>
        <v>ClearFiltersUnallocatedGrid</v>
      </c>
      <c r="CS4" s="22" t="str">
        <f>IFERROR(__xludf.DUMMYFUNCTION("""COMPUTED_VALUE"""),"VerifyLayoutAllocatedGrid")</f>
        <v>VerifyLayoutAllocatedGrid</v>
      </c>
      <c r="CT4" s="22" t="str">
        <f>IFERROR(__xludf.DUMMYFUNCTION("""COMPUTED_VALUE"""),"VerifyLayoutUnallocatedGrid")</f>
        <v>VerifyLayoutUnallocatedGrid</v>
      </c>
      <c r="CU4" s="22" t="str">
        <f>IFERROR(__xludf.DUMMYFUNCTION("""COMPUTED_VALUE"""),"CleanUp")</f>
        <v>CleanUp</v>
      </c>
      <c r="CV4" s="22" t="str">
        <f>IFERROR(__xludf.DUMMYFUNCTION("""COMPUTED_VALUE"""),"CheckAllocatedTaxlots")</f>
        <v>CheckAllocatedTaxlots</v>
      </c>
      <c r="CW4" s="22" t="str">
        <f>IFERROR(__xludf.DUMMYFUNCTION("""COMPUTED_VALUE"""),"CopyCalculatedPreferenceToolbar")</f>
        <v>CopyCalculatedPreferenceToolbar</v>
      </c>
      <c r="CX4" s="22" t="str">
        <f>IFERROR(__xludf.DUMMYFUNCTION("""COMPUTED_VALUE"""),"CloseOrder")</f>
        <v>CloseOrder</v>
      </c>
      <c r="CY4" s="22" t="str">
        <f>IFERROR(__xludf.DUMMYFUNCTION("""COMPUTED_VALUE"""),"DisableChecksideForAsset")</f>
        <v>DisableChecksideForAsset</v>
      </c>
      <c r="CZ4" s="22" t="str">
        <f>IFERROR(__xludf.DUMMYFUNCTION("""COMPUTED_VALUE"""),"DisableChecksideForAccount")</f>
        <v>DisableChecksideForAccount</v>
      </c>
      <c r="DA4" s="22" t="str">
        <f>IFERROR(__xludf.DUMMYFUNCTION("""COMPUTED_VALUE"""),"DisableChecksideForCounterParty")</f>
        <v>DisableChecksideForCounterParty</v>
      </c>
      <c r="DB4" s="22" t="str">
        <f>IFERROR(__xludf.DUMMYFUNCTION("""COMPUTED_VALUE"""),"DisableCheckside")</f>
        <v>DisableCheckside</v>
      </c>
      <c r="DC4" s="22" t="str">
        <f>IFERROR(__xludf.DUMMYFUNCTION("""COMPUTED_VALUE"""),"ApplyMasterFundFilter")</f>
        <v>ApplyMasterFundFilter</v>
      </c>
      <c r="DD4" s="22" t="str">
        <f>IFERROR(__xludf.DUMMYFUNCTION("""COMPUTED_VALUE"""),"ShowMasterFundOnTT")</f>
        <v>ShowMasterFundOnTT</v>
      </c>
      <c r="DE4" s="22" t="str">
        <f>IFERROR(__xludf.DUMMYFUNCTION("""COMPUTED_VALUE"""),"ShowMasterFundAsClient")</f>
        <v>ShowMasterFundAsClient</v>
      </c>
      <c r="DF4" s="22" t="str">
        <f>IFERROR(__xludf.DUMMYFUNCTION("""COMPUTED_VALUE"""),"SetBrokerAccountMapping")</f>
        <v>SetBrokerAccountMapping</v>
      </c>
      <c r="DG4" s="22" t="str">
        <f>IFERROR(__xludf.DUMMYFUNCTION("""COMPUTED_VALUE"""),"EditUnallocatedGridWPF")</f>
        <v>EditUnallocatedGridWPF</v>
      </c>
      <c r="DH4" s="22" t="str">
        <f>IFERROR(__xludf.DUMMYFUNCTION("""COMPUTED_VALUE"""),"EditAllocatedGridWPF")</f>
        <v>EditAllocatedGridWPF</v>
      </c>
      <c r="DI4" s="22" t="str">
        <f>IFERROR(__xludf.DUMMYFUNCTION("""COMPUTED_VALUE"""),"EditAllocatedGridTaxlot")</f>
        <v>EditAllocatedGridTaxlot</v>
      </c>
      <c r="DJ4" s="22" t="str">
        <f>IFERROR(__xludf.DUMMYFUNCTION("""COMPUTED_VALUE"""),"ExpandCollapseAllocatedGrid")</f>
        <v>ExpandCollapseAllocatedGrid</v>
      </c>
      <c r="DK4" s="22" t="str">
        <f>IFERROR(__xludf.DUMMYFUNCTION("""COMPUTED_VALUE"""),"ExpandCollapseUnallocatedGrid")</f>
        <v>ExpandCollapseUnallocatedGrid</v>
      </c>
      <c r="DL4" s="22" t="str">
        <f>IFERROR(__xludf.DUMMYFUNCTION("""COMPUTED_VALUE"""),"SetTradeAttributePreferences")</f>
        <v>SetTradeAttributePreferences</v>
      </c>
      <c r="DM4" s="22" t="str">
        <f>IFERROR(__xludf.DUMMYFUNCTION("""COMPUTED_VALUE"""),"EnterCustomAllocatePreference")</f>
        <v>EnterCustomAllocatePreference</v>
      </c>
      <c r="DN4" s="22" t="str">
        <f>IFERROR(__xludf.DUMMYFUNCTION("""COMPUTED_VALUE"""),"SetAutoGroupingPreferences")</f>
        <v>SetAutoGroupingPreferences</v>
      </c>
      <c r="DO4" s="22" t="str">
        <f>IFERROR(__xludf.DUMMYFUNCTION("""COMPUTED_VALUE"""),"SetAutoGroupingAccount")</f>
        <v>SetAutoGroupingAccount</v>
      </c>
      <c r="DP4" s="22" t="str">
        <f>IFERROR(__xludf.DUMMYFUNCTION("""COMPUTED_VALUE"""),"SetAvgPriceRounding")</f>
        <v>SetAvgPriceRounding</v>
      </c>
      <c r="DQ4" s="22" t="str">
        <f>IFERROR(__xludf.DUMMYFUNCTION("""COMPUTED_VALUE"""),"IsAllocationOpen")</f>
        <v>IsAllocationOpen</v>
      </c>
      <c r="DR4" s="22" t="str">
        <f>IFERROR(__xludf.DUMMYFUNCTION("""COMPUTED_VALUE"""),"AllocationAuditTrail")</f>
        <v>AllocationAuditTrail</v>
      </c>
      <c r="DS4" s="22" t="str">
        <f>IFERROR(__xludf.DUMMYFUNCTION("""COMPUTED_VALUE"""),"GetAuditTrailData")</f>
        <v>GetAuditTrailData</v>
      </c>
      <c r="DT4" s="22" t="str">
        <f>IFERROR(__xludf.DUMMYFUNCTION("""COMPUTED_VALUE"""),"CheckAuditTrailData")</f>
        <v>CheckAuditTrailData</v>
      </c>
      <c r="DU4" s="22"/>
      <c r="DV4" s="22"/>
      <c r="DW4" s="22"/>
      <c r="DX4" s="22"/>
      <c r="DY4" s="22"/>
      <c r="DZ4" s="22"/>
      <c r="EA4" s="22"/>
      <c r="EB4" s="22"/>
      <c r="EC4" s="22"/>
      <c r="ED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IFERROR(__xludf.DUMMYFUNCTION("""COMPUTED_VALUE"""),"Account Name")</f>
        <v>Account Name</v>
      </c>
      <c r="C5" s="24" t="str">
        <f>IFERROR(__xludf.DUMMYFUNCTION("""COMPUTED_VALUE"""),"Accrual Basis")</f>
        <v>Accrual Basis</v>
      </c>
      <c r="D5" s="24" t="str">
        <f>IFERROR(__xludf.DUMMYFUNCTION("""COMPUTED_VALUE"""),"Accrued Interest")</f>
        <v>Accrued Interest</v>
      </c>
      <c r="E5" s="24" t="str">
        <f>IFERROR(__xludf.DUMMYFUNCTION("""COMPUTED_VALUE"""),"Allocated Qty")</f>
        <v>Allocated Qty</v>
      </c>
      <c r="F5" s="24" t="str">
        <f>IFERROR(__xludf.DUMMYFUNCTION("""COMPUTED_VALUE"""),"Allocation Scheme Name")</f>
        <v>Allocation Scheme Name</v>
      </c>
      <c r="G5" s="24" t="str">
        <f>IFERROR(__xludf.DUMMYFUNCTION("""COMPUTED_VALUE"""),"Asset Category")</f>
        <v>Asset Category</v>
      </c>
      <c r="H5" s="24" t="str">
        <f>IFERROR(__xludf.DUMMYFUNCTION("""COMPUTED_VALUE"""),"AUEC Fee1")</f>
        <v>AUEC Fee1</v>
      </c>
      <c r="I5" s="24" t="str">
        <f>IFERROR(__xludf.DUMMYFUNCTION("""COMPUTED_VALUE"""),"AUEC Fee2")</f>
        <v>AUEC Fee2</v>
      </c>
      <c r="J5" s="24" t="str">
        <f>IFERROR(__xludf.DUMMYFUNCTION("""COMPUTED_VALUE"""),"AUECID")</f>
        <v>AUECID</v>
      </c>
      <c r="K5" s="24" t="str">
        <f>IFERROR(__xludf.DUMMYFUNCTION("""COMPUTED_VALUE"""),"Avg Price(Base)")</f>
        <v>Avg Price(Base)</v>
      </c>
      <c r="L5" s="24" t="str">
        <f>IFERROR(__xludf.DUMMYFUNCTION("""COMPUTED_VALUE"""),"Avg Price(Local)")</f>
        <v>Avg Price(Local)</v>
      </c>
      <c r="M5" s="24" t="str">
        <f>IFERROR(__xludf.DUMMYFUNCTION("""COMPUTED_VALUE"""),"Bloomberg")</f>
        <v>Bloomberg</v>
      </c>
      <c r="N5" s="24" t="str">
        <f>IFERROR(__xludf.DUMMYFUNCTION("""COMPUTED_VALUE"""),"Bond Type")</f>
        <v>Bond Type</v>
      </c>
      <c r="O5" s="24" t="str">
        <f>IFERROR(__xludf.DUMMYFUNCTION("""COMPUTED_VALUE"""),"Broker")</f>
        <v>Broker</v>
      </c>
      <c r="P5" s="24" t="str">
        <f>IFERROR(__xludf.DUMMYFUNCTION("""COMPUTED_VALUE"""),"Change Comment")</f>
        <v>Change Comment</v>
      </c>
      <c r="Q5" s="24" t="str">
        <f>IFERROR(__xludf.DUMMYFUNCTION("""COMPUTED_VALUE"""),"Change Type")</f>
        <v>Change Type</v>
      </c>
      <c r="R5" s="24" t="str">
        <f>IFERROR(__xludf.DUMMYFUNCTION("""COMPUTED_VALUE"""),"Clearing Broker Fee")</f>
        <v>Clearing Broker Fee</v>
      </c>
      <c r="S5" s="24" t="str">
        <f>IFERROR(__xludf.DUMMYFUNCTION("""COMPUTED_VALUE"""),"Closing Status")</f>
        <v>Closing Status</v>
      </c>
      <c r="T5" s="25" t="str">
        <f>IFERROR(__xludf.DUMMYFUNCTION("""COMPUTED_VALUE"""),"Commission")</f>
        <v>Commission</v>
      </c>
      <c r="U5" s="25" t="str">
        <f>IFERROR(__xludf.DUMMYFUNCTION("""COMPUTED_VALUE"""),"Commission Per Share")</f>
        <v>Commission Per Share</v>
      </c>
      <c r="V5" s="25" t="str">
        <f>IFERROR(__xludf.DUMMYFUNCTION("""COMPUTED_VALUE"""),"Company")</f>
        <v>Company</v>
      </c>
      <c r="W5" s="25" t="str">
        <f>IFERROR(__xludf.DUMMYFUNCTION("""COMPUTED_VALUE"""),"Contract Multiplier")</f>
        <v>Contract Multiplier</v>
      </c>
      <c r="X5" s="25" t="str">
        <f>IFERROR(__xludf.DUMMYFUNCTION("""COMPUTED_VALUE"""),"Coupon Rate")</f>
        <v>Coupon Rate</v>
      </c>
      <c r="Y5" s="25" t="str">
        <f>IFERROR(__xludf.DUMMYFUNCTION("""COMPUTED_VALUE"""),"Cum Qty For Sub Order")</f>
        <v>Cum Qty For Sub Order</v>
      </c>
      <c r="Z5" s="25" t="str">
        <f>IFERROR(__xludf.DUMMYFUNCTION("""COMPUTED_VALUE"""),"Currency")</f>
        <v>Currency</v>
      </c>
      <c r="AA5" s="25" t="str">
        <f>IFERROR(__xludf.DUMMYFUNCTION("""COMPUTED_VALUE"""),"Cusip Symbol")</f>
        <v>Cusip Symbol</v>
      </c>
      <c r="AB5" s="25" t="str">
        <f>IFERROR(__xludf.DUMMYFUNCTION("""COMPUTED_VALUE"""),"Delta")</f>
        <v>Delta</v>
      </c>
      <c r="AC5" s="25" t="str">
        <f>IFERROR(__xludf.DUMMYFUNCTION("""COMPUTED_VALUE"""),"Description")</f>
        <v>Description</v>
      </c>
      <c r="AD5" s="25" t="str">
        <f>IFERROR(__xludf.DUMMYFUNCTION("""COMPUTED_VALUE"""),"Exchange")</f>
        <v>Exchange</v>
      </c>
      <c r="AE5" s="25" t="str">
        <f>IFERROR(__xludf.DUMMYFUNCTION("""COMPUTED_VALUE"""),"Executed Qty")</f>
        <v>Executed Qty</v>
      </c>
      <c r="AF5" s="25" t="str">
        <f>IFERROR(__xludf.DUMMYFUNCTION("""COMPUTED_VALUE"""),"Exceution Time")</f>
        <v>Exceution Time</v>
      </c>
      <c r="AG5" s="25" t="str">
        <f>IFERROR(__xludf.DUMMYFUNCTION("""COMPUTED_VALUE"""),"Expiration Date")</f>
        <v>Expiration Date</v>
      </c>
      <c r="AH5" s="25" t="str">
        <f>IFERROR(__xludf.DUMMYFUNCTION("""COMPUTED_VALUE"""),"FX Conversion Operator")</f>
        <v>FX Conversion Operator</v>
      </c>
      <c r="AI5" s="25" t="str">
        <f>IFERROR(__xludf.DUMMYFUNCTION("""COMPUTED_VALUE"""),"FX Rate")</f>
        <v>FX Rate</v>
      </c>
      <c r="AJ5" s="25" t="str">
        <f>IFERROR(__xludf.DUMMYFUNCTION("""COMPUTED_VALUE"""),"Group Status")</f>
        <v>Group Status</v>
      </c>
      <c r="AK5" s="25" t="str">
        <f>IFERROR(__xludf.DUMMYFUNCTION("""COMPUTED_VALUE"""),"IDCOSymbol")</f>
        <v>IDCOSymbol</v>
      </c>
      <c r="AL5" s="25" t="str">
        <f>IFERROR(__xludf.DUMMYFUNCTION("""COMPUTED_VALUE"""),"Import File Name")</f>
        <v>Import File Name</v>
      </c>
      <c r="AM5" s="25" t="str">
        <f>IFERROR(__xludf.DUMMYFUNCTION("""COMPUTED_VALUE"""),"Internal Comments")</f>
        <v>Internal Comments</v>
      </c>
      <c r="AN5" s="25" t="str">
        <f>IFERROR(__xludf.DUMMYFUNCTION("""COMPUTED_VALUE"""),"IsAnotherTaxlotAttributesUpdated")</f>
        <v>IsAnotherTaxlotAttributesUpdated</v>
      </c>
      <c r="AO5" s="25" t="str">
        <f>IFERROR(__xludf.DUMMYFUNCTION("""COMPUTED_VALUE"""),"ISIN")</f>
        <v>ISIN</v>
      </c>
      <c r="AP5" s="25" t="str">
        <f>IFERROR(__xludf.DUMMYFUNCTION("""COMPUTED_VALUE"""),"IsManual Group")</f>
        <v>IsManual Group</v>
      </c>
      <c r="AQ5" s="25" t="str">
        <f>IFERROR(__xludf.DUMMYFUNCTION("""COMPUTED_VALUE"""),"ISNDF")</f>
        <v>ISNDF</v>
      </c>
      <c r="AR5" s="25" t="str">
        <f>IFERROR(__xludf.DUMMYFUNCTION("""COMPUTED_VALUE"""),"IsPreAllocated")</f>
        <v>IsPreAllocated</v>
      </c>
      <c r="AS5" s="25" t="str">
        <f>IFERROR(__xludf.DUMMYFUNCTION("""COMPUTED_VALUE"""),"M2MProfitLoss")</f>
        <v>M2MProfitLoss</v>
      </c>
      <c r="AT5" s="25" t="str">
        <f>IFERROR(__xludf.DUMMYFUNCTION("""COMPUTED_VALUE"""),"Net Amount( Base)")</f>
        <v>Net Amount( Base)</v>
      </c>
      <c r="AU5" s="25" t="str">
        <f>IFERROR(__xludf.DUMMYFUNCTION("""COMPUTED_VALUE"""),"Net Amount( Local)")</f>
        <v>Net Amount( Local)</v>
      </c>
      <c r="AV5" s="25" t="str">
        <f>IFERROR(__xludf.DUMMYFUNCTION("""COMPUTED_VALUE"""),"Nirvana Process Date")</f>
        <v>Nirvana Process Date</v>
      </c>
      <c r="AW5" s="25" t="str">
        <f>IFERROR(__xludf.DUMMYFUNCTION("""COMPUTED_VALUE"""),"OCC Fee")</f>
        <v>OCC Fee</v>
      </c>
      <c r="AX5" s="25" t="str">
        <f>IFERROR(__xludf.DUMMYFUNCTION("""COMPUTED_VALUE"""),"Option Premium Adjustment")</f>
        <v>Option Premium Adjustment</v>
      </c>
      <c r="AY5" s="25" t="str">
        <f>IFERROR(__xludf.DUMMYFUNCTION("""COMPUTED_VALUE"""),"Order Type")</f>
        <v>Order Type</v>
      </c>
      <c r="AZ5" s="25" t="str">
        <f>IFERROR(__xludf.DUMMYFUNCTION("""COMPUTED_VALUE"""),"ORF Fee")</f>
        <v>ORF Fee</v>
      </c>
      <c r="BA5" s="25" t="str">
        <f>IFERROR(__xludf.DUMMYFUNCTION("""COMPUTED_VALUE"""),"Original Purchase Date")</f>
        <v>Original Purchase Date</v>
      </c>
      <c r="BB5" s="25" t="str">
        <f>IFERROR(__xludf.DUMMYFUNCTION("""COMPUTED_VALUE"""),"OSISSymbol")</f>
        <v>OSISSymbol</v>
      </c>
      <c r="BC5" s="25" t="str">
        <f>IFERROR(__xludf.DUMMYFUNCTION("""COMPUTED_VALUE"""),"Other Broker Fees")</f>
        <v>Other Broker Fees</v>
      </c>
      <c r="BD5" s="25" t="str">
        <f>IFERROR(__xludf.DUMMYFUNCTION("""COMPUTED_VALUE"""),"Prana Msg Type")</f>
        <v>Prana Msg Type</v>
      </c>
      <c r="BE5" s="25" t="str">
        <f>IFERROR(__xludf.DUMMYFUNCTION("""COMPUTED_VALUE"""),"Principal Amount( Base)")</f>
        <v>Principal Amount( Base)</v>
      </c>
      <c r="BF5" s="25" t="str">
        <f>IFERROR(__xludf.DUMMYFUNCTION("""COMPUTED_VALUE"""),"Principal Amount( Local)")</f>
        <v>Principal Amount( Local)</v>
      </c>
      <c r="BG5" s="25" t="str">
        <f>IFERROR(__xludf.DUMMYFUNCTION("""COMPUTED_VALUE"""),"Process Date")</f>
        <v>Process Date</v>
      </c>
      <c r="BH5" s="25" t="str">
        <f>IFERROR(__xludf.DUMMYFUNCTION("""COMPUTED_VALUE"""),"Proxy Symbol")</f>
        <v>Proxy Symbol</v>
      </c>
      <c r="BI5" s="25" t="str">
        <f>IFERROR(__xludf.DUMMYFUNCTION("""COMPUTED_VALUE"""),"Put Or Call")</f>
        <v>Put Or Call</v>
      </c>
      <c r="BJ5" s="25" t="str">
        <f>IFERROR(__xludf.DUMMYFUNCTION("""COMPUTED_VALUE"""),"Quantity")</f>
        <v>Quantity</v>
      </c>
      <c r="BK5" s="25" t="str">
        <f>IFERROR(__xludf.DUMMYFUNCTION("""COMPUTED_VALUE"""),"SEC Fee")</f>
        <v>SEC Fee</v>
      </c>
      <c r="BL5" s="25" t="str">
        <f>IFERROR(__xludf.DUMMYFUNCTION("""COMPUTED_VALUE"""),"Sedol Symbol")</f>
        <v>Sedol Symbol</v>
      </c>
      <c r="BM5" s="25" t="str">
        <f>IFERROR(__xludf.DUMMYFUNCTION("""COMPUTED_VALUE"""),"Settlement Currency")</f>
        <v>Settlement Currency</v>
      </c>
      <c r="BN5" s="25" t="str">
        <f>IFERROR(__xludf.DUMMYFUNCTION("""COMPUTED_VALUE"""),"Settlement Date")</f>
        <v>Settlement Date</v>
      </c>
      <c r="BO5" s="25" t="str">
        <f>IFERROR(__xludf.DUMMYFUNCTION("""COMPUTED_VALUE"""),"Side")</f>
        <v>Side</v>
      </c>
      <c r="BP5" s="25" t="str">
        <f>IFERROR(__xludf.DUMMYFUNCTION("""COMPUTED_VALUE"""),"Soft Commission")</f>
        <v>Soft Commission</v>
      </c>
      <c r="BQ5" s="25" t="str">
        <f>IFERROR(__xludf.DUMMYFUNCTION("""COMPUTED_VALUE"""),"Soft Commission Per Share")</f>
        <v>Soft Commission Per Share</v>
      </c>
      <c r="BR5" s="25" t="str">
        <f>IFERROR(__xludf.DUMMYFUNCTION("""COMPUTED_VALUE"""),"Stamp Duty")</f>
        <v>Stamp Duty</v>
      </c>
      <c r="BS5" s="25" t="str">
        <f>IFERROR(__xludf.DUMMYFUNCTION("""COMPUTED_VALUE"""),"Strategy Name")</f>
        <v>Strategy Name</v>
      </c>
      <c r="BT5" s="25" t="str">
        <f>IFERROR(__xludf.DUMMYFUNCTION("""COMPUTED_VALUE"""),"Symbol")</f>
        <v>Symbol</v>
      </c>
      <c r="BU5" s="25" t="str">
        <f>IFERROR(__xludf.DUMMYFUNCTION("""COMPUTED_VALUE"""),"Tax On Commissions")</f>
        <v>Tax On Commissions</v>
      </c>
      <c r="BV5" s="25" t="str">
        <f>IFERROR(__xludf.DUMMYFUNCTION("""COMPUTED_VALUE"""),"Total Commission")</f>
        <v>Total Commission</v>
      </c>
      <c r="BW5" s="25" t="str">
        <f>IFERROR(__xludf.DUMMYFUNCTION("""COMPUTED_VALUE"""),"Total Commission And Fee")</f>
        <v>Total Commission And Fee</v>
      </c>
      <c r="BX5" s="25" t="str">
        <f>IFERROR(__xludf.DUMMYFUNCTION("""COMPUTED_VALUE"""),"Total Commission Per Share")</f>
        <v>Total Commission Per Share</v>
      </c>
      <c r="BY5" s="25" t="str">
        <f>IFERROR(__xludf.DUMMYFUNCTION("""COMPUTED_VALUE"""),"Trade Attribute 1")</f>
        <v>Trade Attribute 1</v>
      </c>
      <c r="BZ5" s="25" t="str">
        <f>IFERROR(__xludf.DUMMYFUNCTION("""COMPUTED_VALUE"""),"Trade Attribute 2")</f>
        <v>Trade Attribute 2</v>
      </c>
      <c r="CA5" s="25" t="str">
        <f>IFERROR(__xludf.DUMMYFUNCTION("""COMPUTED_VALUE"""),"Trade Attribute 3")</f>
        <v>Trade Attribute 3</v>
      </c>
      <c r="CB5" s="25" t="str">
        <f>IFERROR(__xludf.DUMMYFUNCTION("""COMPUTED_VALUE"""),"Trade Attribute 4")</f>
        <v>Trade Attribute 4</v>
      </c>
      <c r="CC5" s="25" t="str">
        <f>IFERROR(__xludf.DUMMYFUNCTION("""COMPUTED_VALUE"""),"Trade Attribute 5")</f>
        <v>Trade Attribute 5</v>
      </c>
      <c r="CD5" s="25" t="str">
        <f>IFERROR(__xludf.DUMMYFUNCTION("""COMPUTED_VALUE"""),"Trade Attribute 6")</f>
        <v>Trade Attribute 6</v>
      </c>
      <c r="CE5" s="25" t="str">
        <f>IFERROR(__xludf.DUMMYFUNCTION("""COMPUTED_VALUE"""),"Trade Date")</f>
        <v>Trade Date</v>
      </c>
      <c r="CF5" s="25" t="str">
        <f>IFERROR(__xludf.DUMMYFUNCTION("""COMPUTED_VALUE"""),"Trading Account")</f>
        <v>Trading Account</v>
      </c>
      <c r="CG5" s="25" t="str">
        <f>IFERROR(__xludf.DUMMYFUNCTION("""COMPUTED_VALUE"""),"Transaction Levy")</f>
        <v>Transaction Levy</v>
      </c>
      <c r="CH5" s="25" t="str">
        <f>IFERROR(__xludf.DUMMYFUNCTION("""COMPUTED_VALUE"""),"Transaction Source")</f>
        <v>Transaction Source</v>
      </c>
      <c r="CI5" s="25" t="str">
        <f>IFERROR(__xludf.DUMMYFUNCTION("""COMPUTED_VALUE"""),"Transaction Type")</f>
        <v>Transaction Type</v>
      </c>
      <c r="CJ5" s="25" t="str">
        <f>IFERROR(__xludf.DUMMYFUNCTION("""COMPUTED_VALUE"""),"UnAllocatedQty")</f>
        <v>UnAllocatedQty</v>
      </c>
      <c r="CK5" s="25" t="str">
        <f>IFERROR(__xludf.DUMMYFUNCTION("""COMPUTED_VALUE"""),"Underlying")</f>
        <v>Underlying</v>
      </c>
      <c r="CL5" s="25" t="str">
        <f>IFERROR(__xludf.DUMMYFUNCTION("""COMPUTED_VALUE"""),"Underlying Delta")</f>
        <v>Underlying Delta</v>
      </c>
      <c r="CM5" s="25" t="str">
        <f>IFERROR(__xludf.DUMMYFUNCTION("""COMPUTED_VALUE"""),"Underlying Symbol")</f>
        <v>Underlying Symbol</v>
      </c>
      <c r="CN5" s="25" t="str">
        <f>IFERROR(__xludf.DUMMYFUNCTION("""COMPUTED_VALUE"""),"User")</f>
        <v>User</v>
      </c>
      <c r="CO5" s="25" t="str">
        <f>IFERROR(__xludf.DUMMYFUNCTION("""COMPUTED_VALUE"""),"Venue")</f>
        <v>Venue</v>
      </c>
      <c r="CP5" s="25" t="str">
        <f>IFERROR(__xludf.DUMMYFUNCTION("""COMPUTED_VALUE"""),"Closing Method")</f>
        <v>Closing Method</v>
      </c>
      <c r="CQ5" s="25" t="str">
        <f>IFERROR(__xludf.DUMMYFUNCTION("""COMPUTED_VALUE"""),"Closing Date")</f>
        <v>Closing Date</v>
      </c>
      <c r="CR5" s="25" t="str">
        <f>IFERROR(__xludf.DUMMYFUNCTION("""COMPUTED_VALUE"""),"GroupID")</f>
        <v>GroupID</v>
      </c>
      <c r="CS5" s="25" t="str">
        <f>IFERROR(__xludf.DUMMYFUNCTION("""COMPUTED_VALUE"""),"Client")</f>
        <v>Client</v>
      </c>
      <c r="CT5" s="25" t="str">
        <f>IFERROR(__xludf.DUMMYFUNCTION("""COMPUTED_VALUE"""),"isRowCountCheck")</f>
        <v>isRowCountCheck</v>
      </c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</row>
    <row r="6" ht="15.75" customHeight="1">
      <c r="A6" s="9"/>
      <c r="B6" s="9" t="s">
        <v>667</v>
      </c>
      <c r="C6" s="9"/>
      <c r="D6" s="9"/>
      <c r="E6" s="9"/>
      <c r="F6" s="9"/>
      <c r="G6" s="9"/>
      <c r="H6" s="9"/>
      <c r="I6" s="9"/>
      <c r="J6" s="9"/>
      <c r="K6" s="9">
        <v>4.0</v>
      </c>
      <c r="L6" s="9">
        <v>4.0</v>
      </c>
      <c r="M6" s="9"/>
      <c r="N6" s="9"/>
      <c r="O6" s="9"/>
      <c r="AE6">
        <v>100.0</v>
      </c>
      <c r="BJ6">
        <v>100.0</v>
      </c>
      <c r="BO6" t="s">
        <v>672</v>
      </c>
      <c r="BT6" t="s">
        <v>671</v>
      </c>
    </row>
    <row r="7" ht="15.75" customHeight="1">
      <c r="A7" s="9"/>
      <c r="B7" s="9" t="s">
        <v>669</v>
      </c>
      <c r="C7" s="9"/>
      <c r="D7" s="9"/>
      <c r="E7" s="9"/>
      <c r="F7" s="9"/>
      <c r="G7" s="9"/>
      <c r="H7" s="9"/>
      <c r="I7" s="9"/>
      <c r="J7" s="9"/>
      <c r="K7" s="9">
        <v>4.0</v>
      </c>
      <c r="L7" s="9">
        <v>4.0</v>
      </c>
      <c r="M7" s="9"/>
      <c r="N7" s="9"/>
      <c r="O7" s="9"/>
      <c r="AE7">
        <v>200.0</v>
      </c>
      <c r="BJ7">
        <v>200.0</v>
      </c>
      <c r="BO7" t="s">
        <v>672</v>
      </c>
      <c r="BT7" t="s">
        <v>671</v>
      </c>
    </row>
    <row r="8" ht="15.75" customHeight="1">
      <c r="A8" s="9"/>
      <c r="B8" s="9" t="s">
        <v>670</v>
      </c>
      <c r="C8" s="9"/>
      <c r="D8" s="9"/>
      <c r="E8" s="9"/>
      <c r="F8" s="9"/>
      <c r="G8" s="9"/>
      <c r="H8" s="9"/>
      <c r="I8" s="9"/>
      <c r="J8" s="9"/>
      <c r="K8" s="9">
        <v>4.0</v>
      </c>
      <c r="L8" s="9">
        <v>4.0</v>
      </c>
      <c r="M8" s="9"/>
      <c r="N8" s="9"/>
      <c r="O8" s="9"/>
      <c r="AE8">
        <v>201.0</v>
      </c>
      <c r="BJ8">
        <v>201.0</v>
      </c>
      <c r="BO8" t="s">
        <v>672</v>
      </c>
      <c r="BT8" t="s">
        <v>671</v>
      </c>
    </row>
    <row r="9" ht="15.75" customHeight="1">
      <c r="A9" s="9"/>
      <c r="B9" s="9" t="s">
        <v>676</v>
      </c>
      <c r="C9" s="9"/>
      <c r="D9" s="9"/>
      <c r="E9" s="9"/>
      <c r="F9" s="9"/>
      <c r="G9" s="9"/>
      <c r="H9" s="9"/>
      <c r="I9" s="9"/>
      <c r="J9" s="9"/>
      <c r="K9" s="9">
        <v>4.0</v>
      </c>
      <c r="L9" s="9">
        <v>4.0</v>
      </c>
      <c r="M9" s="9"/>
      <c r="N9" s="9"/>
      <c r="O9" s="9"/>
      <c r="AE9">
        <v>8000.0</v>
      </c>
      <c r="BJ9">
        <v>10000.0</v>
      </c>
      <c r="BO9" t="s">
        <v>672</v>
      </c>
      <c r="BT9" t="s">
        <v>671</v>
      </c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52</v>
      </c>
      <c r="D3" s="4" t="s">
        <v>662</v>
      </c>
      <c r="E3" s="13" t="s">
        <v>55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</row>
    <row r="4" ht="15.75" customHeight="1">
      <c r="A4" s="21"/>
      <c r="B4" s="21" t="str">
        <f>IFERROR(__xludf.DUMMYFUNCTION("IF(C3="""","""",Transpose(IMPORTRANGE('_Settings'!$B$3,C3&amp;""!A4:A1000"")))"),"CheckDashboardPM")</f>
        <v>CheckDashboardPM</v>
      </c>
      <c r="C4" s="21" t="str">
        <f>IFERROR(__xludf.DUMMYFUNCTION("""COMPUTED_VALUE"""),"CheckPortfolioManagement")</f>
        <v>CheckPortfolioManagement</v>
      </c>
      <c r="D4" s="21" t="str">
        <f>IFERROR(__xludf.DUMMYFUNCTION("""COMPUTED_VALUE"""),"OpenPSTFromPM")</f>
        <v>OpenPSTFromPM</v>
      </c>
      <c r="E4" s="21" t="str">
        <f>IFERROR(__xludf.DUMMYFUNCTION("""COMPUTED_VALUE"""),"ClosePM")</f>
        <v>ClosePM</v>
      </c>
      <c r="F4" s="21" t="str">
        <f>IFERROR(__xludf.DUMMYFUNCTION("""COMPUTED_VALUE"""),"FilterPM")</f>
        <v>FilterPM</v>
      </c>
      <c r="G4" s="21" t="str">
        <f>IFERROR(__xludf.DUMMYFUNCTION("""COMPUTED_VALUE"""),"GroupRowPM")</f>
        <v>GroupRowPM</v>
      </c>
      <c r="H4" s="21" t="str">
        <f>IFERROR(__xludf.DUMMYFUNCTION("""COMPUTED_VALUE"""),"CheckDashboardWithPM")</f>
        <v>CheckDashboardWithPM</v>
      </c>
      <c r="I4" s="21" t="str">
        <f>IFERROR(__xludf.DUMMYFUNCTION("""COMPUTED_VALUE"""),"RemoveFilterPM")</f>
        <v>RemoveFilterPM</v>
      </c>
      <c r="J4" s="21" t="str">
        <f>IFERROR(__xludf.DUMMYFUNCTION("""COMPUTED_VALUE"""),"CheckSummaryRowsPM")</f>
        <v>CheckSummaryRowsPM</v>
      </c>
      <c r="K4" s="21" t="str">
        <f>IFERROR(__xludf.DUMMYFUNCTION("""COMPUTED_VALUE"""),"OpenPTTFromPM")</f>
        <v>OpenPTTFromPM</v>
      </c>
      <c r="L4" s="21" t="str">
        <f>IFERROR(__xludf.DUMMYFUNCTION("""COMPUTED_VALUE"""),"OpenClosingFromPM")</f>
        <v>OpenClosingFromPM</v>
      </c>
      <c r="M4" s="21" t="str">
        <f>IFERROR(__xludf.DUMMYFUNCTION("""COMPUTED_VALUE"""),"OpenCorporateActionFromPM")</f>
        <v>OpenCorporateActionFromPM</v>
      </c>
      <c r="N4" s="21" t="str">
        <f>IFERROR(__xludf.DUMMYFUNCTION("""COMPUTED_VALUE"""),"OpenDailyValuationFromPM")</f>
        <v>OpenDailyValuationFromPM</v>
      </c>
      <c r="O4" s="21" t="str">
        <f>IFERROR(__xludf.DUMMYFUNCTION("""COMPUTED_VALUE"""),"ClosePositionFromPM")</f>
        <v>ClosePositionFromPM</v>
      </c>
      <c r="P4" s="22" t="str">
        <f>IFERROR(__xludf.DUMMYFUNCTION("""COMPUTED_VALUE"""),"ShowSummaryToolFromPM")</f>
        <v>ShowSummaryToolFromPM</v>
      </c>
      <c r="Q4" s="22" t="str">
        <f>IFERROR(__xludf.DUMMYFUNCTION("""COMPUTED_VALUE"""),"HideSummaryToolFromPM")</f>
        <v>HideSummaryToolFromPM</v>
      </c>
      <c r="R4" s="22" t="str">
        <f>IFERROR(__xludf.DUMMYFUNCTION("""COMPUTED_VALUE"""),"CloseAccountPositionFromPM")</f>
        <v>CloseAccountPositionFromPM</v>
      </c>
      <c r="S4" s="22" t="str">
        <f>IFERROR(__xludf.DUMMYFUNCTION("""COMPUTED_VALUE"""),"CloseSelectedTaxlotsFromPM")</f>
        <v>CloseSelectedTaxlotsFromPM</v>
      </c>
      <c r="T4" s="22" t="str">
        <f>IFERROR(__xludf.DUMMYFUNCTION("""COMPUTED_VALUE"""),"ExpandCollapsePM")</f>
        <v>ExpandCollapsePM</v>
      </c>
      <c r="U4" s="22" t="str">
        <f>IFERROR(__xludf.DUMMYFUNCTION("""COMPUTED_VALUE"""),"AddCustomViewPM")</f>
        <v>AddCustomViewPM</v>
      </c>
      <c r="V4" s="22" t="str">
        <f>IFERROR(__xludf.DUMMYFUNCTION("""COMPUTED_VALUE"""),"AddCustomViewRightClickPM")</f>
        <v>AddCustomViewRightClickPM</v>
      </c>
      <c r="W4" s="22" t="str">
        <f>IFERROR(__xludf.DUMMYFUNCTION("""COMPUTED_VALUE"""),"RenameCustomViewPM")</f>
        <v>RenameCustomViewPM</v>
      </c>
      <c r="X4" s="22" t="str">
        <f>IFERROR(__xludf.DUMMYFUNCTION("""COMPUTED_VALUE"""),"DeleteCustomViewPM")</f>
        <v>DeleteCustomViewPM</v>
      </c>
      <c r="Y4" s="22" t="str">
        <f>IFERROR(__xludf.DUMMYFUNCTION("""COMPUTED_VALUE"""),"OpenCreateTransactionFromPM")</f>
        <v>OpenCreateTransactionFromPM</v>
      </c>
      <c r="Z4" s="22" t="str">
        <f>IFERROR(__xludf.DUMMYFUNCTION("""COMPUTED_VALUE"""),"RemoveGroupingFromPM")</f>
        <v>RemoveGroupingFromPM</v>
      </c>
      <c r="AA4" s="22" t="str">
        <f>IFERROR(__xludf.DUMMYFUNCTION("""COMPUTED_VALUE"""),"IncreasePositionFromPM")</f>
        <v>IncreasePositionFromPM</v>
      </c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IFERROR(__xludf.DUMMYFUNCTION("""COMPUTED_VALUE"""),"Trade Date")</f>
        <v>Trade Date</v>
      </c>
      <c r="C5" s="24" t="str">
        <f>IFERROR(__xludf.DUMMYFUNCTION("""COMPUTED_VALUE"""),"Symbol")</f>
        <v>Symbol</v>
      </c>
      <c r="D5" s="24" t="str">
        <f>IFERROR(__xludf.DUMMYFUNCTION("""COMPUTED_VALUE"""),"Position")</f>
        <v>Position</v>
      </c>
      <c r="E5" s="24" t="str">
        <f>IFERROR(__xludf.DUMMYFUNCTION("""COMPUTED_VALUE"""),"Account")</f>
        <v>Account</v>
      </c>
      <c r="F5" s="24" t="str">
        <f>IFERROR(__xludf.DUMMYFUNCTION("""COMPUTED_VALUE"""),"MasterFund")</f>
        <v>MasterFund</v>
      </c>
      <c r="G5" s="24" t="str">
        <f>IFERROR(__xludf.DUMMYFUNCTION("""COMPUTED_VALUE"""),"Cost Basis")</f>
        <v>Cost Basis</v>
      </c>
      <c r="H5" s="24" t="str">
        <f>IFERROR(__xludf.DUMMYFUNCTION("""COMPUTED_VALUE"""),"Position Side")</f>
        <v>Position Side</v>
      </c>
      <c r="I5" s="24" t="str">
        <f>IFERROR(__xludf.DUMMYFUNCTION("""COMPUTED_VALUE"""),"Market Value (Base)")</f>
        <v>Market Value (Base)</v>
      </c>
      <c r="J5" s="24" t="str">
        <f>IFERROR(__xludf.DUMMYFUNCTION("""COMPUTED_VALUE"""),"% Day P&amp;L (Gross MV)")</f>
        <v>% Day P&amp;L (Gross MV)</v>
      </c>
      <c r="K5" s="24" t="str">
        <f>IFERROR(__xludf.DUMMYFUNCTION("""COMPUTED_VALUE"""),"Net Exposure (Base)")</f>
        <v>Net Exposure (Base)</v>
      </c>
      <c r="L5" s="24" t="str">
        <f>IFERROR(__xludf.DUMMYFUNCTION("""COMPUTED_VALUE"""),"Beta Adj. Gross Exposure (Base)")</f>
        <v>Beta Adj. Gross Exposure (Base)</v>
      </c>
      <c r="M5" s="24" t="str">
        <f>IFERROR(__xludf.DUMMYFUNCTION("""COMPUTED_VALUE"""),"Beta Adj. Gross Exposure (Underlying) (Base)")</f>
        <v>Beta Adj. Gross Exposure (Underlying) (Base)</v>
      </c>
      <c r="N5" s="24" t="str">
        <f>IFERROR(__xludf.DUMMYFUNCTION("""COMPUTED_VALUE"""),"Day P&amp;L (Base)")</f>
        <v>Day P&amp;L (Base)</v>
      </c>
      <c r="O5" s="24" t="str">
        <f>IFERROR(__xludf.DUMMYFUNCTION("""COMPUTED_VALUE"""),"Security Name")</f>
        <v>Security Name</v>
      </c>
      <c r="P5" s="24" t="str">
        <f>IFERROR(__xludf.DUMMYFUNCTION("""COMPUTED_VALUE"""),"Closing Mark")</f>
        <v>Closing Mark</v>
      </c>
      <c r="Q5" s="24" t="str">
        <f>IFERROR(__xludf.DUMMYFUNCTION("""COMPUTED_VALUE"""),"Cost Basis P&amp;L (Base)")</f>
        <v>Cost Basis P&amp;L (Base)</v>
      </c>
      <c r="R5" s="24" t="str">
        <f>IFERROR(__xludf.DUMMYFUNCTION("""COMPUTED_VALUE"""),"Prime Broker")</f>
        <v>Prime Broker</v>
      </c>
      <c r="S5" s="24" t="str">
        <f>IFERROR(__xludf.DUMMYFUNCTION("""COMPUTED_VALUE"""),"Strategy")</f>
        <v>Strategy</v>
      </c>
      <c r="T5" s="25" t="str">
        <f>IFERROR(__xludf.DUMMYFUNCTION("""COMPUTED_VALUE"""),"Asset Class")</f>
        <v>Asset Class</v>
      </c>
      <c r="U5" s="25" t="str">
        <f>IFERROR(__xludf.DUMMYFUNCTION("""COMPUTED_VALUE"""),"Underlying")</f>
        <v>Underlying</v>
      </c>
      <c r="V5" s="25" t="str">
        <f>IFERROR(__xludf.DUMMYFUNCTION("""COMPUTED_VALUE"""),"Exchange")</f>
        <v>Exchange</v>
      </c>
      <c r="W5" s="25" t="str">
        <f>IFERROR(__xludf.DUMMYFUNCTION("""COMPUTED_VALUE"""),"Trade Currency")</f>
        <v>Trade Currency</v>
      </c>
      <c r="X5" s="25" t="str">
        <f>IFERROR(__xludf.DUMMYFUNCTION("""COMPUTED_VALUE"""),"Multiplier")</f>
        <v>Multiplier</v>
      </c>
      <c r="Y5" s="25" t="str">
        <f>IFERROR(__xludf.DUMMYFUNCTION("""COMPUTED_VALUE"""),"FX Rate")</f>
        <v>FX Rate</v>
      </c>
      <c r="Z5" s="25" t="str">
        <f>IFERROR(__xludf.DUMMYFUNCTION("""COMPUTED_VALUE"""),"Vs Currency")</f>
        <v>Vs Currency</v>
      </c>
      <c r="AA5" s="25" t="str">
        <f>IFERROR(__xludf.DUMMYFUNCTION("""COMPUTED_VALUE"""),"Lead Currency")</f>
        <v>Lead Currency</v>
      </c>
      <c r="AB5" s="25" t="str">
        <f>IFERROR(__xludf.DUMMYFUNCTION("""COMPUTED_VALUE"""),"Dividend Yield (%)")</f>
        <v>Dividend Yield (%)</v>
      </c>
      <c r="AC5" s="25" t="str">
        <f>IFERROR(__xludf.DUMMYFUNCTION("""COMPUTED_VALUE"""),"% Change")</f>
        <v>% Change</v>
      </c>
      <c r="AD5" s="25" t="str">
        <f>IFERROR(__xludf.DUMMYFUNCTION("""COMPUTED_VALUE"""),"Net Exposure (Local)")</f>
        <v>Net Exposure (Local)</v>
      </c>
      <c r="AE5" s="25" t="str">
        <f>IFERROR(__xludf.DUMMYFUNCTION("""COMPUTED_VALUE"""),"Exposure (Local)")</f>
        <v>Exposure (Local)</v>
      </c>
      <c r="AF5" s="25" t="str">
        <f>IFERROR(__xludf.DUMMYFUNCTION("""COMPUTED_VALUE"""),"Delta Adj. Position")</f>
        <v>Delta Adj. Position</v>
      </c>
      <c r="AG5" s="25" t="str">
        <f>IFERROR(__xludf.DUMMYFUNCTION("""COMPUTED_VALUE"""),"Exposure (Base)")</f>
        <v>Exposure (Base)</v>
      </c>
      <c r="AH5" s="25" t="str">
        <f>IFERROR(__xludf.DUMMYFUNCTION("""COMPUTED_VALUE"""),"Beta Adj. Exposure (Local)")</f>
        <v>Beta Adj. Exposure (Local)</v>
      </c>
      <c r="AI5" s="25" t="str">
        <f>IFERROR(__xludf.DUMMYFUNCTION("""COMPUTED_VALUE"""),"Beta Adj. Exposure (Base)")</f>
        <v>Beta Adj. Exposure (Base)</v>
      </c>
      <c r="AJ5" s="25" t="str">
        <f>IFERROR(__xludf.DUMMYFUNCTION("""COMPUTED_VALUE"""),"Exposure (BP)(Base)")</f>
        <v>Exposure (BP)(Base)</v>
      </c>
      <c r="AK5" s="25" t="str">
        <f>IFERROR(__xludf.DUMMYFUNCTION("""COMPUTED_VALUE"""),"Day P&amp;L (Local)")</f>
        <v>Day P&amp;L (Local)</v>
      </c>
      <c r="AL5" s="25" t="str">
        <f>IFERROR(__xludf.DUMMYFUNCTION("""COMPUTED_VALUE"""),"Delta")</f>
        <v>Delta</v>
      </c>
      <c r="AM5" s="25" t="str">
        <f>IFERROR(__xludf.DUMMYFUNCTION("""COMPUTED_VALUE"""),"Leveraged Factor")</f>
        <v>Leveraged Factor</v>
      </c>
      <c r="AN5" s="25" t="str">
        <f>IFERROR(__xludf.DUMMYFUNCTION("""COMPUTED_VALUE"""),"Order Side")</f>
        <v>Order Side</v>
      </c>
      <c r="AO5" s="25" t="str">
        <f>IFERROR(__xludf.DUMMYFUNCTION("""COMPUTED_VALUE"""),"Master Strategy")</f>
        <v>Master Strategy</v>
      </c>
      <c r="AP5" s="25" t="str">
        <f>IFERROR(__xludf.DUMMYFUNCTION("""COMPUTED_VALUE"""),"Transaction Side")</f>
        <v>Transaction Side</v>
      </c>
      <c r="AQ5" s="25" t="str">
        <f>IFERROR(__xludf.DUMMYFUNCTION("""COMPUTED_VALUE"""),"Underlying Symbol")</f>
        <v>Underlying Symbol</v>
      </c>
      <c r="AR5" s="25" t="str">
        <f>IFERROR(__xludf.DUMMYFUNCTION("""COMPUTED_VALUE"""),"Underlying Price")</f>
        <v>Underlying Price</v>
      </c>
      <c r="AS5" s="25" t="str">
        <f>IFERROR(__xludf.DUMMYFUNCTION("""COMPUTED_VALUE"""),"Side Multiplier")</f>
        <v>Side Multiplier</v>
      </c>
      <c r="AT5" s="25" t="str">
        <f>IFERROR(__xludf.DUMMYFUNCTION("""COMPUTED_VALUE"""),"Description")</f>
        <v>Description</v>
      </c>
      <c r="AU5" s="25" t="str">
        <f>IFERROR(__xludf.DUMMYFUNCTION("""COMPUTED_VALUE"""),"Internal Comments")</f>
        <v>Internal Comments</v>
      </c>
      <c r="AV5" s="25" t="str">
        <f>IFERROR(__xludf.DUMMYFUNCTION("""COMPUTED_VALUE"""),"FX Rate On Trade Date")</f>
        <v>FX Rate On Trade Date</v>
      </c>
      <c r="AW5" s="25" t="str">
        <f>IFERROR(__xludf.DUMMYFUNCTION("""COMPUTED_VALUE"""),"Cost Basis P&amp;L (Local)")</f>
        <v>Cost Basis P&amp;L (Local)</v>
      </c>
      <c r="AX5" s="25" t="str">
        <f>IFERROR(__xludf.DUMMYFUNCTION("""COMPUTED_VALUE"""),"Day Interest")</f>
        <v>Day Interest</v>
      </c>
      <c r="AY5" s="25" t="str">
        <f>IFERROR(__xludf.DUMMYFUNCTION("""COMPUTED_VALUE"""),"Total Interest")</f>
        <v>Total Interest</v>
      </c>
      <c r="AZ5" s="25" t="str">
        <f>IFERROR(__xludf.DUMMYFUNCTION("""COMPUTED_VALUE"""),"Market Value (Local)")</f>
        <v>Market Value (Local)</v>
      </c>
      <c r="BA5" s="25" t="str">
        <f>IFERROR(__xludf.DUMMYFUNCTION("""COMPUTED_VALUE"""),"% Gain/Loss Day")</f>
        <v>% Gain/Loss Day</v>
      </c>
      <c r="BB5" s="25" t="str">
        <f>IFERROR(__xludf.DUMMYFUNCTION("""COMPUTED_VALUE"""),"Update Time (Last Price)")</f>
        <v>Update Time (Last Price)</v>
      </c>
      <c r="BC5" s="25" t="str">
        <f>IFERROR(__xludf.DUMMYFUNCTION("""COMPUTED_VALUE"""),"Beta")</f>
        <v>Beta</v>
      </c>
      <c r="BD5" s="25" t="str">
        <f>IFERROR(__xludf.DUMMYFUNCTION("""COMPUTED_VALUE"""),"Cash Impact (Local)")</f>
        <v>Cash Impact (Local)</v>
      </c>
      <c r="BE5" s="25" t="str">
        <f>IFERROR(__xludf.DUMMYFUNCTION("""COMPUTED_VALUE"""),"User Asset")</f>
        <v>User Asset</v>
      </c>
      <c r="BF5" s="25" t="str">
        <f>IFERROR(__xludf.DUMMYFUNCTION("""COMPUTED_VALUE"""),"Security Type")</f>
        <v>Security Type</v>
      </c>
      <c r="BG5" s="25" t="str">
        <f>IFERROR(__xludf.DUMMYFUNCTION("""COMPUTED_VALUE"""),"Sector")</f>
        <v>Sector</v>
      </c>
      <c r="BH5" s="25" t="str">
        <f>IFERROR(__xludf.DUMMYFUNCTION("""COMPUTED_VALUE"""),"Sub Sector")</f>
        <v>Sub Sector</v>
      </c>
      <c r="BI5" s="25" t="str">
        <f>IFERROR(__xludf.DUMMYFUNCTION("""COMPUTED_VALUE"""),"Country")</f>
        <v>Country</v>
      </c>
      <c r="BJ5" s="25" t="str">
        <f>IFERROR(__xludf.DUMMYFUNCTION("""COMPUTED_VALUE"""),"Market Cap")</f>
        <v>Market Cap</v>
      </c>
      <c r="BK5" s="25" t="str">
        <f>IFERROR(__xludf.DUMMYFUNCTION("""COMPUTED_VALUE"""),"Shares Outstanding (MM)")</f>
        <v>Shares Outstanding (MM)</v>
      </c>
      <c r="BL5" s="25" t="str">
        <f>IFERROR(__xludf.DUMMYFUNCTION("""COMPUTED_VALUE"""),"Avg Volume 20 Day")</f>
        <v>Avg Volume 20 Day</v>
      </c>
      <c r="BM5" s="25" t="str">
        <f>IFERROR(__xludf.DUMMYFUNCTION("""COMPUTED_VALUE"""),"% Avg Volume (Delta Adj.)")</f>
        <v>% Avg Volume (Delta Adj.)</v>
      </c>
      <c r="BN5" s="25" t="str">
        <f>IFERROR(__xludf.DUMMYFUNCTION("""COMPUTED_VALUE"""),"Ex Dividend Date")</f>
        <v>Ex Dividend Date</v>
      </c>
      <c r="BO5" s="25" t="str">
        <f>IFERROR(__xludf.DUMMYFUNCTION("""COMPUTED_VALUE"""),"Cash Impact (Base)")</f>
        <v>Cash Impact (Base)</v>
      </c>
      <c r="BP5" s="25" t="str">
        <f>IFERROR(__xludf.DUMMYFUNCTION("""COMPUTED_VALUE"""),"Volatility (%)")</f>
        <v>Volatility (%)</v>
      </c>
      <c r="BQ5" s="25" t="str">
        <f>IFERROR(__xludf.DUMMYFUNCTION("""COMPUTED_VALUE"""),"User")</f>
        <v>User</v>
      </c>
      <c r="BR5" s="25" t="str">
        <f>IFERROR(__xludf.DUMMYFUNCTION("""COMPUTED_VALUE"""),"Broker")</f>
        <v>Broker</v>
      </c>
      <c r="BS5" s="25" t="str">
        <f>IFERROR(__xludf.DUMMYFUNCTION("""COMPUTED_VALUE"""),"Earned Dividend (Local)")</f>
        <v>Earned Dividend (Local)</v>
      </c>
      <c r="BT5" s="25" t="str">
        <f>IFERROR(__xludf.DUMMYFUNCTION("""COMPUTED_VALUE"""),"Earned Dividend (Base)")</f>
        <v>Earned Dividend (Base)</v>
      </c>
      <c r="BU5" s="25" t="str">
        <f>IFERROR(__xludf.DUMMYFUNCTION("""COMPUTED_VALUE"""),"Put/Call")</f>
        <v>Put/Call</v>
      </c>
      <c r="BV5" s="25" t="str">
        <f>IFERROR(__xludf.DUMMYFUNCTION("""COMPUTED_VALUE"""),"Expiration Date")</f>
        <v>Expiration Date</v>
      </c>
      <c r="BW5" s="25" t="str">
        <f>IFERROR(__xludf.DUMMYFUNCTION("""COMPUTED_VALUE"""),"Strike Price")</f>
        <v>Strike Price</v>
      </c>
      <c r="BX5" s="25" t="str">
        <f>IFERROR(__xludf.DUMMYFUNCTION("""COMPUTED_VALUE"""),"Gross Exposure (Base)")</f>
        <v>Gross Exposure (Base)</v>
      </c>
      <c r="BY5" s="25" t="str">
        <f>IFERROR(__xludf.DUMMYFUNCTION("""COMPUTED_VALUE"""),"Gross Market Value (Base)")</f>
        <v>Gross Market Value (Base)</v>
      </c>
      <c r="BZ5" s="25" t="str">
        <f>IFERROR(__xludf.DUMMYFUNCTION("""COMPUTED_VALUE"""),"Px Selected Feed (Local)")</f>
        <v>Px Selected Feed (Local)</v>
      </c>
      <c r="CA5" s="25" t="str">
        <f>IFERROR(__xludf.DUMMYFUNCTION("""COMPUTED_VALUE"""),"Px Selected Feed (Base)")</f>
        <v>Px Selected Feed (Base)</v>
      </c>
      <c r="CB5" s="25" t="str">
        <f>IFERROR(__xludf.DUMMYFUNCTION("""COMPUTED_VALUE"""),"Settlement Date")</f>
        <v>Settlement Date</v>
      </c>
      <c r="CC5" s="25" t="str">
        <f>IFERROR(__xludf.DUMMYFUNCTION("""COMPUTED_VALUE"""),"% Avg Volume")</f>
        <v>% Avg Volume</v>
      </c>
      <c r="CD5" s="25" t="str">
        <f>IFERROR(__xludf.DUMMYFUNCTION("""COMPUTED_VALUE"""),"Day P&amp;L (Base)(Price Gain)")</f>
        <v>Day P&amp;L (Base)(Price Gain)</v>
      </c>
      <c r="CE5" s="25" t="str">
        <f>IFERROR(__xludf.DUMMYFUNCTION("""COMPUTED_VALUE"""),"Day P&amp;L (Base)(FX Gain)")</f>
        <v>Day P&amp;L (Base)(FX Gain)</v>
      </c>
      <c r="CF5" s="25" t="str">
        <f>IFERROR(__xludf.DUMMYFUNCTION("""COMPUTED_VALUE"""),"Cost Basis P&amp;L (Base)(FX Gain)")</f>
        <v>Cost Basis P&amp;L (Base)(FX Gain)</v>
      </c>
      <c r="CG5" s="25" t="str">
        <f>IFERROR(__xludf.DUMMYFUNCTION("""COMPUTED_VALUE"""),"Cost Basis P&amp;L (Base)(Price Gain)")</f>
        <v>Cost Basis P&amp;L (Base)(Price Gain)</v>
      </c>
      <c r="CH5" s="25" t="str">
        <f>IFERROR(__xludf.DUMMYFUNCTION("""COMPUTED_VALUE"""),"% Gain/Loss Cost")</f>
        <v>% Gain/Loss Cost</v>
      </c>
      <c r="CI5" s="25" t="str">
        <f>IFERROR(__xludf.DUMMYFUNCTION("""COMPUTED_VALUE"""),"Underlying Value (Options)")</f>
        <v>Underlying Value (Options)</v>
      </c>
      <c r="CJ5" s="25" t="str">
        <f>IFERROR(__xludf.DUMMYFUNCTION("""COMPUTED_VALUE"""),"Avg Volume 20 Day (Underlying Symbol)")</f>
        <v>Avg Volume 20 Day (Underlying Symbol)</v>
      </c>
      <c r="CK5" s="25" t="str">
        <f>IFERROR(__xludf.DUMMYFUNCTION("""COMPUTED_VALUE"""),"IsStaleData")</f>
        <v>IsStaleData</v>
      </c>
      <c r="CL5" s="25" t="str">
        <f>IFERROR(__xludf.DUMMYFUNCTION("""COMPUTED_VALUE"""),"IDCO")</f>
        <v>IDCO</v>
      </c>
      <c r="CM5" s="25" t="str">
        <f>IFERROR(__xludf.DUMMYFUNCTION("""COMPUTED_VALUE"""),"OSI")</f>
        <v>OSI</v>
      </c>
      <c r="CN5" s="25" t="str">
        <f>IFERROR(__xludf.DUMMYFUNCTION("""COMPUTED_VALUE"""),"SEDOL")</f>
        <v>SEDOL</v>
      </c>
      <c r="CO5" s="25" t="str">
        <f>IFERROR(__xludf.DUMMYFUNCTION("""COMPUTED_VALUE"""),"CUSIP")</f>
        <v>CUSIP</v>
      </c>
      <c r="CP5" s="25" t="str">
        <f>IFERROR(__xludf.DUMMYFUNCTION("""COMPUTED_VALUE"""),"Bloomberg")</f>
        <v>Bloomberg</v>
      </c>
      <c r="CQ5" s="25" t="str">
        <f>IFERROR(__xludf.DUMMYFUNCTION("""COMPUTED_VALUE"""),"ISIN")</f>
        <v>ISIN</v>
      </c>
      <c r="CR5" s="25" t="str">
        <f>IFERROR(__xludf.DUMMYFUNCTION("""COMPUTED_VALUE"""),"Start Trade Date")</f>
        <v>Start Trade Date</v>
      </c>
      <c r="CS5" s="25" t="str">
        <f>IFERROR(__xludf.DUMMYFUNCTION("""COMPUTED_VALUE"""),"Cost Basis (Break Even)")</f>
        <v>Cost Basis (Break Even)</v>
      </c>
      <c r="CT5" s="25" t="str">
        <f>IFERROR(__xludf.DUMMYFUNCTION("""COMPUTED_VALUE"""),"Trade Attribute 3")</f>
        <v>Trade Attribute 3</v>
      </c>
      <c r="CU5" s="25" t="str">
        <f>IFERROR(__xludf.DUMMYFUNCTION("""COMPUTED_VALUE"""),"Trade Attribute 4")</f>
        <v>Trade Attribute 4</v>
      </c>
      <c r="CV5" s="25" t="str">
        <f>IFERROR(__xludf.DUMMYFUNCTION("""COMPUTED_VALUE"""),"Trade Attribute 5")</f>
        <v>Trade Attribute 5</v>
      </c>
      <c r="CW5" s="25" t="str">
        <f>IFERROR(__xludf.DUMMYFUNCTION("""COMPUTED_VALUE"""),"Trade Attribute 6")</f>
        <v>Trade Attribute 6</v>
      </c>
      <c r="CX5" s="25" t="str">
        <f>IFERROR(__xludf.DUMMYFUNCTION("""COMPUTED_VALUE"""),"Proxy Symbol")</f>
        <v>Proxy Symbol</v>
      </c>
      <c r="CY5" s="25" t="str">
        <f>IFERROR(__xludf.DUMMYFUNCTION("""COMPUTED_VALUE"""),"Pricing Source")</f>
        <v>Pricing Source</v>
      </c>
      <c r="CZ5" s="25" t="str">
        <f>IFERROR(__xludf.DUMMYFUNCTION("""COMPUTED_VALUE"""),"Delta Source")</f>
        <v>Delta Source</v>
      </c>
      <c r="DA5" s="25" t="str">
        <f>IFERROR(__xludf.DUMMYFUNCTION("""COMPUTED_VALUE"""),"Gross Exposure (Local)")</f>
        <v>Gross Exposure (Local)</v>
      </c>
      <c r="DB5" s="25" t="str">
        <f>IFERROR(__xludf.DUMMYFUNCTION("""COMPUTED_VALUE"""),"% Day P&amp;L (Net MV)")</f>
        <v>% Day P&amp;L (Net MV)</v>
      </c>
      <c r="DC5" s="25" t="str">
        <f>IFERROR(__xludf.DUMMYFUNCTION("""COMPUTED_VALUE"""),"Expiration Month")</f>
        <v>Expiration Month</v>
      </c>
      <c r="DD5" s="25" t="str">
        <f>IFERROR(__xludf.DUMMYFUNCTION("""COMPUTED_VALUE"""),"Delta Adj. Position (LME)")</f>
        <v>Delta Adj. Position (LME)</v>
      </c>
      <c r="DE5" s="25" t="str">
        <f>IFERROR(__xludf.DUMMYFUNCTION("""COMPUTED_VALUE"""),"Premium")</f>
        <v>Premium</v>
      </c>
      <c r="DF5" s="25" t="str">
        <f>IFERROR(__xludf.DUMMYFUNCTION("""COMPUTED_VALUE"""),"Premium $")</f>
        <v>Premium $</v>
      </c>
      <c r="DG5" s="25" t="str">
        <f>IFERROR(__xludf.DUMMYFUNCTION("""COMPUTED_VALUE"""),"Forward Points")</f>
        <v>Forward Points</v>
      </c>
      <c r="DH5" s="25" t="str">
        <f>IFERROR(__xludf.DUMMYFUNCTION("""COMPUTED_VALUE"""),"Closing Mark (Underlying)")</f>
        <v>Closing Mark (Underlying)</v>
      </c>
      <c r="DI5" s="25" t="str">
        <f>IFERROR(__xludf.DUMMYFUNCTION("""COMPUTED_VALUE"""),"% Change (Underlying Price)")</f>
        <v>% Change (Underlying Price)</v>
      </c>
      <c r="DJ5" s="25" t="str">
        <f>IFERROR(__xludf.DUMMYFUNCTION("""COMPUTED_VALUE"""),"Transaction Type")</f>
        <v>Transaction Type</v>
      </c>
      <c r="DK5" s="25" t="str">
        <f>IFERROR(__xludf.DUMMYFUNCTION("""COMPUTED_VALUE"""),"Closing Market Value (Local)")</f>
        <v>Closing Market Value (Local)</v>
      </c>
      <c r="DL5" s="25" t="str">
        <f>IFERROR(__xludf.DUMMYFUNCTION("""COMPUTED_VALUE"""),"Closing Market Value (Base)")</f>
        <v>Closing Market Value (Base)</v>
      </c>
      <c r="DM5" s="25" t="str">
        <f>IFERROR(__xludf.DUMMYFUNCTION("""COMPUTED_VALUE"""),"Closing FX Rate")</f>
        <v>Closing FX Rate</v>
      </c>
      <c r="DN5" s="25" t="str">
        <f>IFERROR(__xludf.DUMMYFUNCTION("""COMPUTED_VALUE"""),"Change In Underlying Price")</f>
        <v>Change In Underlying Price</v>
      </c>
      <c r="DO5" s="25" t="str">
        <f>IFERROR(__xludf.DUMMYFUNCTION("""COMPUTED_VALUE"""),"RIC")</f>
        <v>RIC</v>
      </c>
      <c r="DP5" s="25" t="str">
        <f>IFERROR(__xludf.DUMMYFUNCTION("""COMPUTED_VALUE"""),"Position Side Exposure (Boxed)")</f>
        <v>Position Side Exposure (Boxed)</v>
      </c>
      <c r="DQ5" s="25" t="str">
        <f>IFERROR(__xludf.DUMMYFUNCTION("""COMPUTED_VALUE"""),"Analyst")</f>
        <v>Analyst</v>
      </c>
      <c r="DR5" s="25" t="str">
        <f>IFERROR(__xludf.DUMMYFUNCTION("""COMPUTED_VALUE"""),"Country Of Risk")</f>
        <v>Country Of Risk</v>
      </c>
      <c r="DS5" s="25" t="str">
        <f>IFERROR(__xludf.DUMMYFUNCTION("""COMPUTED_VALUE"""),"Custom UDA1")</f>
        <v>Custom UDA1</v>
      </c>
      <c r="DT5" s="25" t="str">
        <f>IFERROR(__xludf.DUMMYFUNCTION("""COMPUTED_VALUE"""),"Custom UDA2")</f>
        <v>Custom UDA2</v>
      </c>
      <c r="DU5" s="25" t="str">
        <f>IFERROR(__xludf.DUMMYFUNCTION("""COMPUTED_VALUE"""),"Custom UDA3")</f>
        <v>Custom UDA3</v>
      </c>
      <c r="DV5" s="25" t="str">
        <f>IFERROR(__xludf.DUMMYFUNCTION("""COMPUTED_VALUE"""),"Custom UDA4")</f>
        <v>Custom UDA4</v>
      </c>
      <c r="DW5" s="25" t="str">
        <f>IFERROR(__xludf.DUMMYFUNCTION("""COMPUTED_VALUE"""),"Custom UDA5")</f>
        <v>Custom UDA5</v>
      </c>
      <c r="DX5" s="25" t="str">
        <f>IFERROR(__xludf.DUMMYFUNCTION("""COMPUTED_VALUE"""),"Custom UDA6")</f>
        <v>Custom UDA6</v>
      </c>
      <c r="DY5" s="25" t="str">
        <f>IFERROR(__xludf.DUMMYFUNCTION("""COMPUTED_VALUE"""),"Custom UDA7")</f>
        <v>Custom UDA7</v>
      </c>
      <c r="DZ5" s="25" t="str">
        <f>IFERROR(__xludf.DUMMYFUNCTION("""COMPUTED_VALUE"""),"Issuer")</f>
        <v>Issuer</v>
      </c>
      <c r="EA5" s="25" t="str">
        <f>IFERROR(__xludf.DUMMYFUNCTION("""COMPUTED_VALUE"""),"Liquid Tag")</f>
        <v>Liquid Tag</v>
      </c>
      <c r="EB5" s="25" t="str">
        <f>IFERROR(__xludf.DUMMYFUNCTION("""COMPUTED_VALUE"""),"Market Cap UDA")</f>
        <v>Market Cap UDA</v>
      </c>
      <c r="EC5" s="25" t="str">
        <f>IFERROR(__xludf.DUMMYFUNCTION("""COMPUTED_VALUE"""),"Region")</f>
        <v>Region</v>
      </c>
      <c r="ED5" s="25" t="str">
        <f>IFERROR(__xludf.DUMMYFUNCTION("""COMPUTED_VALUE"""),"Risk Currency")</f>
        <v>Risk Currency</v>
      </c>
      <c r="EE5" s="25" t="str">
        <f>IFERROR(__xludf.DUMMYFUNCTION("""COMPUTED_VALUE"""),"UCITS Eligible Tag")</f>
        <v>UCITS Eligible Tag</v>
      </c>
      <c r="EF5" s="25" t="str">
        <f>IFERROR(__xludf.DUMMYFUNCTION("""COMPUTED_VALUE"""),"FX Rate (Display)")</f>
        <v>FX Rate (Display)</v>
      </c>
      <c r="EG5" s="25" t="str">
        <f>IFERROR(__xludf.DUMMYFUNCTION("""COMPUTED_VALUE"""),"% Net Exposure (Base)")</f>
        <v>% Net Exposure (Base)</v>
      </c>
      <c r="EH5" s="25" t="str">
        <f>IFERROR(__xludf.DUMMYFUNCTION("""COMPUTED_VALUE"""),"% Gross Exposure (Base)")</f>
        <v>% Gross Exposure (Base)</v>
      </c>
      <c r="EI5" s="25" t="str">
        <f>IFERROR(__xludf.DUMMYFUNCTION("""COMPUTED_VALUE"""),"% Exposure (Base)")</f>
        <v>% Exposure (Base)</v>
      </c>
      <c r="EJ5" s="25" t="str">
        <f>IFERROR(__xludf.DUMMYFUNCTION("""COMPUTED_VALUE"""),"% Gross Exposure (Underlying) (Base)")</f>
        <v>% Gross Exposure (Underlying) (Base)</v>
      </c>
      <c r="EK5" s="25" t="str">
        <f>IFERROR(__xludf.DUMMYFUNCTION("""COMPUTED_VALUE"""),"% Beta Adj. Gross Exposure (Base)")</f>
        <v>% Beta Adj. Gross Exposure (Base)</v>
      </c>
      <c r="EL5" s="25" t="str">
        <f>IFERROR(__xludf.DUMMYFUNCTION("""COMPUTED_VALUE"""),"Position Side Exposure (Underlying)")</f>
        <v>Position Side Exposure (Underlying)</v>
      </c>
      <c r="EM5" s="25" t="str">
        <f>IFERROR(__xludf.DUMMYFUNCTION("""COMPUTED_VALUE"""),"Gross Exposure (Underlying) (Base)")</f>
        <v>Gross Exposure (Underlying) (Base)</v>
      </c>
      <c r="EN5" s="25" t="str">
        <f>IFERROR(__xludf.DUMMYFUNCTION("""COMPUTED_VALUE"""),"Gross Exposure (Underlying)")</f>
        <v>Gross Exposure (Underlying)</v>
      </c>
      <c r="EO5" s="25" t="str">
        <f>IFERROR(__xludf.DUMMYFUNCTION("""COMPUTED_VALUE"""),"Day Return")</f>
        <v>Day Return</v>
      </c>
      <c r="EP5" s="25" t="str">
        <f>IFERROR(__xludf.DUMMYFUNCTION("""COMPUTED_VALUE"""),"Start of Day NAV")</f>
        <v>Start of Day NAV</v>
      </c>
      <c r="EQ5" s="25" t="str">
        <f>IFERROR(__xludf.DUMMYFUNCTION("""COMPUTED_VALUE"""),"% Gross Market Value (Base)")</f>
        <v>% Gross Market Value (Base)</v>
      </c>
      <c r="ER5" s="25" t="str">
        <f>IFERROR(__xludf.DUMMYFUNCTION("""COMPUTED_VALUE"""),"Beta Adj. Gross Exposure (Underlying) (Local)")</f>
        <v>Beta Adj. Gross Exposure (Underlying) (Local)</v>
      </c>
      <c r="ES5" s="25" t="str">
        <f>IFERROR(__xludf.DUMMYFUNCTION("""COMPUTED_VALUE"""),"NAV")</f>
        <v>NAV</v>
      </c>
      <c r="ET5" s="25" t="str">
        <f>IFERROR(__xludf.DUMMYFUNCTION("""COMPUTED_VALUE"""),"% P&amp;L Contribution")</f>
        <v>% P&amp;L Contribution</v>
      </c>
      <c r="EU5" s="25" t="str">
        <f>IFERROR(__xludf.DUMMYFUNCTION("""COMPUTED_VALUE"""),"% Net Market Value (Base)")</f>
        <v>% Net Market Value (Base)</v>
      </c>
      <c r="EV5" s="25" t="str">
        <f>IFERROR(__xludf.DUMMYFUNCTION("""COMPUTED_VALUE"""),"Position Side Exposure")</f>
        <v>Position Side Exposure</v>
      </c>
      <c r="EW5" s="25" t="str">
        <f>IFERROR(__xludf.DUMMYFUNCTION("""COMPUTED_VALUE"""),"NAV (Touch)")</f>
        <v>NAV (Touch)</v>
      </c>
      <c r="EX5" s="25" t="str">
        <f>IFERROR(__xludf.DUMMYFUNCTION("""COMPUTED_VALUE"""),"IgnorePropertyChangeEvents")</f>
        <v>IgnorePropertyChangeEvents</v>
      </c>
      <c r="EY5" s="25" t="str">
        <f>IFERROR(__xludf.DUMMYFUNCTION("""COMPUTED_VALUE"""),"Trade Attribute 1")</f>
        <v>Trade Attribute 1</v>
      </c>
      <c r="EZ5" s="25" t="str">
        <f>IFERROR(__xludf.DUMMYFUNCTION("""COMPUTED_VALUE"""),"Trade Attribute 2")</f>
        <v>Trade Attribute 2</v>
      </c>
      <c r="FA5" s="25" t="str">
        <f>IFERROR(__xludf.DUMMYFUNCTION("""COMPUTED_VALUE"""),"Client")</f>
        <v>Client</v>
      </c>
      <c r="FB5" s="25" t="str">
        <f>IFERROR(__xludf.DUMMYFUNCTION("""COMPUTED_VALUE"""),"IsCustomViewTab")</f>
        <v>IsCustomViewTab</v>
      </c>
      <c r="FC5" s="25" t="str">
        <f>IFERROR(__xludf.DUMMYFUNCTION("""COMPUTED_VALUE"""),"ITM/OTM")</f>
        <v>ITM/OTM</v>
      </c>
      <c r="FD5" s="25" t="str">
        <f>IFERROR(__xludf.DUMMYFUNCTION("""COMPUTED_VALUE"""),"Days to Expiry")</f>
        <v>Days to Expiry</v>
      </c>
      <c r="FE5" s="25" t="str">
        <f>IFERROR(__xludf.DUMMYFUNCTION("""COMPUTED_VALUE"""),"% of ITM/OTM")</f>
        <v>% of ITM/OTM</v>
      </c>
      <c r="FF5" s="25" t="str">
        <f>IFERROR(__xludf.DUMMYFUNCTION("""COMPUTED_VALUE"""),"Intrinsic value")</f>
        <v>Intrinsic value</v>
      </c>
      <c r="FG5" s="25" t="str">
        <f>IFERROR(__xludf.DUMMYFUNCTION("""COMPUTED_VALUE"""),"Gain/Loss if Ex./Assign")</f>
        <v>Gain/Loss if Ex./Assign</v>
      </c>
      <c r="FH5" s="25" t="str">
        <f>IFERROR(__xludf.DUMMYFUNCTION("""COMPUTED_VALUE"""),"isRowCountCheck")</f>
        <v>isRowCountCheck</v>
      </c>
      <c r="FI5" s="25"/>
      <c r="FJ5" s="25"/>
      <c r="FK5" s="25"/>
    </row>
    <row r="6" ht="15.75" customHeight="1">
      <c r="A6" s="9"/>
      <c r="B6" s="9"/>
      <c r="C6" s="9" t="s">
        <v>671</v>
      </c>
      <c r="D6" s="9">
        <v>100.0</v>
      </c>
      <c r="E6" s="9" t="s">
        <v>667</v>
      </c>
      <c r="F6" s="9" t="s">
        <v>678</v>
      </c>
      <c r="G6" s="9">
        <v>4.0</v>
      </c>
      <c r="H6" s="9"/>
      <c r="I6" s="9">
        <v>400.0</v>
      </c>
      <c r="J6" s="9"/>
      <c r="K6" s="9"/>
      <c r="L6" s="9"/>
      <c r="M6" s="9"/>
      <c r="N6" s="9"/>
      <c r="O6" s="9"/>
      <c r="AN6" t="s">
        <v>672</v>
      </c>
    </row>
    <row r="7" ht="15.75" customHeight="1">
      <c r="A7" s="9"/>
      <c r="B7" s="9"/>
      <c r="C7" s="9" t="s">
        <v>671</v>
      </c>
      <c r="D7" s="9">
        <v>1900.0</v>
      </c>
      <c r="E7" s="9" t="s">
        <v>667</v>
      </c>
      <c r="F7" s="9" t="s">
        <v>678</v>
      </c>
      <c r="G7" s="9">
        <v>4.0</v>
      </c>
      <c r="H7" s="9"/>
      <c r="I7" s="9">
        <v>7600.0</v>
      </c>
      <c r="J7" s="9"/>
      <c r="K7" s="9"/>
      <c r="L7" s="9"/>
      <c r="M7" s="9"/>
      <c r="N7" s="9"/>
      <c r="O7" s="9"/>
      <c r="AN7" t="s">
        <v>672</v>
      </c>
    </row>
    <row r="8" ht="15.75" customHeight="1">
      <c r="A8" s="9"/>
      <c r="B8" s="9"/>
      <c r="C8" s="9" t="s">
        <v>671</v>
      </c>
      <c r="D8" s="9">
        <v>200.0</v>
      </c>
      <c r="E8" s="9" t="s">
        <v>669</v>
      </c>
      <c r="F8" s="9" t="s">
        <v>679</v>
      </c>
      <c r="G8" s="9">
        <v>4.0</v>
      </c>
      <c r="H8" s="9"/>
      <c r="I8" s="9">
        <v>800.0</v>
      </c>
      <c r="J8" s="9"/>
      <c r="K8" s="9"/>
      <c r="L8" s="9"/>
      <c r="M8" s="9"/>
      <c r="N8" s="9"/>
      <c r="O8" s="9"/>
      <c r="AN8" t="s">
        <v>672</v>
      </c>
    </row>
    <row r="9" ht="15.75" customHeight="1">
      <c r="A9" s="9"/>
      <c r="B9" s="9"/>
      <c r="C9" s="9" t="s">
        <v>671</v>
      </c>
      <c r="D9" s="9">
        <v>2800.0</v>
      </c>
      <c r="E9" s="9" t="s">
        <v>669</v>
      </c>
      <c r="F9" s="9" t="s">
        <v>679</v>
      </c>
      <c r="G9" s="9">
        <v>4.0</v>
      </c>
      <c r="H9" s="9"/>
      <c r="I9" s="9">
        <v>11200.0</v>
      </c>
      <c r="J9" s="9"/>
      <c r="K9" s="9"/>
      <c r="L9" s="9"/>
      <c r="M9" s="9"/>
      <c r="N9" s="9"/>
      <c r="O9" s="9"/>
      <c r="AN9" t="s">
        <v>672</v>
      </c>
    </row>
    <row r="10" ht="15.75" customHeight="1">
      <c r="A10" s="9"/>
      <c r="B10" s="9"/>
      <c r="C10" s="9" t="s">
        <v>671</v>
      </c>
      <c r="D10" s="9">
        <v>201.0</v>
      </c>
      <c r="E10" s="9" t="s">
        <v>670</v>
      </c>
      <c r="F10" s="9" t="s">
        <v>678</v>
      </c>
      <c r="G10" s="9">
        <v>4.0</v>
      </c>
      <c r="H10" s="9"/>
      <c r="I10" s="9">
        <v>804.0</v>
      </c>
      <c r="J10" s="9"/>
      <c r="K10" s="9"/>
      <c r="L10" s="9"/>
      <c r="M10" s="9"/>
      <c r="N10" s="9"/>
      <c r="O10" s="9"/>
      <c r="AN10" t="s">
        <v>672</v>
      </c>
    </row>
    <row r="11" ht="15.75" customHeight="1">
      <c r="A11" s="9"/>
      <c r="B11" s="9"/>
      <c r="C11" s="9" t="s">
        <v>671</v>
      </c>
      <c r="D11" s="9">
        <v>3300.0</v>
      </c>
      <c r="E11" s="9" t="s">
        <v>670</v>
      </c>
      <c r="F11" s="9" t="s">
        <v>678</v>
      </c>
      <c r="G11" s="9">
        <v>4.0</v>
      </c>
      <c r="H11" s="9"/>
      <c r="I11" s="9">
        <v>13200.0</v>
      </c>
      <c r="J11" s="9"/>
      <c r="K11" s="9"/>
      <c r="L11" s="9"/>
      <c r="M11" s="9"/>
      <c r="N11" s="9"/>
      <c r="O11" s="9"/>
      <c r="AN11" t="s">
        <v>672</v>
      </c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1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18</v>
      </c>
      <c r="D3" s="4" t="s">
        <v>662</v>
      </c>
      <c r="E3" s="13" t="s">
        <v>339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</row>
    <row r="4" ht="15.75" customHeight="1">
      <c r="A4" s="21"/>
      <c r="B4" s="21" t="str">
        <f>IFERROR(__xludf.DUMMYFUNCTION("IF(C3="""","""",Transpose(IMPORTRANGE('_Settings'!$B$3,C3&amp;""!A4:A1000"")))"),"ReplaceFillsOnBlotter")</f>
        <v>ReplaceFillsOnBlotter</v>
      </c>
      <c r="C4" s="21" t="str">
        <f>IFERROR(__xludf.DUMMYFUNCTION("""COMPUTED_VALUE"""),"CheckBlotter")</f>
        <v>CheckBlotter</v>
      </c>
      <c r="D4" s="21" t="str">
        <f>IFERROR(__xludf.DUMMYFUNCTION("""COMPUTED_VALUE"""),"BlotterFunctionalities")</f>
        <v>BlotterFunctionalities</v>
      </c>
      <c r="E4" s="21" t="str">
        <f>IFERROR(__xludf.DUMMYFUNCTION("""COMPUTED_VALUE"""),"TransferToUserWorkingSubs")</f>
        <v>TransferToUserWorkingSubs</v>
      </c>
      <c r="F4" s="21" t="str">
        <f>IFERROR(__xludf.DUMMYFUNCTION("""COMPUTED_VALUE"""),"CancelWorkingSubs")</f>
        <v>CancelWorkingSubs</v>
      </c>
      <c r="G4" s="21" t="str">
        <f>IFERROR(__xludf.DUMMYFUNCTION("""COMPUTED_VALUE"""),"ReplaceWorkingSubs")</f>
        <v>ReplaceWorkingSubs</v>
      </c>
      <c r="H4" s="21" t="str">
        <f>IFERROR(__xludf.DUMMYFUNCTION("""COMPUTED_VALUE"""),"ViewAllocationDetailsWorkingSub")</f>
        <v>ViewAllocationDetailsWorkingSub</v>
      </c>
      <c r="I4" s="21" t="str">
        <f>IFERROR(__xludf.DUMMYFUNCTION("""COMPUTED_VALUE"""),"SelectTradeOnOrderGrid")</f>
        <v>SelectTradeOnOrderGrid</v>
      </c>
      <c r="J4" s="21" t="str">
        <f>IFERROR(__xludf.DUMMYFUNCTION("""COMPUTED_VALUE"""),"ShowDetailsForAlgoTradeSubOrder")</f>
        <v>ShowDetailsForAlgoTradeSubOrder</v>
      </c>
      <c r="K4" s="21" t="str">
        <f>IFERROR(__xludf.DUMMYFUNCTION("""COMPUTED_VALUE"""),"SelectTradeOrderBlotter")</f>
        <v>SelectTradeOrderBlotter</v>
      </c>
      <c r="L4" s="21" t="str">
        <f>IFERROR(__xludf.DUMMYFUNCTION("""COMPUTED_VALUE"""),"AddFillsWorkingSubs")</f>
        <v>AddFillsWorkingSubs</v>
      </c>
      <c r="M4" s="21" t="str">
        <f>IFERROR(__xludf.DUMMYFUNCTION("""COMPUTED_VALUE"""),"EditAddFillsDetails")</f>
        <v>EditAddFillsDetails</v>
      </c>
      <c r="N4" s="21" t="str">
        <f>IFERROR(__xludf.DUMMYFUNCTION("""COMPUTED_VALUE"""),"ShowDetailsForAlgoTradeWorkingSubs")</f>
        <v>ShowDetailsForAlgoTradeWorkingSubs</v>
      </c>
      <c r="O4" s="21" t="str">
        <f>IFERROR(__xludf.DUMMYFUNCTION("""COMPUTED_VALUE"""),"VerifyWorkingSubs")</f>
        <v>VerifyWorkingSubs</v>
      </c>
      <c r="P4" s="22" t="str">
        <f>IFERROR(__xludf.DUMMYFUNCTION("""COMPUTED_VALUE"""),"TransferToUserOrder")</f>
        <v>TransferToUserOrder</v>
      </c>
      <c r="Q4" s="22" t="str">
        <f>IFERROR(__xludf.DUMMYFUNCTION("""COMPUTED_VALUE"""),"EditOrder")</f>
        <v>EditOrder</v>
      </c>
      <c r="R4" s="22" t="str">
        <f>IFERROR(__xludf.DUMMYFUNCTION("""COMPUTED_VALUE"""),"SelectTradeSubOrderBlotter")</f>
        <v>SelectTradeSubOrderBlotter</v>
      </c>
      <c r="S4" s="22" t="str">
        <f>IFERROR(__xludf.DUMMYFUNCTION("""COMPUTED_VALUE"""),"VerifyOrder")</f>
        <v>VerifyOrder</v>
      </c>
      <c r="T4" s="22" t="str">
        <f>IFERROR(__xludf.DUMMYFUNCTION("""COMPUTED_VALUE"""),"VerifySubOrder")</f>
        <v>VerifySubOrder</v>
      </c>
      <c r="U4" s="22" t="str">
        <f>IFERROR(__xludf.DUMMYFUNCTION("""COMPUTED_VALUE"""),"RemoveSelectedOrders")</f>
        <v>RemoveSelectedOrders</v>
      </c>
      <c r="V4" s="22" t="str">
        <f>IFERROR(__xludf.DUMMYFUNCTION("""COMPUTED_VALUE"""),"CancelAllSelectedSubs")</f>
        <v>CancelAllSelectedSubs</v>
      </c>
      <c r="W4" s="22" t="str">
        <f>IFERROR(__xludf.DUMMYFUNCTION("""COMPUTED_VALUE"""),"MultiTradingTicket")</f>
        <v>MultiTradingTicket</v>
      </c>
      <c r="X4" s="22" t="str">
        <f>IFERROR(__xludf.DUMMYFUNCTION("""COMPUTED_VALUE"""),"AuditTrailOrderBlotter")</f>
        <v>AuditTrailOrderBlotter</v>
      </c>
      <c r="Y4" s="22" t="str">
        <f>IFERROR(__xludf.DUMMYFUNCTION("""COMPUTED_VALUE"""),"TradeNewSubOrder")</f>
        <v>TradeNewSubOrder</v>
      </c>
      <c r="Z4" s="22" t="str">
        <f>IFERROR(__xludf.DUMMYFUNCTION("""COMPUTED_VALUE"""),"RemoveStageOrder")</f>
        <v>RemoveStageOrder</v>
      </c>
      <c r="AA4" s="22" t="str">
        <f>IFERROR(__xludf.DUMMYFUNCTION("""COMPUTED_VALUE"""),"TransferToUserSubOrder")</f>
        <v>TransferToUserSubOrder</v>
      </c>
      <c r="AB4" s="22" t="str">
        <f>IFERROR(__xludf.DUMMYFUNCTION("""COMPUTED_VALUE"""),"DetailsForAlgoTradeOrder")</f>
        <v>DetailsForAlgoTradeOrder</v>
      </c>
      <c r="AC4" s="22" t="str">
        <f>IFERROR(__xludf.DUMMYFUNCTION("""COMPUTED_VALUE"""),"AddFillsSubOrder")</f>
        <v>AddFillsSubOrder</v>
      </c>
      <c r="AD4" s="22" t="str">
        <f>IFERROR(__xludf.DUMMYFUNCTION("""COMPUTED_VALUE"""),"ViewAllocationDetailsSubOrder")</f>
        <v>ViewAllocationDetailsSubOrder</v>
      </c>
      <c r="AE4" s="22" t="str">
        <f>IFERROR(__xludf.DUMMYFUNCTION("""COMPUTED_VALUE"""),"CancelAllSubs")</f>
        <v>CancelAllSubs</v>
      </c>
      <c r="AF4" s="22" t="str">
        <f>IFERROR(__xludf.DUMMYFUNCTION("""COMPUTED_VALUE"""),"CancelSubOrder")</f>
        <v>CancelSubOrder</v>
      </c>
      <c r="AG4" s="22" t="str">
        <f>IFERROR(__xludf.DUMMYFUNCTION("""COMPUTED_VALUE"""),"EditStageOrder")</f>
        <v>EditStageOrder</v>
      </c>
      <c r="AH4" s="22" t="str">
        <f>IFERROR(__xludf.DUMMYFUNCTION("""COMPUTED_VALUE"""),"ReplaceSubOrder")</f>
        <v>ReplaceSubOrder</v>
      </c>
      <c r="AI4" s="22" t="str">
        <f>IFERROR(__xludf.DUMMYFUNCTION("""COMPUTED_VALUE"""),"SelectTradeWorkingSubsBlotter")</f>
        <v>SelectTradeWorkingSubsBlotter</v>
      </c>
      <c r="AJ4" s="22" t="str">
        <f>IFERROR(__xludf.DUMMYFUNCTION("""COMPUTED_VALUE"""),"VerifyAlgoDetails")</f>
        <v>VerifyAlgoDetails</v>
      </c>
      <c r="AK4" s="22" t="str">
        <f>IFERROR(__xludf.DUMMYFUNCTION("""COMPUTED_VALUE"""),"VerifyTransferToUserOrder")</f>
        <v>VerifyTransferToUserOrder</v>
      </c>
      <c r="AL4" s="22" t="str">
        <f>IFERROR(__xludf.DUMMYFUNCTION("""COMPUTED_VALUE"""),"VerifyTransferToUserSubOdr")</f>
        <v>VerifyTransferToUserSubOdr</v>
      </c>
      <c r="AM4" s="22" t="str">
        <f>IFERROR(__xludf.DUMMYFUNCTION("""COMPUTED_VALUE"""),"VerifyTransferToUserWorkSub")</f>
        <v>VerifyTransferToUserWorkSub</v>
      </c>
      <c r="AN4" s="22" t="str">
        <f>IFERROR(__xludf.DUMMYFUNCTION("""COMPUTED_VALUE"""),"SaveLayoutOrderGrid")</f>
        <v>SaveLayoutOrderGrid</v>
      </c>
      <c r="AO4" s="22" t="str">
        <f>IFERROR(__xludf.DUMMYFUNCTION("""COMPUTED_VALUE"""),"ReplaceStageOrder")</f>
        <v>ReplaceStageOrder</v>
      </c>
      <c r="AP4" s="22" t="str">
        <f>IFERROR(__xludf.DUMMYFUNCTION("""COMPUTED_VALUE"""),"MultiTradingTicketFromBlotter")</f>
        <v>MultiTradingTicketFromBlotter</v>
      </c>
      <c r="AQ4" s="22" t="str">
        <f>IFERROR(__xludf.DUMMYFUNCTION("""COMPUTED_VALUE"""),"VerifyViewAllocationDetails")</f>
        <v>VerifyViewAllocationDetails</v>
      </c>
      <c r="AR4" s="22" t="str">
        <f>IFERROR(__xludf.DUMMYFUNCTION("""COMPUTED_VALUE"""),"GoToAllocation")</f>
        <v>GoToAllocation</v>
      </c>
      <c r="AS4" s="22" t="str">
        <f>IFERROR(__xludf.DUMMYFUNCTION("""COMPUTED_VALUE"""),"VerifyRollover")</f>
        <v>VerifyRollover</v>
      </c>
      <c r="AT4" s="22" t="str">
        <f>IFERROR(__xludf.DUMMYFUNCTION("""COMPUTED_VALUE"""),"VerifySubOrderAfterRollover")</f>
        <v>VerifySubOrderAfterRollover</v>
      </c>
      <c r="AU4" s="22" t="str">
        <f>IFERROR(__xludf.DUMMYFUNCTION("""COMPUTED_VALUE"""),"OpenBlotter")</f>
        <v>OpenBlotter</v>
      </c>
      <c r="AV4" s="22" t="str">
        <f>IFERROR(__xludf.DUMMYFUNCTION("""COMPUTED_VALUE"""),"OpenBlotter")</f>
        <v>OpenBlotter</v>
      </c>
      <c r="AW4" s="22" t="str">
        <f>IFERROR(__xludf.DUMMYFUNCTION("""COMPUTED_VALUE"""),"RemoveManualExecution")</f>
        <v>RemoveManualExecution</v>
      </c>
      <c r="AX4" s="22" t="str">
        <f>IFERROR(__xludf.DUMMYFUNCTION("""COMPUTED_VALUE"""),"RemoveExecutionWorkingSubs")</f>
        <v>RemoveExecutionWorkingSubs</v>
      </c>
      <c r="AY4" s="22" t="str">
        <f>IFERROR(__xludf.DUMMYFUNCTION("""COMPUTED_VALUE"""),"GetExecutionReportOrders")</f>
        <v>GetExecutionReportOrders</v>
      </c>
      <c r="AZ4" s="22" t="str">
        <f>IFERROR(__xludf.DUMMYFUNCTION("""COMPUTED_VALUE"""),"GetExecutionReportDetails")</f>
        <v>GetExecutionReportDetails</v>
      </c>
      <c r="BA4" s="22" t="str">
        <f>IFERROR(__xludf.DUMMYFUNCTION("""COMPUTED_VALUE"""),"ExportExecutionReportData")</f>
        <v>ExportExecutionReportData</v>
      </c>
      <c r="BB4" s="22" t="str">
        <f>IFERROR(__xludf.DUMMYFUNCTION("""COMPUTED_VALUE"""),"VerifyExecutionReport")</f>
        <v>VerifyExecutionReport</v>
      </c>
      <c r="BC4" s="22" t="str">
        <f>IFERROR(__xludf.DUMMYFUNCTION("""COMPUTED_VALUE"""),"BlotterExecutionReportSnapshot")</f>
        <v>BlotterExecutionReportSnapshot</v>
      </c>
      <c r="BD4" s="22" t="str">
        <f>IFERROR(__xludf.DUMMYFUNCTION("""COMPUTED_VALUE"""),"MultipleTradeTransferToUser")</f>
        <v>MultipleTradeTransferToUser</v>
      </c>
      <c r="BE4" s="22" t="str">
        <f>IFERROR(__xludf.DUMMYFUNCTION("""COMPUTED_VALUE"""),"ReloadOrderFromBlotter")</f>
        <v>ReloadOrderFromBlotter</v>
      </c>
      <c r="BF4" s="22" t="str">
        <f>IFERROR(__xludf.DUMMYFUNCTION("""COMPUTED_VALUE"""),"ReloadOrderFromSubOrder")</f>
        <v>ReloadOrderFromSubOrder</v>
      </c>
      <c r="BG4" s="22" t="str">
        <f>IFERROR(__xludf.DUMMYFUNCTION("""COMPUTED_VALUE"""),"ReloadOrderFromWorkingSubs")</f>
        <v>ReloadOrderFromWorkingSubs</v>
      </c>
      <c r="BH4" s="22" t="str">
        <f>IFERROR(__xludf.DUMMYFUNCTION("""COMPUTED_VALUE"""),"SelectFills")</f>
        <v>SelectFills</v>
      </c>
      <c r="BI4" s="22" t="str">
        <f>IFERROR(__xludf.DUMMYFUNCTION("""COMPUTED_VALUE"""),"ModifyFills")</f>
        <v>ModifyFills</v>
      </c>
      <c r="BJ4" s="22" t="str">
        <f>IFERROR(__xludf.DUMMYFUNCTION("""COMPUTED_VALUE"""),"AddTab")</f>
        <v>AddTab</v>
      </c>
      <c r="BK4" s="22" t="str">
        <f>IFERROR(__xludf.DUMMYFUNCTION("""COMPUTED_VALUE"""),"RemoveTab")</f>
        <v>RemoveTab</v>
      </c>
      <c r="BL4" s="22" t="str">
        <f>IFERROR(__xludf.DUMMYFUNCTION("""COMPUTED_VALUE"""),"SelectCustomTab")</f>
        <v>SelectCustomTab</v>
      </c>
      <c r="BM4" s="22" t="str">
        <f>IFERROR(__xludf.DUMMYFUNCTION("""COMPUTED_VALUE"""),"VerifyOrderCustomTab")</f>
        <v>VerifyOrderCustomTab</v>
      </c>
      <c r="BN4" s="22" t="str">
        <f>IFERROR(__xludf.DUMMYFUNCTION("""COMPUTED_VALUE"""),"VerifySubOrderCustomTab")</f>
        <v>VerifySubOrderCustomTab</v>
      </c>
      <c r="BO4" s="22"/>
      <c r="BP4" s="22"/>
      <c r="BQ4" s="22"/>
      <c r="BR4" s="22"/>
      <c r="BS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IFERROR(__xludf.DUMMYFUNCTION("""COMPUTED_VALUE"""),"Avg Fill Price (Base)")</f>
        <v>Avg Fill Price (Base)</v>
      </c>
      <c r="C5" s="24" t="str">
        <f>IFERROR(__xludf.DUMMYFUNCTION("""COMPUTED_VALUE"""),"Transaction Time")</f>
        <v>Transaction Time</v>
      </c>
      <c r="D5" s="24" t="str">
        <f>IFERROR(__xludf.DUMMYFUNCTION("""COMPUTED_VALUE"""),"Symbol")</f>
        <v>Symbol</v>
      </c>
      <c r="E5" s="24" t="str">
        <f>IFERROR(__xludf.DUMMYFUNCTION("""COMPUTED_VALUE"""),"Algo")</f>
        <v>Algo</v>
      </c>
      <c r="F5" s="24" t="str">
        <f>IFERROR(__xludf.DUMMYFUNCTION("""COMPUTED_VALUE"""),"Side")</f>
        <v>Side</v>
      </c>
      <c r="G5" s="24" t="str">
        <f>IFERROR(__xludf.DUMMYFUNCTION("""COMPUTED_VALUE"""),"Status")</f>
        <v>Status</v>
      </c>
      <c r="H5" s="24" t="str">
        <f>IFERROR(__xludf.DUMMYFUNCTION("""COMPUTED_VALUE"""),"Quantity")</f>
        <v>Quantity</v>
      </c>
      <c r="I5" s="24" t="str">
        <f>IFERROR(__xludf.DUMMYFUNCTION("""COMPUTED_VALUE"""),"Executed Qty")</f>
        <v>Executed Qty</v>
      </c>
      <c r="J5" s="24" t="str">
        <f>IFERROR(__xludf.DUMMYFUNCTION("""COMPUTED_VALUE"""),"Limit Price")</f>
        <v>Limit Price</v>
      </c>
      <c r="K5" s="24" t="str">
        <f>IFERROR(__xludf.DUMMYFUNCTION("""COMPUTED_VALUE"""),"Last Fill Price (Local)")</f>
        <v>Last Fill Price (Local)</v>
      </c>
      <c r="L5" s="24" t="str">
        <f>IFERROR(__xludf.DUMMYFUNCTION("""COMPUTED_VALUE"""),"Stop Price")</f>
        <v>Stop Price</v>
      </c>
      <c r="M5" s="24" t="str">
        <f>IFERROR(__xludf.DUMMYFUNCTION("""COMPUTED_VALUE"""),"Avg Fill Price (Local)")</f>
        <v>Avg Fill Price (Local)</v>
      </c>
      <c r="N5" s="24" t="str">
        <f>IFERROR(__xludf.DUMMYFUNCTION("""COMPUTED_VALUE"""),"Broker")</f>
        <v>Broker</v>
      </c>
      <c r="O5" s="24" t="str">
        <f>IFERROR(__xludf.DUMMYFUNCTION("""COMPUTED_VALUE"""),"Account")</f>
        <v>Account</v>
      </c>
      <c r="P5" s="24" t="str">
        <f>IFERROR(__xludf.DUMMYFUNCTION("""COMPUTED_VALUE"""),"OrderID")</f>
        <v>OrderID</v>
      </c>
      <c r="Q5" s="24" t="str">
        <f>IFERROR(__xludf.DUMMYFUNCTION("""COMPUTED_VALUE"""),"Order Type")</f>
        <v>Order Type</v>
      </c>
      <c r="R5" s="24" t="str">
        <f>IFERROR(__xludf.DUMMYFUNCTION("""COMPUTED_VALUE"""),"Principal Amount (Local)")</f>
        <v>Principal Amount (Local)</v>
      </c>
      <c r="S5" s="24" t="str">
        <f>IFERROR(__xludf.DUMMYFUNCTION("""COMPUTED_VALUE"""),"Principal Amount (Base)")</f>
        <v>Principal Amount (Base)</v>
      </c>
      <c r="T5" s="25" t="str">
        <f>IFERROR(__xludf.DUMMYFUNCTION("""COMPUTED_VALUE"""),"Peg")</f>
        <v>Peg</v>
      </c>
      <c r="U5" s="25" t="str">
        <f>IFERROR(__xludf.DUMMYFUNCTION("""COMPUTED_VALUE"""),"ParentClOrderID")</f>
        <v>ParentClOrderID</v>
      </c>
      <c r="V5" s="25" t="str">
        <f>IFERROR(__xludf.DUMMYFUNCTION("""COMPUTED_VALUE"""),"Strike Price")</f>
        <v>Strike Price</v>
      </c>
      <c r="W5" s="25" t="str">
        <f>IFERROR(__xludf.DUMMYFUNCTION("""COMPUTED_VALUE"""),"Last Shares")</f>
        <v>Last Shares</v>
      </c>
      <c r="X5" s="25" t="str">
        <f>IFERROR(__xludf.DUMMYFUNCTION("""COMPUTED_VALUE"""),"Working Qty")</f>
        <v>Working Qty</v>
      </c>
      <c r="Y5" s="25" t="str">
        <f>IFERROR(__xludf.DUMMYFUNCTION("""COMPUTED_VALUE"""),"Bloomberg Symbol")</f>
        <v>Bloomberg Symbol</v>
      </c>
      <c r="Z5" s="25" t="str">
        <f>IFERROR(__xludf.DUMMYFUNCTION("""COMPUTED_VALUE"""),"Imported File Name")</f>
        <v>Imported File Name</v>
      </c>
      <c r="AA5" s="25" t="str">
        <f>IFERROR(__xludf.DUMMYFUNCTION("""COMPUTED_VALUE"""),"Master Fund")</f>
        <v>Master Fund</v>
      </c>
      <c r="AB5" s="25" t="str">
        <f>IFERROR(__xludf.DUMMYFUNCTION("""COMPUTED_VALUE"""),"Asset Class")</f>
        <v>Asset Class</v>
      </c>
      <c r="AC5" s="25" t="str">
        <f>IFERROR(__xludf.DUMMYFUNCTION("""COMPUTED_VALUE"""),"Underlying Country")</f>
        <v>Underlying Country</v>
      </c>
      <c r="AD5" s="25" t="str">
        <f>IFERROR(__xludf.DUMMYFUNCTION("""COMPUTED_VALUE"""),"Trader")</f>
        <v>Trader</v>
      </c>
      <c r="AE5" s="25" t="str">
        <f>IFERROR(__xludf.DUMMYFUNCTION("""COMPUTED_VALUE"""),"User")</f>
        <v>User</v>
      </c>
      <c r="AF5" s="25" t="str">
        <f>IFERROR(__xludf.DUMMYFUNCTION("""COMPUTED_VALUE"""),"Venue")</f>
        <v>Venue</v>
      </c>
      <c r="AG5" s="25" t="str">
        <f>IFERROR(__xludf.DUMMYFUNCTION("""COMPUTED_VALUE"""),"Settlement Currency")</f>
        <v>Settlement Currency</v>
      </c>
      <c r="AH5" s="25" t="str">
        <f>IFERROR(__xludf.DUMMYFUNCTION("""COMPUTED_VALUE"""),"FX Conversion Operator")</f>
        <v>FX Conversion Operator</v>
      </c>
      <c r="AI5" s="25" t="str">
        <f>IFERROR(__xludf.DUMMYFUNCTION("""COMPUTED_VALUE"""),"Process Date")</f>
        <v>Process Date</v>
      </c>
      <c r="AJ5" s="25" t="str">
        <f>IFERROR(__xludf.DUMMYFUNCTION("""COMPUTED_VALUE"""),"Underlying Symbol")</f>
        <v>Underlying Symbol</v>
      </c>
      <c r="AK5" s="25" t="str">
        <f>IFERROR(__xludf.DUMMYFUNCTION("""COMPUTED_VALUE"""),"Put/Call")</f>
        <v>Put/Call</v>
      </c>
      <c r="AL5" s="25" t="str">
        <f>IFERROR(__xludf.DUMMYFUNCTION("""COMPUTED_VALUE"""),"FX Rate")</f>
        <v>FX Rate</v>
      </c>
      <c r="AM5" s="25" t="str">
        <f>IFERROR(__xludf.DUMMYFUNCTION("""COMPUTED_VALUE"""),"Trade Attribute 1")</f>
        <v>Trade Attribute 1</v>
      </c>
      <c r="AN5" s="25" t="str">
        <f>IFERROR(__xludf.DUMMYFUNCTION("""COMPUTED_VALUE"""),"Trade Attribute 2")</f>
        <v>Trade Attribute 2</v>
      </c>
      <c r="AO5" s="25" t="str">
        <f>IFERROR(__xludf.DUMMYFUNCTION("""COMPUTED_VALUE"""),"Trade Attribute 3")</f>
        <v>Trade Attribute 3</v>
      </c>
      <c r="AP5" s="25" t="str">
        <f>IFERROR(__xludf.DUMMYFUNCTION("""COMPUTED_VALUE"""),"Trade Attribute 4")</f>
        <v>Trade Attribute 4</v>
      </c>
      <c r="AQ5" s="25" t="str">
        <f>IFERROR(__xludf.DUMMYFUNCTION("""COMPUTED_VALUE"""),"Trade Attribute 5")</f>
        <v>Trade Attribute 5</v>
      </c>
      <c r="AR5" s="25" t="str">
        <f>IFERROR(__xludf.DUMMYFUNCTION("""COMPUTED_VALUE"""),"Trade Attribute 6")</f>
        <v>Trade Attribute 6</v>
      </c>
      <c r="AS5" s="25" t="str">
        <f>IFERROR(__xludf.DUMMYFUNCTION("""COMPUTED_VALUE"""),"Internal Comments")</f>
        <v>Internal Comments</v>
      </c>
      <c r="AT5" s="25" t="str">
        <f>IFERROR(__xludf.DUMMYFUNCTION("""COMPUTED_VALUE"""),"Allocation Scheme Name        ")</f>
        <v>Allocation Scheme Name        </v>
      </c>
      <c r="AU5" s="25" t="str">
        <f>IFERROR(__xludf.DUMMYFUNCTION("""COMPUTED_VALUE"""),"Status (With Rollover)")</f>
        <v>Status (With Rollover)</v>
      </c>
      <c r="AV5" s="25" t="str">
        <f>IFERROR(__xludf.DUMMYFUNCTION("""COMPUTED_VALUE"""),"Allocation Status")</f>
        <v>Allocation Status</v>
      </c>
      <c r="AW5" s="25" t="str">
        <f>IFERROR(__xludf.DUMMYFUNCTION("""COMPUTED_VALUE"""),"Source")</f>
        <v>Source</v>
      </c>
      <c r="AX5" s="25" t="str">
        <f>IFERROR(__xludf.DUMMYFUNCTION("""COMPUTED_VALUE"""),"Strategy")</f>
        <v>Strategy</v>
      </c>
      <c r="AY5" s="25" t="str">
        <f>IFERROR(__xludf.DUMMYFUNCTION("""COMPUTED_VALUE"""),"Unexecuted Qty")</f>
        <v>Unexecuted Qty</v>
      </c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</row>
    <row r="6" ht="15.75" customHeight="1">
      <c r="A6" s="9"/>
      <c r="B6" s="9">
        <v>4.0</v>
      </c>
      <c r="C6" s="9"/>
      <c r="D6" s="9" t="s">
        <v>671</v>
      </c>
      <c r="E6" s="9"/>
      <c r="F6" s="9" t="s">
        <v>672</v>
      </c>
      <c r="G6" s="9" t="s">
        <v>680</v>
      </c>
      <c r="H6" s="9"/>
      <c r="I6" s="9"/>
      <c r="J6" s="9"/>
      <c r="K6" s="9"/>
      <c r="L6" s="9"/>
      <c r="M6" s="9"/>
      <c r="N6" s="9"/>
      <c r="O6" s="9"/>
      <c r="R6" s="27">
        <v>32000.0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6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18</v>
      </c>
      <c r="D3" s="4" t="s">
        <v>662</v>
      </c>
      <c r="E3" s="13" t="s">
        <v>258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</row>
    <row r="4" ht="15.75" customHeight="1">
      <c r="A4" s="21"/>
      <c r="B4" s="21" t="str">
        <f>IFERROR(__xludf.DUMMYFUNCTION("IF(C3="""","""",Transpose(IMPORTRANGE('_Settings'!$B$3,C3&amp;""!A4:A1000"")))"),"ReplaceFillsOnBlotter")</f>
        <v>ReplaceFillsOnBlotter</v>
      </c>
      <c r="C4" s="21" t="str">
        <f>IFERROR(__xludf.DUMMYFUNCTION("""COMPUTED_VALUE"""),"CheckBlotter")</f>
        <v>CheckBlotter</v>
      </c>
      <c r="D4" s="21" t="str">
        <f>IFERROR(__xludf.DUMMYFUNCTION("""COMPUTED_VALUE"""),"BlotterFunctionalities")</f>
        <v>BlotterFunctionalities</v>
      </c>
      <c r="E4" s="21" t="str">
        <f>IFERROR(__xludf.DUMMYFUNCTION("""COMPUTED_VALUE"""),"TransferToUserWorkingSubs")</f>
        <v>TransferToUserWorkingSubs</v>
      </c>
      <c r="F4" s="21" t="str">
        <f>IFERROR(__xludf.DUMMYFUNCTION("""COMPUTED_VALUE"""),"CancelWorkingSubs")</f>
        <v>CancelWorkingSubs</v>
      </c>
      <c r="G4" s="21" t="str">
        <f>IFERROR(__xludf.DUMMYFUNCTION("""COMPUTED_VALUE"""),"ReplaceWorkingSubs")</f>
        <v>ReplaceWorkingSubs</v>
      </c>
      <c r="H4" s="21" t="str">
        <f>IFERROR(__xludf.DUMMYFUNCTION("""COMPUTED_VALUE"""),"ViewAllocationDetailsWorkingSub")</f>
        <v>ViewAllocationDetailsWorkingSub</v>
      </c>
      <c r="I4" s="21" t="str">
        <f>IFERROR(__xludf.DUMMYFUNCTION("""COMPUTED_VALUE"""),"SelectTradeOnOrderGrid")</f>
        <v>SelectTradeOnOrderGrid</v>
      </c>
      <c r="J4" s="21" t="str">
        <f>IFERROR(__xludf.DUMMYFUNCTION("""COMPUTED_VALUE"""),"ShowDetailsForAlgoTradeSubOrder")</f>
        <v>ShowDetailsForAlgoTradeSubOrder</v>
      </c>
      <c r="K4" s="21" t="str">
        <f>IFERROR(__xludf.DUMMYFUNCTION("""COMPUTED_VALUE"""),"SelectTradeOrderBlotter")</f>
        <v>SelectTradeOrderBlotter</v>
      </c>
      <c r="L4" s="21" t="str">
        <f>IFERROR(__xludf.DUMMYFUNCTION("""COMPUTED_VALUE"""),"AddFillsWorkingSubs")</f>
        <v>AddFillsWorkingSubs</v>
      </c>
      <c r="M4" s="21" t="str">
        <f>IFERROR(__xludf.DUMMYFUNCTION("""COMPUTED_VALUE"""),"EditAddFillsDetails")</f>
        <v>EditAddFillsDetails</v>
      </c>
      <c r="N4" s="21" t="str">
        <f>IFERROR(__xludf.DUMMYFUNCTION("""COMPUTED_VALUE"""),"ShowDetailsForAlgoTradeWorkingSubs")</f>
        <v>ShowDetailsForAlgoTradeWorkingSubs</v>
      </c>
      <c r="O4" s="21" t="str">
        <f>IFERROR(__xludf.DUMMYFUNCTION("""COMPUTED_VALUE"""),"VerifyWorkingSubs")</f>
        <v>VerifyWorkingSubs</v>
      </c>
      <c r="P4" s="22" t="str">
        <f>IFERROR(__xludf.DUMMYFUNCTION("""COMPUTED_VALUE"""),"TransferToUserOrder")</f>
        <v>TransferToUserOrder</v>
      </c>
      <c r="Q4" s="22" t="str">
        <f>IFERROR(__xludf.DUMMYFUNCTION("""COMPUTED_VALUE"""),"EditOrder")</f>
        <v>EditOrder</v>
      </c>
      <c r="R4" s="22" t="str">
        <f>IFERROR(__xludf.DUMMYFUNCTION("""COMPUTED_VALUE"""),"SelectTradeSubOrderBlotter")</f>
        <v>SelectTradeSubOrderBlotter</v>
      </c>
      <c r="S4" s="22" t="str">
        <f>IFERROR(__xludf.DUMMYFUNCTION("""COMPUTED_VALUE"""),"VerifyOrder")</f>
        <v>VerifyOrder</v>
      </c>
      <c r="T4" s="22" t="str">
        <f>IFERROR(__xludf.DUMMYFUNCTION("""COMPUTED_VALUE"""),"VerifySubOrder")</f>
        <v>VerifySubOrder</v>
      </c>
      <c r="U4" s="22" t="str">
        <f>IFERROR(__xludf.DUMMYFUNCTION("""COMPUTED_VALUE"""),"RemoveSelectedOrders")</f>
        <v>RemoveSelectedOrders</v>
      </c>
      <c r="V4" s="22" t="str">
        <f>IFERROR(__xludf.DUMMYFUNCTION("""COMPUTED_VALUE"""),"CancelAllSelectedSubs")</f>
        <v>CancelAllSelectedSubs</v>
      </c>
      <c r="W4" s="22" t="str">
        <f>IFERROR(__xludf.DUMMYFUNCTION("""COMPUTED_VALUE"""),"MultiTradingTicket")</f>
        <v>MultiTradingTicket</v>
      </c>
      <c r="X4" s="22" t="str">
        <f>IFERROR(__xludf.DUMMYFUNCTION("""COMPUTED_VALUE"""),"AuditTrailOrderBlotter")</f>
        <v>AuditTrailOrderBlotter</v>
      </c>
      <c r="Y4" s="22" t="str">
        <f>IFERROR(__xludf.DUMMYFUNCTION("""COMPUTED_VALUE"""),"TradeNewSubOrder")</f>
        <v>TradeNewSubOrder</v>
      </c>
      <c r="Z4" s="22" t="str">
        <f>IFERROR(__xludf.DUMMYFUNCTION("""COMPUTED_VALUE"""),"RemoveStageOrder")</f>
        <v>RemoveStageOrder</v>
      </c>
      <c r="AA4" s="22" t="str">
        <f>IFERROR(__xludf.DUMMYFUNCTION("""COMPUTED_VALUE"""),"TransferToUserSubOrder")</f>
        <v>TransferToUserSubOrder</v>
      </c>
      <c r="AB4" s="22" t="str">
        <f>IFERROR(__xludf.DUMMYFUNCTION("""COMPUTED_VALUE"""),"DetailsForAlgoTradeOrder")</f>
        <v>DetailsForAlgoTradeOrder</v>
      </c>
      <c r="AC4" s="22" t="str">
        <f>IFERROR(__xludf.DUMMYFUNCTION("""COMPUTED_VALUE"""),"AddFillsSubOrder")</f>
        <v>AddFillsSubOrder</v>
      </c>
      <c r="AD4" s="22" t="str">
        <f>IFERROR(__xludf.DUMMYFUNCTION("""COMPUTED_VALUE"""),"ViewAllocationDetailsSubOrder")</f>
        <v>ViewAllocationDetailsSubOrder</v>
      </c>
      <c r="AE4" s="22" t="str">
        <f>IFERROR(__xludf.DUMMYFUNCTION("""COMPUTED_VALUE"""),"CancelAllSubs")</f>
        <v>CancelAllSubs</v>
      </c>
      <c r="AF4" s="22" t="str">
        <f>IFERROR(__xludf.DUMMYFUNCTION("""COMPUTED_VALUE"""),"CancelSubOrder")</f>
        <v>CancelSubOrder</v>
      </c>
      <c r="AG4" s="22" t="str">
        <f>IFERROR(__xludf.DUMMYFUNCTION("""COMPUTED_VALUE"""),"EditStageOrder")</f>
        <v>EditStageOrder</v>
      </c>
      <c r="AH4" s="22" t="str">
        <f>IFERROR(__xludf.DUMMYFUNCTION("""COMPUTED_VALUE"""),"ReplaceSubOrder")</f>
        <v>ReplaceSubOrder</v>
      </c>
      <c r="AI4" s="22" t="str">
        <f>IFERROR(__xludf.DUMMYFUNCTION("""COMPUTED_VALUE"""),"SelectTradeWorkingSubsBlotter")</f>
        <v>SelectTradeWorkingSubsBlotter</v>
      </c>
      <c r="AJ4" s="22" t="str">
        <f>IFERROR(__xludf.DUMMYFUNCTION("""COMPUTED_VALUE"""),"VerifyAlgoDetails")</f>
        <v>VerifyAlgoDetails</v>
      </c>
      <c r="AK4" s="22" t="str">
        <f>IFERROR(__xludf.DUMMYFUNCTION("""COMPUTED_VALUE"""),"VerifyTransferToUserOrder")</f>
        <v>VerifyTransferToUserOrder</v>
      </c>
      <c r="AL4" s="22" t="str">
        <f>IFERROR(__xludf.DUMMYFUNCTION("""COMPUTED_VALUE"""),"VerifyTransferToUserSubOdr")</f>
        <v>VerifyTransferToUserSubOdr</v>
      </c>
      <c r="AM4" s="22" t="str">
        <f>IFERROR(__xludf.DUMMYFUNCTION("""COMPUTED_VALUE"""),"VerifyTransferToUserWorkSub")</f>
        <v>VerifyTransferToUserWorkSub</v>
      </c>
      <c r="AN4" s="22" t="str">
        <f>IFERROR(__xludf.DUMMYFUNCTION("""COMPUTED_VALUE"""),"SaveLayoutOrderGrid")</f>
        <v>SaveLayoutOrderGrid</v>
      </c>
      <c r="AO4" s="22" t="str">
        <f>IFERROR(__xludf.DUMMYFUNCTION("""COMPUTED_VALUE"""),"ReplaceStageOrder")</f>
        <v>ReplaceStageOrder</v>
      </c>
      <c r="AP4" s="22" t="str">
        <f>IFERROR(__xludf.DUMMYFUNCTION("""COMPUTED_VALUE"""),"MultiTradingTicketFromBlotter")</f>
        <v>MultiTradingTicketFromBlotter</v>
      </c>
      <c r="AQ4" s="22" t="str">
        <f>IFERROR(__xludf.DUMMYFUNCTION("""COMPUTED_VALUE"""),"VerifyViewAllocationDetails")</f>
        <v>VerifyViewAllocationDetails</v>
      </c>
      <c r="AR4" s="22" t="str">
        <f>IFERROR(__xludf.DUMMYFUNCTION("""COMPUTED_VALUE"""),"GoToAllocation")</f>
        <v>GoToAllocation</v>
      </c>
      <c r="AS4" s="22" t="str">
        <f>IFERROR(__xludf.DUMMYFUNCTION("""COMPUTED_VALUE"""),"VerifyRollover")</f>
        <v>VerifyRollover</v>
      </c>
      <c r="AT4" s="22" t="str">
        <f>IFERROR(__xludf.DUMMYFUNCTION("""COMPUTED_VALUE"""),"VerifySubOrderAfterRollover")</f>
        <v>VerifySubOrderAfterRollover</v>
      </c>
      <c r="AU4" s="22" t="str">
        <f>IFERROR(__xludf.DUMMYFUNCTION("""COMPUTED_VALUE"""),"OpenBlotter")</f>
        <v>OpenBlotter</v>
      </c>
      <c r="AV4" s="22" t="str">
        <f>IFERROR(__xludf.DUMMYFUNCTION("""COMPUTED_VALUE"""),"OpenBlotter")</f>
        <v>OpenBlotter</v>
      </c>
      <c r="AW4" s="22" t="str">
        <f>IFERROR(__xludf.DUMMYFUNCTION("""COMPUTED_VALUE"""),"RemoveManualExecution")</f>
        <v>RemoveManualExecution</v>
      </c>
      <c r="AX4" s="22" t="str">
        <f>IFERROR(__xludf.DUMMYFUNCTION("""COMPUTED_VALUE"""),"RemoveExecutionWorkingSubs")</f>
        <v>RemoveExecutionWorkingSubs</v>
      </c>
      <c r="AY4" s="22" t="str">
        <f>IFERROR(__xludf.DUMMYFUNCTION("""COMPUTED_VALUE"""),"GetExecutionReportOrders")</f>
        <v>GetExecutionReportOrders</v>
      </c>
      <c r="AZ4" s="22" t="str">
        <f>IFERROR(__xludf.DUMMYFUNCTION("""COMPUTED_VALUE"""),"GetExecutionReportDetails")</f>
        <v>GetExecutionReportDetails</v>
      </c>
      <c r="BA4" s="22" t="str">
        <f>IFERROR(__xludf.DUMMYFUNCTION("""COMPUTED_VALUE"""),"ExportExecutionReportData")</f>
        <v>ExportExecutionReportData</v>
      </c>
      <c r="BB4" s="22" t="str">
        <f>IFERROR(__xludf.DUMMYFUNCTION("""COMPUTED_VALUE"""),"VerifyExecutionReport")</f>
        <v>VerifyExecutionReport</v>
      </c>
      <c r="BC4" s="22" t="str">
        <f>IFERROR(__xludf.DUMMYFUNCTION("""COMPUTED_VALUE"""),"BlotterExecutionReportSnapshot")</f>
        <v>BlotterExecutionReportSnapshot</v>
      </c>
      <c r="BD4" s="22" t="str">
        <f>IFERROR(__xludf.DUMMYFUNCTION("""COMPUTED_VALUE"""),"MultipleTradeTransferToUser")</f>
        <v>MultipleTradeTransferToUser</v>
      </c>
      <c r="BE4" s="22" t="str">
        <f>IFERROR(__xludf.DUMMYFUNCTION("""COMPUTED_VALUE"""),"ReloadOrderFromBlotter")</f>
        <v>ReloadOrderFromBlotter</v>
      </c>
      <c r="BF4" s="22" t="str">
        <f>IFERROR(__xludf.DUMMYFUNCTION("""COMPUTED_VALUE"""),"ReloadOrderFromSubOrder")</f>
        <v>ReloadOrderFromSubOrder</v>
      </c>
      <c r="BG4" s="22" t="str">
        <f>IFERROR(__xludf.DUMMYFUNCTION("""COMPUTED_VALUE"""),"ReloadOrderFromWorkingSubs")</f>
        <v>ReloadOrderFromWorkingSubs</v>
      </c>
      <c r="BH4" s="22" t="str">
        <f>IFERROR(__xludf.DUMMYFUNCTION("""COMPUTED_VALUE"""),"SelectFills")</f>
        <v>SelectFills</v>
      </c>
      <c r="BI4" s="22" t="str">
        <f>IFERROR(__xludf.DUMMYFUNCTION("""COMPUTED_VALUE"""),"ModifyFills")</f>
        <v>ModifyFills</v>
      </c>
      <c r="BJ4" s="22" t="str">
        <f>IFERROR(__xludf.DUMMYFUNCTION("""COMPUTED_VALUE"""),"AddTab")</f>
        <v>AddTab</v>
      </c>
      <c r="BK4" s="22" t="str">
        <f>IFERROR(__xludf.DUMMYFUNCTION("""COMPUTED_VALUE"""),"RemoveTab")</f>
        <v>RemoveTab</v>
      </c>
      <c r="BL4" s="22" t="str">
        <f>IFERROR(__xludf.DUMMYFUNCTION("""COMPUTED_VALUE"""),"SelectCustomTab")</f>
        <v>SelectCustomTab</v>
      </c>
      <c r="BM4" s="22" t="str">
        <f>IFERROR(__xludf.DUMMYFUNCTION("""COMPUTED_VALUE"""),"VerifyOrderCustomTab")</f>
        <v>VerifyOrderCustomTab</v>
      </c>
      <c r="BN4" s="22" t="str">
        <f>IFERROR(__xludf.DUMMYFUNCTION("""COMPUTED_VALUE"""),"VerifySubOrderCustomTab")</f>
        <v>VerifySubOrderCustomTab</v>
      </c>
      <c r="BO4" s="22"/>
      <c r="BP4" s="22"/>
      <c r="BQ4" s="22"/>
      <c r="BR4" s="22"/>
      <c r="BS4" s="22"/>
      <c r="BT4" s="22"/>
      <c r="BU4" s="22"/>
      <c r="BV4" s="22"/>
      <c r="BW4" s="22"/>
      <c r="BX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IFERROR(__xludf.DUMMYFUNCTION("""COMPUTED_VALUE"""),"Fill")</f>
        <v>Fill</v>
      </c>
      <c r="C5" s="24" t="str">
        <f>IFERROR(__xludf.DUMMYFUNCTION("""COMPUTED_VALUE"""),"Last Fill Price (Local)")</f>
        <v>Last Fill Price (Local)</v>
      </c>
      <c r="D5" s="24" t="str">
        <f>IFERROR(__xludf.DUMMYFUNCTION("""COMPUTED_VALUE"""),"New")</f>
        <v>New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</row>
    <row r="6" ht="15.75" customHeight="1">
      <c r="A6" s="9"/>
      <c r="B6" s="9">
        <v>2000.0</v>
      </c>
      <c r="C6" s="9">
        <v>4.0</v>
      </c>
      <c r="D6" s="12" t="b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4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2</v>
      </c>
      <c r="D3" s="4" t="s">
        <v>662</v>
      </c>
      <c r="E3" s="13" t="s">
        <v>5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</row>
    <row r="4" ht="15.75" customHeight="1">
      <c r="A4" s="21"/>
      <c r="B4" s="21" t="str">
        <f>IFERROR(__xludf.DUMMYFUNCTION("IF(C3="""","""",Transpose(IMPORTRANGE('_Settings'!$B$3,C3&amp;""!A4:A1000"")))"),"Allocate")</f>
        <v>Allocate</v>
      </c>
      <c r="C4" s="21" t="str">
        <f>IFERROR(__xludf.DUMMYFUNCTION("""COMPUTED_VALUE"""),"CheckAllocatedGroups")</f>
        <v>CheckAllocatedGroups</v>
      </c>
      <c r="D4" s="21" t="str">
        <f>IFERROR(__xludf.DUMMYFUNCTION("""COMPUTED_VALUE"""),"Unallocate")</f>
        <v>Unallocate</v>
      </c>
      <c r="E4" s="21" t="str">
        <f>IFERROR(__xludf.DUMMYFUNCTION("""COMPUTED_VALUE"""),"GetDataAllocation")</f>
        <v>GetDataAllocation</v>
      </c>
      <c r="F4" s="21" t="str">
        <f>IFERROR(__xludf.DUMMYFUNCTION("""COMPUTED_VALUE"""),"SelectAllocatedGroup")</f>
        <v>SelectAllocatedGroup</v>
      </c>
      <c r="G4" s="21" t="str">
        <f>IFERROR(__xludf.DUMMYFUNCTION("""COMPUTED_VALUE"""),"EditTradesAllocated")</f>
        <v>EditTradesAllocated</v>
      </c>
      <c r="H4" s="21" t="str">
        <f>IFERROR(__xludf.DUMMYFUNCTION("""COMPUTED_VALUE"""),"EditTradesUnallocated")</f>
        <v>EditTradesUnallocated</v>
      </c>
      <c r="I4" s="21" t="str">
        <f>IFERROR(__xludf.DUMMYFUNCTION("""COMPUTED_VALUE"""),"Reallocate")</f>
        <v>Reallocate</v>
      </c>
      <c r="J4" s="21" t="str">
        <f>IFERROR(__xludf.DUMMYFUNCTION("""COMPUTED_VALUE"""),"EditUnallocatedGroupSidePanel")</f>
        <v>EditUnallocatedGroupSidePanel</v>
      </c>
      <c r="K4" s="21" t="str">
        <f>IFERROR(__xludf.DUMMYFUNCTION("""COMPUTED_VALUE"""),"TradeAttributeBulkChange")</f>
        <v>TradeAttributeBulkChange</v>
      </c>
      <c r="L4" s="21" t="str">
        <f>IFERROR(__xludf.DUMMYFUNCTION("""COMPUTED_VALUE"""),"ApplyBulkUpdateOnGroups")</f>
        <v>ApplyBulkUpdateOnGroups</v>
      </c>
      <c r="M4" s="21" t="str">
        <f>IFERROR(__xludf.DUMMYFUNCTION("""COMPUTED_VALUE"""),"ApplyPrefetchFilters")</f>
        <v>ApplyPrefetchFilters</v>
      </c>
      <c r="N4" s="21" t="str">
        <f>IFERROR(__xludf.DUMMYFUNCTION("""COMPUTED_VALUE"""),"GeneralPreferencesDefaultRule")</f>
        <v>GeneralPreferencesDefaultRule</v>
      </c>
      <c r="O4" s="21" t="str">
        <f>IFERROR(__xludf.DUMMYFUNCTION("""COMPUTED_VALUE"""),"GeneralPrefCompanyUserWise")</f>
        <v>GeneralPrefCompanyUserWise</v>
      </c>
      <c r="P4" s="22" t="str">
        <f>IFERROR(__xludf.DUMMYFUNCTION("""COMPUTED_VALUE"""),"RenameTradeAttributes")</f>
        <v>RenameTradeAttributes</v>
      </c>
      <c r="Q4" s="22" t="str">
        <f>IFERROR(__xludf.DUMMYFUNCTION("""COMPUTED_VALUE"""),"SetGroupingRules")</f>
        <v>SetGroupingRules</v>
      </c>
      <c r="R4" s="22" t="str">
        <f>IFERROR(__xludf.DUMMYFUNCTION("""COMPUTED_VALUE"""),"SetMasterFundRatio")</f>
        <v>SetMasterFundRatio</v>
      </c>
      <c r="S4" s="22" t="str">
        <f>IFERROR(__xludf.DUMMYFUNCTION("""COMPUTED_VALUE"""),"CheckFixedPreference")</f>
        <v>CheckFixedPreference</v>
      </c>
      <c r="T4" s="22" t="str">
        <f>IFERROR(__xludf.DUMMYFUNCTION("""COMPUTED_VALUE"""),"GetFixedPreference")</f>
        <v>GetFixedPreference</v>
      </c>
      <c r="U4" s="22" t="str">
        <f>IFERROR(__xludf.DUMMYFUNCTION("""COMPUTED_VALUE"""),"AddCalculatedPreferences")</f>
        <v>AddCalculatedPreferences</v>
      </c>
      <c r="V4" s="22" t="str">
        <f>IFERROR(__xludf.DUMMYFUNCTION("""COMPUTED_VALUE"""),"BulkChangeCalculatedPreferences")</f>
        <v>BulkChangeCalculatedPreferences</v>
      </c>
      <c r="W4" s="22" t="str">
        <f>IFERROR(__xludf.DUMMYFUNCTION("""COMPUTED_VALUE"""),"DeleteCalculatedPreferences")</f>
        <v>DeleteCalculatedPreferences</v>
      </c>
      <c r="X4" s="22" t="str">
        <f>IFERROR(__xludf.DUMMYFUNCTION("""COMPUTED_VALUE"""),"RenameCalculatedPreferences")</f>
        <v>RenameCalculatedPreferences</v>
      </c>
      <c r="Y4" s="22" t="str">
        <f>IFERROR(__xludf.DUMMYFUNCTION("""COMPUTED_VALUE"""),"CopyCalculatedPreferences")</f>
        <v>CopyCalculatedPreferences</v>
      </c>
      <c r="Z4" s="22" t="str">
        <f>IFERROR(__xludf.DUMMYFUNCTION("""COMPUTED_VALUE"""),"RunAutoGroup")</f>
        <v>RunAutoGroup</v>
      </c>
      <c r="AA4" s="22" t="str">
        <f>IFERROR(__xludf.DUMMYFUNCTION("""COMPUTED_VALUE"""),"BookOrUpdateSwap")</f>
        <v>BookOrUpdateSwap</v>
      </c>
      <c r="AB4" s="22" t="str">
        <f>IFERROR(__xludf.DUMMYFUNCTION("""COMPUTED_VALUE"""),"RunProrata")</f>
        <v>RunProrata</v>
      </c>
      <c r="AC4" s="22" t="str">
        <f>IFERROR(__xludf.DUMMYFUNCTION("""COMPUTED_VALUE"""),"SetDefaultRuleCalculatedPref")</f>
        <v>SetDefaultRuleCalculatedPref</v>
      </c>
      <c r="AD4" s="22" t="str">
        <f>IFERROR(__xludf.DUMMYFUNCTION("""COMPUTED_VALUE"""),"SetAccountValueCalculatedPref")</f>
        <v>SetAccountValueCalculatedPref</v>
      </c>
      <c r="AE4" s="22" t="str">
        <f>IFERROR(__xludf.DUMMYFUNCTION("""COMPUTED_VALUE"""),"TradeAttributeBulkChangeGroups")</f>
        <v>TradeAttributeBulkChangeGroups</v>
      </c>
      <c r="AF4" s="22" t="str">
        <f>IFERROR(__xludf.DUMMYFUNCTION("""COMPUTED_VALUE"""),"TradeAttributeBulkChangeTaxlots")</f>
        <v>TradeAttributeBulkChangeTaxlots</v>
      </c>
      <c r="AG4" s="22" t="str">
        <f>IFERROR(__xludf.DUMMYFUNCTION("""COMPUTED_VALUE"""),"AddCalculatedPreferenceToolbar")</f>
        <v>AddCalculatedPreferenceToolbar</v>
      </c>
      <c r="AH4" s="22" t="str">
        <f>IFERROR(__xludf.DUMMYFUNCTION("""COMPUTED_VALUE"""),"SetStrategyValueCalculatedPref")</f>
        <v>SetStrategyValueCalculatedPref</v>
      </c>
      <c r="AI4" s="22" t="str">
        <f>IFERROR(__xludf.DUMMYFUNCTION("""COMPUTED_VALUE"""),"ApplyBulkUpdateOnTaxlots")</f>
        <v>ApplyBulkUpdateOnTaxlots</v>
      </c>
      <c r="AJ4" s="22" t="str">
        <f>IFERROR(__xludf.DUMMYFUNCTION("""COMPUTED_VALUE"""),"CommissionBulkChangeOnGroups")</f>
        <v>CommissionBulkChangeOnGroups</v>
      </c>
      <c r="AK4" s="22" t="str">
        <f>IFERROR(__xludf.DUMMYFUNCTION("""COMPUTED_VALUE"""),"CommissionBulkChangeOnTaxlots")</f>
        <v>CommissionBulkChangeOnTaxlots</v>
      </c>
      <c r="AL4" s="22" t="str">
        <f>IFERROR(__xludf.DUMMYFUNCTION("""COMPUTED_VALUE"""),"SelectUnallocatedGroup")</f>
        <v>SelectUnallocatedGroup</v>
      </c>
      <c r="AM4" s="22" t="str">
        <f>IFERROR(__xludf.DUMMYFUNCTION("""COMPUTED_VALUE"""),"EnterAccountValuesToAllocate")</f>
        <v>EnterAccountValuesToAllocate</v>
      </c>
      <c r="AN4" s="22" t="str">
        <f>IFERROR(__xludf.DUMMYFUNCTION("""COMPUTED_VALUE"""),"EnterAllocatePreference")</f>
        <v>EnterAllocatePreference</v>
      </c>
      <c r="AO4" s="22" t="str">
        <f>IFERROR(__xludf.DUMMYFUNCTION("""COMPUTED_VALUE"""),"EnterStrategyValuesToAllocate")</f>
        <v>EnterStrategyValuesToAllocate</v>
      </c>
      <c r="AP4" s="22" t="str">
        <f>IFERROR(__xludf.DUMMYFUNCTION("""COMPUTED_VALUE"""),"CopyCalculatedPreferenceToolbar")</f>
        <v>CopyCalculatedPreferenceToolbar</v>
      </c>
      <c r="AQ4" s="22" t="str">
        <f>IFERROR(__xludf.DUMMYFUNCTION("""COMPUTED_VALUE"""),"SetGeneralRuleCalculatedPref")</f>
        <v>SetGeneralRuleCalculatedPref</v>
      </c>
      <c r="AR4" s="22" t="str">
        <f>IFERROR(__xludf.DUMMYFUNCTION("""COMPUTED_VALUE"""),"ExportAllCalculatedPreferences")</f>
        <v>ExportAllCalculatedPreferences</v>
      </c>
      <c r="AS4" s="22" t="str">
        <f>IFERROR(__xludf.DUMMYFUNCTION("""COMPUTED_VALUE"""),"SaveCalculatedPreferences")</f>
        <v>SaveCalculatedPreferences</v>
      </c>
      <c r="AT4" s="22" t="str">
        <f>IFERROR(__xludf.DUMMYFUNCTION("""COMPUTED_VALUE"""),"CloseCalculatedPreferences")</f>
        <v>CloseCalculatedPreferences</v>
      </c>
      <c r="AU4" s="22" t="str">
        <f>IFERROR(__xludf.DUMMYFUNCTION("""COMPUTED_VALUE"""),"ExportCalculatedPreference")</f>
        <v>ExportCalculatedPreference</v>
      </c>
      <c r="AV4" s="22" t="str">
        <f>IFERROR(__xludf.DUMMYFUNCTION("""COMPUTED_VALUE"""),"ImportCalculatedPreferences")</f>
        <v>ImportCalculatedPreferences</v>
      </c>
      <c r="AW4" s="22" t="str">
        <f>IFERROR(__xludf.DUMMYFUNCTION("""COMPUTED_VALUE"""),"OpenAuditTrailUnallocatedGroup")</f>
        <v>OpenAuditTrailUnallocatedGroup</v>
      </c>
      <c r="AX4" s="22" t="str">
        <f>IFERROR(__xludf.DUMMYFUNCTION("""COMPUTED_VALUE"""),"DeleteCalculatedPreferencesTool")</f>
        <v>DeleteCalculatedPreferencesTool</v>
      </c>
      <c r="AY4" s="22" t="str">
        <f>IFERROR(__xludf.DUMMYFUNCTION("""COMPUTED_VALUE"""),"ImportCalculatedPreferencesTool")</f>
        <v>ImportCalculatedPreferencesTool</v>
      </c>
      <c r="AZ4" s="22" t="str">
        <f>IFERROR(__xludf.DUMMYFUNCTION("""COMPUTED_VALUE"""),"ExportAllCalculatedPreferTool")</f>
        <v>ExportAllCalculatedPreferTool</v>
      </c>
      <c r="BA4" s="22" t="str">
        <f>IFERROR(__xludf.DUMMYFUNCTION("""COMPUTED_VALUE"""),"OpenAuditTrailAllocatedGroup")</f>
        <v>OpenAuditTrailAllocatedGroup</v>
      </c>
      <c r="BB4" s="22" t="str">
        <f>IFERROR(__xludf.DUMMYFUNCTION("""COMPUTED_VALUE"""),"OpenSymbolLookupUnallocateGroup")</f>
        <v>OpenSymbolLookupUnallocateGroup</v>
      </c>
      <c r="BC4" s="22" t="str">
        <f>IFERROR(__xludf.DUMMYFUNCTION("""COMPUTED_VALUE"""),"OpenSymbolLookupAllocatedGroup")</f>
        <v>OpenSymbolLookupAllocatedGroup</v>
      </c>
      <c r="BD4" s="22" t="str">
        <f>IFERROR(__xludf.DUMMYFUNCTION("""COMPUTED_VALUE"""),"DeleteFixedPreference")</f>
        <v>DeleteFixedPreference</v>
      </c>
      <c r="BE4" s="22" t="str">
        <f>IFERROR(__xludf.DUMMYFUNCTION("""COMPUTED_VALUE"""),"EditAllocatedGroupSidePanel")</f>
        <v>EditAllocatedGroupSidePanel</v>
      </c>
      <c r="BF4" s="22" t="str">
        <f>IFERROR(__xludf.DUMMYFUNCTION("""COMPUTED_VALUE"""),"CheckUnallocatedGroups")</f>
        <v>CheckUnallocatedGroups</v>
      </c>
      <c r="BG4" s="22" t="str">
        <f>IFERROR(__xludf.DUMMYFUNCTION("""COMPUTED_VALUE"""),"SetGeneralPreferences")</f>
        <v>SetGeneralPreferences</v>
      </c>
      <c r="BH4" s="22" t="str">
        <f>IFERROR(__xludf.DUMMYFUNCTION("""COMPUTED_VALUE"""),"GroupTrades")</f>
        <v>GroupTrades</v>
      </c>
      <c r="BI4" s="22" t="str">
        <f>IFERROR(__xludf.DUMMYFUNCTION("""COMPUTED_VALUE"""),"UngroupTrades")</f>
        <v>UngroupTrades</v>
      </c>
      <c r="BJ4" s="22" t="str">
        <f>IFERROR(__xludf.DUMMYFUNCTION("""COMPUTED_VALUE"""),"DeleteGroup")</f>
        <v>DeleteGroup</v>
      </c>
      <c r="BK4" s="22" t="str">
        <f>IFERROR(__xludf.DUMMYFUNCTION("""COMPUTED_VALUE"""),"CloseOrder")</f>
        <v>CloseOrder</v>
      </c>
      <c r="BL4" s="22" t="str">
        <f>IFERROR(__xludf.DUMMYFUNCTION("""COMPUTED_VALUE"""),"Unallocate")</f>
        <v>Unallocate</v>
      </c>
      <c r="BM4" s="22" t="str">
        <f>IFERROR(__xludf.DUMMYFUNCTION("""COMPUTED_VALUE"""),"CloseAllocation")</f>
        <v>CloseAllocation</v>
      </c>
      <c r="BN4" s="22" t="str">
        <f>IFERROR(__xludf.DUMMYFUNCTION("""COMPUTED_VALUE"""),"UpdateGRAccountValue")</f>
        <v>UpdateGRAccountValue</v>
      </c>
      <c r="BO4" s="22" t="str">
        <f>IFERROR(__xludf.DUMMYFUNCTION("""COMPUTED_VALUE"""),"UpdateGRStrategyValue")</f>
        <v>UpdateGRStrategyValue</v>
      </c>
      <c r="BP4" s="22" t="str">
        <f>IFERROR(__xludf.DUMMYFUNCTION("""COMPUTED_VALUE"""),"UpdateGRDefaultRule")</f>
        <v>UpdateGRDefaultRule</v>
      </c>
      <c r="BQ4" s="22" t="str">
        <f>IFERROR(__xludf.DUMMYFUNCTION("""COMPUTED_VALUE"""),"UpdateGeneralRulePref")</f>
        <v>UpdateGeneralRulePref</v>
      </c>
      <c r="BR4" s="22" t="str">
        <f>IFERROR(__xludf.DUMMYFUNCTION("""COMPUTED_VALUE"""),"ModifyGRPreferenceValues")</f>
        <v>ModifyGRPreferenceValues</v>
      </c>
      <c r="BS4" s="22" t="str">
        <f>IFERROR(__xludf.DUMMYFUNCTION("""COMPUTED_VALUE"""),"AddMFPreferences")</f>
        <v>AddMFPreferences</v>
      </c>
      <c r="BT4" s="22" t="str">
        <f>IFERROR(__xludf.DUMMYFUNCTION("""COMPUTED_VALUE"""),"AddMFPreferenceToolbar")</f>
        <v>AddMFPreferenceToolbar</v>
      </c>
      <c r="BU4" s="22" t="str">
        <f>IFERROR(__xludf.DUMMYFUNCTION("""COMPUTED_VALUE"""),"DeleteMFPreferences")</f>
        <v>DeleteMFPreferences</v>
      </c>
      <c r="BV4" s="22" t="str">
        <f>IFERROR(__xludf.DUMMYFUNCTION("""COMPUTED_VALUE"""),"DeleteMFPreferenceToolbar")</f>
        <v>DeleteMFPreferenceToolbar</v>
      </c>
      <c r="BW4" s="22" t="str">
        <f>IFERROR(__xludf.DUMMYFUNCTION("""COMPUTED_VALUE"""),"RenameMFPreferences")</f>
        <v>RenameMFPreferences</v>
      </c>
      <c r="BX4" s="22" t="str">
        <f>IFERROR(__xludf.DUMMYFUNCTION("""COMPUTED_VALUE"""),"SaveCloseMFPreference")</f>
        <v>SaveCloseMFPreference</v>
      </c>
      <c r="BY4" s="22" t="str">
        <f>IFERROR(__xludf.DUMMYFUNCTION("""COMPUTED_VALUE"""),"SetMFPrefAccountValues")</f>
        <v>SetMFPrefAccountValues</v>
      </c>
      <c r="BZ4" s="22" t="str">
        <f>IFERROR(__xludf.DUMMYFUNCTION("""COMPUTED_VALUE"""),"ModifyMFPrefGeneralRuleValues")</f>
        <v>ModifyMFPrefGeneralRuleValues</v>
      </c>
      <c r="CA4" s="22" t="str">
        <f>IFERROR(__xludf.DUMMYFUNCTION("""COMPUTED_VALUE"""),"SetMFPrefStrategyValues")</f>
        <v>SetMFPrefStrategyValues</v>
      </c>
      <c r="CB4" s="22" t="str">
        <f>IFERROR(__xludf.DUMMYFUNCTION("""COMPUTED_VALUE"""),"SetMFPrefGeneralRule")</f>
        <v>SetMFPrefGeneralRule</v>
      </c>
      <c r="CC4" s="22" t="str">
        <f>IFERROR(__xludf.DUMMYFUNCTION("""COMPUTED_VALUE"""),"SetMFPrefFundDistribution")</f>
        <v>SetMFPrefFundDistribution</v>
      </c>
      <c r="CD4" s="22" t="str">
        <f>IFERROR(__xludf.DUMMYFUNCTION("""COMPUTED_VALUE"""),"SetMFPreferencesDefaultRule")</f>
        <v>SetMFPreferencesDefaultRule</v>
      </c>
      <c r="CE4" s="22" t="str">
        <f>IFERROR(__xludf.DUMMYFUNCTION("""COMPUTED_VALUE"""),"SetMFPrefFundDefaultRule")</f>
        <v>SetMFPrefFundDefaultRule</v>
      </c>
      <c r="CF4" s="22" t="str">
        <f>IFERROR(__xludf.DUMMYFUNCTION("""COMPUTED_VALUE"""),"ClearPrefetchFilters")</f>
        <v>ClearPrefetchFilters</v>
      </c>
      <c r="CG4" s="22" t="str">
        <f>IFERROR(__xludf.DUMMYFUNCTION("""COMPUTED_VALUE"""),"ExpandCollapseAllUnallocated")</f>
        <v>ExpandCollapseAllUnallocated</v>
      </c>
      <c r="CH4" s="22" t="str">
        <f>IFERROR(__xludf.DUMMYFUNCTION("""COMPUTED_VALUE"""),"ExpandCollapseAllAllocated")</f>
        <v>ExpandCollapseAllAllocated</v>
      </c>
      <c r="CI4" s="22" t="str">
        <f>IFERROR(__xludf.DUMMYFUNCTION("""COMPUTED_VALUE"""),"GenerateCashTransaction")</f>
        <v>GenerateCashTransaction</v>
      </c>
      <c r="CJ4" s="22" t="str">
        <f>IFERROR(__xludf.DUMMYFUNCTION("""COMPUTED_VALUE"""),"SaveAllocation")</f>
        <v>SaveAllocation</v>
      </c>
      <c r="CK4" s="22" t="str">
        <f>IFERROR(__xludf.DUMMYFUNCTION("""COMPUTED_VALUE"""),"UnallocateWithOutSave")</f>
        <v>UnallocateWithOutSave</v>
      </c>
      <c r="CL4" s="22" t="str">
        <f>IFERROR(__xludf.DUMMYFUNCTION("""COMPUTED_VALUE"""),"EditUnallocatedGrid")</f>
        <v>EditUnallocatedGrid</v>
      </c>
      <c r="CM4" s="22" t="str">
        <f>IFERROR(__xludf.DUMMYFUNCTION("""COMPUTED_VALUE"""),"EditAllocatedGrid")</f>
        <v>EditAllocatedGrid</v>
      </c>
      <c r="CN4" s="22" t="str">
        <f>IFERROR(__xludf.DUMMYFUNCTION("""COMPUTED_VALUE"""),"SaveLayoutAllocatedGrid")</f>
        <v>SaveLayoutAllocatedGrid</v>
      </c>
      <c r="CO4" s="22" t="str">
        <f>IFERROR(__xludf.DUMMYFUNCTION("""COMPUTED_VALUE"""),"SaveLayoutUnallocatedGrid")</f>
        <v>SaveLayoutUnallocatedGrid</v>
      </c>
      <c r="CP4" s="22" t="str">
        <f>IFERROR(__xludf.DUMMYFUNCTION("""COMPUTED_VALUE"""),"SaveLayoutAllocationUI")</f>
        <v>SaveLayoutAllocationUI</v>
      </c>
      <c r="CQ4" s="22" t="str">
        <f>IFERROR(__xludf.DUMMYFUNCTION("""COMPUTED_VALUE"""),"ClearFiltersAllocatedGrid")</f>
        <v>ClearFiltersAllocatedGrid</v>
      </c>
      <c r="CR4" s="22" t="str">
        <f>IFERROR(__xludf.DUMMYFUNCTION("""COMPUTED_VALUE"""),"ClearFiltersUnallocatedGrid")</f>
        <v>ClearFiltersUnallocatedGrid</v>
      </c>
      <c r="CS4" s="22" t="str">
        <f>IFERROR(__xludf.DUMMYFUNCTION("""COMPUTED_VALUE"""),"VerifyLayoutAllocatedGrid")</f>
        <v>VerifyLayoutAllocatedGrid</v>
      </c>
      <c r="CT4" s="22" t="str">
        <f>IFERROR(__xludf.DUMMYFUNCTION("""COMPUTED_VALUE"""),"VerifyLayoutUnallocatedGrid")</f>
        <v>VerifyLayoutUnallocatedGrid</v>
      </c>
      <c r="CU4" s="22" t="str">
        <f>IFERROR(__xludf.DUMMYFUNCTION("""COMPUTED_VALUE"""),"CleanUp")</f>
        <v>CleanUp</v>
      </c>
      <c r="CV4" s="22" t="str">
        <f>IFERROR(__xludf.DUMMYFUNCTION("""COMPUTED_VALUE"""),"CheckAllocatedTaxlots")</f>
        <v>CheckAllocatedTaxlots</v>
      </c>
      <c r="CW4" s="22" t="str">
        <f>IFERROR(__xludf.DUMMYFUNCTION("""COMPUTED_VALUE"""),"CopyCalculatedPreferenceToolbar")</f>
        <v>CopyCalculatedPreferenceToolbar</v>
      </c>
      <c r="CX4" s="22" t="str">
        <f>IFERROR(__xludf.DUMMYFUNCTION("""COMPUTED_VALUE"""),"CloseOrder")</f>
        <v>CloseOrder</v>
      </c>
      <c r="CY4" s="22" t="str">
        <f>IFERROR(__xludf.DUMMYFUNCTION("""COMPUTED_VALUE"""),"DisableChecksideForAsset")</f>
        <v>DisableChecksideForAsset</v>
      </c>
      <c r="CZ4" s="22" t="str">
        <f>IFERROR(__xludf.DUMMYFUNCTION("""COMPUTED_VALUE"""),"DisableChecksideForAccount")</f>
        <v>DisableChecksideForAccount</v>
      </c>
      <c r="DA4" s="22" t="str">
        <f>IFERROR(__xludf.DUMMYFUNCTION("""COMPUTED_VALUE"""),"DisableChecksideForCounterParty")</f>
        <v>DisableChecksideForCounterParty</v>
      </c>
      <c r="DB4" s="22" t="str">
        <f>IFERROR(__xludf.DUMMYFUNCTION("""COMPUTED_VALUE"""),"DisableCheckside")</f>
        <v>DisableCheckside</v>
      </c>
      <c r="DC4" s="22" t="str">
        <f>IFERROR(__xludf.DUMMYFUNCTION("""COMPUTED_VALUE"""),"ApplyMasterFundFilter")</f>
        <v>ApplyMasterFundFilter</v>
      </c>
      <c r="DD4" s="22" t="str">
        <f>IFERROR(__xludf.DUMMYFUNCTION("""COMPUTED_VALUE"""),"ShowMasterFundOnTT")</f>
        <v>ShowMasterFundOnTT</v>
      </c>
      <c r="DE4" s="22" t="str">
        <f>IFERROR(__xludf.DUMMYFUNCTION("""COMPUTED_VALUE"""),"ShowMasterFundAsClient")</f>
        <v>ShowMasterFundAsClient</v>
      </c>
      <c r="DF4" s="22" t="str">
        <f>IFERROR(__xludf.DUMMYFUNCTION("""COMPUTED_VALUE"""),"SetBrokerAccountMapping")</f>
        <v>SetBrokerAccountMapping</v>
      </c>
      <c r="DG4" s="22" t="str">
        <f>IFERROR(__xludf.DUMMYFUNCTION("""COMPUTED_VALUE"""),"EditUnallocatedGridWPF")</f>
        <v>EditUnallocatedGridWPF</v>
      </c>
      <c r="DH4" s="22" t="str">
        <f>IFERROR(__xludf.DUMMYFUNCTION("""COMPUTED_VALUE"""),"EditAllocatedGridWPF")</f>
        <v>EditAllocatedGridWPF</v>
      </c>
      <c r="DI4" s="22" t="str">
        <f>IFERROR(__xludf.DUMMYFUNCTION("""COMPUTED_VALUE"""),"EditAllocatedGridTaxlot")</f>
        <v>EditAllocatedGridTaxlot</v>
      </c>
      <c r="DJ4" s="22" t="str">
        <f>IFERROR(__xludf.DUMMYFUNCTION("""COMPUTED_VALUE"""),"ExpandCollapseAllocatedGrid")</f>
        <v>ExpandCollapseAllocatedGrid</v>
      </c>
      <c r="DK4" s="22" t="str">
        <f>IFERROR(__xludf.DUMMYFUNCTION("""COMPUTED_VALUE"""),"ExpandCollapseUnallocatedGrid")</f>
        <v>ExpandCollapseUnallocatedGrid</v>
      </c>
      <c r="DL4" s="22" t="str">
        <f>IFERROR(__xludf.DUMMYFUNCTION("""COMPUTED_VALUE"""),"SetTradeAttributePreferences")</f>
        <v>SetTradeAttributePreferences</v>
      </c>
      <c r="DM4" s="22" t="str">
        <f>IFERROR(__xludf.DUMMYFUNCTION("""COMPUTED_VALUE"""),"EnterCustomAllocatePreference")</f>
        <v>EnterCustomAllocatePreference</v>
      </c>
      <c r="DN4" s="22" t="str">
        <f>IFERROR(__xludf.DUMMYFUNCTION("""COMPUTED_VALUE"""),"SetAutoGroupingPreferences")</f>
        <v>SetAutoGroupingPreferences</v>
      </c>
      <c r="DO4" s="22" t="str">
        <f>IFERROR(__xludf.DUMMYFUNCTION("""COMPUTED_VALUE"""),"SetAutoGroupingAccount")</f>
        <v>SetAutoGroupingAccount</v>
      </c>
      <c r="DP4" s="22" t="str">
        <f>IFERROR(__xludf.DUMMYFUNCTION("""COMPUTED_VALUE"""),"SetAvgPriceRounding")</f>
        <v>SetAvgPriceRounding</v>
      </c>
      <c r="DQ4" s="22" t="str">
        <f>IFERROR(__xludf.DUMMYFUNCTION("""COMPUTED_VALUE"""),"IsAllocationOpen")</f>
        <v>IsAllocationOpen</v>
      </c>
      <c r="DR4" s="22" t="str">
        <f>IFERROR(__xludf.DUMMYFUNCTION("""COMPUTED_VALUE"""),"AllocationAuditTrail")</f>
        <v>AllocationAuditTrail</v>
      </c>
      <c r="DS4" s="22" t="str">
        <f>IFERROR(__xludf.DUMMYFUNCTION("""COMPUTED_VALUE"""),"GetAuditTrailData")</f>
        <v>GetAuditTrailData</v>
      </c>
      <c r="DT4" s="22" t="str">
        <f>IFERROR(__xludf.DUMMYFUNCTION("""COMPUTED_VALUE"""),"CheckAuditTrailData")</f>
        <v>CheckAuditTrailData</v>
      </c>
      <c r="DU4" s="22"/>
      <c r="DV4" s="22"/>
      <c r="DW4" s="22"/>
      <c r="DX4" s="22"/>
      <c r="DY4" s="22"/>
      <c r="DZ4" s="22"/>
      <c r="EA4" s="22"/>
      <c r="EB4" s="22"/>
      <c r="EC4" s="22"/>
      <c r="ED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IFERROR(__xludf.DUMMYFUNCTION("""COMPUTED_VALUE"""),"Account Name")</f>
        <v>Account Name</v>
      </c>
      <c r="C5" s="24" t="str">
        <f>IFERROR(__xludf.DUMMYFUNCTION("""COMPUTED_VALUE"""),"Accrual Basis")</f>
        <v>Accrual Basis</v>
      </c>
      <c r="D5" s="24" t="str">
        <f>IFERROR(__xludf.DUMMYFUNCTION("""COMPUTED_VALUE"""),"Accrued Interest")</f>
        <v>Accrued Interest</v>
      </c>
      <c r="E5" s="24" t="str">
        <f>IFERROR(__xludf.DUMMYFUNCTION("""COMPUTED_VALUE"""),"Allocated Qty")</f>
        <v>Allocated Qty</v>
      </c>
      <c r="F5" s="24" t="str">
        <f>IFERROR(__xludf.DUMMYFUNCTION("""COMPUTED_VALUE"""),"Allocation Scheme Name")</f>
        <v>Allocation Scheme Name</v>
      </c>
      <c r="G5" s="24" t="str">
        <f>IFERROR(__xludf.DUMMYFUNCTION("""COMPUTED_VALUE"""),"Asset Category")</f>
        <v>Asset Category</v>
      </c>
      <c r="H5" s="24" t="str">
        <f>IFERROR(__xludf.DUMMYFUNCTION("""COMPUTED_VALUE"""),"AUEC Fee1")</f>
        <v>AUEC Fee1</v>
      </c>
      <c r="I5" s="24" t="str">
        <f>IFERROR(__xludf.DUMMYFUNCTION("""COMPUTED_VALUE"""),"AUEC Fee2")</f>
        <v>AUEC Fee2</v>
      </c>
      <c r="J5" s="24" t="str">
        <f>IFERROR(__xludf.DUMMYFUNCTION("""COMPUTED_VALUE"""),"AUECID")</f>
        <v>AUECID</v>
      </c>
      <c r="K5" s="24" t="str">
        <f>IFERROR(__xludf.DUMMYFUNCTION("""COMPUTED_VALUE"""),"Avg Price(Base)")</f>
        <v>Avg Price(Base)</v>
      </c>
      <c r="L5" s="24" t="str">
        <f>IFERROR(__xludf.DUMMYFUNCTION("""COMPUTED_VALUE"""),"Avg Price(Local)")</f>
        <v>Avg Price(Local)</v>
      </c>
      <c r="M5" s="24" t="str">
        <f>IFERROR(__xludf.DUMMYFUNCTION("""COMPUTED_VALUE"""),"Bloomberg")</f>
        <v>Bloomberg</v>
      </c>
      <c r="N5" s="24" t="str">
        <f>IFERROR(__xludf.DUMMYFUNCTION("""COMPUTED_VALUE"""),"Bond Type")</f>
        <v>Bond Type</v>
      </c>
      <c r="O5" s="24" t="str">
        <f>IFERROR(__xludf.DUMMYFUNCTION("""COMPUTED_VALUE"""),"Broker")</f>
        <v>Broker</v>
      </c>
      <c r="P5" s="24" t="str">
        <f>IFERROR(__xludf.DUMMYFUNCTION("""COMPUTED_VALUE"""),"Change Comment")</f>
        <v>Change Comment</v>
      </c>
      <c r="Q5" s="24" t="str">
        <f>IFERROR(__xludf.DUMMYFUNCTION("""COMPUTED_VALUE"""),"Change Type")</f>
        <v>Change Type</v>
      </c>
      <c r="R5" s="24" t="str">
        <f>IFERROR(__xludf.DUMMYFUNCTION("""COMPUTED_VALUE"""),"Clearing Broker Fee")</f>
        <v>Clearing Broker Fee</v>
      </c>
      <c r="S5" s="24" t="str">
        <f>IFERROR(__xludf.DUMMYFUNCTION("""COMPUTED_VALUE"""),"Closing Status")</f>
        <v>Closing Status</v>
      </c>
      <c r="T5" s="25" t="str">
        <f>IFERROR(__xludf.DUMMYFUNCTION("""COMPUTED_VALUE"""),"Commission")</f>
        <v>Commission</v>
      </c>
      <c r="U5" s="25" t="str">
        <f>IFERROR(__xludf.DUMMYFUNCTION("""COMPUTED_VALUE"""),"Commission Per Share")</f>
        <v>Commission Per Share</v>
      </c>
      <c r="V5" s="25" t="str">
        <f>IFERROR(__xludf.DUMMYFUNCTION("""COMPUTED_VALUE"""),"Company")</f>
        <v>Company</v>
      </c>
      <c r="W5" s="25" t="str">
        <f>IFERROR(__xludf.DUMMYFUNCTION("""COMPUTED_VALUE"""),"Contract Multiplier")</f>
        <v>Contract Multiplier</v>
      </c>
      <c r="X5" s="25" t="str">
        <f>IFERROR(__xludf.DUMMYFUNCTION("""COMPUTED_VALUE"""),"Coupon Rate")</f>
        <v>Coupon Rate</v>
      </c>
      <c r="Y5" s="25" t="str">
        <f>IFERROR(__xludf.DUMMYFUNCTION("""COMPUTED_VALUE"""),"Cum Qty For Sub Order")</f>
        <v>Cum Qty For Sub Order</v>
      </c>
      <c r="Z5" s="25" t="str">
        <f>IFERROR(__xludf.DUMMYFUNCTION("""COMPUTED_VALUE"""),"Currency")</f>
        <v>Currency</v>
      </c>
      <c r="AA5" s="25" t="str">
        <f>IFERROR(__xludf.DUMMYFUNCTION("""COMPUTED_VALUE"""),"Cusip Symbol")</f>
        <v>Cusip Symbol</v>
      </c>
      <c r="AB5" s="25" t="str">
        <f>IFERROR(__xludf.DUMMYFUNCTION("""COMPUTED_VALUE"""),"Delta")</f>
        <v>Delta</v>
      </c>
      <c r="AC5" s="25" t="str">
        <f>IFERROR(__xludf.DUMMYFUNCTION("""COMPUTED_VALUE"""),"Description")</f>
        <v>Description</v>
      </c>
      <c r="AD5" s="25" t="str">
        <f>IFERROR(__xludf.DUMMYFUNCTION("""COMPUTED_VALUE"""),"Exchange")</f>
        <v>Exchange</v>
      </c>
      <c r="AE5" s="25" t="str">
        <f>IFERROR(__xludf.DUMMYFUNCTION("""COMPUTED_VALUE"""),"Executed Qty")</f>
        <v>Executed Qty</v>
      </c>
      <c r="AF5" s="25" t="str">
        <f>IFERROR(__xludf.DUMMYFUNCTION("""COMPUTED_VALUE"""),"Exceution Time")</f>
        <v>Exceution Time</v>
      </c>
      <c r="AG5" s="25" t="str">
        <f>IFERROR(__xludf.DUMMYFUNCTION("""COMPUTED_VALUE"""),"Expiration Date")</f>
        <v>Expiration Date</v>
      </c>
      <c r="AH5" s="25" t="str">
        <f>IFERROR(__xludf.DUMMYFUNCTION("""COMPUTED_VALUE"""),"FX Conversion Operator")</f>
        <v>FX Conversion Operator</v>
      </c>
      <c r="AI5" s="25" t="str">
        <f>IFERROR(__xludf.DUMMYFUNCTION("""COMPUTED_VALUE"""),"FX Rate")</f>
        <v>FX Rate</v>
      </c>
      <c r="AJ5" s="25" t="str">
        <f>IFERROR(__xludf.DUMMYFUNCTION("""COMPUTED_VALUE"""),"Group Status")</f>
        <v>Group Status</v>
      </c>
      <c r="AK5" s="25" t="str">
        <f>IFERROR(__xludf.DUMMYFUNCTION("""COMPUTED_VALUE"""),"IDCOSymbol")</f>
        <v>IDCOSymbol</v>
      </c>
      <c r="AL5" s="25" t="str">
        <f>IFERROR(__xludf.DUMMYFUNCTION("""COMPUTED_VALUE"""),"Import File Name")</f>
        <v>Import File Name</v>
      </c>
      <c r="AM5" s="25" t="str">
        <f>IFERROR(__xludf.DUMMYFUNCTION("""COMPUTED_VALUE"""),"Internal Comments")</f>
        <v>Internal Comments</v>
      </c>
      <c r="AN5" s="25" t="str">
        <f>IFERROR(__xludf.DUMMYFUNCTION("""COMPUTED_VALUE"""),"IsAnotherTaxlotAttributesUpdated")</f>
        <v>IsAnotherTaxlotAttributesUpdated</v>
      </c>
      <c r="AO5" s="25" t="str">
        <f>IFERROR(__xludf.DUMMYFUNCTION("""COMPUTED_VALUE"""),"ISIN")</f>
        <v>ISIN</v>
      </c>
      <c r="AP5" s="25" t="str">
        <f>IFERROR(__xludf.DUMMYFUNCTION("""COMPUTED_VALUE"""),"IsManual Group")</f>
        <v>IsManual Group</v>
      </c>
      <c r="AQ5" s="25" t="str">
        <f>IFERROR(__xludf.DUMMYFUNCTION("""COMPUTED_VALUE"""),"ISNDF")</f>
        <v>ISNDF</v>
      </c>
      <c r="AR5" s="25" t="str">
        <f>IFERROR(__xludf.DUMMYFUNCTION("""COMPUTED_VALUE"""),"IsPreAllocated")</f>
        <v>IsPreAllocated</v>
      </c>
      <c r="AS5" s="25" t="str">
        <f>IFERROR(__xludf.DUMMYFUNCTION("""COMPUTED_VALUE"""),"M2MProfitLoss")</f>
        <v>M2MProfitLoss</v>
      </c>
      <c r="AT5" s="25" t="str">
        <f>IFERROR(__xludf.DUMMYFUNCTION("""COMPUTED_VALUE"""),"Net Amount( Base)")</f>
        <v>Net Amount( Base)</v>
      </c>
      <c r="AU5" s="25" t="str">
        <f>IFERROR(__xludf.DUMMYFUNCTION("""COMPUTED_VALUE"""),"Net Amount( Local)")</f>
        <v>Net Amount( Local)</v>
      </c>
      <c r="AV5" s="25" t="str">
        <f>IFERROR(__xludf.DUMMYFUNCTION("""COMPUTED_VALUE"""),"Nirvana Process Date")</f>
        <v>Nirvana Process Date</v>
      </c>
      <c r="AW5" s="25" t="str">
        <f>IFERROR(__xludf.DUMMYFUNCTION("""COMPUTED_VALUE"""),"OCC Fee")</f>
        <v>OCC Fee</v>
      </c>
      <c r="AX5" s="25" t="str">
        <f>IFERROR(__xludf.DUMMYFUNCTION("""COMPUTED_VALUE"""),"Option Premium Adjustment")</f>
        <v>Option Premium Adjustment</v>
      </c>
      <c r="AY5" s="25" t="str">
        <f>IFERROR(__xludf.DUMMYFUNCTION("""COMPUTED_VALUE"""),"Order Type")</f>
        <v>Order Type</v>
      </c>
      <c r="AZ5" s="25" t="str">
        <f>IFERROR(__xludf.DUMMYFUNCTION("""COMPUTED_VALUE"""),"ORF Fee")</f>
        <v>ORF Fee</v>
      </c>
      <c r="BA5" s="25" t="str">
        <f>IFERROR(__xludf.DUMMYFUNCTION("""COMPUTED_VALUE"""),"Original Purchase Date")</f>
        <v>Original Purchase Date</v>
      </c>
      <c r="BB5" s="25" t="str">
        <f>IFERROR(__xludf.DUMMYFUNCTION("""COMPUTED_VALUE"""),"OSISSymbol")</f>
        <v>OSISSymbol</v>
      </c>
      <c r="BC5" s="25" t="str">
        <f>IFERROR(__xludf.DUMMYFUNCTION("""COMPUTED_VALUE"""),"Other Broker Fees")</f>
        <v>Other Broker Fees</v>
      </c>
      <c r="BD5" s="25" t="str">
        <f>IFERROR(__xludf.DUMMYFUNCTION("""COMPUTED_VALUE"""),"Prana Msg Type")</f>
        <v>Prana Msg Type</v>
      </c>
      <c r="BE5" s="25" t="str">
        <f>IFERROR(__xludf.DUMMYFUNCTION("""COMPUTED_VALUE"""),"Principal Amount( Base)")</f>
        <v>Principal Amount( Base)</v>
      </c>
      <c r="BF5" s="25" t="str">
        <f>IFERROR(__xludf.DUMMYFUNCTION("""COMPUTED_VALUE"""),"Principal Amount( Local)")</f>
        <v>Principal Amount( Local)</v>
      </c>
      <c r="BG5" s="25" t="str">
        <f>IFERROR(__xludf.DUMMYFUNCTION("""COMPUTED_VALUE"""),"Process Date")</f>
        <v>Process Date</v>
      </c>
      <c r="BH5" s="25" t="str">
        <f>IFERROR(__xludf.DUMMYFUNCTION("""COMPUTED_VALUE"""),"Proxy Symbol")</f>
        <v>Proxy Symbol</v>
      </c>
      <c r="BI5" s="25" t="str">
        <f>IFERROR(__xludf.DUMMYFUNCTION("""COMPUTED_VALUE"""),"Put Or Call")</f>
        <v>Put Or Call</v>
      </c>
      <c r="BJ5" s="25" t="str">
        <f>IFERROR(__xludf.DUMMYFUNCTION("""COMPUTED_VALUE"""),"Quantity")</f>
        <v>Quantity</v>
      </c>
      <c r="BK5" s="25" t="str">
        <f>IFERROR(__xludf.DUMMYFUNCTION("""COMPUTED_VALUE"""),"SEC Fee")</f>
        <v>SEC Fee</v>
      </c>
      <c r="BL5" s="25" t="str">
        <f>IFERROR(__xludf.DUMMYFUNCTION("""COMPUTED_VALUE"""),"Sedol Symbol")</f>
        <v>Sedol Symbol</v>
      </c>
      <c r="BM5" s="25" t="str">
        <f>IFERROR(__xludf.DUMMYFUNCTION("""COMPUTED_VALUE"""),"Settlement Currency")</f>
        <v>Settlement Currency</v>
      </c>
      <c r="BN5" s="25" t="str">
        <f>IFERROR(__xludf.DUMMYFUNCTION("""COMPUTED_VALUE"""),"Settlement Date")</f>
        <v>Settlement Date</v>
      </c>
      <c r="BO5" s="25" t="str">
        <f>IFERROR(__xludf.DUMMYFUNCTION("""COMPUTED_VALUE"""),"Side")</f>
        <v>Side</v>
      </c>
      <c r="BP5" s="25" t="str">
        <f>IFERROR(__xludf.DUMMYFUNCTION("""COMPUTED_VALUE"""),"Soft Commission")</f>
        <v>Soft Commission</v>
      </c>
      <c r="BQ5" s="25" t="str">
        <f>IFERROR(__xludf.DUMMYFUNCTION("""COMPUTED_VALUE"""),"Soft Commission Per Share")</f>
        <v>Soft Commission Per Share</v>
      </c>
      <c r="BR5" s="25" t="str">
        <f>IFERROR(__xludf.DUMMYFUNCTION("""COMPUTED_VALUE"""),"Stamp Duty")</f>
        <v>Stamp Duty</v>
      </c>
      <c r="BS5" s="25" t="str">
        <f>IFERROR(__xludf.DUMMYFUNCTION("""COMPUTED_VALUE"""),"Strategy Name")</f>
        <v>Strategy Name</v>
      </c>
      <c r="BT5" s="25" t="str">
        <f>IFERROR(__xludf.DUMMYFUNCTION("""COMPUTED_VALUE"""),"Symbol")</f>
        <v>Symbol</v>
      </c>
      <c r="BU5" s="25" t="str">
        <f>IFERROR(__xludf.DUMMYFUNCTION("""COMPUTED_VALUE"""),"Tax On Commissions")</f>
        <v>Tax On Commissions</v>
      </c>
      <c r="BV5" s="25" t="str">
        <f>IFERROR(__xludf.DUMMYFUNCTION("""COMPUTED_VALUE"""),"Total Commission")</f>
        <v>Total Commission</v>
      </c>
      <c r="BW5" s="25" t="str">
        <f>IFERROR(__xludf.DUMMYFUNCTION("""COMPUTED_VALUE"""),"Total Commission And Fee")</f>
        <v>Total Commission And Fee</v>
      </c>
      <c r="BX5" s="25" t="str">
        <f>IFERROR(__xludf.DUMMYFUNCTION("""COMPUTED_VALUE"""),"Total Commission Per Share")</f>
        <v>Total Commission Per Share</v>
      </c>
      <c r="BY5" s="25" t="str">
        <f>IFERROR(__xludf.DUMMYFUNCTION("""COMPUTED_VALUE"""),"Trade Attribute 1")</f>
        <v>Trade Attribute 1</v>
      </c>
      <c r="BZ5" s="25" t="str">
        <f>IFERROR(__xludf.DUMMYFUNCTION("""COMPUTED_VALUE"""),"Trade Attribute 2")</f>
        <v>Trade Attribute 2</v>
      </c>
      <c r="CA5" s="25" t="str">
        <f>IFERROR(__xludf.DUMMYFUNCTION("""COMPUTED_VALUE"""),"Trade Attribute 3")</f>
        <v>Trade Attribute 3</v>
      </c>
      <c r="CB5" s="25" t="str">
        <f>IFERROR(__xludf.DUMMYFUNCTION("""COMPUTED_VALUE"""),"Trade Attribute 4")</f>
        <v>Trade Attribute 4</v>
      </c>
      <c r="CC5" s="25" t="str">
        <f>IFERROR(__xludf.DUMMYFUNCTION("""COMPUTED_VALUE"""),"Trade Attribute 5")</f>
        <v>Trade Attribute 5</v>
      </c>
      <c r="CD5" s="25" t="str">
        <f>IFERROR(__xludf.DUMMYFUNCTION("""COMPUTED_VALUE"""),"Trade Attribute 6")</f>
        <v>Trade Attribute 6</v>
      </c>
      <c r="CE5" s="25" t="str">
        <f>IFERROR(__xludf.DUMMYFUNCTION("""COMPUTED_VALUE"""),"Trade Date")</f>
        <v>Trade Date</v>
      </c>
      <c r="CF5" s="25" t="str">
        <f>IFERROR(__xludf.DUMMYFUNCTION("""COMPUTED_VALUE"""),"Trading Account")</f>
        <v>Trading Account</v>
      </c>
      <c r="CG5" s="25" t="str">
        <f>IFERROR(__xludf.DUMMYFUNCTION("""COMPUTED_VALUE"""),"Transaction Levy")</f>
        <v>Transaction Levy</v>
      </c>
      <c r="CH5" s="25" t="str">
        <f>IFERROR(__xludf.DUMMYFUNCTION("""COMPUTED_VALUE"""),"Transaction Source")</f>
        <v>Transaction Source</v>
      </c>
      <c r="CI5" s="25" t="str">
        <f>IFERROR(__xludf.DUMMYFUNCTION("""COMPUTED_VALUE"""),"Transaction Type")</f>
        <v>Transaction Type</v>
      </c>
      <c r="CJ5" s="25" t="str">
        <f>IFERROR(__xludf.DUMMYFUNCTION("""COMPUTED_VALUE"""),"UnAllocatedQty")</f>
        <v>UnAllocatedQty</v>
      </c>
      <c r="CK5" s="25" t="str">
        <f>IFERROR(__xludf.DUMMYFUNCTION("""COMPUTED_VALUE"""),"Underlying")</f>
        <v>Underlying</v>
      </c>
      <c r="CL5" s="25" t="str">
        <f>IFERROR(__xludf.DUMMYFUNCTION("""COMPUTED_VALUE"""),"Underlying Delta")</f>
        <v>Underlying Delta</v>
      </c>
      <c r="CM5" s="25" t="str">
        <f>IFERROR(__xludf.DUMMYFUNCTION("""COMPUTED_VALUE"""),"Underlying Symbol")</f>
        <v>Underlying Symbol</v>
      </c>
      <c r="CN5" s="25" t="str">
        <f>IFERROR(__xludf.DUMMYFUNCTION("""COMPUTED_VALUE"""),"User")</f>
        <v>User</v>
      </c>
      <c r="CO5" s="25" t="str">
        <f>IFERROR(__xludf.DUMMYFUNCTION("""COMPUTED_VALUE"""),"Venue")</f>
        <v>Venue</v>
      </c>
      <c r="CP5" s="25" t="str">
        <f>IFERROR(__xludf.DUMMYFUNCTION("""COMPUTED_VALUE"""),"Closing Method")</f>
        <v>Closing Method</v>
      </c>
      <c r="CQ5" s="25" t="str">
        <f>IFERROR(__xludf.DUMMYFUNCTION("""COMPUTED_VALUE"""),"Closing Date")</f>
        <v>Closing Date</v>
      </c>
      <c r="CR5" s="25" t="str">
        <f>IFERROR(__xludf.DUMMYFUNCTION("""COMPUTED_VALUE"""),"GroupID")</f>
        <v>GroupID</v>
      </c>
      <c r="CS5" s="25" t="str">
        <f>IFERROR(__xludf.DUMMYFUNCTION("""COMPUTED_VALUE"""),"Client")</f>
        <v>Client</v>
      </c>
      <c r="CT5" s="25" t="str">
        <f>IFERROR(__xludf.DUMMYFUNCTION("""COMPUTED_VALUE"""),"isRowCountCheck")</f>
        <v>isRowCountCheck</v>
      </c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</row>
    <row r="6" ht="15.75" customHeight="1">
      <c r="A6" s="9"/>
      <c r="B6" s="9" t="s">
        <v>667</v>
      </c>
      <c r="C6" s="9"/>
      <c r="D6" s="9"/>
      <c r="E6" s="9"/>
      <c r="F6" s="9"/>
      <c r="G6" s="9"/>
      <c r="H6" s="9"/>
      <c r="I6" s="9"/>
      <c r="J6" s="9"/>
      <c r="K6" s="9">
        <v>4.0</v>
      </c>
      <c r="L6" s="9">
        <v>4.0</v>
      </c>
      <c r="M6" s="9"/>
      <c r="N6" s="9"/>
      <c r="O6" s="9"/>
      <c r="AE6">
        <v>100.0</v>
      </c>
      <c r="BJ6">
        <v>100.0</v>
      </c>
      <c r="BO6" t="s">
        <v>672</v>
      </c>
      <c r="BT6" t="s">
        <v>671</v>
      </c>
    </row>
    <row r="7" ht="15.75" customHeight="1">
      <c r="A7" s="9"/>
      <c r="B7" s="9" t="s">
        <v>669</v>
      </c>
      <c r="C7" s="9"/>
      <c r="D7" s="9"/>
      <c r="E7" s="9"/>
      <c r="F7" s="9"/>
      <c r="G7" s="9"/>
      <c r="H7" s="9"/>
      <c r="I7" s="9"/>
      <c r="J7" s="9"/>
      <c r="K7" s="9">
        <v>4.0</v>
      </c>
      <c r="L7" s="9">
        <v>4.0</v>
      </c>
      <c r="M7" s="9"/>
      <c r="N7" s="9"/>
      <c r="O7" s="9"/>
      <c r="AE7">
        <v>200.0</v>
      </c>
      <c r="BJ7">
        <v>200.0</v>
      </c>
      <c r="BO7" t="s">
        <v>672</v>
      </c>
      <c r="BT7" t="s">
        <v>671</v>
      </c>
    </row>
    <row r="8" ht="15.75" customHeight="1">
      <c r="A8" s="9"/>
      <c r="B8" s="9" t="s">
        <v>670</v>
      </c>
      <c r="C8" s="9"/>
      <c r="D8" s="9"/>
      <c r="E8" s="9"/>
      <c r="F8" s="9"/>
      <c r="G8" s="9"/>
      <c r="H8" s="9"/>
      <c r="I8" s="9"/>
      <c r="J8" s="9"/>
      <c r="K8" s="9">
        <v>4.0</v>
      </c>
      <c r="L8" s="9">
        <v>4.0</v>
      </c>
      <c r="M8" s="9"/>
      <c r="N8" s="9"/>
      <c r="O8" s="9"/>
      <c r="AE8">
        <v>201.0</v>
      </c>
      <c r="BJ8">
        <v>201.0</v>
      </c>
      <c r="BO8" t="s">
        <v>672</v>
      </c>
      <c r="BT8" t="s">
        <v>671</v>
      </c>
    </row>
    <row r="9" ht="15.75" customHeight="1">
      <c r="A9" s="9"/>
      <c r="B9" s="9" t="s">
        <v>676</v>
      </c>
      <c r="C9" s="9"/>
      <c r="D9" s="9"/>
      <c r="E9" s="9"/>
      <c r="F9" s="9"/>
      <c r="G9" s="9"/>
      <c r="H9" s="9"/>
      <c r="I9" s="9"/>
      <c r="J9" s="9"/>
      <c r="K9" s="9">
        <v>4.0</v>
      </c>
      <c r="L9" s="9">
        <v>4.0</v>
      </c>
      <c r="M9" s="9"/>
      <c r="N9" s="9"/>
      <c r="O9" s="9"/>
      <c r="AE9">
        <v>10000.0</v>
      </c>
      <c r="BJ9">
        <v>10000.0</v>
      </c>
      <c r="BO9" t="s">
        <v>672</v>
      </c>
      <c r="BT9" t="s">
        <v>671</v>
      </c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52</v>
      </c>
      <c r="D3" s="4" t="s">
        <v>662</v>
      </c>
      <c r="E3" s="13" t="s">
        <v>55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</row>
    <row r="4" ht="15.75" customHeight="1">
      <c r="A4" s="21"/>
      <c r="B4" s="21" t="str">
        <f>IFERROR(__xludf.DUMMYFUNCTION("IF(C3="""","""",Transpose(IMPORTRANGE('_Settings'!$B$3,C3&amp;""!A4:A1000"")))"),"CheckDashboardPM")</f>
        <v>CheckDashboardPM</v>
      </c>
      <c r="C4" s="21" t="str">
        <f>IFERROR(__xludf.DUMMYFUNCTION("""COMPUTED_VALUE"""),"CheckPortfolioManagement")</f>
        <v>CheckPortfolioManagement</v>
      </c>
      <c r="D4" s="21" t="str">
        <f>IFERROR(__xludf.DUMMYFUNCTION("""COMPUTED_VALUE"""),"OpenPSTFromPM")</f>
        <v>OpenPSTFromPM</v>
      </c>
      <c r="E4" s="21" t="str">
        <f>IFERROR(__xludf.DUMMYFUNCTION("""COMPUTED_VALUE"""),"ClosePM")</f>
        <v>ClosePM</v>
      </c>
      <c r="F4" s="21" t="str">
        <f>IFERROR(__xludf.DUMMYFUNCTION("""COMPUTED_VALUE"""),"FilterPM")</f>
        <v>FilterPM</v>
      </c>
      <c r="G4" s="21" t="str">
        <f>IFERROR(__xludf.DUMMYFUNCTION("""COMPUTED_VALUE"""),"GroupRowPM")</f>
        <v>GroupRowPM</v>
      </c>
      <c r="H4" s="21" t="str">
        <f>IFERROR(__xludf.DUMMYFUNCTION("""COMPUTED_VALUE"""),"CheckDashboardWithPM")</f>
        <v>CheckDashboardWithPM</v>
      </c>
      <c r="I4" s="21" t="str">
        <f>IFERROR(__xludf.DUMMYFUNCTION("""COMPUTED_VALUE"""),"RemoveFilterPM")</f>
        <v>RemoveFilterPM</v>
      </c>
      <c r="J4" s="21" t="str">
        <f>IFERROR(__xludf.DUMMYFUNCTION("""COMPUTED_VALUE"""),"CheckSummaryRowsPM")</f>
        <v>CheckSummaryRowsPM</v>
      </c>
      <c r="K4" s="21" t="str">
        <f>IFERROR(__xludf.DUMMYFUNCTION("""COMPUTED_VALUE"""),"OpenPTTFromPM")</f>
        <v>OpenPTTFromPM</v>
      </c>
      <c r="L4" s="21" t="str">
        <f>IFERROR(__xludf.DUMMYFUNCTION("""COMPUTED_VALUE"""),"OpenClosingFromPM")</f>
        <v>OpenClosingFromPM</v>
      </c>
      <c r="M4" s="21" t="str">
        <f>IFERROR(__xludf.DUMMYFUNCTION("""COMPUTED_VALUE"""),"OpenCorporateActionFromPM")</f>
        <v>OpenCorporateActionFromPM</v>
      </c>
      <c r="N4" s="21" t="str">
        <f>IFERROR(__xludf.DUMMYFUNCTION("""COMPUTED_VALUE"""),"OpenDailyValuationFromPM")</f>
        <v>OpenDailyValuationFromPM</v>
      </c>
      <c r="O4" s="21" t="str">
        <f>IFERROR(__xludf.DUMMYFUNCTION("""COMPUTED_VALUE"""),"ClosePositionFromPM")</f>
        <v>ClosePositionFromPM</v>
      </c>
      <c r="P4" s="22" t="str">
        <f>IFERROR(__xludf.DUMMYFUNCTION("""COMPUTED_VALUE"""),"ShowSummaryToolFromPM")</f>
        <v>ShowSummaryToolFromPM</v>
      </c>
      <c r="Q4" s="22" t="str">
        <f>IFERROR(__xludf.DUMMYFUNCTION("""COMPUTED_VALUE"""),"HideSummaryToolFromPM")</f>
        <v>HideSummaryToolFromPM</v>
      </c>
      <c r="R4" s="22" t="str">
        <f>IFERROR(__xludf.DUMMYFUNCTION("""COMPUTED_VALUE"""),"CloseAccountPositionFromPM")</f>
        <v>CloseAccountPositionFromPM</v>
      </c>
      <c r="S4" s="22" t="str">
        <f>IFERROR(__xludf.DUMMYFUNCTION("""COMPUTED_VALUE"""),"CloseSelectedTaxlotsFromPM")</f>
        <v>CloseSelectedTaxlotsFromPM</v>
      </c>
      <c r="T4" s="22" t="str">
        <f>IFERROR(__xludf.DUMMYFUNCTION("""COMPUTED_VALUE"""),"ExpandCollapsePM")</f>
        <v>ExpandCollapsePM</v>
      </c>
      <c r="U4" s="22" t="str">
        <f>IFERROR(__xludf.DUMMYFUNCTION("""COMPUTED_VALUE"""),"AddCustomViewPM")</f>
        <v>AddCustomViewPM</v>
      </c>
      <c r="V4" s="22" t="str">
        <f>IFERROR(__xludf.DUMMYFUNCTION("""COMPUTED_VALUE"""),"AddCustomViewRightClickPM")</f>
        <v>AddCustomViewRightClickPM</v>
      </c>
      <c r="W4" s="22" t="str">
        <f>IFERROR(__xludf.DUMMYFUNCTION("""COMPUTED_VALUE"""),"RenameCustomViewPM")</f>
        <v>RenameCustomViewPM</v>
      </c>
      <c r="X4" s="22" t="str">
        <f>IFERROR(__xludf.DUMMYFUNCTION("""COMPUTED_VALUE"""),"DeleteCustomViewPM")</f>
        <v>DeleteCustomViewPM</v>
      </c>
      <c r="Y4" s="22" t="str">
        <f>IFERROR(__xludf.DUMMYFUNCTION("""COMPUTED_VALUE"""),"OpenCreateTransactionFromPM")</f>
        <v>OpenCreateTransactionFromPM</v>
      </c>
      <c r="Z4" s="22" t="str">
        <f>IFERROR(__xludf.DUMMYFUNCTION("""COMPUTED_VALUE"""),"RemoveGroupingFromPM")</f>
        <v>RemoveGroupingFromPM</v>
      </c>
      <c r="AA4" s="22" t="str">
        <f>IFERROR(__xludf.DUMMYFUNCTION("""COMPUTED_VALUE"""),"IncreasePositionFromPM")</f>
        <v>IncreasePositionFromPM</v>
      </c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IFERROR(__xludf.DUMMYFUNCTION("""COMPUTED_VALUE"""),"Trade Date")</f>
        <v>Trade Date</v>
      </c>
      <c r="C5" s="24" t="str">
        <f>IFERROR(__xludf.DUMMYFUNCTION("""COMPUTED_VALUE"""),"Symbol")</f>
        <v>Symbol</v>
      </c>
      <c r="D5" s="24" t="str">
        <f>IFERROR(__xludf.DUMMYFUNCTION("""COMPUTED_VALUE"""),"Position")</f>
        <v>Position</v>
      </c>
      <c r="E5" s="24" t="str">
        <f>IFERROR(__xludf.DUMMYFUNCTION("""COMPUTED_VALUE"""),"Account")</f>
        <v>Account</v>
      </c>
      <c r="F5" s="24" t="str">
        <f>IFERROR(__xludf.DUMMYFUNCTION("""COMPUTED_VALUE"""),"MasterFund")</f>
        <v>MasterFund</v>
      </c>
      <c r="G5" s="24" t="str">
        <f>IFERROR(__xludf.DUMMYFUNCTION("""COMPUTED_VALUE"""),"Cost Basis")</f>
        <v>Cost Basis</v>
      </c>
      <c r="H5" s="24" t="str">
        <f>IFERROR(__xludf.DUMMYFUNCTION("""COMPUTED_VALUE"""),"Position Side")</f>
        <v>Position Side</v>
      </c>
      <c r="I5" s="24" t="str">
        <f>IFERROR(__xludf.DUMMYFUNCTION("""COMPUTED_VALUE"""),"Market Value (Base)")</f>
        <v>Market Value (Base)</v>
      </c>
      <c r="J5" s="24" t="str">
        <f>IFERROR(__xludf.DUMMYFUNCTION("""COMPUTED_VALUE"""),"% Day P&amp;L (Gross MV)")</f>
        <v>% Day P&amp;L (Gross MV)</v>
      </c>
      <c r="K5" s="24" t="str">
        <f>IFERROR(__xludf.DUMMYFUNCTION("""COMPUTED_VALUE"""),"Net Exposure (Base)")</f>
        <v>Net Exposure (Base)</v>
      </c>
      <c r="L5" s="24" t="str">
        <f>IFERROR(__xludf.DUMMYFUNCTION("""COMPUTED_VALUE"""),"Beta Adj. Gross Exposure (Base)")</f>
        <v>Beta Adj. Gross Exposure (Base)</v>
      </c>
      <c r="M5" s="24" t="str">
        <f>IFERROR(__xludf.DUMMYFUNCTION("""COMPUTED_VALUE"""),"Beta Adj. Gross Exposure (Underlying) (Base)")</f>
        <v>Beta Adj. Gross Exposure (Underlying) (Base)</v>
      </c>
      <c r="N5" s="24" t="str">
        <f>IFERROR(__xludf.DUMMYFUNCTION("""COMPUTED_VALUE"""),"Day P&amp;L (Base)")</f>
        <v>Day P&amp;L (Base)</v>
      </c>
      <c r="O5" s="24" t="str">
        <f>IFERROR(__xludf.DUMMYFUNCTION("""COMPUTED_VALUE"""),"Security Name")</f>
        <v>Security Name</v>
      </c>
      <c r="P5" s="24" t="str">
        <f>IFERROR(__xludf.DUMMYFUNCTION("""COMPUTED_VALUE"""),"Closing Mark")</f>
        <v>Closing Mark</v>
      </c>
      <c r="Q5" s="24" t="str">
        <f>IFERROR(__xludf.DUMMYFUNCTION("""COMPUTED_VALUE"""),"Cost Basis P&amp;L (Base)")</f>
        <v>Cost Basis P&amp;L (Base)</v>
      </c>
      <c r="R5" s="24" t="str">
        <f>IFERROR(__xludf.DUMMYFUNCTION("""COMPUTED_VALUE"""),"Prime Broker")</f>
        <v>Prime Broker</v>
      </c>
      <c r="S5" s="24" t="str">
        <f>IFERROR(__xludf.DUMMYFUNCTION("""COMPUTED_VALUE"""),"Strategy")</f>
        <v>Strategy</v>
      </c>
      <c r="T5" s="25" t="str">
        <f>IFERROR(__xludf.DUMMYFUNCTION("""COMPUTED_VALUE"""),"Asset Class")</f>
        <v>Asset Class</v>
      </c>
      <c r="U5" s="25" t="str">
        <f>IFERROR(__xludf.DUMMYFUNCTION("""COMPUTED_VALUE"""),"Underlying")</f>
        <v>Underlying</v>
      </c>
      <c r="V5" s="25" t="str">
        <f>IFERROR(__xludf.DUMMYFUNCTION("""COMPUTED_VALUE"""),"Exchange")</f>
        <v>Exchange</v>
      </c>
      <c r="W5" s="25" t="str">
        <f>IFERROR(__xludf.DUMMYFUNCTION("""COMPUTED_VALUE"""),"Trade Currency")</f>
        <v>Trade Currency</v>
      </c>
      <c r="X5" s="25" t="str">
        <f>IFERROR(__xludf.DUMMYFUNCTION("""COMPUTED_VALUE"""),"Multiplier")</f>
        <v>Multiplier</v>
      </c>
      <c r="Y5" s="25" t="str">
        <f>IFERROR(__xludf.DUMMYFUNCTION("""COMPUTED_VALUE"""),"FX Rate")</f>
        <v>FX Rate</v>
      </c>
      <c r="Z5" s="25" t="str">
        <f>IFERROR(__xludf.DUMMYFUNCTION("""COMPUTED_VALUE"""),"Vs Currency")</f>
        <v>Vs Currency</v>
      </c>
      <c r="AA5" s="25" t="str">
        <f>IFERROR(__xludf.DUMMYFUNCTION("""COMPUTED_VALUE"""),"Lead Currency")</f>
        <v>Lead Currency</v>
      </c>
      <c r="AB5" s="25" t="str">
        <f>IFERROR(__xludf.DUMMYFUNCTION("""COMPUTED_VALUE"""),"Dividend Yield (%)")</f>
        <v>Dividend Yield (%)</v>
      </c>
      <c r="AC5" s="25" t="str">
        <f>IFERROR(__xludf.DUMMYFUNCTION("""COMPUTED_VALUE"""),"% Change")</f>
        <v>% Change</v>
      </c>
      <c r="AD5" s="25" t="str">
        <f>IFERROR(__xludf.DUMMYFUNCTION("""COMPUTED_VALUE"""),"Net Exposure (Local)")</f>
        <v>Net Exposure (Local)</v>
      </c>
      <c r="AE5" s="25" t="str">
        <f>IFERROR(__xludf.DUMMYFUNCTION("""COMPUTED_VALUE"""),"Exposure (Local)")</f>
        <v>Exposure (Local)</v>
      </c>
      <c r="AF5" s="25" t="str">
        <f>IFERROR(__xludf.DUMMYFUNCTION("""COMPUTED_VALUE"""),"Delta Adj. Position")</f>
        <v>Delta Adj. Position</v>
      </c>
      <c r="AG5" s="25" t="str">
        <f>IFERROR(__xludf.DUMMYFUNCTION("""COMPUTED_VALUE"""),"Exposure (Base)")</f>
        <v>Exposure (Base)</v>
      </c>
      <c r="AH5" s="25" t="str">
        <f>IFERROR(__xludf.DUMMYFUNCTION("""COMPUTED_VALUE"""),"Beta Adj. Exposure (Local)")</f>
        <v>Beta Adj. Exposure (Local)</v>
      </c>
      <c r="AI5" s="25" t="str">
        <f>IFERROR(__xludf.DUMMYFUNCTION("""COMPUTED_VALUE"""),"Beta Adj. Exposure (Base)")</f>
        <v>Beta Adj. Exposure (Base)</v>
      </c>
      <c r="AJ5" s="25" t="str">
        <f>IFERROR(__xludf.DUMMYFUNCTION("""COMPUTED_VALUE"""),"Exposure (BP)(Base)")</f>
        <v>Exposure (BP)(Base)</v>
      </c>
      <c r="AK5" s="25" t="str">
        <f>IFERROR(__xludf.DUMMYFUNCTION("""COMPUTED_VALUE"""),"Day P&amp;L (Local)")</f>
        <v>Day P&amp;L (Local)</v>
      </c>
      <c r="AL5" s="25" t="str">
        <f>IFERROR(__xludf.DUMMYFUNCTION("""COMPUTED_VALUE"""),"Delta")</f>
        <v>Delta</v>
      </c>
      <c r="AM5" s="25" t="str">
        <f>IFERROR(__xludf.DUMMYFUNCTION("""COMPUTED_VALUE"""),"Leveraged Factor")</f>
        <v>Leveraged Factor</v>
      </c>
      <c r="AN5" s="25" t="str">
        <f>IFERROR(__xludf.DUMMYFUNCTION("""COMPUTED_VALUE"""),"Order Side")</f>
        <v>Order Side</v>
      </c>
      <c r="AO5" s="25" t="str">
        <f>IFERROR(__xludf.DUMMYFUNCTION("""COMPUTED_VALUE"""),"Master Strategy")</f>
        <v>Master Strategy</v>
      </c>
      <c r="AP5" s="25" t="str">
        <f>IFERROR(__xludf.DUMMYFUNCTION("""COMPUTED_VALUE"""),"Transaction Side")</f>
        <v>Transaction Side</v>
      </c>
      <c r="AQ5" s="25" t="str">
        <f>IFERROR(__xludf.DUMMYFUNCTION("""COMPUTED_VALUE"""),"Underlying Symbol")</f>
        <v>Underlying Symbol</v>
      </c>
      <c r="AR5" s="25" t="str">
        <f>IFERROR(__xludf.DUMMYFUNCTION("""COMPUTED_VALUE"""),"Underlying Price")</f>
        <v>Underlying Price</v>
      </c>
      <c r="AS5" s="25" t="str">
        <f>IFERROR(__xludf.DUMMYFUNCTION("""COMPUTED_VALUE"""),"Side Multiplier")</f>
        <v>Side Multiplier</v>
      </c>
      <c r="AT5" s="25" t="str">
        <f>IFERROR(__xludf.DUMMYFUNCTION("""COMPUTED_VALUE"""),"Description")</f>
        <v>Description</v>
      </c>
      <c r="AU5" s="25" t="str">
        <f>IFERROR(__xludf.DUMMYFUNCTION("""COMPUTED_VALUE"""),"Internal Comments")</f>
        <v>Internal Comments</v>
      </c>
      <c r="AV5" s="25" t="str">
        <f>IFERROR(__xludf.DUMMYFUNCTION("""COMPUTED_VALUE"""),"FX Rate On Trade Date")</f>
        <v>FX Rate On Trade Date</v>
      </c>
      <c r="AW5" s="25" t="str">
        <f>IFERROR(__xludf.DUMMYFUNCTION("""COMPUTED_VALUE"""),"Cost Basis P&amp;L (Local)")</f>
        <v>Cost Basis P&amp;L (Local)</v>
      </c>
      <c r="AX5" s="25" t="str">
        <f>IFERROR(__xludf.DUMMYFUNCTION("""COMPUTED_VALUE"""),"Day Interest")</f>
        <v>Day Interest</v>
      </c>
      <c r="AY5" s="25" t="str">
        <f>IFERROR(__xludf.DUMMYFUNCTION("""COMPUTED_VALUE"""),"Total Interest")</f>
        <v>Total Interest</v>
      </c>
      <c r="AZ5" s="25" t="str">
        <f>IFERROR(__xludf.DUMMYFUNCTION("""COMPUTED_VALUE"""),"Market Value (Local)")</f>
        <v>Market Value (Local)</v>
      </c>
      <c r="BA5" s="25" t="str">
        <f>IFERROR(__xludf.DUMMYFUNCTION("""COMPUTED_VALUE"""),"% Gain/Loss Day")</f>
        <v>% Gain/Loss Day</v>
      </c>
      <c r="BB5" s="25" t="str">
        <f>IFERROR(__xludf.DUMMYFUNCTION("""COMPUTED_VALUE"""),"Update Time (Last Price)")</f>
        <v>Update Time (Last Price)</v>
      </c>
      <c r="BC5" s="25" t="str">
        <f>IFERROR(__xludf.DUMMYFUNCTION("""COMPUTED_VALUE"""),"Beta")</f>
        <v>Beta</v>
      </c>
      <c r="BD5" s="25" t="str">
        <f>IFERROR(__xludf.DUMMYFUNCTION("""COMPUTED_VALUE"""),"Cash Impact (Local)")</f>
        <v>Cash Impact (Local)</v>
      </c>
      <c r="BE5" s="25" t="str">
        <f>IFERROR(__xludf.DUMMYFUNCTION("""COMPUTED_VALUE"""),"User Asset")</f>
        <v>User Asset</v>
      </c>
      <c r="BF5" s="25" t="str">
        <f>IFERROR(__xludf.DUMMYFUNCTION("""COMPUTED_VALUE"""),"Security Type")</f>
        <v>Security Type</v>
      </c>
      <c r="BG5" s="25" t="str">
        <f>IFERROR(__xludf.DUMMYFUNCTION("""COMPUTED_VALUE"""),"Sector")</f>
        <v>Sector</v>
      </c>
      <c r="BH5" s="25" t="str">
        <f>IFERROR(__xludf.DUMMYFUNCTION("""COMPUTED_VALUE"""),"Sub Sector")</f>
        <v>Sub Sector</v>
      </c>
      <c r="BI5" s="25" t="str">
        <f>IFERROR(__xludf.DUMMYFUNCTION("""COMPUTED_VALUE"""),"Country")</f>
        <v>Country</v>
      </c>
      <c r="BJ5" s="25" t="str">
        <f>IFERROR(__xludf.DUMMYFUNCTION("""COMPUTED_VALUE"""),"Market Cap")</f>
        <v>Market Cap</v>
      </c>
      <c r="BK5" s="25" t="str">
        <f>IFERROR(__xludf.DUMMYFUNCTION("""COMPUTED_VALUE"""),"Shares Outstanding (MM)")</f>
        <v>Shares Outstanding (MM)</v>
      </c>
      <c r="BL5" s="25" t="str">
        <f>IFERROR(__xludf.DUMMYFUNCTION("""COMPUTED_VALUE"""),"Avg Volume 20 Day")</f>
        <v>Avg Volume 20 Day</v>
      </c>
      <c r="BM5" s="25" t="str">
        <f>IFERROR(__xludf.DUMMYFUNCTION("""COMPUTED_VALUE"""),"% Avg Volume (Delta Adj.)")</f>
        <v>% Avg Volume (Delta Adj.)</v>
      </c>
      <c r="BN5" s="25" t="str">
        <f>IFERROR(__xludf.DUMMYFUNCTION("""COMPUTED_VALUE"""),"Ex Dividend Date")</f>
        <v>Ex Dividend Date</v>
      </c>
      <c r="BO5" s="25" t="str">
        <f>IFERROR(__xludf.DUMMYFUNCTION("""COMPUTED_VALUE"""),"Cash Impact (Base)")</f>
        <v>Cash Impact (Base)</v>
      </c>
      <c r="BP5" s="25" t="str">
        <f>IFERROR(__xludf.DUMMYFUNCTION("""COMPUTED_VALUE"""),"Volatility (%)")</f>
        <v>Volatility (%)</v>
      </c>
      <c r="BQ5" s="25" t="str">
        <f>IFERROR(__xludf.DUMMYFUNCTION("""COMPUTED_VALUE"""),"User")</f>
        <v>User</v>
      </c>
      <c r="BR5" s="25" t="str">
        <f>IFERROR(__xludf.DUMMYFUNCTION("""COMPUTED_VALUE"""),"Broker")</f>
        <v>Broker</v>
      </c>
      <c r="BS5" s="25" t="str">
        <f>IFERROR(__xludf.DUMMYFUNCTION("""COMPUTED_VALUE"""),"Earned Dividend (Local)")</f>
        <v>Earned Dividend (Local)</v>
      </c>
      <c r="BT5" s="25" t="str">
        <f>IFERROR(__xludf.DUMMYFUNCTION("""COMPUTED_VALUE"""),"Earned Dividend (Base)")</f>
        <v>Earned Dividend (Base)</v>
      </c>
      <c r="BU5" s="25" t="str">
        <f>IFERROR(__xludf.DUMMYFUNCTION("""COMPUTED_VALUE"""),"Put/Call")</f>
        <v>Put/Call</v>
      </c>
      <c r="BV5" s="25" t="str">
        <f>IFERROR(__xludf.DUMMYFUNCTION("""COMPUTED_VALUE"""),"Expiration Date")</f>
        <v>Expiration Date</v>
      </c>
      <c r="BW5" s="25" t="str">
        <f>IFERROR(__xludf.DUMMYFUNCTION("""COMPUTED_VALUE"""),"Strike Price")</f>
        <v>Strike Price</v>
      </c>
      <c r="BX5" s="25" t="str">
        <f>IFERROR(__xludf.DUMMYFUNCTION("""COMPUTED_VALUE"""),"Gross Exposure (Base)")</f>
        <v>Gross Exposure (Base)</v>
      </c>
      <c r="BY5" s="25" t="str">
        <f>IFERROR(__xludf.DUMMYFUNCTION("""COMPUTED_VALUE"""),"Gross Market Value (Base)")</f>
        <v>Gross Market Value (Base)</v>
      </c>
      <c r="BZ5" s="25" t="str">
        <f>IFERROR(__xludf.DUMMYFUNCTION("""COMPUTED_VALUE"""),"Px Selected Feed (Local)")</f>
        <v>Px Selected Feed (Local)</v>
      </c>
      <c r="CA5" s="25" t="str">
        <f>IFERROR(__xludf.DUMMYFUNCTION("""COMPUTED_VALUE"""),"Px Selected Feed (Base)")</f>
        <v>Px Selected Feed (Base)</v>
      </c>
      <c r="CB5" s="25" t="str">
        <f>IFERROR(__xludf.DUMMYFUNCTION("""COMPUTED_VALUE"""),"Settlement Date")</f>
        <v>Settlement Date</v>
      </c>
      <c r="CC5" s="25" t="str">
        <f>IFERROR(__xludf.DUMMYFUNCTION("""COMPUTED_VALUE"""),"% Avg Volume")</f>
        <v>% Avg Volume</v>
      </c>
      <c r="CD5" s="25" t="str">
        <f>IFERROR(__xludf.DUMMYFUNCTION("""COMPUTED_VALUE"""),"Day P&amp;L (Base)(Price Gain)")</f>
        <v>Day P&amp;L (Base)(Price Gain)</v>
      </c>
      <c r="CE5" s="25" t="str">
        <f>IFERROR(__xludf.DUMMYFUNCTION("""COMPUTED_VALUE"""),"Day P&amp;L (Base)(FX Gain)")</f>
        <v>Day P&amp;L (Base)(FX Gain)</v>
      </c>
      <c r="CF5" s="25" t="str">
        <f>IFERROR(__xludf.DUMMYFUNCTION("""COMPUTED_VALUE"""),"Cost Basis P&amp;L (Base)(FX Gain)")</f>
        <v>Cost Basis P&amp;L (Base)(FX Gain)</v>
      </c>
      <c r="CG5" s="25" t="str">
        <f>IFERROR(__xludf.DUMMYFUNCTION("""COMPUTED_VALUE"""),"Cost Basis P&amp;L (Base)(Price Gain)")</f>
        <v>Cost Basis P&amp;L (Base)(Price Gain)</v>
      </c>
      <c r="CH5" s="25" t="str">
        <f>IFERROR(__xludf.DUMMYFUNCTION("""COMPUTED_VALUE"""),"% Gain/Loss Cost")</f>
        <v>% Gain/Loss Cost</v>
      </c>
      <c r="CI5" s="25" t="str">
        <f>IFERROR(__xludf.DUMMYFUNCTION("""COMPUTED_VALUE"""),"Underlying Value (Options)")</f>
        <v>Underlying Value (Options)</v>
      </c>
      <c r="CJ5" s="25" t="str">
        <f>IFERROR(__xludf.DUMMYFUNCTION("""COMPUTED_VALUE"""),"Avg Volume 20 Day (Underlying Symbol)")</f>
        <v>Avg Volume 20 Day (Underlying Symbol)</v>
      </c>
      <c r="CK5" s="25" t="str">
        <f>IFERROR(__xludf.DUMMYFUNCTION("""COMPUTED_VALUE"""),"IsStaleData")</f>
        <v>IsStaleData</v>
      </c>
      <c r="CL5" s="25" t="str">
        <f>IFERROR(__xludf.DUMMYFUNCTION("""COMPUTED_VALUE"""),"IDCO")</f>
        <v>IDCO</v>
      </c>
      <c r="CM5" s="25" t="str">
        <f>IFERROR(__xludf.DUMMYFUNCTION("""COMPUTED_VALUE"""),"OSI")</f>
        <v>OSI</v>
      </c>
      <c r="CN5" s="25" t="str">
        <f>IFERROR(__xludf.DUMMYFUNCTION("""COMPUTED_VALUE"""),"SEDOL")</f>
        <v>SEDOL</v>
      </c>
      <c r="CO5" s="25" t="str">
        <f>IFERROR(__xludf.DUMMYFUNCTION("""COMPUTED_VALUE"""),"CUSIP")</f>
        <v>CUSIP</v>
      </c>
      <c r="CP5" s="25" t="str">
        <f>IFERROR(__xludf.DUMMYFUNCTION("""COMPUTED_VALUE"""),"Bloomberg")</f>
        <v>Bloomberg</v>
      </c>
      <c r="CQ5" s="25" t="str">
        <f>IFERROR(__xludf.DUMMYFUNCTION("""COMPUTED_VALUE"""),"ISIN")</f>
        <v>ISIN</v>
      </c>
      <c r="CR5" s="25" t="str">
        <f>IFERROR(__xludf.DUMMYFUNCTION("""COMPUTED_VALUE"""),"Start Trade Date")</f>
        <v>Start Trade Date</v>
      </c>
      <c r="CS5" s="25" t="str">
        <f>IFERROR(__xludf.DUMMYFUNCTION("""COMPUTED_VALUE"""),"Cost Basis (Break Even)")</f>
        <v>Cost Basis (Break Even)</v>
      </c>
      <c r="CT5" s="25" t="str">
        <f>IFERROR(__xludf.DUMMYFUNCTION("""COMPUTED_VALUE"""),"Trade Attribute 3")</f>
        <v>Trade Attribute 3</v>
      </c>
      <c r="CU5" s="25" t="str">
        <f>IFERROR(__xludf.DUMMYFUNCTION("""COMPUTED_VALUE"""),"Trade Attribute 4")</f>
        <v>Trade Attribute 4</v>
      </c>
      <c r="CV5" s="25" t="str">
        <f>IFERROR(__xludf.DUMMYFUNCTION("""COMPUTED_VALUE"""),"Trade Attribute 5")</f>
        <v>Trade Attribute 5</v>
      </c>
      <c r="CW5" s="25" t="str">
        <f>IFERROR(__xludf.DUMMYFUNCTION("""COMPUTED_VALUE"""),"Trade Attribute 6")</f>
        <v>Trade Attribute 6</v>
      </c>
      <c r="CX5" s="25" t="str">
        <f>IFERROR(__xludf.DUMMYFUNCTION("""COMPUTED_VALUE"""),"Proxy Symbol")</f>
        <v>Proxy Symbol</v>
      </c>
      <c r="CY5" s="25" t="str">
        <f>IFERROR(__xludf.DUMMYFUNCTION("""COMPUTED_VALUE"""),"Pricing Source")</f>
        <v>Pricing Source</v>
      </c>
      <c r="CZ5" s="25" t="str">
        <f>IFERROR(__xludf.DUMMYFUNCTION("""COMPUTED_VALUE"""),"Delta Source")</f>
        <v>Delta Source</v>
      </c>
      <c r="DA5" s="25" t="str">
        <f>IFERROR(__xludf.DUMMYFUNCTION("""COMPUTED_VALUE"""),"Gross Exposure (Local)")</f>
        <v>Gross Exposure (Local)</v>
      </c>
      <c r="DB5" s="25" t="str">
        <f>IFERROR(__xludf.DUMMYFUNCTION("""COMPUTED_VALUE"""),"% Day P&amp;L (Net MV)")</f>
        <v>% Day P&amp;L (Net MV)</v>
      </c>
      <c r="DC5" s="25" t="str">
        <f>IFERROR(__xludf.DUMMYFUNCTION("""COMPUTED_VALUE"""),"Expiration Month")</f>
        <v>Expiration Month</v>
      </c>
      <c r="DD5" s="25" t="str">
        <f>IFERROR(__xludf.DUMMYFUNCTION("""COMPUTED_VALUE"""),"Delta Adj. Position (LME)")</f>
        <v>Delta Adj. Position (LME)</v>
      </c>
      <c r="DE5" s="25" t="str">
        <f>IFERROR(__xludf.DUMMYFUNCTION("""COMPUTED_VALUE"""),"Premium")</f>
        <v>Premium</v>
      </c>
      <c r="DF5" s="25" t="str">
        <f>IFERROR(__xludf.DUMMYFUNCTION("""COMPUTED_VALUE"""),"Premium $")</f>
        <v>Premium $</v>
      </c>
      <c r="DG5" s="25" t="str">
        <f>IFERROR(__xludf.DUMMYFUNCTION("""COMPUTED_VALUE"""),"Forward Points")</f>
        <v>Forward Points</v>
      </c>
      <c r="DH5" s="25" t="str">
        <f>IFERROR(__xludf.DUMMYFUNCTION("""COMPUTED_VALUE"""),"Closing Mark (Underlying)")</f>
        <v>Closing Mark (Underlying)</v>
      </c>
      <c r="DI5" s="25" t="str">
        <f>IFERROR(__xludf.DUMMYFUNCTION("""COMPUTED_VALUE"""),"% Change (Underlying Price)")</f>
        <v>% Change (Underlying Price)</v>
      </c>
      <c r="DJ5" s="25" t="str">
        <f>IFERROR(__xludf.DUMMYFUNCTION("""COMPUTED_VALUE"""),"Transaction Type")</f>
        <v>Transaction Type</v>
      </c>
      <c r="DK5" s="25" t="str">
        <f>IFERROR(__xludf.DUMMYFUNCTION("""COMPUTED_VALUE"""),"Closing Market Value (Local)")</f>
        <v>Closing Market Value (Local)</v>
      </c>
      <c r="DL5" s="25" t="str">
        <f>IFERROR(__xludf.DUMMYFUNCTION("""COMPUTED_VALUE"""),"Closing Market Value (Base)")</f>
        <v>Closing Market Value (Base)</v>
      </c>
      <c r="DM5" s="25" t="str">
        <f>IFERROR(__xludf.DUMMYFUNCTION("""COMPUTED_VALUE"""),"Closing FX Rate")</f>
        <v>Closing FX Rate</v>
      </c>
      <c r="DN5" s="25" t="str">
        <f>IFERROR(__xludf.DUMMYFUNCTION("""COMPUTED_VALUE"""),"Change In Underlying Price")</f>
        <v>Change In Underlying Price</v>
      </c>
      <c r="DO5" s="25" t="str">
        <f>IFERROR(__xludf.DUMMYFUNCTION("""COMPUTED_VALUE"""),"RIC")</f>
        <v>RIC</v>
      </c>
      <c r="DP5" s="25" t="str">
        <f>IFERROR(__xludf.DUMMYFUNCTION("""COMPUTED_VALUE"""),"Position Side Exposure (Boxed)")</f>
        <v>Position Side Exposure (Boxed)</v>
      </c>
      <c r="DQ5" s="25" t="str">
        <f>IFERROR(__xludf.DUMMYFUNCTION("""COMPUTED_VALUE"""),"Analyst")</f>
        <v>Analyst</v>
      </c>
      <c r="DR5" s="25" t="str">
        <f>IFERROR(__xludf.DUMMYFUNCTION("""COMPUTED_VALUE"""),"Country Of Risk")</f>
        <v>Country Of Risk</v>
      </c>
      <c r="DS5" s="25" t="str">
        <f>IFERROR(__xludf.DUMMYFUNCTION("""COMPUTED_VALUE"""),"Custom UDA1")</f>
        <v>Custom UDA1</v>
      </c>
      <c r="DT5" s="25" t="str">
        <f>IFERROR(__xludf.DUMMYFUNCTION("""COMPUTED_VALUE"""),"Custom UDA2")</f>
        <v>Custom UDA2</v>
      </c>
      <c r="DU5" s="25" t="str">
        <f>IFERROR(__xludf.DUMMYFUNCTION("""COMPUTED_VALUE"""),"Custom UDA3")</f>
        <v>Custom UDA3</v>
      </c>
      <c r="DV5" s="25" t="str">
        <f>IFERROR(__xludf.DUMMYFUNCTION("""COMPUTED_VALUE"""),"Custom UDA4")</f>
        <v>Custom UDA4</v>
      </c>
      <c r="DW5" s="25" t="str">
        <f>IFERROR(__xludf.DUMMYFUNCTION("""COMPUTED_VALUE"""),"Custom UDA5")</f>
        <v>Custom UDA5</v>
      </c>
      <c r="DX5" s="25" t="str">
        <f>IFERROR(__xludf.DUMMYFUNCTION("""COMPUTED_VALUE"""),"Custom UDA6")</f>
        <v>Custom UDA6</v>
      </c>
      <c r="DY5" s="25" t="str">
        <f>IFERROR(__xludf.DUMMYFUNCTION("""COMPUTED_VALUE"""),"Custom UDA7")</f>
        <v>Custom UDA7</v>
      </c>
      <c r="DZ5" s="25" t="str">
        <f>IFERROR(__xludf.DUMMYFUNCTION("""COMPUTED_VALUE"""),"Issuer")</f>
        <v>Issuer</v>
      </c>
      <c r="EA5" s="25" t="str">
        <f>IFERROR(__xludf.DUMMYFUNCTION("""COMPUTED_VALUE"""),"Liquid Tag")</f>
        <v>Liquid Tag</v>
      </c>
      <c r="EB5" s="25" t="str">
        <f>IFERROR(__xludf.DUMMYFUNCTION("""COMPUTED_VALUE"""),"Market Cap UDA")</f>
        <v>Market Cap UDA</v>
      </c>
      <c r="EC5" s="25" t="str">
        <f>IFERROR(__xludf.DUMMYFUNCTION("""COMPUTED_VALUE"""),"Region")</f>
        <v>Region</v>
      </c>
      <c r="ED5" s="25" t="str">
        <f>IFERROR(__xludf.DUMMYFUNCTION("""COMPUTED_VALUE"""),"Risk Currency")</f>
        <v>Risk Currency</v>
      </c>
      <c r="EE5" s="25" t="str">
        <f>IFERROR(__xludf.DUMMYFUNCTION("""COMPUTED_VALUE"""),"UCITS Eligible Tag")</f>
        <v>UCITS Eligible Tag</v>
      </c>
      <c r="EF5" s="25" t="str">
        <f>IFERROR(__xludf.DUMMYFUNCTION("""COMPUTED_VALUE"""),"FX Rate (Display)")</f>
        <v>FX Rate (Display)</v>
      </c>
      <c r="EG5" s="25" t="str">
        <f>IFERROR(__xludf.DUMMYFUNCTION("""COMPUTED_VALUE"""),"% Net Exposure (Base)")</f>
        <v>% Net Exposure (Base)</v>
      </c>
      <c r="EH5" s="25" t="str">
        <f>IFERROR(__xludf.DUMMYFUNCTION("""COMPUTED_VALUE"""),"% Gross Exposure (Base)")</f>
        <v>% Gross Exposure (Base)</v>
      </c>
      <c r="EI5" s="25" t="str">
        <f>IFERROR(__xludf.DUMMYFUNCTION("""COMPUTED_VALUE"""),"% Exposure (Base)")</f>
        <v>% Exposure (Base)</v>
      </c>
      <c r="EJ5" s="25" t="str">
        <f>IFERROR(__xludf.DUMMYFUNCTION("""COMPUTED_VALUE"""),"% Gross Exposure (Underlying) (Base)")</f>
        <v>% Gross Exposure (Underlying) (Base)</v>
      </c>
      <c r="EK5" s="25" t="str">
        <f>IFERROR(__xludf.DUMMYFUNCTION("""COMPUTED_VALUE"""),"% Beta Adj. Gross Exposure (Base)")</f>
        <v>% Beta Adj. Gross Exposure (Base)</v>
      </c>
      <c r="EL5" s="25" t="str">
        <f>IFERROR(__xludf.DUMMYFUNCTION("""COMPUTED_VALUE"""),"Position Side Exposure (Underlying)")</f>
        <v>Position Side Exposure (Underlying)</v>
      </c>
      <c r="EM5" s="25" t="str">
        <f>IFERROR(__xludf.DUMMYFUNCTION("""COMPUTED_VALUE"""),"Gross Exposure (Underlying) (Base)")</f>
        <v>Gross Exposure (Underlying) (Base)</v>
      </c>
      <c r="EN5" s="25" t="str">
        <f>IFERROR(__xludf.DUMMYFUNCTION("""COMPUTED_VALUE"""),"Gross Exposure (Underlying)")</f>
        <v>Gross Exposure (Underlying)</v>
      </c>
      <c r="EO5" s="25" t="str">
        <f>IFERROR(__xludf.DUMMYFUNCTION("""COMPUTED_VALUE"""),"Day Return")</f>
        <v>Day Return</v>
      </c>
      <c r="EP5" s="25" t="str">
        <f>IFERROR(__xludf.DUMMYFUNCTION("""COMPUTED_VALUE"""),"Start of Day NAV")</f>
        <v>Start of Day NAV</v>
      </c>
      <c r="EQ5" s="25" t="str">
        <f>IFERROR(__xludf.DUMMYFUNCTION("""COMPUTED_VALUE"""),"% Gross Market Value (Base)")</f>
        <v>% Gross Market Value (Base)</v>
      </c>
      <c r="ER5" s="25" t="str">
        <f>IFERROR(__xludf.DUMMYFUNCTION("""COMPUTED_VALUE"""),"Beta Adj. Gross Exposure (Underlying) (Local)")</f>
        <v>Beta Adj. Gross Exposure (Underlying) (Local)</v>
      </c>
      <c r="ES5" s="25" t="str">
        <f>IFERROR(__xludf.DUMMYFUNCTION("""COMPUTED_VALUE"""),"NAV")</f>
        <v>NAV</v>
      </c>
      <c r="ET5" s="25" t="str">
        <f>IFERROR(__xludf.DUMMYFUNCTION("""COMPUTED_VALUE"""),"% P&amp;L Contribution")</f>
        <v>% P&amp;L Contribution</v>
      </c>
      <c r="EU5" s="25" t="str">
        <f>IFERROR(__xludf.DUMMYFUNCTION("""COMPUTED_VALUE"""),"% Net Market Value (Base)")</f>
        <v>% Net Market Value (Base)</v>
      </c>
      <c r="EV5" s="25" t="str">
        <f>IFERROR(__xludf.DUMMYFUNCTION("""COMPUTED_VALUE"""),"Position Side Exposure")</f>
        <v>Position Side Exposure</v>
      </c>
      <c r="EW5" s="25" t="str">
        <f>IFERROR(__xludf.DUMMYFUNCTION("""COMPUTED_VALUE"""),"NAV (Touch)")</f>
        <v>NAV (Touch)</v>
      </c>
      <c r="EX5" s="25" t="str">
        <f>IFERROR(__xludf.DUMMYFUNCTION("""COMPUTED_VALUE"""),"IgnorePropertyChangeEvents")</f>
        <v>IgnorePropertyChangeEvents</v>
      </c>
      <c r="EY5" s="25" t="str">
        <f>IFERROR(__xludf.DUMMYFUNCTION("""COMPUTED_VALUE"""),"Trade Attribute 1")</f>
        <v>Trade Attribute 1</v>
      </c>
      <c r="EZ5" s="25" t="str">
        <f>IFERROR(__xludf.DUMMYFUNCTION("""COMPUTED_VALUE"""),"Trade Attribute 2")</f>
        <v>Trade Attribute 2</v>
      </c>
      <c r="FA5" s="25" t="str">
        <f>IFERROR(__xludf.DUMMYFUNCTION("""COMPUTED_VALUE"""),"Client")</f>
        <v>Client</v>
      </c>
      <c r="FB5" s="25" t="str">
        <f>IFERROR(__xludf.DUMMYFUNCTION("""COMPUTED_VALUE"""),"IsCustomViewTab")</f>
        <v>IsCustomViewTab</v>
      </c>
      <c r="FC5" s="25" t="str">
        <f>IFERROR(__xludf.DUMMYFUNCTION("""COMPUTED_VALUE"""),"ITM/OTM")</f>
        <v>ITM/OTM</v>
      </c>
      <c r="FD5" s="25" t="str">
        <f>IFERROR(__xludf.DUMMYFUNCTION("""COMPUTED_VALUE"""),"Days to Expiry")</f>
        <v>Days to Expiry</v>
      </c>
      <c r="FE5" s="25" t="str">
        <f>IFERROR(__xludf.DUMMYFUNCTION("""COMPUTED_VALUE"""),"% of ITM/OTM")</f>
        <v>% of ITM/OTM</v>
      </c>
      <c r="FF5" s="25" t="str">
        <f>IFERROR(__xludf.DUMMYFUNCTION("""COMPUTED_VALUE"""),"Intrinsic value")</f>
        <v>Intrinsic value</v>
      </c>
      <c r="FG5" s="25" t="str">
        <f>IFERROR(__xludf.DUMMYFUNCTION("""COMPUTED_VALUE"""),"Gain/Loss if Ex./Assign")</f>
        <v>Gain/Loss if Ex./Assign</v>
      </c>
      <c r="FH5" s="25" t="str">
        <f>IFERROR(__xludf.DUMMYFUNCTION("""COMPUTED_VALUE"""),"isRowCountCheck")</f>
        <v>isRowCountCheck</v>
      </c>
      <c r="FI5" s="25"/>
      <c r="FJ5" s="25"/>
      <c r="FK5" s="25"/>
    </row>
    <row r="6" ht="15.75" customHeight="1">
      <c r="A6" s="9"/>
      <c r="B6" s="9"/>
      <c r="C6" s="9" t="s">
        <v>671</v>
      </c>
      <c r="D6" s="9">
        <v>100.0</v>
      </c>
      <c r="E6" s="9" t="s">
        <v>667</v>
      </c>
      <c r="F6" s="9" t="s">
        <v>678</v>
      </c>
      <c r="G6" s="9">
        <v>4.0</v>
      </c>
      <c r="H6" s="9"/>
      <c r="I6" s="9">
        <v>400.0</v>
      </c>
      <c r="J6" s="9"/>
      <c r="K6" s="9"/>
      <c r="L6" s="9"/>
      <c r="M6" s="9"/>
      <c r="N6" s="9"/>
      <c r="O6" s="9"/>
      <c r="AN6" t="s">
        <v>672</v>
      </c>
    </row>
    <row r="7" ht="15.75" customHeight="1">
      <c r="A7" s="9"/>
      <c r="B7" s="9"/>
      <c r="C7" s="9" t="s">
        <v>671</v>
      </c>
      <c r="D7" s="9">
        <v>2370.0</v>
      </c>
      <c r="E7" s="9" t="s">
        <v>667</v>
      </c>
      <c r="F7" s="9" t="s">
        <v>678</v>
      </c>
      <c r="G7" s="9">
        <v>4.0</v>
      </c>
      <c r="H7" s="9"/>
      <c r="I7" s="9">
        <v>9480.0</v>
      </c>
      <c r="J7" s="9"/>
      <c r="K7" s="9"/>
      <c r="L7" s="9"/>
      <c r="M7" s="9"/>
      <c r="N7" s="9"/>
      <c r="O7" s="9"/>
      <c r="AN7" t="s">
        <v>672</v>
      </c>
    </row>
    <row r="8" ht="15.75" customHeight="1">
      <c r="A8" s="9"/>
      <c r="B8" s="9"/>
      <c r="C8" s="9" t="s">
        <v>671</v>
      </c>
      <c r="D8" s="9">
        <v>200.0</v>
      </c>
      <c r="E8" s="9" t="s">
        <v>669</v>
      </c>
      <c r="F8" s="9" t="s">
        <v>679</v>
      </c>
      <c r="G8" s="9">
        <v>4.0</v>
      </c>
      <c r="H8" s="9"/>
      <c r="I8" s="9">
        <v>800.0</v>
      </c>
      <c r="J8" s="9"/>
      <c r="K8" s="9"/>
      <c r="L8" s="9"/>
      <c r="M8" s="9"/>
      <c r="N8" s="9"/>
      <c r="O8" s="9"/>
      <c r="AN8" t="s">
        <v>672</v>
      </c>
    </row>
    <row r="9" ht="15.75" customHeight="1">
      <c r="A9" s="9"/>
      <c r="B9" s="9"/>
      <c r="C9" s="9" t="s">
        <v>671</v>
      </c>
      <c r="D9" s="9">
        <v>3506.0</v>
      </c>
      <c r="E9" s="9" t="s">
        <v>669</v>
      </c>
      <c r="F9" s="9" t="s">
        <v>679</v>
      </c>
      <c r="G9" s="9">
        <v>4.0</v>
      </c>
      <c r="H9" s="9"/>
      <c r="I9" s="9">
        <v>14024.0</v>
      </c>
      <c r="J9" s="9"/>
      <c r="K9" s="9"/>
      <c r="L9" s="9"/>
      <c r="M9" s="9"/>
      <c r="N9" s="9"/>
      <c r="O9" s="9"/>
      <c r="AN9" t="s">
        <v>672</v>
      </c>
    </row>
    <row r="10" ht="15.75" customHeight="1">
      <c r="A10" s="9"/>
      <c r="B10" s="9"/>
      <c r="C10" s="9" t="s">
        <v>671</v>
      </c>
      <c r="D10" s="9">
        <v>201.0</v>
      </c>
      <c r="E10" s="9" t="s">
        <v>670</v>
      </c>
      <c r="F10" s="9" t="s">
        <v>678</v>
      </c>
      <c r="G10" s="9">
        <v>4.0</v>
      </c>
      <c r="H10" s="9"/>
      <c r="I10" s="9">
        <v>804.0</v>
      </c>
      <c r="J10" s="9"/>
      <c r="K10" s="9"/>
      <c r="L10" s="9"/>
      <c r="M10" s="9"/>
      <c r="N10" s="9"/>
      <c r="O10" s="9"/>
      <c r="AN10" t="s">
        <v>672</v>
      </c>
    </row>
    <row r="11" ht="15.75" customHeight="1">
      <c r="A11" s="9"/>
      <c r="B11" s="9"/>
      <c r="C11" s="9" t="s">
        <v>671</v>
      </c>
      <c r="D11" s="9">
        <v>4124.0</v>
      </c>
      <c r="E11" s="9" t="s">
        <v>670</v>
      </c>
      <c r="F11" s="9" t="s">
        <v>678</v>
      </c>
      <c r="G11" s="9">
        <v>4.0</v>
      </c>
      <c r="H11" s="9"/>
      <c r="I11" s="9">
        <v>16496.0</v>
      </c>
      <c r="J11" s="9"/>
      <c r="K11" s="9"/>
      <c r="L11" s="9"/>
      <c r="M11" s="9"/>
      <c r="N11" s="9"/>
      <c r="O11" s="9"/>
      <c r="AN11" t="s">
        <v>672</v>
      </c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24.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18</v>
      </c>
      <c r="D3" s="4" t="s">
        <v>662</v>
      </c>
      <c r="E3" s="13" t="s">
        <v>250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</row>
    <row r="4" ht="15.75" customHeight="1">
      <c r="A4" s="21"/>
      <c r="B4" s="21" t="str">
        <f>IFERROR(__xludf.DUMMYFUNCTION("IF(C3="""","""",Transpose(IMPORTRANGE('_Settings'!$B$3,C3&amp;""!A4:A1000"")))"),"ReplaceFillsOnBlotter")</f>
        <v>ReplaceFillsOnBlotter</v>
      </c>
      <c r="C4" s="21" t="str">
        <f>IFERROR(__xludf.DUMMYFUNCTION("""COMPUTED_VALUE"""),"CheckBlotter")</f>
        <v>CheckBlotter</v>
      </c>
      <c r="D4" s="21" t="str">
        <f>IFERROR(__xludf.DUMMYFUNCTION("""COMPUTED_VALUE"""),"BlotterFunctionalities")</f>
        <v>BlotterFunctionalities</v>
      </c>
      <c r="E4" s="21" t="str">
        <f>IFERROR(__xludf.DUMMYFUNCTION("""COMPUTED_VALUE"""),"TransferToUserWorkingSubs")</f>
        <v>TransferToUserWorkingSubs</v>
      </c>
      <c r="F4" s="21" t="str">
        <f>IFERROR(__xludf.DUMMYFUNCTION("""COMPUTED_VALUE"""),"CancelWorkingSubs")</f>
        <v>CancelWorkingSubs</v>
      </c>
      <c r="G4" s="21" t="str">
        <f>IFERROR(__xludf.DUMMYFUNCTION("""COMPUTED_VALUE"""),"ReplaceWorkingSubs")</f>
        <v>ReplaceWorkingSubs</v>
      </c>
      <c r="H4" s="21" t="str">
        <f>IFERROR(__xludf.DUMMYFUNCTION("""COMPUTED_VALUE"""),"ViewAllocationDetailsWorkingSub")</f>
        <v>ViewAllocationDetailsWorkingSub</v>
      </c>
      <c r="I4" s="21" t="str">
        <f>IFERROR(__xludf.DUMMYFUNCTION("""COMPUTED_VALUE"""),"SelectTradeOnOrderGrid")</f>
        <v>SelectTradeOnOrderGrid</v>
      </c>
      <c r="J4" s="21" t="str">
        <f>IFERROR(__xludf.DUMMYFUNCTION("""COMPUTED_VALUE"""),"ShowDetailsForAlgoTradeSubOrder")</f>
        <v>ShowDetailsForAlgoTradeSubOrder</v>
      </c>
      <c r="K4" s="21" t="str">
        <f>IFERROR(__xludf.DUMMYFUNCTION("""COMPUTED_VALUE"""),"SelectTradeOrderBlotter")</f>
        <v>SelectTradeOrderBlotter</v>
      </c>
      <c r="L4" s="21" t="str">
        <f>IFERROR(__xludf.DUMMYFUNCTION("""COMPUTED_VALUE"""),"AddFillsWorkingSubs")</f>
        <v>AddFillsWorkingSubs</v>
      </c>
      <c r="M4" s="21" t="str">
        <f>IFERROR(__xludf.DUMMYFUNCTION("""COMPUTED_VALUE"""),"EditAddFillsDetails")</f>
        <v>EditAddFillsDetails</v>
      </c>
      <c r="N4" s="21" t="str">
        <f>IFERROR(__xludf.DUMMYFUNCTION("""COMPUTED_VALUE"""),"ShowDetailsForAlgoTradeWorkingSubs")</f>
        <v>ShowDetailsForAlgoTradeWorkingSubs</v>
      </c>
      <c r="O4" s="21" t="str">
        <f>IFERROR(__xludf.DUMMYFUNCTION("""COMPUTED_VALUE"""),"VerifyWorkingSubs")</f>
        <v>VerifyWorkingSubs</v>
      </c>
      <c r="P4" s="22" t="str">
        <f>IFERROR(__xludf.DUMMYFUNCTION("""COMPUTED_VALUE"""),"TransferToUserOrder")</f>
        <v>TransferToUserOrder</v>
      </c>
      <c r="Q4" s="22" t="str">
        <f>IFERROR(__xludf.DUMMYFUNCTION("""COMPUTED_VALUE"""),"EditOrder")</f>
        <v>EditOrder</v>
      </c>
      <c r="R4" s="22" t="str">
        <f>IFERROR(__xludf.DUMMYFUNCTION("""COMPUTED_VALUE"""),"SelectTradeSubOrderBlotter")</f>
        <v>SelectTradeSubOrderBlotter</v>
      </c>
      <c r="S4" s="22" t="str">
        <f>IFERROR(__xludf.DUMMYFUNCTION("""COMPUTED_VALUE"""),"VerifyOrder")</f>
        <v>VerifyOrder</v>
      </c>
      <c r="T4" s="22" t="str">
        <f>IFERROR(__xludf.DUMMYFUNCTION("""COMPUTED_VALUE"""),"VerifySubOrder")</f>
        <v>VerifySubOrder</v>
      </c>
      <c r="U4" s="22" t="str">
        <f>IFERROR(__xludf.DUMMYFUNCTION("""COMPUTED_VALUE"""),"RemoveSelectedOrders")</f>
        <v>RemoveSelectedOrders</v>
      </c>
      <c r="V4" s="22" t="str">
        <f>IFERROR(__xludf.DUMMYFUNCTION("""COMPUTED_VALUE"""),"CancelAllSelectedSubs")</f>
        <v>CancelAllSelectedSubs</v>
      </c>
      <c r="W4" s="22" t="str">
        <f>IFERROR(__xludf.DUMMYFUNCTION("""COMPUTED_VALUE"""),"MultiTradingTicket")</f>
        <v>MultiTradingTicket</v>
      </c>
      <c r="X4" s="22" t="str">
        <f>IFERROR(__xludf.DUMMYFUNCTION("""COMPUTED_VALUE"""),"AuditTrailOrderBlotter")</f>
        <v>AuditTrailOrderBlotter</v>
      </c>
      <c r="Y4" s="22" t="str">
        <f>IFERROR(__xludf.DUMMYFUNCTION("""COMPUTED_VALUE"""),"TradeNewSubOrder")</f>
        <v>TradeNewSubOrder</v>
      </c>
      <c r="Z4" s="22" t="str">
        <f>IFERROR(__xludf.DUMMYFUNCTION("""COMPUTED_VALUE"""),"RemoveStageOrder")</f>
        <v>RemoveStageOrder</v>
      </c>
      <c r="AA4" s="22" t="str">
        <f>IFERROR(__xludf.DUMMYFUNCTION("""COMPUTED_VALUE"""),"TransferToUserSubOrder")</f>
        <v>TransferToUserSubOrder</v>
      </c>
      <c r="AB4" s="22" t="str">
        <f>IFERROR(__xludf.DUMMYFUNCTION("""COMPUTED_VALUE"""),"DetailsForAlgoTradeOrder")</f>
        <v>DetailsForAlgoTradeOrder</v>
      </c>
      <c r="AC4" s="22" t="str">
        <f>IFERROR(__xludf.DUMMYFUNCTION("""COMPUTED_VALUE"""),"AddFillsSubOrder")</f>
        <v>AddFillsSubOrder</v>
      </c>
      <c r="AD4" s="22" t="str">
        <f>IFERROR(__xludf.DUMMYFUNCTION("""COMPUTED_VALUE"""),"ViewAllocationDetailsSubOrder")</f>
        <v>ViewAllocationDetailsSubOrder</v>
      </c>
      <c r="AE4" s="22" t="str">
        <f>IFERROR(__xludf.DUMMYFUNCTION("""COMPUTED_VALUE"""),"CancelAllSubs")</f>
        <v>CancelAllSubs</v>
      </c>
      <c r="AF4" s="22" t="str">
        <f>IFERROR(__xludf.DUMMYFUNCTION("""COMPUTED_VALUE"""),"CancelSubOrder")</f>
        <v>CancelSubOrder</v>
      </c>
      <c r="AG4" s="22" t="str">
        <f>IFERROR(__xludf.DUMMYFUNCTION("""COMPUTED_VALUE"""),"EditStageOrder")</f>
        <v>EditStageOrder</v>
      </c>
      <c r="AH4" s="22" t="str">
        <f>IFERROR(__xludf.DUMMYFUNCTION("""COMPUTED_VALUE"""),"ReplaceSubOrder")</f>
        <v>ReplaceSubOrder</v>
      </c>
      <c r="AI4" s="22" t="str">
        <f>IFERROR(__xludf.DUMMYFUNCTION("""COMPUTED_VALUE"""),"SelectTradeWorkingSubsBlotter")</f>
        <v>SelectTradeWorkingSubsBlotter</v>
      </c>
      <c r="AJ4" s="22" t="str">
        <f>IFERROR(__xludf.DUMMYFUNCTION("""COMPUTED_VALUE"""),"VerifyAlgoDetails")</f>
        <v>VerifyAlgoDetails</v>
      </c>
      <c r="AK4" s="22" t="str">
        <f>IFERROR(__xludf.DUMMYFUNCTION("""COMPUTED_VALUE"""),"VerifyTransferToUserOrder")</f>
        <v>VerifyTransferToUserOrder</v>
      </c>
      <c r="AL4" s="22" t="str">
        <f>IFERROR(__xludf.DUMMYFUNCTION("""COMPUTED_VALUE"""),"VerifyTransferToUserSubOdr")</f>
        <v>VerifyTransferToUserSubOdr</v>
      </c>
      <c r="AM4" s="22" t="str">
        <f>IFERROR(__xludf.DUMMYFUNCTION("""COMPUTED_VALUE"""),"VerifyTransferToUserWorkSub")</f>
        <v>VerifyTransferToUserWorkSub</v>
      </c>
      <c r="AN4" s="22" t="str">
        <f>IFERROR(__xludf.DUMMYFUNCTION("""COMPUTED_VALUE"""),"SaveLayoutOrderGrid")</f>
        <v>SaveLayoutOrderGrid</v>
      </c>
      <c r="AO4" s="22" t="str">
        <f>IFERROR(__xludf.DUMMYFUNCTION("""COMPUTED_VALUE"""),"ReplaceStageOrder")</f>
        <v>ReplaceStageOrder</v>
      </c>
      <c r="AP4" s="22" t="str">
        <f>IFERROR(__xludf.DUMMYFUNCTION("""COMPUTED_VALUE"""),"MultiTradingTicketFromBlotter")</f>
        <v>MultiTradingTicketFromBlotter</v>
      </c>
      <c r="AQ4" s="22" t="str">
        <f>IFERROR(__xludf.DUMMYFUNCTION("""COMPUTED_VALUE"""),"VerifyViewAllocationDetails")</f>
        <v>VerifyViewAllocationDetails</v>
      </c>
      <c r="AR4" s="22" t="str">
        <f>IFERROR(__xludf.DUMMYFUNCTION("""COMPUTED_VALUE"""),"GoToAllocation")</f>
        <v>GoToAllocation</v>
      </c>
      <c r="AS4" s="22" t="str">
        <f>IFERROR(__xludf.DUMMYFUNCTION("""COMPUTED_VALUE"""),"VerifyRollover")</f>
        <v>VerifyRollover</v>
      </c>
      <c r="AT4" s="22" t="str">
        <f>IFERROR(__xludf.DUMMYFUNCTION("""COMPUTED_VALUE"""),"VerifySubOrderAfterRollover")</f>
        <v>VerifySubOrderAfterRollover</v>
      </c>
      <c r="AU4" s="22" t="str">
        <f>IFERROR(__xludf.DUMMYFUNCTION("""COMPUTED_VALUE"""),"OpenBlotter")</f>
        <v>OpenBlotter</v>
      </c>
      <c r="AV4" s="22" t="str">
        <f>IFERROR(__xludf.DUMMYFUNCTION("""COMPUTED_VALUE"""),"OpenBlotter")</f>
        <v>OpenBlotter</v>
      </c>
      <c r="AW4" s="22" t="str">
        <f>IFERROR(__xludf.DUMMYFUNCTION("""COMPUTED_VALUE"""),"RemoveManualExecution")</f>
        <v>RemoveManualExecution</v>
      </c>
      <c r="AX4" s="22" t="str">
        <f>IFERROR(__xludf.DUMMYFUNCTION("""COMPUTED_VALUE"""),"RemoveExecutionWorkingSubs")</f>
        <v>RemoveExecutionWorkingSubs</v>
      </c>
      <c r="AY4" s="22" t="str">
        <f>IFERROR(__xludf.DUMMYFUNCTION("""COMPUTED_VALUE"""),"GetExecutionReportOrders")</f>
        <v>GetExecutionReportOrders</v>
      </c>
      <c r="AZ4" s="22" t="str">
        <f>IFERROR(__xludf.DUMMYFUNCTION("""COMPUTED_VALUE"""),"GetExecutionReportDetails")</f>
        <v>GetExecutionReportDetails</v>
      </c>
      <c r="BA4" s="22" t="str">
        <f>IFERROR(__xludf.DUMMYFUNCTION("""COMPUTED_VALUE"""),"ExportExecutionReportData")</f>
        <v>ExportExecutionReportData</v>
      </c>
      <c r="BB4" s="22" t="str">
        <f>IFERROR(__xludf.DUMMYFUNCTION("""COMPUTED_VALUE"""),"VerifyExecutionReport")</f>
        <v>VerifyExecutionReport</v>
      </c>
      <c r="BC4" s="22" t="str">
        <f>IFERROR(__xludf.DUMMYFUNCTION("""COMPUTED_VALUE"""),"BlotterExecutionReportSnapshot")</f>
        <v>BlotterExecutionReportSnapshot</v>
      </c>
      <c r="BD4" s="22" t="str">
        <f>IFERROR(__xludf.DUMMYFUNCTION("""COMPUTED_VALUE"""),"MultipleTradeTransferToUser")</f>
        <v>MultipleTradeTransferToUser</v>
      </c>
      <c r="BE4" s="22" t="str">
        <f>IFERROR(__xludf.DUMMYFUNCTION("""COMPUTED_VALUE"""),"ReloadOrderFromBlotter")</f>
        <v>ReloadOrderFromBlotter</v>
      </c>
      <c r="BF4" s="22" t="str">
        <f>IFERROR(__xludf.DUMMYFUNCTION("""COMPUTED_VALUE"""),"ReloadOrderFromSubOrder")</f>
        <v>ReloadOrderFromSubOrder</v>
      </c>
      <c r="BG4" s="22" t="str">
        <f>IFERROR(__xludf.DUMMYFUNCTION("""COMPUTED_VALUE"""),"ReloadOrderFromWorkingSubs")</f>
        <v>ReloadOrderFromWorkingSubs</v>
      </c>
      <c r="BH4" s="22" t="str">
        <f>IFERROR(__xludf.DUMMYFUNCTION("""COMPUTED_VALUE"""),"SelectFills")</f>
        <v>SelectFills</v>
      </c>
      <c r="BI4" s="22" t="str">
        <f>IFERROR(__xludf.DUMMYFUNCTION("""COMPUTED_VALUE"""),"ModifyFills")</f>
        <v>ModifyFills</v>
      </c>
      <c r="BJ4" s="22" t="str">
        <f>IFERROR(__xludf.DUMMYFUNCTION("""COMPUTED_VALUE"""),"AddTab")</f>
        <v>AddTab</v>
      </c>
      <c r="BK4" s="22" t="str">
        <f>IFERROR(__xludf.DUMMYFUNCTION("""COMPUTED_VALUE"""),"RemoveTab")</f>
        <v>RemoveTab</v>
      </c>
      <c r="BL4" s="22" t="str">
        <f>IFERROR(__xludf.DUMMYFUNCTION("""COMPUTED_VALUE"""),"SelectCustomTab")</f>
        <v>SelectCustomTab</v>
      </c>
      <c r="BM4" s="22" t="str">
        <f>IFERROR(__xludf.DUMMYFUNCTION("""COMPUTED_VALUE"""),"VerifyOrderCustomTab")</f>
        <v>VerifyOrderCustomTab</v>
      </c>
      <c r="BN4" s="22" t="str">
        <f>IFERROR(__xludf.DUMMYFUNCTION("""COMPUTED_VALUE"""),"VerifySubOrderCustomTab")</f>
        <v>VerifySubOrderCustomTab</v>
      </c>
      <c r="BO4" s="22"/>
      <c r="BP4" s="22"/>
      <c r="BQ4" s="22"/>
      <c r="BR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IFERROR(__xludf.DUMMYFUNCTION("""COMPUTED_VALUE"""),"Avg Fill Price (Base)")</f>
        <v>Avg Fill Price (Base)</v>
      </c>
      <c r="C5" s="24" t="str">
        <f>IFERROR(__xludf.DUMMYFUNCTION("""COMPUTED_VALUE"""),"Transaction Time")</f>
        <v>Transaction Time</v>
      </c>
      <c r="D5" s="24" t="str">
        <f>IFERROR(__xludf.DUMMYFUNCTION("""COMPUTED_VALUE"""),"Symbol")</f>
        <v>Symbol</v>
      </c>
      <c r="E5" s="24" t="str">
        <f>IFERROR(__xludf.DUMMYFUNCTION("""COMPUTED_VALUE"""),"Algo")</f>
        <v>Algo</v>
      </c>
      <c r="F5" s="24" t="str">
        <f>IFERROR(__xludf.DUMMYFUNCTION("""COMPUTED_VALUE"""),"Side")</f>
        <v>Side</v>
      </c>
      <c r="G5" s="24" t="str">
        <f>IFERROR(__xludf.DUMMYFUNCTION("""COMPUTED_VALUE"""),"Status")</f>
        <v>Status</v>
      </c>
      <c r="H5" s="24" t="str">
        <f>IFERROR(__xludf.DUMMYFUNCTION("""COMPUTED_VALUE"""),"Quantity")</f>
        <v>Quantity</v>
      </c>
      <c r="I5" s="24" t="str">
        <f>IFERROR(__xludf.DUMMYFUNCTION("""COMPUTED_VALUE"""),"Total Executed Qty")</f>
        <v>Total Executed Qty</v>
      </c>
      <c r="J5" s="24" t="str">
        <f>IFERROR(__xludf.DUMMYFUNCTION("""COMPUTED_VALUE"""),"% Executed")</f>
        <v>% Executed</v>
      </c>
      <c r="K5" s="24" t="str">
        <f>IFERROR(__xludf.DUMMYFUNCTION("""COMPUTED_VALUE"""),"Day Executed Qty")</f>
        <v>Day Executed Qty</v>
      </c>
      <c r="L5" s="24" t="str">
        <f>IFERROR(__xludf.DUMMYFUNCTION("""COMPUTED_VALUE"""),"Uncommitted Qty")</f>
        <v>Uncommitted Qty</v>
      </c>
      <c r="M5" s="24" t="str">
        <f>IFERROR(__xludf.DUMMYFUNCTION("""COMPUTED_VALUE"""),"Limit Price")</f>
        <v>Limit Price</v>
      </c>
      <c r="N5" s="24" t="str">
        <f>IFERROR(__xludf.DUMMYFUNCTION("""COMPUTED_VALUE"""),"Last Fill Price (Local)")</f>
        <v>Last Fill Price (Local)</v>
      </c>
      <c r="O5" s="24" t="str">
        <f>IFERROR(__xludf.DUMMYFUNCTION("""COMPUTED_VALUE"""),"Stop Price")</f>
        <v>Stop Price</v>
      </c>
      <c r="P5" s="24" t="str">
        <f>IFERROR(__xludf.DUMMYFUNCTION("""COMPUTED_VALUE"""),"Avg Fill Price (Local)")</f>
        <v>Avg Fill Price (Local)</v>
      </c>
      <c r="Q5" s="24" t="str">
        <f>IFERROR(__xludf.DUMMYFUNCTION("""COMPUTED_VALUE"""),"Broker")</f>
        <v>Broker</v>
      </c>
      <c r="R5" s="24" t="str">
        <f>IFERROR(__xludf.DUMMYFUNCTION("""COMPUTED_VALUE"""),"Account")</f>
        <v>Account</v>
      </c>
      <c r="S5" s="24" t="str">
        <f>IFERROR(__xludf.DUMMYFUNCTION("""COMPUTED_VALUE"""),"OrderID")</f>
        <v>OrderID</v>
      </c>
      <c r="T5" s="25" t="str">
        <f>IFERROR(__xludf.DUMMYFUNCTION("""COMPUTED_VALUE"""),"Order Type")</f>
        <v>Order Type</v>
      </c>
      <c r="U5" s="25" t="str">
        <f>IFERROR(__xludf.DUMMYFUNCTION("""COMPUTED_VALUE"""),"Principal Amount (Local)")</f>
        <v>Principal Amount (Local)</v>
      </c>
      <c r="V5" s="25" t="str">
        <f>IFERROR(__xludf.DUMMYFUNCTION("""COMPUTED_VALUE"""),"Principal Amount (Base)")</f>
        <v>Principal Amount (Base)</v>
      </c>
      <c r="W5" s="25" t="str">
        <f>IFERROR(__xludf.DUMMYFUNCTION("""COMPUTED_VALUE"""),"Peg")</f>
        <v>Peg</v>
      </c>
      <c r="X5" s="25" t="str">
        <f>IFERROR(__xludf.DUMMYFUNCTION("""COMPUTED_VALUE"""),"ParentClOrderID")</f>
        <v>ParentClOrderID</v>
      </c>
      <c r="Y5" s="25" t="str">
        <f>IFERROR(__xludf.DUMMYFUNCTION("""COMPUTED_VALUE"""),"Strike Price")</f>
        <v>Strike Price</v>
      </c>
      <c r="Z5" s="25" t="str">
        <f>IFERROR(__xludf.DUMMYFUNCTION("""COMPUTED_VALUE"""),"Last Shares")</f>
        <v>Last Shares</v>
      </c>
      <c r="AA5" s="25" t="str">
        <f>IFERROR(__xludf.DUMMYFUNCTION("""COMPUTED_VALUE"""),"Working Qty")</f>
        <v>Working Qty</v>
      </c>
      <c r="AB5" s="25" t="str">
        <f>IFERROR(__xludf.DUMMYFUNCTION("""COMPUTED_VALUE"""),"Bloomberg Symbol")</f>
        <v>Bloomberg Symbol</v>
      </c>
      <c r="AC5" s="25" t="str">
        <f>IFERROR(__xludf.DUMMYFUNCTION("""COMPUTED_VALUE"""),"Imported File Name")</f>
        <v>Imported File Name</v>
      </c>
      <c r="AD5" s="25" t="str">
        <f>IFERROR(__xludf.DUMMYFUNCTION("""COMPUTED_VALUE"""),"Master Fund")</f>
        <v>Master Fund</v>
      </c>
      <c r="AE5" s="25" t="str">
        <f>IFERROR(__xludf.DUMMYFUNCTION("""COMPUTED_VALUE"""),"Day Average Price")</f>
        <v>Day Average Price</v>
      </c>
      <c r="AF5" s="25" t="str">
        <f>IFERROR(__xludf.DUMMYFUNCTION("""COMPUTED_VALUE"""),"Asset Class")</f>
        <v>Asset Class</v>
      </c>
      <c r="AG5" s="25" t="str">
        <f>IFERROR(__xludf.DUMMYFUNCTION("""COMPUTED_VALUE"""),"Underlying Country")</f>
        <v>Underlying Country</v>
      </c>
      <c r="AH5" s="25" t="str">
        <f>IFERROR(__xludf.DUMMYFUNCTION("""COMPUTED_VALUE"""),"Trader")</f>
        <v>Trader</v>
      </c>
      <c r="AI5" s="25" t="str">
        <f>IFERROR(__xludf.DUMMYFUNCTION("""COMPUTED_VALUE"""),"User")</f>
        <v>User</v>
      </c>
      <c r="AJ5" s="25" t="str">
        <f>IFERROR(__xludf.DUMMYFUNCTION("""COMPUTED_VALUE"""),"Venue")</f>
        <v>Venue</v>
      </c>
      <c r="AK5" s="25" t="str">
        <f>IFERROR(__xludf.DUMMYFUNCTION("""COMPUTED_VALUE"""),"Settlement Currency")</f>
        <v>Settlement Currency</v>
      </c>
      <c r="AL5" s="25" t="str">
        <f>IFERROR(__xludf.DUMMYFUNCTION("""COMPUTED_VALUE"""),"FX Conversion Operator")</f>
        <v>FX Conversion Operator</v>
      </c>
      <c r="AM5" s="25" t="str">
        <f>IFERROR(__xludf.DUMMYFUNCTION("""COMPUTED_VALUE"""),"Process Date")</f>
        <v>Process Date</v>
      </c>
      <c r="AN5" s="25" t="str">
        <f>IFERROR(__xludf.DUMMYFUNCTION("""COMPUTED_VALUE"""),"Underlying Symbol")</f>
        <v>Underlying Symbol</v>
      </c>
      <c r="AO5" s="25" t="str">
        <f>IFERROR(__xludf.DUMMYFUNCTION("""COMPUTED_VALUE"""),"Put/Call")</f>
        <v>Put/Call</v>
      </c>
      <c r="AP5" s="25" t="str">
        <f>IFERROR(__xludf.DUMMYFUNCTION("""COMPUTED_VALUE"""),"FX Rate")</f>
        <v>FX Rate</v>
      </c>
      <c r="AQ5" s="25" t="str">
        <f>IFERROR(__xludf.DUMMYFUNCTION("""COMPUTED_VALUE"""),"Trade Attribute 1")</f>
        <v>Trade Attribute 1</v>
      </c>
      <c r="AR5" s="25" t="str">
        <f>IFERROR(__xludf.DUMMYFUNCTION("""COMPUTED_VALUE"""),"Trade Attribute 2")</f>
        <v>Trade Attribute 2</v>
      </c>
      <c r="AS5" s="25" t="str">
        <f>IFERROR(__xludf.DUMMYFUNCTION("""COMPUTED_VALUE"""),"Trade Attribute 3")</f>
        <v>Trade Attribute 3</v>
      </c>
      <c r="AT5" s="25" t="str">
        <f>IFERROR(__xludf.DUMMYFUNCTION("""COMPUTED_VALUE"""),"Trade Attribute 4")</f>
        <v>Trade Attribute 4</v>
      </c>
      <c r="AU5" s="25" t="str">
        <f>IFERROR(__xludf.DUMMYFUNCTION("""COMPUTED_VALUE"""),"Trade Attribute 5")</f>
        <v>Trade Attribute 5</v>
      </c>
      <c r="AV5" s="25" t="str">
        <f>IFERROR(__xludf.DUMMYFUNCTION("""COMPUTED_VALUE"""),"Trade Attribute 6")</f>
        <v>Trade Attribute 6</v>
      </c>
      <c r="AW5" s="25" t="str">
        <f>IFERROR(__xludf.DUMMYFUNCTION("""COMPUTED_VALUE"""),"Internal Comments")</f>
        <v>Internal Comments</v>
      </c>
      <c r="AX5" s="25" t="str">
        <f>IFERROR(__xludf.DUMMYFUNCTION("""COMPUTED_VALUE"""),"Allocation Scheme Name")</f>
        <v>Allocation Scheme Name</v>
      </c>
      <c r="AY5" s="25" t="str">
        <f>IFERROR(__xludf.DUMMYFUNCTION("""COMPUTED_VALUE"""),"Start of Day Qty")</f>
        <v>Start of Day Qty</v>
      </c>
      <c r="AZ5" s="25" t="str">
        <f>IFERROR(__xludf.DUMMYFUNCTION("""COMPUTED_VALUE"""),"Leaves")</f>
        <v>Leaves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</row>
    <row r="6" ht="15.75" customHeight="1">
      <c r="A6" s="9"/>
      <c r="B6" s="9">
        <v>4.0</v>
      </c>
      <c r="C6" s="9"/>
      <c r="D6" s="9" t="s">
        <v>671</v>
      </c>
      <c r="E6" s="9"/>
      <c r="F6" s="9" t="s">
        <v>672</v>
      </c>
      <c r="G6" s="9" t="s">
        <v>680</v>
      </c>
      <c r="H6" s="9">
        <v>10000.0</v>
      </c>
      <c r="I6" s="9">
        <v>5000.0</v>
      </c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25.63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18</v>
      </c>
      <c r="D3" s="4" t="s">
        <v>662</v>
      </c>
      <c r="E3" s="13" t="s">
        <v>250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</row>
    <row r="4" ht="15.75" customHeight="1">
      <c r="A4" s="21"/>
      <c r="B4" s="21" t="str">
        <f>IFERROR(__xludf.DUMMYFUNCTION("IF(C3="""","""",Transpose(IMPORTRANGE('_Settings'!$B$3,C3&amp;""!A4:A1000"")))"),"ReplaceFillsOnBlotter")</f>
        <v>ReplaceFillsOnBlotter</v>
      </c>
      <c r="C4" s="21" t="str">
        <f>IFERROR(__xludf.DUMMYFUNCTION("""COMPUTED_VALUE"""),"CheckBlotter")</f>
        <v>CheckBlotter</v>
      </c>
      <c r="D4" s="21" t="str">
        <f>IFERROR(__xludf.DUMMYFUNCTION("""COMPUTED_VALUE"""),"BlotterFunctionalities")</f>
        <v>BlotterFunctionalities</v>
      </c>
      <c r="E4" s="21" t="str">
        <f>IFERROR(__xludf.DUMMYFUNCTION("""COMPUTED_VALUE"""),"TransferToUserWorkingSubs")</f>
        <v>TransferToUserWorkingSubs</v>
      </c>
      <c r="F4" s="21" t="str">
        <f>IFERROR(__xludf.DUMMYFUNCTION("""COMPUTED_VALUE"""),"CancelWorkingSubs")</f>
        <v>CancelWorkingSubs</v>
      </c>
      <c r="G4" s="21" t="str">
        <f>IFERROR(__xludf.DUMMYFUNCTION("""COMPUTED_VALUE"""),"ReplaceWorkingSubs")</f>
        <v>ReplaceWorkingSubs</v>
      </c>
      <c r="H4" s="21" t="str">
        <f>IFERROR(__xludf.DUMMYFUNCTION("""COMPUTED_VALUE"""),"ViewAllocationDetailsWorkingSub")</f>
        <v>ViewAllocationDetailsWorkingSub</v>
      </c>
      <c r="I4" s="21" t="str">
        <f>IFERROR(__xludf.DUMMYFUNCTION("""COMPUTED_VALUE"""),"SelectTradeOnOrderGrid")</f>
        <v>SelectTradeOnOrderGrid</v>
      </c>
      <c r="J4" s="21" t="str">
        <f>IFERROR(__xludf.DUMMYFUNCTION("""COMPUTED_VALUE"""),"ShowDetailsForAlgoTradeSubOrder")</f>
        <v>ShowDetailsForAlgoTradeSubOrder</v>
      </c>
      <c r="K4" s="21" t="str">
        <f>IFERROR(__xludf.DUMMYFUNCTION("""COMPUTED_VALUE"""),"SelectTradeOrderBlotter")</f>
        <v>SelectTradeOrderBlotter</v>
      </c>
      <c r="L4" s="21" t="str">
        <f>IFERROR(__xludf.DUMMYFUNCTION("""COMPUTED_VALUE"""),"AddFillsWorkingSubs")</f>
        <v>AddFillsWorkingSubs</v>
      </c>
      <c r="M4" s="21" t="str">
        <f>IFERROR(__xludf.DUMMYFUNCTION("""COMPUTED_VALUE"""),"EditAddFillsDetails")</f>
        <v>EditAddFillsDetails</v>
      </c>
      <c r="N4" s="21" t="str">
        <f>IFERROR(__xludf.DUMMYFUNCTION("""COMPUTED_VALUE"""),"ShowDetailsForAlgoTradeWorkingSubs")</f>
        <v>ShowDetailsForAlgoTradeWorkingSubs</v>
      </c>
      <c r="O4" s="21" t="str">
        <f>IFERROR(__xludf.DUMMYFUNCTION("""COMPUTED_VALUE"""),"VerifyWorkingSubs")</f>
        <v>VerifyWorkingSubs</v>
      </c>
      <c r="P4" s="22" t="str">
        <f>IFERROR(__xludf.DUMMYFUNCTION("""COMPUTED_VALUE"""),"TransferToUserOrder")</f>
        <v>TransferToUserOrder</v>
      </c>
      <c r="Q4" s="22" t="str">
        <f>IFERROR(__xludf.DUMMYFUNCTION("""COMPUTED_VALUE"""),"EditOrder")</f>
        <v>EditOrder</v>
      </c>
      <c r="R4" s="22" t="str">
        <f>IFERROR(__xludf.DUMMYFUNCTION("""COMPUTED_VALUE"""),"SelectTradeSubOrderBlotter")</f>
        <v>SelectTradeSubOrderBlotter</v>
      </c>
      <c r="S4" s="22" t="str">
        <f>IFERROR(__xludf.DUMMYFUNCTION("""COMPUTED_VALUE"""),"VerifyOrder")</f>
        <v>VerifyOrder</v>
      </c>
      <c r="T4" s="22" t="str">
        <f>IFERROR(__xludf.DUMMYFUNCTION("""COMPUTED_VALUE"""),"VerifySubOrder")</f>
        <v>VerifySubOrder</v>
      </c>
      <c r="U4" s="22" t="str">
        <f>IFERROR(__xludf.DUMMYFUNCTION("""COMPUTED_VALUE"""),"RemoveSelectedOrders")</f>
        <v>RemoveSelectedOrders</v>
      </c>
      <c r="V4" s="22" t="str">
        <f>IFERROR(__xludf.DUMMYFUNCTION("""COMPUTED_VALUE"""),"CancelAllSelectedSubs")</f>
        <v>CancelAllSelectedSubs</v>
      </c>
      <c r="W4" s="22" t="str">
        <f>IFERROR(__xludf.DUMMYFUNCTION("""COMPUTED_VALUE"""),"MultiTradingTicket")</f>
        <v>MultiTradingTicket</v>
      </c>
      <c r="X4" s="22" t="str">
        <f>IFERROR(__xludf.DUMMYFUNCTION("""COMPUTED_VALUE"""),"AuditTrailOrderBlotter")</f>
        <v>AuditTrailOrderBlotter</v>
      </c>
      <c r="Y4" s="22" t="str">
        <f>IFERROR(__xludf.DUMMYFUNCTION("""COMPUTED_VALUE"""),"TradeNewSubOrder")</f>
        <v>TradeNewSubOrder</v>
      </c>
      <c r="Z4" s="22" t="str">
        <f>IFERROR(__xludf.DUMMYFUNCTION("""COMPUTED_VALUE"""),"RemoveStageOrder")</f>
        <v>RemoveStageOrder</v>
      </c>
      <c r="AA4" s="22" t="str">
        <f>IFERROR(__xludf.DUMMYFUNCTION("""COMPUTED_VALUE"""),"TransferToUserSubOrder")</f>
        <v>TransferToUserSubOrder</v>
      </c>
      <c r="AB4" s="22" t="str">
        <f>IFERROR(__xludf.DUMMYFUNCTION("""COMPUTED_VALUE"""),"DetailsForAlgoTradeOrder")</f>
        <v>DetailsForAlgoTradeOrder</v>
      </c>
      <c r="AC4" s="22" t="str">
        <f>IFERROR(__xludf.DUMMYFUNCTION("""COMPUTED_VALUE"""),"AddFillsSubOrder")</f>
        <v>AddFillsSubOrder</v>
      </c>
      <c r="AD4" s="22" t="str">
        <f>IFERROR(__xludf.DUMMYFUNCTION("""COMPUTED_VALUE"""),"ViewAllocationDetailsSubOrder")</f>
        <v>ViewAllocationDetailsSubOrder</v>
      </c>
      <c r="AE4" s="22" t="str">
        <f>IFERROR(__xludf.DUMMYFUNCTION("""COMPUTED_VALUE"""),"CancelAllSubs")</f>
        <v>CancelAllSubs</v>
      </c>
      <c r="AF4" s="22" t="str">
        <f>IFERROR(__xludf.DUMMYFUNCTION("""COMPUTED_VALUE"""),"CancelSubOrder")</f>
        <v>CancelSubOrder</v>
      </c>
      <c r="AG4" s="22" t="str">
        <f>IFERROR(__xludf.DUMMYFUNCTION("""COMPUTED_VALUE"""),"EditStageOrder")</f>
        <v>EditStageOrder</v>
      </c>
      <c r="AH4" s="22" t="str">
        <f>IFERROR(__xludf.DUMMYFUNCTION("""COMPUTED_VALUE"""),"ReplaceSubOrder")</f>
        <v>ReplaceSubOrder</v>
      </c>
      <c r="AI4" s="22" t="str">
        <f>IFERROR(__xludf.DUMMYFUNCTION("""COMPUTED_VALUE"""),"SelectTradeWorkingSubsBlotter")</f>
        <v>SelectTradeWorkingSubsBlotter</v>
      </c>
      <c r="AJ4" s="22" t="str">
        <f>IFERROR(__xludf.DUMMYFUNCTION("""COMPUTED_VALUE"""),"VerifyAlgoDetails")</f>
        <v>VerifyAlgoDetails</v>
      </c>
      <c r="AK4" s="22" t="str">
        <f>IFERROR(__xludf.DUMMYFUNCTION("""COMPUTED_VALUE"""),"VerifyTransferToUserOrder")</f>
        <v>VerifyTransferToUserOrder</v>
      </c>
      <c r="AL4" s="22" t="str">
        <f>IFERROR(__xludf.DUMMYFUNCTION("""COMPUTED_VALUE"""),"VerifyTransferToUserSubOdr")</f>
        <v>VerifyTransferToUserSubOdr</v>
      </c>
      <c r="AM4" s="22" t="str">
        <f>IFERROR(__xludf.DUMMYFUNCTION("""COMPUTED_VALUE"""),"VerifyTransferToUserWorkSub")</f>
        <v>VerifyTransferToUserWorkSub</v>
      </c>
      <c r="AN4" s="22" t="str">
        <f>IFERROR(__xludf.DUMMYFUNCTION("""COMPUTED_VALUE"""),"SaveLayoutOrderGrid")</f>
        <v>SaveLayoutOrderGrid</v>
      </c>
      <c r="AO4" s="22" t="str">
        <f>IFERROR(__xludf.DUMMYFUNCTION("""COMPUTED_VALUE"""),"ReplaceStageOrder")</f>
        <v>ReplaceStageOrder</v>
      </c>
      <c r="AP4" s="22" t="str">
        <f>IFERROR(__xludf.DUMMYFUNCTION("""COMPUTED_VALUE"""),"MultiTradingTicketFromBlotter")</f>
        <v>MultiTradingTicketFromBlotter</v>
      </c>
      <c r="AQ4" s="22" t="str">
        <f>IFERROR(__xludf.DUMMYFUNCTION("""COMPUTED_VALUE"""),"VerifyViewAllocationDetails")</f>
        <v>VerifyViewAllocationDetails</v>
      </c>
      <c r="AR4" s="22" t="str">
        <f>IFERROR(__xludf.DUMMYFUNCTION("""COMPUTED_VALUE"""),"GoToAllocation")</f>
        <v>GoToAllocation</v>
      </c>
      <c r="AS4" s="22" t="str">
        <f>IFERROR(__xludf.DUMMYFUNCTION("""COMPUTED_VALUE"""),"VerifyRollover")</f>
        <v>VerifyRollover</v>
      </c>
      <c r="AT4" s="22" t="str">
        <f>IFERROR(__xludf.DUMMYFUNCTION("""COMPUTED_VALUE"""),"VerifySubOrderAfterRollover")</f>
        <v>VerifySubOrderAfterRollover</v>
      </c>
      <c r="AU4" s="22" t="str">
        <f>IFERROR(__xludf.DUMMYFUNCTION("""COMPUTED_VALUE"""),"OpenBlotter")</f>
        <v>OpenBlotter</v>
      </c>
      <c r="AV4" s="22" t="str">
        <f>IFERROR(__xludf.DUMMYFUNCTION("""COMPUTED_VALUE"""),"OpenBlotter")</f>
        <v>OpenBlotter</v>
      </c>
      <c r="AW4" s="22" t="str">
        <f>IFERROR(__xludf.DUMMYFUNCTION("""COMPUTED_VALUE"""),"RemoveManualExecution")</f>
        <v>RemoveManualExecution</v>
      </c>
      <c r="AX4" s="22" t="str">
        <f>IFERROR(__xludf.DUMMYFUNCTION("""COMPUTED_VALUE"""),"RemoveExecutionWorkingSubs")</f>
        <v>RemoveExecutionWorkingSubs</v>
      </c>
      <c r="AY4" s="22" t="str">
        <f>IFERROR(__xludf.DUMMYFUNCTION("""COMPUTED_VALUE"""),"GetExecutionReportOrders")</f>
        <v>GetExecutionReportOrders</v>
      </c>
      <c r="AZ4" s="22" t="str">
        <f>IFERROR(__xludf.DUMMYFUNCTION("""COMPUTED_VALUE"""),"GetExecutionReportDetails")</f>
        <v>GetExecutionReportDetails</v>
      </c>
      <c r="BA4" s="22" t="str">
        <f>IFERROR(__xludf.DUMMYFUNCTION("""COMPUTED_VALUE"""),"ExportExecutionReportData")</f>
        <v>ExportExecutionReportData</v>
      </c>
      <c r="BB4" s="22" t="str">
        <f>IFERROR(__xludf.DUMMYFUNCTION("""COMPUTED_VALUE"""),"VerifyExecutionReport")</f>
        <v>VerifyExecutionReport</v>
      </c>
      <c r="BC4" s="22" t="str">
        <f>IFERROR(__xludf.DUMMYFUNCTION("""COMPUTED_VALUE"""),"BlotterExecutionReportSnapshot")</f>
        <v>BlotterExecutionReportSnapshot</v>
      </c>
      <c r="BD4" s="22" t="str">
        <f>IFERROR(__xludf.DUMMYFUNCTION("""COMPUTED_VALUE"""),"MultipleTradeTransferToUser")</f>
        <v>MultipleTradeTransferToUser</v>
      </c>
      <c r="BE4" s="22" t="str">
        <f>IFERROR(__xludf.DUMMYFUNCTION("""COMPUTED_VALUE"""),"ReloadOrderFromBlotter")</f>
        <v>ReloadOrderFromBlotter</v>
      </c>
      <c r="BF4" s="22" t="str">
        <f>IFERROR(__xludf.DUMMYFUNCTION("""COMPUTED_VALUE"""),"ReloadOrderFromSubOrder")</f>
        <v>ReloadOrderFromSubOrder</v>
      </c>
      <c r="BG4" s="22" t="str">
        <f>IFERROR(__xludf.DUMMYFUNCTION("""COMPUTED_VALUE"""),"ReloadOrderFromWorkingSubs")</f>
        <v>ReloadOrderFromWorkingSubs</v>
      </c>
      <c r="BH4" s="22" t="str">
        <f>IFERROR(__xludf.DUMMYFUNCTION("""COMPUTED_VALUE"""),"SelectFills")</f>
        <v>SelectFills</v>
      </c>
      <c r="BI4" s="22" t="str">
        <f>IFERROR(__xludf.DUMMYFUNCTION("""COMPUTED_VALUE"""),"ModifyFills")</f>
        <v>ModifyFills</v>
      </c>
      <c r="BJ4" s="22" t="str">
        <f>IFERROR(__xludf.DUMMYFUNCTION("""COMPUTED_VALUE"""),"AddTab")</f>
        <v>AddTab</v>
      </c>
      <c r="BK4" s="22" t="str">
        <f>IFERROR(__xludf.DUMMYFUNCTION("""COMPUTED_VALUE"""),"RemoveTab")</f>
        <v>RemoveTab</v>
      </c>
      <c r="BL4" s="22" t="str">
        <f>IFERROR(__xludf.DUMMYFUNCTION("""COMPUTED_VALUE"""),"SelectCustomTab")</f>
        <v>SelectCustomTab</v>
      </c>
      <c r="BM4" s="22" t="str">
        <f>IFERROR(__xludf.DUMMYFUNCTION("""COMPUTED_VALUE"""),"VerifyOrderCustomTab")</f>
        <v>VerifyOrderCustomTab</v>
      </c>
      <c r="BN4" s="22" t="str">
        <f>IFERROR(__xludf.DUMMYFUNCTION("""COMPUTED_VALUE"""),"VerifySubOrderCustomTab")</f>
        <v>VerifySubOrderCustomTab</v>
      </c>
      <c r="BO4" s="22"/>
      <c r="BP4" s="22"/>
      <c r="BQ4" s="22"/>
      <c r="BR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IFERROR(__xludf.DUMMYFUNCTION("""COMPUTED_VALUE"""),"Avg Fill Price (Base)")</f>
        <v>Avg Fill Price (Base)</v>
      </c>
      <c r="C5" s="24" t="str">
        <f>IFERROR(__xludf.DUMMYFUNCTION("""COMPUTED_VALUE"""),"Transaction Time")</f>
        <v>Transaction Time</v>
      </c>
      <c r="D5" s="24" t="str">
        <f>IFERROR(__xludf.DUMMYFUNCTION("""COMPUTED_VALUE"""),"Symbol")</f>
        <v>Symbol</v>
      </c>
      <c r="E5" s="24" t="str">
        <f>IFERROR(__xludf.DUMMYFUNCTION("""COMPUTED_VALUE"""),"Algo")</f>
        <v>Algo</v>
      </c>
      <c r="F5" s="24" t="str">
        <f>IFERROR(__xludf.DUMMYFUNCTION("""COMPUTED_VALUE"""),"Side")</f>
        <v>Side</v>
      </c>
      <c r="G5" s="24" t="str">
        <f>IFERROR(__xludf.DUMMYFUNCTION("""COMPUTED_VALUE"""),"Status")</f>
        <v>Status</v>
      </c>
      <c r="H5" s="24" t="str">
        <f>IFERROR(__xludf.DUMMYFUNCTION("""COMPUTED_VALUE"""),"Quantity")</f>
        <v>Quantity</v>
      </c>
      <c r="I5" s="24" t="str">
        <f>IFERROR(__xludf.DUMMYFUNCTION("""COMPUTED_VALUE"""),"Total Executed Qty")</f>
        <v>Total Executed Qty</v>
      </c>
      <c r="J5" s="24" t="str">
        <f>IFERROR(__xludf.DUMMYFUNCTION("""COMPUTED_VALUE"""),"% Executed")</f>
        <v>% Executed</v>
      </c>
      <c r="K5" s="24" t="str">
        <f>IFERROR(__xludf.DUMMYFUNCTION("""COMPUTED_VALUE"""),"Day Executed Qty")</f>
        <v>Day Executed Qty</v>
      </c>
      <c r="L5" s="24" t="str">
        <f>IFERROR(__xludf.DUMMYFUNCTION("""COMPUTED_VALUE"""),"Uncommitted Qty")</f>
        <v>Uncommitted Qty</v>
      </c>
      <c r="M5" s="24" t="str">
        <f>IFERROR(__xludf.DUMMYFUNCTION("""COMPUTED_VALUE"""),"Limit Price")</f>
        <v>Limit Price</v>
      </c>
      <c r="N5" s="24" t="str">
        <f>IFERROR(__xludf.DUMMYFUNCTION("""COMPUTED_VALUE"""),"Last Fill Price (Local)")</f>
        <v>Last Fill Price (Local)</v>
      </c>
      <c r="O5" s="24" t="str">
        <f>IFERROR(__xludf.DUMMYFUNCTION("""COMPUTED_VALUE"""),"Stop Price")</f>
        <v>Stop Price</v>
      </c>
      <c r="P5" s="24" t="str">
        <f>IFERROR(__xludf.DUMMYFUNCTION("""COMPUTED_VALUE"""),"Avg Fill Price (Local)")</f>
        <v>Avg Fill Price (Local)</v>
      </c>
      <c r="Q5" s="24" t="str">
        <f>IFERROR(__xludf.DUMMYFUNCTION("""COMPUTED_VALUE"""),"Broker")</f>
        <v>Broker</v>
      </c>
      <c r="R5" s="24" t="str">
        <f>IFERROR(__xludf.DUMMYFUNCTION("""COMPUTED_VALUE"""),"Account")</f>
        <v>Account</v>
      </c>
      <c r="S5" s="24" t="str">
        <f>IFERROR(__xludf.DUMMYFUNCTION("""COMPUTED_VALUE"""),"OrderID")</f>
        <v>OrderID</v>
      </c>
      <c r="T5" s="25" t="str">
        <f>IFERROR(__xludf.DUMMYFUNCTION("""COMPUTED_VALUE"""),"Order Type")</f>
        <v>Order Type</v>
      </c>
      <c r="U5" s="25" t="str">
        <f>IFERROR(__xludf.DUMMYFUNCTION("""COMPUTED_VALUE"""),"Principal Amount (Local)")</f>
        <v>Principal Amount (Local)</v>
      </c>
      <c r="V5" s="25" t="str">
        <f>IFERROR(__xludf.DUMMYFUNCTION("""COMPUTED_VALUE"""),"Principal Amount (Base)")</f>
        <v>Principal Amount (Base)</v>
      </c>
      <c r="W5" s="25" t="str">
        <f>IFERROR(__xludf.DUMMYFUNCTION("""COMPUTED_VALUE"""),"Peg")</f>
        <v>Peg</v>
      </c>
      <c r="X5" s="25" t="str">
        <f>IFERROR(__xludf.DUMMYFUNCTION("""COMPUTED_VALUE"""),"ParentClOrderID")</f>
        <v>ParentClOrderID</v>
      </c>
      <c r="Y5" s="25" t="str">
        <f>IFERROR(__xludf.DUMMYFUNCTION("""COMPUTED_VALUE"""),"Strike Price")</f>
        <v>Strike Price</v>
      </c>
      <c r="Z5" s="25" t="str">
        <f>IFERROR(__xludf.DUMMYFUNCTION("""COMPUTED_VALUE"""),"Last Shares")</f>
        <v>Last Shares</v>
      </c>
      <c r="AA5" s="25" t="str">
        <f>IFERROR(__xludf.DUMMYFUNCTION("""COMPUTED_VALUE"""),"Working Qty")</f>
        <v>Working Qty</v>
      </c>
      <c r="AB5" s="25" t="str">
        <f>IFERROR(__xludf.DUMMYFUNCTION("""COMPUTED_VALUE"""),"Bloomberg Symbol")</f>
        <v>Bloomberg Symbol</v>
      </c>
      <c r="AC5" s="25" t="str">
        <f>IFERROR(__xludf.DUMMYFUNCTION("""COMPUTED_VALUE"""),"Imported File Name")</f>
        <v>Imported File Name</v>
      </c>
      <c r="AD5" s="25" t="str">
        <f>IFERROR(__xludf.DUMMYFUNCTION("""COMPUTED_VALUE"""),"Master Fund")</f>
        <v>Master Fund</v>
      </c>
      <c r="AE5" s="25" t="str">
        <f>IFERROR(__xludf.DUMMYFUNCTION("""COMPUTED_VALUE"""),"Day Average Price")</f>
        <v>Day Average Price</v>
      </c>
      <c r="AF5" s="25" t="str">
        <f>IFERROR(__xludf.DUMMYFUNCTION("""COMPUTED_VALUE"""),"Asset Class")</f>
        <v>Asset Class</v>
      </c>
      <c r="AG5" s="25" t="str">
        <f>IFERROR(__xludf.DUMMYFUNCTION("""COMPUTED_VALUE"""),"Underlying Country")</f>
        <v>Underlying Country</v>
      </c>
      <c r="AH5" s="25" t="str">
        <f>IFERROR(__xludf.DUMMYFUNCTION("""COMPUTED_VALUE"""),"Trader")</f>
        <v>Trader</v>
      </c>
      <c r="AI5" s="25" t="str">
        <f>IFERROR(__xludf.DUMMYFUNCTION("""COMPUTED_VALUE"""),"User")</f>
        <v>User</v>
      </c>
      <c r="AJ5" s="25" t="str">
        <f>IFERROR(__xludf.DUMMYFUNCTION("""COMPUTED_VALUE"""),"Venue")</f>
        <v>Venue</v>
      </c>
      <c r="AK5" s="25" t="str">
        <f>IFERROR(__xludf.DUMMYFUNCTION("""COMPUTED_VALUE"""),"Settlement Currency")</f>
        <v>Settlement Currency</v>
      </c>
      <c r="AL5" s="25" t="str">
        <f>IFERROR(__xludf.DUMMYFUNCTION("""COMPUTED_VALUE"""),"FX Conversion Operator")</f>
        <v>FX Conversion Operator</v>
      </c>
      <c r="AM5" s="25" t="str">
        <f>IFERROR(__xludf.DUMMYFUNCTION("""COMPUTED_VALUE"""),"Process Date")</f>
        <v>Process Date</v>
      </c>
      <c r="AN5" s="25" t="str">
        <f>IFERROR(__xludf.DUMMYFUNCTION("""COMPUTED_VALUE"""),"Underlying Symbol")</f>
        <v>Underlying Symbol</v>
      </c>
      <c r="AO5" s="25" t="str">
        <f>IFERROR(__xludf.DUMMYFUNCTION("""COMPUTED_VALUE"""),"Put/Call")</f>
        <v>Put/Call</v>
      </c>
      <c r="AP5" s="25" t="str">
        <f>IFERROR(__xludf.DUMMYFUNCTION("""COMPUTED_VALUE"""),"FX Rate")</f>
        <v>FX Rate</v>
      </c>
      <c r="AQ5" s="25" t="str">
        <f>IFERROR(__xludf.DUMMYFUNCTION("""COMPUTED_VALUE"""),"Trade Attribute 1")</f>
        <v>Trade Attribute 1</v>
      </c>
      <c r="AR5" s="25" t="str">
        <f>IFERROR(__xludf.DUMMYFUNCTION("""COMPUTED_VALUE"""),"Trade Attribute 2")</f>
        <v>Trade Attribute 2</v>
      </c>
      <c r="AS5" s="25" t="str">
        <f>IFERROR(__xludf.DUMMYFUNCTION("""COMPUTED_VALUE"""),"Trade Attribute 3")</f>
        <v>Trade Attribute 3</v>
      </c>
      <c r="AT5" s="25" t="str">
        <f>IFERROR(__xludf.DUMMYFUNCTION("""COMPUTED_VALUE"""),"Trade Attribute 4")</f>
        <v>Trade Attribute 4</v>
      </c>
      <c r="AU5" s="25" t="str">
        <f>IFERROR(__xludf.DUMMYFUNCTION("""COMPUTED_VALUE"""),"Trade Attribute 5")</f>
        <v>Trade Attribute 5</v>
      </c>
      <c r="AV5" s="25" t="str">
        <f>IFERROR(__xludf.DUMMYFUNCTION("""COMPUTED_VALUE"""),"Trade Attribute 6")</f>
        <v>Trade Attribute 6</v>
      </c>
      <c r="AW5" s="25" t="str">
        <f>IFERROR(__xludf.DUMMYFUNCTION("""COMPUTED_VALUE"""),"Internal Comments")</f>
        <v>Internal Comments</v>
      </c>
      <c r="AX5" s="25" t="str">
        <f>IFERROR(__xludf.DUMMYFUNCTION("""COMPUTED_VALUE"""),"Allocation Scheme Name")</f>
        <v>Allocation Scheme Name</v>
      </c>
      <c r="AY5" s="25" t="str">
        <f>IFERROR(__xludf.DUMMYFUNCTION("""COMPUTED_VALUE"""),"Start of Day Qty")</f>
        <v>Start of Day Qty</v>
      </c>
      <c r="AZ5" s="25" t="str">
        <f>IFERROR(__xludf.DUMMYFUNCTION("""COMPUTED_VALUE"""),"Leaves")</f>
        <v>Leaves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</row>
    <row r="6" ht="15.75" customHeight="1">
      <c r="A6" s="9"/>
      <c r="B6" s="9">
        <v>4.0</v>
      </c>
      <c r="C6" s="9"/>
      <c r="D6" s="9" t="s">
        <v>671</v>
      </c>
      <c r="E6" s="9"/>
      <c r="F6" s="9" t="s">
        <v>672</v>
      </c>
      <c r="G6" s="9" t="s">
        <v>680</v>
      </c>
      <c r="H6" s="9">
        <v>10000.0</v>
      </c>
      <c r="I6" s="9">
        <v>6000.0</v>
      </c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6"/>
      <c r="B1" s="1" t="s">
        <v>664</v>
      </c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8" t="str">
        <f> VLOOKUP($E$3,'_MasterData'!B4:D1000,3,FALSE)</f>
        <v>#N/A</v>
      </c>
      <c r="K2" s="18"/>
      <c r="L2" s="9"/>
      <c r="M2" s="9"/>
      <c r="N2" s="9"/>
      <c r="O2" s="9"/>
    </row>
    <row r="3" ht="15.75" customHeight="1">
      <c r="A3" s="19"/>
      <c r="B3" s="4" t="s">
        <v>661</v>
      </c>
      <c r="C3" s="13" t="s">
        <v>18</v>
      </c>
      <c r="D3" s="4" t="s">
        <v>662</v>
      </c>
      <c r="E3" s="13" t="s">
        <v>250</v>
      </c>
      <c r="F3" s="4" t="s">
        <v>665</v>
      </c>
      <c r="G3" s="13" t="s">
        <v>666</v>
      </c>
      <c r="H3" s="4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</row>
    <row r="4" ht="15.75" customHeight="1">
      <c r="A4" s="21"/>
      <c r="B4" s="21" t="str">
        <f>IFERROR(__xludf.DUMMYFUNCTION("IF(C3="""","""",Transpose(IMPORTRANGE('_Settings'!$B$3,C3&amp;""!A4:A1000"")))"),"ReplaceFillsOnBlotter")</f>
        <v>ReplaceFillsOnBlotter</v>
      </c>
      <c r="C4" s="21" t="str">
        <f>IFERROR(__xludf.DUMMYFUNCTION("""COMPUTED_VALUE"""),"CheckBlotter")</f>
        <v>CheckBlotter</v>
      </c>
      <c r="D4" s="21" t="str">
        <f>IFERROR(__xludf.DUMMYFUNCTION("""COMPUTED_VALUE"""),"BlotterFunctionalities")</f>
        <v>BlotterFunctionalities</v>
      </c>
      <c r="E4" s="21" t="str">
        <f>IFERROR(__xludf.DUMMYFUNCTION("""COMPUTED_VALUE"""),"TransferToUserWorkingSubs")</f>
        <v>TransferToUserWorkingSubs</v>
      </c>
      <c r="F4" s="21" t="str">
        <f>IFERROR(__xludf.DUMMYFUNCTION("""COMPUTED_VALUE"""),"CancelWorkingSubs")</f>
        <v>CancelWorkingSubs</v>
      </c>
      <c r="G4" s="21" t="str">
        <f>IFERROR(__xludf.DUMMYFUNCTION("""COMPUTED_VALUE"""),"ReplaceWorkingSubs")</f>
        <v>ReplaceWorkingSubs</v>
      </c>
      <c r="H4" s="21" t="str">
        <f>IFERROR(__xludf.DUMMYFUNCTION("""COMPUTED_VALUE"""),"ViewAllocationDetailsWorkingSub")</f>
        <v>ViewAllocationDetailsWorkingSub</v>
      </c>
      <c r="I4" s="21" t="str">
        <f>IFERROR(__xludf.DUMMYFUNCTION("""COMPUTED_VALUE"""),"SelectTradeOnOrderGrid")</f>
        <v>SelectTradeOnOrderGrid</v>
      </c>
      <c r="J4" s="21" t="str">
        <f>IFERROR(__xludf.DUMMYFUNCTION("""COMPUTED_VALUE"""),"ShowDetailsForAlgoTradeSubOrder")</f>
        <v>ShowDetailsForAlgoTradeSubOrder</v>
      </c>
      <c r="K4" s="21" t="str">
        <f>IFERROR(__xludf.DUMMYFUNCTION("""COMPUTED_VALUE"""),"SelectTradeOrderBlotter")</f>
        <v>SelectTradeOrderBlotter</v>
      </c>
      <c r="L4" s="21" t="str">
        <f>IFERROR(__xludf.DUMMYFUNCTION("""COMPUTED_VALUE"""),"AddFillsWorkingSubs")</f>
        <v>AddFillsWorkingSubs</v>
      </c>
      <c r="M4" s="21" t="str">
        <f>IFERROR(__xludf.DUMMYFUNCTION("""COMPUTED_VALUE"""),"EditAddFillsDetails")</f>
        <v>EditAddFillsDetails</v>
      </c>
      <c r="N4" s="21" t="str">
        <f>IFERROR(__xludf.DUMMYFUNCTION("""COMPUTED_VALUE"""),"ShowDetailsForAlgoTradeWorkingSubs")</f>
        <v>ShowDetailsForAlgoTradeWorkingSubs</v>
      </c>
      <c r="O4" s="21" t="str">
        <f>IFERROR(__xludf.DUMMYFUNCTION("""COMPUTED_VALUE"""),"VerifyWorkingSubs")</f>
        <v>VerifyWorkingSubs</v>
      </c>
      <c r="P4" s="22" t="str">
        <f>IFERROR(__xludf.DUMMYFUNCTION("""COMPUTED_VALUE"""),"TransferToUserOrder")</f>
        <v>TransferToUserOrder</v>
      </c>
      <c r="Q4" s="22" t="str">
        <f>IFERROR(__xludf.DUMMYFUNCTION("""COMPUTED_VALUE"""),"EditOrder")</f>
        <v>EditOrder</v>
      </c>
      <c r="R4" s="22" t="str">
        <f>IFERROR(__xludf.DUMMYFUNCTION("""COMPUTED_VALUE"""),"SelectTradeSubOrderBlotter")</f>
        <v>SelectTradeSubOrderBlotter</v>
      </c>
      <c r="S4" s="22" t="str">
        <f>IFERROR(__xludf.DUMMYFUNCTION("""COMPUTED_VALUE"""),"VerifyOrder")</f>
        <v>VerifyOrder</v>
      </c>
      <c r="T4" s="22" t="str">
        <f>IFERROR(__xludf.DUMMYFUNCTION("""COMPUTED_VALUE"""),"VerifySubOrder")</f>
        <v>VerifySubOrder</v>
      </c>
      <c r="U4" s="22" t="str">
        <f>IFERROR(__xludf.DUMMYFUNCTION("""COMPUTED_VALUE"""),"RemoveSelectedOrders")</f>
        <v>RemoveSelectedOrders</v>
      </c>
      <c r="V4" s="22" t="str">
        <f>IFERROR(__xludf.DUMMYFUNCTION("""COMPUTED_VALUE"""),"CancelAllSelectedSubs")</f>
        <v>CancelAllSelectedSubs</v>
      </c>
      <c r="W4" s="22" t="str">
        <f>IFERROR(__xludf.DUMMYFUNCTION("""COMPUTED_VALUE"""),"MultiTradingTicket")</f>
        <v>MultiTradingTicket</v>
      </c>
      <c r="X4" s="22" t="str">
        <f>IFERROR(__xludf.DUMMYFUNCTION("""COMPUTED_VALUE"""),"AuditTrailOrderBlotter")</f>
        <v>AuditTrailOrderBlotter</v>
      </c>
      <c r="Y4" s="22" t="str">
        <f>IFERROR(__xludf.DUMMYFUNCTION("""COMPUTED_VALUE"""),"TradeNewSubOrder")</f>
        <v>TradeNewSubOrder</v>
      </c>
      <c r="Z4" s="22" t="str">
        <f>IFERROR(__xludf.DUMMYFUNCTION("""COMPUTED_VALUE"""),"RemoveStageOrder")</f>
        <v>RemoveStageOrder</v>
      </c>
      <c r="AA4" s="22" t="str">
        <f>IFERROR(__xludf.DUMMYFUNCTION("""COMPUTED_VALUE"""),"TransferToUserSubOrder")</f>
        <v>TransferToUserSubOrder</v>
      </c>
      <c r="AB4" s="22" t="str">
        <f>IFERROR(__xludf.DUMMYFUNCTION("""COMPUTED_VALUE"""),"DetailsForAlgoTradeOrder")</f>
        <v>DetailsForAlgoTradeOrder</v>
      </c>
      <c r="AC4" s="22" t="str">
        <f>IFERROR(__xludf.DUMMYFUNCTION("""COMPUTED_VALUE"""),"AddFillsSubOrder")</f>
        <v>AddFillsSubOrder</v>
      </c>
      <c r="AD4" s="22" t="str">
        <f>IFERROR(__xludf.DUMMYFUNCTION("""COMPUTED_VALUE"""),"ViewAllocationDetailsSubOrder")</f>
        <v>ViewAllocationDetailsSubOrder</v>
      </c>
      <c r="AE4" s="22" t="str">
        <f>IFERROR(__xludf.DUMMYFUNCTION("""COMPUTED_VALUE"""),"CancelAllSubs")</f>
        <v>CancelAllSubs</v>
      </c>
      <c r="AF4" s="22" t="str">
        <f>IFERROR(__xludf.DUMMYFUNCTION("""COMPUTED_VALUE"""),"CancelSubOrder")</f>
        <v>CancelSubOrder</v>
      </c>
      <c r="AG4" s="22" t="str">
        <f>IFERROR(__xludf.DUMMYFUNCTION("""COMPUTED_VALUE"""),"EditStageOrder")</f>
        <v>EditStageOrder</v>
      </c>
      <c r="AH4" s="22" t="str">
        <f>IFERROR(__xludf.DUMMYFUNCTION("""COMPUTED_VALUE"""),"ReplaceSubOrder")</f>
        <v>ReplaceSubOrder</v>
      </c>
      <c r="AI4" s="22" t="str">
        <f>IFERROR(__xludf.DUMMYFUNCTION("""COMPUTED_VALUE"""),"SelectTradeWorkingSubsBlotter")</f>
        <v>SelectTradeWorkingSubsBlotter</v>
      </c>
      <c r="AJ4" s="22" t="str">
        <f>IFERROR(__xludf.DUMMYFUNCTION("""COMPUTED_VALUE"""),"VerifyAlgoDetails")</f>
        <v>VerifyAlgoDetails</v>
      </c>
      <c r="AK4" s="22" t="str">
        <f>IFERROR(__xludf.DUMMYFUNCTION("""COMPUTED_VALUE"""),"VerifyTransferToUserOrder")</f>
        <v>VerifyTransferToUserOrder</v>
      </c>
      <c r="AL4" s="22" t="str">
        <f>IFERROR(__xludf.DUMMYFUNCTION("""COMPUTED_VALUE"""),"VerifyTransferToUserSubOdr")</f>
        <v>VerifyTransferToUserSubOdr</v>
      </c>
      <c r="AM4" s="22" t="str">
        <f>IFERROR(__xludf.DUMMYFUNCTION("""COMPUTED_VALUE"""),"VerifyTransferToUserWorkSub")</f>
        <v>VerifyTransferToUserWorkSub</v>
      </c>
      <c r="AN4" s="22" t="str">
        <f>IFERROR(__xludf.DUMMYFUNCTION("""COMPUTED_VALUE"""),"SaveLayoutOrderGrid")</f>
        <v>SaveLayoutOrderGrid</v>
      </c>
      <c r="AO4" s="22" t="str">
        <f>IFERROR(__xludf.DUMMYFUNCTION("""COMPUTED_VALUE"""),"ReplaceStageOrder")</f>
        <v>ReplaceStageOrder</v>
      </c>
      <c r="AP4" s="22" t="str">
        <f>IFERROR(__xludf.DUMMYFUNCTION("""COMPUTED_VALUE"""),"MultiTradingTicketFromBlotter")</f>
        <v>MultiTradingTicketFromBlotter</v>
      </c>
      <c r="AQ4" s="22" t="str">
        <f>IFERROR(__xludf.DUMMYFUNCTION("""COMPUTED_VALUE"""),"VerifyViewAllocationDetails")</f>
        <v>VerifyViewAllocationDetails</v>
      </c>
      <c r="AR4" s="22" t="str">
        <f>IFERROR(__xludf.DUMMYFUNCTION("""COMPUTED_VALUE"""),"GoToAllocation")</f>
        <v>GoToAllocation</v>
      </c>
      <c r="AS4" s="22" t="str">
        <f>IFERROR(__xludf.DUMMYFUNCTION("""COMPUTED_VALUE"""),"VerifyRollover")</f>
        <v>VerifyRollover</v>
      </c>
      <c r="AT4" s="22" t="str">
        <f>IFERROR(__xludf.DUMMYFUNCTION("""COMPUTED_VALUE"""),"VerifySubOrderAfterRollover")</f>
        <v>VerifySubOrderAfterRollover</v>
      </c>
      <c r="AU4" s="22" t="str">
        <f>IFERROR(__xludf.DUMMYFUNCTION("""COMPUTED_VALUE"""),"OpenBlotter")</f>
        <v>OpenBlotter</v>
      </c>
      <c r="AV4" s="22" t="str">
        <f>IFERROR(__xludf.DUMMYFUNCTION("""COMPUTED_VALUE"""),"OpenBlotter")</f>
        <v>OpenBlotter</v>
      </c>
      <c r="AW4" s="22" t="str">
        <f>IFERROR(__xludf.DUMMYFUNCTION("""COMPUTED_VALUE"""),"RemoveManualExecution")</f>
        <v>RemoveManualExecution</v>
      </c>
      <c r="AX4" s="22" t="str">
        <f>IFERROR(__xludf.DUMMYFUNCTION("""COMPUTED_VALUE"""),"RemoveExecutionWorkingSubs")</f>
        <v>RemoveExecutionWorkingSubs</v>
      </c>
      <c r="AY4" s="22" t="str">
        <f>IFERROR(__xludf.DUMMYFUNCTION("""COMPUTED_VALUE"""),"GetExecutionReportOrders")</f>
        <v>GetExecutionReportOrders</v>
      </c>
      <c r="AZ4" s="22" t="str">
        <f>IFERROR(__xludf.DUMMYFUNCTION("""COMPUTED_VALUE"""),"GetExecutionReportDetails")</f>
        <v>GetExecutionReportDetails</v>
      </c>
      <c r="BA4" s="22" t="str">
        <f>IFERROR(__xludf.DUMMYFUNCTION("""COMPUTED_VALUE"""),"ExportExecutionReportData")</f>
        <v>ExportExecutionReportData</v>
      </c>
      <c r="BB4" s="22" t="str">
        <f>IFERROR(__xludf.DUMMYFUNCTION("""COMPUTED_VALUE"""),"VerifyExecutionReport")</f>
        <v>VerifyExecutionReport</v>
      </c>
      <c r="BC4" s="22" t="str">
        <f>IFERROR(__xludf.DUMMYFUNCTION("""COMPUTED_VALUE"""),"BlotterExecutionReportSnapshot")</f>
        <v>BlotterExecutionReportSnapshot</v>
      </c>
      <c r="BD4" s="22" t="str">
        <f>IFERROR(__xludf.DUMMYFUNCTION("""COMPUTED_VALUE"""),"MultipleTradeTransferToUser")</f>
        <v>MultipleTradeTransferToUser</v>
      </c>
      <c r="BE4" s="22" t="str">
        <f>IFERROR(__xludf.DUMMYFUNCTION("""COMPUTED_VALUE"""),"ReloadOrderFromBlotter")</f>
        <v>ReloadOrderFromBlotter</v>
      </c>
      <c r="BF4" s="22" t="str">
        <f>IFERROR(__xludf.DUMMYFUNCTION("""COMPUTED_VALUE"""),"ReloadOrderFromSubOrder")</f>
        <v>ReloadOrderFromSubOrder</v>
      </c>
      <c r="BG4" s="22" t="str">
        <f>IFERROR(__xludf.DUMMYFUNCTION("""COMPUTED_VALUE"""),"ReloadOrderFromWorkingSubs")</f>
        <v>ReloadOrderFromWorkingSubs</v>
      </c>
      <c r="BH4" s="22" t="str">
        <f>IFERROR(__xludf.DUMMYFUNCTION("""COMPUTED_VALUE"""),"SelectFills")</f>
        <v>SelectFills</v>
      </c>
      <c r="BI4" s="22" t="str">
        <f>IFERROR(__xludf.DUMMYFUNCTION("""COMPUTED_VALUE"""),"ModifyFills")</f>
        <v>ModifyFills</v>
      </c>
      <c r="BJ4" s="22" t="str">
        <f>IFERROR(__xludf.DUMMYFUNCTION("""COMPUTED_VALUE"""),"AddTab")</f>
        <v>AddTab</v>
      </c>
      <c r="BK4" s="22" t="str">
        <f>IFERROR(__xludf.DUMMYFUNCTION("""COMPUTED_VALUE"""),"RemoveTab")</f>
        <v>RemoveTab</v>
      </c>
      <c r="BL4" s="22" t="str">
        <f>IFERROR(__xludf.DUMMYFUNCTION("""COMPUTED_VALUE"""),"SelectCustomTab")</f>
        <v>SelectCustomTab</v>
      </c>
      <c r="BM4" s="22" t="str">
        <f>IFERROR(__xludf.DUMMYFUNCTION("""COMPUTED_VALUE"""),"VerifyOrderCustomTab")</f>
        <v>VerifyOrderCustomTab</v>
      </c>
      <c r="BN4" s="22" t="str">
        <f>IFERROR(__xludf.DUMMYFUNCTION("""COMPUTED_VALUE"""),"VerifySubOrderCustomTab")</f>
        <v>VerifySubOrderCustomTab</v>
      </c>
      <c r="BO4" s="22"/>
      <c r="BP4" s="22"/>
      <c r="BQ4" s="22"/>
      <c r="BR4" s="22"/>
    </row>
    <row r="5" ht="15.75" customHeight="1">
      <c r="A5" s="23" t="str">
        <f>IFERROR(__xludf.DUMMYFUNCTION("TRANSPOSE(IMPORTRANGE(VLOOKUP($E$3,IMPORTRANGE('_Settings'!$B$3,$C$3&amp;""!A4:B1000""),2,FALSE),$G$3&amp;""!A4:A1000""))"),"")</f>
        <v/>
      </c>
      <c r="B5" s="24" t="str">
        <f>IFERROR(__xludf.DUMMYFUNCTION("""COMPUTED_VALUE"""),"Avg Fill Price (Base)")</f>
        <v>Avg Fill Price (Base)</v>
      </c>
      <c r="C5" s="24" t="str">
        <f>IFERROR(__xludf.DUMMYFUNCTION("""COMPUTED_VALUE"""),"Transaction Time")</f>
        <v>Transaction Time</v>
      </c>
      <c r="D5" s="24" t="str">
        <f>IFERROR(__xludf.DUMMYFUNCTION("""COMPUTED_VALUE"""),"Symbol")</f>
        <v>Symbol</v>
      </c>
      <c r="E5" s="24" t="str">
        <f>IFERROR(__xludf.DUMMYFUNCTION("""COMPUTED_VALUE"""),"Algo")</f>
        <v>Algo</v>
      </c>
      <c r="F5" s="24" t="str">
        <f>IFERROR(__xludf.DUMMYFUNCTION("""COMPUTED_VALUE"""),"Side")</f>
        <v>Side</v>
      </c>
      <c r="G5" s="24" t="str">
        <f>IFERROR(__xludf.DUMMYFUNCTION("""COMPUTED_VALUE"""),"Status")</f>
        <v>Status</v>
      </c>
      <c r="H5" s="24" t="str">
        <f>IFERROR(__xludf.DUMMYFUNCTION("""COMPUTED_VALUE"""),"Quantity")</f>
        <v>Quantity</v>
      </c>
      <c r="I5" s="24" t="str">
        <f>IFERROR(__xludf.DUMMYFUNCTION("""COMPUTED_VALUE"""),"Total Executed Qty")</f>
        <v>Total Executed Qty</v>
      </c>
      <c r="J5" s="24" t="str">
        <f>IFERROR(__xludf.DUMMYFUNCTION("""COMPUTED_VALUE"""),"% Executed")</f>
        <v>% Executed</v>
      </c>
      <c r="K5" s="24" t="str">
        <f>IFERROR(__xludf.DUMMYFUNCTION("""COMPUTED_VALUE"""),"Day Executed Qty")</f>
        <v>Day Executed Qty</v>
      </c>
      <c r="L5" s="24" t="str">
        <f>IFERROR(__xludf.DUMMYFUNCTION("""COMPUTED_VALUE"""),"Uncommitted Qty")</f>
        <v>Uncommitted Qty</v>
      </c>
      <c r="M5" s="24" t="str">
        <f>IFERROR(__xludf.DUMMYFUNCTION("""COMPUTED_VALUE"""),"Limit Price")</f>
        <v>Limit Price</v>
      </c>
      <c r="N5" s="24" t="str">
        <f>IFERROR(__xludf.DUMMYFUNCTION("""COMPUTED_VALUE"""),"Last Fill Price (Local)")</f>
        <v>Last Fill Price (Local)</v>
      </c>
      <c r="O5" s="24" t="str">
        <f>IFERROR(__xludf.DUMMYFUNCTION("""COMPUTED_VALUE"""),"Stop Price")</f>
        <v>Stop Price</v>
      </c>
      <c r="P5" s="24" t="str">
        <f>IFERROR(__xludf.DUMMYFUNCTION("""COMPUTED_VALUE"""),"Avg Fill Price (Local)")</f>
        <v>Avg Fill Price (Local)</v>
      </c>
      <c r="Q5" s="24" t="str">
        <f>IFERROR(__xludf.DUMMYFUNCTION("""COMPUTED_VALUE"""),"Broker")</f>
        <v>Broker</v>
      </c>
      <c r="R5" s="24" t="str">
        <f>IFERROR(__xludf.DUMMYFUNCTION("""COMPUTED_VALUE"""),"Account")</f>
        <v>Account</v>
      </c>
      <c r="S5" s="24" t="str">
        <f>IFERROR(__xludf.DUMMYFUNCTION("""COMPUTED_VALUE"""),"OrderID")</f>
        <v>OrderID</v>
      </c>
      <c r="T5" s="25" t="str">
        <f>IFERROR(__xludf.DUMMYFUNCTION("""COMPUTED_VALUE"""),"Order Type")</f>
        <v>Order Type</v>
      </c>
      <c r="U5" s="25" t="str">
        <f>IFERROR(__xludf.DUMMYFUNCTION("""COMPUTED_VALUE"""),"Principal Amount (Local)")</f>
        <v>Principal Amount (Local)</v>
      </c>
      <c r="V5" s="25" t="str">
        <f>IFERROR(__xludf.DUMMYFUNCTION("""COMPUTED_VALUE"""),"Principal Amount (Base)")</f>
        <v>Principal Amount (Base)</v>
      </c>
      <c r="W5" s="25" t="str">
        <f>IFERROR(__xludf.DUMMYFUNCTION("""COMPUTED_VALUE"""),"Peg")</f>
        <v>Peg</v>
      </c>
      <c r="X5" s="25" t="str">
        <f>IFERROR(__xludf.DUMMYFUNCTION("""COMPUTED_VALUE"""),"ParentClOrderID")</f>
        <v>ParentClOrderID</v>
      </c>
      <c r="Y5" s="25" t="str">
        <f>IFERROR(__xludf.DUMMYFUNCTION("""COMPUTED_VALUE"""),"Strike Price")</f>
        <v>Strike Price</v>
      </c>
      <c r="Z5" s="25" t="str">
        <f>IFERROR(__xludf.DUMMYFUNCTION("""COMPUTED_VALUE"""),"Last Shares")</f>
        <v>Last Shares</v>
      </c>
      <c r="AA5" s="25" t="str">
        <f>IFERROR(__xludf.DUMMYFUNCTION("""COMPUTED_VALUE"""),"Working Qty")</f>
        <v>Working Qty</v>
      </c>
      <c r="AB5" s="25" t="str">
        <f>IFERROR(__xludf.DUMMYFUNCTION("""COMPUTED_VALUE"""),"Bloomberg Symbol")</f>
        <v>Bloomberg Symbol</v>
      </c>
      <c r="AC5" s="25" t="str">
        <f>IFERROR(__xludf.DUMMYFUNCTION("""COMPUTED_VALUE"""),"Imported File Name")</f>
        <v>Imported File Name</v>
      </c>
      <c r="AD5" s="25" t="str">
        <f>IFERROR(__xludf.DUMMYFUNCTION("""COMPUTED_VALUE"""),"Master Fund")</f>
        <v>Master Fund</v>
      </c>
      <c r="AE5" s="25" t="str">
        <f>IFERROR(__xludf.DUMMYFUNCTION("""COMPUTED_VALUE"""),"Day Average Price")</f>
        <v>Day Average Price</v>
      </c>
      <c r="AF5" s="25" t="str">
        <f>IFERROR(__xludf.DUMMYFUNCTION("""COMPUTED_VALUE"""),"Asset Class")</f>
        <v>Asset Class</v>
      </c>
      <c r="AG5" s="25" t="str">
        <f>IFERROR(__xludf.DUMMYFUNCTION("""COMPUTED_VALUE"""),"Underlying Country")</f>
        <v>Underlying Country</v>
      </c>
      <c r="AH5" s="25" t="str">
        <f>IFERROR(__xludf.DUMMYFUNCTION("""COMPUTED_VALUE"""),"Trader")</f>
        <v>Trader</v>
      </c>
      <c r="AI5" s="25" t="str">
        <f>IFERROR(__xludf.DUMMYFUNCTION("""COMPUTED_VALUE"""),"User")</f>
        <v>User</v>
      </c>
      <c r="AJ5" s="25" t="str">
        <f>IFERROR(__xludf.DUMMYFUNCTION("""COMPUTED_VALUE"""),"Venue")</f>
        <v>Venue</v>
      </c>
      <c r="AK5" s="25" t="str">
        <f>IFERROR(__xludf.DUMMYFUNCTION("""COMPUTED_VALUE"""),"Settlement Currency")</f>
        <v>Settlement Currency</v>
      </c>
      <c r="AL5" s="25" t="str">
        <f>IFERROR(__xludf.DUMMYFUNCTION("""COMPUTED_VALUE"""),"FX Conversion Operator")</f>
        <v>FX Conversion Operator</v>
      </c>
      <c r="AM5" s="25" t="str">
        <f>IFERROR(__xludf.DUMMYFUNCTION("""COMPUTED_VALUE"""),"Process Date")</f>
        <v>Process Date</v>
      </c>
      <c r="AN5" s="25" t="str">
        <f>IFERROR(__xludf.DUMMYFUNCTION("""COMPUTED_VALUE"""),"Underlying Symbol")</f>
        <v>Underlying Symbol</v>
      </c>
      <c r="AO5" s="25" t="str">
        <f>IFERROR(__xludf.DUMMYFUNCTION("""COMPUTED_VALUE"""),"Put/Call")</f>
        <v>Put/Call</v>
      </c>
      <c r="AP5" s="25" t="str">
        <f>IFERROR(__xludf.DUMMYFUNCTION("""COMPUTED_VALUE"""),"FX Rate")</f>
        <v>FX Rate</v>
      </c>
      <c r="AQ5" s="25" t="str">
        <f>IFERROR(__xludf.DUMMYFUNCTION("""COMPUTED_VALUE"""),"Trade Attribute 1")</f>
        <v>Trade Attribute 1</v>
      </c>
      <c r="AR5" s="25" t="str">
        <f>IFERROR(__xludf.DUMMYFUNCTION("""COMPUTED_VALUE"""),"Trade Attribute 2")</f>
        <v>Trade Attribute 2</v>
      </c>
      <c r="AS5" s="25" t="str">
        <f>IFERROR(__xludf.DUMMYFUNCTION("""COMPUTED_VALUE"""),"Trade Attribute 3")</f>
        <v>Trade Attribute 3</v>
      </c>
      <c r="AT5" s="25" t="str">
        <f>IFERROR(__xludf.DUMMYFUNCTION("""COMPUTED_VALUE"""),"Trade Attribute 4")</f>
        <v>Trade Attribute 4</v>
      </c>
      <c r="AU5" s="25" t="str">
        <f>IFERROR(__xludf.DUMMYFUNCTION("""COMPUTED_VALUE"""),"Trade Attribute 5")</f>
        <v>Trade Attribute 5</v>
      </c>
      <c r="AV5" s="25" t="str">
        <f>IFERROR(__xludf.DUMMYFUNCTION("""COMPUTED_VALUE"""),"Trade Attribute 6")</f>
        <v>Trade Attribute 6</v>
      </c>
      <c r="AW5" s="25" t="str">
        <f>IFERROR(__xludf.DUMMYFUNCTION("""COMPUTED_VALUE"""),"Internal Comments")</f>
        <v>Internal Comments</v>
      </c>
      <c r="AX5" s="25" t="str">
        <f>IFERROR(__xludf.DUMMYFUNCTION("""COMPUTED_VALUE"""),"Allocation Scheme Name")</f>
        <v>Allocation Scheme Name</v>
      </c>
      <c r="AY5" s="25" t="str">
        <f>IFERROR(__xludf.DUMMYFUNCTION("""COMPUTED_VALUE"""),"Start of Day Qty")</f>
        <v>Start of Day Qty</v>
      </c>
      <c r="AZ5" s="25" t="str">
        <f>IFERROR(__xludf.DUMMYFUNCTION("""COMPUTED_VALUE"""),"Leaves")</f>
        <v>Leaves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</row>
    <row r="6" ht="15.75" customHeight="1">
      <c r="A6" s="9"/>
      <c r="B6" s="9">
        <v>4.0</v>
      </c>
      <c r="C6" s="9"/>
      <c r="D6" s="9" t="s">
        <v>671</v>
      </c>
      <c r="E6" s="9"/>
      <c r="F6" s="9" t="s">
        <v>672</v>
      </c>
      <c r="G6" s="9" t="s">
        <v>680</v>
      </c>
      <c r="H6" s="9">
        <v>10000.0</v>
      </c>
      <c r="I6" s="9">
        <v>8000.0</v>
      </c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