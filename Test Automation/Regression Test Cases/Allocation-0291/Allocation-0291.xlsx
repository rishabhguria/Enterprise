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roupTrades" sheetId="5" r:id="rId7"/>
    <sheet state="visible" name="GetDataAllocation" sheetId="6" r:id="rId8"/>
    <sheet state="visible" name="SelectUnallocatedGroup" sheetId="7" r:id="rId9"/>
    <sheet state="visible" name="EditUnallocatedGroupSidePanel" sheetId="8" r:id="rId10"/>
    <sheet state="visible" name="GroupTrades1" sheetId="9" r:id="rId11"/>
    <sheet state="visible" name="EnterAccountValuesToAllocate" sheetId="10" r:id="rId12"/>
    <sheet state="visible" name="CheckPortfolioManagement" sheetId="11" r:id="rId13"/>
    <sheet state="visible" name="CheckAllocatedGroups" sheetId="12" r:id="rId14"/>
    <sheet state="visible" name="SelectUnallocatedGroup1" sheetId="13" r:id="rId15"/>
  </sheets>
  <calcPr fullCalcOnLoad="1" fullPrecision="1"/>
</workbook>
</file>

<file path=xl/sharedStrings.xml><?xml version="1.0" encoding="utf-8"?>
<sst xmlns="http://schemas.openxmlformats.org/spreadsheetml/2006/main" count="165" uniqueCount="165">
  <si>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</si>
  <si>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</si>
  <si>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</si>
  <si>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</si>
  <si>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</si>
  <si>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</si>
  <si>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</si>
  <si>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</si>
  <si>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</si>
  <si>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</si>
  <si>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</si>
  <si>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</si>
  <si>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</si>
  <si>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</si>
  <si>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</si>
  <si>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</si>
  <si>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</si>
  <si>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Sell</t>
  </si>
  <si>
    <t>Unallocated</t>
  </si>
  <si>
    <t>Market</t>
  </si>
  <si>
    <t>Sell short</t>
  </si>
  <si>
    <t xml:space="preserve"> </t>
  </si>
  <si>
    <t>Allocation</t>
  </si>
  <si>
    <t>GroupTrades</t>
  </si>
  <si>
    <t>GetDataAllocation</t>
  </si>
  <si>
    <t>RangeType</t>
  </si>
  <si>
    <t>From</t>
  </si>
  <si>
    <t>To</t>
  </si>
  <si>
    <t>FilterTabName</t>
  </si>
  <si>
    <t>Symbol</t>
  </si>
  <si>
    <t>Asset</t>
  </si>
  <si>
    <t>Side</t>
  </si>
  <si>
    <t>Account</t>
  </si>
  <si>
    <t>Broker</t>
  </si>
  <si>
    <t>Currency</t>
  </si>
  <si>
    <t>Exchange</t>
  </si>
  <si>
    <t>StrategyName</t>
  </si>
  <si>
    <t>Underlying</t>
  </si>
  <si>
    <t>Venue</t>
  </si>
  <si>
    <t>TradingAccount</t>
  </si>
  <si>
    <t>PreAllocated</t>
  </si>
  <si>
    <t>ManualGroup</t>
  </si>
  <si>
    <t>Current</t>
  </si>
  <si>
    <t>SelectUnallocatedGroup</t>
  </si>
  <si>
    <t>MS</t>
  </si>
  <si>
    <t>Equity</t>
  </si>
  <si>
    <t>EditUnallocatedGroupSidePanel</t>
  </si>
  <si>
    <t>EnterAccountValuesToAllocate</t>
  </si>
  <si>
    <t>Allocation1</t>
  </si>
  <si>
    <t>PortfolioManagement</t>
  </si>
  <si>
    <t>CheckPortfolioManagement</t>
  </si>
  <si>
    <t>NewMF</t>
  </si>
  <si>
    <t>Short</t>
  </si>
  <si>
    <t>MICROSOFT INC</t>
  </si>
  <si>
    <t>US</t>
  </si>
  <si>
    <t>NASDAQ</t>
  </si>
  <si>
    <t>USD</t>
  </si>
  <si>
    <t>BrokerNotes</t>
  </si>
  <si>
    <t>Copper</t>
  </si>
  <si>
    <t>jpearce</t>
  </si>
  <si>
    <t>CheckAllocatedGroups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</si>
  <si>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</si>
  <si>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</si>
  <si>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</si>
  <si>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</si>
  <si>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</si>
  <si>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</si>
  <si>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</si>
  <si>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</si>
  <si>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</si>
  <si>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</si>
  <si>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</si>
  <si>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</si>
  <si>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</si>
  <si>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</si>
  <si>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</si>
  <si>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</si>
  <si>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</si>
  <si>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</si>
  <si>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</si>
  <si>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</si>
  <si>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</si>
  <si>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</si>
  <si>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</si>
  <si>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</si>
  <si>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</si>
  <si>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</si>
  <si>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</si>
  <si>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</si>
  <si>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</si>
  <si>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</si>
  <si>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</si>
  <si>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</si>
  <si>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</si>
  <si>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</si>
  <si>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</si>
  <si>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</si>
  <si>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</si>
  <si>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</si>
  <si>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</si>
  <si>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</si>
  <si>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</si>
  <si>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</si>
  <si>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</si>
  <si>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</si>
  <si>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</si>
  <si>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</si>
  <si>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</si>
  <si>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</si>
  <si>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</si>
  <si>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</si>
  <si>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</si>
  <si>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</si>
  <si>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</si>
  <si>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</si>
  <si>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</si>
  <si>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</si>
  <si>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</si>
  <si>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</si>
  <si>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</si>
  <si>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</si>
  <si>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</si>
  <si>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</si>
  <si>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</si>
  <si>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</si>
  <si>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</si>
  <si>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</si>
  <si>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</si>
  <si>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</si>
  <si>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</si>
  <si>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</si>
  <si>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</si>
  <si>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</si>
  <si>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</si>
  <si>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</si>
  <si>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</si>
  <si>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</si>
  <si>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</si>
  <si>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</si>
  <si>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</si>
  <si>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</si>
  <si>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</si>
  <si>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</si>
  <si>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</si>
  <si>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</si>
  <si>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</si>
  <si>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</si>
  <si>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</si>
  <si>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</si>
  <si>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</si>
  <si>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</si>
  <si>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</si>
  <si>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</si>
  <si>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</si>
  <si>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Master Fund</t>
  </si>
  <si>
    <t>MandatoryColumn</t>
  </si>
  <si>
    <t>Testing Type</t>
  </si>
  <si>
    <t>Testing Column</t>
  </si>
  <si>
    <t>Testing Col Value</t>
  </si>
  <si>
    <t>DuplicateRow</t>
  </si>
  <si>
    <t>DuplicateCountOnUI</t>
  </si>
  <si>
    <t>MSFT US EQUITY</t>
  </si>
  <si>
    <t>None</t>
  </si>
  <si>
    <t>GCCAP1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</si>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</sst>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9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14" applyNumberFormat="1" fontId="14" applyFont="1" fillId="6" applyFill="1" borderId="0" xfId="0" applyAlignment="1">
      <alignment horizontal="right"/>
    </xf>
    <xf numFmtId="0" fontId="5" applyFont="1" fillId="0" borderId="0" xfId="0" applyAlignment="1">
      <alignment horizontal="right"/>
    </xf>
    <xf numFmtId="0" fontId="1" applyFont="1" fillId="2" applyFill="1" borderId="0" xfId="0" applyAlignment="1">
      <alignment horizontal="center"/>
    </xf>
    <xf numFmtId="0" fontId="5" applyFont="1" fillId="0" borderId="0" xfId="0" applyAlignment="1"/>
    <xf numFmtId="0" fontId="5" applyFont="1" fillId="0" borderId="0" xfId="0" applyAlignment="1">
      <alignment horizontal="right"/>
    </xf>
  </cellXfs>
  <cellStyles count="1">
    <cellStyle name="Normal" xfId="0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ill>
        <patternFill patternType="solid">
          <fgColor rgb="ffb7e1cd"/>
          <bgColor rgb="ffb7e1cd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6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  <c r="D127" s="0">
        <f>IFERROR(__xludf.DUMMYFUNCTION("""COMPUTED_VALUE"""),2.0)</f>
        <v>2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  <c r="D129" s="0">
        <f>IFERROR(__xludf.DUMMYFUNCTION("""COMPUTED_VALUE"""),1.0)</f>
        <v>1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  <c r="D138" s="0">
        <f>IFERROR(__xludf.DUMMYFUNCTION("""COMPUTED_VALUE"""),2.0)</f>
        <v>2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  <c r="D512" s="0" t="str">
        <f>IFERROR(__xludf.DUMMYFUNCTION("""COMPUTED_VALUE"""),"yes")</f>
        <v>yes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IFERROR(__xludf.DUMMYFUNCTION("""COMPUTED_VALUE"""),"1eq2tbYNZTU6VAfgYF2-ao4AM8-9yiVmbLsTlsY4KXro")</f>
        <v>1eq2tbYNZTU6VAfgYF2-ao4AM8-9yiVmbLsTlsY4KXro</v>
      </c>
      <c r="D521" s="0" t="str">
        <f>IFERROR(__xludf.DUMMYFUNCTION("""COMPUTED_VALUE"""),"Input")</f>
        <v>Input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IFERROR(__xludf.DUMMYFUNCTION("""COMPUTED_VALUE"""),"1quv-mE6eJ-fIc80A1uTeO8ix7AN-iGUbKPfjMut6XGw")</f>
        <v>1quv-mE6eJ-fIc80A1uTeO8ix7AN-iGUbKPfjMut6XGw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IFERROR(__xludf.DUMMYFUNCTION("""COMPUTED_VALUE"""),"NavImpactingComponent")</f>
        <v>NavImpactingComponent</v>
      </c>
      <c r="C647" s="0" t="str">
        <f>IFERROR(__xludf.DUMMYFUNCTION("""COMPUTED_VALUE"""),"1h8uyOI4WaUZMlwJvQlp6cezgxjyJ2SLa2OEiG81xpGE")</f>
        <v>1h8uyOI4WaUZMlwJvQlp6cezgxjyJ2SLa2OEiG81xpGE</v>
      </c>
    </row>
    <row r="648" ht="15.75" customHeight="1">
      <c r="A648" s="0" t="str">
        <f>IFERROR(__xludf.DUMMYFUNCTION("""COMPUTED_VALUE"""),"PranaClient")</f>
        <v>PranaClient</v>
      </c>
      <c r="B648" s="0" t="str">
        <f>IFERROR(__xludf.DUMMYFUNCTION("""COMPUTED_VALUE"""),"Action")</f>
        <v>Action</v>
      </c>
      <c r="C648" s="0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20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Data!A4:L1000"")"),"TradingTicket")</f>
        <v>TradingTicket</v>
      </c>
      <c r="B4" s="0" t="str">
        <f>IFERROR(__xludf.DUMMYFUNCTION("""COMPUTED_VALUE"""),"TradeUsingTT")</f>
        <v>TradeUsingTT</v>
      </c>
      <c r="C4" s="0" t="str">
        <f>IFERROR(__xludf.DUMMYFUNCTION("""COMPUTED_VALUE"""),"TTTrades")</f>
        <v>TTTrades</v>
      </c>
      <c r="D4" s="0" t="str">
        <f>IFERROR(__xludf.DUMMYFUNCTION("""COMPUTED_VALUE"""),"1Q0knOJ8odySzW9kzE5w8PdOc44G2QBZUfKg5ZvUx-xw")</f>
        <v>1Q0knOJ8odySzW9kzE5w8PdOc44G2QBZUfKg5ZvUx-xw</v>
      </c>
    </row>
    <row r="5">
      <c r="A5" s="0" t="str">
        <f>IFERROR(__xludf.DUMMYFUNCTION("""COMPUTED_VALUE"""),"Allocation")</f>
        <v>Allocation</v>
      </c>
      <c r="B5" s="0" t="str">
        <f>IFERROR(__xludf.DUMMYFUNCTION("""COMPUTED_VALUE"""),"SelectAllocatedGroup")</f>
        <v>SelectAllocatedGroup</v>
      </c>
      <c r="C5" s="0" t="str">
        <f>IFERROR(__xludf.DUMMYFUNCTION("""COMPUTED_VALUE"""),"TradesForAllocation")</f>
        <v>TradesForAllocation</v>
      </c>
      <c r="D5" s="0" t="str">
        <f>IFERROR(__xludf.DUMMYFUNCTION("""COMPUTED_VALUE"""),"1-RJhOo2E5PhyqaiMEjsPi8RpfYBuiSqE9fj_-bRpkKw")</f>
        <v>1-RJhOo2E5PhyqaiMEjsPi8RpfYBuiSqE9fj_-bRpkKw</v>
      </c>
    </row>
    <row r="6">
      <c r="A6" s="0" t="str">
        <f>IFERROR(__xludf.DUMMYFUNCTION("""COMPUTED_VALUE"""),"Allocation")</f>
        <v>Allocation</v>
      </c>
      <c r="B6" s="0" t="str">
        <f>IFERROR(__xludf.DUMMYFUNCTION("""COMPUTED_VALUE"""),"SelectUnallocatedGroup")</f>
        <v>SelectUnallocatedGroup</v>
      </c>
      <c r="C6" s="0" t="str">
        <f>IFERROR(__xludf.DUMMYFUNCTION("""COMPUTED_VALUE"""),"TradesForAllocation")</f>
        <v>TradesForAllocation</v>
      </c>
      <c r="D6" s="0" t="str">
        <f>IFERROR(__xludf.DUMMYFUNCTION("""COMPUTED_VALUE"""),"1-RJhOo2E5PhyqaiMEjsPi8RpfYBuiSqE9fj_-bRpkKw")</f>
        <v>1-RJhOo2E5PhyqaiMEjsPi8RpfYBuiSqE9fj_-bRpkKw</v>
      </c>
    </row>
    <row r="7">
      <c r="A7" s="0" t="str">
        <f>IFERROR(__xludf.DUMMYFUNCTION("""COMPUTED_VALUE"""),"TradingTicket")</f>
        <v>TradingTicket</v>
      </c>
      <c r="B7" s="0" t="str">
        <f>IFERROR(__xludf.DUMMYFUNCTION("""COMPUTED_VALUE"""),"CreateDoneAwayOrder")</f>
        <v>CreateDoneAwayOrder</v>
      </c>
      <c r="C7" s="0" t="str">
        <f>IFERROR(__xludf.DUMMYFUNCTION("""COMPUTED_VALUE"""),"TTInput")</f>
        <v>TTInput</v>
      </c>
      <c r="D7" s="0" t="str">
        <f>IFERROR(__xludf.DUMMYFUNCTION("""COMPUTED_VALUE"""),"1b5S4Xpp4fgZ1ez6cK92QFnVBylqz8jhwxdAyEvwDqUI")</f>
        <v>1b5S4Xpp4fgZ1ez6cK92QFnVBylqz8jhwxdAyEvwDqUI</v>
      </c>
    </row>
    <row r="8">
      <c r="A8" s="0" t="str">
        <f>IFERROR(__xludf.DUMMYFUNCTION("""COMPUTED_VALUE"""),"Allocation")</f>
        <v>Allocation</v>
      </c>
      <c r="B8" s="0" t="str">
        <f>IFERROR(__xludf.DUMMYFUNCTION("""COMPUTED_VALUE"""),"SetGroupingRules")</f>
        <v>SetGroupingRules</v>
      </c>
      <c r="C8" s="0" t="str">
        <f>IFERROR(__xludf.DUMMYFUNCTION("""COMPUTED_VALUE"""),"GroupingRules")</f>
        <v>GroupingRules</v>
      </c>
      <c r="D8" s="0" t="str">
        <f>IFERROR(__xludf.DUMMYFUNCTION("""COMPUTED_VALUE"""),"1oiITP7kpTv6Zgm5fpjzHWhIjzPRoRqS_CIZxqoxWRkA")</f>
        <v>1oiITP7kpTv6Zgm5fpjzHWhIjzPRoRqS_CIZxqoxWRkA</v>
      </c>
    </row>
    <row r="9">
      <c r="A9" s="0" t="str">
        <f>IFERROR(__xludf.DUMMYFUNCTION("""COMPUTED_VALUE"""),"Allocation")</f>
        <v>Allocation</v>
      </c>
      <c r="B9" s="0" t="str">
        <f>IFERROR(__xludf.DUMMYFUNCTION("""COMPUTED_VALUE"""),"CheckUnallocatedGroups")</f>
        <v>CheckUnallocatedGroups</v>
      </c>
      <c r="C9" s="0" t="str">
        <f>IFERROR(__xludf.DUMMYFUNCTION("""COMPUTED_VALUE"""),"UnallocatedGroupCheck")</f>
        <v>UnallocatedGroupCheck</v>
      </c>
      <c r="D9" s="0" t="str">
        <f>IFERROR(__xludf.DUMMYFUNCTION("""COMPUTED_VALUE"""),"1c7aP-E18Fb8lEVGiXac03BLoNVdUNRzodD2Xjn-9pzU")</f>
        <v>1c7aP-E18Fb8lEVGiXac03BLoNVdUNRzodD2Xjn-9pzU</v>
      </c>
    </row>
    <row r="10">
      <c r="A10" s="0" t="str">
        <f>IFERROR(__xludf.DUMMYFUNCTION("""COMPUTED_VALUE"""),"GeneralLedger")</f>
        <v>GeneralLedger</v>
      </c>
      <c r="B10" s="0" t="str">
        <f>IFERROR(__xludf.DUMMYFUNCTION("""COMPUTED_VALUE"""),"GetTradingTransaction")</f>
        <v>GetTradingTransaction</v>
      </c>
      <c r="C10" s="0" t="str">
        <f>IFERROR(__xludf.DUMMYFUNCTION("""COMPUTED_VALUE"""),"GetTradingTransaction")</f>
        <v>GetTradingTransaction</v>
      </c>
      <c r="D10" s="0" t="str">
        <f>IFERROR(__xludf.DUMMYFUNCTION("""COMPUTED_VALUE"""),"1IuJkgEDoDUSnmXhZVZdA_x-3VnlMPyzRsUMpf_eRTTQ")</f>
        <v>1IuJkgEDoDUSnmXhZVZdA_x-3VnlMPyzRsUMpf_eRTTQ</v>
      </c>
    </row>
    <row r="11">
      <c r="A11" s="0" t="str">
        <f>IFERROR(__xludf.DUMMYFUNCTION("""COMPUTED_VALUE"""),"TradingTicket")</f>
        <v>TradingTicket</v>
      </c>
      <c r="B11" s="0" t="str">
        <f>IFERROR(__xludf.DUMMYFUNCTION("""COMPUTED_VALUE"""),"CreateDoneAwayOrder")</f>
        <v>CreateDoneAwayOrder</v>
      </c>
      <c r="C11" s="0" t="str">
        <f>IFERROR(__xludf.DUMMYFUNCTION("""COMPUTED_VALUE"""),"CreateDoneAwayOrder")</f>
        <v>CreateDoneAwayOrder</v>
      </c>
      <c r="D11" s="0" t="str">
        <f>IFERROR(__xludf.DUMMYFUNCTION("""COMPUTED_VALUE"""),"1Wybl1BX2sjPWI0uYzeN6KZO-tnk3-pf5NWNrZR7m_8I")</f>
        <v>1Wybl1BX2sjPWI0uYzeN6KZO-tnk3-pf5NWNrZR7m_8I</v>
      </c>
    </row>
    <row r="12">
      <c r="A12" s="0" t="str">
        <f>IFERROR(__xludf.DUMMYFUNCTION("""COMPUTED_VALUE"""),"Allocation")</f>
        <v>Allocation</v>
      </c>
      <c r="B12" s="0" t="str">
        <f>IFERROR(__xludf.DUMMYFUNCTION("""COMPUTED_VALUE"""),"GeneralPreferencesDefaultRule")</f>
        <v>GeneralPreferencesDefaultRule</v>
      </c>
      <c r="C12" s="0" t="str">
        <f>IFERROR(__xludf.DUMMYFUNCTION("""COMPUTED_VALUE"""),"GeneralPreferencesDefualtRules")</f>
        <v>GeneralPreferencesDefualtRules</v>
      </c>
      <c r="D12" s="0" t="str">
        <f>IFERROR(__xludf.DUMMYFUNCTION("""COMPUTED_VALUE"""),"1t-y8DW-cux-RoCJhMs9d4iDbW4QOQ-BXfiT1GYQBvbw")</f>
        <v>1t-y8DW-cux-RoCJhMs9d4iDbW4QOQ-BXfiT1GYQBvbw</v>
      </c>
    </row>
    <row r="13">
      <c r="A13" s="0" t="str">
        <f>IFERROR(__xludf.DUMMYFUNCTION("""COMPUTED_VALUE"""),"Allocation")</f>
        <v>Allocation</v>
      </c>
      <c r="B13" s="0" t="str">
        <f>IFERROR(__xludf.DUMMYFUNCTION("""COMPUTED_VALUE"""),"GeneralPrefCompanyUserWise")</f>
        <v>GeneralPrefCompanyUserWise</v>
      </c>
      <c r="C13" s="0" t="str">
        <f>IFERROR(__xludf.DUMMYFUNCTION("""COMPUTED_VALUE"""),"GeneralPrefCoUserRules")</f>
        <v>GeneralPrefCoUserRules</v>
      </c>
      <c r="D13" s="0" t="str">
        <f>IFERROR(__xludf.DUMMYFUNCTION("""COMPUTED_VALUE"""),"154-ES2jrM9C4VoMik8t5SCjN2LjvQHLPe8ANoIosIcc")</f>
        <v>154-ES2jrM9C4VoMik8t5SCjN2LjvQHLPe8ANoIosIcc</v>
      </c>
    </row>
    <row r="14">
      <c r="A14" s="0" t="str">
        <f>IFERROR(__xludf.DUMMYFUNCTION("""COMPUTED_VALUE"""),"Allocation")</f>
        <v>Allocation</v>
      </c>
      <c r="B14" s="0" t="str">
        <f>IFERROR(__xludf.DUMMYFUNCTION("""COMPUTED_VALUE"""),"EnterAccountValuesToAllocate")</f>
        <v>EnterAccountValuesToAllocate</v>
      </c>
      <c r="C14" s="0" t="str">
        <f>IFERROR(__xludf.DUMMYFUNCTION("""COMPUTED_VALUE"""),"AccountValues")</f>
        <v>AccountValues</v>
      </c>
      <c r="D14" s="0" t="str">
        <f>IFERROR(__xludf.DUMMYFUNCTION("""COMPUTED_VALUE"""),"1mOtszotVOdqHquQTLi-4CBnAUrtAF2MEABuvYJh_hzw")</f>
        <v>1mOtszotVOdqHquQTLi-4CBnAUrtAF2MEABuvYJh_hzw</v>
      </c>
    </row>
    <row r="15">
      <c r="A15" s="0" t="str">
        <f>IFERROR(__xludf.DUMMYFUNCTION("""COMPUTED_VALUE"""),"Allocation")</f>
        <v>Allocation</v>
      </c>
      <c r="B15" s="0" t="str">
        <f>IFERROR(__xludf.DUMMYFUNCTION("""COMPUTED_VALUE"""),"CheckFixedPreference")</f>
        <v>CheckFixedPreference</v>
      </c>
      <c r="C15" s="0" t="str">
        <f>IFERROR(__xludf.DUMMYFUNCTION("""COMPUTED_VALUE"""),"CheckFixedPreference")</f>
        <v>CheckFixedPreference</v>
      </c>
      <c r="D15" s="0" t="str">
        <f>IFERROR(__xludf.DUMMYFUNCTION("""COMPUTED_VALUE"""),"1RNofLIplBOnX_vwsD6AecMNF72I9x58kWSMHVy9EgsM")</f>
        <v>1RNofLIplBOnX_vwsD6AecMNF72I9x58kWSMHVy9EgsM</v>
      </c>
    </row>
    <row r="16">
      <c r="A16" s="0" t="str">
        <f>IFERROR(__xludf.DUMMYFUNCTION("""COMPUTED_VALUE"""),"Allocation")</f>
        <v>Allocation</v>
      </c>
      <c r="B16" s="0" t="str">
        <f>IFERROR(__xludf.DUMMYFUNCTION("""COMPUTED_VALUE"""),"SetAccountValueCalculatedPref")</f>
        <v>SetAccountValueCalculatedPref</v>
      </c>
      <c r="C16" s="0" t="str">
        <f>IFERROR(__xludf.DUMMYFUNCTION("""COMPUTED_VALUE"""),"AccountValueCalculatePref")</f>
        <v>AccountValueCalculatePref</v>
      </c>
      <c r="D16" s="0" t="str">
        <f>IFERROR(__xludf.DUMMYFUNCTION("""COMPUTED_VALUE"""),"1svq-61dzaRHeNDz1TSSUPXQbbN3Mi4bhNQabvGVoz2c")</f>
        <v>1svq-61dzaRHeNDz1TSSUPXQbbN3Mi4bhNQabvGVoz2c</v>
      </c>
    </row>
    <row r="17">
      <c r="A17" s="0" t="str">
        <f>IFERROR(__xludf.DUMMYFUNCTION("""COMPUTED_VALUE"""),"Allocation")</f>
        <v>Allocation</v>
      </c>
      <c r="B17" s="0" t="str">
        <f>IFERROR(__xludf.DUMMYFUNCTION("""COMPUTED_VALUE"""),"SetDefaultRuleCalculatedPref")</f>
        <v>SetDefaultRuleCalculatedPref</v>
      </c>
      <c r="C17" s="0" t="str">
        <f>IFERROR(__xludf.DUMMYFUNCTION("""COMPUTED_VALUE"""),"DefaultRuleCalculatePref")</f>
        <v>DefaultRuleCalculatePref</v>
      </c>
      <c r="D17" s="0" t="str">
        <f>IFERROR(__xludf.DUMMYFUNCTION("""COMPUTED_VALUE"""),"1j6MD8nFEuJNo52Mp8uXbXRmrJs802rnEIiTOEuZFdWA")</f>
        <v>1j6MD8nFEuJNo52Mp8uXbXRmrJs802rnEIiTOEuZFdWA</v>
      </c>
    </row>
    <row r="18">
      <c r="A18" s="0" t="str">
        <f>IFERROR(__xludf.DUMMYFUNCTION("""COMPUTED_VALUE"""),"Allocation")</f>
        <v>Allocation</v>
      </c>
      <c r="B18" s="0" t="str">
        <f>IFERROR(__xludf.DUMMYFUNCTION("""COMPUTED_VALUE"""),"SetStrategyValueCalculatedPref")</f>
        <v>SetStrategyValueCalculatedPref</v>
      </c>
      <c r="C18" s="0" t="str">
        <f>IFERROR(__xludf.DUMMYFUNCTION("""COMPUTED_VALUE"""),"StrategyValueCalculatedPref")</f>
        <v>StrategyValueCalculatedPref</v>
      </c>
      <c r="D18" s="0" t="str">
        <f>IFERROR(__xludf.DUMMYFUNCTION("""COMPUTED_VALUE"""),"1rt8inh4u7qHUhCAFSaa2kmPKLkqeh3uljucYajdto60")</f>
        <v>1rt8inh4u7qHUhCAFSaa2kmPKLkqeh3uljucYajdto60</v>
      </c>
    </row>
    <row r="19">
      <c r="A19" s="0" t="str">
        <f>IFERROR(__xludf.DUMMYFUNCTION("""COMPUTED_VALUE"""),"Allocation")</f>
        <v>Allocation</v>
      </c>
      <c r="B19" s="0" t="str">
        <f>IFERROR(__xludf.DUMMYFUNCTION("""COMPUTED_VALUE"""),"SetGeneralPreferences")</f>
        <v>SetGeneralPreferences</v>
      </c>
      <c r="C19" s="0" t="str">
        <f>IFERROR(__xludf.DUMMYFUNCTION("""COMPUTED_VALUE"""),"GeneralPreferences")</f>
        <v>GeneralPreferences</v>
      </c>
      <c r="D19" s="0" t="str">
        <f>IFERROR(__xludf.DUMMYFUNCTION("""COMPUTED_VALUE"""),"1lI4loUxqzsE3IjuxIjsVY3cB4J_eTKFPPDuXngut4FE")</f>
        <v>1lI4loUxqzsE3IjuxIjsVY3cB4J_eTKFPPDuXngut4FE</v>
      </c>
    </row>
    <row r="20">
      <c r="A20" s="0" t="str">
        <f>IFERROR(__xludf.DUMMYFUNCTION("""COMPUTED_VALUE"""),"Closing")</f>
        <v>Closing</v>
      </c>
      <c r="B20" s="0" t="str">
        <f>IFERROR(__xludf.DUMMYFUNCTION("""COMPUTED_VALUE"""),"AutomaticClosing")</f>
        <v>AutomaticClosing</v>
      </c>
      <c r="C20" s="0" t="str">
        <f>IFERROR(__xludf.DUMMYFUNCTION("""COMPUTED_VALUE"""),"AutomaticClosingMasterData")</f>
        <v>AutomaticClosingMasterData</v>
      </c>
      <c r="D20" s="0" t="str">
        <f>IFERROR(__xludf.DUMMYFUNCTION("""COMPUTED_VALUE"""),"1zwv-aZp-DRCpq8bqLR0XRiyt0av-GAm0ORqbhnV-FKI")</f>
        <v>1zwv-aZp-DRCpq8bqLR0XRiyt0av-GAm0ORqbhnV-FKI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17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1.25" customHeight="1">
      <c r="A6" s="31"/>
      <c r="B6" s="31" t="s">
        <v>16</v>
      </c>
      <c r="C6" s="32" t="s">
        <v>17</v>
      </c>
      <c r="D6" s="33">
        <v>120</v>
      </c>
      <c r="E6" s="31"/>
      <c r="F6" s="31" t="s">
        <v>18</v>
      </c>
      <c r="G6" s="31"/>
      <c r="H6" s="31"/>
      <c r="I6" s="31" t="s">
        <v>19</v>
      </c>
      <c r="J6" s="33">
        <v>10</v>
      </c>
      <c r="K6" s="31"/>
      <c r="L6" s="31"/>
      <c r="M6" s="31"/>
      <c r="N6" s="34">
        <f ref="N6:N8" t="shared" si="1">TODAY()</f>
        <v>45855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2" t="s">
        <v>17</v>
      </c>
      <c r="D7" s="33">
        <v>80</v>
      </c>
      <c r="E7" s="31"/>
      <c r="F7" s="31" t="s">
        <v>18</v>
      </c>
      <c r="G7" s="31"/>
      <c r="H7" s="31"/>
      <c r="I7" s="31" t="s">
        <v>19</v>
      </c>
      <c r="J7" s="35">
        <v>10</v>
      </c>
      <c r="K7" s="31"/>
      <c r="L7" s="31"/>
      <c r="M7" s="31"/>
      <c r="N7" s="34">
        <f t="shared" si="1"/>
        <v>45855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16</v>
      </c>
      <c r="C8" s="32" t="s">
        <v>20</v>
      </c>
      <c r="D8" s="35">
        <v>100</v>
      </c>
      <c r="E8" s="31"/>
      <c r="F8" s="31" t="s">
        <v>18</v>
      </c>
      <c r="G8" s="31"/>
      <c r="H8" s="31"/>
      <c r="I8" s="31" t="s">
        <v>19</v>
      </c>
      <c r="J8" s="33">
        <v>10</v>
      </c>
      <c r="K8" s="31"/>
      <c r="L8" s="31"/>
      <c r="M8" s="31"/>
      <c r="N8" s="34">
        <f t="shared" si="1"/>
        <v>45855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>
    <mergeCell ref="B1:H1"/>
  </mergeCells>
  <conditionalFormatting sqref="E3">
    <cfRule type="notContainsBlanks" dxfId="1" priority="1">
      <formula>LEN(TRIM(E3))&gt;0</formula>
    </cfRule>
  </conditionalFormatting>
  <dataValidations count="1">
    <dataValidation type="list" allowBlank="1" showInputMessage="1" showErrorMessage="1" prompt="Choose a format for current sheet" sqref="G3" xr:uid="{273235CF-5ECD-4A8E-9BE1-AE56AAF8FCA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169155B-0190-44AC-96BF-B621EF3320C6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2CB59266-6FCC-4C9E-9EA3-DEA7D3698EF9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36" t="s">
        <v>21</v>
      </c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32" t="s">
        <v>17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76138DE-7D48-49CD-BD94-383A8DF4C4C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A359C5B-161E-4DDF-9D39-6C1F3A1A6FD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697CA85-033C-4557-9634-E025550D5CAA}">
          <x14:formula1>
            <xm:f>GroupTrades!$4:$4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</row>
    <row r="6" ht="15.75" customHeight="1">
      <c r="A6" s="8"/>
      <c r="B6" s="13" t="s">
        <v>42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5B7B2EF-7C21-4405-85C2-B96199B7308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4E2B040-586D-4A93-8E0C-0EFD3313B3A0}">
          <x14:formula1>
            <xm:f>GetDataAllocation!$4:$4</xm:f>
          </x14:formula1>
          <xm:sqref>E3</xm:sqref>
        </x14:dataValidation>
        <x14:dataValidation type="list" allowBlank="1" showInputMessage="1" showErrorMessage="1" prompt="Choose an available module" xr:uid="{8D5CD429-9750-48C2-B01C-2B2C2BD144A4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16</v>
      </c>
      <c r="C6" s="8" t="s">
        <v>17</v>
      </c>
      <c r="D6" s="8">
        <v>200</v>
      </c>
      <c r="E6" s="8">
        <v>200</v>
      </c>
      <c r="F6" s="8"/>
      <c r="G6" s="8"/>
      <c r="H6" s="8"/>
      <c r="I6" s="8"/>
      <c r="J6" s="8"/>
      <c r="K6" s="8"/>
      <c r="L6" s="8"/>
      <c r="M6" s="8"/>
      <c r="N6" s="8">
        <v>10</v>
      </c>
      <c r="O6" s="8">
        <v>10</v>
      </c>
      <c r="P6" s="0" t="s">
        <v>44</v>
      </c>
      <c r="Q6" s="0">
        <v>1</v>
      </c>
      <c r="U6" s="0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B6963AD-EB13-4F65-8480-B7F88F8EA7B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B07EB05-D51A-41ED-B4CD-B0D948B2C5AF}">
          <x14:formula1>
            <xm:f>SelectUnallocatedGroup!$4:$4</xm:f>
          </x14:formula1>
          <xm:sqref>E3</xm:sqref>
        </x14:dataValidation>
        <x14:dataValidation type="list" allowBlank="1" showInputMessage="1" showErrorMessage="1" prompt="Choose an available module" xr:uid="{8A1682FD-3F3B-4891-8754-167640B9FE02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36" t="s">
        <v>21</v>
      </c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20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14F573D-A364-453F-A182-36E9E2A0ED3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FC13149-9494-48FA-B01E-D7954C2124C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7BE7E41-FACA-44CD-B054-2B5F275D3852}">
          <x14:formula1>
            <xm:f>EditUnallocatedGroupSidePanel!$4:$4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32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367761E-8975-4B33-9538-9299CF4C323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E71AAC5-989E-4C1C-ACB5-E67DFCE4077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0083A1B-01D5-4B56-8AC1-2E99ACF0A8EF}">
          <x14:formula1>
            <xm:f>GroupTrades1!$4:$4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48</v>
      </c>
      <c r="C6" s="38">
        <v>100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1CDE524-B0F1-458B-86A6-597B61C1794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1D2FE96-1C23-49DE-8150-2215D0A772B9}">
          <x14:formula1>
            <xm:f>EnterAccountValuesToAllocate!$4:$4</xm:f>
          </x14:formula1>
          <xm:sqref>E3</xm:sqref>
        </x14:dataValidation>
        <x14:dataValidation type="list" allowBlank="1" showInputMessage="1" showErrorMessage="1" prompt="Choose an available module" xr:uid="{B97289E3-E2DE-4C16-81E7-A9DF9C4335E7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T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13" t="s">
        <v>16</v>
      </c>
      <c r="D6" s="13">
        <v>-300</v>
      </c>
      <c r="E6" s="37" t="s">
        <v>48</v>
      </c>
      <c r="F6" s="13" t="s">
        <v>51</v>
      </c>
      <c r="G6" s="13">
        <v>10</v>
      </c>
      <c r="H6" s="13" t="s">
        <v>52</v>
      </c>
      <c r="I6" s="13"/>
      <c r="J6" s="13"/>
      <c r="K6" s="13"/>
      <c r="L6" s="13"/>
      <c r="M6" s="13"/>
      <c r="N6" s="13"/>
      <c r="O6" s="13" t="s">
        <v>53</v>
      </c>
      <c r="T6" s="9" t="s">
        <v>45</v>
      </c>
      <c r="U6" s="9" t="s">
        <v>54</v>
      </c>
      <c r="V6" s="9" t="s">
        <v>55</v>
      </c>
      <c r="W6" s="9" t="s">
        <v>56</v>
      </c>
      <c r="X6" s="9">
        <v>1</v>
      </c>
      <c r="Y6" s="9">
        <v>1</v>
      </c>
      <c r="AN6" s="9" t="s">
        <v>20</v>
      </c>
      <c r="AP6" s="9" t="s">
        <v>52</v>
      </c>
      <c r="AQ6" s="9" t="s">
        <v>16</v>
      </c>
      <c r="AT6" s="9" t="s">
        <v>57</v>
      </c>
      <c r="AU6" s="9" t="s">
        <v>57</v>
      </c>
      <c r="BH6" s="9" t="s">
        <v>58</v>
      </c>
      <c r="BQ6" s="9" t="s">
        <v>59</v>
      </c>
      <c r="BR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246B532-0953-41AD-9E0E-8D3D48388EE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6B783B3-1938-4BB3-AED3-53BE7401D435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E2CD189D-ADF6-4FB6-92DF-8746048EDFAE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1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61</v>
      </c>
      <c r="C5" s="0" t="s">
        <v>62</v>
      </c>
      <c r="D5" s="0" t="s">
        <v>63</v>
      </c>
      <c r="E5" s="0" t="s">
        <v>64</v>
      </c>
      <c r="F5" s="0" t="s">
        <v>65</v>
      </c>
      <c r="G5" s="0" t="s">
        <v>66</v>
      </c>
      <c r="H5" s="0" t="s">
        <v>67</v>
      </c>
      <c r="I5" s="0" t="s">
        <v>68</v>
      </c>
      <c r="J5" s="0" t="s">
        <v>69</v>
      </c>
      <c r="K5" s="0" t="s">
        <v>70</v>
      </c>
      <c r="L5" s="0" t="s">
        <v>71</v>
      </c>
      <c r="M5" s="0" t="s">
        <v>72</v>
      </c>
      <c r="N5" s="0" t="s">
        <v>73</v>
      </c>
      <c r="O5" s="0" t="s">
        <v>33</v>
      </c>
      <c r="P5" s="0" t="s">
        <v>74</v>
      </c>
      <c r="Q5" s="0" t="s">
        <v>75</v>
      </c>
      <c r="R5" s="0" t="s">
        <v>76</v>
      </c>
      <c r="S5" s="0" t="s">
        <v>77</v>
      </c>
      <c r="T5" s="0" t="s">
        <v>78</v>
      </c>
      <c r="U5" s="0" t="s">
        <v>79</v>
      </c>
      <c r="V5" s="0" t="s">
        <v>80</v>
      </c>
      <c r="W5" s="0" t="s">
        <v>81</v>
      </c>
      <c r="X5" s="0" t="s">
        <v>82</v>
      </c>
      <c r="Y5" s="0" t="s">
        <v>83</v>
      </c>
      <c r="Z5" s="0" t="s">
        <v>34</v>
      </c>
      <c r="AA5" s="0" t="s">
        <v>84</v>
      </c>
      <c r="AB5" s="0" t="s">
        <v>85</v>
      </c>
      <c r="AC5" s="0" t="s">
        <v>86</v>
      </c>
      <c r="AD5" s="0" t="s">
        <v>35</v>
      </c>
      <c r="AE5" s="0" t="s">
        <v>87</v>
      </c>
      <c r="AF5" s="0" t="s">
        <v>88</v>
      </c>
      <c r="AG5" s="0" t="s">
        <v>89</v>
      </c>
      <c r="AH5" s="0" t="s">
        <v>90</v>
      </c>
      <c r="AI5" s="0" t="s">
        <v>91</v>
      </c>
      <c r="AJ5" s="0" t="s">
        <v>92</v>
      </c>
      <c r="AK5" s="0" t="s">
        <v>93</v>
      </c>
      <c r="AL5" s="0" t="s">
        <v>94</v>
      </c>
      <c r="AM5" s="0" t="s">
        <v>95</v>
      </c>
      <c r="AN5" s="0" t="s">
        <v>96</v>
      </c>
      <c r="AO5" s="0" t="s">
        <v>97</v>
      </c>
      <c r="AP5" s="0" t="s">
        <v>98</v>
      </c>
      <c r="AQ5" s="0" t="s">
        <v>99</v>
      </c>
      <c r="AR5" s="0" t="s">
        <v>100</v>
      </c>
      <c r="AS5" s="0" t="s">
        <v>101</v>
      </c>
      <c r="AT5" s="0" t="s">
        <v>102</v>
      </c>
      <c r="AU5" s="0" t="s">
        <v>103</v>
      </c>
      <c r="AV5" s="0" t="s">
        <v>104</v>
      </c>
      <c r="AW5" s="0" t="s">
        <v>105</v>
      </c>
      <c r="AX5" s="0" t="s">
        <v>106</v>
      </c>
      <c r="AY5" s="0" t="s">
        <v>107</v>
      </c>
      <c r="AZ5" s="0" t="s">
        <v>108</v>
      </c>
      <c r="BA5" s="0" t="s">
        <v>109</v>
      </c>
      <c r="BB5" s="0" t="s">
        <v>110</v>
      </c>
      <c r="BC5" s="0" t="s">
        <v>111</v>
      </c>
      <c r="BD5" s="0" t="s">
        <v>112</v>
      </c>
      <c r="BE5" s="0" t="s">
        <v>113</v>
      </c>
      <c r="BF5" s="0" t="s">
        <v>114</v>
      </c>
      <c r="BG5" s="0" t="s">
        <v>115</v>
      </c>
      <c r="BH5" s="0" t="s">
        <v>116</v>
      </c>
      <c r="BI5" s="0" t="s">
        <v>117</v>
      </c>
      <c r="BJ5" s="0" t="s">
        <v>118</v>
      </c>
      <c r="BK5" s="0" t="s">
        <v>119</v>
      </c>
      <c r="BL5" s="0" t="s">
        <v>120</v>
      </c>
      <c r="BM5" s="0" t="s">
        <v>121</v>
      </c>
      <c r="BN5" s="0" t="s">
        <v>122</v>
      </c>
      <c r="BO5" s="0" t="s">
        <v>31</v>
      </c>
      <c r="BP5" s="0" t="s">
        <v>123</v>
      </c>
      <c r="BQ5" s="0" t="s">
        <v>124</v>
      </c>
      <c r="BR5" s="0" t="s">
        <v>125</v>
      </c>
      <c r="BS5" s="0" t="s">
        <v>126</v>
      </c>
      <c r="BT5" s="0" t="s">
        <v>29</v>
      </c>
      <c r="BU5" s="0" t="s">
        <v>127</v>
      </c>
      <c r="BV5" s="0" t="s">
        <v>128</v>
      </c>
      <c r="BW5" s="0" t="s">
        <v>129</v>
      </c>
      <c r="BX5" s="0" t="s">
        <v>130</v>
      </c>
      <c r="BY5" s="0" t="s">
        <v>131</v>
      </c>
      <c r="BZ5" s="0" t="s">
        <v>132</v>
      </c>
      <c r="CA5" s="0" t="s">
        <v>133</v>
      </c>
      <c r="CB5" s="0" t="s">
        <v>134</v>
      </c>
      <c r="CC5" s="0" t="s">
        <v>135</v>
      </c>
      <c r="CD5" s="0" t="s">
        <v>136</v>
      </c>
      <c r="CE5" s="0" t="s">
        <v>137</v>
      </c>
      <c r="CF5" s="0" t="s">
        <v>138</v>
      </c>
      <c r="CG5" s="0" t="s">
        <v>139</v>
      </c>
      <c r="CH5" s="0" t="s">
        <v>140</v>
      </c>
      <c r="CI5" s="0" t="s">
        <v>141</v>
      </c>
      <c r="CJ5" s="0" t="s">
        <v>142</v>
      </c>
      <c r="CK5" s="0" t="s">
        <v>37</v>
      </c>
      <c r="CL5" s="0" t="s">
        <v>143</v>
      </c>
      <c r="CM5" s="0" t="s">
        <v>144</v>
      </c>
      <c r="CN5" s="0" t="s">
        <v>145</v>
      </c>
      <c r="CO5" s="0" t="s">
        <v>38</v>
      </c>
      <c r="CP5" s="0" t="s">
        <v>146</v>
      </c>
      <c r="CQ5" s="0" t="s">
        <v>147</v>
      </c>
      <c r="CR5" s="0" t="s">
        <v>148</v>
      </c>
      <c r="CS5" s="0" t="s">
        <v>149</v>
      </c>
      <c r="CT5" s="0" t="s">
        <v>150</v>
      </c>
      <c r="CU5" s="0" t="s">
        <v>151</v>
      </c>
      <c r="CV5" s="0" t="s">
        <v>152</v>
      </c>
      <c r="CW5" s="0" t="s">
        <v>153</v>
      </c>
      <c r="CX5" s="0" t="s">
        <v>154</v>
      </c>
      <c r="CY5" s="0" t="s">
        <v>155</v>
      </c>
      <c r="CZ5" s="0" t="s">
        <v>156</v>
      </c>
      <c r="DA5" s="0" t="s">
        <v>157</v>
      </c>
      <c r="DB5" s="0" t="s">
        <v>158</v>
      </c>
      <c r="DC5" s="0" t="s">
        <v>159</v>
      </c>
      <c r="DD5" s="0" t="s">
        <v>160</v>
      </c>
    </row>
    <row r="6" ht="15.75" customHeight="1">
      <c r="A6" s="8"/>
      <c r="B6" s="13" t="s">
        <v>48</v>
      </c>
      <c r="C6" s="8"/>
      <c r="D6" s="13"/>
      <c r="E6" s="13">
        <v>300</v>
      </c>
      <c r="F6" s="13"/>
      <c r="G6" s="13" t="s">
        <v>45</v>
      </c>
      <c r="H6" s="13">
        <v>4</v>
      </c>
      <c r="I6" s="13">
        <v>5</v>
      </c>
      <c r="J6" s="13">
        <v>1</v>
      </c>
      <c r="K6" s="13">
        <v>10</v>
      </c>
      <c r="L6" s="13">
        <v>10</v>
      </c>
      <c r="M6" s="13" t="s">
        <v>161</v>
      </c>
      <c r="N6" s="8"/>
      <c r="O6" s="13" t="s">
        <v>44</v>
      </c>
      <c r="Z6" s="9" t="s">
        <v>56</v>
      </c>
      <c r="AB6" s="9">
        <v>1</v>
      </c>
      <c r="AE6" s="9">
        <v>300</v>
      </c>
      <c r="AI6" s="9">
        <v>1</v>
      </c>
      <c r="AJ6" s="9" t="s">
        <v>162</v>
      </c>
      <c r="AM6" s="9" t="s">
        <v>57</v>
      </c>
      <c r="AY6" s="9" t="s">
        <v>19</v>
      </c>
      <c r="BF6" s="9">
        <v>3000</v>
      </c>
      <c r="BJ6" s="9">
        <v>300</v>
      </c>
      <c r="BM6" s="9" t="s">
        <v>56</v>
      </c>
      <c r="BO6" s="9" t="s">
        <v>20</v>
      </c>
      <c r="BT6" s="9" t="s">
        <v>16</v>
      </c>
      <c r="BU6" s="9">
        <v>3</v>
      </c>
      <c r="BW6" s="9">
        <v>14.0017</v>
      </c>
      <c r="CF6" s="9" t="s">
        <v>163</v>
      </c>
      <c r="CH6" s="9" t="s">
        <v>162</v>
      </c>
      <c r="CI6" s="9" t="s">
        <v>164</v>
      </c>
      <c r="CK6" s="9" t="s">
        <v>54</v>
      </c>
      <c r="CL6" s="9">
        <v>1</v>
      </c>
      <c r="CM6" s="9" t="s">
        <v>16</v>
      </c>
      <c r="CN6" s="9" t="s">
        <v>59</v>
      </c>
      <c r="CO6" s="9" t="s">
        <v>55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947E897-8466-4798-A927-22B18FEAF58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B11CF3A-4007-4319-A5CC-814068B31C7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7A8C538-7799-4375-8862-D6AB51D10EDC}">
          <x14:formula1>
            <xm:f>CheckAllocatedGroups!$4:$4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16</v>
      </c>
      <c r="C6" s="32" t="s">
        <v>20</v>
      </c>
      <c r="D6" s="13">
        <v>300</v>
      </c>
      <c r="E6" s="13">
        <v>300</v>
      </c>
      <c r="F6" s="8"/>
      <c r="G6" s="8"/>
      <c r="H6" s="8"/>
      <c r="I6" s="8"/>
      <c r="J6" s="8"/>
      <c r="K6" s="8"/>
      <c r="L6" s="8"/>
      <c r="M6" s="8"/>
      <c r="N6" s="8">
        <v>10</v>
      </c>
      <c r="O6" s="8">
        <v>10</v>
      </c>
      <c r="P6" s="0" t="s">
        <v>44</v>
      </c>
      <c r="Q6" s="0">
        <v>1</v>
      </c>
      <c r="U6" s="0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12774E2-B54A-45D2-AE9F-D765B683B1B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18E6521-BFEB-4466-B168-5B216E8AA98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6BF43A1-8D54-495B-B278-DC0127819D64}">
          <x14:formula1>
            <xm:f>SelectUnallocatedGroup1!$4:$4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