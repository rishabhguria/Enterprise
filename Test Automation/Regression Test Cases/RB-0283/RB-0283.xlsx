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RoundLot" sheetId="4" r:id="rId6"/>
    <sheet name="CreateDoneAwayOrder" sheetId="5" r:id="rId7"/>
    <sheet name="PricingInput" sheetId="6" r:id="rId8"/>
    <sheet name="GetForexConversion" sheetId="7" r:id="rId9"/>
    <sheet name="UpdateForexConversion" sheetId="8" r:id="rId10"/>
    <sheet name="GetDailyCash" sheetId="9" r:id="rId11"/>
    <sheet name="UpdateMultipleDailyCash" sheetId="10" r:id="rId12"/>
    <sheet name="FetchAccountPositions" sheetId="11" r:id="rId13"/>
    <sheet name="RebalanceAcrossSecurities" sheetId="12" r:id="rId14"/>
    <sheet name="RebalanceAcrossSecurities1" sheetId="13" r:id="rId15"/>
    <sheet name="RunRebalance" sheetId="14" r:id="rId16"/>
    <sheet name="VerifyGridData" sheetId="15" r:id="rId17"/>
    <sheet name="SendtoStaging" sheetId="16" r:id="rId18"/>
    <sheet name="RunRebalance1" sheetId="17" r:id="rId19"/>
    <sheet name="VerifyGridData1" sheetId="18" r:id="rId20"/>
    <sheet name="SendtoStaging1" sheetId="19" r:id="rId21"/>
    <sheet name="RunRebalance2" sheetId="20" r:id="rId22"/>
    <sheet name="VerifyGridData2" sheetId="21" r:id="rId23"/>
    <sheet name="SendtoStaging2" sheetId="22" r:id="rId24"/>
  </sheets>
  <calcPr fullCalcOnLoad="1"/>
</workbook>
</file>

<file path=xl/sharedStrings.xml><?xml version="1.0" encoding="utf-8"?>
<sst xmlns="http://schemas.openxmlformats.org/spreadsheetml/2006/main" count="60" uniqueCount="60">
  <si>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</si>
  <si>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</si>
  <si>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</si>
  <si>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</si>
  <si>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</si>
  <si>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</si>
  <si>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</si>
  <si>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</si>
  <si>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</si>
  <si>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</si>
  <si>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</si>
  <si>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</si>
  <si>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</si>
  <si>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</si>
  <si>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</si>
  <si>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</si>
  <si>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AMZN</t>
  </si>
  <si>
    <t>GOOG</t>
  </si>
  <si>
    <t>IBM</t>
  </si>
  <si>
    <t>FRU-TC</t>
  </si>
  <si>
    <t>BMW-FRA</t>
  </si>
  <si>
    <t>DAI-FRA</t>
  </si>
  <si>
    <t>CSU-TC</t>
  </si>
  <si>
    <t>ABC123</t>
  </si>
  <si>
    <t>TradingTicket</t>
  </si>
  <si>
    <t>CreateDoneAwayOrder</t>
  </si>
  <si>
    <t>Buy</t>
  </si>
  <si>
    <t>Allocation1</t>
  </si>
  <si>
    <t>Allocation3</t>
  </si>
  <si>
    <t>PricingInput</t>
  </si>
  <si>
    <t>DailyValuation</t>
  </si>
  <si>
    <t>GetForexConversion</t>
  </si>
  <si>
    <t>UpdateForexConversion</t>
  </si>
  <si>
    <t>USD</t>
  </si>
  <si>
    <t>CAD</t>
  </si>
  <si>
    <t>CAD A0-FX</t>
  </si>
  <si>
    <t>EUR</t>
  </si>
  <si>
    <t>USD A0-FX</t>
  </si>
  <si>
    <t>GetDailyCash</t>
  </si>
  <si>
    <t>UpdateMultipleDailyCash</t>
  </si>
  <si>
    <t>Rebalancer</t>
  </si>
  <si>
    <t>FetchAccountPositions</t>
  </si>
  <si>
    <t>NewMF</t>
  </si>
  <si>
    <t>Real-Time Positions</t>
  </si>
  <si>
    <t>Account</t>
  </si>
  <si>
    <t>Positions</t>
  </si>
  <si>
    <t>RebalanceAcrossSecurities</t>
  </si>
  <si>
    <t>Set</t>
  </si>
  <si>
    <t>RunRebalance</t>
  </si>
  <si>
    <t>Nearest Round Off</t>
  </si>
  <si>
    <t>VerifyGridData</t>
  </si>
  <si>
    <t>FixedIncome</t>
  </si>
  <si>
    <t>Long</t>
  </si>
  <si>
    <t>Equity</t>
  </si>
  <si>
    <t>Short</t>
  </si>
  <si>
    <t>SendtoStaging</t>
  </si>
  <si>
    <t>Sell</t>
  </si>
  <si>
    <t>SellShort</t>
  </si>
  <si>
    <t>Round Up</t>
  </si>
  <si>
    <t>Round Down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</si>
</sst>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8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2"/>
      <color rgb="FF000000"/>
      <name val="Arial"/>
    </font>
    <font>
      <sz val="11"/>
      <name val="Calibri"/>
    </font>
    <font>
      <sz val="9"/>
      <color rgb="FF000000"/>
      <name val="&quot;Google Sans Mono&quot;"/>
    </font>
    <font>
      <sz val="11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55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5" applyFont="1" fillId="6" applyFill="1" borderId="0" applyBorder="1" xfId="0">
      <alignment horizontal="right"/>
    </xf>
    <xf fontId="5" applyFont="1" fillId="6" applyFill="1" borderId="0" applyBorder="1" xfId="0">
      <alignment horizontal="right"/>
    </xf>
    <xf fontId="5" applyFont="1" fillId="0" applyFill="1" borderId="0" applyBorder="1" xfId="0"/>
    <xf fontId="14" applyFont="1" fillId="6" applyFill="1" borderId="0" applyBorder="1" xfId="0"/>
    <xf fontId="5" applyFont="1" fillId="6" applyFill="1" borderId="0" applyBorder="1" xfId="0"/>
    <xf fontId="3" applyFont="1" fillId="0" applyFill="1" borderId="0" applyBorder="1" xfId="0"/>
    <xf fontId="3" applyFont="1" fillId="0" applyFill="1" borderId="0" applyBorder="1" xfId="0"/>
    <xf fontId="15" applyFont="1" fillId="0" applyFill="1" borderId="0" applyBorder="1" xfId="0">
      <alignment horizontal="right"/>
    </xf>
    <xf fontId="15" applyFont="1" fillId="0" applyFill="1" borderId="0" applyBorder="1" xfId="0">
      <alignment horizontal="right"/>
    </xf>
    <xf numFmtId="14" applyNumberFormat="1" fontId="15" applyFont="1" fillId="0" applyFill="1" borderId="0" applyBorder="1" xfId="0">
      <alignment horizontal="right"/>
    </xf>
    <xf numFmtId="14" applyNumberFormat="1" fontId="5" applyFont="1" fillId="0" applyFill="1" borderId="0" applyBorder="1" xfId="0">
      <alignment horizontal="right"/>
    </xf>
    <xf numFmtId="14" applyNumberFormat="1" fontId="16" applyFont="1" fillId="6" applyFill="1" borderId="0" applyBorder="1" xfId="0">
      <alignment horizontal="right"/>
    </xf>
    <xf fontId="5" applyFont="1" fillId="0" applyFill="1" borderId="0" applyBorder="1" xfId="0">
      <alignment horizontal="right"/>
    </xf>
    <xf numFmtId="164" applyNumberFormat="1" fontId="5" applyFont="1" fillId="0" applyFill="1" borderId="0" applyBorder="1" xfId="0">
      <alignment horizontal="right"/>
    </xf>
    <xf fontId="15" applyFont="1" fillId="0" applyFill="1" borderId="0" applyBorder="1" xfId="0"/>
    <xf fontId="15" applyFont="1" fillId="0" applyFill="1" borderId="0" applyBorder="1" xfId="0"/>
    <xf fontId="5" applyFont="1" fillId="0" applyFill="1" borderId="0" applyBorder="1" xfId="0"/>
    <xf fontId="5" applyFont="1" fillId="0" applyFill="1" borderId="0" applyBorder="1" xfId="0"/>
    <xf fontId="5" applyFont="1" fillId="0" applyFill="1" borderId="0" applyBorder="1" xfId="0"/>
    <xf fontId="5" applyFont="1" fillId="0" applyFill="1" borderId="0" applyBorder="1" xfId="0">
      <alignment horizontal="center"/>
    </xf>
    <xf fontId="17" applyFont="1" fillId="0" applyFill="1" borderId="0" applyBorder="1" xfId="0"/>
    <xf fontId="17" applyFont="1" fillId="0" applyFill="1" borderId="0" applyBorder="1" xfId="0">
      <alignment horizontal="right"/>
    </xf>
    <xf numFmtId="3" applyNumberFormat="1" fontId="17" applyFont="1" fillId="0" applyFill="1" borderId="0" applyBorder="1" xfId="0">
      <alignment horizontal="right"/>
    </xf>
    <xf fontId="17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5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20.xml.rels><?xml version="1.0" encoding="UTF-8" standalone="yes"?>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21.xml.rels><?xml version="1.0" encoding="UTF-8" standalone="yes"?>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22.xml.rels><?xml version="1.0" encoding="UTF-8" standalone="yes"?>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55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IFERROR(__xludf.DUMMYFUNCTION("""COMPUTED_VALUE"""),"1pm8fmqh314rXSGDiLAdwO0bk-M2SwTJobffwoZFZfZw")</f>
        <v>1pm8fmqh314rXSGDiLAdwO0bk-M2SwTJobffwoZFZfZw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IFERROR(__xludf.DUMMYFUNCTION("""COMPUTED_VALUE"""),"EditPTTRecordAndExecuteOrder")</f>
        <v>EditPTTRecordAndExecuteOrder</v>
      </c>
      <c r="C418" s="0" t="str">
        <f>IFERROR(__xludf.DUMMYFUNCTION("""COMPUTED_VALUE"""),"1PSIJ72QdQ-ByplSZsPtKhZm3ADB7dR-xpWzGR4Bdl_4")</f>
        <v>1PSIJ72QdQ-ByplSZsPtKhZm3ADB7dR-xpWzGR4Bdl_4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IFERROR(__xludf.DUMMYFUNCTION("""COMPUTED_VALUE"""),"1TeGYQgGxypH87IAS1MA8NIqqh4_U0q0H_IsXTnmORFw")</f>
        <v>1TeGYQgGxypH87IAS1MA8NIqqh4_U0q0H_IsXTnmORFw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IFERROR(__xludf.DUMMYFUNCTION("""COMPUTED_VALUE"""),"EditImportStatus")</f>
        <v>EditImportStatus</v>
      </c>
      <c r="C645" s="0" t="str">
        <f>IFERROR(__xludf.DUMMYFUNCTION("""COMPUTED_VALUE"""),"1Xkf1z6WsFfAEpWdBzMACVnTjRvtpZJ0Jbfvug1u1fb8")</f>
        <v>1Xkf1z6WsFfAEpWdBzMACVnTjRvtpZJ0Jbfvug1u1fb8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IFERROR(__xludf.DUMMYFUNCTION("""COMPUTED_VALUE"""),"SelectActionsOnImportStatus")</f>
        <v>SelectActionsOnImportStatus</v>
      </c>
      <c r="C646" s="0" t="str">
        <f>IFERROR(__xludf.DUMMYFUNCTION("""COMPUTED_VALUE"""),"10jCuA8F_28LjeoDXTbc5IgQjfWoEPTWq9svKzhi97OA")</f>
        <v>10jCuA8F_28LjeoDXTbc5IgQjfWoEPTWq9svKzhi97OA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IFERROR(__xludf.DUMMYFUNCTION("""COMPUTED_VALUE"""),"VerifyImportStatus")</f>
        <v>VerifyImportStatus</v>
      </c>
      <c r="C647" s="0" t="str">
        <f>IFERROR(__xludf.DUMMYFUNCTION("""COMPUTED_VALUE"""),"1cyg6XGf_AlQQ_g5DPcBgmBfH4Oz4BH6IUMfTD5nIhFQ")</f>
        <v>1cyg6XGf_AlQQ_g5DPcBgmBfH4Oz4BH6IUMfTD5nIhFQ</v>
      </c>
    </row>
    <row r="648" ht="15.75" customHeight="1">
      <c r="A648" s="0" t="str">
        <f>IFERROR(__xludf.DUMMYFUNCTION("""COMPUTED_VALUE"""),"PTT")</f>
        <v>PTT</v>
      </c>
      <c r="B648" s="0" t="str">
        <f>IFERROR(__xludf.DUMMYFUNCTION("""COMPUTED_VALUE"""),"OpenPreferencesFromPTT")</f>
        <v>OpenPreferencesFromPTT</v>
      </c>
      <c r="C648" s="0" t="str">
        <f>IFERROR(__xludf.DUMMYFUNCTION("""COMPUTED_VALUE"""),"Undefined")</f>
        <v>Undefined</v>
      </c>
    </row>
    <row r="649" ht="15.75" customHeight="1">
      <c r="A649" s="0" t="str">
        <f>IFERROR(__xludf.DUMMYFUNCTION("""COMPUTED_VALUE"""),"Watchlist")</f>
        <v>Watchlist</v>
      </c>
      <c r="B649" s="0" t="str">
        <f>IFERROR(__xludf.DUMMYFUNCTION("""COMPUTED_VALUE"""),"OpenPTTFromWatchlist")</f>
        <v>OpenPTTFromWatchlist</v>
      </c>
      <c r="C649" s="0" t="str">
        <f>IFERROR(__xludf.DUMMYFUNCTION("""COMPUTED_VALUE"""),"1CRJ_F5octCl23LyAw_CoHc_10OvrxRq8f7mNNzl_B6c")</f>
        <v>1CRJ_F5octCl23LyAw_CoHc_10OvrxRq8f7mNNzl_B6c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IFERROR(__xludf.DUMMYFUNCTION("""COMPUTED_VALUE"""),"SetMarketDataProvider")</f>
        <v>SetMarketDataProvider</v>
      </c>
      <c r="C650" s="0" t="str">
        <f>IFERROR(__xludf.DUMMYFUNCTION("""COMPUTED_VALUE"""),"11vW7fknzM8vTBH8SeRsGGkS29p8E1Xfx9205Qtc5hC4")</f>
        <v>11vW7fknzM8vTBH8SeRsGGkS29p8E1Xfx9205Qtc5hC4</v>
      </c>
    </row>
    <row r="651" ht="15.75" customHeight="1">
      <c r="A651" s="0" t="str">
        <f>IFERROR(__xludf.DUMMYFUNCTION("""COMPUTED_VALUE"""),"Admin")</f>
        <v>Admin</v>
      </c>
      <c r="B651" s="0" t="str">
        <f>IFERROR(__xludf.DUMMYFUNCTION("""COMPUTED_VALUE"""),"SetAllocationPreferences")</f>
        <v>SetAllocationPreferences</v>
      </c>
      <c r="C651" s="0" t="str">
        <f>IFERROR(__xludf.DUMMYFUNCTION("""COMPUTED_VALUE"""),"16PO4KGgITIDM3iQzFlyKHfXPBXba023pXOJQCBN_Elc")</f>
        <v>16PO4KGgITIDM3iQzFlyKHfXPBXba023pXOJQCBN_Elc</v>
      </c>
    </row>
    <row r="652" ht="15.75" customHeight="1">
      <c r="A652" s="0" t="str">
        <f>IFERROR(__xludf.DUMMYFUNCTION("""COMPUTED_VALUE"""),"TradingTicket")</f>
        <v>TradingTicket</v>
      </c>
      <c r="B652" s="0" t="str">
        <f>IFERROR(__xludf.DUMMYFUNCTION("""COMPUTED_VALUE"""),"CustomOrderTT")</f>
        <v>CustomOrderTT</v>
      </c>
      <c r="C652" s="0" t="str">
        <f>IFERROR(__xludf.DUMMYFUNCTION("""COMPUTED_VALUE"""),"1v9UMAQA-yD9UreUAgBLbyi4tqqYMESm4YnqZhD5jKvk")</f>
        <v>1v9UMAQA-yD9UreUAgBLbyi4tqqYMESm4YnqZhD5jKvk</v>
      </c>
    </row>
    <row r="653" ht="15.75" customHeight="1">
      <c r="A653" s="0" t="str">
        <f>IFERROR(__xludf.DUMMYFUNCTION("""COMPUTED_VALUE"""),"TradeServer")</f>
        <v>TradeServer</v>
      </c>
      <c r="B653" s="0" t="str">
        <f>IFERROR(__xludf.DUMMYFUNCTION("""COMPUTED_VALUE"""),"ConnectToSimAutoMan")</f>
        <v>ConnectToSimAutoMan</v>
      </c>
      <c r="C653" s="0" t="str">
        <f>IFERROR(__xludf.DUMMYFUNCTION("""COMPUTED_VALUE"""),"1kmGpZTH9xe92vT2JQhF-Njj6d_RCoVtRypLmoKTlseo")</f>
        <v>1kmGpZTH9xe92vT2JQhF-Njj6d_RCoVtRypLmoKTlseo</v>
      </c>
    </row>
    <row r="654" ht="15.75" customHeight="1">
      <c r="A654" s="0" t="str">
        <f>IFERROR(__xludf.DUMMYFUNCTION("""COMPUTED_VALUE"""),"Admin")</f>
        <v>Admin</v>
      </c>
      <c r="B654" s="0" t="str">
        <f>IFERROR(__xludf.DUMMYFUNCTION("""COMPUTED_VALUE"""),"SetRegularCompliancePermission")</f>
        <v>SetRegularCompliancePermission</v>
      </c>
      <c r="C654" s="0" t="str">
        <f>IFERROR(__xludf.DUMMYFUNCTION("""COMPUTED_VALUE"""),"1pGZ7u9bF4Lu1nJJRSpSz5TQn_FVJsrIH05yxOHHU4S4")</f>
        <v>1pGZ7u9bF4Lu1nJJRSpSz5TQn_FVJsrIH05yxOHHU4S4</v>
      </c>
    </row>
    <row r="655" ht="15.75" customHeight="1">
      <c r="A655" s="0" t="str">
        <f>IFERROR(__xludf.DUMMYFUNCTION("""COMPUTED_VALUE"""),"MultiTradingTicket")</f>
        <v>MultiTradingTicket</v>
      </c>
      <c r="B655" s="0" t="str">
        <f>IFERROR(__xludf.DUMMYFUNCTION("""COMPUTED_VALUE"""),"AddOrRemoveColumn")</f>
        <v>AddOrRemoveColumn</v>
      </c>
      <c r="C655" s="0" t="str">
        <f>IFERROR(__xludf.DUMMYFUNCTION("""COMPUTED_VALUE"""),"143kwNkqtTW1E3kVeTrESBbZbd8h3b9KHBzWYPombeFE")</f>
        <v>143kwNkqtTW1E3kVeTrESBbZbd8h3b9KHBzWYPombeFE</v>
      </c>
    </row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v>123456789</v>
      </c>
      <c r="C6" s="32">
        <v>100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16</v>
      </c>
      <c r="C7" s="32">
        <v>100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17</v>
      </c>
      <c r="C8" s="32">
        <v>100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18</v>
      </c>
      <c r="C9" s="32">
        <v>100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4" t="s">
        <v>19</v>
      </c>
      <c r="C10" s="32">
        <v>100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4" t="s">
        <v>20</v>
      </c>
      <c r="C11" s="32">
        <v>50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4" t="s">
        <v>21</v>
      </c>
      <c r="C12" s="32">
        <v>100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4" t="s">
        <v>22</v>
      </c>
      <c r="C13" s="32">
        <v>100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5" t="s">
        <v>23</v>
      </c>
      <c r="C14" s="32">
        <v>10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6"/>
      <c r="C15" s="36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>
        <v>123456789</v>
      </c>
      <c r="C6" s="39" t="s">
        <v>26</v>
      </c>
      <c r="D6" s="38">
        <v>1000</v>
      </c>
      <c r="E6" s="39"/>
      <c r="F6" s="39" t="s">
        <v>27</v>
      </c>
      <c r="G6" s="39"/>
      <c r="H6" s="39"/>
      <c r="I6" s="39"/>
      <c r="J6" s="39">
        <v>10</v>
      </c>
      <c r="K6" s="39"/>
      <c r="L6" s="36"/>
      <c r="M6" s="36"/>
      <c r="N6" s="40">
        <f ref="N6:N23" t="shared" si="1">today()-1</f>
        <v>45196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9" t="s">
        <v>16</v>
      </c>
      <c r="C7" s="39" t="s">
        <v>26</v>
      </c>
      <c r="D7" s="39">
        <v>100</v>
      </c>
      <c r="E7" s="39"/>
      <c r="F7" s="39" t="s">
        <v>27</v>
      </c>
      <c r="G7" s="39"/>
      <c r="H7" s="39"/>
      <c r="I7" s="39"/>
      <c r="J7" s="39">
        <v>10</v>
      </c>
      <c r="K7" s="39"/>
      <c r="L7" s="39"/>
      <c r="M7" s="36"/>
      <c r="N7" s="40">
        <f t="shared" si="1"/>
        <v>45196</v>
      </c>
      <c r="O7" s="39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9" t="s">
        <v>17</v>
      </c>
      <c r="C8" s="39" t="s">
        <v>26</v>
      </c>
      <c r="D8" s="39">
        <v>100</v>
      </c>
      <c r="E8" s="39"/>
      <c r="F8" s="39" t="s">
        <v>27</v>
      </c>
      <c r="G8" s="39"/>
      <c r="H8" s="39"/>
      <c r="I8" s="39"/>
      <c r="J8" s="39">
        <v>10</v>
      </c>
      <c r="K8" s="39"/>
      <c r="L8" s="39"/>
      <c r="M8" s="36"/>
      <c r="N8" s="40">
        <f t="shared" si="1"/>
        <v>45196</v>
      </c>
      <c r="O8" s="39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9" t="s">
        <v>18</v>
      </c>
      <c r="C9" s="39" t="s">
        <v>26</v>
      </c>
      <c r="D9" s="39">
        <v>1000</v>
      </c>
      <c r="E9" s="39"/>
      <c r="F9" s="39" t="s">
        <v>27</v>
      </c>
      <c r="G9" s="39"/>
      <c r="H9" s="39"/>
      <c r="I9" s="39"/>
      <c r="J9" s="39">
        <v>10</v>
      </c>
      <c r="K9" s="39"/>
      <c r="L9" s="39"/>
      <c r="M9" s="39"/>
      <c r="N9" s="40">
        <f t="shared" si="1"/>
        <v>45196</v>
      </c>
      <c r="O9" s="39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9" t="s">
        <v>19</v>
      </c>
      <c r="C10" s="39" t="s">
        <v>26</v>
      </c>
      <c r="D10" s="39">
        <v>1000</v>
      </c>
      <c r="E10" s="39"/>
      <c r="F10" s="39" t="s">
        <v>27</v>
      </c>
      <c r="G10" s="39"/>
      <c r="H10" s="39"/>
      <c r="I10" s="39"/>
      <c r="J10" s="39">
        <v>10</v>
      </c>
      <c r="K10" s="39"/>
      <c r="L10" s="39"/>
      <c r="M10" s="39"/>
      <c r="N10" s="40">
        <f t="shared" si="1"/>
        <v>45196</v>
      </c>
      <c r="O10" s="39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9" t="s">
        <v>20</v>
      </c>
      <c r="C11" s="39" t="s">
        <v>26</v>
      </c>
      <c r="D11" s="39">
        <v>1000</v>
      </c>
      <c r="E11" s="39"/>
      <c r="F11" s="39" t="s">
        <v>27</v>
      </c>
      <c r="G11" s="39"/>
      <c r="H11" s="39"/>
      <c r="I11" s="39"/>
      <c r="J11" s="39">
        <v>10</v>
      </c>
      <c r="K11" s="39"/>
      <c r="L11" s="39"/>
      <c r="M11" s="39"/>
      <c r="N11" s="40">
        <f t="shared" si="1"/>
        <v>45196</v>
      </c>
      <c r="O11" s="39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6"/>
      <c r="B12" s="39" t="s">
        <v>21</v>
      </c>
      <c r="C12" s="39" t="s">
        <v>26</v>
      </c>
      <c r="D12" s="39">
        <v>1000</v>
      </c>
      <c r="E12" s="39"/>
      <c r="F12" s="39" t="s">
        <v>27</v>
      </c>
      <c r="G12" s="39"/>
      <c r="H12" s="39"/>
      <c r="I12" s="39"/>
      <c r="J12" s="39">
        <v>10</v>
      </c>
      <c r="K12" s="39"/>
      <c r="L12" s="39"/>
      <c r="M12" s="39"/>
      <c r="N12" s="40">
        <f t="shared" si="1"/>
        <v>45196</v>
      </c>
      <c r="O12" s="39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36"/>
      <c r="B13" s="39" t="s">
        <v>22</v>
      </c>
      <c r="C13" s="39" t="s">
        <v>26</v>
      </c>
      <c r="D13" s="39">
        <v>1000</v>
      </c>
      <c r="E13" s="39"/>
      <c r="F13" s="39" t="s">
        <v>27</v>
      </c>
      <c r="G13" s="39"/>
      <c r="H13" s="39"/>
      <c r="I13" s="39"/>
      <c r="J13" s="39">
        <v>10</v>
      </c>
      <c r="K13" s="39"/>
      <c r="L13" s="39"/>
      <c r="M13" s="39"/>
      <c r="N13" s="40">
        <f t="shared" si="1"/>
        <v>45196</v>
      </c>
      <c r="O13" s="39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</row>
    <row r="14" ht="15.75" customHeight="1">
      <c r="A14" s="36"/>
      <c r="B14" s="39" t="s">
        <v>23</v>
      </c>
      <c r="C14" s="39" t="s">
        <v>26</v>
      </c>
      <c r="D14" s="39">
        <v>1000</v>
      </c>
      <c r="E14" s="39"/>
      <c r="F14" s="39" t="s">
        <v>27</v>
      </c>
      <c r="G14" s="39"/>
      <c r="H14" s="39"/>
      <c r="I14" s="39"/>
      <c r="J14" s="39">
        <v>10</v>
      </c>
      <c r="K14" s="39"/>
      <c r="L14" s="39"/>
      <c r="M14" s="39"/>
      <c r="N14" s="40">
        <f t="shared" si="1"/>
        <v>45196</v>
      </c>
      <c r="O14" s="39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</row>
    <row r="15" ht="15.75" customHeight="1">
      <c r="A15" s="36"/>
      <c r="B15" s="39">
        <v>123456789</v>
      </c>
      <c r="C15" s="39" t="s">
        <v>26</v>
      </c>
      <c r="D15" s="39">
        <v>2000</v>
      </c>
      <c r="E15" s="39"/>
      <c r="F15" s="39" t="s">
        <v>28</v>
      </c>
      <c r="G15" s="39"/>
      <c r="H15" s="39"/>
      <c r="I15" s="39"/>
      <c r="J15" s="39">
        <v>10</v>
      </c>
      <c r="K15" s="39"/>
      <c r="L15" s="39"/>
      <c r="M15" s="39"/>
      <c r="N15" s="40">
        <f t="shared" si="1"/>
        <v>45196</v>
      </c>
      <c r="O15" s="39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</row>
    <row r="16" ht="15.75" customHeight="1">
      <c r="A16" s="36"/>
      <c r="B16" s="39" t="s">
        <v>16</v>
      </c>
      <c r="C16" s="39" t="s">
        <v>26</v>
      </c>
      <c r="D16" s="39">
        <v>200</v>
      </c>
      <c r="E16" s="39"/>
      <c r="F16" s="39" t="s">
        <v>28</v>
      </c>
      <c r="G16" s="39"/>
      <c r="H16" s="39"/>
      <c r="I16" s="39"/>
      <c r="J16" s="39">
        <v>10</v>
      </c>
      <c r="K16" s="39"/>
      <c r="L16" s="39"/>
      <c r="M16" s="39"/>
      <c r="N16" s="40">
        <f t="shared" si="1"/>
        <v>45196</v>
      </c>
      <c r="O16" s="39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</row>
    <row r="17" ht="15.75" customHeight="1">
      <c r="A17" s="36"/>
      <c r="B17" s="39" t="s">
        <v>17</v>
      </c>
      <c r="C17" s="39" t="s">
        <v>26</v>
      </c>
      <c r="D17" s="39">
        <v>200</v>
      </c>
      <c r="E17" s="39"/>
      <c r="F17" s="39" t="s">
        <v>28</v>
      </c>
      <c r="G17" s="39"/>
      <c r="H17" s="39"/>
      <c r="I17" s="39"/>
      <c r="J17" s="39">
        <v>10</v>
      </c>
      <c r="K17" s="39"/>
      <c r="L17" s="39"/>
      <c r="M17" s="39"/>
      <c r="N17" s="40">
        <f t="shared" si="1"/>
        <v>45196</v>
      </c>
      <c r="O17" s="39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</row>
    <row r="18" ht="15.75" customHeight="1">
      <c r="A18" s="36"/>
      <c r="B18" s="39" t="s">
        <v>18</v>
      </c>
      <c r="C18" s="39" t="s">
        <v>26</v>
      </c>
      <c r="D18" s="39">
        <v>2000</v>
      </c>
      <c r="E18" s="39"/>
      <c r="F18" s="39" t="s">
        <v>28</v>
      </c>
      <c r="G18" s="39"/>
      <c r="H18" s="39"/>
      <c r="I18" s="39"/>
      <c r="J18" s="39">
        <v>10</v>
      </c>
      <c r="K18" s="39"/>
      <c r="L18" s="39"/>
      <c r="M18" s="39"/>
      <c r="N18" s="40">
        <f t="shared" si="1"/>
        <v>45196</v>
      </c>
      <c r="O18" s="39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6"/>
      <c r="DM18" s="36"/>
      <c r="DN18" s="36"/>
      <c r="DO18" s="36"/>
      <c r="DP18" s="36"/>
      <c r="DQ18" s="36"/>
      <c r="DR18" s="36"/>
      <c r="DS18" s="36"/>
      <c r="DT18" s="36"/>
      <c r="DU18" s="36"/>
      <c r="DV18" s="36"/>
      <c r="DW18" s="36"/>
      <c r="DX18" s="36"/>
      <c r="DY18" s="36"/>
      <c r="DZ18" s="36"/>
      <c r="EA18" s="36"/>
      <c r="EB18" s="36"/>
      <c r="EC18" s="36"/>
      <c r="ED18" s="36"/>
      <c r="EE18" s="36"/>
      <c r="EF18" s="36"/>
      <c r="EG18" s="36"/>
      <c r="EH18" s="36"/>
      <c r="EI18" s="36"/>
      <c r="EJ18" s="36"/>
      <c r="EK18" s="36"/>
      <c r="EL18" s="36"/>
      <c r="EM18" s="36"/>
      <c r="EN18" s="36"/>
      <c r="EO18" s="36"/>
      <c r="EP18" s="36"/>
      <c r="EQ18" s="36"/>
      <c r="ER18" s="36"/>
      <c r="ES18" s="36"/>
      <c r="ET18" s="36"/>
      <c r="EU18" s="36"/>
      <c r="EV18" s="36"/>
      <c r="EW18" s="36"/>
      <c r="EX18" s="36"/>
    </row>
    <row r="19" ht="15.75" customHeight="1">
      <c r="A19" s="36"/>
      <c r="B19" s="39" t="s">
        <v>19</v>
      </c>
      <c r="C19" s="39" t="s">
        <v>26</v>
      </c>
      <c r="D19" s="39">
        <v>2000</v>
      </c>
      <c r="E19" s="39"/>
      <c r="F19" s="39" t="s">
        <v>28</v>
      </c>
      <c r="G19" s="39"/>
      <c r="H19" s="39"/>
      <c r="I19" s="39"/>
      <c r="J19" s="39">
        <v>10</v>
      </c>
      <c r="K19" s="39"/>
      <c r="L19" s="39"/>
      <c r="M19" s="39"/>
      <c r="N19" s="40">
        <f t="shared" si="1"/>
        <v>45196</v>
      </c>
      <c r="O19" s="39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6"/>
      <c r="DM19" s="36"/>
      <c r="DN19" s="36"/>
      <c r="DO19" s="36"/>
      <c r="DP19" s="36"/>
      <c r="DQ19" s="36"/>
      <c r="DR19" s="36"/>
      <c r="DS19" s="36"/>
      <c r="DT19" s="36"/>
      <c r="DU19" s="36"/>
      <c r="DV19" s="36"/>
      <c r="DW19" s="36"/>
      <c r="DX19" s="36"/>
      <c r="DY19" s="36"/>
      <c r="DZ19" s="36"/>
      <c r="EA19" s="36"/>
      <c r="EB19" s="36"/>
      <c r="EC19" s="36"/>
      <c r="ED19" s="36"/>
      <c r="EE19" s="36"/>
      <c r="EF19" s="36"/>
      <c r="EG19" s="36"/>
      <c r="EH19" s="36"/>
      <c r="EI19" s="36"/>
      <c r="EJ19" s="36"/>
      <c r="EK19" s="36"/>
      <c r="EL19" s="36"/>
      <c r="EM19" s="36"/>
      <c r="EN19" s="36"/>
      <c r="EO19" s="36"/>
      <c r="EP19" s="36"/>
      <c r="EQ19" s="36"/>
      <c r="ER19" s="36"/>
      <c r="ES19" s="36"/>
      <c r="ET19" s="36"/>
      <c r="EU19" s="36"/>
      <c r="EV19" s="36"/>
      <c r="EW19" s="36"/>
      <c r="EX19" s="36"/>
    </row>
    <row r="20" ht="15.75" customHeight="1">
      <c r="A20" s="36"/>
      <c r="B20" s="39" t="s">
        <v>20</v>
      </c>
      <c r="C20" s="39" t="s">
        <v>26</v>
      </c>
      <c r="D20" s="39">
        <v>2000</v>
      </c>
      <c r="E20" s="39"/>
      <c r="F20" s="39" t="s">
        <v>28</v>
      </c>
      <c r="G20" s="39"/>
      <c r="H20" s="39"/>
      <c r="I20" s="39"/>
      <c r="J20" s="39">
        <v>10</v>
      </c>
      <c r="K20" s="39"/>
      <c r="L20" s="39"/>
      <c r="M20" s="39"/>
      <c r="N20" s="40">
        <f t="shared" si="1"/>
        <v>45196</v>
      </c>
      <c r="O20" s="39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</row>
    <row r="21" ht="15.75" customHeight="1">
      <c r="A21" s="36"/>
      <c r="B21" s="39" t="s">
        <v>21</v>
      </c>
      <c r="C21" s="39" t="s">
        <v>26</v>
      </c>
      <c r="D21" s="39">
        <v>2000</v>
      </c>
      <c r="E21" s="39"/>
      <c r="F21" s="39" t="s">
        <v>28</v>
      </c>
      <c r="G21" s="39"/>
      <c r="H21" s="39"/>
      <c r="I21" s="39"/>
      <c r="J21" s="39">
        <v>10</v>
      </c>
      <c r="K21" s="39"/>
      <c r="L21" s="39"/>
      <c r="M21" s="39"/>
      <c r="N21" s="40">
        <f t="shared" si="1"/>
        <v>45196</v>
      </c>
      <c r="O21" s="39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</row>
    <row r="22" ht="15.75" customHeight="1">
      <c r="A22" s="36"/>
      <c r="B22" s="39" t="s">
        <v>22</v>
      </c>
      <c r="C22" s="39" t="s">
        <v>26</v>
      </c>
      <c r="D22" s="39">
        <v>2000</v>
      </c>
      <c r="E22" s="39"/>
      <c r="F22" s="39" t="s">
        <v>28</v>
      </c>
      <c r="G22" s="39"/>
      <c r="H22" s="39"/>
      <c r="I22" s="39"/>
      <c r="J22" s="39">
        <v>10</v>
      </c>
      <c r="K22" s="39"/>
      <c r="L22" s="39"/>
      <c r="M22" s="39"/>
      <c r="N22" s="40">
        <f t="shared" si="1"/>
        <v>45196</v>
      </c>
      <c r="O22" s="39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36"/>
      <c r="DY22" s="36"/>
      <c r="DZ22" s="36"/>
      <c r="EA22" s="36"/>
      <c r="EB22" s="36"/>
      <c r="EC22" s="36"/>
      <c r="ED22" s="36"/>
      <c r="EE22" s="36"/>
      <c r="EF22" s="36"/>
      <c r="EG22" s="36"/>
      <c r="EH22" s="36"/>
      <c r="EI22" s="36"/>
      <c r="EJ22" s="36"/>
      <c r="EK22" s="36"/>
      <c r="EL22" s="36"/>
      <c r="EM22" s="36"/>
      <c r="EN22" s="36"/>
      <c r="EO22" s="36"/>
      <c r="EP22" s="36"/>
      <c r="EQ22" s="36"/>
      <c r="ER22" s="36"/>
      <c r="ES22" s="36"/>
      <c r="ET22" s="36"/>
      <c r="EU22" s="36"/>
      <c r="EV22" s="36"/>
      <c r="EW22" s="36"/>
      <c r="EX22" s="36"/>
    </row>
    <row r="23" ht="15.75" customHeight="1">
      <c r="A23" s="36"/>
      <c r="B23" s="39" t="s">
        <v>23</v>
      </c>
      <c r="C23" s="39" t="s">
        <v>26</v>
      </c>
      <c r="D23" s="39">
        <v>2000</v>
      </c>
      <c r="E23" s="39"/>
      <c r="F23" s="39" t="s">
        <v>28</v>
      </c>
      <c r="G23" s="39"/>
      <c r="H23" s="39"/>
      <c r="I23" s="39"/>
      <c r="J23" s="39">
        <v>10</v>
      </c>
      <c r="K23" s="39"/>
      <c r="L23" s="39"/>
      <c r="M23" s="39"/>
      <c r="N23" s="40">
        <f t="shared" si="1"/>
        <v>45196</v>
      </c>
      <c r="O23" s="39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  <c r="BO23" s="36"/>
      <c r="BP23" s="36"/>
      <c r="BQ23" s="36"/>
      <c r="BR23" s="36"/>
      <c r="BS23" s="36"/>
      <c r="BT23" s="36"/>
      <c r="BU23" s="36"/>
      <c r="BV23" s="36"/>
      <c r="BW23" s="36"/>
      <c r="BX23" s="36"/>
      <c r="BY23" s="36"/>
      <c r="BZ23" s="36"/>
      <c r="CA23" s="36"/>
      <c r="CB23" s="36"/>
      <c r="CC23" s="36"/>
      <c r="CD23" s="36"/>
      <c r="CE23" s="36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  <c r="CQ23" s="36"/>
      <c r="CR23" s="36"/>
      <c r="CS23" s="36"/>
      <c r="CT23" s="36"/>
      <c r="CU23" s="36"/>
      <c r="CV23" s="36"/>
      <c r="CW23" s="36"/>
      <c r="CX23" s="36"/>
      <c r="CY23" s="36"/>
      <c r="CZ23" s="36"/>
      <c r="DA23" s="36"/>
      <c r="DB23" s="36"/>
      <c r="DC23" s="36"/>
      <c r="DD23" s="36"/>
      <c r="DE23" s="36"/>
      <c r="DF23" s="36"/>
      <c r="DG23" s="36"/>
      <c r="DH23" s="36"/>
      <c r="DI23" s="36"/>
      <c r="DJ23" s="36"/>
      <c r="DK23" s="36"/>
      <c r="DL23" s="36"/>
      <c r="DM23" s="36"/>
      <c r="DN23" s="36"/>
      <c r="DO23" s="36"/>
      <c r="DP23" s="36"/>
      <c r="DQ23" s="36"/>
      <c r="DR23" s="36"/>
      <c r="DS23" s="36"/>
      <c r="DT23" s="36"/>
      <c r="DU23" s="36"/>
      <c r="DV23" s="36"/>
      <c r="DW23" s="36"/>
      <c r="DX23" s="36"/>
      <c r="DY23" s="36"/>
      <c r="DZ23" s="36"/>
      <c r="EA23" s="36"/>
      <c r="EB23" s="36"/>
      <c r="EC23" s="36"/>
      <c r="ED23" s="36"/>
      <c r="EE23" s="36"/>
      <c r="EF23" s="36"/>
      <c r="EG23" s="36"/>
      <c r="EH23" s="36"/>
      <c r="EI23" s="36"/>
      <c r="EJ23" s="36"/>
      <c r="EK23" s="36"/>
      <c r="EL23" s="36"/>
      <c r="EM23" s="36"/>
      <c r="EN23" s="36"/>
      <c r="EO23" s="36"/>
      <c r="EP23" s="36"/>
      <c r="EQ23" s="36"/>
      <c r="ER23" s="36"/>
      <c r="ES23" s="36"/>
      <c r="ET23" s="36"/>
      <c r="EU23" s="36"/>
      <c r="EV23" s="36"/>
      <c r="EW23" s="36"/>
      <c r="EX23" s="36"/>
    </row>
    <row r="24" ht="15.7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6"/>
      <c r="DL24" s="36"/>
      <c r="DM24" s="36"/>
      <c r="DN24" s="36"/>
      <c r="DO24" s="36"/>
      <c r="DP24" s="36"/>
      <c r="DQ24" s="36"/>
      <c r="DR24" s="36"/>
      <c r="DS24" s="36"/>
      <c r="DT24" s="36"/>
      <c r="DU24" s="36"/>
      <c r="DV24" s="36"/>
      <c r="DW24" s="36"/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36"/>
      <c r="EL24" s="36"/>
      <c r="EM24" s="36"/>
      <c r="EN24" s="36"/>
      <c r="EO24" s="36"/>
      <c r="EP24" s="36"/>
      <c r="EQ24" s="36"/>
      <c r="ER24" s="36"/>
      <c r="ES24" s="36"/>
      <c r="ET24" s="36"/>
      <c r="EU24" s="36"/>
      <c r="EV24" s="36"/>
      <c r="EW24" s="36"/>
      <c r="EX24" s="36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>
        <v>123456789</v>
      </c>
      <c r="C6" s="39">
        <v>1300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16</v>
      </c>
      <c r="C7" s="39">
        <v>1840.12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9" t="s">
        <v>17</v>
      </c>
      <c r="C8" s="39">
        <v>1120.44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9" t="s">
        <v>18</v>
      </c>
      <c r="C9" s="39">
        <v>133.31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9" t="s">
        <v>19</v>
      </c>
      <c r="C10" s="39">
        <v>11.62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9" t="s">
        <v>20</v>
      </c>
      <c r="C11" s="39">
        <v>151.08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9" t="s">
        <v>21</v>
      </c>
      <c r="C12" s="39">
        <v>116.96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9" t="s">
        <v>22</v>
      </c>
      <c r="C13" s="39">
        <v>2400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9" t="s">
        <v>23</v>
      </c>
      <c r="C14" s="39">
        <v>865.35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6"/>
      <c r="C15" s="36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41">
        <f ref="B6:C6" t="shared" si="1">TODAY()-1</f>
        <v>45196</v>
      </c>
      <c r="C6" s="42">
        <f t="shared" si="1"/>
        <v>45196</v>
      </c>
      <c r="D6" s="37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 t="s">
        <v>33</v>
      </c>
      <c r="C6" s="36" t="s">
        <v>34</v>
      </c>
      <c r="D6" s="37" t="s">
        <v>35</v>
      </c>
      <c r="E6" s="43">
        <v>2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36</v>
      </c>
      <c r="C7" s="36" t="s">
        <v>33</v>
      </c>
      <c r="D7" s="36" t="s">
        <v>37</v>
      </c>
      <c r="E7" s="43">
        <v>0.5</v>
      </c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44">
        <f>TODAY()-1</f>
        <v>45196</v>
      </c>
      <c r="C6" s="44">
        <f>TODAY()</f>
        <v>45197</v>
      </c>
      <c r="D6" s="37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45" t="s">
        <v>27</v>
      </c>
      <c r="C6" s="46" t="s">
        <v>33</v>
      </c>
      <c r="D6" s="38">
        <v>264534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46" t="s">
        <v>28</v>
      </c>
      <c r="C7" s="46" t="s">
        <v>33</v>
      </c>
      <c r="D7" s="39">
        <v>529068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47" t="s">
        <v>42</v>
      </c>
      <c r="C6" s="48" t="s">
        <v>43</v>
      </c>
      <c r="D6" s="47" t="s">
        <v>44</v>
      </c>
      <c r="E6" s="48" t="s">
        <v>45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16</v>
      </c>
      <c r="C6" s="48" t="s">
        <v>47</v>
      </c>
      <c r="D6" s="13">
        <v>-10</v>
      </c>
      <c r="E6" s="13" t="s">
        <v>27</v>
      </c>
      <c r="F6" s="8"/>
      <c r="G6" s="8"/>
      <c r="H6" s="8"/>
      <c r="I6" s="8"/>
      <c r="J6" s="39">
        <v>1840.12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13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16</v>
      </c>
      <c r="C6" s="48" t="s">
        <v>47</v>
      </c>
      <c r="D6" s="13">
        <v>-14</v>
      </c>
      <c r="E6" s="13" t="s">
        <v>28</v>
      </c>
      <c r="F6" s="8"/>
      <c r="G6" s="8"/>
      <c r="H6" s="8"/>
      <c r="I6" s="8"/>
      <c r="J6" s="39">
        <v>1840.12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RebalanceAcrossSecurities1!$4:$4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49" t="s">
        <v>49</v>
      </c>
      <c r="C6" s="36"/>
      <c r="D6" s="50" t="b">
        <v>1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51" t="s">
        <v>27</v>
      </c>
      <c r="D6" s="51">
        <v>123456789</v>
      </c>
      <c r="E6" s="51" t="s">
        <v>51</v>
      </c>
      <c r="F6" s="51" t="s">
        <v>52</v>
      </c>
      <c r="G6" s="8"/>
      <c r="H6" s="8"/>
      <c r="I6" s="8"/>
      <c r="J6" s="8"/>
      <c r="K6" s="8"/>
      <c r="L6" s="8"/>
      <c r="M6" s="8"/>
      <c r="N6" s="8"/>
      <c r="O6" s="8"/>
      <c r="R6" s="52">
        <v>0</v>
      </c>
      <c r="S6" s="52">
        <v>0</v>
      </c>
    </row>
    <row r="7" ht="15.75" customHeight="1">
      <c r="A7" s="8"/>
      <c r="B7" s="8"/>
      <c r="C7" s="51" t="s">
        <v>28</v>
      </c>
      <c r="D7" s="51">
        <v>123456789</v>
      </c>
      <c r="E7" s="51" t="s">
        <v>51</v>
      </c>
      <c r="F7" s="51" t="s">
        <v>52</v>
      </c>
      <c r="G7" s="8"/>
      <c r="H7" s="8"/>
      <c r="I7" s="8"/>
      <c r="J7" s="8"/>
      <c r="K7" s="8"/>
      <c r="L7" s="8"/>
      <c r="M7" s="8"/>
      <c r="N7" s="8"/>
      <c r="O7" s="8"/>
      <c r="R7" s="52">
        <v>0</v>
      </c>
      <c r="S7" s="52">
        <v>0</v>
      </c>
    </row>
    <row r="8" ht="15.75" customHeight="1">
      <c r="A8" s="8"/>
      <c r="B8" s="8"/>
      <c r="C8" s="51" t="s">
        <v>27</v>
      </c>
      <c r="D8" s="51" t="s">
        <v>23</v>
      </c>
      <c r="E8" s="51" t="s">
        <v>51</v>
      </c>
      <c r="F8" s="51" t="s">
        <v>52</v>
      </c>
      <c r="G8" s="8"/>
      <c r="H8" s="8"/>
      <c r="I8" s="8"/>
      <c r="J8" s="8"/>
      <c r="K8" s="8"/>
      <c r="L8" s="8"/>
      <c r="M8" s="8"/>
      <c r="N8" s="8"/>
      <c r="O8" s="8"/>
      <c r="R8" s="52">
        <v>0</v>
      </c>
      <c r="S8" s="52">
        <v>0</v>
      </c>
    </row>
    <row r="9" ht="15.75" customHeight="1">
      <c r="A9" s="8"/>
      <c r="B9" s="8"/>
      <c r="C9" s="51" t="s">
        <v>28</v>
      </c>
      <c r="D9" s="51" t="s">
        <v>23</v>
      </c>
      <c r="E9" s="51" t="s">
        <v>51</v>
      </c>
      <c r="F9" s="51" t="s">
        <v>52</v>
      </c>
      <c r="G9" s="8"/>
      <c r="H9" s="8"/>
      <c r="I9" s="8"/>
      <c r="J9" s="8"/>
      <c r="K9" s="8"/>
      <c r="L9" s="8"/>
      <c r="M9" s="8"/>
      <c r="N9" s="8"/>
      <c r="O9" s="8"/>
      <c r="R9" s="52">
        <v>0</v>
      </c>
      <c r="S9" s="52">
        <v>0</v>
      </c>
    </row>
    <row r="10" ht="15.75" customHeight="1">
      <c r="A10" s="8"/>
      <c r="B10" s="8"/>
      <c r="C10" s="51" t="s">
        <v>27</v>
      </c>
      <c r="D10" s="51" t="s">
        <v>16</v>
      </c>
      <c r="E10" s="51" t="s">
        <v>53</v>
      </c>
      <c r="F10" s="51" t="s">
        <v>52</v>
      </c>
      <c r="G10" s="8"/>
      <c r="H10" s="8"/>
      <c r="I10" s="8"/>
      <c r="J10" s="8"/>
      <c r="K10" s="8"/>
      <c r="L10" s="8"/>
      <c r="M10" s="8"/>
      <c r="N10" s="8"/>
      <c r="O10" s="8"/>
      <c r="R10" s="52">
        <v>-100</v>
      </c>
      <c r="S10" s="53">
        <v>-184012</v>
      </c>
    </row>
    <row r="11" ht="15.75" customHeight="1">
      <c r="A11" s="8"/>
      <c r="B11" s="8"/>
      <c r="C11" s="51" t="s">
        <v>27</v>
      </c>
      <c r="D11" s="51" t="s">
        <v>16</v>
      </c>
      <c r="E11" s="51" t="s">
        <v>53</v>
      </c>
      <c r="F11" s="51" t="s">
        <v>54</v>
      </c>
      <c r="G11" s="8"/>
      <c r="H11" s="8"/>
      <c r="I11" s="8"/>
      <c r="J11" s="8"/>
      <c r="K11" s="8"/>
      <c r="L11" s="8"/>
      <c r="M11" s="8"/>
      <c r="N11" s="8"/>
      <c r="O11" s="8"/>
      <c r="R11" s="52">
        <v>600</v>
      </c>
      <c r="S11" s="53">
        <v>-1104072</v>
      </c>
    </row>
    <row r="12" ht="15.75" customHeight="1">
      <c r="A12" s="8"/>
      <c r="B12" s="8"/>
      <c r="C12" s="51" t="s">
        <v>28</v>
      </c>
      <c r="D12" s="51" t="s">
        <v>16</v>
      </c>
      <c r="E12" s="51" t="s">
        <v>53</v>
      </c>
      <c r="F12" s="51" t="s">
        <v>52</v>
      </c>
      <c r="G12" s="8"/>
      <c r="H12" s="8"/>
      <c r="I12" s="8"/>
      <c r="J12" s="8"/>
      <c r="K12" s="8"/>
      <c r="L12" s="8"/>
      <c r="M12" s="8"/>
      <c r="N12" s="8"/>
      <c r="O12" s="8"/>
      <c r="R12" s="52">
        <v>-200</v>
      </c>
      <c r="S12" s="53">
        <v>-368024</v>
      </c>
    </row>
    <row r="13" ht="15.75" customHeight="1">
      <c r="A13" s="8"/>
      <c r="B13" s="8"/>
      <c r="C13" s="51" t="s">
        <v>28</v>
      </c>
      <c r="D13" s="51" t="s">
        <v>16</v>
      </c>
      <c r="E13" s="51" t="s">
        <v>53</v>
      </c>
      <c r="F13" s="51" t="s">
        <v>54</v>
      </c>
      <c r="G13" s="8"/>
      <c r="H13" s="8"/>
      <c r="I13" s="8"/>
      <c r="J13" s="8"/>
      <c r="K13" s="8"/>
      <c r="L13" s="8"/>
      <c r="M13" s="8"/>
      <c r="N13" s="8"/>
      <c r="O13" s="8"/>
      <c r="R13" s="52">
        <v>1600</v>
      </c>
      <c r="S13" s="53">
        <v>-2944192</v>
      </c>
    </row>
    <row r="14" ht="15.75" customHeight="1">
      <c r="A14" s="8"/>
      <c r="B14" s="8"/>
      <c r="C14" s="51" t="s">
        <v>27</v>
      </c>
      <c r="D14" s="51" t="s">
        <v>20</v>
      </c>
      <c r="E14" s="51" t="s">
        <v>53</v>
      </c>
      <c r="F14" s="51" t="s">
        <v>52</v>
      </c>
      <c r="G14" s="8"/>
      <c r="H14" s="8"/>
      <c r="I14" s="8"/>
      <c r="J14" s="8"/>
      <c r="K14" s="8"/>
      <c r="L14" s="8"/>
      <c r="M14" s="8"/>
      <c r="N14" s="8"/>
      <c r="O14" s="8"/>
      <c r="R14" s="52">
        <v>0</v>
      </c>
      <c r="S14" s="52">
        <v>0</v>
      </c>
    </row>
    <row r="15" ht="15.75" customHeight="1">
      <c r="A15" s="8"/>
      <c r="B15" s="8"/>
      <c r="C15" s="51" t="s">
        <v>28</v>
      </c>
      <c r="D15" s="51" t="s">
        <v>20</v>
      </c>
      <c r="E15" s="51" t="s">
        <v>53</v>
      </c>
      <c r="F15" s="51" t="s">
        <v>52</v>
      </c>
      <c r="G15" s="8"/>
      <c r="H15" s="8"/>
      <c r="I15" s="8"/>
      <c r="J15" s="8"/>
      <c r="K15" s="8"/>
      <c r="L15" s="8"/>
      <c r="M15" s="8"/>
      <c r="N15" s="8"/>
      <c r="O15" s="8"/>
      <c r="R15" s="52">
        <v>0</v>
      </c>
      <c r="S15" s="52">
        <v>0</v>
      </c>
    </row>
    <row r="16" ht="15.75" customHeight="1">
      <c r="A16" s="8"/>
      <c r="B16" s="8"/>
      <c r="C16" s="51" t="s">
        <v>27</v>
      </c>
      <c r="D16" s="51" t="s">
        <v>22</v>
      </c>
      <c r="E16" s="51" t="s">
        <v>53</v>
      </c>
      <c r="F16" s="51" t="s">
        <v>52</v>
      </c>
      <c r="G16" s="8"/>
      <c r="H16" s="8"/>
      <c r="I16" s="8"/>
      <c r="J16" s="8"/>
      <c r="K16" s="8"/>
      <c r="L16" s="8"/>
      <c r="M16" s="8"/>
      <c r="N16" s="8"/>
      <c r="O16" s="8"/>
      <c r="R16" s="52">
        <v>0</v>
      </c>
      <c r="S16" s="52">
        <v>0</v>
      </c>
    </row>
    <row r="17" ht="15.75" customHeight="1">
      <c r="A17" s="8"/>
      <c r="B17" s="8"/>
      <c r="C17" s="51" t="s">
        <v>28</v>
      </c>
      <c r="D17" s="51" t="s">
        <v>22</v>
      </c>
      <c r="E17" s="51" t="s">
        <v>53</v>
      </c>
      <c r="F17" s="51" t="s">
        <v>52</v>
      </c>
      <c r="G17" s="8"/>
      <c r="H17" s="8"/>
      <c r="I17" s="8"/>
      <c r="J17" s="8"/>
      <c r="K17" s="8"/>
      <c r="L17" s="8"/>
      <c r="M17" s="8"/>
      <c r="N17" s="8"/>
      <c r="O17" s="8"/>
      <c r="R17" s="52">
        <v>0</v>
      </c>
      <c r="S17" s="52">
        <v>0</v>
      </c>
    </row>
    <row r="18" ht="15.75" customHeight="1">
      <c r="A18" s="8"/>
      <c r="B18" s="8"/>
      <c r="C18" s="51" t="s">
        <v>27</v>
      </c>
      <c r="D18" s="51" t="s">
        <v>21</v>
      </c>
      <c r="E18" s="51" t="s">
        <v>53</v>
      </c>
      <c r="F18" s="51" t="s">
        <v>52</v>
      </c>
      <c r="G18" s="8"/>
      <c r="H18" s="8"/>
      <c r="I18" s="8"/>
      <c r="J18" s="8"/>
      <c r="K18" s="8"/>
      <c r="L18" s="8"/>
      <c r="M18" s="8"/>
      <c r="N18" s="8"/>
      <c r="O18" s="8"/>
      <c r="R18" s="52">
        <v>0</v>
      </c>
      <c r="S18" s="52">
        <v>0</v>
      </c>
    </row>
    <row r="19" ht="15.75" customHeight="1">
      <c r="A19" s="8"/>
      <c r="B19" s="8"/>
      <c r="C19" s="51" t="s">
        <v>28</v>
      </c>
      <c r="D19" s="51" t="s">
        <v>21</v>
      </c>
      <c r="E19" s="51" t="s">
        <v>53</v>
      </c>
      <c r="F19" s="51" t="s">
        <v>52</v>
      </c>
      <c r="G19" s="8"/>
      <c r="H19" s="8"/>
      <c r="I19" s="8"/>
      <c r="J19" s="8"/>
      <c r="K19" s="8"/>
      <c r="L19" s="8"/>
      <c r="M19" s="8"/>
      <c r="N19" s="8"/>
      <c r="O19" s="8"/>
      <c r="R19" s="52">
        <v>0</v>
      </c>
      <c r="S19" s="52">
        <v>0</v>
      </c>
    </row>
    <row r="20" ht="15.75" customHeight="1">
      <c r="A20" s="8"/>
      <c r="B20" s="8"/>
      <c r="C20" s="51" t="s">
        <v>27</v>
      </c>
      <c r="D20" s="51" t="s">
        <v>19</v>
      </c>
      <c r="E20" s="51" t="s">
        <v>53</v>
      </c>
      <c r="F20" s="51" t="s">
        <v>52</v>
      </c>
      <c r="G20" s="8"/>
      <c r="H20" s="8"/>
      <c r="I20" s="8"/>
      <c r="J20" s="8"/>
      <c r="K20" s="8"/>
      <c r="L20" s="8"/>
      <c r="M20" s="8"/>
      <c r="N20" s="8"/>
      <c r="O20" s="8"/>
      <c r="R20" s="52">
        <v>0</v>
      </c>
      <c r="S20" s="52">
        <v>0</v>
      </c>
    </row>
    <row r="21" ht="15.75" customHeight="1">
      <c r="A21" s="8"/>
      <c r="B21" s="8"/>
      <c r="C21" s="51" t="s">
        <v>28</v>
      </c>
      <c r="D21" s="51" t="s">
        <v>19</v>
      </c>
      <c r="E21" s="51" t="s">
        <v>53</v>
      </c>
      <c r="F21" s="51" t="s">
        <v>52</v>
      </c>
      <c r="G21" s="8"/>
      <c r="H21" s="8"/>
      <c r="I21" s="8"/>
      <c r="J21" s="8"/>
      <c r="K21" s="8"/>
      <c r="L21" s="8"/>
      <c r="M21" s="8"/>
      <c r="N21" s="8"/>
      <c r="O21" s="8"/>
      <c r="R21" s="52">
        <v>0</v>
      </c>
      <c r="S21" s="52">
        <v>0</v>
      </c>
    </row>
    <row r="22" ht="15.75" customHeight="1">
      <c r="A22" s="8"/>
      <c r="B22" s="8"/>
      <c r="C22" s="51" t="s">
        <v>27</v>
      </c>
      <c r="D22" s="51" t="s">
        <v>17</v>
      </c>
      <c r="E22" s="51" t="s">
        <v>53</v>
      </c>
      <c r="F22" s="51" t="s">
        <v>52</v>
      </c>
      <c r="G22" s="8"/>
      <c r="H22" s="8"/>
      <c r="I22" s="8"/>
      <c r="J22" s="8"/>
      <c r="K22" s="8"/>
      <c r="L22" s="8"/>
      <c r="M22" s="8"/>
      <c r="N22" s="8"/>
      <c r="O22" s="8"/>
      <c r="R22" s="52">
        <v>0</v>
      </c>
      <c r="S22" s="52">
        <v>0</v>
      </c>
    </row>
    <row r="23" ht="15.75" customHeight="1">
      <c r="A23" s="8"/>
      <c r="B23" s="8"/>
      <c r="C23" s="51" t="s">
        <v>28</v>
      </c>
      <c r="D23" s="51" t="s">
        <v>17</v>
      </c>
      <c r="E23" s="51" t="s">
        <v>53</v>
      </c>
      <c r="F23" s="51" t="s">
        <v>52</v>
      </c>
      <c r="G23" s="8"/>
      <c r="H23" s="8"/>
      <c r="I23" s="8"/>
      <c r="J23" s="8"/>
      <c r="K23" s="8"/>
      <c r="L23" s="8"/>
      <c r="M23" s="8"/>
      <c r="N23" s="8"/>
      <c r="O23" s="8"/>
      <c r="R23" s="52">
        <v>0</v>
      </c>
      <c r="S23" s="52">
        <v>0</v>
      </c>
    </row>
    <row r="24" ht="15.75" customHeight="1">
      <c r="A24" s="8"/>
      <c r="B24" s="8"/>
      <c r="C24" s="51" t="s">
        <v>27</v>
      </c>
      <c r="D24" s="51" t="s">
        <v>18</v>
      </c>
      <c r="E24" s="51" t="s">
        <v>53</v>
      </c>
      <c r="F24" s="51" t="s">
        <v>52</v>
      </c>
      <c r="G24" s="8"/>
      <c r="H24" s="8"/>
      <c r="I24" s="8"/>
      <c r="J24" s="8"/>
      <c r="K24" s="8"/>
      <c r="L24" s="8"/>
      <c r="M24" s="8"/>
      <c r="N24" s="8"/>
      <c r="O24" s="8"/>
      <c r="R24" s="52">
        <v>0</v>
      </c>
      <c r="S24" s="52">
        <v>0</v>
      </c>
    </row>
    <row r="25" ht="15.75" customHeight="1">
      <c r="A25" s="8"/>
      <c r="B25" s="8"/>
      <c r="C25" s="51" t="s">
        <v>28</v>
      </c>
      <c r="D25" s="51" t="s">
        <v>18</v>
      </c>
      <c r="E25" s="51" t="s">
        <v>53</v>
      </c>
      <c r="F25" s="51" t="s">
        <v>52</v>
      </c>
      <c r="G25" s="8"/>
      <c r="H25" s="8"/>
      <c r="I25" s="8"/>
      <c r="J25" s="8"/>
      <c r="K25" s="8"/>
      <c r="L25" s="8"/>
      <c r="M25" s="8"/>
      <c r="N25" s="8"/>
      <c r="O25" s="8"/>
      <c r="R25" s="52">
        <v>0</v>
      </c>
      <c r="S25" s="52">
        <v>0</v>
      </c>
    </row>
    <row r="26" ht="15.75" customHeight="1">
      <c r="A26" s="8"/>
      <c r="B26" s="8"/>
      <c r="C26" s="54"/>
      <c r="D26" s="54"/>
      <c r="E26" s="54"/>
      <c r="F26" s="54"/>
      <c r="G26" s="8"/>
      <c r="H26" s="8"/>
      <c r="I26" s="8"/>
      <c r="J26" s="8"/>
      <c r="K26" s="8"/>
      <c r="L26" s="8"/>
      <c r="M26" s="8"/>
      <c r="N26" s="8"/>
      <c r="O26" s="8"/>
      <c r="R26" s="54"/>
      <c r="S26" s="5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1" t="s">
        <v>27</v>
      </c>
      <c r="C6" s="51" t="s">
        <v>56</v>
      </c>
      <c r="D6" s="51" t="s">
        <v>16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1" t="s">
        <v>27</v>
      </c>
      <c r="C7" s="51" t="s">
        <v>57</v>
      </c>
      <c r="D7" s="51" t="s">
        <v>16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1" t="s">
        <v>28</v>
      </c>
      <c r="C8" s="51" t="s">
        <v>56</v>
      </c>
      <c r="D8" s="51" t="s">
        <v>16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1" t="s">
        <v>28</v>
      </c>
      <c r="C9" s="51" t="s">
        <v>57</v>
      </c>
      <c r="D9" s="51" t="s">
        <v>16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54"/>
      <c r="C10" s="54"/>
      <c r="D10" s="54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47" t="s">
        <v>58</v>
      </c>
      <c r="C6" s="36"/>
      <c r="D6" s="50" t="b">
        <v>1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51" t="s">
        <v>27</v>
      </c>
      <c r="D6" s="51">
        <v>123456789</v>
      </c>
      <c r="E6" s="51" t="s">
        <v>51</v>
      </c>
      <c r="F6" s="51" t="s">
        <v>52</v>
      </c>
      <c r="G6" s="8"/>
      <c r="H6" s="8"/>
      <c r="I6" s="8"/>
      <c r="J6" s="8"/>
      <c r="K6" s="8"/>
      <c r="L6" s="8"/>
      <c r="M6" s="8"/>
      <c r="N6" s="8"/>
      <c r="O6" s="8"/>
      <c r="R6" s="52">
        <v>0</v>
      </c>
      <c r="S6" s="52">
        <v>0</v>
      </c>
    </row>
    <row r="7" ht="15.75" customHeight="1">
      <c r="A7" s="8"/>
      <c r="B7" s="8"/>
      <c r="C7" s="51" t="s">
        <v>28</v>
      </c>
      <c r="D7" s="51">
        <v>123456789</v>
      </c>
      <c r="E7" s="51" t="s">
        <v>51</v>
      </c>
      <c r="F7" s="51" t="s">
        <v>52</v>
      </c>
      <c r="G7" s="8"/>
      <c r="H7" s="8"/>
      <c r="I7" s="8"/>
      <c r="J7" s="8"/>
      <c r="K7" s="8"/>
      <c r="L7" s="8"/>
      <c r="M7" s="8"/>
      <c r="N7" s="8"/>
      <c r="O7" s="8"/>
      <c r="R7" s="52">
        <v>0</v>
      </c>
      <c r="S7" s="52">
        <v>0</v>
      </c>
    </row>
    <row r="8" ht="15.75" customHeight="1">
      <c r="A8" s="8"/>
      <c r="B8" s="8"/>
      <c r="C8" s="51" t="s">
        <v>27</v>
      </c>
      <c r="D8" s="51" t="s">
        <v>23</v>
      </c>
      <c r="E8" s="51" t="s">
        <v>51</v>
      </c>
      <c r="F8" s="51" t="s">
        <v>52</v>
      </c>
      <c r="G8" s="8"/>
      <c r="H8" s="8"/>
      <c r="I8" s="8"/>
      <c r="J8" s="8"/>
      <c r="K8" s="8"/>
      <c r="L8" s="8"/>
      <c r="M8" s="8"/>
      <c r="N8" s="8"/>
      <c r="O8" s="8"/>
      <c r="R8" s="52">
        <v>0</v>
      </c>
      <c r="S8" s="52">
        <v>0</v>
      </c>
    </row>
    <row r="9" ht="15.75" customHeight="1">
      <c r="A9" s="8"/>
      <c r="B9" s="8"/>
      <c r="C9" s="51" t="s">
        <v>28</v>
      </c>
      <c r="D9" s="51" t="s">
        <v>23</v>
      </c>
      <c r="E9" s="51" t="s">
        <v>51</v>
      </c>
      <c r="F9" s="51" t="s">
        <v>52</v>
      </c>
      <c r="G9" s="8"/>
      <c r="H9" s="8"/>
      <c r="I9" s="8"/>
      <c r="J9" s="8"/>
      <c r="K9" s="8"/>
      <c r="L9" s="8"/>
      <c r="M9" s="8"/>
      <c r="N9" s="8"/>
      <c r="O9" s="8"/>
      <c r="R9" s="52">
        <v>0</v>
      </c>
      <c r="S9" s="52">
        <v>0</v>
      </c>
    </row>
    <row r="10" ht="15.75" customHeight="1">
      <c r="A10" s="8"/>
      <c r="B10" s="8"/>
      <c r="C10" s="51" t="s">
        <v>27</v>
      </c>
      <c r="D10" s="51" t="s">
        <v>16</v>
      </c>
      <c r="E10" s="51" t="s">
        <v>53</v>
      </c>
      <c r="F10" s="51" t="s">
        <v>52</v>
      </c>
      <c r="G10" s="8"/>
      <c r="H10" s="8"/>
      <c r="I10" s="8"/>
      <c r="J10" s="8"/>
      <c r="K10" s="8"/>
      <c r="L10" s="8"/>
      <c r="M10" s="8"/>
      <c r="N10" s="8"/>
      <c r="O10" s="8"/>
      <c r="R10" s="52">
        <v>-100</v>
      </c>
      <c r="S10" s="53">
        <v>-184012</v>
      </c>
    </row>
    <row r="11" ht="15.75" customHeight="1">
      <c r="A11" s="8"/>
      <c r="B11" s="8"/>
      <c r="C11" s="51" t="s">
        <v>27</v>
      </c>
      <c r="D11" s="51" t="s">
        <v>16</v>
      </c>
      <c r="E11" s="51" t="s">
        <v>53</v>
      </c>
      <c r="F11" s="51" t="s">
        <v>54</v>
      </c>
      <c r="G11" s="8"/>
      <c r="H11" s="8"/>
      <c r="I11" s="8"/>
      <c r="J11" s="8"/>
      <c r="K11" s="8"/>
      <c r="L11" s="8"/>
      <c r="M11" s="8"/>
      <c r="N11" s="8"/>
      <c r="O11" s="8"/>
      <c r="R11" s="52">
        <v>600</v>
      </c>
      <c r="S11" s="53">
        <v>-1104072</v>
      </c>
    </row>
    <row r="12" ht="15.75" customHeight="1">
      <c r="A12" s="8"/>
      <c r="B12" s="8"/>
      <c r="C12" s="51" t="s">
        <v>28</v>
      </c>
      <c r="D12" s="51" t="s">
        <v>16</v>
      </c>
      <c r="E12" s="51" t="s">
        <v>53</v>
      </c>
      <c r="F12" s="51" t="s">
        <v>52</v>
      </c>
      <c r="G12" s="8"/>
      <c r="H12" s="8"/>
      <c r="I12" s="8"/>
      <c r="J12" s="8"/>
      <c r="K12" s="8"/>
      <c r="L12" s="8"/>
      <c r="M12" s="8"/>
      <c r="N12" s="8"/>
      <c r="O12" s="8"/>
      <c r="R12" s="52">
        <v>-200</v>
      </c>
      <c r="S12" s="53">
        <v>-368024</v>
      </c>
    </row>
    <row r="13" ht="15.75" customHeight="1">
      <c r="A13" s="8"/>
      <c r="B13" s="8"/>
      <c r="C13" s="51" t="s">
        <v>28</v>
      </c>
      <c r="D13" s="51" t="s">
        <v>16</v>
      </c>
      <c r="E13" s="51" t="s">
        <v>53</v>
      </c>
      <c r="F13" s="51" t="s">
        <v>54</v>
      </c>
      <c r="G13" s="8"/>
      <c r="H13" s="8"/>
      <c r="I13" s="8"/>
      <c r="J13" s="8"/>
      <c r="K13" s="8"/>
      <c r="L13" s="8"/>
      <c r="M13" s="8"/>
      <c r="N13" s="8"/>
      <c r="O13" s="8"/>
      <c r="R13" s="52">
        <v>1700</v>
      </c>
      <c r="S13" s="53">
        <v>-3128204</v>
      </c>
    </row>
    <row r="14" ht="15.75" customHeight="1">
      <c r="A14" s="8"/>
      <c r="B14" s="8"/>
      <c r="C14" s="51" t="s">
        <v>27</v>
      </c>
      <c r="D14" s="51" t="s">
        <v>20</v>
      </c>
      <c r="E14" s="51" t="s">
        <v>53</v>
      </c>
      <c r="F14" s="51" t="s">
        <v>52</v>
      </c>
      <c r="G14" s="8"/>
      <c r="H14" s="8"/>
      <c r="I14" s="8"/>
      <c r="J14" s="8"/>
      <c r="K14" s="8"/>
      <c r="L14" s="8"/>
      <c r="M14" s="8"/>
      <c r="N14" s="8"/>
      <c r="O14" s="8"/>
      <c r="R14" s="52">
        <v>0</v>
      </c>
      <c r="S14" s="52">
        <v>0</v>
      </c>
    </row>
    <row r="15" ht="15.75" customHeight="1">
      <c r="A15" s="8"/>
      <c r="B15" s="8"/>
      <c r="C15" s="51" t="s">
        <v>28</v>
      </c>
      <c r="D15" s="51" t="s">
        <v>20</v>
      </c>
      <c r="E15" s="51" t="s">
        <v>53</v>
      </c>
      <c r="F15" s="51" t="s">
        <v>52</v>
      </c>
      <c r="G15" s="8"/>
      <c r="H15" s="8"/>
      <c r="I15" s="8"/>
      <c r="J15" s="8"/>
      <c r="K15" s="8"/>
      <c r="L15" s="8"/>
      <c r="M15" s="8"/>
      <c r="N15" s="8"/>
      <c r="O15" s="8"/>
      <c r="R15" s="52">
        <v>0</v>
      </c>
      <c r="S15" s="52">
        <v>0</v>
      </c>
    </row>
    <row r="16" ht="15.75" customHeight="1">
      <c r="A16" s="8"/>
      <c r="B16" s="8"/>
      <c r="C16" s="51" t="s">
        <v>27</v>
      </c>
      <c r="D16" s="51" t="s">
        <v>22</v>
      </c>
      <c r="E16" s="51" t="s">
        <v>53</v>
      </c>
      <c r="F16" s="51" t="s">
        <v>52</v>
      </c>
      <c r="G16" s="8"/>
      <c r="H16" s="8"/>
      <c r="I16" s="8"/>
      <c r="J16" s="8"/>
      <c r="K16" s="8"/>
      <c r="L16" s="8"/>
      <c r="M16" s="8"/>
      <c r="N16" s="8"/>
      <c r="O16" s="8"/>
      <c r="R16" s="52">
        <v>0</v>
      </c>
      <c r="S16" s="52">
        <v>0</v>
      </c>
    </row>
    <row r="17" ht="15.75" customHeight="1">
      <c r="A17" s="8"/>
      <c r="B17" s="8"/>
      <c r="C17" s="51" t="s">
        <v>28</v>
      </c>
      <c r="D17" s="51" t="s">
        <v>22</v>
      </c>
      <c r="E17" s="51" t="s">
        <v>53</v>
      </c>
      <c r="F17" s="51" t="s">
        <v>52</v>
      </c>
      <c r="G17" s="8"/>
      <c r="H17" s="8"/>
      <c r="I17" s="8"/>
      <c r="J17" s="8"/>
      <c r="K17" s="8"/>
      <c r="L17" s="8"/>
      <c r="M17" s="8"/>
      <c r="N17" s="8"/>
      <c r="O17" s="8"/>
      <c r="R17" s="52">
        <v>0</v>
      </c>
      <c r="S17" s="52">
        <v>0</v>
      </c>
    </row>
    <row r="18" ht="15.75" customHeight="1">
      <c r="A18" s="8"/>
      <c r="B18" s="8"/>
      <c r="C18" s="51" t="s">
        <v>27</v>
      </c>
      <c r="D18" s="51" t="s">
        <v>21</v>
      </c>
      <c r="E18" s="51" t="s">
        <v>53</v>
      </c>
      <c r="F18" s="51" t="s">
        <v>52</v>
      </c>
      <c r="G18" s="8"/>
      <c r="H18" s="8"/>
      <c r="I18" s="8"/>
      <c r="J18" s="8"/>
      <c r="K18" s="8"/>
      <c r="L18" s="8"/>
      <c r="M18" s="8"/>
      <c r="N18" s="8"/>
      <c r="O18" s="8"/>
      <c r="R18" s="52">
        <v>0</v>
      </c>
      <c r="S18" s="52">
        <v>0</v>
      </c>
    </row>
    <row r="19" ht="15.75" customHeight="1">
      <c r="A19" s="8"/>
      <c r="B19" s="8"/>
      <c r="C19" s="51" t="s">
        <v>28</v>
      </c>
      <c r="D19" s="51" t="s">
        <v>21</v>
      </c>
      <c r="E19" s="51" t="s">
        <v>53</v>
      </c>
      <c r="F19" s="51" t="s">
        <v>52</v>
      </c>
      <c r="G19" s="8"/>
      <c r="H19" s="8"/>
      <c r="I19" s="8"/>
      <c r="J19" s="8"/>
      <c r="K19" s="8"/>
      <c r="L19" s="8"/>
      <c r="M19" s="8"/>
      <c r="N19" s="8"/>
      <c r="O19" s="8"/>
      <c r="R19" s="52">
        <v>0</v>
      </c>
      <c r="S19" s="52">
        <v>0</v>
      </c>
    </row>
    <row r="20" ht="15.75" customHeight="1">
      <c r="A20" s="8"/>
      <c r="B20" s="8"/>
      <c r="C20" s="51" t="s">
        <v>27</v>
      </c>
      <c r="D20" s="51" t="s">
        <v>19</v>
      </c>
      <c r="E20" s="51" t="s">
        <v>53</v>
      </c>
      <c r="F20" s="51" t="s">
        <v>52</v>
      </c>
      <c r="G20" s="8"/>
      <c r="H20" s="8"/>
      <c r="I20" s="8"/>
      <c r="J20" s="8"/>
      <c r="K20" s="8"/>
      <c r="L20" s="8"/>
      <c r="M20" s="8"/>
      <c r="N20" s="8"/>
      <c r="O20" s="8"/>
      <c r="R20" s="52">
        <v>0</v>
      </c>
      <c r="S20" s="52">
        <v>0</v>
      </c>
    </row>
    <row r="21" ht="15.75" customHeight="1">
      <c r="A21" s="8"/>
      <c r="B21" s="8"/>
      <c r="C21" s="51" t="s">
        <v>28</v>
      </c>
      <c r="D21" s="51" t="s">
        <v>19</v>
      </c>
      <c r="E21" s="51" t="s">
        <v>53</v>
      </c>
      <c r="F21" s="51" t="s">
        <v>52</v>
      </c>
      <c r="G21" s="8"/>
      <c r="H21" s="8"/>
      <c r="I21" s="8"/>
      <c r="J21" s="8"/>
      <c r="K21" s="8"/>
      <c r="L21" s="8"/>
      <c r="M21" s="8"/>
      <c r="N21" s="8"/>
      <c r="O21" s="8"/>
      <c r="R21" s="52">
        <v>0</v>
      </c>
      <c r="S21" s="52">
        <v>0</v>
      </c>
    </row>
    <row r="22" ht="15.75" customHeight="1">
      <c r="A22" s="8"/>
      <c r="B22" s="8"/>
      <c r="C22" s="51" t="s">
        <v>27</v>
      </c>
      <c r="D22" s="51" t="s">
        <v>17</v>
      </c>
      <c r="E22" s="51" t="s">
        <v>53</v>
      </c>
      <c r="F22" s="51" t="s">
        <v>52</v>
      </c>
      <c r="G22" s="8"/>
      <c r="H22" s="8"/>
      <c r="I22" s="8"/>
      <c r="J22" s="8"/>
      <c r="K22" s="8"/>
      <c r="L22" s="8"/>
      <c r="M22" s="8"/>
      <c r="N22" s="8"/>
      <c r="O22" s="8"/>
      <c r="R22" s="52">
        <v>0</v>
      </c>
      <c r="S22" s="52">
        <v>0</v>
      </c>
    </row>
    <row r="23" ht="15.75" customHeight="1">
      <c r="A23" s="8"/>
      <c r="B23" s="8"/>
      <c r="C23" s="51" t="s">
        <v>28</v>
      </c>
      <c r="D23" s="51" t="s">
        <v>17</v>
      </c>
      <c r="E23" s="51" t="s">
        <v>53</v>
      </c>
      <c r="F23" s="51" t="s">
        <v>52</v>
      </c>
      <c r="G23" s="8"/>
      <c r="H23" s="8"/>
      <c r="I23" s="8"/>
      <c r="J23" s="8"/>
      <c r="K23" s="8"/>
      <c r="L23" s="8"/>
      <c r="M23" s="8"/>
      <c r="N23" s="8"/>
      <c r="O23" s="8"/>
      <c r="R23" s="52">
        <v>0</v>
      </c>
      <c r="S23" s="52">
        <v>0</v>
      </c>
    </row>
    <row r="24" ht="15.75" customHeight="1">
      <c r="A24" s="8"/>
      <c r="B24" s="8"/>
      <c r="C24" s="51" t="s">
        <v>27</v>
      </c>
      <c r="D24" s="51" t="s">
        <v>18</v>
      </c>
      <c r="E24" s="51" t="s">
        <v>53</v>
      </c>
      <c r="F24" s="51" t="s">
        <v>52</v>
      </c>
      <c r="G24" s="8"/>
      <c r="H24" s="8"/>
      <c r="I24" s="8"/>
      <c r="J24" s="8"/>
      <c r="K24" s="8"/>
      <c r="L24" s="8"/>
      <c r="M24" s="8"/>
      <c r="N24" s="8"/>
      <c r="O24" s="8"/>
      <c r="R24" s="52">
        <v>0</v>
      </c>
      <c r="S24" s="52">
        <v>0</v>
      </c>
    </row>
    <row r="25" ht="15.75" customHeight="1">
      <c r="A25" s="8"/>
      <c r="B25" s="8"/>
      <c r="C25" s="51" t="s">
        <v>28</v>
      </c>
      <c r="D25" s="51" t="s">
        <v>18</v>
      </c>
      <c r="E25" s="51" t="s">
        <v>53</v>
      </c>
      <c r="F25" s="51" t="s">
        <v>52</v>
      </c>
      <c r="G25" s="8"/>
      <c r="H25" s="8"/>
      <c r="I25" s="8"/>
      <c r="J25" s="8"/>
      <c r="K25" s="8"/>
      <c r="L25" s="8"/>
      <c r="M25" s="8"/>
      <c r="N25" s="8"/>
      <c r="O25" s="8"/>
      <c r="R25" s="52">
        <v>0</v>
      </c>
      <c r="S25" s="52">
        <v>0</v>
      </c>
    </row>
    <row r="26" ht="15.75" customHeight="1">
      <c r="A26" s="8"/>
      <c r="B26" s="8"/>
      <c r="C26" s="54"/>
      <c r="D26" s="54"/>
      <c r="E26" s="54"/>
      <c r="F26" s="54"/>
      <c r="G26" s="8"/>
      <c r="H26" s="8"/>
      <c r="I26" s="8"/>
      <c r="J26" s="8"/>
      <c r="K26" s="8"/>
      <c r="L26" s="8"/>
      <c r="M26" s="8"/>
      <c r="N26" s="8"/>
      <c r="O26" s="8"/>
      <c r="R26" s="54"/>
      <c r="S26" s="5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VerifyGridData1!$4:$4</formula1>
    </dataValidation>
  </dataValidations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1" t="s">
        <v>27</v>
      </c>
      <c r="C6" s="51" t="s">
        <v>56</v>
      </c>
      <c r="D6" s="51" t="s">
        <v>16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1" t="s">
        <v>27</v>
      </c>
      <c r="C7" s="51" t="s">
        <v>57</v>
      </c>
      <c r="D7" s="51" t="s">
        <v>16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1" t="s">
        <v>28</v>
      </c>
      <c r="C8" s="51" t="s">
        <v>56</v>
      </c>
      <c r="D8" s="51" t="s">
        <v>16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1" t="s">
        <v>28</v>
      </c>
      <c r="C9" s="51" t="s">
        <v>57</v>
      </c>
      <c r="D9" s="51" t="s">
        <v>16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54"/>
      <c r="C10" s="54"/>
      <c r="D10" s="54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SendtoStaging1!$4:$4</formula1>
    </dataValidation>
  </dataValidations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47" t="s">
        <v>59</v>
      </c>
      <c r="C6" s="36"/>
      <c r="D6" s="50" t="b">
        <v>1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51" t="s">
        <v>27</v>
      </c>
      <c r="D6" s="51">
        <v>123456789</v>
      </c>
      <c r="E6" s="51" t="s">
        <v>51</v>
      </c>
      <c r="F6" s="51" t="s">
        <v>52</v>
      </c>
      <c r="G6" s="8"/>
      <c r="H6" s="8"/>
      <c r="I6" s="8"/>
      <c r="J6" s="8"/>
      <c r="K6" s="8"/>
      <c r="L6" s="8"/>
      <c r="M6" s="8"/>
      <c r="N6" s="8"/>
      <c r="O6" s="8"/>
      <c r="R6" s="52">
        <v>0</v>
      </c>
      <c r="S6" s="52">
        <v>0</v>
      </c>
    </row>
    <row r="7" ht="15.75" customHeight="1">
      <c r="A7" s="8"/>
      <c r="B7" s="8"/>
      <c r="C7" s="51" t="s">
        <v>28</v>
      </c>
      <c r="D7" s="51">
        <v>123456789</v>
      </c>
      <c r="E7" s="51" t="s">
        <v>51</v>
      </c>
      <c r="F7" s="51" t="s">
        <v>52</v>
      </c>
      <c r="G7" s="8"/>
      <c r="H7" s="8"/>
      <c r="I7" s="8"/>
      <c r="J7" s="8"/>
      <c r="K7" s="8"/>
      <c r="L7" s="8"/>
      <c r="M7" s="8"/>
      <c r="N7" s="8"/>
      <c r="O7" s="8"/>
      <c r="R7" s="52">
        <v>0</v>
      </c>
      <c r="S7" s="52">
        <v>0</v>
      </c>
    </row>
    <row r="8" ht="15.75" customHeight="1">
      <c r="A8" s="8"/>
      <c r="B8" s="8"/>
      <c r="C8" s="51" t="s">
        <v>27</v>
      </c>
      <c r="D8" s="51" t="s">
        <v>23</v>
      </c>
      <c r="E8" s="51" t="s">
        <v>51</v>
      </c>
      <c r="F8" s="51" t="s">
        <v>52</v>
      </c>
      <c r="G8" s="8"/>
      <c r="H8" s="8"/>
      <c r="I8" s="8"/>
      <c r="J8" s="8"/>
      <c r="K8" s="8"/>
      <c r="L8" s="8"/>
      <c r="M8" s="8"/>
      <c r="N8" s="8"/>
      <c r="O8" s="8"/>
      <c r="R8" s="52">
        <v>0</v>
      </c>
      <c r="S8" s="52">
        <v>0</v>
      </c>
    </row>
    <row r="9" ht="15.75" customHeight="1">
      <c r="A9" s="8"/>
      <c r="B9" s="8"/>
      <c r="C9" s="51" t="s">
        <v>28</v>
      </c>
      <c r="D9" s="51" t="s">
        <v>23</v>
      </c>
      <c r="E9" s="51" t="s">
        <v>51</v>
      </c>
      <c r="F9" s="51" t="s">
        <v>52</v>
      </c>
      <c r="G9" s="8"/>
      <c r="H9" s="8"/>
      <c r="I9" s="8"/>
      <c r="J9" s="8"/>
      <c r="K9" s="8"/>
      <c r="L9" s="8"/>
      <c r="M9" s="8"/>
      <c r="N9" s="8"/>
      <c r="O9" s="8"/>
      <c r="R9" s="52">
        <v>0</v>
      </c>
      <c r="S9" s="52">
        <v>0</v>
      </c>
    </row>
    <row r="10" ht="15.75" customHeight="1">
      <c r="A10" s="8"/>
      <c r="B10" s="8"/>
      <c r="C10" s="51" t="s">
        <v>27</v>
      </c>
      <c r="D10" s="51" t="s">
        <v>16</v>
      </c>
      <c r="E10" s="51" t="s">
        <v>53</v>
      </c>
      <c r="F10" s="51" t="s">
        <v>52</v>
      </c>
      <c r="G10" s="8"/>
      <c r="H10" s="8"/>
      <c r="I10" s="8"/>
      <c r="J10" s="8"/>
      <c r="K10" s="8"/>
      <c r="L10" s="8"/>
      <c r="M10" s="8"/>
      <c r="N10" s="8"/>
      <c r="O10" s="8"/>
      <c r="R10" s="52">
        <v>-100</v>
      </c>
      <c r="S10" s="53">
        <v>-184012</v>
      </c>
    </row>
    <row r="11" ht="15.75" customHeight="1">
      <c r="A11" s="8"/>
      <c r="B11" s="8"/>
      <c r="C11" s="51" t="s">
        <v>27</v>
      </c>
      <c r="D11" s="51" t="s">
        <v>16</v>
      </c>
      <c r="E11" s="51" t="s">
        <v>53</v>
      </c>
      <c r="F11" s="51" t="s">
        <v>54</v>
      </c>
      <c r="G11" s="8"/>
      <c r="H11" s="8"/>
      <c r="I11" s="8"/>
      <c r="J11" s="8"/>
      <c r="K11" s="8"/>
      <c r="L11" s="8"/>
      <c r="M11" s="8"/>
      <c r="N11" s="8"/>
      <c r="O11" s="8"/>
      <c r="R11" s="52">
        <v>500</v>
      </c>
      <c r="S11" s="53">
        <v>-920060</v>
      </c>
    </row>
    <row r="12" ht="15.75" customHeight="1">
      <c r="A12" s="8"/>
      <c r="B12" s="8"/>
      <c r="C12" s="51" t="s">
        <v>28</v>
      </c>
      <c r="D12" s="51" t="s">
        <v>16</v>
      </c>
      <c r="E12" s="51" t="s">
        <v>53</v>
      </c>
      <c r="F12" s="51" t="s">
        <v>52</v>
      </c>
      <c r="G12" s="8"/>
      <c r="H12" s="8"/>
      <c r="I12" s="8"/>
      <c r="J12" s="8"/>
      <c r="K12" s="8"/>
      <c r="L12" s="8"/>
      <c r="M12" s="8"/>
      <c r="N12" s="8"/>
      <c r="O12" s="8"/>
      <c r="R12" s="52">
        <v>-200</v>
      </c>
      <c r="S12" s="53">
        <v>-368024</v>
      </c>
    </row>
    <row r="13" ht="15.75" customHeight="1">
      <c r="A13" s="8"/>
      <c r="B13" s="8"/>
      <c r="C13" s="51" t="s">
        <v>28</v>
      </c>
      <c r="D13" s="51" t="s">
        <v>16</v>
      </c>
      <c r="E13" s="51" t="s">
        <v>53</v>
      </c>
      <c r="F13" s="51" t="s">
        <v>54</v>
      </c>
      <c r="G13" s="8"/>
      <c r="H13" s="8"/>
      <c r="I13" s="8"/>
      <c r="J13" s="8"/>
      <c r="K13" s="8"/>
      <c r="L13" s="8"/>
      <c r="M13" s="8"/>
      <c r="N13" s="8"/>
      <c r="O13" s="8"/>
      <c r="R13" s="52">
        <v>1600</v>
      </c>
      <c r="S13" s="53">
        <v>-2944192</v>
      </c>
    </row>
    <row r="14" ht="15.75" customHeight="1">
      <c r="A14" s="8"/>
      <c r="B14" s="8"/>
      <c r="C14" s="51" t="s">
        <v>27</v>
      </c>
      <c r="D14" s="51" t="s">
        <v>20</v>
      </c>
      <c r="E14" s="51" t="s">
        <v>53</v>
      </c>
      <c r="F14" s="51" t="s">
        <v>52</v>
      </c>
      <c r="G14" s="8"/>
      <c r="H14" s="8"/>
      <c r="I14" s="8"/>
      <c r="J14" s="8"/>
      <c r="K14" s="8"/>
      <c r="L14" s="8"/>
      <c r="M14" s="8"/>
      <c r="N14" s="8"/>
      <c r="O14" s="8"/>
      <c r="R14" s="52">
        <v>0</v>
      </c>
      <c r="S14" s="52">
        <v>0</v>
      </c>
    </row>
    <row r="15" ht="15.75" customHeight="1">
      <c r="A15" s="8"/>
      <c r="B15" s="8"/>
      <c r="C15" s="51" t="s">
        <v>28</v>
      </c>
      <c r="D15" s="51" t="s">
        <v>20</v>
      </c>
      <c r="E15" s="51" t="s">
        <v>53</v>
      </c>
      <c r="F15" s="51" t="s">
        <v>52</v>
      </c>
      <c r="G15" s="8"/>
      <c r="H15" s="8"/>
      <c r="I15" s="8"/>
      <c r="J15" s="8"/>
      <c r="K15" s="8"/>
      <c r="L15" s="8"/>
      <c r="M15" s="8"/>
      <c r="N15" s="8"/>
      <c r="O15" s="8"/>
      <c r="R15" s="52">
        <v>0</v>
      </c>
      <c r="S15" s="52">
        <v>0</v>
      </c>
    </row>
    <row r="16" ht="15.75" customHeight="1">
      <c r="A16" s="8"/>
      <c r="B16" s="8"/>
      <c r="C16" s="51" t="s">
        <v>27</v>
      </c>
      <c r="D16" s="51" t="s">
        <v>22</v>
      </c>
      <c r="E16" s="51" t="s">
        <v>53</v>
      </c>
      <c r="F16" s="51" t="s">
        <v>52</v>
      </c>
      <c r="G16" s="8"/>
      <c r="H16" s="8"/>
      <c r="I16" s="8"/>
      <c r="J16" s="8"/>
      <c r="K16" s="8"/>
      <c r="L16" s="8"/>
      <c r="M16" s="8"/>
      <c r="N16" s="8"/>
      <c r="O16" s="8"/>
      <c r="R16" s="52">
        <v>0</v>
      </c>
      <c r="S16" s="52">
        <v>0</v>
      </c>
    </row>
    <row r="17" ht="15.75" customHeight="1">
      <c r="A17" s="8"/>
      <c r="B17" s="8"/>
      <c r="C17" s="51" t="s">
        <v>28</v>
      </c>
      <c r="D17" s="51" t="s">
        <v>22</v>
      </c>
      <c r="E17" s="51" t="s">
        <v>53</v>
      </c>
      <c r="F17" s="51" t="s">
        <v>52</v>
      </c>
      <c r="G17" s="8"/>
      <c r="H17" s="8"/>
      <c r="I17" s="8"/>
      <c r="J17" s="8"/>
      <c r="K17" s="8"/>
      <c r="L17" s="8"/>
      <c r="M17" s="8"/>
      <c r="N17" s="8"/>
      <c r="O17" s="8"/>
      <c r="R17" s="52">
        <v>0</v>
      </c>
      <c r="S17" s="52">
        <v>0</v>
      </c>
    </row>
    <row r="18" ht="15.75" customHeight="1">
      <c r="A18" s="8"/>
      <c r="B18" s="8"/>
      <c r="C18" s="51" t="s">
        <v>27</v>
      </c>
      <c r="D18" s="51" t="s">
        <v>21</v>
      </c>
      <c r="E18" s="51" t="s">
        <v>53</v>
      </c>
      <c r="F18" s="51" t="s">
        <v>52</v>
      </c>
      <c r="G18" s="8"/>
      <c r="H18" s="8"/>
      <c r="I18" s="8"/>
      <c r="J18" s="8"/>
      <c r="K18" s="8"/>
      <c r="L18" s="8"/>
      <c r="M18" s="8"/>
      <c r="N18" s="8"/>
      <c r="O18" s="8"/>
      <c r="R18" s="52">
        <v>0</v>
      </c>
      <c r="S18" s="52">
        <v>0</v>
      </c>
    </row>
    <row r="19" ht="15.75" customHeight="1">
      <c r="A19" s="8"/>
      <c r="B19" s="8"/>
      <c r="C19" s="51" t="s">
        <v>28</v>
      </c>
      <c r="D19" s="51" t="s">
        <v>21</v>
      </c>
      <c r="E19" s="51" t="s">
        <v>53</v>
      </c>
      <c r="F19" s="51" t="s">
        <v>52</v>
      </c>
      <c r="G19" s="8"/>
      <c r="H19" s="8"/>
      <c r="I19" s="8"/>
      <c r="J19" s="8"/>
      <c r="K19" s="8"/>
      <c r="L19" s="8"/>
      <c r="M19" s="8"/>
      <c r="N19" s="8"/>
      <c r="O19" s="8"/>
      <c r="R19" s="52">
        <v>0</v>
      </c>
      <c r="S19" s="52">
        <v>0</v>
      </c>
    </row>
    <row r="20" ht="15.75" customHeight="1">
      <c r="A20" s="8"/>
      <c r="B20" s="8"/>
      <c r="C20" s="51" t="s">
        <v>27</v>
      </c>
      <c r="D20" s="51" t="s">
        <v>19</v>
      </c>
      <c r="E20" s="51" t="s">
        <v>53</v>
      </c>
      <c r="F20" s="51" t="s">
        <v>52</v>
      </c>
      <c r="G20" s="8"/>
      <c r="H20" s="8"/>
      <c r="I20" s="8"/>
      <c r="J20" s="8"/>
      <c r="K20" s="8"/>
      <c r="L20" s="8"/>
      <c r="M20" s="8"/>
      <c r="N20" s="8"/>
      <c r="O20" s="8"/>
      <c r="R20" s="52">
        <v>0</v>
      </c>
      <c r="S20" s="52">
        <v>0</v>
      </c>
    </row>
    <row r="21" ht="15.75" customHeight="1">
      <c r="A21" s="8"/>
      <c r="B21" s="8"/>
      <c r="C21" s="51" t="s">
        <v>28</v>
      </c>
      <c r="D21" s="51" t="s">
        <v>19</v>
      </c>
      <c r="E21" s="51" t="s">
        <v>53</v>
      </c>
      <c r="F21" s="51" t="s">
        <v>52</v>
      </c>
      <c r="G21" s="8"/>
      <c r="H21" s="8"/>
      <c r="I21" s="8"/>
      <c r="J21" s="8"/>
      <c r="K21" s="8"/>
      <c r="L21" s="8"/>
      <c r="M21" s="8"/>
      <c r="N21" s="8"/>
      <c r="O21" s="8"/>
      <c r="R21" s="52">
        <v>0</v>
      </c>
      <c r="S21" s="52">
        <v>0</v>
      </c>
    </row>
    <row r="22" ht="15.75" customHeight="1">
      <c r="A22" s="8"/>
      <c r="B22" s="8"/>
      <c r="C22" s="51" t="s">
        <v>27</v>
      </c>
      <c r="D22" s="51" t="s">
        <v>17</v>
      </c>
      <c r="E22" s="51" t="s">
        <v>53</v>
      </c>
      <c r="F22" s="51" t="s">
        <v>52</v>
      </c>
      <c r="G22" s="8"/>
      <c r="H22" s="8"/>
      <c r="I22" s="8"/>
      <c r="J22" s="8"/>
      <c r="K22" s="8"/>
      <c r="L22" s="8"/>
      <c r="M22" s="8"/>
      <c r="N22" s="8"/>
      <c r="O22" s="8"/>
      <c r="R22" s="52">
        <v>0</v>
      </c>
      <c r="S22" s="52">
        <v>0</v>
      </c>
    </row>
    <row r="23" ht="15.75" customHeight="1">
      <c r="A23" s="8"/>
      <c r="B23" s="8"/>
      <c r="C23" s="51" t="s">
        <v>28</v>
      </c>
      <c r="D23" s="51" t="s">
        <v>17</v>
      </c>
      <c r="E23" s="51" t="s">
        <v>53</v>
      </c>
      <c r="F23" s="51" t="s">
        <v>52</v>
      </c>
      <c r="G23" s="8"/>
      <c r="H23" s="8"/>
      <c r="I23" s="8"/>
      <c r="J23" s="8"/>
      <c r="K23" s="8"/>
      <c r="L23" s="8"/>
      <c r="M23" s="8"/>
      <c r="N23" s="8"/>
      <c r="O23" s="8"/>
      <c r="R23" s="52">
        <v>0</v>
      </c>
      <c r="S23" s="52">
        <v>0</v>
      </c>
    </row>
    <row r="24" ht="15.75" customHeight="1">
      <c r="A24" s="8"/>
      <c r="B24" s="8"/>
      <c r="C24" s="51" t="s">
        <v>27</v>
      </c>
      <c r="D24" s="51" t="s">
        <v>18</v>
      </c>
      <c r="E24" s="51" t="s">
        <v>53</v>
      </c>
      <c r="F24" s="51" t="s">
        <v>52</v>
      </c>
      <c r="G24" s="8"/>
      <c r="H24" s="8"/>
      <c r="I24" s="8"/>
      <c r="J24" s="8"/>
      <c r="K24" s="8"/>
      <c r="L24" s="8"/>
      <c r="M24" s="8"/>
      <c r="N24" s="8"/>
      <c r="O24" s="8"/>
      <c r="R24" s="52">
        <v>0</v>
      </c>
      <c r="S24" s="52">
        <v>0</v>
      </c>
    </row>
    <row r="25" ht="15.75" customHeight="1">
      <c r="A25" s="8"/>
      <c r="B25" s="8"/>
      <c r="C25" s="51" t="s">
        <v>28</v>
      </c>
      <c r="D25" s="51" t="s">
        <v>18</v>
      </c>
      <c r="E25" s="51" t="s">
        <v>53</v>
      </c>
      <c r="F25" s="51" t="s">
        <v>52</v>
      </c>
      <c r="G25" s="8"/>
      <c r="H25" s="8"/>
      <c r="I25" s="8"/>
      <c r="J25" s="8"/>
      <c r="K25" s="8"/>
      <c r="L25" s="8"/>
      <c r="M25" s="8"/>
      <c r="N25" s="8"/>
      <c r="O25" s="8"/>
      <c r="R25" s="52">
        <v>0</v>
      </c>
      <c r="S25" s="52">
        <v>0</v>
      </c>
    </row>
    <row r="26" ht="15.75" customHeight="1">
      <c r="A26" s="8"/>
      <c r="B26" s="8"/>
      <c r="C26" s="54"/>
      <c r="D26" s="54"/>
      <c r="E26" s="54"/>
      <c r="F26" s="54"/>
      <c r="G26" s="8"/>
      <c r="H26" s="8"/>
      <c r="I26" s="8"/>
      <c r="J26" s="8"/>
      <c r="K26" s="8"/>
      <c r="L26" s="8"/>
      <c r="M26" s="8"/>
      <c r="N26" s="8"/>
      <c r="O26" s="8"/>
      <c r="R26" s="54"/>
      <c r="S26" s="5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VerifyGridData2!$4:$4</formula1>
    </dataValidation>
  </dataValidations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1" t="s">
        <v>27</v>
      </c>
      <c r="C6" s="51" t="s">
        <v>56</v>
      </c>
      <c r="D6" s="51" t="s">
        <v>16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1" t="s">
        <v>27</v>
      </c>
      <c r="C7" s="51" t="s">
        <v>57</v>
      </c>
      <c r="D7" s="51" t="s">
        <v>16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1" t="s">
        <v>28</v>
      </c>
      <c r="C8" s="51" t="s">
        <v>56</v>
      </c>
      <c r="D8" s="51" t="s">
        <v>16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1" t="s">
        <v>28</v>
      </c>
      <c r="C9" s="51" t="s">
        <v>57</v>
      </c>
      <c r="D9" s="51" t="s">
        <v>16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54"/>
      <c r="C10" s="54"/>
      <c r="D10" s="54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54"/>
      <c r="C11" s="54"/>
      <c r="D11" s="54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