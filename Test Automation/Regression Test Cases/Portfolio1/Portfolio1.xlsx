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nlConfig" sheetId="5" r:id="rId7"/>
    <sheet state="visible" name="UpdateRoundLot" sheetId="6" r:id="rId8"/>
    <sheet state="visible" name="CustomOrderTT" sheetId="7" r:id="rId9"/>
    <sheet state="visible" name="CreateDoneAwayOrder" sheetId="8" r:id="rId10"/>
    <sheet state="visible" name="PricingInput" sheetId="9" r:id="rId11"/>
    <sheet state="visible" name="GetForexConversion" sheetId="10" r:id="rId12"/>
    <sheet state="visible" name="UpdateForexConversion" sheetId="11" r:id="rId13"/>
    <sheet state="visible" name="GetDataAllocation" sheetId="12" r:id="rId14"/>
    <sheet state="visible" name="SelectAllocatedGroup" sheetId="13" r:id="rId15"/>
    <sheet state="visible" name="BookOrUpdateSwap" sheetId="14" r:id="rId16"/>
    <sheet state="visible" name="SelectAllocatedGroup1" sheetId="15" r:id="rId17"/>
    <sheet state="visible" name="BookOrUpdateSwap1" sheetId="16" r:id="rId18"/>
    <sheet state="visible" name="CustomOrderTT1" sheetId="17" r:id="rId19"/>
    <sheet state="visible" name="CreateDoneAwayOrder1" sheetId="18" r:id="rId20"/>
    <sheet state="visible" name="PricingInput1" sheetId="19" r:id="rId21"/>
    <sheet state="visible" name="GetDailyCash" sheetId="20" r:id="rId22"/>
    <sheet state="visible" name="UpdateMultipleDailyCash" sheetId="21" r:id="rId23"/>
    <sheet state="visible" name="GetCashTransaction" sheetId="22" r:id="rId24"/>
    <sheet state="visible" name="AddCashTransaction" sheetId="23" r:id="rId25"/>
    <sheet state="visible" name="RunRevaluation" sheetId="24" r:id="rId26"/>
  </sheets>
  <definedNames/>
  <calcPr/>
</workbook>
</file>

<file path=xl/sharedStrings.xml><?xml version="1.0" encoding="utf-8"?>
<sst xmlns="http://schemas.openxmlformats.org/spreadsheetml/2006/main" count="273" uniqueCount="74">
  <si>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</si>
  <si>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</si>
  <si>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</si>
  <si>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</si>
  <si>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</si>
  <si>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</si>
  <si>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</si>
  <si>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</si>
  <si>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</si>
  <si>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</si>
  <si>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</si>
  <si>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</si>
  <si>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</si>
  <si>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</si>
  <si>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</si>
  <si>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</si>
  <si>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ES H4</t>
  </si>
  <si>
    <t>Yes</t>
  </si>
  <si>
    <t>Expnl</t>
  </si>
  <si>
    <t>UpdateExpnlConfig</t>
  </si>
  <si>
    <t>EquitySwapsMarketValueAsEquity</t>
  </si>
  <si>
    <t>Admin</t>
  </si>
  <si>
    <t>UpdateRoundLot</t>
  </si>
  <si>
    <t>AMZN</t>
  </si>
  <si>
    <t>FRA-FRA</t>
  </si>
  <si>
    <t>GLE-LON</t>
  </si>
  <si>
    <t>INFY</t>
  </si>
  <si>
    <t>KO</t>
  </si>
  <si>
    <t>SAP</t>
  </si>
  <si>
    <t>TradingTicket</t>
  </si>
  <si>
    <t>CustomOrderTT</t>
  </si>
  <si>
    <t>DoneAway</t>
  </si>
  <si>
    <t>Buy</t>
  </si>
  <si>
    <t>Sell</t>
  </si>
  <si>
    <t>Sell short</t>
  </si>
  <si>
    <t>912828WJ5</t>
  </si>
  <si>
    <t>O:AAPL 14C545.00</t>
  </si>
  <si>
    <t>Buy to Open</t>
  </si>
  <si>
    <t>O:MSFT 14K29.00</t>
  </si>
  <si>
    <t>Sell to Close</t>
  </si>
  <si>
    <t>CreateDoneAwayOrder</t>
  </si>
  <si>
    <t>PricingInput</t>
  </si>
  <si>
    <t>DailyValuation</t>
  </si>
  <si>
    <t>GetForexConversion</t>
  </si>
  <si>
    <t>UpdateForexConversion</t>
  </si>
  <si>
    <t>EUR</t>
  </si>
  <si>
    <t>USD</t>
  </si>
  <si>
    <t>USD A0-FX</t>
  </si>
  <si>
    <t>GBP</t>
  </si>
  <si>
    <t>GBP A0-FX</t>
  </si>
  <si>
    <t>Allocation</t>
  </si>
  <si>
    <t>GetDataAllocation</t>
  </si>
  <si>
    <t>Historical</t>
  </si>
  <si>
    <t>SelectAllocatedGroup</t>
  </si>
  <si>
    <t>BookOrUpdateSwap</t>
  </si>
  <si>
    <t xml:space="preserve"> ES U5</t>
  </si>
  <si>
    <t xml:space="preserve"> ES H4</t>
  </si>
  <si>
    <t>GetDailyCash</t>
  </si>
  <si>
    <t>UpdateMultipleDailyCash</t>
  </si>
  <si>
    <t>Allocation1</t>
  </si>
  <si>
    <t>GeneralLedger</t>
  </si>
  <si>
    <t>GetCashTransaction</t>
  </si>
  <si>
    <t>ExDate</t>
  </si>
  <si>
    <t>No</t>
  </si>
  <si>
    <t>Exact</t>
  </si>
  <si>
    <t>AddCashTransaction</t>
  </si>
  <si>
    <t>DividendIncome</t>
  </si>
  <si>
    <t>GOOG</t>
  </si>
  <si>
    <t>Long</t>
  </si>
  <si>
    <t>mgmt fees</t>
  </si>
  <si>
    <t>M</t>
  </si>
  <si>
    <t>Cash Transaction</t>
  </si>
  <si>
    <t>RunRevaluation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</si>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</sst>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horizontal="right" vertical="bottom"/>
    </xf>
    <xf borderId="0" fillId="6" fontId="14" numFmtId="0" xfId="0" applyAlignment="1" applyFill="1" applyFont="1">
      <alignment vertical="bottom"/>
    </xf>
    <xf borderId="0" fillId="6" fontId="14" numFmtId="0" xfId="0" applyAlignment="1" applyFont="1">
      <alignment horizontal="right" vertical="bottom"/>
    </xf>
    <xf borderId="0" fillId="6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IFERROR(__xludf.DUMMYFUNCTION("""COMPUTED_VALUE"""),"DeleteValidateSymbol")</f>
        <v>DeleteValidateSymbol</v>
      </c>
      <c r="H4" s="25" t="str">
        <f>IFERROR(__xludf.DUMMYFUNCTION("""COMPUTED_VALUE"""),"EnterEquity")</f>
        <v>EnterEquity</v>
      </c>
      <c r="I4" s="25" t="str">
        <f>IFERROR(__xludf.DUMMYFUNCTION("""COMPUTED_VALUE"""),"UpdateSecurityInfoOnSM")</f>
        <v>UpdateSecurityInfoOnSM</v>
      </c>
      <c r="J4" s="25" t="str">
        <f>IFERROR(__xludf.DUMMYFUNCTION("""COMPUTED_VALUE"""),"TradeSymbolFromSM")</f>
        <v>TradeSymbolFromSM</v>
      </c>
      <c r="K4" s="25" t="str">
        <f>IFERROR(__xludf.DUMMYFUNCTION("""COMPUTED_VALUE"""),"AddSymbol")</f>
        <v>AddSymbol</v>
      </c>
      <c r="L4" s="25" t="str">
        <f>IFERROR(__xludf.DUMMYFUNCTION("""COMPUTED_VALUE"""),"SelectFromSMGridUI")</f>
        <v>SelectFromSMGridUI</v>
      </c>
      <c r="M4" s="25" t="str">
        <f>IFERROR(__xludf.DUMMYFUNCTION("""COMPUTED_VALUE"""),"EditSMGridUi")</f>
        <v>EditSMGridUi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 t="str">
        <f>IFERROR(__xludf.DUMMYFUNCTION("""COMPUTED_VALUE"""),"BB Code")</f>
        <v>BB Code</v>
      </c>
      <c r="K5" s="28" t="str">
        <f>IFERROR(__xludf.DUMMYFUNCTION("""COMPUTED_VALUE"""),"Underlying Symbol")</f>
        <v>Underlying Symbol</v>
      </c>
      <c r="L5" s="28" t="str">
        <f>IFERROR(__xludf.DUMMYFUNCTION("""COMPUTED_VALUE"""),"Multiplier")</f>
        <v>Multiplier</v>
      </c>
      <c r="M5" s="28" t="str">
        <f>IFERROR(__xludf.DUMMYFUNCTION("""COMPUTED_VALUE"""),"CUSIP")</f>
        <v>CUSIP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3" t="s">
        <v>16</v>
      </c>
      <c r="I6" s="33" t="s">
        <v>17</v>
      </c>
      <c r="J6" s="32"/>
      <c r="K6" s="32"/>
      <c r="L6" s="34">
        <v>1.0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EditSMGridUi!$4:$4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 t="str">
        <f>IFERROR(__xludf.DUMMYFUNCTION("""COMPUTED_VALUE"""),"RefreshExpnlUi")</f>
        <v>RefreshExpnlUi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20</v>
      </c>
      <c r="C6" s="36" t="b">
        <v>1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23</v>
      </c>
      <c r="C6" s="34">
        <v>100.0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3" t="s">
        <v>24</v>
      </c>
      <c r="C7" s="34">
        <v>200.0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3" t="s">
        <v>25</v>
      </c>
      <c r="C8" s="34">
        <v>400.0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3" t="s">
        <v>26</v>
      </c>
      <c r="C9" s="34">
        <v>500.0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3" t="s">
        <v>27</v>
      </c>
      <c r="C10" s="34">
        <v>600.0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3" t="s">
        <v>28</v>
      </c>
      <c r="C11" s="34">
        <v>300.0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24</v>
      </c>
      <c r="C6" s="34">
        <v>100.0</v>
      </c>
      <c r="D6" s="37">
        <v>26.47</v>
      </c>
      <c r="E6" s="32" t="s">
        <v>31</v>
      </c>
      <c r="F6" s="32"/>
      <c r="G6" s="32"/>
      <c r="H6" s="32"/>
      <c r="I6" s="32"/>
      <c r="J6" s="33" t="s">
        <v>32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8">
        <f t="shared" ref="Z6:Z15" si="1">TODAY()-1</f>
        <v>45869</v>
      </c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3" t="s">
        <v>28</v>
      </c>
      <c r="C7" s="34">
        <v>100.0</v>
      </c>
      <c r="D7" s="34">
        <v>10.0</v>
      </c>
      <c r="E7" s="32" t="s">
        <v>31</v>
      </c>
      <c r="F7" s="32"/>
      <c r="G7" s="32"/>
      <c r="H7" s="32"/>
      <c r="I7" s="32"/>
      <c r="J7" s="33" t="s">
        <v>32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8">
        <f t="shared" si="1"/>
        <v>45869</v>
      </c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4">
        <v>1.23456789E8</v>
      </c>
      <c r="C8" s="34">
        <v>12000.0</v>
      </c>
      <c r="D8" s="34">
        <v>25.0</v>
      </c>
      <c r="E8" s="32" t="s">
        <v>31</v>
      </c>
      <c r="F8" s="32"/>
      <c r="G8" s="32"/>
      <c r="H8" s="32"/>
      <c r="I8" s="32"/>
      <c r="J8" s="33" t="s">
        <v>32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8">
        <f t="shared" si="1"/>
        <v>45869</v>
      </c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3" t="s">
        <v>27</v>
      </c>
      <c r="C9" s="34">
        <v>10.0</v>
      </c>
      <c r="D9" s="34">
        <v>20.0</v>
      </c>
      <c r="E9" s="32" t="s">
        <v>31</v>
      </c>
      <c r="F9" s="32"/>
      <c r="G9" s="32"/>
      <c r="H9" s="32"/>
      <c r="I9" s="32"/>
      <c r="J9" s="33" t="s">
        <v>33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8">
        <f t="shared" si="1"/>
        <v>45869</v>
      </c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3" t="s">
        <v>26</v>
      </c>
      <c r="C10" s="34">
        <v>100.0</v>
      </c>
      <c r="D10" s="34">
        <v>10.0</v>
      </c>
      <c r="E10" s="32" t="s">
        <v>31</v>
      </c>
      <c r="F10" s="32"/>
      <c r="G10" s="32"/>
      <c r="H10" s="32"/>
      <c r="I10" s="32"/>
      <c r="J10" s="33" t="s">
        <v>34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8">
        <f t="shared" si="1"/>
        <v>45869</v>
      </c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3" t="s">
        <v>25</v>
      </c>
      <c r="C11" s="34">
        <v>10.0</v>
      </c>
      <c r="D11" s="34">
        <v>36.6</v>
      </c>
      <c r="E11" s="32" t="s">
        <v>31</v>
      </c>
      <c r="F11" s="32"/>
      <c r="G11" s="32"/>
      <c r="H11" s="32"/>
      <c r="I11" s="32"/>
      <c r="J11" s="33" t="s">
        <v>34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8">
        <f t="shared" si="1"/>
        <v>45869</v>
      </c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3" t="s">
        <v>23</v>
      </c>
      <c r="C12" s="34">
        <v>100.0</v>
      </c>
      <c r="D12" s="34">
        <v>8.0</v>
      </c>
      <c r="E12" s="32" t="s">
        <v>31</v>
      </c>
      <c r="F12" s="32"/>
      <c r="G12" s="32"/>
      <c r="H12" s="32"/>
      <c r="I12" s="32"/>
      <c r="J12" s="33" t="s">
        <v>32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8">
        <f t="shared" si="1"/>
        <v>45869</v>
      </c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3" t="s">
        <v>35</v>
      </c>
      <c r="C13" s="34">
        <v>20000.0</v>
      </c>
      <c r="D13" s="34">
        <v>5.0</v>
      </c>
      <c r="E13" s="32" t="s">
        <v>31</v>
      </c>
      <c r="F13" s="32"/>
      <c r="G13" s="32"/>
      <c r="H13" s="32"/>
      <c r="I13" s="32"/>
      <c r="J13" s="33" t="s">
        <v>33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8">
        <f t="shared" si="1"/>
        <v>45869</v>
      </c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2" t="s">
        <v>36</v>
      </c>
      <c r="C14" s="34">
        <v>100.0</v>
      </c>
      <c r="D14" s="34">
        <v>8.0</v>
      </c>
      <c r="E14" s="32" t="s">
        <v>31</v>
      </c>
      <c r="F14" s="32"/>
      <c r="G14" s="32"/>
      <c r="H14" s="32"/>
      <c r="I14" s="32"/>
      <c r="J14" s="33" t="s">
        <v>37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8">
        <f t="shared" si="1"/>
        <v>45869</v>
      </c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33" t="s">
        <v>38</v>
      </c>
      <c r="C15" s="34">
        <v>10.0</v>
      </c>
      <c r="D15" s="34">
        <v>5.0</v>
      </c>
      <c r="E15" s="32" t="s">
        <v>31</v>
      </c>
      <c r="F15" s="32"/>
      <c r="G15" s="32"/>
      <c r="H15" s="32"/>
      <c r="I15" s="32"/>
      <c r="J15" s="33" t="s">
        <v>39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8">
        <f t="shared" si="1"/>
        <v>45869</v>
      </c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24</v>
      </c>
      <c r="C6" s="33" t="s">
        <v>32</v>
      </c>
      <c r="D6" s="34">
        <v>100.0</v>
      </c>
      <c r="E6" s="39"/>
      <c r="F6" s="8"/>
      <c r="G6" s="8"/>
      <c r="H6" s="8"/>
      <c r="I6" s="8"/>
      <c r="J6" s="37">
        <v>26.47</v>
      </c>
      <c r="K6" s="8"/>
      <c r="L6" s="8"/>
      <c r="M6" s="8"/>
      <c r="N6" s="38">
        <f t="shared" ref="N6:N15" si="1">TODAY()-1</f>
        <v>45869</v>
      </c>
      <c r="O6" s="8"/>
    </row>
    <row r="7" ht="15.75" customHeight="1">
      <c r="A7" s="8"/>
      <c r="B7" s="33" t="s">
        <v>28</v>
      </c>
      <c r="C7" s="33" t="s">
        <v>32</v>
      </c>
      <c r="D7" s="34">
        <v>100.0</v>
      </c>
      <c r="E7" s="8"/>
      <c r="F7" s="8"/>
      <c r="G7" s="8"/>
      <c r="H7" s="8"/>
      <c r="I7" s="8"/>
      <c r="J7" s="34">
        <v>10.0</v>
      </c>
      <c r="K7" s="8"/>
      <c r="L7" s="8"/>
      <c r="M7" s="8"/>
      <c r="N7" s="38">
        <f t="shared" si="1"/>
        <v>45869</v>
      </c>
      <c r="O7" s="8"/>
    </row>
    <row r="8" ht="15.75" customHeight="1">
      <c r="A8" s="8"/>
      <c r="B8" s="34">
        <v>1.23456789E8</v>
      </c>
      <c r="C8" s="33" t="s">
        <v>32</v>
      </c>
      <c r="D8" s="34">
        <v>12000.0</v>
      </c>
      <c r="E8" s="8"/>
      <c r="F8" s="8"/>
      <c r="G8" s="8"/>
      <c r="H8" s="8"/>
      <c r="I8" s="8"/>
      <c r="J8" s="34">
        <v>25.0</v>
      </c>
      <c r="K8" s="8"/>
      <c r="L8" s="8"/>
      <c r="M8" s="8"/>
      <c r="N8" s="38">
        <f t="shared" si="1"/>
        <v>45869</v>
      </c>
      <c r="O8" s="8"/>
    </row>
    <row r="9" ht="15.75" customHeight="1">
      <c r="A9" s="8"/>
      <c r="B9" s="33" t="s">
        <v>27</v>
      </c>
      <c r="C9" s="33" t="s">
        <v>33</v>
      </c>
      <c r="D9" s="34">
        <v>10.0</v>
      </c>
      <c r="E9" s="8"/>
      <c r="F9" s="8"/>
      <c r="G9" s="8"/>
      <c r="H9" s="8"/>
      <c r="I9" s="8"/>
      <c r="J9" s="34">
        <v>20.0</v>
      </c>
      <c r="K9" s="8"/>
      <c r="L9" s="8"/>
      <c r="M9" s="8"/>
      <c r="N9" s="38">
        <f t="shared" si="1"/>
        <v>45869</v>
      </c>
      <c r="O9" s="8"/>
    </row>
    <row r="10" ht="15.75" customHeight="1">
      <c r="A10" s="8"/>
      <c r="B10" s="33" t="s">
        <v>26</v>
      </c>
      <c r="C10" s="33" t="s">
        <v>34</v>
      </c>
      <c r="D10" s="34">
        <v>100.0</v>
      </c>
      <c r="E10" s="8"/>
      <c r="F10" s="8"/>
      <c r="G10" s="8"/>
      <c r="H10" s="8"/>
      <c r="I10" s="8"/>
      <c r="J10" s="34">
        <v>10.0</v>
      </c>
      <c r="K10" s="8"/>
      <c r="L10" s="8"/>
      <c r="M10" s="8"/>
      <c r="N10" s="38">
        <f t="shared" si="1"/>
        <v>45869</v>
      </c>
      <c r="O10" s="8"/>
    </row>
    <row r="11" ht="15.75" customHeight="1">
      <c r="A11" s="8"/>
      <c r="B11" s="33" t="s">
        <v>25</v>
      </c>
      <c r="C11" s="33" t="s">
        <v>34</v>
      </c>
      <c r="D11" s="34">
        <v>10.0</v>
      </c>
      <c r="E11" s="8"/>
      <c r="F11" s="8"/>
      <c r="G11" s="8"/>
      <c r="H11" s="8"/>
      <c r="I11" s="8"/>
      <c r="J11" s="34">
        <v>36.6</v>
      </c>
      <c r="K11" s="8"/>
      <c r="L11" s="8"/>
      <c r="M11" s="8"/>
      <c r="N11" s="38">
        <f t="shared" si="1"/>
        <v>45869</v>
      </c>
      <c r="O11" s="8"/>
    </row>
    <row r="12" ht="15.75" customHeight="1">
      <c r="A12" s="8"/>
      <c r="B12" s="33" t="s">
        <v>23</v>
      </c>
      <c r="C12" s="33" t="s">
        <v>32</v>
      </c>
      <c r="D12" s="34">
        <v>100.0</v>
      </c>
      <c r="E12" s="8"/>
      <c r="F12" s="8"/>
      <c r="G12" s="8"/>
      <c r="H12" s="8"/>
      <c r="I12" s="8"/>
      <c r="J12" s="34">
        <v>8.0</v>
      </c>
      <c r="K12" s="8"/>
      <c r="L12" s="8"/>
      <c r="M12" s="8"/>
      <c r="N12" s="38">
        <f t="shared" si="1"/>
        <v>45869</v>
      </c>
      <c r="O12" s="8"/>
    </row>
    <row r="13" ht="15.75" customHeight="1">
      <c r="A13" s="8"/>
      <c r="B13" s="33" t="s">
        <v>35</v>
      </c>
      <c r="C13" s="33" t="s">
        <v>33</v>
      </c>
      <c r="D13" s="34">
        <v>20000.0</v>
      </c>
      <c r="E13" s="8"/>
      <c r="F13" s="8"/>
      <c r="G13" s="8"/>
      <c r="H13" s="8"/>
      <c r="I13" s="8"/>
      <c r="J13" s="34">
        <v>5.0</v>
      </c>
      <c r="K13" s="8"/>
      <c r="L13" s="8"/>
      <c r="M13" s="8"/>
      <c r="N13" s="38">
        <f t="shared" si="1"/>
        <v>45869</v>
      </c>
      <c r="O13" s="8"/>
    </row>
    <row r="14" ht="15.75" customHeight="1">
      <c r="A14" s="8"/>
      <c r="B14" s="32" t="s">
        <v>36</v>
      </c>
      <c r="C14" s="33" t="s">
        <v>37</v>
      </c>
      <c r="D14" s="34">
        <v>100.0</v>
      </c>
      <c r="E14" s="8"/>
      <c r="F14" s="8"/>
      <c r="G14" s="8"/>
      <c r="H14" s="8"/>
      <c r="I14" s="8"/>
      <c r="J14" s="34">
        <v>8.0</v>
      </c>
      <c r="K14" s="8"/>
      <c r="L14" s="8"/>
      <c r="M14" s="8"/>
      <c r="N14" s="38">
        <f t="shared" si="1"/>
        <v>45869</v>
      </c>
      <c r="O14" s="8"/>
    </row>
    <row r="15" ht="15.75" customHeight="1">
      <c r="A15" s="8"/>
      <c r="B15" s="33" t="s">
        <v>38</v>
      </c>
      <c r="C15" s="33" t="s">
        <v>39</v>
      </c>
      <c r="D15" s="34">
        <v>10.0</v>
      </c>
      <c r="E15" s="8"/>
      <c r="F15" s="8"/>
      <c r="G15" s="8"/>
      <c r="H15" s="8"/>
      <c r="I15" s="8"/>
      <c r="J15" s="34">
        <v>5.0</v>
      </c>
      <c r="K15" s="8"/>
      <c r="L15" s="8"/>
      <c r="M15" s="8"/>
      <c r="N15" s="38">
        <f t="shared" si="1"/>
        <v>45869</v>
      </c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24</v>
      </c>
      <c r="C6" s="34">
        <v>25.0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3" t="s">
        <v>28</v>
      </c>
      <c r="C7" s="34">
        <v>10.0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4">
        <v>1.23456789E8</v>
      </c>
      <c r="C8" s="34">
        <v>25.0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3" t="s">
        <v>27</v>
      </c>
      <c r="C9" s="34">
        <v>20.0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3" t="s">
        <v>26</v>
      </c>
      <c r="C10" s="34">
        <v>10.0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3" t="s">
        <v>25</v>
      </c>
      <c r="C11" s="34">
        <v>30.0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3" t="s">
        <v>23</v>
      </c>
      <c r="C12" s="34">
        <v>8.0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3" t="s">
        <v>35</v>
      </c>
      <c r="C13" s="34">
        <v>5.0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2" t="s">
        <v>36</v>
      </c>
      <c r="C14" s="34">
        <v>25.0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33" t="s">
        <v>38</v>
      </c>
      <c r="C15" s="34">
        <v>15.0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>TODAY()-1</f>
        <v>45869</v>
      </c>
      <c r="C6" s="38">
        <f>TODAY()</f>
        <v>45870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45</v>
      </c>
      <c r="C6" s="33" t="s">
        <v>46</v>
      </c>
      <c r="D6" s="35" t="s">
        <v>47</v>
      </c>
      <c r="E6" s="34">
        <v>1.0588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3" t="s">
        <v>48</v>
      </c>
      <c r="C7" s="33" t="s">
        <v>46</v>
      </c>
      <c r="D7" s="33" t="s">
        <v>49</v>
      </c>
      <c r="E7" s="34">
        <v>1.22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52</v>
      </c>
      <c r="C6" s="38">
        <f>TODAY()-1</f>
        <v>45869</v>
      </c>
      <c r="D6" s="38">
        <f>TODAY()</f>
        <v>45870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 t="str">
        <f>IFERROR(__xludf.DUMMYFUNCTION("""COMPUTED_VALUE"""),"CommissionRuleRecalculate")</f>
        <v>CommissionRuleRecalculate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720.0</v>
      </c>
      <c r="C6" s="32"/>
      <c r="D6" s="31"/>
      <c r="E6" s="32"/>
      <c r="F6" s="34">
        <v>365.0</v>
      </c>
      <c r="G6" s="32"/>
      <c r="H6" s="34">
        <v>8.0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23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 t="str">
        <f>IFERROR(__xludf.DUMMYFUNCTION("""COMPUTED_VALUE"""),"CommissionRuleRecalculate")</f>
        <v>CommissionRuleRecalculate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50.0</v>
      </c>
      <c r="C6" s="32"/>
      <c r="D6" s="31"/>
      <c r="E6" s="32"/>
      <c r="F6" s="34">
        <v>365.0</v>
      </c>
      <c r="G6" s="32"/>
      <c r="H6" s="34">
        <v>5.0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55</v>
      </c>
      <c r="C6" s="34">
        <v>100.0</v>
      </c>
      <c r="D6" s="37">
        <v>50.0</v>
      </c>
      <c r="E6" s="32" t="s">
        <v>31</v>
      </c>
      <c r="F6" s="32"/>
      <c r="G6" s="32"/>
      <c r="H6" s="32"/>
      <c r="I6" s="32"/>
      <c r="J6" s="33" t="s">
        <v>32</v>
      </c>
      <c r="K6" s="32"/>
      <c r="L6" s="32"/>
      <c r="M6" s="32"/>
      <c r="N6" s="40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3" t="s">
        <v>55</v>
      </c>
      <c r="C7" s="34">
        <v>1.0</v>
      </c>
      <c r="D7" s="34">
        <v>50.0</v>
      </c>
      <c r="E7" s="32" t="s">
        <v>31</v>
      </c>
      <c r="F7" s="32"/>
      <c r="G7" s="32"/>
      <c r="H7" s="32"/>
      <c r="I7" s="32"/>
      <c r="J7" s="33" t="s">
        <v>33</v>
      </c>
      <c r="K7" s="32"/>
      <c r="L7" s="32"/>
      <c r="M7" s="32"/>
      <c r="N7" s="40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3" t="s">
        <v>55</v>
      </c>
      <c r="C8" s="34">
        <v>98.0</v>
      </c>
      <c r="D8" s="34">
        <v>50.0</v>
      </c>
      <c r="E8" s="32" t="s">
        <v>31</v>
      </c>
      <c r="F8" s="32"/>
      <c r="G8" s="32"/>
      <c r="H8" s="32"/>
      <c r="I8" s="32"/>
      <c r="J8" s="33" t="s">
        <v>33</v>
      </c>
      <c r="K8" s="32"/>
      <c r="L8" s="32"/>
      <c r="M8" s="32"/>
      <c r="N8" s="40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3" t="s">
        <v>56</v>
      </c>
      <c r="C9" s="34">
        <v>10.0</v>
      </c>
      <c r="D9" s="34">
        <v>5.0</v>
      </c>
      <c r="E9" s="32" t="s">
        <v>31</v>
      </c>
      <c r="F9" s="32"/>
      <c r="G9" s="32"/>
      <c r="H9" s="32"/>
      <c r="I9" s="32"/>
      <c r="J9" s="33" t="s">
        <v>33</v>
      </c>
      <c r="K9" s="32"/>
      <c r="L9" s="32"/>
      <c r="M9" s="32"/>
      <c r="N9" s="40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55</v>
      </c>
      <c r="C6" s="33" t="s">
        <v>32</v>
      </c>
      <c r="D6" s="34">
        <v>100.0</v>
      </c>
      <c r="E6" s="39"/>
      <c r="F6" s="8"/>
      <c r="G6" s="8"/>
      <c r="H6" s="8"/>
      <c r="I6" s="8"/>
      <c r="J6" s="37">
        <v>50.0</v>
      </c>
      <c r="K6" s="8"/>
      <c r="L6" s="8"/>
      <c r="M6" s="8"/>
      <c r="N6" s="8"/>
      <c r="O6" s="8"/>
    </row>
    <row r="7" ht="15.75" customHeight="1">
      <c r="A7" s="8"/>
      <c r="B7" s="33" t="s">
        <v>55</v>
      </c>
      <c r="C7" s="33" t="s">
        <v>33</v>
      </c>
      <c r="D7" s="34">
        <v>1.0</v>
      </c>
      <c r="E7" s="8"/>
      <c r="F7" s="8"/>
      <c r="G7" s="8"/>
      <c r="H7" s="8"/>
      <c r="I7" s="8"/>
      <c r="J7" s="34">
        <v>50.0</v>
      </c>
      <c r="K7" s="8"/>
      <c r="L7" s="8"/>
      <c r="M7" s="8"/>
      <c r="N7" s="8"/>
      <c r="O7" s="8"/>
    </row>
    <row r="8" ht="15.75" customHeight="1">
      <c r="A8" s="8"/>
      <c r="B8" s="33" t="s">
        <v>55</v>
      </c>
      <c r="C8" s="33" t="s">
        <v>33</v>
      </c>
      <c r="D8" s="34">
        <v>98.0</v>
      </c>
      <c r="E8" s="8"/>
      <c r="F8" s="8"/>
      <c r="G8" s="8"/>
      <c r="H8" s="8"/>
      <c r="I8" s="8"/>
      <c r="J8" s="34">
        <v>50.0</v>
      </c>
      <c r="K8" s="8"/>
      <c r="L8" s="8"/>
      <c r="M8" s="8"/>
      <c r="N8" s="8"/>
      <c r="O8" s="8"/>
    </row>
    <row r="9" ht="15.75" customHeight="1">
      <c r="A9" s="8"/>
      <c r="B9" s="33" t="s">
        <v>56</v>
      </c>
      <c r="C9" s="33" t="s">
        <v>33</v>
      </c>
      <c r="D9" s="34">
        <v>10.0</v>
      </c>
      <c r="E9" s="8"/>
      <c r="F9" s="8"/>
      <c r="G9" s="8"/>
      <c r="H9" s="8"/>
      <c r="I9" s="8"/>
      <c r="J9" s="34">
        <v>5.0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55</v>
      </c>
      <c r="C6" s="34">
        <v>15.0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3" t="s">
        <v>56</v>
      </c>
      <c r="C7" s="34">
        <v>20.0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 t="shared" ref="B6:C6" si="1">TODAY()-1</f>
        <v>45869</v>
      </c>
      <c r="C6" s="38">
        <f t="shared" si="1"/>
        <v>45869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59</v>
      </c>
      <c r="C6" s="33" t="s">
        <v>46</v>
      </c>
      <c r="D6" s="41">
        <v>4662.0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 t="str">
        <f>IFERROR(__xludf.DUMMYFUNCTION("""COMPUTED_VALUE"""),"VerifyGLNavLockPopup")</f>
        <v>VerifyGLNavLockPopup</v>
      </c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 Type")</f>
        <v>Date Type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 t="str">
        <f>IFERROR(__xludf.DUMMYFUNCTION("""COMPUTED_VALUE"""),"Symbol")</f>
        <v>Symbol</v>
      </c>
      <c r="G5" s="28" t="str">
        <f>IFERROR(__xludf.DUMMYFUNCTION("""COMPUTED_VALUE"""),"Contains")</f>
        <v>Contains</v>
      </c>
      <c r="H5" s="28" t="str">
        <f>IFERROR(__xludf.DUMMYFUNCTION("""COMPUTED_VALUE"""),"Exact")</f>
        <v>Exact</v>
      </c>
      <c r="I5" s="28" t="str">
        <f>IFERROR(__xludf.DUMMYFUNCTION("""COMPUTED_VALUE"""),"Starts With")</f>
        <v>Starts With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59</v>
      </c>
      <c r="C6" s="32" t="s">
        <v>62</v>
      </c>
      <c r="D6" s="42">
        <f t="shared" ref="D6:E6" si="1">TODAY()</f>
        <v>45870</v>
      </c>
      <c r="E6" s="42">
        <f t="shared" si="1"/>
        <v>45870</v>
      </c>
      <c r="F6" s="32"/>
      <c r="G6" s="32" t="s">
        <v>63</v>
      </c>
      <c r="H6" s="32" t="s">
        <v>64</v>
      </c>
      <c r="I6" s="32" t="s">
        <v>63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 t="str">
        <f>IFERROR(__xludf.DUMMYFUNCTION("""COMPUTED_VALUE"""),"VerifyGLNavLockPopup")</f>
        <v>VerifyGLNavLockPopup</v>
      </c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IFERROR(__xludf.DUMMYFUNCTION("""COMPUTED_VALUE"""),"CashTransactionId")</f>
        <v>CashTransactionId</v>
      </c>
      <c r="C5" s="28" t="str">
        <f>IFERROR(__xludf.DUMMYFUNCTION("""COMPUTED_VALUE"""),"Activity Type")</f>
        <v>Activity Type</v>
      </c>
      <c r="D5" s="28" t="str">
        <f>IFERROR(__xludf.DUMMYFUNCTION("""COMPUTED_VALUE"""),"Symbol")</f>
        <v>Symbol</v>
      </c>
      <c r="E5" s="28" t="str">
        <f>IFERROR(__xludf.DUMMYFUNCTION("""COMPUTED_VALUE"""),"Strategy")</f>
        <v>Strategy</v>
      </c>
      <c r="F5" s="29" t="str">
        <f>IFERROR(__xludf.DUMMYFUNCTION("""COMPUTED_VALUE"""),"Account")</f>
        <v>Account</v>
      </c>
      <c r="G5" s="28" t="str">
        <f>IFERROR(__xludf.DUMMYFUNCTION("""COMPUTED_VALUE"""),"Currency")</f>
        <v>Currency</v>
      </c>
      <c r="H5" s="28" t="str">
        <f>IFERROR(__xludf.DUMMYFUNCTION("""COMPUTED_VALUE"""),"Amount")</f>
        <v>Amount</v>
      </c>
      <c r="I5" s="28" t="str">
        <f>IFERROR(__xludf.DUMMYFUNCTION("""COMPUTED_VALUE"""),"Ex Date")</f>
        <v>Ex Date</v>
      </c>
      <c r="J5" s="28" t="str">
        <f>IFERROR(__xludf.DUMMYFUNCTION("""COMPUTED_VALUE"""),"Payout Date")</f>
        <v>Payout Date</v>
      </c>
      <c r="K5" s="28" t="str">
        <f>IFERROR(__xludf.DUMMYFUNCTION("""COMPUTED_VALUE"""),"Record Date")</f>
        <v>Record Date</v>
      </c>
      <c r="L5" s="28" t="str">
        <f>IFERROR(__xludf.DUMMYFUNCTION("""COMPUTED_VALUE"""),"Declaration Date")</f>
        <v>Declaration Date</v>
      </c>
      <c r="M5" s="28" t="str">
        <f>IFERROR(__xludf.DUMMYFUNCTION("""COMPUTED_VALUE"""),"Description")</f>
        <v>Description</v>
      </c>
      <c r="N5" s="28" t="str">
        <f>IFERROR(__xludf.DUMMYFUNCTION("""COMPUTED_VALUE"""),"Other Currency")</f>
        <v>Other Currency</v>
      </c>
      <c r="O5" s="28" t="str">
        <f>IFERROR(__xludf.DUMMYFUNCTION("""COMPUTED_VALUE"""),"FXRate")</f>
        <v>FXRate</v>
      </c>
      <c r="P5" s="28" t="str">
        <f>IFERROR(__xludf.DUMMYFUNCTION("""COMPUTED_VALUE"""),"FXConversionMethodOperator")</f>
        <v>FXConversionMethodOperator</v>
      </c>
      <c r="Q5" s="28" t="str">
        <f>IFERROR(__xludf.DUMMYFUNCTION("""COMPUTED_VALUE"""),"Transaction Source")</f>
        <v>Transaction Source</v>
      </c>
      <c r="R5" s="28" t="str">
        <f>IFERROR(__xludf.DUMMYFUNCTION("""COMPUTED_VALUE"""),"Entry Date")</f>
        <v>Entry Date</v>
      </c>
      <c r="S5" s="28" t="str">
        <f>IFERROR(__xludf.DUMMYFUNCTION("""COMPUTED_VALUE"""),"Modify Date")</f>
        <v>Modify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66</v>
      </c>
      <c r="D6" s="35" t="s">
        <v>67</v>
      </c>
      <c r="E6" s="32" t="s">
        <v>68</v>
      </c>
      <c r="F6" s="33" t="s">
        <v>59</v>
      </c>
      <c r="G6" s="33" t="s">
        <v>46</v>
      </c>
      <c r="H6" s="34">
        <v>1500.0</v>
      </c>
      <c r="I6" s="38">
        <f>TODAY()-1</f>
        <v>45869</v>
      </c>
      <c r="J6" s="38">
        <f>TODAY()+2</f>
        <v>45872</v>
      </c>
      <c r="K6" s="38">
        <f>TODAY()</f>
        <v>45870</v>
      </c>
      <c r="L6" s="32"/>
      <c r="M6" s="43" t="s">
        <v>69</v>
      </c>
      <c r="N6" s="43" t="s">
        <v>46</v>
      </c>
      <c r="O6" s="44">
        <v>1.0</v>
      </c>
      <c r="P6" s="43" t="s">
        <v>70</v>
      </c>
      <c r="Q6" s="45" t="s">
        <v>71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 t="str">
        <f>IFERROR(__xludf.DUMMYFUNCTION("""COMPUTED_VALUE"""),"VerifyGLNavLockPopup")</f>
        <v>VerifyGLNavLockPopup</v>
      </c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73</v>
      </c>
      <c r="C6" s="33" t="s">
        <v>59</v>
      </c>
      <c r="D6" s="38">
        <f>TODAY()</f>
        <v>45870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