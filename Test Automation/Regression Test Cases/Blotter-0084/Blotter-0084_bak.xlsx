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GetDataClosing" sheetId="6" r:id="rId8"/>
    <sheet state="visible" name="ManualClosing" sheetId="7" r:id="rId9"/>
    <sheet state="visible" name="VerifyClosedTrades" sheetId="8" r:id="rId10"/>
    <sheet state="visible" name="SelectTradeOnOrderGrid" sheetId="9" r:id="rId11"/>
    <sheet state="visible" name="RemoveManualExecution" sheetId="10" r:id="rId12"/>
    <sheet state="visible" name="VerifyOrder1" sheetId="11" r:id="rId13"/>
    <sheet state="visible" name="VerifyWorkingSubs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<sst xmlns="http://schemas.openxmlformats.org/spreadsheetml/2006/main" count="199" uniqueCount="53">
  <si>
    <t>Modules Info</t>
  </si>
  <si>
    <t>Modules</t>
  </si>
  <si>
    <t>Settings</t>
  </si>
  <si>
    <t>Module Step Setting File</t>
  </si>
  <si>
    <t>1mQ5wEgXb-MhIU0Or9e66NOlU7WFsZsSgRXGfsykMW9I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</si>
  <si>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</si>
  <si>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</si>
  <si>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</si>
  <si>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</si>
  <si>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</si>
  <si>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</si>
  <si>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</si>
  <si>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</si>
  <si>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</si>
  <si>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</si>
  <si>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</si>
  <si>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</si>
  <si>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</si>
  <si>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</si>
  <si>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Sell</t>
  </si>
  <si>
    <t>Blotter</t>
  </si>
  <si>
    <t>VerifyOrder</t>
  </si>
  <si>
    <t>PartiallyFilled</t>
  </si>
  <si>
    <t>MS</t>
  </si>
  <si>
    <t>Market</t>
  </si>
  <si>
    <t>Filled</t>
  </si>
  <si>
    <t>Closing</t>
  </si>
  <si>
    <t>GetDataClosing</t>
  </si>
  <si>
    <t>Current</t>
  </si>
  <si>
    <t>ManualClosing</t>
  </si>
  <si>
    <t>Equity</t>
  </si>
  <si>
    <t>VerifyClosedTrades</t>
  </si>
  <si>
    <t>Long</t>
  </si>
  <si>
    <t>NASDAQ</t>
  </si>
  <si>
    <t>USD</t>
  </si>
  <si>
    <t>Short</t>
  </si>
  <si>
    <t>SelectTradeOnOrderGrid</t>
  </si>
  <si>
    <t>RemoveManualExecution</t>
  </si>
  <si>
    <t>New</t>
  </si>
  <si>
    <t>VerifyWorkingSubs</t>
  </si>
  <si>
    <t>Allocation</t>
  </si>
  <si>
    <t>GetDataAllocation</t>
  </si>
  <si>
    <t>CheckAllocatedGroups</t>
  </si>
  <si>
    <t>MSFT US EQUITY</t>
  </si>
  <si>
    <t>Closed</t>
  </si>
  <si>
    <t>MICROSOFT INC</t>
  </si>
  <si>
    <t>M</t>
  </si>
  <si>
    <t>US</t>
  </si>
  <si>
    <t>PortfolioManagement</t>
  </si>
  <si>
    <t>CheckPortfolioManagement</t>
  </si>
  <si>
    <t>NewMF</t>
  </si>
  <si>
    <t xml:space="preserve">Long </t>
  </si>
  <si>
    <t>Undefined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</si>
</sst>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readingOrder="0" vertical="bottom"/>
    </xf>
    <xf borderId="0" fillId="0" fontId="3" numFmtId="3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3" numFmtId="14" xfId="0" applyAlignment="1" applyBorder="1" applyFont="1" applyNumberFormat="1">
      <alignment vertical="bottom"/>
    </xf>
    <xf borderId="0" fillId="0" fontId="3" numFmtId="14" xfId="0" applyAlignment="1" applyFont="1" applyNumberFormat="1">
      <alignment horizontal="right" vertical="bottom"/>
    </xf>
    <xf borderId="5" fillId="0" fontId="5" numFmtId="3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14" numFmtId="4" xfId="0" applyAlignment="1" applyBorder="1" applyFont="1" applyNumberFormat="1">
      <alignment vertical="bottom"/>
    </xf>
    <xf borderId="5" fillId="0" fontId="3" numFmtId="4" xfId="0" applyAlignment="1" applyBorder="1" applyFont="1" applyNumberFormat="1">
      <alignment vertical="bottom"/>
    </xf>
    <xf borderId="5" fillId="0" fontId="14" numFmtId="4" xfId="0" applyAlignment="1" applyBorder="1" applyFont="1" applyNumberFormat="1">
      <alignment horizontal="right" vertical="bottom"/>
    </xf>
    <xf borderId="5" fillId="0" fontId="14" numFmtId="4" xfId="0" applyAlignment="1" applyBorder="1" applyFont="1" applyNumberFormat="1">
      <alignment horizontal="right" readingOrder="0" vertical="bottom"/>
    </xf>
    <xf borderId="5" fillId="0" fontId="14" numFmtId="4" xfId="0" applyAlignment="1" applyBorder="1" applyFont="1" applyNumberFormat="1">
      <alignment readingOrder="0" vertical="bottom"/>
    </xf>
    <xf borderId="0" fillId="0" fontId="14" numFmtId="4" xfId="0" applyAlignment="1" applyFont="1" applyNumberFormat="1">
      <alignment horizontal="right" vertical="bottom"/>
    </xf>
    <xf borderId="0" fillId="0" fontId="14" numFmtId="4" xfId="0" applyAlignment="1" applyFont="1" applyNumberFormat="1">
      <alignment vertical="bottom"/>
    </xf>
    <xf borderId="0" fillId="0" fontId="3" numFmtId="4" xfId="0" applyAlignment="1" applyFont="1" applyNumberFormat="1">
      <alignment vertical="bottom"/>
    </xf>
    <xf borderId="0" fillId="0" fontId="14" numFmtId="4" xfId="0" applyAlignment="1" applyFont="1" applyNumberFormat="1">
      <alignment horizontal="right" readingOrder="0" vertical="bottom"/>
    </xf>
    <xf borderId="0" fillId="0" fontId="14" numFmtId="164" xfId="0" applyAlignment="1" applyFont="1" applyNumberFormat="1">
      <alignment horizontal="right" readingOrder="0" vertical="bottom"/>
    </xf>
    <xf borderId="0" fillId="0" fontId="14" numFmtId="4" xfId="0" applyAlignment="1" applyFont="1" applyNumberFormat="1">
      <alignment readingOrder="0" vertical="bottom"/>
    </xf>
    <xf borderId="5" fillId="0" fontId="3" numFmtId="3" xfId="0" applyAlignment="1" applyBorder="1" applyFont="1" applyNumberFormat="1">
      <alignment vertical="bottom"/>
    </xf>
    <xf borderId="5" fillId="0" fontId="5" numFmtId="3" xfId="0" applyAlignment="1" applyBorder="1" applyFont="1" applyNumberFormat="1">
      <alignment horizontal="right" readingOrder="0" vertical="bottom"/>
    </xf>
    <xf borderId="5" fillId="0" fontId="3" numFmtId="3" xfId="0" applyAlignment="1" applyBorder="1" applyFont="1" applyNumberFormat="1">
      <alignment horizontal="right" readingOrder="0" vertical="bottom"/>
    </xf>
    <xf borderId="0" fillId="0" fontId="3" numFmtId="3" xfId="0" applyAlignment="1" applyFont="1" applyNumberFormat="1">
      <alignment horizontal="right" vertical="bottom"/>
    </xf>
    <xf borderId="0" fillId="0" fontId="3" numFmtId="3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IFERROR(__xludf.DUMMYFUNCTION("""COMPUTED_VALUE"""),"RemoveSymbolFromRAList")</f>
        <v>RemoveSymbolFromRAList</v>
      </c>
      <c r="C486" t="str">
        <f>IFERROR(__xludf.DUMMYFUNCTION("""COMPUTED_VALUE"""),"1esriqspMNcbGjPDPy2u7bJyQKd05b0Y9Sin8DcUfSEE")</f>
        <v>1esriqspMNcbGjPDPy2u7bJyQKd05b0Y9Sin8DcUfSEE</v>
      </c>
    </row>
    <row r="487" ht="15.75" customHeight="1">
      <c r="A487" t="str">
        <f>IFERROR(__xludf.DUMMYFUNCTION("""COMPUTED_VALUE"""),"Report")</f>
        <v>Report</v>
      </c>
      <c r="B487" t="str">
        <f>IFERROR(__xludf.DUMMYFUNCTION("""COMPUTED_VALUE"""),"ReportMatching")</f>
        <v>ReportMatching</v>
      </c>
      <c r="C487" t="str">
        <f>IFERROR(__xludf.DUMMYFUNCTION("""COMPUTED_VALUE"""),"1IURT1smTM6q7aOlSfUxXb-piLEDNEFM-Z_rxNUweXqU")</f>
        <v>1IURT1smTM6q7aOlSfUxXb-piLEDNEFM-Z_rxNUweXqU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IFERROR(__xludf.DUMMYFUNCTION("""COMPUTED_VALUE"""),"EnableBreakdownRealizedPNL")</f>
        <v>EnableBreakdownRealizedPNL</v>
      </c>
      <c r="C488" t="str">
        <f>IFERROR(__xludf.DUMMYFUNCTION("""COMPUTED_VALUE"""),"1MsdAMudFZTDN6c4GJMzmiY0zvgautsPJWcDY1jxOGP0")</f>
        <v>1MsdAMudFZTDN6c4GJMzmiY0zvgautsPJWcDY1jxOGP0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IFERROR(__xludf.DUMMYFUNCTION("""COMPUTED_VALUE"""),"SetTTGeneralPreferences")</f>
        <v>SetTTGeneralPreferences</v>
      </c>
      <c r="C489" t="str">
        <f>IFERROR(__xludf.DUMMYFUNCTION("""COMPUTED_VALUE"""),"1VU4CqD-ZRcRyvM1M2otqULbHS-fnUmcO_NcgQMsS9rE")</f>
        <v>1VU4CqD-ZRcRyvM1M2otqULbHS-fnUmcO_NcgQMsS9rE</v>
      </c>
    </row>
    <row r="490" ht="15.75" customHeight="1">
      <c r="A490" t="str">
        <f>IFERROR(__xludf.DUMMYFUNCTION("""COMPUTED_VALUE"""),"Blotter")</f>
        <v>Blotter</v>
      </c>
      <c r="B490" t="str">
        <f>IFERROR(__xludf.DUMMYFUNCTION("""COMPUTED_VALUE"""),"OpenBlotter")</f>
        <v>OpenBlotter</v>
      </c>
      <c r="C490" t="str">
        <f>IFERROR(__xludf.DUMMYFUNCTION("""COMPUTED_VALUE"""),"12ceIzEYIShy-_njSlPPAl07iNZK9EY7UC-GDAyLFzV4")</f>
        <v>12ceIzEYIShy-_njSlPPAl07iNZK9EY7UC-GDAyLFzV4</v>
      </c>
    </row>
    <row r="491" ht="15.75" customHeight="1">
      <c r="A491" t="str">
        <f>IFERROR(__xludf.DUMMYFUNCTION("""COMPUTED_VALUE"""),"ExeExecutor")</f>
        <v>ExeExecutor</v>
      </c>
      <c r="B491" t="str">
        <f>IFERROR(__xludf.DUMMYFUNCTION("""COMPUTED_VALUE"""),"CallExeExecutor")</f>
        <v>CallExeExecutor</v>
      </c>
      <c r="C491" t="str">
        <f>IFERROR(__xludf.DUMMYFUNCTION("""COMPUTED_VALUE"""),"1hwFwcZT2KkLMWXu0X968AjDc83QETRSutmtdbAtWjRQ")</f>
        <v>1hwFwcZT2KkLMWXu0X968AjDc83QETRSutmtdbAtWjRQ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IFERROR(__xludf.DUMMYFUNCTION("""COMPUTED_VALUE"""),"ToggleBlombergOnRA")</f>
        <v>ToggleBlombergOnRA</v>
      </c>
      <c r="C492" t="str">
        <f>IFERROR(__xludf.DUMMYFUNCTION("""COMPUTED_VALUE"""),"1TNk3Ts3tA51Oj9qjpTVY3IDwk0Ro78g-6ZmRMY4-lHk")</f>
        <v>1TNk3Ts3tA51Oj9qjpTVY3IDwk0Ro78g-6ZmRMY4-lHk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IFERROR(__xludf.DUMMYFUNCTION("""COMPUTED_VALUE"""),"RemoveManualExecution")</f>
        <v>RemoveManualExecution</v>
      </c>
      <c r="C493" t="str">
        <f>IFERROR(__xludf.DUMMYFUNCTION("""COMPUTED_VALUE"""),"1jbkbbKX6sldAF_Pk73xVZ1gvRS_q8eEl9NbS6SSiFi8")</f>
        <v>1jbkbbKX6sldAF_Pk73xVZ1gvRS_q8eEl9NbS6SSiFi8</v>
      </c>
    </row>
    <row r="494" ht="15.75" customHeight="1">
      <c r="A494" t="str">
        <f>IFERROR(__xludf.DUMMYFUNCTION("""COMPUTED_VALUE"""),"Blotter")</f>
        <v>Blotter</v>
      </c>
      <c r="B494" t="str">
        <f>IFERROR(__xludf.DUMMYFUNCTION("""COMPUTED_VALUE"""),"RemoveExecutionWorkingSubs")</f>
        <v>RemoveExecutionWorkingSubs</v>
      </c>
      <c r="C494" t="str">
        <f>IFERROR(__xludf.DUMMYFUNCTION("""COMPUTED_VALUE"""),"1xhQkfgYxnBj3SaiVD_XZo7TN5gmMtEEUIk-KMtc-Cug")</f>
        <v>1xhQkfgYxnBj3SaiVD_XZo7TN5gmMtEEUIk-KMtc-Cug</v>
      </c>
    </row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IFERROR(__xludf.DUMMYFUNCTION("""COMPUTED_VALUE"""),"RemoveSymbolFromRAList")</f>
        <v>RemoveSymbolFromRAList</v>
      </c>
      <c r="AA4" s="26" t="str">
        <f>IFERROR(__xludf.DUMMYFUNCTION("""COMPUTED_VALUE"""),"ToggleBlombergOnRA")</f>
        <v>ToggleBlombergOnRA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33">
        <v>100.0</v>
      </c>
      <c r="E6" s="34">
        <v>80.0</v>
      </c>
      <c r="F6" s="32" t="s">
        <v>18</v>
      </c>
      <c r="G6" s="35"/>
      <c r="H6" s="35"/>
      <c r="I6" s="35"/>
      <c r="J6" s="36">
        <v>10.0</v>
      </c>
      <c r="K6" s="35"/>
      <c r="L6" s="35"/>
      <c r="M6" s="35"/>
      <c r="N6" s="37">
        <f t="shared" ref="N6:N7" si="1">TODAY()</f>
        <v>44273</v>
      </c>
      <c r="O6" s="8"/>
    </row>
    <row r="7" ht="15.75" customHeight="1">
      <c r="A7" s="8"/>
      <c r="B7" s="31" t="s">
        <v>16</v>
      </c>
      <c r="C7" s="38" t="s">
        <v>19</v>
      </c>
      <c r="D7" s="34">
        <v>80.0</v>
      </c>
      <c r="E7" s="34">
        <v>80.0</v>
      </c>
      <c r="F7" s="32" t="s">
        <v>18</v>
      </c>
      <c r="G7" s="35"/>
      <c r="H7" s="35"/>
      <c r="I7" s="35"/>
      <c r="J7" s="34">
        <v>12.0</v>
      </c>
      <c r="K7" s="35"/>
      <c r="L7" s="35"/>
      <c r="M7" s="35"/>
      <c r="N7" s="37">
        <f t="shared" si="1"/>
        <v>44273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/>
      <c r="C6" s="35"/>
      <c r="D6" s="34">
        <v>10.0</v>
      </c>
      <c r="E6" s="35"/>
      <c r="F6" s="35"/>
      <c r="G6" s="40">
        <v>20.0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2" t="s">
        <v>16</v>
      </c>
      <c r="AJ6" s="41" t="s">
        <v>17</v>
      </c>
      <c r="AK6" s="41" t="s">
        <v>22</v>
      </c>
      <c r="AL6" s="41">
        <v>100.0</v>
      </c>
      <c r="AM6" s="43">
        <v>80.0</v>
      </c>
      <c r="AN6" s="43">
        <v>80.0</v>
      </c>
      <c r="AO6" s="41"/>
      <c r="AP6" s="44"/>
      <c r="AQ6" s="43">
        <v>10.0</v>
      </c>
      <c r="AR6" s="43">
        <v>10.0</v>
      </c>
      <c r="AS6" s="41" t="s">
        <v>23</v>
      </c>
      <c r="AT6" s="41" t="s">
        <v>18</v>
      </c>
      <c r="AU6" s="41" t="s">
        <v>24</v>
      </c>
      <c r="AV6" s="45">
        <v>800.0</v>
      </c>
      <c r="AW6" s="45">
        <v>800.0</v>
      </c>
      <c r="AX6" s="41"/>
      <c r="AY6" s="46"/>
      <c r="AZ6" s="46"/>
      <c r="BA6" s="41"/>
      <c r="BB6" s="41"/>
      <c r="BC6" s="41"/>
      <c r="BD6" s="41"/>
      <c r="BE6" s="41"/>
    </row>
    <row r="7" ht="15.75" customHeight="1">
      <c r="A7" s="8"/>
      <c r="B7" s="35"/>
      <c r="C7" s="35"/>
      <c r="D7" s="34">
        <v>12.0</v>
      </c>
      <c r="E7" s="35"/>
      <c r="F7" s="35"/>
      <c r="G7" s="40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2" t="s">
        <v>16</v>
      </c>
      <c r="AJ7" s="42" t="s">
        <v>19</v>
      </c>
      <c r="AK7" s="42" t="s">
        <v>25</v>
      </c>
      <c r="AL7" s="45">
        <v>80.0</v>
      </c>
      <c r="AM7" s="43">
        <v>80.0</v>
      </c>
      <c r="AN7" s="43">
        <v>100.0</v>
      </c>
      <c r="AO7" s="41"/>
      <c r="AP7" s="41"/>
      <c r="AQ7" s="43">
        <v>12.0</v>
      </c>
      <c r="AR7" s="43">
        <v>12.0</v>
      </c>
      <c r="AS7" s="41" t="s">
        <v>23</v>
      </c>
      <c r="AT7" s="41" t="s">
        <v>18</v>
      </c>
      <c r="AU7" s="41" t="s">
        <v>24</v>
      </c>
      <c r="AV7" s="45">
        <v>-960.0</v>
      </c>
      <c r="AW7" s="45">
        <v>-960.0</v>
      </c>
      <c r="AX7" s="41"/>
      <c r="AY7" s="46"/>
      <c r="AZ7" s="46"/>
      <c r="BA7" s="41"/>
      <c r="BB7" s="41"/>
      <c r="BC7" s="41"/>
      <c r="BD7" s="41"/>
      <c r="BE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IFERROR(__xludf.DUMMYFUNCTION("""COMPUTED_VALUE"""),"CloseSSw/BuyBTO")</f>
        <v>CloseSSw/BuyBTO</v>
      </c>
      <c r="C5" s="28" t="str">
        <f>IFERROR(__xludf.DUMMYFUNCTION("""COMPUTED_VALUE"""),"AutoCloseStrategy")</f>
        <v>AutoCloseStrategy</v>
      </c>
      <c r="D5" s="28" t="str">
        <f>IFERROR(__xludf.DUMMYFUNCTION("""COMPUTED_VALUE"""),"LongAccount")</f>
        <v>LongAccount</v>
      </c>
      <c r="E5" s="28" t="str">
        <f>IFERROR(__xludf.DUMMYFUNCTION("""COMPUTED_VALUE"""),"LongAsset Class")</f>
        <v>LongAsset Class</v>
      </c>
      <c r="F5" s="29" t="str">
        <f>IFERROR(__xludf.DUMMYFUNCTION("""COMPUTED_VALUE"""),"LongAUECID")</f>
        <v>LongAUECID</v>
      </c>
      <c r="G5" s="28" t="str">
        <f>IFERROR(__xludf.DUMMYFUNCTION("""COMPUTED_VALUE"""),"LongExternalTransId")</f>
        <v>LongExternalTransId</v>
      </c>
      <c r="H5" s="28" t="str">
        <f>IFERROR(__xludf.DUMMYFUNCTION("""COMPUTED_VALUE"""),"LongIsSwapped")</f>
        <v>LongIsSwapped</v>
      </c>
      <c r="I5" s="28" t="str">
        <f>IFERROR(__xludf.DUMMYFUNCTION("""COMPUTED_VALUE"""),"LongLotId")</f>
        <v>LongLotId</v>
      </c>
      <c r="J5" s="28" t="str">
        <f>IFERROR(__xludf.DUMMYFUNCTION("""COMPUTED_VALUE"""),"LongNet Notional")</f>
        <v>LongNet Notional</v>
      </c>
      <c r="K5" s="28" t="str">
        <f>IFERROR(__xludf.DUMMYFUNCTION("""COMPUTED_VALUE"""),"LongOpening Price")</f>
        <v>LongOpening Price</v>
      </c>
      <c r="L5" s="28" t="str">
        <f>IFERROR(__xludf.DUMMYFUNCTION("""COMPUTED_VALUE"""),"LongOriginal Purchase Date")</f>
        <v>LongOriginal Purchase Date</v>
      </c>
      <c r="M5" s="28" t="str">
        <f>IFERROR(__xludf.DUMMYFUNCTION("""COMPUTED_VALUE"""),"LongPositionTag")</f>
        <v>LongPositionTag</v>
      </c>
      <c r="N5" s="28" t="str">
        <f>IFERROR(__xludf.DUMMYFUNCTION("""COMPUTED_VALUE"""),"LongProcess Date")</f>
        <v>LongProcess Date</v>
      </c>
      <c r="O5" s="28" t="str">
        <f>IFERROR(__xludf.DUMMYFUNCTION("""COMPUTED_VALUE"""),"LongQuantity")</f>
        <v>LongQuantity</v>
      </c>
      <c r="P5" s="28" t="str">
        <f>IFERROR(__xludf.DUMMYFUNCTION("""COMPUTED_VALUE"""),"LongSecurity Name")</f>
        <v>LongSecurity Name</v>
      </c>
      <c r="Q5" s="28" t="str">
        <f>IFERROR(__xludf.DUMMYFUNCTION("""COMPUTED_VALUE"""),"LongSettlement Currency")</f>
        <v>LongSettlement Currency</v>
      </c>
      <c r="R5" s="28" t="str">
        <f>IFERROR(__xludf.DUMMYFUNCTION("""COMPUTED_VALUE"""),"LongSettlement FxRate")</f>
        <v>LongSettlement FxRate</v>
      </c>
      <c r="S5" s="28" t="str">
        <f>IFERROR(__xludf.DUMMYFUNCTION("""COMPUTED_VALUE"""),"LongSettlement FxRate Operator")</f>
        <v>LongSettlement FxRate Operator</v>
      </c>
      <c r="T5" s="30" t="str">
        <f>IFERROR(__xludf.DUMMYFUNCTION("""COMPUTED_VALUE"""),"LongSettlement Price")</f>
        <v>LongSettlement Price</v>
      </c>
      <c r="U5" s="30" t="str">
        <f>IFERROR(__xludf.DUMMYFUNCTION("""COMPUTED_VALUE"""),"LongSettlement Unit Cost")</f>
        <v>LongSettlement Unit Cost</v>
      </c>
      <c r="V5" s="30" t="str">
        <f>IFERROR(__xludf.DUMMYFUNCTION("""COMPUTED_VALUE"""),"LongSide")</f>
        <v>LongSide</v>
      </c>
      <c r="W5" s="30" t="str">
        <f>IFERROR(__xludf.DUMMYFUNCTION("""COMPUTED_VALUE"""),"LongStrategy")</f>
        <v>LongStrategy</v>
      </c>
      <c r="X5" s="30" t="str">
        <f>IFERROR(__xludf.DUMMYFUNCTION("""COMPUTED_VALUE"""),"LongSymbol")</f>
        <v>LongSymbol</v>
      </c>
      <c r="Y5" s="30" t="str">
        <f>IFERROR(__xludf.DUMMYFUNCTION("""COMPUTED_VALUE"""),"LongTaxlot Id")</f>
        <v>LongTaxlot Id</v>
      </c>
      <c r="Z5" s="30" t="str">
        <f>IFERROR(__xludf.DUMMYFUNCTION("""COMPUTED_VALUE"""),"LongTotal Fee And Commission")</f>
        <v>LongTotal Fee And Commission</v>
      </c>
      <c r="AA5" s="30" t="str">
        <f>IFERROR(__xludf.DUMMYFUNCTION("""COMPUTED_VALUE"""),"LongTrade Date")</f>
        <v>LongTrade Date</v>
      </c>
      <c r="AB5" s="30" t="str">
        <f>IFERROR(__xludf.DUMMYFUNCTION("""COMPUTED_VALUE"""),"LongTransaction Type")</f>
        <v>LongTransaction Type</v>
      </c>
      <c r="AC5" s="30" t="str">
        <f>IFERROR(__xludf.DUMMYFUNCTION("""COMPUTED_VALUE"""),"LongUnderlyingName")</f>
        <v>LongUnderlyingName</v>
      </c>
      <c r="AD5" s="30" t="str">
        <f>IFERROR(__xludf.DUMMYFUNCTION("""COMPUTED_VALUE"""),"LongUnitCost")</f>
        <v>LongUnitCost</v>
      </c>
      <c r="AE5" s="30" t="str">
        <f>IFERROR(__xludf.DUMMYFUNCTION("""COMPUTED_VALUE"""),"ShortAccount")</f>
        <v>ShortAccount</v>
      </c>
      <c r="AF5" s="30" t="str">
        <f>IFERROR(__xludf.DUMMYFUNCTION("""COMPUTED_VALUE"""),"ShortAsset Class")</f>
        <v>ShortAsset Class</v>
      </c>
      <c r="AG5" s="30" t="str">
        <f>IFERROR(__xludf.DUMMYFUNCTION("""COMPUTED_VALUE"""),"ShortAUECID")</f>
        <v>ShortAUECID</v>
      </c>
      <c r="AH5" s="30" t="str">
        <f>IFERROR(__xludf.DUMMYFUNCTION("""COMPUTED_VALUE"""),"ShortExternalTransId")</f>
        <v>ShortExternalTransId</v>
      </c>
      <c r="AI5" s="30" t="str">
        <f>IFERROR(__xludf.DUMMYFUNCTION("""COMPUTED_VALUE"""),"ShortIsSwapped")</f>
        <v>ShortIsSwapped</v>
      </c>
      <c r="AJ5" s="30" t="str">
        <f>IFERROR(__xludf.DUMMYFUNCTION("""COMPUTED_VALUE"""),"ShortLotId")</f>
        <v>ShortLotId</v>
      </c>
      <c r="AK5" s="30" t="str">
        <f>IFERROR(__xludf.DUMMYFUNCTION("""COMPUTED_VALUE"""),"ShortNet Notional")</f>
        <v>ShortNet Notional</v>
      </c>
      <c r="AL5" s="30" t="str">
        <f>IFERROR(__xludf.DUMMYFUNCTION("""COMPUTED_VALUE"""),"ShortOpening Price")</f>
        <v>ShortOpening Price</v>
      </c>
      <c r="AM5" s="30" t="str">
        <f>IFERROR(__xludf.DUMMYFUNCTION("""COMPUTED_VALUE"""),"ShortOriginal Purchase Date")</f>
        <v>ShortOriginal Purchase Date</v>
      </c>
      <c r="AN5" s="30" t="str">
        <f>IFERROR(__xludf.DUMMYFUNCTION("""COMPUTED_VALUE"""),"ShortPositionTag")</f>
        <v>ShortPositionTag</v>
      </c>
      <c r="AO5" s="30" t="str">
        <f>IFERROR(__xludf.DUMMYFUNCTION("""COMPUTED_VALUE"""),"ShortProcess Date")</f>
        <v>ShortProcess Date</v>
      </c>
      <c r="AP5" s="30" t="str">
        <f>IFERROR(__xludf.DUMMYFUNCTION("""COMPUTED_VALUE"""),"ShortQuantity")</f>
        <v>ShortQuantity</v>
      </c>
      <c r="AQ5" s="30" t="str">
        <f>IFERROR(__xludf.DUMMYFUNCTION("""COMPUTED_VALUE"""),"ShortSecurity Name")</f>
        <v>ShortSecurity Name</v>
      </c>
      <c r="AR5" s="30" t="str">
        <f>IFERROR(__xludf.DUMMYFUNCTION("""COMPUTED_VALUE"""),"ShortSettlement Currency")</f>
        <v>ShortSettlement Currency</v>
      </c>
      <c r="AS5" s="30" t="str">
        <f>IFERROR(__xludf.DUMMYFUNCTION("""COMPUTED_VALUE"""),"ShortSettlement FxRate")</f>
        <v>ShortSettlement FxRate</v>
      </c>
      <c r="AT5" s="30" t="str">
        <f>IFERROR(__xludf.DUMMYFUNCTION("""COMPUTED_VALUE"""),"ShortSettlement FxRate Operator")</f>
        <v>ShortSettlement FxRate Operator</v>
      </c>
      <c r="AU5" s="30" t="str">
        <f>IFERROR(__xludf.DUMMYFUNCTION("""COMPUTED_VALUE"""),"ShortSettlement Price")</f>
        <v>ShortSettlement Price</v>
      </c>
      <c r="AV5" s="30" t="str">
        <f>IFERROR(__xludf.DUMMYFUNCTION("""COMPUTED_VALUE"""),"ShortSettlement Unit Cost")</f>
        <v>ShortSettlement Unit Cost</v>
      </c>
      <c r="AW5" s="30" t="str">
        <f>IFERROR(__xludf.DUMMYFUNCTION("""COMPUTED_VALUE"""),"ShortSide")</f>
        <v>ShortSide</v>
      </c>
      <c r="AX5" s="30" t="str">
        <f>IFERROR(__xludf.DUMMYFUNCTION("""COMPUTED_VALUE"""),"ShortStrategy")</f>
        <v>ShortStrategy</v>
      </c>
      <c r="AY5" s="30" t="str">
        <f>IFERROR(__xludf.DUMMYFUNCTION("""COMPUTED_VALUE"""),"ShortSymbol")</f>
        <v>ShortSymbol</v>
      </c>
      <c r="AZ5" s="30" t="str">
        <f>IFERROR(__xludf.DUMMYFUNCTION("""COMPUTED_VALUE"""),"ShortTaxlot Id")</f>
        <v>ShortTaxlot Id</v>
      </c>
      <c r="BA5" s="30" t="str">
        <f>IFERROR(__xludf.DUMMYFUNCTION("""COMPUTED_VALUE"""),"ShortTotal Fee And Commission")</f>
        <v>ShortTotal Fee And Commission</v>
      </c>
      <c r="BB5" s="30" t="str">
        <f>IFERROR(__xludf.DUMMYFUNCTION("""COMPUTED_VALUE"""),"ShortTrade Date")</f>
        <v>ShortTrade Date</v>
      </c>
      <c r="BC5" s="30" t="str">
        <f>IFERROR(__xludf.DUMMYFUNCTION("""COMPUTED_VALUE"""),"ShortTransaction Type")</f>
        <v>ShortTransaction Type</v>
      </c>
      <c r="BD5" s="30" t="str">
        <f>IFERROR(__xludf.DUMMYFUNCTION("""COMPUTED_VALUE"""),"ShortUnderlyingName")</f>
        <v>ShortUnderlyingName</v>
      </c>
      <c r="BE5" s="30" t="str">
        <f>IFERROR(__xludf.DUMMYFUNCTION("""COMPUTED_VALUE"""),"ShortUnitCost")</f>
        <v>ShortUnitCost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8" t="b">
        <v>0</v>
      </c>
      <c r="C6" s="48" t="b">
        <v>0</v>
      </c>
      <c r="D6" s="49" t="s">
        <v>18</v>
      </c>
      <c r="E6" s="32" t="s">
        <v>30</v>
      </c>
      <c r="F6" s="35"/>
      <c r="G6" s="35"/>
      <c r="H6" s="35"/>
      <c r="I6" s="50"/>
      <c r="J6" s="35"/>
      <c r="K6" s="34">
        <v>10.0</v>
      </c>
      <c r="L6" s="35"/>
      <c r="M6" s="35"/>
      <c r="N6" s="35"/>
      <c r="O6" s="34">
        <v>80.0</v>
      </c>
      <c r="P6" s="35"/>
      <c r="Q6" s="35"/>
      <c r="R6" s="35"/>
      <c r="S6" s="35"/>
      <c r="T6" s="41"/>
      <c r="U6" s="41"/>
      <c r="V6" s="41" t="s">
        <v>17</v>
      </c>
      <c r="W6" s="41"/>
      <c r="X6" s="41" t="s">
        <v>16</v>
      </c>
      <c r="Y6" s="41"/>
      <c r="Z6" s="41"/>
      <c r="AA6" s="41"/>
      <c r="AB6" s="41"/>
      <c r="AC6" s="41"/>
      <c r="AD6" s="41"/>
      <c r="AE6" s="41" t="s">
        <v>18</v>
      </c>
      <c r="AF6" s="41" t="s">
        <v>30</v>
      </c>
      <c r="AG6" s="41"/>
      <c r="AH6" s="41"/>
      <c r="AI6" s="41"/>
      <c r="AJ6" s="41"/>
      <c r="AK6" s="41"/>
      <c r="AL6" s="44">
        <v>12.0</v>
      </c>
      <c r="AM6" s="41"/>
      <c r="AN6" s="41"/>
      <c r="AO6" s="41"/>
      <c r="AP6" s="43">
        <v>80.0</v>
      </c>
      <c r="AQ6" s="41"/>
      <c r="AR6" s="41"/>
      <c r="AS6" s="41"/>
      <c r="AT6" s="41"/>
      <c r="AU6" s="41"/>
      <c r="AV6" s="41"/>
      <c r="AW6" s="41" t="s">
        <v>19</v>
      </c>
      <c r="AX6" s="41"/>
      <c r="AY6" s="41" t="s">
        <v>16</v>
      </c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ManualClosing!$4:$4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IFERROR(__xludf.DUMMYFUNCTION("""COMPUTED_VALUE"""),"VerifyCloseOrder")</f>
        <v>VerifyCloseOrder</v>
      </c>
      <c r="Y4" s="26" t="str">
        <f>IFERROR(__xludf.DUMMYFUNCTION("""COMPUTED_VALUE"""),"UnWindCloseOrder")</f>
        <v>UnWindCloseOrder</v>
      </c>
      <c r="Z4" s="26" t="str">
        <f>IFERROR(__xludf.DUMMYFUNCTION("""COMPUTED_VALUE"""),"ClosingCleanUp")</f>
        <v>ClosingCleanUp</v>
      </c>
      <c r="AA4" s="26" t="str">
        <f>IFERROR(__xludf.DUMMYFUNCTION("""COMPUTED_VALUE"""),"CloseClosingUI")</f>
        <v>CloseClosingUI</v>
      </c>
      <c r="AB4" s="26" t="str">
        <f>IFERROR(__xludf.DUMMYFUNCTION("""COMPUTED_VALUE"""),"SetClosingPreference")</f>
        <v>SetClosingPreference</v>
      </c>
      <c r="AC4" s="26" t="str">
        <f>IFERROR(__xludf.DUMMYFUNCTION("""COMPUTED_VALUE"""),"EditTradeUnexpiredUnsettled")</f>
        <v>EditTradeUnexpiredUnsettled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/>
      <c r="C6" s="37"/>
      <c r="D6" s="39" t="s">
        <v>18</v>
      </c>
      <c r="E6" s="35"/>
      <c r="F6" s="35" t="s">
        <v>32</v>
      </c>
      <c r="G6" s="35" t="s">
        <v>30</v>
      </c>
      <c r="H6" s="35" t="s">
        <v>16</v>
      </c>
      <c r="I6" s="34">
        <v>80.0</v>
      </c>
      <c r="J6" s="34">
        <v>10.0</v>
      </c>
      <c r="K6" s="36">
        <v>12.0</v>
      </c>
      <c r="L6" s="34">
        <v>14.0005</v>
      </c>
      <c r="M6" s="34">
        <v>131.9991</v>
      </c>
      <c r="N6" s="35" t="s">
        <v>33</v>
      </c>
      <c r="O6" s="35" t="s">
        <v>32</v>
      </c>
      <c r="P6" s="40">
        <v>14.0004</v>
      </c>
      <c r="Q6" s="35" t="s">
        <v>19</v>
      </c>
      <c r="R6" s="35"/>
      <c r="S6" s="35"/>
      <c r="T6" s="51"/>
      <c r="U6" s="41"/>
      <c r="V6" s="41"/>
      <c r="W6" s="41"/>
      <c r="X6" s="41"/>
      <c r="Y6" s="41"/>
      <c r="Z6" s="41" t="s">
        <v>34</v>
      </c>
      <c r="AA6" s="41"/>
      <c r="AB6" s="44">
        <v>0.0</v>
      </c>
      <c r="AC6" s="41"/>
      <c r="AD6" s="41"/>
      <c r="AE6" s="41" t="s">
        <v>35</v>
      </c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>
        <v>10.0</v>
      </c>
      <c r="C6" s="35"/>
      <c r="D6" s="38" t="s">
        <v>16</v>
      </c>
      <c r="E6" s="35"/>
      <c r="F6" s="32" t="s">
        <v>17</v>
      </c>
      <c r="G6" s="32" t="s">
        <v>22</v>
      </c>
      <c r="H6" s="52">
        <v>100.0</v>
      </c>
      <c r="I6" s="34">
        <v>80.0</v>
      </c>
      <c r="J6" s="34">
        <v>80.0</v>
      </c>
      <c r="K6" s="35"/>
      <c r="L6" s="35"/>
      <c r="M6" s="35"/>
      <c r="N6" s="34">
        <v>10.0</v>
      </c>
      <c r="O6" s="35"/>
      <c r="P6" s="40">
        <v>10.0</v>
      </c>
      <c r="Q6" s="35"/>
      <c r="R6" s="35" t="s">
        <v>18</v>
      </c>
      <c r="S6" s="35"/>
      <c r="T6" s="41"/>
      <c r="U6" s="45">
        <v>800.0</v>
      </c>
      <c r="V6" s="45">
        <v>800.0</v>
      </c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6"/>
      <c r="AW6" s="46"/>
      <c r="AX6" s="41"/>
      <c r="AY6" s="46"/>
      <c r="AZ6" s="46"/>
      <c r="BA6" s="41"/>
      <c r="BB6" s="41"/>
      <c r="BC6" s="41"/>
      <c r="BD6" s="41"/>
      <c r="BE6" s="41"/>
      <c r="BF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3"/>
      <c r="C6" s="35"/>
      <c r="D6" s="34">
        <v>10.0</v>
      </c>
      <c r="E6" s="35"/>
      <c r="F6" s="35"/>
      <c r="G6" s="40">
        <v>20.0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2" t="s">
        <v>16</v>
      </c>
      <c r="AJ6" s="41" t="s">
        <v>17</v>
      </c>
      <c r="AK6" s="42" t="s">
        <v>22</v>
      </c>
      <c r="AL6" s="43">
        <v>100.0</v>
      </c>
      <c r="AM6" s="43">
        <v>80.0</v>
      </c>
      <c r="AN6" s="41"/>
      <c r="AO6" s="41"/>
      <c r="AP6" s="41"/>
      <c r="AQ6" s="43">
        <v>10.0</v>
      </c>
      <c r="AR6" s="43">
        <v>10.0</v>
      </c>
      <c r="AS6" s="41" t="s">
        <v>23</v>
      </c>
      <c r="AT6" s="41" t="s">
        <v>18</v>
      </c>
      <c r="AU6" s="41" t="s">
        <v>24</v>
      </c>
      <c r="AV6" s="45">
        <v>800.0</v>
      </c>
      <c r="AW6" s="45">
        <v>800.0</v>
      </c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RemoveManualExecution!$4:$4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/>
      <c r="C6" s="35"/>
      <c r="D6" s="34">
        <v>10.0</v>
      </c>
      <c r="E6" s="35"/>
      <c r="F6" s="35"/>
      <c r="G6" s="40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2" t="s">
        <v>16</v>
      </c>
      <c r="AJ6" s="41" t="s">
        <v>17</v>
      </c>
      <c r="AK6" s="42" t="s">
        <v>38</v>
      </c>
      <c r="AL6" s="41">
        <v>100.0</v>
      </c>
      <c r="AM6" s="43"/>
      <c r="AN6" s="43"/>
      <c r="AO6" s="41"/>
      <c r="AP6" s="44"/>
      <c r="AQ6" s="43">
        <v>10.0</v>
      </c>
      <c r="AR6" s="43">
        <v>10.0</v>
      </c>
      <c r="AS6" s="41" t="s">
        <v>23</v>
      </c>
      <c r="AT6" s="41" t="s">
        <v>18</v>
      </c>
      <c r="AU6" s="41" t="s">
        <v>24</v>
      </c>
      <c r="AV6" s="45"/>
      <c r="AW6" s="45"/>
      <c r="AX6" s="41"/>
      <c r="AY6" s="46"/>
      <c r="AZ6" s="46"/>
      <c r="BA6" s="41"/>
      <c r="BB6" s="41"/>
      <c r="BC6" s="41"/>
      <c r="BD6" s="41"/>
      <c r="BE6" s="41"/>
    </row>
    <row r="7" ht="15.75" customHeight="1">
      <c r="A7" s="8"/>
      <c r="B7" s="35"/>
      <c r="C7" s="35"/>
      <c r="D7" s="34">
        <v>12.0</v>
      </c>
      <c r="E7" s="35"/>
      <c r="F7" s="35"/>
      <c r="G7" s="40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2" t="s">
        <v>16</v>
      </c>
      <c r="AJ7" s="42" t="s">
        <v>19</v>
      </c>
      <c r="AK7" s="42" t="s">
        <v>25</v>
      </c>
      <c r="AL7" s="45">
        <v>80.0</v>
      </c>
      <c r="AM7" s="43">
        <v>80.0</v>
      </c>
      <c r="AN7" s="43">
        <v>100.0</v>
      </c>
      <c r="AO7" s="41"/>
      <c r="AP7" s="41"/>
      <c r="AQ7" s="43">
        <v>12.0</v>
      </c>
      <c r="AR7" s="43">
        <v>12.0</v>
      </c>
      <c r="AS7" s="41" t="s">
        <v>23</v>
      </c>
      <c r="AT7" s="41" t="s">
        <v>18</v>
      </c>
      <c r="AU7" s="41" t="s">
        <v>24</v>
      </c>
      <c r="AV7" s="45">
        <v>-960.0</v>
      </c>
      <c r="AW7" s="45">
        <v>-960.0</v>
      </c>
      <c r="AX7" s="41"/>
      <c r="AY7" s="46"/>
      <c r="AZ7" s="46"/>
      <c r="BA7" s="41"/>
      <c r="BB7" s="41"/>
      <c r="BC7" s="41"/>
      <c r="BD7" s="41"/>
      <c r="BE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16</v>
      </c>
      <c r="C6" s="38" t="s">
        <v>19</v>
      </c>
      <c r="D6" s="34">
        <v>80.0</v>
      </c>
      <c r="E6" s="34">
        <v>80.0</v>
      </c>
      <c r="F6" s="36">
        <v>0.0</v>
      </c>
      <c r="G6" s="32" t="s">
        <v>25</v>
      </c>
      <c r="H6" s="35"/>
      <c r="I6" s="36">
        <v>12.0</v>
      </c>
      <c r="J6" s="36">
        <v>12.0</v>
      </c>
      <c r="K6" s="32" t="s">
        <v>23</v>
      </c>
      <c r="L6" s="32" t="s">
        <v>18</v>
      </c>
      <c r="M6" s="32" t="s">
        <v>24</v>
      </c>
      <c r="N6" s="35"/>
      <c r="O6" s="36">
        <v>12.0</v>
      </c>
      <c r="P6" s="35"/>
      <c r="Q6" s="35"/>
      <c r="R6" s="35"/>
      <c r="S6" s="35"/>
      <c r="T6" s="41"/>
      <c r="U6" s="41"/>
      <c r="V6" s="41"/>
      <c r="W6" s="41"/>
      <c r="X6" s="41"/>
      <c r="Y6" s="41"/>
      <c r="Z6" s="41"/>
      <c r="AA6" s="41"/>
      <c r="AB6" s="41"/>
      <c r="AC6" s="45">
        <v>-960.0</v>
      </c>
      <c r="AD6" s="45">
        <v>-960.0</v>
      </c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/>
      <c r="E6" s="4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IFERROR(__xludf.DUMMYFUNCTION("""COMPUTED_VALUE"""),"IsManualGroup")</f>
        <v>IsManualGroup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4" t="s">
        <v>18</v>
      </c>
      <c r="C6" s="55"/>
      <c r="D6" s="56">
        <v>0.0</v>
      </c>
      <c r="E6" s="57">
        <v>80.0</v>
      </c>
      <c r="F6" s="55"/>
      <c r="G6" s="54" t="s">
        <v>30</v>
      </c>
      <c r="H6" s="56">
        <v>4.0</v>
      </c>
      <c r="I6" s="56">
        <v>5.0</v>
      </c>
      <c r="J6" s="56">
        <v>1.0</v>
      </c>
      <c r="K6" s="56">
        <v>12.0</v>
      </c>
      <c r="L6" s="56">
        <v>12.0</v>
      </c>
      <c r="M6" s="54" t="s">
        <v>43</v>
      </c>
      <c r="N6" s="55"/>
      <c r="O6" s="55"/>
      <c r="P6" s="55"/>
      <c r="Q6" s="55"/>
      <c r="R6" s="55"/>
      <c r="S6" s="58" t="s">
        <v>44</v>
      </c>
      <c r="T6" s="59">
        <v>0.0</v>
      </c>
      <c r="U6" s="59">
        <v>0.0</v>
      </c>
      <c r="V6" s="60" t="s">
        <v>45</v>
      </c>
      <c r="W6" s="59">
        <v>1.0</v>
      </c>
      <c r="X6" s="61"/>
      <c r="Y6" s="61"/>
      <c r="Z6" s="60" t="s">
        <v>34</v>
      </c>
      <c r="AA6" s="61"/>
      <c r="AB6" s="59">
        <v>1.0</v>
      </c>
      <c r="AC6" s="61"/>
      <c r="AD6" s="60" t="s">
        <v>33</v>
      </c>
      <c r="AE6" s="62">
        <v>80.0</v>
      </c>
      <c r="AF6" s="61"/>
      <c r="AG6" s="61"/>
      <c r="AH6" s="61" t="s">
        <v>46</v>
      </c>
      <c r="AI6" s="59">
        <v>1.0</v>
      </c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3">
        <v>946.0</v>
      </c>
      <c r="AU6" s="63">
        <v>946.0</v>
      </c>
      <c r="AV6" s="61"/>
      <c r="AW6" s="59">
        <v>0.0</v>
      </c>
      <c r="AX6" s="61"/>
      <c r="AY6" s="61"/>
      <c r="AZ6" s="59">
        <v>0.0</v>
      </c>
      <c r="BA6" s="61"/>
      <c r="BB6" s="61"/>
      <c r="BC6" s="61"/>
      <c r="BD6" s="61"/>
      <c r="BE6" s="62">
        <v>960.0</v>
      </c>
      <c r="BF6" s="62">
        <v>960.0</v>
      </c>
      <c r="BG6" s="61"/>
      <c r="BH6" s="61"/>
      <c r="BI6" s="61"/>
      <c r="BJ6" s="62">
        <v>80.0</v>
      </c>
      <c r="BK6" s="59">
        <v>0.0</v>
      </c>
      <c r="BL6" s="61"/>
      <c r="BM6" s="60" t="s">
        <v>34</v>
      </c>
      <c r="BN6" s="61"/>
      <c r="BO6" s="64" t="s">
        <v>19</v>
      </c>
      <c r="BP6" s="59">
        <v>0.0</v>
      </c>
      <c r="BQ6" s="59">
        <v>0.0</v>
      </c>
      <c r="BR6" s="61"/>
      <c r="BS6" s="61"/>
      <c r="BT6" s="60" t="s">
        <v>16</v>
      </c>
      <c r="BU6" s="59">
        <v>3.0</v>
      </c>
      <c r="BV6" s="59">
        <v>0.0</v>
      </c>
      <c r="BW6" s="59"/>
      <c r="BX6" s="61"/>
      <c r="BY6" s="61"/>
      <c r="BZ6" s="61"/>
      <c r="CA6" s="61"/>
      <c r="CB6" s="61"/>
      <c r="CC6" s="61"/>
      <c r="CD6" s="61"/>
      <c r="CE6" s="61"/>
      <c r="CF6" s="61"/>
      <c r="CG6" s="61"/>
      <c r="CH6" s="60"/>
      <c r="CI6" s="60"/>
      <c r="CJ6" s="61"/>
      <c r="CK6" s="60" t="s">
        <v>47</v>
      </c>
      <c r="CL6" s="59">
        <v>1.0</v>
      </c>
      <c r="CM6" s="60" t="s">
        <v>16</v>
      </c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41"/>
      <c r="CY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13"/>
      <c r="B6" s="65"/>
      <c r="C6" s="65" t="s">
        <v>16</v>
      </c>
      <c r="D6" s="66">
        <v>80.0</v>
      </c>
      <c r="E6" s="65" t="s">
        <v>18</v>
      </c>
      <c r="F6" s="65" t="s">
        <v>50</v>
      </c>
      <c r="G6" s="66">
        <v>10.0</v>
      </c>
      <c r="H6" s="65" t="s">
        <v>51</v>
      </c>
      <c r="I6" s="52">
        <v>0.0</v>
      </c>
      <c r="J6" s="65"/>
      <c r="K6" s="52">
        <v>0.0</v>
      </c>
      <c r="L6" s="65"/>
      <c r="M6" s="65"/>
      <c r="N6" s="66">
        <v>-800.0</v>
      </c>
      <c r="O6" s="65"/>
      <c r="P6" s="65" t="s">
        <v>52</v>
      </c>
      <c r="Q6" s="67">
        <v>-800.0</v>
      </c>
      <c r="R6" s="65"/>
      <c r="S6" s="65"/>
      <c r="T6" s="46" t="s">
        <v>30</v>
      </c>
      <c r="U6" s="46" t="s">
        <v>47</v>
      </c>
      <c r="V6" s="46" t="s">
        <v>33</v>
      </c>
      <c r="W6" s="46" t="s">
        <v>34</v>
      </c>
      <c r="X6" s="46"/>
      <c r="Y6" s="68">
        <v>1.0</v>
      </c>
      <c r="Z6" s="46"/>
      <c r="AA6" s="46"/>
      <c r="AB6" s="68">
        <v>0.0</v>
      </c>
      <c r="AC6" s="68">
        <v>0.0</v>
      </c>
      <c r="AD6" s="68">
        <v>0.0</v>
      </c>
      <c r="AE6" s="68">
        <v>0.0</v>
      </c>
      <c r="AF6" s="45">
        <v>80.0</v>
      </c>
      <c r="AG6" s="68">
        <v>0.0</v>
      </c>
      <c r="AH6" s="68">
        <v>0.0</v>
      </c>
      <c r="AI6" s="68">
        <v>0.0</v>
      </c>
      <c r="AJ6" s="68">
        <v>0.0</v>
      </c>
      <c r="AK6" s="45">
        <v>-800.0</v>
      </c>
      <c r="AL6" s="68">
        <v>1.0</v>
      </c>
      <c r="AM6" s="68">
        <v>1.0</v>
      </c>
      <c r="AN6" s="46" t="s">
        <v>17</v>
      </c>
      <c r="AO6" s="46"/>
      <c r="AP6" s="46" t="s">
        <v>32</v>
      </c>
      <c r="AQ6" s="46" t="s">
        <v>16</v>
      </c>
      <c r="AR6" s="68">
        <v>0.0</v>
      </c>
      <c r="AS6" s="68">
        <v>1.0</v>
      </c>
      <c r="AT6" s="46"/>
      <c r="AU6" s="46"/>
      <c r="AV6" s="68">
        <v>1.0</v>
      </c>
      <c r="AW6" s="45">
        <v>-800.0</v>
      </c>
      <c r="AX6" s="68">
        <v>0.0</v>
      </c>
      <c r="AY6" s="68">
        <v>0.0</v>
      </c>
      <c r="AZ6" s="68">
        <v>0.0</v>
      </c>
      <c r="BA6" s="68">
        <v>-100.0</v>
      </c>
      <c r="BB6" s="46"/>
      <c r="BC6" s="68">
        <v>1.0</v>
      </c>
      <c r="BD6" s="45">
        <v>-800.0</v>
      </c>
      <c r="BE6" s="46"/>
      <c r="BF6" s="46"/>
      <c r="BG6" s="46"/>
      <c r="BH6" s="46"/>
      <c r="BI6" s="46"/>
      <c r="BJ6" s="68">
        <v>0.0</v>
      </c>
      <c r="BK6" s="68">
        <v>0.0</v>
      </c>
      <c r="BL6" s="68">
        <v>0.0</v>
      </c>
      <c r="BM6" s="68">
        <v>0.0</v>
      </c>
      <c r="BN6" s="46"/>
      <c r="BO6" s="45">
        <v>-800.0</v>
      </c>
      <c r="BP6" s="46"/>
      <c r="BQ6" s="46"/>
      <c r="BR6" s="46"/>
      <c r="BS6" s="68">
        <v>0.0</v>
      </c>
      <c r="BT6" s="68">
        <v>0.0</v>
      </c>
      <c r="BU6" s="46" t="s">
        <v>30</v>
      </c>
      <c r="BV6" s="46"/>
      <c r="BW6" s="68">
        <v>0.0</v>
      </c>
      <c r="BX6" s="68">
        <v>0.0</v>
      </c>
      <c r="BY6" s="68">
        <v>0.0</v>
      </c>
      <c r="BZ6" s="68">
        <v>0.0</v>
      </c>
      <c r="CA6" s="68">
        <v>0.0</v>
      </c>
      <c r="CB6" s="46"/>
      <c r="CC6" s="68">
        <v>0.0</v>
      </c>
      <c r="CD6" s="45">
        <v>-800.0</v>
      </c>
      <c r="CE6" s="68">
        <v>0.0</v>
      </c>
      <c r="CF6" s="68">
        <v>0.0</v>
      </c>
      <c r="CG6" s="45">
        <v>-800.0</v>
      </c>
      <c r="CH6" s="68">
        <v>-100.0</v>
      </c>
      <c r="CI6" s="68">
        <v>0.0</v>
      </c>
      <c r="CJ6" s="68">
        <v>0.0</v>
      </c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6"/>
      <c r="DG6" s="46"/>
      <c r="DH6" s="46"/>
      <c r="DI6" s="46"/>
      <c r="DJ6" s="46"/>
      <c r="DK6" s="46"/>
      <c r="DL6" s="46"/>
      <c r="DM6" s="46"/>
      <c r="DN6" s="46"/>
      <c r="DO6" s="46"/>
      <c r="DP6" s="46"/>
      <c r="DQ6" s="46"/>
      <c r="DR6" s="46"/>
      <c r="DS6" s="46"/>
      <c r="DT6" s="46"/>
      <c r="DU6" s="46"/>
      <c r="DV6" s="46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</row>
    <row r="7" ht="15.75" customHeight="1">
      <c r="A7" s="8"/>
      <c r="B7" s="65"/>
      <c r="C7" s="65" t="s">
        <v>16</v>
      </c>
      <c r="D7" s="66">
        <v>-80.0</v>
      </c>
      <c r="E7" s="65" t="s">
        <v>18</v>
      </c>
      <c r="F7" s="65" t="s">
        <v>50</v>
      </c>
      <c r="G7" s="52">
        <v>12.0</v>
      </c>
      <c r="H7" s="65" t="s">
        <v>51</v>
      </c>
      <c r="I7" s="52">
        <v>0.0</v>
      </c>
      <c r="J7" s="65"/>
      <c r="K7" s="52">
        <v>0.0</v>
      </c>
      <c r="L7" s="65"/>
      <c r="M7" s="65"/>
      <c r="N7" s="66">
        <v>960.0</v>
      </c>
      <c r="O7" s="65"/>
      <c r="P7" s="65" t="s">
        <v>52</v>
      </c>
      <c r="Q7" s="67">
        <v>960.0</v>
      </c>
      <c r="R7" s="65"/>
      <c r="S7" s="65"/>
      <c r="T7" s="46" t="s">
        <v>30</v>
      </c>
      <c r="U7" s="46" t="s">
        <v>47</v>
      </c>
      <c r="V7" s="46" t="s">
        <v>33</v>
      </c>
      <c r="W7" s="46" t="s">
        <v>34</v>
      </c>
      <c r="X7" s="46"/>
      <c r="Y7" s="68">
        <v>1.0</v>
      </c>
      <c r="Z7" s="46"/>
      <c r="AA7" s="46"/>
      <c r="AB7" s="68">
        <v>0.0</v>
      </c>
      <c r="AC7" s="68">
        <v>0.0</v>
      </c>
      <c r="AD7" s="68">
        <v>0.0</v>
      </c>
      <c r="AE7" s="68">
        <v>0.0</v>
      </c>
      <c r="AF7" s="45">
        <v>-80.0</v>
      </c>
      <c r="AG7" s="68">
        <v>0.0</v>
      </c>
      <c r="AH7" s="68">
        <v>0.0</v>
      </c>
      <c r="AI7" s="68">
        <v>0.0</v>
      </c>
      <c r="AJ7" s="68">
        <v>0.0</v>
      </c>
      <c r="AK7" s="45">
        <v>960.0</v>
      </c>
      <c r="AL7" s="68">
        <v>1.0</v>
      </c>
      <c r="AM7" s="68">
        <v>1.0</v>
      </c>
      <c r="AN7" s="69" t="s">
        <v>19</v>
      </c>
      <c r="AO7" s="46"/>
      <c r="AP7" s="46" t="s">
        <v>32</v>
      </c>
      <c r="AQ7" s="46" t="s">
        <v>16</v>
      </c>
      <c r="AR7" s="68">
        <v>0.0</v>
      </c>
      <c r="AS7" s="45">
        <v>-1.0</v>
      </c>
      <c r="AT7" s="46"/>
      <c r="AU7" s="46"/>
      <c r="AV7" s="68">
        <v>1.0</v>
      </c>
      <c r="AW7" s="45">
        <v>960.0</v>
      </c>
      <c r="AX7" s="68">
        <v>0.0</v>
      </c>
      <c r="AY7" s="68">
        <v>0.0</v>
      </c>
      <c r="AZ7" s="68">
        <v>0.0</v>
      </c>
      <c r="BA7" s="45">
        <v>100.0</v>
      </c>
      <c r="BB7" s="46"/>
      <c r="BC7" s="68">
        <v>1.0</v>
      </c>
      <c r="BD7" s="45">
        <v>960.0</v>
      </c>
      <c r="BE7" s="46"/>
      <c r="BF7" s="46"/>
      <c r="BG7" s="46"/>
      <c r="BH7" s="46"/>
      <c r="BI7" s="46"/>
      <c r="BJ7" s="68">
        <v>0.0</v>
      </c>
      <c r="BK7" s="68">
        <v>0.0</v>
      </c>
      <c r="BL7" s="68">
        <v>0.0</v>
      </c>
      <c r="BM7" s="68">
        <v>0.0</v>
      </c>
      <c r="BN7" s="46"/>
      <c r="BO7" s="45">
        <v>960.0</v>
      </c>
      <c r="BP7" s="46"/>
      <c r="BQ7" s="46"/>
      <c r="BR7" s="46"/>
      <c r="BS7" s="68">
        <v>0.0</v>
      </c>
      <c r="BT7" s="68">
        <v>0.0</v>
      </c>
      <c r="BU7" s="46" t="s">
        <v>30</v>
      </c>
      <c r="BV7" s="46"/>
      <c r="BW7" s="68">
        <v>0.0</v>
      </c>
      <c r="BX7" s="68">
        <v>0.0</v>
      </c>
      <c r="BY7" s="68">
        <v>0.0</v>
      </c>
      <c r="BZ7" s="68">
        <v>0.0</v>
      </c>
      <c r="CA7" s="68">
        <v>0.0</v>
      </c>
      <c r="CB7" s="46"/>
      <c r="CC7" s="68">
        <v>0.0</v>
      </c>
      <c r="CD7" s="45">
        <v>960.0</v>
      </c>
      <c r="CE7" s="68">
        <v>0.0</v>
      </c>
      <c r="CF7" s="68">
        <v>0.0</v>
      </c>
      <c r="CG7" s="45">
        <v>960.0</v>
      </c>
      <c r="CH7" s="45">
        <v>100.0</v>
      </c>
      <c r="CI7" s="68">
        <v>0.0</v>
      </c>
      <c r="CJ7" s="68">
        <v>0.0</v>
      </c>
      <c r="CK7" s="46"/>
      <c r="CL7" s="46"/>
      <c r="CM7" s="46"/>
      <c r="CN7" s="46"/>
      <c r="CO7" s="46"/>
      <c r="CP7" s="46"/>
      <c r="CQ7" s="46"/>
      <c r="CR7" s="46"/>
      <c r="CS7" s="46"/>
      <c r="CT7" s="4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  <c r="DK7" s="46"/>
      <c r="DL7" s="46"/>
      <c r="DM7" s="46"/>
      <c r="DN7" s="46"/>
      <c r="DO7" s="46"/>
      <c r="DP7" s="46"/>
      <c r="DQ7" s="46"/>
      <c r="DR7" s="46"/>
      <c r="DS7" s="46"/>
      <c r="DT7" s="46"/>
      <c r="DU7" s="46"/>
      <c r="DV7" s="46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