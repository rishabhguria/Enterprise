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SelectTrade2" sheetId="10" r:id="rId12"/>
    <sheet state="visible" name="AcknowledgeTrade2" sheetId="11" r:id="rId13"/>
    <sheet state="visible" name="ReplaceSubOrder" sheetId="12" r:id="rId14"/>
    <sheet state="visible" name="CreateReplaceOrder" sheetId="13" r:id="rId15"/>
    <sheet state="visible" name="CreateComplianceOrder" sheetId="14" r:id="rId16"/>
    <sheet state="visible" name="VerifyComplianceOrder" sheetId="15" r:id="rId17"/>
    <sheet state="visible" name="ReplaceSubOrder1" sheetId="16" r:id="rId18"/>
    <sheet state="visible" name="SelectTradeOnOrderGrid" sheetId="17" r:id="rId19"/>
    <sheet state="visible" name="SelectTradeOnOrderGrid1" sheetId="18" r:id="rId20"/>
    <sheet state="visible" name="SelectTrade3" sheetId="19" r:id="rId21"/>
    <sheet state="visible" name="AcknowledgeTrade3" sheetId="20" r:id="rId22"/>
    <sheet state="visible" name="CreateLiveOrder1" sheetId="21" r:id="rId23"/>
    <sheet state="visible" name="EditInterceptorFile" sheetId="22" r:id="rId24"/>
    <sheet state="visible" name="SetComplianceAlert" sheetId="23" r:id="rId25"/>
    <sheet state="visible" name="TradeNewSubOrder" sheetId="24" r:id="rId26"/>
    <sheet state="visible" name="CreateNewSubOrder" sheetId="25" r:id="rId27"/>
    <sheet state="visible" name="CreateStageOrder" sheetId="26" r:id="rId28"/>
    <sheet state="visible" name="CreateNewSubLiveOrder" sheetId="27" r:id="rId29"/>
    <sheet state="visible" name="SelectTrade6" sheetId="28" r:id="rId30"/>
  </sheets>
  <definedNames/>
  <calcPr/>
</workbook>
</file>

<file path=xl/sharedStrings.xml><?xml version="1.0" encoding="utf-8"?>
<sst xmlns="http://schemas.openxmlformats.org/spreadsheetml/2006/main" count="292" uniqueCount="69">
  <si>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</si>
  <si>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</si>
  <si>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</si>
  <si>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</si>
  <si>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</si>
  <si>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</si>
  <si>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</si>
  <si>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</si>
  <si>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</si>
  <si>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</si>
  <si>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</si>
  <si>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</si>
  <si>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</si>
  <si>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</si>
  <si>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</si>
  <si>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</si>
  <si>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</si>
  <si>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</si>
  <si>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Yes</t>
  </si>
  <si>
    <t>Simulator</t>
  </si>
  <si>
    <t>SelectTrade</t>
  </si>
  <si>
    <t>AcknowledgeTrade</t>
  </si>
  <si>
    <t>ExecuteTrade</t>
  </si>
  <si>
    <t>Sell</t>
  </si>
  <si>
    <t>Blotter</t>
  </si>
  <si>
    <t>ReplaceSubOrder</t>
  </si>
  <si>
    <t>New</t>
  </si>
  <si>
    <t>Allocation1</t>
  </si>
  <si>
    <t>CreateReplaceOrder</t>
  </si>
  <si>
    <t>CreateComplianceOrder</t>
  </si>
  <si>
    <t>Replace</t>
  </si>
  <si>
    <t>VerifyComplianceOrder</t>
  </si>
  <si>
    <t>Soft</t>
  </si>
  <si>
    <t>Order Side Check</t>
  </si>
  <si>
    <t>The Order Side Sell is invalid for this trade</t>
  </si>
  <si>
    <t>Allocation1-AAPL</t>
  </si>
  <si>
    <t>Order Side: Sell, Symbol: AAPL, Account: Allocation1, Quantity before trade: 500.00, Order quantity: -601.00, Quantity if trade is executed: -101.00</t>
  </si>
  <si>
    <t>Account-sym-AJ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</si>
  <si>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</si>
  <si>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Multiple</t>
  </si>
  <si>
    <t>quantity: -101.00, selectedFeedPrice: 0.00, dayPnLBase: 2,020.00, dayPnLLocal: 2,020.00, costBasisPnLBase: 2,020.00, costBasisPnLLocal: 2,020.00, netMarketValueBase: 0.00, netMarketValueLocal: 0.00, grossExposureBase: 0.00, grossExposureLocal: 0.00, AccountShortName: Allocation1, Symbol: AAPL</t>
  </si>
  <si>
    <t>Shareoutstanding-mf-Aj</t>
  </si>
  <si>
    <t>If Master Fund Name matches " NewMF", Quantity greater than ( 0.015*n.shares Outstanding ) or quantity less than ( -0.015*n.shares Outstanding ) or shares Outstanding not equals to ( 0 ), Then block the trade.</t>
  </si>
  <si>
    <t>NewMF-AAPL</t>
  </si>
  <si>
    <t>masterFundName: NewMF, quantity: -101.00, sharesOutstanding: 0.00, Symbol: AAPL</t>
  </si>
  <si>
    <t>MasterFund-Aj</t>
  </si>
  <si>
    <t>If Quantity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Market Value Base not equals to -100, Gross Market Value Local not equals to -100, Then block the trade.</t>
  </si>
  <si>
    <t>quantity: -101.00, selectedFeedPrice: 0.00, dayPnLBase: 2,020.00, dayPnLLocal: 2,020.00, costBasisPnLBase: 2,020.00, costBasisPnLLocal: 2,020.00, netMarketValueBase: 0.00, netMarketValueLocal: 0.00, grossMarketValueBase: 0.00, grossMarketValueLocal: 0.00, MasterFundName: NewMF, Symbol: AAPL</t>
  </si>
  <si>
    <t>Symbol-Aj</t>
  </si>
  <si>
    <t>quantity: -101.00, selectedFeedPrice: 0.00, dayPnLBase: 2,020.00, dayPnLLocal: 2,020.00, costBasisPnLBase: 2,020.00, costBasisPnLLocal: 2,020.00, netMarketValueBase: 0.00, netMarketValueLocal: 0.00, grossMarketValueBase: 0.00, grossMarketValueLocal: 0.00, Symbol: AAPL</t>
  </si>
  <si>
    <t>Trade level-AJ</t>
  </si>
  <si>
    <t>If Quantity not equals to -100, Avg Price not equals to -100, Selected Feed Price not equals to -100, Day PnL Base not equals to -100, Day PnL Local not equals to -100, Cost Basis PnL Base not equals to -100, Cost Basis PnL Local not equals to -100, Net Market Value Base not equals to -100, Net Market Value Local not equals to -100, Gross Exposure Base not equals to -100, Gross Exposure Local not equals to -100, Then block the trade.</t>
  </si>
  <si>
    <t>quantity: 601.00, avgPrice: 20.00, selectedFeedPrice: 0.00, dayPnLBase: 12,020.00, dayPnLLocal: 12,020.00, costBasisPnLBase: 12,020.00, costBasisPnLLocal: 12,020.00, netMarketValueBase: -0.00, netMarketValueLocal: -0.00, grossExposureBase: 0.00, grossExposureLocal: 0.00, Symbol: AAPL</t>
  </si>
  <si>
    <t>Restricted List-Aj</t>
  </si>
  <si>
    <t>If Symbol equals to "A" or symbol equals to "EC" or symbol equals to "AAPL" or symbol equals to "ZVZZT" or symbol equals to "FRU-TC" or symbol equals to "XYZ", Then block the trade.</t>
  </si>
  <si>
    <t>N/A</t>
  </si>
  <si>
    <t>symbol: AAPL</t>
  </si>
  <si>
    <t>Replaced</t>
  </si>
  <si>
    <t>SelectTradeOnOrderGrid</t>
  </si>
  <si>
    <t>Compliance</t>
  </si>
  <si>
    <t>EditInterceptorFile</t>
  </si>
  <si>
    <t>AAPL,,,,,,,,,,,,,,,,,0</t>
  </si>
  <si>
    <t>Admin</t>
  </si>
  <si>
    <t>SetComplianceAlert</t>
  </si>
  <si>
    <t>TradeNewSubOrder</t>
  </si>
  <si>
    <t>Market</t>
  </si>
  <si>
    <t>CreateNewSubOrder</t>
  </si>
  <si>
    <t>CreateStageOrder</t>
  </si>
  <si>
    <t>CreateNewSubLiveOrder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</si>
</sst>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535353"/>
      </right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6" fontId="13" numFmtId="0" xfId="0" applyAlignment="1" applyBorder="1" applyFill="1" applyFont="1">
      <alignment horizontal="left" readingOrder="0" shrinkToFit="0" vertical="top" wrapText="0"/>
    </xf>
    <xf borderId="6" fillId="7" fontId="14" numFmtId="0" xfId="0" applyAlignment="1" applyBorder="1" applyFill="1" applyFont="1">
      <alignment horizontal="left" readingOrder="0" shrinkToFit="0" vertical="top" wrapText="0"/>
    </xf>
    <xf borderId="5" fillId="0" fontId="3" numFmtId="0" xfId="0" applyAlignment="1" applyBorder="1" applyFont="1">
      <alignment vertical="bottom"/>
    </xf>
    <xf borderId="6" fillId="8" fontId="14" numFmtId="0" xfId="0" applyAlignment="1" applyBorder="1" applyFill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500.0</v>
      </c>
      <c r="E6" s="32"/>
      <c r="F6" s="32"/>
      <c r="G6" s="32"/>
      <c r="H6" s="32"/>
      <c r="I6" s="32"/>
      <c r="J6" s="34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 t="s">
        <v>18</v>
      </c>
      <c r="AP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5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5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20.0</v>
      </c>
      <c r="C6" s="13">
        <v>500.0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5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5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16</v>
      </c>
      <c r="D6" s="13"/>
      <c r="E6" s="35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16</v>
      </c>
      <c r="D6" s="13"/>
      <c r="E6" s="35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 t="s">
        <v>16</v>
      </c>
      <c r="AK6" s="32" t="s">
        <v>23</v>
      </c>
      <c r="AL6" s="36" t="s">
        <v>26</v>
      </c>
      <c r="AM6" s="37">
        <v>500.0</v>
      </c>
      <c r="AN6" s="38"/>
      <c r="AO6" s="32"/>
      <c r="AP6" s="32"/>
      <c r="AQ6" s="32"/>
      <c r="AR6" s="32"/>
      <c r="AS6" s="32"/>
      <c r="AT6" s="32"/>
      <c r="AU6" s="36" t="s">
        <v>27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16</v>
      </c>
      <c r="C6" s="36" t="s">
        <v>23</v>
      </c>
      <c r="D6" s="33">
        <v>501.0</v>
      </c>
      <c r="E6" s="32"/>
      <c r="F6" s="32"/>
      <c r="G6" s="32"/>
      <c r="H6" s="32"/>
      <c r="I6" s="32"/>
      <c r="J6" s="36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 t="s">
        <v>18</v>
      </c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601.0</v>
      </c>
      <c r="E6" s="32"/>
      <c r="F6" s="32"/>
      <c r="G6" s="32"/>
      <c r="H6" s="32"/>
      <c r="I6" s="32"/>
      <c r="J6" s="36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 t="s">
        <v>30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 t="s">
        <v>32</v>
      </c>
      <c r="C6" s="41" t="s">
        <v>33</v>
      </c>
      <c r="D6" s="41" t="s">
        <v>34</v>
      </c>
      <c r="E6" s="41" t="s">
        <v>35</v>
      </c>
      <c r="F6" s="41">
        <v>500.0</v>
      </c>
      <c r="G6" s="41">
        <v>-101.0</v>
      </c>
      <c r="H6" s="41" t="s">
        <v>36</v>
      </c>
      <c r="I6" s="32"/>
      <c r="J6" s="32"/>
      <c r="K6" s="32" t="s">
        <v>18</v>
      </c>
      <c r="L6" s="32"/>
      <c r="M6" s="32" t="s">
        <v>30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42"/>
      <c r="B7" s="40" t="s">
        <v>32</v>
      </c>
      <c r="C7" s="43" t="s">
        <v>37</v>
      </c>
      <c r="D7" s="43" t="s">
        <v>38</v>
      </c>
      <c r="E7" s="43" t="s">
        <v>35</v>
      </c>
      <c r="F7" s="43" t="s">
        <v>39</v>
      </c>
      <c r="G7" s="43" t="s">
        <v>39</v>
      </c>
      <c r="H7" s="43" t="s">
        <v>40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42"/>
      <c r="B8" s="40" t="s">
        <v>32</v>
      </c>
      <c r="C8" s="43" t="s">
        <v>41</v>
      </c>
      <c r="D8" s="43" t="s">
        <v>42</v>
      </c>
      <c r="E8" s="43" t="s">
        <v>43</v>
      </c>
      <c r="F8" s="43">
        <v>0.0</v>
      </c>
      <c r="G8" s="43">
        <v>-101.0</v>
      </c>
      <c r="H8" s="43" t="s">
        <v>44</v>
      </c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42"/>
      <c r="B9" s="40" t="s">
        <v>32</v>
      </c>
      <c r="C9" s="43" t="s">
        <v>45</v>
      </c>
      <c r="D9" s="43" t="s">
        <v>46</v>
      </c>
      <c r="E9" s="43" t="s">
        <v>43</v>
      </c>
      <c r="F9" s="43" t="s">
        <v>39</v>
      </c>
      <c r="G9" s="43" t="s">
        <v>39</v>
      </c>
      <c r="H9" s="43" t="s">
        <v>47</v>
      </c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42"/>
      <c r="B10" s="40" t="s">
        <v>32</v>
      </c>
      <c r="C10" s="43" t="s">
        <v>48</v>
      </c>
      <c r="D10" s="43" t="s">
        <v>46</v>
      </c>
      <c r="E10" s="43" t="s">
        <v>16</v>
      </c>
      <c r="F10" s="43" t="s">
        <v>39</v>
      </c>
      <c r="G10" s="43" t="s">
        <v>39</v>
      </c>
      <c r="H10" s="43" t="s">
        <v>49</v>
      </c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42"/>
      <c r="B11" s="40" t="s">
        <v>32</v>
      </c>
      <c r="C11" s="41" t="s">
        <v>50</v>
      </c>
      <c r="D11" s="41" t="s">
        <v>51</v>
      </c>
      <c r="E11" s="41" t="s">
        <v>16</v>
      </c>
      <c r="F11" s="41" t="s">
        <v>39</v>
      </c>
      <c r="G11" s="41" t="s">
        <v>39</v>
      </c>
      <c r="H11" s="41" t="s">
        <v>52</v>
      </c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42"/>
      <c r="B12" s="40" t="s">
        <v>32</v>
      </c>
      <c r="C12" s="43" t="s">
        <v>53</v>
      </c>
      <c r="D12" s="43" t="s">
        <v>54</v>
      </c>
      <c r="E12" s="43" t="s">
        <v>16</v>
      </c>
      <c r="F12" s="43" t="s">
        <v>55</v>
      </c>
      <c r="G12" s="43" t="s">
        <v>55</v>
      </c>
      <c r="H12" s="43" t="s">
        <v>56</v>
      </c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 t="s">
        <v>16</v>
      </c>
      <c r="AK6" s="32" t="s">
        <v>23</v>
      </c>
      <c r="AL6" s="32" t="s">
        <v>57</v>
      </c>
      <c r="AM6" s="38">
        <v>501.0</v>
      </c>
      <c r="AN6" s="38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/>
      <c r="C6" s="32"/>
      <c r="D6" s="31" t="s">
        <v>16</v>
      </c>
      <c r="E6" s="32"/>
      <c r="F6" s="32" t="s">
        <v>23</v>
      </c>
      <c r="G6" s="36" t="s">
        <v>26</v>
      </c>
      <c r="H6" s="37">
        <v>1000.0</v>
      </c>
      <c r="I6" s="38"/>
      <c r="J6" s="32"/>
      <c r="K6" s="32"/>
      <c r="L6" s="32"/>
      <c r="M6" s="32"/>
      <c r="N6" s="32"/>
      <c r="O6" s="32"/>
      <c r="P6" s="32"/>
      <c r="Q6" s="32"/>
      <c r="R6" s="9" t="s">
        <v>27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/>
      <c r="C6" s="32"/>
      <c r="D6" s="31" t="s">
        <v>16</v>
      </c>
      <c r="E6" s="32"/>
      <c r="F6" s="32" t="s">
        <v>23</v>
      </c>
      <c r="G6" s="36" t="s">
        <v>26</v>
      </c>
      <c r="H6" s="37">
        <v>1000.0</v>
      </c>
      <c r="I6" s="38"/>
      <c r="J6" s="32"/>
      <c r="K6" s="32"/>
      <c r="L6" s="32"/>
      <c r="M6" s="32"/>
      <c r="N6" s="32"/>
      <c r="O6" s="32"/>
      <c r="P6" s="32"/>
      <c r="Q6" s="32"/>
      <c r="R6" s="36" t="s">
        <v>27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16</v>
      </c>
      <c r="D6" s="13"/>
      <c r="E6" s="35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16</v>
      </c>
      <c r="D6" s="13"/>
      <c r="E6" s="35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2" t="s">
        <v>17</v>
      </c>
      <c r="D6" s="34">
        <v>100.0</v>
      </c>
      <c r="E6" s="34"/>
      <c r="F6" s="32"/>
      <c r="G6" s="32"/>
      <c r="H6" s="32"/>
      <c r="I6" s="32"/>
      <c r="J6" s="34">
        <v>20.0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 t="s">
        <v>18</v>
      </c>
      <c r="AP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 t="str">
        <f>IFERROR(__xludf.DUMMYFUNCTION("""COMPUTED_VALUE"""),"EditInterceptorFile")</f>
        <v>EditInterceptorFile</v>
      </c>
      <c r="AR4" s="26" t="str">
        <f>IFERROR(__xludf.DUMMYFUNCTION("""COMPUTED_VALUE"""),"ReplaceInterceptorFile")</f>
        <v>ReplaceInterceptorFile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IFERROR(__xludf.DUMMYFUNCTION("""COMPUTED_VALUE"""),"Interceptor Symbol Data")</f>
        <v>Interceptor Symbol Data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61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EditInterceptorFile!$4:$4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IFERROR(__xludf.DUMMYFUNCTION("""COMPUTED_VALUE"""),"ImportExportPath")</f>
        <v>ImportExportPath</v>
      </c>
      <c r="C5" s="28" t="str">
        <f>IFERROR(__xludf.DUMMYFUNCTION("""COMPUTED_VALUE"""),"PrePostCrossImport")</f>
        <v>PrePostCrossImport</v>
      </c>
      <c r="D5" s="28" t="str">
        <f>IFERROR(__xludf.DUMMYFUNCTION("""COMPUTED_VALUE"""),"InMarket")</f>
        <v>InMarket</v>
      </c>
      <c r="E5" s="28" t="str">
        <f>IFERROR(__xludf.DUMMYFUNCTION("""COMPUTED_VALUE"""),"InStage")</f>
        <v>InStage</v>
      </c>
      <c r="F5" s="29" t="str">
        <f>IFERROR(__xludf.DUMMYFUNCTION("""COMPUTED_VALUE"""),"PostInMarket")</f>
        <v>PostInMarket</v>
      </c>
      <c r="G5" s="28" t="str">
        <f>IFERROR(__xludf.DUMMYFUNCTION("""COMPUTED_VALUE"""),"PostInStage")</f>
        <v>PostInStage</v>
      </c>
      <c r="H5" s="28" t="str">
        <f>IFERROR(__xludf.DUMMYFUNCTION("""COMPUTED_VALUE"""),"BlockTradeOnComplianceFaliure")</f>
        <v>BlockTradeOnComplianceFaliure</v>
      </c>
      <c r="I5" s="28" t="str">
        <f>IFERROR(__xludf.DUMMYFUNCTION("""COMPUTED_VALUE"""),"StageValueFromField")</f>
        <v>StageValueFromField</v>
      </c>
      <c r="J5" s="28" t="str">
        <f>IFERROR(__xludf.DUMMYFUNCTION("""COMPUTED_VALUE"""),"StageValueFromFieldString")</f>
        <v>StageValueFromFieldString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 t="b">
        <v>1</v>
      </c>
      <c r="E6" s="13" t="b">
        <v>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23</v>
      </c>
      <c r="AK6" s="9" t="s">
        <v>26</v>
      </c>
      <c r="AL6" s="9">
        <v>1000.0</v>
      </c>
      <c r="AT6" s="9" t="s">
        <v>27</v>
      </c>
      <c r="AU6" s="9" t="s">
        <v>65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9" t="s">
        <v>16</v>
      </c>
      <c r="C6" s="9" t="s">
        <v>23</v>
      </c>
      <c r="D6" s="13">
        <v>500.0</v>
      </c>
      <c r="E6" s="8"/>
      <c r="F6" s="8"/>
      <c r="G6" s="8"/>
      <c r="H6" s="8"/>
      <c r="I6" s="8"/>
      <c r="J6" s="13">
        <v>20.0</v>
      </c>
      <c r="K6" s="8"/>
      <c r="L6" s="8"/>
      <c r="M6" s="8"/>
      <c r="N6" s="8"/>
      <c r="O6" s="8"/>
      <c r="AS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23</v>
      </c>
      <c r="D6" s="13">
        <v>1000.0</v>
      </c>
      <c r="E6" s="8"/>
      <c r="F6" s="13" t="s">
        <v>27</v>
      </c>
      <c r="G6" s="8"/>
      <c r="H6" s="8"/>
      <c r="I6" s="8"/>
      <c r="J6" s="13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23</v>
      </c>
      <c r="D6" s="13">
        <v>500.0</v>
      </c>
      <c r="E6" s="8"/>
      <c r="F6" s="13" t="s">
        <v>27</v>
      </c>
      <c r="G6" s="8"/>
      <c r="H6" s="8"/>
      <c r="I6" s="8"/>
      <c r="J6" s="13">
        <v>20.0</v>
      </c>
      <c r="K6" s="8"/>
      <c r="L6" s="8"/>
      <c r="M6" s="8"/>
      <c r="N6" s="8"/>
      <c r="O6" s="8"/>
      <c r="AS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23</v>
      </c>
      <c r="C6" s="13" t="s">
        <v>16</v>
      </c>
      <c r="D6" s="8"/>
      <c r="E6" s="8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SelectTrade6!$4:$4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