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4" activeTab="16"/>
  </bookViews>
  <sheets>
    <sheet name="_Modules" sheetId="1" r:id="rId1"/>
    <sheet name="_Settings" sheetId="2" r:id="rId2"/>
    <sheet name="_MasterData" sheetId="3" r:id="rId3"/>
    <sheet name="CreateDoneAwayOrder" sheetId="4" r:id="rId4"/>
    <sheet name="CheckPortfolioManagement" sheetId="5" r:id="rId5"/>
    <sheet name="GroupRowPM" sheetId="6" r:id="rId6"/>
    <sheet name="ClosePositionFromPM" sheetId="7" r:id="rId7"/>
    <sheet name="CreateDoneAwayOrder1" sheetId="8" r:id="rId8"/>
    <sheet name="GetDataClosing" sheetId="9" r:id="rId9"/>
    <sheet name="VerifyLongPositionsGrid" sheetId="10" r:id="rId10"/>
    <sheet name="VerifyShortPositionsGrid" sheetId="11" r:id="rId11"/>
    <sheet name="AutomaticClosing" sheetId="12" r:id="rId12"/>
    <sheet name="VerifyClosedTrades" sheetId="13" r:id="rId13"/>
    <sheet name="VerifyWorkingSubs" sheetId="14" r:id="rId14"/>
    <sheet name="GetDataAllocation" sheetId="15" r:id="rId15"/>
    <sheet name="CheckAllocatedGroups" sheetId="16" r:id="rId16"/>
    <sheet name="CheckPortfolioManagement1" sheetId="17" r:id="rId17"/>
  </sheets>
  <calcPr calcId="145621"/>
</workbook>
</file>

<file path=xl/calcChain.xml><?xml version="1.0" encoding="utf-8"?>
<calcChain xmlns="http://schemas.openxmlformats.org/spreadsheetml/2006/main">
  <c r="BK5" i="17" l="1"/>
  <c r="BK5" i="5"/>
  <c r="FB5" i="17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X4" i="17"/>
  <c r="P4" i="17"/>
  <c r="H4" i="17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L5" i="15"/>
  <c r="D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AX5" i="14"/>
  <c r="AP5" i="14"/>
  <c r="AH5" i="14"/>
  <c r="Z5" i="14"/>
  <c r="R5" i="14"/>
  <c r="J5" i="14"/>
  <c r="B5" i="14"/>
  <c r="AN4" i="14"/>
  <c r="AF4" i="14"/>
  <c r="X4" i="14"/>
  <c r="P4" i="14"/>
  <c r="H4" i="14"/>
  <c r="AG5" i="13"/>
  <c r="Y5" i="13"/>
  <c r="Q5" i="13"/>
  <c r="I5" i="13"/>
  <c r="A5" i="13"/>
  <c r="V4" i="13"/>
  <c r="N4" i="13"/>
  <c r="F4" i="13"/>
  <c r="D5" i="12"/>
  <c r="Y4" i="12"/>
  <c r="Q4" i="12"/>
  <c r="I4" i="12"/>
  <c r="S5" i="11"/>
  <c r="FA5" i="17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W4" i="17"/>
  <c r="O4" i="17"/>
  <c r="G4" i="17"/>
  <c r="CR5" i="16"/>
  <c r="CJ5" i="16"/>
  <c r="CB5" i="16"/>
  <c r="BT5" i="16"/>
  <c r="BL5" i="16"/>
  <c r="BD5" i="16"/>
  <c r="AV5" i="16"/>
  <c r="AN5" i="16"/>
  <c r="AF5" i="16"/>
  <c r="X5" i="16"/>
  <c r="P5" i="16"/>
  <c r="H5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K5" i="15"/>
  <c r="C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AW5" i="14"/>
  <c r="AO5" i="14"/>
  <c r="AG5" i="14"/>
  <c r="Y5" i="14"/>
  <c r="Q5" i="14"/>
  <c r="I5" i="14"/>
  <c r="A5" i="14"/>
  <c r="AM4" i="14"/>
  <c r="AE4" i="14"/>
  <c r="W4" i="14"/>
  <c r="O4" i="14"/>
  <c r="G4" i="14"/>
  <c r="AF5" i="13"/>
  <c r="X5" i="13"/>
  <c r="P5" i="13"/>
  <c r="H5" i="13"/>
  <c r="AC4" i="13"/>
  <c r="U4" i="13"/>
  <c r="M4" i="13"/>
  <c r="E4" i="13"/>
  <c r="C5" i="12"/>
  <c r="X4" i="12"/>
  <c r="P4" i="12"/>
  <c r="H4" i="12"/>
  <c r="Z5" i="11"/>
  <c r="EZ5" i="17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V4" i="17"/>
  <c r="N4" i="17"/>
  <c r="F4" i="17"/>
  <c r="CQ5" i="16"/>
  <c r="CI5" i="16"/>
  <c r="CA5" i="16"/>
  <c r="BS5" i="16"/>
  <c r="BK5" i="16"/>
  <c r="BC5" i="16"/>
  <c r="AU5" i="16"/>
  <c r="AM5" i="16"/>
  <c r="AE5" i="16"/>
  <c r="W5" i="16"/>
  <c r="O5" i="16"/>
  <c r="G5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R5" i="15"/>
  <c r="J5" i="15"/>
  <c r="B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AV5" i="14"/>
  <c r="AN5" i="14"/>
  <c r="AF5" i="14"/>
  <c r="X5" i="14"/>
  <c r="P5" i="14"/>
  <c r="H5" i="14"/>
  <c r="AT4" i="14"/>
  <c r="AL4" i="14"/>
  <c r="AD4" i="14"/>
  <c r="V4" i="14"/>
  <c r="N4" i="14"/>
  <c r="EY5" i="17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U4" i="17"/>
  <c r="M4" i="17"/>
  <c r="E4" i="17"/>
  <c r="CP5" i="16"/>
  <c r="CH5" i="16"/>
  <c r="BZ5" i="16"/>
  <c r="BR5" i="16"/>
  <c r="BJ5" i="16"/>
  <c r="BB5" i="16"/>
  <c r="AT5" i="16"/>
  <c r="AL5" i="16"/>
  <c r="AD5" i="16"/>
  <c r="V5" i="16"/>
  <c r="N5" i="16"/>
  <c r="F5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Q5" i="15"/>
  <c r="I5" i="15"/>
  <c r="A5" i="15"/>
  <c r="DJ4" i="15"/>
  <c r="DB4" i="15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T4" i="17"/>
  <c r="L4" i="17"/>
  <c r="D4" i="17"/>
  <c r="CO5" i="16"/>
  <c r="CG5" i="16"/>
  <c r="BY5" i="16"/>
  <c r="BQ5" i="16"/>
  <c r="BI5" i="16"/>
  <c r="BA5" i="16"/>
  <c r="AS5" i="16"/>
  <c r="AK5" i="16"/>
  <c r="AC5" i="16"/>
  <c r="U5" i="16"/>
  <c r="M5" i="16"/>
  <c r="E5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P5" i="15"/>
  <c r="H5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AT5" i="14"/>
  <c r="AL5" i="14"/>
  <c r="AD5" i="14"/>
  <c r="V5" i="14"/>
  <c r="N5" i="14"/>
  <c r="F5" i="14"/>
  <c r="AR4" i="14"/>
  <c r="AJ4" i="14"/>
  <c r="AB4" i="14"/>
  <c r="T4" i="14"/>
  <c r="L4" i="14"/>
  <c r="D4" i="14"/>
  <c r="AC5" i="13"/>
  <c r="U5" i="13"/>
  <c r="M5" i="13"/>
  <c r="E5" i="13"/>
  <c r="Z4" i="13"/>
  <c r="R4" i="13"/>
  <c r="J4" i="13"/>
  <c r="B4" i="13"/>
  <c r="AC4" i="12"/>
  <c r="U4" i="12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S4" i="17"/>
  <c r="K4" i="17"/>
  <c r="C4" i="17"/>
  <c r="CN5" i="16"/>
  <c r="CF5" i="16"/>
  <c r="BX5" i="16"/>
  <c r="BP5" i="16"/>
  <c r="BH5" i="16"/>
  <c r="AZ5" i="16"/>
  <c r="AR5" i="16"/>
  <c r="AJ5" i="16"/>
  <c r="AB5" i="16"/>
  <c r="T5" i="16"/>
  <c r="L5" i="16"/>
  <c r="D5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O5" i="15"/>
  <c r="G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BA5" i="14"/>
  <c r="AS5" i="14"/>
  <c r="AK5" i="14"/>
  <c r="AC5" i="14"/>
  <c r="U5" i="14"/>
  <c r="M5" i="14"/>
  <c r="E5" i="14"/>
  <c r="AQ4" i="14"/>
  <c r="AI4" i="14"/>
  <c r="AA4" i="14"/>
  <c r="S4" i="14"/>
  <c r="K4" i="14"/>
  <c r="C4" i="14"/>
  <c r="AB5" i="13"/>
  <c r="T5" i="13"/>
  <c r="L5" i="13"/>
  <c r="D5" i="13"/>
  <c r="Y4" i="13"/>
  <c r="Q4" i="13"/>
  <c r="I4" i="13"/>
  <c r="AB4" i="12"/>
  <c r="T4" i="12"/>
  <c r="L4" i="12"/>
  <c r="D4" i="12"/>
  <c r="V5" i="11"/>
  <c r="N5" i="11"/>
  <c r="F5" i="11"/>
  <c r="AA4" i="11"/>
  <c r="S4" i="11"/>
  <c r="K4" i="11"/>
  <c r="C4" i="11"/>
  <c r="U5" i="10"/>
  <c r="M5" i="10"/>
  <c r="E5" i="10"/>
  <c r="Z4" i="10"/>
  <c r="R4" i="10"/>
  <c r="J4" i="10"/>
  <c r="B4" i="10"/>
  <c r="AB4" i="9"/>
  <c r="T4" i="9"/>
  <c r="L4" i="9"/>
  <c r="D4" i="9"/>
  <c r="AM5" i="8"/>
  <c r="AE5" i="8"/>
  <c r="W5" i="8"/>
  <c r="O5" i="8"/>
  <c r="G5" i="8"/>
  <c r="S4" i="8"/>
  <c r="K4" i="8"/>
  <c r="C4" i="8"/>
  <c r="X4" i="7"/>
  <c r="P4" i="7"/>
  <c r="H4" i="7"/>
  <c r="B5" i="6"/>
  <c r="T4" i="6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Z4" i="17"/>
  <c r="R4" i="17"/>
  <c r="J4" i="17"/>
  <c r="B4" i="17"/>
  <c r="CM5" i="16"/>
  <c r="CE5" i="16"/>
  <c r="BW5" i="16"/>
  <c r="BO5" i="16"/>
  <c r="BG5" i="16"/>
  <c r="AY5" i="16"/>
  <c r="AQ5" i="16"/>
  <c r="AI5" i="16"/>
  <c r="AA5" i="16"/>
  <c r="S5" i="16"/>
  <c r="K5" i="16"/>
  <c r="C5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N5" i="15"/>
  <c r="F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AZ5" i="14"/>
  <c r="AR5" i="14"/>
  <c r="AJ5" i="14"/>
  <c r="AB5" i="14"/>
  <c r="T5" i="14"/>
  <c r="L5" i="14"/>
  <c r="D5" i="14"/>
  <c r="AP4" i="14"/>
  <c r="AH4" i="14"/>
  <c r="Z4" i="14"/>
  <c r="R4" i="14"/>
  <c r="J4" i="14"/>
  <c r="B4" i="14"/>
  <c r="AA5" i="13"/>
  <c r="S5" i="13"/>
  <c r="K5" i="13"/>
  <c r="C5" i="13"/>
  <c r="X4" i="13"/>
  <c r="P4" i="13"/>
  <c r="H4" i="13"/>
  <c r="F5" i="12"/>
  <c r="AA4" i="12"/>
  <c r="S4" i="12"/>
  <c r="K4" i="12"/>
  <c r="C4" i="12"/>
  <c r="U5" i="11"/>
  <c r="M5" i="11"/>
  <c r="E5" i="11"/>
  <c r="Z4" i="11"/>
  <c r="R4" i="11"/>
  <c r="J4" i="11"/>
  <c r="B4" i="11"/>
  <c r="T5" i="10"/>
  <c r="L5" i="10"/>
  <c r="D5" i="10"/>
  <c r="Y4" i="10"/>
  <c r="Q4" i="10"/>
  <c r="I4" i="10"/>
  <c r="AA4" i="9"/>
  <c r="S4" i="9"/>
  <c r="K4" i="9"/>
  <c r="C4" i="9"/>
  <c r="AL5" i="8"/>
  <c r="AD5" i="8"/>
  <c r="V5" i="8"/>
  <c r="N5" i="8"/>
  <c r="F5" i="8"/>
  <c r="R4" i="8"/>
  <c r="J4" i="8"/>
  <c r="B4" i="8"/>
  <c r="W4" i="7"/>
  <c r="O4" i="7"/>
  <c r="G4" i="7"/>
  <c r="A5" i="6"/>
  <c r="S4" i="6"/>
  <c r="K4" i="6"/>
  <c r="C4" i="6"/>
  <c r="EW5" i="5"/>
  <c r="EO5" i="5"/>
  <c r="EU5" i="17"/>
  <c r="EM5" i="17"/>
  <c r="EE5" i="17"/>
  <c r="DW5" i="17"/>
  <c r="DO5" i="17"/>
  <c r="DG5" i="17"/>
  <c r="CY5" i="17"/>
  <c r="CQ5" i="17"/>
  <c r="CI5" i="17"/>
  <c r="CA5" i="17"/>
  <c r="BS5" i="17"/>
  <c r="BC5" i="17"/>
  <c r="AU5" i="17"/>
  <c r="AM5" i="17"/>
  <c r="AE5" i="17"/>
  <c r="W5" i="17"/>
  <c r="O5" i="17"/>
  <c r="G5" i="17"/>
  <c r="Y4" i="17"/>
  <c r="Q4" i="17"/>
  <c r="I4" i="17"/>
  <c r="CL5" i="16"/>
  <c r="CD5" i="16"/>
  <c r="BV5" i="16"/>
  <c r="BN5" i="16"/>
  <c r="BF5" i="16"/>
  <c r="AX5" i="16"/>
  <c r="AP5" i="16"/>
  <c r="AH5" i="16"/>
  <c r="Z5" i="16"/>
  <c r="R5" i="16"/>
  <c r="J5" i="16"/>
  <c r="B5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M5" i="15"/>
  <c r="E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AY5" i="14"/>
  <c r="AQ5" i="14"/>
  <c r="AI5" i="14"/>
  <c r="AA5" i="14"/>
  <c r="S5" i="14"/>
  <c r="K5" i="14"/>
  <c r="CT4" i="15"/>
  <c r="AH4" i="15"/>
  <c r="W5" i="14"/>
  <c r="AC4" i="14"/>
  <c r="N5" i="13"/>
  <c r="T4" i="13"/>
  <c r="E5" i="12"/>
  <c r="N4" i="12"/>
  <c r="X5" i="11"/>
  <c r="K5" i="11"/>
  <c r="A5" i="11"/>
  <c r="T4" i="11"/>
  <c r="H4" i="11"/>
  <c r="X5" i="10"/>
  <c r="N5" i="10"/>
  <c r="B5" i="10"/>
  <c r="U4" i="10"/>
  <c r="K4" i="10"/>
  <c r="D5" i="9"/>
  <c r="W4" i="9"/>
  <c r="M4" i="9"/>
  <c r="AH5" i="8"/>
  <c r="X5" i="8"/>
  <c r="L5" i="8"/>
  <c r="B5" i="8"/>
  <c r="L4" i="8"/>
  <c r="C5" i="7"/>
  <c r="S4" i="7"/>
  <c r="I4" i="7"/>
  <c r="Y4" i="6"/>
  <c r="O4" i="6"/>
  <c r="F4" i="6"/>
  <c r="EY5" i="5"/>
  <c r="EP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S4" i="5"/>
  <c r="K4" i="5"/>
  <c r="C4" i="5"/>
  <c r="AL5" i="4"/>
  <c r="AD5" i="4"/>
  <c r="V5" i="4"/>
  <c r="N5" i="4"/>
  <c r="F5" i="4"/>
  <c r="R4" i="4"/>
  <c r="J4" i="4"/>
  <c r="B4" i="4"/>
  <c r="B19" i="3"/>
  <c r="B17" i="3"/>
  <c r="B15" i="3"/>
  <c r="B13" i="3"/>
  <c r="B11" i="3"/>
  <c r="B9" i="3"/>
  <c r="B7" i="3"/>
  <c r="B5" i="3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L4" i="15"/>
  <c r="Z4" i="15"/>
  <c r="O5" i="14"/>
  <c r="Y4" i="14"/>
  <c r="AE5" i="13"/>
  <c r="J5" i="13"/>
  <c r="S4" i="13"/>
  <c r="B5" i="12"/>
  <c r="M4" i="12"/>
  <c r="W5" i="11"/>
  <c r="J5" i="11"/>
  <c r="AC4" i="11"/>
  <c r="Q4" i="11"/>
  <c r="G4" i="11"/>
  <c r="W5" i="10"/>
  <c r="K5" i="10"/>
  <c r="A5" i="10"/>
  <c r="T4" i="10"/>
  <c r="H4" i="10"/>
  <c r="C5" i="9"/>
  <c r="V4" i="9"/>
  <c r="J4" i="9"/>
  <c r="AQ5" i="8"/>
  <c r="AG5" i="8"/>
  <c r="U5" i="8"/>
  <c r="K5" i="8"/>
  <c r="A5" i="8"/>
  <c r="I4" i="8"/>
  <c r="B5" i="7"/>
  <c r="R4" i="7"/>
  <c r="F4" i="7"/>
  <c r="X4" i="6"/>
  <c r="N4" i="6"/>
  <c r="E4" i="6"/>
  <c r="EX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Z4" i="5"/>
  <c r="R4" i="5"/>
  <c r="J4" i="5"/>
  <c r="B4" i="5"/>
  <c r="AK5" i="4"/>
  <c r="AC5" i="4"/>
  <c r="U5" i="4"/>
  <c r="M5" i="4"/>
  <c r="E5" i="4"/>
  <c r="Q4" i="4"/>
  <c r="I4" i="4"/>
  <c r="A19" i="3"/>
  <c r="A17" i="3"/>
  <c r="A15" i="3"/>
  <c r="A13" i="3"/>
  <c r="A11" i="3"/>
  <c r="A9" i="3"/>
  <c r="A7" i="3"/>
  <c r="A5" i="3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D4" i="15"/>
  <c r="R4" i="15"/>
  <c r="G5" i="14"/>
  <c r="U4" i="14"/>
  <c r="AD5" i="13"/>
  <c r="G5" i="13"/>
  <c r="O4" i="13"/>
  <c r="A5" i="12"/>
  <c r="J4" i="12"/>
  <c r="T5" i="11"/>
  <c r="I5" i="11"/>
  <c r="AB4" i="11"/>
  <c r="P4" i="11"/>
  <c r="F4" i="11"/>
  <c r="V5" i="10"/>
  <c r="J5" i="10"/>
  <c r="AC4" i="10"/>
  <c r="S4" i="10"/>
  <c r="G4" i="10"/>
  <c r="B5" i="9"/>
  <c r="U4" i="9"/>
  <c r="I4" i="9"/>
  <c r="AP5" i="8"/>
  <c r="AF5" i="8"/>
  <c r="T5" i="8"/>
  <c r="J5" i="8"/>
  <c r="T4" i="8"/>
  <c r="H4" i="8"/>
  <c r="A5" i="7"/>
  <c r="Q4" i="7"/>
  <c r="E4" i="7"/>
  <c r="W4" i="6"/>
  <c r="M4" i="6"/>
  <c r="D4" i="6"/>
  <c r="EV5" i="5"/>
  <c r="EM5" i="5"/>
  <c r="EE5" i="5"/>
  <c r="DW5" i="5"/>
  <c r="DO5" i="5"/>
  <c r="DG5" i="5"/>
  <c r="CY5" i="5"/>
  <c r="CQ5" i="5"/>
  <c r="CI5" i="5"/>
  <c r="CA5" i="5"/>
  <c r="BS5" i="5"/>
  <c r="BC5" i="5"/>
  <c r="AU5" i="5"/>
  <c r="AM5" i="5"/>
  <c r="AE5" i="5"/>
  <c r="W5" i="5"/>
  <c r="O5" i="5"/>
  <c r="G5" i="5"/>
  <c r="Y4" i="5"/>
  <c r="Q4" i="5"/>
  <c r="I4" i="5"/>
  <c r="AJ5" i="4"/>
  <c r="AB5" i="4"/>
  <c r="T5" i="4"/>
  <c r="L5" i="4"/>
  <c r="D5" i="4"/>
  <c r="P4" i="4"/>
  <c r="H4" i="4"/>
  <c r="D20" i="3"/>
  <c r="D18" i="3"/>
  <c r="D16" i="3"/>
  <c r="D14" i="3"/>
  <c r="D12" i="3"/>
  <c r="D10" i="3"/>
  <c r="D8" i="3"/>
  <c r="D6" i="3"/>
  <c r="D4" i="3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BV4" i="15"/>
  <c r="J4" i="15"/>
  <c r="C5" i="14"/>
  <c r="Q4" i="14"/>
  <c r="Z5" i="13"/>
  <c r="F5" i="13"/>
  <c r="L4" i="13"/>
  <c r="Z4" i="12"/>
  <c r="G4" i="12"/>
  <c r="R5" i="11"/>
  <c r="H5" i="11"/>
  <c r="Y4" i="11"/>
  <c r="O4" i="11"/>
  <c r="E4" i="11"/>
  <c r="S5" i="10"/>
  <c r="I5" i="10"/>
  <c r="AB4" i="10"/>
  <c r="P4" i="10"/>
  <c r="F4" i="10"/>
  <c r="A5" i="9"/>
  <c r="R4" i="9"/>
  <c r="H4" i="9"/>
  <c r="AO5" i="8"/>
  <c r="AC5" i="8"/>
  <c r="S5" i="8"/>
  <c r="I5" i="8"/>
  <c r="Q4" i="8"/>
  <c r="G4" i="8"/>
  <c r="Z4" i="7"/>
  <c r="N4" i="7"/>
  <c r="D4" i="7"/>
  <c r="V4" i="6"/>
  <c r="L4" i="6"/>
  <c r="B4" i="6"/>
  <c r="EU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X4" i="5"/>
  <c r="P4" i="5"/>
  <c r="H4" i="5"/>
  <c r="AQ5" i="4"/>
  <c r="AI5" i="4"/>
  <c r="AA5" i="4"/>
  <c r="S5" i="4"/>
  <c r="K5" i="4"/>
  <c r="C5" i="4"/>
  <c r="O4" i="4"/>
  <c r="G4" i="4"/>
  <c r="C20" i="3"/>
  <c r="C18" i="3"/>
  <c r="C16" i="3"/>
  <c r="C14" i="3"/>
  <c r="C12" i="3"/>
  <c r="C10" i="3"/>
  <c r="C8" i="3"/>
  <c r="C6" i="3"/>
  <c r="C4" i="3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BN4" i="15"/>
  <c r="B4" i="15"/>
  <c r="AS4" i="14"/>
  <c r="M4" i="14"/>
  <c r="W5" i="13"/>
  <c r="B5" i="13"/>
  <c r="K4" i="13"/>
  <c r="W4" i="12"/>
  <c r="F4" i="12"/>
  <c r="Q5" i="11"/>
  <c r="G5" i="11"/>
  <c r="X4" i="11"/>
  <c r="N4" i="11"/>
  <c r="D4" i="11"/>
  <c r="R5" i="10"/>
  <c r="H5" i="10"/>
  <c r="AA4" i="10"/>
  <c r="O4" i="10"/>
  <c r="E4" i="10"/>
  <c r="AC4" i="9"/>
  <c r="Q4" i="9"/>
  <c r="G4" i="9"/>
  <c r="AN5" i="8"/>
  <c r="AB5" i="8"/>
  <c r="R5" i="8"/>
  <c r="H5" i="8"/>
  <c r="P4" i="8"/>
  <c r="F4" i="8"/>
  <c r="Y4" i="7"/>
  <c r="M4" i="7"/>
  <c r="C4" i="7"/>
  <c r="U4" i="6"/>
  <c r="J4" i="6"/>
  <c r="ET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W4" i="5"/>
  <c r="O4" i="5"/>
  <c r="G4" i="5"/>
  <c r="AP5" i="4"/>
  <c r="AH5" i="4"/>
  <c r="Z5" i="4"/>
  <c r="R5" i="4"/>
  <c r="J5" i="4"/>
  <c r="B5" i="4"/>
  <c r="N4" i="4"/>
  <c r="F4" i="4"/>
  <c r="B20" i="3"/>
  <c r="B18" i="3"/>
  <c r="B16" i="3"/>
  <c r="B14" i="3"/>
  <c r="B12" i="3"/>
  <c r="B10" i="3"/>
  <c r="B8" i="3"/>
  <c r="B6" i="3"/>
  <c r="B4" i="3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F4" i="15"/>
  <c r="AU5" i="14"/>
  <c r="AO4" i="14"/>
  <c r="I4" i="14"/>
  <c r="V5" i="13"/>
  <c r="AB4" i="13"/>
  <c r="G4" i="13"/>
  <c r="V4" i="12"/>
  <c r="E4" i="12"/>
  <c r="P5" i="11"/>
  <c r="D5" i="11"/>
  <c r="W4" i="11"/>
  <c r="M4" i="11"/>
  <c r="Q5" i="10"/>
  <c r="G5" i="10"/>
  <c r="X4" i="10"/>
  <c r="N4" i="10"/>
  <c r="D4" i="10"/>
  <c r="Z4" i="9"/>
  <c r="P4" i="9"/>
  <c r="F4" i="9"/>
  <c r="AK5" i="8"/>
  <c r="AA5" i="8"/>
  <c r="Q5" i="8"/>
  <c r="E5" i="8"/>
  <c r="O4" i="8"/>
  <c r="E4" i="8"/>
  <c r="V4" i="7"/>
  <c r="L4" i="7"/>
  <c r="B4" i="7"/>
  <c r="R4" i="6"/>
  <c r="I4" i="6"/>
  <c r="FB5" i="5"/>
  <c r="ES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V4" i="5"/>
  <c r="N4" i="5"/>
  <c r="F4" i="5"/>
  <c r="AO5" i="4"/>
  <c r="AG5" i="4"/>
  <c r="Y5" i="4"/>
  <c r="Q5" i="4"/>
  <c r="I5" i="4"/>
  <c r="A5" i="4"/>
  <c r="M4" i="4"/>
  <c r="E4" i="4"/>
  <c r="A20" i="3"/>
  <c r="A18" i="3"/>
  <c r="A16" i="3"/>
  <c r="A14" i="3"/>
  <c r="A12" i="3"/>
  <c r="A10" i="3"/>
  <c r="A8" i="3"/>
  <c r="A6" i="3"/>
  <c r="A4" i="3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X4" i="15"/>
  <c r="AM5" i="14"/>
  <c r="AK4" i="14"/>
  <c r="F4" i="14"/>
  <c r="R5" i="13"/>
  <c r="AA4" i="13"/>
  <c r="D4" i="13"/>
  <c r="R4" i="12"/>
  <c r="B4" i="12"/>
  <c r="O5" i="11"/>
  <c r="C5" i="11"/>
  <c r="V4" i="11"/>
  <c r="L4" i="11"/>
  <c r="Z5" i="10"/>
  <c r="P5" i="10"/>
  <c r="F5" i="10"/>
  <c r="W4" i="10"/>
  <c r="M4" i="10"/>
  <c r="C4" i="10"/>
  <c r="Y4" i="9"/>
  <c r="O4" i="9"/>
  <c r="E4" i="9"/>
  <c r="AJ5" i="8"/>
  <c r="Z5" i="8"/>
  <c r="P5" i="8"/>
  <c r="D5" i="8"/>
  <c r="N4" i="8"/>
  <c r="D4" i="8"/>
  <c r="U4" i="7"/>
  <c r="K4" i="7"/>
  <c r="Q4" i="6"/>
  <c r="H4" i="6"/>
  <c r="FA5" i="5"/>
  <c r="ER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U4" i="5"/>
  <c r="M4" i="5"/>
  <c r="E4" i="5"/>
  <c r="AN5" i="4"/>
  <c r="AF5" i="4"/>
  <c r="X5" i="4"/>
  <c r="P5" i="4"/>
  <c r="H5" i="4"/>
  <c r="T4" i="4"/>
  <c r="L4" i="4"/>
  <c r="D4" i="4"/>
  <c r="D19" i="3"/>
  <c r="D17" i="3"/>
  <c r="D15" i="3"/>
  <c r="D13" i="3"/>
  <c r="D11" i="3"/>
  <c r="D9" i="3"/>
  <c r="D7" i="3"/>
  <c r="D5" i="3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AP4" i="15"/>
  <c r="AE5" i="14"/>
  <c r="AG4" i="14"/>
  <c r="E4" i="14"/>
  <c r="O5" i="13"/>
  <c r="W4" i="13"/>
  <c r="C4" i="13"/>
  <c r="O4" i="12"/>
  <c r="Y5" i="11"/>
  <c r="L5" i="11"/>
  <c r="B5" i="11"/>
  <c r="U4" i="11"/>
  <c r="I4" i="11"/>
  <c r="Y5" i="10"/>
  <c r="O5" i="10"/>
  <c r="C5" i="10"/>
  <c r="V4" i="10"/>
  <c r="L4" i="10"/>
  <c r="E5" i="9"/>
  <c r="X4" i="9"/>
  <c r="N4" i="9"/>
  <c r="B4" i="9"/>
  <c r="AI5" i="8"/>
  <c r="Y5" i="8"/>
  <c r="M5" i="8"/>
  <c r="C5" i="8"/>
  <c r="M4" i="8"/>
  <c r="T4" i="7"/>
  <c r="J4" i="7"/>
  <c r="Z4" i="6"/>
  <c r="P4" i="6"/>
  <c r="G4" i="6"/>
  <c r="EZ5" i="5"/>
  <c r="EQ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T4" i="5"/>
  <c r="L4" i="5"/>
  <c r="D4" i="5"/>
  <c r="AM5" i="4"/>
  <c r="AE5" i="4"/>
  <c r="W5" i="4"/>
  <c r="O5" i="4"/>
  <c r="G5" i="4"/>
  <c r="S4" i="4"/>
  <c r="K4" i="4"/>
  <c r="C4" i="4"/>
  <c r="C19" i="3"/>
  <c r="C17" i="3"/>
  <c r="C15" i="3"/>
  <c r="C13" i="3"/>
  <c r="C11" i="3"/>
  <c r="C9" i="3"/>
  <c r="C7" i="3"/>
  <c r="C5" i="3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C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B5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J2" i="12" l="1"/>
  <c r="J2" i="16"/>
  <c r="J2" i="15"/>
  <c r="J2" i="13"/>
  <c r="J2" i="10"/>
  <c r="J2" i="17"/>
  <c r="J2" i="14"/>
  <c r="J2" i="9"/>
  <c r="J2" i="4"/>
  <c r="J2" i="5"/>
  <c r="J2" i="6"/>
  <c r="J2" i="11"/>
  <c r="J2" i="7"/>
  <c r="J2" i="8"/>
</calcChain>
</file>

<file path=xl/sharedStrings.xml><?xml version="1.0" encoding="utf-8"?>
<sst xmlns="http://schemas.openxmlformats.org/spreadsheetml/2006/main" count="235" uniqueCount="51">
  <si>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</si>
  <si>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</si>
  <si>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</si>
  <si>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</si>
  <si>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</si>
  <si>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</si>
  <si>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</si>
  <si>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</si>
  <si>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</si>
  <si>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</si>
  <si>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</si>
  <si>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</si>
  <si>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</si>
  <si>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</si>
  <si>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</si>
  <si>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</si>
  <si>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</si>
  <si>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Sell</t>
  </si>
  <si>
    <t>Allocation1</t>
  </si>
  <si>
    <t>MS</t>
  </si>
  <si>
    <t>Allocation2</t>
  </si>
  <si>
    <t>PortfolioManagement</t>
  </si>
  <si>
    <t>CheckPortfolioManagement</t>
  </si>
  <si>
    <t>Equity</t>
  </si>
  <si>
    <t>US</t>
  </si>
  <si>
    <t>Long</t>
  </si>
  <si>
    <t>GroupRowPM</t>
  </si>
  <si>
    <t>Symbol</t>
  </si>
  <si>
    <t>ClosePositionFromPM</t>
  </si>
  <si>
    <t>Buy to Close</t>
  </si>
  <si>
    <t>Closing</t>
  </si>
  <si>
    <t>GetDataClosing</t>
  </si>
  <si>
    <t>Current</t>
  </si>
  <si>
    <t>VerifyLongPositionsGrid</t>
  </si>
  <si>
    <t>VerifyShortPositionsGrid</t>
  </si>
  <si>
    <t>AutomaticClosing</t>
  </si>
  <si>
    <t>FIFO</t>
  </si>
  <si>
    <t>None</t>
  </si>
  <si>
    <t>Default</t>
  </si>
  <si>
    <t>VerifyClosedTrades</t>
  </si>
  <si>
    <t>Blotter</t>
  </si>
  <si>
    <t>VerifyWorkingSubs</t>
  </si>
  <si>
    <t xml:space="preserve">Sell </t>
  </si>
  <si>
    <t>Filled</t>
  </si>
  <si>
    <t>Multiple</t>
  </si>
  <si>
    <t>Allocation</t>
  </si>
  <si>
    <t>GetDataAllocation</t>
  </si>
  <si>
    <t>CheckAllocatedGroups</t>
  </si>
  <si>
    <t>Closed</t>
  </si>
  <si>
    <t>Market</t>
  </si>
  <si>
    <t>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</si>
</sst>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0" borderId="5" xfId="0" applyFont="1" applyBorder="1" applyAlignment="1"/>
    <xf numFmtId="0" fontId="3" fillId="0" borderId="5" xfId="0" applyFont="1" applyBorder="1" applyAlignment="1"/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3" fontId="5" fillId="0" borderId="5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 applyAlignment="1"/>
    <xf numFmtId="0" fontId="5" fillId="0" borderId="0" xfId="0" applyFont="1" applyAlignment="1"/>
    <xf numFmtId="3" fontId="5" fillId="0" borderId="0" xfId="0" applyNumberFormat="1" applyFont="1" applyAlignment="1">
      <alignment horizontal="right"/>
    </xf>
    <xf numFmtId="0" fontId="5" fillId="0" borderId="0" xfId="0" applyFont="1" applyAlignment="1"/>
    <xf numFmtId="0" fontId="3" fillId="0" borderId="5" xfId="0" applyFont="1" applyBorder="1" applyAlignment="1"/>
    <xf numFmtId="3" fontId="5" fillId="0" borderId="5" xfId="0" applyNumberFormat="1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4" fontId="5" fillId="0" borderId="5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4" fontId="5" fillId="0" borderId="0" xfId="0" applyNumberFormat="1" applyFont="1" applyAlignment="1">
      <alignment horizontal="right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64" fontId="13" fillId="0" borderId="5" xfId="0" applyNumberFormat="1" applyFont="1" applyBorder="1" applyAlignment="1">
      <alignment horizontal="right"/>
    </xf>
    <xf numFmtId="0" fontId="13" fillId="0" borderId="5" xfId="0" applyFont="1" applyBorder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7" t="s">
        <v>0</v>
      </c>
      <c r="B1" s="58"/>
      <c r="C1" s="58"/>
      <c r="D1" s="58"/>
      <c r="E1" s="58"/>
      <c r="F1" s="59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60" t="s">
        <v>2</v>
      </c>
      <c r="B1" s="58"/>
      <c r="C1" s="59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7" t="s">
        <v>7</v>
      </c>
      <c r="B1" s="58"/>
      <c r="C1" s="58"/>
      <c r="D1" s="58"/>
      <c r="E1" s="58"/>
      <c r="F1" s="59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16</v>
      </c>
      <c r="C6" s="27" t="s">
        <v>17</v>
      </c>
      <c r="D6" s="28">
        <v>50000</v>
      </c>
      <c r="E6" s="29">
        <v>50000</v>
      </c>
      <c r="F6" s="30" t="s">
        <v>18</v>
      </c>
      <c r="G6" s="30" t="s">
        <v>19</v>
      </c>
      <c r="H6" s="30"/>
      <c r="I6" s="30"/>
      <c r="J6" s="29">
        <v>10</v>
      </c>
      <c r="K6" s="30"/>
      <c r="L6" s="30"/>
      <c r="M6" s="30"/>
      <c r="N6" s="30"/>
      <c r="O6" s="30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16</v>
      </c>
      <c r="C7" s="33" t="s">
        <v>17</v>
      </c>
      <c r="D7" s="34">
        <v>50000</v>
      </c>
      <c r="E7" s="34">
        <v>50000</v>
      </c>
      <c r="F7" s="32" t="s">
        <v>20</v>
      </c>
      <c r="G7" s="32" t="s">
        <v>19</v>
      </c>
      <c r="H7" s="32"/>
      <c r="I7" s="32"/>
      <c r="J7" s="34">
        <v>11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E1" workbookViewId="0">
      <selection activeCell="BL11" sqref="BL11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4.85546875" customWidth="1"/>
    <col min="64" max="168" width="14.42578125" customWidth="1"/>
  </cols>
  <sheetData>
    <row r="1" spans="1:168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25"/>
      <c r="B6" s="26"/>
      <c r="C6" s="30" t="s">
        <v>16</v>
      </c>
      <c r="D6" s="35">
        <v>-50000</v>
      </c>
      <c r="E6" s="30" t="s">
        <v>18</v>
      </c>
      <c r="F6" s="31"/>
      <c r="G6" s="29">
        <v>10</v>
      </c>
      <c r="H6" s="31"/>
      <c r="I6" s="31"/>
      <c r="J6" s="31"/>
      <c r="K6" s="29">
        <v>0</v>
      </c>
      <c r="L6" s="31"/>
      <c r="M6" s="31"/>
      <c r="N6" s="29">
        <v>0</v>
      </c>
      <c r="O6" s="31"/>
      <c r="P6" s="31"/>
      <c r="Q6" s="36">
        <v>0</v>
      </c>
      <c r="R6" s="31"/>
      <c r="S6" s="31"/>
      <c r="T6" s="32" t="s">
        <v>23</v>
      </c>
      <c r="U6" s="32" t="s">
        <v>24</v>
      </c>
      <c r="V6" s="32"/>
      <c r="W6" s="32"/>
      <c r="X6" s="32"/>
      <c r="Y6" s="32"/>
      <c r="Z6" s="32"/>
      <c r="AA6" s="32"/>
      <c r="AB6" s="37">
        <v>0</v>
      </c>
      <c r="AC6" s="32"/>
      <c r="AD6" s="37">
        <v>0</v>
      </c>
      <c r="AE6" s="37">
        <v>0</v>
      </c>
      <c r="AF6" s="35">
        <v>-50000</v>
      </c>
      <c r="AG6" s="37">
        <v>0</v>
      </c>
      <c r="AH6" s="37">
        <v>0</v>
      </c>
      <c r="AI6" s="37">
        <v>0</v>
      </c>
      <c r="AJ6" s="37">
        <v>0</v>
      </c>
      <c r="AK6" s="38">
        <v>500000</v>
      </c>
      <c r="AL6" s="37">
        <v>1</v>
      </c>
      <c r="AM6" s="32"/>
      <c r="AN6" s="39" t="s">
        <v>17</v>
      </c>
      <c r="AO6" s="32"/>
      <c r="AP6" s="32" t="s">
        <v>25</v>
      </c>
      <c r="AQ6" s="32" t="s">
        <v>16</v>
      </c>
      <c r="AR6" s="32"/>
      <c r="AS6" s="32"/>
      <c r="AT6" s="32"/>
      <c r="AU6" s="32"/>
      <c r="AV6" s="32"/>
      <c r="AW6" s="32"/>
      <c r="AX6" s="37">
        <v>0</v>
      </c>
      <c r="AY6" s="37">
        <v>0</v>
      </c>
      <c r="AZ6" s="37">
        <v>0</v>
      </c>
      <c r="BA6" s="32"/>
      <c r="BB6" s="32"/>
      <c r="BC6" s="32"/>
      <c r="BD6" s="38">
        <v>500000</v>
      </c>
      <c r="BE6" s="32"/>
      <c r="BF6" s="32"/>
      <c r="BG6" s="32"/>
      <c r="BH6" s="32"/>
      <c r="BI6" s="32"/>
      <c r="BJ6" s="37">
        <v>0</v>
      </c>
      <c r="BK6" s="37">
        <v>0</v>
      </c>
      <c r="BL6" s="37">
        <v>0</v>
      </c>
      <c r="BM6" s="37">
        <v>0</v>
      </c>
      <c r="BN6" s="32"/>
      <c r="BO6" s="37">
        <v>0</v>
      </c>
      <c r="BP6" s="37">
        <v>0</v>
      </c>
      <c r="BQ6" s="32"/>
      <c r="BR6" s="32" t="s">
        <v>19</v>
      </c>
      <c r="BS6" s="37">
        <v>0</v>
      </c>
      <c r="BT6" s="37">
        <v>0</v>
      </c>
      <c r="BU6" s="32"/>
      <c r="BV6" s="32"/>
      <c r="BW6" s="37">
        <v>0</v>
      </c>
      <c r="BX6" s="37">
        <v>0</v>
      </c>
      <c r="BY6" s="37">
        <v>0</v>
      </c>
      <c r="BZ6" s="37">
        <v>0</v>
      </c>
      <c r="CA6" s="37">
        <v>0</v>
      </c>
      <c r="CB6" s="32"/>
      <c r="CC6" s="37">
        <v>0</v>
      </c>
      <c r="CD6" s="37">
        <v>0</v>
      </c>
      <c r="CE6" s="37">
        <v>0</v>
      </c>
      <c r="CF6" s="37">
        <v>0</v>
      </c>
      <c r="CG6" s="37">
        <v>0</v>
      </c>
      <c r="CH6" s="37">
        <v>0</v>
      </c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7">
        <v>0</v>
      </c>
      <c r="DF6" s="37">
        <v>0</v>
      </c>
      <c r="DG6" s="37">
        <v>0</v>
      </c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7">
        <v>0</v>
      </c>
      <c r="EH6" s="37">
        <v>0</v>
      </c>
      <c r="EI6" s="37">
        <v>0</v>
      </c>
      <c r="EJ6" s="37">
        <v>0</v>
      </c>
      <c r="EK6" s="37">
        <v>0</v>
      </c>
      <c r="EL6" s="32"/>
      <c r="EM6" s="37">
        <v>0</v>
      </c>
      <c r="EN6" s="37">
        <v>0</v>
      </c>
      <c r="EO6" s="37">
        <v>0</v>
      </c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</row>
    <row r="7" spans="1:168" ht="15.75" customHeight="1">
      <c r="A7" s="32"/>
      <c r="B7" s="32"/>
      <c r="C7" s="40" t="s">
        <v>16</v>
      </c>
      <c r="D7" s="41">
        <v>-50000</v>
      </c>
      <c r="E7" s="40" t="s">
        <v>20</v>
      </c>
      <c r="F7" s="32"/>
      <c r="G7" s="34">
        <v>11</v>
      </c>
      <c r="H7" s="32"/>
      <c r="I7" s="32"/>
      <c r="J7" s="32"/>
      <c r="K7" s="34">
        <v>0</v>
      </c>
      <c r="L7" s="32"/>
      <c r="M7" s="32"/>
      <c r="N7" s="34">
        <v>0</v>
      </c>
      <c r="O7" s="32"/>
      <c r="P7" s="32"/>
      <c r="Q7" s="37">
        <v>0</v>
      </c>
      <c r="R7" s="32"/>
      <c r="S7" s="32"/>
      <c r="T7" s="32" t="s">
        <v>23</v>
      </c>
      <c r="U7" s="32" t="s">
        <v>24</v>
      </c>
      <c r="V7" s="32"/>
      <c r="W7" s="32"/>
      <c r="X7" s="32"/>
      <c r="Y7" s="32"/>
      <c r="Z7" s="32"/>
      <c r="AA7" s="32"/>
      <c r="AB7" s="37">
        <v>0</v>
      </c>
      <c r="AC7" s="32"/>
      <c r="AD7" s="37">
        <v>0</v>
      </c>
      <c r="AE7" s="37">
        <v>0</v>
      </c>
      <c r="AF7" s="41">
        <v>-50000</v>
      </c>
      <c r="AG7" s="37">
        <v>0</v>
      </c>
      <c r="AH7" s="37">
        <v>0</v>
      </c>
      <c r="AI7" s="37">
        <v>0</v>
      </c>
      <c r="AJ7" s="37">
        <v>0</v>
      </c>
      <c r="AK7" s="38">
        <v>550000</v>
      </c>
      <c r="AL7" s="37">
        <v>1</v>
      </c>
      <c r="AM7" s="32"/>
      <c r="AN7" s="39" t="s">
        <v>17</v>
      </c>
      <c r="AO7" s="32"/>
      <c r="AP7" s="32" t="s">
        <v>25</v>
      </c>
      <c r="AQ7" s="32" t="s">
        <v>16</v>
      </c>
      <c r="AR7" s="32"/>
      <c r="AS7" s="32"/>
      <c r="AT7" s="32"/>
      <c r="AU7" s="32"/>
      <c r="AV7" s="32"/>
      <c r="AW7" s="32"/>
      <c r="AX7" s="37">
        <v>0</v>
      </c>
      <c r="AY7" s="37">
        <v>0</v>
      </c>
      <c r="AZ7" s="37">
        <v>0</v>
      </c>
      <c r="BA7" s="32"/>
      <c r="BB7" s="32"/>
      <c r="BC7" s="32"/>
      <c r="BD7" s="38">
        <v>550000</v>
      </c>
      <c r="BE7" s="32"/>
      <c r="BF7" s="32"/>
      <c r="BG7" s="32"/>
      <c r="BH7" s="32"/>
      <c r="BI7" s="32"/>
      <c r="BJ7" s="37">
        <v>0</v>
      </c>
      <c r="BK7" s="37">
        <v>0</v>
      </c>
      <c r="BL7" s="37">
        <v>0</v>
      </c>
      <c r="BM7" s="37">
        <v>0</v>
      </c>
      <c r="BN7" s="32"/>
      <c r="BO7" s="37">
        <v>0</v>
      </c>
      <c r="BP7" s="37">
        <v>0</v>
      </c>
      <c r="BQ7" s="32"/>
      <c r="BR7" s="32" t="s">
        <v>19</v>
      </c>
      <c r="BS7" s="37">
        <v>0</v>
      </c>
      <c r="BT7" s="37">
        <v>0</v>
      </c>
      <c r="BU7" s="32"/>
      <c r="BV7" s="32"/>
      <c r="BW7" s="37">
        <v>0</v>
      </c>
      <c r="BX7" s="37">
        <v>0</v>
      </c>
      <c r="BY7" s="37">
        <v>0</v>
      </c>
      <c r="BZ7" s="37">
        <v>0</v>
      </c>
      <c r="CA7" s="37">
        <v>0</v>
      </c>
      <c r="CB7" s="32"/>
      <c r="CC7" s="37">
        <v>0</v>
      </c>
      <c r="CD7" s="37">
        <v>0</v>
      </c>
      <c r="CE7" s="37">
        <v>0</v>
      </c>
      <c r="CF7" s="37">
        <v>0</v>
      </c>
      <c r="CG7" s="37">
        <v>0</v>
      </c>
      <c r="CH7" s="37">
        <v>0</v>
      </c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7">
        <v>0</v>
      </c>
      <c r="DF7" s="37">
        <v>0</v>
      </c>
      <c r="DG7" s="37">
        <v>0</v>
      </c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7">
        <v>0</v>
      </c>
      <c r="EH7" s="37">
        <v>0</v>
      </c>
      <c r="EI7" s="37">
        <v>0</v>
      </c>
      <c r="EJ7" s="37">
        <v>0</v>
      </c>
      <c r="EK7" s="37">
        <v>0</v>
      </c>
      <c r="EL7" s="32"/>
      <c r="EM7" s="37">
        <v>0</v>
      </c>
      <c r="EN7" s="37">
        <v>0</v>
      </c>
      <c r="EO7" s="37">
        <v>0</v>
      </c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</row>
    <row r="8" spans="1:16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21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IFERROR(__xludf.DUMMYFUNCTION("""COMPUTED_VALUE"""),"ColumnName")</f>
        <v>ColumnName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27</v>
      </c>
      <c r="C6" s="5"/>
      <c r="D6" s="7"/>
      <c r="E6" s="42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21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IFERROR(__xludf.DUMMYFUNCTION("""COMPUTED_VALUE"""),"Symbol")</f>
        <v>Symbol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18</v>
      </c>
      <c r="C6" s="31" t="s">
        <v>16</v>
      </c>
      <c r="D6" s="26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16</v>
      </c>
      <c r="C6" s="43" t="s">
        <v>29</v>
      </c>
      <c r="D6" s="28">
        <v>100000</v>
      </c>
      <c r="E6" s="31"/>
      <c r="F6" s="31"/>
      <c r="G6" s="31" t="s">
        <v>19</v>
      </c>
      <c r="H6" s="31"/>
      <c r="I6" s="31"/>
      <c r="J6" s="29">
        <v>20</v>
      </c>
      <c r="K6" s="31"/>
      <c r="L6" s="31"/>
      <c r="M6" s="31"/>
      <c r="N6" s="31"/>
      <c r="O6" s="31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32</v>
      </c>
      <c r="C6" s="5"/>
      <c r="D6" s="7"/>
      <c r="E6" s="42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43" t="s">
        <v>20</v>
      </c>
      <c r="C6" s="31" t="s">
        <v>23</v>
      </c>
      <c r="D6" s="26"/>
      <c r="E6" s="31"/>
      <c r="F6" s="31"/>
      <c r="G6" s="31"/>
      <c r="H6" s="44">
        <v>1000000</v>
      </c>
      <c r="I6" s="45">
        <v>20</v>
      </c>
      <c r="J6" s="31"/>
      <c r="K6" s="31"/>
      <c r="L6" s="31"/>
      <c r="M6" s="46">
        <v>50000</v>
      </c>
      <c r="N6" s="31"/>
      <c r="O6" s="31"/>
      <c r="P6" s="43" t="s">
        <v>29</v>
      </c>
      <c r="Q6" s="31"/>
      <c r="R6" s="31" t="s">
        <v>16</v>
      </c>
      <c r="S6" s="31"/>
      <c r="T6" s="32"/>
      <c r="U6" s="32"/>
      <c r="V6" s="32"/>
      <c r="W6" s="32"/>
      <c r="X6" s="47">
        <v>20</v>
      </c>
      <c r="Y6" s="39">
        <v>0</v>
      </c>
      <c r="Z6" s="39">
        <v>0</v>
      </c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9" t="s">
        <v>18</v>
      </c>
      <c r="C7" s="32" t="s">
        <v>23</v>
      </c>
      <c r="D7" s="32"/>
      <c r="E7" s="32"/>
      <c r="F7" s="32"/>
      <c r="G7" s="32"/>
      <c r="H7" s="48">
        <v>1000000</v>
      </c>
      <c r="I7" s="49">
        <v>20</v>
      </c>
      <c r="J7" s="32"/>
      <c r="K7" s="32"/>
      <c r="L7" s="32"/>
      <c r="M7" s="50">
        <v>50000</v>
      </c>
      <c r="N7" s="32"/>
      <c r="O7" s="32"/>
      <c r="P7" s="39" t="s">
        <v>29</v>
      </c>
      <c r="Q7" s="32"/>
      <c r="R7" s="32" t="s">
        <v>16</v>
      </c>
      <c r="S7" s="32"/>
      <c r="T7" s="32"/>
      <c r="U7" s="32"/>
      <c r="V7" s="32"/>
      <c r="W7" s="32"/>
      <c r="X7" s="47">
        <v>20</v>
      </c>
      <c r="Y7" s="39">
        <v>0</v>
      </c>
      <c r="Z7" s="39">
        <v>0</v>
      </c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32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18</v>
      </c>
      <c r="C6" s="31" t="s">
        <v>23</v>
      </c>
      <c r="D6" s="26"/>
      <c r="E6" s="31"/>
      <c r="F6" s="31"/>
      <c r="G6" s="31"/>
      <c r="H6" s="46">
        <v>500000</v>
      </c>
      <c r="I6" s="29">
        <v>10</v>
      </c>
      <c r="J6" s="31"/>
      <c r="K6" s="31"/>
      <c r="L6" s="31"/>
      <c r="M6" s="46">
        <v>50000</v>
      </c>
      <c r="N6" s="31"/>
      <c r="O6" s="31"/>
      <c r="P6" s="43" t="s">
        <v>17</v>
      </c>
      <c r="Q6" s="31"/>
      <c r="R6" s="31" t="s">
        <v>16</v>
      </c>
      <c r="S6" s="31"/>
      <c r="T6" s="32"/>
      <c r="U6" s="32"/>
      <c r="V6" s="32"/>
      <c r="W6" s="32"/>
      <c r="X6" s="37">
        <v>10</v>
      </c>
      <c r="Y6" s="39">
        <v>0</v>
      </c>
      <c r="Z6" s="39">
        <v>0</v>
      </c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20</v>
      </c>
      <c r="C7" s="32" t="s">
        <v>23</v>
      </c>
      <c r="D7" s="32"/>
      <c r="E7" s="32"/>
      <c r="F7" s="32"/>
      <c r="G7" s="32"/>
      <c r="H7" s="48">
        <v>550000</v>
      </c>
      <c r="I7" s="34">
        <v>11</v>
      </c>
      <c r="J7" s="32"/>
      <c r="K7" s="32"/>
      <c r="L7" s="32"/>
      <c r="M7" s="50">
        <v>50000</v>
      </c>
      <c r="N7" s="32"/>
      <c r="O7" s="32"/>
      <c r="P7" s="39" t="s">
        <v>17</v>
      </c>
      <c r="Q7" s="32"/>
      <c r="R7" s="32" t="s">
        <v>16</v>
      </c>
      <c r="S7" s="32"/>
      <c r="T7" s="32"/>
      <c r="U7" s="32"/>
      <c r="V7" s="32"/>
      <c r="W7" s="32"/>
      <c r="X7" s="37">
        <v>11</v>
      </c>
      <c r="Y7" s="39">
        <v>0</v>
      </c>
      <c r="Z7" s="39">
        <v>0</v>
      </c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1zwv-aZp-DRCpq8bqLR0XRiyt0av-GAm0ORqbhnV-FKI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 ")</f>
        <v xml:space="preserve">CloseSSw/BuyBTO 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IFERROR(__xludf.DUMMYFUNCTION("""COMPUTED_VALUE"""),"Algorithm")</f>
        <v>Algorithm</v>
      </c>
      <c r="E5" s="22" t="str">
        <f ca="1">IFERROR(__xludf.DUMMYFUNCTION("""COMPUTED_VALUE"""),"SecondarySortCriteria")</f>
        <v>SecondarySortCriteria</v>
      </c>
      <c r="F5" s="23" t="str">
        <f ca="1">IFERROR(__xludf.DUMMYFUNCTION("""COMPUTED_VALUE"""),"ClosingField")</f>
        <v>ClosingField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6"/>
      <c r="B6" s="51" t="b">
        <v>1</v>
      </c>
      <c r="C6" s="52" t="b">
        <v>1</v>
      </c>
      <c r="D6" s="26" t="s">
        <v>36</v>
      </c>
      <c r="E6" s="31" t="s">
        <v>37</v>
      </c>
      <c r="F6" s="31" t="s">
        <v>38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/>
      <c r="C6" s="31"/>
      <c r="D6" s="26" t="s">
        <v>18</v>
      </c>
      <c r="E6" s="31"/>
      <c r="F6" s="31"/>
      <c r="G6" s="31"/>
      <c r="H6" s="31" t="s">
        <v>16</v>
      </c>
      <c r="I6" s="44">
        <v>50000</v>
      </c>
      <c r="J6" s="29">
        <v>10</v>
      </c>
      <c r="K6" s="29">
        <v>20</v>
      </c>
      <c r="L6" s="29">
        <v>0</v>
      </c>
      <c r="M6" s="31"/>
      <c r="N6" s="31"/>
      <c r="O6" s="31"/>
      <c r="P6" s="36">
        <v>0</v>
      </c>
      <c r="Q6" s="31"/>
      <c r="R6" s="31"/>
      <c r="S6" s="31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/>
      <c r="C7" s="32"/>
      <c r="D7" s="40" t="s">
        <v>20</v>
      </c>
      <c r="E7" s="32"/>
      <c r="F7" s="40"/>
      <c r="G7" s="31"/>
      <c r="H7" s="31" t="s">
        <v>16</v>
      </c>
      <c r="I7" s="44">
        <v>50000</v>
      </c>
      <c r="J7" s="34">
        <v>11</v>
      </c>
      <c r="K7" s="34">
        <v>20</v>
      </c>
      <c r="L7" s="34">
        <v>0</v>
      </c>
      <c r="M7" s="32"/>
      <c r="N7" s="32"/>
      <c r="O7" s="32"/>
      <c r="P7" s="37">
        <v>0</v>
      </c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40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16</v>
      </c>
      <c r="C6" s="43" t="s">
        <v>42</v>
      </c>
      <c r="D6" s="44">
        <v>50000</v>
      </c>
      <c r="E6" s="44">
        <v>50000</v>
      </c>
      <c r="F6" s="31"/>
      <c r="G6" s="31" t="s">
        <v>43</v>
      </c>
      <c r="H6" s="44">
        <v>50000</v>
      </c>
      <c r="I6" s="29">
        <v>10</v>
      </c>
      <c r="J6" s="29">
        <v>10</v>
      </c>
      <c r="K6" s="31" t="s">
        <v>19</v>
      </c>
      <c r="L6" s="31" t="s">
        <v>18</v>
      </c>
      <c r="M6" s="31"/>
      <c r="N6" s="31"/>
      <c r="O6" s="29">
        <v>0</v>
      </c>
      <c r="P6" s="31"/>
      <c r="Q6" s="31"/>
      <c r="R6" s="31"/>
      <c r="S6" s="31"/>
      <c r="T6" s="32"/>
      <c r="U6" s="32"/>
      <c r="V6" s="32"/>
      <c r="W6" s="32" t="s">
        <v>23</v>
      </c>
      <c r="X6" s="32"/>
      <c r="Y6" s="32"/>
      <c r="Z6" s="32"/>
      <c r="AA6" s="32"/>
      <c r="AB6" s="32"/>
      <c r="AC6" s="37">
        <v>0</v>
      </c>
      <c r="AD6" s="38">
        <v>-500000</v>
      </c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1"/>
      <c r="B7" s="31" t="s">
        <v>16</v>
      </c>
      <c r="C7" s="43" t="s">
        <v>42</v>
      </c>
      <c r="D7" s="48">
        <v>50000</v>
      </c>
      <c r="E7" s="48">
        <v>50000</v>
      </c>
      <c r="F7" s="32"/>
      <c r="G7" s="32" t="s">
        <v>43</v>
      </c>
      <c r="H7" s="48">
        <v>50000</v>
      </c>
      <c r="I7" s="34">
        <v>11</v>
      </c>
      <c r="J7" s="34">
        <v>11</v>
      </c>
      <c r="K7" s="32" t="s">
        <v>19</v>
      </c>
      <c r="L7" s="32" t="s">
        <v>20</v>
      </c>
      <c r="M7" s="32"/>
      <c r="N7" s="32"/>
      <c r="O7" s="34">
        <v>0</v>
      </c>
      <c r="P7" s="32"/>
      <c r="Q7" s="32"/>
      <c r="R7" s="32"/>
      <c r="S7" s="32"/>
      <c r="T7" s="32"/>
      <c r="U7" s="32"/>
      <c r="V7" s="32"/>
      <c r="W7" s="32" t="s">
        <v>23</v>
      </c>
      <c r="X7" s="32"/>
      <c r="Y7" s="32"/>
      <c r="Z7" s="32"/>
      <c r="AA7" s="32"/>
      <c r="AB7" s="32"/>
      <c r="AC7" s="37">
        <v>0</v>
      </c>
      <c r="AD7" s="38">
        <v>-550000</v>
      </c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32"/>
      <c r="B8" s="32" t="s">
        <v>16</v>
      </c>
      <c r="C8" s="39" t="s">
        <v>29</v>
      </c>
      <c r="D8" s="48">
        <v>100000</v>
      </c>
      <c r="E8" s="48">
        <v>100000</v>
      </c>
      <c r="F8" s="32"/>
      <c r="G8" s="32" t="s">
        <v>43</v>
      </c>
      <c r="H8" s="48">
        <v>100000</v>
      </c>
      <c r="I8" s="34">
        <v>20</v>
      </c>
      <c r="J8" s="34">
        <v>20</v>
      </c>
      <c r="K8" s="32" t="s">
        <v>19</v>
      </c>
      <c r="L8" s="32" t="s">
        <v>44</v>
      </c>
      <c r="M8" s="32"/>
      <c r="N8" s="32"/>
      <c r="O8" s="34">
        <v>0</v>
      </c>
      <c r="P8" s="32"/>
      <c r="Q8" s="32"/>
      <c r="R8" s="32"/>
      <c r="S8" s="32"/>
      <c r="T8" s="32"/>
      <c r="U8" s="32"/>
      <c r="V8" s="32"/>
      <c r="W8" s="32" t="s">
        <v>23</v>
      </c>
      <c r="X8" s="32"/>
      <c r="Y8" s="32"/>
      <c r="Z8" s="32"/>
      <c r="AA8" s="32"/>
      <c r="AB8" s="32"/>
      <c r="AC8" s="37">
        <v>0</v>
      </c>
      <c r="AD8" s="38">
        <v>2000000</v>
      </c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45</v>
      </c>
      <c r="D3" s="2" t="s">
        <v>9</v>
      </c>
      <c r="E3" s="17" t="s">
        <v>46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32</v>
      </c>
      <c r="C6" s="5"/>
      <c r="D6" s="7"/>
      <c r="E6" s="42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45</v>
      </c>
      <c r="D3" s="2" t="s">
        <v>9</v>
      </c>
      <c r="E3" s="17" t="s">
        <v>47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18</v>
      </c>
      <c r="C6" s="31"/>
      <c r="D6" s="26"/>
      <c r="E6" s="53">
        <v>50000</v>
      </c>
      <c r="F6" s="31"/>
      <c r="G6" s="31" t="s">
        <v>23</v>
      </c>
      <c r="H6" s="29">
        <v>0</v>
      </c>
      <c r="I6" s="29">
        <v>0</v>
      </c>
      <c r="J6" s="31"/>
      <c r="K6" s="29">
        <v>0</v>
      </c>
      <c r="L6" s="29">
        <v>10</v>
      </c>
      <c r="M6" s="31"/>
      <c r="N6" s="31"/>
      <c r="O6" s="31" t="s">
        <v>19</v>
      </c>
      <c r="P6" s="31"/>
      <c r="Q6" s="31"/>
      <c r="R6" s="36">
        <v>0</v>
      </c>
      <c r="S6" s="54" t="s">
        <v>48</v>
      </c>
      <c r="T6" s="37">
        <v>0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55">
        <v>50000</v>
      </c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7">
        <v>0</v>
      </c>
      <c r="AU6" s="55">
        <v>500000</v>
      </c>
      <c r="AV6" s="32"/>
      <c r="AW6" s="37">
        <v>0</v>
      </c>
      <c r="AX6" s="32"/>
      <c r="AY6" s="32" t="s">
        <v>49</v>
      </c>
      <c r="AZ6" s="37">
        <v>0</v>
      </c>
      <c r="BA6" s="32"/>
      <c r="BB6" s="32"/>
      <c r="BC6" s="37">
        <v>0</v>
      </c>
      <c r="BD6" s="32"/>
      <c r="BE6" s="37">
        <v>0</v>
      </c>
      <c r="BF6" s="55">
        <v>500000</v>
      </c>
      <c r="BG6" s="32"/>
      <c r="BH6" s="32"/>
      <c r="BI6" s="32"/>
      <c r="BJ6" s="55">
        <v>50000</v>
      </c>
      <c r="BK6" s="37">
        <v>0</v>
      </c>
      <c r="BL6" s="32"/>
      <c r="BM6" s="32"/>
      <c r="BN6" s="32"/>
      <c r="BO6" s="39" t="s">
        <v>17</v>
      </c>
      <c r="BP6" s="32"/>
      <c r="BQ6" s="32"/>
      <c r="BR6" s="32"/>
      <c r="BS6" s="32"/>
      <c r="BT6" s="32" t="s">
        <v>16</v>
      </c>
      <c r="BU6" s="32"/>
      <c r="BV6" s="32"/>
      <c r="BW6" s="37">
        <v>0</v>
      </c>
      <c r="BX6" s="32"/>
      <c r="BY6" s="32"/>
      <c r="BZ6" s="32"/>
      <c r="CA6" s="32"/>
      <c r="CB6" s="32"/>
      <c r="CC6" s="32"/>
      <c r="CD6" s="32"/>
      <c r="CE6" s="32"/>
      <c r="CF6" s="32"/>
      <c r="CG6" s="37">
        <v>0</v>
      </c>
      <c r="CH6" s="32"/>
      <c r="CI6" s="32"/>
      <c r="CJ6" s="37">
        <v>0</v>
      </c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20</v>
      </c>
      <c r="C7" s="32"/>
      <c r="D7" s="32"/>
      <c r="E7" s="55">
        <v>50000</v>
      </c>
      <c r="F7" s="32"/>
      <c r="G7" s="32" t="s">
        <v>23</v>
      </c>
      <c r="H7" s="34">
        <v>0</v>
      </c>
      <c r="I7" s="34">
        <v>0</v>
      </c>
      <c r="J7" s="32"/>
      <c r="K7" s="34">
        <v>0</v>
      </c>
      <c r="L7" s="34">
        <v>11</v>
      </c>
      <c r="M7" s="32"/>
      <c r="N7" s="32"/>
      <c r="O7" s="32" t="s">
        <v>19</v>
      </c>
      <c r="P7" s="32"/>
      <c r="Q7" s="32"/>
      <c r="R7" s="37">
        <v>0</v>
      </c>
      <c r="S7" s="56" t="s">
        <v>48</v>
      </c>
      <c r="T7" s="37">
        <v>0</v>
      </c>
      <c r="U7" s="32"/>
      <c r="V7" s="32"/>
      <c r="W7" s="32"/>
      <c r="X7" s="32"/>
      <c r="Y7" s="32"/>
      <c r="Z7" s="32"/>
      <c r="AA7" s="32"/>
      <c r="AB7" s="32"/>
      <c r="AC7" s="32"/>
      <c r="AD7" s="32"/>
      <c r="AE7" s="55">
        <v>50000</v>
      </c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7">
        <v>0</v>
      </c>
      <c r="AU7" s="55">
        <v>550000</v>
      </c>
      <c r="AV7" s="32"/>
      <c r="AW7" s="37">
        <v>0</v>
      </c>
      <c r="AX7" s="32"/>
      <c r="AY7" s="32" t="s">
        <v>49</v>
      </c>
      <c r="AZ7" s="37">
        <v>0</v>
      </c>
      <c r="BA7" s="32"/>
      <c r="BB7" s="32"/>
      <c r="BC7" s="37">
        <v>0</v>
      </c>
      <c r="BD7" s="32"/>
      <c r="BE7" s="37">
        <v>0</v>
      </c>
      <c r="BF7" s="55">
        <v>550000</v>
      </c>
      <c r="BG7" s="32"/>
      <c r="BH7" s="32"/>
      <c r="BI7" s="32"/>
      <c r="BJ7" s="55">
        <v>50000</v>
      </c>
      <c r="BK7" s="37">
        <v>0</v>
      </c>
      <c r="BL7" s="32"/>
      <c r="BM7" s="32"/>
      <c r="BN7" s="32"/>
      <c r="BO7" s="39" t="s">
        <v>17</v>
      </c>
      <c r="BP7" s="32"/>
      <c r="BQ7" s="32"/>
      <c r="BR7" s="32"/>
      <c r="BS7" s="32"/>
      <c r="BT7" s="32" t="s">
        <v>16</v>
      </c>
      <c r="BU7" s="32"/>
      <c r="BV7" s="32"/>
      <c r="BW7" s="37">
        <v>0</v>
      </c>
      <c r="BX7" s="32"/>
      <c r="BY7" s="32"/>
      <c r="BZ7" s="32"/>
      <c r="CA7" s="32"/>
      <c r="CB7" s="32"/>
      <c r="CC7" s="32"/>
      <c r="CD7" s="32"/>
      <c r="CE7" s="32"/>
      <c r="CF7" s="32"/>
      <c r="CG7" s="37">
        <v>0</v>
      </c>
      <c r="CH7" s="32"/>
      <c r="CI7" s="32"/>
      <c r="CJ7" s="37">
        <v>0</v>
      </c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32"/>
      <c r="B8" s="32" t="s">
        <v>44</v>
      </c>
      <c r="C8" s="32"/>
      <c r="D8" s="32"/>
      <c r="E8" s="55">
        <v>100000</v>
      </c>
      <c r="F8" s="32"/>
      <c r="G8" s="32" t="s">
        <v>23</v>
      </c>
      <c r="H8" s="34">
        <v>0</v>
      </c>
      <c r="I8" s="34">
        <v>0</v>
      </c>
      <c r="J8" s="32"/>
      <c r="K8" s="34">
        <v>0</v>
      </c>
      <c r="L8" s="34">
        <v>20</v>
      </c>
      <c r="M8" s="32"/>
      <c r="N8" s="32"/>
      <c r="O8" s="32" t="s">
        <v>19</v>
      </c>
      <c r="P8" s="32"/>
      <c r="Q8" s="32"/>
      <c r="R8" s="37">
        <v>0</v>
      </c>
      <c r="S8" s="56" t="s">
        <v>48</v>
      </c>
      <c r="T8" s="37">
        <v>0</v>
      </c>
      <c r="U8" s="32"/>
      <c r="V8" s="32"/>
      <c r="W8" s="32"/>
      <c r="X8" s="32"/>
      <c r="Y8" s="32"/>
      <c r="Z8" s="32"/>
      <c r="AA8" s="32"/>
      <c r="AB8" s="32"/>
      <c r="AC8" s="32"/>
      <c r="AD8" s="32"/>
      <c r="AE8" s="55">
        <v>100000</v>
      </c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7">
        <v>0</v>
      </c>
      <c r="AU8" s="55">
        <v>2000000</v>
      </c>
      <c r="AV8" s="32"/>
      <c r="AW8" s="37">
        <v>0</v>
      </c>
      <c r="AX8" s="32"/>
      <c r="AY8" s="32" t="s">
        <v>49</v>
      </c>
      <c r="AZ8" s="37">
        <v>0</v>
      </c>
      <c r="BA8" s="32"/>
      <c r="BB8" s="32"/>
      <c r="BC8" s="37">
        <v>0</v>
      </c>
      <c r="BD8" s="32"/>
      <c r="BE8" s="37">
        <v>0</v>
      </c>
      <c r="BF8" s="55">
        <v>2000000</v>
      </c>
      <c r="BG8" s="32"/>
      <c r="BH8" s="32"/>
      <c r="BI8" s="32"/>
      <c r="BJ8" s="55">
        <v>100000</v>
      </c>
      <c r="BK8" s="37">
        <v>0</v>
      </c>
      <c r="BL8" s="32"/>
      <c r="BM8" s="32"/>
      <c r="BN8" s="32"/>
      <c r="BO8" s="39" t="s">
        <v>29</v>
      </c>
      <c r="BP8" s="32"/>
      <c r="BQ8" s="32"/>
      <c r="BR8" s="32"/>
      <c r="BS8" s="32"/>
      <c r="BT8" s="32" t="s">
        <v>16</v>
      </c>
      <c r="BU8" s="32"/>
      <c r="BV8" s="32"/>
      <c r="BW8" s="37">
        <v>0</v>
      </c>
      <c r="BX8" s="32"/>
      <c r="BY8" s="32"/>
      <c r="BZ8" s="32"/>
      <c r="CA8" s="32"/>
      <c r="CB8" s="32"/>
      <c r="CC8" s="32"/>
      <c r="CD8" s="32"/>
      <c r="CE8" s="32"/>
      <c r="CF8" s="32"/>
      <c r="CG8" s="37">
        <v>0</v>
      </c>
      <c r="CH8" s="32"/>
      <c r="CI8" s="32"/>
      <c r="CJ8" s="37">
        <v>0</v>
      </c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K16" sqref="BK1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3.5703125" customWidth="1"/>
    <col min="64" max="168" width="14.42578125" customWidth="1"/>
  </cols>
  <sheetData>
    <row r="1" spans="1:168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25"/>
      <c r="B6" s="26"/>
      <c r="C6" s="30" t="s">
        <v>16</v>
      </c>
      <c r="D6" s="35">
        <v>-50000</v>
      </c>
      <c r="E6" s="30" t="s">
        <v>18</v>
      </c>
      <c r="F6" s="31"/>
      <c r="G6" s="29">
        <v>10</v>
      </c>
      <c r="H6" s="31"/>
      <c r="I6" s="31"/>
      <c r="J6" s="31"/>
      <c r="K6" s="29">
        <v>0</v>
      </c>
      <c r="L6" s="31"/>
      <c r="M6" s="31"/>
      <c r="N6" s="29">
        <v>0</v>
      </c>
      <c r="O6" s="31"/>
      <c r="P6" s="31"/>
      <c r="Q6" s="36">
        <v>0</v>
      </c>
      <c r="R6" s="31"/>
      <c r="S6" s="31"/>
      <c r="T6" s="32" t="s">
        <v>23</v>
      </c>
      <c r="U6" s="32" t="s">
        <v>24</v>
      </c>
      <c r="V6" s="32"/>
      <c r="W6" s="32"/>
      <c r="X6" s="32"/>
      <c r="Y6" s="32"/>
      <c r="Z6" s="32"/>
      <c r="AA6" s="32"/>
      <c r="AB6" s="37">
        <v>0</v>
      </c>
      <c r="AC6" s="32"/>
      <c r="AD6" s="37">
        <v>0</v>
      </c>
      <c r="AE6" s="37">
        <v>0</v>
      </c>
      <c r="AF6" s="35">
        <v>-50000</v>
      </c>
      <c r="AG6" s="37">
        <v>0</v>
      </c>
      <c r="AH6" s="37">
        <v>0</v>
      </c>
      <c r="AI6" s="37">
        <v>0</v>
      </c>
      <c r="AJ6" s="37">
        <v>0</v>
      </c>
      <c r="AK6" s="38">
        <v>500000</v>
      </c>
      <c r="AL6" s="37">
        <v>1</v>
      </c>
      <c r="AM6" s="32"/>
      <c r="AN6" s="39" t="s">
        <v>17</v>
      </c>
      <c r="AO6" s="32"/>
      <c r="AP6" s="32" t="s">
        <v>25</v>
      </c>
      <c r="AQ6" s="32" t="s">
        <v>16</v>
      </c>
      <c r="AR6" s="32"/>
      <c r="AS6" s="32"/>
      <c r="AT6" s="32"/>
      <c r="AU6" s="32"/>
      <c r="AV6" s="32"/>
      <c r="AW6" s="32"/>
      <c r="AX6" s="37">
        <v>0</v>
      </c>
      <c r="AY6" s="37">
        <v>0</v>
      </c>
      <c r="AZ6" s="37">
        <v>0</v>
      </c>
      <c r="BA6" s="32"/>
      <c r="BB6" s="32"/>
      <c r="BC6" s="32"/>
      <c r="BD6" s="38">
        <v>500000</v>
      </c>
      <c r="BE6" s="32"/>
      <c r="BF6" s="32"/>
      <c r="BG6" s="32"/>
      <c r="BH6" s="32"/>
      <c r="BI6" s="32"/>
      <c r="BJ6" s="37">
        <v>0</v>
      </c>
      <c r="BK6" s="37">
        <v>0</v>
      </c>
      <c r="BL6" s="37">
        <v>0</v>
      </c>
      <c r="BM6" s="37">
        <v>0</v>
      </c>
      <c r="BN6" s="32"/>
      <c r="BO6" s="37">
        <v>0</v>
      </c>
      <c r="BP6" s="37">
        <v>0</v>
      </c>
      <c r="BQ6" s="32"/>
      <c r="BR6" s="32" t="s">
        <v>19</v>
      </c>
      <c r="BS6" s="37">
        <v>0</v>
      </c>
      <c r="BT6" s="37">
        <v>0</v>
      </c>
      <c r="BU6" s="32"/>
      <c r="BV6" s="32"/>
      <c r="BW6" s="37">
        <v>0</v>
      </c>
      <c r="BX6" s="37">
        <v>0</v>
      </c>
      <c r="BY6" s="37">
        <v>0</v>
      </c>
      <c r="BZ6" s="37">
        <v>0</v>
      </c>
      <c r="CA6" s="37">
        <v>0</v>
      </c>
      <c r="CB6" s="32"/>
      <c r="CC6" s="37">
        <v>0</v>
      </c>
      <c r="CD6" s="37">
        <v>0</v>
      </c>
      <c r="CE6" s="37">
        <v>0</v>
      </c>
      <c r="CF6" s="37">
        <v>0</v>
      </c>
      <c r="CG6" s="37">
        <v>0</v>
      </c>
      <c r="CH6" s="37">
        <v>0</v>
      </c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7">
        <v>0</v>
      </c>
      <c r="DF6" s="37">
        <v>0</v>
      </c>
      <c r="DG6" s="37">
        <v>0</v>
      </c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7">
        <v>0</v>
      </c>
      <c r="EH6" s="37">
        <v>0</v>
      </c>
      <c r="EI6" s="37">
        <v>0</v>
      </c>
      <c r="EJ6" s="37">
        <v>0</v>
      </c>
      <c r="EK6" s="37">
        <v>0</v>
      </c>
      <c r="EL6" s="32"/>
      <c r="EM6" s="37">
        <v>0</v>
      </c>
      <c r="EN6" s="37">
        <v>0</v>
      </c>
      <c r="EO6" s="37">
        <v>0</v>
      </c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</row>
    <row r="7" spans="1:168" ht="15.75" customHeight="1">
      <c r="A7" s="32"/>
      <c r="B7" s="32"/>
      <c r="C7" s="40" t="s">
        <v>16</v>
      </c>
      <c r="D7" s="41">
        <v>-50000</v>
      </c>
      <c r="E7" s="40" t="s">
        <v>20</v>
      </c>
      <c r="F7" s="32"/>
      <c r="G7" s="34">
        <v>11</v>
      </c>
      <c r="H7" s="32"/>
      <c r="I7" s="32"/>
      <c r="J7" s="32"/>
      <c r="K7" s="34">
        <v>0</v>
      </c>
      <c r="L7" s="32"/>
      <c r="M7" s="32"/>
      <c r="N7" s="34">
        <v>0</v>
      </c>
      <c r="O7" s="32"/>
      <c r="P7" s="32"/>
      <c r="Q7" s="37">
        <v>0</v>
      </c>
      <c r="R7" s="32"/>
      <c r="S7" s="32"/>
      <c r="T7" s="32" t="s">
        <v>23</v>
      </c>
      <c r="U7" s="32" t="s">
        <v>24</v>
      </c>
      <c r="V7" s="32"/>
      <c r="W7" s="32"/>
      <c r="X7" s="32"/>
      <c r="Y7" s="32"/>
      <c r="Z7" s="32"/>
      <c r="AA7" s="32"/>
      <c r="AB7" s="37">
        <v>0</v>
      </c>
      <c r="AC7" s="32"/>
      <c r="AD7" s="37">
        <v>0</v>
      </c>
      <c r="AE7" s="37">
        <v>0</v>
      </c>
      <c r="AF7" s="41">
        <v>-50000</v>
      </c>
      <c r="AG7" s="37">
        <v>0</v>
      </c>
      <c r="AH7" s="37">
        <v>0</v>
      </c>
      <c r="AI7" s="37">
        <v>0</v>
      </c>
      <c r="AJ7" s="37">
        <v>0</v>
      </c>
      <c r="AK7" s="38">
        <v>550000</v>
      </c>
      <c r="AL7" s="37">
        <v>1</v>
      </c>
      <c r="AM7" s="32"/>
      <c r="AN7" s="39" t="s">
        <v>17</v>
      </c>
      <c r="AO7" s="32"/>
      <c r="AP7" s="32" t="s">
        <v>25</v>
      </c>
      <c r="AQ7" s="32" t="s">
        <v>16</v>
      </c>
      <c r="AR7" s="32"/>
      <c r="AS7" s="32"/>
      <c r="AT7" s="32"/>
      <c r="AU7" s="32"/>
      <c r="AV7" s="32"/>
      <c r="AW7" s="32"/>
      <c r="AX7" s="37">
        <v>0</v>
      </c>
      <c r="AY7" s="37">
        <v>0</v>
      </c>
      <c r="AZ7" s="37">
        <v>0</v>
      </c>
      <c r="BA7" s="32"/>
      <c r="BB7" s="32"/>
      <c r="BC7" s="32"/>
      <c r="BD7" s="38">
        <v>550000</v>
      </c>
      <c r="BE7" s="32"/>
      <c r="BF7" s="32"/>
      <c r="BG7" s="32"/>
      <c r="BH7" s="32"/>
      <c r="BI7" s="32"/>
      <c r="BJ7" s="37">
        <v>0</v>
      </c>
      <c r="BK7" s="37">
        <v>0</v>
      </c>
      <c r="BL7" s="37">
        <v>0</v>
      </c>
      <c r="BM7" s="37">
        <v>0</v>
      </c>
      <c r="BN7" s="32"/>
      <c r="BO7" s="37">
        <v>0</v>
      </c>
      <c r="BP7" s="37">
        <v>0</v>
      </c>
      <c r="BQ7" s="32"/>
      <c r="BR7" s="32" t="s">
        <v>19</v>
      </c>
      <c r="BS7" s="37">
        <v>0</v>
      </c>
      <c r="BT7" s="37">
        <v>0</v>
      </c>
      <c r="BU7" s="32"/>
      <c r="BV7" s="32"/>
      <c r="BW7" s="37">
        <v>0</v>
      </c>
      <c r="BX7" s="37">
        <v>0</v>
      </c>
      <c r="BY7" s="37">
        <v>0</v>
      </c>
      <c r="BZ7" s="37">
        <v>0</v>
      </c>
      <c r="CA7" s="37">
        <v>0</v>
      </c>
      <c r="CB7" s="32"/>
      <c r="CC7" s="37">
        <v>0</v>
      </c>
      <c r="CD7" s="37">
        <v>0</v>
      </c>
      <c r="CE7" s="37">
        <v>0</v>
      </c>
      <c r="CF7" s="37">
        <v>0</v>
      </c>
      <c r="CG7" s="37">
        <v>0</v>
      </c>
      <c r="CH7" s="37">
        <v>0</v>
      </c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7">
        <v>0</v>
      </c>
      <c r="DF7" s="37">
        <v>0</v>
      </c>
      <c r="DG7" s="37">
        <v>0</v>
      </c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7">
        <v>0</v>
      </c>
      <c r="EH7" s="37">
        <v>0</v>
      </c>
      <c r="EI7" s="37">
        <v>0</v>
      </c>
      <c r="EJ7" s="37">
        <v>0</v>
      </c>
      <c r="EK7" s="37">
        <v>0</v>
      </c>
      <c r="EL7" s="32"/>
      <c r="EM7" s="37">
        <v>0</v>
      </c>
      <c r="EN7" s="37">
        <v>0</v>
      </c>
      <c r="EO7" s="37">
        <v>0</v>
      </c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</row>
    <row r="8" spans="1:168" ht="15.75" customHeight="1">
      <c r="A8" s="32"/>
      <c r="B8" s="32"/>
      <c r="C8" s="32" t="s">
        <v>16</v>
      </c>
      <c r="D8" s="41">
        <v>50000</v>
      </c>
      <c r="E8" s="32" t="s">
        <v>18</v>
      </c>
      <c r="F8" s="32"/>
      <c r="G8" s="34">
        <v>20</v>
      </c>
      <c r="H8" s="32"/>
      <c r="I8" s="32"/>
      <c r="J8" s="32"/>
      <c r="K8" s="34">
        <v>0</v>
      </c>
      <c r="L8" s="32"/>
      <c r="M8" s="32"/>
      <c r="N8" s="34">
        <v>0</v>
      </c>
      <c r="O8" s="32"/>
      <c r="P8" s="32"/>
      <c r="Q8" s="37">
        <v>0</v>
      </c>
      <c r="R8" s="32"/>
      <c r="S8" s="32"/>
      <c r="T8" s="32" t="s">
        <v>23</v>
      </c>
      <c r="U8" s="32" t="s">
        <v>24</v>
      </c>
      <c r="V8" s="32"/>
      <c r="W8" s="32"/>
      <c r="X8" s="32"/>
      <c r="Y8" s="32"/>
      <c r="Z8" s="32"/>
      <c r="AA8" s="32"/>
      <c r="AB8" s="37">
        <v>0</v>
      </c>
      <c r="AC8" s="32"/>
      <c r="AD8" s="37">
        <v>0</v>
      </c>
      <c r="AE8" s="37">
        <v>0</v>
      </c>
      <c r="AF8" s="41">
        <v>50000</v>
      </c>
      <c r="AG8" s="37">
        <v>0</v>
      </c>
      <c r="AH8" s="37">
        <v>0</v>
      </c>
      <c r="AI8" s="37">
        <v>0</v>
      </c>
      <c r="AJ8" s="37">
        <v>0</v>
      </c>
      <c r="AK8" s="38">
        <v>-1000000</v>
      </c>
      <c r="AL8" s="37">
        <v>1</v>
      </c>
      <c r="AM8" s="32"/>
      <c r="AN8" s="39" t="s">
        <v>29</v>
      </c>
      <c r="AO8" s="32"/>
      <c r="AP8" s="39" t="s">
        <v>50</v>
      </c>
      <c r="AQ8" s="32" t="s">
        <v>16</v>
      </c>
      <c r="AR8" s="32"/>
      <c r="AS8" s="32"/>
      <c r="AT8" s="32"/>
      <c r="AU8" s="32"/>
      <c r="AV8" s="32"/>
      <c r="AW8" s="32"/>
      <c r="AX8" s="37">
        <v>0</v>
      </c>
      <c r="AY8" s="37">
        <v>0</v>
      </c>
      <c r="AZ8" s="37">
        <v>0</v>
      </c>
      <c r="BA8" s="32"/>
      <c r="BB8" s="32"/>
      <c r="BC8" s="32"/>
      <c r="BD8" s="38">
        <v>-1000000</v>
      </c>
      <c r="BE8" s="32"/>
      <c r="BF8" s="32"/>
      <c r="BG8" s="32"/>
      <c r="BH8" s="32"/>
      <c r="BI8" s="32"/>
      <c r="BJ8" s="37">
        <v>0</v>
      </c>
      <c r="BK8" s="37">
        <v>0</v>
      </c>
      <c r="BL8" s="37">
        <v>0</v>
      </c>
      <c r="BM8" s="37">
        <v>0</v>
      </c>
      <c r="BN8" s="32"/>
      <c r="BO8" s="37">
        <v>0</v>
      </c>
      <c r="BP8" s="37">
        <v>0</v>
      </c>
      <c r="BQ8" s="32"/>
      <c r="BR8" s="32" t="s">
        <v>19</v>
      </c>
      <c r="BS8" s="37">
        <v>0</v>
      </c>
      <c r="BT8" s="37">
        <v>0</v>
      </c>
      <c r="BU8" s="32"/>
      <c r="BV8" s="32"/>
      <c r="BW8" s="37">
        <v>0</v>
      </c>
      <c r="BX8" s="37">
        <v>0</v>
      </c>
      <c r="BY8" s="37">
        <v>0</v>
      </c>
      <c r="BZ8" s="37">
        <v>0</v>
      </c>
      <c r="CA8" s="37">
        <v>0</v>
      </c>
      <c r="CB8" s="32"/>
      <c r="CC8" s="37">
        <v>0</v>
      </c>
      <c r="CD8" s="37">
        <v>0</v>
      </c>
      <c r="CE8" s="37">
        <v>0</v>
      </c>
      <c r="CF8" s="37">
        <v>0</v>
      </c>
      <c r="CG8" s="37">
        <v>0</v>
      </c>
      <c r="CH8" s="37">
        <v>0</v>
      </c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7">
        <v>0</v>
      </c>
      <c r="DF8" s="37">
        <v>0</v>
      </c>
      <c r="DG8" s="37">
        <v>0</v>
      </c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7">
        <v>0</v>
      </c>
      <c r="EH8" s="37">
        <v>0</v>
      </c>
      <c r="EI8" s="37">
        <v>0</v>
      </c>
      <c r="EJ8" s="37">
        <v>0</v>
      </c>
      <c r="EK8" s="37">
        <v>0</v>
      </c>
      <c r="EL8" s="32"/>
      <c r="EM8" s="37">
        <v>0</v>
      </c>
      <c r="EN8" s="37">
        <v>0</v>
      </c>
      <c r="EO8" s="37">
        <v>0</v>
      </c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</row>
    <row r="9" spans="1:168" ht="15.75" customHeight="1">
      <c r="A9" s="32"/>
      <c r="B9" s="32"/>
      <c r="C9" s="32" t="s">
        <v>16</v>
      </c>
      <c r="D9" s="41">
        <v>50000</v>
      </c>
      <c r="E9" s="32" t="s">
        <v>20</v>
      </c>
      <c r="F9" s="32"/>
      <c r="G9" s="34">
        <v>20</v>
      </c>
      <c r="H9" s="32"/>
      <c r="I9" s="32"/>
      <c r="J9" s="32"/>
      <c r="K9" s="34">
        <v>0</v>
      </c>
      <c r="L9" s="32"/>
      <c r="M9" s="32"/>
      <c r="N9" s="34">
        <v>0</v>
      </c>
      <c r="O9" s="32"/>
      <c r="P9" s="32"/>
      <c r="Q9" s="37">
        <v>0</v>
      </c>
      <c r="R9" s="32"/>
      <c r="S9" s="32"/>
      <c r="T9" s="32" t="s">
        <v>23</v>
      </c>
      <c r="U9" s="32" t="s">
        <v>24</v>
      </c>
      <c r="V9" s="32"/>
      <c r="W9" s="32"/>
      <c r="X9" s="32"/>
      <c r="Y9" s="32"/>
      <c r="Z9" s="32"/>
      <c r="AA9" s="32"/>
      <c r="AB9" s="37">
        <v>0</v>
      </c>
      <c r="AC9" s="32"/>
      <c r="AD9" s="37">
        <v>0</v>
      </c>
      <c r="AE9" s="37">
        <v>0</v>
      </c>
      <c r="AF9" s="41">
        <v>50000</v>
      </c>
      <c r="AG9" s="37">
        <v>0</v>
      </c>
      <c r="AH9" s="37">
        <v>0</v>
      </c>
      <c r="AI9" s="37">
        <v>0</v>
      </c>
      <c r="AJ9" s="37">
        <v>0</v>
      </c>
      <c r="AK9" s="38">
        <v>-1000000</v>
      </c>
      <c r="AL9" s="37">
        <v>1</v>
      </c>
      <c r="AM9" s="32"/>
      <c r="AN9" s="39" t="s">
        <v>29</v>
      </c>
      <c r="AO9" s="32"/>
      <c r="AP9" s="39" t="s">
        <v>50</v>
      </c>
      <c r="AQ9" s="32" t="s">
        <v>16</v>
      </c>
      <c r="AR9" s="32"/>
      <c r="AS9" s="32"/>
      <c r="AT9" s="32"/>
      <c r="AU9" s="32"/>
      <c r="AV9" s="32"/>
      <c r="AW9" s="32"/>
      <c r="AX9" s="37">
        <v>0</v>
      </c>
      <c r="AY9" s="37">
        <v>0</v>
      </c>
      <c r="AZ9" s="37">
        <v>0</v>
      </c>
      <c r="BA9" s="32"/>
      <c r="BB9" s="32"/>
      <c r="BC9" s="32"/>
      <c r="BD9" s="38">
        <v>-1000000</v>
      </c>
      <c r="BE9" s="32"/>
      <c r="BF9" s="32"/>
      <c r="BG9" s="32"/>
      <c r="BH9" s="32"/>
      <c r="BI9" s="32"/>
      <c r="BJ9" s="37">
        <v>0</v>
      </c>
      <c r="BK9" s="37">
        <v>0</v>
      </c>
      <c r="BL9" s="37">
        <v>0</v>
      </c>
      <c r="BM9" s="37">
        <v>0</v>
      </c>
      <c r="BN9" s="32"/>
      <c r="BO9" s="37">
        <v>0</v>
      </c>
      <c r="BP9" s="37">
        <v>0</v>
      </c>
      <c r="BQ9" s="32"/>
      <c r="BR9" s="32" t="s">
        <v>19</v>
      </c>
      <c r="BS9" s="37">
        <v>0</v>
      </c>
      <c r="BT9" s="37">
        <v>0</v>
      </c>
      <c r="BU9" s="32"/>
      <c r="BV9" s="32"/>
      <c r="BW9" s="37">
        <v>0</v>
      </c>
      <c r="BX9" s="37">
        <v>0</v>
      </c>
      <c r="BY9" s="37">
        <v>0</v>
      </c>
      <c r="BZ9" s="37">
        <v>0</v>
      </c>
      <c r="CA9" s="37">
        <v>0</v>
      </c>
      <c r="CB9" s="32"/>
      <c r="CC9" s="37">
        <v>0</v>
      </c>
      <c r="CD9" s="37">
        <v>0</v>
      </c>
      <c r="CE9" s="37">
        <v>0</v>
      </c>
      <c r="CF9" s="37">
        <v>0</v>
      </c>
      <c r="CG9" s="37">
        <v>0</v>
      </c>
      <c r="CH9" s="37">
        <v>0</v>
      </c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7">
        <v>0</v>
      </c>
      <c r="DF9" s="37">
        <v>0</v>
      </c>
      <c r="DG9" s="37">
        <v>0</v>
      </c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7">
        <v>0</v>
      </c>
      <c r="EH9" s="37">
        <v>0</v>
      </c>
      <c r="EI9" s="37">
        <v>0</v>
      </c>
      <c r="EJ9" s="37">
        <v>0</v>
      </c>
      <c r="EK9" s="37">
        <v>0</v>
      </c>
      <c r="EL9" s="32"/>
      <c r="EM9" s="37">
        <v>0</v>
      </c>
      <c r="EN9" s="37">
        <v>0</v>
      </c>
      <c r="EO9" s="37">
        <v>0</v>
      </c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AF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AF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CreateDoneAwayOrder</vt:lpstr>
      <vt:lpstr>CheckPortfolioManagement</vt:lpstr>
      <vt:lpstr>GroupRowPM</vt:lpstr>
      <vt:lpstr>ClosePositionFromPM</vt:lpstr>
      <vt:lpstr>CreateDoneAwayOrder1</vt:lpstr>
      <vt:lpstr>GetDataClosing</vt:lpstr>
      <vt:lpstr>VerifyLongPositionsGrid</vt:lpstr>
      <vt:lpstr>VerifyShortPositionsGrid</vt:lpstr>
      <vt:lpstr>AutomaticClosing</vt:lpstr>
      <vt:lpstr>VerifyClosedTrades</vt:lpstr>
      <vt:lpstr>VerifyWorkingSubs</vt:lpstr>
      <vt:lpstr>GetDataAllocation</vt:lpstr>
      <vt:lpstr>CheckAllocatedGroups</vt:lpstr>
      <vt:lpstr>CheckPortfolioManagement1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2021-08-04T11:25:17Z</dcterms:modified>
</cp:coreProperties>
</file>