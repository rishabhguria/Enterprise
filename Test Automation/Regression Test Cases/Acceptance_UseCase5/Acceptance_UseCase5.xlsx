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CreateComplianceOrder" sheetId="10" r:id="rId12"/>
    <sheet state="visible" name="VerifyComplianceOrder" sheetId="11" r:id="rId13"/>
    <sheet state="visible" name="SelectTrade1" sheetId="12" r:id="rId14"/>
    <sheet state="visible" name="AcknowledgeTrade1" sheetId="13" r:id="rId15"/>
    <sheet state="visible" name="CreateComplianceOrder1" sheetId="14" r:id="rId16"/>
    <sheet state="visible" name="VerifyComplianceOrder1" sheetId="15" r:id="rId17"/>
    <sheet state="visible" name="SelectTrade2" sheetId="16" r:id="rId18"/>
    <sheet state="visible" name="AcknowledgeTrade2" sheetId="17" r:id="rId19"/>
    <sheet state="visible" name="GetDataAllocation" sheetId="18" r:id="rId20"/>
    <sheet state="visible" name="CheckAllocatedGroups" sheetId="19" r:id="rId21"/>
    <sheet state="visible" name="GetDataClosing" sheetId="20" r:id="rId22"/>
    <sheet state="visible" name="VerifyLongPositionsGrid" sheetId="21" r:id="rId23"/>
    <sheet state="visible" name="FetchAccountPositions" sheetId="22" r:id="rId24"/>
    <sheet state="visible" name="VerifyGridData" sheetId="23" r:id="rId25"/>
    <sheet state="visible" name="GetActivityData" sheetId="24" r:id="rId26"/>
    <sheet state="visible" name="VerifyActivity" sheetId="25" r:id="rId27"/>
  </sheets>
  <definedNames/>
  <calcPr/>
</workbook>
</file>

<file path=xl/sharedStrings.xml><?xml version="1.0" encoding="utf-8"?>
<sst xmlns="http://schemas.openxmlformats.org/spreadsheetml/2006/main" count="617" uniqueCount="76">
  <si>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</si>
  <si>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</si>
  <si>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</si>
  <si>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</si>
  <si>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</si>
  <si>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</si>
  <si>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</si>
  <si>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</si>
  <si>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</si>
  <si>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</si>
  <si>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</si>
  <si>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</si>
  <si>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</si>
  <si>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</si>
  <si>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</si>
  <si>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</si>
  <si>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</si>
  <si>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</si>
  <si>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</si>
  <si>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</si>
  <si>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</si>
  <si>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</si>
  <si>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</si>
  <si>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</si>
  <si>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</si>
  <si>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</si>
  <si>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</si>
  <si>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CreateComplianceOrder</t>
  </si>
  <si>
    <t>Send</t>
  </si>
  <si>
    <t>VerifyComplianceOrder</t>
  </si>
  <si>
    <t>Soft</t>
  </si>
  <si>
    <t>Account_Symbol3</t>
  </si>
  <si>
    <t>Enter Summary</t>
  </si>
  <si>
    <t>Allocation1-AAPL</t>
  </si>
  <si>
    <t>Multiple</t>
  </si>
  <si>
    <t>quantity: 30.00, dayPnLBase: -100.00, dayPnLLocal: -100.00, netMarketValueBase: 150.00, netMarketValueLocal: 150.00, selectedFeedPrice: 5.00, accountNav: -100.00, AccountShortName: Allocation1, Symbol: AAPL</t>
  </si>
  <si>
    <t>quantity: 60.00, dayPnLBase: -150.00, dayPnLLocal: -150.00, netMarketValueBase: 300.00, netMarketValueLocal: 300.00, selectedFeedPrice: 5.00, accountNav: -150.00, AccountShortName: Allocation1, Symbol: AAPL</t>
  </si>
  <si>
    <t>Allocation</t>
  </si>
  <si>
    <t>GetDataAllocation</t>
  </si>
  <si>
    <t>Current</t>
  </si>
  <si>
    <t>CheckAllocatedGroups</t>
  </si>
  <si>
    <t/>
  </si>
  <si>
    <t>Allocation1</t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</si>
  <si>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</si>
  <si>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</si>
  <si>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</si>
  <si>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</si>
  <si>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</si>
  <si>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</si>
  <si>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</si>
  <si>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</si>
  <si>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</si>
  <si>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</si>
  <si>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</si>
  <si>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Market</t>
  </si>
  <si>
    <t>GCCAP1</t>
  </si>
  <si>
    <t>US</t>
  </si>
  <si>
    <t>jpearce</t>
  </si>
  <si>
    <t>NONE</t>
  </si>
  <si>
    <t>NewMF</t>
  </si>
  <si>
    <t>Closing</t>
  </si>
  <si>
    <t>GetDataClosing</t>
  </si>
  <si>
    <t>VerifyLongPositionsGrid</t>
  </si>
  <si>
    <t>Long</t>
  </si>
  <si>
    <t>Strategy Unallocated</t>
  </si>
  <si>
    <t>Rebalancer</t>
  </si>
  <si>
    <t>FetchAccountPositions</t>
  </si>
  <si>
    <t>Account</t>
  </si>
  <si>
    <t>VerifyGridData</t>
  </si>
  <si>
    <t>Small Cap</t>
  </si>
  <si>
    <t>GeneralLedger</t>
  </si>
  <si>
    <t>GetActivityData</t>
  </si>
  <si>
    <t>VerifyActivity</t>
  </si>
  <si>
    <t>EquityL</t>
  </si>
  <si>
    <t>Cash</t>
  </si>
  <si>
    <t>Trading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</si>
</sst>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Segoe UI"/>
    </font>
    <font>
      <sz val="9.0"/>
      <color rgb="FF000000"/>
      <name val="Segoe U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6" fontId="13" numFmtId="0" xfId="0" applyAlignment="1" applyBorder="1" applyFill="1" applyFont="1">
      <alignment vertical="top"/>
    </xf>
    <xf borderId="5" fillId="7" fontId="14" numFmtId="0" xfId="0" applyAlignment="1" applyBorder="1" applyFill="1" applyFont="1">
      <alignment vertical="top"/>
    </xf>
    <xf borderId="5" fillId="7" fontId="14" numFmtId="0" xfId="0" applyAlignment="1" applyBorder="1" applyFont="1">
      <alignment vertical="top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21</v>
      </c>
      <c r="C6" s="35" t="s">
        <v>22</v>
      </c>
      <c r="D6" s="36">
        <v>10.0</v>
      </c>
      <c r="E6" s="31"/>
      <c r="F6" s="31"/>
      <c r="G6" s="31"/>
      <c r="H6" s="31"/>
      <c r="I6" s="31"/>
      <c r="J6" s="37">
        <v>5.0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18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21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21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5.0</v>
      </c>
      <c r="C6" s="37">
        <v>10.0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21</v>
      </c>
      <c r="C6" s="35" t="s">
        <v>22</v>
      </c>
      <c r="D6" s="36">
        <v>20.0</v>
      </c>
      <c r="E6" s="31"/>
      <c r="F6" s="31"/>
      <c r="G6" s="31"/>
      <c r="H6" s="31"/>
      <c r="I6" s="31"/>
      <c r="J6" s="3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28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30</v>
      </c>
      <c r="C6" s="39" t="s">
        <v>31</v>
      </c>
      <c r="D6" s="40" t="s">
        <v>32</v>
      </c>
      <c r="E6" s="39" t="s">
        <v>33</v>
      </c>
      <c r="F6" s="39" t="s">
        <v>34</v>
      </c>
      <c r="G6" s="39" t="s">
        <v>34</v>
      </c>
      <c r="H6" s="39" t="s">
        <v>35</v>
      </c>
      <c r="I6" s="31"/>
      <c r="J6" s="31"/>
      <c r="K6" s="35" t="s">
        <v>18</v>
      </c>
      <c r="L6" s="31"/>
      <c r="M6" s="35" t="s">
        <v>28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21</v>
      </c>
      <c r="D6" s="30"/>
      <c r="E6" s="31"/>
      <c r="F6" s="31"/>
      <c r="G6" s="37">
        <v>20.0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21</v>
      </c>
      <c r="D6" s="30"/>
      <c r="E6" s="31"/>
      <c r="F6" s="31"/>
      <c r="G6" s="37">
        <v>20.0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21</v>
      </c>
      <c r="C6" s="35" t="s">
        <v>22</v>
      </c>
      <c r="D6" s="36">
        <v>30.0</v>
      </c>
      <c r="E6" s="31"/>
      <c r="F6" s="31"/>
      <c r="G6" s="31"/>
      <c r="H6" s="31"/>
      <c r="I6" s="31"/>
      <c r="J6" s="3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28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30</v>
      </c>
      <c r="C6" s="39" t="s">
        <v>31</v>
      </c>
      <c r="D6" s="40" t="s">
        <v>32</v>
      </c>
      <c r="E6" s="39" t="s">
        <v>33</v>
      </c>
      <c r="F6" s="39" t="s">
        <v>34</v>
      </c>
      <c r="G6" s="39" t="s">
        <v>34</v>
      </c>
      <c r="H6" s="39" t="s">
        <v>36</v>
      </c>
      <c r="I6" s="31"/>
      <c r="J6" s="31"/>
      <c r="K6" s="35" t="s">
        <v>18</v>
      </c>
      <c r="L6" s="31"/>
      <c r="M6" s="35" t="s">
        <v>28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21</v>
      </c>
      <c r="D6" s="30"/>
      <c r="E6" s="31"/>
      <c r="F6" s="31"/>
      <c r="G6" s="37">
        <v>30.0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21</v>
      </c>
      <c r="D6" s="30"/>
      <c r="E6" s="31"/>
      <c r="F6" s="31"/>
      <c r="G6" s="37">
        <v>30.0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41</v>
      </c>
      <c r="B6" s="42" t="s">
        <v>42</v>
      </c>
      <c r="C6" s="8" t="s">
        <v>43</v>
      </c>
      <c r="D6" s="42"/>
      <c r="E6" s="8">
        <v>10.0</v>
      </c>
      <c r="F6" s="8" t="s">
        <v>44</v>
      </c>
      <c r="G6" s="8" t="s">
        <v>45</v>
      </c>
      <c r="H6" s="8"/>
      <c r="I6" s="8"/>
      <c r="J6" s="8"/>
      <c r="K6" s="8">
        <v>5.0</v>
      </c>
      <c r="L6" s="8">
        <v>5.0</v>
      </c>
      <c r="M6" s="8" t="s">
        <v>46</v>
      </c>
      <c r="N6" s="8" t="s">
        <v>47</v>
      </c>
      <c r="O6" s="8" t="s">
        <v>48</v>
      </c>
      <c r="S6" t="s">
        <v>49</v>
      </c>
      <c r="V6" t="s">
        <v>50</v>
      </c>
      <c r="Y6" t="s">
        <v>41</v>
      </c>
      <c r="Z6" t="s">
        <v>51</v>
      </c>
      <c r="AA6" t="s">
        <v>21</v>
      </c>
      <c r="AD6" t="s">
        <v>52</v>
      </c>
      <c r="AE6">
        <v>10.0</v>
      </c>
      <c r="AF6" t="s">
        <v>41</v>
      </c>
      <c r="AH6" t="s">
        <v>53</v>
      </c>
      <c r="AT6">
        <v>64.0</v>
      </c>
      <c r="AU6">
        <v>64.0</v>
      </c>
      <c r="AY6" t="s">
        <v>54</v>
      </c>
      <c r="BE6">
        <v>50.0</v>
      </c>
      <c r="BF6">
        <v>50.0</v>
      </c>
      <c r="BJ6">
        <v>10.0</v>
      </c>
      <c r="BL6" t="s">
        <v>41</v>
      </c>
      <c r="BM6" t="s">
        <v>51</v>
      </c>
      <c r="BO6" t="s">
        <v>22</v>
      </c>
      <c r="BT6" t="s">
        <v>21</v>
      </c>
      <c r="BW6">
        <v>14.0</v>
      </c>
      <c r="CF6" t="s">
        <v>55</v>
      </c>
      <c r="CG6">
        <v>2.0</v>
      </c>
      <c r="CH6" t="s">
        <v>19</v>
      </c>
      <c r="CI6" t="s">
        <v>22</v>
      </c>
      <c r="CK6" t="s">
        <v>56</v>
      </c>
      <c r="CL6">
        <v>1.0</v>
      </c>
      <c r="CM6" t="s">
        <v>21</v>
      </c>
      <c r="CN6" t="s">
        <v>57</v>
      </c>
      <c r="CO6" t="s">
        <v>52</v>
      </c>
      <c r="CP6" t="s">
        <v>58</v>
      </c>
      <c r="CS6" t="s">
        <v>41</v>
      </c>
      <c r="CX6" t="s">
        <v>59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 t="str">
        <f>IFERROR(__xludf.DUMMYFUNCTION("""COMPUTED_VALUE"""),"CustomUDA1")</f>
        <v>CustomUDA1</v>
      </c>
      <c r="AC5" s="29" t="str">
        <f>IFERROR(__xludf.DUMMYFUNCTION("""COMPUTED_VALUE"""),"CustomUDA2")</f>
        <v>CustomUDA2</v>
      </c>
      <c r="AD5" s="29" t="str">
        <f>IFERROR(__xludf.DUMMYFUNCTION("""COMPUTED_VALUE"""),"CustomUDA3")</f>
        <v>CustomUDA3</v>
      </c>
      <c r="AE5" s="29" t="str">
        <f>IFERROR(__xludf.DUMMYFUNCTION("""COMPUTED_VALUE"""),"CustomUDA4")</f>
        <v>CustomUDA4</v>
      </c>
      <c r="AF5" s="29" t="str">
        <f>IFERROR(__xludf.DUMMYFUNCTION("""COMPUTED_VALUE"""),"CustomUDA5")</f>
        <v>CustomUDA5</v>
      </c>
      <c r="AG5" s="29" t="str">
        <f>IFERROR(__xludf.DUMMYFUNCTION("""COMPUTED_VALUE"""),"CustomUDA6")</f>
        <v>CustomUDA6</v>
      </c>
      <c r="AH5" s="29" t="str">
        <f>IFERROR(__xludf.DUMMYFUNCTION("""COMPUTED_VALUE"""),"CustomUDA7")</f>
        <v>CustomUDA7</v>
      </c>
      <c r="AI5" s="29" t="str">
        <f>IFERROR(__xludf.DUMMYFUNCTION("""COMPUTED_VALUE"""),"CustomUDA8")</f>
        <v>CustomUDA8</v>
      </c>
      <c r="AJ5" s="29" t="str">
        <f>IFERROR(__xludf.DUMMYFUNCTION("""COMPUTED_VALUE"""),"CustomUDA9")</f>
        <v>CustomUDA9</v>
      </c>
      <c r="AK5" s="29" t="str">
        <f>IFERROR(__xludf.DUMMYFUNCTION("""COMPUTED_VALUE"""),"CustomUDA10")</f>
        <v>CustomUDA10</v>
      </c>
      <c r="AL5" s="29" t="str">
        <f>IFERROR(__xludf.DUMMYFUNCTION("""COMPUTED_VALUE"""),"CustomUDA11")</f>
        <v>CustomUDA11</v>
      </c>
      <c r="AM5" s="29" t="str">
        <f>IFERROR(__xludf.DUMMYFUNCTION("""COMPUTED_VALUE"""),"CustomUDA12")</f>
        <v>CustomUDA12</v>
      </c>
      <c r="AN5" s="29" t="str">
        <f>IFERROR(__xludf.DUMMYFUNCTION("""COMPUTED_VALUE"""),"MandatoryColumn")</f>
        <v>MandatoryColumn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41</v>
      </c>
      <c r="B6" s="42" t="s">
        <v>42</v>
      </c>
      <c r="C6" s="8" t="s">
        <v>45</v>
      </c>
      <c r="D6" s="42"/>
      <c r="E6" s="8"/>
      <c r="F6" s="8"/>
      <c r="G6" s="8"/>
      <c r="H6" s="8">
        <v>64.0</v>
      </c>
      <c r="I6" s="8">
        <v>5.0</v>
      </c>
      <c r="J6" s="8"/>
      <c r="K6" s="8" t="s">
        <v>63</v>
      </c>
      <c r="L6" s="8"/>
      <c r="M6" s="8">
        <v>10.0</v>
      </c>
      <c r="N6" s="8" t="s">
        <v>50</v>
      </c>
      <c r="O6" s="8"/>
      <c r="P6" t="s">
        <v>22</v>
      </c>
      <c r="Q6" t="s">
        <v>64</v>
      </c>
      <c r="R6" t="s">
        <v>21</v>
      </c>
      <c r="V6" t="s">
        <v>22</v>
      </c>
      <c r="W6" t="s">
        <v>56</v>
      </c>
      <c r="Z6">
        <v>5.0</v>
      </c>
      <c r="AA6" t="s">
        <v>41</v>
      </c>
      <c r="AN6" t="s">
        <v>41</v>
      </c>
      <c r="AO6" t="s">
        <v>41</v>
      </c>
      <c r="AP6" t="s">
        <v>41</v>
      </c>
      <c r="AQ6" t="s">
        <v>41</v>
      </c>
      <c r="AR6" t="s">
        <v>41</v>
      </c>
      <c r="AS6" t="s">
        <v>41</v>
      </c>
      <c r="AT6" t="s">
        <v>41</v>
      </c>
      <c r="AU6" t="s">
        <v>41</v>
      </c>
      <c r="AV6" t="s">
        <v>41</v>
      </c>
      <c r="AW6" t="s">
        <v>41</v>
      </c>
      <c r="AX6" t="s">
        <v>41</v>
      </c>
      <c r="AY6" t="s">
        <v>41</v>
      </c>
      <c r="AZ6" t="s">
        <v>41</v>
      </c>
      <c r="BA6" t="s">
        <v>41</v>
      </c>
      <c r="BB6" t="s">
        <v>41</v>
      </c>
      <c r="BC6" t="s">
        <v>41</v>
      </c>
      <c r="BD6" t="s">
        <v>41</v>
      </c>
      <c r="BE6" t="s">
        <v>41</v>
      </c>
      <c r="BF6" t="s">
        <v>41</v>
      </c>
      <c r="BG6" t="s">
        <v>41</v>
      </c>
      <c r="BH6" t="s">
        <v>41</v>
      </c>
      <c r="BI6" t="s">
        <v>41</v>
      </c>
      <c r="BJ6" t="s">
        <v>41</v>
      </c>
      <c r="BK6" t="s">
        <v>41</v>
      </c>
      <c r="BL6" t="s">
        <v>41</v>
      </c>
      <c r="BM6" t="s">
        <v>41</v>
      </c>
      <c r="BN6" t="s">
        <v>41</v>
      </c>
      <c r="BO6" t="s">
        <v>41</v>
      </c>
      <c r="BP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59</v>
      </c>
      <c r="C6" s="8"/>
      <c r="D6" s="12" t="s">
        <v>67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41</v>
      </c>
      <c r="B6" s="42" t="s">
        <v>41</v>
      </c>
      <c r="C6" s="8" t="s">
        <v>42</v>
      </c>
      <c r="D6" s="42" t="s">
        <v>21</v>
      </c>
      <c r="E6" s="8" t="s">
        <v>45</v>
      </c>
      <c r="F6" s="8" t="s">
        <v>63</v>
      </c>
      <c r="G6" s="8"/>
      <c r="H6" s="8"/>
      <c r="I6" s="8">
        <v>1.0</v>
      </c>
      <c r="J6" s="8"/>
      <c r="K6" s="8">
        <v>10.0</v>
      </c>
      <c r="L6" s="8"/>
      <c r="M6" s="8"/>
      <c r="N6" s="8"/>
      <c r="O6" s="8">
        <v>10.0</v>
      </c>
      <c r="T6" t="s">
        <v>69</v>
      </c>
      <c r="W6">
        <v>1.0</v>
      </c>
      <c r="X6" t="s">
        <v>46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  <c r="AJ6" t="s">
        <v>41</v>
      </c>
      <c r="AK6" t="s">
        <v>41</v>
      </c>
      <c r="AL6" t="s">
        <v>41</v>
      </c>
      <c r="AM6" t="s">
        <v>41</v>
      </c>
      <c r="AN6" t="s">
        <v>41</v>
      </c>
      <c r="AO6" t="s">
        <v>41</v>
      </c>
      <c r="AP6" t="s">
        <v>41</v>
      </c>
      <c r="AQ6" t="s">
        <v>41</v>
      </c>
      <c r="AR6" t="s">
        <v>41</v>
      </c>
      <c r="AS6" t="s">
        <v>41</v>
      </c>
      <c r="AT6" t="s">
        <v>41</v>
      </c>
      <c r="AU6" t="s">
        <v>41</v>
      </c>
      <c r="AV6" t="s">
        <v>41</v>
      </c>
      <c r="AW6" t="s">
        <v>41</v>
      </c>
      <c r="AX6" t="s">
        <v>41</v>
      </c>
      <c r="AY6" t="s">
        <v>41</v>
      </c>
      <c r="AZ6" t="s">
        <v>41</v>
      </c>
      <c r="BA6" t="s">
        <v>41</v>
      </c>
      <c r="BB6" t="s">
        <v>41</v>
      </c>
      <c r="BC6" t="s">
        <v>41</v>
      </c>
      <c r="BD6" t="s">
        <v>41</v>
      </c>
      <c r="BE6" t="s">
        <v>41</v>
      </c>
      <c r="BF6" t="s">
        <v>41</v>
      </c>
      <c r="BG6" t="s">
        <v>41</v>
      </c>
      <c r="BH6" t="s">
        <v>41</v>
      </c>
      <c r="BI6" t="s">
        <v>41</v>
      </c>
      <c r="BJ6" t="s">
        <v>41</v>
      </c>
      <c r="BK6" t="s">
        <v>41</v>
      </c>
      <c r="BL6" t="s">
        <v>41</v>
      </c>
      <c r="BM6" t="s">
        <v>41</v>
      </c>
      <c r="BN6" t="s">
        <v>41</v>
      </c>
      <c r="BO6" t="s">
        <v>41</v>
      </c>
      <c r="BP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70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59</v>
      </c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70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8"/>
      <c r="D6" s="12" t="s">
        <v>73</v>
      </c>
      <c r="E6" s="9">
        <v>-64.0</v>
      </c>
      <c r="F6" s="12"/>
      <c r="G6" s="12"/>
      <c r="H6" s="12" t="s">
        <v>74</v>
      </c>
      <c r="I6" s="12"/>
      <c r="J6" s="12"/>
      <c r="K6" s="12" t="s">
        <v>51</v>
      </c>
      <c r="L6" s="8"/>
      <c r="M6" s="8"/>
      <c r="N6" s="8"/>
      <c r="O6" s="8"/>
      <c r="AB6" s="9" t="s">
        <v>21</v>
      </c>
      <c r="AG6" s="9" t="s">
        <v>75</v>
      </c>
    </row>
    <row r="7" ht="15.75" customHeight="1">
      <c r="A7" s="8"/>
      <c r="B7" s="12" t="s">
        <v>42</v>
      </c>
      <c r="C7" s="8"/>
      <c r="D7" s="12" t="s">
        <v>73</v>
      </c>
      <c r="E7" s="9">
        <v>-64.0</v>
      </c>
      <c r="F7" s="12"/>
      <c r="G7" s="12"/>
      <c r="H7" s="12" t="s">
        <v>74</v>
      </c>
      <c r="I7" s="12"/>
      <c r="J7" s="12"/>
      <c r="K7" s="12" t="s">
        <v>51</v>
      </c>
      <c r="L7" s="8"/>
      <c r="M7" s="8"/>
      <c r="N7" s="8"/>
      <c r="O7" s="8"/>
      <c r="AB7" s="9" t="s">
        <v>21</v>
      </c>
      <c r="AG7" s="9" t="s">
        <v>75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