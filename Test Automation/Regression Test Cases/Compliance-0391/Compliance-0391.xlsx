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EnableDisableModule" sheetId="5" r:id="rId7"/>
    <sheet state="visible" name="RestartReleasesAndServices" sheetId="6" r:id="rId8"/>
    <sheet state="visible" name="ImportOnShortLocate" sheetId="7" r:id="rId9"/>
    <sheet state="visible" name="CreateDoneAwayOrder" sheetId="8" r:id="rId10"/>
    <sheet state="visible" name="VerifyShortLocateGrid" sheetId="9" r:id="rId11"/>
    <sheet state="visible" name="LoginClient" sheetId="10" r:id="rId12"/>
    <sheet state="visible" name="ApproveorRejectpendingapproval" sheetId="11" r:id="rId13"/>
    <sheet state="visible" name="ApproveorRejectpendingapproval1" sheetId="12" r:id="rId14"/>
    <sheet state="visible" name="LoginClient1" sheetId="13" r:id="rId15"/>
    <sheet state="visible" name="VerifyShortLocateGrid1" sheetId="14" r:id="rId16"/>
    <sheet state="visible" name="SelectTradeOnOrderGrid" sheetId="15" r:id="rId17"/>
    <sheet state="visible" name="CancelSubOrder" sheetId="16" r:id="rId18"/>
    <sheet state="visible" name="SelectTradeOnOrderGrid1" sheetId="17" r:id="rId19"/>
    <sheet state="visible" name="CancelSubOrder1" sheetId="18" r:id="rId20"/>
    <sheet state="visible" name="VerifyShortLocateGrid2" sheetId="19" r:id="rId21"/>
  </sheets>
  <definedNames/>
  <calcPr/>
</workbook>
</file>

<file path=xl/sharedStrings.xml><?xml version="1.0" encoding="utf-8"?>
<sst xmlns="http://schemas.openxmlformats.org/spreadsheetml/2006/main" count="165" uniqueCount="45">
  <si>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</si>
  <si>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</si>
  <si>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</si>
  <si>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</si>
  <si>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</si>
  <si>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</si>
  <si>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</si>
  <si>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</si>
  <si>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</si>
  <si>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</si>
  <si>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</si>
  <si>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</si>
  <si>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</si>
  <si>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</si>
  <si>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</si>
  <si>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</si>
  <si>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TradeQuantity-123</t>
  </si>
  <si>
    <t>REQUIRES APPROVAL</t>
  </si>
  <si>
    <t>EnableDisableModule</t>
  </si>
  <si>
    <t>Short Locate</t>
  </si>
  <si>
    <t>Compliance</t>
  </si>
  <si>
    <t>RestartReleasesAndServices</t>
  </si>
  <si>
    <t>No</t>
  </si>
  <si>
    <t>ShortLocate</t>
  </si>
  <si>
    <t>ImportOnShortLocate</t>
  </si>
  <si>
    <t>MS</t>
  </si>
  <si>
    <t>\\192.168.2.108\DistributedAutomation_Master\Import Cases\ShortLocate-Y2.csv</t>
  </si>
  <si>
    <t>TradingTicket</t>
  </si>
  <si>
    <t>CreateDoneAwayOrder</t>
  </si>
  <si>
    <t>MSFT</t>
  </si>
  <si>
    <t>Sell short</t>
  </si>
  <si>
    <t>Yes</t>
  </si>
  <si>
    <t>AAPL</t>
  </si>
  <si>
    <t>VerifyShortLocateGrid</t>
  </si>
  <si>
    <t>GS4566232</t>
  </si>
  <si>
    <t>PranaClient</t>
  </si>
  <si>
    <t>LoginClient</t>
  </si>
  <si>
    <t>Support2</t>
  </si>
  <si>
    <t>Nirvana@1</t>
  </si>
  <si>
    <t>ApproveorRejectpendingapproval</t>
  </si>
  <si>
    <t>Approve</t>
  </si>
  <si>
    <t>Support1</t>
  </si>
  <si>
    <t>Blotter</t>
  </si>
  <si>
    <t>SelectTradeOnOrderGrid</t>
  </si>
  <si>
    <t>CancelSubOrder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</si>
</sst>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17.0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IFERROR(__xludf.DUMMYFUNCTION("""COMPUTED_VALUE"""),"ConfigUpdater")</f>
        <v>ConfigUpdater</v>
      </c>
      <c r="AK4" s="26" t="str">
        <f>IFERROR(__xludf.DUMMYFUNCTION("""COMPUTED_VALUE"""),"AccountPermission")</f>
        <v>AccountPermission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b">
        <v>1</v>
      </c>
      <c r="C6" s="35" t="s">
        <v>19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IFERROR(__xludf.DUMMYFUNCTION("""COMPUTED_VALUE"""),"Restart Basket")</f>
        <v>Restart Basket</v>
      </c>
      <c r="C5" s="28" t="str">
        <f>IFERROR(__xludf.DUMMYFUNCTION("""COMPUTED_VALUE"""),"DontShutSimulator")</f>
        <v>DontShutSimulator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8" t="s">
        <v>26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29</v>
      </c>
      <c r="C6" s="33" t="s">
        <v>30</v>
      </c>
      <c r="D6" s="40">
        <v>5000.0</v>
      </c>
      <c r="E6" s="38">
        <v>4000.0</v>
      </c>
      <c r="F6" s="35"/>
      <c r="G6" s="35"/>
      <c r="H6" s="35"/>
      <c r="I6" s="33"/>
      <c r="J6" s="38">
        <v>5.0</v>
      </c>
      <c r="K6" s="35"/>
      <c r="L6" s="41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P6" s="35"/>
      <c r="AQ6" s="38" t="s">
        <v>31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1"/>
      <c r="B7" s="32" t="s">
        <v>32</v>
      </c>
      <c r="C7" s="33" t="s">
        <v>30</v>
      </c>
      <c r="D7" s="40">
        <v>5000.0</v>
      </c>
      <c r="E7" s="38">
        <v>0.0</v>
      </c>
      <c r="F7" s="35"/>
      <c r="G7" s="35"/>
      <c r="H7" s="35"/>
      <c r="I7" s="33"/>
      <c r="J7" s="38">
        <v>5.0</v>
      </c>
      <c r="K7" s="35"/>
      <c r="L7" s="41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P7" s="35"/>
      <c r="AQ7" s="38" t="s">
        <v>31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/>
      <c r="C8" s="33"/>
      <c r="D8" s="41"/>
      <c r="E8" s="35"/>
      <c r="F8" s="35"/>
      <c r="G8" s="35"/>
      <c r="H8" s="35"/>
      <c r="I8" s="33"/>
      <c r="J8" s="38"/>
      <c r="K8" s="35"/>
      <c r="L8" s="41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34</v>
      </c>
      <c r="J6" s="13">
        <v>5000.0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1000.0</v>
      </c>
      <c r="G7" s="8"/>
      <c r="H7" s="8"/>
      <c r="I7" s="33" t="s">
        <v>34</v>
      </c>
      <c r="J7" s="13">
        <v>5000.0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37</v>
      </c>
      <c r="C6" s="33" t="s">
        <v>38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29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IFERROR(__xludf.DUMMYFUNCTION("""COMPUTED_VALUE"""),"RestartRuleMediator")</f>
        <v>RestartRuleMediator</v>
      </c>
      <c r="AL4" s="26" t="str">
        <f>IFERROR(__xludf.DUMMYFUNCTION("""COMPUTED_VALUE"""),"VerifyAggAccountSymbolWithNav")</f>
        <v>VerifyAggAccountSymbolWithNav</v>
      </c>
      <c r="AM4" s="26" t="str">
        <f>IFERROR(__xludf.DUMMYFUNCTION("""COMPUTED_VALUE"""),"ApproveorRejectpendingapproval")</f>
        <v>ApproveorRejectpendingapproval</v>
      </c>
      <c r="AN4" s="26" t="str">
        <f>IFERROR(__xludf.DUMMYFUNCTION("""COMPUTED_VALUE"""),"VerifyAlertHistory")</f>
        <v>VerifyAlertHistory</v>
      </c>
      <c r="AO4" s="26" t="str">
        <f>IFERROR(__xludf.DUMMYFUNCTION("""COMPUTED_VALUE"""),"EditInterceptorFile")</f>
        <v>EditInterceptorFile</v>
      </c>
      <c r="AP4" s="26" t="str">
        <f>IFERROR(__xludf.DUMMYFUNCTION("""COMPUTED_VALUE"""),"ReplaceInterceptorFile")</f>
        <v>ReplaceInterceptorFile</v>
      </c>
      <c r="AQ4" s="26" t="str">
        <f>IFERROR(__xludf.DUMMYFUNCTION("""COMPUTED_VALUE"""),"RestartReleasesAndServices")</f>
        <v>RestartReleasesAndServices</v>
      </c>
      <c r="AR4" s="26" t="str">
        <f>IFERROR(__xludf.DUMMYFUNCTION("""COMPUTED_VALUE"""),"GetEmail")</f>
        <v>GetEmail</v>
      </c>
      <c r="AS4" s="26" t="str">
        <f>IFERROR(__xludf.DUMMYFUNCTION("""COMPUTED_VALUE"""),"EnableDisableRule")</f>
        <v>EnableDisableRule</v>
      </c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IFERROR(__xludf.DUMMYFUNCTION("""COMPUTED_VALUE"""),"Symbols")</f>
        <v>Symbols</v>
      </c>
      <c r="D5" s="28" t="str">
        <f>IFERROR(__xludf.DUMMYFUNCTION("""COMPUTED_VALUE"""),"Trade Origination")</f>
        <v>Trade Origination</v>
      </c>
      <c r="E5" s="28" t="str">
        <f>IFERROR(__xludf.DUMMYFUNCTION("""COMPUTED_VALUE"""),"Trader")</f>
        <v>Trader</v>
      </c>
      <c r="F5" s="29" t="str">
        <f>IFERROR(__xludf.DUMMYFUNCTION("""COMPUTED_VALUE"""),"Trade Details")</f>
        <v>Trade Details</v>
      </c>
      <c r="G5" s="28" t="str">
        <f>IFERROR(__xludf.DUMMYFUNCTION("""COMPUTED_VALUE"""),"Trade Notes")</f>
        <v>Trade Notes</v>
      </c>
      <c r="H5" s="28" t="str">
        <f>IFERROR(__xludf.DUMMYFUNCTION("""COMPUTED_VALUE"""),"Compliance Officer Notes")</f>
        <v>Compliance Officer Notes</v>
      </c>
      <c r="I5" s="28" t="str">
        <f>IFERROR(__xludf.DUMMYFUNCTION("""COMPUTED_VALUE"""),"User Name")</f>
        <v>User Name</v>
      </c>
      <c r="J5" s="28" t="str">
        <f>IFERROR(__xludf.DUMMYFUNCTION("""COMPUTED_VALUE"""),"Trade Price")</f>
        <v>Trade Price</v>
      </c>
      <c r="K5" s="28" t="str">
        <f>IFERROR(__xludf.DUMMYFUNCTION("""COMPUTED_VALUE"""),"Basket Name")</f>
        <v>Basket Name</v>
      </c>
      <c r="L5" s="28" t="str">
        <f>IFERROR(__xludf.DUMMYFUNCTION("""COMPUTED_VALUE"""),"Quantity")</f>
        <v>Quantity</v>
      </c>
      <c r="M5" s="28" t="str">
        <f>IFERROR(__xludf.DUMMYFUNCTION("""COMPUTED_VALUE"""),"Broker")</f>
        <v>Broker</v>
      </c>
      <c r="N5" s="28" t="str">
        <f>IFERROR(__xludf.DUMMYFUNCTION("""COMPUTED_VALUE"""),"Status")</f>
        <v>Status</v>
      </c>
      <c r="O5" s="28" t="str">
        <f>IFERROR(__xludf.DUMMYFUNCTION("""COMPUTED_VALUE"""),"Order Side")</f>
        <v>Order Side</v>
      </c>
      <c r="P5" s="28" t="str">
        <f>IFERROR(__xludf.DUMMYFUNCTION("""COMPUTED_VALUE"""),"ApproveorRejectAll")</f>
        <v>ApproveorRejectAll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/>
      <c r="E6" s="37"/>
      <c r="F6" s="8"/>
      <c r="G6" s="8"/>
      <c r="H6" s="8"/>
      <c r="I6" s="8"/>
      <c r="J6" s="8"/>
      <c r="K6" s="8"/>
      <c r="L6" s="8"/>
      <c r="M6" s="13" t="s">
        <v>25</v>
      </c>
      <c r="N6" s="8"/>
      <c r="O6" s="8"/>
      <c r="P6" s="9" t="s">
        <v>40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ApproveorRejectpendingapproval1!$4:$4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41</v>
      </c>
      <c r="C6" s="33" t="s">
        <v>38</v>
      </c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1000.0</v>
      </c>
      <c r="G6" s="8"/>
      <c r="H6" s="8"/>
      <c r="I6" s="33" t="s">
        <v>34</v>
      </c>
      <c r="J6" s="13">
        <v>5000.0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1000.0</v>
      </c>
      <c r="G7" s="8"/>
      <c r="H7" s="8"/>
      <c r="I7" s="33" t="s">
        <v>34</v>
      </c>
      <c r="J7" s="13">
        <v>5000.0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29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8" t="s">
        <v>29</v>
      </c>
      <c r="AJ6" s="38" t="s">
        <v>30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8" t="s">
        <v>32</v>
      </c>
      <c r="E6" s="35"/>
      <c r="F6" s="38" t="s">
        <v>30</v>
      </c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/>
      <c r="C6" s="39"/>
      <c r="D6" s="31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8" t="s">
        <v>32</v>
      </c>
      <c r="AJ6" s="38" t="s">
        <v>30</v>
      </c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IFERROR(__xludf.DUMMYFUNCTION("IF(C3="""","""",Transpose(IMPORTRANGE('_Settings'!$B$3,C3&amp;""!A4:A1000"")))"),"ImportOnShortLocate")</f>
        <v>ImportOnShortLocate</v>
      </c>
      <c r="C4" s="25" t="str">
        <f>IFERROR(__xludf.DUMMYFUNCTION("""COMPUTED_VALUE"""),"ApplyFilterOnShortLocate")</f>
        <v>ApplyFilterOnShortLocate</v>
      </c>
      <c r="D4" s="25" t="str">
        <f>IFERROR(__xludf.DUMMYFUNCTION("""COMPUTED_VALUE"""),"OpenTTFromShortLocate")</f>
        <v>OpenTTFromShortLocate</v>
      </c>
      <c r="E4" s="25" t="str">
        <f>IFERROR(__xludf.DUMMYFUNCTION("""COMPUTED_VALUE"""),"Upload")</f>
        <v>Upload</v>
      </c>
      <c r="F4" s="25" t="str">
        <f>IFERROR(__xludf.DUMMYFUNCTION("""COMPUTED_VALUE"""),"VerifyShortLocateGrid")</f>
        <v>VerifyShortLocateGrid</v>
      </c>
      <c r="G4" s="25" t="str">
        <f>IFERROR(__xludf.DUMMYFUNCTION("""COMPUTED_VALUE"""),"DownloadFile")</f>
        <v>DownloadFile</v>
      </c>
      <c r="H4" s="25" t="str">
        <f>IFERROR(__xludf.DUMMYFUNCTION("""COMPUTED_VALUE"""),"SearchShortLocateUI")</f>
        <v>SearchShortLocateUI</v>
      </c>
      <c r="I4" s="25" t="str">
        <f>IFERROR(__xludf.DUMMYFUNCTION("""COMPUTED_VALUE"""),"SetShortLocatePreferences")</f>
        <v>SetShortLocatePreferences</v>
      </c>
      <c r="J4" s="25" t="str">
        <f>IFERROR(__xludf.DUMMYFUNCTION("""COMPUTED_VALUE"""),"VerifySLNavLockPopup")</f>
        <v>VerifySLNavLockPopup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37"/>
      <c r="F6" s="13">
        <v>2000.0</v>
      </c>
      <c r="G6" s="8"/>
      <c r="H6" s="8"/>
      <c r="I6" s="33" t="s">
        <v>34</v>
      </c>
      <c r="J6" s="13">
        <v>4000.0</v>
      </c>
      <c r="K6" s="8"/>
      <c r="L6" s="8"/>
      <c r="M6" s="8"/>
      <c r="N6" s="8"/>
      <c r="O6" s="8"/>
    </row>
    <row r="7" ht="15.75" customHeight="1">
      <c r="A7" s="13"/>
      <c r="B7" s="13" t="s">
        <v>32</v>
      </c>
      <c r="C7" s="8"/>
      <c r="D7" s="13"/>
      <c r="E7" s="37"/>
      <c r="F7" s="13">
        <v>6000.0</v>
      </c>
      <c r="G7" s="8"/>
      <c r="H7" s="8"/>
      <c r="I7" s="33" t="s">
        <v>34</v>
      </c>
      <c r="J7" s="13">
        <v>0.0</v>
      </c>
      <c r="K7" s="8"/>
      <c r="L7" s="8"/>
      <c r="M7" s="8"/>
      <c r="N7" s="8"/>
      <c r="O7" s="8"/>
    </row>
    <row r="8" ht="15.75" customHeight="1">
      <c r="A8" s="8"/>
      <c r="B8" s="13"/>
      <c r="C8" s="8"/>
      <c r="D8" s="8"/>
      <c r="E8" s="8"/>
      <c r="F8" s="13"/>
      <c r="G8" s="8"/>
      <c r="H8" s="8"/>
      <c r="I8" s="33"/>
      <c r="J8" s="13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