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" sheetId="4" r:id="rId6"/>
    <sheet name="AddMFPreferences" sheetId="5" r:id="rId7"/>
    <sheet name="SetMFPreferencesDefaultRule" sheetId="6" r:id="rId8"/>
    <sheet name="SetMFPrefFundDistribution" sheetId="7" r:id="rId9"/>
    <sheet name="SetMFPrefAccountValues" sheetId="8" r:id="rId10"/>
    <sheet name="SetMFPrefFundDefaultRule" sheetId="9" r:id="rId11"/>
    <sheet name="SetMFPrefGeneralRule" sheetId="10" r:id="rId12"/>
    <sheet name="UpdateGRAccountValue" sheetId="11" r:id="rId13"/>
    <sheet name="SetMFPrefAccountValues1" sheetId="12" r:id="rId14"/>
    <sheet name="SetMFPrefFundDefaultRule1" sheetId="13" r:id="rId15"/>
    <sheet name="UpdateGRAccountValue1" sheetId="14" r:id="rId16"/>
    <sheet name="SetMFPrefGeneralRule1" sheetId="15" r:id="rId17"/>
    <sheet name="CreateTransaction" sheetId="16" r:id="rId18"/>
    <sheet name="GetDataAllocation" sheetId="17" r:id="rId19"/>
    <sheet name="CheckAllocatedGroups" sheetId="18" r:id="rId20"/>
    <sheet name="CheckPortfolioManagement" sheetId="19" r:id="rId21"/>
  </sheets>
  <calcPr fullCalcOnLoad="1"/>
</workbook>
</file>

<file path=xl/sharedStrings.xml><?xml version="1.0" encoding="utf-8"?>
<sst xmlns="http://schemas.openxmlformats.org/spreadsheetml/2006/main" count="59" uniqueCount="59">
  <si>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</si>
  <si>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</si>
  <si>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</si>
  <si>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</si>
  <si>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</si>
  <si>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</si>
  <si>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</si>
  <si>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</si>
  <si>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</si>
  <si>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</si>
  <si>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</si>
  <si>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</si>
  <si>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</si>
  <si>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</si>
  <si>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</si>
  <si>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</si>
  <si>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</si>
  <si>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</si>
  <si>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</si>
  <si>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</si>
  <si>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None</t>
  </si>
  <si>
    <t>SetMFPrefFundDistribution</t>
  </si>
  <si>
    <t>NewMF1</t>
  </si>
  <si>
    <t>NewMF2</t>
  </si>
  <si>
    <t>SetMFPrefAccountValues</t>
  </si>
  <si>
    <t>Allocation2</t>
  </si>
  <si>
    <t>Allocation4</t>
  </si>
  <si>
    <t>SetMFPrefFundDefaultRule</t>
  </si>
  <si>
    <t>Fair Pricing</t>
  </si>
  <si>
    <t>Account Inception</t>
  </si>
  <si>
    <t>SetMFPrefGeneralRule</t>
  </si>
  <si>
    <t>Include</t>
  </si>
  <si>
    <t>AMEX</t>
  </si>
  <si>
    <t>Buy</t>
  </si>
  <si>
    <t>UpdateGRAccountValue</t>
  </si>
  <si>
    <t>rt</t>
  </si>
  <si>
    <t>LP C/O</t>
  </si>
  <si>
    <t>CreateTransaction</t>
  </si>
  <si>
    <t>O:AAPL 13C450.00D22</t>
  </si>
  <si>
    <t>Buy to Open</t>
  </si>
  <si>
    <t>GetDataAllocation</t>
  </si>
  <si>
    <t>Current</t>
  </si>
  <si>
    <t>CheckAllocatedGroups</t>
  </si>
  <si>
    <t>Multiple</t>
  </si>
  <si>
    <t>EquityOption</t>
  </si>
  <si>
    <t xml:space="preserve">AAPL  MAR 2013 450 CALL</t>
  </si>
  <si>
    <t>USD</t>
  </si>
  <si>
    <t>US</t>
  </si>
  <si>
    <t>AAPL</t>
  </si>
  <si>
    <t>NONE</t>
  </si>
  <si>
    <t>PortfolioManagement</t>
  </si>
  <si>
    <t>CheckPortfolioManagement</t>
  </si>
  <si>
    <t>Long</t>
  </si>
  <si>
    <t xml:space="preserve">Undefined </t>
  </si>
  <si>
    <t>MS</t>
  </si>
  <si>
    <t xml:space="preserve">Strategy Unallocated </t>
  </si>
  <si>
    <t>OPTS</t>
  </si>
  <si>
    <t>jpearce</t>
  </si>
  <si>
    <t>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</si>
</sst>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5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1" applyFont="1" fillId="2" applyFill="1" borderId="0" applyBorder="1" xfId="0">
      <alignment horizontal="center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numFmtId="14" applyNumberFormat="1" fontId="5" applyFont="1" fillId="0" applyFill="1" borderId="0" applyBorder="1" xfId="0"/>
    <xf fontId="13" applyFont="1" fillId="0" applyFill="1" borderId="5" applyBorder="1" xfId="0"/>
    <xf fontId="3" applyFont="1" fillId="0" applyFill="1" borderId="5" applyBorder="1" xfId="0"/>
    <xf fontId="3" applyFont="1" fillId="0" applyFill="1" borderId="5" applyBorder="1" xfId="0">
      <alignment horizontal="right"/>
    </xf>
    <xf fontId="3" applyFont="1" fillId="0" applyFill="1" borderId="0" applyBorder="1" xfId="0">
      <alignment horizontal="right"/>
    </xf>
    <xf fontId="13" applyFont="1" fillId="0" applyFill="1" borderId="0" applyBorder="1" xfId="0"/>
    <xf numFmtId="164" applyNumberFormat="1" fontId="3" applyFont="1" fillId="0" applyFill="1" borderId="0" applyBorder="1" xfId="0"/>
    <xf numFmtId="4" applyNumberFormat="1" fontId="1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numFmtId="165" applyNumberFormat="1" fontId="13" applyFont="1" fillId="0" applyFill="1" borderId="0" applyBorder="1" xfId="0">
      <alignment horizontal="right"/>
    </xf>
    <xf fontId="13" applyFont="1" fillId="0" applyFill="1" borderId="0" applyBorder="1" xfId="0"/>
    <xf fontId="13" applyFont="1" fillId="0" applyFill="1" borderId="0" applyBorder="1" xfId="0">
      <alignment horizontal="right"/>
    </xf>
    <xf numFmtId="3" applyNumberFormat="1" fontId="13" applyFont="1" fillId="0" applyFill="1" borderId="0" applyBorder="1" xfId="0">
      <alignment horizontal="right"/>
    </xf>
    <xf fontId="14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21" width="12.63" customWidth="1"/>
    <col min="22" max="22" width="22.13" customWidth="1"/>
    <col min="23" max="23" width="21.5" customWidth="1"/>
    <col min="24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18.63" customWidth="1"/>
    <col min="3" max="3" width="21.13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31">
        <v>5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19</v>
      </c>
      <c r="D6" s="8"/>
      <c r="E6" s="8"/>
      <c r="F6" s="13" t="s">
        <v>17</v>
      </c>
      <c r="G6" s="13" t="s">
        <v>20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12.63" customWidth="1"/>
    <col min="3" max="3" width="14.63" customWidth="1"/>
    <col min="4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13">
        <v>50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23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13" t="s">
        <v>25</v>
      </c>
      <c r="E6" s="13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22</v>
      </c>
      <c r="D7" s="13" t="s">
        <v>26</v>
      </c>
      <c r="E7" s="13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16.5" customWidth="1"/>
    <col min="5" max="5" width="21.13" customWidth="1"/>
    <col min="6" max="6" width="16.38" customWidth="1"/>
    <col min="7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13" t="s">
        <v>28</v>
      </c>
      <c r="E6" s="8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4"/>
  <sheetViews>
    <sheetView workbookViewId="0"/>
  </sheetViews>
  <sheetFormatPr customHeight="1" defaultColWidth="15.13" defaultRowHeight="15.0"/>
  <cols>
    <col min="1" max="1" width="5.88" customWidth="1"/>
    <col min="2" max="3" width="12.63" customWidth="1"/>
    <col min="4" max="4" width="14.88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22</v>
      </c>
      <c r="D6" s="13" t="s">
        <v>31</v>
      </c>
      <c r="E6" s="13" t="s">
        <v>32</v>
      </c>
      <c r="F6" s="13"/>
      <c r="G6" s="8"/>
      <c r="H6" s="8"/>
      <c r="I6" s="8"/>
      <c r="J6" s="13" t="s">
        <v>31</v>
      </c>
      <c r="K6" s="13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25</v>
      </c>
      <c r="D6" s="13">
        <v>75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26</v>
      </c>
      <c r="D7" s="13">
        <v>25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17</v>
      </c>
      <c r="C6" s="13" t="s">
        <v>23</v>
      </c>
      <c r="D6" s="13" t="s">
        <v>35</v>
      </c>
      <c r="E6" s="8">
        <v>50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 t="s">
        <v>17</v>
      </c>
      <c r="C7" s="13" t="s">
        <v>23</v>
      </c>
      <c r="D7" s="8" t="s">
        <v>36</v>
      </c>
      <c r="E7" s="8">
        <v>50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17</v>
      </c>
      <c r="C6" s="8" t="s">
        <v>23</v>
      </c>
      <c r="D6" s="8" t="s">
        <v>28</v>
      </c>
      <c r="E6" s="8" t="s">
        <v>36</v>
      </c>
      <c r="F6" s="8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17</v>
      </c>
      <c r="C6" s="33" t="s">
        <v>35</v>
      </c>
      <c r="D6" s="35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17</v>
      </c>
      <c r="C7" s="34" t="s">
        <v>36</v>
      </c>
      <c r="D7" s="35">
        <v>75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UpdateGRAccountValue1!$4:$4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17</v>
      </c>
      <c r="C6" s="8" t="s">
        <v>23</v>
      </c>
      <c r="D6" s="8" t="s">
        <v>31</v>
      </c>
      <c r="E6" s="8" t="s">
        <v>32</v>
      </c>
      <c r="F6" s="8"/>
      <c r="G6" s="8"/>
      <c r="H6" s="8"/>
      <c r="I6" s="8"/>
      <c r="J6" s="8" t="s">
        <v>31</v>
      </c>
      <c r="K6" s="8" t="s">
        <v>33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2" width="18.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38</v>
      </c>
      <c r="C6" s="13" t="s">
        <v>17</v>
      </c>
      <c r="D6" s="13" t="s">
        <v>39</v>
      </c>
      <c r="E6" s="13">
        <v>151</v>
      </c>
      <c r="F6" s="8"/>
      <c r="G6" s="13">
        <v>30.67</v>
      </c>
      <c r="H6" s="8"/>
      <c r="I6" s="36">
        <f>TODAY()</f>
        <v>45079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41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5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/>
      <c r="B6" s="37" t="s">
        <v>43</v>
      </c>
      <c r="C6" s="38"/>
      <c r="D6" s="38"/>
      <c r="E6" s="39">
        <v>151</v>
      </c>
      <c r="F6" s="38" t="s">
        <v>17</v>
      </c>
      <c r="G6" s="38" t="s">
        <v>44</v>
      </c>
      <c r="H6" s="38">
        <v>0</v>
      </c>
      <c r="I6" s="38">
        <v>0</v>
      </c>
      <c r="J6" s="38"/>
      <c r="K6" s="39">
        <v>30.67</v>
      </c>
      <c r="L6" s="39">
        <v>30.67</v>
      </c>
      <c r="M6" s="38"/>
      <c r="N6" s="38"/>
      <c r="O6" s="38"/>
      <c r="P6" s="38"/>
      <c r="Q6" s="39">
        <v>3</v>
      </c>
      <c r="R6" s="38"/>
      <c r="S6" s="38"/>
      <c r="T6" s="40">
        <v>0</v>
      </c>
      <c r="U6" s="40">
        <v>0</v>
      </c>
      <c r="V6" s="41" t="s">
        <v>45</v>
      </c>
      <c r="W6" s="33"/>
      <c r="X6" s="33"/>
      <c r="Y6" s="33"/>
      <c r="Z6" s="40"/>
      <c r="AA6" s="33"/>
      <c r="AB6" s="33"/>
      <c r="AC6" s="40"/>
      <c r="AD6" s="33"/>
      <c r="AE6" s="40">
        <v>151</v>
      </c>
      <c r="AF6" s="42"/>
      <c r="AG6" s="33"/>
      <c r="AH6" s="40"/>
      <c r="AI6" s="40">
        <v>1</v>
      </c>
      <c r="AJ6" s="33"/>
      <c r="AK6" s="33"/>
      <c r="AL6" s="40"/>
      <c r="AM6" s="33"/>
      <c r="AN6" s="40" t="b">
        <v>0</v>
      </c>
      <c r="AO6" s="33"/>
      <c r="AP6" s="33"/>
      <c r="AQ6" s="40" t="b">
        <v>0</v>
      </c>
      <c r="AR6" s="40"/>
      <c r="AS6" s="40"/>
      <c r="AT6" s="43">
        <v>463117</v>
      </c>
      <c r="AU6" s="43">
        <v>463117</v>
      </c>
      <c r="AV6" s="40"/>
      <c r="AW6" s="40">
        <v>0</v>
      </c>
      <c r="AX6" s="40">
        <v>0</v>
      </c>
      <c r="AY6" s="40"/>
      <c r="AZ6" s="40">
        <v>0</v>
      </c>
      <c r="BA6" s="33"/>
      <c r="BB6" s="40"/>
      <c r="BC6" s="40"/>
      <c r="BD6" s="40"/>
      <c r="BE6" s="43">
        <v>463117</v>
      </c>
      <c r="BF6" s="43">
        <v>463117</v>
      </c>
      <c r="BG6" s="42"/>
      <c r="BH6" s="33"/>
      <c r="BI6" s="33"/>
      <c r="BJ6" s="40">
        <v>151</v>
      </c>
      <c r="BK6" s="33"/>
      <c r="BL6" s="40"/>
      <c r="BM6" s="33" t="s">
        <v>46</v>
      </c>
      <c r="BN6" s="40"/>
      <c r="BO6" s="44" t="s">
        <v>39</v>
      </c>
      <c r="BP6" s="40">
        <v>0</v>
      </c>
      <c r="BQ6" s="40">
        <v>0</v>
      </c>
      <c r="BR6" s="33"/>
      <c r="BS6" s="39"/>
      <c r="BT6" s="45" t="s">
        <v>38</v>
      </c>
      <c r="BU6" s="40"/>
      <c r="BV6" s="40">
        <v>0</v>
      </c>
      <c r="BW6" s="40">
        <v>0</v>
      </c>
      <c r="BX6" s="40">
        <v>0</v>
      </c>
      <c r="BY6" s="33"/>
      <c r="BZ6" s="33"/>
      <c r="CA6" s="33"/>
      <c r="CB6" s="33"/>
      <c r="CC6" s="40"/>
      <c r="CD6" s="42"/>
      <c r="CE6" s="42"/>
      <c r="CF6" s="33"/>
      <c r="CG6" s="33"/>
      <c r="CH6" s="33"/>
      <c r="CI6" s="33"/>
      <c r="CJ6" s="40"/>
      <c r="CK6" s="33" t="s">
        <v>47</v>
      </c>
      <c r="CL6" s="40">
        <v>1</v>
      </c>
      <c r="CM6" s="33" t="s">
        <v>48</v>
      </c>
      <c r="CN6" s="33"/>
      <c r="CO6" s="40"/>
      <c r="CP6" s="33" t="s">
        <v>49</v>
      </c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8"/>
      <c r="FF6" s="38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S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4" width="12.63" customWidth="1"/>
    <col min="15" max="15" width="22.5" customWidth="1"/>
    <col min="16" max="18" width="12.63" customWidth="1"/>
    <col min="19" max="19" width="19.38" customWidth="1"/>
    <col min="20" max="17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13"/>
      <c r="B6" s="46"/>
      <c r="C6" s="47" t="s">
        <v>38</v>
      </c>
      <c r="D6" s="48">
        <v>38</v>
      </c>
      <c r="E6" s="47" t="s">
        <v>36</v>
      </c>
      <c r="F6" s="48" t="s">
        <v>23</v>
      </c>
      <c r="G6" s="48">
        <v>30.67</v>
      </c>
      <c r="H6" s="48" t="s">
        <v>52</v>
      </c>
      <c r="I6" s="49"/>
      <c r="J6" s="47">
        <v>0</v>
      </c>
      <c r="K6" s="47">
        <v>0</v>
      </c>
      <c r="L6" s="49">
        <v>0</v>
      </c>
      <c r="M6" s="48">
        <v>0</v>
      </c>
      <c r="N6" s="49">
        <v>-116546</v>
      </c>
      <c r="O6" s="47" t="s">
        <v>45</v>
      </c>
      <c r="P6" s="9" t="s">
        <v>53</v>
      </c>
      <c r="R6" s="9" t="s">
        <v>54</v>
      </c>
      <c r="S6" s="9" t="s">
        <v>55</v>
      </c>
      <c r="T6" s="9" t="s">
        <v>44</v>
      </c>
      <c r="U6" s="9" t="s">
        <v>47</v>
      </c>
      <c r="V6" s="9" t="s">
        <v>56</v>
      </c>
      <c r="W6" s="9" t="s">
        <v>46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K6" s="9">
        <v>-116546</v>
      </c>
      <c r="AN6" s="9" t="s">
        <v>39</v>
      </c>
      <c r="AQ6" s="9" t="s">
        <v>48</v>
      </c>
      <c r="AX6" s="9">
        <v>0</v>
      </c>
      <c r="AY6" s="9">
        <v>0</v>
      </c>
      <c r="AZ6" s="9">
        <v>0</v>
      </c>
      <c r="BA6" s="9">
        <v>-100</v>
      </c>
      <c r="BK6" s="9">
        <v>0</v>
      </c>
      <c r="BL6" s="9">
        <v>0</v>
      </c>
      <c r="BQ6" s="0" t="s">
        <v>57</v>
      </c>
      <c r="BU6" s="9" t="s">
        <v>58</v>
      </c>
      <c r="BW6" s="9">
        <v>450</v>
      </c>
      <c r="BX6" s="9">
        <v>0</v>
      </c>
      <c r="DE6" s="9">
        <v>0</v>
      </c>
      <c r="DF6" s="9">
        <v>0</v>
      </c>
      <c r="DG6" s="9">
        <v>0</v>
      </c>
      <c r="EQ6" s="9">
        <v>0</v>
      </c>
      <c r="ER6" s="9">
        <v>0</v>
      </c>
    </row>
    <row r="7" ht="15.75" customHeight="1">
      <c r="A7" s="8"/>
      <c r="B7" s="46"/>
      <c r="C7" s="47" t="s">
        <v>38</v>
      </c>
      <c r="D7" s="48">
        <v>38</v>
      </c>
      <c r="E7" s="47" t="s">
        <v>25</v>
      </c>
      <c r="F7" s="48" t="s">
        <v>22</v>
      </c>
      <c r="G7" s="48">
        <v>30.67</v>
      </c>
      <c r="H7" s="48" t="s">
        <v>52</v>
      </c>
      <c r="I7" s="49"/>
      <c r="J7" s="47">
        <v>0</v>
      </c>
      <c r="K7" s="47">
        <v>0</v>
      </c>
      <c r="L7" s="49">
        <v>0</v>
      </c>
      <c r="M7" s="48">
        <v>0</v>
      </c>
      <c r="N7" s="49">
        <v>-116546</v>
      </c>
      <c r="O7" s="47" t="s">
        <v>45</v>
      </c>
      <c r="P7" s="9" t="s">
        <v>53</v>
      </c>
      <c r="R7" s="9" t="s">
        <v>54</v>
      </c>
      <c r="S7" s="9" t="s">
        <v>55</v>
      </c>
      <c r="T7" s="9" t="s">
        <v>44</v>
      </c>
      <c r="U7" s="9" t="s">
        <v>47</v>
      </c>
      <c r="V7" s="9" t="s">
        <v>56</v>
      </c>
      <c r="W7" s="9" t="s">
        <v>46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K7" s="9">
        <v>-116546</v>
      </c>
      <c r="AN7" s="50" t="s">
        <v>39</v>
      </c>
      <c r="AQ7" s="9" t="s">
        <v>48</v>
      </c>
      <c r="AX7" s="9">
        <v>0</v>
      </c>
      <c r="AY7" s="9">
        <v>0</v>
      </c>
      <c r="AZ7" s="9">
        <v>0</v>
      </c>
      <c r="BA7" s="9">
        <v>-100</v>
      </c>
      <c r="BK7" s="9">
        <v>0</v>
      </c>
      <c r="BL7" s="9">
        <v>0</v>
      </c>
      <c r="BQ7" s="0" t="s">
        <v>57</v>
      </c>
      <c r="BU7" s="9" t="s">
        <v>58</v>
      </c>
      <c r="BW7" s="9">
        <v>450</v>
      </c>
      <c r="BX7" s="9">
        <v>0</v>
      </c>
      <c r="DE7" s="9">
        <v>0</v>
      </c>
      <c r="DF7" s="9">
        <v>0</v>
      </c>
      <c r="DG7" s="9">
        <v>0</v>
      </c>
      <c r="EQ7" s="9">
        <v>0</v>
      </c>
      <c r="ER7" s="9">
        <v>0</v>
      </c>
    </row>
    <row r="8" ht="15.75" customHeight="1">
      <c r="A8" s="8"/>
      <c r="B8" s="46"/>
      <c r="C8" s="47" t="s">
        <v>38</v>
      </c>
      <c r="D8" s="48">
        <v>37</v>
      </c>
      <c r="E8" s="47" t="s">
        <v>35</v>
      </c>
      <c r="F8" s="48" t="s">
        <v>23</v>
      </c>
      <c r="G8" s="48">
        <v>30.67</v>
      </c>
      <c r="H8" s="48" t="s">
        <v>52</v>
      </c>
      <c r="I8" s="49"/>
      <c r="J8" s="47">
        <v>0</v>
      </c>
      <c r="K8" s="47">
        <v>0</v>
      </c>
      <c r="L8" s="49">
        <v>0</v>
      </c>
      <c r="M8" s="48">
        <v>0</v>
      </c>
      <c r="N8" s="49">
        <v>-113479</v>
      </c>
      <c r="O8" s="47" t="s">
        <v>45</v>
      </c>
      <c r="P8" s="9" t="s">
        <v>53</v>
      </c>
      <c r="R8" s="9" t="s">
        <v>54</v>
      </c>
      <c r="S8" s="9" t="s">
        <v>55</v>
      </c>
      <c r="T8" s="9" t="s">
        <v>44</v>
      </c>
      <c r="U8" s="9" t="s">
        <v>47</v>
      </c>
      <c r="V8" s="9" t="s">
        <v>56</v>
      </c>
      <c r="W8" s="9" t="s">
        <v>46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K8" s="9">
        <v>-113479</v>
      </c>
      <c r="AN8" s="50" t="s">
        <v>39</v>
      </c>
      <c r="AQ8" s="9" t="s">
        <v>48</v>
      </c>
      <c r="AX8" s="9">
        <v>0</v>
      </c>
      <c r="AY8" s="9">
        <v>0</v>
      </c>
      <c r="AZ8" s="9">
        <v>0</v>
      </c>
      <c r="BA8" s="9">
        <v>-100</v>
      </c>
      <c r="BK8" s="9">
        <v>0</v>
      </c>
      <c r="BL8" s="9">
        <v>0</v>
      </c>
      <c r="BQ8" s="0" t="s">
        <v>57</v>
      </c>
      <c r="BU8" s="9" t="s">
        <v>58</v>
      </c>
      <c r="BW8" s="9">
        <v>450</v>
      </c>
      <c r="BX8" s="9">
        <v>0</v>
      </c>
      <c r="DE8" s="9">
        <v>0</v>
      </c>
      <c r="DF8" s="9">
        <v>0</v>
      </c>
      <c r="DG8" s="9">
        <v>0</v>
      </c>
      <c r="EQ8" s="9">
        <v>0</v>
      </c>
      <c r="ER8" s="9">
        <v>0</v>
      </c>
    </row>
    <row r="9" ht="15.75" customHeight="1">
      <c r="A9" s="8"/>
      <c r="B9" s="46"/>
      <c r="C9" s="47" t="s">
        <v>38</v>
      </c>
      <c r="D9" s="48">
        <v>38</v>
      </c>
      <c r="E9" s="47" t="s">
        <v>26</v>
      </c>
      <c r="F9" s="48" t="s">
        <v>22</v>
      </c>
      <c r="G9" s="48">
        <v>30.67</v>
      </c>
      <c r="H9" s="48" t="s">
        <v>52</v>
      </c>
      <c r="I9" s="49"/>
      <c r="J9" s="47">
        <v>0</v>
      </c>
      <c r="K9" s="47">
        <v>0</v>
      </c>
      <c r="L9" s="49">
        <v>0</v>
      </c>
      <c r="M9" s="48">
        <v>0</v>
      </c>
      <c r="N9" s="49">
        <v>-116546</v>
      </c>
      <c r="O9" s="47" t="s">
        <v>45</v>
      </c>
      <c r="P9" s="9" t="s">
        <v>53</v>
      </c>
      <c r="R9" s="9" t="s">
        <v>54</v>
      </c>
      <c r="S9" s="9" t="s">
        <v>55</v>
      </c>
      <c r="T9" s="9" t="s">
        <v>44</v>
      </c>
      <c r="U9" s="9" t="s">
        <v>47</v>
      </c>
      <c r="V9" s="9" t="s">
        <v>56</v>
      </c>
      <c r="W9" s="9" t="s">
        <v>46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K9" s="9">
        <v>-116546</v>
      </c>
      <c r="AN9" s="50" t="s">
        <v>39</v>
      </c>
      <c r="AQ9" s="9" t="s">
        <v>48</v>
      </c>
      <c r="AX9" s="9">
        <v>0</v>
      </c>
      <c r="AY9" s="9">
        <v>0</v>
      </c>
      <c r="AZ9" s="9">
        <v>0</v>
      </c>
      <c r="BA9" s="9">
        <v>-100</v>
      </c>
      <c r="BK9" s="9">
        <v>0</v>
      </c>
      <c r="BL9" s="9">
        <v>0</v>
      </c>
      <c r="BQ9" s="0" t="s">
        <v>57</v>
      </c>
      <c r="BU9" s="9" t="s">
        <v>58</v>
      </c>
      <c r="BW9" s="9">
        <v>450</v>
      </c>
      <c r="BX9" s="9">
        <v>0</v>
      </c>
      <c r="DE9" s="9">
        <v>0</v>
      </c>
      <c r="DF9" s="9">
        <v>0</v>
      </c>
      <c r="DG9" s="9">
        <v>0</v>
      </c>
      <c r="EQ9" s="9">
        <v>0</v>
      </c>
      <c r="ER9" s="9">
        <v>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