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VerifySubOrder" sheetId="11" r:id="rId14"/>
    <sheet state="visible" name="SelectTrade" sheetId="12" r:id="rId15"/>
    <sheet state="visible" name="AcknowledgeTrade" sheetId="13" r:id="rId16"/>
    <sheet state="visible" name="ExecuteTrade" sheetId="14" r:id="rId17"/>
    <sheet state="visible" name="VerifySubOrder1" sheetId="15" r:id="rId18"/>
    <sheet state="visible" name="CreateDoneAwayOrder" sheetId="16" r:id="rId19"/>
    <sheet state="visible" name="GetExecutionReportOrders" sheetId="17" r:id="rId20"/>
    <sheet state="visible" name="VerifyExecutionReport" sheetId="18" r:id="rId21"/>
    <sheet state="visible" name="ChangeDate1" sheetId="19" r:id="rId22"/>
  </sheets>
  <definedNames/>
  <calcPr/>
  <extLst>
    <ext uri="GoogleSheetsCustomDataVersion2">
      <go:sheetsCustomData xmlns:go="http://customooxmlschemas.google.com/" r:id="rId23" roundtripDataChecksum="2RZENkkOOsWtNAVvmJ4ZaMmpd95W+TzFOsPPKiRVN/s="/>
    </ext>
  </extLst>
</workbook>
</file>

<file path=xl/sharedStrings.xml><?xml version="1.0" encoding="utf-8"?>
<sst xmlns="http://schemas.openxmlformats.org/spreadsheetml/2006/main" count="419" uniqueCount="169">
  <si>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</si>
  <si>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</si>
  <si>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</si>
  <si>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</si>
  <si>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</si>
  <si>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</si>
  <si>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</si>
  <si>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</si>
  <si>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</si>
  <si>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</si>
  <si>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</si>
  <si>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</si>
  <si>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</si>
  <si>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</si>
  <si>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</si>
  <si>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</si>
  <si>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</si>
  <si>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</si>
  <si>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</si>
  <si>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</si>
  <si>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</si>
  <si>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</si>
  <si>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</si>
  <si>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Good Till Date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</si>
  <si>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</si>
  <si>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</si>
  <si>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</si>
  <si>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</si>
  <si>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</si>
  <si>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</si>
  <si>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</si>
  <si>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</si>
  <si>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</si>
  <si>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</si>
  <si>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</si>
  <si>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</si>
  <si>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</si>
  <si>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</si>
  <si>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</si>
  <si>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</si>
  <si>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</si>
  <si>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</si>
  <si>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</si>
  <si>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</si>
  <si>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</si>
  <si>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</si>
  <si>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</si>
  <si>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</si>
  <si>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</si>
  <si>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</si>
  <si>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</si>
  <si>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</si>
  <si>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</si>
  <si>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</si>
  <si>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</si>
  <si>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</si>
  <si>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</si>
  <si>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</si>
  <si>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</si>
  <si>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</si>
  <si>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</si>
  <si>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</si>
  <si>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</si>
  <si>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</si>
  <si>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</si>
  <si>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</si>
  <si>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</si>
  <si>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</si>
  <si>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</si>
  <si>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</si>
  <si>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</si>
  <si>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</si>
  <si>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</si>
  <si>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</si>
  <si>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</si>
  <si>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</si>
  <si>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</si>
  <si>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</si>
  <si>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</si>
  <si>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</si>
  <si>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</si>
  <si>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</si>
  <si>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</si>
  <si>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</si>
  <si>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</si>
  <si>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</si>
  <si>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</si>
  <si>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</si>
  <si>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</si>
  <si>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</si>
  <si>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</si>
  <si>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</si>
  <si>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</si>
  <si>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</si>
  <si>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</si>
  <si>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</si>
  <si>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</si>
  <si>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</si>
  <si>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</si>
  <si>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</si>
  <si>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</si>
  <si>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</si>
  <si>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</si>
  <si>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</si>
  <si>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</si>
  <si>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</si>
  <si>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</si>
  <si>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</si>
  <si>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</si>
  <si>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</si>
  <si>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</si>
  <si>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</si>
  <si>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</si>
  <si>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</si>
  <si>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</si>
  <si>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</si>
  <si>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</si>
  <si>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</si>
  <si>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</si>
  <si>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</si>
  <si>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</si>
  <si>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</si>
  <si>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</si>
  <si>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</si>
  <si>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</si>
  <si>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</si>
  <si>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</si>
  <si>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</si>
  <si>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</si>
  <si>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</si>
  <si>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</si>
  <si>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</si>
  <si>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</si>
  <si>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</si>
  <si>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</si>
  <si>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</si>
  <si>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</si>
  <si>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PendingNew</t>
  </si>
  <si>
    <t>MS</t>
  </si>
  <si>
    <t>Today()</t>
  </si>
  <si>
    <t>Simulator</t>
  </si>
  <si>
    <t>SelectTrade</t>
  </si>
  <si>
    <t>AcknowledgeTrade</t>
  </si>
  <si>
    <t>ExecuteTrade</t>
  </si>
  <si>
    <t>PartiallyFilled</t>
  </si>
  <si>
    <t>SharesOutstandingPopUpQty</t>
  </si>
  <si>
    <t>ResAllowedListPopUp</t>
  </si>
  <si>
    <t>Rate(%)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</si>
  <si>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</si>
  <si>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</si>
  <si>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</si>
  <si>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</si>
  <si>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</si>
  <si>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</si>
  <si>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</si>
  <si>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</si>
  <si>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</si>
  <si>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</si>
  <si>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</si>
  <si>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</si>
  <si>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</si>
  <si>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</si>
  <si>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</si>
  <si>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</si>
  <si>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</si>
  <si>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GetExecutionReportOrders</t>
  </si>
  <si>
    <t>VerifyExecutionReport</t>
  </si>
  <si>
    <t>Filled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</si>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</sst>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  <scheme val="minor"/>
    </font>
    <font>
      <color theme="1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14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4" numFmtId="14" xfId="0" applyAlignment="1" applyFont="1" applyNumberFormat="1">
      <alignment horizontal="right" vertical="bottom"/>
    </xf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1000.0</v>
      </c>
      <c r="D6" s="4">
        <v>140.0</v>
      </c>
      <c r="E6" s="7" t="s">
        <v>20</v>
      </c>
      <c r="F6" s="4"/>
      <c r="G6" s="4"/>
      <c r="H6" s="4"/>
      <c r="I6" s="7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140.0</v>
      </c>
      <c r="Y6" s="22">
        <f>TODAY()+1</f>
        <v>45819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4"/>
      <c r="B7" s="7"/>
      <c r="C7" s="21"/>
      <c r="D7" s="4"/>
      <c r="E7" s="7"/>
      <c r="F7" s="4"/>
      <c r="G7" s="4"/>
      <c r="H7" s="4"/>
      <c r="I7" s="7"/>
      <c r="J7" s="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21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4"/>
      <c r="B6" s="7" t="s">
        <v>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28</v>
      </c>
      <c r="D3" s="5" t="s">
        <v>9</v>
      </c>
      <c r="E3" s="9" t="s">
        <v>29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3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30</v>
      </c>
      <c r="D3" s="5" t="s">
        <v>9</v>
      </c>
      <c r="E3" s="9" t="s">
        <v>31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 t="s">
        <v>59</v>
      </c>
      <c r="AD5" s="4" t="s">
        <v>60</v>
      </c>
      <c r="AE5" s="4" t="s">
        <v>61</v>
      </c>
      <c r="AF5" s="4" t="s">
        <v>62</v>
      </c>
      <c r="AG5" s="4" t="s">
        <v>63</v>
      </c>
      <c r="AH5" s="4" t="s">
        <v>64</v>
      </c>
      <c r="AI5" s="4" t="s">
        <v>65</v>
      </c>
      <c r="AJ5" s="4" t="s">
        <v>66</v>
      </c>
      <c r="AK5" s="4" t="s">
        <v>67</v>
      </c>
      <c r="AL5" s="4" t="s">
        <v>68</v>
      </c>
      <c r="AM5" s="4" t="s">
        <v>69</v>
      </c>
      <c r="AN5" s="4" t="s">
        <v>70</v>
      </c>
      <c r="AO5" s="4" t="s">
        <v>71</v>
      </c>
      <c r="AP5" s="4" t="s">
        <v>72</v>
      </c>
      <c r="AQ5" s="4" t="s">
        <v>73</v>
      </c>
      <c r="AR5" s="4" t="s">
        <v>74</v>
      </c>
      <c r="AS5" s="4" t="s">
        <v>75</v>
      </c>
      <c r="AT5" s="4" t="s">
        <v>76</v>
      </c>
      <c r="AU5" s="4" t="s">
        <v>77</v>
      </c>
      <c r="AV5" s="4" t="s">
        <v>78</v>
      </c>
      <c r="AW5" s="4" t="s">
        <v>79</v>
      </c>
      <c r="AX5" s="4" t="s">
        <v>80</v>
      </c>
      <c r="AY5" s="4" t="s">
        <v>81</v>
      </c>
      <c r="AZ5" s="4" t="s">
        <v>82</v>
      </c>
      <c r="BA5" s="4" t="s">
        <v>83</v>
      </c>
    </row>
    <row r="6" ht="15.75" customHeight="1">
      <c r="AI6" s="4" t="s">
        <v>19</v>
      </c>
      <c r="AJ6" s="4" t="s">
        <v>22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A5" s="4"/>
      <c r="B5" s="4" t="s">
        <v>65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75</v>
      </c>
      <c r="H5" s="4" t="s">
        <v>88</v>
      </c>
      <c r="I5" s="4" t="s">
        <v>77</v>
      </c>
      <c r="J5" s="4" t="s">
        <v>89</v>
      </c>
      <c r="K5" s="4" t="s">
        <v>90</v>
      </c>
      <c r="L5" s="4" t="s">
        <v>24</v>
      </c>
      <c r="M5" s="4" t="s">
        <v>91</v>
      </c>
      <c r="N5" s="4" t="s">
        <v>92</v>
      </c>
      <c r="O5" s="4" t="s">
        <v>93</v>
      </c>
      <c r="P5" s="4" t="s">
        <v>94</v>
      </c>
      <c r="Q5" s="4" t="s">
        <v>95</v>
      </c>
      <c r="R5" s="4" t="s">
        <v>96</v>
      </c>
      <c r="S5" s="4" t="s">
        <v>97</v>
      </c>
      <c r="T5" s="4" t="s">
        <v>98</v>
      </c>
      <c r="U5" s="4" t="s">
        <v>99</v>
      </c>
      <c r="V5" s="4" t="s">
        <v>100</v>
      </c>
      <c r="W5" s="4" t="s">
        <v>101</v>
      </c>
      <c r="X5" s="4" t="s">
        <v>102</v>
      </c>
      <c r="Y5" s="4" t="s">
        <v>103</v>
      </c>
      <c r="Z5" s="4" t="s">
        <v>104</v>
      </c>
      <c r="AA5" s="4" t="s">
        <v>105</v>
      </c>
      <c r="AB5" s="4" t="s">
        <v>38</v>
      </c>
      <c r="AC5" s="4" t="s">
        <v>106</v>
      </c>
      <c r="AD5" s="4" t="s">
        <v>107</v>
      </c>
      <c r="AE5" s="4" t="s">
        <v>42</v>
      </c>
      <c r="AF5" s="4" t="s">
        <v>108</v>
      </c>
      <c r="AG5" s="4" t="s">
        <v>109</v>
      </c>
      <c r="AH5" s="4" t="s">
        <v>110</v>
      </c>
      <c r="AI5" s="4" t="s">
        <v>111</v>
      </c>
      <c r="AJ5" s="4" t="s">
        <v>112</v>
      </c>
      <c r="AK5" s="4" t="s">
        <v>76</v>
      </c>
      <c r="AL5" s="4" t="s">
        <v>113</v>
      </c>
      <c r="AM5" s="4" t="s">
        <v>114</v>
      </c>
      <c r="AN5" s="4" t="s">
        <v>115</v>
      </c>
      <c r="AO5" s="4" t="s">
        <v>116</v>
      </c>
      <c r="AP5" s="4" t="s">
        <v>117</v>
      </c>
      <c r="AQ5" s="4" t="s">
        <v>118</v>
      </c>
      <c r="AR5" s="4" t="s">
        <v>119</v>
      </c>
      <c r="AS5" s="4" t="s">
        <v>120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ht="15.75" customHeight="1">
      <c r="A6" s="4"/>
      <c r="B6" s="4" t="s">
        <v>19</v>
      </c>
      <c r="C6" s="4" t="s">
        <v>22</v>
      </c>
      <c r="D6" s="24">
        <v>400.0</v>
      </c>
      <c r="E6" s="4"/>
      <c r="F6" s="4"/>
      <c r="G6" s="4"/>
      <c r="H6" s="4"/>
      <c r="I6" s="4"/>
      <c r="J6" s="24">
        <v>140.0</v>
      </c>
      <c r="K6" s="4"/>
      <c r="L6" s="2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B5" s="25" t="s">
        <v>32</v>
      </c>
      <c r="C5" s="25" t="s">
        <v>33</v>
      </c>
      <c r="D5" s="25" t="s">
        <v>34</v>
      </c>
      <c r="E5" s="25" t="s">
        <v>35</v>
      </c>
      <c r="F5" s="25" t="s">
        <v>36</v>
      </c>
      <c r="G5" s="25" t="s">
        <v>37</v>
      </c>
      <c r="H5" s="25" t="s">
        <v>38</v>
      </c>
      <c r="I5" s="25" t="s">
        <v>121</v>
      </c>
      <c r="J5" s="25" t="s">
        <v>40</v>
      </c>
      <c r="K5" s="25" t="s">
        <v>41</v>
      </c>
      <c r="L5" s="25" t="s">
        <v>42</v>
      </c>
      <c r="M5" s="25" t="s">
        <v>43</v>
      </c>
      <c r="N5" s="25" t="s">
        <v>44</v>
      </c>
      <c r="O5" s="25" t="s">
        <v>45</v>
      </c>
      <c r="P5" s="25" t="s">
        <v>46</v>
      </c>
      <c r="Q5" s="25" t="s">
        <v>48</v>
      </c>
      <c r="R5" s="25" t="s">
        <v>47</v>
      </c>
      <c r="S5" s="25" t="s">
        <v>49</v>
      </c>
      <c r="T5" s="25" t="s">
        <v>50</v>
      </c>
      <c r="U5" s="25" t="s">
        <v>51</v>
      </c>
      <c r="V5" s="25" t="s">
        <v>52</v>
      </c>
      <c r="W5" s="25" t="s">
        <v>53</v>
      </c>
      <c r="X5" s="25" t="s">
        <v>54</v>
      </c>
      <c r="Y5" s="25" t="s">
        <v>55</v>
      </c>
      <c r="Z5" s="25" t="s">
        <v>56</v>
      </c>
      <c r="AA5" s="25" t="s">
        <v>57</v>
      </c>
      <c r="AB5" s="25" t="s">
        <v>58</v>
      </c>
      <c r="AC5" s="25" t="s">
        <v>59</v>
      </c>
      <c r="AD5" s="25" t="s">
        <v>60</v>
      </c>
      <c r="AE5" s="25" t="s">
        <v>61</v>
      </c>
      <c r="AF5" s="25" t="s">
        <v>62</v>
      </c>
      <c r="AG5" s="25" t="s">
        <v>63</v>
      </c>
      <c r="AH5" s="25" t="s">
        <v>64</v>
      </c>
      <c r="AI5" s="25" t="s">
        <v>65</v>
      </c>
      <c r="AJ5" s="25" t="s">
        <v>66</v>
      </c>
      <c r="AK5" s="25" t="s">
        <v>67</v>
      </c>
      <c r="AL5" s="25" t="s">
        <v>85</v>
      </c>
      <c r="AM5" s="25" t="s">
        <v>122</v>
      </c>
      <c r="AN5" s="25" t="s">
        <v>71</v>
      </c>
      <c r="AO5" s="25" t="s">
        <v>73</v>
      </c>
      <c r="AP5" s="25" t="s">
        <v>74</v>
      </c>
      <c r="AQ5" s="25" t="s">
        <v>75</v>
      </c>
      <c r="AR5" s="25" t="s">
        <v>76</v>
      </c>
      <c r="AS5" s="25" t="s">
        <v>77</v>
      </c>
      <c r="AT5" s="25" t="s">
        <v>78</v>
      </c>
      <c r="AU5" s="25" t="s">
        <v>79</v>
      </c>
      <c r="AV5" s="25" t="s">
        <v>80</v>
      </c>
      <c r="AW5" s="25" t="s">
        <v>81</v>
      </c>
      <c r="AX5" s="25" t="s">
        <v>123</v>
      </c>
      <c r="AY5" s="25" t="s">
        <v>91</v>
      </c>
      <c r="AZ5" s="25" t="s">
        <v>124</v>
      </c>
      <c r="BA5" s="25" t="s">
        <v>125</v>
      </c>
      <c r="BB5" s="25" t="s">
        <v>126</v>
      </c>
      <c r="BC5" s="25" t="s">
        <v>127</v>
      </c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</row>
    <row r="6">
      <c r="D6" s="25"/>
      <c r="E6" s="4" t="s">
        <v>128</v>
      </c>
      <c r="F6" s="4">
        <v>140.0</v>
      </c>
      <c r="G6" s="25">
        <v>400.0</v>
      </c>
      <c r="H6" s="4" t="s">
        <v>129</v>
      </c>
      <c r="I6" s="4" t="s">
        <v>130</v>
      </c>
      <c r="J6" s="4" t="s">
        <v>19</v>
      </c>
      <c r="K6" s="4" t="s">
        <v>131</v>
      </c>
      <c r="L6" s="4" t="s">
        <v>132</v>
      </c>
      <c r="U6" s="4" t="s">
        <v>133</v>
      </c>
      <c r="V6" s="4" t="s">
        <v>134</v>
      </c>
      <c r="AA6" s="4"/>
      <c r="AB6" s="4"/>
      <c r="AD6" s="25">
        <v>0.0</v>
      </c>
      <c r="AF6" s="4" t="s">
        <v>135</v>
      </c>
      <c r="AG6" s="4"/>
      <c r="AH6" s="4" t="s">
        <v>136</v>
      </c>
      <c r="AI6" s="4" t="s">
        <v>19</v>
      </c>
      <c r="AJ6" s="4" t="s">
        <v>22</v>
      </c>
      <c r="AK6" s="25" t="s">
        <v>137</v>
      </c>
      <c r="AL6" s="4">
        <v>400.0</v>
      </c>
      <c r="AM6" s="4"/>
      <c r="AN6" s="4"/>
      <c r="AO6" s="4"/>
      <c r="AP6" s="4"/>
      <c r="AQ6" s="4" t="s">
        <v>138</v>
      </c>
      <c r="AR6" s="4" t="s">
        <v>21</v>
      </c>
      <c r="AS6" s="4" t="s">
        <v>24</v>
      </c>
      <c r="AT6" s="4"/>
      <c r="AU6" s="4"/>
      <c r="AV6" s="4"/>
      <c r="AW6" s="4"/>
      <c r="AX6" s="4"/>
      <c r="AZ6" s="4" t="s">
        <v>130</v>
      </c>
      <c r="BA6" s="4"/>
      <c r="BC6" s="26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140</v>
      </c>
      <c r="D3" s="5" t="s">
        <v>9</v>
      </c>
      <c r="E3" s="9" t="s">
        <v>141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140</v>
      </c>
      <c r="D3" s="5" t="s">
        <v>9</v>
      </c>
      <c r="E3" s="9" t="s">
        <v>142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140</v>
      </c>
      <c r="D3" s="5" t="s">
        <v>9</v>
      </c>
      <c r="E3" s="9" t="s">
        <v>143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122.2</v>
      </c>
      <c r="C6" s="27">
        <v>50.0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8"/>
      <c r="B5" s="28" t="s">
        <v>32</v>
      </c>
      <c r="C5" s="28" t="s">
        <v>33</v>
      </c>
      <c r="D5" s="28" t="s">
        <v>34</v>
      </c>
      <c r="E5" s="28" t="s">
        <v>35</v>
      </c>
      <c r="F5" s="28" t="s">
        <v>36</v>
      </c>
      <c r="G5" s="28" t="s">
        <v>37</v>
      </c>
      <c r="H5" s="28" t="s">
        <v>38</v>
      </c>
      <c r="I5" s="28" t="s">
        <v>121</v>
      </c>
      <c r="J5" s="28" t="s">
        <v>40</v>
      </c>
      <c r="K5" s="28" t="s">
        <v>41</v>
      </c>
      <c r="L5" s="28" t="s">
        <v>42</v>
      </c>
      <c r="M5" s="28" t="s">
        <v>43</v>
      </c>
      <c r="N5" s="28" t="s">
        <v>44</v>
      </c>
      <c r="O5" s="28" t="s">
        <v>45</v>
      </c>
      <c r="P5" s="28" t="s">
        <v>46</v>
      </c>
      <c r="Q5" s="28" t="s">
        <v>48</v>
      </c>
      <c r="R5" s="28" t="s">
        <v>47</v>
      </c>
      <c r="S5" s="28" t="s">
        <v>49</v>
      </c>
      <c r="T5" s="28" t="s">
        <v>50</v>
      </c>
      <c r="U5" s="28" t="s">
        <v>51</v>
      </c>
      <c r="V5" s="28" t="s">
        <v>52</v>
      </c>
      <c r="W5" s="28" t="s">
        <v>53</v>
      </c>
      <c r="X5" s="28" t="s">
        <v>54</v>
      </c>
      <c r="Y5" s="28" t="s">
        <v>55</v>
      </c>
      <c r="Z5" s="28" t="s">
        <v>56</v>
      </c>
      <c r="AA5" s="28" t="s">
        <v>57</v>
      </c>
      <c r="AB5" s="28" t="s">
        <v>58</v>
      </c>
      <c r="AC5" s="28" t="s">
        <v>59</v>
      </c>
      <c r="AD5" s="28" t="s">
        <v>60</v>
      </c>
      <c r="AE5" s="28" t="s">
        <v>61</v>
      </c>
      <c r="AF5" s="28" t="s">
        <v>62</v>
      </c>
      <c r="AG5" s="28" t="s">
        <v>63</v>
      </c>
      <c r="AH5" s="28" t="s">
        <v>64</v>
      </c>
      <c r="AI5" s="28" t="s">
        <v>65</v>
      </c>
      <c r="AJ5" s="28" t="s">
        <v>66</v>
      </c>
      <c r="AK5" s="28" t="s">
        <v>67</v>
      </c>
      <c r="AL5" s="28" t="s">
        <v>85</v>
      </c>
      <c r="AM5" s="28" t="s">
        <v>122</v>
      </c>
      <c r="AN5" s="28" t="s">
        <v>71</v>
      </c>
      <c r="AO5" s="28" t="s">
        <v>73</v>
      </c>
      <c r="AP5" s="28" t="s">
        <v>74</v>
      </c>
      <c r="AQ5" s="28" t="s">
        <v>75</v>
      </c>
      <c r="AR5" s="28" t="s">
        <v>76</v>
      </c>
      <c r="AS5" s="28" t="s">
        <v>77</v>
      </c>
      <c r="AT5" s="28" t="s">
        <v>78</v>
      </c>
      <c r="AU5" s="28" t="s">
        <v>79</v>
      </c>
      <c r="AV5" s="28" t="s">
        <v>80</v>
      </c>
      <c r="AW5" s="28" t="s">
        <v>81</v>
      </c>
      <c r="AX5" s="28" t="s">
        <v>123</v>
      </c>
      <c r="AY5" s="28" t="s">
        <v>91</v>
      </c>
      <c r="AZ5" s="28" t="s">
        <v>124</v>
      </c>
      <c r="BA5" s="28" t="s">
        <v>125</v>
      </c>
      <c r="BB5" s="28" t="s">
        <v>126</v>
      </c>
      <c r="BC5" s="28" t="s">
        <v>127</v>
      </c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</row>
    <row r="6">
      <c r="A6" s="28"/>
      <c r="B6" s="28"/>
      <c r="C6" s="28"/>
      <c r="D6" s="29">
        <v>122.2</v>
      </c>
      <c r="E6" s="28" t="s">
        <v>128</v>
      </c>
      <c r="F6" s="29">
        <v>140.0</v>
      </c>
      <c r="G6" s="29">
        <v>350.0</v>
      </c>
      <c r="H6" s="28" t="s">
        <v>129</v>
      </c>
      <c r="I6" s="28" t="s">
        <v>130</v>
      </c>
      <c r="J6" s="28" t="s">
        <v>19</v>
      </c>
      <c r="K6" s="28" t="s">
        <v>131</v>
      </c>
      <c r="L6" s="28" t="s">
        <v>132</v>
      </c>
      <c r="M6" s="28"/>
      <c r="N6" s="28"/>
      <c r="O6" s="28"/>
      <c r="P6" s="28"/>
      <c r="Q6" s="28"/>
      <c r="R6" s="28"/>
      <c r="S6" s="28"/>
      <c r="T6" s="28"/>
      <c r="U6" s="28" t="s">
        <v>133</v>
      </c>
      <c r="V6" s="28" t="s">
        <v>134</v>
      </c>
      <c r="W6" s="28"/>
      <c r="X6" s="28"/>
      <c r="Y6" s="28"/>
      <c r="Z6" s="28"/>
      <c r="AA6" s="28"/>
      <c r="AB6" s="29">
        <v>50.0</v>
      </c>
      <c r="AC6" s="28"/>
      <c r="AD6" s="28"/>
      <c r="AE6" s="28"/>
      <c r="AF6" s="28" t="s">
        <v>135</v>
      </c>
      <c r="AG6" s="29">
        <v>122.2</v>
      </c>
      <c r="AH6" s="28" t="s">
        <v>136</v>
      </c>
      <c r="AI6" s="28" t="s">
        <v>19</v>
      </c>
      <c r="AJ6" s="28" t="s">
        <v>22</v>
      </c>
      <c r="AK6" s="28" t="s">
        <v>144</v>
      </c>
      <c r="AL6" s="29">
        <v>400.0</v>
      </c>
      <c r="AM6" s="29">
        <v>50.0</v>
      </c>
      <c r="AN6" s="29">
        <v>50.0</v>
      </c>
      <c r="AO6" s="29">
        <v>122.2</v>
      </c>
      <c r="AP6" s="29">
        <v>122.2</v>
      </c>
      <c r="AQ6" s="28" t="s">
        <v>138</v>
      </c>
      <c r="AR6" s="28" t="s">
        <v>21</v>
      </c>
      <c r="AS6" s="28" t="s">
        <v>24</v>
      </c>
      <c r="AT6" s="29">
        <v>6110.0</v>
      </c>
      <c r="AU6" s="29">
        <v>6110.0</v>
      </c>
      <c r="AV6" s="28"/>
      <c r="AW6" s="28" t="s">
        <v>144</v>
      </c>
      <c r="AX6" s="29">
        <v>350.0</v>
      </c>
      <c r="AY6" s="28"/>
      <c r="AZ6" s="28" t="s">
        <v>130</v>
      </c>
      <c r="BA6" s="28"/>
      <c r="BB6" s="28"/>
      <c r="BC6" s="28" t="s">
        <v>139</v>
      </c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65</v>
      </c>
      <c r="C5" s="26" t="s">
        <v>84</v>
      </c>
      <c r="D5" s="26" t="s">
        <v>85</v>
      </c>
      <c r="E5" s="26" t="s">
        <v>86</v>
      </c>
      <c r="F5" s="26" t="s">
        <v>87</v>
      </c>
      <c r="G5" s="26" t="s">
        <v>75</v>
      </c>
      <c r="H5" s="26" t="s">
        <v>88</v>
      </c>
      <c r="I5" s="26" t="s">
        <v>77</v>
      </c>
      <c r="J5" s="26" t="s">
        <v>89</v>
      </c>
      <c r="K5" s="26" t="s">
        <v>90</v>
      </c>
      <c r="L5" s="26" t="s">
        <v>24</v>
      </c>
      <c r="M5" s="26" t="s">
        <v>91</v>
      </c>
      <c r="N5" s="26" t="s">
        <v>92</v>
      </c>
      <c r="O5" s="26" t="s">
        <v>93</v>
      </c>
      <c r="P5" s="26" t="s">
        <v>94</v>
      </c>
      <c r="Q5" s="26" t="s">
        <v>95</v>
      </c>
      <c r="R5" s="26" t="s">
        <v>96</v>
      </c>
      <c r="S5" s="26" t="s">
        <v>97</v>
      </c>
      <c r="T5" s="26" t="s">
        <v>98</v>
      </c>
      <c r="U5" s="26" t="s">
        <v>99</v>
      </c>
      <c r="V5" s="26" t="s">
        <v>100</v>
      </c>
      <c r="W5" s="26" t="s">
        <v>101</v>
      </c>
      <c r="X5" s="26" t="s">
        <v>102</v>
      </c>
      <c r="Y5" s="26" t="s">
        <v>103</v>
      </c>
      <c r="Z5" s="26" t="s">
        <v>104</v>
      </c>
      <c r="AA5" s="26" t="s">
        <v>105</v>
      </c>
      <c r="AB5" s="26" t="s">
        <v>38</v>
      </c>
      <c r="AC5" s="26" t="s">
        <v>106</v>
      </c>
      <c r="AD5" s="26" t="s">
        <v>107</v>
      </c>
      <c r="AE5" s="26" t="s">
        <v>42</v>
      </c>
      <c r="AF5" s="26" t="s">
        <v>108</v>
      </c>
      <c r="AG5" s="26" t="s">
        <v>109</v>
      </c>
      <c r="AH5" s="26" t="s">
        <v>110</v>
      </c>
      <c r="AI5" s="26" t="s">
        <v>111</v>
      </c>
      <c r="AJ5" s="26" t="s">
        <v>112</v>
      </c>
      <c r="AK5" s="26" t="s">
        <v>76</v>
      </c>
      <c r="AL5" s="26" t="s">
        <v>113</v>
      </c>
      <c r="AM5" s="26" t="s">
        <v>114</v>
      </c>
      <c r="AN5" s="26" t="s">
        <v>117</v>
      </c>
      <c r="AO5" s="26" t="s">
        <v>115</v>
      </c>
      <c r="AP5" s="26" t="s">
        <v>116</v>
      </c>
      <c r="AQ5" s="26" t="s">
        <v>120</v>
      </c>
      <c r="AR5" s="26" t="s">
        <v>145</v>
      </c>
      <c r="AS5" s="26" t="s">
        <v>119</v>
      </c>
      <c r="AT5" s="26" t="s">
        <v>146</v>
      </c>
      <c r="AU5" s="26" t="s">
        <v>147</v>
      </c>
      <c r="AV5" s="26" t="s">
        <v>118</v>
      </c>
      <c r="AW5" s="26" t="s">
        <v>148</v>
      </c>
      <c r="AX5" s="26" t="s">
        <v>149</v>
      </c>
      <c r="AY5" s="26" t="s">
        <v>150</v>
      </c>
      <c r="AZ5" s="26" t="s">
        <v>151</v>
      </c>
      <c r="BA5" s="26" t="s">
        <v>152</v>
      </c>
      <c r="BB5" s="26" t="s">
        <v>153</v>
      </c>
      <c r="BC5" s="26" t="s">
        <v>154</v>
      </c>
      <c r="BD5" s="26" t="s">
        <v>155</v>
      </c>
      <c r="BE5" s="26" t="s">
        <v>156</v>
      </c>
      <c r="BF5" s="26" t="s">
        <v>157</v>
      </c>
      <c r="BG5" s="26" t="s">
        <v>158</v>
      </c>
      <c r="BH5" s="26" t="s">
        <v>159</v>
      </c>
      <c r="BI5" s="26" t="s">
        <v>160</v>
      </c>
      <c r="BJ5" s="26" t="s">
        <v>161</v>
      </c>
      <c r="BK5" s="26" t="s">
        <v>162</v>
      </c>
      <c r="BL5" s="26" t="s">
        <v>163</v>
      </c>
    </row>
    <row r="6">
      <c r="A6" s="28"/>
      <c r="B6" s="30" t="s">
        <v>164</v>
      </c>
      <c r="C6" s="31" t="s">
        <v>22</v>
      </c>
      <c r="D6" s="32">
        <v>1000.0</v>
      </c>
      <c r="E6" s="30"/>
      <c r="F6" s="33" t="s">
        <v>21</v>
      </c>
      <c r="G6" s="28"/>
      <c r="H6" s="28"/>
      <c r="I6" s="30"/>
      <c r="J6" s="34">
        <v>10.0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35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30</v>
      </c>
      <c r="D3" s="5" t="s">
        <v>9</v>
      </c>
      <c r="E3" s="9" t="s">
        <v>165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IFERROR(__xludf.DUMMYFUNCTION("""COMPUTED_VALUE"""),"From Date")</f>
        <v>From Date</v>
      </c>
      <c r="C5" s="18" t="str">
        <f>IFERROR(__xludf.DUMMYFUNCTION("""COMPUTED_VALUE"""),"To Date")</f>
        <v>To Date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36">
        <f>TODAY()</f>
        <v>45818</v>
      </c>
      <c r="C6" s="36">
        <f>TODAY()+2</f>
        <v>45820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30</v>
      </c>
      <c r="D3" s="5" t="s">
        <v>9</v>
      </c>
      <c r="E3" s="9" t="s">
        <v>166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IFERROR(__xludf.DUMMYFUNCTION("""COMPUTED_VALUE"""),"Side")</f>
        <v>Side</v>
      </c>
      <c r="D5" s="18" t="str">
        <f>IFERROR(__xludf.DUMMYFUNCTION("""COMPUTED_VALUE"""),"Order Type")</f>
        <v>Order Type</v>
      </c>
      <c r="E5" s="18" t="str">
        <f>IFERROR(__xludf.DUMMYFUNCTION("""COMPUTED_VALUE"""),"Target Quantity")</f>
        <v>Target Quantity</v>
      </c>
      <c r="F5" s="18" t="str">
        <f>IFERROR(__xludf.DUMMYFUNCTION("""COMPUTED_VALUE"""),"Executed Qty")</f>
        <v>Executed Qty</v>
      </c>
      <c r="G5" s="18" t="str">
        <f>IFERROR(__xludf.DUMMYFUNCTION("""COMPUTED_VALUE"""),"Avg Price")</f>
        <v>Avg Price</v>
      </c>
      <c r="H5" s="18" t="str">
        <f>IFERROR(__xludf.DUMMYFUNCTION("""COMPUTED_VALUE"""),"Status")</f>
        <v>Status</v>
      </c>
      <c r="I5" s="18" t="str">
        <f>IFERROR(__xludf.DUMMYFUNCTION("""COMPUTED_VALUE"""),"Price")</f>
        <v>Price</v>
      </c>
      <c r="J5" s="18" t="str">
        <f>IFERROR(__xludf.DUMMYFUNCTION("""COMPUTED_VALUE"""),"OrderID")</f>
        <v>OrderID</v>
      </c>
      <c r="K5" s="18" t="str">
        <f>IFERROR(__xludf.DUMMYFUNCTION("""COMPUTED_VALUE"""),"CIOrderID")</f>
        <v>CIOrderID</v>
      </c>
      <c r="L5" s="18" t="str">
        <f>IFERROR(__xludf.DUMMYFUNCTION("""COMPUTED_VALUE"""),"Actual User")</f>
        <v>Actual User</v>
      </c>
      <c r="M5" s="18" t="str">
        <f>IFERROR(__xludf.DUMMYFUNCTION("""COMPUTED_VALUE"""),"Trader")</f>
        <v>Trader</v>
      </c>
      <c r="N5" s="18" t="str">
        <f>IFERROR(__xludf.DUMMYFUNCTION("""COMPUTED_VALUE"""),"Broker")</f>
        <v>Broker</v>
      </c>
      <c r="O5" s="18" t="str">
        <f>IFERROR(__xludf.DUMMYFUNCTION("""COMPUTED_VALUE"""),"Modified User")</f>
        <v>Modified User</v>
      </c>
      <c r="P5" s="18" t="str">
        <f>IFERROR(__xludf.DUMMYFUNCTION("""COMPUTED_VALUE"""),"Current User")</f>
        <v>Current User</v>
      </c>
      <c r="Q5" s="18" t="str">
        <f>IFERROR(__xludf.DUMMYFUNCTION("""COMPUTED_VALUE"""),"Avg Fx Rate")</f>
        <v>Avg Fx Rate</v>
      </c>
      <c r="R5" s="18" t="str">
        <f>IFERROR(__xludf.DUMMYFUNCTION("""COMPUTED_VALUE"""),"Account")</f>
        <v>Account</v>
      </c>
      <c r="S5" s="18" t="str">
        <f>IFERROR(__xludf.DUMMYFUNCTION("""COMPUTED_VALUE"""),"Process Date")</f>
        <v>Process Date</v>
      </c>
      <c r="T5" s="19" t="str">
        <f>IFERROR(__xludf.DUMMYFUNCTION("""COMPUTED_VALUE"""),"Last Shares")</f>
        <v>Last Shares</v>
      </c>
      <c r="U5" s="19" t="str">
        <f>IFERROR(__xludf.DUMMYFUNCTION("""COMPUTED_VALUE"""),"Last Price")</f>
        <v>Last Price</v>
      </c>
      <c r="V5" s="19" t="str">
        <f>IFERROR(__xludf.DUMMYFUNCTION("""COMPUTED_VALUE"""),"Exchange")</f>
        <v>Exchange</v>
      </c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30" t="s">
        <v>164</v>
      </c>
      <c r="C6" s="21" t="s">
        <v>22</v>
      </c>
      <c r="D6" s="21"/>
      <c r="E6" s="7"/>
      <c r="F6" s="25">
        <v>1000.0</v>
      </c>
      <c r="G6" s="27">
        <v>10.0</v>
      </c>
      <c r="H6" s="7" t="s">
        <v>167</v>
      </c>
      <c r="J6" s="7"/>
      <c r="K6" s="7"/>
      <c r="L6" s="7" t="s">
        <v>130</v>
      </c>
      <c r="M6" s="7"/>
      <c r="N6" s="7" t="s">
        <v>138</v>
      </c>
      <c r="O6" s="7" t="s">
        <v>130</v>
      </c>
      <c r="P6" s="7" t="s">
        <v>130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4"/>
      <c r="B6" s="7" t="s">
        <v>168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