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locationPreferences" sheetId="4" r:id="rId6"/>
    <sheet state="visible" name="CustomOrderTT" sheetId="5" r:id="rId7"/>
    <sheet state="visible" name="GetDataClosing" sheetId="6" r:id="rId8"/>
    <sheet state="visible" name="SelectTradeUnexpiredUnsettled" sheetId="7" r:id="rId9"/>
    <sheet state="visible" name="ExerciseAssignment" sheetId="8" r:id="rId10"/>
    <sheet state="visible" name="CustomOrderTT1" sheetId="9" r:id="rId11"/>
    <sheet state="visible" name="CustomOrderTT2" sheetId="10" r:id="rId12"/>
    <sheet state="visible" name="GetDataClosing1" sheetId="11" r:id="rId13"/>
    <sheet state="visible" name="AutomaticClosing" sheetId="12" r:id="rId14"/>
    <sheet state="visible" name="SelectAllocatedGroup" sheetId="13" r:id="rId15"/>
    <sheet state="visible" name="ReviewExistingPositions" sheetId="14" r:id="rId16"/>
    <sheet state="visible" name="CheckPortfolioManagement" sheetId="15" r:id="rId17"/>
    <sheet state="visible" name="GetDataClosing2" sheetId="16" r:id="rId18"/>
    <sheet state="visible" name="UnwindClosing" sheetId="17" r:id="rId19"/>
    <sheet state="visible" name="UnwindClosing1" sheetId="18" r:id="rId20"/>
    <sheet state="visible" name="SelectAllocatedGroup1" sheetId="19" r:id="rId21"/>
    <sheet state="visible" name="ReviewExistingPositions1" sheetId="20" r:id="rId22"/>
    <sheet state="visible" name="CheckPortfolioManagement1" sheetId="21" r:id="rId23"/>
    <sheet state="visible" name="SetGeneralPreferences" sheetId="22" r:id="rId24"/>
  </sheets>
  <definedNames/>
  <calcPr/>
</workbook>
</file>

<file path=xl/sharedStrings.xml><?xml version="1.0" encoding="utf-8"?>
<sst xmlns="http://schemas.openxmlformats.org/spreadsheetml/2006/main" count="287" uniqueCount="53">
  <si>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</si>
  <si>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</si>
  <si>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</si>
  <si>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</si>
  <si>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</si>
  <si>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</si>
  <si>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</si>
  <si>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</si>
  <si>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</si>
  <si>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</si>
  <si>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</si>
  <si>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</si>
  <si>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</si>
  <si>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SetAllocationPreferences</t>
  </si>
  <si>
    <t>Data Format</t>
  </si>
  <si>
    <t>Input Format</t>
  </si>
  <si>
    <t>TradingTicket</t>
  </si>
  <si>
    <t>CustomOrderTT</t>
  </si>
  <si>
    <t>O:MMR 10Q14.00</t>
  </si>
  <si>
    <t>DoneAway</t>
  </si>
  <si>
    <t>Buy to Open</t>
  </si>
  <si>
    <t>Allocation1</t>
  </si>
  <si>
    <t>Closing</t>
  </si>
  <si>
    <t>GetDataClosing</t>
  </si>
  <si>
    <t>Current</t>
  </si>
  <si>
    <t>SelectTradeUnexpiredUnsettled</t>
  </si>
  <si>
    <t>ExerciseAssignment</t>
  </si>
  <si>
    <t>MMR</t>
  </si>
  <si>
    <t>Sell short</t>
  </si>
  <si>
    <t>Buy to Close</t>
  </si>
  <si>
    <t>AutomaticClosing</t>
  </si>
  <si>
    <t>FIFO</t>
  </si>
  <si>
    <t>Allocation</t>
  </si>
  <si>
    <t>SelectAllocatedGroup</t>
  </si>
  <si>
    <t>ReviewExistingPositions</t>
  </si>
  <si>
    <t>PortfolioManagement</t>
  </si>
  <si>
    <t>CheckPortfolioManagement</t>
  </si>
  <si>
    <t>NewMF</t>
  </si>
  <si>
    <t>Long</t>
  </si>
  <si>
    <t>Strategy Unallocated</t>
  </si>
  <si>
    <t>EquityOption</t>
  </si>
  <si>
    <t>US</t>
  </si>
  <si>
    <t>OPTS</t>
  </si>
  <si>
    <t>USD</t>
  </si>
  <si>
    <t>jpearce</t>
  </si>
  <si>
    <t>MS</t>
  </si>
  <si>
    <t>Sell to Close</t>
  </si>
  <si>
    <t>Exercise</t>
  </si>
  <si>
    <t>Short</t>
  </si>
  <si>
    <t>Equity</t>
  </si>
  <si>
    <t>NYSE</t>
  </si>
  <si>
    <t>UnwindClosing</t>
  </si>
  <si>
    <t>SetGeneralPreferences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</si>
</sst>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IFERROR(__xludf.DUMMYFUNCTION("""COMPUTED_VALUE"""),"CompanyId")</f>
        <v>CompanyId</v>
      </c>
      <c r="C5" s="27" t="str">
        <f>IFERROR(__xludf.DUMMYFUNCTION("""COMPUTED_VALUE"""),"AutoGroup")</f>
        <v>AutoGroup</v>
      </c>
      <c r="D5" s="27" t="str">
        <f>IFERROR(__xludf.DUMMYFUNCTION("""COMPUTED_VALUE"""),"TradeAttribute1")</f>
        <v>TradeAttribute1</v>
      </c>
      <c r="E5" s="27" t="str">
        <f>IFERROR(__xludf.DUMMYFUNCTION("""COMPUTED_VALUE"""),"TradeAttribute2")</f>
        <v>TradeAttribute2</v>
      </c>
      <c r="F5" s="28" t="str">
        <f>IFERROR(__xludf.DUMMYFUNCTION("""COMPUTED_VALUE"""),"TradeAttribute3")</f>
        <v>TradeAttribute3</v>
      </c>
      <c r="G5" s="27" t="str">
        <f>IFERROR(__xludf.DUMMYFUNCTION("""COMPUTED_VALUE"""),"TradeAttribute4")</f>
        <v>TradeAttribute4</v>
      </c>
      <c r="H5" s="27" t="str">
        <f>IFERROR(__xludf.DUMMYFUNCTION("""COMPUTED_VALUE"""),"TradeAttribute5")</f>
        <v>TradeAttribute5</v>
      </c>
      <c r="I5" s="27" t="str">
        <f>IFERROR(__xludf.DUMMYFUNCTION("""COMPUTED_VALUE"""),"TradeAttribute6")</f>
        <v>TradeAttribute6</v>
      </c>
      <c r="J5" s="27" t="str">
        <f>IFERROR(__xludf.DUMMYFUNCTION("""COMPUTED_VALUE"""),"Broker")</f>
        <v>Broker</v>
      </c>
      <c r="K5" s="27" t="str">
        <f>IFERROR(__xludf.DUMMYFUNCTION("""COMPUTED_VALUE"""),"Venue")</f>
        <v>Venue</v>
      </c>
      <c r="L5" s="27" t="str">
        <f>IFERROR(__xludf.DUMMYFUNCTION("""COMPUTED_VALUE"""),"TradingAC")</f>
        <v>TradingAC</v>
      </c>
      <c r="M5" s="27" t="str">
        <f>IFERROR(__xludf.DUMMYFUNCTION("""COMPUTED_VALUE"""),"TradeDate")</f>
        <v>TradeDate</v>
      </c>
      <c r="N5" s="27" t="str">
        <f>IFERROR(__xludf.DUMMYFUNCTION("""COMPUTED_VALUE"""),"ProcessDate")</f>
        <v>ProcessDate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SetAllocationPreferences!$4:$4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>
        <v>10.0</v>
      </c>
      <c r="D6" s="9">
        <v>1.0</v>
      </c>
      <c r="E6" s="9" t="s">
        <v>19</v>
      </c>
      <c r="G6" s="8"/>
      <c r="H6" s="8"/>
      <c r="I6" s="8"/>
      <c r="J6" s="12" t="s">
        <v>20</v>
      </c>
      <c r="K6" s="8"/>
      <c r="L6" s="8"/>
      <c r="M6" s="8"/>
      <c r="N6" s="8"/>
      <c r="O6" s="8"/>
      <c r="P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 t="str">
        <f>IFERROR(__xludf.DUMMYFUNCTION("""COMPUTED_VALUE"""),"Settlement Qty")</f>
        <v>Settlement Qty</v>
      </c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1000.0</v>
      </c>
      <c r="D6" s="9">
        <v>1.0</v>
      </c>
      <c r="E6" s="9" t="s">
        <v>19</v>
      </c>
      <c r="G6" s="8"/>
      <c r="H6" s="8"/>
      <c r="I6" s="8"/>
      <c r="J6" s="12" t="s">
        <v>28</v>
      </c>
      <c r="K6" s="8"/>
      <c r="L6" s="8"/>
      <c r="M6" s="8"/>
      <c r="N6" s="8"/>
      <c r="O6" s="8"/>
      <c r="P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500.0</v>
      </c>
      <c r="D6" s="9">
        <v>1.0</v>
      </c>
      <c r="E6" s="9" t="s">
        <v>19</v>
      </c>
      <c r="G6" s="8"/>
      <c r="H6" s="8"/>
      <c r="I6" s="8"/>
      <c r="J6" s="12" t="s">
        <v>29</v>
      </c>
      <c r="K6" s="8"/>
      <c r="L6" s="8"/>
      <c r="M6" s="8"/>
      <c r="N6" s="8"/>
      <c r="O6" s="8"/>
      <c r="P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b">
        <v>0</v>
      </c>
      <c r="C6" s="35" t="b">
        <v>1</v>
      </c>
      <c r="D6" s="33" t="s">
        <v>31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7" t="s">
        <v>21</v>
      </c>
      <c r="D6" s="38">
        <v>-1500.0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12">
        <v>10.0</v>
      </c>
      <c r="E6" s="12" t="s">
        <v>21</v>
      </c>
      <c r="F6" s="12" t="s">
        <v>37</v>
      </c>
      <c r="H6" s="12" t="s">
        <v>38</v>
      </c>
      <c r="I6" s="8"/>
      <c r="J6" s="8"/>
      <c r="K6" s="8"/>
      <c r="L6" s="8"/>
      <c r="M6" s="8"/>
      <c r="N6" s="8"/>
      <c r="O6" s="8"/>
      <c r="S6" s="9" t="s">
        <v>39</v>
      </c>
      <c r="T6" s="9" t="s">
        <v>40</v>
      </c>
      <c r="U6" s="9" t="s">
        <v>41</v>
      </c>
      <c r="V6" s="9" t="s">
        <v>42</v>
      </c>
      <c r="W6" s="9" t="s">
        <v>43</v>
      </c>
      <c r="X6" s="9">
        <v>100.0</v>
      </c>
      <c r="Y6" s="9">
        <v>1.0</v>
      </c>
      <c r="AN6" s="9" t="s">
        <v>20</v>
      </c>
      <c r="AP6" s="9" t="s">
        <v>38</v>
      </c>
      <c r="AQ6" s="9" t="s">
        <v>27</v>
      </c>
      <c r="BQ6" s="9" t="s">
        <v>44</v>
      </c>
      <c r="BR6" s="9" t="s">
        <v>45</v>
      </c>
      <c r="DJ6" s="9" t="s">
        <v>20</v>
      </c>
    </row>
    <row r="7" ht="15.75" customHeight="1">
      <c r="A7" s="8"/>
      <c r="B7" s="8"/>
      <c r="C7" s="12" t="s">
        <v>18</v>
      </c>
      <c r="D7" s="12">
        <v>-10.0</v>
      </c>
      <c r="E7" s="12" t="s">
        <v>21</v>
      </c>
      <c r="F7" s="12" t="s">
        <v>37</v>
      </c>
      <c r="H7" s="12" t="s">
        <v>38</v>
      </c>
      <c r="I7" s="8"/>
      <c r="J7" s="8"/>
      <c r="K7" s="8"/>
      <c r="L7" s="8"/>
      <c r="M7" s="8"/>
      <c r="N7" s="8"/>
      <c r="O7" s="8"/>
      <c r="S7" s="9" t="s">
        <v>39</v>
      </c>
      <c r="T7" s="9" t="s">
        <v>40</v>
      </c>
      <c r="U7" s="9" t="s">
        <v>41</v>
      </c>
      <c r="V7" s="9" t="s">
        <v>42</v>
      </c>
      <c r="W7" s="9" t="s">
        <v>43</v>
      </c>
      <c r="X7" s="9">
        <v>100.0</v>
      </c>
      <c r="Y7" s="9">
        <v>1.0</v>
      </c>
      <c r="AN7" s="12" t="s">
        <v>46</v>
      </c>
      <c r="AP7" s="9" t="s">
        <v>38</v>
      </c>
      <c r="AQ7" s="9" t="s">
        <v>27</v>
      </c>
      <c r="BQ7" s="9" t="s">
        <v>44</v>
      </c>
      <c r="BR7" s="9" t="s">
        <v>45</v>
      </c>
      <c r="DJ7" s="9" t="s">
        <v>47</v>
      </c>
    </row>
    <row r="8" ht="15.75" customHeight="1">
      <c r="A8" s="8"/>
      <c r="B8" s="8"/>
      <c r="C8" s="12" t="s">
        <v>27</v>
      </c>
      <c r="D8" s="39">
        <v>-1000.0</v>
      </c>
      <c r="E8" s="12" t="s">
        <v>21</v>
      </c>
      <c r="F8" s="12" t="s">
        <v>37</v>
      </c>
      <c r="H8" s="12" t="s">
        <v>48</v>
      </c>
      <c r="I8" s="8"/>
      <c r="J8" s="8"/>
      <c r="K8" s="8"/>
      <c r="L8" s="8"/>
      <c r="M8" s="8"/>
      <c r="N8" s="8"/>
      <c r="O8" s="8"/>
      <c r="S8" s="9" t="s">
        <v>39</v>
      </c>
      <c r="T8" s="9" t="s">
        <v>49</v>
      </c>
      <c r="U8" s="9" t="s">
        <v>41</v>
      </c>
      <c r="V8" s="9" t="s">
        <v>50</v>
      </c>
      <c r="W8" s="9" t="s">
        <v>43</v>
      </c>
      <c r="X8" s="9">
        <v>1.0</v>
      </c>
      <c r="Y8" s="9">
        <v>1.0</v>
      </c>
      <c r="AN8" s="12" t="s">
        <v>28</v>
      </c>
      <c r="AP8" s="9" t="s">
        <v>48</v>
      </c>
      <c r="AQ8" s="9" t="s">
        <v>27</v>
      </c>
      <c r="BQ8" s="9" t="s">
        <v>44</v>
      </c>
      <c r="BR8" s="9" t="s">
        <v>45</v>
      </c>
      <c r="DJ8" s="9" t="s">
        <v>47</v>
      </c>
    </row>
    <row r="9" ht="15.75" customHeight="1">
      <c r="A9" s="8"/>
      <c r="B9" s="8"/>
      <c r="C9" s="12" t="s">
        <v>27</v>
      </c>
      <c r="D9" s="39">
        <v>-1000.0</v>
      </c>
      <c r="E9" s="12" t="s">
        <v>21</v>
      </c>
      <c r="F9" s="12" t="s">
        <v>37</v>
      </c>
      <c r="H9" s="12" t="s">
        <v>48</v>
      </c>
      <c r="I9" s="8"/>
      <c r="J9" s="8"/>
      <c r="K9" s="8"/>
      <c r="L9" s="8"/>
      <c r="M9" s="8"/>
      <c r="N9" s="8"/>
      <c r="O9" s="8"/>
      <c r="S9" s="9" t="s">
        <v>39</v>
      </c>
      <c r="T9" s="9" t="s">
        <v>49</v>
      </c>
      <c r="U9" s="9" t="s">
        <v>41</v>
      </c>
      <c r="V9" s="9" t="s">
        <v>50</v>
      </c>
      <c r="W9" s="9" t="s">
        <v>43</v>
      </c>
      <c r="X9" s="9">
        <v>1.0</v>
      </c>
      <c r="Y9" s="9">
        <v>1.0</v>
      </c>
      <c r="AN9" s="9" t="s">
        <v>28</v>
      </c>
      <c r="AP9" s="9" t="s">
        <v>48</v>
      </c>
      <c r="AQ9" s="9" t="s">
        <v>27</v>
      </c>
      <c r="BQ9" s="9" t="s">
        <v>44</v>
      </c>
      <c r="BR9" s="9" t="s">
        <v>45</v>
      </c>
      <c r="DJ9" s="9" t="s">
        <v>28</v>
      </c>
    </row>
    <row r="10" ht="15.75" customHeight="1">
      <c r="A10" s="8"/>
      <c r="B10" s="8"/>
      <c r="C10" s="12" t="s">
        <v>27</v>
      </c>
      <c r="D10" s="12">
        <v>500.0</v>
      </c>
      <c r="E10" s="12" t="s">
        <v>21</v>
      </c>
      <c r="F10" s="12" t="s">
        <v>37</v>
      </c>
      <c r="H10" s="12" t="s">
        <v>48</v>
      </c>
      <c r="I10" s="8"/>
      <c r="J10" s="8"/>
      <c r="K10" s="8"/>
      <c r="L10" s="8"/>
      <c r="M10" s="8"/>
      <c r="N10" s="8"/>
      <c r="O10" s="8"/>
      <c r="S10" s="9" t="s">
        <v>39</v>
      </c>
      <c r="T10" s="9" t="s">
        <v>49</v>
      </c>
      <c r="U10" s="9" t="s">
        <v>41</v>
      </c>
      <c r="V10" s="9" t="s">
        <v>50</v>
      </c>
      <c r="W10" s="9" t="s">
        <v>43</v>
      </c>
      <c r="X10" s="9">
        <v>1.0</v>
      </c>
      <c r="Y10" s="9">
        <v>1.0</v>
      </c>
      <c r="AN10" s="9" t="s">
        <v>29</v>
      </c>
      <c r="AP10" s="9" t="s">
        <v>48</v>
      </c>
      <c r="AQ10" s="9" t="s">
        <v>27</v>
      </c>
      <c r="BQ10" s="9" t="s">
        <v>44</v>
      </c>
      <c r="BR10" s="9" t="s">
        <v>45</v>
      </c>
      <c r="DJ10" s="9" t="s">
        <v>29</v>
      </c>
    </row>
    <row r="11" ht="15.75" customHeight="1">
      <c r="A11" s="8"/>
      <c r="B11" s="8"/>
      <c r="C11" s="8"/>
      <c r="D11" s="8"/>
      <c r="E11" s="8"/>
      <c r="F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IFERROR(__xludf.DUMMYFUNCTION("""COMPUTED_VALUE"""),"CloseOrder")</f>
        <v>CloseOrder</v>
      </c>
      <c r="Y4" s="25" t="str">
        <f>IFERROR(__xludf.DUMMYFUNCTION("""COMPUTED_VALUE"""),"CloseOrder")</f>
        <v>CloseOrder</v>
      </c>
      <c r="Z4" s="25" t="str">
        <f>IFERROR(__xludf.DUMMYFUNCTION("""COMPUTED_VALUE"""),"VerifyCloseOrder")</f>
        <v>VerifyCloseOrder</v>
      </c>
      <c r="AA4" s="25" t="str">
        <f>IFERROR(__xludf.DUMMYFUNCTION("""COMPUTED_VALUE"""),"UnWindCloseOrder")</f>
        <v>UnWindCloseOrder</v>
      </c>
      <c r="AB4" s="25" t="str">
        <f>IFERROR(__xludf.DUMMYFUNCTION("""COMPUTED_VALUE"""),"ClosingCleanUp")</f>
        <v>ClosingCleanUp</v>
      </c>
      <c r="AC4" s="25" t="str">
        <f>IFERROR(__xludf.DUMMYFUNCTION("""COMPUTED_VALUE"""),"CloseClosingUI")</f>
        <v>CloseClosingUI</v>
      </c>
      <c r="AD4" s="25" t="str">
        <f>IFERROR(__xludf.DUMMYFUNCTION("""COMPUTED_VALUE"""),"SetClosingPreference")</f>
        <v>SetClosingPreference</v>
      </c>
      <c r="AE4" s="25" t="str">
        <f>IFERROR(__xludf.DUMMYFUNCTION("""COMPUTED_VALUE"""),"EditTradeUnexpiredUnsettled")</f>
        <v>EditTradeUnexpiredUnsettled</v>
      </c>
      <c r="AF4" s="25" t="str">
        <f>IFERROR(__xludf.DUMMYFUNCTION("""COMPUTED_VALUE"""),"AutoExercise")</f>
        <v>AutoExercise</v>
      </c>
      <c r="AG4" s="25" t="str">
        <f>IFERROR(__xludf.DUMMYFUNCTION("""COMPUTED_VALUE"""),"EditMultipleCloseQuantity")</f>
        <v>EditMultipleCloseQuantity</v>
      </c>
      <c r="AH4" s="25" t="str">
        <f>IFERROR(__xludf.DUMMYFUNCTION("""COMPUTED_VALUE"""),"ManualCloseOrder")</f>
        <v>ManualCloseOrder</v>
      </c>
      <c r="AI4" s="25" t="str">
        <f>IFERROR(__xludf.DUMMYFUNCTION("""COMPUTED_VALUE"""),"PreviewDataWithFilters")</f>
        <v>PreviewDataWithFilters</v>
      </c>
      <c r="AJ4" s="25" t="str">
        <f>IFERROR(__xludf.DUMMYFUNCTION("""COMPUTED_VALUE"""),"CreateClosingTemplate")</f>
        <v>CreateClosingTemplate</v>
      </c>
      <c r="AK4" s="25" t="str">
        <f>IFERROR(__xludf.DUMMYFUNCTION("""COMPUTED_VALUE"""),"CreateUnwindingTemplate")</f>
        <v>CreateUnwindingTemplate</v>
      </c>
      <c r="AL4" s="25" t="str">
        <f>IFERROR(__xludf.DUMMYFUNCTION("""COMPUTED_VALUE"""),"EditTemplate")</f>
        <v>EditTemplate</v>
      </c>
      <c r="AM4" s="25" t="str">
        <f>IFERROR(__xludf.DUMMYFUNCTION("""COMPUTED_VALUE"""),"DeleteTemplate")</f>
        <v>DeleteTemplate</v>
      </c>
      <c r="AN4" s="25" t="str">
        <f>IFERROR(__xludf.DUMMYFUNCTION("""COMPUTED_VALUE"""),"RunTemplate")</f>
        <v>RunTemplate</v>
      </c>
      <c r="AO4" s="25" t="str">
        <f>IFERROR(__xludf.DUMMYFUNCTION("""COMPUTED_VALUE"""),"SelectAccountWiseAsset")</f>
        <v>SelectAccountWiseAsset</v>
      </c>
      <c r="AP4" s="25" t="str">
        <f>IFERROR(__xludf.DUMMYFUNCTION("""COMPUTED_VALUE"""),"VerifyCTData")</f>
        <v>VerifyCTData</v>
      </c>
      <c r="AQ4" s="25" t="str">
        <f>IFERROR(__xludf.DUMMYFUNCTION("""COMPUTED_VALUE"""),"ExerciseAssignmentWithOutSave")</f>
        <v>ExerciseAssignmentWithOutSave</v>
      </c>
      <c r="AR4" s="25" t="str">
        <f>IFERROR(__xludf.DUMMYFUNCTION("""COMPUTED_VALUE"""),"SaveCTData")</f>
        <v>SaveCTData</v>
      </c>
      <c r="AS4" s="25" t="str">
        <f>IFERROR(__xludf.DUMMYFUNCTION("""COMPUTED_VALUE"""),"FilterLongPositionGrid")</f>
        <v>FilterLongPositionGrid</v>
      </c>
      <c r="AT4" s="25" t="str">
        <f>IFERROR(__xludf.DUMMYFUNCTION("""COMPUTED_VALUE"""),"FilterShortPositionGrid")</f>
        <v>FilterShortPositionGrid</v>
      </c>
      <c r="AU4" s="25" t="str">
        <f>IFERROR(__xludf.DUMMYFUNCTION("""COMPUTED_VALUE"""),"FilterClosingGrid")</f>
        <v>FilterClosingGrid</v>
      </c>
      <c r="AV4" s="25" t="str">
        <f>IFERROR(__xludf.DUMMYFUNCTION("""COMPUTED_VALUE"""),"FilterUnexpiredGrid")</f>
        <v>FilterUnexpiredGrid</v>
      </c>
      <c r="AW4" s="25" t="str">
        <f>IFERROR(__xludf.DUMMYFUNCTION("""COMPUTED_VALUE"""),"FilterExpiredGrid")</f>
        <v>FilterExpiredGrid</v>
      </c>
      <c r="AX4" s="25" t="str">
        <f>IFERROR(__xludf.DUMMYFUNCTION("""COMPUTED_VALUE"""),"UnwindAllClosingData")</f>
        <v>UnwindAllClosingData</v>
      </c>
      <c r="AY4" s="25" t="str">
        <f>IFERROR(__xludf.DUMMYFUNCTION("""COMPUTED_VALUE"""),"FilterClosing")</f>
        <v>FilterClosing</v>
      </c>
      <c r="AZ4" s="25" t="str">
        <f>IFERROR(__xludf.DUMMYFUNCTION("""COMPUTED_VALUE"""),"VerifyClosingNavLockPopup")</f>
        <v>VerifyClosingNavLockPopup</v>
      </c>
      <c r="BA4" s="25" t="str">
        <f>IFERROR(__xludf.DUMMYFUNCTION("""COMPUTED_VALUE"""),"VerifyClosingNavLockPopup")</f>
        <v>VerifyClosingNavLockPopup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27</v>
      </c>
      <c r="C6" s="37" t="s">
        <v>21</v>
      </c>
      <c r="D6" s="38">
        <v>-500.0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12">
        <v>10.0</v>
      </c>
      <c r="E6" s="12" t="s">
        <v>21</v>
      </c>
      <c r="F6" s="12" t="s">
        <v>37</v>
      </c>
      <c r="H6" s="12" t="s">
        <v>38</v>
      </c>
      <c r="I6" s="8"/>
      <c r="J6" s="8"/>
      <c r="K6" s="8"/>
      <c r="L6" s="8"/>
      <c r="M6" s="8"/>
      <c r="N6" s="8"/>
      <c r="O6" s="8"/>
      <c r="S6" s="9" t="s">
        <v>39</v>
      </c>
      <c r="T6" s="9" t="s">
        <v>40</v>
      </c>
      <c r="U6" s="9" t="s">
        <v>41</v>
      </c>
      <c r="V6" s="9" t="s">
        <v>42</v>
      </c>
      <c r="W6" s="9" t="s">
        <v>43</v>
      </c>
      <c r="X6" s="9">
        <v>100.0</v>
      </c>
      <c r="Y6" s="9">
        <v>1.0</v>
      </c>
      <c r="AN6" s="9" t="s">
        <v>20</v>
      </c>
      <c r="AP6" s="9" t="s">
        <v>38</v>
      </c>
      <c r="AQ6" s="9" t="s">
        <v>27</v>
      </c>
      <c r="BQ6" s="9" t="s">
        <v>44</v>
      </c>
      <c r="DJ6" s="9" t="s">
        <v>20</v>
      </c>
    </row>
    <row r="7" ht="15.75" customHeight="1">
      <c r="A7" s="8"/>
      <c r="B7" s="8"/>
      <c r="C7" s="12" t="s">
        <v>27</v>
      </c>
      <c r="D7" s="39">
        <v>-1000.0</v>
      </c>
      <c r="E7" s="12" t="s">
        <v>21</v>
      </c>
      <c r="F7" s="12" t="s">
        <v>37</v>
      </c>
      <c r="H7" s="12" t="s">
        <v>48</v>
      </c>
      <c r="I7" s="8"/>
      <c r="J7" s="8"/>
      <c r="K7" s="8"/>
      <c r="L7" s="8"/>
      <c r="M7" s="8"/>
      <c r="N7" s="8"/>
      <c r="O7" s="8"/>
      <c r="S7" s="9" t="s">
        <v>39</v>
      </c>
      <c r="T7" s="9" t="s">
        <v>49</v>
      </c>
      <c r="U7" s="9" t="s">
        <v>41</v>
      </c>
      <c r="V7" s="9" t="s">
        <v>50</v>
      </c>
      <c r="W7" s="9" t="s">
        <v>43</v>
      </c>
      <c r="X7" s="9">
        <v>1.0</v>
      </c>
      <c r="Y7" s="9">
        <v>1.0</v>
      </c>
      <c r="AN7" s="9" t="s">
        <v>28</v>
      </c>
      <c r="AP7" s="9" t="s">
        <v>48</v>
      </c>
      <c r="AQ7" s="9" t="s">
        <v>27</v>
      </c>
      <c r="BQ7" s="9" t="s">
        <v>44</v>
      </c>
      <c r="DJ7" s="9" t="s">
        <v>28</v>
      </c>
    </row>
    <row r="8" ht="15.75" customHeight="1">
      <c r="A8" s="8"/>
      <c r="B8" s="8"/>
      <c r="C8" s="12" t="s">
        <v>27</v>
      </c>
      <c r="D8" s="12">
        <v>500.0</v>
      </c>
      <c r="E8" s="12" t="s">
        <v>21</v>
      </c>
      <c r="F8" s="12" t="s">
        <v>37</v>
      </c>
      <c r="H8" s="12" t="s">
        <v>48</v>
      </c>
      <c r="I8" s="8"/>
      <c r="J8" s="8"/>
      <c r="K8" s="8"/>
      <c r="L8" s="8"/>
      <c r="M8" s="8"/>
      <c r="N8" s="8"/>
      <c r="O8" s="8"/>
      <c r="S8" s="9" t="s">
        <v>39</v>
      </c>
      <c r="T8" s="9" t="s">
        <v>49</v>
      </c>
      <c r="U8" s="9" t="s">
        <v>41</v>
      </c>
      <c r="V8" s="9" t="s">
        <v>50</v>
      </c>
      <c r="W8" s="9" t="s">
        <v>43</v>
      </c>
      <c r="X8" s="9">
        <v>1.0</v>
      </c>
      <c r="Y8" s="9">
        <v>1.0</v>
      </c>
      <c r="AN8" s="9" t="s">
        <v>29</v>
      </c>
      <c r="AP8" s="9" t="s">
        <v>48</v>
      </c>
      <c r="AQ8" s="9" t="s">
        <v>27</v>
      </c>
      <c r="BQ8" s="9" t="s">
        <v>44</v>
      </c>
      <c r="DJ8" s="9" t="s">
        <v>29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