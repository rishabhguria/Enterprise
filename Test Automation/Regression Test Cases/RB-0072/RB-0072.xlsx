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SendtoStaging" sheetId="13" r:id="rId15"/>
  </sheets>
  <definedNames/>
  <calcPr/>
</workbook>
</file>

<file path=xl/sharedStrings.xml><?xml version="1.0" encoding="utf-8"?>
<sst xmlns="http://schemas.openxmlformats.org/spreadsheetml/2006/main" count="189" uniqueCount="55">
  <si>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</si>
  <si>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</si>
  <si>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</si>
  <si>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</si>
  <si>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</si>
  <si>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</si>
  <si>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</si>
  <si>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</si>
  <si>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</si>
  <si>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</si>
  <si>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</si>
  <si>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</si>
  <si>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</si>
  <si>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</si>
  <si>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</si>
  <si>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</si>
  <si>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</si>
  <si>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</si>
  <si>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</si>
  <si>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</si>
  <si>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GOOG</t>
  </si>
  <si>
    <t>MSFT</t>
  </si>
  <si>
    <t>TradingTicket</t>
  </si>
  <si>
    <t>CreateDoneAwayOrder</t>
  </si>
  <si>
    <t>Buy</t>
  </si>
  <si>
    <t>Sell short</t>
  </si>
  <si>
    <t>Allocation3</t>
  </si>
  <si>
    <t>PricingInput</t>
  </si>
  <si>
    <t>DailyValuation</t>
  </si>
  <si>
    <t>GetDailyCash</t>
  </si>
  <si>
    <t>UpdateDailyCash</t>
  </si>
  <si>
    <t>USD</t>
  </si>
  <si>
    <t>Allocation1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</si>
  <si>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</si>
  <si>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</si>
  <si>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</si>
  <si>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</si>
  <si>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</si>
  <si>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</si>
  <si>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</si>
  <si>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</si>
  <si>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</si>
  <si>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Allocation1,Allocation3</t>
  </si>
  <si>
    <t>-100000|-50000</t>
  </si>
  <si>
    <t>RunRebalance</t>
  </si>
  <si>
    <t>Round Up</t>
  </si>
  <si>
    <t>VerifyGridData</t>
  </si>
  <si>
    <t>Equity</t>
  </si>
  <si>
    <t>Long</t>
  </si>
  <si>
    <t>Short</t>
  </si>
  <si>
    <t>Accruals</t>
  </si>
  <si>
    <t>Cash</t>
  </si>
  <si>
    <t>SendtoStaging</t>
  </si>
  <si>
    <t>Sell</t>
  </si>
  <si>
    <t>BuyToClose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</si>
</sst>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readingOrder="0"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0" fillId="0" fontId="5" numFmtId="0" xfId="0" applyAlignment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13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IFERROR(__xludf.DUMMYFUNCTION("IF(C3="""","""",Transpose(IMPORTRANGE('_Settings'!$B$3,C3&amp;""!A4:A1000"")))"),"SetTTUIPreferences")</f>
        <v>SetTTUIPreferences</v>
      </c>
      <c r="C4" s="26" t="str">
        <f>IFERROR(__xludf.DUMMYFUNCTION("""COMPUTED_VALUE"""),"TTPermissionLevel")</f>
        <v>TTPermissionLevel</v>
      </c>
      <c r="D4" s="26" t="str">
        <f>IFERROR(__xludf.DUMMYFUNCTION("""COMPUTED_VALUE"""),"SetCheckSide")</f>
        <v>SetCheckSide</v>
      </c>
      <c r="E4" s="26" t="str">
        <f>IFERROR(__xludf.DUMMYFUNCTION("""COMPUTED_VALUE"""),"SetRollover")</f>
        <v>SetRollover</v>
      </c>
      <c r="F4" s="26" t="str">
        <f>IFERROR(__xludf.DUMMYFUNCTION("""COMPUTED_VALUE"""),"SetActive")</f>
        <v>SetActive</v>
      </c>
      <c r="G4" s="26" t="str">
        <f>IFERROR(__xludf.DUMMYFUNCTION("""COMPUTED_VALUE"""),"SetThirdPartyFormat")</f>
        <v>SetThirdPartyFormat</v>
      </c>
      <c r="H4" s="26" t="str">
        <f>IFERROR(__xludf.DUMMYFUNCTION("""COMPUTED_VALUE"""),"SetTradingComplianceRules")</f>
        <v>SetTradingComplianceRules</v>
      </c>
      <c r="I4" s="26" t="str">
        <f>IFERROR(__xludf.DUMMYFUNCTION("""COMPUTED_VALUE"""),"EnableBreakdownRealizedPNL")</f>
        <v>EnableBreakdownRealizedPNL</v>
      </c>
      <c r="J4" s="26" t="str">
        <f>IFERROR(__xludf.DUMMYFUNCTION("""COMPUTED_VALUE"""),"SetTTGeneralPreferences")</f>
        <v>SetTTGeneralPreferences</v>
      </c>
      <c r="K4" s="26" t="str">
        <f>IFERROR(__xludf.DUMMYFUNCTION("""COMPUTED_VALUE"""),"SetDollarAmountPermission")</f>
        <v>SetDollarAmountPermission</v>
      </c>
      <c r="L4" s="26" t="str">
        <f>IFERROR(__xludf.DUMMYFUNCTION("""COMPUTED_VALUE"""),"EnableDisableModule")</f>
        <v>EnableDisableModule</v>
      </c>
      <c r="M4" s="26" t="str">
        <f>IFERROR(__xludf.DUMMYFUNCTION("""COMPUTED_VALUE"""),"IsImportOverrideOnShortLocate")</f>
        <v>IsImportOverrideOnShortLocate</v>
      </c>
      <c r="N4" s="26" t="str">
        <f>IFERROR(__xludf.DUMMYFUNCTION("""COMPUTED_VALUE"""),"SetShortLocateStructures")</f>
        <v>SetShortLocateStructures</v>
      </c>
      <c r="O4" s="26" t="str">
        <f>IFERROR(__xludf.DUMMYFUNCTION("""COMPUTED_VALUE"""),"SetComplianceAlert")</f>
        <v>SetComplianceAlert</v>
      </c>
      <c r="P4" s="27" t="str">
        <f>IFERROR(__xludf.DUMMYFUNCTION("""COMPUTED_VALUE"""),"UpdateExpirationDate")</f>
        <v>UpdateExpirationDate</v>
      </c>
      <c r="Q4" s="27" t="str">
        <f>IFERROR(__xludf.DUMMYFUNCTION("""COMPUTED_VALUE"""),"RenameMasterStrategy")</f>
        <v>RenameMasterStrategy</v>
      </c>
      <c r="R4" s="27" t="str">
        <f>IFERROR(__xludf.DUMMYFUNCTION("""COMPUTED_VALUE"""),"SetTTUIAdminPreferences")</f>
        <v>SetTTUIAdminPreferences</v>
      </c>
      <c r="S4" s="27" t="str">
        <f>IFERROR(__xludf.DUMMYFUNCTION("""COMPUTED_VALUE"""),"UpdateSecFee")</f>
        <v>UpdateSecFee</v>
      </c>
      <c r="T4" s="27" t="str">
        <f>IFERROR(__xludf.DUMMYFUNCTION("""COMPUTED_VALUE"""),"UpdateFee")</f>
        <v>UpdateFee</v>
      </c>
      <c r="U4" s="27" t="str">
        <f>IFERROR(__xludf.DUMMYFUNCTION("""COMPUTED_VALUE"""),"RevertingSMSharesOutValue")</f>
        <v>RevertingSMSharesOutValue</v>
      </c>
      <c r="V4" s="27" t="str">
        <f>IFERROR(__xludf.DUMMYFUNCTION("""COMPUTED_VALUE"""),"SetTTUIAdminPreferences")</f>
        <v>SetTTUIAdminPreferences</v>
      </c>
      <c r="W4" s="27" t="str">
        <f>IFERROR(__xludf.DUMMYFUNCTION("""COMPUTED_VALUE"""),"RestartSQL")</f>
        <v>RestartSQL</v>
      </c>
      <c r="X4" s="27" t="str">
        <f>IFERROR(__xludf.DUMMYFUNCTION("""COMPUTED_VALUE"""),"TradeAuditCleanUp")</f>
        <v>TradeAuditCleanUp</v>
      </c>
      <c r="Y4" s="27" t="str">
        <f>IFERROR(__xludf.DUMMYFUNCTION("""COMPUTED_VALUE"""),"DeleteSymbolFromSM")</f>
        <v>DeleteSymbolFromSM</v>
      </c>
      <c r="Z4" s="27" t="str">
        <f>IFERROR(__xludf.DUMMYFUNCTION("""COMPUTED_VALUE"""),"SetCompliancePermission")</f>
        <v>SetCompliancePermission</v>
      </c>
      <c r="AA4" s="27" t="str">
        <f>IFERROR(__xludf.DUMMYFUNCTION("""COMPUTED_VALUE"""),"UpdateRoundLot")</f>
        <v>UpdateRoundLot</v>
      </c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 Update")</f>
        <v>Symbol Update</v>
      </c>
      <c r="C5" s="29" t="str">
        <f>IFERROR(__xludf.DUMMYFUNCTION("""COMPUTED_VALUE"""),"RoundLot")</f>
        <v>RoundLot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2" t="s">
        <v>16</v>
      </c>
      <c r="C6" s="33">
        <v>100.0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20</v>
      </c>
      <c r="C10" s="35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21</v>
      </c>
      <c r="C11" s="35">
        <v>1.0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1b5S4Xpp4fgZ1ez6cK92QFnVBylqz8jhwxdAyEvwDqUI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22</v>
      </c>
      <c r="D3" s="5" t="s">
        <v>9</v>
      </c>
      <c r="E3" s="24" t="s">
        <v>23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IFERROR(__xludf.DUMMYFUNCTION("IF(C3="""","""",Transpose(IMPORTRANGE('_Settings'!$B$3,C3&amp;""!A4:A1000"")))"),"OpenTTFromPST")</f>
        <v>OpenTTFromPST</v>
      </c>
      <c r="C4" s="26" t="str">
        <f>IFERROR(__xludf.DUMMYFUNCTION("""COMPUTED_VALUE"""),"EnterDetailsOnTT")</f>
        <v>EnterDetailsOnTT</v>
      </c>
      <c r="D4" s="26" t="str">
        <f>IFERROR(__xludf.DUMMYFUNCTION("""COMPUTED_VALUE"""),"ValidateSymbolTT")</f>
        <v>ValidateSymbolTT</v>
      </c>
      <c r="E4" s="26" t="str">
        <f>IFERROR(__xludf.DUMMYFUNCTION("""COMPUTED_VALUE"""),"VerifyDataTT")</f>
        <v>VerifyDataTT</v>
      </c>
      <c r="F4" s="26" t="str">
        <f>IFERROR(__xludf.DUMMYFUNCTION("""COMPUTED_VALUE"""),"SetUIPreferencesTT")</f>
        <v>SetUIPreferencesTT</v>
      </c>
      <c r="G4" s="26" t="str">
        <f>IFERROR(__xludf.DUMMYFUNCTION("""COMPUTED_VALUE"""),"SetBrokerWisePreferencesTT")</f>
        <v>SetBrokerWisePreferencesTT</v>
      </c>
      <c r="H4" s="26" t="str">
        <f>IFERROR(__xludf.DUMMYFUNCTION("""COMPUTED_VALUE"""),"TradeNewSub")</f>
        <v>TradeNewSub</v>
      </c>
      <c r="I4" s="26" t="str">
        <f>IFERROR(__xludf.DUMMYFUNCTION("""COMPUTED_VALUE"""),"CreateStageOrder")</f>
        <v>CreateStageOrder</v>
      </c>
      <c r="J4" s="26" t="str">
        <f>IFERROR(__xludf.DUMMYFUNCTION("""COMPUTED_VALUE"""),"CreateReplaceOrder")</f>
        <v>CreateReplaceOrder</v>
      </c>
      <c r="K4" s="26" t="str">
        <f>IFERROR(__xludf.DUMMYFUNCTION("""COMPUTED_VALUE"""),"SetGeneralPreference")</f>
        <v>SetGeneralPreference</v>
      </c>
      <c r="L4" s="26" t="str">
        <f>IFERROR(__xludf.DUMMYFUNCTION("""COMPUTED_VALUE"""),"CreateNewSubOrder")</f>
        <v>CreateNewSubOrder</v>
      </c>
      <c r="M4" s="26" t="str">
        <f>IFERROR(__xludf.DUMMYFUNCTION("""COMPUTED_VALUE"""),"TradeBloomberg")</f>
        <v>TradeBloomberg</v>
      </c>
      <c r="N4" s="26" t="str">
        <f>IFERROR(__xludf.DUMMYFUNCTION("""COMPUTED_VALUE"""),"ClickSymbolLookup")</f>
        <v>ClickSymbolLookup</v>
      </c>
      <c r="O4" s="26" t="str">
        <f>IFERROR(__xludf.DUMMYFUNCTION("""COMPUTED_VALUE"""),"VerifyTT")</f>
        <v>VerifyTT</v>
      </c>
      <c r="P4" s="27" t="str">
        <f>IFERROR(__xludf.DUMMYFUNCTION("""COMPUTED_VALUE"""),"CreateLiveOrder")</f>
        <v>CreateLiveOrder</v>
      </c>
      <c r="Q4" s="27" t="str">
        <f>IFERROR(__xludf.DUMMYFUNCTION("""COMPUTED_VALUE"""),"UpdateMasterFundOnTT")</f>
        <v>UpdateMasterFundOnTT</v>
      </c>
      <c r="R4" s="27" t="str">
        <f>IFERROR(__xludf.DUMMYFUNCTION("""COMPUTED_VALUE"""),"SetTTCompliancePreference")</f>
        <v>SetTTCompliancePreference</v>
      </c>
      <c r="S4" s="27" t="str">
        <f>IFERROR(__xludf.DUMMYFUNCTION("""COMPUTED_VALUE"""),"ImportSymbol")</f>
        <v>ImportSymbol</v>
      </c>
      <c r="T4" s="27" t="str">
        <f>IFERROR(__xludf.DUMMYFUNCTION("""COMPUTED_VALUE"""),"ExportSymbolFromRAList")</f>
        <v>ExportSymbolFromRAList</v>
      </c>
      <c r="U4" s="27" t="str">
        <f>IFERROR(__xludf.DUMMYFUNCTION("""COMPUTED_VALUE"""),"CheckPendingNewOrderAlert")</f>
        <v>CheckPendingNewOrderAlert</v>
      </c>
      <c r="V4" s="27" t="str">
        <f>IFERROR(__xludf.DUMMYFUNCTION("""COMPUTED_VALUE"""),"AddSymbolOnRAList")</f>
        <v>AddSymbolOnRAList</v>
      </c>
      <c r="W4" s="27" t="str">
        <f>IFERROR(__xludf.DUMMYFUNCTION("""COMPUTED_VALUE"""),"DeleteSymbolListFromRA")</f>
        <v>DeleteSymbolListFromRA</v>
      </c>
      <c r="X4" s="27" t="str">
        <f>IFERROR(__xludf.DUMMYFUNCTION("""COMPUTED_VALUE"""),"RemoveSymbolFromRAList")</f>
        <v>RemoveSymbolFromRAList</v>
      </c>
      <c r="Y4" s="27" t="str">
        <f>IFERROR(__xludf.DUMMYFUNCTION("""COMPUTED_VALUE"""),"ToggleBlombergOnRA")</f>
        <v>ToggleBlombergOnRA</v>
      </c>
      <c r="Z4" s="27" t="str">
        <f>IFERROR(__xludf.DUMMYFUNCTION("""COMPUTED_VALUE"""),"CreateDoneAwayOrder")</f>
        <v>CreateDoneAwayOrder</v>
      </c>
      <c r="AA4" s="27" t="str">
        <f>IFERROR(__xludf.DUMMYFUNCTION("""COMPUTED_VALUE"""),"AddOptionTrade")</f>
        <v>AddOptionTrade</v>
      </c>
      <c r="AB4" s="27" t="str">
        <f>IFERROR(__xludf.DUMMYFUNCTION("""COMPUTED_VALUE"""),"SendLiveBloomberg")</f>
        <v>SendLiveBloomberg</v>
      </c>
      <c r="AC4" s="27" t="str">
        <f>IFERROR(__xludf.DUMMYFUNCTION("""COMPUTED_VALUE"""),"ViewAllocation")</f>
        <v>ViewAllocation</v>
      </c>
      <c r="AD4" s="27" t="str">
        <f>IFERROR(__xludf.DUMMYFUNCTION("""COMPUTED_VALUE"""),"CreateReplaceLiveOrder")</f>
        <v>CreateReplaceLiveOrder</v>
      </c>
      <c r="AE4" s="27" t="str">
        <f>IFERROR(__xludf.DUMMYFUNCTION("""COMPUTED_VALUE"""),"CreateNewSubLiveOrder")</f>
        <v>CreateNewSubLiveOrder</v>
      </c>
      <c r="AF4" s="27" t="str">
        <f>IFERROR(__xludf.DUMMYFUNCTION("""COMPUTED_VALUE"""),"VerifyBasketExport")</f>
        <v>VerifyBasketExport</v>
      </c>
      <c r="AG4" s="27" t="str">
        <f>IFERROR(__xludf.DUMMYFUNCTION("""COMPUTED_VALUE"""),"CreateComplianceOrder")</f>
        <v>CreateComplianceOrder</v>
      </c>
      <c r="AH4" s="27" t="str">
        <f>IFERROR(__xludf.DUMMYFUNCTION("""COMPUTED_VALUE"""),"VerifyComplianceOrder")</f>
        <v>VerifyComplianceOrder</v>
      </c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 t="str">
        <f>IFERROR(__xludf.DUMMYFUNCTION("""COMPUTED_VALUE"""),"SelectAlgoStrategy")</f>
        <v>SelectAlgoStrategy</v>
      </c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7" t="s">
        <v>16</v>
      </c>
      <c r="C6" s="37" t="s">
        <v>24</v>
      </c>
      <c r="D6" s="33">
        <v>600.0</v>
      </c>
      <c r="E6" s="37"/>
      <c r="F6" s="37"/>
      <c r="G6" s="37"/>
      <c r="H6" s="37"/>
      <c r="I6" s="37"/>
      <c r="J6" s="33">
        <v>10.0</v>
      </c>
      <c r="K6" s="37"/>
      <c r="L6" s="37"/>
      <c r="M6" s="37"/>
      <c r="N6" s="38">
        <f t="shared" ref="N6:N12" si="1">today()-1</f>
        <v>44802</v>
      </c>
      <c r="O6" s="37"/>
      <c r="P6" s="37"/>
      <c r="Q6" s="37"/>
      <c r="R6" s="37"/>
      <c r="S6" s="37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17</v>
      </c>
      <c r="C7" s="36" t="s">
        <v>24</v>
      </c>
      <c r="D7" s="35">
        <v>100.0</v>
      </c>
      <c r="E7" s="36"/>
      <c r="F7" s="36"/>
      <c r="G7" s="36"/>
      <c r="H7" s="36"/>
      <c r="I7" s="36"/>
      <c r="J7" s="35">
        <v>10.0</v>
      </c>
      <c r="K7" s="36"/>
      <c r="L7" s="36"/>
      <c r="M7" s="36"/>
      <c r="N7" s="39">
        <f t="shared" si="1"/>
        <v>44802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36" t="s">
        <v>25</v>
      </c>
      <c r="D8" s="35">
        <v>100.0</v>
      </c>
      <c r="E8" s="36"/>
      <c r="F8" s="36"/>
      <c r="G8" s="36"/>
      <c r="H8" s="36"/>
      <c r="I8" s="36"/>
      <c r="J8" s="35">
        <v>10.0</v>
      </c>
      <c r="K8" s="36"/>
      <c r="L8" s="36"/>
      <c r="M8" s="36"/>
      <c r="N8" s="39">
        <f t="shared" si="1"/>
        <v>44802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19</v>
      </c>
      <c r="C9" s="36" t="s">
        <v>24</v>
      </c>
      <c r="D9" s="35">
        <v>600.0</v>
      </c>
      <c r="E9" s="36"/>
      <c r="F9" s="36"/>
      <c r="G9" s="36"/>
      <c r="H9" s="36"/>
      <c r="I9" s="36"/>
      <c r="J9" s="35">
        <v>10.0</v>
      </c>
      <c r="K9" s="36"/>
      <c r="L9" s="36"/>
      <c r="M9" s="36"/>
      <c r="N9" s="39">
        <f t="shared" si="1"/>
        <v>44802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4" t="s">
        <v>20</v>
      </c>
      <c r="C10" s="36" t="s">
        <v>24</v>
      </c>
      <c r="D10" s="35">
        <v>100.0</v>
      </c>
      <c r="E10" s="36"/>
      <c r="F10" s="34" t="s">
        <v>26</v>
      </c>
      <c r="G10" s="36"/>
      <c r="H10" s="36"/>
      <c r="I10" s="36"/>
      <c r="J10" s="35">
        <v>10.0</v>
      </c>
      <c r="K10" s="36"/>
      <c r="L10" s="36"/>
      <c r="M10" s="36"/>
      <c r="N10" s="39">
        <f t="shared" si="1"/>
        <v>44802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4" t="s">
        <v>21</v>
      </c>
      <c r="C11" s="36" t="s">
        <v>24</v>
      </c>
      <c r="D11" s="35">
        <v>100.0</v>
      </c>
      <c r="E11" s="36"/>
      <c r="F11" s="34" t="s">
        <v>26</v>
      </c>
      <c r="G11" s="36"/>
      <c r="H11" s="36"/>
      <c r="I11" s="36"/>
      <c r="J11" s="35">
        <v>10.0</v>
      </c>
      <c r="K11" s="36"/>
      <c r="L11" s="36"/>
      <c r="M11" s="36"/>
      <c r="N11" s="39">
        <f t="shared" si="1"/>
        <v>44802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4" t="s">
        <v>18</v>
      </c>
      <c r="C12" s="36" t="s">
        <v>25</v>
      </c>
      <c r="D12" s="35">
        <v>15.0</v>
      </c>
      <c r="E12" s="36"/>
      <c r="F12" s="34" t="s">
        <v>26</v>
      </c>
      <c r="G12" s="36"/>
      <c r="H12" s="36"/>
      <c r="I12" s="36"/>
      <c r="J12" s="35">
        <v>10.0</v>
      </c>
      <c r="K12" s="36"/>
      <c r="L12" s="36"/>
      <c r="M12" s="36"/>
      <c r="N12" s="39">
        <f t="shared" si="1"/>
        <v>44802</v>
      </c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27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IFERROR(__xludf.DUMMYFUNCTION("IF(C3="""","""",Transpose(IMPORTRANGE('_Settings'!$B$3,C3&amp;""!A4:A1000"")))"),"PricingInput")</f>
        <v>PricingInput</v>
      </c>
      <c r="C4" s="26" t="str">
        <f>IFERROR(__xludf.DUMMYFUNCTION("""COMPUTED_VALUE"""),"UpdateSharesOutstanding")</f>
        <v>UpdateSharesOutstanding</v>
      </c>
      <c r="D4" s="26" t="str">
        <f>IFERROR(__xludf.DUMMYFUNCTION("""COMPUTED_VALUE"""),"EODTPreferences")</f>
        <v>EODTPreferences</v>
      </c>
      <c r="E4" s="26" t="str">
        <f>IFERROR(__xludf.DUMMYFUNCTION("""COMPUTED_VALUE"""),"LiveData")</f>
        <v>LiveData</v>
      </c>
      <c r="F4" s="26" t="str">
        <f>IFERROR(__xludf.DUMMYFUNCTION("""COMPUTED_VALUE"""),"UncheckDividendYield")</f>
        <v>UncheckDividendYield</v>
      </c>
      <c r="G4" s="26"/>
      <c r="H4" s="26"/>
      <c r="I4" s="26"/>
      <c r="J4" s="26"/>
      <c r="K4" s="26"/>
      <c r="L4" s="26"/>
      <c r="M4" s="26"/>
      <c r="N4" s="26"/>
      <c r="O4" s="2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IFERROR(__xludf.DUMMYFUNCTION("""COMPUTED_VALUE"""),"User Px")</f>
        <v>User Px</v>
      </c>
      <c r="D5" s="29" t="str">
        <f>IFERROR(__xludf.DUMMYFUNCTION("""COMPUTED_VALUE"""),"Asset Class")</f>
        <v>Asset Class</v>
      </c>
      <c r="E5" s="29" t="str">
        <f>IFERROR(__xludf.DUMMYFUNCTION("""COMPUTED_VALUE"""),"Volatility(%)")</f>
        <v>Volatility(%)</v>
      </c>
      <c r="F5" s="30" t="str">
        <f>IFERROR(__xludf.DUMMYFUNCTION("""COMPUTED_VALUE"""),"Historical Volatility")</f>
        <v>Historical Volatility</v>
      </c>
      <c r="G5" s="29" t="str">
        <f>IFERROR(__xludf.DUMMYFUNCTION("""COMPUTED_VALUE"""),"User Volatility")</f>
        <v>User Volatility</v>
      </c>
      <c r="H5" s="29" t="str">
        <f>IFERROR(__xludf.DUMMYFUNCTION("""COMPUTED_VALUE"""),"Interest Rate")</f>
        <v>Interest Rate</v>
      </c>
      <c r="I5" s="29" t="str">
        <f>IFERROR(__xludf.DUMMYFUNCTION("""COMPUTED_VALUE"""),"User Interest Rate")</f>
        <v>User Interest Rate</v>
      </c>
      <c r="J5" s="29" t="str">
        <f>IFERROR(__xludf.DUMMYFUNCTION("""COMPUTED_VALUE"""),"Dividend Yield")</f>
        <v>Dividend Yield</v>
      </c>
      <c r="K5" s="29" t="str">
        <f>IFERROR(__xludf.DUMMYFUNCTION("""COMPUTED_VALUE"""),"User Dividend Yield")</f>
        <v>User Dividend Yield</v>
      </c>
      <c r="L5" s="29" t="str">
        <f>IFERROR(__xludf.DUMMYFUNCTION("""COMPUTED_VALUE"""),"Actual Delta")</f>
        <v>Actual Delta</v>
      </c>
      <c r="M5" s="29" t="str">
        <f>IFERROR(__xludf.DUMMYFUNCTION("""COMPUTED_VALUE"""),"User Delta")</f>
        <v>User Delta</v>
      </c>
      <c r="N5" s="29" t="str">
        <f>IFERROR(__xludf.DUMMYFUNCTION("""COMPUTED_VALUE"""),"Selected Px")</f>
        <v>Selected Px</v>
      </c>
      <c r="O5" s="29" t="str">
        <f>IFERROR(__xludf.DUMMYFUNCTION("""COMPUTED_VALUE"""),"Forward Points")</f>
        <v>Forward Points</v>
      </c>
      <c r="P5" s="29" t="str">
        <f>IFERROR(__xludf.DUMMYFUNCTION("""COMPUTED_VALUE"""),"Shares Outstanding")</f>
        <v>Shares Outstanding</v>
      </c>
      <c r="Q5" s="29" t="str">
        <f>IFERROR(__xludf.DUMMYFUNCTION("""COMPUTED_VALUE"""),"User Shares Outstanding")</f>
        <v>User Shares Outstanding</v>
      </c>
      <c r="R5" s="29" t="str">
        <f>IFERROR(__xludf.DUMMYFUNCTION("""COMPUTED_VALUE"""),"LastPriceUsed")</f>
        <v>LastPriceUsed</v>
      </c>
      <c r="S5" s="29" t="str">
        <f>IFERROR(__xludf.DUMMYFUNCTION("""COMPUTED_VALUE"""),"VolatilityUsed")</f>
        <v>VolatilityUsed</v>
      </c>
      <c r="T5" s="31" t="str">
        <f>IFERROR(__xludf.DUMMYFUNCTION("""COMPUTED_VALUE"""),"IntRateUsed")</f>
        <v>IntRateUsed</v>
      </c>
      <c r="U5" s="31" t="str">
        <f>IFERROR(__xludf.DUMMYFUNCTION("""COMPUTED_VALUE"""),"SM Shares Outstanding")</f>
        <v>SM Shares Outstanding</v>
      </c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2" t="s">
        <v>16</v>
      </c>
      <c r="C6" s="33">
        <v>194.32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20</v>
      </c>
      <c r="C10" s="35">
        <v>1100.0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21</v>
      </c>
      <c r="C11" s="35">
        <v>110.0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28</v>
      </c>
      <c r="D3" s="5" t="s">
        <v>9</v>
      </c>
      <c r="E3" s="24" t="s">
        <v>29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7" t="str">
        <f>IFERROR(__xludf.DUMMYFUNCTION("""COMPUTED_VALUE"""),"GetDailyTradingVolume")</f>
        <v>GetDailyTradingVolume</v>
      </c>
      <c r="Q4" s="27" t="str">
        <f>IFERROR(__xludf.DUMMYFUNCTION("""COMPUTED_VALUE"""),"GetDailyOutstandings")</f>
        <v>GetDailyOutstandings</v>
      </c>
      <c r="R4" s="27" t="str">
        <f>IFERROR(__xludf.DUMMYFUNCTION("""COMPUTED_VALUE"""),"GetDailyDelta")</f>
        <v>GetDailyDelta</v>
      </c>
      <c r="S4" s="27" t="str">
        <f>IFERROR(__xludf.DUMMYFUNCTION("""COMPUTED_VALUE"""),"UpdateDailyVolatility")</f>
        <v>UpdateDailyVolatility</v>
      </c>
      <c r="T4" s="27" t="str">
        <f>IFERROR(__xludf.DUMMYFUNCTION("""COMPUTED_VALUE"""),"UpdateDividendYield")</f>
        <v>UpdateDividendYield</v>
      </c>
      <c r="U4" s="27" t="str">
        <f>IFERROR(__xludf.DUMMYFUNCTION("""COMPUTED_VALUE"""),"UpdateTradingVolume")</f>
        <v>UpdateTradingVolume</v>
      </c>
      <c r="V4" s="27" t="str">
        <f>IFERROR(__xludf.DUMMYFUNCTION("""COMPUTED_VALUE"""),"UpdateDailyDelta")</f>
        <v>UpdateDailyDelta</v>
      </c>
      <c r="W4" s="27" t="str">
        <f>IFERROR(__xludf.DUMMYFUNCTION("""COMPUTED_VALUE"""),"UpdateDailyOutstandings")</f>
        <v>UpdateDailyOutstandings</v>
      </c>
      <c r="X4" s="27" t="str">
        <f>IFERROR(__xludf.DUMMYFUNCTION("""COMPUTED_VALUE"""),"UpdateBeta")</f>
        <v>UpdateBeta</v>
      </c>
      <c r="Y4" s="27" t="str">
        <f>IFERROR(__xludf.DUMMYFUNCTION("""COMPUTED_VALUE"""),"UpdateNAV")</f>
        <v>UpdateNAV</v>
      </c>
      <c r="Z4" s="27" t="str">
        <f>IFERROR(__xludf.DUMMYFUNCTION("""COMPUTED_VALUE"""),"UpdateDailyCash")</f>
        <v>UpdateDailyCash</v>
      </c>
      <c r="AA4" s="27" t="str">
        <f>IFERROR(__xludf.DUMMYFUNCTION("""COMPUTED_VALUE"""),"UpdateDailyCreditLimt")</f>
        <v>UpdateDailyCreditLimt</v>
      </c>
      <c r="AB4" s="27" t="str">
        <f>IFERROR(__xludf.DUMMYFUNCTION("""COMPUTED_VALUE"""),"RemoveDailyCreditLimit")</f>
        <v>RemoveDailyCreditLimit</v>
      </c>
      <c r="AC4" s="27" t="str">
        <f>IFERROR(__xludf.DUMMYFUNCTION("""COMPUTED_VALUE"""),"RemoveDailyCash")</f>
        <v>RemoveDailyCash</v>
      </c>
      <c r="AD4" s="27" t="str">
        <f>IFERROR(__xludf.DUMMYFUNCTION("""COMPUTED_VALUE"""),"RemoveNAV")</f>
        <v>RemoveNAV</v>
      </c>
      <c r="AE4" s="27" t="str">
        <f>IFERROR(__xludf.DUMMYFUNCTION("""COMPUTED_VALUE"""),"UpdateForexConversionMonthly")</f>
        <v>UpdateForexConversionMonthly</v>
      </c>
      <c r="AF4" s="27" t="str">
        <f>IFERROR(__xludf.DUMMYFUNCTION("""COMPUTED_VALUE"""),"UpdateMarkPriceMonthly")</f>
        <v>UpdateMarkPriceMonthly</v>
      </c>
      <c r="AG4" s="27" t="str">
        <f>IFERROR(__xludf.DUMMYFUNCTION("""COMPUTED_VALUE"""),"VerifyDailyCash")</f>
        <v>VerifyDailyCash</v>
      </c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IFERROR(__xludf.DUMMYFUNCTION("""COMPUTED_VALUE"""),"Select Date")</f>
        <v>Select Date</v>
      </c>
      <c r="C5" s="29" t="str">
        <f>IFERROR(__xludf.DUMMYFUNCTION("""COMPUTED_VALUE"""),"Copy From")</f>
        <v>Copy From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9">
        <f t="shared" ref="B6:C6" si="1">today()-1</f>
        <v>44802</v>
      </c>
      <c r="C6" s="38">
        <f t="shared" si="1"/>
        <v>44802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28</v>
      </c>
      <c r="D3" s="5" t="s">
        <v>9</v>
      </c>
      <c r="E3" s="24" t="s">
        <v>30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7" t="str">
        <f>IFERROR(__xludf.DUMMYFUNCTION("""COMPUTED_VALUE"""),"GetDailyTradingVolume")</f>
        <v>GetDailyTradingVolume</v>
      </c>
      <c r="Q4" s="27" t="str">
        <f>IFERROR(__xludf.DUMMYFUNCTION("""COMPUTED_VALUE"""),"GetDailyOutstandings")</f>
        <v>GetDailyOutstandings</v>
      </c>
      <c r="R4" s="27" t="str">
        <f>IFERROR(__xludf.DUMMYFUNCTION("""COMPUTED_VALUE"""),"GetDailyDelta")</f>
        <v>GetDailyDelta</v>
      </c>
      <c r="S4" s="27" t="str">
        <f>IFERROR(__xludf.DUMMYFUNCTION("""COMPUTED_VALUE"""),"UpdateDailyVolatility")</f>
        <v>UpdateDailyVolatility</v>
      </c>
      <c r="T4" s="27" t="str">
        <f>IFERROR(__xludf.DUMMYFUNCTION("""COMPUTED_VALUE"""),"UpdateDividendYield")</f>
        <v>UpdateDividendYield</v>
      </c>
      <c r="U4" s="27" t="str">
        <f>IFERROR(__xludf.DUMMYFUNCTION("""COMPUTED_VALUE"""),"UpdateTradingVolume")</f>
        <v>UpdateTradingVolume</v>
      </c>
      <c r="V4" s="27" t="str">
        <f>IFERROR(__xludf.DUMMYFUNCTION("""COMPUTED_VALUE"""),"UpdateDailyDelta")</f>
        <v>UpdateDailyDelta</v>
      </c>
      <c r="W4" s="27" t="str">
        <f>IFERROR(__xludf.DUMMYFUNCTION("""COMPUTED_VALUE"""),"UpdateDailyOutstandings")</f>
        <v>UpdateDailyOutstandings</v>
      </c>
      <c r="X4" s="27" t="str">
        <f>IFERROR(__xludf.DUMMYFUNCTION("""COMPUTED_VALUE"""),"UpdateBeta")</f>
        <v>UpdateBeta</v>
      </c>
      <c r="Y4" s="27" t="str">
        <f>IFERROR(__xludf.DUMMYFUNCTION("""COMPUTED_VALUE"""),"UpdateNAV")</f>
        <v>UpdateNAV</v>
      </c>
      <c r="Z4" s="27" t="str">
        <f>IFERROR(__xludf.DUMMYFUNCTION("""COMPUTED_VALUE"""),"UpdateDailyCash")</f>
        <v>UpdateDailyCash</v>
      </c>
      <c r="AA4" s="27" t="str">
        <f>IFERROR(__xludf.DUMMYFUNCTION("""COMPUTED_VALUE"""),"UpdateDailyCreditLimt")</f>
        <v>UpdateDailyCreditLimt</v>
      </c>
      <c r="AB4" s="27" t="str">
        <f>IFERROR(__xludf.DUMMYFUNCTION("""COMPUTED_VALUE"""),"RemoveDailyCreditLimit")</f>
        <v>RemoveDailyCreditLimit</v>
      </c>
      <c r="AC4" s="27" t="str">
        <f>IFERROR(__xludf.DUMMYFUNCTION("""COMPUTED_VALUE"""),"RemoveDailyCash")</f>
        <v>RemoveDailyCash</v>
      </c>
      <c r="AD4" s="27" t="str">
        <f>IFERROR(__xludf.DUMMYFUNCTION("""COMPUTED_VALUE"""),"RemoveNAV")</f>
        <v>RemoveNAV</v>
      </c>
      <c r="AE4" s="27" t="str">
        <f>IFERROR(__xludf.DUMMYFUNCTION("""COMPUTED_VALUE"""),"UpdateForexConversionMonthly")</f>
        <v>UpdateForexConversionMonthly</v>
      </c>
      <c r="AF4" s="27" t="str">
        <f>IFERROR(__xludf.DUMMYFUNCTION("""COMPUTED_VALUE"""),"UpdateMarkPriceMonthly")</f>
        <v>UpdateMarkPriceMonthly</v>
      </c>
      <c r="AG4" s="27" t="str">
        <f>IFERROR(__xludf.DUMMYFUNCTION("""COMPUTED_VALUE"""),"VerifyDailyCash")</f>
        <v>VerifyDailyCash</v>
      </c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IFERROR(__xludf.DUMMYFUNCTION("""COMPUTED_VALUE"""),"Local Currency")</f>
        <v>Local Currency</v>
      </c>
      <c r="D5" s="29" t="str">
        <f>IFERROR(__xludf.DUMMYFUNCTION("""COMPUTED_VALUE"""),"Cash Value Local")</f>
        <v>Cash Value Local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6" t="s">
        <v>26</v>
      </c>
      <c r="C6" s="37" t="s">
        <v>31</v>
      </c>
      <c r="D6" s="33">
        <v>40000.0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32</v>
      </c>
      <c r="C7" s="37" t="s">
        <v>31</v>
      </c>
      <c r="D7" s="41">
        <v>40000.0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33</v>
      </c>
      <c r="D3" s="5" t="s">
        <v>9</v>
      </c>
      <c r="E3" s="24" t="s">
        <v>34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IFERROR(__xludf.DUMMYFUNCTION("""COMPUTED_VALUE"""),"ClearCalculations")</f>
        <v>ClearCalculations</v>
      </c>
      <c r="H4" s="26" t="str">
        <f>IFERROR(__xludf.DUMMYFUNCTION("""COMPUTED_VALUE"""),"ModifyRebalance")</f>
        <v>ModifyRebalance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IFERROR(__xludf.DUMMYFUNCTION("""COMPUTED_VALUE"""),"RebalanceViaBloomberg")</f>
        <v>RebalanceViaBloomberg</v>
      </c>
      <c r="N4" s="26" t="str">
        <f>IFERROR(__xludf.DUMMYFUNCTION("""COMPUTED_VALUE"""),"AddUserAdjustedNAV")</f>
        <v>AddUserAdjustedNAV</v>
      </c>
      <c r="O4" s="26" t="str">
        <f>IFERROR(__xludf.DUMMYFUNCTION("""COMPUTED_VALUE"""),"SymbologyChangeRB")</f>
        <v>SymbologyChangeRB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IFERROR(__xludf.DUMMYFUNCTION("""COMPUTED_VALUE"""),"CheckCompliance")</f>
        <v>CheckCompliance</v>
      </c>
      <c r="S4" s="27" t="str">
        <f>IFERROR(__xludf.DUMMYFUNCTION("""COMPUTED_VALUE"""),"CheckBasketCompliance")</f>
        <v>CheckBasketCompliance</v>
      </c>
      <c r="T4" s="27" t="str">
        <f>IFERROR(__xludf.DUMMYFUNCTION("""COMPUTED_VALUE"""),"EnableComplianceTab")</f>
        <v>EnableComplianceTab</v>
      </c>
      <c r="U4" s="27" t="str">
        <f>IFERROR(__xludf.DUMMYFUNCTION("""COMPUTED_VALUE"""),"RebalancePreference")</f>
        <v>RebalancePreference</v>
      </c>
      <c r="V4" s="27" t="str">
        <f>IFERROR(__xludf.DUMMYFUNCTION("""COMPUTED_VALUE"""),"CloseRebalancer")</f>
        <v>CloseRebalancer</v>
      </c>
      <c r="W4" s="27" t="str">
        <f>IFERROR(__xludf.DUMMYFUNCTION("""COMPUTED_VALUE"""),"AddCustomCashUsingImport")</f>
        <v>AddCustomCashUsingImport</v>
      </c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IFERROR(__xludf.DUMMYFUNCTION("""COMPUTED_VALUE"""),"Account/Groups")</f>
        <v>Account/Groups</v>
      </c>
      <c r="C5" s="29" t="str">
        <f>IFERROR(__xludf.DUMMYFUNCTION("""COMPUTED_VALUE"""),"Account Positions")</f>
        <v>Account Positions</v>
      </c>
      <c r="D5" s="29" t="str">
        <f>IFERROR(__xludf.DUMMYFUNCTION("""COMPUTED_VALUE"""),"Calculation Level")</f>
        <v>Calculation Level</v>
      </c>
      <c r="E5" s="29" t="str">
        <f>IFERROR(__xludf.DUMMYFUNCTION("""COMPUTED_VALUE"""),"Refresh")</f>
        <v>Refresh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6" t="s">
        <v>35</v>
      </c>
      <c r="C6" s="37" t="s">
        <v>36</v>
      </c>
      <c r="D6" s="37" t="s">
        <v>37</v>
      </c>
      <c r="E6" s="37" t="s">
        <v>38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33</v>
      </c>
      <c r="D3" s="5" t="s">
        <v>9</v>
      </c>
      <c r="E3" s="24" t="s">
        <v>39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IFERROR(__xludf.DUMMYFUNCTION("""COMPUTED_VALUE"""),"ClearCalculations")</f>
        <v>ClearCalculations</v>
      </c>
      <c r="H4" s="26" t="str">
        <f>IFERROR(__xludf.DUMMYFUNCTION("""COMPUTED_VALUE"""),"ModifyRebalance")</f>
        <v>ModifyRebalance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IFERROR(__xludf.DUMMYFUNCTION("""COMPUTED_VALUE"""),"RebalanceViaBloomberg")</f>
        <v>RebalanceViaBloomberg</v>
      </c>
      <c r="N4" s="26" t="str">
        <f>IFERROR(__xludf.DUMMYFUNCTION("""COMPUTED_VALUE"""),"AddUserAdjustedNAV")</f>
        <v>AddUserAdjustedNAV</v>
      </c>
      <c r="O4" s="26" t="str">
        <f>IFERROR(__xludf.DUMMYFUNCTION("""COMPUTED_VALUE"""),"SymbologyChangeRB")</f>
        <v>SymbologyChangeRB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IFERROR(__xludf.DUMMYFUNCTION("""COMPUTED_VALUE"""),"CheckCompliance")</f>
        <v>CheckCompliance</v>
      </c>
      <c r="S4" s="27" t="str">
        <f>IFERROR(__xludf.DUMMYFUNCTION("""COMPUTED_VALUE"""),"CheckBasketCompliance")</f>
        <v>CheckBasketCompliance</v>
      </c>
      <c r="T4" s="27" t="str">
        <f>IFERROR(__xludf.DUMMYFUNCTION("""COMPUTED_VALUE"""),"EnableComplianceTab")</f>
        <v>EnableComplianceTab</v>
      </c>
      <c r="U4" s="27" t="str">
        <f>IFERROR(__xludf.DUMMYFUNCTION("""COMPUTED_VALUE"""),"RebalancePreference")</f>
        <v>RebalancePreference</v>
      </c>
      <c r="V4" s="27" t="str">
        <f>IFERROR(__xludf.DUMMYFUNCTION("""COMPUTED_VALUE"""),"CloseRebalancer")</f>
        <v>CloseRebalancer</v>
      </c>
      <c r="W4" s="27" t="str">
        <f>IFERROR(__xludf.DUMMYFUNCTION("""COMPUTED_VALUE"""),"AddCustomCashUsingImport")</f>
        <v>AddCustomCashUsingImport</v>
      </c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IFERROR(__xludf.DUMMYFUNCTION("""COMPUTED_VALUE"""),"Cash Flow(USD)")</f>
        <v>Cash Flow(USD)</v>
      </c>
      <c r="C5" s="29" t="str">
        <f>IFERROR(__xludf.DUMMYFUNCTION("""COMPUTED_VALUE"""),"Cash Flow Impact on NAV")</f>
        <v>Cash Flow Impact on NAV</v>
      </c>
      <c r="D5" s="29" t="str">
        <f>IFERROR(__xludf.DUMMYFUNCTION("""COMPUTED_VALUE"""),"Select Model")</f>
        <v>Select Model</v>
      </c>
      <c r="E5" s="29" t="str">
        <f>IFERROR(__xludf.DUMMYFUNCTION("""COMPUTED_VALUE"""),"Custom Cash Flow")</f>
        <v>Custom Cash Flow</v>
      </c>
      <c r="F5" s="30" t="str">
        <f>IFERROR(__xludf.DUMMYFUNCTION("""COMPUTED_VALUE"""),"MasterFund Groups")</f>
        <v>MasterFund Groups</v>
      </c>
      <c r="G5" s="29" t="str">
        <f>IFERROR(__xludf.DUMMYFUNCTION("""COMPUTED_VALUE"""),"Accounts")</f>
        <v>Accounts</v>
      </c>
      <c r="H5" s="29" t="str">
        <f>IFERROR(__xludf.DUMMYFUNCTION("""COMPUTED_VALUE"""),"Cash Flow Account Wise")</f>
        <v>Cash Flow Account Wise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7"/>
      <c r="C6" s="37" t="s">
        <v>40</v>
      </c>
      <c r="D6" s="37" t="s">
        <v>41</v>
      </c>
      <c r="E6" s="42" t="b">
        <v>1</v>
      </c>
      <c r="F6" s="32" t="s">
        <v>35</v>
      </c>
      <c r="G6" s="32" t="s">
        <v>42</v>
      </c>
      <c r="H6" s="43" t="s">
        <v>43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33</v>
      </c>
      <c r="D3" s="5" t="s">
        <v>9</v>
      </c>
      <c r="E3" s="24" t="s">
        <v>44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IFERROR(__xludf.DUMMYFUNCTION("""COMPUTED_VALUE"""),"ClearCalculations")</f>
        <v>ClearCalculations</v>
      </c>
      <c r="H4" s="26" t="str">
        <f>IFERROR(__xludf.DUMMYFUNCTION("""COMPUTED_VALUE"""),"ModifyRebalance")</f>
        <v>ModifyRebalance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IFERROR(__xludf.DUMMYFUNCTION("""COMPUTED_VALUE"""),"RebalanceViaBloomberg")</f>
        <v>RebalanceViaBloomberg</v>
      </c>
      <c r="N4" s="26" t="str">
        <f>IFERROR(__xludf.DUMMYFUNCTION("""COMPUTED_VALUE"""),"AddUserAdjustedNAV")</f>
        <v>AddUserAdjustedNAV</v>
      </c>
      <c r="O4" s="26" t="str">
        <f>IFERROR(__xludf.DUMMYFUNCTION("""COMPUTED_VALUE"""),"SymbologyChangeRB")</f>
        <v>SymbologyChangeRB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IFERROR(__xludf.DUMMYFUNCTION("""COMPUTED_VALUE"""),"CheckCompliance")</f>
        <v>CheckCompliance</v>
      </c>
      <c r="S4" s="27" t="str">
        <f>IFERROR(__xludf.DUMMYFUNCTION("""COMPUTED_VALUE"""),"CheckBasketCompliance")</f>
        <v>CheckBasketCompliance</v>
      </c>
      <c r="T4" s="27" t="str">
        <f>IFERROR(__xludf.DUMMYFUNCTION("""COMPUTED_VALUE"""),"EnableComplianceTab")</f>
        <v>EnableComplianceTab</v>
      </c>
      <c r="U4" s="27" t="str">
        <f>IFERROR(__xludf.DUMMYFUNCTION("""COMPUTED_VALUE"""),"RebalancePreference")</f>
        <v>RebalancePreference</v>
      </c>
      <c r="V4" s="27" t="str">
        <f>IFERROR(__xludf.DUMMYFUNCTION("""COMPUTED_VALUE"""),"CloseRebalancer")</f>
        <v>CloseRebalancer</v>
      </c>
      <c r="W4" s="27" t="str">
        <f>IFERROR(__xludf.DUMMYFUNCTION("""COMPUTED_VALUE"""),"AddCustomCashUsingImport")</f>
        <v>AddCustomCashUsingImport</v>
      </c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IFERROR(__xludf.DUMMYFUNCTION("""COMPUTED_VALUE"""),"Rounding Type")</f>
        <v>Rounding Type</v>
      </c>
      <c r="C5" s="29" t="str">
        <f>IFERROR(__xludf.DUMMYFUNCTION("""COMPUTED_VALUE"""),"Rebalance")</f>
        <v>Rebalance</v>
      </c>
      <c r="D5" s="29" t="str">
        <f>IFERROR(__xludf.DUMMYFUNCTION("""COMPUTED_VALUE"""),"Round Lot")</f>
        <v>Round Lot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44" t="s">
        <v>45</v>
      </c>
      <c r="C6" s="45" t="b">
        <v>1</v>
      </c>
      <c r="D6" s="42" t="b">
        <v>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33</v>
      </c>
      <c r="D3" s="5" t="s">
        <v>9</v>
      </c>
      <c r="E3" s="24" t="s">
        <v>46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IFERROR(__xludf.DUMMYFUNCTION("""COMPUTED_VALUE"""),"ClearCalculations")</f>
        <v>ClearCalculations</v>
      </c>
      <c r="H4" s="26" t="str">
        <f>IFERROR(__xludf.DUMMYFUNCTION("""COMPUTED_VALUE"""),"ModifyRebalance")</f>
        <v>ModifyRebalance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IFERROR(__xludf.DUMMYFUNCTION("""COMPUTED_VALUE"""),"RebalanceViaBloomberg")</f>
        <v>RebalanceViaBloomberg</v>
      </c>
      <c r="N4" s="26" t="str">
        <f>IFERROR(__xludf.DUMMYFUNCTION("""COMPUTED_VALUE"""),"AddUserAdjustedNAV")</f>
        <v>AddUserAdjustedNAV</v>
      </c>
      <c r="O4" s="26" t="str">
        <f>IFERROR(__xludf.DUMMYFUNCTION("""COMPUTED_VALUE"""),"SymbologyChangeRB")</f>
        <v>SymbologyChangeRB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IFERROR(__xludf.DUMMYFUNCTION("""COMPUTED_VALUE"""),"CheckCompliance")</f>
        <v>CheckCompliance</v>
      </c>
      <c r="S4" s="27" t="str">
        <f>IFERROR(__xludf.DUMMYFUNCTION("""COMPUTED_VALUE"""),"CheckBasketCompliance")</f>
        <v>CheckBasketCompliance</v>
      </c>
      <c r="T4" s="27" t="str">
        <f>IFERROR(__xludf.DUMMYFUNCTION("""COMPUTED_VALUE"""),"EnableComplianceTab")</f>
        <v>EnableComplianceTab</v>
      </c>
      <c r="U4" s="27" t="str">
        <f>IFERROR(__xludf.DUMMYFUNCTION("""COMPUTED_VALUE"""),"RebalancePreference")</f>
        <v>RebalancePreference</v>
      </c>
      <c r="V4" s="27" t="str">
        <f>IFERROR(__xludf.DUMMYFUNCTION("""COMPUTED_VALUE"""),"CloseRebalancer")</f>
        <v>CloseRebalancer</v>
      </c>
      <c r="W4" s="27" t="str">
        <f>IFERROR(__xludf.DUMMYFUNCTION("""COMPUTED_VALUE"""),"AddCustomCashUsingImport")</f>
        <v>AddCustomCashUsingImport</v>
      </c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IFERROR(__xludf.DUMMYFUNCTION("""COMPUTED_VALUE"""),"Lock/Unlock")</f>
        <v>Lock/Unlock</v>
      </c>
      <c r="C5" s="29" t="str">
        <f>IFERROR(__xludf.DUMMYFUNCTION("""COMPUTED_VALUE"""),"Account")</f>
        <v>Account</v>
      </c>
      <c r="D5" s="29" t="str">
        <f>IFERROR(__xludf.DUMMYFUNCTION("""COMPUTED_VALUE"""),"Symbol")</f>
        <v>Symbol</v>
      </c>
      <c r="E5" s="29" t="str">
        <f>IFERROR(__xludf.DUMMYFUNCTION("""COMPUTED_VALUE"""),"Asset")</f>
        <v>Asset</v>
      </c>
      <c r="F5" s="30" t="str">
        <f>IFERROR(__xludf.DUMMYFUNCTION("""COMPUTED_VALUE"""),"Side")</f>
        <v>Side</v>
      </c>
      <c r="G5" s="29" t="str">
        <f>IFERROR(__xludf.DUMMYFUNCTION("""COMPUTED_VALUE"""),"Price (Local)")</f>
        <v>Price (Local)</v>
      </c>
      <c r="H5" s="29" t="str">
        <f>IFERROR(__xludf.DUMMYFUNCTION("""COMPUTED_VALUE"""),"Price (Base)")</f>
        <v>Price (Base)</v>
      </c>
      <c r="I5" s="29" t="str">
        <f>IFERROR(__xludf.DUMMYFUNCTION("""COMPUTED_VALUE"""),"FX Rate")</f>
        <v>FX Rate</v>
      </c>
      <c r="J5" s="29" t="str">
        <f>IFERROR(__xludf.DUMMYFUNCTION("""COMPUTED_VALUE"""),"Current %")</f>
        <v>Current %</v>
      </c>
      <c r="K5" s="29" t="str">
        <f>IFERROR(__xludf.DUMMYFUNCTION("""COMPUTED_VALUE"""),"Current Position")</f>
        <v>Current Position</v>
      </c>
      <c r="L5" s="29" t="str">
        <f>IFERROR(__xludf.DUMMYFUNCTION("""COMPUTED_VALUE"""),"Current Market Value (Local)")</f>
        <v>Current Market Value (Local)</v>
      </c>
      <c r="M5" s="29" t="str">
        <f>IFERROR(__xludf.DUMMYFUNCTION("""COMPUTED_VALUE"""),"Current Market Value")</f>
        <v>Current Market Value</v>
      </c>
      <c r="N5" s="29" t="str">
        <f>IFERROR(__xludf.DUMMYFUNCTION("""COMPUTED_VALUE"""),"Target %")</f>
        <v>Target %</v>
      </c>
      <c r="O5" s="29" t="str">
        <f>IFERROR(__xludf.DUMMYFUNCTION("""COMPUTED_VALUE"""),"Target Position")</f>
        <v>Target Position</v>
      </c>
      <c r="P5" s="29" t="str">
        <f>IFERROR(__xludf.DUMMYFUNCTION("""COMPUTED_VALUE"""),"Target Market Value (Local)")</f>
        <v>Target Market Value (Local)</v>
      </c>
      <c r="Q5" s="29" t="str">
        <f>IFERROR(__xludf.DUMMYFUNCTION("""COMPUTED_VALUE"""),"Target Market Value")</f>
        <v>Target Market Value</v>
      </c>
      <c r="R5" s="29" t="str">
        <f>IFERROR(__xludf.DUMMYFUNCTION("""COMPUTED_VALUE"""),"Buy/Sell Qty")</f>
        <v>Buy/Sell Qty</v>
      </c>
      <c r="S5" s="29" t="str">
        <f>IFERROR(__xludf.DUMMYFUNCTION("""COMPUTED_VALUE"""),"Buy/Sell Value")</f>
        <v>Buy/Sell Value</v>
      </c>
      <c r="T5" s="31" t="str">
        <f>IFERROR(__xludf.DUMMYFUNCTION("""COMPUTED_VALUE"""),"Sector")</f>
        <v>Sector</v>
      </c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8"/>
      <c r="C6" s="46" t="s">
        <v>32</v>
      </c>
      <c r="D6" s="46" t="s">
        <v>17</v>
      </c>
      <c r="E6" s="46" t="s">
        <v>47</v>
      </c>
      <c r="F6" s="46" t="s">
        <v>48</v>
      </c>
      <c r="G6" s="47">
        <v>94.51</v>
      </c>
      <c r="H6" s="47">
        <v>94.51</v>
      </c>
      <c r="I6" s="47">
        <v>1.0</v>
      </c>
      <c r="J6" s="8"/>
      <c r="K6" s="47">
        <v>100.0</v>
      </c>
      <c r="L6" s="8"/>
      <c r="M6" s="8"/>
      <c r="N6" s="8"/>
      <c r="O6" s="8"/>
      <c r="R6" s="47">
        <v>-60.0</v>
      </c>
      <c r="S6" s="48">
        <v>-5671.0</v>
      </c>
    </row>
    <row r="7" ht="15.75" customHeight="1">
      <c r="A7" s="8"/>
      <c r="B7" s="8"/>
      <c r="C7" s="46" t="s">
        <v>32</v>
      </c>
      <c r="D7" s="46" t="s">
        <v>16</v>
      </c>
      <c r="E7" s="46" t="s">
        <v>47</v>
      </c>
      <c r="F7" s="46" t="s">
        <v>48</v>
      </c>
      <c r="G7" s="47">
        <v>194.32</v>
      </c>
      <c r="H7" s="47">
        <v>194.32</v>
      </c>
      <c r="I7" s="47">
        <v>1.0</v>
      </c>
      <c r="J7" s="8"/>
      <c r="K7" s="47">
        <v>600.0</v>
      </c>
      <c r="L7" s="8"/>
      <c r="M7" s="8"/>
      <c r="N7" s="8"/>
      <c r="O7" s="8"/>
      <c r="R7" s="47">
        <v>-400.0</v>
      </c>
      <c r="S7" s="48">
        <v>-77728.0</v>
      </c>
    </row>
    <row r="8" ht="15.75" customHeight="1">
      <c r="A8" s="8"/>
      <c r="B8" s="8"/>
      <c r="C8" s="46" t="s">
        <v>26</v>
      </c>
      <c r="D8" s="46" t="s">
        <v>20</v>
      </c>
      <c r="E8" s="46" t="s">
        <v>47</v>
      </c>
      <c r="F8" s="46" t="s">
        <v>48</v>
      </c>
      <c r="G8" s="49">
        <v>1100.0</v>
      </c>
      <c r="H8" s="47">
        <v>1100.0</v>
      </c>
      <c r="I8" s="47">
        <v>1.0</v>
      </c>
      <c r="J8" s="8"/>
      <c r="K8" s="47">
        <v>100.0</v>
      </c>
      <c r="L8" s="8"/>
      <c r="M8" s="8"/>
      <c r="N8" s="8"/>
      <c r="O8" s="8"/>
      <c r="R8" s="47">
        <v>-100.0</v>
      </c>
      <c r="S8" s="48">
        <v>-110000.0</v>
      </c>
    </row>
    <row r="9" ht="15.75" customHeight="1">
      <c r="A9" s="8"/>
      <c r="B9" s="8"/>
      <c r="C9" s="46" t="s">
        <v>32</v>
      </c>
      <c r="D9" s="46" t="s">
        <v>19</v>
      </c>
      <c r="E9" s="46" t="s">
        <v>47</v>
      </c>
      <c r="F9" s="46" t="s">
        <v>48</v>
      </c>
      <c r="G9" s="47">
        <v>6.56</v>
      </c>
      <c r="H9" s="47">
        <v>6.56</v>
      </c>
      <c r="I9" s="47">
        <v>1.0</v>
      </c>
      <c r="J9" s="8"/>
      <c r="K9" s="47">
        <v>600.0</v>
      </c>
      <c r="L9" s="8"/>
      <c r="M9" s="8"/>
      <c r="N9" s="8"/>
      <c r="O9" s="8"/>
      <c r="R9" s="47">
        <v>-360.0</v>
      </c>
      <c r="S9" s="48">
        <v>-2362.0</v>
      </c>
    </row>
    <row r="10" ht="15.75" customHeight="1">
      <c r="A10" s="8"/>
      <c r="B10" s="8"/>
      <c r="C10" s="46" t="s">
        <v>26</v>
      </c>
      <c r="D10" s="46" t="s">
        <v>21</v>
      </c>
      <c r="E10" s="46" t="s">
        <v>47</v>
      </c>
      <c r="F10" s="46" t="s">
        <v>48</v>
      </c>
      <c r="G10" s="47">
        <v>110.0</v>
      </c>
      <c r="H10" s="47">
        <v>110.0</v>
      </c>
      <c r="I10" s="47">
        <v>1.0</v>
      </c>
      <c r="J10" s="8"/>
      <c r="K10" s="47">
        <v>100.0</v>
      </c>
      <c r="L10" s="8"/>
      <c r="M10" s="8"/>
      <c r="N10" s="8"/>
      <c r="O10" s="8"/>
      <c r="R10" s="47">
        <v>-31.0</v>
      </c>
      <c r="S10" s="48">
        <v>-3410.0</v>
      </c>
    </row>
    <row r="11" ht="15.75" customHeight="1">
      <c r="A11" s="8"/>
      <c r="B11" s="8"/>
      <c r="C11" s="46" t="s">
        <v>32</v>
      </c>
      <c r="D11" s="46" t="s">
        <v>18</v>
      </c>
      <c r="E11" s="46" t="s">
        <v>47</v>
      </c>
      <c r="F11" s="46" t="s">
        <v>49</v>
      </c>
      <c r="G11" s="47">
        <v>36.48</v>
      </c>
      <c r="H11" s="47">
        <v>36.48</v>
      </c>
      <c r="I11" s="47">
        <v>1.0</v>
      </c>
      <c r="J11" s="8"/>
      <c r="K11" s="47">
        <v>100.0</v>
      </c>
      <c r="L11" s="8"/>
      <c r="M11" s="8"/>
      <c r="N11" s="8"/>
      <c r="O11" s="8"/>
      <c r="R11" s="47">
        <v>-60.0</v>
      </c>
      <c r="S11" s="48">
        <v>2189.0</v>
      </c>
    </row>
    <row r="12" ht="15.75" customHeight="1">
      <c r="A12" s="8"/>
      <c r="B12" s="8"/>
      <c r="C12" s="46" t="s">
        <v>26</v>
      </c>
      <c r="D12" s="46" t="s">
        <v>18</v>
      </c>
      <c r="E12" s="46" t="s">
        <v>47</v>
      </c>
      <c r="F12" s="46" t="s">
        <v>49</v>
      </c>
      <c r="G12" s="47">
        <v>36.48</v>
      </c>
      <c r="H12" s="47">
        <v>36.48</v>
      </c>
      <c r="I12" s="47">
        <v>1.0</v>
      </c>
      <c r="J12" s="8"/>
      <c r="K12" s="47">
        <v>15.0</v>
      </c>
      <c r="L12" s="8"/>
      <c r="M12" s="8"/>
      <c r="N12" s="8"/>
      <c r="O12" s="8"/>
      <c r="R12" s="47">
        <v>-10.0</v>
      </c>
      <c r="S12" s="47">
        <v>365.0</v>
      </c>
    </row>
    <row r="13" ht="15.75" customHeight="1">
      <c r="C13" s="46" t="s">
        <v>32</v>
      </c>
      <c r="D13" s="46" t="s">
        <v>50</v>
      </c>
      <c r="E13" s="46" t="s">
        <v>50</v>
      </c>
      <c r="F13" s="46" t="s">
        <v>48</v>
      </c>
      <c r="G13" s="47">
        <v>1.0</v>
      </c>
      <c r="H13" s="47">
        <v>1.0</v>
      </c>
      <c r="I13" s="47">
        <v>1.0</v>
      </c>
      <c r="K13" s="47">
        <v>0.0</v>
      </c>
      <c r="R13" s="47">
        <v>0.0</v>
      </c>
      <c r="S13" s="47">
        <v>0.0</v>
      </c>
    </row>
    <row r="14" ht="15.75" customHeight="1">
      <c r="C14" s="46" t="s">
        <v>26</v>
      </c>
      <c r="D14" s="46" t="s">
        <v>50</v>
      </c>
      <c r="E14" s="46" t="s">
        <v>50</v>
      </c>
      <c r="F14" s="46" t="s">
        <v>48</v>
      </c>
      <c r="G14" s="47">
        <v>1.0</v>
      </c>
      <c r="H14" s="47">
        <v>1.0</v>
      </c>
      <c r="I14" s="47">
        <v>1.0</v>
      </c>
      <c r="K14" s="47">
        <v>0.0</v>
      </c>
      <c r="R14" s="47">
        <v>0.0</v>
      </c>
      <c r="S14" s="47">
        <v>0.0</v>
      </c>
    </row>
    <row r="15" ht="15.75" customHeight="1">
      <c r="C15" s="46" t="s">
        <v>32</v>
      </c>
      <c r="D15" s="46" t="s">
        <v>51</v>
      </c>
      <c r="E15" s="46" t="s">
        <v>51</v>
      </c>
      <c r="F15" s="46" t="s">
        <v>48</v>
      </c>
      <c r="G15" s="47">
        <v>1.0</v>
      </c>
      <c r="H15" s="47">
        <v>1.0</v>
      </c>
      <c r="I15" s="47">
        <v>1.0</v>
      </c>
      <c r="K15" s="47">
        <v>40000.0</v>
      </c>
      <c r="L15" s="47">
        <v>40000.0</v>
      </c>
      <c r="M15" s="47">
        <v>40000.0</v>
      </c>
      <c r="O15" s="47">
        <v>23572.0</v>
      </c>
      <c r="P15" s="47">
        <v>23572.0</v>
      </c>
      <c r="Q15" s="47">
        <v>23572.0</v>
      </c>
      <c r="R15" s="47">
        <v>-16428.0</v>
      </c>
      <c r="S15" s="48">
        <v>-16428.0</v>
      </c>
    </row>
    <row r="16" ht="15.75" customHeight="1">
      <c r="C16" s="46" t="s">
        <v>26</v>
      </c>
      <c r="D16" s="46" t="s">
        <v>51</v>
      </c>
      <c r="E16" s="46" t="s">
        <v>51</v>
      </c>
      <c r="F16" s="46" t="s">
        <v>48</v>
      </c>
      <c r="G16" s="47">
        <v>1.0</v>
      </c>
      <c r="H16" s="47">
        <v>1.0</v>
      </c>
      <c r="I16" s="47">
        <v>1.0</v>
      </c>
      <c r="K16" s="47">
        <v>40000.0</v>
      </c>
      <c r="L16" s="47">
        <v>40000.0</v>
      </c>
      <c r="M16" s="47">
        <v>40000.0</v>
      </c>
      <c r="O16" s="47">
        <v>103046.0</v>
      </c>
      <c r="P16" s="47">
        <v>103046.0</v>
      </c>
      <c r="Q16" s="47">
        <v>103046.0</v>
      </c>
      <c r="R16" s="47">
        <v>63046.0</v>
      </c>
      <c r="S16" s="48">
        <v>63046.0</v>
      </c>
    </row>
    <row r="17" ht="15.75" customHeight="1">
      <c r="I17" s="50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33</v>
      </c>
      <c r="D3" s="5" t="s">
        <v>9</v>
      </c>
      <c r="E3" s="24" t="s">
        <v>52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IFERROR(__xludf.DUMMYFUNCTION("""COMPUTED_VALUE"""),"ClearCalculations")</f>
        <v>ClearCalculations</v>
      </c>
      <c r="H4" s="26" t="str">
        <f>IFERROR(__xludf.DUMMYFUNCTION("""COMPUTED_VALUE"""),"ModifyRebalance")</f>
        <v>ModifyRebalance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IFERROR(__xludf.DUMMYFUNCTION("""COMPUTED_VALUE"""),"RebalanceViaBloomberg")</f>
        <v>RebalanceViaBloomberg</v>
      </c>
      <c r="N4" s="26" t="str">
        <f>IFERROR(__xludf.DUMMYFUNCTION("""COMPUTED_VALUE"""),"AddUserAdjustedNAV")</f>
        <v>AddUserAdjustedNAV</v>
      </c>
      <c r="O4" s="26" t="str">
        <f>IFERROR(__xludf.DUMMYFUNCTION("""COMPUTED_VALUE"""),"SymbologyChangeRB")</f>
        <v>SymbologyChangeRB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IFERROR(__xludf.DUMMYFUNCTION("""COMPUTED_VALUE"""),"CheckCompliance")</f>
        <v>CheckCompliance</v>
      </c>
      <c r="S4" s="27" t="str">
        <f>IFERROR(__xludf.DUMMYFUNCTION("""COMPUTED_VALUE"""),"CheckBasketCompliance")</f>
        <v>CheckBasketCompliance</v>
      </c>
      <c r="T4" s="27" t="str">
        <f>IFERROR(__xludf.DUMMYFUNCTION("""COMPUTED_VALUE"""),"EnableComplianceTab")</f>
        <v>EnableComplianceTab</v>
      </c>
      <c r="U4" s="27" t="str">
        <f>IFERROR(__xludf.DUMMYFUNCTION("""COMPUTED_VALUE"""),"RebalancePreference")</f>
        <v>RebalancePreference</v>
      </c>
      <c r="V4" s="27" t="str">
        <f>IFERROR(__xludf.DUMMYFUNCTION("""COMPUTED_VALUE"""),"CloseRebalancer")</f>
        <v>CloseRebalancer</v>
      </c>
      <c r="W4" s="27" t="str">
        <f>IFERROR(__xludf.DUMMYFUNCTION("""COMPUTED_VALUE"""),"AddCustomCashUsingImport")</f>
        <v>AddCustomCashUsingImport</v>
      </c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IFERROR(__xludf.DUMMYFUNCTION("""COMPUTED_VALUE"""),"Side")</f>
        <v>Side</v>
      </c>
      <c r="D5" s="29" t="str">
        <f>IFERROR(__xludf.DUMMYFUNCTION("""COMPUTED_VALUE"""),"Symbol")</f>
        <v>Symbol</v>
      </c>
      <c r="E5" s="29" t="str">
        <f>IFERROR(__xludf.DUMMYFUNCTION("""COMPUTED_VALUE"""),"Quantity")</f>
        <v>Quantity</v>
      </c>
      <c r="F5" s="30" t="str">
        <f>IFERROR(__xludf.DUMMYFUNCTION("""COMPUTED_VALUE"""),"Price (Local)")</f>
        <v>Price (Local)</v>
      </c>
      <c r="G5" s="29" t="str">
        <f>IFERROR(__xludf.DUMMYFUNCTION("""COMPUTED_VALUE"""),"Buy/Sell Value (Base)")</f>
        <v>Buy/Sell Value (Base)</v>
      </c>
      <c r="H5" s="29" t="str">
        <f>IFERROR(__xludf.DUMMYFUNCTION("""COMPUTED_VALUE"""),"Comments")</f>
        <v>Comments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46" t="s">
        <v>32</v>
      </c>
      <c r="C6" s="46" t="s">
        <v>53</v>
      </c>
      <c r="D6" s="46" t="s">
        <v>17</v>
      </c>
      <c r="E6" s="47">
        <v>60.0</v>
      </c>
      <c r="F6" s="47">
        <v>94.51</v>
      </c>
      <c r="G6" s="48">
        <v>-5671.0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32</v>
      </c>
      <c r="C7" s="46" t="s">
        <v>53</v>
      </c>
      <c r="D7" s="46" t="s">
        <v>16</v>
      </c>
      <c r="E7" s="47">
        <v>400.0</v>
      </c>
      <c r="F7" s="47">
        <v>194.32</v>
      </c>
      <c r="G7" s="48">
        <v>-77728.0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26</v>
      </c>
      <c r="C8" s="46" t="s">
        <v>53</v>
      </c>
      <c r="D8" s="46" t="s">
        <v>20</v>
      </c>
      <c r="E8" s="47">
        <v>100.0</v>
      </c>
      <c r="F8" s="49">
        <v>1100.0</v>
      </c>
      <c r="G8" s="48">
        <v>-110000.0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 t="s">
        <v>32</v>
      </c>
      <c r="C9" s="46" t="s">
        <v>53</v>
      </c>
      <c r="D9" s="46" t="s">
        <v>19</v>
      </c>
      <c r="E9" s="47">
        <v>360.0</v>
      </c>
      <c r="F9" s="47">
        <v>6.56</v>
      </c>
      <c r="G9" s="48">
        <v>-2362.0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6" t="s">
        <v>26</v>
      </c>
      <c r="C10" s="46" t="s">
        <v>53</v>
      </c>
      <c r="D10" s="46" t="s">
        <v>21</v>
      </c>
      <c r="E10" s="47">
        <v>31.0</v>
      </c>
      <c r="F10" s="47">
        <v>110.0</v>
      </c>
      <c r="G10" s="48">
        <v>-3410.0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6" t="s">
        <v>32</v>
      </c>
      <c r="C11" s="46" t="s">
        <v>54</v>
      </c>
      <c r="D11" s="46" t="s">
        <v>18</v>
      </c>
      <c r="E11" s="47">
        <v>60.0</v>
      </c>
      <c r="F11" s="47">
        <v>36.48</v>
      </c>
      <c r="G11" s="48">
        <v>2189.0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6" t="s">
        <v>26</v>
      </c>
      <c r="C12" s="46" t="s">
        <v>54</v>
      </c>
      <c r="D12" s="46" t="s">
        <v>18</v>
      </c>
      <c r="E12" s="47">
        <v>10.0</v>
      </c>
      <c r="F12" s="47">
        <v>36.48</v>
      </c>
      <c r="G12" s="47">
        <v>365.0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0"/>
      <c r="C13" s="50"/>
      <c r="D13" s="50"/>
      <c r="E13" s="50"/>
      <c r="F13" s="50"/>
      <c r="G13" s="50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50"/>
      <c r="C14" s="50"/>
      <c r="D14" s="50"/>
      <c r="E14" s="50"/>
      <c r="F14" s="50"/>
      <c r="G14" s="50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