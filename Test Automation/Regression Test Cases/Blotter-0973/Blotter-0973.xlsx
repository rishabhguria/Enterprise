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1" sheetId="9" r:id="rId11"/>
    <sheet state="visible" name="VerifyExecutionType" sheetId="10" r:id="rId12"/>
    <sheet state="visible" name="CustomOrderTT1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VerifyOrder" sheetId="15" r:id="rId17"/>
    <sheet state="visible" name="VerifySubOrder" sheetId="16" r:id="rId18"/>
    <sheet state="visible" name="OpenRTPNL" sheetId="17" r:id="rId19"/>
    <sheet state="visible" name="CheckRealTimeSymAccountMonitor" sheetId="18" r:id="rId20"/>
    <sheet state="visible" name="EnableOrVerifyHotButton2" sheetId="19" r:id="rId21"/>
  </sheets>
  <definedNames/>
  <calcPr/>
</workbook>
</file>

<file path=xl/sharedStrings.xml><?xml version="1.0" encoding="utf-8"?>
<sst xmlns="http://schemas.openxmlformats.org/spreadsheetml/2006/main" count="180" uniqueCount="60">
  <si>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</si>
  <si>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</si>
  <si>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</si>
  <si>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</si>
  <si>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</si>
  <si>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</si>
  <si>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</si>
  <si>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</si>
  <si>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</si>
  <si>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</si>
  <si>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</si>
  <si>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</si>
  <si>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</si>
  <si>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</si>
  <si>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</si>
  <si>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</si>
  <si>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</si>
  <si>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</si>
  <si>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</si>
  <si>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</si>
  <si>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</si>
  <si>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</si>
  <si>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Labubu</t>
  </si>
  <si>
    <t>Send Order To Market</t>
  </si>
  <si>
    <t>Confirm on TT</t>
  </si>
  <si>
    <t>Next</t>
  </si>
  <si>
    <t>FillHBdetailsOnBlotter</t>
  </si>
  <si>
    <t>Quantity</t>
  </si>
  <si>
    <t>SelectTradeOnOrderGrid</t>
  </si>
  <si>
    <t>favourite</t>
  </si>
  <si>
    <t>VerifyExecutionType</t>
  </si>
  <si>
    <t>Live</t>
  </si>
  <si>
    <t>Manual</t>
  </si>
  <si>
    <t>Send</t>
  </si>
  <si>
    <t>Simulator</t>
  </si>
  <si>
    <t>SelectTrade</t>
  </si>
  <si>
    <t>AcknowledgeTrade</t>
  </si>
  <si>
    <t>ExecuteTrade</t>
  </si>
  <si>
    <t>VerifyOrder</t>
  </si>
  <si>
    <t>NASDAQ</t>
  </si>
  <si>
    <t>Samsara</t>
  </si>
  <si>
    <t>USD</t>
  </si>
  <si>
    <t>NONE</t>
  </si>
  <si>
    <t>NewMF</t>
  </si>
  <si>
    <t>M</t>
  </si>
  <si>
    <t>Equity</t>
  </si>
  <si>
    <t>PartiallyFilled</t>
  </si>
  <si>
    <t>MS</t>
  </si>
  <si>
    <t>Allocation1</t>
  </si>
  <si>
    <t>Market</t>
  </si>
  <si>
    <t>Day</t>
  </si>
  <si>
    <t>VerifySubOrder</t>
  </si>
  <si>
    <t>Filled</t>
  </si>
  <si>
    <t>RTPNL</t>
  </si>
  <si>
    <t>OpenRTPNL</t>
  </si>
  <si>
    <t>Nirvana,PM</t>
  </si>
  <si>
    <t>RealTimeSymAccountMonitor</t>
  </si>
  <si>
    <t>CheckRealTimeSymAccountMonitor</t>
  </si>
  <si>
    <t>APPLE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</si>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</sst>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5" t="s">
        <v>23</v>
      </c>
      <c r="D6" s="32" t="s">
        <v>24</v>
      </c>
      <c r="E6" s="36"/>
      <c r="F6" s="35" t="s">
        <v>25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13" t="b">
        <v>1</v>
      </c>
      <c r="L6" s="35" t="s">
        <v>25</v>
      </c>
      <c r="M6" s="13" t="s">
        <v>27</v>
      </c>
      <c r="N6" s="13">
        <v>100.0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22</v>
      </c>
      <c r="E6" s="38" t="b">
        <v>1</v>
      </c>
      <c r="F6" s="39" t="s">
        <v>29</v>
      </c>
      <c r="G6" s="36"/>
      <c r="H6" s="38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IFERROR(__xludf.DUMMYFUNCTION("""COMPUTED_VALUE"""),"EnabledButtons")</f>
        <v>EnabledButtons</v>
      </c>
      <c r="C5" s="28" t="str">
        <f>IFERROR(__xludf.DUMMYFUNCTION("""COMPUTED_VALUE"""),"DisabledButtons")</f>
        <v>DisabledButtons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9" t="s">
        <v>32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10.0</v>
      </c>
      <c r="E6" s="13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8"/>
      <c r="H6" s="13" t="s">
        <v>39</v>
      </c>
      <c r="I6" s="13" t="s">
        <v>40</v>
      </c>
      <c r="J6" s="8"/>
      <c r="K6" s="8"/>
      <c r="L6" s="8"/>
      <c r="M6" s="8"/>
      <c r="N6" s="8"/>
      <c r="O6" s="8"/>
      <c r="U6" s="9" t="s">
        <v>41</v>
      </c>
      <c r="V6" s="9" t="s">
        <v>42</v>
      </c>
      <c r="AA6" s="9" t="s">
        <v>43</v>
      </c>
      <c r="AD6" s="9">
        <v>1.0</v>
      </c>
      <c r="AF6" s="9" t="s">
        <v>44</v>
      </c>
      <c r="AG6" s="9">
        <v>10.0</v>
      </c>
      <c r="AH6" s="9" t="s">
        <v>45</v>
      </c>
      <c r="AI6" s="9" t="s">
        <v>16</v>
      </c>
      <c r="AJ6" s="9" t="s">
        <v>18</v>
      </c>
      <c r="AK6" s="9" t="s">
        <v>46</v>
      </c>
      <c r="AL6" s="9">
        <v>1000.0</v>
      </c>
      <c r="AM6" s="9">
        <v>100.0</v>
      </c>
      <c r="AN6" s="9">
        <v>10.0</v>
      </c>
      <c r="AO6" s="9">
        <v>100.0</v>
      </c>
      <c r="AP6" s="9">
        <v>900.0</v>
      </c>
      <c r="AR6" s="9">
        <v>10.0</v>
      </c>
      <c r="AS6" s="9" t="s">
        <v>47</v>
      </c>
      <c r="AT6" s="9" t="s">
        <v>48</v>
      </c>
      <c r="AU6" s="9" t="s">
        <v>49</v>
      </c>
      <c r="AV6" s="9">
        <v>1000.0</v>
      </c>
      <c r="AW6" s="9">
        <v>1000.0</v>
      </c>
      <c r="AX6" s="9" t="s">
        <v>32</v>
      </c>
      <c r="BA6" s="9" t="s">
        <v>40</v>
      </c>
      <c r="BG6" s="9" t="s">
        <v>12</v>
      </c>
      <c r="BH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8"/>
      <c r="H6" s="13" t="s">
        <v>39</v>
      </c>
      <c r="I6" s="13" t="s">
        <v>40</v>
      </c>
      <c r="J6" s="8"/>
      <c r="K6" s="8"/>
      <c r="L6" s="8"/>
      <c r="M6" s="8"/>
      <c r="N6" s="8"/>
      <c r="O6" s="8"/>
      <c r="AG6" s="9">
        <v>10.0</v>
      </c>
      <c r="AH6" s="9" t="s">
        <v>45</v>
      </c>
      <c r="AI6" s="9" t="s">
        <v>16</v>
      </c>
      <c r="AJ6" s="9" t="s">
        <v>18</v>
      </c>
      <c r="AK6" s="9" t="s">
        <v>52</v>
      </c>
      <c r="AL6" s="9">
        <v>100.0</v>
      </c>
      <c r="AM6" s="9">
        <v>100.0</v>
      </c>
      <c r="AN6" s="9">
        <v>100.0</v>
      </c>
      <c r="AQ6" s="9" t="s">
        <v>47</v>
      </c>
      <c r="AR6" s="9" t="s">
        <v>48</v>
      </c>
      <c r="AS6" s="9" t="s">
        <v>49</v>
      </c>
      <c r="AW6" s="9" t="s">
        <v>52</v>
      </c>
      <c r="AZ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55</v>
      </c>
      <c r="C6" s="35" t="s">
        <v>56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IFERROR(__xludf.DUMMYFUNCTION("""COMPUTED_VALUE"""),"Testing Type")</f>
        <v>Testing Type</v>
      </c>
      <c r="U5" s="30" t="str">
        <f>IFERROR(__xludf.DUMMYFUNCTION("""COMPUTED_VALUE"""),"Testing Column")</f>
        <v>Testing Column</v>
      </c>
      <c r="V5" s="30" t="str">
        <f>IFERROR(__xludf.DUMMYFUNCTION("""COMPUTED_VALUE"""),"Testing Col Value")</f>
        <v>Testing Col Value</v>
      </c>
      <c r="W5" s="30" t="str">
        <f>IFERROR(__xludf.DUMMYFUNCTION("""COMPUTED_VALUE"""),"DuplicateCountOnUI")</f>
        <v>DuplicateCountOnUI</v>
      </c>
      <c r="X5" s="30" t="str">
        <f>IFERROR(__xludf.DUMMYFUNCTION("""COMPUTED_VALUE"""),"DuplicateRow")</f>
        <v>DuplicateRow</v>
      </c>
      <c r="Y5" s="30" t="str">
        <f>IFERROR(__xludf.DUMMYFUNCTION("""COMPUTED_VALUE"""),"TabName")</f>
        <v>TabName</v>
      </c>
      <c r="Z5" s="30" t="str">
        <f>IFERROR(__xludf.DUMMYFUNCTION("""COMPUTED_VALUE"""),"GridDataWidgetName")</f>
        <v>GridDataWidgetName</v>
      </c>
      <c r="AA5" s="30" t="str">
        <f>IFERROR(__xludf.DUMMYFUNCTION("""COMPUTED_VALUE"""),"Bloomberg Symbol")</f>
        <v>Bloomberg Symbol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58</v>
      </c>
      <c r="D6" s="13" t="s">
        <v>43</v>
      </c>
      <c r="E6" s="13" t="s">
        <v>48</v>
      </c>
      <c r="F6" s="13" t="s">
        <v>45</v>
      </c>
      <c r="G6" s="13">
        <v>100.0</v>
      </c>
      <c r="H6" s="13" t="s">
        <v>59</v>
      </c>
      <c r="I6" s="13">
        <v>2.0</v>
      </c>
      <c r="J6" s="13">
        <v>2.0</v>
      </c>
      <c r="K6" s="13">
        <v>200.0</v>
      </c>
      <c r="L6" s="8"/>
      <c r="M6" s="13"/>
      <c r="N6" s="8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1</v>
      </c>
      <c r="C6" s="36"/>
      <c r="D6" s="32" t="s">
        <v>22</v>
      </c>
      <c r="E6" s="38" t="b">
        <v>1</v>
      </c>
      <c r="F6" s="39" t="s">
        <v>29</v>
      </c>
      <c r="G6" s="36"/>
      <c r="H6" s="38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