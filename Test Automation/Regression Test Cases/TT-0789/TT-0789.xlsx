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AddSymbolToWatchlist" sheetId="6" r:id="rId8"/>
    <sheet state="visible" name="TradeFromWatchlist" sheetId="7" r:id="rId9"/>
    <sheet state="visible" name="SelectTradeUsingMTT" sheetId="8" r:id="rId10"/>
    <sheet state="visible" name="EditTradeUsingMTT" sheetId="9" r:id="rId11"/>
    <sheet state="visible" name="SelectTradeUsingMTT1" sheetId="10" r:id="rId12"/>
    <sheet state="visible" name="EditTradeUsingMTT1" sheetId="11" r:id="rId13"/>
    <sheet state="visible" name="DoneAwayUsingMTT" sheetId="12" r:id="rId14"/>
    <sheet state="visible" name="SelectTradeUsingMTT2" sheetId="13" r:id="rId15"/>
    <sheet state="visible" name="EditTradeUsingMTT2" sheetId="14" r:id="rId16"/>
    <sheet state="visible" name="SelectTradeUsingMTT3" sheetId="15" r:id="rId17"/>
    <sheet state="visible" name="EditTradeUsingMTT3" sheetId="16" r:id="rId18"/>
    <sheet state="visible" name="SendOrderUsingMTT" sheetId="17" r:id="rId19"/>
    <sheet state="visible" name="SelectTrade" sheetId="18" r:id="rId20"/>
    <sheet state="visible" name="AcknowledgeTrade" sheetId="19" r:id="rId21"/>
    <sheet state="visible" name="SelectTrade2" sheetId="20" r:id="rId22"/>
    <sheet state="visible" name="AcknowledgeTrade2" sheetId="21" r:id="rId23"/>
    <sheet state="visible" name="SelectTradeOnOrderGrid" sheetId="22" r:id="rId24"/>
    <sheet state="visible" name="ReplaceSubOrder" sheetId="23" r:id="rId25"/>
    <sheet state="visible" name="CreateReplaceOrder" sheetId="24" r:id="rId26"/>
    <sheet state="visible" name="AddSymbolToWatchlist1" sheetId="25" r:id="rId27"/>
    <sheet state="visible" name="TradeFromWatchlist1" sheetId="26" r:id="rId28"/>
  </sheets>
  <definedNames/>
  <calcPr/>
</workbook>
</file>

<file path=xl/sharedStrings.xml><?xml version="1.0" encoding="utf-8"?>
<sst xmlns="http://schemas.openxmlformats.org/spreadsheetml/2006/main" count="236" uniqueCount="41">
  <si>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</si>
  <si>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</si>
  <si>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</si>
  <si>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</si>
  <si>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</si>
  <si>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</si>
  <si>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</si>
  <si>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</si>
  <si>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</si>
  <si>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</si>
  <si>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</si>
  <si>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</si>
  <si>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</si>
  <si>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</si>
  <si>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</si>
  <si>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</si>
  <si>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</si>
  <si>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</si>
  <si>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</si>
  <si>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</si>
  <si>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</si>
  <si>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SAP</t>
  </si>
  <si>
    <t>IBM</t>
  </si>
  <si>
    <t>GOOG</t>
  </si>
  <si>
    <t>Watchlist</t>
  </si>
  <si>
    <t>AddSymbolToWatchlist</t>
  </si>
  <si>
    <t>TradeFromWatchlist</t>
  </si>
  <si>
    <t>MultiTradingTicket</t>
  </si>
  <si>
    <t>SelectTradeUsingMTT</t>
  </si>
  <si>
    <t>EditTradeUsingMTT</t>
  </si>
  <si>
    <t>Sell</t>
  </si>
  <si>
    <t>DoneAwayUsingMTT</t>
  </si>
  <si>
    <t>SendOrderUsingMTT</t>
  </si>
  <si>
    <t>Simulator</t>
  </si>
  <si>
    <t>SelectTrade</t>
  </si>
  <si>
    <t>AcknowledgeTrade</t>
  </si>
  <si>
    <t>Blotter</t>
  </si>
  <si>
    <t>SelectTradeOnOrderGrid</t>
  </si>
  <si>
    <t>New</t>
  </si>
  <si>
    <t>ReplaceSubOrder</t>
  </si>
  <si>
    <t>CreateReplaceOrder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</si>
</sst>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 t="str">
        <f>IFERROR(__xludf.DUMMYFUNCTION("""COMPUTED_VALUE"""),"SetAuecExecutingBroker")</f>
        <v>SetAuecExecutingBroker</v>
      </c>
      <c r="AH4" s="25" t="str">
        <f>IFERROR(__xludf.DUMMYFUNCTION("""COMPUTED_VALUE"""),"SetAlgoBroker")</f>
        <v>SetAlgoBroker</v>
      </c>
      <c r="AI4" s="25" t="str">
        <f>IFERROR(__xludf.DUMMYFUNCTION("""COMPUTED_VALUE"""),"EnableAutoGroupingAllocation")</f>
        <v>EnableAutoGroupingAllocation</v>
      </c>
      <c r="AJ4" s="25" t="str">
        <f>IFERROR(__xludf.DUMMYFUNCTION("""COMPUTED_VALUE"""),"ConfigUpdater")</f>
        <v>ConfigUpdater</v>
      </c>
      <c r="AK4" s="25" t="str">
        <f>IFERROR(__xludf.DUMMYFUNCTION("""COMPUTED_VALUE"""),"AccountPermission")</f>
        <v>AccountPermission</v>
      </c>
      <c r="AL4" s="25" t="str">
        <f>IFERROR(__xludf.DUMMYFUNCTION("""COMPUTED_VALUE"""),"BasketPermission")</f>
        <v>BasketPermission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 t="str">
        <f>IFERROR(__xludf.DUMMYFUNCTION("""COMPUTED_VALUE"""),"IsAbsoluteAmountOrDefinePercent")</f>
        <v>IsAbsoluteAmountOrDefinePercent</v>
      </c>
      <c r="M5" s="27" t="str">
        <f>IFERROR(__xludf.DUMMYFUNCTION("""COMPUTED_VALUE"""),"IsInMarketIncluded")</f>
        <v>IsInMarketIncluded</v>
      </c>
      <c r="N5" s="27" t="str">
        <f>IFERROR(__xludf.DUMMYFUNCTION("""COMPUTED_VALUE"""),"IsSharesOutstandingRule")</f>
        <v>IsSharesOutstandingRule</v>
      </c>
      <c r="O5" s="27" t="str">
        <f>IFERROR(__xludf.DUMMYFUNCTION("""COMPUTED_VALUE"""),"SharesOutstandingPercent")</f>
        <v>SharesOutstandingPercent</v>
      </c>
      <c r="P5" s="27" t="str">
        <f>IFERROR(__xludf.DUMMYFUNCTION("""COMPUTED_VALUE"""),"SharesOutstandingAccountOrMF")</f>
        <v>SharesOutstandingAccountOrMF</v>
      </c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12" t="b">
        <v>1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>
        <v>500.0</v>
      </c>
      <c r="E6" s="30"/>
      <c r="F6" s="12" t="s">
        <v>20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12" t="s">
        <v>21</v>
      </c>
      <c r="C7" s="12" t="s">
        <v>19</v>
      </c>
      <c r="D7" s="12">
        <v>500.0</v>
      </c>
      <c r="E7" s="30"/>
      <c r="F7" s="12" t="s">
        <v>20</v>
      </c>
      <c r="G7" s="8"/>
      <c r="H7" s="8"/>
      <c r="I7" s="8"/>
      <c r="J7" s="12">
        <v>2.0</v>
      </c>
      <c r="K7" s="8"/>
      <c r="L7" s="8"/>
      <c r="M7" s="8"/>
      <c r="N7" s="8"/>
      <c r="O7" s="8"/>
    </row>
    <row r="8" ht="15.75" customHeight="1">
      <c r="A8" s="8"/>
      <c r="B8" s="12" t="s">
        <v>22</v>
      </c>
      <c r="C8" s="12" t="s">
        <v>19</v>
      </c>
      <c r="D8" s="12">
        <v>500.0</v>
      </c>
      <c r="E8" s="8"/>
      <c r="F8" s="12" t="s">
        <v>20</v>
      </c>
      <c r="G8" s="8"/>
      <c r="H8" s="8"/>
      <c r="I8" s="8"/>
      <c r="J8" s="12">
        <v>2.0</v>
      </c>
      <c r="K8" s="8"/>
      <c r="L8" s="8"/>
      <c r="M8" s="8"/>
      <c r="N8" s="8"/>
      <c r="O8" s="8"/>
    </row>
    <row r="9" ht="15.75" customHeight="1">
      <c r="A9" s="8"/>
      <c r="B9" s="12" t="s">
        <v>23</v>
      </c>
      <c r="C9" s="12" t="s">
        <v>19</v>
      </c>
      <c r="D9" s="12">
        <v>500.0</v>
      </c>
      <c r="E9" s="8"/>
      <c r="F9" s="12" t="s">
        <v>20</v>
      </c>
      <c r="G9" s="8"/>
      <c r="H9" s="8"/>
      <c r="I9" s="8"/>
      <c r="J9" s="12">
        <v>2.0</v>
      </c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 t="str">
        <f>IFERROR(__xludf.DUMMYFUNCTION("""COMPUTED_VALUE"""),"SelectTradeWatchlist")</f>
        <v>SelectTradeWatchlist</v>
      </c>
      <c r="K4" s="24" t="str">
        <f>IFERROR(__xludf.DUMMYFUNCTION("""COMPUTED_VALUE"""),"ActionOnWatchlist")</f>
        <v>ActionOnWatchlist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21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2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12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AddSymbolToWatchlist!$4:$4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 t="str">
        <f>IFERROR(__xludf.DUMMYFUNCTION("""COMPUTED_VALUE"""),"SelectTradeWatchlist")</f>
        <v>SelectTradeWatchlist</v>
      </c>
      <c r="K4" s="24" t="str">
        <f>IFERROR(__xludf.DUMMYFUNCTION("""COMPUTED_VALUE"""),"ActionOnWatchlist")</f>
        <v>ActionOnWatchlist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21</v>
      </c>
      <c r="C7" s="1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30</v>
      </c>
      <c r="D6" s="12">
        <v>600.0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30</v>
      </c>
      <c r="D6" s="12">
        <v>600.0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IFERROR(__xludf.DUMMYFUNCTION("""COMPUTED_VALUE"""),"INFORMATIONRELATEDPOPUP_YESORNO")</f>
        <v>INFORMATIONRELATEDPOPUP_YESORNO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30</v>
      </c>
      <c r="D6" s="12">
        <v>600.0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12"/>
      <c r="B7" s="12" t="s">
        <v>21</v>
      </c>
      <c r="C7" s="12" t="s">
        <v>30</v>
      </c>
      <c r="D7" s="12">
        <v>600.0</v>
      </c>
      <c r="E7" s="30"/>
      <c r="F7" s="8"/>
      <c r="G7" s="8"/>
      <c r="H7" s="8"/>
      <c r="I7" s="8"/>
      <c r="J7" s="12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30</v>
      </c>
      <c r="D6" s="12">
        <v>400.0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SelectTradeUsingMTT3!$4:$4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IFERROR(__xludf.DUMMYFUNCTION("""COMPUTED_VALUE"""),"FX Operator")</f>
        <v>FX Operator</v>
      </c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30</v>
      </c>
      <c r="D6" s="12">
        <v>400.0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IFERROR(__xludf.DUMMYFUNCTION("IF(C3="""","""",Transpose(IMPORTRANGE('_Settings'!$B$3,C3&amp;""!A4:A1000"")))"),"EditTradeUsingMTT")</f>
        <v>EditTradeUsingMTT</v>
      </c>
      <c r="C4" s="24" t="str">
        <f>IFERROR(__xludf.DUMMYFUNCTION("""COMPUTED_VALUE"""),"SelectTradeUsingMTT")</f>
        <v>SelectTradeUsingMTT</v>
      </c>
      <c r="D4" s="24" t="str">
        <f>IFERROR(__xludf.DUMMYFUNCTION("""COMPUTED_VALUE"""),"GetPriceUsingMTT")</f>
        <v>GetPriceUsingMTT</v>
      </c>
      <c r="E4" s="24" t="str">
        <f>IFERROR(__xludf.DUMMYFUNCTION("""COMPUTED_VALUE"""),"DoneAwayUsingMTT")</f>
        <v>DoneAwayUsingMTT</v>
      </c>
      <c r="F4" s="24" t="str">
        <f>IFERROR(__xludf.DUMMYFUNCTION("""COMPUTED_VALUE"""),"SendOrderUsingMTT")</f>
        <v>SendOrderUsingMTT</v>
      </c>
      <c r="G4" s="24" t="str">
        <f>IFERROR(__xludf.DUMMYFUNCTION("""COMPUTED_VALUE"""),"BulkChangeTradeDoneAway")</f>
        <v>BulkChangeTradeDoneAway</v>
      </c>
      <c r="H4" s="24" t="str">
        <f>IFERROR(__xludf.DUMMYFUNCTION("""COMPUTED_VALUE"""),"BulkEditUpdateFromMTT")</f>
        <v>BulkEditUpdateFromMTT</v>
      </c>
      <c r="I4" s="24" t="str">
        <f>IFERROR(__xludf.DUMMYFUNCTION("""COMPUTED_VALUE"""),"BulkChangeCreateStageOrder")</f>
        <v>BulkChangeCreateStageOrder</v>
      </c>
      <c r="J4" s="24" t="str">
        <f>IFERROR(__xludf.DUMMYFUNCTION("""COMPUTED_VALUE"""),"BulkUpdateUsingMTT")</f>
        <v>BulkUpdateUsingMTT</v>
      </c>
      <c r="K4" s="24" t="str">
        <f>IFERROR(__xludf.DUMMYFUNCTION("""COMPUTED_VALUE"""),"RefreshPriceUsingMTT")</f>
        <v>RefreshPriceUsingMTT</v>
      </c>
      <c r="L4" s="24" t="str">
        <f>IFERROR(__xludf.DUMMYFUNCTION("""COMPUTED_VALUE"""),"VerifyMTT")</f>
        <v>VerifyMTT</v>
      </c>
      <c r="M4" s="24" t="str">
        <f>IFERROR(__xludf.DUMMYFUNCTION("""COMPUTED_VALUE"""),"AddOrRemoveColumn")</f>
        <v>AddOrRemoveColumn</v>
      </c>
      <c r="N4" s="24" t="str">
        <f>IFERROR(__xludf.DUMMYFUNCTION("""COMPUTED_VALUE"""),"SaveLayoutUsingMTT")</f>
        <v>SaveLayoutUsingMTT</v>
      </c>
      <c r="O4" s="24" t="str">
        <f>IFERROR(__xludf.DUMMYFUNCTION("""COMPUTED_VALUE"""),"ApplyFilterOnMTTGrid")</f>
        <v>ApplyFilterOnMTTGrid</v>
      </c>
      <c r="P4" s="25" t="str">
        <f>IFERROR(__xludf.DUMMYFUNCTION("""COMPUTED_VALUE"""),"VerifyMTTNavLockPopup")</f>
        <v>VerifyMTTNavLockPopup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 Quantity")</f>
        <v>Target Quantity</v>
      </c>
      <c r="F5" s="28" t="str">
        <f>IFERROR(__xludf.DUMMYFUNCTION("""COMPUTED_VALUE"""),"Allocation")</f>
        <v>Allocation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 Rate")</f>
        <v>FX 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 Basis")</f>
        <v>Commission Basis</v>
      </c>
      <c r="S5" s="27" t="str">
        <f>IFERROR(__xludf.DUMMYFUNCTION("""COMPUTED_VALUE"""),"Commission Rate")</f>
        <v>Commission Rate</v>
      </c>
      <c r="T5" s="29" t="str">
        <f>IFERROR(__xludf.DUMMYFUNCTION("""COMPUTED_VALUE"""),"Soft Basis")</f>
        <v>Soft Basis</v>
      </c>
      <c r="U5" s="29" t="str">
        <f>IFERROR(__xludf.DUMMYFUNCTION("""COMPUTED_VALUE"""),"Soft Rate")</f>
        <v>Soft Rate</v>
      </c>
      <c r="V5" s="29" t="str">
        <f>IFERROR(__xludf.DUMMYFUNCTION("""COMPUTED_VALUE"""),"Trade Attribute 1")</f>
        <v>Trade Attribute 1</v>
      </c>
      <c r="W5" s="29" t="str">
        <f>IFERROR(__xludf.DUMMYFUNCTION("""COMPUTED_VALUE"""),"Trade Attribute 2")</f>
        <v>Trade Attribute 2</v>
      </c>
      <c r="X5" s="29" t="str">
        <f>IFERROR(__xludf.DUMMYFUNCTION("""COMPUTED_VALUE"""),"Trade Attribute 3")</f>
        <v>Trade Attribute 3</v>
      </c>
      <c r="Y5" s="29" t="str">
        <f>IFERROR(__xludf.DUMMYFUNCTION("""COMPUTED_VALUE"""),"Trade Attribute 4")</f>
        <v>Trade Attribute 4</v>
      </c>
      <c r="Z5" s="29" t="str">
        <f>IFERROR(__xludf.DUMMYFUNCTION("""COMPUTED_VALUE"""),"Trade Attribute 5")</f>
        <v>Trade Attribute 5</v>
      </c>
      <c r="AA5" s="29" t="str">
        <f>IFERROR(__xludf.DUMMYFUNCTION("""COMPUTED_VALUE"""),"Trade Attribute 6")</f>
        <v>Trade Attribute 6</v>
      </c>
      <c r="AB5" s="29" t="str">
        <f>IFERROR(__xludf.DUMMYFUNCTION("""COMPUTED_VALUE"""),"Venue")</f>
        <v>Venue</v>
      </c>
      <c r="AC5" s="29" t="str">
        <f>IFERROR(__xludf.DUMMYFUNCTION("""COMPUTED_VALUE"""),"Execution Instructions")</f>
        <v>Execution Instructions</v>
      </c>
      <c r="AD5" s="29" t="str">
        <f>IFERROR(__xludf.DUMMYFUNCTION("""COMPUTED_VALUE"""),"Handling Instructions")</f>
        <v>Handling Instructions</v>
      </c>
      <c r="AE5" s="29" t="str">
        <f>IFERROR(__xludf.DUMMYFUNCTION("""COMPUTED_VALUE"""),"Trader")</f>
        <v>Trader</v>
      </c>
      <c r="AF5" s="29" t="str">
        <f>IFERROR(__xludf.DUMMYFUNCTION("""COMPUTED_VALUE"""),"Settlement Currency")</f>
        <v>Settlement Currency</v>
      </c>
      <c r="AG5" s="29" t="str">
        <f>IFERROR(__xludf.DUMMYFUNCTION("""COMPUTED_VALUE"""),"Settlement Fx Rate")</f>
        <v>Settlement Fx Rate</v>
      </c>
      <c r="AH5" s="29" t="str">
        <f>IFERROR(__xludf.DUMMYFUNCTION("""COMPUTED_VALUE"""),"Settlement Amount")</f>
        <v>Settlement Amount</v>
      </c>
      <c r="AI5" s="29" t="str">
        <f>IFERROR(__xludf.DUMMYFUNCTION("""COMPUTED_VALUE"""),"Settlement Fx Operator")</f>
        <v>Settlement Fx Operator</v>
      </c>
      <c r="AJ5" s="29" t="str">
        <f>IFERROR(__xludf.DUMMYFUNCTION("""COMPUTED_VALUE"""),"ImportFileName")</f>
        <v>ImportFileName</v>
      </c>
      <c r="AK5" s="29" t="str">
        <f>IFERROR(__xludf.DUMMYFUNCTION("""COMPUTED_VALUE"""),"SharesOutstandingPopUp")</f>
        <v>SharesOutstandingPopUp</v>
      </c>
      <c r="AL5" s="29" t="str">
        <f>IFERROR(__xludf.DUMMYFUNCTION("""COMPUTED_VALUE"""),"PopUpQuantity")</f>
        <v>PopUpQuantity</v>
      </c>
      <c r="AM5" s="29" t="str">
        <f>IFERROR(__xludf.DUMMYFUNCTION("""COMPUTED_VALUE"""),"ResAllowedListPopUp")</f>
        <v>ResAllowedListPopUp</v>
      </c>
      <c r="AN5" s="29" t="str">
        <f>IFERROR(__xludf.DUMMYFUNCTION("""COMPUTED_VALUE"""),"Click Commit &amp; Send/Review")</f>
        <v>Click Commit &amp; Send/Review</v>
      </c>
      <c r="AO5" s="29" t="str">
        <f>IFERROR(__xludf.DUMMYFUNCTION("""COMPUTED_VALUE"""),"VerifyUnclickabilityOutsidePopup")</f>
        <v>VerifyUnclickabilityOutsidePopup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30</v>
      </c>
      <c r="D6" s="12">
        <v>400.0</v>
      </c>
      <c r="E6" s="30"/>
      <c r="F6" s="12" t="s">
        <v>20</v>
      </c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12"/>
      <c r="B7" s="12" t="s">
        <v>23</v>
      </c>
      <c r="C7" s="12" t="s">
        <v>30</v>
      </c>
      <c r="D7" s="12">
        <v>400.0</v>
      </c>
      <c r="E7" s="30"/>
      <c r="F7" s="12" t="s">
        <v>20</v>
      </c>
      <c r="G7" s="8"/>
      <c r="H7" s="8"/>
      <c r="I7" s="8"/>
      <c r="J7" s="12">
        <v>2.0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SendOrderUsingMTT!$4:$4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 t="s">
        <v>23</v>
      </c>
      <c r="D6" s="12"/>
      <c r="E6" s="30"/>
      <c r="F6" s="8"/>
      <c r="G6" s="12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 t="s">
        <v>23</v>
      </c>
      <c r="D6" s="12"/>
      <c r="E6" s="30"/>
      <c r="F6" s="8"/>
      <c r="G6" s="12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 t="s">
        <v>22</v>
      </c>
      <c r="D6" s="12"/>
      <c r="E6" s="30"/>
      <c r="F6" s="8"/>
      <c r="G6" s="12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33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30</v>
      </c>
      <c r="C6" s="12" t="s">
        <v>22</v>
      </c>
      <c r="D6" s="12"/>
      <c r="E6" s="30"/>
      <c r="F6" s="8"/>
      <c r="G6" s="12">
        <v>400.0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AcknowledgeTrade2!$4:$4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IFERROR(__xludf.DUMMYFUNCTION("""COMPUTED_VALUE"""),"CheckBox")</f>
        <v>CheckBox</v>
      </c>
      <c r="BB5" s="29" t="str">
        <f>IFERROR(__xludf.DUMMYFUNCTION("""COMPUTED_VALUE"""),"Action on toolbar")</f>
        <v>Action on toolbar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22</v>
      </c>
      <c r="E6" s="30"/>
      <c r="F6" s="12" t="s">
        <v>30</v>
      </c>
      <c r="G6" s="12" t="s">
        <v>38</v>
      </c>
      <c r="H6" s="12">
        <v>400.0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36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J6" s="12" t="s">
        <v>22</v>
      </c>
      <c r="AK6" s="12" t="s">
        <v>30</v>
      </c>
      <c r="AL6" s="12" t="s">
        <v>38</v>
      </c>
      <c r="AM6" s="12">
        <v>400.0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IFERROR(__xludf.DUMMYFUNCTION("""COMPUTED_VALUE"""),"SharesOutstandingPopUp")</f>
        <v>SharesOutstandingPopUp</v>
      </c>
      <c r="AQ5" s="29" t="str">
        <f>IFERROR(__xludf.DUMMYFUNCTION("""COMPUTED_VALUE"""),"Interest Rate")</f>
        <v>Interest Rate</v>
      </c>
      <c r="AR5" s="29" t="str">
        <f>IFERROR(__xludf.DUMMYFUNCTION("""COMPUTED_VALUE"""),"SelectAlgoStrategy")</f>
        <v>SelectAlgoStrategy</v>
      </c>
      <c r="AS5" s="29" t="str">
        <f>IFERROR(__xludf.DUMMYFUNCTION("""COMPUTED_VALUE"""),"ClearOldCA")</f>
        <v>ClearOldCA</v>
      </c>
      <c r="AT5" s="29" t="str">
        <f>IFERROR(__xludf.DUMMYFUNCTION("""COMPUTED_VALUE"""),"TRVAccountName")</f>
        <v>TRVAccountName</v>
      </c>
      <c r="AU5" s="29" t="str">
        <f>IFERROR(__xludf.DUMMYFUNCTION("""COMPUTED_VALUE"""),"TRVTradeQuantity")</f>
        <v>TRVTradeQuantity</v>
      </c>
      <c r="AV5" s="29" t="str">
        <f>IFERROR(__xludf.DUMMYFUNCTION("""COMPUTED_VALUE"""),"TRVCurrentPosition")</f>
        <v>TRVCurrentPosition</v>
      </c>
      <c r="AW5" s="29" t="str">
        <f>IFERROR(__xludf.DUMMYFUNCTION("""COMPUTED_VALUE"""),"TRVNav")</f>
        <v>TRVNav</v>
      </c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>
        <v>500.0</v>
      </c>
      <c r="E6" s="30"/>
      <c r="F6" s="8"/>
      <c r="G6" s="8"/>
      <c r="H6" s="8"/>
      <c r="I6" s="8"/>
      <c r="J6" s="12">
        <v>2.0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 t="str">
        <f>IFERROR(__xludf.DUMMYFUNCTION("""COMPUTED_VALUE"""),"SelectTradeWatchlist")</f>
        <v>SelectTradeWatchlist</v>
      </c>
      <c r="K4" s="24" t="str">
        <f>IFERROR(__xludf.DUMMYFUNCTION("""COMPUTED_VALUE"""),"ActionOnWatchlist")</f>
        <v>ActionOnWatchlist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AddSymbolToWatchlist1!$4:$4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IFERROR(__xludf.DUMMYFUNCTION("IF(C3="""","""",Transpose(IMPORTRANGE('_Settings'!$B$3,C3&amp;""!A4:A1000"")))"),"AddTabOnWatchlist")</f>
        <v>AddTabOnWatchlist</v>
      </c>
      <c r="C4" s="24" t="str">
        <f>IFERROR(__xludf.DUMMYFUNCTION("""COMPUTED_VALUE"""),"DeleteTabOnWatchlist")</f>
        <v>DeleteTabOnWatchlist</v>
      </c>
      <c r="D4" s="24" t="str">
        <f>IFERROR(__xludf.DUMMYFUNCTION("""COMPUTED_VALUE"""),"AddSymbolToWatchlist")</f>
        <v>AddSymbolToWatchlist</v>
      </c>
      <c r="E4" s="24" t="str">
        <f>IFERROR(__xludf.DUMMYFUNCTION("""COMPUTED_VALUE"""),"TradeFromWatchlist")</f>
        <v>TradeFromWatchlist</v>
      </c>
      <c r="F4" s="24" t="str">
        <f>IFERROR(__xludf.DUMMYFUNCTION("""COMPUTED_VALUE"""),"MultiTradeFromWatchlist")</f>
        <v>MultiTradeFromWatchlist</v>
      </c>
      <c r="G4" s="24" t="str">
        <f>IFERROR(__xludf.DUMMYFUNCTION("""COMPUTED_VALUE"""),"DeleteSymbolFromWatchlist")</f>
        <v>DeleteSymbolFromWatchlist</v>
      </c>
      <c r="H4" s="24" t="str">
        <f>IFERROR(__xludf.DUMMYFUNCTION("""COMPUTED_VALUE"""),"VerifySymbolsOnWatchlist")</f>
        <v>VerifySymbolsOnWatchlist</v>
      </c>
      <c r="I4" s="24" t="str">
        <f>IFERROR(__xludf.DUMMYFUNCTION("""COMPUTED_VALUE"""),"OpenPTTFromWatchlist")</f>
        <v>OpenPTTFromWatchlist</v>
      </c>
      <c r="J4" s="24" t="str">
        <f>IFERROR(__xludf.DUMMYFUNCTION("""COMPUTED_VALUE"""),"SelectTradeWatchlist")</f>
        <v>SelectTradeWatchlist</v>
      </c>
      <c r="K4" s="24" t="str">
        <f>IFERROR(__xludf.DUMMYFUNCTION("""COMPUTED_VALUE"""),"ActionOnWatchlist")</f>
        <v>ActionOnWatchlist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19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2" t="s">
        <v>23</v>
      </c>
      <c r="C7" s="12" t="s">
        <v>19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TradeFromWatchlist1!$4:$4</formula1>
    </dataValidation>
  </dataValidations>
  <drawing r:id="rId1"/>
</worksheet>
</file>