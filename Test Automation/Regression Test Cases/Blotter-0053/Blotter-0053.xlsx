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0" yWindow="495" windowWidth="20760" windowHeight="10920" firstSheet="9" activeTab="11"/>
  </bookViews>
  <sheets>
    <sheet name="_Modules" sheetId="1" r:id="rId1"/>
    <sheet name="_Settings" sheetId="2" r:id="rId2"/>
    <sheet name="_MasterData" sheetId="3" r:id="rId3"/>
    <sheet name="CreateStageOrder" sheetId="4" r:id="rId4"/>
    <sheet name="VerifyOrder" sheetId="5" r:id="rId5"/>
    <sheet name="TradeNewSubOrder" sheetId="6" r:id="rId6"/>
    <sheet name="CreateNewSubOrder" sheetId="7" r:id="rId7"/>
    <sheet name="VerifyOrder1" sheetId="8" r:id="rId8"/>
    <sheet name="AddFillsSubOrder" sheetId="9" r:id="rId9"/>
    <sheet name="EditAddFillsDetails" sheetId="10" r:id="rId10"/>
    <sheet name="VerifyOrder2" sheetId="11" r:id="rId11"/>
    <sheet name="VerifySubOrder" sheetId="12" r:id="rId12"/>
    <sheet name="VerifyWorkingSubs" sheetId="13" r:id="rId13"/>
    <sheet name="GetDataAllocation" sheetId="14" r:id="rId14"/>
    <sheet name="CheckAllocatedGroups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I5" i="14"/>
  <c r="DU4" i="14"/>
  <c r="BI4" i="14"/>
  <c r="CQ5" i="13"/>
  <c r="AE5" i="13"/>
  <c r="EW4" i="13"/>
  <c r="DQ4" i="13"/>
  <c r="CK4" i="13"/>
  <c r="BI4" i="13"/>
  <c r="AL4" i="13"/>
  <c r="Q4" i="13"/>
  <c r="EU5" i="12"/>
  <c r="DX5" i="12"/>
  <c r="DJ5" i="12"/>
  <c r="CY5" i="12"/>
  <c r="CK5" i="12"/>
  <c r="CA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AA5" i="14"/>
  <c r="DM4" i="14"/>
  <c r="BA4" i="14"/>
  <c r="EU5" i="13"/>
  <c r="CI5" i="13"/>
  <c r="AA5" i="13"/>
  <c r="ES4" i="13"/>
  <c r="DM4" i="13"/>
  <c r="CG4" i="13"/>
  <c r="BE4" i="13"/>
  <c r="AK4" i="13"/>
  <c r="N4" i="13"/>
  <c r="EQ5" i="12"/>
  <c r="DW5" i="12"/>
  <c r="DI5" i="12"/>
  <c r="CU5" i="12"/>
  <c r="CJ5" i="12"/>
  <c r="BX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S5" i="14"/>
  <c r="DE4" i="14"/>
  <c r="AS4" i="14"/>
  <c r="EM5" i="13"/>
  <c r="CA5" i="13"/>
  <c r="W5" i="13"/>
  <c r="EO4" i="13"/>
  <c r="DI4" i="13"/>
  <c r="CC4" i="13"/>
  <c r="BB4" i="13"/>
  <c r="AG4" i="13"/>
  <c r="M4" i="13"/>
  <c r="EN5" i="12"/>
  <c r="DS5" i="12"/>
  <c r="DH5" i="12"/>
  <c r="CT5" i="12"/>
  <c r="CI5" i="12"/>
  <c r="BW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K5" i="14"/>
  <c r="CW4" i="14"/>
  <c r="AK4" i="14"/>
  <c r="EE5" i="13"/>
  <c r="BS5" i="13"/>
  <c r="S5" i="13"/>
  <c r="EK4" i="13"/>
  <c r="DE4" i="13"/>
  <c r="BY4" i="13"/>
  <c r="BA4" i="13"/>
  <c r="AD4" i="13"/>
  <c r="I4" i="13"/>
  <c r="EM5" i="12"/>
  <c r="DR5" i="12"/>
  <c r="DG5" i="12"/>
  <c r="CS5" i="12"/>
  <c r="CF5" i="12"/>
  <c r="BV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C5" i="14"/>
  <c r="CO4" i="14"/>
  <c r="AC4" i="14"/>
  <c r="DW5" i="13"/>
  <c r="BK5" i="13"/>
  <c r="O5" i="13"/>
  <c r="EG4" i="13"/>
  <c r="DA4" i="13"/>
  <c r="BU4" i="13"/>
  <c r="AW4" i="13"/>
  <c r="AC4" i="13"/>
  <c r="F4" i="13"/>
  <c r="EI5" i="12"/>
  <c r="DQ5" i="12"/>
  <c r="DC5" i="12"/>
  <c r="CR5" i="12"/>
  <c r="CE5" i="12"/>
  <c r="BU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ES4" i="14"/>
  <c r="CG4" i="14"/>
  <c r="U4" i="14"/>
  <c r="DO5" i="13"/>
  <c r="BC5" i="13"/>
  <c r="K5" i="13"/>
  <c r="EC4" i="13"/>
  <c r="CW4" i="13"/>
  <c r="BQ4" i="13"/>
  <c r="AT4" i="13"/>
  <c r="Y4" i="13"/>
  <c r="E4" i="13"/>
  <c r="EF5" i="12"/>
  <c r="DP5" i="12"/>
  <c r="DB5" i="12"/>
  <c r="CQ5" i="12"/>
  <c r="CD5" i="12"/>
  <c r="BT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K4" i="14"/>
  <c r="BY4" i="14"/>
  <c r="M4" i="14"/>
  <c r="DG5" i="13"/>
  <c r="AU5" i="13"/>
  <c r="G5" i="13"/>
  <c r="DY4" i="13"/>
  <c r="CS4" i="13"/>
  <c r="BM4" i="13"/>
  <c r="AS4" i="13"/>
  <c r="V4" i="13"/>
  <c r="EE5" i="12"/>
  <c r="DO5" i="12"/>
  <c r="DA5" i="12"/>
  <c r="CM5" i="12"/>
  <c r="CC5" i="12"/>
  <c r="BS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EC4" i="14"/>
  <c r="BQ4" i="14"/>
  <c r="E4" i="14"/>
  <c r="CY5" i="13"/>
  <c r="AM5" i="13"/>
  <c r="C5" i="13"/>
  <c r="DU4" i="13"/>
  <c r="CO4" i="13"/>
  <c r="BJ4" i="13"/>
  <c r="AO4" i="13"/>
  <c r="U4" i="13"/>
  <c r="EV5" i="12"/>
  <c r="EA5" i="12"/>
  <c r="DK5" i="12"/>
  <c r="CZ5" i="12"/>
  <c r="CL5" i="12"/>
  <c r="CB5" i="12"/>
  <c r="BR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EQ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EM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EI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EE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EA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W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DS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CV5" i="6"/>
  <c r="CJ5" i="6"/>
  <c r="BZ5" i="6"/>
  <c r="BQ5" i="6"/>
  <c r="BH5" i="6"/>
  <c r="AY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DK5" i="6"/>
  <c r="CU5" i="6"/>
  <c r="CI5" i="6"/>
  <c r="BY5" i="6"/>
  <c r="BP5" i="6"/>
  <c r="BG5" i="6"/>
  <c r="AW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DG5" i="6"/>
  <c r="CR5" i="6"/>
  <c r="CH5" i="6"/>
  <c r="BX5" i="6"/>
  <c r="BO5" i="6"/>
  <c r="BE5" i="6"/>
  <c r="AV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DF5" i="6"/>
  <c r="CQ5" i="6"/>
  <c r="CG5" i="6"/>
  <c r="BW5" i="6"/>
  <c r="BM5" i="6"/>
  <c r="BD5" i="6"/>
  <c r="AU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DC5" i="6"/>
  <c r="CP5" i="6"/>
  <c r="CF5" i="6"/>
  <c r="BU5" i="6"/>
  <c r="BL5" i="6"/>
  <c r="BC5" i="6"/>
  <c r="AT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CZ5" i="6"/>
  <c r="CO5" i="6"/>
  <c r="CE5" i="6"/>
  <c r="BT5" i="6"/>
  <c r="BK5" i="6"/>
  <c r="BB5" i="6"/>
  <c r="AS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CY5" i="6"/>
  <c r="CN5" i="6"/>
  <c r="CB5" i="6"/>
  <c r="BS5" i="6"/>
  <c r="BJ5" i="6"/>
  <c r="BA5" i="6"/>
  <c r="AR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CX5" i="6"/>
  <c r="CM5" i="6"/>
  <c r="CA5" i="6"/>
  <c r="BR5" i="6"/>
  <c r="BI5" i="6"/>
  <c r="AZ5" i="6"/>
  <c r="AQ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B859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L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K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J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I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H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B774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G604" i="1"/>
  <c r="F603" i="1"/>
  <c r="I602" i="1"/>
  <c r="L601" i="1"/>
  <c r="C601" i="1"/>
  <c r="F600" i="1"/>
  <c r="I599" i="1"/>
  <c r="L598" i="1"/>
  <c r="B598" i="1"/>
  <c r="E597" i="1"/>
  <c r="H596" i="1"/>
  <c r="K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604" i="1"/>
  <c r="E603" i="1"/>
  <c r="H602" i="1"/>
  <c r="K601" i="1"/>
  <c r="B601" i="1"/>
  <c r="E600" i="1"/>
  <c r="H599" i="1"/>
  <c r="J598" i="1"/>
  <c r="A598" i="1"/>
  <c r="D597" i="1"/>
  <c r="G596" i="1"/>
  <c r="J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604" i="1"/>
  <c r="D603" i="1"/>
  <c r="G602" i="1"/>
  <c r="J601" i="1"/>
  <c r="A601" i="1"/>
  <c r="D600" i="1"/>
  <c r="F599" i="1"/>
  <c r="I598" i="1"/>
  <c r="L597" i="1"/>
  <c r="C597" i="1"/>
  <c r="F596" i="1"/>
  <c r="I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L603" i="1"/>
  <c r="C603" i="1"/>
  <c r="F602" i="1"/>
  <c r="I601" i="1"/>
  <c r="L600" i="1"/>
  <c r="B600" i="1"/>
  <c r="E599" i="1"/>
  <c r="H598" i="1"/>
  <c r="K597" i="1"/>
  <c r="B597" i="1"/>
  <c r="E596" i="1"/>
  <c r="H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K603" i="1"/>
  <c r="B603" i="1"/>
  <c r="E602" i="1"/>
  <c r="H601" i="1"/>
  <c r="J600" i="1"/>
  <c r="A600" i="1"/>
  <c r="D599" i="1"/>
  <c r="G598" i="1"/>
  <c r="J597" i="1"/>
  <c r="A597" i="1"/>
  <c r="D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J603" i="1"/>
  <c r="A603" i="1"/>
  <c r="D602" i="1"/>
  <c r="F601" i="1"/>
  <c r="I600" i="1"/>
  <c r="L599" i="1"/>
  <c r="C599" i="1"/>
  <c r="F598" i="1"/>
  <c r="I597" i="1"/>
  <c r="L596" i="1"/>
  <c r="B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I603" i="1"/>
  <c r="L602" i="1"/>
  <c r="B602" i="1"/>
  <c r="E601" i="1"/>
  <c r="H600" i="1"/>
  <c r="K599" i="1"/>
  <c r="B599" i="1"/>
  <c r="E598" i="1"/>
  <c r="H597" i="1"/>
  <c r="J596" i="1"/>
  <c r="A596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H603" i="1"/>
  <c r="J602" i="1"/>
  <c r="A602" i="1"/>
  <c r="D601" i="1"/>
  <c r="G600" i="1"/>
  <c r="J599" i="1"/>
  <c r="A599" i="1"/>
  <c r="D598" i="1"/>
  <c r="F597" i="1"/>
  <c r="I596" i="1"/>
  <c r="L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L517" i="1"/>
  <c r="L516" i="1"/>
  <c r="C516" i="1"/>
  <c r="F515" i="1"/>
  <c r="I514" i="1"/>
  <c r="L513" i="1"/>
  <c r="C513" i="1"/>
  <c r="E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517" i="1"/>
  <c r="K516" i="1"/>
  <c r="B516" i="1"/>
  <c r="E515" i="1"/>
  <c r="H514" i="1"/>
  <c r="K513" i="1"/>
  <c r="A513" i="1"/>
  <c r="D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G517" i="1"/>
  <c r="J516" i="1"/>
  <c r="A516" i="1"/>
  <c r="D515" i="1"/>
  <c r="G514" i="1"/>
  <c r="I513" i="1"/>
  <c r="L512" i="1"/>
  <c r="C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F517" i="1"/>
  <c r="I516" i="1"/>
  <c r="L515" i="1"/>
  <c r="C515" i="1"/>
  <c r="E514" i="1"/>
  <c r="H513" i="1"/>
  <c r="K512" i="1"/>
  <c r="B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E517" i="1"/>
  <c r="H516" i="1"/>
  <c r="K515" i="1"/>
  <c r="A515" i="1"/>
  <c r="D514" i="1"/>
  <c r="G513" i="1"/>
  <c r="J512" i="1"/>
  <c r="A512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D517" i="1"/>
  <c r="G516" i="1"/>
  <c r="I515" i="1"/>
  <c r="L514" i="1"/>
  <c r="C514" i="1"/>
  <c r="F513" i="1"/>
  <c r="I512" i="1"/>
  <c r="L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517" i="1"/>
  <c r="E516" i="1"/>
  <c r="H515" i="1"/>
  <c r="K514" i="1"/>
  <c r="B514" i="1"/>
  <c r="E513" i="1"/>
  <c r="H512" i="1"/>
  <c r="K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A517" i="1"/>
  <c r="D516" i="1"/>
  <c r="G515" i="1"/>
  <c r="J514" i="1"/>
  <c r="A514" i="1"/>
  <c r="D513" i="1"/>
  <c r="G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F356" i="1"/>
  <c r="G354" i="1"/>
  <c r="H353" i="1"/>
  <c r="H352" i="1"/>
  <c r="J351" i="1"/>
  <c r="L350" i="1"/>
  <c r="L349" i="1"/>
  <c r="B349" i="1"/>
  <c r="D348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E356" i="1"/>
  <c r="F354" i="1"/>
  <c r="G353" i="1"/>
  <c r="G352" i="1"/>
  <c r="I351" i="1"/>
  <c r="K350" i="1"/>
  <c r="K349" i="1"/>
  <c r="A349" i="1"/>
  <c r="C348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J355" i="1"/>
  <c r="E354" i="1"/>
  <c r="D353" i="1"/>
  <c r="F352" i="1"/>
  <c r="H351" i="1"/>
  <c r="H350" i="1"/>
  <c r="J349" i="1"/>
  <c r="L348" i="1"/>
  <c r="L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I355" i="1"/>
  <c r="C354" i="1"/>
  <c r="C353" i="1"/>
  <c r="E352" i="1"/>
  <c r="G351" i="1"/>
  <c r="G350" i="1"/>
  <c r="I349" i="1"/>
  <c r="K348" i="1"/>
  <c r="K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C355" i="1"/>
  <c r="L353" i="1"/>
  <c r="B353" i="1"/>
  <c r="D352" i="1"/>
  <c r="D351" i="1"/>
  <c r="F350" i="1"/>
  <c r="H349" i="1"/>
  <c r="H348" i="1"/>
  <c r="J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B355" i="1"/>
  <c r="K353" i="1"/>
  <c r="A353" i="1"/>
  <c r="C352" i="1"/>
  <c r="C351" i="1"/>
  <c r="E350" i="1"/>
  <c r="G349" i="1"/>
  <c r="G348" i="1"/>
  <c r="I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A355" i="1"/>
  <c r="J353" i="1"/>
  <c r="L352" i="1"/>
  <c r="L351" i="1"/>
  <c r="B351" i="1"/>
  <c r="D350" i="1"/>
  <c r="D349" i="1"/>
  <c r="F348" i="1"/>
  <c r="H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H354" i="1"/>
  <c r="I353" i="1"/>
  <c r="K352" i="1"/>
  <c r="K351" i="1"/>
  <c r="A351" i="1"/>
  <c r="C350" i="1"/>
  <c r="C349" i="1"/>
  <c r="E348" i="1"/>
  <c r="G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L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J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K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E4" i="1"/>
  <c r="L4" i="1"/>
  <c r="B4" i="1"/>
  <c r="A6" i="1"/>
  <c r="L11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H5" i="1"/>
  <c r="C4" i="1"/>
  <c r="I6" i="1"/>
  <c r="D9" i="1"/>
  <c r="H4" i="1"/>
  <c r="H13" i="1"/>
  <c r="L12" i="1"/>
  <c r="D12" i="1"/>
  <c r="H11" i="1"/>
  <c r="L10" i="1"/>
  <c r="D10" i="1"/>
  <c r="H9" i="1"/>
  <c r="L8" i="1"/>
  <c r="D8" i="1"/>
  <c r="H7" i="1"/>
  <c r="L6" i="1"/>
  <c r="D6" i="1"/>
  <c r="D4" i="1"/>
  <c r="A8" i="1"/>
  <c r="H8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E7" i="1"/>
  <c r="L9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E5" i="1"/>
  <c r="A4" i="1"/>
  <c r="L7" i="1"/>
  <c r="H6" i="1"/>
  <c r="E13" i="1"/>
  <c r="I12" i="1"/>
  <c r="A12" i="1"/>
  <c r="E11" i="1"/>
  <c r="I10" i="1"/>
  <c r="A10" i="1"/>
  <c r="E9" i="1"/>
  <c r="I8" i="1"/>
  <c r="I4" i="1"/>
  <c r="H10" i="1"/>
  <c r="D13" i="1"/>
  <c r="H12" i="1"/>
  <c r="D11" i="1"/>
  <c r="D7" i="1"/>
  <c r="L5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D5" i="1"/>
</calcChain>
</file>

<file path=xl/sharedStrings.xml><?xml version="1.0" encoding="utf-8"?>
<sst xmlns="http://schemas.openxmlformats.org/spreadsheetml/2006/main" count="155" uniqueCount="41">
  <si>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</si>
  <si>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</si>
  <si>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</si>
  <si>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</si>
  <si>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</si>
  <si>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</si>
  <si>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</si>
  <si>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</si>
  <si>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</si>
  <si>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</si>
  <si>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</si>
  <si>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</si>
  <si>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</si>
  <si>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</si>
  <si>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</si>
  <si>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</si>
  <si>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</si>
  <si>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</si>
  <si>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</si>
  <si>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</si>
  <si>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</si>
  <si>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Equity</t>
  </si>
  <si>
    <t>New</t>
  </si>
  <si>
    <t>MS</t>
  </si>
  <si>
    <t>Market</t>
  </si>
  <si>
    <t>TradeNewSubOrder</t>
  </si>
  <si>
    <t>CreateNewSubOrder</t>
  </si>
  <si>
    <t>PartiallyFilled</t>
  </si>
  <si>
    <t>AddFillsSubOrder</t>
  </si>
  <si>
    <t>EditAddFillsDetails</t>
  </si>
  <si>
    <t>VerifySubOrder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</si>
  <si>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</si>
  <si>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</si>
  <si>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</si>
  <si>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</si>
  <si>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</si>
  <si>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</si>
  <si>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</si>
  <si>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APPLE</t>
  </si>
  <si>
    <t>USD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</si>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</sst>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164" fontId="13" fillId="0" borderId="0" xfId="0" applyNumberFormat="1" applyFo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2" t="s">
        <v>0</v>
      </c>
      <c r="B1" s="33"/>
      <c r="C1" s="33"/>
      <c r="D1" s="33"/>
      <c r="E1" s="33"/>
      <c r="F1" s="34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5" t="s">
        <v>2</v>
      </c>
      <c r="B1" s="33"/>
      <c r="C1" s="3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2" t="s">
        <v>7</v>
      </c>
      <c r="B1" s="33"/>
      <c r="C1" s="33"/>
      <c r="D1" s="33"/>
      <c r="E1" s="33"/>
      <c r="F1" s="3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25"/>
      <c r="F6" s="7" t="s">
        <v>18</v>
      </c>
      <c r="G6" s="5"/>
      <c r="H6" s="5"/>
      <c r="I6" s="5"/>
      <c r="J6" s="7">
        <v>500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22</v>
      </c>
      <c r="AL6" s="6">
        <v>1000</v>
      </c>
      <c r="AP6" s="6">
        <v>1000</v>
      </c>
      <c r="AQ6" s="6">
        <v>0</v>
      </c>
      <c r="AR6" s="6">
        <v>0</v>
      </c>
      <c r="AS6" s="6" t="s">
        <v>23</v>
      </c>
      <c r="AT6" s="6" t="s">
        <v>18</v>
      </c>
      <c r="AU6" s="6" t="s">
        <v>24</v>
      </c>
      <c r="AV6" s="6">
        <v>0</v>
      </c>
      <c r="AW6" s="6">
        <v>0</v>
      </c>
      <c r="AY6" s="26">
        <v>1000</v>
      </c>
      <c r="AZ6" s="6">
        <v>1000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I6" s="6" t="s">
        <v>16</v>
      </c>
      <c r="AJ6" s="6" t="s">
        <v>17</v>
      </c>
      <c r="AK6" s="6" t="s">
        <v>22</v>
      </c>
      <c r="AL6" s="6">
        <v>1000</v>
      </c>
      <c r="AQ6" s="6">
        <v>0</v>
      </c>
      <c r="AR6" s="6">
        <v>0</v>
      </c>
      <c r="AS6" s="6" t="s">
        <v>23</v>
      </c>
      <c r="AT6" s="6" t="s">
        <v>18</v>
      </c>
      <c r="AU6" s="6" t="s">
        <v>24</v>
      </c>
      <c r="AV6" s="6">
        <v>0</v>
      </c>
      <c r="AW6" s="6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500</v>
      </c>
      <c r="E6" s="7">
        <v>300</v>
      </c>
      <c r="F6" s="5"/>
      <c r="G6" s="5"/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27</v>
      </c>
      <c r="AL6" s="6">
        <v>1000</v>
      </c>
      <c r="AM6" s="6">
        <v>300</v>
      </c>
      <c r="AN6" s="6">
        <v>30</v>
      </c>
      <c r="AO6" s="6">
        <v>300</v>
      </c>
      <c r="AP6" s="6">
        <v>500</v>
      </c>
      <c r="AQ6" s="6">
        <v>800</v>
      </c>
      <c r="AR6" s="6">
        <v>800</v>
      </c>
      <c r="AS6" s="6" t="s">
        <v>23</v>
      </c>
      <c r="AT6" s="6" t="s">
        <v>18</v>
      </c>
      <c r="AU6" s="6" t="s">
        <v>24</v>
      </c>
      <c r="AV6" s="26">
        <v>240000</v>
      </c>
      <c r="AW6" s="26">
        <v>240000</v>
      </c>
      <c r="AY6" s="26">
        <v>1000</v>
      </c>
      <c r="AZ6" s="6">
        <v>700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IFERROR(__xludf.DUMMYFUNCTION("""COMPUTED_VALUE"""),"Quantity")</f>
        <v>Quantity</v>
      </c>
      <c r="I5" s="22" t="str">
        <f ca="1">IFERROR(__xludf.DUMMYFUNCTION("""COMPUTED_VALUE"""),"Executed Qty")</f>
        <v>Executed Qty</v>
      </c>
      <c r="J5" s="22" t="str">
        <f ca="1">IFERROR(__xludf.DUMMYFUNCTION("""COMPUTED_VALUE"""),"Limit Price")</f>
        <v>Limit Price</v>
      </c>
      <c r="K5" s="22" t="str">
        <f ca="1">IFERROR(__xludf.DUMMYFUNCTION("""COMPUTED_VALUE"""),"Last Fill Price (Local)")</f>
        <v>Last Fill Price (Local)</v>
      </c>
      <c r="L5" s="22" t="str">
        <f ca="1">IFERROR(__xludf.DUMMYFUNCTION("""COMPUTED_VALUE"""),"Stop Price")</f>
        <v>Stop Price</v>
      </c>
      <c r="M5" s="22" t="str">
        <f ca="1">IFERROR(__xludf.DUMMYFUNCTION("""COMPUTED_VALUE"""),"Avg Fill Price (Local)")</f>
        <v>Avg Fill Price (Local)</v>
      </c>
      <c r="N5" s="22" t="str">
        <f ca="1">IFERROR(__xludf.DUMMYFUNCTION("""COMPUTED_VALUE"""),"Broker")</f>
        <v>Broker</v>
      </c>
      <c r="O5" s="22" t="str">
        <f ca="1">IFERROR(__xludf.DUMMYFUNCTION("""COMPUTED_VALUE"""),"Account")</f>
        <v>Account</v>
      </c>
      <c r="P5" s="22" t="str">
        <f ca="1">IFERROR(__xludf.DUMMYFUNCTION("""COMPUTED_VALUE"""),"OrderID")</f>
        <v>OrderID</v>
      </c>
      <c r="Q5" s="22" t="str">
        <f ca="1">IFERROR(__xludf.DUMMYFUNCTION("""COMPUTED_VALUE"""),"Order Type")</f>
        <v>Order Type</v>
      </c>
      <c r="R5" s="22" t="str">
        <f ca="1">IFERROR(__xludf.DUMMYFUNCTION("""COMPUTED_VALUE"""),"Principal Amount (Local)")</f>
        <v>Principal Amount (Local)</v>
      </c>
      <c r="S5" s="22" t="str">
        <f ca="1">IFERROR(__xludf.DUMMYFUNCTION("""COMPUTED_VALUE"""),"Principal Amount (Base)")</f>
        <v>Principal Amount (Base)</v>
      </c>
      <c r="T5" s="24" t="str">
        <f ca="1">IFERROR(__xludf.DUMMYFUNCTION("""COMPUTED_VALUE"""),"Peg")</f>
        <v>Peg</v>
      </c>
      <c r="U5" s="24" t="str">
        <f ca="1">IFERROR(__xludf.DUMMYFUNCTION("""COMPUTED_VALUE"""),"ParentClOrderID")</f>
        <v>ParentClOrderID</v>
      </c>
      <c r="V5" s="24" t="str">
        <f ca="1">IFERROR(__xludf.DUMMYFUNCTION("""COMPUTED_VALUE"""),"Strike Price")</f>
        <v>Strike Price</v>
      </c>
      <c r="W5" s="24" t="str">
        <f ca="1">IFERROR(__xludf.DUMMYFUNCTION("""COMPUTED_VALUE"""),"Last Shares")</f>
        <v>Last Shares</v>
      </c>
      <c r="X5" s="24" t="str">
        <f ca="1">IFERROR(__xludf.DUMMYFUNCTION("""COMPUTED_VALUE"""),"Working Qty")</f>
        <v>Working Qty</v>
      </c>
      <c r="Y5" s="24" t="str">
        <f ca="1">IFERROR(__xludf.DUMMYFUNCTION("""COMPUTED_VALUE"""),"Bloomberg Symbol")</f>
        <v>Bloomberg Symbol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IFERROR(__xludf.DUMMYFUNCTION("""COMPUTED_VALUE"""),"Asset Class")</f>
        <v>Asset Class</v>
      </c>
      <c r="AC5" s="24" t="str">
        <f ca="1">IFERROR(__xludf.DUMMYFUNCTION("""COMPUTED_VALUE"""),"Underlying Country")</f>
        <v>Underlying Country</v>
      </c>
      <c r="AD5" s="24" t="str">
        <f ca="1">IFERROR(__xludf.DUMMYFUNCTION("""COMPUTED_VALUE"""),"Trader")</f>
        <v>Trader</v>
      </c>
      <c r="AE5" s="24" t="str">
        <f ca="1">IFERROR(__xludf.DUMMYFUNCTION("""COMPUTED_VALUE"""),"User")</f>
        <v>User</v>
      </c>
      <c r="AF5" s="24" t="str">
        <f ca="1">IFERROR(__xludf.DUMMYFUNCTION("""COMPUTED_VALUE"""),"Venue")</f>
        <v>Venue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IFERROR(__xludf.DUMMYFUNCTION("""COMPUTED_VALUE"""),"Process Date")</f>
        <v>Process Date</v>
      </c>
      <c r="AJ5" s="24" t="str">
        <f ca="1">IFERROR(__xludf.DUMMYFUNCTION("""COMPUTED_VALUE"""),"Underlying Symbol")</f>
        <v>Underlying Symbol</v>
      </c>
      <c r="AK5" s="24" t="str">
        <f ca="1">IFERROR(__xludf.DUMMYFUNCTION("""COMPUTED_VALUE"""),"Put/Call")</f>
        <v>Put/Call</v>
      </c>
      <c r="AL5" s="24" t="str">
        <f ca="1">IFERROR(__xludf.DUMMYFUNCTION("""COMPUTED_VALUE"""),"FX Rate")</f>
        <v>FX Rate</v>
      </c>
      <c r="AM5" s="24" t="str">
        <f ca="1">IFERROR(__xludf.DUMMYFUNCTION("""COMPUTED_VALUE"""),"Trade Attribute 1")</f>
        <v>Trade Attribute 1</v>
      </c>
      <c r="AN5" s="24" t="str">
        <f ca="1">IFERROR(__xludf.DUMMYFUNCTION("""COMPUTED_VALUE"""),"Trade Attribute 2")</f>
        <v>Trade Attribute 2</v>
      </c>
      <c r="AO5" s="24" t="str">
        <f ca="1">IFERROR(__xludf.DUMMYFUNCTION("""COMPUTED_VALUE"""),"Trade Attribute 3")</f>
        <v>Trade Attribute 3</v>
      </c>
      <c r="AP5" s="24" t="str">
        <f ca="1">IFERROR(__xludf.DUMMYFUNCTION("""COMPUTED_VALUE"""),"Trade Attribute 4")</f>
        <v>Trade Attribute 4</v>
      </c>
      <c r="AQ5" s="24" t="str">
        <f ca="1">IFERROR(__xludf.DUMMYFUNCTION("""COMPUTED_VALUE"""),"Trade Attribute 5")</f>
        <v>Trade Attribute 5</v>
      </c>
      <c r="AR5" s="24" t="str">
        <f ca="1">IFERROR(__xludf.DUMMYFUNCTION("""COMPUTED_VALUE"""),"Trade Attribute 6")</f>
        <v>Trade Attribute 6</v>
      </c>
      <c r="AS5" s="24" t="str">
        <f ca="1">IFERROR(__xludf.DUMMYFUNCTION("""COMPUTED_VALUE"""),"Internal Comments")</f>
        <v>Internal Comments</v>
      </c>
      <c r="AT5" s="24" t="str">
        <f ca="1">IFERROR(__xludf.DUMMYFUNCTION("""COMPUTED_VALUE"""),"Allocation Scheme Name        ")</f>
        <v xml:space="preserve">Allocation Scheme Name        </v>
      </c>
      <c r="AU5" s="24" t="str">
        <f ca="1">IFERROR(__xludf.DUMMYFUNCTION("""COMPUTED_VALUE"""),"Status (With Rollover)")</f>
        <v>Status (With Rollover)</v>
      </c>
      <c r="AV5" s="24" t="str">
        <f ca="1">IFERROR(__xludf.DUMMYFUNCTION("""COMPUTED_VALUE"""),"Allocation Status")</f>
        <v>Allocation Status</v>
      </c>
      <c r="AW5" s="24" t="str">
        <f ca="1">IFERROR(__xludf.DUMMYFUNCTION("""COMPUTED_VALUE"""),"Source")</f>
        <v>Source</v>
      </c>
      <c r="AX5" s="24" t="str">
        <f ca="1">IFERROR(__xludf.DUMMYFUNCTION("""COMPUTED_VALUE"""),"Strategy")</f>
        <v>Strategy</v>
      </c>
      <c r="AY5" s="24" t="str">
        <f ca="1">IFERROR(__xludf.DUMMYFUNCTION("""COMPUTED_VALUE"""),"Unexecuted Qty")</f>
        <v>Unexecuted Qty</v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>
        <v>800</v>
      </c>
      <c r="C6" s="5"/>
      <c r="D6" s="7" t="s">
        <v>16</v>
      </c>
      <c r="E6" s="25"/>
      <c r="F6" s="7" t="s">
        <v>17</v>
      </c>
      <c r="G6" s="7" t="s">
        <v>27</v>
      </c>
      <c r="H6" s="7">
        <v>500</v>
      </c>
      <c r="I6" s="7">
        <v>300</v>
      </c>
      <c r="J6" s="5"/>
      <c r="K6" s="7">
        <v>800</v>
      </c>
      <c r="L6" s="5"/>
      <c r="M6" s="7">
        <v>800</v>
      </c>
      <c r="N6" s="7" t="s">
        <v>23</v>
      </c>
      <c r="O6" s="7" t="s">
        <v>18</v>
      </c>
      <c r="Q6" s="6" t="s">
        <v>24</v>
      </c>
      <c r="AL6" s="6">
        <v>1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IFERROR(__xludf.DUMMYFUNCTION("""COMPUTED_VALUE"""),"Fill")</f>
        <v>Fill</v>
      </c>
      <c r="C5" s="22" t="str">
        <f ca="1">IFERROR(__xludf.DUMMYFUNCTION("""COMPUTED_VALUE"""),"Last Fill Price (Local)")</f>
        <v>Last Fill Price (Local)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>
        <v>200</v>
      </c>
      <c r="C6" s="7">
        <v>23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489.2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27</v>
      </c>
      <c r="AL6" s="6">
        <v>1000</v>
      </c>
      <c r="AM6" s="6">
        <v>500</v>
      </c>
      <c r="AN6" s="6">
        <v>50</v>
      </c>
      <c r="AO6" s="6">
        <v>500</v>
      </c>
      <c r="AP6" s="6">
        <v>500</v>
      </c>
      <c r="AQ6" s="6">
        <v>23</v>
      </c>
      <c r="AR6" s="6">
        <v>489.2</v>
      </c>
      <c r="AS6" s="6" t="s">
        <v>23</v>
      </c>
      <c r="AT6" s="6" t="s">
        <v>18</v>
      </c>
      <c r="AU6" s="6" t="s">
        <v>24</v>
      </c>
      <c r="AV6" s="26">
        <v>244600</v>
      </c>
      <c r="AW6" s="26">
        <v>244600</v>
      </c>
      <c r="AY6" s="26">
        <v>1000</v>
      </c>
      <c r="AZ6" s="6">
        <v>500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topLeftCell="AM1" workbookViewId="0">
      <selection activeCell="AX6" sqref="AX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489.2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31</v>
      </c>
      <c r="AL6" s="6">
        <v>500</v>
      </c>
      <c r="AM6" s="6">
        <v>500</v>
      </c>
      <c r="AO6" s="6">
        <v>23</v>
      </c>
      <c r="AP6" s="6">
        <v>489.2</v>
      </c>
      <c r="AQ6" s="6" t="s">
        <v>23</v>
      </c>
      <c r="AR6" s="6" t="s">
        <v>18</v>
      </c>
      <c r="AS6" s="6" t="s">
        <v>24</v>
      </c>
      <c r="AT6" s="26">
        <v>244600</v>
      </c>
      <c r="AU6" s="26">
        <v>244600</v>
      </c>
      <c r="AX6" s="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500</v>
      </c>
      <c r="E6" s="7">
        <v>500</v>
      </c>
      <c r="F6" s="5"/>
      <c r="G6" s="7" t="s">
        <v>31</v>
      </c>
      <c r="H6" s="5"/>
      <c r="I6" s="7">
        <v>23</v>
      </c>
      <c r="J6" s="7">
        <v>489.2</v>
      </c>
      <c r="K6" s="7" t="s">
        <v>23</v>
      </c>
      <c r="L6" s="7" t="s">
        <v>18</v>
      </c>
      <c r="M6" s="7" t="s">
        <v>24</v>
      </c>
      <c r="N6" s="5"/>
      <c r="O6" s="7">
        <v>489.2</v>
      </c>
      <c r="Y6" s="6">
        <v>1</v>
      </c>
      <c r="AC6" s="26">
        <v>244600</v>
      </c>
      <c r="AD6" s="26">
        <v>244600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27">
        <v>0</v>
      </c>
      <c r="E6" s="27">
        <v>500</v>
      </c>
      <c r="F6" s="5"/>
      <c r="G6" s="5"/>
      <c r="H6" s="28">
        <v>4</v>
      </c>
      <c r="I6" s="28">
        <v>5</v>
      </c>
      <c r="J6" s="5"/>
      <c r="K6" s="28">
        <v>489.2</v>
      </c>
      <c r="L6" s="28">
        <v>489.2</v>
      </c>
      <c r="M6" s="5"/>
      <c r="N6" s="5"/>
      <c r="O6" s="7" t="s">
        <v>23</v>
      </c>
      <c r="R6" s="28">
        <v>0</v>
      </c>
      <c r="S6" s="29" t="s">
        <v>37</v>
      </c>
      <c r="T6" s="28">
        <v>0</v>
      </c>
      <c r="U6" s="28">
        <v>0</v>
      </c>
      <c r="V6" s="29" t="s">
        <v>38</v>
      </c>
      <c r="W6" s="30"/>
      <c r="Z6" s="6" t="s">
        <v>39</v>
      </c>
      <c r="AE6" s="27">
        <v>500</v>
      </c>
      <c r="AI6" s="6">
        <v>1</v>
      </c>
      <c r="AT6" s="28">
        <v>244614.13699999999</v>
      </c>
      <c r="AU6" s="28">
        <v>244614.13699999999</v>
      </c>
      <c r="AW6" s="28">
        <v>0</v>
      </c>
      <c r="AX6" s="28">
        <v>0</v>
      </c>
      <c r="AY6" s="6" t="s">
        <v>24</v>
      </c>
      <c r="AZ6" s="28">
        <v>0</v>
      </c>
      <c r="BA6" s="28"/>
      <c r="BC6" s="27">
        <v>0</v>
      </c>
      <c r="BE6" s="28">
        <v>244600</v>
      </c>
      <c r="BF6" s="28">
        <v>244600</v>
      </c>
      <c r="BJ6" s="27">
        <v>500</v>
      </c>
      <c r="BO6" s="6" t="s">
        <v>17</v>
      </c>
      <c r="BP6" s="27">
        <v>0</v>
      </c>
      <c r="BQ6" s="27">
        <v>0</v>
      </c>
      <c r="BT6" s="31" t="s">
        <v>16</v>
      </c>
      <c r="BU6" s="27">
        <v>3</v>
      </c>
      <c r="BV6" s="27">
        <v>0</v>
      </c>
      <c r="BW6" s="27">
        <v>14.137</v>
      </c>
      <c r="CI6" s="31" t="s">
        <v>17</v>
      </c>
      <c r="CJ6" s="27">
        <v>0</v>
      </c>
      <c r="CK6" t="s">
        <v>40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CreateStageOrder</vt:lpstr>
      <vt:lpstr>VerifyOrder</vt:lpstr>
      <vt:lpstr>TradeNewSubOrder</vt:lpstr>
      <vt:lpstr>CreateNewSubOrder</vt:lpstr>
      <vt:lpstr>VerifyOrder1</vt:lpstr>
      <vt:lpstr>AddFillsSubOrder</vt:lpstr>
      <vt:lpstr>EditAddFillsDetails</vt:lpstr>
      <vt:lpstr>VerifyOrder2</vt:lpstr>
      <vt:lpstr>VerifySubOrder</vt:lpstr>
      <vt:lpstr>VerifyWorkingSubs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2020-06-19T10:47:27Z</dcterms:modified>
</cp:coreProperties>
</file>